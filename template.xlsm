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6491DD15-B394-4592-BDF7-F1EEB62D9FC1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札_まとめ（印刷用）【15時】" sheetId="12" r:id="rId12"/>
    <sheet name="商品マスタ一覧" sheetId="13" state="hidden" r:id="rId13"/>
  </sheets>
  <functionGroups builtInGroupCount="19"/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13" i="1"/>
  <c r="E12" i="1"/>
  <c r="E11" i="1"/>
  <c r="E10" i="1"/>
  <c r="E9" i="1"/>
  <c r="E8" i="1"/>
  <c r="E7" i="1"/>
  <c r="E6" i="1"/>
  <c r="E5" i="1"/>
  <c r="E4" i="1"/>
  <c r="H1" i="12" l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A14" i="11"/>
  <c r="A14" i="11"/>
  <c r="M14" i="11" s="1"/>
  <c r="AA13" i="11"/>
  <c r="O13" i="11"/>
  <c r="L13" i="11"/>
  <c r="I13" i="11"/>
  <c r="H13" i="11"/>
  <c r="F13" i="11"/>
  <c r="D13" i="11" a="1"/>
  <c r="D13" i="11" s="1"/>
  <c r="A13" i="11"/>
  <c r="M13" i="11" s="1"/>
  <c r="AA12" i="11"/>
  <c r="G12" i="11"/>
  <c r="E12" i="11"/>
  <c r="A12" i="11"/>
  <c r="M12" i="11" s="1"/>
  <c r="AA11" i="11"/>
  <c r="M11" i="11"/>
  <c r="K11" i="11"/>
  <c r="G11" i="11"/>
  <c r="E11" i="11"/>
  <c r="A11" i="11"/>
  <c r="AA10" i="11"/>
  <c r="M10" i="11"/>
  <c r="K10" i="11"/>
  <c r="I10" i="11"/>
  <c r="G10" i="11"/>
  <c r="A10" i="11"/>
  <c r="O9" i="11"/>
  <c r="L9" i="11"/>
  <c r="K9" i="11"/>
  <c r="I9" i="11"/>
  <c r="H9" i="11"/>
  <c r="F9" i="11"/>
  <c r="D9" i="11" a="1"/>
  <c r="D9" i="11" s="1"/>
  <c r="A9" i="11"/>
  <c r="G9" i="11" s="1"/>
  <c r="M8" i="11"/>
  <c r="K8" i="11"/>
  <c r="I8" i="11"/>
  <c r="E8" i="11"/>
  <c r="Z8" i="11" s="1"/>
  <c r="AA8" i="11" s="1"/>
  <c r="D8" i="11" a="1"/>
  <c r="D8" i="11" s="1"/>
  <c r="A8" i="11"/>
  <c r="O7" i="11"/>
  <c r="L7" i="11"/>
  <c r="H7" i="11"/>
  <c r="G7" i="11"/>
  <c r="D7" i="11" a="1"/>
  <c r="D7" i="11" s="1"/>
  <c r="A7" i="11"/>
  <c r="F7" i="11" s="1"/>
  <c r="O6" i="11"/>
  <c r="M6" i="11"/>
  <c r="L6" i="11"/>
  <c r="K6" i="11"/>
  <c r="I6" i="11"/>
  <c r="H6" i="11"/>
  <c r="F6" i="11"/>
  <c r="E6" i="11"/>
  <c r="Y6" i="11" s="1"/>
  <c r="D6" i="11" a="1"/>
  <c r="D6" i="11" s="1"/>
  <c r="A6" i="11"/>
  <c r="G6" i="11" s="1"/>
  <c r="A5" i="11"/>
  <c r="M5" i="11" s="1"/>
  <c r="O4" i="11"/>
  <c r="M4" i="11"/>
  <c r="L4" i="11"/>
  <c r="K4" i="11"/>
  <c r="I4" i="11"/>
  <c r="H4" i="11"/>
  <c r="F4" i="11"/>
  <c r="E4" i="11"/>
  <c r="Z4" i="11" s="1"/>
  <c r="AA4" i="11" s="1"/>
  <c r="D4" i="11" a="1"/>
  <c r="D4" i="11" s="1"/>
  <c r="A4" i="11"/>
  <c r="G4" i="11" s="1"/>
  <c r="A3" i="11"/>
  <c r="O2" i="11"/>
  <c r="M2" i="11"/>
  <c r="L2" i="11"/>
  <c r="K2" i="11"/>
  <c r="I2" i="11"/>
  <c r="H2" i="11"/>
  <c r="F2" i="11"/>
  <c r="E2" i="11"/>
  <c r="Z2" i="11" s="1"/>
  <c r="AA2" i="11" s="1"/>
  <c r="D2" i="11" a="1"/>
  <c r="D2" i="11" s="1"/>
  <c r="A2" i="11"/>
  <c r="G2" i="11" s="1"/>
  <c r="D1" i="11" a="1"/>
  <c r="D1" i="11" s="1"/>
  <c r="A1" i="11"/>
  <c r="L1" i="11" s="1"/>
  <c r="H1" i="10"/>
  <c r="A9" i="10" s="1"/>
  <c r="H9" i="10" s="1"/>
  <c r="A17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/>
  <c r="J216" i="9"/>
  <c r="I216" i="9"/>
  <c r="C216" i="9"/>
  <c r="J215" i="9"/>
  <c r="I215" i="9"/>
  <c r="C215" i="9"/>
  <c r="Q215" i="9" s="1"/>
  <c r="P215" i="9" s="1"/>
  <c r="P214" i="9"/>
  <c r="J214" i="9"/>
  <c r="C214" i="9"/>
  <c r="P213" i="9"/>
  <c r="H213" i="9"/>
  <c r="C213" i="9"/>
  <c r="P212" i="9"/>
  <c r="C212" i="9"/>
  <c r="P211" i="9"/>
  <c r="C211" i="9"/>
  <c r="C210" i="9"/>
  <c r="D210" i="9" s="1" a="1"/>
  <c r="D210" i="9" s="1"/>
  <c r="F210" i="9" s="1"/>
  <c r="G210" i="9" s="1"/>
  <c r="D209" i="9" a="1"/>
  <c r="D209" i="9" s="1"/>
  <c r="F209" i="9" s="1"/>
  <c r="G209" i="9" s="1"/>
  <c r="C209" i="9"/>
  <c r="Q209" i="9" s="1"/>
  <c r="P209" i="9" s="1"/>
  <c r="C208" i="9"/>
  <c r="N207" i="9"/>
  <c r="J207" i="9"/>
  <c r="C207" i="9"/>
  <c r="Q207" i="9" s="1"/>
  <c r="P207" i="9" s="1"/>
  <c r="I206" i="9"/>
  <c r="C206" i="9"/>
  <c r="H206" i="9" s="1"/>
  <c r="E206" i="9" s="1"/>
  <c r="B206" i="9"/>
  <c r="D205" i="9" a="1"/>
  <c r="D205" i="9" s="1"/>
  <c r="F205" i="9" s="1"/>
  <c r="G205" i="9" s="1"/>
  <c r="C205" i="9"/>
  <c r="M205" i="9" s="1" a="1"/>
  <c r="M205" i="9" s="1"/>
  <c r="B205" i="9"/>
  <c r="C204" i="9"/>
  <c r="Q204" i="9" s="1"/>
  <c r="P204" i="9" s="1"/>
  <c r="C203" i="9"/>
  <c r="M202" i="9" a="1"/>
  <c r="M202" i="9" s="1"/>
  <c r="I202" i="9"/>
  <c r="C202" i="9"/>
  <c r="H202" i="9" s="1"/>
  <c r="E202" i="9" s="1"/>
  <c r="B202" i="9"/>
  <c r="I201" i="9"/>
  <c r="D201" i="9" a="1"/>
  <c r="D201" i="9" s="1"/>
  <c r="F201" i="9" s="1"/>
  <c r="G201" i="9" s="1"/>
  <c r="C201" i="9"/>
  <c r="M201" i="9" s="1" a="1"/>
  <c r="M201" i="9" s="1"/>
  <c r="B201" i="9"/>
  <c r="C200" i="9"/>
  <c r="Q200" i="9" s="1"/>
  <c r="P200" i="9" s="1"/>
  <c r="H199" i="9"/>
  <c r="E199" i="9" s="1"/>
  <c r="D199" i="9" a="1"/>
  <c r="D199" i="9" s="1"/>
  <c r="F199" i="9" s="1"/>
  <c r="G199" i="9" s="1"/>
  <c r="C199" i="9"/>
  <c r="Q199" i="9" s="1"/>
  <c r="P199" i="9" s="1"/>
  <c r="M198" i="9" a="1"/>
  <c r="M198" i="9" s="1"/>
  <c r="C198" i="9"/>
  <c r="H198" i="9" s="1"/>
  <c r="E198" i="9" s="1"/>
  <c r="N197" i="9"/>
  <c r="D197" i="9" a="1"/>
  <c r="D197" i="9" s="1"/>
  <c r="F197" i="9" s="1"/>
  <c r="G197" i="9" s="1"/>
  <c r="C197" i="9"/>
  <c r="M197" i="9" s="1" a="1"/>
  <c r="M197" i="9" s="1"/>
  <c r="J196" i="9"/>
  <c r="C196" i="9"/>
  <c r="C195" i="9"/>
  <c r="M194" i="9" a="1"/>
  <c r="M194" i="9" s="1"/>
  <c r="I194" i="9"/>
  <c r="D194" i="9" a="1"/>
  <c r="D194" i="9" s="1"/>
  <c r="F194" i="9" s="1"/>
  <c r="G194" i="9" s="1"/>
  <c r="C194" i="9"/>
  <c r="H194" i="9" s="1"/>
  <c r="E194" i="9" s="1"/>
  <c r="B194" i="9"/>
  <c r="C193" i="9"/>
  <c r="M193" i="9" s="1" a="1"/>
  <c r="M193" i="9" s="1"/>
  <c r="C192" i="9"/>
  <c r="M191" i="9" a="1"/>
  <c r="M191" i="9" s="1"/>
  <c r="H191" i="9"/>
  <c r="E191" i="9" s="1"/>
  <c r="D191" i="9" a="1"/>
  <c r="D191" i="9" s="1"/>
  <c r="F191" i="9" s="1"/>
  <c r="G191" i="9" s="1"/>
  <c r="C191" i="9"/>
  <c r="Q191" i="9" s="1"/>
  <c r="P191" i="9" s="1"/>
  <c r="C190" i="9"/>
  <c r="H190" i="9" s="1"/>
  <c r="E190" i="9" s="1"/>
  <c r="Q189" i="9"/>
  <c r="P189" i="9" s="1"/>
  <c r="H189" i="9"/>
  <c r="E189" i="9" s="1"/>
  <c r="C189" i="9"/>
  <c r="H188" i="9"/>
  <c r="E188" i="9" s="1"/>
  <c r="C188" i="9"/>
  <c r="Q188" i="9" s="1"/>
  <c r="P188" i="9" s="1"/>
  <c r="C187" i="9"/>
  <c r="D186" i="9" a="1"/>
  <c r="D186" i="9" s="1"/>
  <c r="F186" i="9" s="1"/>
  <c r="G186" i="9" s="1"/>
  <c r="C186" i="9"/>
  <c r="Q186" i="9" s="1"/>
  <c r="P186" i="9" s="1"/>
  <c r="C185" i="9"/>
  <c r="C184" i="9"/>
  <c r="Q184" i="9" s="1"/>
  <c r="P184" i="9" s="1"/>
  <c r="M183" i="9" a="1"/>
  <c r="M183" i="9" s="1"/>
  <c r="J183" i="9"/>
  <c r="C183" i="9"/>
  <c r="H183" i="9" s="1"/>
  <c r="E183" i="9" s="1"/>
  <c r="C182" i="9"/>
  <c r="Q181" i="9"/>
  <c r="P181" i="9" s="1"/>
  <c r="J181" i="9"/>
  <c r="H181" i="9"/>
  <c r="E181" i="9" s="1"/>
  <c r="C181" i="9"/>
  <c r="C180" i="9"/>
  <c r="Q180" i="9" s="1"/>
  <c r="P180" i="9" s="1"/>
  <c r="J179" i="9"/>
  <c r="H179" i="9"/>
  <c r="E179" i="9" s="1"/>
  <c r="D179" i="9" a="1"/>
  <c r="D179" i="9" s="1"/>
  <c r="F179" i="9" s="1"/>
  <c r="G179" i="9" s="1"/>
  <c r="C179" i="9"/>
  <c r="M179" i="9" s="1" a="1"/>
  <c r="M179" i="9" s="1"/>
  <c r="C178" i="9"/>
  <c r="C177" i="9"/>
  <c r="N177" i="9" s="1"/>
  <c r="D176" i="9" a="1"/>
  <c r="D176" i="9" s="1"/>
  <c r="F176" i="9" s="1"/>
  <c r="G176" i="9" s="1"/>
  <c r="C176" i="9"/>
  <c r="Q176" i="9" s="1"/>
  <c r="P176" i="9" s="1"/>
  <c r="C175" i="9"/>
  <c r="H175" i="9" s="1"/>
  <c r="E175" i="9" s="1"/>
  <c r="C174" i="9"/>
  <c r="J174" i="9" s="1"/>
  <c r="C173" i="9"/>
  <c r="Q173" i="9" s="1"/>
  <c r="P173" i="9" s="1"/>
  <c r="M172" i="9" a="1"/>
  <c r="M172" i="9" s="1"/>
  <c r="H172" i="9"/>
  <c r="E172" i="9" s="1"/>
  <c r="C172" i="9"/>
  <c r="J172" i="9" s="1"/>
  <c r="C171" i="9"/>
  <c r="C170" i="9"/>
  <c r="B170" i="9" s="1"/>
  <c r="Q169" i="9"/>
  <c r="P169" i="9" s="1"/>
  <c r="M169" i="9" a="1"/>
  <c r="M169" i="9" s="1"/>
  <c r="C169" i="9"/>
  <c r="J169" i="9" s="1"/>
  <c r="C168" i="9"/>
  <c r="M168" i="9" s="1" a="1"/>
  <c r="M168" i="9" s="1"/>
  <c r="Q167" i="9"/>
  <c r="P167" i="9" s="1"/>
  <c r="J167" i="9"/>
  <c r="C167" i="9"/>
  <c r="H167" i="9" s="1"/>
  <c r="E167" i="9" s="1"/>
  <c r="C166" i="9"/>
  <c r="Q166" i="9" s="1"/>
  <c r="P166" i="9" s="1"/>
  <c r="J165" i="9"/>
  <c r="H165" i="9"/>
  <c r="E165" i="9" s="1"/>
  <c r="D165" i="9" a="1"/>
  <c r="D165" i="9" s="1"/>
  <c r="F165" i="9" s="1"/>
  <c r="G165" i="9" s="1"/>
  <c r="C165" i="9"/>
  <c r="N165" i="9" s="1"/>
  <c r="C164" i="9"/>
  <c r="C163" i="9"/>
  <c r="H163" i="9" s="1"/>
  <c r="E163" i="9" s="1"/>
  <c r="Q162" i="9"/>
  <c r="P162" i="9" s="1"/>
  <c r="C162" i="9"/>
  <c r="N162" i="9" s="1"/>
  <c r="B162" i="9"/>
  <c r="C161" i="9"/>
  <c r="J161" i="9" s="1"/>
  <c r="J160" i="9"/>
  <c r="C160" i="9"/>
  <c r="B160" i="9" s="1"/>
  <c r="C159" i="9"/>
  <c r="N158" i="9"/>
  <c r="M158" i="9" a="1"/>
  <c r="M158" i="9" s="1"/>
  <c r="J158" i="9"/>
  <c r="H158" i="9"/>
  <c r="E158" i="9" s="1"/>
  <c r="C158" i="9"/>
  <c r="D158" i="9" s="1" a="1"/>
  <c r="D158" i="9" s="1"/>
  <c r="F158" i="9" s="1"/>
  <c r="G158" i="9" s="1"/>
  <c r="M157" i="9" a="1"/>
  <c r="M157" i="9" s="1"/>
  <c r="J157" i="9"/>
  <c r="C157" i="9"/>
  <c r="N157" i="9" s="1"/>
  <c r="Q156" i="9"/>
  <c r="P156" i="9" s="1"/>
  <c r="J156" i="9"/>
  <c r="H156" i="9"/>
  <c r="E156" i="9" s="1"/>
  <c r="D156" i="9" a="1"/>
  <c r="D156" i="9" s="1"/>
  <c r="F156" i="9" s="1"/>
  <c r="G156" i="9" s="1"/>
  <c r="C156" i="9"/>
  <c r="N156" i="9" s="1"/>
  <c r="I155" i="9"/>
  <c r="H155" i="9"/>
  <c r="E155" i="9" s="1"/>
  <c r="C155" i="9"/>
  <c r="N155" i="9" s="1"/>
  <c r="B155" i="9"/>
  <c r="C154" i="9"/>
  <c r="Q154" i="9" s="1"/>
  <c r="P154" i="9" s="1"/>
  <c r="Q153" i="9"/>
  <c r="P153" i="9" s="1"/>
  <c r="H153" i="9"/>
  <c r="E153" i="9" s="1"/>
  <c r="C153" i="9"/>
  <c r="N153" i="9" s="1"/>
  <c r="C152" i="9"/>
  <c r="C151" i="9"/>
  <c r="N150" i="9"/>
  <c r="M150" i="9" a="1"/>
  <c r="M150" i="9" s="1"/>
  <c r="J150" i="9"/>
  <c r="H150" i="9"/>
  <c r="E150" i="9" s="1"/>
  <c r="C150" i="9"/>
  <c r="Q150" i="9" s="1"/>
  <c r="P150" i="9" s="1"/>
  <c r="M149" i="9" a="1"/>
  <c r="M149" i="9" s="1"/>
  <c r="J149" i="9"/>
  <c r="I149" i="9"/>
  <c r="C149" i="9"/>
  <c r="N149" i="9" s="1"/>
  <c r="C148" i="9"/>
  <c r="M147" i="9" a="1"/>
  <c r="M147" i="9" s="1"/>
  <c r="J147" i="9"/>
  <c r="I147" i="9"/>
  <c r="D147" i="9" a="1"/>
  <c r="D147" i="9" s="1"/>
  <c r="F147" i="9" s="1"/>
  <c r="G147" i="9" s="1"/>
  <c r="C147" i="9"/>
  <c r="N147" i="9" s="1"/>
  <c r="B147" i="9"/>
  <c r="C146" i="9"/>
  <c r="Q146" i="9" s="1"/>
  <c r="P146" i="9" s="1"/>
  <c r="Q145" i="9"/>
  <c r="P145" i="9" s="1"/>
  <c r="H145" i="9"/>
  <c r="E145" i="9" s="1"/>
  <c r="C145" i="9"/>
  <c r="M144" i="9" a="1"/>
  <c r="M144" i="9" s="1"/>
  <c r="H144" i="9"/>
  <c r="E144" i="9" s="1"/>
  <c r="C144" i="9"/>
  <c r="J144" i="9" s="1"/>
  <c r="I143" i="9"/>
  <c r="D143" i="9" a="1"/>
  <c r="D143" i="9" s="1"/>
  <c r="F143" i="9" s="1"/>
  <c r="G143" i="9" s="1"/>
  <c r="C143" i="9"/>
  <c r="N143" i="9" s="1"/>
  <c r="J142" i="9"/>
  <c r="C142" i="9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M141" i="9" a="1"/>
  <c r="M141" i="9" s="1"/>
  <c r="J141" i="9"/>
  <c r="I141" i="9"/>
  <c r="D141" i="9" a="1"/>
  <c r="D141" i="9" s="1"/>
  <c r="F141" i="9" s="1"/>
  <c r="G141" i="9" s="1"/>
  <c r="C141" i="9"/>
  <c r="N141" i="9" s="1"/>
  <c r="Q140" i="9"/>
  <c r="P140" i="9" s="1"/>
  <c r="N140" i="9"/>
  <c r="M140" i="9" a="1"/>
  <c r="M140" i="9" s="1"/>
  <c r="J140" i="9"/>
  <c r="I140" i="9" a="1"/>
  <c r="I140" i="9" s="1"/>
  <c r="H140" i="9"/>
  <c r="E140" i="9" s="1"/>
  <c r="D140" i="9" a="1"/>
  <c r="D140" i="9" s="1"/>
  <c r="F140" i="9" s="1"/>
  <c r="G140" i="9" s="1"/>
  <c r="C140" i="9"/>
  <c r="B140" i="9" s="1"/>
  <c r="C139" i="9"/>
  <c r="H138" i="9"/>
  <c r="E138" i="9" s="1"/>
  <c r="D138" i="9" a="1"/>
  <c r="D138" i="9" s="1"/>
  <c r="F138" i="9" s="1"/>
  <c r="G138" i="9" s="1"/>
  <c r="C138" i="9"/>
  <c r="B138" i="9" s="1"/>
  <c r="M137" i="9" a="1"/>
  <c r="M137" i="9" s="1"/>
  <c r="D137" i="9" a="1"/>
  <c r="D137" i="9" s="1"/>
  <c r="F137" i="9" s="1"/>
  <c r="G137" i="9" s="1"/>
  <c r="C137" i="9"/>
  <c r="I137" i="9" s="1" a="1"/>
  <c r="I137" i="9" s="1"/>
  <c r="Q136" i="9"/>
  <c r="P136" i="9" s="1"/>
  <c r="H136" i="9"/>
  <c r="E136" i="9" s="1"/>
  <c r="C136" i="9"/>
  <c r="B136" i="9" s="1"/>
  <c r="M135" i="9" a="1"/>
  <c r="M135" i="9" s="1"/>
  <c r="I135" i="9" a="1"/>
  <c r="I135" i="9" s="1"/>
  <c r="C135" i="9"/>
  <c r="J135" i="9" s="1"/>
  <c r="C134" i="9"/>
  <c r="B134" i="9"/>
  <c r="J133" i="9"/>
  <c r="C133" i="9"/>
  <c r="B133" i="9"/>
  <c r="N132" i="9"/>
  <c r="M132" i="9" a="1"/>
  <c r="M132" i="9" s="1"/>
  <c r="J132" i="9"/>
  <c r="I132" i="9" a="1"/>
  <c r="I132" i="9" s="1"/>
  <c r="C132" i="9"/>
  <c r="B132" i="9" s="1"/>
  <c r="C131" i="9"/>
  <c r="H130" i="9"/>
  <c r="E130" i="9" s="1"/>
  <c r="D130" i="9" a="1"/>
  <c r="D130" i="9" s="1"/>
  <c r="F130" i="9" s="1"/>
  <c r="G130" i="9" s="1"/>
  <c r="C130" i="9"/>
  <c r="B130" i="9" s="1"/>
  <c r="Q129" i="9"/>
  <c r="P129" i="9" s="1"/>
  <c r="N129" i="9"/>
  <c r="H129" i="9"/>
  <c r="E129" i="9"/>
  <c r="D129" i="9" a="1"/>
  <c r="D129" i="9" s="1"/>
  <c r="F129" i="9" s="1"/>
  <c r="G129" i="9" s="1"/>
  <c r="C129" i="9"/>
  <c r="I129" i="9" s="1" a="1"/>
  <c r="I129" i="9" s="1"/>
  <c r="B129" i="9"/>
  <c r="C128" i="9"/>
  <c r="Q128" i="9" s="1"/>
  <c r="P128" i="9" s="1"/>
  <c r="C127" i="9"/>
  <c r="C126" i="9"/>
  <c r="J126" i="9" s="1"/>
  <c r="J125" i="9"/>
  <c r="C125" i="9"/>
  <c r="H125" i="9" s="1"/>
  <c r="E125" i="9" s="1"/>
  <c r="Q124" i="9"/>
  <c r="P124" i="9" s="1"/>
  <c r="J124" i="9"/>
  <c r="H124" i="9"/>
  <c r="E124" i="9" s="1"/>
  <c r="C124" i="9"/>
  <c r="I124" i="9" s="1" a="1"/>
  <c r="I124" i="9" s="1"/>
  <c r="B124" i="9"/>
  <c r="M123" i="9" a="1"/>
  <c r="M123" i="9" s="1"/>
  <c r="J123" i="9"/>
  <c r="H123" i="9"/>
  <c r="E123" i="9" s="1"/>
  <c r="C123" i="9"/>
  <c r="I123" i="9" s="1" a="1"/>
  <c r="I123" i="9" s="1"/>
  <c r="Q122" i="9"/>
  <c r="P122" i="9" s="1"/>
  <c r="C122" i="9"/>
  <c r="J122" i="9" s="1"/>
  <c r="H121" i="9"/>
  <c r="E121" i="9" s="1"/>
  <c r="C121" i="9"/>
  <c r="M120" i="9" a="1"/>
  <c r="M120" i="9" s="1"/>
  <c r="D120" i="9" a="1"/>
  <c r="D120" i="9" s="1"/>
  <c r="F120" i="9" s="1"/>
  <c r="G120" i="9" s="1"/>
  <c r="C120" i="9"/>
  <c r="C119" i="9"/>
  <c r="B119" i="9" s="1"/>
  <c r="C118" i="9"/>
  <c r="C117" i="9"/>
  <c r="B117" i="9"/>
  <c r="M116" i="9" a="1"/>
  <c r="M116" i="9" s="1"/>
  <c r="C116" i="9"/>
  <c r="B116" i="9"/>
  <c r="C115" i="9"/>
  <c r="M115" i="9" s="1" a="1"/>
  <c r="M115" i="9" s="1"/>
  <c r="N114" i="9"/>
  <c r="C114" i="9"/>
  <c r="D114" i="9" s="1" a="1"/>
  <c r="D114" i="9" s="1"/>
  <c r="F114" i="9" s="1"/>
  <c r="G114" i="9" s="1"/>
  <c r="C113" i="9"/>
  <c r="D113" i="9" s="1" a="1"/>
  <c r="D113" i="9" s="1"/>
  <c r="F113" i="9" s="1"/>
  <c r="G113" i="9" s="1"/>
  <c r="C112" i="9"/>
  <c r="C111" i="9"/>
  <c r="M111" i="9" s="1" a="1"/>
  <c r="M111" i="9" s="1"/>
  <c r="M110" i="9" a="1"/>
  <c r="M110" i="9" s="1"/>
  <c r="C110" i="9"/>
  <c r="Q110" i="9" s="1"/>
  <c r="P110" i="9" s="1"/>
  <c r="C108" i="9"/>
  <c r="Q108" i="9" s="1"/>
  <c r="P108" i="9" s="1"/>
  <c r="J107" i="9"/>
  <c r="D107" i="9" a="1"/>
  <c r="D107" i="9" s="1"/>
  <c r="F107" i="9" s="1"/>
  <c r="G107" i="9" s="1"/>
  <c r="C107" i="9"/>
  <c r="I107" i="9" s="1" a="1"/>
  <c r="I107" i="9" s="1"/>
  <c r="N106" i="9"/>
  <c r="C106" i="9"/>
  <c r="C105" i="9"/>
  <c r="N104" i="9"/>
  <c r="M104" i="9" a="1"/>
  <c r="M104" i="9" s="1"/>
  <c r="H104" i="9"/>
  <c r="E104" i="9" s="1"/>
  <c r="D104" i="9" a="1"/>
  <c r="D104" i="9" s="1"/>
  <c r="F104" i="9" s="1"/>
  <c r="G104" i="9" s="1"/>
  <c r="C104" i="9"/>
  <c r="Q104" i="9" s="1"/>
  <c r="P104" i="9" s="1"/>
  <c r="B104" i="9"/>
  <c r="C103" i="9"/>
  <c r="B103" i="9" s="1"/>
  <c r="C102" i="9"/>
  <c r="M101" i="9" a="1"/>
  <c r="M101" i="9" s="1"/>
  <c r="C101" i="9"/>
  <c r="C100" i="9"/>
  <c r="Q100" i="9" s="1"/>
  <c r="P100" i="9" s="1"/>
  <c r="Q99" i="9"/>
  <c r="P99" i="9" s="1"/>
  <c r="M99" i="9" a="1"/>
  <c r="M99" i="9" s="1"/>
  <c r="J99" i="9"/>
  <c r="C99" i="9"/>
  <c r="I99" i="9" s="1" a="1"/>
  <c r="I99" i="9" s="1"/>
  <c r="B99" i="9"/>
  <c r="J98" i="9"/>
  <c r="H98" i="9"/>
  <c r="E98" i="9" s="1"/>
  <c r="C98" i="9"/>
  <c r="B98" i="9" s="1"/>
  <c r="C97" i="9"/>
  <c r="N96" i="9"/>
  <c r="H96" i="9"/>
  <c r="E96" i="9" s="1"/>
  <c r="C96" i="9"/>
  <c r="M96" i="9" s="1" a="1"/>
  <c r="M96" i="9" s="1"/>
  <c r="B96" i="9"/>
  <c r="Q95" i="9"/>
  <c r="P95" i="9" s="1"/>
  <c r="N95" i="9"/>
  <c r="M95" i="9" a="1"/>
  <c r="M95" i="9" s="1"/>
  <c r="J95" i="9"/>
  <c r="H95" i="9"/>
  <c r="E95" i="9" s="1"/>
  <c r="C95" i="9"/>
  <c r="D95" i="9" s="1" a="1"/>
  <c r="D95" i="9" s="1"/>
  <c r="F95" i="9" s="1"/>
  <c r="G95" i="9" s="1"/>
  <c r="B95" i="9"/>
  <c r="M94" i="9" a="1"/>
  <c r="M94" i="9" s="1"/>
  <c r="D94" i="9" a="1"/>
  <c r="D94" i="9" s="1"/>
  <c r="F94" i="9" s="1"/>
  <c r="G94" i="9" s="1"/>
  <c r="C94" i="9"/>
  <c r="Q94" i="9" s="1"/>
  <c r="P94" i="9" s="1"/>
  <c r="M93" i="9" a="1"/>
  <c r="M93" i="9" s="1"/>
  <c r="D93" i="9" a="1"/>
  <c r="D93" i="9" s="1"/>
  <c r="F93" i="9" s="1"/>
  <c r="G93" i="9" s="1"/>
  <c r="C93" i="9"/>
  <c r="I93" i="9" s="1" a="1"/>
  <c r="I93" i="9" s="1"/>
  <c r="C92" i="9"/>
  <c r="Q92" i="9" s="1"/>
  <c r="P92" i="9" s="1"/>
  <c r="Q91" i="9"/>
  <c r="P91" i="9" s="1"/>
  <c r="C91" i="9"/>
  <c r="C90" i="9"/>
  <c r="H90" i="9" s="1"/>
  <c r="E90" i="9" s="1"/>
  <c r="C89" i="9"/>
  <c r="C88" i="9"/>
  <c r="D88" i="9" s="1" a="1"/>
  <c r="D88" i="9" s="1"/>
  <c r="F88" i="9" s="1"/>
  <c r="G88" i="9" s="1"/>
  <c r="M87" i="9" a="1"/>
  <c r="M87" i="9" s="1"/>
  <c r="C87" i="9"/>
  <c r="B87" i="9" s="1"/>
  <c r="M86" i="9" a="1"/>
  <c r="M86" i="9" s="1"/>
  <c r="C86" i="9"/>
  <c r="Q86" i="9" s="1"/>
  <c r="P86" i="9" s="1"/>
  <c r="Q85" i="9"/>
  <c r="P85" i="9" s="1"/>
  <c r="J85" i="9"/>
  <c r="H85" i="9"/>
  <c r="E85" i="9" s="1"/>
  <c r="C85" i="9"/>
  <c r="I85" i="9" s="1" a="1"/>
  <c r="I85" i="9" s="1"/>
  <c r="B85" i="9"/>
  <c r="C84" i="9"/>
  <c r="Q84" i="9" s="1"/>
  <c r="P84" i="9" s="1"/>
  <c r="M83" i="9" a="1"/>
  <c r="M83" i="9" s="1"/>
  <c r="J83" i="9"/>
  <c r="D83" i="9" a="1"/>
  <c r="D83" i="9" s="1"/>
  <c r="F83" i="9" s="1"/>
  <c r="G83" i="9" s="1"/>
  <c r="C83" i="9"/>
  <c r="I83" i="9" s="1" a="1"/>
  <c r="I83" i="9" s="1"/>
  <c r="B83" i="9"/>
  <c r="Q82" i="9"/>
  <c r="P82" i="9" s="1"/>
  <c r="H82" i="9"/>
  <c r="E82" i="9" s="1"/>
  <c r="C82" i="9"/>
  <c r="I81" i="9" a="1"/>
  <c r="I81" i="9" s="1"/>
  <c r="C81" i="9"/>
  <c r="N80" i="9"/>
  <c r="H80" i="9"/>
  <c r="E80" i="9" s="1"/>
  <c r="C80" i="9"/>
  <c r="M80" i="9" s="1" a="1"/>
  <c r="M80" i="9" s="1"/>
  <c r="B80" i="9"/>
  <c r="Q79" i="9"/>
  <c r="P79" i="9" s="1"/>
  <c r="N79" i="9"/>
  <c r="M79" i="9" a="1"/>
  <c r="M79" i="9" s="1"/>
  <c r="J79" i="9"/>
  <c r="H79" i="9"/>
  <c r="E79" i="9" s="1"/>
  <c r="C79" i="9"/>
  <c r="D79" i="9" s="1" a="1"/>
  <c r="D79" i="9" s="1"/>
  <c r="F79" i="9" s="1"/>
  <c r="G79" i="9" s="1"/>
  <c r="B79" i="9"/>
  <c r="M78" i="9" a="1"/>
  <c r="M78" i="9" s="1"/>
  <c r="D78" i="9" a="1"/>
  <c r="D78" i="9" s="1"/>
  <c r="F78" i="9" s="1"/>
  <c r="G78" i="9" s="1"/>
  <c r="C78" i="9"/>
  <c r="Q78" i="9" s="1"/>
  <c r="P78" i="9" s="1"/>
  <c r="Q77" i="9"/>
  <c r="P77" i="9" s="1"/>
  <c r="N77" i="9"/>
  <c r="H77" i="9"/>
  <c r="E77" i="9" s="1"/>
  <c r="D77" i="9" a="1"/>
  <c r="D77" i="9" s="1"/>
  <c r="F77" i="9" s="1"/>
  <c r="G77" i="9" s="1"/>
  <c r="C77" i="9"/>
  <c r="I77" i="9" s="1" a="1"/>
  <c r="I77" i="9" s="1"/>
  <c r="B77" i="9"/>
  <c r="I76" i="9" a="1"/>
  <c r="I76" i="9" s="1"/>
  <c r="C76" i="9"/>
  <c r="M75" i="9" a="1"/>
  <c r="M75" i="9" s="1"/>
  <c r="J75" i="9"/>
  <c r="D75" i="9" a="1"/>
  <c r="D75" i="9" s="1"/>
  <c r="F75" i="9" s="1"/>
  <c r="G75" i="9" s="1"/>
  <c r="C75" i="9"/>
  <c r="I75" i="9" s="1" a="1"/>
  <c r="I75" i="9" s="1"/>
  <c r="B75" i="9"/>
  <c r="AC74" i="9"/>
  <c r="C74" i="9"/>
  <c r="B74" i="9"/>
  <c r="C73" i="9"/>
  <c r="J73" i="9" s="1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N72" i="9"/>
  <c r="M72" i="9" a="1"/>
  <c r="M72" i="9" s="1"/>
  <c r="H72" i="9"/>
  <c r="E72" i="9" s="1"/>
  <c r="C72" i="9"/>
  <c r="Q72" i="9" s="1"/>
  <c r="P72" i="9" s="1"/>
  <c r="A72" i="9"/>
  <c r="C71" i="9"/>
  <c r="Q70" i="9"/>
  <c r="P70" i="9" s="1"/>
  <c r="M70" i="9" a="1"/>
  <c r="M70" i="9" s="1"/>
  <c r="L70" i="9"/>
  <c r="J70" i="9"/>
  <c r="C70" i="9"/>
  <c r="N70" i="9" s="1"/>
  <c r="B70" i="9"/>
  <c r="Q69" i="9"/>
  <c r="P69" i="9" s="1"/>
  <c r="J69" i="9"/>
  <c r="I69" i="9" a="1"/>
  <c r="I69" i="9" s="1"/>
  <c r="H69" i="9"/>
  <c r="E69" i="9" s="1"/>
  <c r="D69" i="9" a="1"/>
  <c r="D69" i="9" s="1"/>
  <c r="F69" i="9" s="1"/>
  <c r="G69" i="9" s="1"/>
  <c r="C69" i="9"/>
  <c r="N69" i="9" s="1"/>
  <c r="C68" i="9"/>
  <c r="I67" i="9" a="1"/>
  <c r="I67" i="9" s="1"/>
  <c r="H67" i="9"/>
  <c r="E67" i="9" s="1"/>
  <c r="D67" i="9" a="1"/>
  <c r="D67" i="9" s="1"/>
  <c r="F67" i="9" s="1"/>
  <c r="G67" i="9" s="1"/>
  <c r="C67" i="9"/>
  <c r="B67" i="9" s="1"/>
  <c r="Q66" i="9"/>
  <c r="P66" i="9" s="1"/>
  <c r="N66" i="9"/>
  <c r="M66" i="9" a="1"/>
  <c r="M66" i="9" s="1"/>
  <c r="L66" i="9"/>
  <c r="J66" i="9"/>
  <c r="H66" i="9"/>
  <c r="E66" i="9" s="1"/>
  <c r="D66" i="9" a="1"/>
  <c r="D66" i="9" s="1"/>
  <c r="F66" i="9" s="1"/>
  <c r="G66" i="9" s="1"/>
  <c r="C66" i="9"/>
  <c r="B66" i="9"/>
  <c r="N65" i="9"/>
  <c r="M65" i="9" a="1"/>
  <c r="M65" i="9" s="1"/>
  <c r="I65" i="9" a="1"/>
  <c r="I65" i="9" s="1"/>
  <c r="H65" i="9"/>
  <c r="E65" i="9"/>
  <c r="D65" i="9" a="1"/>
  <c r="D65" i="9" s="1"/>
  <c r="F65" i="9" s="1"/>
  <c r="G65" i="9" s="1"/>
  <c r="C65" i="9"/>
  <c r="M64" i="9" a="1"/>
  <c r="M64" i="9" s="1"/>
  <c r="L64" i="9"/>
  <c r="J64" i="9"/>
  <c r="C64" i="9"/>
  <c r="N64" i="9" s="1"/>
  <c r="B64" i="9"/>
  <c r="C63" i="9"/>
  <c r="C62" i="9"/>
  <c r="M62" i="9" s="1" a="1"/>
  <c r="M62" i="9" s="1"/>
  <c r="M61" i="9" a="1"/>
  <c r="M61" i="9" s="1"/>
  <c r="J61" i="9"/>
  <c r="C61" i="9"/>
  <c r="Q61" i="9" s="1"/>
  <c r="P61" i="9" s="1"/>
  <c r="C60" i="9"/>
  <c r="B60" i="9" s="1"/>
  <c r="H59" i="9"/>
  <c r="E59" i="9" s="1"/>
  <c r="C59" i="9"/>
  <c r="B59" i="9"/>
  <c r="H58" i="9"/>
  <c r="E58" i="9" s="1"/>
  <c r="C58" i="9"/>
  <c r="B58" i="9" s="1"/>
  <c r="C57" i="9"/>
  <c r="B57" i="9" s="1"/>
  <c r="C56" i="9"/>
  <c r="B56" i="9" s="1"/>
  <c r="C55" i="9"/>
  <c r="B55" i="9" s="1"/>
  <c r="C54" i="9"/>
  <c r="C53" i="9"/>
  <c r="B53" i="9" s="1"/>
  <c r="C52" i="9"/>
  <c r="B52" i="9" s="1"/>
  <c r="M51" i="9" a="1"/>
  <c r="M51" i="9" s="1"/>
  <c r="D51" i="9" a="1"/>
  <c r="D51" i="9" s="1"/>
  <c r="F51" i="9" s="1"/>
  <c r="G51" i="9" s="1"/>
  <c r="C51" i="9"/>
  <c r="L191" i="9" s="1"/>
  <c r="C50" i="9"/>
  <c r="C49" i="9"/>
  <c r="B49" i="9" s="1"/>
  <c r="C48" i="9"/>
  <c r="B48" i="9" s="1"/>
  <c r="C47" i="9"/>
  <c r="B47" i="9" s="1"/>
  <c r="C46" i="9"/>
  <c r="B46" i="9" s="1"/>
  <c r="C45" i="9"/>
  <c r="B45" i="9" s="1"/>
  <c r="C44" i="9"/>
  <c r="B44" i="9" s="1"/>
  <c r="H43" i="9"/>
  <c r="E43" i="9"/>
  <c r="C43" i="9"/>
  <c r="B43" i="9" s="1"/>
  <c r="C42" i="9"/>
  <c r="C41" i="9"/>
  <c r="B41" i="9" s="1"/>
  <c r="C40" i="9"/>
  <c r="B40" i="9" s="1"/>
  <c r="C39" i="9"/>
  <c r="B39" i="9" s="1"/>
  <c r="C38" i="9"/>
  <c r="B38" i="9" s="1"/>
  <c r="C37" i="9"/>
  <c r="B37" i="9" s="1"/>
  <c r="C36" i="9"/>
  <c r="B36" i="9" s="1"/>
  <c r="H35" i="9"/>
  <c r="E35" i="9"/>
  <c r="C35" i="9"/>
  <c r="B35" i="9" s="1"/>
  <c r="C34" i="9"/>
  <c r="C33" i="9"/>
  <c r="B33" i="9" s="1"/>
  <c r="C32" i="9"/>
  <c r="B32" i="9" s="1"/>
  <c r="C31" i="9"/>
  <c r="B31" i="9" s="1"/>
  <c r="C30" i="9"/>
  <c r="B30" i="9" s="1"/>
  <c r="C29" i="9"/>
  <c r="B29" i="9" s="1"/>
  <c r="C28" i="9"/>
  <c r="B28" i="9" s="1"/>
  <c r="H27" i="9"/>
  <c r="E27" i="9"/>
  <c r="C27" i="9"/>
  <c r="B27" i="9" s="1"/>
  <c r="C26" i="9"/>
  <c r="C25" i="9"/>
  <c r="B25" i="9" s="1"/>
  <c r="C24" i="9"/>
  <c r="B24" i="9" s="1"/>
  <c r="C23" i="9"/>
  <c r="B23" i="9" s="1"/>
  <c r="C22" i="9"/>
  <c r="B22" i="9" s="1"/>
  <c r="C21" i="9"/>
  <c r="B21" i="9" s="1"/>
  <c r="C20" i="9"/>
  <c r="B20" i="9" s="1"/>
  <c r="H19" i="9"/>
  <c r="C19" i="9"/>
  <c r="B19" i="9" s="1"/>
  <c r="C18" i="9"/>
  <c r="B18" i="9" s="1"/>
  <c r="C17" i="9"/>
  <c r="B17" i="9" s="1"/>
  <c r="C16" i="9"/>
  <c r="B16" i="9" s="1"/>
  <c r="C15" i="9"/>
  <c r="B15" i="9"/>
  <c r="H14" i="9"/>
  <c r="E14" i="9" s="1"/>
  <c r="C14" i="9"/>
  <c r="B14" i="9" s="1"/>
  <c r="C13" i="9"/>
  <c r="B13" i="9"/>
  <c r="C12" i="9"/>
  <c r="B12" i="9" s="1"/>
  <c r="C11" i="9"/>
  <c r="H11" i="9" s="1"/>
  <c r="E11" i="9" s="1"/>
  <c r="B11" i="9"/>
  <c r="H10" i="9"/>
  <c r="E10" i="9" s="1"/>
  <c r="C10" i="9"/>
  <c r="B10" i="9"/>
  <c r="H9" i="9"/>
  <c r="C9" i="9"/>
  <c r="B9" i="9" s="1"/>
  <c r="C8" i="9"/>
  <c r="B8" i="9" s="1"/>
  <c r="C7" i="9"/>
  <c r="B7" i="9"/>
  <c r="H6" i="9"/>
  <c r="C6" i="9"/>
  <c r="B6" i="9" s="1"/>
  <c r="C5" i="9"/>
  <c r="C4" i="9"/>
  <c r="B4" i="9" s="1"/>
  <c r="C3" i="9"/>
  <c r="H3" i="9" s="1"/>
  <c r="E3" i="9" s="1"/>
  <c r="B3" i="9"/>
  <c r="H2" i="9"/>
  <c r="E2" i="9" s="1"/>
  <c r="C2" i="9"/>
  <c r="B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B6" i="8"/>
  <c r="M8" i="6"/>
  <c r="N8" i="6" s="1"/>
  <c r="L8" i="6"/>
  <c r="E8" i="6"/>
  <c r="A8" i="6"/>
  <c r="M7" i="6"/>
  <c r="N7" i="6" s="1"/>
  <c r="H7" i="6" s="1"/>
  <c r="I7" i="6" s="1"/>
  <c r="L7" i="6"/>
  <c r="E7" i="6"/>
  <c r="A7" i="6"/>
  <c r="N6" i="6"/>
  <c r="M6" i="6"/>
  <c r="H6" i="6" s="1"/>
  <c r="I6" i="6" s="1"/>
  <c r="L6" i="6"/>
  <c r="E6" i="6"/>
  <c r="A6" i="6"/>
  <c r="M5" i="6"/>
  <c r="N5" i="6" s="1"/>
  <c r="H5" i="6" s="1"/>
  <c r="I5" i="6" s="1"/>
  <c r="E5" i="6"/>
  <c r="A5" i="6"/>
  <c r="N4" i="6"/>
  <c r="M4" i="6"/>
  <c r="H4" i="6" s="1"/>
  <c r="I4" i="6" s="1"/>
  <c r="L4" i="6"/>
  <c r="E4" i="6"/>
  <c r="A4" i="6"/>
  <c r="N3" i="6"/>
  <c r="H3" i="6" s="1"/>
  <c r="M3" i="6"/>
  <c r="L3" i="6"/>
  <c r="G3" i="6" s="1"/>
  <c r="I3" i="6"/>
  <c r="E3" i="6"/>
  <c r="A3" i="6"/>
  <c r="M2" i="6"/>
  <c r="N2" i="6" s="1"/>
  <c r="E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M150" i="5"/>
  <c r="D5" i="6" s="1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J149" i="5"/>
  <c r="H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J145" i="4"/>
  <c r="H145" i="4"/>
  <c r="A145" i="4"/>
  <c r="S145" i="4" s="1"/>
  <c r="W143" i="4"/>
  <c r="AN143" i="5" s="1"/>
  <c r="T143" i="4"/>
  <c r="R143" i="4"/>
  <c r="P143" i="4"/>
  <c r="O143" i="4"/>
  <c r="L143" i="4"/>
  <c r="J143" i="4"/>
  <c r="H143" i="4"/>
  <c r="G143" i="4"/>
  <c r="F143" i="4"/>
  <c r="D143" i="4"/>
  <c r="B143" i="4"/>
  <c r="A143" i="4"/>
  <c r="Q143" i="4" s="1"/>
  <c r="W141" i="4"/>
  <c r="AN141" i="5" s="1"/>
  <c r="V141" i="4"/>
  <c r="AM141" i="5" s="1"/>
  <c r="T141" i="4"/>
  <c r="P141" i="4"/>
  <c r="O141" i="4"/>
  <c r="M141" i="4"/>
  <c r="L141" i="4"/>
  <c r="K141" i="4"/>
  <c r="G141" i="4"/>
  <c r="F141" i="4"/>
  <c r="D141" i="4"/>
  <c r="C141" i="4"/>
  <c r="B141" i="4"/>
  <c r="A141" i="4"/>
  <c r="Q141" i="4" s="1"/>
  <c r="T139" i="4"/>
  <c r="A139" i="4"/>
  <c r="W137" i="4"/>
  <c r="AN137" i="5" s="1"/>
  <c r="T137" i="4"/>
  <c r="R137" i="4"/>
  <c r="O137" i="4"/>
  <c r="N137" i="4"/>
  <c r="M137" i="4"/>
  <c r="H137" i="4"/>
  <c r="F137" i="4"/>
  <c r="E137" i="4"/>
  <c r="D137" i="4"/>
  <c r="A137" i="4"/>
  <c r="Q137" i="4" s="1"/>
  <c r="W135" i="4"/>
  <c r="AN135" i="5" s="1"/>
  <c r="T135" i="4"/>
  <c r="R135" i="4"/>
  <c r="P135" i="4"/>
  <c r="O135" i="4"/>
  <c r="J135" i="4"/>
  <c r="H135" i="4"/>
  <c r="F135" i="4"/>
  <c r="D135" i="4"/>
  <c r="B135" i="4"/>
  <c r="A135" i="4"/>
  <c r="Q135" i="4" s="1"/>
  <c r="V133" i="4"/>
  <c r="AM133" i="5" s="1"/>
  <c r="T133" i="4"/>
  <c r="R133" i="4"/>
  <c r="P133" i="4"/>
  <c r="O133" i="4"/>
  <c r="N133" i="4"/>
  <c r="L133" i="4"/>
  <c r="K133" i="4"/>
  <c r="H133" i="4"/>
  <c r="G133" i="4"/>
  <c r="F133" i="4"/>
  <c r="E133" i="4"/>
  <c r="C133" i="4"/>
  <c r="B133" i="4"/>
  <c r="A133" i="4"/>
  <c r="Q133" i="4" s="1"/>
  <c r="W131" i="4"/>
  <c r="AN131" i="5" s="1"/>
  <c r="T131" i="4"/>
  <c r="R131" i="4"/>
  <c r="L131" i="4"/>
  <c r="H131" i="4"/>
  <c r="G131" i="4"/>
  <c r="F131" i="4"/>
  <c r="A131" i="4"/>
  <c r="Q131" i="4" s="1"/>
  <c r="T129" i="4"/>
  <c r="S129" i="4"/>
  <c r="R129" i="4"/>
  <c r="J129" i="4"/>
  <c r="A129" i="4"/>
  <c r="W127" i="4"/>
  <c r="AN127" i="5" s="1"/>
  <c r="T127" i="4"/>
  <c r="J127" i="4"/>
  <c r="H127" i="4"/>
  <c r="A127" i="4"/>
  <c r="Q127" i="4" s="1"/>
  <c r="W125" i="4"/>
  <c r="AN125" i="5" s="1"/>
  <c r="V125" i="4"/>
  <c r="AM125" i="5" s="1"/>
  <c r="T125" i="4"/>
  <c r="P125" i="4"/>
  <c r="N125" i="4"/>
  <c r="M125" i="4"/>
  <c r="L125" i="4"/>
  <c r="G125" i="4"/>
  <c r="E125" i="4"/>
  <c r="D125" i="4"/>
  <c r="C125" i="4"/>
  <c r="A125" i="4"/>
  <c r="Q125" i="4" s="1"/>
  <c r="W124" i="4"/>
  <c r="AN124" i="5" s="1"/>
  <c r="R124" i="4"/>
  <c r="J124" i="4"/>
  <c r="F124" i="4"/>
  <c r="B124" i="4"/>
  <c r="A124" i="4"/>
  <c r="T124" i="4" s="1"/>
  <c r="T123" i="4"/>
  <c r="A123" i="4"/>
  <c r="W122" i="4"/>
  <c r="AN122" i="5" s="1"/>
  <c r="A122" i="4"/>
  <c r="P122" i="4" s="1"/>
  <c r="W121" i="4"/>
  <c r="AN121" i="5" s="1"/>
  <c r="V121" i="4"/>
  <c r="AM121" i="5" s="1"/>
  <c r="T121" i="4"/>
  <c r="P121" i="4"/>
  <c r="N121" i="4"/>
  <c r="M121" i="4"/>
  <c r="L121" i="4"/>
  <c r="G121" i="4"/>
  <c r="E121" i="4"/>
  <c r="D121" i="4"/>
  <c r="C121" i="4"/>
  <c r="A121" i="4"/>
  <c r="Q121" i="4" s="1"/>
  <c r="W120" i="4"/>
  <c r="AN120" i="5" s="1"/>
  <c r="R120" i="4"/>
  <c r="J120" i="4"/>
  <c r="F120" i="4"/>
  <c r="B120" i="4"/>
  <c r="A120" i="4"/>
  <c r="T120" i="4" s="1"/>
  <c r="T119" i="4"/>
  <c r="O119" i="4"/>
  <c r="H119" i="4"/>
  <c r="G119" i="4"/>
  <c r="D119" i="4"/>
  <c r="A119" i="4"/>
  <c r="R119" i="4" s="1"/>
  <c r="A118" i="4"/>
  <c r="T117" i="4"/>
  <c r="P117" i="4"/>
  <c r="O117" i="4"/>
  <c r="N117" i="4"/>
  <c r="G117" i="4"/>
  <c r="F117" i="4"/>
  <c r="E117" i="4"/>
  <c r="A117" i="4"/>
  <c r="Q117" i="4" s="1"/>
  <c r="R116" i="4"/>
  <c r="N116" i="4"/>
  <c r="J116" i="4"/>
  <c r="F116" i="4"/>
  <c r="B116" i="4"/>
  <c r="A116" i="4"/>
  <c r="T116" i="4" s="1"/>
  <c r="T115" i="4"/>
  <c r="O115" i="4"/>
  <c r="L115" i="4"/>
  <c r="H115" i="4"/>
  <c r="D115" i="4"/>
  <c r="A115" i="4"/>
  <c r="R115" i="4" s="1"/>
  <c r="W114" i="4"/>
  <c r="AN114" i="5" s="1"/>
  <c r="R114" i="4"/>
  <c r="N114" i="4"/>
  <c r="M114" i="4"/>
  <c r="J114" i="4"/>
  <c r="F114" i="4"/>
  <c r="E114" i="4"/>
  <c r="B114" i="4"/>
  <c r="A114" i="4"/>
  <c r="P114" i="4" s="1"/>
  <c r="W113" i="4"/>
  <c r="AN113" i="5" s="1"/>
  <c r="V113" i="4"/>
  <c r="AM113" i="5" s="1"/>
  <c r="T113" i="4"/>
  <c r="R113" i="4"/>
  <c r="P113" i="4"/>
  <c r="O113" i="4"/>
  <c r="M113" i="4"/>
  <c r="L113" i="4"/>
  <c r="K113" i="4"/>
  <c r="H113" i="4"/>
  <c r="G113" i="4"/>
  <c r="F113" i="4"/>
  <c r="D113" i="4"/>
  <c r="C113" i="4"/>
  <c r="B113" i="4"/>
  <c r="A113" i="4"/>
  <c r="Q113" i="4" s="1"/>
  <c r="A112" i="4"/>
  <c r="T111" i="4"/>
  <c r="D111" i="4"/>
  <c r="A111" i="4"/>
  <c r="N110" i="4"/>
  <c r="J110" i="4"/>
  <c r="F110" i="4"/>
  <c r="E110" i="4"/>
  <c r="A110" i="4"/>
  <c r="P110" i="4" s="1"/>
  <c r="T109" i="4"/>
  <c r="R109" i="4"/>
  <c r="P109" i="4"/>
  <c r="H109" i="4"/>
  <c r="G109" i="4"/>
  <c r="A109" i="4"/>
  <c r="Q109" i="4" s="1"/>
  <c r="W108" i="4"/>
  <c r="AN108" i="5" s="1"/>
  <c r="R108" i="4"/>
  <c r="J108" i="4"/>
  <c r="B108" i="4"/>
  <c r="A108" i="4"/>
  <c r="T108" i="4" s="1"/>
  <c r="T107" i="4"/>
  <c r="P107" i="4"/>
  <c r="O107" i="4"/>
  <c r="D107" i="4"/>
  <c r="A107" i="4"/>
  <c r="R107" i="4" s="1"/>
  <c r="V106" i="4"/>
  <c r="AM106" i="5" s="1"/>
  <c r="R106" i="4"/>
  <c r="A106" i="4"/>
  <c r="T105" i="4"/>
  <c r="E105" i="4"/>
  <c r="D105" i="4"/>
  <c r="A105" i="4"/>
  <c r="W105" i="4" s="1"/>
  <c r="AN105" i="5" s="1"/>
  <c r="A104" i="4"/>
  <c r="R104" i="4" s="1"/>
  <c r="T103" i="4"/>
  <c r="P103" i="4"/>
  <c r="H103" i="4"/>
  <c r="A103" i="4"/>
  <c r="R103" i="4" s="1"/>
  <c r="W102" i="4"/>
  <c r="AN102" i="5" s="1"/>
  <c r="V102" i="4"/>
  <c r="AM102" i="5" s="1"/>
  <c r="M102" i="4"/>
  <c r="A102" i="4"/>
  <c r="T101" i="4"/>
  <c r="P101" i="4"/>
  <c r="O101" i="4"/>
  <c r="N101" i="4"/>
  <c r="K101" i="4"/>
  <c r="G101" i="4"/>
  <c r="F101" i="4"/>
  <c r="E101" i="4"/>
  <c r="B101" i="4"/>
  <c r="A101" i="4"/>
  <c r="Q101" i="4" s="1"/>
  <c r="A100" i="4"/>
  <c r="T99" i="4"/>
  <c r="O99" i="4"/>
  <c r="A99" i="4"/>
  <c r="R98" i="4"/>
  <c r="M98" i="4"/>
  <c r="J98" i="4"/>
  <c r="G98" i="4"/>
  <c r="B98" i="4"/>
  <c r="A98" i="4"/>
  <c r="P98" i="4" s="1"/>
  <c r="T97" i="4"/>
  <c r="O97" i="4"/>
  <c r="K97" i="4"/>
  <c r="F97" i="4"/>
  <c r="B97" i="4"/>
  <c r="A97" i="4"/>
  <c r="S97" i="4" s="1"/>
  <c r="N96" i="4"/>
  <c r="I96" i="4"/>
  <c r="F96" i="4"/>
  <c r="C96" i="4"/>
  <c r="A96" i="4"/>
  <c r="W96" i="4" s="1"/>
  <c r="AN96" i="5" s="1"/>
  <c r="T95" i="4"/>
  <c r="L95" i="4"/>
  <c r="A95" i="4"/>
  <c r="P95" i="4" s="1"/>
  <c r="W94" i="4"/>
  <c r="AN94" i="5" s="1"/>
  <c r="V94" i="4"/>
  <c r="AM94" i="5" s="1"/>
  <c r="R94" i="4"/>
  <c r="N94" i="4"/>
  <c r="G94" i="4"/>
  <c r="F94" i="4"/>
  <c r="E94" i="4"/>
  <c r="B94" i="4"/>
  <c r="A94" i="4"/>
  <c r="P94" i="4" s="1"/>
  <c r="W93" i="4"/>
  <c r="AN93" i="5" s="1"/>
  <c r="T93" i="4"/>
  <c r="R93" i="4"/>
  <c r="P93" i="4"/>
  <c r="M93" i="4"/>
  <c r="H93" i="4"/>
  <c r="G93" i="4"/>
  <c r="E93" i="4"/>
  <c r="D93" i="4"/>
  <c r="B93" i="4"/>
  <c r="A93" i="4"/>
  <c r="Q93" i="4" s="1"/>
  <c r="R92" i="4"/>
  <c r="E92" i="4"/>
  <c r="A92" i="4"/>
  <c r="K92" i="4" s="1"/>
  <c r="A91" i="4"/>
  <c r="A90" i="4"/>
  <c r="T89" i="4"/>
  <c r="A89" i="4"/>
  <c r="Q88" i="4"/>
  <c r="N88" i="4"/>
  <c r="E88" i="4"/>
  <c r="A88" i="4"/>
  <c r="K88" i="4" s="1"/>
  <c r="A87" i="4"/>
  <c r="J86" i="4"/>
  <c r="I86" i="4"/>
  <c r="A86" i="4"/>
  <c r="T85" i="4"/>
  <c r="S85" i="4"/>
  <c r="H85" i="4"/>
  <c r="E85" i="4"/>
  <c r="A85" i="4"/>
  <c r="R85" i="4" s="1"/>
  <c r="A84" i="4"/>
  <c r="T83" i="4"/>
  <c r="K83" i="4"/>
  <c r="I83" i="4"/>
  <c r="H83" i="4"/>
  <c r="A83" i="4"/>
  <c r="L83" i="4" s="1"/>
  <c r="V82" i="4"/>
  <c r="AM82" i="5" s="1"/>
  <c r="J82" i="4"/>
  <c r="G82" i="4"/>
  <c r="A82" i="4"/>
  <c r="T81" i="4"/>
  <c r="R81" i="4"/>
  <c r="N81" i="4"/>
  <c r="J81" i="4"/>
  <c r="H81" i="4"/>
  <c r="E81" i="4"/>
  <c r="A81" i="4"/>
  <c r="S81" i="4" s="1"/>
  <c r="W80" i="4"/>
  <c r="AN80" i="5" s="1"/>
  <c r="Q80" i="4"/>
  <c r="N80" i="4"/>
  <c r="K80" i="4"/>
  <c r="J80" i="4"/>
  <c r="I80" i="4"/>
  <c r="C80" i="4"/>
  <c r="B80" i="4"/>
  <c r="A80" i="4"/>
  <c r="V80" i="4" s="1"/>
  <c r="AM80" i="5" s="1"/>
  <c r="T79" i="4"/>
  <c r="S79" i="4"/>
  <c r="K79" i="4"/>
  <c r="H79" i="4"/>
  <c r="G79" i="4"/>
  <c r="A79" i="4"/>
  <c r="I79" i="4" s="1"/>
  <c r="A78" i="4"/>
  <c r="T77" i="4"/>
  <c r="R77" i="4"/>
  <c r="N77" i="4"/>
  <c r="J77" i="4"/>
  <c r="H77" i="4"/>
  <c r="E77" i="4"/>
  <c r="A77" i="4"/>
  <c r="S77" i="4" s="1"/>
  <c r="R76" i="4"/>
  <c r="A76" i="4"/>
  <c r="K76" i="4" s="1"/>
  <c r="A75" i="4"/>
  <c r="Q75" i="4" s="1"/>
  <c r="F74" i="4"/>
  <c r="A74" i="4"/>
  <c r="T73" i="4"/>
  <c r="R73" i="4"/>
  <c r="P73" i="4"/>
  <c r="O73" i="4"/>
  <c r="N73" i="4"/>
  <c r="K73" i="4"/>
  <c r="H73" i="4"/>
  <c r="G73" i="4"/>
  <c r="F73" i="4"/>
  <c r="E73" i="4"/>
  <c r="C73" i="4"/>
  <c r="B73" i="4"/>
  <c r="A73" i="4"/>
  <c r="Q73" i="4" s="1"/>
  <c r="R72" i="4"/>
  <c r="Q72" i="4"/>
  <c r="J72" i="4"/>
  <c r="I72" i="4"/>
  <c r="B72" i="4"/>
  <c r="A72" i="4"/>
  <c r="K71" i="4"/>
  <c r="G71" i="4"/>
  <c r="A71" i="4"/>
  <c r="S71" i="4" s="1"/>
  <c r="V70" i="4"/>
  <c r="AM70" i="5" s="1"/>
  <c r="O70" i="4"/>
  <c r="G70" i="4"/>
  <c r="B70" i="4"/>
  <c r="A70" i="4"/>
  <c r="M70" i="4" s="1"/>
  <c r="W69" i="4"/>
  <c r="AN69" i="5" s="1"/>
  <c r="V69" i="4"/>
  <c r="AM69" i="5" s="1"/>
  <c r="T69" i="4"/>
  <c r="P69" i="4"/>
  <c r="O69" i="4"/>
  <c r="N69" i="4"/>
  <c r="M69" i="4"/>
  <c r="L69" i="4"/>
  <c r="K69" i="4"/>
  <c r="G69" i="4"/>
  <c r="F69" i="4"/>
  <c r="E69" i="4"/>
  <c r="D69" i="4"/>
  <c r="C69" i="4"/>
  <c r="B69" i="4"/>
  <c r="A69" i="4"/>
  <c r="Q69" i="4" s="1"/>
  <c r="K68" i="4"/>
  <c r="F68" i="4"/>
  <c r="A68" i="4"/>
  <c r="S68" i="4" s="1"/>
  <c r="T67" i="4"/>
  <c r="A67" i="4"/>
  <c r="E66" i="4"/>
  <c r="A66" i="4"/>
  <c r="T65" i="4"/>
  <c r="S65" i="4"/>
  <c r="N65" i="4"/>
  <c r="E65" i="4"/>
  <c r="D65" i="4"/>
  <c r="A65" i="4"/>
  <c r="M65" i="4" s="1"/>
  <c r="V64" i="4"/>
  <c r="AM64" i="5" s="1"/>
  <c r="I64" i="4"/>
  <c r="F64" i="4"/>
  <c r="A64" i="4"/>
  <c r="K64" i="4" s="1"/>
  <c r="Q63" i="4"/>
  <c r="P63" i="4"/>
  <c r="K63" i="4"/>
  <c r="I63" i="4"/>
  <c r="G63" i="4"/>
  <c r="D63" i="4"/>
  <c r="A63" i="4"/>
  <c r="M62" i="4"/>
  <c r="A62" i="4"/>
  <c r="T61" i="4"/>
  <c r="S61" i="4"/>
  <c r="L61" i="4"/>
  <c r="E61" i="4"/>
  <c r="A61" i="4"/>
  <c r="W61" i="4" s="1"/>
  <c r="AN61" i="5" s="1"/>
  <c r="V60" i="4"/>
  <c r="AM60" i="5" s="1"/>
  <c r="S60" i="4"/>
  <c r="N60" i="4"/>
  <c r="I60" i="4"/>
  <c r="F60" i="4"/>
  <c r="A60" i="4"/>
  <c r="K60" i="4" s="1"/>
  <c r="A59" i="4"/>
  <c r="T59" i="4" s="1"/>
  <c r="A58" i="4"/>
  <c r="M58" i="4" s="1"/>
  <c r="T57" i="4"/>
  <c r="A57" i="4"/>
  <c r="W57" i="4" s="1"/>
  <c r="AN57" i="5" s="1"/>
  <c r="V56" i="4"/>
  <c r="AM56" i="5" s="1"/>
  <c r="S56" i="4"/>
  <c r="I56" i="4"/>
  <c r="F56" i="4"/>
  <c r="A56" i="4"/>
  <c r="K56" i="4" s="1"/>
  <c r="Q55" i="4"/>
  <c r="P55" i="4"/>
  <c r="K55" i="4"/>
  <c r="I55" i="4"/>
  <c r="G55" i="4"/>
  <c r="D55" i="4"/>
  <c r="A55" i="4"/>
  <c r="L55" i="4" s="1"/>
  <c r="A54" i="4"/>
  <c r="M54" i="4" s="1"/>
  <c r="T53" i="4"/>
  <c r="S53" i="4"/>
  <c r="P53" i="4"/>
  <c r="L53" i="4"/>
  <c r="K53" i="4"/>
  <c r="H53" i="4"/>
  <c r="G53" i="4"/>
  <c r="E53" i="4"/>
  <c r="D53" i="4"/>
  <c r="A53" i="4"/>
  <c r="W53" i="4" s="1"/>
  <c r="AN53" i="5" s="1"/>
  <c r="S52" i="4"/>
  <c r="I52" i="4"/>
  <c r="A52" i="4"/>
  <c r="N52" i="4" s="1"/>
  <c r="T51" i="4"/>
  <c r="A51" i="4"/>
  <c r="P51" i="4" s="1"/>
  <c r="V50" i="4"/>
  <c r="AM50" i="5" s="1"/>
  <c r="A50" i="4"/>
  <c r="J50" i="4" s="1"/>
  <c r="V49" i="4"/>
  <c r="AM49" i="5" s="1"/>
  <c r="K49" i="4"/>
  <c r="A49" i="4"/>
  <c r="A48" i="4"/>
  <c r="M48" i="4" s="1"/>
  <c r="A47" i="4"/>
  <c r="T47" i="4" s="1"/>
  <c r="S46" i="4"/>
  <c r="E46" i="4"/>
  <c r="C46" i="4"/>
  <c r="A46" i="4"/>
  <c r="V46" i="4" s="1"/>
  <c r="AM46" i="5" s="1"/>
  <c r="T45" i="4"/>
  <c r="S45" i="4"/>
  <c r="O45" i="4"/>
  <c r="M45" i="4"/>
  <c r="I45" i="4"/>
  <c r="H45" i="4"/>
  <c r="E45" i="4"/>
  <c r="D45" i="4"/>
  <c r="C45" i="4"/>
  <c r="A45" i="4"/>
  <c r="V45" i="4" s="1"/>
  <c r="AM45" i="5" s="1"/>
  <c r="S44" i="4"/>
  <c r="J44" i="4"/>
  <c r="E44" i="4"/>
  <c r="A44" i="4"/>
  <c r="R44" i="4" s="1"/>
  <c r="T43" i="4"/>
  <c r="A43" i="4"/>
  <c r="S43" i="4" s="1"/>
  <c r="V42" i="4"/>
  <c r="AM42" i="5" s="1"/>
  <c r="O42" i="4"/>
  <c r="J42" i="4"/>
  <c r="F42" i="4"/>
  <c r="A42" i="4"/>
  <c r="S42" i="4" s="1"/>
  <c r="V41" i="4"/>
  <c r="AM41" i="5" s="1"/>
  <c r="Q41" i="4"/>
  <c r="P41" i="4"/>
  <c r="K41" i="4"/>
  <c r="G41" i="4"/>
  <c r="E41" i="4"/>
  <c r="A41" i="4"/>
  <c r="T41" i="4" s="1"/>
  <c r="F40" i="4"/>
  <c r="A40" i="4"/>
  <c r="V40" i="4" s="1"/>
  <c r="AM40" i="5" s="1"/>
  <c r="L3" i="4"/>
  <c r="V3" i="5" s="1"/>
  <c r="V2" i="4"/>
  <c r="A2" i="4"/>
  <c r="S1" i="4" a="1"/>
  <c r="S1" i="4" s="1"/>
  <c r="R1" i="4" a="1"/>
  <c r="R1" i="4"/>
  <c r="I3" i="2"/>
  <c r="L3" i="9" s="1"/>
  <c r="I2" i="2"/>
  <c r="L2" i="9" s="1"/>
  <c r="F13" i="1"/>
  <c r="F12" i="1"/>
  <c r="F11" i="1"/>
  <c r="F10" i="1"/>
  <c r="F9" i="1"/>
  <c r="F8" i="1"/>
  <c r="F7" i="1"/>
  <c r="F6" i="1"/>
  <c r="F5" i="1"/>
  <c r="F4" i="1"/>
  <c r="F3" i="1"/>
  <c r="C4" i="11" a="1"/>
  <c r="C13" i="11" a="1"/>
  <c r="C9" i="11" a="1"/>
  <c r="C7" i="11" a="1"/>
  <c r="C2" i="11" a="1"/>
  <c r="C6" i="11" a="1"/>
  <c r="C1" i="11" a="1"/>
  <c r="H250" i="9" a="1"/>
  <c r="C241" i="9" a="1"/>
  <c r="H237" i="9" a="1"/>
  <c r="C233" i="9" a="1"/>
  <c r="H229" i="9" a="1"/>
  <c r="C225" i="9" a="1"/>
  <c r="C249" i="9" a="1"/>
  <c r="H224" i="9" a="1"/>
  <c r="H248" i="9" a="1"/>
  <c r="C239" i="9" a="1"/>
  <c r="C231" i="9" a="1"/>
  <c r="C223" i="9" a="1"/>
  <c r="C242" i="9" a="1"/>
  <c r="H238" i="9" a="1"/>
  <c r="C234" i="9" a="1"/>
  <c r="H230" i="9" a="1"/>
  <c r="C226" i="9" a="1"/>
  <c r="C250" i="9" a="1"/>
  <c r="H241" i="9" a="1"/>
  <c r="C237" i="9" a="1"/>
  <c r="H233" i="9" a="1"/>
  <c r="C229" i="9" a="1"/>
  <c r="H225" i="9" a="1"/>
  <c r="H249" i="9" a="1"/>
  <c r="C224" i="9" a="1"/>
  <c r="C248" i="9" a="1"/>
  <c r="H247" i="9" a="1"/>
  <c r="C243" i="9" a="1"/>
  <c r="C235" i="9" a="1"/>
  <c r="H242" i="9" a="1"/>
  <c r="C238" i="9" a="1"/>
  <c r="H234" i="9" a="1"/>
  <c r="C230" i="9" a="1"/>
  <c r="H226" i="9" a="1"/>
  <c r="C219" i="9" a="1"/>
  <c r="C227" i="9" a="1"/>
  <c r="B1" i="7" a="1"/>
  <c r="A6" i="5" a="1"/>
  <c r="A7" i="5" a="1"/>
  <c r="A7" i="4" a="1"/>
  <c r="A6" i="4" a="1"/>
  <c r="Q102" i="9" l="1"/>
  <c r="P102" i="9" s="1"/>
  <c r="D102" i="9" a="1"/>
  <c r="D102" i="9" s="1"/>
  <c r="F102" i="9" s="1"/>
  <c r="G102" i="9" s="1"/>
  <c r="M102" i="9" a="1"/>
  <c r="M102" i="9" s="1"/>
  <c r="Q195" i="9"/>
  <c r="P195" i="9" s="1"/>
  <c r="M195" i="9" a="1"/>
  <c r="M195" i="9" s="1"/>
  <c r="D195" i="9" a="1"/>
  <c r="D195" i="9" s="1"/>
  <c r="F195" i="9" s="1"/>
  <c r="G195" i="9" s="1"/>
  <c r="H195" i="9"/>
  <c r="E195" i="9" s="1"/>
  <c r="M117" i="9" a="1"/>
  <c r="M117" i="9" s="1"/>
  <c r="I117" i="9" a="1"/>
  <c r="I117" i="9" s="1"/>
  <c r="D117" i="9" a="1"/>
  <c r="D117" i="9" s="1"/>
  <c r="F117" i="9" s="1"/>
  <c r="G117" i="9" s="1"/>
  <c r="Q117" i="9"/>
  <c r="P117" i="9" s="1"/>
  <c r="I134" i="9" a="1"/>
  <c r="I134" i="9" s="1"/>
  <c r="D134" i="9" a="1"/>
  <c r="D134" i="9" s="1"/>
  <c r="F134" i="9" s="1"/>
  <c r="G134" i="9" s="1"/>
  <c r="N134" i="9"/>
  <c r="H148" i="9"/>
  <c r="E148" i="9" s="1"/>
  <c r="M148" i="9" a="1"/>
  <c r="M148" i="9" s="1"/>
  <c r="J148" i="9"/>
  <c r="D148" i="9" a="1"/>
  <c r="D148" i="9" s="1"/>
  <c r="F148" i="9" s="1"/>
  <c r="G148" i="9" s="1"/>
  <c r="B73" i="9"/>
  <c r="H103" i="9"/>
  <c r="E103" i="9" s="1"/>
  <c r="B106" i="9"/>
  <c r="Q106" i="9"/>
  <c r="P106" i="9" s="1"/>
  <c r="J106" i="9"/>
  <c r="H106" i="9"/>
  <c r="E106" i="9" s="1"/>
  <c r="B111" i="9"/>
  <c r="B115" i="9"/>
  <c r="N117" i="9"/>
  <c r="I121" i="9" a="1"/>
  <c r="I121" i="9" s="1"/>
  <c r="B121" i="9"/>
  <c r="H126" i="9"/>
  <c r="E126" i="9" s="1"/>
  <c r="H134" i="9"/>
  <c r="E134" i="9" s="1"/>
  <c r="N148" i="9"/>
  <c r="I62" i="9" a="1"/>
  <c r="I62" i="9" s="1"/>
  <c r="D62" i="9" a="1"/>
  <c r="D62" i="9" s="1"/>
  <c r="F62" i="9" s="1"/>
  <c r="G62" i="9" s="1"/>
  <c r="B62" i="9"/>
  <c r="L62" i="9"/>
  <c r="J62" i="9"/>
  <c r="B42" i="9"/>
  <c r="H42" i="9"/>
  <c r="E42" i="9" s="1"/>
  <c r="Q118" i="9"/>
  <c r="P118" i="9" s="1"/>
  <c r="M118" i="9" a="1"/>
  <c r="M118" i="9" s="1"/>
  <c r="I118" i="9" a="1"/>
  <c r="I118" i="9" s="1"/>
  <c r="B118" i="9"/>
  <c r="B54" i="9"/>
  <c r="H54" i="9"/>
  <c r="E54" i="9" s="1"/>
  <c r="D118" i="9" a="1"/>
  <c r="D118" i="9" s="1"/>
  <c r="F118" i="9" s="1"/>
  <c r="G118" i="9" s="1"/>
  <c r="N151" i="9"/>
  <c r="M151" i="9" a="1"/>
  <c r="M151" i="9" s="1"/>
  <c r="D151" i="9" a="1"/>
  <c r="D151" i="9" s="1"/>
  <c r="F151" i="9" s="1"/>
  <c r="G151" i="9" s="1"/>
  <c r="I151" i="9"/>
  <c r="N159" i="9"/>
  <c r="M159" i="9" a="1"/>
  <c r="M159" i="9" s="1"/>
  <c r="D159" i="9" a="1"/>
  <c r="D159" i="9" s="1"/>
  <c r="F159" i="9" s="1"/>
  <c r="G159" i="9" s="1"/>
  <c r="I159" i="9"/>
  <c r="N178" i="9"/>
  <c r="Q178" i="9"/>
  <c r="P178" i="9" s="1"/>
  <c r="M178" i="9" a="1"/>
  <c r="M178" i="9" s="1"/>
  <c r="J178" i="9"/>
  <c r="D178" i="9" a="1"/>
  <c r="D178" i="9" s="1"/>
  <c r="F178" i="9" s="1"/>
  <c r="G178" i="9" s="1"/>
  <c r="H178" i="9"/>
  <c r="E178" i="9" s="1"/>
  <c r="B178" i="9"/>
  <c r="Q203" i="9"/>
  <c r="P203" i="9" s="1"/>
  <c r="N203" i="9"/>
  <c r="M203" i="9" a="1"/>
  <c r="M203" i="9" s="1"/>
  <c r="I203" i="9"/>
  <c r="H203" i="9"/>
  <c r="E203" i="9" s="1"/>
  <c r="D203" i="9" a="1"/>
  <c r="D203" i="9" s="1"/>
  <c r="F203" i="9" s="1"/>
  <c r="G203" i="9" s="1"/>
  <c r="B203" i="9"/>
  <c r="H34" i="9"/>
  <c r="E34" i="9" s="1"/>
  <c r="B34" i="9"/>
  <c r="D111" i="9" a="1"/>
  <c r="D111" i="9" s="1"/>
  <c r="F111" i="9" s="1"/>
  <c r="G111" i="9" s="1"/>
  <c r="N111" i="9"/>
  <c r="J111" i="9"/>
  <c r="H111" i="9"/>
  <c r="E111" i="9" s="1"/>
  <c r="Q111" i="9"/>
  <c r="P111" i="9" s="1"/>
  <c r="H115" i="9"/>
  <c r="E115" i="9" s="1"/>
  <c r="N115" i="9"/>
  <c r="I115" i="9" a="1"/>
  <c r="I115" i="9" s="1"/>
  <c r="D115" i="9" a="1"/>
  <c r="D115" i="9" s="1"/>
  <c r="F115" i="9" s="1"/>
  <c r="G115" i="9" s="1"/>
  <c r="Q115" i="9"/>
  <c r="P115" i="9" s="1"/>
  <c r="B50" i="9"/>
  <c r="H50" i="9"/>
  <c r="E50" i="9" s="1"/>
  <c r="J68" i="9"/>
  <c r="Q68" i="9"/>
  <c r="P68" i="9" s="1"/>
  <c r="B68" i="9"/>
  <c r="I91" i="9" a="1"/>
  <c r="I91" i="9" s="1"/>
  <c r="M91" i="9" a="1"/>
  <c r="M91" i="9" s="1"/>
  <c r="J91" i="9"/>
  <c r="B91" i="9"/>
  <c r="I101" i="9" a="1"/>
  <c r="I101" i="9" s="1"/>
  <c r="D101" i="9" a="1"/>
  <c r="D101" i="9" s="1"/>
  <c r="F101" i="9" s="1"/>
  <c r="G101" i="9" s="1"/>
  <c r="Q101" i="9"/>
  <c r="P101" i="9" s="1"/>
  <c r="B101" i="9"/>
  <c r="N101" i="9"/>
  <c r="H101" i="9"/>
  <c r="E101" i="9" s="1"/>
  <c r="M112" i="9" a="1"/>
  <c r="M112" i="9" s="1"/>
  <c r="N112" i="9"/>
  <c r="H112" i="9"/>
  <c r="E112" i="9" s="1"/>
  <c r="B112" i="9"/>
  <c r="J152" i="9"/>
  <c r="H152" i="9"/>
  <c r="E152" i="9" s="1"/>
  <c r="M152" i="9" a="1"/>
  <c r="M152" i="9" s="1"/>
  <c r="M88" i="9" a="1"/>
  <c r="M88" i="9" s="1"/>
  <c r="N88" i="9"/>
  <c r="H88" i="9"/>
  <c r="E88" i="9" s="1"/>
  <c r="B88" i="9"/>
  <c r="J63" i="9"/>
  <c r="I63" i="9" a="1"/>
  <c r="I63" i="9" s="1"/>
  <c r="D63" i="9" a="1"/>
  <c r="D63" i="9" s="1"/>
  <c r="F63" i="9" s="1"/>
  <c r="G63" i="9" s="1"/>
  <c r="I73" i="9" a="1"/>
  <c r="I73" i="9" s="1"/>
  <c r="M73" i="9" a="1"/>
  <c r="M73" i="9" s="1"/>
  <c r="H73" i="9"/>
  <c r="E73" i="9" s="1"/>
  <c r="D73" i="9" a="1"/>
  <c r="D73" i="9" s="1"/>
  <c r="F73" i="9" s="1"/>
  <c r="G73" i="9" s="1"/>
  <c r="Q73" i="9"/>
  <c r="P73" i="9" s="1"/>
  <c r="N73" i="9"/>
  <c r="L68" i="9"/>
  <c r="M74" i="9" a="1"/>
  <c r="M74" i="9" s="1"/>
  <c r="N74" i="9"/>
  <c r="H74" i="9"/>
  <c r="E74" i="9" s="1"/>
  <c r="B82" i="9"/>
  <c r="N82" i="9"/>
  <c r="J82" i="9"/>
  <c r="D91" i="9" a="1"/>
  <c r="D91" i="9" s="1"/>
  <c r="F91" i="9" s="1"/>
  <c r="G91" i="9" s="1"/>
  <c r="J101" i="9"/>
  <c r="D112" i="9" a="1"/>
  <c r="D112" i="9" s="1"/>
  <c r="F112" i="9" s="1"/>
  <c r="G112" i="9" s="1"/>
  <c r="H116" i="9"/>
  <c r="E116" i="9" s="1"/>
  <c r="N116" i="9"/>
  <c r="I116" i="9" a="1"/>
  <c r="I116" i="9" s="1"/>
  <c r="D116" i="9" a="1"/>
  <c r="D116" i="9" s="1"/>
  <c r="F116" i="9" s="1"/>
  <c r="G116" i="9" s="1"/>
  <c r="Q116" i="9"/>
  <c r="P116" i="9" s="1"/>
  <c r="I133" i="9" a="1"/>
  <c r="I133" i="9" s="1"/>
  <c r="M133" i="9" a="1"/>
  <c r="M133" i="9" s="1"/>
  <c r="H133" i="9"/>
  <c r="E133" i="9" s="1"/>
  <c r="D133" i="9" a="1"/>
  <c r="D133" i="9" s="1"/>
  <c r="F133" i="9" s="1"/>
  <c r="G133" i="9" s="1"/>
  <c r="Q133" i="9"/>
  <c r="P133" i="9" s="1"/>
  <c r="N133" i="9"/>
  <c r="Q182" i="9"/>
  <c r="P182" i="9" s="1"/>
  <c r="M182" i="9" a="1"/>
  <c r="M182" i="9" s="1"/>
  <c r="D182" i="9" a="1"/>
  <c r="D182" i="9" s="1"/>
  <c r="F182" i="9" s="1"/>
  <c r="G182" i="9" s="1"/>
  <c r="J182" i="9"/>
  <c r="M187" i="9" a="1"/>
  <c r="M187" i="9" s="1"/>
  <c r="D187" i="9" a="1"/>
  <c r="D187" i="9" s="1"/>
  <c r="F187" i="9" s="1"/>
  <c r="G187" i="9" s="1"/>
  <c r="H187" i="9"/>
  <c r="E187" i="9" s="1"/>
  <c r="L141" i="9"/>
  <c r="L1" i="9"/>
  <c r="H1" i="9"/>
  <c r="E1" i="9" s="1"/>
  <c r="B26" i="9"/>
  <c r="H26" i="9"/>
  <c r="E26" i="9" s="1"/>
  <c r="D87" i="9" a="1"/>
  <c r="D87" i="9" s="1"/>
  <c r="F87" i="9" s="1"/>
  <c r="G87" i="9" s="1"/>
  <c r="N87" i="9"/>
  <c r="J87" i="9"/>
  <c r="H87" i="9"/>
  <c r="E87" i="9" s="1"/>
  <c r="Q87" i="9"/>
  <c r="P87" i="9" s="1"/>
  <c r="I120" i="9" a="1"/>
  <c r="I120" i="9" s="1"/>
  <c r="N120" i="9"/>
  <c r="J120" i="9"/>
  <c r="H120" i="9"/>
  <c r="E120" i="9" s="1"/>
  <c r="B120" i="9"/>
  <c r="Q120" i="9"/>
  <c r="P120" i="9" s="1"/>
  <c r="M142" i="9" a="1"/>
  <c r="M142" i="9" s="1"/>
  <c r="H142" i="9"/>
  <c r="E142" i="9" s="1"/>
  <c r="D142" i="9" a="1"/>
  <c r="D142" i="9" s="1"/>
  <c r="F142" i="9" s="1"/>
  <c r="G142" i="9" s="1"/>
  <c r="N142" i="9"/>
  <c r="H18" i="9"/>
  <c r="E18" i="9" s="1"/>
  <c r="H22" i="9"/>
  <c r="E22" i="9" s="1"/>
  <c r="H30" i="9"/>
  <c r="E30" i="9" s="1"/>
  <c r="H38" i="9"/>
  <c r="E38" i="9" s="1"/>
  <c r="H46" i="9"/>
  <c r="E46" i="9" s="1"/>
  <c r="B51" i="9"/>
  <c r="B61" i="9"/>
  <c r="D64" i="9" a="1"/>
  <c r="D64" i="9" s="1"/>
  <c r="F64" i="9" s="1"/>
  <c r="G64" i="9" s="1"/>
  <c r="D85" i="9" a="1"/>
  <c r="D85" i="9" s="1"/>
  <c r="F85" i="9" s="1"/>
  <c r="G85" i="9" s="1"/>
  <c r="D86" i="9" a="1"/>
  <c r="D86" i="9" s="1"/>
  <c r="F86" i="9" s="1"/>
  <c r="G86" i="9" s="1"/>
  <c r="B93" i="9"/>
  <c r="Q93" i="9"/>
  <c r="P93" i="9" s="1"/>
  <c r="D99" i="9" a="1"/>
  <c r="D99" i="9" s="1"/>
  <c r="F99" i="9" s="1"/>
  <c r="G99" i="9" s="1"/>
  <c r="B107" i="9"/>
  <c r="D110" i="9" a="1"/>
  <c r="D110" i="9" s="1"/>
  <c r="F110" i="9" s="1"/>
  <c r="G110" i="9" s="1"/>
  <c r="D123" i="9" a="1"/>
  <c r="D123" i="9" s="1"/>
  <c r="F123" i="9" s="1"/>
  <c r="G123" i="9" s="1"/>
  <c r="D124" i="9" a="1"/>
  <c r="D124" i="9" s="1"/>
  <c r="F124" i="9" s="1"/>
  <c r="G124" i="9" s="1"/>
  <c r="B137" i="9"/>
  <c r="Q137" i="9"/>
  <c r="P137" i="9" s="1"/>
  <c r="D149" i="9" a="1"/>
  <c r="D149" i="9" s="1"/>
  <c r="F149" i="9" s="1"/>
  <c r="G149" i="9" s="1"/>
  <c r="D155" i="9" a="1"/>
  <c r="D155" i="9" s="1"/>
  <c r="F155" i="9" s="1"/>
  <c r="G155" i="9" s="1"/>
  <c r="D157" i="9" a="1"/>
  <c r="D157" i="9" s="1"/>
  <c r="F157" i="9" s="1"/>
  <c r="G157" i="9" s="1"/>
  <c r="D160" i="9" a="1"/>
  <c r="D160" i="9" s="1"/>
  <c r="F160" i="9" s="1"/>
  <c r="G160" i="9" s="1"/>
  <c r="M161" i="9" a="1"/>
  <c r="M161" i="9" s="1"/>
  <c r="M162" i="9" a="1"/>
  <c r="M162" i="9" s="1"/>
  <c r="D167" i="9" a="1"/>
  <c r="D167" i="9" s="1"/>
  <c r="F167" i="9" s="1"/>
  <c r="G167" i="9" s="1"/>
  <c r="D169" i="9" a="1"/>
  <c r="D169" i="9" s="1"/>
  <c r="F169" i="9" s="1"/>
  <c r="G169" i="9" s="1"/>
  <c r="M177" i="9" a="1"/>
  <c r="M177" i="9" s="1"/>
  <c r="D183" i="9" a="1"/>
  <c r="D183" i="9" s="1"/>
  <c r="F183" i="9" s="1"/>
  <c r="G183" i="9" s="1"/>
  <c r="I157" i="9"/>
  <c r="H160" i="9"/>
  <c r="E160" i="9" s="1"/>
  <c r="N161" i="9"/>
  <c r="D206" i="9" a="1"/>
  <c r="D206" i="9" s="1"/>
  <c r="F206" i="9" s="1"/>
  <c r="G206" i="9" s="1"/>
  <c r="H210" i="9"/>
  <c r="E210" i="9" s="1"/>
  <c r="B209" i="9"/>
  <c r="M210" i="9" a="1"/>
  <c r="M210" i="9" s="1"/>
  <c r="B198" i="9"/>
  <c r="M199" i="9" a="1"/>
  <c r="M199" i="9" s="1"/>
  <c r="N201" i="9"/>
  <c r="M206" i="9" a="1"/>
  <c r="M206" i="9" s="1"/>
  <c r="H51" i="9"/>
  <c r="E51" i="9" s="1"/>
  <c r="Q64" i="9"/>
  <c r="P64" i="9" s="1"/>
  <c r="Q75" i="9"/>
  <c r="P75" i="9" s="1"/>
  <c r="J77" i="9"/>
  <c r="Q83" i="9"/>
  <c r="P83" i="9" s="1"/>
  <c r="M85" i="9" a="1"/>
  <c r="M85" i="9" s="1"/>
  <c r="H93" i="9"/>
  <c r="E93" i="9" s="1"/>
  <c r="N98" i="9"/>
  <c r="M107" i="9" a="1"/>
  <c r="M107" i="9" s="1"/>
  <c r="N123" i="9"/>
  <c r="M124" i="9" a="1"/>
  <c r="M124" i="9" s="1"/>
  <c r="J129" i="9"/>
  <c r="Q135" i="9"/>
  <c r="P135" i="9" s="1"/>
  <c r="H137" i="9"/>
  <c r="E137" i="9" s="1"/>
  <c r="M143" i="9" a="1"/>
  <c r="M143" i="9" s="1"/>
  <c r="J155" i="9"/>
  <c r="M156" i="9" a="1"/>
  <c r="M156" i="9" s="1"/>
  <c r="D161" i="9" a="1"/>
  <c r="D161" i="9" s="1"/>
  <c r="F161" i="9" s="1"/>
  <c r="G161" i="9" s="1"/>
  <c r="D162" i="9" a="1"/>
  <c r="D162" i="9" s="1"/>
  <c r="F162" i="9" s="1"/>
  <c r="G162" i="9" s="1"/>
  <c r="D163" i="9" a="1"/>
  <c r="D163" i="9" s="1"/>
  <c r="F163" i="9" s="1"/>
  <c r="G163" i="9" s="1"/>
  <c r="M173" i="9" a="1"/>
  <c r="M173" i="9" s="1"/>
  <c r="H176" i="9"/>
  <c r="E176" i="9" s="1"/>
  <c r="D190" i="9" a="1"/>
  <c r="D190" i="9" s="1"/>
  <c r="F190" i="9" s="1"/>
  <c r="G190" i="9" s="1"/>
  <c r="D193" i="9" a="1"/>
  <c r="D193" i="9" s="1"/>
  <c r="F193" i="9" s="1"/>
  <c r="G193" i="9" s="1"/>
  <c r="N206" i="9"/>
  <c r="L51" i="9"/>
  <c r="D70" i="9" a="1"/>
  <c r="D70" i="9" s="1"/>
  <c r="F70" i="9" s="1"/>
  <c r="G70" i="9" s="1"/>
  <c r="D72" i="9" a="1"/>
  <c r="D72" i="9" s="1"/>
  <c r="F72" i="9" s="1"/>
  <c r="G72" i="9" s="1"/>
  <c r="M77" i="9" a="1"/>
  <c r="M77" i="9" s="1"/>
  <c r="D80" i="9" a="1"/>
  <c r="D80" i="9" s="1"/>
  <c r="F80" i="9" s="1"/>
  <c r="G80" i="9" s="1"/>
  <c r="N85" i="9"/>
  <c r="J93" i="9"/>
  <c r="D96" i="9" a="1"/>
  <c r="D96" i="9" s="1"/>
  <c r="F96" i="9" s="1"/>
  <c r="G96" i="9" s="1"/>
  <c r="Q98" i="9"/>
  <c r="P98" i="9" s="1"/>
  <c r="Q107" i="9"/>
  <c r="P107" i="9" s="1"/>
  <c r="M122" i="9" a="1"/>
  <c r="M122" i="9" s="1"/>
  <c r="Q123" i="9"/>
  <c r="P123" i="9" s="1"/>
  <c r="N124" i="9"/>
  <c r="M129" i="9" a="1"/>
  <c r="M129" i="9" s="1"/>
  <c r="D132" i="9" a="1"/>
  <c r="D132" i="9" s="1"/>
  <c r="F132" i="9" s="1"/>
  <c r="G132" i="9" s="1"/>
  <c r="J137" i="9"/>
  <c r="D150" i="9" a="1"/>
  <c r="D150" i="9" s="1"/>
  <c r="F150" i="9" s="1"/>
  <c r="G150" i="9" s="1"/>
  <c r="M155" i="9" a="1"/>
  <c r="M155" i="9" s="1"/>
  <c r="H161" i="9"/>
  <c r="E161" i="9" s="1"/>
  <c r="H162" i="9"/>
  <c r="E162" i="9" s="1"/>
  <c r="J163" i="9"/>
  <c r="D168" i="9" a="1"/>
  <c r="D168" i="9" s="1"/>
  <c r="F168" i="9" s="1"/>
  <c r="G168" i="9" s="1"/>
  <c r="D170" i="9" a="1"/>
  <c r="D170" i="9" s="1"/>
  <c r="F170" i="9" s="1"/>
  <c r="G170" i="9" s="1"/>
  <c r="J176" i="9"/>
  <c r="J184" i="9"/>
  <c r="M190" i="9" a="1"/>
  <c r="M190" i="9" s="1"/>
  <c r="D198" i="9" a="1"/>
  <c r="D198" i="9" s="1"/>
  <c r="F198" i="9" s="1"/>
  <c r="G198" i="9" s="1"/>
  <c r="J200" i="9"/>
  <c r="I205" i="9"/>
  <c r="M209" i="9" a="1"/>
  <c r="M209" i="9" s="1"/>
  <c r="I161" i="9"/>
  <c r="I162" i="9"/>
  <c r="M163" i="9" a="1"/>
  <c r="M163" i="9" s="1"/>
  <c r="M166" i="9" a="1"/>
  <c r="M166" i="9" s="1"/>
  <c r="J168" i="9"/>
  <c r="M170" i="9" a="1"/>
  <c r="M170" i="9" s="1"/>
  <c r="M184" i="9" a="1"/>
  <c r="M184" i="9" s="1"/>
  <c r="I198" i="9"/>
  <c r="D202" i="9" a="1"/>
  <c r="D202" i="9" s="1"/>
  <c r="F202" i="9" s="1"/>
  <c r="G202" i="9" s="1"/>
  <c r="N205" i="9"/>
  <c r="D207" i="9" a="1"/>
  <c r="D207" i="9" s="1"/>
  <c r="F207" i="9" s="1"/>
  <c r="G207" i="9" s="1"/>
  <c r="N209" i="9"/>
  <c r="N51" i="9"/>
  <c r="N93" i="9"/>
  <c r="N137" i="9"/>
  <c r="Q155" i="9"/>
  <c r="P155" i="9" s="1"/>
  <c r="J162" i="9"/>
  <c r="B210" i="9"/>
  <c r="M43" i="4"/>
  <c r="C44" i="4"/>
  <c r="Q44" i="4"/>
  <c r="O52" i="4"/>
  <c r="V53" i="4"/>
  <c r="AM53" i="5" s="1"/>
  <c r="L57" i="4"/>
  <c r="P59" i="4"/>
  <c r="K61" i="4"/>
  <c r="W66" i="4"/>
  <c r="AN66" i="5" s="1"/>
  <c r="Q66" i="4"/>
  <c r="G66" i="4"/>
  <c r="F66" i="4"/>
  <c r="R66" i="4"/>
  <c r="N105" i="4"/>
  <c r="Q89" i="4"/>
  <c r="O89" i="4"/>
  <c r="F89" i="4"/>
  <c r="V89" i="4"/>
  <c r="AM89" i="5" s="1"/>
  <c r="L89" i="4"/>
  <c r="C89" i="4"/>
  <c r="K89" i="4"/>
  <c r="B89" i="4"/>
  <c r="R89" i="4"/>
  <c r="H89" i="4"/>
  <c r="P89" i="4"/>
  <c r="G89" i="4"/>
  <c r="W89" i="4"/>
  <c r="AN89" i="5" s="1"/>
  <c r="R123" i="4"/>
  <c r="D123" i="4"/>
  <c r="P123" i="4"/>
  <c r="L123" i="4"/>
  <c r="H123" i="4"/>
  <c r="D51" i="4"/>
  <c r="O57" i="4"/>
  <c r="M61" i="4"/>
  <c r="T63" i="4"/>
  <c r="L63" i="4"/>
  <c r="S63" i="4"/>
  <c r="H65" i="4"/>
  <c r="J66" i="4"/>
  <c r="J85" i="4"/>
  <c r="K87" i="4"/>
  <c r="G87" i="4"/>
  <c r="D89" i="4"/>
  <c r="F90" i="4"/>
  <c r="M90" i="4"/>
  <c r="J90" i="4"/>
  <c r="R99" i="4"/>
  <c r="G99" i="4"/>
  <c r="P99" i="4"/>
  <c r="L99" i="4"/>
  <c r="H99" i="4"/>
  <c r="P102" i="4"/>
  <c r="E102" i="4"/>
  <c r="R102" i="4"/>
  <c r="N102" i="4"/>
  <c r="J102" i="4"/>
  <c r="F102" i="4"/>
  <c r="Q129" i="4"/>
  <c r="K129" i="4"/>
  <c r="B129" i="4"/>
  <c r="P129" i="4"/>
  <c r="G129" i="4"/>
  <c r="O129" i="4"/>
  <c r="F129" i="4"/>
  <c r="N129" i="4"/>
  <c r="E129" i="4"/>
  <c r="W129" i="4"/>
  <c r="AN129" i="5" s="1"/>
  <c r="M129" i="4"/>
  <c r="D129" i="4"/>
  <c r="V129" i="4"/>
  <c r="AM129" i="5" s="1"/>
  <c r="L129" i="4"/>
  <c r="C129" i="4"/>
  <c r="M57" i="4"/>
  <c r="Q40" i="4"/>
  <c r="C43" i="4"/>
  <c r="P43" i="4"/>
  <c r="F44" i="4"/>
  <c r="V44" i="4"/>
  <c r="AM44" i="5" s="1"/>
  <c r="G46" i="4"/>
  <c r="V52" i="4"/>
  <c r="AM52" i="5" s="1"/>
  <c r="C57" i="4"/>
  <c r="C59" i="4"/>
  <c r="S59" i="4"/>
  <c r="E42" i="4"/>
  <c r="D43" i="4"/>
  <c r="Q43" i="4"/>
  <c r="I44" i="4"/>
  <c r="P45" i="4"/>
  <c r="I46" i="4"/>
  <c r="E51" i="4"/>
  <c r="C52" i="4"/>
  <c r="M53" i="4"/>
  <c r="S55" i="4"/>
  <c r="D57" i="4"/>
  <c r="P57" i="4"/>
  <c r="D59" i="4"/>
  <c r="C61" i="4"/>
  <c r="O61" i="4"/>
  <c r="C63" i="4"/>
  <c r="J65" i="4"/>
  <c r="M66" i="4"/>
  <c r="N85" i="4"/>
  <c r="L87" i="4"/>
  <c r="E89" i="4"/>
  <c r="R90" i="4"/>
  <c r="D99" i="4"/>
  <c r="B102" i="4"/>
  <c r="P106" i="4"/>
  <c r="W106" i="4"/>
  <c r="AN106" i="5" s="1"/>
  <c r="B106" i="4"/>
  <c r="N106" i="4"/>
  <c r="M106" i="4"/>
  <c r="J106" i="4"/>
  <c r="F106" i="4"/>
  <c r="E106" i="4"/>
  <c r="R111" i="4"/>
  <c r="G111" i="4"/>
  <c r="P111" i="4"/>
  <c r="O111" i="4"/>
  <c r="L111" i="4"/>
  <c r="H111" i="4"/>
  <c r="H129" i="4"/>
  <c r="Q59" i="4"/>
  <c r="M46" i="4"/>
  <c r="I51" i="4"/>
  <c r="E52" i="4"/>
  <c r="C53" i="4"/>
  <c r="O53" i="4"/>
  <c r="C55" i="4"/>
  <c r="E57" i="4"/>
  <c r="S57" i="4"/>
  <c r="G59" i="4"/>
  <c r="B60" i="4"/>
  <c r="D61" i="4"/>
  <c r="P61" i="4"/>
  <c r="V66" i="4"/>
  <c r="AM66" i="5" s="1"/>
  <c r="S72" i="4"/>
  <c r="V72" i="4"/>
  <c r="AM72" i="5" s="1"/>
  <c r="C72" i="4"/>
  <c r="N72" i="4"/>
  <c r="K72" i="4"/>
  <c r="W72" i="4"/>
  <c r="AN72" i="5" s="1"/>
  <c r="E72" i="4"/>
  <c r="Q77" i="4"/>
  <c r="K77" i="4"/>
  <c r="B77" i="4"/>
  <c r="P77" i="4"/>
  <c r="G77" i="4"/>
  <c r="O77" i="4"/>
  <c r="F77" i="4"/>
  <c r="W77" i="4"/>
  <c r="AN77" i="5" s="1"/>
  <c r="M77" i="4"/>
  <c r="D77" i="4"/>
  <c r="V77" i="4"/>
  <c r="AM77" i="5" s="1"/>
  <c r="L77" i="4"/>
  <c r="C77" i="4"/>
  <c r="Q81" i="4"/>
  <c r="K81" i="4"/>
  <c r="B81" i="4"/>
  <c r="P81" i="4"/>
  <c r="G81" i="4"/>
  <c r="O81" i="4"/>
  <c r="F81" i="4"/>
  <c r="W81" i="4"/>
  <c r="AN81" i="5" s="1"/>
  <c r="M81" i="4"/>
  <c r="D81" i="4"/>
  <c r="V81" i="4"/>
  <c r="AM81" i="5" s="1"/>
  <c r="L81" i="4"/>
  <c r="C81" i="4"/>
  <c r="W82" i="4"/>
  <c r="AN82" i="5" s="1"/>
  <c r="M82" i="4"/>
  <c r="F82" i="4"/>
  <c r="E82" i="4"/>
  <c r="R82" i="4"/>
  <c r="Q82" i="4"/>
  <c r="S87" i="4"/>
  <c r="J89" i="4"/>
  <c r="Q97" i="4"/>
  <c r="V97" i="4"/>
  <c r="AM97" i="5" s="1"/>
  <c r="L97" i="4"/>
  <c r="C97" i="4"/>
  <c r="R97" i="4"/>
  <c r="H97" i="4"/>
  <c r="P97" i="4"/>
  <c r="G97" i="4"/>
  <c r="N97" i="4"/>
  <c r="E97" i="4"/>
  <c r="W97" i="4"/>
  <c r="AN97" i="5" s="1"/>
  <c r="M97" i="4"/>
  <c r="D97" i="4"/>
  <c r="Q105" i="4"/>
  <c r="O105" i="4"/>
  <c r="F105" i="4"/>
  <c r="V105" i="4"/>
  <c r="AM105" i="5" s="1"/>
  <c r="L105" i="4"/>
  <c r="C105" i="4"/>
  <c r="K105" i="4"/>
  <c r="B105" i="4"/>
  <c r="S105" i="4"/>
  <c r="J105" i="4"/>
  <c r="R105" i="4"/>
  <c r="H105" i="4"/>
  <c r="P105" i="4"/>
  <c r="G105" i="4"/>
  <c r="Q145" i="4"/>
  <c r="K145" i="4"/>
  <c r="B145" i="4"/>
  <c r="P145" i="4"/>
  <c r="G145" i="4"/>
  <c r="O145" i="4"/>
  <c r="F145" i="4"/>
  <c r="N145" i="4"/>
  <c r="E145" i="4"/>
  <c r="W145" i="4"/>
  <c r="AN145" i="5" s="1"/>
  <c r="M145" i="4"/>
  <c r="D145" i="4"/>
  <c r="V145" i="4"/>
  <c r="AM145" i="5" s="1"/>
  <c r="L145" i="4"/>
  <c r="C145" i="4"/>
  <c r="O43" i="4"/>
  <c r="V51" i="4"/>
  <c r="AM51" i="5" s="1"/>
  <c r="E43" i="4"/>
  <c r="G43" i="4"/>
  <c r="V43" i="4"/>
  <c r="AM43" i="5" s="1"/>
  <c r="M44" i="4"/>
  <c r="N46" i="4"/>
  <c r="K51" i="4"/>
  <c r="G57" i="4"/>
  <c r="I59" i="4"/>
  <c r="L67" i="4"/>
  <c r="H67" i="4"/>
  <c r="C67" i="4"/>
  <c r="K84" i="4"/>
  <c r="F84" i="4"/>
  <c r="M89" i="4"/>
  <c r="P118" i="4"/>
  <c r="F118" i="4"/>
  <c r="W118" i="4"/>
  <c r="AN118" i="5" s="1"/>
  <c r="R118" i="4"/>
  <c r="N118" i="4"/>
  <c r="J118" i="4"/>
  <c r="Q139" i="4"/>
  <c r="O139" i="4"/>
  <c r="B139" i="4"/>
  <c r="J139" i="4"/>
  <c r="W139" i="4"/>
  <c r="AN139" i="5" s="1"/>
  <c r="H139" i="4"/>
  <c r="G139" i="4"/>
  <c r="R139" i="4"/>
  <c r="F139" i="4"/>
  <c r="P139" i="4"/>
  <c r="D139" i="4"/>
  <c r="H57" i="4"/>
  <c r="V57" i="4"/>
  <c r="AM57" i="5" s="1"/>
  <c r="K59" i="4"/>
  <c r="G61" i="4"/>
  <c r="I67" i="4"/>
  <c r="S84" i="4"/>
  <c r="N89" i="4"/>
  <c r="Q100" i="4"/>
  <c r="R100" i="4"/>
  <c r="T112" i="4"/>
  <c r="F112" i="4"/>
  <c r="W112" i="4"/>
  <c r="AN112" i="5" s="1"/>
  <c r="R112" i="4"/>
  <c r="N112" i="4"/>
  <c r="J112" i="4"/>
  <c r="B118" i="4"/>
  <c r="L139" i="4"/>
  <c r="I43" i="4"/>
  <c r="N44" i="4"/>
  <c r="O46" i="4"/>
  <c r="O51" i="4"/>
  <c r="J52" i="4"/>
  <c r="Q42" i="4"/>
  <c r="K43" i="4"/>
  <c r="B44" i="4"/>
  <c r="O44" i="4"/>
  <c r="B46" i="4"/>
  <c r="R46" i="4"/>
  <c r="K57" i="4"/>
  <c r="L59" i="4"/>
  <c r="H61" i="4"/>
  <c r="V61" i="4"/>
  <c r="AM61" i="5" s="1"/>
  <c r="R65" i="4"/>
  <c r="V65" i="4"/>
  <c r="AM65" i="5" s="1"/>
  <c r="K65" i="4"/>
  <c r="B65" i="4"/>
  <c r="P65" i="4"/>
  <c r="G65" i="4"/>
  <c r="O65" i="4"/>
  <c r="F65" i="4"/>
  <c r="W65" i="4"/>
  <c r="AN65" i="5" s="1"/>
  <c r="L65" i="4"/>
  <c r="C65" i="4"/>
  <c r="P67" i="4"/>
  <c r="J74" i="4"/>
  <c r="R74" i="4"/>
  <c r="M74" i="4"/>
  <c r="Q85" i="4"/>
  <c r="K85" i="4"/>
  <c r="B85" i="4"/>
  <c r="P85" i="4"/>
  <c r="G85" i="4"/>
  <c r="O85" i="4"/>
  <c r="F85" i="4"/>
  <c r="W85" i="4"/>
  <c r="AN85" i="5" s="1"/>
  <c r="M85" i="4"/>
  <c r="D85" i="4"/>
  <c r="V85" i="4"/>
  <c r="AM85" i="5" s="1"/>
  <c r="L85" i="4"/>
  <c r="C85" i="4"/>
  <c r="M86" i="4"/>
  <c r="O86" i="4"/>
  <c r="G86" i="4"/>
  <c r="B86" i="4"/>
  <c r="W86" i="4"/>
  <c r="AN86" i="5" s="1"/>
  <c r="V86" i="4"/>
  <c r="AM86" i="5" s="1"/>
  <c r="S89" i="4"/>
  <c r="J97" i="4"/>
  <c r="I100" i="4"/>
  <c r="M105" i="4"/>
  <c r="B112" i="4"/>
  <c r="N139" i="4"/>
  <c r="R145" i="4"/>
  <c r="B64" i="4"/>
  <c r="L79" i="4"/>
  <c r="P83" i="4"/>
  <c r="B88" i="4"/>
  <c r="V88" i="4"/>
  <c r="AM88" i="5" s="1"/>
  <c r="K93" i="4"/>
  <c r="J94" i="4"/>
  <c r="D95" i="4"/>
  <c r="J96" i="4"/>
  <c r="N98" i="4"/>
  <c r="H101" i="4"/>
  <c r="R101" i="4"/>
  <c r="D103" i="4"/>
  <c r="J104" i="4"/>
  <c r="B109" i="4"/>
  <c r="K109" i="4"/>
  <c r="M110" i="4"/>
  <c r="E113" i="4"/>
  <c r="N113" i="4"/>
  <c r="V114" i="4"/>
  <c r="AM114" i="5" s="1"/>
  <c r="P115" i="4"/>
  <c r="W116" i="4"/>
  <c r="AN116" i="5" s="1"/>
  <c r="H117" i="4"/>
  <c r="R117" i="4"/>
  <c r="L119" i="4"/>
  <c r="N120" i="4"/>
  <c r="F121" i="4"/>
  <c r="O121" i="4"/>
  <c r="B122" i="4"/>
  <c r="N124" i="4"/>
  <c r="F125" i="4"/>
  <c r="O125" i="4"/>
  <c r="B127" i="4"/>
  <c r="N127" i="4"/>
  <c r="J131" i="4"/>
  <c r="J133" i="4"/>
  <c r="S133" i="4"/>
  <c r="G135" i="4"/>
  <c r="G137" i="4"/>
  <c r="P137" i="4"/>
  <c r="E141" i="4"/>
  <c r="N141" i="4"/>
  <c r="N143" i="4"/>
  <c r="J73" i="4"/>
  <c r="S73" i="4"/>
  <c r="Q79" i="4"/>
  <c r="C88" i="4"/>
  <c r="W88" i="4"/>
  <c r="AN88" i="5" s="1"/>
  <c r="C93" i="4"/>
  <c r="L93" i="4"/>
  <c r="V93" i="4"/>
  <c r="AM93" i="5" s="1"/>
  <c r="M94" i="4"/>
  <c r="I95" i="4"/>
  <c r="K96" i="4"/>
  <c r="O98" i="4"/>
  <c r="J101" i="4"/>
  <c r="S101" i="4"/>
  <c r="G103" i="4"/>
  <c r="C109" i="4"/>
  <c r="L109" i="4"/>
  <c r="V109" i="4"/>
  <c r="AM109" i="5" s="1"/>
  <c r="J117" i="4"/>
  <c r="S117" i="4"/>
  <c r="F122" i="4"/>
  <c r="C127" i="4"/>
  <c r="O127" i="4"/>
  <c r="G107" i="4"/>
  <c r="F108" i="4"/>
  <c r="D109" i="4"/>
  <c r="M109" i="4"/>
  <c r="W109" i="4"/>
  <c r="AN109" i="5" s="1"/>
  <c r="R110" i="4"/>
  <c r="B117" i="4"/>
  <c r="K117" i="4"/>
  <c r="P119" i="4"/>
  <c r="H121" i="4"/>
  <c r="R121" i="4"/>
  <c r="J122" i="4"/>
  <c r="H125" i="4"/>
  <c r="R125" i="4"/>
  <c r="D127" i="4"/>
  <c r="P127" i="4"/>
  <c r="N131" i="4"/>
  <c r="J137" i="4"/>
  <c r="S137" i="4"/>
  <c r="N64" i="4"/>
  <c r="H69" i="4"/>
  <c r="R69" i="4"/>
  <c r="I70" i="4"/>
  <c r="L71" i="4"/>
  <c r="L73" i="4"/>
  <c r="V73" i="4"/>
  <c r="AM73" i="5" s="1"/>
  <c r="I88" i="4"/>
  <c r="N93" i="4"/>
  <c r="O94" i="4"/>
  <c r="S96" i="4"/>
  <c r="E98" i="4"/>
  <c r="V98" i="4"/>
  <c r="AM98" i="5" s="1"/>
  <c r="C101" i="4"/>
  <c r="L101" i="4"/>
  <c r="V101" i="4"/>
  <c r="AM101" i="5" s="1"/>
  <c r="L103" i="4"/>
  <c r="H107" i="4"/>
  <c r="E109" i="4"/>
  <c r="N109" i="4"/>
  <c r="V110" i="4"/>
  <c r="AM110" i="5" s="1"/>
  <c r="C117" i="4"/>
  <c r="L117" i="4"/>
  <c r="V117" i="4"/>
  <c r="AM117" i="5" s="1"/>
  <c r="J121" i="4"/>
  <c r="S121" i="4"/>
  <c r="N122" i="4"/>
  <c r="J125" i="4"/>
  <c r="S125" i="4"/>
  <c r="F127" i="4"/>
  <c r="R127" i="4"/>
  <c r="B131" i="4"/>
  <c r="O131" i="4"/>
  <c r="D133" i="4"/>
  <c r="M133" i="4"/>
  <c r="W133" i="4"/>
  <c r="AN133" i="5" s="1"/>
  <c r="L135" i="4"/>
  <c r="B137" i="4"/>
  <c r="K137" i="4"/>
  <c r="H141" i="4"/>
  <c r="R141" i="4"/>
  <c r="S64" i="4"/>
  <c r="J69" i="4"/>
  <c r="S69" i="4"/>
  <c r="J70" i="4"/>
  <c r="D73" i="4"/>
  <c r="M73" i="4"/>
  <c r="W73" i="4"/>
  <c r="AN73" i="5" s="1"/>
  <c r="E76" i="4"/>
  <c r="D79" i="4"/>
  <c r="C83" i="4"/>
  <c r="J88" i="4"/>
  <c r="F93" i="4"/>
  <c r="O93" i="4"/>
  <c r="F98" i="4"/>
  <c r="W98" i="4"/>
  <c r="AN98" i="5" s="1"/>
  <c r="D101" i="4"/>
  <c r="M101" i="4"/>
  <c r="W101" i="4"/>
  <c r="AN101" i="5" s="1"/>
  <c r="O103" i="4"/>
  <c r="L107" i="4"/>
  <c r="N108" i="4"/>
  <c r="F109" i="4"/>
  <c r="O109" i="4"/>
  <c r="B110" i="4"/>
  <c r="W110" i="4"/>
  <c r="AN110" i="5" s="1"/>
  <c r="J113" i="4"/>
  <c r="S113" i="4"/>
  <c r="G115" i="4"/>
  <c r="D117" i="4"/>
  <c r="M117" i="4"/>
  <c r="W117" i="4"/>
  <c r="AN117" i="5" s="1"/>
  <c r="B121" i="4"/>
  <c r="K121" i="4"/>
  <c r="R122" i="4"/>
  <c r="B125" i="4"/>
  <c r="K125" i="4"/>
  <c r="G127" i="4"/>
  <c r="D131" i="4"/>
  <c r="P131" i="4"/>
  <c r="N135" i="4"/>
  <c r="C137" i="4"/>
  <c r="L137" i="4"/>
  <c r="V137" i="4"/>
  <c r="AM137" i="5" s="1"/>
  <c r="J141" i="4"/>
  <c r="S141" i="4"/>
  <c r="W70" i="4"/>
  <c r="AN70" i="5" s="1"/>
  <c r="R88" i="4"/>
  <c r="J93" i="4"/>
  <c r="S93" i="4"/>
  <c r="J109" i="4"/>
  <c r="S109" i="4"/>
  <c r="L127" i="4"/>
  <c r="H8" i="6"/>
  <c r="G7" i="6"/>
  <c r="J6" i="11"/>
  <c r="H2" i="6"/>
  <c r="J9" i="11"/>
  <c r="J2" i="11"/>
  <c r="J4" i="11"/>
  <c r="J15" i="11"/>
  <c r="A6" i="4"/>
  <c r="A7" i="4"/>
  <c r="A7" i="5"/>
  <c r="A6" i="5"/>
  <c r="B1" i="7"/>
  <c r="C227" i="9"/>
  <c r="C219" i="9"/>
  <c r="H226" i="9"/>
  <c r="Q226" i="9" s="1"/>
  <c r="P226" i="9" s="1"/>
  <c r="C230" i="9"/>
  <c r="H234" i="9"/>
  <c r="Q234" i="9" s="1"/>
  <c r="P234" i="9" s="1"/>
  <c r="C238" i="9"/>
  <c r="H242" i="9"/>
  <c r="Q242" i="9" s="1"/>
  <c r="P242" i="9" s="1"/>
  <c r="C235" i="9"/>
  <c r="C243" i="9"/>
  <c r="H247" i="9"/>
  <c r="Q247" i="9" s="1"/>
  <c r="P247" i="9" s="1"/>
  <c r="C248" i="9"/>
  <c r="C224" i="9"/>
  <c r="H249" i="9"/>
  <c r="Q249" i="9" s="1"/>
  <c r="P249" i="9" s="1"/>
  <c r="H225" i="9"/>
  <c r="Q225" i="9" s="1"/>
  <c r="P225" i="9" s="1"/>
  <c r="C229" i="9"/>
  <c r="H233" i="9"/>
  <c r="Q233" i="9" s="1"/>
  <c r="P233" i="9" s="1"/>
  <c r="C237" i="9"/>
  <c r="H241" i="9"/>
  <c r="Q241" i="9" s="1"/>
  <c r="P241" i="9" s="1"/>
  <c r="C250" i="9"/>
  <c r="C226" i="9"/>
  <c r="H230" i="9"/>
  <c r="Q230" i="9" s="1"/>
  <c r="P230" i="9" s="1"/>
  <c r="C234" i="9"/>
  <c r="H238" i="9"/>
  <c r="Q238" i="9" s="1"/>
  <c r="P238" i="9" s="1"/>
  <c r="C242" i="9"/>
  <c r="C223" i="9"/>
  <c r="C231" i="9"/>
  <c r="C239" i="9"/>
  <c r="H248" i="9"/>
  <c r="Q248" i="9" s="1"/>
  <c r="P248" i="9" s="1"/>
  <c r="H224" i="9"/>
  <c r="Q224" i="9" s="1"/>
  <c r="P224" i="9" s="1"/>
  <c r="C249" i="9"/>
  <c r="C225" i="9"/>
  <c r="H229" i="9"/>
  <c r="Q229" i="9" s="1"/>
  <c r="P229" i="9" s="1"/>
  <c r="C233" i="9"/>
  <c r="H237" i="9"/>
  <c r="Q237" i="9" s="1"/>
  <c r="P237" i="9" s="1"/>
  <c r="C241" i="9"/>
  <c r="H250" i="9"/>
  <c r="Q250" i="9" s="1"/>
  <c r="P250" i="9" s="1"/>
  <c r="C1" i="11"/>
  <c r="B1" i="11" s="1"/>
  <c r="C6" i="11"/>
  <c r="B6" i="11" s="1"/>
  <c r="C2" i="11"/>
  <c r="B2" i="11" s="1"/>
  <c r="C7" i="11"/>
  <c r="B7" i="11" s="1"/>
  <c r="C9" i="11"/>
  <c r="B9" i="11" s="1"/>
  <c r="C13" i="11"/>
  <c r="B13" i="11" s="1"/>
  <c r="C4" i="11"/>
  <c r="B4" i="11" s="1"/>
  <c r="R91" i="4"/>
  <c r="J91" i="4"/>
  <c r="B91" i="4"/>
  <c r="W91" i="4"/>
  <c r="AN91" i="5" s="1"/>
  <c r="N91" i="4"/>
  <c r="F91" i="4"/>
  <c r="V91" i="4"/>
  <c r="AM91" i="5" s="1"/>
  <c r="M91" i="4"/>
  <c r="E91" i="4"/>
  <c r="P78" i="4"/>
  <c r="H78" i="4"/>
  <c r="T78" i="4"/>
  <c r="L78" i="4"/>
  <c r="D78" i="4"/>
  <c r="S78" i="4"/>
  <c r="K78" i="4"/>
  <c r="C78" i="4"/>
  <c r="M3" i="4"/>
  <c r="G40" i="4"/>
  <c r="R40" i="4"/>
  <c r="P50" i="4"/>
  <c r="H50" i="4"/>
  <c r="T50" i="4"/>
  <c r="L50" i="4"/>
  <c r="D50" i="4"/>
  <c r="K50" i="4"/>
  <c r="W50" i="4"/>
  <c r="AN50" i="5" s="1"/>
  <c r="P58" i="4"/>
  <c r="H58" i="4"/>
  <c r="T58" i="4"/>
  <c r="L58" i="4"/>
  <c r="D58" i="4"/>
  <c r="S58" i="4"/>
  <c r="K58" i="4"/>
  <c r="C58" i="4"/>
  <c r="N58" i="4"/>
  <c r="P62" i="4"/>
  <c r="H62" i="4"/>
  <c r="T62" i="4"/>
  <c r="L62" i="4"/>
  <c r="D62" i="4"/>
  <c r="S62" i="4"/>
  <c r="K62" i="4"/>
  <c r="C62" i="4"/>
  <c r="N62" i="4"/>
  <c r="T68" i="4"/>
  <c r="L68" i="4"/>
  <c r="D68" i="4"/>
  <c r="P68" i="4"/>
  <c r="H68" i="4"/>
  <c r="O68" i="4"/>
  <c r="G68" i="4"/>
  <c r="M68" i="4"/>
  <c r="C75" i="4"/>
  <c r="P75" i="4"/>
  <c r="F76" i="4"/>
  <c r="S76" i="4"/>
  <c r="B78" i="4"/>
  <c r="O78" i="4"/>
  <c r="T84" i="4"/>
  <c r="L84" i="4"/>
  <c r="D84" i="4"/>
  <c r="P84" i="4"/>
  <c r="H84" i="4"/>
  <c r="O84" i="4"/>
  <c r="G84" i="4"/>
  <c r="M84" i="4"/>
  <c r="C91" i="4"/>
  <c r="P91" i="4"/>
  <c r="F92" i="4"/>
  <c r="S92" i="4"/>
  <c r="T104" i="4"/>
  <c r="L104" i="4"/>
  <c r="D104" i="4"/>
  <c r="S104" i="4"/>
  <c r="K104" i="4"/>
  <c r="C104" i="4"/>
  <c r="P104" i="4"/>
  <c r="H104" i="4"/>
  <c r="O104" i="4"/>
  <c r="G104" i="4"/>
  <c r="V104" i="4"/>
  <c r="AM104" i="5" s="1"/>
  <c r="M104" i="4"/>
  <c r="E104" i="4"/>
  <c r="W104" i="4"/>
  <c r="AN104" i="5" s="1"/>
  <c r="O91" i="4"/>
  <c r="C47" i="4"/>
  <c r="M47" i="4"/>
  <c r="B48" i="4"/>
  <c r="P54" i="4"/>
  <c r="H54" i="4"/>
  <c r="T54" i="4"/>
  <c r="L54" i="4"/>
  <c r="D54" i="4"/>
  <c r="S54" i="4"/>
  <c r="K54" i="4"/>
  <c r="C54" i="4"/>
  <c r="N54" i="4"/>
  <c r="R51" i="4"/>
  <c r="J51" i="4"/>
  <c r="B51" i="4"/>
  <c r="W51" i="4"/>
  <c r="AN51" i="5" s="1"/>
  <c r="N51" i="4"/>
  <c r="F51" i="4"/>
  <c r="L51" i="4"/>
  <c r="B62" i="4"/>
  <c r="O62" i="4"/>
  <c r="J64" i="4"/>
  <c r="W64" i="4"/>
  <c r="AN64" i="5" s="1"/>
  <c r="R71" i="4"/>
  <c r="J71" i="4"/>
  <c r="B71" i="4"/>
  <c r="W71" i="4"/>
  <c r="AN71" i="5" s="1"/>
  <c r="N71" i="4"/>
  <c r="F71" i="4"/>
  <c r="V71" i="4"/>
  <c r="AM71" i="5" s="1"/>
  <c r="M71" i="4"/>
  <c r="E71" i="4"/>
  <c r="O71" i="4"/>
  <c r="P74" i="4"/>
  <c r="H74" i="4"/>
  <c r="T74" i="4"/>
  <c r="L74" i="4"/>
  <c r="D74" i="4"/>
  <c r="S74" i="4"/>
  <c r="K74" i="4"/>
  <c r="C74" i="4"/>
  <c r="N74" i="4"/>
  <c r="D75" i="4"/>
  <c r="I76" i="4"/>
  <c r="V76" i="4"/>
  <c r="AM76" i="5" s="1"/>
  <c r="E78" i="4"/>
  <c r="Q78" i="4"/>
  <c r="B84" i="4"/>
  <c r="N84" i="4"/>
  <c r="R87" i="4"/>
  <c r="J87" i="4"/>
  <c r="B87" i="4"/>
  <c r="W87" i="4"/>
  <c r="AN87" i="5" s="1"/>
  <c r="N87" i="4"/>
  <c r="F87" i="4"/>
  <c r="V87" i="4"/>
  <c r="AM87" i="5" s="1"/>
  <c r="M87" i="4"/>
  <c r="E87" i="4"/>
  <c r="O87" i="4"/>
  <c r="P90" i="4"/>
  <c r="H90" i="4"/>
  <c r="T90" i="4"/>
  <c r="L90" i="4"/>
  <c r="D90" i="4"/>
  <c r="S90" i="4"/>
  <c r="K90" i="4"/>
  <c r="C90" i="4"/>
  <c r="N90" i="4"/>
  <c r="D91" i="4"/>
  <c r="Q91" i="4"/>
  <c r="I92" i="4"/>
  <c r="V92" i="4"/>
  <c r="AM92" i="5" s="1"/>
  <c r="O95" i="4"/>
  <c r="T100" i="4"/>
  <c r="L100" i="4"/>
  <c r="D100" i="4"/>
  <c r="S100" i="4"/>
  <c r="K100" i="4"/>
  <c r="C100" i="4"/>
  <c r="P100" i="4"/>
  <c r="H100" i="4"/>
  <c r="O100" i="4"/>
  <c r="G100" i="4"/>
  <c r="V100" i="4"/>
  <c r="AM100" i="5" s="1"/>
  <c r="M100" i="4"/>
  <c r="E100" i="4"/>
  <c r="W100" i="4"/>
  <c r="AN100" i="5" s="1"/>
  <c r="B104" i="4"/>
  <c r="T48" i="4"/>
  <c r="L48" i="4"/>
  <c r="D48" i="4"/>
  <c r="P48" i="4"/>
  <c r="H48" i="4"/>
  <c r="K48" i="4"/>
  <c r="W48" i="4"/>
  <c r="AN48" i="5" s="1"/>
  <c r="R75" i="4"/>
  <c r="J75" i="4"/>
  <c r="B75" i="4"/>
  <c r="W75" i="4"/>
  <c r="AN75" i="5" s="1"/>
  <c r="N75" i="4"/>
  <c r="F75" i="4"/>
  <c r="V75" i="4"/>
  <c r="AM75" i="5" s="1"/>
  <c r="M75" i="4"/>
  <c r="E75" i="4"/>
  <c r="O75" i="4"/>
  <c r="N78" i="4"/>
  <c r="W49" i="4"/>
  <c r="AN49" i="5" s="1"/>
  <c r="N49" i="4"/>
  <c r="F49" i="4"/>
  <c r="R49" i="4"/>
  <c r="J49" i="4"/>
  <c r="B49" i="4"/>
  <c r="L49" i="4"/>
  <c r="I40" i="4"/>
  <c r="S40" i="4"/>
  <c r="H41" i="4"/>
  <c r="S41" i="4"/>
  <c r="G42" i="4"/>
  <c r="R42" i="4"/>
  <c r="D47" i="4"/>
  <c r="O47" i="4"/>
  <c r="C48" i="4"/>
  <c r="N48" i="4"/>
  <c r="C49" i="4"/>
  <c r="M49" i="4"/>
  <c r="B50" i="4"/>
  <c r="M50" i="4"/>
  <c r="T52" i="4"/>
  <c r="L52" i="4"/>
  <c r="D52" i="4"/>
  <c r="P52" i="4"/>
  <c r="H52" i="4"/>
  <c r="K52" i="4"/>
  <c r="W52" i="4"/>
  <c r="AN52" i="5" s="1"/>
  <c r="B54" i="4"/>
  <c r="O54" i="4"/>
  <c r="J56" i="4"/>
  <c r="W56" i="4"/>
  <c r="AN56" i="5" s="1"/>
  <c r="B58" i="4"/>
  <c r="O58" i="4"/>
  <c r="J60" i="4"/>
  <c r="W60" i="4"/>
  <c r="AN60" i="5" s="1"/>
  <c r="K67" i="4"/>
  <c r="B68" i="4"/>
  <c r="N68" i="4"/>
  <c r="J40" i="4"/>
  <c r="I41" i="4"/>
  <c r="I42" i="4"/>
  <c r="H43" i="4"/>
  <c r="G44" i="4"/>
  <c r="G45" i="4"/>
  <c r="Q45" i="4"/>
  <c r="F46" i="4"/>
  <c r="Q46" i="4"/>
  <c r="E47" i="4"/>
  <c r="P47" i="4"/>
  <c r="E48" i="4"/>
  <c r="O48" i="4"/>
  <c r="D49" i="4"/>
  <c r="O49" i="4"/>
  <c r="C50" i="4"/>
  <c r="N50" i="4"/>
  <c r="C51" i="4"/>
  <c r="M51" i="4"/>
  <c r="B52" i="4"/>
  <c r="M52" i="4"/>
  <c r="E54" i="4"/>
  <c r="Q54" i="4"/>
  <c r="H55" i="4"/>
  <c r="T55" i="4"/>
  <c r="E58" i="4"/>
  <c r="Q58" i="4"/>
  <c r="H59" i="4"/>
  <c r="E62" i="4"/>
  <c r="Q62" i="4"/>
  <c r="H63" i="4"/>
  <c r="I66" i="4"/>
  <c r="C68" i="4"/>
  <c r="Q68" i="4"/>
  <c r="C71" i="4"/>
  <c r="P71" i="4"/>
  <c r="F72" i="4"/>
  <c r="B74" i="4"/>
  <c r="O74" i="4"/>
  <c r="G75" i="4"/>
  <c r="S75" i="4"/>
  <c r="J76" i="4"/>
  <c r="W76" i="4"/>
  <c r="AN76" i="5" s="1"/>
  <c r="F78" i="4"/>
  <c r="R78" i="4"/>
  <c r="T80" i="4"/>
  <c r="L80" i="4"/>
  <c r="D80" i="4"/>
  <c r="P80" i="4"/>
  <c r="H80" i="4"/>
  <c r="O80" i="4"/>
  <c r="G80" i="4"/>
  <c r="M80" i="4"/>
  <c r="I82" i="4"/>
  <c r="C84" i="4"/>
  <c r="Q84" i="4"/>
  <c r="C87" i="4"/>
  <c r="P87" i="4"/>
  <c r="F88" i="4"/>
  <c r="S88" i="4"/>
  <c r="B90" i="4"/>
  <c r="O90" i="4"/>
  <c r="G91" i="4"/>
  <c r="S91" i="4"/>
  <c r="J92" i="4"/>
  <c r="W92" i="4"/>
  <c r="AN92" i="5" s="1"/>
  <c r="B100" i="4"/>
  <c r="F104" i="4"/>
  <c r="T40" i="4"/>
  <c r="L40" i="4"/>
  <c r="D40" i="4"/>
  <c r="P40" i="4"/>
  <c r="H40" i="4"/>
  <c r="K40" i="4"/>
  <c r="W40" i="4"/>
  <c r="AN40" i="5" s="1"/>
  <c r="G47" i="4"/>
  <c r="Q47" i="4"/>
  <c r="F48" i="4"/>
  <c r="Q48" i="4"/>
  <c r="E49" i="4"/>
  <c r="P49" i="4"/>
  <c r="E50" i="4"/>
  <c r="O50" i="4"/>
  <c r="F54" i="4"/>
  <c r="R54" i="4"/>
  <c r="T56" i="4"/>
  <c r="L56" i="4"/>
  <c r="D56" i="4"/>
  <c r="P56" i="4"/>
  <c r="H56" i="4"/>
  <c r="O56" i="4"/>
  <c r="G56" i="4"/>
  <c r="M56" i="4"/>
  <c r="F58" i="4"/>
  <c r="R58" i="4"/>
  <c r="T60" i="4"/>
  <c r="L60" i="4"/>
  <c r="D60" i="4"/>
  <c r="P60" i="4"/>
  <c r="H60" i="4"/>
  <c r="O60" i="4"/>
  <c r="G60" i="4"/>
  <c r="M60" i="4"/>
  <c r="F62" i="4"/>
  <c r="R62" i="4"/>
  <c r="T64" i="4"/>
  <c r="L64" i="4"/>
  <c r="D64" i="4"/>
  <c r="P64" i="4"/>
  <c r="H64" i="4"/>
  <c r="O64" i="4"/>
  <c r="G64" i="4"/>
  <c r="M64" i="4"/>
  <c r="R67" i="4"/>
  <c r="J67" i="4"/>
  <c r="B67" i="4"/>
  <c r="W67" i="4"/>
  <c r="AN67" i="5" s="1"/>
  <c r="N67" i="4"/>
  <c r="F67" i="4"/>
  <c r="V67" i="4"/>
  <c r="AM67" i="5" s="1"/>
  <c r="M67" i="4"/>
  <c r="E67" i="4"/>
  <c r="O67" i="4"/>
  <c r="E68" i="4"/>
  <c r="R68" i="4"/>
  <c r="P70" i="4"/>
  <c r="H70" i="4"/>
  <c r="T70" i="4"/>
  <c r="L70" i="4"/>
  <c r="D70" i="4"/>
  <c r="S70" i="4"/>
  <c r="K70" i="4"/>
  <c r="C70" i="4"/>
  <c r="N70" i="4"/>
  <c r="D71" i="4"/>
  <c r="Q71" i="4"/>
  <c r="E74" i="4"/>
  <c r="Q74" i="4"/>
  <c r="H75" i="4"/>
  <c r="T75" i="4"/>
  <c r="G78" i="4"/>
  <c r="V78" i="4"/>
  <c r="AM78" i="5" s="1"/>
  <c r="R83" i="4"/>
  <c r="J83" i="4"/>
  <c r="B83" i="4"/>
  <c r="W83" i="4"/>
  <c r="AN83" i="5" s="1"/>
  <c r="N83" i="4"/>
  <c r="F83" i="4"/>
  <c r="V83" i="4"/>
  <c r="AM83" i="5" s="1"/>
  <c r="M83" i="4"/>
  <c r="E83" i="4"/>
  <c r="O83" i="4"/>
  <c r="E84" i="4"/>
  <c r="R84" i="4"/>
  <c r="P86" i="4"/>
  <c r="H86" i="4"/>
  <c r="T86" i="4"/>
  <c r="L86" i="4"/>
  <c r="D86" i="4"/>
  <c r="S86" i="4"/>
  <c r="K86" i="4"/>
  <c r="C86" i="4"/>
  <c r="N86" i="4"/>
  <c r="D87" i="4"/>
  <c r="Q87" i="4"/>
  <c r="E90" i="4"/>
  <c r="Q90" i="4"/>
  <c r="H91" i="4"/>
  <c r="T91" i="4"/>
  <c r="R95" i="4"/>
  <c r="J95" i="4"/>
  <c r="B95" i="4"/>
  <c r="W95" i="4"/>
  <c r="AN95" i="5" s="1"/>
  <c r="N95" i="4"/>
  <c r="F95" i="4"/>
  <c r="V95" i="4"/>
  <c r="AM95" i="5" s="1"/>
  <c r="M95" i="4"/>
  <c r="E95" i="4"/>
  <c r="S95" i="4"/>
  <c r="K95" i="4"/>
  <c r="C95" i="4"/>
  <c r="Q95" i="4"/>
  <c r="F100" i="4"/>
  <c r="I104" i="4"/>
  <c r="W41" i="4"/>
  <c r="AN41" i="5" s="1"/>
  <c r="N41" i="4"/>
  <c r="F41" i="4"/>
  <c r="R41" i="4"/>
  <c r="J41" i="4"/>
  <c r="B41" i="4"/>
  <c r="L41" i="4"/>
  <c r="G54" i="4"/>
  <c r="V54" i="4"/>
  <c r="AM54" i="5" s="1"/>
  <c r="I75" i="4"/>
  <c r="T76" i="4"/>
  <c r="L76" i="4"/>
  <c r="D76" i="4"/>
  <c r="P76" i="4"/>
  <c r="H76" i="4"/>
  <c r="O76" i="4"/>
  <c r="G76" i="4"/>
  <c r="M76" i="4"/>
  <c r="I78" i="4"/>
  <c r="W78" i="4"/>
  <c r="AN78" i="5" s="1"/>
  <c r="I91" i="4"/>
  <c r="T92" i="4"/>
  <c r="L92" i="4"/>
  <c r="D92" i="4"/>
  <c r="P92" i="4"/>
  <c r="H92" i="4"/>
  <c r="O92" i="4"/>
  <c r="G92" i="4"/>
  <c r="M92" i="4"/>
  <c r="W3" i="5"/>
  <c r="X4" i="5"/>
  <c r="P42" i="4"/>
  <c r="H42" i="4"/>
  <c r="T42" i="4"/>
  <c r="L42" i="4"/>
  <c r="D42" i="4"/>
  <c r="K42" i="4"/>
  <c r="W42" i="4"/>
  <c r="AN42" i="5" s="1"/>
  <c r="H47" i="4"/>
  <c r="S47" i="4"/>
  <c r="G48" i="4"/>
  <c r="R48" i="4"/>
  <c r="G49" i="4"/>
  <c r="Q49" i="4"/>
  <c r="F50" i="4"/>
  <c r="Q50" i="4"/>
  <c r="B56" i="4"/>
  <c r="N56" i="4"/>
  <c r="G58" i="4"/>
  <c r="V58" i="4"/>
  <c r="AM58" i="5" s="1"/>
  <c r="G62" i="4"/>
  <c r="V62" i="4"/>
  <c r="AM62" i="5" s="1"/>
  <c r="I4" i="2"/>
  <c r="C40" i="4"/>
  <c r="N40" i="4"/>
  <c r="C41" i="4"/>
  <c r="M41" i="4"/>
  <c r="B42" i="4"/>
  <c r="M42" i="4"/>
  <c r="R43" i="4"/>
  <c r="J43" i="4"/>
  <c r="B43" i="4"/>
  <c r="W43" i="4"/>
  <c r="AN43" i="5" s="1"/>
  <c r="N43" i="4"/>
  <c r="F43" i="4"/>
  <c r="L43" i="4"/>
  <c r="T44" i="4"/>
  <c r="L44" i="4"/>
  <c r="D44" i="4"/>
  <c r="P44" i="4"/>
  <c r="H44" i="4"/>
  <c r="K44" i="4"/>
  <c r="W44" i="4"/>
  <c r="AN44" i="5" s="1"/>
  <c r="K45" i="4"/>
  <c r="J46" i="4"/>
  <c r="I47" i="4"/>
  <c r="I48" i="4"/>
  <c r="S48" i="4"/>
  <c r="H49" i="4"/>
  <c r="S49" i="4"/>
  <c r="G50" i="4"/>
  <c r="R50" i="4"/>
  <c r="G51" i="4"/>
  <c r="Q51" i="4"/>
  <c r="F52" i="4"/>
  <c r="Q52" i="4"/>
  <c r="I54" i="4"/>
  <c r="W54" i="4"/>
  <c r="AN54" i="5" s="1"/>
  <c r="C56" i="4"/>
  <c r="Q56" i="4"/>
  <c r="I58" i="4"/>
  <c r="W58" i="4"/>
  <c r="AN58" i="5" s="1"/>
  <c r="C60" i="4"/>
  <c r="Q60" i="4"/>
  <c r="I62" i="4"/>
  <c r="W62" i="4"/>
  <c r="AN62" i="5" s="1"/>
  <c r="C64" i="4"/>
  <c r="Q64" i="4"/>
  <c r="P66" i="4"/>
  <c r="H66" i="4"/>
  <c r="T66" i="4"/>
  <c r="L66" i="4"/>
  <c r="D66" i="4"/>
  <c r="S66" i="4"/>
  <c r="K66" i="4"/>
  <c r="C66" i="4"/>
  <c r="N66" i="4"/>
  <c r="D67" i="4"/>
  <c r="Q67" i="4"/>
  <c r="I68" i="4"/>
  <c r="V68" i="4"/>
  <c r="AM68" i="5" s="1"/>
  <c r="E70" i="4"/>
  <c r="Q70" i="4"/>
  <c r="H71" i="4"/>
  <c r="T71" i="4"/>
  <c r="G74" i="4"/>
  <c r="V74" i="4"/>
  <c r="AM74" i="5" s="1"/>
  <c r="K75" i="4"/>
  <c r="B76" i="4"/>
  <c r="N76" i="4"/>
  <c r="J78" i="4"/>
  <c r="R79" i="4"/>
  <c r="J79" i="4"/>
  <c r="B79" i="4"/>
  <c r="W79" i="4"/>
  <c r="AN79" i="5" s="1"/>
  <c r="N79" i="4"/>
  <c r="F79" i="4"/>
  <c r="V79" i="4"/>
  <c r="AM79" i="5" s="1"/>
  <c r="M79" i="4"/>
  <c r="E79" i="4"/>
  <c r="O79" i="4"/>
  <c r="E80" i="4"/>
  <c r="R80" i="4"/>
  <c r="P82" i="4"/>
  <c r="H82" i="4"/>
  <c r="T82" i="4"/>
  <c r="L82" i="4"/>
  <c r="D82" i="4"/>
  <c r="S82" i="4"/>
  <c r="K82" i="4"/>
  <c r="C82" i="4"/>
  <c r="N82" i="4"/>
  <c r="D83" i="4"/>
  <c r="Q83" i="4"/>
  <c r="I84" i="4"/>
  <c r="V84" i="4"/>
  <c r="AM84" i="5" s="1"/>
  <c r="E86" i="4"/>
  <c r="Q86" i="4"/>
  <c r="H87" i="4"/>
  <c r="T87" i="4"/>
  <c r="G90" i="4"/>
  <c r="V90" i="4"/>
  <c r="AM90" i="5" s="1"/>
  <c r="K91" i="4"/>
  <c r="B92" i="4"/>
  <c r="N92" i="4"/>
  <c r="G95" i="4"/>
  <c r="T96" i="4"/>
  <c r="L96" i="4"/>
  <c r="D96" i="4"/>
  <c r="P96" i="4"/>
  <c r="H96" i="4"/>
  <c r="O96" i="4"/>
  <c r="G96" i="4"/>
  <c r="V96" i="4"/>
  <c r="AM96" i="5" s="1"/>
  <c r="M96" i="4"/>
  <c r="E96" i="4"/>
  <c r="Q96" i="4"/>
  <c r="J100" i="4"/>
  <c r="N104" i="4"/>
  <c r="R47" i="4"/>
  <c r="J47" i="4"/>
  <c r="B47" i="4"/>
  <c r="W47" i="4"/>
  <c r="AN47" i="5" s="1"/>
  <c r="N47" i="4"/>
  <c r="F47" i="4"/>
  <c r="L47" i="4"/>
  <c r="B40" i="4"/>
  <c r="M40" i="4"/>
  <c r="E40" i="4"/>
  <c r="O40" i="4"/>
  <c r="D41" i="4"/>
  <c r="O41" i="4"/>
  <c r="C42" i="4"/>
  <c r="N42" i="4"/>
  <c r="W45" i="4"/>
  <c r="AN45" i="5" s="1"/>
  <c r="N45" i="4"/>
  <c r="F45" i="4"/>
  <c r="R45" i="4"/>
  <c r="J45" i="4"/>
  <c r="B45" i="4"/>
  <c r="L45" i="4"/>
  <c r="P46" i="4"/>
  <c r="H46" i="4"/>
  <c r="T46" i="4"/>
  <c r="L46" i="4"/>
  <c r="D46" i="4"/>
  <c r="K46" i="4"/>
  <c r="W46" i="4"/>
  <c r="AN46" i="5" s="1"/>
  <c r="K47" i="4"/>
  <c r="V47" i="4"/>
  <c r="AM47" i="5" s="1"/>
  <c r="J48" i="4"/>
  <c r="V48" i="4"/>
  <c r="AM48" i="5" s="1"/>
  <c r="I49" i="4"/>
  <c r="T49" i="4"/>
  <c r="I50" i="4"/>
  <c r="S50" i="4"/>
  <c r="H51" i="4"/>
  <c r="S51" i="4"/>
  <c r="G52" i="4"/>
  <c r="R52" i="4"/>
  <c r="J54" i="4"/>
  <c r="R55" i="4"/>
  <c r="J55" i="4"/>
  <c r="B55" i="4"/>
  <c r="W55" i="4"/>
  <c r="AN55" i="5" s="1"/>
  <c r="N55" i="4"/>
  <c r="F55" i="4"/>
  <c r="V55" i="4"/>
  <c r="AM55" i="5" s="1"/>
  <c r="M55" i="4"/>
  <c r="E55" i="4"/>
  <c r="O55" i="4"/>
  <c r="E56" i="4"/>
  <c r="R56" i="4"/>
  <c r="J58" i="4"/>
  <c r="R59" i="4"/>
  <c r="J59" i="4"/>
  <c r="B59" i="4"/>
  <c r="W59" i="4"/>
  <c r="AN59" i="5" s="1"/>
  <c r="N59" i="4"/>
  <c r="F59" i="4"/>
  <c r="V59" i="4"/>
  <c r="AM59" i="5" s="1"/>
  <c r="M59" i="4"/>
  <c r="E59" i="4"/>
  <c r="O59" i="4"/>
  <c r="E60" i="4"/>
  <c r="R60" i="4"/>
  <c r="J62" i="4"/>
  <c r="R63" i="4"/>
  <c r="J63" i="4"/>
  <c r="B63" i="4"/>
  <c r="W63" i="4"/>
  <c r="AN63" i="5" s="1"/>
  <c r="N63" i="4"/>
  <c r="F63" i="4"/>
  <c r="V63" i="4"/>
  <c r="AM63" i="5" s="1"/>
  <c r="M63" i="4"/>
  <c r="E63" i="4"/>
  <c r="O63" i="4"/>
  <c r="E64" i="4"/>
  <c r="R64" i="4"/>
  <c r="B66" i="4"/>
  <c r="O66" i="4"/>
  <c r="G67" i="4"/>
  <c r="S67" i="4"/>
  <c r="J68" i="4"/>
  <c r="W68" i="4"/>
  <c r="AN68" i="5" s="1"/>
  <c r="F70" i="4"/>
  <c r="R70" i="4"/>
  <c r="I71" i="4"/>
  <c r="T72" i="4"/>
  <c r="L72" i="4"/>
  <c r="D72" i="4"/>
  <c r="P72" i="4"/>
  <c r="H72" i="4"/>
  <c r="O72" i="4"/>
  <c r="G72" i="4"/>
  <c r="M72" i="4"/>
  <c r="I74" i="4"/>
  <c r="W74" i="4"/>
  <c r="AN74" i="5" s="1"/>
  <c r="L75" i="4"/>
  <c r="C76" i="4"/>
  <c r="Q76" i="4"/>
  <c r="M78" i="4"/>
  <c r="C79" i="4"/>
  <c r="P79" i="4"/>
  <c r="F80" i="4"/>
  <c r="S80" i="4"/>
  <c r="B82" i="4"/>
  <c r="O82" i="4"/>
  <c r="G83" i="4"/>
  <c r="S83" i="4"/>
  <c r="J84" i="4"/>
  <c r="W84" i="4"/>
  <c r="AN84" i="5" s="1"/>
  <c r="F86" i="4"/>
  <c r="R86" i="4"/>
  <c r="I87" i="4"/>
  <c r="T88" i="4"/>
  <c r="L88" i="4"/>
  <c r="D88" i="4"/>
  <c r="P88" i="4"/>
  <c r="H88" i="4"/>
  <c r="O88" i="4"/>
  <c r="G88" i="4"/>
  <c r="M88" i="4"/>
  <c r="I90" i="4"/>
  <c r="W90" i="4"/>
  <c r="AN90" i="5" s="1"/>
  <c r="L91" i="4"/>
  <c r="C92" i="4"/>
  <c r="Q92" i="4"/>
  <c r="H95" i="4"/>
  <c r="B96" i="4"/>
  <c r="R96" i="4"/>
  <c r="N100" i="4"/>
  <c r="Q104" i="4"/>
  <c r="I94" i="4"/>
  <c r="Q94" i="4"/>
  <c r="I98" i="4"/>
  <c r="Q98" i="4"/>
  <c r="C99" i="4"/>
  <c r="K99" i="4"/>
  <c r="S99" i="4"/>
  <c r="I102" i="4"/>
  <c r="Q102" i="4"/>
  <c r="C103" i="4"/>
  <c r="K103" i="4"/>
  <c r="S103" i="4"/>
  <c r="I106" i="4"/>
  <c r="Q106" i="4"/>
  <c r="C107" i="4"/>
  <c r="K107" i="4"/>
  <c r="S107" i="4"/>
  <c r="E108" i="4"/>
  <c r="M108" i="4"/>
  <c r="V108" i="4"/>
  <c r="AM108" i="5" s="1"/>
  <c r="I110" i="4"/>
  <c r="Q110" i="4"/>
  <c r="C111" i="4"/>
  <c r="K111" i="4"/>
  <c r="S111" i="4"/>
  <c r="E112" i="4"/>
  <c r="M112" i="4"/>
  <c r="V112" i="4"/>
  <c r="AM112" i="5" s="1"/>
  <c r="I114" i="4"/>
  <c r="Q114" i="4"/>
  <c r="C115" i="4"/>
  <c r="K115" i="4"/>
  <c r="S115" i="4"/>
  <c r="E116" i="4"/>
  <c r="M116" i="4"/>
  <c r="V116" i="4"/>
  <c r="AM116" i="5" s="1"/>
  <c r="I118" i="4"/>
  <c r="Q118" i="4"/>
  <c r="C119" i="4"/>
  <c r="K119" i="4"/>
  <c r="S119" i="4"/>
  <c r="E120" i="4"/>
  <c r="M120" i="4"/>
  <c r="V120" i="4"/>
  <c r="AM120" i="5" s="1"/>
  <c r="I122" i="4"/>
  <c r="Q122" i="4"/>
  <c r="C123" i="4"/>
  <c r="K123" i="4"/>
  <c r="S123" i="4"/>
  <c r="E124" i="4"/>
  <c r="M124" i="4"/>
  <c r="V124" i="4"/>
  <c r="AM124" i="5" s="1"/>
  <c r="A126" i="4"/>
  <c r="K127" i="4"/>
  <c r="S127" i="4"/>
  <c r="C131" i="4"/>
  <c r="K131" i="4"/>
  <c r="S131" i="4"/>
  <c r="C135" i="4"/>
  <c r="K135" i="4"/>
  <c r="S135" i="4"/>
  <c r="C139" i="4"/>
  <c r="K139" i="4"/>
  <c r="S139" i="4"/>
  <c r="C143" i="4"/>
  <c r="K143" i="4"/>
  <c r="S143" i="4"/>
  <c r="I53" i="4"/>
  <c r="Q53" i="4"/>
  <c r="I57" i="4"/>
  <c r="Q57" i="4"/>
  <c r="I61" i="4"/>
  <c r="Q61" i="4"/>
  <c r="I65" i="4"/>
  <c r="Q65" i="4"/>
  <c r="I69" i="4"/>
  <c r="I73" i="4"/>
  <c r="I77" i="4"/>
  <c r="I81" i="4"/>
  <c r="I85" i="4"/>
  <c r="I89" i="4"/>
  <c r="I93" i="4"/>
  <c r="C94" i="4"/>
  <c r="K94" i="4"/>
  <c r="S94" i="4"/>
  <c r="I97" i="4"/>
  <c r="C98" i="4"/>
  <c r="K98" i="4"/>
  <c r="S98" i="4"/>
  <c r="E99" i="4"/>
  <c r="M99" i="4"/>
  <c r="V99" i="4"/>
  <c r="AM99" i="5" s="1"/>
  <c r="I101" i="4"/>
  <c r="C102" i="4"/>
  <c r="K102" i="4"/>
  <c r="S102" i="4"/>
  <c r="E103" i="4"/>
  <c r="M103" i="4"/>
  <c r="V103" i="4"/>
  <c r="AM103" i="5" s="1"/>
  <c r="I105" i="4"/>
  <c r="C106" i="4"/>
  <c r="K106" i="4"/>
  <c r="S106" i="4"/>
  <c r="E107" i="4"/>
  <c r="M107" i="4"/>
  <c r="V107" i="4"/>
  <c r="AM107" i="5" s="1"/>
  <c r="G108" i="4"/>
  <c r="O108" i="4"/>
  <c r="I109" i="4"/>
  <c r="C110" i="4"/>
  <c r="K110" i="4"/>
  <c r="S110" i="4"/>
  <c r="E111" i="4"/>
  <c r="M111" i="4"/>
  <c r="V111" i="4"/>
  <c r="AM111" i="5" s="1"/>
  <c r="G112" i="4"/>
  <c r="O112" i="4"/>
  <c r="I113" i="4"/>
  <c r="C114" i="4"/>
  <c r="K114" i="4"/>
  <c r="S114" i="4"/>
  <c r="E115" i="4"/>
  <c r="M115" i="4"/>
  <c r="V115" i="4"/>
  <c r="AM115" i="5" s="1"/>
  <c r="G116" i="4"/>
  <c r="O116" i="4"/>
  <c r="I117" i="4"/>
  <c r="C118" i="4"/>
  <c r="K118" i="4"/>
  <c r="S118" i="4"/>
  <c r="E119" i="4"/>
  <c r="M119" i="4"/>
  <c r="V119" i="4"/>
  <c r="AM119" i="5" s="1"/>
  <c r="G120" i="4"/>
  <c r="O120" i="4"/>
  <c r="I121" i="4"/>
  <c r="C122" i="4"/>
  <c r="K122" i="4"/>
  <c r="S122" i="4"/>
  <c r="E123" i="4"/>
  <c r="M123" i="4"/>
  <c r="V123" i="4"/>
  <c r="AM123" i="5" s="1"/>
  <c r="G124" i="4"/>
  <c r="O124" i="4"/>
  <c r="I125" i="4"/>
  <c r="E127" i="4"/>
  <c r="M127" i="4"/>
  <c r="V127" i="4"/>
  <c r="AM127" i="5" s="1"/>
  <c r="I129" i="4"/>
  <c r="E131" i="4"/>
  <c r="M131" i="4"/>
  <c r="V131" i="4"/>
  <c r="AM131" i="5" s="1"/>
  <c r="I133" i="4"/>
  <c r="E135" i="4"/>
  <c r="M135" i="4"/>
  <c r="V135" i="4"/>
  <c r="AM135" i="5" s="1"/>
  <c r="I137" i="4"/>
  <c r="E139" i="4"/>
  <c r="M139" i="4"/>
  <c r="V139" i="4"/>
  <c r="AM139" i="5" s="1"/>
  <c r="I141" i="4"/>
  <c r="E143" i="4"/>
  <c r="M143" i="4"/>
  <c r="V143" i="4"/>
  <c r="AM143" i="5" s="1"/>
  <c r="I145" i="4"/>
  <c r="B53" i="4"/>
  <c r="J53" i="4"/>
  <c r="R53" i="4"/>
  <c r="B57" i="4"/>
  <c r="J57" i="4"/>
  <c r="R57" i="4"/>
  <c r="B61" i="4"/>
  <c r="J61" i="4"/>
  <c r="R61" i="4"/>
  <c r="D94" i="4"/>
  <c r="L94" i="4"/>
  <c r="T94" i="4"/>
  <c r="D98" i="4"/>
  <c r="L98" i="4"/>
  <c r="T98" i="4"/>
  <c r="F99" i="4"/>
  <c r="N99" i="4"/>
  <c r="W99" i="4"/>
  <c r="AN99" i="5" s="1"/>
  <c r="D102" i="4"/>
  <c r="L102" i="4"/>
  <c r="T102" i="4"/>
  <c r="F103" i="4"/>
  <c r="N103" i="4"/>
  <c r="W103" i="4"/>
  <c r="AN103" i="5" s="1"/>
  <c r="D106" i="4"/>
  <c r="L106" i="4"/>
  <c r="T106" i="4"/>
  <c r="F107" i="4"/>
  <c r="N107" i="4"/>
  <c r="W107" i="4"/>
  <c r="AN107" i="5" s="1"/>
  <c r="H108" i="4"/>
  <c r="P108" i="4"/>
  <c r="D110" i="4"/>
  <c r="L110" i="4"/>
  <c r="T110" i="4"/>
  <c r="F111" i="4"/>
  <c r="N111" i="4"/>
  <c r="W111" i="4"/>
  <c r="AN111" i="5" s="1"/>
  <c r="H112" i="4"/>
  <c r="P112" i="4"/>
  <c r="D114" i="4"/>
  <c r="L114" i="4"/>
  <c r="T114" i="4"/>
  <c r="F115" i="4"/>
  <c r="N115" i="4"/>
  <c r="W115" i="4"/>
  <c r="AN115" i="5" s="1"/>
  <c r="H116" i="4"/>
  <c r="P116" i="4"/>
  <c r="D118" i="4"/>
  <c r="L118" i="4"/>
  <c r="T118" i="4"/>
  <c r="F119" i="4"/>
  <c r="N119" i="4"/>
  <c r="W119" i="4"/>
  <c r="AN119" i="5" s="1"/>
  <c r="H120" i="4"/>
  <c r="P120" i="4"/>
  <c r="D122" i="4"/>
  <c r="L122" i="4"/>
  <c r="T122" i="4"/>
  <c r="F123" i="4"/>
  <c r="N123" i="4"/>
  <c r="W123" i="4"/>
  <c r="AN123" i="5" s="1"/>
  <c r="H124" i="4"/>
  <c r="P124" i="4"/>
  <c r="I108" i="4"/>
  <c r="Q108" i="4"/>
  <c r="I112" i="4"/>
  <c r="Q112" i="4"/>
  <c r="I116" i="4"/>
  <c r="Q116" i="4"/>
  <c r="E118" i="4"/>
  <c r="M118" i="4"/>
  <c r="V118" i="4"/>
  <c r="AM118" i="5" s="1"/>
  <c r="I120" i="4"/>
  <c r="Q120" i="4"/>
  <c r="E122" i="4"/>
  <c r="M122" i="4"/>
  <c r="V122" i="4"/>
  <c r="AM122" i="5" s="1"/>
  <c r="G123" i="4"/>
  <c r="O123" i="4"/>
  <c r="I124" i="4"/>
  <c r="Q124" i="4"/>
  <c r="I99" i="4"/>
  <c r="Q99" i="4"/>
  <c r="G102" i="4"/>
  <c r="O102" i="4"/>
  <c r="I103" i="4"/>
  <c r="Q103" i="4"/>
  <c r="G106" i="4"/>
  <c r="O106" i="4"/>
  <c r="I107" i="4"/>
  <c r="Q107" i="4"/>
  <c r="C108" i="4"/>
  <c r="K108" i="4"/>
  <c r="S108" i="4"/>
  <c r="G110" i="4"/>
  <c r="O110" i="4"/>
  <c r="I111" i="4"/>
  <c r="Q111" i="4"/>
  <c r="C112" i="4"/>
  <c r="K112" i="4"/>
  <c r="S112" i="4"/>
  <c r="G114" i="4"/>
  <c r="O114" i="4"/>
  <c r="I115" i="4"/>
  <c r="Q115" i="4"/>
  <c r="C116" i="4"/>
  <c r="K116" i="4"/>
  <c r="S116" i="4"/>
  <c r="G118" i="4"/>
  <c r="O118" i="4"/>
  <c r="I119" i="4"/>
  <c r="Q119" i="4"/>
  <c r="C120" i="4"/>
  <c r="K120" i="4"/>
  <c r="S120" i="4"/>
  <c r="G122" i="4"/>
  <c r="O122" i="4"/>
  <c r="I123" i="4"/>
  <c r="Q123" i="4"/>
  <c r="C124" i="4"/>
  <c r="K124" i="4"/>
  <c r="S124" i="4"/>
  <c r="I127" i="4"/>
  <c r="I131" i="4"/>
  <c r="I135" i="4"/>
  <c r="I139" i="4"/>
  <c r="I143" i="4"/>
  <c r="F53" i="4"/>
  <c r="N53" i="4"/>
  <c r="F57" i="4"/>
  <c r="N57" i="4"/>
  <c r="F61" i="4"/>
  <c r="N61" i="4"/>
  <c r="H94" i="4"/>
  <c r="H98" i="4"/>
  <c r="B99" i="4"/>
  <c r="J99" i="4"/>
  <c r="H102" i="4"/>
  <c r="B103" i="4"/>
  <c r="J103" i="4"/>
  <c r="H106" i="4"/>
  <c r="B107" i="4"/>
  <c r="J107" i="4"/>
  <c r="D108" i="4"/>
  <c r="L108" i="4"/>
  <c r="H110" i="4"/>
  <c r="B111" i="4"/>
  <c r="J111" i="4"/>
  <c r="D112" i="4"/>
  <c r="L112" i="4"/>
  <c r="H114" i="4"/>
  <c r="B115" i="4"/>
  <c r="J115" i="4"/>
  <c r="D116" i="4"/>
  <c r="L116" i="4"/>
  <c r="H118" i="4"/>
  <c r="B119" i="4"/>
  <c r="J119" i="4"/>
  <c r="D120" i="4"/>
  <c r="L120" i="4"/>
  <c r="H122" i="4"/>
  <c r="B123" i="4"/>
  <c r="J123" i="4"/>
  <c r="D124" i="4"/>
  <c r="L124" i="4"/>
  <c r="G4" i="6"/>
  <c r="G6" i="6"/>
  <c r="G8" i="6"/>
  <c r="L201" i="9"/>
  <c r="L131" i="9"/>
  <c r="I61" i="9" a="1"/>
  <c r="I61" i="9" s="1"/>
  <c r="L63" i="9"/>
  <c r="B90" i="9"/>
  <c r="L144" i="9"/>
  <c r="L74" i="9"/>
  <c r="N89" i="9"/>
  <c r="H89" i="9"/>
  <c r="E89" i="9" s="1"/>
  <c r="M89" i="9" a="1"/>
  <c r="M89" i="9" s="1"/>
  <c r="D89" i="9" a="1"/>
  <c r="D89" i="9" s="1"/>
  <c r="F89" i="9" s="1"/>
  <c r="G89" i="9" s="1"/>
  <c r="Q89" i="9"/>
  <c r="P89" i="9" s="1"/>
  <c r="J89" i="9"/>
  <c r="B89" i="9"/>
  <c r="H105" i="9"/>
  <c r="E105" i="9" s="1"/>
  <c r="B105" i="9"/>
  <c r="I171" i="9"/>
  <c r="B171" i="9"/>
  <c r="N171" i="9"/>
  <c r="J171" i="9"/>
  <c r="H171" i="9"/>
  <c r="E171" i="9" s="1"/>
  <c r="D171" i="9" a="1"/>
  <c r="D171" i="9" s="1"/>
  <c r="F171" i="9" s="1"/>
  <c r="G171" i="9" s="1"/>
  <c r="Q171" i="9"/>
  <c r="P171" i="9" s="1"/>
  <c r="M171" i="9" a="1"/>
  <c r="M171" i="9" s="1"/>
  <c r="L143" i="9"/>
  <c r="H17" i="9"/>
  <c r="E17" i="9" s="1"/>
  <c r="H25" i="9"/>
  <c r="E25" i="9" s="1"/>
  <c r="H33" i="9"/>
  <c r="E33" i="9" s="1"/>
  <c r="H41" i="9"/>
  <c r="E41" i="9" s="1"/>
  <c r="H49" i="9"/>
  <c r="E49" i="9" s="1"/>
  <c r="I51" i="9" a="1"/>
  <c r="I51" i="9" s="1"/>
  <c r="H57" i="9"/>
  <c r="E57" i="9" s="1"/>
  <c r="D61" i="9" a="1"/>
  <c r="D61" i="9" s="1"/>
  <c r="F61" i="9" s="1"/>
  <c r="G61" i="9" s="1"/>
  <c r="N63" i="9"/>
  <c r="Q76" i="9"/>
  <c r="P76" i="9" s="1"/>
  <c r="J76" i="9"/>
  <c r="B76" i="9"/>
  <c r="N76" i="9"/>
  <c r="H76" i="9"/>
  <c r="E76" i="9" s="1"/>
  <c r="M76" i="9" a="1"/>
  <c r="M76" i="9" s="1"/>
  <c r="D76" i="9" a="1"/>
  <c r="D76" i="9" s="1"/>
  <c r="F76" i="9" s="1"/>
  <c r="G76" i="9" s="1"/>
  <c r="I89" i="9" a="1"/>
  <c r="I89" i="9" s="1"/>
  <c r="B1" i="9"/>
  <c r="L142" i="9"/>
  <c r="L72" i="9"/>
  <c r="H8" i="9"/>
  <c r="E8" i="9" s="1"/>
  <c r="H16" i="9"/>
  <c r="H24" i="9"/>
  <c r="E24" i="9" s="1"/>
  <c r="H32" i="9"/>
  <c r="E32" i="9" s="1"/>
  <c r="H40" i="9"/>
  <c r="E40" i="9" s="1"/>
  <c r="H48" i="9"/>
  <c r="J51" i="9"/>
  <c r="Q51" i="9"/>
  <c r="P51" i="9" s="1"/>
  <c r="H56" i="9"/>
  <c r="E56" i="9" s="1"/>
  <c r="L61" i="9"/>
  <c r="Q62" i="9"/>
  <c r="P62" i="9" s="1"/>
  <c r="L205" i="9"/>
  <c r="L135" i="9"/>
  <c r="Q65" i="9"/>
  <c r="P65" i="9" s="1"/>
  <c r="J65" i="9"/>
  <c r="B65" i="9"/>
  <c r="L65" i="9"/>
  <c r="I68" i="9" a="1"/>
  <c r="I68" i="9" s="1"/>
  <c r="L209" i="9"/>
  <c r="B69" i="9"/>
  <c r="M69" i="9" a="1"/>
  <c r="M69" i="9" s="1"/>
  <c r="L69" i="9"/>
  <c r="L139" i="9"/>
  <c r="L73" i="9"/>
  <c r="L4" i="9"/>
  <c r="H7" i="9"/>
  <c r="E7" i="9" s="1"/>
  <c r="H15" i="9"/>
  <c r="E15" i="9" s="1"/>
  <c r="H23" i="9"/>
  <c r="E23" i="9" s="1"/>
  <c r="H31" i="9"/>
  <c r="E31" i="9" s="1"/>
  <c r="H39" i="9"/>
  <c r="E39" i="9" s="1"/>
  <c r="H47" i="9"/>
  <c r="E47" i="9" s="1"/>
  <c r="H55" i="9"/>
  <c r="E55" i="9" s="1"/>
  <c r="H63" i="9"/>
  <c r="E63" i="9" s="1"/>
  <c r="Q63" i="9"/>
  <c r="P63" i="9" s="1"/>
  <c r="L207" i="9"/>
  <c r="L137" i="9"/>
  <c r="M67" i="9" a="1"/>
  <c r="M67" i="9" s="1"/>
  <c r="L67" i="9"/>
  <c r="Q67" i="9"/>
  <c r="P67" i="9" s="1"/>
  <c r="J67" i="9"/>
  <c r="N67" i="9"/>
  <c r="L71" i="9"/>
  <c r="N81" i="9"/>
  <c r="H81" i="9"/>
  <c r="E81" i="9" s="1"/>
  <c r="M81" i="9" a="1"/>
  <c r="M81" i="9" s="1"/>
  <c r="D81" i="9" a="1"/>
  <c r="D81" i="9" s="1"/>
  <c r="F81" i="9" s="1"/>
  <c r="G81" i="9" s="1"/>
  <c r="Q81" i="9"/>
  <c r="P81" i="9" s="1"/>
  <c r="J81" i="9"/>
  <c r="B81" i="9"/>
  <c r="N97" i="9"/>
  <c r="H97" i="9"/>
  <c r="E97" i="9" s="1"/>
  <c r="M97" i="9" a="1"/>
  <c r="M97" i="9" s="1"/>
  <c r="D97" i="9" a="1"/>
  <c r="D97" i="9" s="1"/>
  <c r="F97" i="9" s="1"/>
  <c r="G97" i="9" s="1"/>
  <c r="Q97" i="9"/>
  <c r="P97" i="9" s="1"/>
  <c r="J97" i="9"/>
  <c r="B97" i="9"/>
  <c r="L121" i="9"/>
  <c r="N127" i="9"/>
  <c r="H127" i="9"/>
  <c r="E127" i="9" s="1"/>
  <c r="Q127" i="9"/>
  <c r="P127" i="9" s="1"/>
  <c r="I127" i="9" a="1"/>
  <c r="I127" i="9" s="1"/>
  <c r="B127" i="9"/>
  <c r="M127" i="9" a="1"/>
  <c r="M127" i="9" s="1"/>
  <c r="D127" i="9" a="1"/>
  <c r="D127" i="9" s="1"/>
  <c r="F127" i="9" s="1"/>
  <c r="G127" i="9" s="1"/>
  <c r="J127" i="9"/>
  <c r="H5" i="9"/>
  <c r="E5" i="9" s="1"/>
  <c r="H13" i="9"/>
  <c r="E13" i="9" s="1"/>
  <c r="H21" i="9"/>
  <c r="E21" i="9" s="1"/>
  <c r="H29" i="9"/>
  <c r="E29" i="9" s="1"/>
  <c r="H37" i="9"/>
  <c r="E37" i="9" s="1"/>
  <c r="H45" i="9"/>
  <c r="E45" i="9" s="1"/>
  <c r="H53" i="9"/>
  <c r="E53" i="9" s="1"/>
  <c r="H61" i="9"/>
  <c r="E61" i="9" s="1"/>
  <c r="N61" i="9"/>
  <c r="L202" i="9"/>
  <c r="L132" i="9"/>
  <c r="N62" i="9"/>
  <c r="H62" i="9"/>
  <c r="E62" i="9" s="1"/>
  <c r="L208" i="9"/>
  <c r="L138" i="9"/>
  <c r="N68" i="9"/>
  <c r="H68" i="9"/>
  <c r="E68" i="9" s="1"/>
  <c r="D68" i="9" a="1"/>
  <c r="D68" i="9" s="1"/>
  <c r="F68" i="9" s="1"/>
  <c r="G68" i="9" s="1"/>
  <c r="M68" i="9" a="1"/>
  <c r="M68" i="9" s="1"/>
  <c r="I97" i="9" a="1"/>
  <c r="I97" i="9" s="1"/>
  <c r="H4" i="9"/>
  <c r="E4" i="9" s="1"/>
  <c r="B5" i="9"/>
  <c r="H12" i="9"/>
  <c r="H20" i="9"/>
  <c r="E20" i="9" s="1"/>
  <c r="H28" i="9"/>
  <c r="E28" i="9" s="1"/>
  <c r="H36" i="9"/>
  <c r="E36" i="9" s="1"/>
  <c r="H44" i="9"/>
  <c r="E44" i="9" s="1"/>
  <c r="H52" i="9"/>
  <c r="E52" i="9" s="1"/>
  <c r="H60" i="9"/>
  <c r="E60" i="9" s="1"/>
  <c r="L203" i="9"/>
  <c r="L133" i="9"/>
  <c r="B63" i="9"/>
  <c r="M63" i="9" a="1"/>
  <c r="M63" i="9" s="1"/>
  <c r="I82" i="9" a="1"/>
  <c r="I82" i="9" s="1"/>
  <c r="D84" i="9" a="1"/>
  <c r="D84" i="9" s="1"/>
  <c r="F84" i="9" s="1"/>
  <c r="G84" i="9" s="1"/>
  <c r="D92" i="9" a="1"/>
  <c r="D92" i="9" s="1"/>
  <c r="F92" i="9" s="1"/>
  <c r="G92" i="9" s="1"/>
  <c r="I98" i="9" a="1"/>
  <c r="I98" i="9" s="1"/>
  <c r="D100" i="9" a="1"/>
  <c r="D100" i="9" s="1"/>
  <c r="F100" i="9" s="1"/>
  <c r="G100" i="9" s="1"/>
  <c r="I106" i="9" a="1"/>
  <c r="I106" i="9" s="1"/>
  <c r="D108" i="9" a="1"/>
  <c r="D108" i="9" s="1"/>
  <c r="F108" i="9" s="1"/>
  <c r="G108" i="9" s="1"/>
  <c r="Q113" i="9"/>
  <c r="P113" i="9" s="1"/>
  <c r="J113" i="9"/>
  <c r="J114" i="9"/>
  <c r="J115" i="9"/>
  <c r="J116" i="9"/>
  <c r="J117" i="9"/>
  <c r="N118" i="9"/>
  <c r="H118" i="9"/>
  <c r="E118" i="9" s="1"/>
  <c r="J118" i="9"/>
  <c r="D131" i="9" a="1"/>
  <c r="D131" i="9" s="1"/>
  <c r="F131" i="9" s="1"/>
  <c r="G131" i="9" s="1"/>
  <c r="N131" i="9"/>
  <c r="H131" i="9"/>
  <c r="E131" i="9" s="1"/>
  <c r="M131" i="9" a="1"/>
  <c r="M131" i="9" s="1"/>
  <c r="J131" i="9"/>
  <c r="B131" i="9"/>
  <c r="I131" i="9" a="1"/>
  <c r="I131" i="9" s="1"/>
  <c r="Q131" i="9"/>
  <c r="P131" i="9" s="1"/>
  <c r="I74" i="9" a="1"/>
  <c r="I74" i="9" s="1"/>
  <c r="H78" i="9"/>
  <c r="E78" i="9" s="1"/>
  <c r="N78" i="9"/>
  <c r="I80" i="9" a="1"/>
  <c r="I80" i="9" s="1"/>
  <c r="D82" i="9" a="1"/>
  <c r="D82" i="9" s="1"/>
  <c r="F82" i="9" s="1"/>
  <c r="G82" i="9" s="1"/>
  <c r="H86" i="9"/>
  <c r="E86" i="9" s="1"/>
  <c r="N86" i="9"/>
  <c r="I88" i="9" a="1"/>
  <c r="I88" i="9" s="1"/>
  <c r="H94" i="9"/>
  <c r="E94" i="9" s="1"/>
  <c r="N94" i="9"/>
  <c r="I96" i="9" a="1"/>
  <c r="I96" i="9" s="1"/>
  <c r="D98" i="9" a="1"/>
  <c r="D98" i="9" s="1"/>
  <c r="F98" i="9" s="1"/>
  <c r="G98" i="9" s="1"/>
  <c r="H102" i="9"/>
  <c r="E102" i="9" s="1"/>
  <c r="N102" i="9"/>
  <c r="I104" i="9" a="1"/>
  <c r="I104" i="9" s="1"/>
  <c r="D106" i="9" a="1"/>
  <c r="D106" i="9" s="1"/>
  <c r="F106" i="9" s="1"/>
  <c r="G106" i="9" s="1"/>
  <c r="H110" i="9"/>
  <c r="E110" i="9" s="1"/>
  <c r="N110" i="9"/>
  <c r="I112" i="9" a="1"/>
  <c r="I112" i="9" s="1"/>
  <c r="H64" i="9"/>
  <c r="E64" i="9" s="1"/>
  <c r="L206" i="9"/>
  <c r="L136" i="9"/>
  <c r="I66" i="9" a="1"/>
  <c r="I66" i="9" s="1"/>
  <c r="H71" i="9"/>
  <c r="E71" i="9" s="1"/>
  <c r="B72" i="9"/>
  <c r="J74" i="9"/>
  <c r="Q74" i="9"/>
  <c r="P74" i="9" s="1"/>
  <c r="B78" i="9"/>
  <c r="I79" i="9" a="1"/>
  <c r="I79" i="9" s="1"/>
  <c r="J80" i="9"/>
  <c r="Q80" i="9"/>
  <c r="P80" i="9" s="1"/>
  <c r="M84" i="9" a="1"/>
  <c r="M84" i="9" s="1"/>
  <c r="B86" i="9"/>
  <c r="I87" i="9" a="1"/>
  <c r="I87" i="9" s="1"/>
  <c r="J88" i="9"/>
  <c r="Q88" i="9"/>
  <c r="P88" i="9" s="1"/>
  <c r="M92" i="9" a="1"/>
  <c r="M92" i="9" s="1"/>
  <c r="B94" i="9"/>
  <c r="I95" i="9" a="1"/>
  <c r="I95" i="9" s="1"/>
  <c r="J96" i="9"/>
  <c r="Q96" i="9"/>
  <c r="P96" i="9" s="1"/>
  <c r="M100" i="9" a="1"/>
  <c r="M100" i="9" s="1"/>
  <c r="B102" i="9"/>
  <c r="J104" i="9"/>
  <c r="M108" i="9" a="1"/>
  <c r="M108" i="9" s="1"/>
  <c r="B110" i="9"/>
  <c r="I111" i="9" a="1"/>
  <c r="I111" i="9" s="1"/>
  <c r="J112" i="9"/>
  <c r="Q112" i="9"/>
  <c r="P112" i="9" s="1"/>
  <c r="M113" i="9" a="1"/>
  <c r="M113" i="9" s="1"/>
  <c r="M114" i="9" a="1"/>
  <c r="M114" i="9" s="1"/>
  <c r="H119" i="9"/>
  <c r="E119" i="9" s="1"/>
  <c r="M121" i="9" a="1"/>
  <c r="M121" i="9" s="1"/>
  <c r="D121" i="9" a="1"/>
  <c r="D121" i="9" s="1"/>
  <c r="F121" i="9" s="1"/>
  <c r="G121" i="9" s="1"/>
  <c r="Q121" i="9"/>
  <c r="P121" i="9" s="1"/>
  <c r="J121" i="9"/>
  <c r="N121" i="9"/>
  <c r="B122" i="9"/>
  <c r="N122" i="9"/>
  <c r="H122" i="9"/>
  <c r="E122" i="9" s="1"/>
  <c r="D122" i="9" a="1"/>
  <c r="D122" i="9" s="1"/>
  <c r="F122" i="9" s="1"/>
  <c r="G122" i="9" s="1"/>
  <c r="B128" i="9"/>
  <c r="J128" i="9"/>
  <c r="I128" i="9" a="1"/>
  <c r="I128" i="9" s="1"/>
  <c r="N128" i="9"/>
  <c r="M128" i="9" a="1"/>
  <c r="M128" i="9" s="1"/>
  <c r="D128" i="9" a="1"/>
  <c r="D128" i="9" s="1"/>
  <c r="F128" i="9" s="1"/>
  <c r="G128" i="9" s="1"/>
  <c r="N145" i="9"/>
  <c r="M145" i="9" a="1"/>
  <c r="M145" i="9" s="1"/>
  <c r="D145" i="9" a="1"/>
  <c r="D145" i="9" s="1"/>
  <c r="F145" i="9" s="1"/>
  <c r="G145" i="9" s="1"/>
  <c r="B145" i="9"/>
  <c r="J145" i="9"/>
  <c r="I145" i="9"/>
  <c r="I72" i="9" a="1"/>
  <c r="I72" i="9" s="1"/>
  <c r="D74" i="9" a="1"/>
  <c r="D74" i="9" s="1"/>
  <c r="F74" i="9" s="1"/>
  <c r="G74" i="9" s="1"/>
  <c r="I78" i="9" a="1"/>
  <c r="I78" i="9" s="1"/>
  <c r="H84" i="9"/>
  <c r="E84" i="9" s="1"/>
  <c r="N84" i="9"/>
  <c r="I86" i="9" a="1"/>
  <c r="I86" i="9" s="1"/>
  <c r="H92" i="9"/>
  <c r="E92" i="9" s="1"/>
  <c r="N92" i="9"/>
  <c r="I94" i="9" a="1"/>
  <c r="I94" i="9" s="1"/>
  <c r="H100" i="9"/>
  <c r="E100" i="9" s="1"/>
  <c r="N100" i="9"/>
  <c r="I102" i="9" a="1"/>
  <c r="I102" i="9" s="1"/>
  <c r="H108" i="9"/>
  <c r="E108" i="9" s="1"/>
  <c r="N108" i="9"/>
  <c r="I110" i="9" a="1"/>
  <c r="I110" i="9" s="1"/>
  <c r="N113" i="9"/>
  <c r="L204" i="9"/>
  <c r="L134" i="9"/>
  <c r="I64" i="9" a="1"/>
  <c r="I64" i="9" s="1"/>
  <c r="H70" i="9"/>
  <c r="E70" i="9" s="1"/>
  <c r="J72" i="9"/>
  <c r="H75" i="9"/>
  <c r="E75" i="9" s="1"/>
  <c r="N75" i="9"/>
  <c r="J78" i="9"/>
  <c r="M82" i="9" a="1"/>
  <c r="M82" i="9" s="1"/>
  <c r="H83" i="9"/>
  <c r="E83" i="9" s="1"/>
  <c r="N83" i="9"/>
  <c r="B84" i="9"/>
  <c r="J86" i="9"/>
  <c r="H91" i="9"/>
  <c r="E91" i="9" s="1"/>
  <c r="N91" i="9"/>
  <c r="B92" i="9"/>
  <c r="J94" i="9"/>
  <c r="M98" i="9" a="1"/>
  <c r="M98" i="9" s="1"/>
  <c r="H99" i="9"/>
  <c r="E99" i="9" s="1"/>
  <c r="N99" i="9"/>
  <c r="B100" i="9"/>
  <c r="J102" i="9"/>
  <c r="M106" i="9" a="1"/>
  <c r="M106" i="9" s="1"/>
  <c r="H107" i="9"/>
  <c r="E107" i="9" s="1"/>
  <c r="N107" i="9"/>
  <c r="B108" i="9"/>
  <c r="J110" i="9"/>
  <c r="H113" i="9"/>
  <c r="E113" i="9" s="1"/>
  <c r="H114" i="9"/>
  <c r="E114" i="9" s="1"/>
  <c r="H117" i="9"/>
  <c r="E117" i="9" s="1"/>
  <c r="Q125" i="9"/>
  <c r="P125" i="9" s="1"/>
  <c r="I125" i="9" a="1"/>
  <c r="I125" i="9" s="1"/>
  <c r="B125" i="9"/>
  <c r="N125" i="9"/>
  <c r="M125" i="9" a="1"/>
  <c r="M125" i="9" s="1"/>
  <c r="D125" i="9" a="1"/>
  <c r="D125" i="9" s="1"/>
  <c r="F125" i="9" s="1"/>
  <c r="G125" i="9" s="1"/>
  <c r="H128" i="9"/>
  <c r="E128" i="9" s="1"/>
  <c r="I146" i="9"/>
  <c r="B146" i="9"/>
  <c r="N146" i="9"/>
  <c r="D146" i="9" a="1"/>
  <c r="D146" i="9" s="1"/>
  <c r="F146" i="9" s="1"/>
  <c r="G146" i="9" s="1"/>
  <c r="M146" i="9" a="1"/>
  <c r="M146" i="9" s="1"/>
  <c r="J146" i="9"/>
  <c r="H146" i="9"/>
  <c r="E146" i="9" s="1"/>
  <c r="I84" i="9" a="1"/>
  <c r="I84" i="9" s="1"/>
  <c r="I92" i="9" a="1"/>
  <c r="I92" i="9" s="1"/>
  <c r="I100" i="9" a="1"/>
  <c r="I100" i="9" s="1"/>
  <c r="I108" i="9" a="1"/>
  <c r="I108" i="9" s="1"/>
  <c r="D139" i="9" a="1"/>
  <c r="D139" i="9" s="1"/>
  <c r="F139" i="9" s="1"/>
  <c r="G139" i="9" s="1"/>
  <c r="N139" i="9"/>
  <c r="H139" i="9"/>
  <c r="E139" i="9" s="1"/>
  <c r="J139" i="9"/>
  <c r="B139" i="9"/>
  <c r="I139" i="9" a="1"/>
  <c r="I139" i="9" s="1"/>
  <c r="Q139" i="9"/>
  <c r="P139" i="9" s="1"/>
  <c r="M139" i="9" a="1"/>
  <c r="M139" i="9" s="1"/>
  <c r="L210" i="9"/>
  <c r="L140" i="9"/>
  <c r="I70" i="9" a="1"/>
  <c r="I70" i="9" s="1"/>
  <c r="J84" i="9"/>
  <c r="J92" i="9"/>
  <c r="J100" i="9"/>
  <c r="J108" i="9"/>
  <c r="B113" i="9"/>
  <c r="I113" i="9" a="1"/>
  <c r="I113" i="9" s="1"/>
  <c r="B114" i="9"/>
  <c r="I114" i="9" a="1"/>
  <c r="I114" i="9" s="1"/>
  <c r="Q114" i="9"/>
  <c r="P114" i="9" s="1"/>
  <c r="I122" i="9" a="1"/>
  <c r="I122" i="9" s="1"/>
  <c r="M126" i="9" a="1"/>
  <c r="M126" i="9" s="1"/>
  <c r="Q126" i="9"/>
  <c r="P126" i="9" s="1"/>
  <c r="I126" i="9" a="1"/>
  <c r="I126" i="9" s="1"/>
  <c r="B126" i="9"/>
  <c r="N126" i="9"/>
  <c r="D126" i="9" a="1"/>
  <c r="D126" i="9" s="1"/>
  <c r="F126" i="9" s="1"/>
  <c r="G126" i="9" s="1"/>
  <c r="I154" i="9"/>
  <c r="B154" i="9"/>
  <c r="I164" i="9"/>
  <c r="B164" i="9"/>
  <c r="N164" i="9"/>
  <c r="J164" i="9"/>
  <c r="D164" i="9" a="1"/>
  <c r="D164" i="9" s="1"/>
  <c r="F164" i="9" s="1"/>
  <c r="G164" i="9" s="1"/>
  <c r="N174" i="9"/>
  <c r="H174" i="9"/>
  <c r="E174" i="9" s="1"/>
  <c r="M174" i="9" a="1"/>
  <c r="M174" i="9" s="1"/>
  <c r="B174" i="9"/>
  <c r="Q174" i="9"/>
  <c r="P174" i="9" s="1"/>
  <c r="I185" i="9"/>
  <c r="B185" i="9"/>
  <c r="N185" i="9"/>
  <c r="M185" i="9" a="1"/>
  <c r="M185" i="9" s="1"/>
  <c r="I130" i="9" a="1"/>
  <c r="I130" i="9" s="1"/>
  <c r="M134" i="9" a="1"/>
  <c r="M134" i="9" s="1"/>
  <c r="Q134" i="9"/>
  <c r="P134" i="9" s="1"/>
  <c r="J134" i="9"/>
  <c r="B135" i="9"/>
  <c r="I136" i="9" a="1"/>
  <c r="I136" i="9" s="1"/>
  <c r="N138" i="9"/>
  <c r="B141" i="9"/>
  <c r="J143" i="9"/>
  <c r="H147" i="9"/>
  <c r="E147" i="9" s="1"/>
  <c r="Q147" i="9"/>
  <c r="P147" i="9" s="1"/>
  <c r="Q148" i="9"/>
  <c r="P148" i="9" s="1"/>
  <c r="D152" i="9" a="1"/>
  <c r="D152" i="9" s="1"/>
  <c r="F152" i="9" s="1"/>
  <c r="G152" i="9" s="1"/>
  <c r="N152" i="9"/>
  <c r="D153" i="9" a="1"/>
  <c r="D153" i="9" s="1"/>
  <c r="F153" i="9" s="1"/>
  <c r="G153" i="9" s="1"/>
  <c r="M153" i="9" a="1"/>
  <c r="M153" i="9" s="1"/>
  <c r="M154" i="9" a="1"/>
  <c r="M154" i="9" s="1"/>
  <c r="I156" i="9"/>
  <c r="B156" i="9"/>
  <c r="B157" i="9"/>
  <c r="J159" i="9"/>
  <c r="Q160" i="9"/>
  <c r="P160" i="9" s="1"/>
  <c r="I160" i="9"/>
  <c r="M160" i="9" a="1"/>
  <c r="M160" i="9" s="1"/>
  <c r="N160" i="9"/>
  <c r="Q161" i="9"/>
  <c r="P161" i="9" s="1"/>
  <c r="B161" i="9"/>
  <c r="I165" i="9"/>
  <c r="B165" i="9"/>
  <c r="M165" i="9" a="1"/>
  <c r="M165" i="9" s="1"/>
  <c r="Q165" i="9"/>
  <c r="P165" i="9" s="1"/>
  <c r="D174" i="9" a="1"/>
  <c r="D174" i="9" s="1"/>
  <c r="F174" i="9" s="1"/>
  <c r="G174" i="9" s="1"/>
  <c r="B175" i="9"/>
  <c r="H177" i="9"/>
  <c r="E177" i="9" s="1"/>
  <c r="I179" i="9"/>
  <c r="B179" i="9"/>
  <c r="N179" i="9"/>
  <c r="Q179" i="9"/>
  <c r="P179" i="9" s="1"/>
  <c r="M180" i="9" a="1"/>
  <c r="M180" i="9" s="1"/>
  <c r="N182" i="9"/>
  <c r="I182" i="9"/>
  <c r="B182" i="9"/>
  <c r="H182" i="9"/>
  <c r="E182" i="9" s="1"/>
  <c r="D185" i="9" a="1"/>
  <c r="D185" i="9" s="1"/>
  <c r="F185" i="9" s="1"/>
  <c r="G185" i="9" s="1"/>
  <c r="M186" i="9" a="1"/>
  <c r="M186" i="9" s="1"/>
  <c r="J188" i="9"/>
  <c r="H132" i="9"/>
  <c r="E132" i="9" s="1"/>
  <c r="Q132" i="9"/>
  <c r="P132" i="9" s="1"/>
  <c r="N135" i="9"/>
  <c r="H135" i="9"/>
  <c r="E135" i="9" s="1"/>
  <c r="D135" i="9" a="1"/>
  <c r="D135" i="9" s="1"/>
  <c r="F135" i="9" s="1"/>
  <c r="G135" i="9" s="1"/>
  <c r="J136" i="9"/>
  <c r="I142" i="9"/>
  <c r="B142" i="9"/>
  <c r="B143" i="9"/>
  <c r="H149" i="9"/>
  <c r="E149" i="9" s="1"/>
  <c r="Q149" i="9"/>
  <c r="P149" i="9" s="1"/>
  <c r="D154" i="9" a="1"/>
  <c r="D154" i="9" s="1"/>
  <c r="F154" i="9" s="1"/>
  <c r="G154" i="9" s="1"/>
  <c r="N154" i="9"/>
  <c r="I158" i="9"/>
  <c r="B158" i="9"/>
  <c r="B159" i="9"/>
  <c r="B166" i="9"/>
  <c r="H168" i="9"/>
  <c r="E168" i="9" s="1"/>
  <c r="H173" i="9"/>
  <c r="E173" i="9" s="1"/>
  <c r="J177" i="9"/>
  <c r="H185" i="9"/>
  <c r="E185" i="9" s="1"/>
  <c r="M188" i="9" a="1"/>
  <c r="M188" i="9" s="1"/>
  <c r="D196" i="9" a="1"/>
  <c r="D196" i="9" s="1"/>
  <c r="F196" i="9" s="1"/>
  <c r="G196" i="9" s="1"/>
  <c r="I196" i="9"/>
  <c r="B196" i="9"/>
  <c r="H196" i="9"/>
  <c r="E196" i="9" s="1"/>
  <c r="N196" i="9"/>
  <c r="M196" i="9" a="1"/>
  <c r="M196" i="9" s="1"/>
  <c r="Q196" i="9"/>
  <c r="P196" i="9" s="1"/>
  <c r="Q130" i="9"/>
  <c r="P130" i="9" s="1"/>
  <c r="J130" i="9"/>
  <c r="M130" i="9" a="1"/>
  <c r="M130" i="9" s="1"/>
  <c r="I144" i="9"/>
  <c r="B144" i="9"/>
  <c r="H151" i="9"/>
  <c r="E151" i="9" s="1"/>
  <c r="Q151" i="9"/>
  <c r="P151" i="9" s="1"/>
  <c r="Q152" i="9"/>
  <c r="P152" i="9" s="1"/>
  <c r="H164" i="9"/>
  <c r="E164" i="9" s="1"/>
  <c r="N166" i="9"/>
  <c r="D166" i="9" a="1"/>
  <c r="D166" i="9" s="1"/>
  <c r="F166" i="9" s="1"/>
  <c r="G166" i="9" s="1"/>
  <c r="J166" i="9"/>
  <c r="N170" i="9"/>
  <c r="Q170" i="9"/>
  <c r="P170" i="9" s="1"/>
  <c r="I174" i="9"/>
  <c r="I180" i="9"/>
  <c r="B180" i="9"/>
  <c r="N180" i="9"/>
  <c r="D180" i="9" a="1"/>
  <c r="D180" i="9" s="1"/>
  <c r="F180" i="9" s="1"/>
  <c r="G180" i="9" s="1"/>
  <c r="J180" i="9"/>
  <c r="J185" i="9"/>
  <c r="I181" i="9"/>
  <c r="B181" i="9"/>
  <c r="N181" i="9"/>
  <c r="M181" i="9" a="1"/>
  <c r="M181" i="9" s="1"/>
  <c r="I184" i="9"/>
  <c r="B184" i="9"/>
  <c r="N184" i="9"/>
  <c r="D184" i="9" a="1"/>
  <c r="D184" i="9" s="1"/>
  <c r="F184" i="9" s="1"/>
  <c r="G184" i="9" s="1"/>
  <c r="N186" i="9"/>
  <c r="I186" i="9"/>
  <c r="B186" i="9"/>
  <c r="H186" i="9"/>
  <c r="E186" i="9" s="1"/>
  <c r="B123" i="9"/>
  <c r="N130" i="9"/>
  <c r="D136" i="9" a="1"/>
  <c r="D136" i="9" s="1"/>
  <c r="F136" i="9" s="1"/>
  <c r="G136" i="9" s="1"/>
  <c r="M136" i="9" a="1"/>
  <c r="M136" i="9" s="1"/>
  <c r="I138" i="9" a="1"/>
  <c r="I138" i="9" s="1"/>
  <c r="D144" i="9" a="1"/>
  <c r="D144" i="9" s="1"/>
  <c r="F144" i="9" s="1"/>
  <c r="G144" i="9" s="1"/>
  <c r="N144" i="9"/>
  <c r="I148" i="9"/>
  <c r="B148" i="9"/>
  <c r="B149" i="9"/>
  <c r="J151" i="9"/>
  <c r="I153" i="9"/>
  <c r="H154" i="9"/>
  <c r="E154" i="9" s="1"/>
  <c r="H166" i="9"/>
  <c r="E166" i="9" s="1"/>
  <c r="H170" i="9"/>
  <c r="E170" i="9" s="1"/>
  <c r="I172" i="9"/>
  <c r="B172" i="9"/>
  <c r="N172" i="9"/>
  <c r="Q172" i="9"/>
  <c r="P172" i="9" s="1"/>
  <c r="N173" i="9"/>
  <c r="D181" i="9" a="1"/>
  <c r="D181" i="9" s="1"/>
  <c r="F181" i="9" s="1"/>
  <c r="G181" i="9" s="1"/>
  <c r="N136" i="9"/>
  <c r="H141" i="9"/>
  <c r="E141" i="9" s="1"/>
  <c r="Q141" i="9"/>
  <c r="P141" i="9" s="1"/>
  <c r="Q142" i="9"/>
  <c r="P142" i="9" s="1"/>
  <c r="I150" i="9"/>
  <c r="B150" i="9"/>
  <c r="B151" i="9"/>
  <c r="J153" i="9"/>
  <c r="J154" i="9"/>
  <c r="H157" i="9"/>
  <c r="E157" i="9" s="1"/>
  <c r="Q157" i="9"/>
  <c r="P157" i="9" s="1"/>
  <c r="Q158" i="9"/>
  <c r="P158" i="9" s="1"/>
  <c r="I163" i="9"/>
  <c r="B163" i="9"/>
  <c r="N163" i="9"/>
  <c r="Q163" i="9"/>
  <c r="P163" i="9" s="1"/>
  <c r="M164" i="9" a="1"/>
  <c r="M164" i="9" s="1"/>
  <c r="I166" i="9"/>
  <c r="I170" i="9"/>
  <c r="D172" i="9" a="1"/>
  <c r="D172" i="9" s="1"/>
  <c r="F172" i="9" s="1"/>
  <c r="G172" i="9" s="1"/>
  <c r="I177" i="9"/>
  <c r="B177" i="9"/>
  <c r="Q177" i="9"/>
  <c r="P177" i="9" s="1"/>
  <c r="H180" i="9"/>
  <c r="E180" i="9" s="1"/>
  <c r="H184" i="9"/>
  <c r="E184" i="9" s="1"/>
  <c r="Q185" i="9"/>
  <c r="P185" i="9" s="1"/>
  <c r="I188" i="9"/>
  <c r="B188" i="9"/>
  <c r="N188" i="9"/>
  <c r="D188" i="9" a="1"/>
  <c r="D188" i="9" s="1"/>
  <c r="F188" i="9" s="1"/>
  <c r="G188" i="9" s="1"/>
  <c r="M189" i="9" a="1"/>
  <c r="M189" i="9" s="1"/>
  <c r="I189" i="9"/>
  <c r="B189" i="9"/>
  <c r="N189" i="9"/>
  <c r="J189" i="9"/>
  <c r="D192" i="9" a="1"/>
  <c r="D192" i="9" s="1"/>
  <c r="F192" i="9" s="1"/>
  <c r="G192" i="9" s="1"/>
  <c r="I192" i="9"/>
  <c r="B192" i="9"/>
  <c r="H192" i="9"/>
  <c r="E192" i="9" s="1"/>
  <c r="N192" i="9"/>
  <c r="M192" i="9" a="1"/>
  <c r="M192" i="9" s="1"/>
  <c r="J192" i="9"/>
  <c r="Q138" i="9"/>
  <c r="P138" i="9" s="1"/>
  <c r="J138" i="9"/>
  <c r="M138" i="9" a="1"/>
  <c r="M138" i="9" s="1"/>
  <c r="H143" i="9"/>
  <c r="E143" i="9" s="1"/>
  <c r="Q143" i="9"/>
  <c r="P143" i="9" s="1"/>
  <c r="Q144" i="9"/>
  <c r="P144" i="9" s="1"/>
  <c r="I152" i="9"/>
  <c r="B152" i="9"/>
  <c r="B153" i="9"/>
  <c r="H159" i="9"/>
  <c r="E159" i="9" s="1"/>
  <c r="Q159" i="9"/>
  <c r="P159" i="9" s="1"/>
  <c r="Q164" i="9"/>
  <c r="P164" i="9" s="1"/>
  <c r="I168" i="9"/>
  <c r="B168" i="9"/>
  <c r="N168" i="9"/>
  <c r="Q168" i="9"/>
  <c r="P168" i="9" s="1"/>
  <c r="J170" i="9"/>
  <c r="I173" i="9"/>
  <c r="B173" i="9"/>
  <c r="J173" i="9"/>
  <c r="D173" i="9" a="1"/>
  <c r="D173" i="9" s="1"/>
  <c r="F173" i="9" s="1"/>
  <c r="G173" i="9" s="1"/>
  <c r="D177" i="9" a="1"/>
  <c r="D177" i="9" s="1"/>
  <c r="F177" i="9" s="1"/>
  <c r="G177" i="9" s="1"/>
  <c r="J186" i="9"/>
  <c r="D189" i="9" a="1"/>
  <c r="D189" i="9" s="1"/>
  <c r="F189" i="9" s="1"/>
  <c r="G189" i="9" s="1"/>
  <c r="Q192" i="9"/>
  <c r="P192" i="9" s="1"/>
  <c r="I169" i="9"/>
  <c r="B169" i="9"/>
  <c r="N169" i="9"/>
  <c r="I187" i="9"/>
  <c r="B187" i="9"/>
  <c r="N187" i="9"/>
  <c r="Q187" i="9"/>
  <c r="P187" i="9" s="1"/>
  <c r="D200" i="9" a="1"/>
  <c r="D200" i="9" s="1"/>
  <c r="F200" i="9" s="1"/>
  <c r="G200" i="9" s="1"/>
  <c r="I200" i="9"/>
  <c r="B200" i="9"/>
  <c r="H200" i="9"/>
  <c r="E200" i="9" s="1"/>
  <c r="N200" i="9"/>
  <c r="M200" i="9" a="1"/>
  <c r="M200" i="9" s="1"/>
  <c r="I208" i="9"/>
  <c r="B208" i="9"/>
  <c r="N208" i="9"/>
  <c r="M208" i="9" a="1"/>
  <c r="M208" i="9" s="1"/>
  <c r="D208" i="9" a="1"/>
  <c r="D208" i="9" s="1"/>
  <c r="F208" i="9" s="1"/>
  <c r="G208" i="9" s="1"/>
  <c r="J208" i="9"/>
  <c r="H208" i="9"/>
  <c r="E208" i="9" s="1"/>
  <c r="Q208" i="9"/>
  <c r="P208" i="9" s="1"/>
  <c r="I167" i="9"/>
  <c r="B167" i="9"/>
  <c r="N167" i="9"/>
  <c r="M167" i="9" a="1"/>
  <c r="M167" i="9" s="1"/>
  <c r="H169" i="9"/>
  <c r="E169" i="9" s="1"/>
  <c r="I176" i="9"/>
  <c r="B176" i="9"/>
  <c r="N176" i="9"/>
  <c r="M176" i="9" a="1"/>
  <c r="M176" i="9" s="1"/>
  <c r="I178" i="9"/>
  <c r="I183" i="9"/>
  <c r="B183" i="9"/>
  <c r="N183" i="9"/>
  <c r="Q183" i="9"/>
  <c r="P183" i="9" s="1"/>
  <c r="J187" i="9"/>
  <c r="D204" i="9" a="1"/>
  <c r="D204" i="9" s="1"/>
  <c r="F204" i="9" s="1"/>
  <c r="G204" i="9" s="1"/>
  <c r="I204" i="9"/>
  <c r="B204" i="9"/>
  <c r="H204" i="9"/>
  <c r="E204" i="9" s="1"/>
  <c r="N204" i="9"/>
  <c r="M204" i="9" a="1"/>
  <c r="M204" i="9" s="1"/>
  <c r="J204" i="9"/>
  <c r="B190" i="9"/>
  <c r="I190" i="9"/>
  <c r="N193" i="9"/>
  <c r="J190" i="9"/>
  <c r="Q190" i="9"/>
  <c r="P190" i="9" s="1"/>
  <c r="H193" i="9"/>
  <c r="E193" i="9" s="1"/>
  <c r="J194" i="9"/>
  <c r="Q194" i="9"/>
  <c r="P194" i="9" s="1"/>
  <c r="H197" i="9"/>
  <c r="E197" i="9" s="1"/>
  <c r="J198" i="9"/>
  <c r="Q198" i="9"/>
  <c r="P198" i="9" s="1"/>
  <c r="H201" i="9"/>
  <c r="E201" i="9" s="1"/>
  <c r="J202" i="9"/>
  <c r="Q202" i="9"/>
  <c r="P202" i="9" s="1"/>
  <c r="H205" i="9"/>
  <c r="E205" i="9" s="1"/>
  <c r="J206" i="9"/>
  <c r="Q206" i="9"/>
  <c r="P206" i="9" s="1"/>
  <c r="M207" i="9" a="1"/>
  <c r="M207" i="9" s="1"/>
  <c r="B193" i="9"/>
  <c r="I193" i="9"/>
  <c r="B197" i="9"/>
  <c r="I197" i="9"/>
  <c r="J193" i="9"/>
  <c r="Q193" i="9"/>
  <c r="P193" i="9" s="1"/>
  <c r="J197" i="9"/>
  <c r="Q197" i="9"/>
  <c r="P197" i="9" s="1"/>
  <c r="J201" i="9"/>
  <c r="Q201" i="9"/>
  <c r="P201" i="9" s="1"/>
  <c r="J205" i="9"/>
  <c r="Q205" i="9"/>
  <c r="P205" i="9" s="1"/>
  <c r="N191" i="9"/>
  <c r="N195" i="9"/>
  <c r="N199" i="9"/>
  <c r="H207" i="9"/>
  <c r="E207" i="9" s="1"/>
  <c r="N190" i="9"/>
  <c r="B191" i="9"/>
  <c r="I191" i="9"/>
  <c r="N194" i="9"/>
  <c r="B195" i="9"/>
  <c r="I195" i="9"/>
  <c r="N198" i="9"/>
  <c r="B199" i="9"/>
  <c r="I199" i="9"/>
  <c r="N202" i="9"/>
  <c r="I207" i="9"/>
  <c r="B207" i="9"/>
  <c r="J191" i="9"/>
  <c r="J195" i="9"/>
  <c r="J199" i="9"/>
  <c r="J203" i="9"/>
  <c r="N210" i="9"/>
  <c r="I210" i="9"/>
  <c r="H209" i="9"/>
  <c r="E209" i="9" s="1"/>
  <c r="J210" i="9"/>
  <c r="Q210" i="9"/>
  <c r="P210" i="9" s="1"/>
  <c r="I209" i="9"/>
  <c r="J209" i="9"/>
  <c r="H17" i="10"/>
  <c r="K3" i="11"/>
  <c r="M3" i="11"/>
  <c r="D3" i="11" a="1"/>
  <c r="D3" i="11" s="1"/>
  <c r="L3" i="11"/>
  <c r="O3" i="11"/>
  <c r="E3" i="11"/>
  <c r="I3" i="11"/>
  <c r="H3" i="11"/>
  <c r="G3" i="11"/>
  <c r="F3" i="11"/>
  <c r="K5" i="11"/>
  <c r="I5" i="11"/>
  <c r="G5" i="11"/>
  <c r="O5" i="11"/>
  <c r="E5" i="11"/>
  <c r="L5" i="11"/>
  <c r="F5" i="11"/>
  <c r="D5" i="11" a="1"/>
  <c r="D5" i="11" s="1"/>
  <c r="K1" i="11"/>
  <c r="F1" i="11"/>
  <c r="O1" i="11"/>
  <c r="E1" i="11"/>
  <c r="P4" i="11" s="1"/>
  <c r="M1" i="11"/>
  <c r="I1" i="11"/>
  <c r="H1" i="11"/>
  <c r="G1" i="11"/>
  <c r="H5" i="11"/>
  <c r="Y2" i="11"/>
  <c r="H8" i="11"/>
  <c r="O8" i="11"/>
  <c r="F8" i="11"/>
  <c r="L8" i="11"/>
  <c r="H11" i="11"/>
  <c r="O11" i="11"/>
  <c r="F11" i="11"/>
  <c r="L11" i="11"/>
  <c r="D11" i="11" a="1"/>
  <c r="D11" i="11" s="1"/>
  <c r="I12" i="11"/>
  <c r="K12" i="11"/>
  <c r="Y4" i="11"/>
  <c r="L10" i="11"/>
  <c r="D10" i="11" a="1"/>
  <c r="D10" i="11" s="1"/>
  <c r="H10" i="11"/>
  <c r="J10" i="11" s="1"/>
  <c r="O10" i="11"/>
  <c r="F10" i="11"/>
  <c r="E14" i="11"/>
  <c r="O12" i="11"/>
  <c r="F12" i="11"/>
  <c r="L12" i="11"/>
  <c r="D12" i="11" a="1"/>
  <c r="D12" i="11" s="1"/>
  <c r="H12" i="11"/>
  <c r="G14" i="11"/>
  <c r="Z6" i="11"/>
  <c r="AA6" i="11" s="1"/>
  <c r="I14" i="11"/>
  <c r="M7" i="11"/>
  <c r="E7" i="11"/>
  <c r="K7" i="11"/>
  <c r="I7" i="11"/>
  <c r="J7" i="11" s="1"/>
  <c r="G8" i="11"/>
  <c r="E10" i="11"/>
  <c r="I11" i="11"/>
  <c r="K14" i="11"/>
  <c r="Y8" i="11"/>
  <c r="L14" i="11"/>
  <c r="D14" i="11" a="1"/>
  <c r="D14" i="11" s="1"/>
  <c r="H14" i="11"/>
  <c r="O14" i="11"/>
  <c r="F14" i="11"/>
  <c r="G13" i="11"/>
  <c r="J13" i="11" s="1"/>
  <c r="E9" i="11"/>
  <c r="M9" i="11"/>
  <c r="K13" i="11"/>
  <c r="E13" i="11"/>
  <c r="M2" i="12"/>
  <c r="A9" i="12"/>
  <c r="C245" i="9" a="1"/>
  <c r="H245" i="9" a="1"/>
  <c r="C240" i="9" a="1"/>
  <c r="H240" i="9" a="1"/>
  <c r="C221" i="9" a="1"/>
  <c r="H221" i="9" a="1"/>
  <c r="H228" i="9" a="1"/>
  <c r="C228" i="9" a="1"/>
  <c r="B71" i="9"/>
  <c r="C10" i="11" a="1"/>
  <c r="H236" i="9" a="1"/>
  <c r="C236" i="9" a="1"/>
  <c r="C3" i="11" a="1"/>
  <c r="C5" i="11" a="1"/>
  <c r="C8" i="11" a="1"/>
  <c r="H244" i="9" a="1"/>
  <c r="C244" i="9" a="1"/>
  <c r="C14" i="11" a="1"/>
  <c r="C11" i="11" a="1"/>
  <c r="C12" i="11" a="1"/>
  <c r="H245" i="9" l="1"/>
  <c r="Q245" i="9" s="1"/>
  <c r="P245" i="9" s="1"/>
  <c r="C245" i="9"/>
  <c r="A245" i="9" s="1"/>
  <c r="I8" i="6"/>
  <c r="H240" i="9"/>
  <c r="Q240" i="9" s="1"/>
  <c r="P240" i="9" s="1"/>
  <c r="C240" i="9"/>
  <c r="J240" i="9" s="1"/>
  <c r="H221" i="9"/>
  <c r="Q221" i="9" s="1"/>
  <c r="P221" i="9" s="1"/>
  <c r="C221" i="9"/>
  <c r="A221" i="9" s="1"/>
  <c r="I2" i="6"/>
  <c r="J11" i="11"/>
  <c r="P2" i="11"/>
  <c r="P11" i="11"/>
  <c r="J12" i="11"/>
  <c r="J5" i="11"/>
  <c r="C12" i="11"/>
  <c r="B12" i="11" s="1"/>
  <c r="C11" i="11"/>
  <c r="B11" i="11" s="1"/>
  <c r="C14" i="11"/>
  <c r="B14" i="11" s="1"/>
  <c r="C244" i="9"/>
  <c r="H244" i="9"/>
  <c r="Q244" i="9" s="1"/>
  <c r="P244" i="9" s="1"/>
  <c r="C8" i="11"/>
  <c r="B8" i="11" s="1"/>
  <c r="C5" i="11"/>
  <c r="B5" i="11" s="1"/>
  <c r="C3" i="11"/>
  <c r="B3" i="11" s="1"/>
  <c r="C236" i="9"/>
  <c r="H236" i="9"/>
  <c r="Q236" i="9" s="1"/>
  <c r="P236" i="9" s="1"/>
  <c r="C10" i="11"/>
  <c r="B10" i="11" s="1"/>
  <c r="C228" i="9"/>
  <c r="H228" i="9"/>
  <c r="Q228" i="9" s="1"/>
  <c r="P228" i="9" s="1"/>
  <c r="H9" i="12"/>
  <c r="Z7" i="11"/>
  <c r="AA7" i="11" s="1"/>
  <c r="Y7" i="11"/>
  <c r="P7" i="11"/>
  <c r="Y1" i="11"/>
  <c r="P1" i="11"/>
  <c r="Z1" i="11"/>
  <c r="Z5" i="11"/>
  <c r="AA5" i="11" s="1"/>
  <c r="Y5" i="11"/>
  <c r="P5" i="11"/>
  <c r="J3" i="11"/>
  <c r="J239" i="9"/>
  <c r="F226" i="9"/>
  <c r="G226" i="9" s="1"/>
  <c r="A226" i="9"/>
  <c r="J226" i="9"/>
  <c r="J243" i="9"/>
  <c r="J219" i="9"/>
  <c r="X3" i="5"/>
  <c r="N3" i="4"/>
  <c r="P6" i="11"/>
  <c r="F249" i="9"/>
  <c r="G249" i="9" s="1"/>
  <c r="A249" i="9"/>
  <c r="J249" i="9"/>
  <c r="F245" i="9"/>
  <c r="G245" i="9" s="1"/>
  <c r="A225" i="9"/>
  <c r="J225" i="9"/>
  <c r="F225" i="9"/>
  <c r="G225" i="9" s="1"/>
  <c r="J223" i="9"/>
  <c r="F250" i="9"/>
  <c r="G250" i="9" s="1"/>
  <c r="A250" i="9"/>
  <c r="J250" i="9"/>
  <c r="J227" i="9"/>
  <c r="Y10" i="11"/>
  <c r="P10" i="11"/>
  <c r="Y9" i="11"/>
  <c r="P9" i="11"/>
  <c r="Z9" i="11"/>
  <c r="AA9" i="11" s="1"/>
  <c r="J8" i="11"/>
  <c r="J1" i="11"/>
  <c r="Z3" i="11"/>
  <c r="AA3" i="11" s="1"/>
  <c r="Y3" i="11"/>
  <c r="P3" i="11"/>
  <c r="I5" i="2"/>
  <c r="F242" i="9"/>
  <c r="G242" i="9" s="1"/>
  <c r="A242" i="9"/>
  <c r="J242" i="9"/>
  <c r="A238" i="9"/>
  <c r="J238" i="9"/>
  <c r="F238" i="9"/>
  <c r="G238" i="9" s="1"/>
  <c r="A8" i="5" a="1"/>
  <c r="A8" i="5" s="1"/>
  <c r="J235" i="9"/>
  <c r="A25" i="10"/>
  <c r="A241" i="9"/>
  <c r="J241" i="9"/>
  <c r="F241" i="9"/>
  <c r="G241" i="9" s="1"/>
  <c r="F237" i="9"/>
  <c r="G237" i="9" s="1"/>
  <c r="A237" i="9"/>
  <c r="J237" i="9"/>
  <c r="J224" i="9"/>
  <c r="F224" i="9"/>
  <c r="G224" i="9" s="1"/>
  <c r="A224" i="9"/>
  <c r="A9" i="5" a="1"/>
  <c r="A9" i="5" s="1"/>
  <c r="J14" i="11"/>
  <c r="P8" i="11"/>
  <c r="F234" i="9"/>
  <c r="G234" i="9" s="1"/>
  <c r="A234" i="9"/>
  <c r="J234" i="9"/>
  <c r="A248" i="9"/>
  <c r="J248" i="9"/>
  <c r="F248" i="9"/>
  <c r="G248" i="9" s="1"/>
  <c r="A230" i="9"/>
  <c r="J230" i="9"/>
  <c r="F230" i="9"/>
  <c r="G230" i="9" s="1"/>
  <c r="S7" i="4"/>
  <c r="AJ7" i="5" s="1"/>
  <c r="K7" i="4"/>
  <c r="T7" i="5" s="1"/>
  <c r="C7" i="4"/>
  <c r="D7" i="5" s="1"/>
  <c r="W7" i="4"/>
  <c r="AN7" i="5" s="1"/>
  <c r="O7" i="4"/>
  <c r="AB7" i="5" s="1"/>
  <c r="G7" i="4"/>
  <c r="L7" i="5" s="1"/>
  <c r="Q7" i="4"/>
  <c r="AF7" i="5" s="1"/>
  <c r="F7" i="4"/>
  <c r="J7" i="5" s="1"/>
  <c r="A9" i="4" a="1"/>
  <c r="A9" i="4" s="1"/>
  <c r="P7" i="4"/>
  <c r="AD7" i="5" s="1"/>
  <c r="E7" i="4"/>
  <c r="H7" i="5" s="1"/>
  <c r="N7" i="4"/>
  <c r="Z7" i="5" s="1"/>
  <c r="H7" i="4"/>
  <c r="N7" i="5" s="1"/>
  <c r="D7" i="4"/>
  <c r="F7" i="5" s="1"/>
  <c r="M7" i="4"/>
  <c r="X7" i="5" s="1"/>
  <c r="B7" i="4"/>
  <c r="V7" i="4"/>
  <c r="AM7" i="5" s="1"/>
  <c r="L7" i="4"/>
  <c r="V7" i="5" s="1"/>
  <c r="J7" i="4"/>
  <c r="U7" i="4" s="1"/>
  <c r="T7" i="4"/>
  <c r="AL7" i="5" s="1"/>
  <c r="R7" i="4"/>
  <c r="AH7" i="5" s="1"/>
  <c r="I7" i="4"/>
  <c r="P7" i="5" s="1"/>
  <c r="J231" i="9"/>
  <c r="P126" i="4"/>
  <c r="H126" i="4"/>
  <c r="O126" i="4"/>
  <c r="G126" i="4"/>
  <c r="A128" i="4"/>
  <c r="V126" i="4"/>
  <c r="AM126" i="5" s="1"/>
  <c r="M126" i="4"/>
  <c r="E126" i="4"/>
  <c r="T126" i="4"/>
  <c r="L126" i="4"/>
  <c r="D126" i="4"/>
  <c r="S126" i="4"/>
  <c r="K126" i="4"/>
  <c r="C126" i="4"/>
  <c r="Q126" i="4"/>
  <c r="I126" i="4"/>
  <c r="B126" i="4"/>
  <c r="W126" i="4"/>
  <c r="AN126" i="5" s="1"/>
  <c r="R126" i="4"/>
  <c r="N126" i="4"/>
  <c r="J126" i="4"/>
  <c r="F126" i="4"/>
  <c r="A233" i="9"/>
  <c r="J233" i="9"/>
  <c r="F233" i="9"/>
  <c r="G233" i="9" s="1"/>
  <c r="F229" i="9"/>
  <c r="G229" i="9" s="1"/>
  <c r="J229" i="9"/>
  <c r="A229" i="9"/>
  <c r="S6" i="4"/>
  <c r="AJ6" i="5" s="1"/>
  <c r="K6" i="4"/>
  <c r="T6" i="5" s="1"/>
  <c r="W6" i="4"/>
  <c r="AN6" i="5" s="1"/>
  <c r="O6" i="4"/>
  <c r="AB6" i="5" s="1"/>
  <c r="G6" i="4"/>
  <c r="L6" i="5" s="1"/>
  <c r="T6" i="4"/>
  <c r="AL6" i="5" s="1"/>
  <c r="I6" i="4"/>
  <c r="P6" i="5" s="1"/>
  <c r="A8" i="4" a="1"/>
  <c r="A8" i="4" s="1"/>
  <c r="R6" i="4"/>
  <c r="AH6" i="5" s="1"/>
  <c r="H6" i="4"/>
  <c r="N6" i="5" s="1"/>
  <c r="J6" i="4"/>
  <c r="U6" i="4" s="1"/>
  <c r="Q6" i="4"/>
  <c r="AF6" i="5" s="1"/>
  <c r="F6" i="4"/>
  <c r="J6" i="5" s="1"/>
  <c r="P6" i="4"/>
  <c r="AD6" i="5" s="1"/>
  <c r="E6" i="4"/>
  <c r="H6" i="5" s="1"/>
  <c r="N6" i="4"/>
  <c r="Z6" i="5" s="1"/>
  <c r="D6" i="4"/>
  <c r="F6" i="5" s="1"/>
  <c r="M6" i="4"/>
  <c r="X6" i="5" s="1"/>
  <c r="C6" i="4"/>
  <c r="D6" i="5" s="1"/>
  <c r="L6" i="4"/>
  <c r="V6" i="5" s="1"/>
  <c r="B6" i="4"/>
  <c r="B6" i="5" s="1"/>
  <c r="V6" i="4"/>
  <c r="C246" i="9" a="1"/>
  <c r="H246" i="9" a="1"/>
  <c r="C222" i="9" a="1"/>
  <c r="H222" i="9" a="1"/>
  <c r="Q1" i="2"/>
  <c r="R1" i="2"/>
  <c r="P1" i="2"/>
  <c r="B2" i="7" a="1"/>
  <c r="S1" i="2"/>
  <c r="T1" i="2"/>
  <c r="U1" i="2"/>
  <c r="A240" i="9" l="1"/>
  <c r="J245" i="9"/>
  <c r="F221" i="9"/>
  <c r="G221" i="9" s="1"/>
  <c r="F240" i="9"/>
  <c r="G240" i="9" s="1"/>
  <c r="H246" i="9"/>
  <c r="Q246" i="9" s="1"/>
  <c r="P246" i="9" s="1"/>
  <c r="C246" i="9"/>
  <c r="J221" i="9"/>
  <c r="H222" i="9"/>
  <c r="Q222" i="9" s="1"/>
  <c r="P222" i="9" s="1"/>
  <c r="C222" i="9"/>
  <c r="B2" i="7"/>
  <c r="K1" i="9"/>
  <c r="V1" i="2"/>
  <c r="O1" i="9" s="1"/>
  <c r="K141" i="9"/>
  <c r="K71" i="9"/>
  <c r="H25" i="10"/>
  <c r="Z3" i="5"/>
  <c r="O3" i="4"/>
  <c r="T128" i="4"/>
  <c r="L128" i="4"/>
  <c r="D128" i="4"/>
  <c r="S128" i="4"/>
  <c r="K128" i="4"/>
  <c r="C128" i="4"/>
  <c r="Q128" i="4"/>
  <c r="I128" i="4"/>
  <c r="P128" i="4"/>
  <c r="H128" i="4"/>
  <c r="O128" i="4"/>
  <c r="G128" i="4"/>
  <c r="A130" i="4"/>
  <c r="V128" i="4"/>
  <c r="AM128" i="5" s="1"/>
  <c r="M128" i="4"/>
  <c r="E128" i="4"/>
  <c r="N128" i="4"/>
  <c r="J128" i="4"/>
  <c r="F128" i="4"/>
  <c r="B128" i="4"/>
  <c r="W128" i="4"/>
  <c r="AN128" i="5" s="1"/>
  <c r="R128" i="4"/>
  <c r="R6" i="5"/>
  <c r="Y3" i="5"/>
  <c r="Z4" i="5"/>
  <c r="F228" i="9"/>
  <c r="G228" i="9" s="1"/>
  <c r="A228" i="9"/>
  <c r="J228" i="9"/>
  <c r="F244" i="9"/>
  <c r="G244" i="9" s="1"/>
  <c r="A244" i="9"/>
  <c r="J244" i="9"/>
  <c r="S8" i="4"/>
  <c r="AJ8" i="5" s="1"/>
  <c r="K8" i="4"/>
  <c r="T8" i="5" s="1"/>
  <c r="C8" i="4"/>
  <c r="D8" i="5" s="1"/>
  <c r="A10" i="4" a="1"/>
  <c r="A10" i="4" s="1"/>
  <c r="O8" i="4"/>
  <c r="AB8" i="5" s="1"/>
  <c r="G8" i="4"/>
  <c r="L8" i="5" s="1"/>
  <c r="N8" i="4"/>
  <c r="Z8" i="5" s="1"/>
  <c r="D8" i="4"/>
  <c r="F8" i="5" s="1"/>
  <c r="W8" i="4"/>
  <c r="AN8" i="5" s="1"/>
  <c r="M8" i="4"/>
  <c r="B8" i="4"/>
  <c r="B8" i="5" s="1"/>
  <c r="P8" i="4"/>
  <c r="AD8" i="5" s="1"/>
  <c r="L8" i="4"/>
  <c r="V8" i="5" s="1"/>
  <c r="V8" i="4"/>
  <c r="AM8" i="5" s="1"/>
  <c r="J8" i="4"/>
  <c r="R8" i="5" s="1"/>
  <c r="T8" i="4"/>
  <c r="AL8" i="5" s="1"/>
  <c r="I8" i="4"/>
  <c r="P8" i="5" s="1"/>
  <c r="R8" i="4"/>
  <c r="AH8" i="5" s="1"/>
  <c r="H8" i="4"/>
  <c r="N8" i="5" s="1"/>
  <c r="Q8" i="4"/>
  <c r="AF8" i="5" s="1"/>
  <c r="F8" i="4"/>
  <c r="J8" i="5" s="1"/>
  <c r="E8" i="4"/>
  <c r="H8" i="5" s="1"/>
  <c r="M10" i="12"/>
  <c r="A17" i="12"/>
  <c r="B7" i="5"/>
  <c r="X8" i="5"/>
  <c r="A10" i="5" a="1"/>
  <c r="A10" i="5" s="1"/>
  <c r="I6" i="2"/>
  <c r="L145" i="9"/>
  <c r="L75" i="9"/>
  <c r="L5" i="9"/>
  <c r="F10" i="12"/>
  <c r="AM6" i="5"/>
  <c r="R7" i="5"/>
  <c r="F2" i="12"/>
  <c r="AA1" i="11"/>
  <c r="F236" i="9"/>
  <c r="G236" i="9" s="1"/>
  <c r="A236" i="9"/>
  <c r="J236" i="9"/>
  <c r="Q6" i="11" a="1"/>
  <c r="Q6" i="11" s="1"/>
  <c r="Q7" i="11" a="1"/>
  <c r="Q7" i="11" s="1"/>
  <c r="Q9" i="11" a="1"/>
  <c r="Q9" i="11" s="1"/>
  <c r="Q5" i="11" a="1"/>
  <c r="Q5" i="11" s="1"/>
  <c r="Q4" i="11" a="1"/>
  <c r="Q4" i="11" s="1"/>
  <c r="J9" i="12" s="1"/>
  <c r="Q10" i="11" a="1"/>
  <c r="Q10" i="11" s="1"/>
  <c r="Q11" i="11" a="1"/>
  <c r="Q11" i="11" s="1"/>
  <c r="Q8" i="11" a="1"/>
  <c r="Q8" i="11" s="1"/>
  <c r="Q3" i="11" a="1"/>
  <c r="Q3" i="11" s="1"/>
  <c r="Q2" i="11" a="1"/>
  <c r="Q2" i="11" s="1"/>
  <c r="Q1" i="11" a="1"/>
  <c r="Q1" i="11" s="1"/>
  <c r="T9" i="4"/>
  <c r="AL9" i="5" s="1"/>
  <c r="L9" i="4"/>
  <c r="V9" i="5" s="1"/>
  <c r="D9" i="4"/>
  <c r="F9" i="5" s="1"/>
  <c r="P9" i="4"/>
  <c r="AD9" i="5" s="1"/>
  <c r="H9" i="4"/>
  <c r="N9" i="5" s="1"/>
  <c r="M9" i="4"/>
  <c r="X9" i="5" s="1"/>
  <c r="B9" i="4"/>
  <c r="V9" i="4"/>
  <c r="AM9" i="5" s="1"/>
  <c r="W9" i="4"/>
  <c r="AN9" i="5" s="1"/>
  <c r="K9" i="4"/>
  <c r="T9" i="5" s="1"/>
  <c r="N9" i="4"/>
  <c r="Z9" i="5" s="1"/>
  <c r="C9" i="4"/>
  <c r="D9" i="5" s="1"/>
  <c r="J9" i="4"/>
  <c r="R9" i="5" s="1"/>
  <c r="S9" i="4"/>
  <c r="AJ9" i="5" s="1"/>
  <c r="I9" i="4"/>
  <c r="P9" i="5" s="1"/>
  <c r="R9" i="4"/>
  <c r="AH9" i="5" s="1"/>
  <c r="G9" i="4"/>
  <c r="L9" i="5" s="1"/>
  <c r="Q9" i="4"/>
  <c r="AF9" i="5" s="1"/>
  <c r="F9" i="4"/>
  <c r="A11" i="4" a="1"/>
  <c r="A11" i="4" s="1"/>
  <c r="O9" i="4"/>
  <c r="AB9" i="5" s="1"/>
  <c r="E9" i="4"/>
  <c r="H9" i="5" s="1"/>
  <c r="A11" i="5" a="1"/>
  <c r="A11" i="5" s="1"/>
  <c r="J9" i="5"/>
  <c r="O1" i="2" a="1"/>
  <c r="L1" i="2" a="1"/>
  <c r="N1" i="2" a="1"/>
  <c r="M71" i="9" a="1"/>
  <c r="B3" i="7" a="1"/>
  <c r="M1" i="2" a="1"/>
  <c r="K1" i="2" a="1"/>
  <c r="M1" i="9" a="1"/>
  <c r="P2" i="2"/>
  <c r="Q2" i="2"/>
  <c r="R2" i="2"/>
  <c r="S2" i="2"/>
  <c r="U2" i="2"/>
  <c r="T2" i="2"/>
  <c r="J1" i="2" a="1"/>
  <c r="A246" i="9" l="1"/>
  <c r="J246" i="9"/>
  <c r="F246" i="9"/>
  <c r="G246" i="9" s="1"/>
  <c r="A222" i="9"/>
  <c r="J222" i="9"/>
  <c r="F222" i="9"/>
  <c r="G222" i="9" s="1"/>
  <c r="J1" i="2"/>
  <c r="K142" i="9"/>
  <c r="K72" i="9"/>
  <c r="K2" i="9"/>
  <c r="V2" i="2"/>
  <c r="O2" i="9" s="1"/>
  <c r="M1" i="9"/>
  <c r="K1" i="2"/>
  <c r="M1" i="2"/>
  <c r="B3" i="7"/>
  <c r="M71" i="9"/>
  <c r="N1" i="2"/>
  <c r="L1" i="2"/>
  <c r="O1" i="2"/>
  <c r="I15" i="12"/>
  <c r="M12" i="12"/>
  <c r="M11" i="12"/>
  <c r="J12" i="12"/>
  <c r="J11" i="12"/>
  <c r="J10" i="12"/>
  <c r="M14" i="12"/>
  <c r="N9" i="12"/>
  <c r="K14" i="12"/>
  <c r="J14" i="12"/>
  <c r="I14" i="12"/>
  <c r="I9" i="12"/>
  <c r="M15" i="12"/>
  <c r="K15" i="12"/>
  <c r="R8" i="11"/>
  <c r="W8" i="11"/>
  <c r="U8" i="11"/>
  <c r="T8" i="11"/>
  <c r="S8" i="11"/>
  <c r="H17" i="12"/>
  <c r="C17" i="12"/>
  <c r="F18" i="12"/>
  <c r="P130" i="4"/>
  <c r="H130" i="4"/>
  <c r="O130" i="4"/>
  <c r="G130" i="4"/>
  <c r="A132" i="4"/>
  <c r="V130" i="4"/>
  <c r="AM130" i="5" s="1"/>
  <c r="M130" i="4"/>
  <c r="E130" i="4"/>
  <c r="T130" i="4"/>
  <c r="L130" i="4"/>
  <c r="D130" i="4"/>
  <c r="S130" i="4"/>
  <c r="K130" i="4"/>
  <c r="C130" i="4"/>
  <c r="Q130" i="4"/>
  <c r="I130" i="4"/>
  <c r="F130" i="4"/>
  <c r="B130" i="4"/>
  <c r="W130" i="4"/>
  <c r="AN130" i="5" s="1"/>
  <c r="R130" i="4"/>
  <c r="N130" i="4"/>
  <c r="J130" i="4"/>
  <c r="A33" i="10"/>
  <c r="W2" i="11"/>
  <c r="V2" i="11"/>
  <c r="U2" i="11"/>
  <c r="T2" i="11"/>
  <c r="S2" i="11"/>
  <c r="R2" i="11"/>
  <c r="J1" i="12"/>
  <c r="W11" i="4"/>
  <c r="AN11" i="5" s="1"/>
  <c r="N11" i="4"/>
  <c r="F11" i="4"/>
  <c r="J11" i="5" s="1"/>
  <c r="R11" i="4"/>
  <c r="AH11" i="5" s="1"/>
  <c r="J11" i="4"/>
  <c r="B11" i="4"/>
  <c r="B11" i="5" s="1"/>
  <c r="T11" i="4"/>
  <c r="AL11" i="5" s="1"/>
  <c r="I11" i="4"/>
  <c r="P11" i="5" s="1"/>
  <c r="G11" i="4"/>
  <c r="L11" i="5" s="1"/>
  <c r="S11" i="4"/>
  <c r="AJ11" i="5" s="1"/>
  <c r="H11" i="4"/>
  <c r="N11" i="5" s="1"/>
  <c r="V11" i="4"/>
  <c r="AM11" i="5" s="1"/>
  <c r="K11" i="4"/>
  <c r="Q11" i="4"/>
  <c r="P11" i="4"/>
  <c r="AD11" i="5" s="1"/>
  <c r="E11" i="4"/>
  <c r="H11" i="5" s="1"/>
  <c r="A13" i="4" a="1"/>
  <c r="A13" i="4" s="1"/>
  <c r="O11" i="4"/>
  <c r="AB11" i="5" s="1"/>
  <c r="D11" i="4"/>
  <c r="F11" i="5" s="1"/>
  <c r="M11" i="4"/>
  <c r="X11" i="5" s="1"/>
  <c r="C11" i="4"/>
  <c r="L11" i="4"/>
  <c r="V11" i="5" s="1"/>
  <c r="I7" i="2"/>
  <c r="L6" i="9"/>
  <c r="L146" i="9"/>
  <c r="L76" i="9"/>
  <c r="T10" i="11"/>
  <c r="R10" i="11"/>
  <c r="W10" i="11"/>
  <c r="U10" i="11"/>
  <c r="S10" i="11"/>
  <c r="V10" i="4"/>
  <c r="AM10" i="5" s="1"/>
  <c r="M10" i="4"/>
  <c r="X10" i="5" s="1"/>
  <c r="E10" i="4"/>
  <c r="Q10" i="4"/>
  <c r="AF10" i="5" s="1"/>
  <c r="I10" i="4"/>
  <c r="P10" i="5" s="1"/>
  <c r="W10" i="4"/>
  <c r="AN10" i="5" s="1"/>
  <c r="K10" i="4"/>
  <c r="T10" i="5" s="1"/>
  <c r="S10" i="4"/>
  <c r="AJ10" i="5" s="1"/>
  <c r="T10" i="4"/>
  <c r="AL10" i="5" s="1"/>
  <c r="J10" i="4"/>
  <c r="R10" i="5" s="1"/>
  <c r="L10" i="4"/>
  <c r="V10" i="5" s="1"/>
  <c r="B10" i="4"/>
  <c r="B10" i="5" s="1"/>
  <c r="H10" i="4"/>
  <c r="N10" i="5" s="1"/>
  <c r="R10" i="4"/>
  <c r="AH10" i="5" s="1"/>
  <c r="G10" i="4"/>
  <c r="L10" i="5" s="1"/>
  <c r="P10" i="4"/>
  <c r="F10" i="4"/>
  <c r="J10" i="5" s="1"/>
  <c r="O10" i="4"/>
  <c r="AB10" i="5" s="1"/>
  <c r="D10" i="4"/>
  <c r="F10" i="5" s="1"/>
  <c r="A12" i="4" a="1"/>
  <c r="A12" i="4" s="1"/>
  <c r="C10" i="4"/>
  <c r="D10" i="5" s="1"/>
  <c r="N10" i="4"/>
  <c r="Z10" i="5" s="1"/>
  <c r="O141" i="9"/>
  <c r="O71" i="9"/>
  <c r="I71" i="9" s="1" a="1"/>
  <c r="I71" i="9" s="1"/>
  <c r="I1" i="9" a="1"/>
  <c r="I1" i="9" s="1"/>
  <c r="AF11" i="5"/>
  <c r="A13" i="5" a="1"/>
  <c r="A13" i="5" s="1"/>
  <c r="Z11" i="5"/>
  <c r="T11" i="5"/>
  <c r="D11" i="5"/>
  <c r="R11" i="5"/>
  <c r="B9" i="5"/>
  <c r="S3" i="11"/>
  <c r="V3" i="11"/>
  <c r="U3" i="11"/>
  <c r="W3" i="11"/>
  <c r="T3" i="11"/>
  <c r="R3" i="11"/>
  <c r="C9" i="12"/>
  <c r="W4" i="11"/>
  <c r="T4" i="11"/>
  <c r="S4" i="11"/>
  <c r="U4" i="11"/>
  <c r="V4" i="11"/>
  <c r="R4" i="11"/>
  <c r="S5" i="11"/>
  <c r="T5" i="11"/>
  <c r="R5" i="11"/>
  <c r="W5" i="11"/>
  <c r="U5" i="11"/>
  <c r="V5" i="11"/>
  <c r="C1" i="12"/>
  <c r="S1" i="11"/>
  <c r="W1" i="11"/>
  <c r="U1" i="11"/>
  <c r="T1" i="11"/>
  <c r="R1" i="11"/>
  <c r="V1" i="11"/>
  <c r="U9" i="11"/>
  <c r="S9" i="11"/>
  <c r="T9" i="11"/>
  <c r="R9" i="11"/>
  <c r="W9" i="11"/>
  <c r="AD10" i="5"/>
  <c r="A12" i="5" a="1"/>
  <c r="A12" i="5" s="1"/>
  <c r="H10" i="5"/>
  <c r="AB3" i="5"/>
  <c r="P3" i="4"/>
  <c r="U7" i="11"/>
  <c r="S7" i="11"/>
  <c r="W7" i="11"/>
  <c r="T7" i="11"/>
  <c r="R7" i="11"/>
  <c r="AB4" i="5"/>
  <c r="AA3" i="5"/>
  <c r="W6" i="11"/>
  <c r="S6" i="11"/>
  <c r="R6" i="11"/>
  <c r="V6" i="11"/>
  <c r="T6" i="11"/>
  <c r="U6" i="11"/>
  <c r="D1" i="9" a="1"/>
  <c r="M2" i="9" a="1"/>
  <c r="B4" i="7" a="1"/>
  <c r="N2" i="2" a="1"/>
  <c r="Q3" i="2"/>
  <c r="R3" i="2"/>
  <c r="P3" i="2"/>
  <c r="D71" i="9" a="1"/>
  <c r="T3" i="2"/>
  <c r="S3" i="2"/>
  <c r="U3" i="2"/>
  <c r="K2" i="2" a="1"/>
  <c r="O2" i="2" a="1"/>
  <c r="J2" i="2" a="1"/>
  <c r="M2" i="2" a="1"/>
  <c r="L2" i="2" a="1"/>
  <c r="L2" i="2" l="1"/>
  <c r="M2" i="2"/>
  <c r="J2" i="2"/>
  <c r="O2" i="2"/>
  <c r="K2" i="2"/>
  <c r="D71" i="9"/>
  <c r="K3" i="9"/>
  <c r="V3" i="2"/>
  <c r="O3" i="9" s="1"/>
  <c r="K143" i="9"/>
  <c r="K73" i="9"/>
  <c r="N2" i="2"/>
  <c r="B4" i="7"/>
  <c r="M2" i="9"/>
  <c r="D1" i="9"/>
  <c r="J1" i="9" s="1"/>
  <c r="A14" i="5" a="1"/>
  <c r="A14" i="5" s="1"/>
  <c r="L7" i="9"/>
  <c r="I8" i="2"/>
  <c r="L147" i="9"/>
  <c r="L77" i="9"/>
  <c r="F22" i="12"/>
  <c r="G17" i="12"/>
  <c r="F23" i="12"/>
  <c r="D22" i="12"/>
  <c r="F20" i="12"/>
  <c r="B17" i="12"/>
  <c r="C20" i="12"/>
  <c r="D23" i="12"/>
  <c r="F19" i="12"/>
  <c r="B23" i="12"/>
  <c r="C19" i="12"/>
  <c r="C18" i="12"/>
  <c r="C22" i="12"/>
  <c r="B22" i="12"/>
  <c r="F6" i="12"/>
  <c r="F7" i="12"/>
  <c r="D6" i="12"/>
  <c r="C6" i="12"/>
  <c r="B6" i="12"/>
  <c r="F4" i="12"/>
  <c r="C4" i="12"/>
  <c r="D7" i="12"/>
  <c r="F3" i="12"/>
  <c r="B7" i="12"/>
  <c r="C3" i="12"/>
  <c r="G1" i="12"/>
  <c r="B1" i="12"/>
  <c r="C2" i="12"/>
  <c r="H33" i="10"/>
  <c r="J17" i="12"/>
  <c r="A25" i="12"/>
  <c r="M18" i="12"/>
  <c r="T132" i="4"/>
  <c r="L132" i="4"/>
  <c r="D132" i="4"/>
  <c r="S132" i="4"/>
  <c r="K132" i="4"/>
  <c r="C132" i="4"/>
  <c r="Q132" i="4"/>
  <c r="I132" i="4"/>
  <c r="P132" i="4"/>
  <c r="H132" i="4"/>
  <c r="O132" i="4"/>
  <c r="G132" i="4"/>
  <c r="A134" i="4"/>
  <c r="V132" i="4"/>
  <c r="AM132" i="5" s="1"/>
  <c r="M132" i="4"/>
  <c r="E132" i="4"/>
  <c r="W132" i="4"/>
  <c r="AN132" i="5" s="1"/>
  <c r="R132" i="4"/>
  <c r="N132" i="4"/>
  <c r="J132" i="4"/>
  <c r="F132" i="4"/>
  <c r="B132" i="4"/>
  <c r="F14" i="12"/>
  <c r="G9" i="12"/>
  <c r="F15" i="12"/>
  <c r="D14" i="12"/>
  <c r="D15" i="12"/>
  <c r="C14" i="12"/>
  <c r="F12" i="12"/>
  <c r="F11" i="12"/>
  <c r="B9" i="12"/>
  <c r="B15" i="12"/>
  <c r="B14" i="12"/>
  <c r="C12" i="12"/>
  <c r="C11" i="12"/>
  <c r="C10" i="12"/>
  <c r="A15" i="5" a="1"/>
  <c r="A15" i="5" s="1"/>
  <c r="AD3" i="5"/>
  <c r="Q3" i="4"/>
  <c r="A14" i="4" a="1"/>
  <c r="A14" i="4" s="1"/>
  <c r="O12" i="4"/>
  <c r="AB12" i="5" s="1"/>
  <c r="G12" i="4"/>
  <c r="L12" i="5" s="1"/>
  <c r="S12" i="4"/>
  <c r="AJ12" i="5" s="1"/>
  <c r="K12" i="4"/>
  <c r="T12" i="5" s="1"/>
  <c r="C12" i="4"/>
  <c r="D12" i="5" s="1"/>
  <c r="R12" i="4"/>
  <c r="AH12" i="5" s="1"/>
  <c r="H12" i="4"/>
  <c r="N12" i="5" s="1"/>
  <c r="P12" i="4"/>
  <c r="AD12" i="5" s="1"/>
  <c r="E12" i="4"/>
  <c r="H12" i="5" s="1"/>
  <c r="Q12" i="4"/>
  <c r="AF12" i="5" s="1"/>
  <c r="F12" i="4"/>
  <c r="J12" i="5" s="1"/>
  <c r="I12" i="4"/>
  <c r="P12" i="5" s="1"/>
  <c r="N12" i="4"/>
  <c r="Z12" i="5" s="1"/>
  <c r="D12" i="4"/>
  <c r="F12" i="5" s="1"/>
  <c r="M12" i="4"/>
  <c r="X12" i="5" s="1"/>
  <c r="B12" i="4"/>
  <c r="B12" i="5" s="1"/>
  <c r="W12" i="4"/>
  <c r="AN12" i="5" s="1"/>
  <c r="L12" i="4"/>
  <c r="V12" i="5" s="1"/>
  <c r="V12" i="4"/>
  <c r="AM12" i="5" s="1"/>
  <c r="J12" i="4"/>
  <c r="R12" i="5" s="1"/>
  <c r="T12" i="4"/>
  <c r="AL12" i="5" s="1"/>
  <c r="P13" i="4"/>
  <c r="AD13" i="5" s="1"/>
  <c r="H13" i="4"/>
  <c r="N13" i="5" s="1"/>
  <c r="T13" i="4"/>
  <c r="AL13" i="5" s="1"/>
  <c r="L13" i="4"/>
  <c r="V13" i="5" s="1"/>
  <c r="D13" i="4"/>
  <c r="F13" i="5" s="1"/>
  <c r="Q13" i="4"/>
  <c r="AF13" i="5" s="1"/>
  <c r="F13" i="4"/>
  <c r="J13" i="5" s="1"/>
  <c r="N13" i="4"/>
  <c r="Z13" i="5" s="1"/>
  <c r="C13" i="4"/>
  <c r="D13" i="5" s="1"/>
  <c r="A15" i="4" a="1"/>
  <c r="A15" i="4" s="1"/>
  <c r="O13" i="4"/>
  <c r="AB13" i="5" s="1"/>
  <c r="E13" i="4"/>
  <c r="H13" i="5" s="1"/>
  <c r="M13" i="4"/>
  <c r="X13" i="5" s="1"/>
  <c r="B13" i="4"/>
  <c r="W13" i="4"/>
  <c r="AN13" i="5" s="1"/>
  <c r="K13" i="4"/>
  <c r="T13" i="5" s="1"/>
  <c r="V13" i="4"/>
  <c r="AM13" i="5" s="1"/>
  <c r="J13" i="4"/>
  <c r="R13" i="5" s="1"/>
  <c r="S13" i="4"/>
  <c r="AJ13" i="5" s="1"/>
  <c r="I13" i="4"/>
  <c r="P13" i="5" s="1"/>
  <c r="R13" i="4"/>
  <c r="AH13" i="5" s="1"/>
  <c r="G13" i="4"/>
  <c r="L13" i="5" s="1"/>
  <c r="O142" i="9"/>
  <c r="O72" i="9"/>
  <c r="I2" i="9" a="1"/>
  <c r="I2" i="9" s="1"/>
  <c r="AD4" i="5"/>
  <c r="AC3" i="5"/>
  <c r="M6" i="12"/>
  <c r="N1" i="12"/>
  <c r="K6" i="12"/>
  <c r="M7" i="12"/>
  <c r="J6" i="12"/>
  <c r="I1" i="12"/>
  <c r="K7" i="12"/>
  <c r="I6" i="12"/>
  <c r="I7" i="12"/>
  <c r="M4" i="12"/>
  <c r="M3" i="12"/>
  <c r="J4" i="12"/>
  <c r="J3" i="12"/>
  <c r="J2" i="12"/>
  <c r="P4" i="2"/>
  <c r="Q4" i="2"/>
  <c r="R4" i="2"/>
  <c r="M3" i="9" a="1"/>
  <c r="D2" i="9" a="1"/>
  <c r="S4" i="2"/>
  <c r="T4" i="2"/>
  <c r="U4" i="2"/>
  <c r="J3" i="2" a="1"/>
  <c r="O3" i="2" a="1"/>
  <c r="L3" i="2" a="1"/>
  <c r="M3" i="2" a="1"/>
  <c r="N3" i="2" a="1"/>
  <c r="K3" i="2" a="1"/>
  <c r="B5" i="7" a="1"/>
  <c r="B5" i="7" l="1"/>
  <c r="K3" i="2"/>
  <c r="N3" i="2"/>
  <c r="M3" i="2"/>
  <c r="L3" i="2"/>
  <c r="O3" i="2"/>
  <c r="J3" i="2"/>
  <c r="D2" i="9"/>
  <c r="M3" i="9"/>
  <c r="K144" i="9"/>
  <c r="K74" i="9"/>
  <c r="K4" i="9"/>
  <c r="V4" i="2"/>
  <c r="O4" i="9" s="1"/>
  <c r="Q14" i="4"/>
  <c r="AF14" i="5" s="1"/>
  <c r="I14" i="4"/>
  <c r="P14" i="5" s="1"/>
  <c r="V14" i="4"/>
  <c r="AM14" i="5" s="1"/>
  <c r="M14" i="4"/>
  <c r="X14" i="5" s="1"/>
  <c r="E14" i="4"/>
  <c r="H14" i="5" s="1"/>
  <c r="A16" i="4" a="1"/>
  <c r="A16" i="4" s="1"/>
  <c r="O14" i="4"/>
  <c r="AB14" i="5" s="1"/>
  <c r="D14" i="4"/>
  <c r="F14" i="5" s="1"/>
  <c r="L14" i="4"/>
  <c r="V14" i="5" s="1"/>
  <c r="B14" i="4"/>
  <c r="B14" i="5" s="1"/>
  <c r="N14" i="4"/>
  <c r="Z14" i="5" s="1"/>
  <c r="C14" i="4"/>
  <c r="D14" i="5" s="1"/>
  <c r="W14" i="4"/>
  <c r="AN14" i="5" s="1"/>
  <c r="K14" i="4"/>
  <c r="T14" i="5" s="1"/>
  <c r="T14" i="4"/>
  <c r="AL14" i="5" s="1"/>
  <c r="J14" i="4"/>
  <c r="R14" i="5" s="1"/>
  <c r="S14" i="4"/>
  <c r="AJ14" i="5" s="1"/>
  <c r="H14" i="4"/>
  <c r="N14" i="5" s="1"/>
  <c r="R14" i="4"/>
  <c r="AH14" i="5" s="1"/>
  <c r="G14" i="4"/>
  <c r="L14" i="5" s="1"/>
  <c r="P14" i="4"/>
  <c r="AD14" i="5" s="1"/>
  <c r="F14" i="4"/>
  <c r="J14" i="5" s="1"/>
  <c r="AE3" i="5"/>
  <c r="AF4" i="5"/>
  <c r="A41" i="10"/>
  <c r="A17" i="5" a="1"/>
  <c r="A17" i="5" s="1"/>
  <c r="C25" i="12"/>
  <c r="F26" i="12"/>
  <c r="H25" i="12"/>
  <c r="A16" i="5" a="1"/>
  <c r="A16" i="5" s="1"/>
  <c r="N1" i="9"/>
  <c r="Q1" i="9" s="1"/>
  <c r="P1" i="9" s="1"/>
  <c r="F1" i="9"/>
  <c r="G1" i="9" s="1"/>
  <c r="P134" i="4"/>
  <c r="H134" i="4"/>
  <c r="O134" i="4"/>
  <c r="G134" i="4"/>
  <c r="A136" i="4"/>
  <c r="V134" i="4"/>
  <c r="AM134" i="5" s="1"/>
  <c r="M134" i="4"/>
  <c r="E134" i="4"/>
  <c r="T134" i="4"/>
  <c r="L134" i="4"/>
  <c r="D134" i="4"/>
  <c r="S134" i="4"/>
  <c r="K134" i="4"/>
  <c r="C134" i="4"/>
  <c r="Q134" i="4"/>
  <c r="I134" i="4"/>
  <c r="N134" i="4"/>
  <c r="J134" i="4"/>
  <c r="F134" i="4"/>
  <c r="B134" i="4"/>
  <c r="W134" i="4"/>
  <c r="AN134" i="5" s="1"/>
  <c r="R134" i="4"/>
  <c r="M22" i="12"/>
  <c r="N17" i="12"/>
  <c r="K22" i="12"/>
  <c r="M23" i="12"/>
  <c r="J22" i="12"/>
  <c r="I17" i="12"/>
  <c r="K23" i="12"/>
  <c r="I22" i="12"/>
  <c r="I23" i="12"/>
  <c r="M20" i="12"/>
  <c r="M19" i="12"/>
  <c r="J20" i="12"/>
  <c r="J19" i="12"/>
  <c r="J18" i="12"/>
  <c r="I9" i="2"/>
  <c r="L8" i="9"/>
  <c r="L148" i="9"/>
  <c r="L78" i="9"/>
  <c r="R15" i="4"/>
  <c r="AH15" i="5" s="1"/>
  <c r="J15" i="4"/>
  <c r="R15" i="5" s="1"/>
  <c r="B15" i="4"/>
  <c r="W15" i="4"/>
  <c r="AN15" i="5" s="1"/>
  <c r="N15" i="4"/>
  <c r="Z15" i="5" s="1"/>
  <c r="F15" i="4"/>
  <c r="J15" i="5" s="1"/>
  <c r="M15" i="4"/>
  <c r="X15" i="5" s="1"/>
  <c r="C15" i="4"/>
  <c r="D15" i="5" s="1"/>
  <c r="V15" i="4"/>
  <c r="AM15" i="5" s="1"/>
  <c r="K15" i="4"/>
  <c r="T15" i="5" s="1"/>
  <c r="L15" i="4"/>
  <c r="V15" i="5" s="1"/>
  <c r="T15" i="4"/>
  <c r="AL15" i="5" s="1"/>
  <c r="I15" i="4"/>
  <c r="P15" i="5" s="1"/>
  <c r="S15" i="4"/>
  <c r="AJ15" i="5" s="1"/>
  <c r="H15" i="4"/>
  <c r="N15" i="5" s="1"/>
  <c r="Q15" i="4"/>
  <c r="AF15" i="5" s="1"/>
  <c r="G15" i="4"/>
  <c r="L15" i="5" s="1"/>
  <c r="P15" i="4"/>
  <c r="AD15" i="5" s="1"/>
  <c r="E15" i="4"/>
  <c r="H15" i="5" s="1"/>
  <c r="O15" i="4"/>
  <c r="AB15" i="5" s="1"/>
  <c r="D15" i="4"/>
  <c r="F15" i="5" s="1"/>
  <c r="A17" i="4" a="1"/>
  <c r="A17" i="4" s="1"/>
  <c r="AF3" i="5"/>
  <c r="R3" i="4"/>
  <c r="B13" i="5"/>
  <c r="O143" i="9"/>
  <c r="O73" i="9"/>
  <c r="I3" i="9" a="1"/>
  <c r="I3" i="9" s="1"/>
  <c r="J71" i="9"/>
  <c r="F71" i="9"/>
  <c r="G71" i="9" s="1"/>
  <c r="N71" i="9"/>
  <c r="Q71" i="9" s="1"/>
  <c r="P71" i="9" s="1"/>
  <c r="N4" i="2" a="1"/>
  <c r="M4" i="9" a="1"/>
  <c r="M4" i="2" a="1"/>
  <c r="J4" i="2" a="1"/>
  <c r="L4" i="2" a="1"/>
  <c r="D3" i="9" a="1"/>
  <c r="K4" i="2" a="1"/>
  <c r="R5" i="2"/>
  <c r="P5" i="2"/>
  <c r="Q5" i="2"/>
  <c r="S5" i="2"/>
  <c r="T5" i="2"/>
  <c r="U5" i="2"/>
  <c r="O4" i="2" a="1"/>
  <c r="B6" i="7" a="1"/>
  <c r="B6" i="7" l="1"/>
  <c r="O4" i="2"/>
  <c r="K75" i="9"/>
  <c r="K5" i="9"/>
  <c r="V5" i="2"/>
  <c r="O5" i="9" s="1"/>
  <c r="K145" i="9"/>
  <c r="K4" i="2"/>
  <c r="D3" i="9"/>
  <c r="L4" i="2"/>
  <c r="J4" i="2"/>
  <c r="M4" i="2"/>
  <c r="M4" i="9"/>
  <c r="N4" i="2"/>
  <c r="AG3" i="5"/>
  <c r="AH4" i="5"/>
  <c r="T17" i="4"/>
  <c r="AL17" i="5" s="1"/>
  <c r="L17" i="4"/>
  <c r="D17" i="4"/>
  <c r="F17" i="5" s="1"/>
  <c r="P17" i="4"/>
  <c r="AD17" i="5" s="1"/>
  <c r="H17" i="4"/>
  <c r="N17" i="5" s="1"/>
  <c r="V17" i="4"/>
  <c r="AM17" i="5" s="1"/>
  <c r="J17" i="4"/>
  <c r="R17" i="5" s="1"/>
  <c r="S17" i="4"/>
  <c r="AJ17" i="5" s="1"/>
  <c r="I17" i="4"/>
  <c r="P17" i="5" s="1"/>
  <c r="R17" i="4"/>
  <c r="G17" i="4"/>
  <c r="Q17" i="4"/>
  <c r="AF17" i="5" s="1"/>
  <c r="F17" i="4"/>
  <c r="J17" i="5" s="1"/>
  <c r="A19" i="4" a="1"/>
  <c r="A19" i="4" s="1"/>
  <c r="O17" i="4"/>
  <c r="AB17" i="5" s="1"/>
  <c r="E17" i="4"/>
  <c r="H17" i="5" s="1"/>
  <c r="N17" i="4"/>
  <c r="Z17" i="5" s="1"/>
  <c r="C17" i="4"/>
  <c r="D17" i="5" s="1"/>
  <c r="M17" i="4"/>
  <c r="X17" i="5" s="1"/>
  <c r="B17" i="4"/>
  <c r="B17" i="5" s="1"/>
  <c r="W17" i="4"/>
  <c r="AN17" i="5" s="1"/>
  <c r="K17" i="4"/>
  <c r="T17" i="5" s="1"/>
  <c r="B15" i="5"/>
  <c r="L9" i="9"/>
  <c r="L79" i="9"/>
  <c r="I10" i="2"/>
  <c r="L149" i="9"/>
  <c r="F2" i="9"/>
  <c r="G2" i="9" s="1"/>
  <c r="J2" i="9"/>
  <c r="N2" i="9"/>
  <c r="Q2" i="9" s="1"/>
  <c r="P2" i="9" s="1"/>
  <c r="A33" i="12"/>
  <c r="M26" i="12"/>
  <c r="J25" i="12"/>
  <c r="A19" i="5" a="1"/>
  <c r="A19" i="5" s="1"/>
  <c r="L17" i="5"/>
  <c r="V17" i="5"/>
  <c r="AH17" i="5"/>
  <c r="H41" i="10"/>
  <c r="S16" i="4"/>
  <c r="AJ16" i="5" s="1"/>
  <c r="K16" i="4"/>
  <c r="T16" i="5" s="1"/>
  <c r="C16" i="4"/>
  <c r="D16" i="5" s="1"/>
  <c r="A18" i="4" a="1"/>
  <c r="A18" i="4" s="1"/>
  <c r="O16" i="4"/>
  <c r="AB16" i="5" s="1"/>
  <c r="G16" i="4"/>
  <c r="L16" i="5" s="1"/>
  <c r="W16" i="4"/>
  <c r="AN16" i="5" s="1"/>
  <c r="L16" i="4"/>
  <c r="V16" i="5" s="1"/>
  <c r="V16" i="4"/>
  <c r="AM16" i="5" s="1"/>
  <c r="J16" i="4"/>
  <c r="R16" i="5" s="1"/>
  <c r="T16" i="4"/>
  <c r="AL16" i="5" s="1"/>
  <c r="I16" i="4"/>
  <c r="P16" i="5" s="1"/>
  <c r="R16" i="4"/>
  <c r="AH16" i="5" s="1"/>
  <c r="H16" i="4"/>
  <c r="N16" i="5" s="1"/>
  <c r="Q16" i="4"/>
  <c r="AF16" i="5" s="1"/>
  <c r="F16" i="4"/>
  <c r="J16" i="5" s="1"/>
  <c r="P16" i="4"/>
  <c r="AD16" i="5" s="1"/>
  <c r="E16" i="4"/>
  <c r="H16" i="5" s="1"/>
  <c r="N16" i="4"/>
  <c r="Z16" i="5" s="1"/>
  <c r="D16" i="4"/>
  <c r="F16" i="5" s="1"/>
  <c r="M16" i="4"/>
  <c r="X16" i="5" s="1"/>
  <c r="B16" i="4"/>
  <c r="S3" i="4"/>
  <c r="AJ3" i="5" s="1"/>
  <c r="AH3" i="5"/>
  <c r="A18" i="5" a="1"/>
  <c r="A18" i="5" s="1"/>
  <c r="F30" i="12"/>
  <c r="G25" i="12"/>
  <c r="F31" i="12"/>
  <c r="D30" i="12"/>
  <c r="D31" i="12"/>
  <c r="C30" i="12"/>
  <c r="F28" i="12"/>
  <c r="F27" i="12"/>
  <c r="B25" i="12"/>
  <c r="B31" i="12"/>
  <c r="B30" i="12"/>
  <c r="C28" i="12"/>
  <c r="C27" i="12"/>
  <c r="C26" i="12"/>
  <c r="O144" i="9"/>
  <c r="O74" i="9"/>
  <c r="I4" i="9" a="1"/>
  <c r="I4" i="9" s="1"/>
  <c r="T136" i="4"/>
  <c r="L136" i="4"/>
  <c r="D136" i="4"/>
  <c r="S136" i="4"/>
  <c r="K136" i="4"/>
  <c r="C136" i="4"/>
  <c r="Q136" i="4"/>
  <c r="I136" i="4"/>
  <c r="P136" i="4"/>
  <c r="H136" i="4"/>
  <c r="O136" i="4"/>
  <c r="G136" i="4"/>
  <c r="A138" i="4"/>
  <c r="V136" i="4"/>
  <c r="AM136" i="5" s="1"/>
  <c r="M136" i="4"/>
  <c r="E136" i="4"/>
  <c r="W136" i="4"/>
  <c r="AN136" i="5" s="1"/>
  <c r="R136" i="4"/>
  <c r="N136" i="4"/>
  <c r="J136" i="4"/>
  <c r="F136" i="4"/>
  <c r="B136" i="4"/>
  <c r="B7" i="7" a="1"/>
  <c r="J5" i="2" a="1"/>
  <c r="O5" i="2" a="1"/>
  <c r="N5" i="2" a="1"/>
  <c r="L5" i="2" a="1"/>
  <c r="U6" i="2"/>
  <c r="T6" i="2"/>
  <c r="S6" i="2"/>
  <c r="M5" i="2" a="1"/>
  <c r="K5" i="2" a="1"/>
  <c r="P6" i="2"/>
  <c r="Q6" i="2"/>
  <c r="R6" i="2"/>
  <c r="M5" i="9" a="1"/>
  <c r="D4" i="9" a="1"/>
  <c r="B8" i="7" a="1"/>
  <c r="B8" i="7" l="1"/>
  <c r="D4" i="9"/>
  <c r="M5" i="9"/>
  <c r="K146" i="9"/>
  <c r="K76" i="9"/>
  <c r="K6" i="9"/>
  <c r="M6" i="9" s="1" a="1"/>
  <c r="M6" i="9" s="1"/>
  <c r="V6" i="2"/>
  <c r="O6" i="9" s="1"/>
  <c r="K5" i="2"/>
  <c r="M5" i="2"/>
  <c r="L5" i="2"/>
  <c r="N5" i="2"/>
  <c r="O5" i="2"/>
  <c r="J5" i="2"/>
  <c r="B7" i="7"/>
  <c r="AK3" i="5"/>
  <c r="P1" i="10"/>
  <c r="W19" i="4"/>
  <c r="AN19" i="5" s="1"/>
  <c r="N19" i="4"/>
  <c r="Z19" i="5" s="1"/>
  <c r="F19" i="4"/>
  <c r="J19" i="5" s="1"/>
  <c r="R19" i="4"/>
  <c r="AH19" i="5" s="1"/>
  <c r="J19" i="4"/>
  <c r="B19" i="4"/>
  <c r="Q19" i="4"/>
  <c r="AF19" i="5" s="1"/>
  <c r="G19" i="4"/>
  <c r="L19" i="5" s="1"/>
  <c r="A21" i="4" a="1"/>
  <c r="A21" i="4" s="1"/>
  <c r="P19" i="4"/>
  <c r="AD19" i="5" s="1"/>
  <c r="E19" i="4"/>
  <c r="O19" i="4"/>
  <c r="AB19" i="5" s="1"/>
  <c r="D19" i="4"/>
  <c r="F19" i="5" s="1"/>
  <c r="S19" i="4"/>
  <c r="AJ19" i="5" s="1"/>
  <c r="M19" i="4"/>
  <c r="X19" i="5" s="1"/>
  <c r="C19" i="4"/>
  <c r="D19" i="5" s="1"/>
  <c r="L19" i="4"/>
  <c r="V19" i="5" s="1"/>
  <c r="V19" i="4"/>
  <c r="AM19" i="5" s="1"/>
  <c r="K19" i="4"/>
  <c r="T19" i="5" s="1"/>
  <c r="I19" i="4"/>
  <c r="T19" i="4"/>
  <c r="AL19" i="5" s="1"/>
  <c r="H19" i="4"/>
  <c r="N19" i="5" s="1"/>
  <c r="F3" i="9"/>
  <c r="G3" i="9" s="1"/>
  <c r="N3" i="9"/>
  <c r="Q3" i="9" s="1"/>
  <c r="P3" i="9" s="1"/>
  <c r="J3" i="9"/>
  <c r="V18" i="4"/>
  <c r="AM18" i="5" s="1"/>
  <c r="M18" i="4"/>
  <c r="X18" i="5" s="1"/>
  <c r="E18" i="4"/>
  <c r="H18" i="5" s="1"/>
  <c r="Q18" i="4"/>
  <c r="AF18" i="5" s="1"/>
  <c r="I18" i="4"/>
  <c r="P18" i="5" s="1"/>
  <c r="S18" i="4"/>
  <c r="AJ18" i="5" s="1"/>
  <c r="H18" i="4"/>
  <c r="N18" i="5" s="1"/>
  <c r="F18" i="4"/>
  <c r="J18" i="5" s="1"/>
  <c r="R18" i="4"/>
  <c r="AH18" i="5" s="1"/>
  <c r="G18" i="4"/>
  <c r="L18" i="5" s="1"/>
  <c r="P18" i="4"/>
  <c r="AD18" i="5" s="1"/>
  <c r="T18" i="4"/>
  <c r="AL18" i="5" s="1"/>
  <c r="A20" i="4" a="1"/>
  <c r="A20" i="4" s="1"/>
  <c r="O18" i="4"/>
  <c r="AB18" i="5" s="1"/>
  <c r="D18" i="4"/>
  <c r="F18" i="5" s="1"/>
  <c r="N18" i="4"/>
  <c r="Z18" i="5" s="1"/>
  <c r="C18" i="4"/>
  <c r="D18" i="5" s="1"/>
  <c r="L18" i="4"/>
  <c r="B18" i="4"/>
  <c r="B18" i="5" s="1"/>
  <c r="W18" i="4"/>
  <c r="AN18" i="5" s="1"/>
  <c r="K18" i="4"/>
  <c r="T18" i="5" s="1"/>
  <c r="J18" i="4"/>
  <c r="R18" i="5" s="1"/>
  <c r="L10" i="9"/>
  <c r="I11" i="2"/>
  <c r="L150" i="9"/>
  <c r="L80" i="9"/>
  <c r="P19" i="5"/>
  <c r="A21" i="5" a="1"/>
  <c r="A21" i="5" s="1"/>
  <c r="H19" i="5"/>
  <c r="R19" i="5"/>
  <c r="P138" i="4"/>
  <c r="H138" i="4"/>
  <c r="O138" i="4"/>
  <c r="G138" i="4"/>
  <c r="A140" i="4"/>
  <c r="V138" i="4"/>
  <c r="AM138" i="5" s="1"/>
  <c r="M138" i="4"/>
  <c r="E138" i="4"/>
  <c r="T138" i="4"/>
  <c r="L138" i="4"/>
  <c r="D138" i="4"/>
  <c r="S138" i="4"/>
  <c r="K138" i="4"/>
  <c r="C138" i="4"/>
  <c r="Q138" i="4"/>
  <c r="I138" i="4"/>
  <c r="W138" i="4"/>
  <c r="AN138" i="5" s="1"/>
  <c r="R138" i="4"/>
  <c r="N138" i="4"/>
  <c r="J138" i="4"/>
  <c r="F138" i="4"/>
  <c r="B138" i="4"/>
  <c r="A20" i="5" a="1"/>
  <c r="A20" i="5" s="1"/>
  <c r="V18" i="5"/>
  <c r="I31" i="12"/>
  <c r="M28" i="12"/>
  <c r="M27" i="12"/>
  <c r="J28" i="12"/>
  <c r="J27" i="12"/>
  <c r="J26" i="12"/>
  <c r="M30" i="12"/>
  <c r="N25" i="12"/>
  <c r="K30" i="12"/>
  <c r="J30" i="12"/>
  <c r="I30" i="12"/>
  <c r="I25" i="12"/>
  <c r="M31" i="12"/>
  <c r="K31" i="12"/>
  <c r="B16" i="5"/>
  <c r="AJ4" i="5"/>
  <c r="AI3" i="5"/>
  <c r="H33" i="12"/>
  <c r="C33" i="12"/>
  <c r="F34" i="12"/>
  <c r="O145" i="9"/>
  <c r="O75" i="9"/>
  <c r="I5" i="9" a="1"/>
  <c r="I5" i="9" s="1"/>
  <c r="J6" i="2" a="1"/>
  <c r="D5" i="9" a="1"/>
  <c r="N6" i="2" a="1"/>
  <c r="U7" i="2"/>
  <c r="T7" i="2"/>
  <c r="S7" i="2"/>
  <c r="L6" i="2" a="1"/>
  <c r="M6" i="2" a="1"/>
  <c r="R7" i="2"/>
  <c r="P7" i="2"/>
  <c r="Q7" i="2"/>
  <c r="K6" i="2" a="1"/>
  <c r="O6" i="2" a="1"/>
  <c r="O6" i="2" l="1"/>
  <c r="K6" i="2"/>
  <c r="K77" i="9"/>
  <c r="K7" i="9"/>
  <c r="V7" i="2"/>
  <c r="O7" i="9" s="1"/>
  <c r="K147" i="9"/>
  <c r="M6" i="2"/>
  <c r="L6" i="2"/>
  <c r="N6" i="2"/>
  <c r="D5" i="9"/>
  <c r="J6" i="2"/>
  <c r="A22" i="4" a="1"/>
  <c r="A22" i="4" s="1"/>
  <c r="O20" i="4"/>
  <c r="AB20" i="5" s="1"/>
  <c r="G20" i="4"/>
  <c r="L20" i="5" s="1"/>
  <c r="S20" i="4"/>
  <c r="AJ20" i="5" s="1"/>
  <c r="K20" i="4"/>
  <c r="T20" i="5" s="1"/>
  <c r="C20" i="4"/>
  <c r="D20" i="5" s="1"/>
  <c r="P20" i="4"/>
  <c r="AD20" i="5" s="1"/>
  <c r="E20" i="4"/>
  <c r="H20" i="5" s="1"/>
  <c r="N20" i="4"/>
  <c r="Z20" i="5" s="1"/>
  <c r="D20" i="4"/>
  <c r="F20" i="5" s="1"/>
  <c r="M20" i="4"/>
  <c r="X20" i="5" s="1"/>
  <c r="B20" i="4"/>
  <c r="Q20" i="4"/>
  <c r="AF20" i="5" s="1"/>
  <c r="W20" i="4"/>
  <c r="AN20" i="5" s="1"/>
  <c r="L20" i="4"/>
  <c r="V20" i="5" s="1"/>
  <c r="V20" i="4"/>
  <c r="AM20" i="5" s="1"/>
  <c r="J20" i="4"/>
  <c r="R20" i="5" s="1"/>
  <c r="I20" i="4"/>
  <c r="P20" i="5" s="1"/>
  <c r="T20" i="4"/>
  <c r="AL20" i="5" s="1"/>
  <c r="H20" i="4"/>
  <c r="N20" i="5" s="1"/>
  <c r="R20" i="4"/>
  <c r="AH20" i="5" s="1"/>
  <c r="F20" i="4"/>
  <c r="J20" i="5" s="1"/>
  <c r="T140" i="4"/>
  <c r="L140" i="4"/>
  <c r="D140" i="4"/>
  <c r="S140" i="4"/>
  <c r="K140" i="4"/>
  <c r="C140" i="4"/>
  <c r="Q140" i="4"/>
  <c r="I140" i="4"/>
  <c r="P140" i="4"/>
  <c r="H140" i="4"/>
  <c r="O140" i="4"/>
  <c r="G140" i="4"/>
  <c r="A142" i="4"/>
  <c r="V140" i="4"/>
  <c r="AM140" i="5" s="1"/>
  <c r="M140" i="4"/>
  <c r="E140" i="4"/>
  <c r="F140" i="4"/>
  <c r="B140" i="4"/>
  <c r="W140" i="4"/>
  <c r="AN140" i="5" s="1"/>
  <c r="R140" i="4"/>
  <c r="N140" i="4"/>
  <c r="J140" i="4"/>
  <c r="F38" i="12"/>
  <c r="G33" i="12"/>
  <c r="F39" i="12"/>
  <c r="D38" i="12"/>
  <c r="D39" i="12"/>
  <c r="C38" i="12"/>
  <c r="F36" i="12"/>
  <c r="F35" i="12"/>
  <c r="B33" i="12"/>
  <c r="B39" i="12"/>
  <c r="B38" i="12"/>
  <c r="C36" i="12"/>
  <c r="C35" i="12"/>
  <c r="C34" i="12"/>
  <c r="J33" i="12"/>
  <c r="A41" i="12"/>
  <c r="M34" i="12"/>
  <c r="A22" i="5" a="1"/>
  <c r="A22" i="5" s="1"/>
  <c r="A23" i="5" a="1"/>
  <c r="A23" i="5" s="1"/>
  <c r="L11" i="9"/>
  <c r="I12" i="2"/>
  <c r="L81" i="9"/>
  <c r="L151" i="9"/>
  <c r="P21" i="4"/>
  <c r="AD21" i="5" s="1"/>
  <c r="H21" i="4"/>
  <c r="N21" i="5" s="1"/>
  <c r="T21" i="4"/>
  <c r="AL21" i="5" s="1"/>
  <c r="L21" i="4"/>
  <c r="V21" i="5" s="1"/>
  <c r="D21" i="4"/>
  <c r="F21" i="5" s="1"/>
  <c r="N21" i="4"/>
  <c r="Z21" i="5" s="1"/>
  <c r="C21" i="4"/>
  <c r="D21" i="5" s="1"/>
  <c r="W21" i="4"/>
  <c r="AN21" i="5" s="1"/>
  <c r="K21" i="4"/>
  <c r="T21" i="5" s="1"/>
  <c r="M21" i="4"/>
  <c r="X21" i="5" s="1"/>
  <c r="B21" i="4"/>
  <c r="O21" i="4"/>
  <c r="AB21" i="5" s="1"/>
  <c r="V21" i="4"/>
  <c r="AM21" i="5" s="1"/>
  <c r="J21" i="4"/>
  <c r="R21" i="5" s="1"/>
  <c r="S21" i="4"/>
  <c r="AJ21" i="5" s="1"/>
  <c r="I21" i="4"/>
  <c r="P21" i="5" s="1"/>
  <c r="R21" i="4"/>
  <c r="AH21" i="5" s="1"/>
  <c r="G21" i="4"/>
  <c r="L21" i="5" s="1"/>
  <c r="F21" i="4"/>
  <c r="J21" i="5" s="1"/>
  <c r="A23" i="4" a="1"/>
  <c r="A23" i="4" s="1"/>
  <c r="Q21" i="4"/>
  <c r="AF21" i="5" s="1"/>
  <c r="E21" i="4"/>
  <c r="H21" i="5" s="1"/>
  <c r="O146" i="9"/>
  <c r="O76" i="9"/>
  <c r="I6" i="9" a="1"/>
  <c r="I6" i="9" s="1"/>
  <c r="E6" i="9" s="1"/>
  <c r="F4" i="9"/>
  <c r="G4" i="9" s="1"/>
  <c r="N4" i="9"/>
  <c r="Q4" i="9" s="1"/>
  <c r="P4" i="9" s="1"/>
  <c r="J4" i="9"/>
  <c r="B19" i="5"/>
  <c r="W1" i="10"/>
  <c r="L7" i="2" a="1"/>
  <c r="K7" i="2" a="1"/>
  <c r="M7" i="2" a="1"/>
  <c r="D6" i="9" a="1"/>
  <c r="M7" i="9" a="1"/>
  <c r="N7" i="2" a="1"/>
  <c r="O7" i="2" a="1"/>
  <c r="Q8" i="2"/>
  <c r="R8" i="2"/>
  <c r="P8" i="2"/>
  <c r="U8" i="2"/>
  <c r="S8" i="2"/>
  <c r="T8" i="2"/>
  <c r="J7" i="2" a="1"/>
  <c r="J7" i="2" l="1"/>
  <c r="K8" i="9"/>
  <c r="V8" i="2"/>
  <c r="O8" i="9" s="1"/>
  <c r="K148" i="9"/>
  <c r="K78" i="9"/>
  <c r="O7" i="2"/>
  <c r="N7" i="2"/>
  <c r="M7" i="9"/>
  <c r="D6" i="9"/>
  <c r="M7" i="2"/>
  <c r="K7" i="2"/>
  <c r="L7" i="2"/>
  <c r="C41" i="12"/>
  <c r="F42" i="12"/>
  <c r="H41" i="12"/>
  <c r="R23" i="4"/>
  <c r="AH23" i="5" s="1"/>
  <c r="J23" i="4"/>
  <c r="R23" i="5" s="1"/>
  <c r="B23" i="4"/>
  <c r="B23" i="5" s="1"/>
  <c r="W23" i="4"/>
  <c r="AN23" i="5" s="1"/>
  <c r="N23" i="4"/>
  <c r="Z23" i="5" s="1"/>
  <c r="F23" i="4"/>
  <c r="J23" i="5" s="1"/>
  <c r="V23" i="4"/>
  <c r="AM23" i="5" s="1"/>
  <c r="K23" i="4"/>
  <c r="T23" i="5" s="1"/>
  <c r="S23" i="4"/>
  <c r="AJ23" i="5" s="1"/>
  <c r="H23" i="4"/>
  <c r="N23" i="5" s="1"/>
  <c r="T23" i="4"/>
  <c r="AL23" i="5" s="1"/>
  <c r="I23" i="4"/>
  <c r="P23" i="5" s="1"/>
  <c r="L23" i="4"/>
  <c r="V23" i="5" s="1"/>
  <c r="Q23" i="4"/>
  <c r="AF23" i="5" s="1"/>
  <c r="G23" i="4"/>
  <c r="P23" i="4"/>
  <c r="AD23" i="5" s="1"/>
  <c r="E23" i="4"/>
  <c r="H23" i="5" s="1"/>
  <c r="A25" i="4" a="1"/>
  <c r="A25" i="4" s="1"/>
  <c r="O23" i="4"/>
  <c r="AB23" i="5" s="1"/>
  <c r="D23" i="4"/>
  <c r="F23" i="5" s="1"/>
  <c r="M23" i="4"/>
  <c r="X23" i="5" s="1"/>
  <c r="C23" i="4"/>
  <c r="D23" i="5" s="1"/>
  <c r="M38" i="12"/>
  <c r="N33" i="12"/>
  <c r="K38" i="12"/>
  <c r="M39" i="12"/>
  <c r="J38" i="12"/>
  <c r="I33" i="12"/>
  <c r="K39" i="12"/>
  <c r="I38" i="12"/>
  <c r="I39" i="12"/>
  <c r="M36" i="12"/>
  <c r="M35" i="12"/>
  <c r="J36" i="12"/>
  <c r="J35" i="12"/>
  <c r="J34" i="12"/>
  <c r="P142" i="4"/>
  <c r="H142" i="4"/>
  <c r="O142" i="4"/>
  <c r="G142" i="4"/>
  <c r="A144" i="4"/>
  <c r="V142" i="4"/>
  <c r="AM142" i="5" s="1"/>
  <c r="M142" i="4"/>
  <c r="E142" i="4"/>
  <c r="T142" i="4"/>
  <c r="L142" i="4"/>
  <c r="D142" i="4"/>
  <c r="S142" i="4"/>
  <c r="K142" i="4"/>
  <c r="C142" i="4"/>
  <c r="Q142" i="4"/>
  <c r="I142" i="4"/>
  <c r="W142" i="4"/>
  <c r="AN142" i="5" s="1"/>
  <c r="R142" i="4"/>
  <c r="N142" i="4"/>
  <c r="J142" i="4"/>
  <c r="F142" i="4"/>
  <c r="B142" i="4"/>
  <c r="O147" i="9"/>
  <c r="O77" i="9"/>
  <c r="I7" i="9" a="1"/>
  <c r="I7" i="9" s="1"/>
  <c r="A25" i="5" a="1"/>
  <c r="A25" i="5" s="1"/>
  <c r="L23" i="5"/>
  <c r="I13" i="2"/>
  <c r="L12" i="9"/>
  <c r="L152" i="9"/>
  <c r="L82" i="9"/>
  <c r="B20" i="5"/>
  <c r="P9" i="10"/>
  <c r="B21" i="5"/>
  <c r="Q22" i="4"/>
  <c r="AF22" i="5" s="1"/>
  <c r="I22" i="4"/>
  <c r="P22" i="5" s="1"/>
  <c r="V22" i="4"/>
  <c r="AM22" i="5" s="1"/>
  <c r="M22" i="4"/>
  <c r="X22" i="5" s="1"/>
  <c r="E22" i="4"/>
  <c r="H22" i="5" s="1"/>
  <c r="L22" i="4"/>
  <c r="V22" i="5" s="1"/>
  <c r="B22" i="4"/>
  <c r="T22" i="4"/>
  <c r="AL22" i="5" s="1"/>
  <c r="J22" i="4"/>
  <c r="R22" i="5" s="1"/>
  <c r="W22" i="4"/>
  <c r="AN22" i="5" s="1"/>
  <c r="K22" i="4"/>
  <c r="T22" i="5" s="1"/>
  <c r="N22" i="4"/>
  <c r="Z22" i="5" s="1"/>
  <c r="S22" i="4"/>
  <c r="AJ22" i="5" s="1"/>
  <c r="H22" i="4"/>
  <c r="N22" i="5" s="1"/>
  <c r="R22" i="4"/>
  <c r="G22" i="4"/>
  <c r="L22" i="5" s="1"/>
  <c r="A24" i="4" a="1"/>
  <c r="A24" i="4" s="1"/>
  <c r="P22" i="4"/>
  <c r="AD22" i="5" s="1"/>
  <c r="F22" i="4"/>
  <c r="J22" i="5" s="1"/>
  <c r="D22" i="4"/>
  <c r="F22" i="5" s="1"/>
  <c r="O22" i="4"/>
  <c r="AB22" i="5" s="1"/>
  <c r="C22" i="4"/>
  <c r="D22" i="5" s="1"/>
  <c r="F5" i="9"/>
  <c r="G5" i="9" s="1"/>
  <c r="J5" i="9"/>
  <c r="N5" i="9"/>
  <c r="Q5" i="9" s="1"/>
  <c r="P5" i="9" s="1"/>
  <c r="AH22" i="5"/>
  <c r="A24" i="5" a="1"/>
  <c r="A24" i="5" s="1"/>
  <c r="D7" i="9" a="1"/>
  <c r="L8" i="2" a="1"/>
  <c r="N8" i="2" a="1"/>
  <c r="M8" i="2" a="1"/>
  <c r="K8" i="2" a="1"/>
  <c r="J8" i="2" a="1"/>
  <c r="O8" i="2" a="1"/>
  <c r="P9" i="2"/>
  <c r="Q9" i="2"/>
  <c r="R9" i="2"/>
  <c r="M8" i="9" a="1"/>
  <c r="S9" i="2"/>
  <c r="T9" i="2"/>
  <c r="U9" i="2"/>
  <c r="M8" i="9" l="1"/>
  <c r="K149" i="9"/>
  <c r="K79" i="9"/>
  <c r="K9" i="9"/>
  <c r="M9" i="9" s="1" a="1"/>
  <c r="M9" i="9" s="1"/>
  <c r="V9" i="2"/>
  <c r="O9" i="9" s="1"/>
  <c r="O8" i="2"/>
  <c r="J8" i="2"/>
  <c r="K8" i="2"/>
  <c r="M8" i="2"/>
  <c r="N8" i="2"/>
  <c r="L8" i="2"/>
  <c r="D7" i="9"/>
  <c r="S24" i="4"/>
  <c r="AJ24" i="5" s="1"/>
  <c r="K24" i="4"/>
  <c r="T24" i="5" s="1"/>
  <c r="C24" i="4"/>
  <c r="D24" i="5" s="1"/>
  <c r="A26" i="4" a="1"/>
  <c r="A26" i="4" s="1"/>
  <c r="O24" i="4"/>
  <c r="AB24" i="5" s="1"/>
  <c r="G24" i="4"/>
  <c r="L24" i="5" s="1"/>
  <c r="T24" i="4"/>
  <c r="AL24" i="5" s="1"/>
  <c r="I24" i="4"/>
  <c r="Q24" i="4"/>
  <c r="AF24" i="5" s="1"/>
  <c r="F24" i="4"/>
  <c r="J24" i="5" s="1"/>
  <c r="R24" i="4"/>
  <c r="AH24" i="5" s="1"/>
  <c r="H24" i="4"/>
  <c r="N24" i="5" s="1"/>
  <c r="V24" i="4"/>
  <c r="AM24" i="5" s="1"/>
  <c r="P24" i="4"/>
  <c r="E24" i="4"/>
  <c r="H24" i="5" s="1"/>
  <c r="N24" i="4"/>
  <c r="Z24" i="5" s="1"/>
  <c r="D24" i="4"/>
  <c r="F24" i="5" s="1"/>
  <c r="W24" i="4"/>
  <c r="AN24" i="5" s="1"/>
  <c r="M24" i="4"/>
  <c r="X24" i="5" s="1"/>
  <c r="B24" i="4"/>
  <c r="B24" i="5" s="1"/>
  <c r="L24" i="4"/>
  <c r="V24" i="5" s="1"/>
  <c r="J24" i="4"/>
  <c r="R24" i="5" s="1"/>
  <c r="W9" i="10"/>
  <c r="A27" i="5" a="1"/>
  <c r="A27" i="5" s="1"/>
  <c r="O148" i="9"/>
  <c r="O78" i="9"/>
  <c r="I8" i="9" a="1"/>
  <c r="I8" i="9" s="1"/>
  <c r="N6" i="9"/>
  <c r="Q6" i="9" s="1"/>
  <c r="P6" i="9" s="1"/>
  <c r="F6" i="9"/>
  <c r="G6" i="9" s="1"/>
  <c r="J6" i="9"/>
  <c r="M42" i="12"/>
  <c r="J41" i="12"/>
  <c r="P1" i="12"/>
  <c r="P24" i="5"/>
  <c r="AD24" i="5"/>
  <c r="A26" i="5" a="1"/>
  <c r="A26" i="5" s="1"/>
  <c r="B22" i="5"/>
  <c r="T25" i="4"/>
  <c r="AL25" i="5" s="1"/>
  <c r="L25" i="4"/>
  <c r="V25" i="5" s="1"/>
  <c r="D25" i="4"/>
  <c r="F25" i="5" s="1"/>
  <c r="P25" i="4"/>
  <c r="AD25" i="5" s="1"/>
  <c r="H25" i="4"/>
  <c r="N25" i="5" s="1"/>
  <c r="R25" i="4"/>
  <c r="AH25" i="5" s="1"/>
  <c r="G25" i="4"/>
  <c r="L25" i="5" s="1"/>
  <c r="A27" i="4" a="1"/>
  <c r="A27" i="4" s="1"/>
  <c r="O25" i="4"/>
  <c r="AB25" i="5" s="1"/>
  <c r="E25" i="4"/>
  <c r="H25" i="5" s="1"/>
  <c r="Q25" i="4"/>
  <c r="AF25" i="5" s="1"/>
  <c r="F25" i="4"/>
  <c r="J25" i="5" s="1"/>
  <c r="I25" i="4"/>
  <c r="P25" i="5" s="1"/>
  <c r="N25" i="4"/>
  <c r="Z25" i="5" s="1"/>
  <c r="C25" i="4"/>
  <c r="D25" i="5" s="1"/>
  <c r="M25" i="4"/>
  <c r="X25" i="5" s="1"/>
  <c r="B25" i="4"/>
  <c r="B25" i="5" s="1"/>
  <c r="W25" i="4"/>
  <c r="AN25" i="5" s="1"/>
  <c r="K25" i="4"/>
  <c r="T25" i="5" s="1"/>
  <c r="V25" i="4"/>
  <c r="AM25" i="5" s="1"/>
  <c r="J25" i="4"/>
  <c r="R25" i="5" s="1"/>
  <c r="S25" i="4"/>
  <c r="AJ25" i="5" s="1"/>
  <c r="F46" i="12"/>
  <c r="G41" i="12"/>
  <c r="F47" i="12"/>
  <c r="D46" i="12"/>
  <c r="D47" i="12"/>
  <c r="C46" i="12"/>
  <c r="F44" i="12"/>
  <c r="F43" i="12"/>
  <c r="B41" i="12"/>
  <c r="B47" i="12"/>
  <c r="B46" i="12"/>
  <c r="C44" i="12"/>
  <c r="C43" i="12"/>
  <c r="C42" i="12"/>
  <c r="I14" i="2"/>
  <c r="L153" i="9"/>
  <c r="L13" i="9"/>
  <c r="L83" i="9"/>
  <c r="T144" i="4"/>
  <c r="L144" i="4"/>
  <c r="D144" i="4"/>
  <c r="S144" i="4"/>
  <c r="K144" i="4"/>
  <c r="C144" i="4"/>
  <c r="Q144" i="4"/>
  <c r="I144" i="4"/>
  <c r="P144" i="4"/>
  <c r="H144" i="4"/>
  <c r="O144" i="4"/>
  <c r="G144" i="4"/>
  <c r="W144" i="4"/>
  <c r="AN144" i="5" s="1"/>
  <c r="N144" i="4"/>
  <c r="F144" i="4"/>
  <c r="V144" i="4"/>
  <c r="M144" i="4"/>
  <c r="E144" i="4"/>
  <c r="R144" i="4"/>
  <c r="J144" i="4"/>
  <c r="B144" i="4"/>
  <c r="O9" i="2" a="1"/>
  <c r="S10" i="2"/>
  <c r="T10" i="2"/>
  <c r="U10" i="2"/>
  <c r="N9" i="2" a="1"/>
  <c r="M9" i="2" a="1"/>
  <c r="J9" i="2" a="1"/>
  <c r="K9" i="2" a="1"/>
  <c r="R10" i="2"/>
  <c r="Q10" i="2"/>
  <c r="P10" i="2"/>
  <c r="D8" i="9" a="1"/>
  <c r="L9" i="2" a="1"/>
  <c r="L9" i="2" l="1"/>
  <c r="D8" i="9"/>
  <c r="K10" i="9"/>
  <c r="V10" i="2"/>
  <c r="O10" i="9" s="1"/>
  <c r="K80" i="9"/>
  <c r="K150" i="9"/>
  <c r="K9" i="2"/>
  <c r="J9" i="2"/>
  <c r="M9" i="2"/>
  <c r="N9" i="2"/>
  <c r="O9" i="2"/>
  <c r="AM144" i="5"/>
  <c r="A28" i="5" a="1"/>
  <c r="A28" i="5" s="1"/>
  <c r="A29" i="5" a="1"/>
  <c r="A29" i="5" s="1"/>
  <c r="V26" i="4"/>
  <c r="AM26" i="5" s="1"/>
  <c r="M26" i="4"/>
  <c r="X26" i="5" s="1"/>
  <c r="E26" i="4"/>
  <c r="H26" i="5" s="1"/>
  <c r="Q26" i="4"/>
  <c r="AF26" i="5" s="1"/>
  <c r="I26" i="4"/>
  <c r="P26" i="5" s="1"/>
  <c r="P26" i="4"/>
  <c r="AD26" i="5" s="1"/>
  <c r="F26" i="4"/>
  <c r="J26" i="5" s="1"/>
  <c r="N26" i="4"/>
  <c r="Z26" i="5" s="1"/>
  <c r="C26" i="4"/>
  <c r="D26" i="5" s="1"/>
  <c r="A28" i="4" a="1"/>
  <c r="A28" i="4" s="1"/>
  <c r="O26" i="4"/>
  <c r="AB26" i="5" s="1"/>
  <c r="D26" i="4"/>
  <c r="F26" i="5" s="1"/>
  <c r="R26" i="4"/>
  <c r="AH26" i="5" s="1"/>
  <c r="G26" i="4"/>
  <c r="L26" i="5" s="1"/>
  <c r="L26" i="4"/>
  <c r="V26" i="5" s="1"/>
  <c r="B26" i="4"/>
  <c r="B26" i="5" s="1"/>
  <c r="W26" i="4"/>
  <c r="AN26" i="5" s="1"/>
  <c r="K26" i="4"/>
  <c r="T26" i="5" s="1"/>
  <c r="T26" i="4"/>
  <c r="AL26" i="5" s="1"/>
  <c r="J26" i="4"/>
  <c r="R26" i="5" s="1"/>
  <c r="S26" i="4"/>
  <c r="AJ26" i="5" s="1"/>
  <c r="H26" i="4"/>
  <c r="N26" i="5" s="1"/>
  <c r="I15" i="2"/>
  <c r="L154" i="9"/>
  <c r="L84" i="9"/>
  <c r="L14" i="9"/>
  <c r="U2" i="12"/>
  <c r="W1" i="12"/>
  <c r="R1" i="12"/>
  <c r="J7" i="9"/>
  <c r="F7" i="9"/>
  <c r="G7" i="9" s="1"/>
  <c r="N7" i="9"/>
  <c r="Q7" i="9" s="1"/>
  <c r="P7" i="9" s="1"/>
  <c r="O149" i="9"/>
  <c r="O79" i="9"/>
  <c r="I9" i="9" a="1"/>
  <c r="I9" i="9" s="1"/>
  <c r="E9" i="9" s="1"/>
  <c r="W27" i="4"/>
  <c r="AN27" i="5" s="1"/>
  <c r="N27" i="4"/>
  <c r="Z27" i="5" s="1"/>
  <c r="F27" i="4"/>
  <c r="J27" i="5" s="1"/>
  <c r="R27" i="4"/>
  <c r="AH27" i="5" s="1"/>
  <c r="J27" i="4"/>
  <c r="R27" i="5" s="1"/>
  <c r="B27" i="4"/>
  <c r="A29" i="4" a="1"/>
  <c r="A29" i="4" s="1"/>
  <c r="O27" i="4"/>
  <c r="AB27" i="5" s="1"/>
  <c r="D27" i="4"/>
  <c r="F27" i="5" s="1"/>
  <c r="L27" i="4"/>
  <c r="V27" i="5" s="1"/>
  <c r="M27" i="4"/>
  <c r="X27" i="5" s="1"/>
  <c r="C27" i="4"/>
  <c r="D27" i="5" s="1"/>
  <c r="E27" i="4"/>
  <c r="H27" i="5" s="1"/>
  <c r="V27" i="4"/>
  <c r="AM27" i="5" s="1"/>
  <c r="K27" i="4"/>
  <c r="T27" i="5" s="1"/>
  <c r="T27" i="4"/>
  <c r="AL27" i="5" s="1"/>
  <c r="I27" i="4"/>
  <c r="P27" i="5" s="1"/>
  <c r="S27" i="4"/>
  <c r="AJ27" i="5" s="1"/>
  <c r="H27" i="4"/>
  <c r="N27" i="5" s="1"/>
  <c r="Q27" i="4"/>
  <c r="AF27" i="5" s="1"/>
  <c r="G27" i="4"/>
  <c r="L27" i="5" s="1"/>
  <c r="P27" i="4"/>
  <c r="AD27" i="5" s="1"/>
  <c r="I47" i="12"/>
  <c r="M44" i="12"/>
  <c r="M43" i="12"/>
  <c r="J44" i="12"/>
  <c r="J43" i="12"/>
  <c r="J42" i="12"/>
  <c r="M46" i="12"/>
  <c r="N41" i="12"/>
  <c r="K46" i="12"/>
  <c r="M47" i="12"/>
  <c r="J46" i="12"/>
  <c r="I41" i="12"/>
  <c r="K47" i="12"/>
  <c r="I46" i="12"/>
  <c r="P17" i="10"/>
  <c r="L10" i="2" a="1"/>
  <c r="Q11" i="2"/>
  <c r="R11" i="2"/>
  <c r="P11" i="2"/>
  <c r="K10" i="2" a="1"/>
  <c r="M10" i="9" a="1"/>
  <c r="N10" i="2" a="1"/>
  <c r="J10" i="2" a="1"/>
  <c r="D9" i="9" a="1"/>
  <c r="M10" i="2" a="1"/>
  <c r="T11" i="2"/>
  <c r="U11" i="2"/>
  <c r="S11" i="2"/>
  <c r="O10" i="2" a="1"/>
  <c r="O10" i="2" l="1"/>
  <c r="M10" i="2"/>
  <c r="D9" i="9"/>
  <c r="J10" i="2"/>
  <c r="N10" i="2"/>
  <c r="M10" i="9"/>
  <c r="K10" i="2"/>
  <c r="K11" i="9"/>
  <c r="V11" i="2"/>
  <c r="O11" i="9" s="1"/>
  <c r="K151" i="9"/>
  <c r="K81" i="9"/>
  <c r="L10" i="2"/>
  <c r="S7" i="12"/>
  <c r="Q7" i="12"/>
  <c r="U4" i="12"/>
  <c r="U3" i="12"/>
  <c r="R4" i="12"/>
  <c r="R3" i="12"/>
  <c r="R2" i="12"/>
  <c r="U6" i="12"/>
  <c r="S6" i="12"/>
  <c r="V1" i="12"/>
  <c r="Q1" i="12"/>
  <c r="U7" i="12"/>
  <c r="R6" i="12"/>
  <c r="Q6" i="12"/>
  <c r="B27" i="5"/>
  <c r="W17" i="10"/>
  <c r="A30" i="4" a="1"/>
  <c r="A30" i="4" s="1"/>
  <c r="O28" i="4"/>
  <c r="AB28" i="5" s="1"/>
  <c r="G28" i="4"/>
  <c r="L28" i="5" s="1"/>
  <c r="S28" i="4"/>
  <c r="AJ28" i="5" s="1"/>
  <c r="K28" i="4"/>
  <c r="T28" i="5" s="1"/>
  <c r="C28" i="4"/>
  <c r="D28" i="5" s="1"/>
  <c r="M28" i="4"/>
  <c r="X28" i="5" s="1"/>
  <c r="B28" i="4"/>
  <c r="V28" i="4"/>
  <c r="AM28" i="5" s="1"/>
  <c r="J28" i="4"/>
  <c r="W28" i="4"/>
  <c r="AN28" i="5" s="1"/>
  <c r="L28" i="4"/>
  <c r="V28" i="5" s="1"/>
  <c r="D28" i="4"/>
  <c r="F28" i="5" s="1"/>
  <c r="T28" i="4"/>
  <c r="AL28" i="5" s="1"/>
  <c r="I28" i="4"/>
  <c r="P28" i="5" s="1"/>
  <c r="R28" i="4"/>
  <c r="AH28" i="5" s="1"/>
  <c r="H28" i="4"/>
  <c r="N28" i="5" s="1"/>
  <c r="Q28" i="4"/>
  <c r="AF28" i="5" s="1"/>
  <c r="F28" i="4"/>
  <c r="J28" i="5" s="1"/>
  <c r="P28" i="4"/>
  <c r="AD28" i="5" s="1"/>
  <c r="E28" i="4"/>
  <c r="H28" i="5" s="1"/>
  <c r="N28" i="4"/>
  <c r="Z28" i="5" s="1"/>
  <c r="P29" i="4"/>
  <c r="AD29" i="5" s="1"/>
  <c r="H29" i="4"/>
  <c r="N29" i="5" s="1"/>
  <c r="T29" i="4"/>
  <c r="AL29" i="5" s="1"/>
  <c r="L29" i="4"/>
  <c r="V29" i="5" s="1"/>
  <c r="D29" i="4"/>
  <c r="F29" i="5" s="1"/>
  <c r="W29" i="4"/>
  <c r="AN29" i="5" s="1"/>
  <c r="K29" i="4"/>
  <c r="T29" i="5" s="1"/>
  <c r="S29" i="4"/>
  <c r="AJ29" i="5" s="1"/>
  <c r="I29" i="4"/>
  <c r="P29" i="5" s="1"/>
  <c r="V29" i="4"/>
  <c r="AM29" i="5" s="1"/>
  <c r="J29" i="4"/>
  <c r="B29" i="4"/>
  <c r="B29" i="5" s="1"/>
  <c r="R29" i="4"/>
  <c r="AH29" i="5" s="1"/>
  <c r="G29" i="4"/>
  <c r="L29" i="5" s="1"/>
  <c r="Q29" i="4"/>
  <c r="AF29" i="5" s="1"/>
  <c r="F29" i="4"/>
  <c r="J29" i="5" s="1"/>
  <c r="O29" i="4"/>
  <c r="AB29" i="5" s="1"/>
  <c r="E29" i="4"/>
  <c r="H29" i="5" s="1"/>
  <c r="N29" i="4"/>
  <c r="Z29" i="5" s="1"/>
  <c r="C29" i="4"/>
  <c r="D29" i="5" s="1"/>
  <c r="A31" i="4" a="1"/>
  <c r="A31" i="4" s="1"/>
  <c r="M29" i="4"/>
  <c r="X29" i="5" s="1"/>
  <c r="R29" i="5"/>
  <c r="A31" i="5" a="1"/>
  <c r="A31" i="5" s="1"/>
  <c r="AB2" i="12"/>
  <c r="Y1" i="12"/>
  <c r="P9" i="12"/>
  <c r="R28" i="5"/>
  <c r="B28" i="5"/>
  <c r="A30" i="5" a="1"/>
  <c r="A30" i="5" s="1"/>
  <c r="O150" i="9"/>
  <c r="O80" i="9"/>
  <c r="I10" i="9" a="1"/>
  <c r="I10" i="9" s="1"/>
  <c r="F8" i="9"/>
  <c r="G8" i="9" s="1"/>
  <c r="N8" i="9"/>
  <c r="Q8" i="9" s="1"/>
  <c r="P8" i="9" s="1"/>
  <c r="J8" i="9"/>
  <c r="L15" i="9"/>
  <c r="I16" i="2"/>
  <c r="L85" i="9"/>
  <c r="L155" i="9"/>
  <c r="K11" i="2" a="1"/>
  <c r="M11" i="2" a="1"/>
  <c r="O11" i="2" a="1"/>
  <c r="M11" i="9" a="1"/>
  <c r="N11" i="2" a="1"/>
  <c r="Q12" i="2"/>
  <c r="R12" i="2"/>
  <c r="P12" i="2"/>
  <c r="U12" i="2"/>
  <c r="S12" i="2"/>
  <c r="T12" i="2"/>
  <c r="J11" i="2" a="1"/>
  <c r="D10" i="9" a="1"/>
  <c r="L11" i="2" a="1"/>
  <c r="L11" i="2" l="1"/>
  <c r="D10" i="9"/>
  <c r="J11" i="2"/>
  <c r="K12" i="9"/>
  <c r="M12" i="9" s="1" a="1"/>
  <c r="M12" i="9" s="1"/>
  <c r="V12" i="2"/>
  <c r="O12" i="9" s="1"/>
  <c r="K152" i="9"/>
  <c r="K82" i="9"/>
  <c r="N11" i="2"/>
  <c r="M11" i="9"/>
  <c r="O11" i="2"/>
  <c r="M11" i="2"/>
  <c r="K11" i="2"/>
  <c r="J9" i="9"/>
  <c r="N9" i="9"/>
  <c r="Q9" i="9" s="1"/>
  <c r="P9" i="9" s="1"/>
  <c r="F9" i="9"/>
  <c r="G9" i="9" s="1"/>
  <c r="I17" i="2"/>
  <c r="L86" i="9"/>
  <c r="L16" i="9"/>
  <c r="L156" i="9"/>
  <c r="R31" i="4"/>
  <c r="AH31" i="5" s="1"/>
  <c r="J31" i="4"/>
  <c r="R31" i="5" s="1"/>
  <c r="B31" i="4"/>
  <c r="B31" i="5" s="1"/>
  <c r="W31" i="4"/>
  <c r="AN31" i="5" s="1"/>
  <c r="N31" i="4"/>
  <c r="Z31" i="5" s="1"/>
  <c r="F31" i="4"/>
  <c r="J31" i="5" s="1"/>
  <c r="S31" i="4"/>
  <c r="AJ31" i="5" s="1"/>
  <c r="H31" i="4"/>
  <c r="P31" i="4"/>
  <c r="E31" i="4"/>
  <c r="H31" i="5" s="1"/>
  <c r="Q31" i="4"/>
  <c r="AF31" i="5" s="1"/>
  <c r="G31" i="4"/>
  <c r="L31" i="5" s="1"/>
  <c r="I31" i="4"/>
  <c r="P31" i="5" s="1"/>
  <c r="A33" i="4" a="1"/>
  <c r="A33" i="4" s="1"/>
  <c r="O31" i="4"/>
  <c r="D31" i="4"/>
  <c r="M31" i="4"/>
  <c r="X31" i="5" s="1"/>
  <c r="C31" i="4"/>
  <c r="D31" i="5" s="1"/>
  <c r="L31" i="4"/>
  <c r="V31" i="5" s="1"/>
  <c r="V31" i="4"/>
  <c r="AM31" i="5" s="1"/>
  <c r="K31" i="4"/>
  <c r="T31" i="5" s="1"/>
  <c r="T31" i="4"/>
  <c r="AL31" i="5" s="1"/>
  <c r="Q30" i="4"/>
  <c r="AF30" i="5" s="1"/>
  <c r="I30" i="4"/>
  <c r="P30" i="5" s="1"/>
  <c r="V30" i="4"/>
  <c r="M30" i="4"/>
  <c r="X30" i="5" s="1"/>
  <c r="E30" i="4"/>
  <c r="H30" i="5" s="1"/>
  <c r="T30" i="4"/>
  <c r="AL30" i="5" s="1"/>
  <c r="J30" i="4"/>
  <c r="R30" i="4"/>
  <c r="AH30" i="5" s="1"/>
  <c r="G30" i="4"/>
  <c r="L30" i="5" s="1"/>
  <c r="S30" i="4"/>
  <c r="AJ30" i="5" s="1"/>
  <c r="H30" i="4"/>
  <c r="N30" i="5" s="1"/>
  <c r="W30" i="4"/>
  <c r="AN30" i="5" s="1"/>
  <c r="K30" i="4"/>
  <c r="T30" i="5" s="1"/>
  <c r="P30" i="4"/>
  <c r="AD30" i="5" s="1"/>
  <c r="F30" i="4"/>
  <c r="J30" i="5" s="1"/>
  <c r="A32" i="4" a="1"/>
  <c r="A32" i="4" s="1"/>
  <c r="O30" i="4"/>
  <c r="AB30" i="5" s="1"/>
  <c r="D30" i="4"/>
  <c r="F30" i="5" s="1"/>
  <c r="N30" i="4"/>
  <c r="Z30" i="5" s="1"/>
  <c r="C30" i="4"/>
  <c r="D30" i="5" s="1"/>
  <c r="L30" i="4"/>
  <c r="V30" i="5" s="1"/>
  <c r="B30" i="4"/>
  <c r="B30" i="5" s="1"/>
  <c r="R30" i="5"/>
  <c r="A32" i="5" a="1"/>
  <c r="A32" i="5" s="1"/>
  <c r="O151" i="9"/>
  <c r="O81" i="9"/>
  <c r="I11" i="9" a="1"/>
  <c r="I11" i="9" s="1"/>
  <c r="R9" i="12"/>
  <c r="U10" i="12"/>
  <c r="W9" i="12"/>
  <c r="F31" i="5"/>
  <c r="AD31" i="5"/>
  <c r="N31" i="5"/>
  <c r="A33" i="5" a="1"/>
  <c r="A33" i="5" s="1"/>
  <c r="AB31" i="5"/>
  <c r="P25" i="10"/>
  <c r="AB6" i="12"/>
  <c r="AB4" i="12"/>
  <c r="AB3" i="12"/>
  <c r="AC1" i="12"/>
  <c r="Z6" i="12"/>
  <c r="Y4" i="12"/>
  <c r="Y3" i="12"/>
  <c r="Y2" i="12"/>
  <c r="Y6" i="12"/>
  <c r="X1" i="12"/>
  <c r="X6" i="12"/>
  <c r="AB7" i="12"/>
  <c r="Z7" i="12"/>
  <c r="X7" i="12"/>
  <c r="J12" i="2" a="1"/>
  <c r="S13" i="2"/>
  <c r="T13" i="2"/>
  <c r="U13" i="2"/>
  <c r="D11" i="9" a="1"/>
  <c r="L12" i="2" a="1"/>
  <c r="R13" i="2"/>
  <c r="Q13" i="2"/>
  <c r="P13" i="2"/>
  <c r="N12" i="2" a="1"/>
  <c r="M12" i="2" a="1"/>
  <c r="K12" i="2" a="1"/>
  <c r="O12" i="2" a="1"/>
  <c r="O12" i="2" l="1"/>
  <c r="K12" i="2"/>
  <c r="M12" i="2"/>
  <c r="N12" i="2"/>
  <c r="K13" i="9"/>
  <c r="V13" i="2"/>
  <c r="O13" i="9" s="1"/>
  <c r="K83" i="9"/>
  <c r="K153" i="9"/>
  <c r="L12" i="2"/>
  <c r="D11" i="9"/>
  <c r="J12" i="2"/>
  <c r="L17" i="9"/>
  <c r="I18" i="2"/>
  <c r="L87" i="9"/>
  <c r="L157" i="9"/>
  <c r="A34" i="5" a="1"/>
  <c r="A34" i="5" s="1"/>
  <c r="S32" i="4"/>
  <c r="AJ32" i="5" s="1"/>
  <c r="K32" i="4"/>
  <c r="T32" i="5" s="1"/>
  <c r="C32" i="4"/>
  <c r="D32" i="5" s="1"/>
  <c r="A34" i="4" a="1"/>
  <c r="A34" i="4" s="1"/>
  <c r="O32" i="4"/>
  <c r="AB32" i="5" s="1"/>
  <c r="G32" i="4"/>
  <c r="L32" i="5" s="1"/>
  <c r="Q32" i="4"/>
  <c r="AF32" i="5" s="1"/>
  <c r="F32" i="4"/>
  <c r="J32" i="5" s="1"/>
  <c r="N32" i="4"/>
  <c r="Z32" i="5" s="1"/>
  <c r="D32" i="4"/>
  <c r="F32" i="5" s="1"/>
  <c r="P32" i="4"/>
  <c r="AD32" i="5" s="1"/>
  <c r="E32" i="4"/>
  <c r="H32" i="5" s="1"/>
  <c r="M32" i="4"/>
  <c r="X32" i="5" s="1"/>
  <c r="B32" i="4"/>
  <c r="B32" i="5" s="1"/>
  <c r="W32" i="4"/>
  <c r="AN32" i="5" s="1"/>
  <c r="L32" i="4"/>
  <c r="V32" i="5" s="1"/>
  <c r="J32" i="4"/>
  <c r="R32" i="5" s="1"/>
  <c r="I32" i="4"/>
  <c r="P32" i="5" s="1"/>
  <c r="V32" i="4"/>
  <c r="AM32" i="5" s="1"/>
  <c r="T32" i="4"/>
  <c r="AL32" i="5" s="1"/>
  <c r="R32" i="4"/>
  <c r="AH32" i="5" s="1"/>
  <c r="H32" i="4"/>
  <c r="N32" i="5" s="1"/>
  <c r="AM30" i="5"/>
  <c r="T33" i="4"/>
  <c r="AL33" i="5" s="1"/>
  <c r="L33" i="4"/>
  <c r="V33" i="5" s="1"/>
  <c r="D33" i="4"/>
  <c r="F33" i="5" s="1"/>
  <c r="P33" i="4"/>
  <c r="AD33" i="5" s="1"/>
  <c r="H33" i="4"/>
  <c r="N33" i="5" s="1"/>
  <c r="A35" i="4" a="1"/>
  <c r="A35" i="4" s="1"/>
  <c r="O33" i="4"/>
  <c r="AB33" i="5" s="1"/>
  <c r="E33" i="4"/>
  <c r="H33" i="5" s="1"/>
  <c r="M33" i="4"/>
  <c r="X33" i="5" s="1"/>
  <c r="B33" i="4"/>
  <c r="B33" i="5" s="1"/>
  <c r="N33" i="4"/>
  <c r="Z33" i="5" s="1"/>
  <c r="C33" i="4"/>
  <c r="D33" i="5" s="1"/>
  <c r="W33" i="4"/>
  <c r="AN33" i="5" s="1"/>
  <c r="K33" i="4"/>
  <c r="T33" i="5" s="1"/>
  <c r="V33" i="4"/>
  <c r="AM33" i="5" s="1"/>
  <c r="J33" i="4"/>
  <c r="R33" i="5" s="1"/>
  <c r="S33" i="4"/>
  <c r="AJ33" i="5" s="1"/>
  <c r="R33" i="4"/>
  <c r="AH33" i="5" s="1"/>
  <c r="I33" i="4"/>
  <c r="P33" i="5" s="1"/>
  <c r="G33" i="4"/>
  <c r="L33" i="5" s="1"/>
  <c r="Q33" i="4"/>
  <c r="AF33" i="5" s="1"/>
  <c r="F33" i="4"/>
  <c r="J33" i="5" s="1"/>
  <c r="O152" i="9"/>
  <c r="O82" i="9"/>
  <c r="I12" i="9" a="1"/>
  <c r="I12" i="9" s="1"/>
  <c r="E12" i="9" s="1"/>
  <c r="A35" i="5" a="1"/>
  <c r="A35" i="5" s="1"/>
  <c r="AB10" i="12"/>
  <c r="Y9" i="12"/>
  <c r="P17" i="12"/>
  <c r="F10" i="9"/>
  <c r="G10" i="9" s="1"/>
  <c r="J10" i="9"/>
  <c r="N10" i="9"/>
  <c r="Q10" i="9" s="1"/>
  <c r="P10" i="9" s="1"/>
  <c r="W25" i="10"/>
  <c r="U14" i="12"/>
  <c r="V9" i="12"/>
  <c r="S14" i="12"/>
  <c r="R14" i="12"/>
  <c r="Q9" i="12"/>
  <c r="U15" i="12"/>
  <c r="Q14" i="12"/>
  <c r="S15" i="12"/>
  <c r="Q15" i="12"/>
  <c r="R10" i="12"/>
  <c r="U12" i="12"/>
  <c r="R12" i="12"/>
  <c r="U11" i="12"/>
  <c r="R11" i="12"/>
  <c r="K13" i="2" a="1"/>
  <c r="M13" i="2" a="1"/>
  <c r="P14" i="2"/>
  <c r="R14" i="2"/>
  <c r="Q14" i="2"/>
  <c r="L13" i="2" a="1"/>
  <c r="D12" i="9" a="1"/>
  <c r="S14" i="2"/>
  <c r="U14" i="2"/>
  <c r="T14" i="2"/>
  <c r="M13" i="9" a="1"/>
  <c r="O13" i="2" a="1"/>
  <c r="J13" i="2" a="1"/>
  <c r="N13" i="2" a="1"/>
  <c r="N13" i="2" l="1"/>
  <c r="J13" i="2"/>
  <c r="O13" i="2"/>
  <c r="M13" i="9"/>
  <c r="D12" i="9"/>
  <c r="L13" i="2"/>
  <c r="K84" i="9"/>
  <c r="K154" i="9"/>
  <c r="K14" i="9"/>
  <c r="V14" i="2"/>
  <c r="O14" i="9" s="1"/>
  <c r="M13" i="2"/>
  <c r="K13" i="2"/>
  <c r="V34" i="4"/>
  <c r="AM34" i="5" s="1"/>
  <c r="M34" i="4"/>
  <c r="X34" i="5" s="1"/>
  <c r="E34" i="4"/>
  <c r="H34" i="5" s="1"/>
  <c r="Q34" i="4"/>
  <c r="AF34" i="5" s="1"/>
  <c r="I34" i="4"/>
  <c r="P34" i="5" s="1"/>
  <c r="N34" i="4"/>
  <c r="Z34" i="5" s="1"/>
  <c r="C34" i="4"/>
  <c r="W34" i="4"/>
  <c r="AN34" i="5" s="1"/>
  <c r="K34" i="4"/>
  <c r="L34" i="4"/>
  <c r="V34" i="5" s="1"/>
  <c r="B34" i="4"/>
  <c r="B34" i="5" s="1"/>
  <c r="T34" i="4"/>
  <c r="AL34" i="5" s="1"/>
  <c r="J34" i="4"/>
  <c r="R34" i="5" s="1"/>
  <c r="S34" i="4"/>
  <c r="AJ34" i="5" s="1"/>
  <c r="H34" i="4"/>
  <c r="P34" i="4"/>
  <c r="AD34" i="5" s="1"/>
  <c r="R34" i="4"/>
  <c r="G34" i="4"/>
  <c r="L34" i="5" s="1"/>
  <c r="F34" i="4"/>
  <c r="J34" i="5" s="1"/>
  <c r="O34" i="4"/>
  <c r="AB34" i="5" s="1"/>
  <c r="D34" i="4"/>
  <c r="F34" i="5" s="1"/>
  <c r="A36" i="4" a="1"/>
  <c r="A36" i="4" s="1"/>
  <c r="A37" i="5" a="1"/>
  <c r="A37" i="5" s="1"/>
  <c r="L18" i="9"/>
  <c r="I19" i="2"/>
  <c r="L158" i="9"/>
  <c r="L88" i="9"/>
  <c r="O153" i="9"/>
  <c r="O83" i="9"/>
  <c r="I13" i="9" a="1"/>
  <c r="I13" i="9" s="1"/>
  <c r="N34" i="5"/>
  <c r="A36" i="5" a="1"/>
  <c r="A36" i="5" s="1"/>
  <c r="T34" i="5"/>
  <c r="D34" i="5"/>
  <c r="AH34" i="5"/>
  <c r="F11" i="9"/>
  <c r="G11" i="9" s="1"/>
  <c r="N11" i="9"/>
  <c r="Q11" i="9" s="1"/>
  <c r="P11" i="9" s="1"/>
  <c r="J11" i="9"/>
  <c r="U18" i="12"/>
  <c r="W17" i="12"/>
  <c r="R17" i="12"/>
  <c r="P33" i="10"/>
  <c r="AB15" i="12"/>
  <c r="Z15" i="12"/>
  <c r="X15" i="12"/>
  <c r="AB14" i="12"/>
  <c r="AB12" i="12"/>
  <c r="AB11" i="12"/>
  <c r="AC9" i="12"/>
  <c r="Z14" i="12"/>
  <c r="Y12" i="12"/>
  <c r="Y11" i="12"/>
  <c r="Y10" i="12"/>
  <c r="Y14" i="12"/>
  <c r="X14" i="12"/>
  <c r="X9" i="12"/>
  <c r="W35" i="4"/>
  <c r="AN35" i="5" s="1"/>
  <c r="N35" i="4"/>
  <c r="Z35" i="5" s="1"/>
  <c r="F35" i="4"/>
  <c r="J35" i="5" s="1"/>
  <c r="R35" i="4"/>
  <c r="AH35" i="5" s="1"/>
  <c r="J35" i="4"/>
  <c r="R35" i="5" s="1"/>
  <c r="B35" i="4"/>
  <c r="L35" i="4"/>
  <c r="V35" i="5" s="1"/>
  <c r="T35" i="4"/>
  <c r="AL35" i="5" s="1"/>
  <c r="I35" i="4"/>
  <c r="P35" i="5" s="1"/>
  <c r="V35" i="4"/>
  <c r="AM35" i="5" s="1"/>
  <c r="K35" i="4"/>
  <c r="T35" i="5" s="1"/>
  <c r="S35" i="4"/>
  <c r="AJ35" i="5" s="1"/>
  <c r="H35" i="4"/>
  <c r="N35" i="5" s="1"/>
  <c r="Q35" i="4"/>
  <c r="AF35" i="5" s="1"/>
  <c r="G35" i="4"/>
  <c r="L35" i="5" s="1"/>
  <c r="O35" i="4"/>
  <c r="AB35" i="5" s="1"/>
  <c r="P35" i="4"/>
  <c r="AD35" i="5" s="1"/>
  <c r="E35" i="4"/>
  <c r="H35" i="5" s="1"/>
  <c r="D35" i="4"/>
  <c r="F35" i="5" s="1"/>
  <c r="M35" i="4"/>
  <c r="X35" i="5" s="1"/>
  <c r="C35" i="4"/>
  <c r="D35" i="5" s="1"/>
  <c r="A37" i="4" a="1"/>
  <c r="A37" i="4" s="1"/>
  <c r="Q18" i="2"/>
  <c r="N14" i="2" a="1"/>
  <c r="L14" i="2" a="1"/>
  <c r="D13" i="9" a="1"/>
  <c r="P18" i="2"/>
  <c r="K14" i="2" a="1"/>
  <c r="U18" i="2"/>
  <c r="O14" i="2" a="1"/>
  <c r="M14" i="9" a="1"/>
  <c r="P15" i="2"/>
  <c r="Q15" i="2"/>
  <c r="R15" i="2"/>
  <c r="T18" i="2"/>
  <c r="M14" i="2" a="1"/>
  <c r="S18" i="2"/>
  <c r="U15" i="2"/>
  <c r="S15" i="2"/>
  <c r="T15" i="2"/>
  <c r="J14" i="2" a="1"/>
  <c r="R18" i="2"/>
  <c r="K158" i="9" l="1"/>
  <c r="J14" i="2"/>
  <c r="M14" i="2"/>
  <c r="K155" i="9"/>
  <c r="K85" i="9"/>
  <c r="K15" i="9"/>
  <c r="V15" i="2"/>
  <c r="O15" i="9" s="1"/>
  <c r="M14" i="9"/>
  <c r="O14" i="2"/>
  <c r="K14" i="2"/>
  <c r="K18" i="9"/>
  <c r="V18" i="2"/>
  <c r="O18" i="9" s="1"/>
  <c r="D13" i="9"/>
  <c r="L14" i="2"/>
  <c r="N14" i="2"/>
  <c r="K88" i="9"/>
  <c r="W33" i="10"/>
  <c r="F12" i="9"/>
  <c r="G12" i="9" s="1"/>
  <c r="J12" i="9"/>
  <c r="N12" i="9"/>
  <c r="Q12" i="9" s="1"/>
  <c r="P12" i="9" s="1"/>
  <c r="P37" i="4"/>
  <c r="H37" i="4"/>
  <c r="N37" i="5" s="1"/>
  <c r="T37" i="4"/>
  <c r="AL37" i="5" s="1"/>
  <c r="L37" i="4"/>
  <c r="V37" i="5" s="1"/>
  <c r="D37" i="4"/>
  <c r="F37" i="5" s="1"/>
  <c r="S37" i="4"/>
  <c r="AJ37" i="5" s="1"/>
  <c r="I37" i="4"/>
  <c r="Q37" i="4"/>
  <c r="AF37" i="5" s="1"/>
  <c r="F37" i="4"/>
  <c r="R37" i="4"/>
  <c r="AH37" i="5" s="1"/>
  <c r="G37" i="4"/>
  <c r="L37" i="5" s="1"/>
  <c r="A39" i="4" a="1"/>
  <c r="A39" i="4" s="1"/>
  <c r="O37" i="4"/>
  <c r="AB37" i="5" s="1"/>
  <c r="E37" i="4"/>
  <c r="H37" i="5" s="1"/>
  <c r="N37" i="4"/>
  <c r="Z37" i="5" s="1"/>
  <c r="C37" i="4"/>
  <c r="D37" i="5" s="1"/>
  <c r="M37" i="4"/>
  <c r="X37" i="5" s="1"/>
  <c r="B37" i="4"/>
  <c r="B37" i="5" s="1"/>
  <c r="W37" i="4"/>
  <c r="AN37" i="5" s="1"/>
  <c r="K37" i="4"/>
  <c r="T37" i="5" s="1"/>
  <c r="V37" i="4"/>
  <c r="AM37" i="5" s="1"/>
  <c r="J37" i="4"/>
  <c r="R37" i="5" s="1"/>
  <c r="P37" i="5"/>
  <c r="AD37" i="5"/>
  <c r="A39" i="5" a="1"/>
  <c r="A39" i="5" s="1"/>
  <c r="J37" i="5"/>
  <c r="O154" i="9"/>
  <c r="O84" i="9"/>
  <c r="I14" i="9" a="1"/>
  <c r="I14" i="9" s="1"/>
  <c r="S23" i="12"/>
  <c r="Q23" i="12"/>
  <c r="U20" i="12"/>
  <c r="U19" i="12"/>
  <c r="R20" i="12"/>
  <c r="R19" i="12"/>
  <c r="R18" i="12"/>
  <c r="U22" i="12"/>
  <c r="V17" i="12"/>
  <c r="S22" i="12"/>
  <c r="U23" i="12"/>
  <c r="R22" i="12"/>
  <c r="Q22" i="12"/>
  <c r="Q17" i="12"/>
  <c r="A38" i="5" a="1"/>
  <c r="A38" i="5" s="1"/>
  <c r="B35" i="5"/>
  <c r="AB18" i="12"/>
  <c r="Y17" i="12"/>
  <c r="P25" i="12"/>
  <c r="L19" i="9"/>
  <c r="I20" i="2"/>
  <c r="L159" i="9"/>
  <c r="L89" i="9"/>
  <c r="A38" i="4" a="1"/>
  <c r="A38" i="4" s="1"/>
  <c r="O36" i="4"/>
  <c r="AB36" i="5" s="1"/>
  <c r="G36" i="4"/>
  <c r="L36" i="5" s="1"/>
  <c r="S36" i="4"/>
  <c r="AJ36" i="5" s="1"/>
  <c r="K36" i="4"/>
  <c r="T36" i="5" s="1"/>
  <c r="C36" i="4"/>
  <c r="D36" i="5" s="1"/>
  <c r="V36" i="4"/>
  <c r="AM36" i="5" s="1"/>
  <c r="J36" i="4"/>
  <c r="R36" i="5" s="1"/>
  <c r="R36" i="4"/>
  <c r="AH36" i="5" s="1"/>
  <c r="H36" i="4"/>
  <c r="N36" i="5" s="1"/>
  <c r="T36" i="4"/>
  <c r="AL36" i="5" s="1"/>
  <c r="I36" i="4"/>
  <c r="P36" i="5" s="1"/>
  <c r="Q36" i="4"/>
  <c r="AF36" i="5" s="1"/>
  <c r="F36" i="4"/>
  <c r="J36" i="5" s="1"/>
  <c r="P36" i="4"/>
  <c r="AD36" i="5" s="1"/>
  <c r="E36" i="4"/>
  <c r="H36" i="5" s="1"/>
  <c r="M36" i="4"/>
  <c r="X36" i="5" s="1"/>
  <c r="N36" i="4"/>
  <c r="Z36" i="5" s="1"/>
  <c r="D36" i="4"/>
  <c r="F36" i="5" s="1"/>
  <c r="B36" i="4"/>
  <c r="B36" i="5" s="1"/>
  <c r="W36" i="4"/>
  <c r="AN36" i="5" s="1"/>
  <c r="L36" i="4"/>
  <c r="V36" i="5" s="1"/>
  <c r="N18" i="2" a="1"/>
  <c r="R19" i="2"/>
  <c r="S19" i="2"/>
  <c r="L18" i="2" a="1"/>
  <c r="P16" i="2"/>
  <c r="Q16" i="2"/>
  <c r="R16" i="2"/>
  <c r="D14" i="9" a="1"/>
  <c r="L15" i="2" a="1"/>
  <c r="O18" i="2" a="1"/>
  <c r="P19" i="2"/>
  <c r="T19" i="2"/>
  <c r="N15" i="2" a="1"/>
  <c r="K18" i="2" a="1"/>
  <c r="U16" i="2"/>
  <c r="S16" i="2"/>
  <c r="T16" i="2"/>
  <c r="Q19" i="2"/>
  <c r="M18" i="2" a="1"/>
  <c r="M15" i="2" a="1"/>
  <c r="K15" i="2" a="1"/>
  <c r="M18" i="9" a="1"/>
  <c r="J15" i="2" a="1"/>
  <c r="O15" i="2" a="1"/>
  <c r="M15" i="9" a="1"/>
  <c r="J18" i="2" a="1"/>
  <c r="U19" i="2"/>
  <c r="J18" i="2" l="1"/>
  <c r="M15" i="9"/>
  <c r="O15" i="2"/>
  <c r="J15" i="2"/>
  <c r="M18" i="9"/>
  <c r="K15" i="2"/>
  <c r="M15" i="2"/>
  <c r="M18" i="2"/>
  <c r="K89" i="9"/>
  <c r="K18" i="2"/>
  <c r="N15" i="2"/>
  <c r="K19" i="9"/>
  <c r="M19" i="9" s="1" a="1"/>
  <c r="M19" i="9" s="1"/>
  <c r="V19" i="2"/>
  <c r="O19" i="9" s="1"/>
  <c r="O18" i="2"/>
  <c r="L15" i="2"/>
  <c r="D14" i="9"/>
  <c r="K156" i="9"/>
  <c r="K86" i="9"/>
  <c r="K16" i="9"/>
  <c r="M16" i="9" s="1" a="1"/>
  <c r="M16" i="9" s="1"/>
  <c r="V16" i="2"/>
  <c r="O16" i="9" s="1"/>
  <c r="L18" i="2"/>
  <c r="K159" i="9"/>
  <c r="N18" i="2"/>
  <c r="AB22" i="12"/>
  <c r="AB20" i="12"/>
  <c r="AB19" i="12"/>
  <c r="AC17" i="12"/>
  <c r="Z22" i="12"/>
  <c r="Y20" i="12"/>
  <c r="Y19" i="12"/>
  <c r="Y18" i="12"/>
  <c r="Y22" i="12"/>
  <c r="X17" i="12"/>
  <c r="X22" i="12"/>
  <c r="AB23" i="12"/>
  <c r="Z23" i="12"/>
  <c r="X23" i="12"/>
  <c r="R39" i="4"/>
  <c r="AH39" i="5" s="1"/>
  <c r="J39" i="4"/>
  <c r="R39" i="5" s="1"/>
  <c r="B39" i="4"/>
  <c r="W39" i="4"/>
  <c r="AN39" i="5" s="1"/>
  <c r="N39" i="4"/>
  <c r="Z39" i="5" s="1"/>
  <c r="F39" i="4"/>
  <c r="J39" i="5" s="1"/>
  <c r="P39" i="4"/>
  <c r="AD39" i="5" s="1"/>
  <c r="E39" i="4"/>
  <c r="H39" i="5" s="1"/>
  <c r="M39" i="4"/>
  <c r="X39" i="5" s="1"/>
  <c r="C39" i="4"/>
  <c r="D39" i="5" s="1"/>
  <c r="O39" i="4"/>
  <c r="AB39" i="5" s="1"/>
  <c r="D39" i="4"/>
  <c r="F39" i="5" s="1"/>
  <c r="L39" i="4"/>
  <c r="V39" i="5" s="1"/>
  <c r="V39" i="4"/>
  <c r="K39" i="4"/>
  <c r="T39" i="5" s="1"/>
  <c r="T39" i="4"/>
  <c r="AL39" i="5" s="1"/>
  <c r="I39" i="4"/>
  <c r="P39" i="5" s="1"/>
  <c r="S39" i="4"/>
  <c r="AJ39" i="5" s="1"/>
  <c r="H39" i="4"/>
  <c r="N39" i="5" s="1"/>
  <c r="Q39" i="4"/>
  <c r="AF39" i="5" s="1"/>
  <c r="G39" i="4"/>
  <c r="L39" i="5" s="1"/>
  <c r="O158" i="9"/>
  <c r="O88" i="9"/>
  <c r="I18" i="9" a="1"/>
  <c r="I18" i="9" s="1"/>
  <c r="P41" i="10"/>
  <c r="F13" i="9"/>
  <c r="G13" i="9" s="1"/>
  <c r="J13" i="9"/>
  <c r="N13" i="9"/>
  <c r="Q13" i="9" s="1"/>
  <c r="P13" i="9" s="1"/>
  <c r="R25" i="12"/>
  <c r="W25" i="12"/>
  <c r="U26" i="12"/>
  <c r="I21" i="2"/>
  <c r="L20" i="9"/>
  <c r="L160" i="9"/>
  <c r="L90" i="9"/>
  <c r="A40" i="5" a="1"/>
  <c r="A40" i="5" s="1"/>
  <c r="A41" i="5" a="1"/>
  <c r="A41" i="5" s="1"/>
  <c r="O155" i="9"/>
  <c r="O85" i="9"/>
  <c r="I15" i="9" a="1"/>
  <c r="I15" i="9" s="1"/>
  <c r="Q38" i="4"/>
  <c r="AF38" i="5" s="1"/>
  <c r="I38" i="4"/>
  <c r="P38" i="5" s="1"/>
  <c r="V38" i="4"/>
  <c r="AM38" i="5" s="1"/>
  <c r="M38" i="4"/>
  <c r="X38" i="5" s="1"/>
  <c r="E38" i="4"/>
  <c r="H38" i="5" s="1"/>
  <c r="R38" i="4"/>
  <c r="AH38" i="5" s="1"/>
  <c r="G38" i="4"/>
  <c r="L38" i="5" s="1"/>
  <c r="O38" i="4"/>
  <c r="AB38" i="5" s="1"/>
  <c r="D38" i="4"/>
  <c r="F38" i="5" s="1"/>
  <c r="P38" i="4"/>
  <c r="AD38" i="5" s="1"/>
  <c r="F38" i="4"/>
  <c r="J38" i="5" s="1"/>
  <c r="N38" i="4"/>
  <c r="Z38" i="5" s="1"/>
  <c r="C38" i="4"/>
  <c r="D38" i="5" s="1"/>
  <c r="L38" i="4"/>
  <c r="V38" i="5" s="1"/>
  <c r="B38" i="4"/>
  <c r="W38" i="4"/>
  <c r="AN38" i="5" s="1"/>
  <c r="K38" i="4"/>
  <c r="T38" i="5" s="1"/>
  <c r="T38" i="4"/>
  <c r="AL38" i="5" s="1"/>
  <c r="J38" i="4"/>
  <c r="R38" i="5" s="1"/>
  <c r="S38" i="4"/>
  <c r="AJ38" i="5" s="1"/>
  <c r="H38" i="4"/>
  <c r="N38" i="5" s="1"/>
  <c r="O19" i="2" a="1"/>
  <c r="N19" i="2" a="1"/>
  <c r="L16" i="2" a="1"/>
  <c r="B3" i="8" a="1"/>
  <c r="T20" i="2"/>
  <c r="M19" i="2" a="1"/>
  <c r="D18" i="9" a="1"/>
  <c r="L19" i="2" a="1"/>
  <c r="F8" i="8" a="1"/>
  <c r="U20" i="2"/>
  <c r="K19" i="2" a="1"/>
  <c r="K16" i="2" a="1"/>
  <c r="E1" i="8" a="1"/>
  <c r="S20" i="2"/>
  <c r="E7" i="8" a="1"/>
  <c r="N16" i="2" a="1"/>
  <c r="J19" i="2" a="1"/>
  <c r="E2" i="8" a="1"/>
  <c r="R20" i="2"/>
  <c r="Q17" i="2"/>
  <c r="P17" i="2"/>
  <c r="R17" i="2"/>
  <c r="D15" i="9" a="1"/>
  <c r="M16" i="2" a="1"/>
  <c r="S17" i="2"/>
  <c r="U17" i="2"/>
  <c r="T17" i="2"/>
  <c r="Q20" i="2"/>
  <c r="O16" i="2" a="1"/>
  <c r="J16" i="2" a="1"/>
  <c r="P20" i="2"/>
  <c r="K20" i="9" l="1"/>
  <c r="V20" i="2"/>
  <c r="O20" i="9" s="1"/>
  <c r="J16" i="2"/>
  <c r="O16" i="2"/>
  <c r="K90" i="9"/>
  <c r="M16" i="2"/>
  <c r="D15" i="9"/>
  <c r="K157" i="9"/>
  <c r="K17" i="9"/>
  <c r="V17" i="2"/>
  <c r="O17" i="9" s="1"/>
  <c r="K87" i="9"/>
  <c r="K160" i="9"/>
  <c r="E2" i="8"/>
  <c r="J19" i="2"/>
  <c r="N16" i="2"/>
  <c r="E7" i="8"/>
  <c r="E1" i="8"/>
  <c r="K16" i="2"/>
  <c r="K19" i="2"/>
  <c r="F8" i="8"/>
  <c r="L19" i="2"/>
  <c r="D18" i="9"/>
  <c r="M19" i="2"/>
  <c r="B3" i="8"/>
  <c r="L16" i="2"/>
  <c r="N19" i="2"/>
  <c r="O19" i="2"/>
  <c r="I22" i="2"/>
  <c r="L91" i="9"/>
  <c r="L21" i="9"/>
  <c r="L161" i="9"/>
  <c r="P33" i="12"/>
  <c r="AB26" i="12"/>
  <c r="Y25" i="12"/>
  <c r="N14" i="9"/>
  <c r="Q14" i="9" s="1"/>
  <c r="P14" i="9" s="1"/>
  <c r="F14" i="9"/>
  <c r="G14" i="9" s="1"/>
  <c r="J14" i="9"/>
  <c r="A43" i="5" a="1"/>
  <c r="A43" i="5" s="1"/>
  <c r="AB41" i="5"/>
  <c r="L41" i="5"/>
  <c r="Z41" i="5"/>
  <c r="J41" i="5"/>
  <c r="X41" i="5"/>
  <c r="H41" i="5"/>
  <c r="AL41" i="5"/>
  <c r="V41" i="5"/>
  <c r="F41" i="5"/>
  <c r="AJ41" i="5"/>
  <c r="T41" i="5"/>
  <c r="D41" i="5"/>
  <c r="AH41" i="5"/>
  <c r="R41" i="5"/>
  <c r="B41" i="5"/>
  <c r="AF41" i="5"/>
  <c r="P41" i="5"/>
  <c r="AD41" i="5"/>
  <c r="N41" i="5"/>
  <c r="U30" i="12"/>
  <c r="V25" i="12"/>
  <c r="S30" i="12"/>
  <c r="R30" i="12"/>
  <c r="Q25" i="12"/>
  <c r="U31" i="12"/>
  <c r="Q30" i="12"/>
  <c r="S31" i="12"/>
  <c r="Q31" i="12"/>
  <c r="U28" i="12"/>
  <c r="R28" i="12"/>
  <c r="U27" i="12"/>
  <c r="R27" i="12"/>
  <c r="R26" i="12"/>
  <c r="Z40" i="5"/>
  <c r="J40" i="5"/>
  <c r="X40" i="5"/>
  <c r="H40" i="5"/>
  <c r="AL40" i="5"/>
  <c r="V40" i="5"/>
  <c r="F40" i="5"/>
  <c r="AJ40" i="5"/>
  <c r="T40" i="5"/>
  <c r="D40" i="5"/>
  <c r="AH40" i="5"/>
  <c r="R40" i="5"/>
  <c r="B40" i="5"/>
  <c r="AF40" i="5"/>
  <c r="P40" i="5"/>
  <c r="AD40" i="5"/>
  <c r="N40" i="5"/>
  <c r="A42" i="5" a="1"/>
  <c r="A42" i="5" s="1"/>
  <c r="AB40" i="5"/>
  <c r="L40" i="5"/>
  <c r="W41" i="10"/>
  <c r="O156" i="9"/>
  <c r="O86" i="9"/>
  <c r="I16" i="9" a="1"/>
  <c r="I16" i="9" s="1"/>
  <c r="E16" i="9" s="1"/>
  <c r="B38" i="5"/>
  <c r="O159" i="9"/>
  <c r="O89" i="9"/>
  <c r="I19" i="9" a="1"/>
  <c r="I19" i="9" s="1"/>
  <c r="E19" i="9" s="1"/>
  <c r="AM39" i="5"/>
  <c r="A211" i="9"/>
  <c r="A212" i="9"/>
  <c r="A213" i="9" s="1"/>
  <c r="B39" i="5"/>
  <c r="M20" i="9" a="1"/>
  <c r="O17" i="2" a="1"/>
  <c r="J17" i="2" a="1"/>
  <c r="P21" i="2"/>
  <c r="M17" i="2" a="1"/>
  <c r="M20" i="2" a="1"/>
  <c r="D19" i="9" a="1"/>
  <c r="J20" i="2" a="1"/>
  <c r="K17" i="2" a="1"/>
  <c r="N20" i="2" a="1"/>
  <c r="U21" i="2"/>
  <c r="T21" i="2"/>
  <c r="D16" i="9" a="1"/>
  <c r="L20" i="2" a="1"/>
  <c r="S21" i="2"/>
  <c r="M90" i="9" a="1"/>
  <c r="L17" i="2" a="1"/>
  <c r="O20" i="2" a="1"/>
  <c r="R21" i="2"/>
  <c r="K20" i="2" a="1"/>
  <c r="M17" i="9" a="1"/>
  <c r="Q21" i="2"/>
  <c r="N17" i="2" a="1"/>
  <c r="N17" i="2" l="1"/>
  <c r="K91" i="9"/>
  <c r="M17" i="9"/>
  <c r="K20" i="2"/>
  <c r="K161" i="9"/>
  <c r="O20" i="2"/>
  <c r="L17" i="2"/>
  <c r="M90" i="9"/>
  <c r="L20" i="2"/>
  <c r="D16" i="9"/>
  <c r="N20" i="2"/>
  <c r="K17" i="2"/>
  <c r="J20" i="2"/>
  <c r="D19" i="9"/>
  <c r="M20" i="2"/>
  <c r="M17" i="2"/>
  <c r="K21" i="9"/>
  <c r="V21" i="2"/>
  <c r="O21" i="9" s="1"/>
  <c r="J17" i="2"/>
  <c r="O17" i="2"/>
  <c r="M20" i="9"/>
  <c r="AE1" i="10"/>
  <c r="O87" i="9"/>
  <c r="O157" i="9"/>
  <c r="I17" i="9" a="1"/>
  <c r="I17" i="9" s="1"/>
  <c r="I218" i="9"/>
  <c r="A8" i="8"/>
  <c r="H216" i="9"/>
  <c r="J2" i="8"/>
  <c r="AB31" i="12"/>
  <c r="Z31" i="12"/>
  <c r="X31" i="12"/>
  <c r="AB30" i="12"/>
  <c r="AB28" i="12"/>
  <c r="AB27" i="12"/>
  <c r="AC25" i="12"/>
  <c r="Z30" i="12"/>
  <c r="Y28" i="12"/>
  <c r="Y27" i="12"/>
  <c r="Y26" i="12"/>
  <c r="X25" i="12"/>
  <c r="Y30" i="12"/>
  <c r="X30" i="12"/>
  <c r="A216" i="9"/>
  <c r="A215" i="9"/>
  <c r="A218" i="9"/>
  <c r="A217" i="9"/>
  <c r="AD42" i="5"/>
  <c r="N42" i="5"/>
  <c r="A44" i="5" a="1"/>
  <c r="A44" i="5" s="1"/>
  <c r="AB42" i="5"/>
  <c r="L42" i="5"/>
  <c r="Z42" i="5"/>
  <c r="J42" i="5"/>
  <c r="X42" i="5"/>
  <c r="H42" i="5"/>
  <c r="AL42" i="5"/>
  <c r="V42" i="5"/>
  <c r="F42" i="5"/>
  <c r="AJ42" i="5"/>
  <c r="T42" i="5"/>
  <c r="D42" i="5"/>
  <c r="AH42" i="5"/>
  <c r="R42" i="5"/>
  <c r="B42" i="5"/>
  <c r="AF42" i="5"/>
  <c r="P42" i="5"/>
  <c r="E3" i="8"/>
  <c r="H211" i="9" s="1"/>
  <c r="E4" i="8"/>
  <c r="H212" i="9" s="1"/>
  <c r="J15" i="9"/>
  <c r="F15" i="9"/>
  <c r="G15" i="9" s="1"/>
  <c r="N15" i="9"/>
  <c r="Q15" i="9" s="1"/>
  <c r="P15" i="9" s="1"/>
  <c r="U34" i="12"/>
  <c r="W33" i="12"/>
  <c r="R33" i="12"/>
  <c r="H215" i="9"/>
  <c r="J1" i="8"/>
  <c r="C9" i="6"/>
  <c r="I23" i="2"/>
  <c r="L92" i="9"/>
  <c r="L162" i="9"/>
  <c r="L22" i="9"/>
  <c r="O160" i="9"/>
  <c r="O90" i="9"/>
  <c r="I90" i="9" s="1" a="1"/>
  <c r="I90" i="9" s="1"/>
  <c r="I20" i="9" a="1"/>
  <c r="I20" i="9" s="1"/>
  <c r="AF43" i="5"/>
  <c r="P43" i="5"/>
  <c r="AD43" i="5"/>
  <c r="N43" i="5"/>
  <c r="A45" i="5" a="1"/>
  <c r="A45" i="5" s="1"/>
  <c r="AB43" i="5"/>
  <c r="L43" i="5"/>
  <c r="Z43" i="5"/>
  <c r="J43" i="5"/>
  <c r="X43" i="5"/>
  <c r="H43" i="5"/>
  <c r="AL43" i="5"/>
  <c r="V43" i="5"/>
  <c r="F43" i="5"/>
  <c r="AJ43" i="5"/>
  <c r="T43" i="5"/>
  <c r="D43" i="5"/>
  <c r="AH43" i="5"/>
  <c r="R43" i="5"/>
  <c r="B43" i="5"/>
  <c r="F18" i="9"/>
  <c r="G18" i="9" s="1"/>
  <c r="J18" i="9"/>
  <c r="N18" i="9"/>
  <c r="Q18" i="9" s="1"/>
  <c r="P18" i="9" s="1"/>
  <c r="H217" i="9"/>
  <c r="A7" i="8"/>
  <c r="D17" i="9" a="1"/>
  <c r="R22" i="2"/>
  <c r="D20" i="9" a="1"/>
  <c r="D90" i="9" a="1"/>
  <c r="T22" i="2"/>
  <c r="S22" i="2"/>
  <c r="K21" i="2" a="1"/>
  <c r="M21" i="2" a="1"/>
  <c r="Q22" i="2"/>
  <c r="P22" i="2"/>
  <c r="N21" i="2" a="1"/>
  <c r="M21" i="9" a="1"/>
  <c r="L21" i="2" a="1"/>
  <c r="O21" i="2" a="1"/>
  <c r="J21" i="2" a="1"/>
  <c r="U22" i="2"/>
  <c r="J21" i="2" l="1"/>
  <c r="O21" i="2"/>
  <c r="L21" i="2"/>
  <c r="M21" i="9"/>
  <c r="N21" i="2"/>
  <c r="K22" i="9"/>
  <c r="V22" i="2"/>
  <c r="O22" i="9" s="1"/>
  <c r="K92" i="9"/>
  <c r="M21" i="2"/>
  <c r="K21" i="2"/>
  <c r="D90" i="9"/>
  <c r="D20" i="9"/>
  <c r="K162" i="9"/>
  <c r="D17" i="9"/>
  <c r="L23" i="9"/>
  <c r="I24" i="2"/>
  <c r="L93" i="9"/>
  <c r="L163" i="9"/>
  <c r="O161" i="9"/>
  <c r="O91" i="9"/>
  <c r="I21" i="9" a="1"/>
  <c r="I21" i="9" s="1"/>
  <c r="AL1" i="10"/>
  <c r="F16" i="9"/>
  <c r="G16" i="9" s="1"/>
  <c r="N16" i="9"/>
  <c r="Q16" i="9" s="1"/>
  <c r="P16" i="9" s="1"/>
  <c r="J16" i="9"/>
  <c r="AH44" i="5"/>
  <c r="R44" i="5"/>
  <c r="B44" i="5"/>
  <c r="AF44" i="5"/>
  <c r="P44" i="5"/>
  <c r="AD44" i="5"/>
  <c r="N44" i="5"/>
  <c r="A46" i="5" a="1"/>
  <c r="A46" i="5" s="1"/>
  <c r="AB44" i="5"/>
  <c r="L44" i="5"/>
  <c r="Z44" i="5"/>
  <c r="J44" i="5"/>
  <c r="X44" i="5"/>
  <c r="H44" i="5"/>
  <c r="AL44" i="5"/>
  <c r="V44" i="5"/>
  <c r="F44" i="5"/>
  <c r="AJ44" i="5"/>
  <c r="T44" i="5"/>
  <c r="D44" i="5"/>
  <c r="F19" i="9"/>
  <c r="G19" i="9" s="1"/>
  <c r="N19" i="9"/>
  <c r="Q19" i="9" s="1"/>
  <c r="P19" i="9" s="1"/>
  <c r="J19" i="9"/>
  <c r="S39" i="12"/>
  <c r="Q39" i="12"/>
  <c r="U36" i="12"/>
  <c r="U35" i="12"/>
  <c r="R36" i="12"/>
  <c r="R35" i="12"/>
  <c r="R34" i="12"/>
  <c r="U38" i="12"/>
  <c r="V33" i="12"/>
  <c r="S38" i="12"/>
  <c r="R38" i="12"/>
  <c r="Q33" i="12"/>
  <c r="U39" i="12"/>
  <c r="Q38" i="12"/>
  <c r="AJ45" i="5"/>
  <c r="T45" i="5"/>
  <c r="D45" i="5"/>
  <c r="AH45" i="5"/>
  <c r="R45" i="5"/>
  <c r="B45" i="5"/>
  <c r="AF45" i="5"/>
  <c r="P45" i="5"/>
  <c r="AD45" i="5"/>
  <c r="N45" i="5"/>
  <c r="A47" i="5" a="1"/>
  <c r="A47" i="5" s="1"/>
  <c r="AB45" i="5"/>
  <c r="L45" i="5"/>
  <c r="Z45" i="5"/>
  <c r="J45" i="5"/>
  <c r="X45" i="5"/>
  <c r="H45" i="5"/>
  <c r="AL45" i="5"/>
  <c r="V45" i="5"/>
  <c r="F45" i="5"/>
  <c r="AB34" i="12"/>
  <c r="Y33" i="12"/>
  <c r="P41" i="12"/>
  <c r="C218" i="9"/>
  <c r="Q218" i="9" s="1"/>
  <c r="P218" i="9" s="1"/>
  <c r="G8" i="8"/>
  <c r="H8" i="8" a="1"/>
  <c r="H8" i="8" s="1"/>
  <c r="D218" i="9" s="1"/>
  <c r="C217" i="9"/>
  <c r="Q217" i="9" s="1"/>
  <c r="P217" i="9" s="1"/>
  <c r="H7" i="8" a="1"/>
  <c r="H7" i="8" s="1"/>
  <c r="D217" i="9" s="1"/>
  <c r="G7" i="8"/>
  <c r="D21" i="9" a="1"/>
  <c r="U23" i="2"/>
  <c r="K22" i="2" a="1"/>
  <c r="L22" i="2" a="1"/>
  <c r="T23" i="2"/>
  <c r="S23" i="2"/>
  <c r="O22" i="2" a="1"/>
  <c r="R23" i="2"/>
  <c r="M22" i="2" a="1"/>
  <c r="J22" i="2" a="1"/>
  <c r="M22" i="9" a="1"/>
  <c r="N22" i="2" a="1"/>
  <c r="P23" i="2"/>
  <c r="Q23" i="2"/>
  <c r="K93" i="9" l="1"/>
  <c r="K23" i="9"/>
  <c r="V23" i="2"/>
  <c r="O23" i="9" s="1"/>
  <c r="N22" i="2"/>
  <c r="M22" i="9"/>
  <c r="J22" i="2"/>
  <c r="M22" i="2"/>
  <c r="K163" i="9"/>
  <c r="O22" i="2"/>
  <c r="L22" i="2"/>
  <c r="K22" i="2"/>
  <c r="D21" i="9"/>
  <c r="J218" i="9"/>
  <c r="J8" i="8"/>
  <c r="AB38" i="12"/>
  <c r="AB36" i="12"/>
  <c r="AB35" i="12"/>
  <c r="AC33" i="12"/>
  <c r="Z38" i="12"/>
  <c r="Y36" i="12"/>
  <c r="Y35" i="12"/>
  <c r="Y34" i="12"/>
  <c r="Y38" i="12"/>
  <c r="X33" i="12"/>
  <c r="X38" i="12"/>
  <c r="AB39" i="12"/>
  <c r="Z39" i="12"/>
  <c r="X39" i="12"/>
  <c r="I25" i="2"/>
  <c r="L164" i="9"/>
  <c r="L24" i="9"/>
  <c r="L94" i="9"/>
  <c r="N90" i="9"/>
  <c r="Q90" i="9" s="1"/>
  <c r="P90" i="9" s="1"/>
  <c r="F90" i="9"/>
  <c r="G90" i="9" s="1"/>
  <c r="J90" i="9"/>
  <c r="O162" i="9"/>
  <c r="O92" i="9"/>
  <c r="I22" i="9" a="1"/>
  <c r="I22" i="9" s="1"/>
  <c r="R41" i="12"/>
  <c r="U42" i="12"/>
  <c r="W41" i="12"/>
  <c r="AL46" i="5"/>
  <c r="V46" i="5"/>
  <c r="F46" i="5"/>
  <c r="AJ46" i="5"/>
  <c r="T46" i="5"/>
  <c r="D46" i="5"/>
  <c r="AH46" i="5"/>
  <c r="R46" i="5"/>
  <c r="B46" i="5"/>
  <c r="AF46" i="5"/>
  <c r="P46" i="5"/>
  <c r="AD46" i="5"/>
  <c r="N46" i="5"/>
  <c r="A48" i="5" a="1"/>
  <c r="A48" i="5" s="1"/>
  <c r="AB46" i="5"/>
  <c r="L46" i="5"/>
  <c r="Z46" i="5"/>
  <c r="J46" i="5"/>
  <c r="X46" i="5"/>
  <c r="H46" i="5"/>
  <c r="X47" i="5"/>
  <c r="H47" i="5"/>
  <c r="AL47" i="5"/>
  <c r="V47" i="5"/>
  <c r="F47" i="5"/>
  <c r="AJ47" i="5"/>
  <c r="T47" i="5"/>
  <c r="D47" i="5"/>
  <c r="AH47" i="5"/>
  <c r="R47" i="5"/>
  <c r="B47" i="5"/>
  <c r="AF47" i="5"/>
  <c r="P47" i="5"/>
  <c r="AD47" i="5"/>
  <c r="N47" i="5"/>
  <c r="A49" i="5" a="1"/>
  <c r="A49" i="5" s="1"/>
  <c r="AB47" i="5"/>
  <c r="L47" i="5"/>
  <c r="Z47" i="5"/>
  <c r="J47" i="5"/>
  <c r="F20" i="9"/>
  <c r="G20" i="9" s="1"/>
  <c r="J20" i="9"/>
  <c r="N20" i="9"/>
  <c r="Q20" i="9" s="1"/>
  <c r="P20" i="9" s="1"/>
  <c r="J217" i="9"/>
  <c r="J7" i="8"/>
  <c r="J17" i="9"/>
  <c r="F17" i="9"/>
  <c r="G17" i="9" s="1"/>
  <c r="N17" i="9"/>
  <c r="Q17" i="9" s="1"/>
  <c r="P17" i="9" s="1"/>
  <c r="AE9" i="10"/>
  <c r="O23" i="2" a="1"/>
  <c r="T24" i="2"/>
  <c r="K23" i="2" a="1"/>
  <c r="S24" i="2"/>
  <c r="M23" i="9" a="1"/>
  <c r="L23" i="2" a="1"/>
  <c r="R24" i="2"/>
  <c r="Q24" i="2"/>
  <c r="J23" i="2" a="1"/>
  <c r="M23" i="2" a="1"/>
  <c r="P24" i="2"/>
  <c r="N23" i="2" a="1"/>
  <c r="U24" i="2"/>
  <c r="D22" i="9" a="1"/>
  <c r="D22" i="9" l="1"/>
  <c r="N23" i="2"/>
  <c r="K24" i="9"/>
  <c r="V24" i="2"/>
  <c r="O24" i="9" s="1"/>
  <c r="M23" i="2"/>
  <c r="J23" i="2"/>
  <c r="K94" i="9"/>
  <c r="K164" i="9"/>
  <c r="L23" i="2"/>
  <c r="M23" i="9"/>
  <c r="K23" i="2"/>
  <c r="O23" i="2"/>
  <c r="AL9" i="10"/>
  <c r="Z48" i="5"/>
  <c r="J48" i="5"/>
  <c r="X48" i="5"/>
  <c r="H48" i="5"/>
  <c r="AL48" i="5"/>
  <c r="V48" i="5"/>
  <c r="F48" i="5"/>
  <c r="AJ48" i="5"/>
  <c r="T48" i="5"/>
  <c r="D48" i="5"/>
  <c r="AH48" i="5"/>
  <c r="R48" i="5"/>
  <c r="B48" i="5"/>
  <c r="AF48" i="5"/>
  <c r="P48" i="5"/>
  <c r="AD48" i="5"/>
  <c r="N48" i="5"/>
  <c r="A50" i="5" a="1"/>
  <c r="A50" i="5" s="1"/>
  <c r="AB48" i="5"/>
  <c r="L48" i="5"/>
  <c r="U46" i="12"/>
  <c r="V41" i="12"/>
  <c r="S46" i="12"/>
  <c r="R46" i="12"/>
  <c r="Q41" i="12"/>
  <c r="U47" i="12"/>
  <c r="Q46" i="12"/>
  <c r="S47" i="12"/>
  <c r="Q47" i="12"/>
  <c r="U44" i="12"/>
  <c r="U43" i="12"/>
  <c r="R44" i="12"/>
  <c r="R43" i="12"/>
  <c r="R42" i="12"/>
  <c r="L25" i="9"/>
  <c r="I26" i="2"/>
  <c r="L165" i="9"/>
  <c r="L95" i="9"/>
  <c r="A51" i="5" a="1"/>
  <c r="A51" i="5" s="1"/>
  <c r="AB49" i="5"/>
  <c r="L49" i="5"/>
  <c r="Z49" i="5"/>
  <c r="J49" i="5"/>
  <c r="X49" i="5"/>
  <c r="H49" i="5"/>
  <c r="AL49" i="5"/>
  <c r="V49" i="5"/>
  <c r="F49" i="5"/>
  <c r="AJ49" i="5"/>
  <c r="T49" i="5"/>
  <c r="D49" i="5"/>
  <c r="AH49" i="5"/>
  <c r="R49" i="5"/>
  <c r="B49" i="5"/>
  <c r="AF49" i="5"/>
  <c r="P49" i="5"/>
  <c r="AD49" i="5"/>
  <c r="N49" i="5"/>
  <c r="O163" i="9"/>
  <c r="O93" i="9"/>
  <c r="I23" i="9" a="1"/>
  <c r="I23" i="9" s="1"/>
  <c r="AB42" i="12"/>
  <c r="Y41" i="12"/>
  <c r="AE1" i="12"/>
  <c r="F21" i="9"/>
  <c r="G21" i="9" s="1"/>
  <c r="J21" i="9"/>
  <c r="N21" i="9"/>
  <c r="Q21" i="9" s="1"/>
  <c r="P21" i="9" s="1"/>
  <c r="N24" i="2" a="1"/>
  <c r="U25" i="2"/>
  <c r="O24" i="2" a="1"/>
  <c r="K24" i="2" a="1"/>
  <c r="T25" i="2"/>
  <c r="S25" i="2"/>
  <c r="M24" i="9" a="1"/>
  <c r="L24" i="2" a="1"/>
  <c r="Q25" i="2"/>
  <c r="J24" i="2" a="1"/>
  <c r="R25" i="2"/>
  <c r="M24" i="2" a="1"/>
  <c r="P25" i="2"/>
  <c r="D23" i="9" a="1"/>
  <c r="D23" i="9" l="1"/>
  <c r="K25" i="9"/>
  <c r="V25" i="2"/>
  <c r="O25" i="9" s="1"/>
  <c r="M24" i="2"/>
  <c r="K165" i="9"/>
  <c r="J24" i="2"/>
  <c r="K95" i="9"/>
  <c r="L24" i="2"/>
  <c r="M24" i="9"/>
  <c r="K24" i="2"/>
  <c r="O24" i="2"/>
  <c r="N24" i="2"/>
  <c r="L26" i="9"/>
  <c r="I27" i="2"/>
  <c r="L96" i="9"/>
  <c r="L166" i="9"/>
  <c r="AE17" i="10"/>
  <c r="AL1" i="12"/>
  <c r="AG1" i="12"/>
  <c r="AJ2" i="12"/>
  <c r="AD50" i="5"/>
  <c r="N50" i="5"/>
  <c r="A52" i="5" a="1"/>
  <c r="A52" i="5" s="1"/>
  <c r="AB50" i="5"/>
  <c r="L50" i="5"/>
  <c r="Z50" i="5"/>
  <c r="J50" i="5"/>
  <c r="X50" i="5"/>
  <c r="H50" i="5"/>
  <c r="AL50" i="5"/>
  <c r="V50" i="5"/>
  <c r="F50" i="5"/>
  <c r="AJ50" i="5"/>
  <c r="T50" i="5"/>
  <c r="D50" i="5"/>
  <c r="AH50" i="5"/>
  <c r="R50" i="5"/>
  <c r="B50" i="5"/>
  <c r="AF50" i="5"/>
  <c r="P50" i="5"/>
  <c r="AB47" i="12"/>
  <c r="Z47" i="12"/>
  <c r="X47" i="12"/>
  <c r="AB46" i="12"/>
  <c r="AB44" i="12"/>
  <c r="AB43" i="12"/>
  <c r="AC41" i="12"/>
  <c r="Z46" i="12"/>
  <c r="Y44" i="12"/>
  <c r="Y43" i="12"/>
  <c r="Y42" i="12"/>
  <c r="Y46" i="12"/>
  <c r="X41" i="12"/>
  <c r="X46" i="12"/>
  <c r="O164" i="9"/>
  <c r="O94" i="9"/>
  <c r="I24" i="9" a="1"/>
  <c r="I24" i="9" s="1"/>
  <c r="AF51" i="5"/>
  <c r="P51" i="5"/>
  <c r="AD51" i="5"/>
  <c r="N51" i="5"/>
  <c r="A53" i="5" a="1"/>
  <c r="A53" i="5" s="1"/>
  <c r="AB51" i="5"/>
  <c r="L51" i="5"/>
  <c r="Z51" i="5"/>
  <c r="J51" i="5"/>
  <c r="X51" i="5"/>
  <c r="H51" i="5"/>
  <c r="AL51" i="5"/>
  <c r="V51" i="5"/>
  <c r="F51" i="5"/>
  <c r="AJ51" i="5"/>
  <c r="T51" i="5"/>
  <c r="D51" i="5"/>
  <c r="AH51" i="5"/>
  <c r="R51" i="5"/>
  <c r="B51" i="5"/>
  <c r="N22" i="9"/>
  <c r="Q22" i="9" s="1"/>
  <c r="P22" i="9" s="1"/>
  <c r="F22" i="9"/>
  <c r="G22" i="9" s="1"/>
  <c r="J22" i="9"/>
  <c r="O25" i="2" a="1"/>
  <c r="T26" i="2"/>
  <c r="M25" i="9" a="1"/>
  <c r="K25" i="2" a="1"/>
  <c r="S26" i="2"/>
  <c r="R26" i="2"/>
  <c r="J25" i="2" a="1"/>
  <c r="U26" i="2"/>
  <c r="M25" i="2" a="1"/>
  <c r="Q26" i="2"/>
  <c r="N25" i="2" a="1"/>
  <c r="P26" i="2"/>
  <c r="L25" i="2" a="1"/>
  <c r="D24" i="9" a="1"/>
  <c r="D24" i="9" l="1"/>
  <c r="L25" i="2"/>
  <c r="K26" i="9"/>
  <c r="V26" i="2"/>
  <c r="O26" i="9" s="1"/>
  <c r="N25" i="2"/>
  <c r="K96" i="9"/>
  <c r="M25" i="2"/>
  <c r="J25" i="2"/>
  <c r="K166" i="9"/>
  <c r="K25" i="2"/>
  <c r="M25" i="9"/>
  <c r="O25" i="2"/>
  <c r="L27" i="9"/>
  <c r="I28" i="2"/>
  <c r="L167" i="9"/>
  <c r="L97" i="9"/>
  <c r="AH52" i="5"/>
  <c r="R52" i="5"/>
  <c r="B52" i="5"/>
  <c r="AF52" i="5"/>
  <c r="P52" i="5"/>
  <c r="AD52" i="5"/>
  <c r="N52" i="5"/>
  <c r="A54" i="5" a="1"/>
  <c r="A54" i="5" s="1"/>
  <c r="AB52" i="5"/>
  <c r="L52" i="5"/>
  <c r="Z52" i="5"/>
  <c r="J52" i="5"/>
  <c r="X52" i="5"/>
  <c r="H52" i="5"/>
  <c r="AL52" i="5"/>
  <c r="V52" i="5"/>
  <c r="F52" i="5"/>
  <c r="AJ52" i="5"/>
  <c r="T52" i="5"/>
  <c r="D52" i="5"/>
  <c r="AJ7" i="12"/>
  <c r="AH7" i="12"/>
  <c r="AF7" i="12"/>
  <c r="AJ6" i="12"/>
  <c r="AH6" i="12"/>
  <c r="AJ4" i="12"/>
  <c r="AG4" i="12"/>
  <c r="AJ3" i="12"/>
  <c r="AG3" i="12"/>
  <c r="AG6" i="12"/>
  <c r="AF6" i="12"/>
  <c r="AG2" i="12"/>
  <c r="AK1" i="12"/>
  <c r="AF1" i="12"/>
  <c r="AL17" i="10"/>
  <c r="AN1" i="12"/>
  <c r="AE9" i="12"/>
  <c r="AQ2" i="12"/>
  <c r="O165" i="9"/>
  <c r="O95" i="9"/>
  <c r="I25" i="9" a="1"/>
  <c r="I25" i="9" s="1"/>
  <c r="AJ53" i="5"/>
  <c r="T53" i="5"/>
  <c r="D53" i="5"/>
  <c r="AH53" i="5"/>
  <c r="R53" i="5"/>
  <c r="B53" i="5"/>
  <c r="AF53" i="5"/>
  <c r="P53" i="5"/>
  <c r="AD53" i="5"/>
  <c r="N53" i="5"/>
  <c r="A55" i="5" a="1"/>
  <c r="A55" i="5" s="1"/>
  <c r="AB53" i="5"/>
  <c r="L53" i="5"/>
  <c r="Z53" i="5"/>
  <c r="J53" i="5"/>
  <c r="X53" i="5"/>
  <c r="H53" i="5"/>
  <c r="AL53" i="5"/>
  <c r="V53" i="5"/>
  <c r="F53" i="5"/>
  <c r="J23" i="9"/>
  <c r="F23" i="9"/>
  <c r="G23" i="9" s="1"/>
  <c r="N23" i="9"/>
  <c r="Q23" i="9" s="1"/>
  <c r="P23" i="9" s="1"/>
  <c r="N26" i="2" a="1"/>
  <c r="U27" i="2"/>
  <c r="O26" i="2" a="1"/>
  <c r="T27" i="2"/>
  <c r="M26" i="9" a="1"/>
  <c r="D25" i="9" a="1"/>
  <c r="S27" i="2"/>
  <c r="R27" i="2"/>
  <c r="J26" i="2" a="1"/>
  <c r="L26" i="2" a="1"/>
  <c r="Q27" i="2"/>
  <c r="M26" i="2" a="1"/>
  <c r="P27" i="2"/>
  <c r="K26" i="2" a="1"/>
  <c r="K26" i="2" l="1"/>
  <c r="K27" i="9"/>
  <c r="V27" i="2"/>
  <c r="O27" i="9" s="1"/>
  <c r="M26" i="2"/>
  <c r="K97" i="9"/>
  <c r="L26" i="2"/>
  <c r="J26" i="2"/>
  <c r="K167" i="9"/>
  <c r="D25" i="9"/>
  <c r="M26" i="9"/>
  <c r="O26" i="2"/>
  <c r="N26" i="2"/>
  <c r="AE25" i="10"/>
  <c r="I29" i="2"/>
  <c r="L28" i="9"/>
  <c r="L98" i="9"/>
  <c r="L168" i="9"/>
  <c r="O166" i="9"/>
  <c r="O96" i="9"/>
  <c r="I26" i="9" a="1"/>
  <c r="I26" i="9" s="1"/>
  <c r="X55" i="5"/>
  <c r="H55" i="5"/>
  <c r="AL55" i="5"/>
  <c r="V55" i="5"/>
  <c r="F55" i="5"/>
  <c r="AJ55" i="5"/>
  <c r="T55" i="5"/>
  <c r="D55" i="5"/>
  <c r="AH55" i="5"/>
  <c r="R55" i="5"/>
  <c r="B55" i="5"/>
  <c r="AF55" i="5"/>
  <c r="P55" i="5"/>
  <c r="AD55" i="5"/>
  <c r="N55" i="5"/>
  <c r="A57" i="5" a="1"/>
  <c r="A57" i="5" s="1"/>
  <c r="AB55" i="5"/>
  <c r="L55" i="5"/>
  <c r="Z55" i="5"/>
  <c r="J55" i="5"/>
  <c r="AG9" i="12"/>
  <c r="AJ10" i="12"/>
  <c r="AL9" i="12"/>
  <c r="AM7" i="12"/>
  <c r="AQ6" i="12"/>
  <c r="AR1" i="12"/>
  <c r="AO6" i="12"/>
  <c r="AN6" i="12"/>
  <c r="AM1" i="12"/>
  <c r="AM6" i="12"/>
  <c r="AQ4" i="12"/>
  <c r="AQ3" i="12"/>
  <c r="AN4" i="12"/>
  <c r="AN3" i="12"/>
  <c r="AN2" i="12"/>
  <c r="AQ7" i="12"/>
  <c r="AO7" i="12"/>
  <c r="AL54" i="5"/>
  <c r="V54" i="5"/>
  <c r="F54" i="5"/>
  <c r="AJ54" i="5"/>
  <c r="T54" i="5"/>
  <c r="D54" i="5"/>
  <c r="AH54" i="5"/>
  <c r="R54" i="5"/>
  <c r="B54" i="5"/>
  <c r="AF54" i="5"/>
  <c r="P54" i="5"/>
  <c r="AD54" i="5"/>
  <c r="N54" i="5"/>
  <c r="A56" i="5" a="1"/>
  <c r="A56" i="5" s="1"/>
  <c r="AB54" i="5"/>
  <c r="L54" i="5"/>
  <c r="Z54" i="5"/>
  <c r="J54" i="5"/>
  <c r="X54" i="5"/>
  <c r="H54" i="5"/>
  <c r="F24" i="9"/>
  <c r="G24" i="9" s="1"/>
  <c r="J24" i="9"/>
  <c r="N24" i="9"/>
  <c r="Q24" i="9" s="1"/>
  <c r="P24" i="9" s="1"/>
  <c r="D26" i="9" a="1"/>
  <c r="O27" i="2" a="1"/>
  <c r="Q28" i="2"/>
  <c r="M27" i="9" a="1"/>
  <c r="P28" i="2"/>
  <c r="L27" i="2" a="1"/>
  <c r="J27" i="2" a="1"/>
  <c r="M27" i="2" a="1"/>
  <c r="U28" i="2"/>
  <c r="T28" i="2"/>
  <c r="K27" i="2" a="1"/>
  <c r="N27" i="2" a="1"/>
  <c r="S28" i="2"/>
  <c r="R28" i="2"/>
  <c r="K168" i="9" l="1"/>
  <c r="N27" i="2"/>
  <c r="K27" i="2"/>
  <c r="M27" i="2"/>
  <c r="J27" i="2"/>
  <c r="L27" i="2"/>
  <c r="K28" i="9"/>
  <c r="V28" i="2"/>
  <c r="O28" i="9" s="1"/>
  <c r="M27" i="9"/>
  <c r="K98" i="9"/>
  <c r="O27" i="2"/>
  <c r="D26" i="9"/>
  <c r="AJ14" i="12"/>
  <c r="AK9" i="12"/>
  <c r="AH14" i="12"/>
  <c r="AG14" i="12"/>
  <c r="AJ12" i="12"/>
  <c r="AJ11" i="12"/>
  <c r="AF9" i="12"/>
  <c r="AF14" i="12"/>
  <c r="AG12" i="12"/>
  <c r="AG11" i="12"/>
  <c r="AG10" i="12"/>
  <c r="AJ15" i="12"/>
  <c r="AH15" i="12"/>
  <c r="AF15" i="12"/>
  <c r="AL25" i="10"/>
  <c r="J25" i="9"/>
  <c r="F25" i="9"/>
  <c r="G25" i="9" s="1"/>
  <c r="N25" i="9"/>
  <c r="Q25" i="9" s="1"/>
  <c r="P25" i="9" s="1"/>
  <c r="Z56" i="5"/>
  <c r="J56" i="5"/>
  <c r="X56" i="5"/>
  <c r="H56" i="5"/>
  <c r="AL56" i="5"/>
  <c r="V56" i="5"/>
  <c r="F56" i="5"/>
  <c r="AJ56" i="5"/>
  <c r="T56" i="5"/>
  <c r="D56" i="5"/>
  <c r="AH56" i="5"/>
  <c r="R56" i="5"/>
  <c r="B56" i="5"/>
  <c r="AF56" i="5"/>
  <c r="P56" i="5"/>
  <c r="AD56" i="5"/>
  <c r="N56" i="5"/>
  <c r="A58" i="5" a="1"/>
  <c r="A58" i="5" s="1"/>
  <c r="AB56" i="5"/>
  <c r="L56" i="5"/>
  <c r="A59" i="5" a="1"/>
  <c r="A59" i="5" s="1"/>
  <c r="AB57" i="5"/>
  <c r="L57" i="5"/>
  <c r="Z57" i="5"/>
  <c r="J57" i="5"/>
  <c r="X57" i="5"/>
  <c r="H57" i="5"/>
  <c r="AL57" i="5"/>
  <c r="V57" i="5"/>
  <c r="F57" i="5"/>
  <c r="AJ57" i="5"/>
  <c r="T57" i="5"/>
  <c r="D57" i="5"/>
  <c r="AH57" i="5"/>
  <c r="R57" i="5"/>
  <c r="B57" i="5"/>
  <c r="AF57" i="5"/>
  <c r="P57" i="5"/>
  <c r="AD57" i="5"/>
  <c r="N57" i="5"/>
  <c r="I30" i="2"/>
  <c r="L169" i="9"/>
  <c r="L29" i="9"/>
  <c r="L99" i="9"/>
  <c r="O97" i="9"/>
  <c r="O167" i="9"/>
  <c r="I27" i="9" a="1"/>
  <c r="I27" i="9" s="1"/>
  <c r="AQ10" i="12"/>
  <c r="AN9" i="12"/>
  <c r="AE17" i="12"/>
  <c r="D27" i="9" a="1"/>
  <c r="P29" i="2"/>
  <c r="L28" i="2" a="1"/>
  <c r="M28" i="2" a="1"/>
  <c r="M28" i="9" a="1"/>
  <c r="U29" i="2"/>
  <c r="O28" i="2" a="1"/>
  <c r="T29" i="2"/>
  <c r="J28" i="2" a="1"/>
  <c r="S29" i="2"/>
  <c r="N28" i="2" a="1"/>
  <c r="R29" i="2"/>
  <c r="K28" i="2" a="1"/>
  <c r="Q29" i="2"/>
  <c r="K99" i="9" l="1"/>
  <c r="K28" i="2"/>
  <c r="K169" i="9"/>
  <c r="N28" i="2"/>
  <c r="J28" i="2"/>
  <c r="O28" i="2"/>
  <c r="M28" i="9"/>
  <c r="M28" i="2"/>
  <c r="L28" i="2"/>
  <c r="K29" i="9"/>
  <c r="V29" i="2"/>
  <c r="O29" i="9" s="1"/>
  <c r="D27" i="9"/>
  <c r="AE33" i="10"/>
  <c r="AF59" i="5"/>
  <c r="P59" i="5"/>
  <c r="AD59" i="5"/>
  <c r="N59" i="5"/>
  <c r="A61" i="5" a="1"/>
  <c r="A61" i="5" s="1"/>
  <c r="AB59" i="5"/>
  <c r="L59" i="5"/>
  <c r="Z59" i="5"/>
  <c r="J59" i="5"/>
  <c r="X59" i="5"/>
  <c r="H59" i="5"/>
  <c r="AL59" i="5"/>
  <c r="V59" i="5"/>
  <c r="F59" i="5"/>
  <c r="AJ59" i="5"/>
  <c r="T59" i="5"/>
  <c r="D59" i="5"/>
  <c r="AH59" i="5"/>
  <c r="R59" i="5"/>
  <c r="B59" i="5"/>
  <c r="O168" i="9"/>
  <c r="O98" i="9"/>
  <c r="I28" i="9" a="1"/>
  <c r="I28" i="9" s="1"/>
  <c r="AL17" i="12"/>
  <c r="AG17" i="12"/>
  <c r="AJ18" i="12"/>
  <c r="I31" i="2"/>
  <c r="L100" i="9"/>
  <c r="L30" i="9"/>
  <c r="L170" i="9"/>
  <c r="AD58" i="5"/>
  <c r="N58" i="5"/>
  <c r="A60" i="5" a="1"/>
  <c r="A60" i="5" s="1"/>
  <c r="AB58" i="5"/>
  <c r="L58" i="5"/>
  <c r="Z58" i="5"/>
  <c r="J58" i="5"/>
  <c r="X58" i="5"/>
  <c r="H58" i="5"/>
  <c r="AL58" i="5"/>
  <c r="V58" i="5"/>
  <c r="F58" i="5"/>
  <c r="AJ58" i="5"/>
  <c r="T58" i="5"/>
  <c r="D58" i="5"/>
  <c r="AH58" i="5"/>
  <c r="R58" i="5"/>
  <c r="B58" i="5"/>
  <c r="AF58" i="5"/>
  <c r="P58" i="5"/>
  <c r="F26" i="9"/>
  <c r="G26" i="9" s="1"/>
  <c r="J26" i="9"/>
  <c r="N26" i="9"/>
  <c r="Q26" i="9" s="1"/>
  <c r="P26" i="9" s="1"/>
  <c r="AQ12" i="12"/>
  <c r="AQ11" i="12"/>
  <c r="AN12" i="12"/>
  <c r="AN11" i="12"/>
  <c r="AN10" i="12"/>
  <c r="AQ15" i="12"/>
  <c r="AO15" i="12"/>
  <c r="AM15" i="12"/>
  <c r="AQ14" i="12"/>
  <c r="AR9" i="12"/>
  <c r="AO14" i="12"/>
  <c r="AM9" i="12"/>
  <c r="AN14" i="12"/>
  <c r="AM14" i="12"/>
  <c r="N29" i="2" a="1"/>
  <c r="J29" i="2" a="1"/>
  <c r="Q30" i="2"/>
  <c r="K29" i="2" a="1"/>
  <c r="P30" i="2"/>
  <c r="O29" i="2" a="1"/>
  <c r="L29" i="2" a="1"/>
  <c r="T30" i="2"/>
  <c r="S30" i="2"/>
  <c r="M29" i="2" a="1"/>
  <c r="M29" i="9" a="1"/>
  <c r="R30" i="2"/>
  <c r="D28" i="9" a="1"/>
  <c r="U30" i="2"/>
  <c r="D28" i="9" l="1"/>
  <c r="K170" i="9"/>
  <c r="M29" i="9"/>
  <c r="M29" i="2"/>
  <c r="L29" i="2"/>
  <c r="O29" i="2"/>
  <c r="K30" i="9"/>
  <c r="V30" i="2"/>
  <c r="O30" i="9" s="1"/>
  <c r="K29" i="2"/>
  <c r="K100" i="9"/>
  <c r="J29" i="2"/>
  <c r="N29" i="2"/>
  <c r="O169" i="9"/>
  <c r="O99" i="9"/>
  <c r="I29" i="9" a="1"/>
  <c r="I29" i="9" s="1"/>
  <c r="AJ61" i="5"/>
  <c r="T61" i="5"/>
  <c r="D61" i="5"/>
  <c r="AH61" i="5"/>
  <c r="R61" i="5"/>
  <c r="B61" i="5"/>
  <c r="AF61" i="5"/>
  <c r="P61" i="5"/>
  <c r="AD61" i="5"/>
  <c r="N61" i="5"/>
  <c r="A63" i="5" a="1"/>
  <c r="A63" i="5" s="1"/>
  <c r="AB61" i="5"/>
  <c r="L61" i="5"/>
  <c r="Z61" i="5"/>
  <c r="J61" i="5"/>
  <c r="X61" i="5"/>
  <c r="H61" i="5"/>
  <c r="AL61" i="5"/>
  <c r="V61" i="5"/>
  <c r="F61" i="5"/>
  <c r="L31" i="9"/>
  <c r="I32" i="2"/>
  <c r="L171" i="9"/>
  <c r="L101" i="9"/>
  <c r="AJ23" i="12"/>
  <c r="AH23" i="12"/>
  <c r="AF23" i="12"/>
  <c r="AJ22" i="12"/>
  <c r="AK17" i="12"/>
  <c r="AH22" i="12"/>
  <c r="AJ19" i="12"/>
  <c r="AG19" i="12"/>
  <c r="AG22" i="12"/>
  <c r="AF22" i="12"/>
  <c r="AG18" i="12"/>
  <c r="AF17" i="12"/>
  <c r="AJ20" i="12"/>
  <c r="AG20" i="12"/>
  <c r="AL33" i="10"/>
  <c r="AN17" i="12"/>
  <c r="AE25" i="12"/>
  <c r="AQ18" i="12"/>
  <c r="F27" i="9"/>
  <c r="G27" i="9" s="1"/>
  <c r="N27" i="9"/>
  <c r="Q27" i="9" s="1"/>
  <c r="P27" i="9" s="1"/>
  <c r="J27" i="9"/>
  <c r="AH60" i="5"/>
  <c r="R60" i="5"/>
  <c r="B60" i="5"/>
  <c r="AF60" i="5"/>
  <c r="P60" i="5"/>
  <c r="AD60" i="5"/>
  <c r="N60" i="5"/>
  <c r="A62" i="5" a="1"/>
  <c r="A62" i="5" s="1"/>
  <c r="AB60" i="5"/>
  <c r="L60" i="5"/>
  <c r="Z60" i="5"/>
  <c r="J60" i="5"/>
  <c r="X60" i="5"/>
  <c r="H60" i="5"/>
  <c r="AL60" i="5"/>
  <c r="V60" i="5"/>
  <c r="F60" i="5"/>
  <c r="AJ60" i="5"/>
  <c r="T60" i="5"/>
  <c r="D60" i="5"/>
  <c r="O30" i="2" a="1"/>
  <c r="D29" i="9" a="1"/>
  <c r="R31" i="2"/>
  <c r="Q31" i="2"/>
  <c r="M30" i="9" a="1"/>
  <c r="L30" i="2" a="1"/>
  <c r="J30" i="2" a="1"/>
  <c r="P31" i="2"/>
  <c r="U31" i="2"/>
  <c r="M30" i="2" a="1"/>
  <c r="T31" i="2"/>
  <c r="N30" i="2" a="1"/>
  <c r="K30" i="2" a="1"/>
  <c r="S31" i="2"/>
  <c r="K30" i="2" l="1"/>
  <c r="N30" i="2"/>
  <c r="M30" i="2"/>
  <c r="K31" i="9"/>
  <c r="V31" i="2"/>
  <c r="O31" i="9" s="1"/>
  <c r="J30" i="2"/>
  <c r="L30" i="2"/>
  <c r="M30" i="9"/>
  <c r="K101" i="9"/>
  <c r="K171" i="9"/>
  <c r="D29" i="9"/>
  <c r="O30" i="2"/>
  <c r="AM23" i="12"/>
  <c r="AQ22" i="12"/>
  <c r="AR17" i="12"/>
  <c r="AO22" i="12"/>
  <c r="AN22" i="12"/>
  <c r="AM17" i="12"/>
  <c r="AM22" i="12"/>
  <c r="AQ20" i="12"/>
  <c r="AQ19" i="12"/>
  <c r="AN20" i="12"/>
  <c r="AN19" i="12"/>
  <c r="AN18" i="12"/>
  <c r="AQ23" i="12"/>
  <c r="AO23" i="12"/>
  <c r="AL62" i="5"/>
  <c r="V62" i="5"/>
  <c r="F62" i="5"/>
  <c r="AJ62" i="5"/>
  <c r="T62" i="5"/>
  <c r="D62" i="5"/>
  <c r="AH62" i="5"/>
  <c r="R62" i="5"/>
  <c r="B62" i="5"/>
  <c r="AF62" i="5"/>
  <c r="P62" i="5"/>
  <c r="AD62" i="5"/>
  <c r="N62" i="5"/>
  <c r="A64" i="5" a="1"/>
  <c r="A64" i="5" s="1"/>
  <c r="AB62" i="5"/>
  <c r="L62" i="5"/>
  <c r="Z62" i="5"/>
  <c r="J62" i="5"/>
  <c r="X62" i="5"/>
  <c r="H62" i="5"/>
  <c r="I33" i="2"/>
  <c r="L32" i="9"/>
  <c r="L172" i="9"/>
  <c r="L102" i="9"/>
  <c r="O170" i="9"/>
  <c r="O100" i="9"/>
  <c r="I30" i="9" a="1"/>
  <c r="I30" i="9" s="1"/>
  <c r="X63" i="5"/>
  <c r="H63" i="5"/>
  <c r="AL63" i="5"/>
  <c r="V63" i="5"/>
  <c r="F63" i="5"/>
  <c r="AJ63" i="5"/>
  <c r="T63" i="5"/>
  <c r="D63" i="5"/>
  <c r="AH63" i="5"/>
  <c r="R63" i="5"/>
  <c r="B63" i="5"/>
  <c r="AF63" i="5"/>
  <c r="P63" i="5"/>
  <c r="AD63" i="5"/>
  <c r="N63" i="5"/>
  <c r="A65" i="5" a="1"/>
  <c r="A65" i="5" s="1"/>
  <c r="AB63" i="5"/>
  <c r="L63" i="5"/>
  <c r="Z63" i="5"/>
  <c r="J63" i="5"/>
  <c r="AE41" i="10"/>
  <c r="F28" i="9"/>
  <c r="G28" i="9" s="1"/>
  <c r="J28" i="9"/>
  <c r="N28" i="9"/>
  <c r="Q28" i="9" s="1"/>
  <c r="P28" i="9" s="1"/>
  <c r="AG25" i="12"/>
  <c r="AJ26" i="12"/>
  <c r="AL25" i="12"/>
  <c r="M31" i="2" a="1"/>
  <c r="J31" i="2" a="1"/>
  <c r="P32" i="2"/>
  <c r="D30" i="9" a="1"/>
  <c r="U32" i="2"/>
  <c r="N31" i="2" a="1"/>
  <c r="T32" i="2"/>
  <c r="O31" i="2" a="1"/>
  <c r="K31" i="2" a="1"/>
  <c r="S32" i="2"/>
  <c r="M31" i="9" a="1"/>
  <c r="R32" i="2"/>
  <c r="L31" i="2" a="1"/>
  <c r="Q32" i="2"/>
  <c r="K102" i="9" l="1"/>
  <c r="L31" i="2"/>
  <c r="K172" i="9"/>
  <c r="M31" i="9"/>
  <c r="K31" i="2"/>
  <c r="O31" i="2"/>
  <c r="N31" i="2"/>
  <c r="D30" i="9"/>
  <c r="K32" i="9"/>
  <c r="V32" i="2"/>
  <c r="O32" i="9" s="1"/>
  <c r="J31" i="2"/>
  <c r="M31" i="2"/>
  <c r="O171" i="9"/>
  <c r="O101" i="9"/>
  <c r="I31" i="9" a="1"/>
  <c r="I31" i="9" s="1"/>
  <c r="AL41" i="10"/>
  <c r="AE33" i="12"/>
  <c r="AQ26" i="12"/>
  <c r="AN25" i="12"/>
  <c r="A67" i="5" a="1"/>
  <c r="A67" i="5" s="1"/>
  <c r="AB65" i="5"/>
  <c r="L65" i="5"/>
  <c r="Z65" i="5"/>
  <c r="J65" i="5"/>
  <c r="X65" i="5"/>
  <c r="H65" i="5"/>
  <c r="AL65" i="5"/>
  <c r="V65" i="5"/>
  <c r="F65" i="5"/>
  <c r="AJ65" i="5"/>
  <c r="T65" i="5"/>
  <c r="D65" i="5"/>
  <c r="AH65" i="5"/>
  <c r="R65" i="5"/>
  <c r="B65" i="5"/>
  <c r="AF65" i="5"/>
  <c r="P65" i="5"/>
  <c r="AD65" i="5"/>
  <c r="N65" i="5"/>
  <c r="AJ30" i="12"/>
  <c r="AK25" i="12"/>
  <c r="AH30" i="12"/>
  <c r="AG30" i="12"/>
  <c r="AJ28" i="12"/>
  <c r="AJ27" i="12"/>
  <c r="AF25" i="12"/>
  <c r="AF30" i="12"/>
  <c r="AG28" i="12"/>
  <c r="AG27" i="12"/>
  <c r="AG26" i="12"/>
  <c r="AJ31" i="12"/>
  <c r="AH31" i="12"/>
  <c r="AF31" i="12"/>
  <c r="Z64" i="5"/>
  <c r="J64" i="5"/>
  <c r="X64" i="5"/>
  <c r="H64" i="5"/>
  <c r="AL64" i="5"/>
  <c r="V64" i="5"/>
  <c r="F64" i="5"/>
  <c r="AJ64" i="5"/>
  <c r="T64" i="5"/>
  <c r="D64" i="5"/>
  <c r="AH64" i="5"/>
  <c r="R64" i="5"/>
  <c r="B64" i="5"/>
  <c r="AF64" i="5"/>
  <c r="P64" i="5"/>
  <c r="AD64" i="5"/>
  <c r="N64" i="5"/>
  <c r="A66" i="5" a="1"/>
  <c r="A66" i="5" s="1"/>
  <c r="AB64" i="5"/>
  <c r="L64" i="5"/>
  <c r="L33" i="9"/>
  <c r="I34" i="2"/>
  <c r="L173" i="9"/>
  <c r="L103" i="9"/>
  <c r="F29" i="9"/>
  <c r="G29" i="9" s="1"/>
  <c r="J29" i="9"/>
  <c r="N29" i="9"/>
  <c r="Q29" i="9" s="1"/>
  <c r="P29" i="9" s="1"/>
  <c r="D31" i="9" a="1"/>
  <c r="R33" i="2"/>
  <c r="K32" i="2" a="1"/>
  <c r="N32" i="2" a="1"/>
  <c r="Q33" i="2"/>
  <c r="O32" i="2" a="1"/>
  <c r="P33" i="2"/>
  <c r="L32" i="2" a="1"/>
  <c r="M32" i="9" a="1"/>
  <c r="U33" i="2"/>
  <c r="S33" i="2"/>
  <c r="M32" i="2" a="1"/>
  <c r="J32" i="2" a="1"/>
  <c r="T33" i="2"/>
  <c r="J32" i="2" l="1"/>
  <c r="M32" i="2"/>
  <c r="M32" i="9"/>
  <c r="L32" i="2"/>
  <c r="K33" i="9"/>
  <c r="V33" i="2"/>
  <c r="O33" i="9" s="1"/>
  <c r="O32" i="2"/>
  <c r="K103" i="9"/>
  <c r="N32" i="2"/>
  <c r="K32" i="2"/>
  <c r="K173" i="9"/>
  <c r="D31" i="9"/>
  <c r="O102" i="9"/>
  <c r="O172" i="9"/>
  <c r="I32" i="9" a="1"/>
  <c r="I32" i="9" s="1"/>
  <c r="AQ28" i="12"/>
  <c r="AQ27" i="12"/>
  <c r="AN28" i="12"/>
  <c r="AN27" i="12"/>
  <c r="AN26" i="12"/>
  <c r="AQ31" i="12"/>
  <c r="AO31" i="12"/>
  <c r="AM31" i="12"/>
  <c r="AQ30" i="12"/>
  <c r="AR25" i="12"/>
  <c r="AO30" i="12"/>
  <c r="AN30" i="12"/>
  <c r="AM30" i="12"/>
  <c r="AM25" i="12"/>
  <c r="L34" i="9"/>
  <c r="I35" i="2"/>
  <c r="L174" i="9"/>
  <c r="L104" i="9"/>
  <c r="AL33" i="12"/>
  <c r="AG33" i="12"/>
  <c r="AJ34" i="12"/>
  <c r="N30" i="9"/>
  <c r="Q30" i="9" s="1"/>
  <c r="P30" i="9" s="1"/>
  <c r="F30" i="9"/>
  <c r="G30" i="9" s="1"/>
  <c r="J30" i="9"/>
  <c r="AD66" i="5"/>
  <c r="N66" i="5"/>
  <c r="A68" i="5" a="1"/>
  <c r="A68" i="5" s="1"/>
  <c r="AB66" i="5"/>
  <c r="L66" i="5"/>
  <c r="Z66" i="5"/>
  <c r="J66" i="5"/>
  <c r="X66" i="5"/>
  <c r="H66" i="5"/>
  <c r="AL66" i="5"/>
  <c r="V66" i="5"/>
  <c r="F66" i="5"/>
  <c r="AJ66" i="5"/>
  <c r="T66" i="5"/>
  <c r="D66" i="5"/>
  <c r="AH66" i="5"/>
  <c r="R66" i="5"/>
  <c r="B66" i="5"/>
  <c r="AF66" i="5"/>
  <c r="P66" i="5"/>
  <c r="AF67" i="5"/>
  <c r="P67" i="5"/>
  <c r="AD67" i="5"/>
  <c r="N67" i="5"/>
  <c r="A69" i="5" a="1"/>
  <c r="A69" i="5" s="1"/>
  <c r="AB67" i="5"/>
  <c r="L67" i="5"/>
  <c r="Z67" i="5"/>
  <c r="J67" i="5"/>
  <c r="X67" i="5"/>
  <c r="H67" i="5"/>
  <c r="AL67" i="5"/>
  <c r="V67" i="5"/>
  <c r="F67" i="5"/>
  <c r="AJ67" i="5"/>
  <c r="T67" i="5"/>
  <c r="D67" i="5"/>
  <c r="AH67" i="5"/>
  <c r="R67" i="5"/>
  <c r="B67" i="5"/>
  <c r="AT1" i="10"/>
  <c r="N33" i="2" a="1"/>
  <c r="L33" i="2" a="1"/>
  <c r="T34" i="2"/>
  <c r="D32" i="9" a="1"/>
  <c r="J33" i="2" a="1"/>
  <c r="S34" i="2"/>
  <c r="R34" i="2"/>
  <c r="M33" i="2" a="1"/>
  <c r="M103" i="9" a="1"/>
  <c r="Q34" i="2"/>
  <c r="O33" i="2" a="1"/>
  <c r="K33" i="2" a="1"/>
  <c r="P34" i="2"/>
  <c r="U34" i="2"/>
  <c r="M33" i="9" a="1"/>
  <c r="M33" i="9" l="1"/>
  <c r="K34" i="9"/>
  <c r="V34" i="2"/>
  <c r="O34" i="9" s="1"/>
  <c r="K33" i="2"/>
  <c r="O33" i="2"/>
  <c r="K104" i="9"/>
  <c r="M103" i="9"/>
  <c r="M33" i="2"/>
  <c r="K174" i="9"/>
  <c r="J33" i="2"/>
  <c r="D32" i="9"/>
  <c r="L33" i="2"/>
  <c r="N33" i="2"/>
  <c r="BA1" i="10"/>
  <c r="AJ69" i="5"/>
  <c r="T69" i="5"/>
  <c r="D69" i="5"/>
  <c r="AH69" i="5"/>
  <c r="R69" i="5"/>
  <c r="B69" i="5"/>
  <c r="AF69" i="5"/>
  <c r="P69" i="5"/>
  <c r="AD69" i="5"/>
  <c r="N69" i="5"/>
  <c r="A71" i="5" a="1"/>
  <c r="A71" i="5" s="1"/>
  <c r="AB69" i="5"/>
  <c r="L69" i="5"/>
  <c r="Z69" i="5"/>
  <c r="J69" i="5"/>
  <c r="X69" i="5"/>
  <c r="H69" i="5"/>
  <c r="AL69" i="5"/>
  <c r="V69" i="5"/>
  <c r="F69" i="5"/>
  <c r="L35" i="9"/>
  <c r="I36" i="2"/>
  <c r="L175" i="9"/>
  <c r="L105" i="9"/>
  <c r="AJ39" i="12"/>
  <c r="AH39" i="12"/>
  <c r="AF39" i="12"/>
  <c r="AJ38" i="12"/>
  <c r="AK33" i="12"/>
  <c r="AH38" i="12"/>
  <c r="AG38" i="12"/>
  <c r="AJ36" i="12"/>
  <c r="AJ35" i="12"/>
  <c r="AF33" i="12"/>
  <c r="AF38" i="12"/>
  <c r="AG36" i="12"/>
  <c r="AG35" i="12"/>
  <c r="AG34" i="12"/>
  <c r="AN33" i="12"/>
  <c r="AE41" i="12"/>
  <c r="AQ34" i="12"/>
  <c r="AH68" i="5"/>
  <c r="R68" i="5"/>
  <c r="B68" i="5"/>
  <c r="AF68" i="5"/>
  <c r="P68" i="5"/>
  <c r="AD68" i="5"/>
  <c r="N68" i="5"/>
  <c r="A70" i="5" a="1"/>
  <c r="A70" i="5" s="1"/>
  <c r="AB68" i="5"/>
  <c r="L68" i="5"/>
  <c r="Z68" i="5"/>
  <c r="J68" i="5"/>
  <c r="X68" i="5"/>
  <c r="H68" i="5"/>
  <c r="AL68" i="5"/>
  <c r="V68" i="5"/>
  <c r="F68" i="5"/>
  <c r="AJ68" i="5"/>
  <c r="T68" i="5"/>
  <c r="D68" i="5"/>
  <c r="J31" i="9"/>
  <c r="F31" i="9"/>
  <c r="G31" i="9" s="1"/>
  <c r="N31" i="9"/>
  <c r="Q31" i="9" s="1"/>
  <c r="P31" i="9" s="1"/>
  <c r="O173" i="9"/>
  <c r="O103" i="9"/>
  <c r="I103" i="9" s="1" a="1"/>
  <c r="I103" i="9" s="1"/>
  <c r="I33" i="9" a="1"/>
  <c r="I33" i="9" s="1"/>
  <c r="K34" i="2" a="1"/>
  <c r="N34" i="2" a="1"/>
  <c r="T35" i="2"/>
  <c r="O34" i="2" a="1"/>
  <c r="R35" i="2"/>
  <c r="M34" i="9" a="1"/>
  <c r="S35" i="2"/>
  <c r="J34" i="2" a="1"/>
  <c r="L34" i="2" a="1"/>
  <c r="P35" i="2"/>
  <c r="D103" i="9" a="1"/>
  <c r="M34" i="2" a="1"/>
  <c r="D33" i="9" a="1"/>
  <c r="Q35" i="2"/>
  <c r="U35" i="2"/>
  <c r="K105" i="9" l="1"/>
  <c r="D33" i="9"/>
  <c r="M34" i="2"/>
  <c r="D103" i="9"/>
  <c r="K35" i="9"/>
  <c r="V35" i="2"/>
  <c r="O35" i="9" s="1"/>
  <c r="L34" i="2"/>
  <c r="J34" i="2"/>
  <c r="M34" i="9"/>
  <c r="K175" i="9"/>
  <c r="O34" i="2"/>
  <c r="N34" i="2"/>
  <c r="K34" i="2"/>
  <c r="F32" i="9"/>
  <c r="G32" i="9" s="1"/>
  <c r="N32" i="9"/>
  <c r="Q32" i="9" s="1"/>
  <c r="P32" i="9" s="1"/>
  <c r="J32" i="9"/>
  <c r="AG41" i="12"/>
  <c r="AJ42" i="12"/>
  <c r="AL41" i="12"/>
  <c r="X71" i="5"/>
  <c r="H71" i="5"/>
  <c r="AL71" i="5"/>
  <c r="V71" i="5"/>
  <c r="F71" i="5"/>
  <c r="AJ71" i="5"/>
  <c r="T71" i="5"/>
  <c r="D71" i="5"/>
  <c r="AH71" i="5"/>
  <c r="R71" i="5"/>
  <c r="B71" i="5"/>
  <c r="AF71" i="5"/>
  <c r="P71" i="5"/>
  <c r="AD71" i="5"/>
  <c r="N71" i="5"/>
  <c r="A73" i="5" a="1"/>
  <c r="A73" i="5" s="1"/>
  <c r="AB71" i="5"/>
  <c r="L71" i="5"/>
  <c r="Z71" i="5"/>
  <c r="J71" i="5"/>
  <c r="AT9" i="10"/>
  <c r="AM39" i="12"/>
  <c r="AQ38" i="12"/>
  <c r="AR33" i="12"/>
  <c r="AO38" i="12"/>
  <c r="AN38" i="12"/>
  <c r="AM33" i="12"/>
  <c r="AM38" i="12"/>
  <c r="AQ36" i="12"/>
  <c r="AQ35" i="12"/>
  <c r="AN36" i="12"/>
  <c r="AN35" i="12"/>
  <c r="AN34" i="12"/>
  <c r="AQ39" i="12"/>
  <c r="AO39" i="12"/>
  <c r="I37" i="2"/>
  <c r="L106" i="9"/>
  <c r="L36" i="9"/>
  <c r="L176" i="9"/>
  <c r="AL70" i="5"/>
  <c r="V70" i="5"/>
  <c r="F70" i="5"/>
  <c r="AJ70" i="5"/>
  <c r="T70" i="5"/>
  <c r="D70" i="5"/>
  <c r="AH70" i="5"/>
  <c r="R70" i="5"/>
  <c r="B70" i="5"/>
  <c r="AF70" i="5"/>
  <c r="P70" i="5"/>
  <c r="AD70" i="5"/>
  <c r="N70" i="5"/>
  <c r="A72" i="5" a="1"/>
  <c r="A72" i="5" s="1"/>
  <c r="AB70" i="5"/>
  <c r="L70" i="5"/>
  <c r="Z70" i="5"/>
  <c r="J70" i="5"/>
  <c r="X70" i="5"/>
  <c r="H70" i="5"/>
  <c r="O174" i="9"/>
  <c r="O104" i="9"/>
  <c r="I34" i="9" a="1"/>
  <c r="I34" i="9" s="1"/>
  <c r="O35" i="2" a="1"/>
  <c r="J35" i="2" a="1"/>
  <c r="N35" i="2" a="1"/>
  <c r="T36" i="2"/>
  <c r="M105" i="9" a="1"/>
  <c r="K35" i="2" a="1"/>
  <c r="D34" i="9" a="1"/>
  <c r="S36" i="2"/>
  <c r="M35" i="2" a="1"/>
  <c r="R36" i="2"/>
  <c r="Q36" i="2"/>
  <c r="M175" i="9" a="1"/>
  <c r="P36" i="2"/>
  <c r="M35" i="9" a="1"/>
  <c r="L35" i="2" a="1"/>
  <c r="U36" i="2"/>
  <c r="L35" i="2" l="1"/>
  <c r="M35" i="9"/>
  <c r="K36" i="9"/>
  <c r="V36" i="2"/>
  <c r="O36" i="9" s="1"/>
  <c r="M175" i="9"/>
  <c r="K106" i="9"/>
  <c r="K176" i="9"/>
  <c r="M35" i="2"/>
  <c r="D34" i="9"/>
  <c r="K35" i="2"/>
  <c r="M105" i="9"/>
  <c r="N35" i="2"/>
  <c r="J35" i="2"/>
  <c r="O35" i="2"/>
  <c r="I38" i="2"/>
  <c r="L177" i="9"/>
  <c r="L107" i="9"/>
  <c r="L37" i="9"/>
  <c r="O175" i="9"/>
  <c r="I175" i="9" s="1"/>
  <c r="O105" i="9"/>
  <c r="I105" i="9" s="1" a="1"/>
  <c r="I105" i="9" s="1"/>
  <c r="I35" i="9" a="1"/>
  <c r="I35" i="9" s="1"/>
  <c r="AJ46" i="12"/>
  <c r="AK41" i="12"/>
  <c r="AH46" i="12"/>
  <c r="AG46" i="12"/>
  <c r="AJ44" i="12"/>
  <c r="AJ43" i="12"/>
  <c r="AF41" i="12"/>
  <c r="AF46" i="12"/>
  <c r="AG44" i="12"/>
  <c r="AG43" i="12"/>
  <c r="AG42" i="12"/>
  <c r="AJ47" i="12"/>
  <c r="AH47" i="12"/>
  <c r="AF47" i="12"/>
  <c r="A75" i="5" a="1"/>
  <c r="A75" i="5" s="1"/>
  <c r="AB73" i="5"/>
  <c r="L73" i="5"/>
  <c r="Z73" i="5"/>
  <c r="J73" i="5"/>
  <c r="X73" i="5"/>
  <c r="H73" i="5"/>
  <c r="AL73" i="5"/>
  <c r="V73" i="5"/>
  <c r="F73" i="5"/>
  <c r="AJ73" i="5"/>
  <c r="T73" i="5"/>
  <c r="D73" i="5"/>
  <c r="AH73" i="5"/>
  <c r="R73" i="5"/>
  <c r="B73" i="5"/>
  <c r="AF73" i="5"/>
  <c r="P73" i="5"/>
  <c r="AD73" i="5"/>
  <c r="N73" i="5"/>
  <c r="F103" i="9"/>
  <c r="G103" i="9" s="1"/>
  <c r="J103" i="9"/>
  <c r="N103" i="9"/>
  <c r="Q103" i="9" s="1"/>
  <c r="P103" i="9" s="1"/>
  <c r="Z72" i="5"/>
  <c r="J72" i="5"/>
  <c r="X72" i="5"/>
  <c r="H72" i="5"/>
  <c r="AL72" i="5"/>
  <c r="V72" i="5"/>
  <c r="F72" i="5"/>
  <c r="AJ72" i="5"/>
  <c r="T72" i="5"/>
  <c r="D72" i="5"/>
  <c r="AH72" i="5"/>
  <c r="R72" i="5"/>
  <c r="B72" i="5"/>
  <c r="AF72" i="5"/>
  <c r="P72" i="5"/>
  <c r="AD72" i="5"/>
  <c r="N72" i="5"/>
  <c r="A74" i="5" a="1"/>
  <c r="A74" i="5" s="1"/>
  <c r="AB72" i="5"/>
  <c r="L72" i="5"/>
  <c r="BA9" i="10"/>
  <c r="J33" i="9"/>
  <c r="F33" i="9"/>
  <c r="G33" i="9" s="1"/>
  <c r="N33" i="9"/>
  <c r="Q33" i="9" s="1"/>
  <c r="P33" i="9" s="1"/>
  <c r="AQ42" i="12"/>
  <c r="AN41" i="12"/>
  <c r="AT1" i="12"/>
  <c r="O36" i="2" a="1"/>
  <c r="K36" i="2" a="1"/>
  <c r="N36" i="2" a="1"/>
  <c r="T37" i="2"/>
  <c r="D175" i="9" a="1"/>
  <c r="R37" i="2"/>
  <c r="L36" i="2" a="1"/>
  <c r="D35" i="9" a="1"/>
  <c r="S37" i="2"/>
  <c r="M36" i="9" a="1"/>
  <c r="Q37" i="2"/>
  <c r="M36" i="2" a="1"/>
  <c r="J36" i="2" a="1"/>
  <c r="P37" i="2"/>
  <c r="D105" i="9" a="1"/>
  <c r="U37" i="2"/>
  <c r="D105" i="9" l="1"/>
  <c r="K37" i="9"/>
  <c r="V37" i="2"/>
  <c r="O37" i="9" s="1"/>
  <c r="J36" i="2"/>
  <c r="M36" i="2"/>
  <c r="K107" i="9"/>
  <c r="M36" i="9"/>
  <c r="D35" i="9"/>
  <c r="L36" i="2"/>
  <c r="K177" i="9"/>
  <c r="D175" i="9"/>
  <c r="N36" i="2"/>
  <c r="K36" i="2"/>
  <c r="O36" i="2"/>
  <c r="AT17" i="10"/>
  <c r="AF75" i="5"/>
  <c r="P75" i="5"/>
  <c r="AD75" i="5"/>
  <c r="N75" i="5"/>
  <c r="A77" i="5" a="1"/>
  <c r="A77" i="5" s="1"/>
  <c r="AB75" i="5"/>
  <c r="L75" i="5"/>
  <c r="Z75" i="5"/>
  <c r="J75" i="5"/>
  <c r="X75" i="5"/>
  <c r="H75" i="5"/>
  <c r="AL75" i="5"/>
  <c r="V75" i="5"/>
  <c r="F75" i="5"/>
  <c r="AJ75" i="5"/>
  <c r="T75" i="5"/>
  <c r="D75" i="5"/>
  <c r="AH75" i="5"/>
  <c r="R75" i="5"/>
  <c r="B75" i="5"/>
  <c r="I39" i="2"/>
  <c r="L108" i="9"/>
  <c r="L38" i="9"/>
  <c r="L178" i="9"/>
  <c r="AY2" i="12"/>
  <c r="BA1" i="12"/>
  <c r="AV1" i="12"/>
  <c r="F34" i="9"/>
  <c r="G34" i="9" s="1"/>
  <c r="J34" i="9"/>
  <c r="N34" i="9"/>
  <c r="Q34" i="9" s="1"/>
  <c r="P34" i="9" s="1"/>
  <c r="AD74" i="5"/>
  <c r="N74" i="5"/>
  <c r="A76" i="5" a="1"/>
  <c r="A76" i="5" s="1"/>
  <c r="AB74" i="5"/>
  <c r="L74" i="5"/>
  <c r="Z74" i="5"/>
  <c r="J74" i="5"/>
  <c r="X74" i="5"/>
  <c r="H74" i="5"/>
  <c r="AL74" i="5"/>
  <c r="V74" i="5"/>
  <c r="F74" i="5"/>
  <c r="AJ74" i="5"/>
  <c r="T74" i="5"/>
  <c r="D74" i="5"/>
  <c r="AH74" i="5"/>
  <c r="R74" i="5"/>
  <c r="B74" i="5"/>
  <c r="AF74" i="5"/>
  <c r="P74" i="5"/>
  <c r="O176" i="9"/>
  <c r="O106" i="9"/>
  <c r="I36" i="9" a="1"/>
  <c r="I36" i="9" s="1"/>
  <c r="AQ44" i="12"/>
  <c r="AQ43" i="12"/>
  <c r="AN44" i="12"/>
  <c r="AN43" i="12"/>
  <c r="AN42" i="12"/>
  <c r="AQ47" i="12"/>
  <c r="AO47" i="12"/>
  <c r="AM47" i="12"/>
  <c r="AQ46" i="12"/>
  <c r="AR41" i="12"/>
  <c r="AO46" i="12"/>
  <c r="AN46" i="12"/>
  <c r="AM41" i="12"/>
  <c r="AM46" i="12"/>
  <c r="O37" i="2" a="1"/>
  <c r="K37" i="2" a="1"/>
  <c r="N37" i="2" a="1"/>
  <c r="T38" i="2"/>
  <c r="M37" i="9" a="1"/>
  <c r="M37" i="2" a="1"/>
  <c r="S38" i="2"/>
  <c r="R38" i="2"/>
  <c r="J37" i="2" a="1"/>
  <c r="Q38" i="2"/>
  <c r="D36" i="9" a="1"/>
  <c r="P38" i="2"/>
  <c r="L37" i="2" a="1"/>
  <c r="U38" i="2"/>
  <c r="L37" i="2" l="1"/>
  <c r="K38" i="9"/>
  <c r="V38" i="2"/>
  <c r="O38" i="9" s="1"/>
  <c r="D36" i="9"/>
  <c r="K108" i="9"/>
  <c r="J37" i="2"/>
  <c r="K178" i="9"/>
  <c r="M37" i="2"/>
  <c r="M37" i="9"/>
  <c r="N37" i="2"/>
  <c r="K37" i="2"/>
  <c r="O37" i="2"/>
  <c r="AH76" i="5"/>
  <c r="R76" i="5"/>
  <c r="B76" i="5"/>
  <c r="AF76" i="5"/>
  <c r="P76" i="5"/>
  <c r="AD76" i="5"/>
  <c r="N76" i="5"/>
  <c r="A78" i="5" a="1"/>
  <c r="A78" i="5" s="1"/>
  <c r="AB76" i="5"/>
  <c r="L76" i="5"/>
  <c r="Z76" i="5"/>
  <c r="J76" i="5"/>
  <c r="X76" i="5"/>
  <c r="H76" i="5"/>
  <c r="AL76" i="5"/>
  <c r="V76" i="5"/>
  <c r="F76" i="5"/>
  <c r="AJ76" i="5"/>
  <c r="T76" i="5"/>
  <c r="D76" i="5"/>
  <c r="J175" i="9"/>
  <c r="F175" i="9"/>
  <c r="G175" i="9" s="1"/>
  <c r="N175" i="9"/>
  <c r="Q175" i="9" s="1"/>
  <c r="P175" i="9" s="1"/>
  <c r="L39" i="9"/>
  <c r="I40" i="2"/>
  <c r="L109" i="9"/>
  <c r="L179" i="9"/>
  <c r="BA17" i="10"/>
  <c r="AY4" i="12"/>
  <c r="AY3" i="12"/>
  <c r="AY7" i="12"/>
  <c r="AV4" i="12"/>
  <c r="AV3" i="12"/>
  <c r="AV2" i="12"/>
  <c r="AW7" i="12"/>
  <c r="AY6" i="12"/>
  <c r="AZ1" i="12"/>
  <c r="AU7" i="12"/>
  <c r="AW6" i="12"/>
  <c r="AV6" i="12"/>
  <c r="AU6" i="12"/>
  <c r="AU1" i="12"/>
  <c r="BF2" i="12"/>
  <c r="BC1" i="12"/>
  <c r="AT9" i="12"/>
  <c r="AJ77" i="5"/>
  <c r="T77" i="5"/>
  <c r="D77" i="5"/>
  <c r="AH77" i="5"/>
  <c r="R77" i="5"/>
  <c r="B77" i="5"/>
  <c r="AF77" i="5"/>
  <c r="P77" i="5"/>
  <c r="AD77" i="5"/>
  <c r="N77" i="5"/>
  <c r="A79" i="5" a="1"/>
  <c r="A79" i="5" s="1"/>
  <c r="AB77" i="5"/>
  <c r="L77" i="5"/>
  <c r="Z77" i="5"/>
  <c r="J77" i="5"/>
  <c r="X77" i="5"/>
  <c r="H77" i="5"/>
  <c r="AL77" i="5"/>
  <c r="V77" i="5"/>
  <c r="F77" i="5"/>
  <c r="F35" i="9"/>
  <c r="G35" i="9" s="1"/>
  <c r="N35" i="9"/>
  <c r="Q35" i="9" s="1"/>
  <c r="P35" i="9" s="1"/>
  <c r="J35" i="9"/>
  <c r="O177" i="9"/>
  <c r="O107" i="9"/>
  <c r="I37" i="9" a="1"/>
  <c r="I37" i="9" s="1"/>
  <c r="F105" i="9"/>
  <c r="G105" i="9" s="1"/>
  <c r="N105" i="9"/>
  <c r="Q105" i="9" s="1"/>
  <c r="P105" i="9" s="1"/>
  <c r="J105" i="9"/>
  <c r="O38" i="2" a="1"/>
  <c r="D37" i="9" a="1"/>
  <c r="U39" i="2"/>
  <c r="M38" i="9" a="1"/>
  <c r="L38" i="2" a="1"/>
  <c r="T39" i="2"/>
  <c r="M38" i="2" a="1"/>
  <c r="S39" i="2"/>
  <c r="J38" i="2" a="1"/>
  <c r="R39" i="2"/>
  <c r="Q39" i="2"/>
  <c r="N38" i="2" a="1"/>
  <c r="K38" i="2" a="1"/>
  <c r="P39" i="2"/>
  <c r="K39" i="9" l="1"/>
  <c r="V39" i="2"/>
  <c r="O39" i="9" s="1"/>
  <c r="K38" i="2"/>
  <c r="N38" i="2"/>
  <c r="K109" i="9"/>
  <c r="K179" i="9"/>
  <c r="J38" i="2"/>
  <c r="M38" i="2"/>
  <c r="L38" i="2"/>
  <c r="M38" i="9"/>
  <c r="D37" i="9"/>
  <c r="O38" i="2"/>
  <c r="BF7" i="12"/>
  <c r="BF6" i="12"/>
  <c r="BF4" i="12"/>
  <c r="BF3" i="12"/>
  <c r="BG1" i="12"/>
  <c r="BD7" i="12"/>
  <c r="BD6" i="12"/>
  <c r="BC4" i="12"/>
  <c r="BC3" i="12"/>
  <c r="BC2" i="12"/>
  <c r="BB7" i="12"/>
  <c r="BC6" i="12"/>
  <c r="BB1" i="12"/>
  <c r="BB6" i="12"/>
  <c r="F36" i="9"/>
  <c r="G36" i="9" s="1"/>
  <c r="J36" i="9"/>
  <c r="N36" i="9"/>
  <c r="Q36" i="9" s="1"/>
  <c r="P36" i="9" s="1"/>
  <c r="X79" i="5"/>
  <c r="H79" i="5"/>
  <c r="AL79" i="5"/>
  <c r="V79" i="5"/>
  <c r="F79" i="5"/>
  <c r="AJ79" i="5"/>
  <c r="T79" i="5"/>
  <c r="D79" i="5"/>
  <c r="AH79" i="5"/>
  <c r="R79" i="5"/>
  <c r="B79" i="5"/>
  <c r="AF79" i="5"/>
  <c r="P79" i="5"/>
  <c r="AD79" i="5"/>
  <c r="N79" i="5"/>
  <c r="A81" i="5" a="1"/>
  <c r="A81" i="5" s="1"/>
  <c r="AB79" i="5"/>
  <c r="L79" i="5"/>
  <c r="Z79" i="5"/>
  <c r="J79" i="5"/>
  <c r="O178" i="9"/>
  <c r="O108" i="9"/>
  <c r="I38" i="9" a="1"/>
  <c r="I38" i="9" s="1"/>
  <c r="AL78" i="5"/>
  <c r="V78" i="5"/>
  <c r="F78" i="5"/>
  <c r="AJ78" i="5"/>
  <c r="T78" i="5"/>
  <c r="D78" i="5"/>
  <c r="AH78" i="5"/>
  <c r="R78" i="5"/>
  <c r="B78" i="5"/>
  <c r="AF78" i="5"/>
  <c r="P78" i="5"/>
  <c r="AD78" i="5"/>
  <c r="N78" i="5"/>
  <c r="A80" i="5" a="1"/>
  <c r="A80" i="5" s="1"/>
  <c r="AB78" i="5"/>
  <c r="L78" i="5"/>
  <c r="Z78" i="5"/>
  <c r="J78" i="5"/>
  <c r="X78" i="5"/>
  <c r="H78" i="5"/>
  <c r="AT25" i="10"/>
  <c r="AV9" i="12"/>
  <c r="AY10" i="12"/>
  <c r="BA9" i="12"/>
  <c r="I41" i="2"/>
  <c r="L40" i="9"/>
  <c r="L110" i="9"/>
  <c r="L180" i="9"/>
  <c r="M39" i="9" a="1"/>
  <c r="L39" i="2" a="1"/>
  <c r="T40" i="2"/>
  <c r="S40" i="2"/>
  <c r="D38" i="9" a="1"/>
  <c r="R40" i="2"/>
  <c r="U40" i="2"/>
  <c r="J39" i="2" a="1"/>
  <c r="M39" i="2" a="1"/>
  <c r="Q40" i="2"/>
  <c r="N39" i="2" a="1"/>
  <c r="P40" i="2"/>
  <c r="K39" i="2" a="1"/>
  <c r="O39" i="2" a="1"/>
  <c r="O39" i="2" l="1"/>
  <c r="K39" i="2"/>
  <c r="K40" i="9"/>
  <c r="V40" i="2"/>
  <c r="O40" i="9" s="1"/>
  <c r="N39" i="2"/>
  <c r="K110" i="9"/>
  <c r="M39" i="2"/>
  <c r="J39" i="2"/>
  <c r="K180" i="9"/>
  <c r="D38" i="9"/>
  <c r="L39" i="2"/>
  <c r="M39" i="9"/>
  <c r="BA25" i="10"/>
  <c r="A83" i="5" a="1"/>
  <c r="A83" i="5" s="1"/>
  <c r="AB81" i="5"/>
  <c r="L81" i="5"/>
  <c r="Z81" i="5"/>
  <c r="J81" i="5"/>
  <c r="X81" i="5"/>
  <c r="H81" i="5"/>
  <c r="AL81" i="5"/>
  <c r="V81" i="5"/>
  <c r="F81" i="5"/>
  <c r="AJ81" i="5"/>
  <c r="T81" i="5"/>
  <c r="D81" i="5"/>
  <c r="AH81" i="5"/>
  <c r="R81" i="5"/>
  <c r="B81" i="5"/>
  <c r="AF81" i="5"/>
  <c r="P81" i="5"/>
  <c r="AD81" i="5"/>
  <c r="N81" i="5"/>
  <c r="L41" i="9"/>
  <c r="I42" i="2"/>
  <c r="L111" i="9"/>
  <c r="L181" i="9"/>
  <c r="BF10" i="12"/>
  <c r="BC9" i="12"/>
  <c r="AT17" i="12"/>
  <c r="Z80" i="5"/>
  <c r="J80" i="5"/>
  <c r="X80" i="5"/>
  <c r="H80" i="5"/>
  <c r="AL80" i="5"/>
  <c r="V80" i="5"/>
  <c r="F80" i="5"/>
  <c r="AJ80" i="5"/>
  <c r="T80" i="5"/>
  <c r="D80" i="5"/>
  <c r="AH80" i="5"/>
  <c r="R80" i="5"/>
  <c r="B80" i="5"/>
  <c r="AF80" i="5"/>
  <c r="P80" i="5"/>
  <c r="AD80" i="5"/>
  <c r="N80" i="5"/>
  <c r="A82" i="5" a="1"/>
  <c r="A82" i="5" s="1"/>
  <c r="AB80" i="5"/>
  <c r="L80" i="5"/>
  <c r="O179" i="9"/>
  <c r="O109" i="9"/>
  <c r="C109" i="9" s="1"/>
  <c r="I39" i="9" a="1"/>
  <c r="I39" i="9" s="1"/>
  <c r="AW15" i="12"/>
  <c r="AY14" i="12"/>
  <c r="AZ9" i="12"/>
  <c r="AU15" i="12"/>
  <c r="AW14" i="12"/>
  <c r="AV14" i="12"/>
  <c r="AU9" i="12"/>
  <c r="AU14" i="12"/>
  <c r="AY12" i="12"/>
  <c r="AY15" i="12"/>
  <c r="AV12" i="12"/>
  <c r="AY11" i="12"/>
  <c r="AV11" i="12"/>
  <c r="AV10" i="12"/>
  <c r="F37" i="9"/>
  <c r="G37" i="9" s="1"/>
  <c r="J37" i="9"/>
  <c r="N37" i="9"/>
  <c r="Q37" i="9" s="1"/>
  <c r="P37" i="9" s="1"/>
  <c r="T41" i="2"/>
  <c r="D39" i="9" a="1"/>
  <c r="R41" i="2"/>
  <c r="M40" i="9" a="1"/>
  <c r="O40" i="2" a="1"/>
  <c r="Q41" i="2"/>
  <c r="S41" i="2"/>
  <c r="J40" i="2" a="1"/>
  <c r="L40" i="2" a="1"/>
  <c r="P41" i="2"/>
  <c r="M40" i="2" a="1"/>
  <c r="K40" i="2" a="1"/>
  <c r="N40" i="2" a="1"/>
  <c r="U41" i="2"/>
  <c r="N40" i="2" l="1"/>
  <c r="K40" i="2"/>
  <c r="M40" i="2"/>
  <c r="K41" i="9"/>
  <c r="V41" i="2"/>
  <c r="O41" i="9" s="1"/>
  <c r="L40" i="2"/>
  <c r="J40" i="2"/>
  <c r="K111" i="9"/>
  <c r="O40" i="2"/>
  <c r="M40" i="9"/>
  <c r="K181" i="9"/>
  <c r="D39" i="9"/>
  <c r="L42" i="9"/>
  <c r="I43" i="2"/>
  <c r="L182" i="9"/>
  <c r="L112" i="9"/>
  <c r="AT33" i="10"/>
  <c r="D109" i="9" a="1"/>
  <c r="D109" i="9" s="1"/>
  <c r="F109" i="9" s="1"/>
  <c r="G109" i="9" s="1"/>
  <c r="Q109" i="9"/>
  <c r="P109" i="9" s="1"/>
  <c r="J109" i="9"/>
  <c r="I109" i="9" a="1"/>
  <c r="I109" i="9" s="1"/>
  <c r="B109" i="9"/>
  <c r="N109" i="9"/>
  <c r="H109" i="9"/>
  <c r="E109" i="9" s="1"/>
  <c r="M109" i="9" a="1"/>
  <c r="M109" i="9" s="1"/>
  <c r="AD82" i="5"/>
  <c r="N82" i="5"/>
  <c r="A84" i="5" a="1"/>
  <c r="A84" i="5" s="1"/>
  <c r="AB82" i="5"/>
  <c r="L82" i="5"/>
  <c r="Z82" i="5"/>
  <c r="J82" i="5"/>
  <c r="X82" i="5"/>
  <c r="H82" i="5"/>
  <c r="AL82" i="5"/>
  <c r="V82" i="5"/>
  <c r="F82" i="5"/>
  <c r="AJ82" i="5"/>
  <c r="T82" i="5"/>
  <c r="D82" i="5"/>
  <c r="AH82" i="5"/>
  <c r="R82" i="5"/>
  <c r="B82" i="5"/>
  <c r="AF82" i="5"/>
  <c r="P82" i="5"/>
  <c r="N38" i="9"/>
  <c r="Q38" i="9" s="1"/>
  <c r="P38" i="9" s="1"/>
  <c r="F38" i="9"/>
  <c r="G38" i="9" s="1"/>
  <c r="J38" i="9"/>
  <c r="AF83" i="5"/>
  <c r="P83" i="5"/>
  <c r="AD83" i="5"/>
  <c r="N83" i="5"/>
  <c r="A85" i="5" a="1"/>
  <c r="A85" i="5" s="1"/>
  <c r="AB83" i="5"/>
  <c r="L83" i="5"/>
  <c r="Z83" i="5"/>
  <c r="J83" i="5"/>
  <c r="X83" i="5"/>
  <c r="H83" i="5"/>
  <c r="AL83" i="5"/>
  <c r="V83" i="5"/>
  <c r="F83" i="5"/>
  <c r="AJ83" i="5"/>
  <c r="T83" i="5"/>
  <c r="D83" i="5"/>
  <c r="AH83" i="5"/>
  <c r="R83" i="5"/>
  <c r="B83" i="5"/>
  <c r="O180" i="9"/>
  <c r="O110" i="9"/>
  <c r="I40" i="9" a="1"/>
  <c r="I40" i="9" s="1"/>
  <c r="AY18" i="12"/>
  <c r="BA17" i="12"/>
  <c r="AV17" i="12"/>
  <c r="BF15" i="12"/>
  <c r="BF14" i="12"/>
  <c r="BF12" i="12"/>
  <c r="BF11" i="12"/>
  <c r="BG9" i="12"/>
  <c r="BD15" i="12"/>
  <c r="BD14" i="12"/>
  <c r="BC12" i="12"/>
  <c r="BC11" i="12"/>
  <c r="BC10" i="12"/>
  <c r="BB15" i="12"/>
  <c r="BC14" i="12"/>
  <c r="BB14" i="12"/>
  <c r="BB9" i="12"/>
  <c r="O41" i="2" a="1"/>
  <c r="D40" i="9" a="1"/>
  <c r="R42" i="2"/>
  <c r="M41" i="2" a="1"/>
  <c r="N41" i="2" a="1"/>
  <c r="Q42" i="2"/>
  <c r="P42" i="2"/>
  <c r="K41" i="2" a="1"/>
  <c r="M41" i="9" a="1"/>
  <c r="U42" i="2"/>
  <c r="S42" i="2"/>
  <c r="J41" i="2" a="1"/>
  <c r="T42" i="2"/>
  <c r="L41" i="2" a="1"/>
  <c r="L41" i="2" l="1"/>
  <c r="J41" i="2"/>
  <c r="M41" i="9"/>
  <c r="K41" i="2"/>
  <c r="K42" i="9"/>
  <c r="V42" i="2"/>
  <c r="O42" i="9" s="1"/>
  <c r="K112" i="9"/>
  <c r="N41" i="2"/>
  <c r="M41" i="2"/>
  <c r="K182" i="9"/>
  <c r="D40" i="9"/>
  <c r="O41" i="2"/>
  <c r="AJ85" i="5"/>
  <c r="T85" i="5"/>
  <c r="D85" i="5"/>
  <c r="AH85" i="5"/>
  <c r="R85" i="5"/>
  <c r="B85" i="5"/>
  <c r="AF85" i="5"/>
  <c r="P85" i="5"/>
  <c r="AD85" i="5"/>
  <c r="N85" i="5"/>
  <c r="A87" i="5" a="1"/>
  <c r="A87" i="5" s="1"/>
  <c r="AB85" i="5"/>
  <c r="L85" i="5"/>
  <c r="Z85" i="5"/>
  <c r="J85" i="5"/>
  <c r="X85" i="5"/>
  <c r="H85" i="5"/>
  <c r="AL85" i="5"/>
  <c r="V85" i="5"/>
  <c r="F85" i="5"/>
  <c r="AY20" i="12"/>
  <c r="AY19" i="12"/>
  <c r="AY23" i="12"/>
  <c r="AV20" i="12"/>
  <c r="AV19" i="12"/>
  <c r="AV18" i="12"/>
  <c r="AW23" i="12"/>
  <c r="AY22" i="12"/>
  <c r="AZ17" i="12"/>
  <c r="AU23" i="12"/>
  <c r="AW22" i="12"/>
  <c r="AV22" i="12"/>
  <c r="AU22" i="12"/>
  <c r="AU17" i="12"/>
  <c r="BF18" i="12"/>
  <c r="BC17" i="12"/>
  <c r="AT25" i="12"/>
  <c r="O181" i="9"/>
  <c r="O111" i="9"/>
  <c r="I41" i="9" a="1"/>
  <c r="I41" i="9" s="1"/>
  <c r="BA33" i="10"/>
  <c r="AH84" i="5"/>
  <c r="R84" i="5"/>
  <c r="B84" i="5"/>
  <c r="AF84" i="5"/>
  <c r="P84" i="5"/>
  <c r="AD84" i="5"/>
  <c r="N84" i="5"/>
  <c r="A86" i="5" a="1"/>
  <c r="A86" i="5" s="1"/>
  <c r="AB84" i="5"/>
  <c r="L84" i="5"/>
  <c r="Z84" i="5"/>
  <c r="J84" i="5"/>
  <c r="X84" i="5"/>
  <c r="H84" i="5"/>
  <c r="AL84" i="5"/>
  <c r="V84" i="5"/>
  <c r="F84" i="5"/>
  <c r="AJ84" i="5"/>
  <c r="T84" i="5"/>
  <c r="D84" i="5"/>
  <c r="L43" i="9"/>
  <c r="I44" i="2"/>
  <c r="L183" i="9"/>
  <c r="L113" i="9"/>
  <c r="J39" i="9"/>
  <c r="F39" i="9"/>
  <c r="G39" i="9" s="1"/>
  <c r="N39" i="9"/>
  <c r="Q39" i="9" s="1"/>
  <c r="P39" i="9" s="1"/>
  <c r="N42" i="2" a="1"/>
  <c r="J42" i="2" a="1"/>
  <c r="P43" i="2"/>
  <c r="D41" i="9" a="1"/>
  <c r="U43" i="2"/>
  <c r="M42" i="2" a="1"/>
  <c r="K42" i="2" a="1"/>
  <c r="S43" i="2"/>
  <c r="O42" i="2" a="1"/>
  <c r="T43" i="2"/>
  <c r="R43" i="2"/>
  <c r="M42" i="9" a="1"/>
  <c r="L42" i="2" a="1"/>
  <c r="Q43" i="2"/>
  <c r="K113" i="9" l="1"/>
  <c r="L42" i="2"/>
  <c r="M42" i="9"/>
  <c r="K183" i="9"/>
  <c r="O42" i="2"/>
  <c r="K42" i="2"/>
  <c r="M42" i="2"/>
  <c r="D41" i="9"/>
  <c r="K43" i="9"/>
  <c r="V43" i="2"/>
  <c r="O43" i="9" s="1"/>
  <c r="J42" i="2"/>
  <c r="N42" i="2"/>
  <c r="AT41" i="10"/>
  <c r="X87" i="5"/>
  <c r="H87" i="5"/>
  <c r="AL87" i="5"/>
  <c r="V87" i="5"/>
  <c r="F87" i="5"/>
  <c r="AJ87" i="5"/>
  <c r="T87" i="5"/>
  <c r="D87" i="5"/>
  <c r="AH87" i="5"/>
  <c r="R87" i="5"/>
  <c r="B87" i="5"/>
  <c r="AF87" i="5"/>
  <c r="P87" i="5"/>
  <c r="AD87" i="5"/>
  <c r="N87" i="5"/>
  <c r="A89" i="5" a="1"/>
  <c r="A89" i="5" s="1"/>
  <c r="AB87" i="5"/>
  <c r="L87" i="5"/>
  <c r="Z87" i="5"/>
  <c r="J87" i="5"/>
  <c r="I45" i="2"/>
  <c r="L184" i="9"/>
  <c r="L44" i="9"/>
  <c r="L114" i="9"/>
  <c r="AV25" i="12"/>
  <c r="AY26" i="12"/>
  <c r="BA25" i="12"/>
  <c r="AL86" i="5"/>
  <c r="V86" i="5"/>
  <c r="F86" i="5"/>
  <c r="AJ86" i="5"/>
  <c r="T86" i="5"/>
  <c r="D86" i="5"/>
  <c r="AH86" i="5"/>
  <c r="R86" i="5"/>
  <c r="B86" i="5"/>
  <c r="AF86" i="5"/>
  <c r="P86" i="5"/>
  <c r="AD86" i="5"/>
  <c r="N86" i="5"/>
  <c r="A88" i="5" a="1"/>
  <c r="A88" i="5" s="1"/>
  <c r="AB86" i="5"/>
  <c r="L86" i="5"/>
  <c r="Z86" i="5"/>
  <c r="J86" i="5"/>
  <c r="X86" i="5"/>
  <c r="H86" i="5"/>
  <c r="BF23" i="12"/>
  <c r="BF22" i="12"/>
  <c r="BF20" i="12"/>
  <c r="BF19" i="12"/>
  <c r="BG17" i="12"/>
  <c r="BD23" i="12"/>
  <c r="BD22" i="12"/>
  <c r="BC20" i="12"/>
  <c r="BC19" i="12"/>
  <c r="BC18" i="12"/>
  <c r="BB23" i="12"/>
  <c r="BC22" i="12"/>
  <c r="BB17" i="12"/>
  <c r="BB22" i="12"/>
  <c r="F40" i="9"/>
  <c r="G40" i="9" s="1"/>
  <c r="N40" i="9"/>
  <c r="Q40" i="9" s="1"/>
  <c r="P40" i="9" s="1"/>
  <c r="J40" i="9"/>
  <c r="O182" i="9"/>
  <c r="O112" i="9"/>
  <c r="I42" i="9" a="1"/>
  <c r="I42" i="9" s="1"/>
  <c r="M43" i="2" a="1"/>
  <c r="D42" i="9" a="1"/>
  <c r="K43" i="2" a="1"/>
  <c r="U44" i="2"/>
  <c r="O43" i="2" a="1"/>
  <c r="T44" i="2"/>
  <c r="S44" i="2"/>
  <c r="L43" i="2" a="1"/>
  <c r="M43" i="9" a="1"/>
  <c r="R44" i="2"/>
  <c r="N43" i="2" a="1"/>
  <c r="Q44" i="2"/>
  <c r="J43" i="2" a="1"/>
  <c r="P44" i="2"/>
  <c r="K44" i="9" l="1"/>
  <c r="V44" i="2"/>
  <c r="O44" i="9" s="1"/>
  <c r="J43" i="2"/>
  <c r="K114" i="9"/>
  <c r="N43" i="2"/>
  <c r="K184" i="9"/>
  <c r="M43" i="9"/>
  <c r="L43" i="2"/>
  <c r="O43" i="2"/>
  <c r="K43" i="2"/>
  <c r="D42" i="9"/>
  <c r="M43" i="2"/>
  <c r="AT33" i="12"/>
  <c r="BF26" i="12"/>
  <c r="BC25" i="12"/>
  <c r="O183" i="9"/>
  <c r="O113" i="9"/>
  <c r="I43" i="9" a="1"/>
  <c r="I43" i="9" s="1"/>
  <c r="AW31" i="12"/>
  <c r="AY30" i="12"/>
  <c r="AZ25" i="12"/>
  <c r="AU31" i="12"/>
  <c r="AW30" i="12"/>
  <c r="AV30" i="12"/>
  <c r="AU25" i="12"/>
  <c r="AU30" i="12"/>
  <c r="AY28" i="12"/>
  <c r="AY31" i="12"/>
  <c r="AV28" i="12"/>
  <c r="AY27" i="12"/>
  <c r="AV27" i="12"/>
  <c r="AV26" i="12"/>
  <c r="BA41" i="10"/>
  <c r="J41" i="9"/>
  <c r="F41" i="9"/>
  <c r="G41" i="9" s="1"/>
  <c r="N41" i="9"/>
  <c r="Q41" i="9" s="1"/>
  <c r="P41" i="9" s="1"/>
  <c r="Z88" i="5"/>
  <c r="J88" i="5"/>
  <c r="X88" i="5"/>
  <c r="H88" i="5"/>
  <c r="AL88" i="5"/>
  <c r="V88" i="5"/>
  <c r="F88" i="5"/>
  <c r="AJ88" i="5"/>
  <c r="T88" i="5"/>
  <c r="D88" i="5"/>
  <c r="AH88" i="5"/>
  <c r="R88" i="5"/>
  <c r="B88" i="5"/>
  <c r="AF88" i="5"/>
  <c r="P88" i="5"/>
  <c r="AD88" i="5"/>
  <c r="N88" i="5"/>
  <c r="A90" i="5" a="1"/>
  <c r="A90" i="5" s="1"/>
  <c r="AB88" i="5"/>
  <c r="L88" i="5"/>
  <c r="A91" i="5" a="1"/>
  <c r="A91" i="5" s="1"/>
  <c r="AB89" i="5"/>
  <c r="L89" i="5"/>
  <c r="Z89" i="5"/>
  <c r="J89" i="5"/>
  <c r="X89" i="5"/>
  <c r="H89" i="5"/>
  <c r="AL89" i="5"/>
  <c r="V89" i="5"/>
  <c r="F89" i="5"/>
  <c r="AJ89" i="5"/>
  <c r="T89" i="5"/>
  <c r="D89" i="5"/>
  <c r="AH89" i="5"/>
  <c r="R89" i="5"/>
  <c r="B89" i="5"/>
  <c r="AF89" i="5"/>
  <c r="P89" i="5"/>
  <c r="AD89" i="5"/>
  <c r="N89" i="5"/>
  <c r="I46" i="2"/>
  <c r="L185" i="9"/>
  <c r="L45" i="9"/>
  <c r="L115" i="9"/>
  <c r="M44" i="9" a="1"/>
  <c r="L44" i="2" a="1"/>
  <c r="U45" i="2"/>
  <c r="J44" i="2" a="1"/>
  <c r="R45" i="2"/>
  <c r="D43" i="9" a="1"/>
  <c r="M44" i="2" a="1"/>
  <c r="N44" i="2" a="1"/>
  <c r="Q45" i="2"/>
  <c r="P45" i="2"/>
  <c r="K44" i="2" a="1"/>
  <c r="O44" i="2" a="1"/>
  <c r="T45" i="2"/>
  <c r="S45" i="2"/>
  <c r="O44" i="2" l="1"/>
  <c r="K44" i="2"/>
  <c r="K45" i="9"/>
  <c r="V45" i="2"/>
  <c r="O45" i="9" s="1"/>
  <c r="K115" i="9"/>
  <c r="N44" i="2"/>
  <c r="M44" i="2"/>
  <c r="D43" i="9"/>
  <c r="K185" i="9"/>
  <c r="J44" i="2"/>
  <c r="L44" i="2"/>
  <c r="M44" i="9"/>
  <c r="I47" i="2"/>
  <c r="L116" i="9"/>
  <c r="L46" i="9"/>
  <c r="L186" i="9"/>
  <c r="AY34" i="12"/>
  <c r="BA33" i="12"/>
  <c r="AV33" i="12"/>
  <c r="BI1" i="10"/>
  <c r="AF91" i="5"/>
  <c r="P91" i="5"/>
  <c r="AD91" i="5"/>
  <c r="N91" i="5"/>
  <c r="A93" i="5" a="1"/>
  <c r="A93" i="5" s="1"/>
  <c r="AB91" i="5"/>
  <c r="L91" i="5"/>
  <c r="Z91" i="5"/>
  <c r="J91" i="5"/>
  <c r="X91" i="5"/>
  <c r="H91" i="5"/>
  <c r="AL91" i="5"/>
  <c r="V91" i="5"/>
  <c r="F91" i="5"/>
  <c r="AJ91" i="5"/>
  <c r="T91" i="5"/>
  <c r="D91" i="5"/>
  <c r="AH91" i="5"/>
  <c r="R91" i="5"/>
  <c r="B91" i="5"/>
  <c r="BF31" i="12"/>
  <c r="BF30" i="12"/>
  <c r="BF28" i="12"/>
  <c r="BF27" i="12"/>
  <c r="BG25" i="12"/>
  <c r="BD31" i="12"/>
  <c r="BD30" i="12"/>
  <c r="BC28" i="12"/>
  <c r="BC27" i="12"/>
  <c r="BC26" i="12"/>
  <c r="BB31" i="12"/>
  <c r="BC30" i="12"/>
  <c r="BB30" i="12"/>
  <c r="BB25" i="12"/>
  <c r="O184" i="9"/>
  <c r="O114" i="9"/>
  <c r="I44" i="9" a="1"/>
  <c r="I44" i="9" s="1"/>
  <c r="AD90" i="5"/>
  <c r="N90" i="5"/>
  <c r="A92" i="5" a="1"/>
  <c r="A92" i="5" s="1"/>
  <c r="AB90" i="5"/>
  <c r="L90" i="5"/>
  <c r="Z90" i="5"/>
  <c r="J90" i="5"/>
  <c r="X90" i="5"/>
  <c r="H90" i="5"/>
  <c r="AL90" i="5"/>
  <c r="V90" i="5"/>
  <c r="F90" i="5"/>
  <c r="AJ90" i="5"/>
  <c r="T90" i="5"/>
  <c r="D90" i="5"/>
  <c r="AH90" i="5"/>
  <c r="R90" i="5"/>
  <c r="B90" i="5"/>
  <c r="AF90" i="5"/>
  <c r="P90" i="5"/>
  <c r="F42" i="9"/>
  <c r="G42" i="9" s="1"/>
  <c r="J42" i="9"/>
  <c r="N42" i="9"/>
  <c r="Q42" i="9" s="1"/>
  <c r="P42" i="9" s="1"/>
  <c r="M45" i="2" a="1"/>
  <c r="K45" i="2" a="1"/>
  <c r="N45" i="2" a="1"/>
  <c r="U46" i="2"/>
  <c r="T46" i="2"/>
  <c r="M45" i="9" a="1"/>
  <c r="S46" i="2"/>
  <c r="J45" i="2" a="1"/>
  <c r="D44" i="9" a="1"/>
  <c r="Q46" i="2"/>
  <c r="L45" i="2" a="1"/>
  <c r="R46" i="2"/>
  <c r="O45" i="2" a="1"/>
  <c r="P46" i="2"/>
  <c r="K46" i="9" l="1"/>
  <c r="V46" i="2"/>
  <c r="O46" i="9" s="1"/>
  <c r="O45" i="2"/>
  <c r="K186" i="9"/>
  <c r="L45" i="2"/>
  <c r="K116" i="9"/>
  <c r="D44" i="9"/>
  <c r="J45" i="2"/>
  <c r="M45" i="9"/>
  <c r="N45" i="2"/>
  <c r="K45" i="2"/>
  <c r="M45" i="2"/>
  <c r="AY36" i="12"/>
  <c r="AY35" i="12"/>
  <c r="AY39" i="12"/>
  <c r="AV36" i="12"/>
  <c r="AV35" i="12"/>
  <c r="AV34" i="12"/>
  <c r="AW39" i="12"/>
  <c r="AY38" i="12"/>
  <c r="AZ33" i="12"/>
  <c r="AU39" i="12"/>
  <c r="AW38" i="12"/>
  <c r="AV38" i="12"/>
  <c r="AU33" i="12"/>
  <c r="AU38" i="12"/>
  <c r="BP1" i="10"/>
  <c r="BF34" i="12"/>
  <c r="BC33" i="12"/>
  <c r="AT41" i="12"/>
  <c r="O185" i="9"/>
  <c r="O115" i="9"/>
  <c r="I45" i="9" a="1"/>
  <c r="I45" i="9" s="1"/>
  <c r="AH92" i="5"/>
  <c r="R92" i="5"/>
  <c r="B92" i="5"/>
  <c r="AF92" i="5"/>
  <c r="P92" i="5"/>
  <c r="AD92" i="5"/>
  <c r="N92" i="5"/>
  <c r="A94" i="5" a="1"/>
  <c r="A94" i="5" s="1"/>
  <c r="AB92" i="5"/>
  <c r="L92" i="5"/>
  <c r="Z92" i="5"/>
  <c r="J92" i="5"/>
  <c r="X92" i="5"/>
  <c r="H92" i="5"/>
  <c r="AL92" i="5"/>
  <c r="V92" i="5"/>
  <c r="F92" i="5"/>
  <c r="AJ92" i="5"/>
  <c r="T92" i="5"/>
  <c r="D92" i="5"/>
  <c r="F43" i="9"/>
  <c r="G43" i="9" s="1"/>
  <c r="N43" i="9"/>
  <c r="Q43" i="9" s="1"/>
  <c r="P43" i="9" s="1"/>
  <c r="J43" i="9"/>
  <c r="AJ93" i="5"/>
  <c r="T93" i="5"/>
  <c r="D93" i="5"/>
  <c r="AH93" i="5"/>
  <c r="R93" i="5"/>
  <c r="B93" i="5"/>
  <c r="AF93" i="5"/>
  <c r="P93" i="5"/>
  <c r="AD93" i="5"/>
  <c r="N93" i="5"/>
  <c r="A95" i="5" a="1"/>
  <c r="A95" i="5" s="1"/>
  <c r="AB93" i="5"/>
  <c r="L93" i="5"/>
  <c r="Z93" i="5"/>
  <c r="J93" i="5"/>
  <c r="X93" i="5"/>
  <c r="H93" i="5"/>
  <c r="AL93" i="5"/>
  <c r="V93" i="5"/>
  <c r="F93" i="5"/>
  <c r="L47" i="9"/>
  <c r="I48" i="2"/>
  <c r="L117" i="9"/>
  <c r="L187" i="9"/>
  <c r="M46" i="9" a="1"/>
  <c r="K46" i="2" a="1"/>
  <c r="T47" i="2"/>
  <c r="Q47" i="2"/>
  <c r="U47" i="2"/>
  <c r="R47" i="2"/>
  <c r="S47" i="2"/>
  <c r="J46" i="2" a="1"/>
  <c r="D45" i="9" a="1"/>
  <c r="M46" i="2" a="1"/>
  <c r="L46" i="2" a="1"/>
  <c r="N46" i="2" a="1"/>
  <c r="P47" i="2"/>
  <c r="O46" i="2" a="1"/>
  <c r="O46" i="2" l="1"/>
  <c r="K47" i="9"/>
  <c r="V47" i="2"/>
  <c r="O47" i="9" s="1"/>
  <c r="N46" i="2"/>
  <c r="L46" i="2"/>
  <c r="M46" i="2"/>
  <c r="D45" i="9"/>
  <c r="J46" i="2"/>
  <c r="K187" i="9"/>
  <c r="K117" i="9"/>
  <c r="K46" i="2"/>
  <c r="M46" i="9"/>
  <c r="X95" i="5"/>
  <c r="H95" i="5"/>
  <c r="AL95" i="5"/>
  <c r="V95" i="5"/>
  <c r="F95" i="5"/>
  <c r="AJ95" i="5"/>
  <c r="T95" i="5"/>
  <c r="D95" i="5"/>
  <c r="AH95" i="5"/>
  <c r="R95" i="5"/>
  <c r="B95" i="5"/>
  <c r="AF95" i="5"/>
  <c r="P95" i="5"/>
  <c r="AD95" i="5"/>
  <c r="N95" i="5"/>
  <c r="A97" i="5" a="1"/>
  <c r="A97" i="5" s="1"/>
  <c r="AB95" i="5"/>
  <c r="L95" i="5"/>
  <c r="Z95" i="5"/>
  <c r="J95" i="5"/>
  <c r="AL94" i="5"/>
  <c r="V94" i="5"/>
  <c r="F94" i="5"/>
  <c r="AJ94" i="5"/>
  <c r="T94" i="5"/>
  <c r="D94" i="5"/>
  <c r="AH94" i="5"/>
  <c r="R94" i="5"/>
  <c r="B94" i="5"/>
  <c r="AF94" i="5"/>
  <c r="P94" i="5"/>
  <c r="AD94" i="5"/>
  <c r="N94" i="5"/>
  <c r="A96" i="5" a="1"/>
  <c r="A96" i="5" s="1"/>
  <c r="AB94" i="5"/>
  <c r="L94" i="5"/>
  <c r="Z94" i="5"/>
  <c r="J94" i="5"/>
  <c r="X94" i="5"/>
  <c r="H94" i="5"/>
  <c r="BI9" i="10"/>
  <c r="AV41" i="12"/>
  <c r="AY42" i="12"/>
  <c r="BA41" i="12"/>
  <c r="F44" i="9"/>
  <c r="G44" i="9" s="1"/>
  <c r="J44" i="9"/>
  <c r="N44" i="9"/>
  <c r="Q44" i="9" s="1"/>
  <c r="P44" i="9" s="1"/>
  <c r="O186" i="9"/>
  <c r="O116" i="9"/>
  <c r="I46" i="9" a="1"/>
  <c r="I46" i="9" s="1"/>
  <c r="I49" i="2"/>
  <c r="L188" i="9"/>
  <c r="L118" i="9"/>
  <c r="L48" i="9"/>
  <c r="BF39" i="12"/>
  <c r="BF38" i="12"/>
  <c r="BF36" i="12"/>
  <c r="BF35" i="12"/>
  <c r="BG33" i="12"/>
  <c r="BD39" i="12"/>
  <c r="BD38" i="12"/>
  <c r="BC36" i="12"/>
  <c r="BC35" i="12"/>
  <c r="BC34" i="12"/>
  <c r="BB39" i="12"/>
  <c r="BC38" i="12"/>
  <c r="BB33" i="12"/>
  <c r="BB38" i="12"/>
  <c r="D46" i="9" a="1"/>
  <c r="R48" i="2"/>
  <c r="M47" i="9" a="1"/>
  <c r="M47" i="2" a="1"/>
  <c r="Q48" i="2"/>
  <c r="P48" i="2"/>
  <c r="J47" i="2" a="1"/>
  <c r="L47" i="2" a="1"/>
  <c r="O47" i="2" a="1"/>
  <c r="U48" i="2"/>
  <c r="K47" i="2" a="1"/>
  <c r="T48" i="2"/>
  <c r="S48" i="2"/>
  <c r="N47" i="2" a="1"/>
  <c r="N47" i="2" l="1"/>
  <c r="K47" i="2"/>
  <c r="O47" i="2"/>
  <c r="L47" i="2"/>
  <c r="J47" i="2"/>
  <c r="K48" i="9"/>
  <c r="M48" i="9" s="1" a="1"/>
  <c r="M48" i="9" s="1"/>
  <c r="V48" i="2"/>
  <c r="O48" i="9" s="1"/>
  <c r="K118" i="9"/>
  <c r="M47" i="2"/>
  <c r="M47" i="9"/>
  <c r="K188" i="9"/>
  <c r="D46" i="9"/>
  <c r="Z96" i="5"/>
  <c r="J96" i="5"/>
  <c r="X96" i="5"/>
  <c r="H96" i="5"/>
  <c r="AL96" i="5"/>
  <c r="V96" i="5"/>
  <c r="F96" i="5"/>
  <c r="AJ96" i="5"/>
  <c r="T96" i="5"/>
  <c r="D96" i="5"/>
  <c r="AH96" i="5"/>
  <c r="R96" i="5"/>
  <c r="B96" i="5"/>
  <c r="AF96" i="5"/>
  <c r="P96" i="5"/>
  <c r="AD96" i="5"/>
  <c r="N96" i="5"/>
  <c r="A98" i="5" a="1"/>
  <c r="A98" i="5" s="1"/>
  <c r="AB96" i="5"/>
  <c r="L96" i="5"/>
  <c r="A99" i="5" a="1"/>
  <c r="A99" i="5" s="1"/>
  <c r="AB97" i="5"/>
  <c r="L97" i="5"/>
  <c r="Z97" i="5"/>
  <c r="J97" i="5"/>
  <c r="X97" i="5"/>
  <c r="H97" i="5"/>
  <c r="AL97" i="5"/>
  <c r="V97" i="5"/>
  <c r="F97" i="5"/>
  <c r="AJ97" i="5"/>
  <c r="T97" i="5"/>
  <c r="D97" i="5"/>
  <c r="AH97" i="5"/>
  <c r="R97" i="5"/>
  <c r="B97" i="5"/>
  <c r="AF97" i="5"/>
  <c r="P97" i="5"/>
  <c r="AD97" i="5"/>
  <c r="N97" i="5"/>
  <c r="F45" i="9"/>
  <c r="G45" i="9" s="1"/>
  <c r="J45" i="9"/>
  <c r="N45" i="9"/>
  <c r="Q45" i="9" s="1"/>
  <c r="P45" i="9" s="1"/>
  <c r="BF42" i="12"/>
  <c r="BC41" i="12"/>
  <c r="BI1" i="12"/>
  <c r="AW47" i="12"/>
  <c r="AY46" i="12"/>
  <c r="AZ41" i="12"/>
  <c r="AU47" i="12"/>
  <c r="AW46" i="12"/>
  <c r="AV46" i="12"/>
  <c r="AU41" i="12"/>
  <c r="AU46" i="12"/>
  <c r="AY44" i="12"/>
  <c r="AY43" i="12"/>
  <c r="AY47" i="12"/>
  <c r="AV44" i="12"/>
  <c r="AV43" i="12"/>
  <c r="AV42" i="12"/>
  <c r="L49" i="9"/>
  <c r="I50" i="2"/>
  <c r="L189" i="9"/>
  <c r="L119" i="9"/>
  <c r="O187" i="9"/>
  <c r="O117" i="9"/>
  <c r="I47" i="9" a="1"/>
  <c r="I47" i="9" s="1"/>
  <c r="BP9" i="10"/>
  <c r="L48" i="2" a="1"/>
  <c r="R49" i="2"/>
  <c r="M48" i="2" a="1"/>
  <c r="Q49" i="2"/>
  <c r="N48" i="2" a="1"/>
  <c r="J48" i="2" a="1"/>
  <c r="P49" i="2"/>
  <c r="O48" i="2" a="1"/>
  <c r="K48" i="2" a="1"/>
  <c r="U49" i="2"/>
  <c r="T49" i="2"/>
  <c r="D47" i="9" a="1"/>
  <c r="S49" i="2"/>
  <c r="D47" i="9" l="1"/>
  <c r="K48" i="2"/>
  <c r="O48" i="2"/>
  <c r="K49" i="9"/>
  <c r="V49" i="2"/>
  <c r="O49" i="9" s="1"/>
  <c r="J48" i="2"/>
  <c r="N48" i="2"/>
  <c r="K119" i="9"/>
  <c r="M48" i="2"/>
  <c r="K189" i="9"/>
  <c r="L48" i="2"/>
  <c r="AD98" i="5"/>
  <c r="N98" i="5"/>
  <c r="A100" i="5" a="1"/>
  <c r="A100" i="5" s="1"/>
  <c r="AB98" i="5"/>
  <c r="L98" i="5"/>
  <c r="Z98" i="5"/>
  <c r="J98" i="5"/>
  <c r="X98" i="5"/>
  <c r="H98" i="5"/>
  <c r="AL98" i="5"/>
  <c r="V98" i="5"/>
  <c r="F98" i="5"/>
  <c r="AJ98" i="5"/>
  <c r="T98" i="5"/>
  <c r="D98" i="5"/>
  <c r="AH98" i="5"/>
  <c r="R98" i="5"/>
  <c r="B98" i="5"/>
  <c r="AF98" i="5"/>
  <c r="P98" i="5"/>
  <c r="BI17" i="10"/>
  <c r="BP1" i="12"/>
  <c r="BK1" i="12"/>
  <c r="BN2" i="12"/>
  <c r="BF47" i="12"/>
  <c r="BF46" i="12"/>
  <c r="BF44" i="12"/>
  <c r="BF43" i="12"/>
  <c r="BG41" i="12"/>
  <c r="BD47" i="12"/>
  <c r="BD46" i="12"/>
  <c r="BC44" i="12"/>
  <c r="BC43" i="12"/>
  <c r="BC42" i="12"/>
  <c r="BB47" i="12"/>
  <c r="BC46" i="12"/>
  <c r="BB41" i="12"/>
  <c r="BB46" i="12"/>
  <c r="L50" i="9"/>
  <c r="I51" i="2"/>
  <c r="L190" i="9"/>
  <c r="L120" i="9"/>
  <c r="AF99" i="5"/>
  <c r="P99" i="5"/>
  <c r="AD99" i="5"/>
  <c r="N99" i="5"/>
  <c r="A101" i="5" a="1"/>
  <c r="A101" i="5" s="1"/>
  <c r="AB99" i="5"/>
  <c r="L99" i="5"/>
  <c r="Z99" i="5"/>
  <c r="J99" i="5"/>
  <c r="X99" i="5"/>
  <c r="H99" i="5"/>
  <c r="AL99" i="5"/>
  <c r="V99" i="5"/>
  <c r="F99" i="5"/>
  <c r="AJ99" i="5"/>
  <c r="T99" i="5"/>
  <c r="D99" i="5"/>
  <c r="AH99" i="5"/>
  <c r="R99" i="5"/>
  <c r="B99" i="5"/>
  <c r="N46" i="9"/>
  <c r="Q46" i="9" s="1"/>
  <c r="P46" i="9" s="1"/>
  <c r="F46" i="9"/>
  <c r="G46" i="9" s="1"/>
  <c r="J46" i="9"/>
  <c r="O188" i="9"/>
  <c r="O118" i="9"/>
  <c r="I48" i="9" a="1"/>
  <c r="I48" i="9" s="1"/>
  <c r="E48" i="9" s="1"/>
  <c r="M49" i="2" a="1"/>
  <c r="J49" i="2" a="1"/>
  <c r="S50" i="2"/>
  <c r="R50" i="2"/>
  <c r="N49" i="2" a="1"/>
  <c r="Q50" i="2"/>
  <c r="D48" i="9" a="1"/>
  <c r="O49" i="2" a="1"/>
  <c r="M119" i="9" a="1"/>
  <c r="P50" i="2"/>
  <c r="K49" i="2" a="1"/>
  <c r="U50" i="2"/>
  <c r="M49" i="9" a="1"/>
  <c r="L49" i="2" a="1"/>
  <c r="T50" i="2"/>
  <c r="L49" i="2" l="1"/>
  <c r="M49" i="9"/>
  <c r="K49" i="2"/>
  <c r="K50" i="9"/>
  <c r="V50" i="2"/>
  <c r="O50" i="9" s="1"/>
  <c r="M119" i="9"/>
  <c r="O49" i="2"/>
  <c r="D48" i="9"/>
  <c r="K120" i="9"/>
  <c r="N49" i="2"/>
  <c r="K190" i="9"/>
  <c r="J49" i="2"/>
  <c r="M49" i="2"/>
  <c r="AJ101" i="5"/>
  <c r="T101" i="5"/>
  <c r="D101" i="5"/>
  <c r="AH101" i="5"/>
  <c r="R101" i="5"/>
  <c r="B101" i="5"/>
  <c r="AF101" i="5"/>
  <c r="P101" i="5"/>
  <c r="AD101" i="5"/>
  <c r="N101" i="5"/>
  <c r="A103" i="5" a="1"/>
  <c r="A103" i="5" s="1"/>
  <c r="AB101" i="5"/>
  <c r="L101" i="5"/>
  <c r="Z101" i="5"/>
  <c r="J101" i="5"/>
  <c r="X101" i="5"/>
  <c r="H101" i="5"/>
  <c r="AL101" i="5"/>
  <c r="V101" i="5"/>
  <c r="F101" i="5"/>
  <c r="O189" i="9"/>
  <c r="O119" i="9"/>
  <c r="I119" i="9" s="1" a="1"/>
  <c r="I119" i="9" s="1"/>
  <c r="I49" i="9" a="1"/>
  <c r="I49" i="9" s="1"/>
  <c r="BP17" i="10"/>
  <c r="I52" i="2"/>
  <c r="AH100" i="5"/>
  <c r="R100" i="5"/>
  <c r="B100" i="5"/>
  <c r="AF100" i="5"/>
  <c r="P100" i="5"/>
  <c r="AD100" i="5"/>
  <c r="N100" i="5"/>
  <c r="A102" i="5" a="1"/>
  <c r="A102" i="5" s="1"/>
  <c r="AB100" i="5"/>
  <c r="L100" i="5"/>
  <c r="Z100" i="5"/>
  <c r="J100" i="5"/>
  <c r="X100" i="5"/>
  <c r="H100" i="5"/>
  <c r="AL100" i="5"/>
  <c r="V100" i="5"/>
  <c r="F100" i="5"/>
  <c r="AJ100" i="5"/>
  <c r="T100" i="5"/>
  <c r="D100" i="5"/>
  <c r="BN6" i="12"/>
  <c r="BO1" i="12"/>
  <c r="BN7" i="12"/>
  <c r="BL6" i="12"/>
  <c r="BK6" i="12"/>
  <c r="BN3" i="12"/>
  <c r="BJ6" i="12"/>
  <c r="BK3" i="12"/>
  <c r="BJ1" i="12"/>
  <c r="BK2" i="12"/>
  <c r="BL7" i="12"/>
  <c r="BN4" i="12"/>
  <c r="BJ7" i="12"/>
  <c r="BK4" i="12"/>
  <c r="BR1" i="12"/>
  <c r="BI9" i="12"/>
  <c r="BU2" i="12"/>
  <c r="J47" i="9"/>
  <c r="F47" i="9"/>
  <c r="G47" i="9" s="1"/>
  <c r="N47" i="9"/>
  <c r="Q47" i="9" s="1"/>
  <c r="P47" i="9" s="1"/>
  <c r="N50" i="2" a="1"/>
  <c r="M50" i="2" a="1"/>
  <c r="T51" i="2"/>
  <c r="D119" i="9" a="1"/>
  <c r="D49" i="9" a="1"/>
  <c r="R51" i="2"/>
  <c r="S51" i="2"/>
  <c r="O50" i="2" a="1"/>
  <c r="Q51" i="2"/>
  <c r="K50" i="2" a="1"/>
  <c r="M50" i="9" a="1"/>
  <c r="P51" i="2"/>
  <c r="J50" i="2" a="1"/>
  <c r="L50" i="2" a="1"/>
  <c r="U51" i="2"/>
  <c r="L50" i="2" l="1"/>
  <c r="J50" i="2"/>
  <c r="K51" i="9"/>
  <c r="V51" i="2"/>
  <c r="O51" i="9" s="1"/>
  <c r="M50" i="9"/>
  <c r="K50" i="2"/>
  <c r="K121" i="9"/>
  <c r="O50" i="2"/>
  <c r="K191" i="9"/>
  <c r="D49" i="9"/>
  <c r="D119" i="9"/>
  <c r="M50" i="2"/>
  <c r="N50" i="2"/>
  <c r="I53" i="2"/>
  <c r="L52" i="9"/>
  <c r="L122" i="9"/>
  <c r="L192" i="9"/>
  <c r="O190" i="9"/>
  <c r="O120" i="9"/>
  <c r="I50" i="9" a="1"/>
  <c r="I50" i="9" s="1"/>
  <c r="BK9" i="12"/>
  <c r="BN10" i="12"/>
  <c r="BP9" i="12"/>
  <c r="BU6" i="12"/>
  <c r="BV1" i="12"/>
  <c r="BS6" i="12"/>
  <c r="BU7" i="12"/>
  <c r="BR6" i="12"/>
  <c r="BQ1" i="12"/>
  <c r="BS7" i="12"/>
  <c r="BQ6" i="12"/>
  <c r="BQ7" i="12"/>
  <c r="BU4" i="12"/>
  <c r="BU3" i="12"/>
  <c r="BR4" i="12"/>
  <c r="BR3" i="12"/>
  <c r="BR2" i="12"/>
  <c r="BI25" i="10"/>
  <c r="X103" i="5"/>
  <c r="H103" i="5"/>
  <c r="AL103" i="5"/>
  <c r="V103" i="5"/>
  <c r="F103" i="5"/>
  <c r="AJ103" i="5"/>
  <c r="T103" i="5"/>
  <c r="D103" i="5"/>
  <c r="AH103" i="5"/>
  <c r="R103" i="5"/>
  <c r="B103" i="5"/>
  <c r="AF103" i="5"/>
  <c r="P103" i="5"/>
  <c r="AD103" i="5"/>
  <c r="N103" i="5"/>
  <c r="A105" i="5" a="1"/>
  <c r="A105" i="5" s="1"/>
  <c r="AB103" i="5"/>
  <c r="L103" i="5"/>
  <c r="Z103" i="5"/>
  <c r="J103" i="5"/>
  <c r="AL102" i="5"/>
  <c r="V102" i="5"/>
  <c r="F102" i="5"/>
  <c r="AJ102" i="5"/>
  <c r="T102" i="5"/>
  <c r="D102" i="5"/>
  <c r="AH102" i="5"/>
  <c r="R102" i="5"/>
  <c r="B102" i="5"/>
  <c r="AF102" i="5"/>
  <c r="P102" i="5"/>
  <c r="AD102" i="5"/>
  <c r="N102" i="5"/>
  <c r="A104" i="5" a="1"/>
  <c r="A104" i="5" s="1"/>
  <c r="AB102" i="5"/>
  <c r="L102" i="5"/>
  <c r="Z102" i="5"/>
  <c r="J102" i="5"/>
  <c r="X102" i="5"/>
  <c r="H102" i="5"/>
  <c r="F48" i="9"/>
  <c r="G48" i="9" s="1"/>
  <c r="N48" i="9"/>
  <c r="Q48" i="9" s="1"/>
  <c r="P48" i="9" s="1"/>
  <c r="J48" i="9"/>
  <c r="O51" i="2" a="1"/>
  <c r="N51" i="2" a="1"/>
  <c r="K51" i="2" a="1"/>
  <c r="U52" i="2"/>
  <c r="D50" i="9" a="1"/>
  <c r="M51" i="2" a="1"/>
  <c r="T52" i="2"/>
  <c r="S52" i="2"/>
  <c r="J51" i="2" a="1"/>
  <c r="L51" i="2" a="1"/>
  <c r="R52" i="2"/>
  <c r="Q52" i="2"/>
  <c r="P52" i="2"/>
  <c r="K52" i="9" l="1"/>
  <c r="V52" i="2"/>
  <c r="O52" i="9" s="1"/>
  <c r="K122" i="9"/>
  <c r="K192" i="9"/>
  <c r="L51" i="2"/>
  <c r="J51" i="2"/>
  <c r="M51" i="2"/>
  <c r="D50" i="9"/>
  <c r="K51" i="2"/>
  <c r="N51" i="2"/>
  <c r="O51" i="2"/>
  <c r="BP25" i="10"/>
  <c r="BU10" i="12"/>
  <c r="BR9" i="12"/>
  <c r="BI17" i="12"/>
  <c r="N119" i="9"/>
  <c r="Q119" i="9" s="1"/>
  <c r="P119" i="9" s="1"/>
  <c r="F119" i="9"/>
  <c r="G119" i="9" s="1"/>
  <c r="J119" i="9"/>
  <c r="A107" i="5" a="1"/>
  <c r="A107" i="5" s="1"/>
  <c r="AB105" i="5"/>
  <c r="L105" i="5"/>
  <c r="Z105" i="5"/>
  <c r="J105" i="5"/>
  <c r="X105" i="5"/>
  <c r="H105" i="5"/>
  <c r="AL105" i="5"/>
  <c r="V105" i="5"/>
  <c r="F105" i="5"/>
  <c r="AJ105" i="5"/>
  <c r="T105" i="5"/>
  <c r="D105" i="5"/>
  <c r="AH105" i="5"/>
  <c r="R105" i="5"/>
  <c r="B105" i="5"/>
  <c r="AF105" i="5"/>
  <c r="P105" i="5"/>
  <c r="AD105" i="5"/>
  <c r="N105" i="5"/>
  <c r="J49" i="9"/>
  <c r="F49" i="9"/>
  <c r="G49" i="9" s="1"/>
  <c r="N49" i="9"/>
  <c r="Q49" i="9" s="1"/>
  <c r="P49" i="9" s="1"/>
  <c r="Z104" i="5"/>
  <c r="J104" i="5"/>
  <c r="X104" i="5"/>
  <c r="H104" i="5"/>
  <c r="AL104" i="5"/>
  <c r="V104" i="5"/>
  <c r="F104" i="5"/>
  <c r="AJ104" i="5"/>
  <c r="T104" i="5"/>
  <c r="D104" i="5"/>
  <c r="AH104" i="5"/>
  <c r="R104" i="5"/>
  <c r="B104" i="5"/>
  <c r="AF104" i="5"/>
  <c r="P104" i="5"/>
  <c r="AD104" i="5"/>
  <c r="N104" i="5"/>
  <c r="A106" i="5" a="1"/>
  <c r="A106" i="5" s="1"/>
  <c r="AB104" i="5"/>
  <c r="L104" i="5"/>
  <c r="BN14" i="12"/>
  <c r="BO9" i="12"/>
  <c r="BN15" i="12"/>
  <c r="BL14" i="12"/>
  <c r="BL15" i="12"/>
  <c r="BK14" i="12"/>
  <c r="BN12" i="12"/>
  <c r="BN11" i="12"/>
  <c r="BJ9" i="12"/>
  <c r="BJ15" i="12"/>
  <c r="BJ14" i="12"/>
  <c r="BK12" i="12"/>
  <c r="BK11" i="12"/>
  <c r="BK10" i="12"/>
  <c r="O191" i="9"/>
  <c r="O121" i="9"/>
  <c r="I54" i="2"/>
  <c r="L123" i="9"/>
  <c r="L53" i="9"/>
  <c r="L193" i="9"/>
  <c r="M52" i="9" a="1"/>
  <c r="M52" i="2" a="1"/>
  <c r="P53" i="2"/>
  <c r="J52" i="2" a="1"/>
  <c r="N52" i="2" a="1"/>
  <c r="U53" i="2"/>
  <c r="T53" i="2"/>
  <c r="Q53" i="2"/>
  <c r="K52" i="2" a="1"/>
  <c r="O52" i="2" a="1"/>
  <c r="R53" i="2"/>
  <c r="L52" i="2" a="1"/>
  <c r="S53" i="2"/>
  <c r="L52" i="2" l="1"/>
  <c r="K193" i="9"/>
  <c r="O52" i="2"/>
  <c r="K52" i="2"/>
  <c r="K123" i="9"/>
  <c r="N52" i="2"/>
  <c r="J52" i="2"/>
  <c r="K53" i="9"/>
  <c r="V53" i="2"/>
  <c r="O53" i="9" s="1"/>
  <c r="M52" i="2"/>
  <c r="M52" i="9"/>
  <c r="AF107" i="5"/>
  <c r="P107" i="5"/>
  <c r="AD107" i="5"/>
  <c r="N107" i="5"/>
  <c r="A109" i="5" a="1"/>
  <c r="A109" i="5" s="1"/>
  <c r="AB107" i="5"/>
  <c r="L107" i="5"/>
  <c r="Z107" i="5"/>
  <c r="J107" i="5"/>
  <c r="X107" i="5"/>
  <c r="H107" i="5"/>
  <c r="AL107" i="5"/>
  <c r="V107" i="5"/>
  <c r="F107" i="5"/>
  <c r="AJ107" i="5"/>
  <c r="T107" i="5"/>
  <c r="D107" i="5"/>
  <c r="AH107" i="5"/>
  <c r="R107" i="5"/>
  <c r="B107" i="5"/>
  <c r="BP17" i="12"/>
  <c r="BK17" i="12"/>
  <c r="BN18" i="12"/>
  <c r="BQ15" i="12"/>
  <c r="BU12" i="12"/>
  <c r="BU11" i="12"/>
  <c r="BR12" i="12"/>
  <c r="BR11" i="12"/>
  <c r="BR10" i="12"/>
  <c r="BU14" i="12"/>
  <c r="BV9" i="12"/>
  <c r="BS14" i="12"/>
  <c r="BU15" i="12"/>
  <c r="BS15" i="12"/>
  <c r="BR14" i="12"/>
  <c r="BQ14" i="12"/>
  <c r="BQ9" i="12"/>
  <c r="F50" i="9"/>
  <c r="G50" i="9" s="1"/>
  <c r="J50" i="9"/>
  <c r="N50" i="9"/>
  <c r="Q50" i="9" s="1"/>
  <c r="P50" i="9" s="1"/>
  <c r="BI33" i="10"/>
  <c r="I55" i="2"/>
  <c r="L194" i="9"/>
  <c r="L124" i="9"/>
  <c r="L54" i="9"/>
  <c r="AD106" i="5"/>
  <c r="N106" i="5"/>
  <c r="A108" i="5" a="1"/>
  <c r="A108" i="5" s="1"/>
  <c r="AB106" i="5"/>
  <c r="L106" i="5"/>
  <c r="Z106" i="5"/>
  <c r="J106" i="5"/>
  <c r="X106" i="5"/>
  <c r="H106" i="5"/>
  <c r="AL106" i="5"/>
  <c r="V106" i="5"/>
  <c r="F106" i="5"/>
  <c r="AJ106" i="5"/>
  <c r="T106" i="5"/>
  <c r="D106" i="5"/>
  <c r="AH106" i="5"/>
  <c r="R106" i="5"/>
  <c r="B106" i="5"/>
  <c r="AF106" i="5"/>
  <c r="P106" i="5"/>
  <c r="O192" i="9"/>
  <c r="O122" i="9"/>
  <c r="I52" i="9" a="1"/>
  <c r="I52" i="9" s="1"/>
  <c r="M53" i="2" a="1"/>
  <c r="N53" i="2" a="1"/>
  <c r="O53" i="2" a="1"/>
  <c r="P54" i="2"/>
  <c r="L53" i="2" a="1"/>
  <c r="D52" i="9" a="1"/>
  <c r="U54" i="2"/>
  <c r="M53" i="9" a="1"/>
  <c r="T54" i="2"/>
  <c r="J53" i="2" a="1"/>
  <c r="S54" i="2"/>
  <c r="Q54" i="2"/>
  <c r="K53" i="2" a="1"/>
  <c r="R54" i="2"/>
  <c r="K194" i="9" l="1"/>
  <c r="K53" i="2"/>
  <c r="K124" i="9"/>
  <c r="J53" i="2"/>
  <c r="M53" i="9"/>
  <c r="D52" i="9"/>
  <c r="L53" i="2"/>
  <c r="K54" i="9"/>
  <c r="V54" i="2"/>
  <c r="O54" i="9" s="1"/>
  <c r="O53" i="2"/>
  <c r="N53" i="2"/>
  <c r="M53" i="2"/>
  <c r="AJ109" i="5"/>
  <c r="T109" i="5"/>
  <c r="D109" i="5"/>
  <c r="AH109" i="5"/>
  <c r="R109" i="5"/>
  <c r="B109" i="5"/>
  <c r="AF109" i="5"/>
  <c r="P109" i="5"/>
  <c r="AD109" i="5"/>
  <c r="N109" i="5"/>
  <c r="AB109" i="5"/>
  <c r="L109" i="5"/>
  <c r="Z109" i="5"/>
  <c r="J109" i="5"/>
  <c r="X109" i="5"/>
  <c r="H109" i="5"/>
  <c r="A111" i="5" a="1"/>
  <c r="A111" i="5" s="1"/>
  <c r="AL109" i="5"/>
  <c r="V109" i="5"/>
  <c r="F109" i="5"/>
  <c r="O193" i="9"/>
  <c r="O123" i="9"/>
  <c r="I53" i="9" a="1"/>
  <c r="I53" i="9" s="1"/>
  <c r="L55" i="9"/>
  <c r="I56" i="2"/>
  <c r="L195" i="9"/>
  <c r="L125" i="9"/>
  <c r="BP33" i="10"/>
  <c r="A110" i="5" a="1"/>
  <c r="A110" i="5" s="1"/>
  <c r="AH108" i="5"/>
  <c r="R108" i="5"/>
  <c r="B108" i="5"/>
  <c r="AF108" i="5"/>
  <c r="P108" i="5"/>
  <c r="AD108" i="5"/>
  <c r="N108" i="5"/>
  <c r="AB108" i="5"/>
  <c r="L108" i="5"/>
  <c r="Z108" i="5"/>
  <c r="J108" i="5"/>
  <c r="X108" i="5"/>
  <c r="H108" i="5"/>
  <c r="AL108" i="5"/>
  <c r="V108" i="5"/>
  <c r="F108" i="5"/>
  <c r="AJ108" i="5"/>
  <c r="T108" i="5"/>
  <c r="D108" i="5"/>
  <c r="BN22" i="12"/>
  <c r="BO17" i="12"/>
  <c r="BN23" i="12"/>
  <c r="BL22" i="12"/>
  <c r="BJ17" i="12"/>
  <c r="BK18" i="12"/>
  <c r="BL23" i="12"/>
  <c r="BN20" i="12"/>
  <c r="BJ23" i="12"/>
  <c r="BK20" i="12"/>
  <c r="BK22" i="12"/>
  <c r="BN19" i="12"/>
  <c r="BJ22" i="12"/>
  <c r="BK19" i="12"/>
  <c r="BR17" i="12"/>
  <c r="BI25" i="12"/>
  <c r="BU18" i="12"/>
  <c r="S55" i="2"/>
  <c r="T55" i="2"/>
  <c r="L54" i="2" a="1"/>
  <c r="O54" i="2" a="1"/>
  <c r="Q55" i="2"/>
  <c r="D53" i="9" a="1"/>
  <c r="P55" i="2"/>
  <c r="K54" i="2" a="1"/>
  <c r="M54" i="9" a="1"/>
  <c r="M54" i="2" a="1"/>
  <c r="U55" i="2"/>
  <c r="J54" i="2" a="1"/>
  <c r="N54" i="2" a="1"/>
  <c r="R55" i="2"/>
  <c r="K195" i="9" l="1"/>
  <c r="N54" i="2"/>
  <c r="J54" i="2"/>
  <c r="M54" i="2"/>
  <c r="M54" i="9"/>
  <c r="K54" i="2"/>
  <c r="K55" i="9"/>
  <c r="V55" i="2"/>
  <c r="O55" i="9" s="1"/>
  <c r="D53" i="9"/>
  <c r="K125" i="9"/>
  <c r="O54" i="2"/>
  <c r="L54" i="2"/>
  <c r="BK25" i="12"/>
  <c r="BN26" i="12"/>
  <c r="BP25" i="12"/>
  <c r="BU22" i="12"/>
  <c r="BV17" i="12"/>
  <c r="BS22" i="12"/>
  <c r="BU23" i="12"/>
  <c r="BR22" i="12"/>
  <c r="BQ17" i="12"/>
  <c r="BS23" i="12"/>
  <c r="BQ22" i="12"/>
  <c r="BQ23" i="12"/>
  <c r="BU20" i="12"/>
  <c r="BU19" i="12"/>
  <c r="BR20" i="12"/>
  <c r="BR19" i="12"/>
  <c r="BR18" i="12"/>
  <c r="BI41" i="10"/>
  <c r="O194" i="9"/>
  <c r="O124" i="9"/>
  <c r="I54" i="9" a="1"/>
  <c r="I54" i="9" s="1"/>
  <c r="I57" i="2"/>
  <c r="L196" i="9"/>
  <c r="L56" i="9"/>
  <c r="L126" i="9"/>
  <c r="F52" i="9"/>
  <c r="G52" i="9" s="1"/>
  <c r="J52" i="9"/>
  <c r="N52" i="9"/>
  <c r="Q52" i="9" s="1"/>
  <c r="P52" i="9" s="1"/>
  <c r="AH111" i="5"/>
  <c r="R111" i="5"/>
  <c r="B111" i="5"/>
  <c r="AD111" i="5"/>
  <c r="AL111" i="5"/>
  <c r="P111" i="5"/>
  <c r="AJ111" i="5"/>
  <c r="N111" i="5"/>
  <c r="AF111" i="5"/>
  <c r="L111" i="5"/>
  <c r="AB111" i="5"/>
  <c r="J111" i="5"/>
  <c r="Z111" i="5"/>
  <c r="H111" i="5"/>
  <c r="X111" i="5"/>
  <c r="F111" i="5"/>
  <c r="V111" i="5"/>
  <c r="D111" i="5"/>
  <c r="A113" i="5" a="1"/>
  <c r="A113" i="5" s="1"/>
  <c r="T111" i="5"/>
  <c r="AF110" i="5"/>
  <c r="P110" i="5"/>
  <c r="A112" i="5" a="1"/>
  <c r="A112" i="5" s="1"/>
  <c r="Z110" i="5"/>
  <c r="H110" i="5"/>
  <c r="X110" i="5"/>
  <c r="F110" i="5"/>
  <c r="V110" i="5"/>
  <c r="D110" i="5"/>
  <c r="AL110" i="5"/>
  <c r="T110" i="5"/>
  <c r="B110" i="5"/>
  <c r="AJ110" i="5"/>
  <c r="R110" i="5"/>
  <c r="AH110" i="5"/>
  <c r="N110" i="5"/>
  <c r="AD110" i="5"/>
  <c r="L110" i="5"/>
  <c r="AB110" i="5"/>
  <c r="J110" i="5"/>
  <c r="M55" i="9" a="1"/>
  <c r="N55" i="2" a="1"/>
  <c r="T56" i="2"/>
  <c r="L55" i="2" a="1"/>
  <c r="M55" i="2" a="1"/>
  <c r="S56" i="2"/>
  <c r="J55" i="2" a="1"/>
  <c r="R56" i="2"/>
  <c r="D54" i="9" a="1"/>
  <c r="Q56" i="2"/>
  <c r="O55" i="2" a="1"/>
  <c r="P56" i="2"/>
  <c r="K55" i="2" a="1"/>
  <c r="U56" i="2"/>
  <c r="K55" i="2" l="1"/>
  <c r="K56" i="9"/>
  <c r="V56" i="2"/>
  <c r="O56" i="9" s="1"/>
  <c r="O55" i="2"/>
  <c r="K126" i="9"/>
  <c r="D54" i="9"/>
  <c r="K196" i="9"/>
  <c r="J55" i="2"/>
  <c r="M55" i="2"/>
  <c r="L55" i="2"/>
  <c r="N55" i="2"/>
  <c r="M55" i="9"/>
  <c r="Z113" i="5"/>
  <c r="J113" i="5"/>
  <c r="AL113" i="5"/>
  <c r="V113" i="5"/>
  <c r="F113" i="5"/>
  <c r="AH113" i="5"/>
  <c r="R113" i="5"/>
  <c r="B113" i="5"/>
  <c r="AD113" i="5"/>
  <c r="N113" i="5"/>
  <c r="A115" i="5" a="1"/>
  <c r="A115" i="5" s="1"/>
  <c r="AB113" i="5"/>
  <c r="X113" i="5"/>
  <c r="T113" i="5"/>
  <c r="P113" i="5"/>
  <c r="L113" i="5"/>
  <c r="H113" i="5"/>
  <c r="AJ113" i="5"/>
  <c r="D113" i="5"/>
  <c r="AF113" i="5"/>
  <c r="L57" i="9"/>
  <c r="I58" i="2"/>
  <c r="L197" i="9"/>
  <c r="L127" i="9"/>
  <c r="BP41" i="10"/>
  <c r="BI33" i="12"/>
  <c r="BU26" i="12"/>
  <c r="BR25" i="12"/>
  <c r="AJ112" i="5"/>
  <c r="T112" i="5"/>
  <c r="D112" i="5"/>
  <c r="AF112" i="5"/>
  <c r="P112" i="5"/>
  <c r="A114" i="5" a="1"/>
  <c r="A114" i="5" s="1"/>
  <c r="AB112" i="5"/>
  <c r="L112" i="5"/>
  <c r="N112" i="5"/>
  <c r="AL112" i="5"/>
  <c r="J112" i="5"/>
  <c r="AH112" i="5"/>
  <c r="H112" i="5"/>
  <c r="AD112" i="5"/>
  <c r="F112" i="5"/>
  <c r="Z112" i="5"/>
  <c r="B112" i="5"/>
  <c r="X112" i="5"/>
  <c r="V112" i="5"/>
  <c r="R112" i="5"/>
  <c r="F53" i="9"/>
  <c r="G53" i="9" s="1"/>
  <c r="J53" i="9"/>
  <c r="N53" i="9"/>
  <c r="Q53" i="9" s="1"/>
  <c r="P53" i="9" s="1"/>
  <c r="BN30" i="12"/>
  <c r="BO25" i="12"/>
  <c r="BN31" i="12"/>
  <c r="BL30" i="12"/>
  <c r="BL31" i="12"/>
  <c r="BK30" i="12"/>
  <c r="BN28" i="12"/>
  <c r="BN27" i="12"/>
  <c r="BJ25" i="12"/>
  <c r="BJ31" i="12"/>
  <c r="BJ30" i="12"/>
  <c r="BK28" i="12"/>
  <c r="BK27" i="12"/>
  <c r="BK26" i="12"/>
  <c r="O195" i="9"/>
  <c r="O125" i="9"/>
  <c r="I55" i="9" a="1"/>
  <c r="I55" i="9" s="1"/>
  <c r="O56" i="2" a="1"/>
  <c r="U57" i="2"/>
  <c r="M56" i="9" a="1"/>
  <c r="L56" i="2" a="1"/>
  <c r="T57" i="2"/>
  <c r="D55" i="9" a="1"/>
  <c r="S57" i="2"/>
  <c r="J56" i="2" a="1"/>
  <c r="M56" i="2" a="1"/>
  <c r="R57" i="2"/>
  <c r="Q57" i="2"/>
  <c r="K56" i="2" a="1"/>
  <c r="N56" i="2" a="1"/>
  <c r="P57" i="2"/>
  <c r="K57" i="9" l="1"/>
  <c r="V57" i="2"/>
  <c r="O57" i="9" s="1"/>
  <c r="N56" i="2"/>
  <c r="K56" i="2"/>
  <c r="K127" i="9"/>
  <c r="K197" i="9"/>
  <c r="M56" i="2"/>
  <c r="J56" i="2"/>
  <c r="D55" i="9"/>
  <c r="L56" i="2"/>
  <c r="M56" i="9"/>
  <c r="O56" i="2"/>
  <c r="BQ31" i="12"/>
  <c r="BU28" i="12"/>
  <c r="BU27" i="12"/>
  <c r="BR28" i="12"/>
  <c r="BR27" i="12"/>
  <c r="BR26" i="12"/>
  <c r="BU30" i="12"/>
  <c r="BV25" i="12"/>
  <c r="BS30" i="12"/>
  <c r="BR30" i="12"/>
  <c r="BQ30" i="12"/>
  <c r="BQ25" i="12"/>
  <c r="BU31" i="12"/>
  <c r="BS31" i="12"/>
  <c r="AD115" i="5"/>
  <c r="N115" i="5"/>
  <c r="Z115" i="5"/>
  <c r="J115" i="5"/>
  <c r="AL115" i="5"/>
  <c r="V115" i="5"/>
  <c r="F115" i="5"/>
  <c r="AH115" i="5"/>
  <c r="R115" i="5"/>
  <c r="B115" i="5"/>
  <c r="AF115" i="5"/>
  <c r="A117" i="5" a="1"/>
  <c r="A117" i="5" s="1"/>
  <c r="AB115" i="5"/>
  <c r="X115" i="5"/>
  <c r="T115" i="5"/>
  <c r="P115" i="5"/>
  <c r="L115" i="5"/>
  <c r="H115" i="5"/>
  <c r="AJ115" i="5"/>
  <c r="D115" i="5"/>
  <c r="O196" i="9"/>
  <c r="O126" i="9"/>
  <c r="I56" i="9" a="1"/>
  <c r="I56" i="9" s="1"/>
  <c r="A116" i="5" a="1"/>
  <c r="A116" i="5" s="1"/>
  <c r="AB114" i="5"/>
  <c r="L114" i="5"/>
  <c r="X114" i="5"/>
  <c r="H114" i="5"/>
  <c r="AJ114" i="5"/>
  <c r="T114" i="5"/>
  <c r="D114" i="5"/>
  <c r="AF114" i="5"/>
  <c r="P114" i="5"/>
  <c r="N114" i="5"/>
  <c r="J114" i="5"/>
  <c r="AL114" i="5"/>
  <c r="F114" i="5"/>
  <c r="AH114" i="5"/>
  <c r="B114" i="5"/>
  <c r="AD114" i="5"/>
  <c r="Z114" i="5"/>
  <c r="V114" i="5"/>
  <c r="R114" i="5"/>
  <c r="BP33" i="12"/>
  <c r="BK33" i="12"/>
  <c r="BN34" i="12"/>
  <c r="BX1" i="10"/>
  <c r="L58" i="9"/>
  <c r="I59" i="2"/>
  <c r="L128" i="9"/>
  <c r="L198" i="9"/>
  <c r="N54" i="9"/>
  <c r="Q54" i="9" s="1"/>
  <c r="P54" i="9" s="1"/>
  <c r="F54" i="9"/>
  <c r="G54" i="9" s="1"/>
  <c r="J54" i="9"/>
  <c r="M57" i="9" a="1"/>
  <c r="L57" i="2" a="1"/>
  <c r="O57" i="2" a="1"/>
  <c r="T58" i="2"/>
  <c r="S58" i="2"/>
  <c r="J57" i="2" a="1"/>
  <c r="D56" i="9" a="1"/>
  <c r="M57" i="2" a="1"/>
  <c r="R58" i="2"/>
  <c r="N57" i="2" a="1"/>
  <c r="Q58" i="2"/>
  <c r="K57" i="2" a="1"/>
  <c r="P58" i="2"/>
  <c r="U58" i="2"/>
  <c r="K58" i="9" l="1"/>
  <c r="V58" i="2"/>
  <c r="O58" i="9" s="1"/>
  <c r="K57" i="2"/>
  <c r="K128" i="9"/>
  <c r="N57" i="2"/>
  <c r="K198" i="9"/>
  <c r="M57" i="2"/>
  <c r="D56" i="9"/>
  <c r="J57" i="2"/>
  <c r="O57" i="2"/>
  <c r="L57" i="2"/>
  <c r="M57" i="9"/>
  <c r="L59" i="9"/>
  <c r="I60" i="2"/>
  <c r="L199" i="9"/>
  <c r="L129" i="9"/>
  <c r="BN38" i="12"/>
  <c r="BO33" i="12"/>
  <c r="BN39" i="12"/>
  <c r="BL38" i="12"/>
  <c r="BL39" i="12"/>
  <c r="BK38" i="12"/>
  <c r="BN36" i="12"/>
  <c r="BN35" i="12"/>
  <c r="BJ33" i="12"/>
  <c r="BJ39" i="12"/>
  <c r="BJ38" i="12"/>
  <c r="BK36" i="12"/>
  <c r="BK35" i="12"/>
  <c r="BK34" i="12"/>
  <c r="BR33" i="12"/>
  <c r="BI41" i="12"/>
  <c r="BU34" i="12"/>
  <c r="AH117" i="5"/>
  <c r="R117" i="5"/>
  <c r="B117" i="5"/>
  <c r="AD117" i="5"/>
  <c r="N117" i="5"/>
  <c r="Z117" i="5"/>
  <c r="J117" i="5"/>
  <c r="AL117" i="5"/>
  <c r="V117" i="5"/>
  <c r="F117" i="5"/>
  <c r="AJ117" i="5"/>
  <c r="D117" i="5"/>
  <c r="AF117" i="5"/>
  <c r="A119" i="5" a="1"/>
  <c r="A119" i="5" s="1"/>
  <c r="AB117" i="5"/>
  <c r="X117" i="5"/>
  <c r="T117" i="5"/>
  <c r="P117" i="5"/>
  <c r="L117" i="5"/>
  <c r="H117" i="5"/>
  <c r="J55" i="9"/>
  <c r="F55" i="9"/>
  <c r="G55" i="9" s="1"/>
  <c r="N55" i="9"/>
  <c r="Q55" i="9" s="1"/>
  <c r="P55" i="9" s="1"/>
  <c r="O197" i="9"/>
  <c r="O127" i="9"/>
  <c r="I57" i="9" a="1"/>
  <c r="I57" i="9" s="1"/>
  <c r="CE1" i="10"/>
  <c r="AF116" i="5"/>
  <c r="P116" i="5"/>
  <c r="A118" i="5" a="1"/>
  <c r="A118" i="5" s="1"/>
  <c r="AB116" i="5"/>
  <c r="L116" i="5"/>
  <c r="X116" i="5"/>
  <c r="H116" i="5"/>
  <c r="AJ116" i="5"/>
  <c r="T116" i="5"/>
  <c r="D116" i="5"/>
  <c r="R116" i="5"/>
  <c r="N116" i="5"/>
  <c r="J116" i="5"/>
  <c r="AL116" i="5"/>
  <c r="F116" i="5"/>
  <c r="AH116" i="5"/>
  <c r="B116" i="5"/>
  <c r="AD116" i="5"/>
  <c r="Z116" i="5"/>
  <c r="V116" i="5"/>
  <c r="O58" i="2" a="1"/>
  <c r="U59" i="2"/>
  <c r="M58" i="9" a="1"/>
  <c r="L58" i="2" a="1"/>
  <c r="T59" i="2"/>
  <c r="R59" i="2"/>
  <c r="J58" i="2" a="1"/>
  <c r="S59" i="2"/>
  <c r="D57" i="9" a="1"/>
  <c r="Q59" i="2"/>
  <c r="M58" i="2" a="1"/>
  <c r="K58" i="2" a="1"/>
  <c r="N58" i="2" a="1"/>
  <c r="P59" i="2"/>
  <c r="K59" i="9" l="1"/>
  <c r="V59" i="2"/>
  <c r="O59" i="9" s="1"/>
  <c r="N58" i="2"/>
  <c r="K58" i="2"/>
  <c r="M58" i="2"/>
  <c r="K129" i="9"/>
  <c r="D57" i="9"/>
  <c r="J58" i="2"/>
  <c r="K199" i="9"/>
  <c r="L58" i="2"/>
  <c r="M58" i="9"/>
  <c r="O58" i="2"/>
  <c r="I61" i="2"/>
  <c r="L130" i="9"/>
  <c r="L60" i="9"/>
  <c r="L200" i="9"/>
  <c r="BX9" i="10"/>
  <c r="AL119" i="5"/>
  <c r="V119" i="5"/>
  <c r="F119" i="5"/>
  <c r="AH119" i="5"/>
  <c r="R119" i="5"/>
  <c r="B119" i="5"/>
  <c r="AD119" i="5"/>
  <c r="N119" i="5"/>
  <c r="Z119" i="5"/>
  <c r="J119" i="5"/>
  <c r="H119" i="5"/>
  <c r="AJ119" i="5"/>
  <c r="D119" i="5"/>
  <c r="AF119" i="5"/>
  <c r="A121" i="5" a="1"/>
  <c r="A121" i="5" s="1"/>
  <c r="AB119" i="5"/>
  <c r="X119" i="5"/>
  <c r="T119" i="5"/>
  <c r="P119" i="5"/>
  <c r="L119" i="5"/>
  <c r="BK41" i="12"/>
  <c r="BN42" i="12"/>
  <c r="BP41" i="12"/>
  <c r="F56" i="9"/>
  <c r="G56" i="9" s="1"/>
  <c r="J56" i="9"/>
  <c r="N56" i="9"/>
  <c r="Q56" i="9" s="1"/>
  <c r="P56" i="9" s="1"/>
  <c r="BU38" i="12"/>
  <c r="BV33" i="12"/>
  <c r="BS38" i="12"/>
  <c r="BU39" i="12"/>
  <c r="BR38" i="12"/>
  <c r="BQ33" i="12"/>
  <c r="BS39" i="12"/>
  <c r="BQ38" i="12"/>
  <c r="BQ39" i="12"/>
  <c r="BU36" i="12"/>
  <c r="BU35" i="12"/>
  <c r="BR36" i="12"/>
  <c r="BR35" i="12"/>
  <c r="BR34" i="12"/>
  <c r="O198" i="9"/>
  <c r="O128" i="9"/>
  <c r="I58" i="9" a="1"/>
  <c r="I58" i="9" s="1"/>
  <c r="AJ118" i="5"/>
  <c r="T118" i="5"/>
  <c r="D118" i="5"/>
  <c r="AF118" i="5"/>
  <c r="P118" i="5"/>
  <c r="A120" i="5" a="1"/>
  <c r="A120" i="5" s="1"/>
  <c r="AB118" i="5"/>
  <c r="L118" i="5"/>
  <c r="X118" i="5"/>
  <c r="H118" i="5"/>
  <c r="V118" i="5"/>
  <c r="R118" i="5"/>
  <c r="N118" i="5"/>
  <c r="J118" i="5"/>
  <c r="AL118" i="5"/>
  <c r="F118" i="5"/>
  <c r="AH118" i="5"/>
  <c r="B118" i="5"/>
  <c r="AD118" i="5"/>
  <c r="Z118" i="5"/>
  <c r="M59" i="9" a="1"/>
  <c r="O59" i="2" a="1"/>
  <c r="T60" i="2"/>
  <c r="M59" i="2" a="1"/>
  <c r="S60" i="2"/>
  <c r="J59" i="2" a="1"/>
  <c r="D58" i="9" a="1"/>
  <c r="R60" i="2"/>
  <c r="Q60" i="2"/>
  <c r="L59" i="2" a="1"/>
  <c r="P60" i="2"/>
  <c r="N59" i="2" a="1"/>
  <c r="U60" i="2"/>
  <c r="K59" i="2" a="1"/>
  <c r="K59" i="2" l="1"/>
  <c r="N59" i="2"/>
  <c r="K60" i="9"/>
  <c r="V60" i="2"/>
  <c r="O60" i="9" s="1"/>
  <c r="L59" i="2"/>
  <c r="K130" i="9"/>
  <c r="K200" i="9"/>
  <c r="D58" i="9"/>
  <c r="J59" i="2"/>
  <c r="M59" i="2"/>
  <c r="O59" i="2"/>
  <c r="M59" i="9"/>
  <c r="BU42" i="12"/>
  <c r="BR41" i="12"/>
  <c r="BX1" i="12"/>
  <c r="CE9" i="10"/>
  <c r="BN46" i="12"/>
  <c r="BO41" i="12"/>
  <c r="BN47" i="12"/>
  <c r="BL46" i="12"/>
  <c r="BL47" i="12"/>
  <c r="BK46" i="12"/>
  <c r="BN44" i="12"/>
  <c r="BN43" i="12"/>
  <c r="BJ41" i="12"/>
  <c r="BJ47" i="12"/>
  <c r="BJ46" i="12"/>
  <c r="BK44" i="12"/>
  <c r="BK43" i="12"/>
  <c r="BK42" i="12"/>
  <c r="I62" i="2"/>
  <c r="X120" i="5"/>
  <c r="H120" i="5"/>
  <c r="AJ120" i="5"/>
  <c r="T120" i="5"/>
  <c r="D120" i="5"/>
  <c r="AF120" i="5"/>
  <c r="P120" i="5"/>
  <c r="A122" i="5" a="1"/>
  <c r="A122" i="5" s="1"/>
  <c r="AB120" i="5"/>
  <c r="L120" i="5"/>
  <c r="Z120" i="5"/>
  <c r="V120" i="5"/>
  <c r="R120" i="5"/>
  <c r="N120" i="5"/>
  <c r="J120" i="5"/>
  <c r="AL120" i="5"/>
  <c r="F120" i="5"/>
  <c r="AH120" i="5"/>
  <c r="B120" i="5"/>
  <c r="AD120" i="5"/>
  <c r="Z121" i="5"/>
  <c r="J121" i="5"/>
  <c r="AL121" i="5"/>
  <c r="V121" i="5"/>
  <c r="F121" i="5"/>
  <c r="AH121" i="5"/>
  <c r="R121" i="5"/>
  <c r="B121" i="5"/>
  <c r="AD121" i="5"/>
  <c r="N121" i="5"/>
  <c r="L121" i="5"/>
  <c r="H121" i="5"/>
  <c r="AJ121" i="5"/>
  <c r="D121" i="5"/>
  <c r="AF121" i="5"/>
  <c r="A123" i="5" a="1"/>
  <c r="A123" i="5" s="1"/>
  <c r="AB121" i="5"/>
  <c r="X121" i="5"/>
  <c r="T121" i="5"/>
  <c r="P121" i="5"/>
  <c r="O199" i="9"/>
  <c r="O129" i="9"/>
  <c r="I59" i="9" a="1"/>
  <c r="I59" i="9" s="1"/>
  <c r="J57" i="9"/>
  <c r="F57" i="9"/>
  <c r="G57" i="9" s="1"/>
  <c r="N57" i="9"/>
  <c r="Q57" i="9" s="1"/>
  <c r="P57" i="9" s="1"/>
  <c r="K60" i="2" a="1"/>
  <c r="P61" i="2"/>
  <c r="O60" i="2" a="1"/>
  <c r="L60" i="2" a="1"/>
  <c r="U61" i="2"/>
  <c r="M60" i="9" a="1"/>
  <c r="T61" i="2"/>
  <c r="D59" i="9" a="1"/>
  <c r="R61" i="2"/>
  <c r="J60" i="2" a="1"/>
  <c r="M60" i="2" a="1"/>
  <c r="S61" i="2"/>
  <c r="Q61" i="2"/>
  <c r="N60" i="2" a="1"/>
  <c r="N60" i="2" l="1"/>
  <c r="K131" i="9"/>
  <c r="M60" i="2"/>
  <c r="J60" i="2"/>
  <c r="K201" i="9"/>
  <c r="D59" i="9"/>
  <c r="M60" i="9"/>
  <c r="L60" i="2"/>
  <c r="O60" i="2"/>
  <c r="K61" i="9"/>
  <c r="V61" i="2"/>
  <c r="O61" i="9" s="1"/>
  <c r="K60" i="2"/>
  <c r="BQ47" i="12"/>
  <c r="BU44" i="12"/>
  <c r="BU43" i="12"/>
  <c r="BR44" i="12"/>
  <c r="BR43" i="12"/>
  <c r="BR42" i="12"/>
  <c r="BU46" i="12"/>
  <c r="BV41" i="12"/>
  <c r="BS46" i="12"/>
  <c r="BU47" i="12"/>
  <c r="BR46" i="12"/>
  <c r="BQ41" i="12"/>
  <c r="BS47" i="12"/>
  <c r="BQ46" i="12"/>
  <c r="AD123" i="5"/>
  <c r="N123" i="5"/>
  <c r="Z123" i="5"/>
  <c r="J123" i="5"/>
  <c r="AL123" i="5"/>
  <c r="V123" i="5"/>
  <c r="F123" i="5"/>
  <c r="AH123" i="5"/>
  <c r="R123" i="5"/>
  <c r="B123" i="5"/>
  <c r="P123" i="5"/>
  <c r="L123" i="5"/>
  <c r="H123" i="5"/>
  <c r="AJ123" i="5"/>
  <c r="D123" i="5"/>
  <c r="AF123" i="5"/>
  <c r="A125" i="5" a="1"/>
  <c r="A125" i="5" s="1"/>
  <c r="AB123" i="5"/>
  <c r="X123" i="5"/>
  <c r="T123" i="5"/>
  <c r="A124" i="5" a="1"/>
  <c r="A124" i="5" s="1"/>
  <c r="AB122" i="5"/>
  <c r="L122" i="5"/>
  <c r="X122" i="5"/>
  <c r="H122" i="5"/>
  <c r="AJ122" i="5"/>
  <c r="T122" i="5"/>
  <c r="D122" i="5"/>
  <c r="AF122" i="5"/>
  <c r="P122" i="5"/>
  <c r="AD122" i="5"/>
  <c r="Z122" i="5"/>
  <c r="V122" i="5"/>
  <c r="R122" i="5"/>
  <c r="N122" i="5"/>
  <c r="J122" i="5"/>
  <c r="AL122" i="5"/>
  <c r="F122" i="5"/>
  <c r="AH122" i="5"/>
  <c r="B122" i="5"/>
  <c r="O200" i="9"/>
  <c r="O130" i="9"/>
  <c r="I60" i="9" a="1"/>
  <c r="I60" i="9" s="1"/>
  <c r="F58" i="9"/>
  <c r="G58" i="9" s="1"/>
  <c r="J58" i="9"/>
  <c r="N58" i="9"/>
  <c r="Q58" i="9" s="1"/>
  <c r="P58" i="9" s="1"/>
  <c r="I63" i="2"/>
  <c r="BX17" i="10"/>
  <c r="CC2" i="12"/>
  <c r="CE1" i="12"/>
  <c r="BZ1" i="12"/>
  <c r="J61" i="2" a="1"/>
  <c r="U62" i="2"/>
  <c r="N61" i="2" a="1"/>
  <c r="K61" i="2" a="1"/>
  <c r="T62" i="2"/>
  <c r="M61" i="2" a="1"/>
  <c r="O61" i="2" a="1"/>
  <c r="S62" i="2"/>
  <c r="R62" i="2"/>
  <c r="D60" i="9" a="1"/>
  <c r="Q62" i="2"/>
  <c r="P62" i="2"/>
  <c r="L61" i="2" a="1"/>
  <c r="L61" i="2" l="1"/>
  <c r="K62" i="9"/>
  <c r="V62" i="2"/>
  <c r="O62" i="9" s="1"/>
  <c r="K132" i="9"/>
  <c r="D60" i="9"/>
  <c r="K202" i="9"/>
  <c r="O61" i="2"/>
  <c r="M61" i="2"/>
  <c r="K61" i="2"/>
  <c r="N61" i="2"/>
  <c r="J61" i="2"/>
  <c r="I64" i="2"/>
  <c r="AF124" i="5"/>
  <c r="P124" i="5"/>
  <c r="A126" i="5" a="1"/>
  <c r="A126" i="5" s="1"/>
  <c r="AB124" i="5"/>
  <c r="L124" i="5"/>
  <c r="X124" i="5"/>
  <c r="H124" i="5"/>
  <c r="AJ124" i="5"/>
  <c r="T124" i="5"/>
  <c r="D124" i="5"/>
  <c r="AH124" i="5"/>
  <c r="B124" i="5"/>
  <c r="AD124" i="5"/>
  <c r="Z124" i="5"/>
  <c r="V124" i="5"/>
  <c r="R124" i="5"/>
  <c r="N124" i="5"/>
  <c r="J124" i="5"/>
  <c r="AL124" i="5"/>
  <c r="F124" i="5"/>
  <c r="O201" i="9"/>
  <c r="O131" i="9"/>
  <c r="AH125" i="5"/>
  <c r="R125" i="5"/>
  <c r="B125" i="5"/>
  <c r="AD125" i="5"/>
  <c r="N125" i="5"/>
  <c r="Z125" i="5"/>
  <c r="J125" i="5"/>
  <c r="AL125" i="5"/>
  <c r="V125" i="5"/>
  <c r="F125" i="5"/>
  <c r="T125" i="5"/>
  <c r="P125" i="5"/>
  <c r="L125" i="5"/>
  <c r="H125" i="5"/>
  <c r="AJ125" i="5"/>
  <c r="D125" i="5"/>
  <c r="AF125" i="5"/>
  <c r="A127" i="5" a="1"/>
  <c r="A127" i="5" s="1"/>
  <c r="AB125" i="5"/>
  <c r="X125" i="5"/>
  <c r="CE17" i="10"/>
  <c r="CJ2" i="12"/>
  <c r="CG1" i="12"/>
  <c r="BX9" i="12"/>
  <c r="CA7" i="12"/>
  <c r="BY7" i="12"/>
  <c r="CC4" i="12"/>
  <c r="CC3" i="12"/>
  <c r="BZ4" i="12"/>
  <c r="BZ3" i="12"/>
  <c r="BZ2" i="12"/>
  <c r="CC6" i="12"/>
  <c r="CD1" i="12"/>
  <c r="CA6" i="12"/>
  <c r="BY1" i="12"/>
  <c r="CC7" i="12"/>
  <c r="BZ6" i="12"/>
  <c r="BY6" i="12"/>
  <c r="F59" i="9"/>
  <c r="G59" i="9" s="1"/>
  <c r="J59" i="9"/>
  <c r="N59" i="9"/>
  <c r="Q59" i="9" s="1"/>
  <c r="P59" i="9" s="1"/>
  <c r="L62" i="2" a="1"/>
  <c r="Q63" i="2"/>
  <c r="M62" i="2" a="1"/>
  <c r="P63" i="2"/>
  <c r="J62" i="2" a="1"/>
  <c r="N62" i="2" a="1"/>
  <c r="U63" i="2"/>
  <c r="O62" i="2" a="1"/>
  <c r="S63" i="2"/>
  <c r="K62" i="2" a="1"/>
  <c r="T63" i="2"/>
  <c r="R63" i="2"/>
  <c r="K203" i="9" l="1"/>
  <c r="K62" i="2"/>
  <c r="O62" i="2"/>
  <c r="N62" i="2"/>
  <c r="J62" i="2"/>
  <c r="K63" i="9"/>
  <c r="V63" i="2"/>
  <c r="O63" i="9" s="1"/>
  <c r="M62" i="2"/>
  <c r="K133" i="9"/>
  <c r="L62" i="2"/>
  <c r="F60" i="9"/>
  <c r="G60" i="9" s="1"/>
  <c r="J60" i="9"/>
  <c r="N60" i="9"/>
  <c r="Q60" i="9" s="1"/>
  <c r="P60" i="9" s="1"/>
  <c r="AL127" i="5"/>
  <c r="V127" i="5"/>
  <c r="F127" i="5"/>
  <c r="AH127" i="5"/>
  <c r="R127" i="5"/>
  <c r="B127" i="5"/>
  <c r="AD127" i="5"/>
  <c r="N127" i="5"/>
  <c r="Z127" i="5"/>
  <c r="J127" i="5"/>
  <c r="X127" i="5"/>
  <c r="T127" i="5"/>
  <c r="P127" i="5"/>
  <c r="L127" i="5"/>
  <c r="H127" i="5"/>
  <c r="AJ127" i="5"/>
  <c r="D127" i="5"/>
  <c r="AF127" i="5"/>
  <c r="A129" i="5" a="1"/>
  <c r="A129" i="5" s="1"/>
  <c r="AB127" i="5"/>
  <c r="BZ9" i="12"/>
  <c r="CE9" i="12"/>
  <c r="CC10" i="12"/>
  <c r="BX25" i="10"/>
  <c r="I65" i="2"/>
  <c r="CJ6" i="12"/>
  <c r="CJ4" i="12"/>
  <c r="CJ3" i="12"/>
  <c r="CK1" i="12"/>
  <c r="CH6" i="12"/>
  <c r="CG4" i="12"/>
  <c r="CG3" i="12"/>
  <c r="CG2" i="12"/>
  <c r="CG6" i="12"/>
  <c r="CF1" i="12"/>
  <c r="CF6" i="12"/>
  <c r="CJ7" i="12"/>
  <c r="CH7" i="12"/>
  <c r="CF7" i="12"/>
  <c r="O202" i="9"/>
  <c r="O132" i="9"/>
  <c r="AJ126" i="5"/>
  <c r="T126" i="5"/>
  <c r="D126" i="5"/>
  <c r="AF126" i="5"/>
  <c r="P126" i="5"/>
  <c r="A128" i="5" a="1"/>
  <c r="A128" i="5" s="1"/>
  <c r="AB126" i="5"/>
  <c r="L126" i="5"/>
  <c r="X126" i="5"/>
  <c r="H126" i="5"/>
  <c r="AL126" i="5"/>
  <c r="F126" i="5"/>
  <c r="AH126" i="5"/>
  <c r="B126" i="5"/>
  <c r="AD126" i="5"/>
  <c r="Z126" i="5"/>
  <c r="V126" i="5"/>
  <c r="R126" i="5"/>
  <c r="N126" i="5"/>
  <c r="J126" i="5"/>
  <c r="L63" i="2" a="1"/>
  <c r="T64" i="2"/>
  <c r="N63" i="2" a="1"/>
  <c r="S64" i="2"/>
  <c r="J63" i="2" a="1"/>
  <c r="R64" i="2"/>
  <c r="M63" i="2" a="1"/>
  <c r="Q64" i="2"/>
  <c r="P64" i="2"/>
  <c r="O63" i="2" a="1"/>
  <c r="K63" i="2" a="1"/>
  <c r="U64" i="2"/>
  <c r="K63" i="2" l="1"/>
  <c r="O63" i="2"/>
  <c r="K64" i="9"/>
  <c r="V64" i="2"/>
  <c r="O64" i="9" s="1"/>
  <c r="K134" i="9"/>
  <c r="M63" i="2"/>
  <c r="K204" i="9"/>
  <c r="J63" i="2"/>
  <c r="N63" i="2"/>
  <c r="L63" i="2"/>
  <c r="I66" i="2"/>
  <c r="Z129" i="5"/>
  <c r="J129" i="5"/>
  <c r="AL129" i="5"/>
  <c r="V129" i="5"/>
  <c r="F129" i="5"/>
  <c r="AH129" i="5"/>
  <c r="R129" i="5"/>
  <c r="B129" i="5"/>
  <c r="AD129" i="5"/>
  <c r="N129" i="5"/>
  <c r="A131" i="5" a="1"/>
  <c r="A131" i="5" s="1"/>
  <c r="AB129" i="5"/>
  <c r="X129" i="5"/>
  <c r="T129" i="5"/>
  <c r="P129" i="5"/>
  <c r="L129" i="5"/>
  <c r="H129" i="5"/>
  <c r="AJ129" i="5"/>
  <c r="D129" i="5"/>
  <c r="AF129" i="5"/>
  <c r="CJ10" i="12"/>
  <c r="CG9" i="12"/>
  <c r="BX17" i="12"/>
  <c r="X128" i="5"/>
  <c r="H128" i="5"/>
  <c r="AJ128" i="5"/>
  <c r="T128" i="5"/>
  <c r="D128" i="5"/>
  <c r="AF128" i="5"/>
  <c r="P128" i="5"/>
  <c r="A130" i="5" a="1"/>
  <c r="A130" i="5" s="1"/>
  <c r="AB128" i="5"/>
  <c r="L128" i="5"/>
  <c r="J128" i="5"/>
  <c r="AL128" i="5"/>
  <c r="F128" i="5"/>
  <c r="AH128" i="5"/>
  <c r="B128" i="5"/>
  <c r="AD128" i="5"/>
  <c r="Z128" i="5"/>
  <c r="V128" i="5"/>
  <c r="R128" i="5"/>
  <c r="N128" i="5"/>
  <c r="CC14" i="12"/>
  <c r="CD9" i="12"/>
  <c r="CA14" i="12"/>
  <c r="BZ14" i="12"/>
  <c r="BY9" i="12"/>
  <c r="CC15" i="12"/>
  <c r="BY14" i="12"/>
  <c r="CA15" i="12"/>
  <c r="BY15" i="12"/>
  <c r="CC12" i="12"/>
  <c r="BZ12" i="12"/>
  <c r="CC11" i="12"/>
  <c r="BZ11" i="12"/>
  <c r="BZ10" i="12"/>
  <c r="CE25" i="10"/>
  <c r="O203" i="9"/>
  <c r="O133" i="9"/>
  <c r="O64" i="2" a="1"/>
  <c r="R65" i="2"/>
  <c r="T65" i="2"/>
  <c r="L64" i="2" a="1"/>
  <c r="S65" i="2"/>
  <c r="Q65" i="2"/>
  <c r="M64" i="2" a="1"/>
  <c r="J64" i="2" a="1"/>
  <c r="P65" i="2"/>
  <c r="N64" i="2" a="1"/>
  <c r="K64" i="2" a="1"/>
  <c r="U65" i="2"/>
  <c r="K64" i="2" l="1"/>
  <c r="N64" i="2"/>
  <c r="K65" i="9"/>
  <c r="V65" i="2"/>
  <c r="O65" i="9" s="1"/>
  <c r="J64" i="2"/>
  <c r="M64" i="2"/>
  <c r="K135" i="9"/>
  <c r="L64" i="2"/>
  <c r="K205" i="9"/>
  <c r="O64" i="2"/>
  <c r="BX33" i="10"/>
  <c r="AD131" i="5"/>
  <c r="N131" i="5"/>
  <c r="Z131" i="5"/>
  <c r="J131" i="5"/>
  <c r="AL131" i="5"/>
  <c r="V131" i="5"/>
  <c r="F131" i="5"/>
  <c r="AH131" i="5"/>
  <c r="R131" i="5"/>
  <c r="B131" i="5"/>
  <c r="AF131" i="5"/>
  <c r="A133" i="5" a="1"/>
  <c r="A133" i="5" s="1"/>
  <c r="AB131" i="5"/>
  <c r="X131" i="5"/>
  <c r="T131" i="5"/>
  <c r="P131" i="5"/>
  <c r="L131" i="5"/>
  <c r="H131" i="5"/>
  <c r="AJ131" i="5"/>
  <c r="D131" i="5"/>
  <c r="I67" i="2"/>
  <c r="O204" i="9"/>
  <c r="O134" i="9"/>
  <c r="A132" i="5" a="1"/>
  <c r="A132" i="5" s="1"/>
  <c r="AB130" i="5"/>
  <c r="L130" i="5"/>
  <c r="X130" i="5"/>
  <c r="H130" i="5"/>
  <c r="AJ130" i="5"/>
  <c r="T130" i="5"/>
  <c r="D130" i="5"/>
  <c r="AF130" i="5"/>
  <c r="P130" i="5"/>
  <c r="N130" i="5"/>
  <c r="J130" i="5"/>
  <c r="AL130" i="5"/>
  <c r="F130" i="5"/>
  <c r="AH130" i="5"/>
  <c r="B130" i="5"/>
  <c r="AD130" i="5"/>
  <c r="Z130" i="5"/>
  <c r="V130" i="5"/>
  <c r="R130" i="5"/>
  <c r="CC18" i="12"/>
  <c r="CE17" i="12"/>
  <c r="BZ17" i="12"/>
  <c r="CJ15" i="12"/>
  <c r="CH15" i="12"/>
  <c r="CF15" i="12"/>
  <c r="CJ14" i="12"/>
  <c r="CJ12" i="12"/>
  <c r="CJ11" i="12"/>
  <c r="CK9" i="12"/>
  <c r="CH14" i="12"/>
  <c r="CG12" i="12"/>
  <c r="CG11" i="12"/>
  <c r="CG10" i="12"/>
  <c r="CG14" i="12"/>
  <c r="CF14" i="12"/>
  <c r="CF9" i="12"/>
  <c r="O65" i="2" a="1"/>
  <c r="R66" i="2"/>
  <c r="K65" i="2" a="1"/>
  <c r="Q66" i="2"/>
  <c r="M65" i="2" a="1"/>
  <c r="P66" i="2"/>
  <c r="N65" i="2" a="1"/>
  <c r="J65" i="2" a="1"/>
  <c r="S66" i="2"/>
  <c r="U66" i="2"/>
  <c r="L65" i="2" a="1"/>
  <c r="T66" i="2"/>
  <c r="L65" i="2" l="1"/>
  <c r="J65" i="2"/>
  <c r="N65" i="2"/>
  <c r="K66" i="9"/>
  <c r="V66" i="2"/>
  <c r="O66" i="9" s="1"/>
  <c r="M65" i="2"/>
  <c r="K136" i="9"/>
  <c r="K65" i="2"/>
  <c r="K206" i="9"/>
  <c r="O65" i="2"/>
  <c r="AF132" i="5"/>
  <c r="P132" i="5"/>
  <c r="A134" i="5" a="1"/>
  <c r="A134" i="5" s="1"/>
  <c r="AB132" i="5"/>
  <c r="L132" i="5"/>
  <c r="X132" i="5"/>
  <c r="H132" i="5"/>
  <c r="AJ132" i="5"/>
  <c r="T132" i="5"/>
  <c r="D132" i="5"/>
  <c r="R132" i="5"/>
  <c r="N132" i="5"/>
  <c r="J132" i="5"/>
  <c r="AL132" i="5"/>
  <c r="F132" i="5"/>
  <c r="AH132" i="5"/>
  <c r="B132" i="5"/>
  <c r="AD132" i="5"/>
  <c r="Z132" i="5"/>
  <c r="V132" i="5"/>
  <c r="CA23" i="12"/>
  <c r="BY23" i="12"/>
  <c r="CC20" i="12"/>
  <c r="CC19" i="12"/>
  <c r="BZ20" i="12"/>
  <c r="BZ19" i="12"/>
  <c r="BZ18" i="12"/>
  <c r="CC22" i="12"/>
  <c r="CD17" i="12"/>
  <c r="CA22" i="12"/>
  <c r="CC23" i="12"/>
  <c r="BZ22" i="12"/>
  <c r="BY22" i="12"/>
  <c r="BY17" i="12"/>
  <c r="AH133" i="5"/>
  <c r="R133" i="5"/>
  <c r="B133" i="5"/>
  <c r="AD133" i="5"/>
  <c r="N133" i="5"/>
  <c r="Z133" i="5"/>
  <c r="J133" i="5"/>
  <c r="AL133" i="5"/>
  <c r="V133" i="5"/>
  <c r="F133" i="5"/>
  <c r="AJ133" i="5"/>
  <c r="D133" i="5"/>
  <c r="AF133" i="5"/>
  <c r="A135" i="5" a="1"/>
  <c r="A135" i="5" s="1"/>
  <c r="AB133" i="5"/>
  <c r="X133" i="5"/>
  <c r="T133" i="5"/>
  <c r="P133" i="5"/>
  <c r="L133" i="5"/>
  <c r="H133" i="5"/>
  <c r="CJ18" i="12"/>
  <c r="CG17" i="12"/>
  <c r="BX25" i="12"/>
  <c r="O205" i="9"/>
  <c r="O135" i="9"/>
  <c r="I68" i="2"/>
  <c r="CE33" i="10"/>
  <c r="N66" i="2" a="1"/>
  <c r="J66" i="2" a="1"/>
  <c r="Q67" i="2"/>
  <c r="T67" i="2"/>
  <c r="S67" i="2"/>
  <c r="O66" i="2" a="1"/>
  <c r="P67" i="2"/>
  <c r="M66" i="2" a="1"/>
  <c r="K66" i="2" a="1"/>
  <c r="R67" i="2"/>
  <c r="U67" i="2"/>
  <c r="L66" i="2" a="1"/>
  <c r="L66" i="2" l="1"/>
  <c r="K207" i="9"/>
  <c r="K66" i="2"/>
  <c r="M66" i="2"/>
  <c r="K67" i="9"/>
  <c r="V67" i="2"/>
  <c r="O67" i="9" s="1"/>
  <c r="O66" i="2"/>
  <c r="K137" i="9"/>
  <c r="J66" i="2"/>
  <c r="N66" i="2"/>
  <c r="AL135" i="5"/>
  <c r="V135" i="5"/>
  <c r="F135" i="5"/>
  <c r="AH135" i="5"/>
  <c r="R135" i="5"/>
  <c r="B135" i="5"/>
  <c r="AD135" i="5"/>
  <c r="N135" i="5"/>
  <c r="Z135" i="5"/>
  <c r="J135" i="5"/>
  <c r="H135" i="5"/>
  <c r="AJ135" i="5"/>
  <c r="D135" i="5"/>
  <c r="AF135" i="5"/>
  <c r="A137" i="5" a="1"/>
  <c r="A137" i="5" s="1"/>
  <c r="AB135" i="5"/>
  <c r="X135" i="5"/>
  <c r="T135" i="5"/>
  <c r="P135" i="5"/>
  <c r="L135" i="5"/>
  <c r="O206" i="9"/>
  <c r="O136" i="9"/>
  <c r="I69" i="2"/>
  <c r="BX41" i="10"/>
  <c r="CJ22" i="12"/>
  <c r="CJ20" i="12"/>
  <c r="CJ19" i="12"/>
  <c r="CK17" i="12"/>
  <c r="CH22" i="12"/>
  <c r="CG20" i="12"/>
  <c r="CG19" i="12"/>
  <c r="CG18" i="12"/>
  <c r="CG22" i="12"/>
  <c r="CF17" i="12"/>
  <c r="CF22" i="12"/>
  <c r="CJ23" i="12"/>
  <c r="CH23" i="12"/>
  <c r="CF23" i="12"/>
  <c r="AJ134" i="5"/>
  <c r="T134" i="5"/>
  <c r="D134" i="5"/>
  <c r="AF134" i="5"/>
  <c r="P134" i="5"/>
  <c r="A136" i="5" a="1"/>
  <c r="A136" i="5" s="1"/>
  <c r="AB134" i="5"/>
  <c r="L134" i="5"/>
  <c r="X134" i="5"/>
  <c r="H134" i="5"/>
  <c r="V134" i="5"/>
  <c r="R134" i="5"/>
  <c r="N134" i="5"/>
  <c r="J134" i="5"/>
  <c r="AL134" i="5"/>
  <c r="F134" i="5"/>
  <c r="AH134" i="5"/>
  <c r="B134" i="5"/>
  <c r="AD134" i="5"/>
  <c r="Z134" i="5"/>
  <c r="BZ25" i="12"/>
  <c r="CE25" i="12"/>
  <c r="CC26" i="12"/>
  <c r="J67" i="2" a="1"/>
  <c r="S68" i="2"/>
  <c r="Q68" i="2"/>
  <c r="O67" i="2" a="1"/>
  <c r="M67" i="2" a="1"/>
  <c r="P68" i="2"/>
  <c r="L67" i="2" a="1"/>
  <c r="N67" i="2" a="1"/>
  <c r="U68" i="2"/>
  <c r="K67" i="2" a="1"/>
  <c r="T68" i="2"/>
  <c r="R68" i="2"/>
  <c r="K208" i="9" l="1"/>
  <c r="K67" i="2"/>
  <c r="N67" i="2"/>
  <c r="L67" i="2"/>
  <c r="K68" i="9"/>
  <c r="V68" i="2"/>
  <c r="O68" i="9" s="1"/>
  <c r="M67" i="2"/>
  <c r="O67" i="2"/>
  <c r="K138" i="9"/>
  <c r="J67" i="2"/>
  <c r="CE41" i="10"/>
  <c r="O207" i="9"/>
  <c r="O137" i="9"/>
  <c r="Z137" i="5"/>
  <c r="J137" i="5"/>
  <c r="AL137" i="5"/>
  <c r="V137" i="5"/>
  <c r="F137" i="5"/>
  <c r="AH137" i="5"/>
  <c r="R137" i="5"/>
  <c r="B137" i="5"/>
  <c r="AD137" i="5"/>
  <c r="N137" i="5"/>
  <c r="L137" i="5"/>
  <c r="H137" i="5"/>
  <c r="AJ137" i="5"/>
  <c r="D137" i="5"/>
  <c r="AF137" i="5"/>
  <c r="A139" i="5" a="1"/>
  <c r="A139" i="5" s="1"/>
  <c r="AB137" i="5"/>
  <c r="X137" i="5"/>
  <c r="T137" i="5"/>
  <c r="P137" i="5"/>
  <c r="I70" i="2"/>
  <c r="BX33" i="12"/>
  <c r="CJ26" i="12"/>
  <c r="CG25" i="12"/>
  <c r="X136" i="5"/>
  <c r="H136" i="5"/>
  <c r="AJ136" i="5"/>
  <c r="T136" i="5"/>
  <c r="D136" i="5"/>
  <c r="AF136" i="5"/>
  <c r="P136" i="5"/>
  <c r="A138" i="5" a="1"/>
  <c r="A138" i="5" s="1"/>
  <c r="AB136" i="5"/>
  <c r="L136" i="5"/>
  <c r="Z136" i="5"/>
  <c r="V136" i="5"/>
  <c r="R136" i="5"/>
  <c r="N136" i="5"/>
  <c r="J136" i="5"/>
  <c r="AL136" i="5"/>
  <c r="F136" i="5"/>
  <c r="AH136" i="5"/>
  <c r="B136" i="5"/>
  <c r="AD136" i="5"/>
  <c r="CC30" i="12"/>
  <c r="CD25" i="12"/>
  <c r="CA30" i="12"/>
  <c r="BZ30" i="12"/>
  <c r="BY25" i="12"/>
  <c r="CC31" i="12"/>
  <c r="BY30" i="12"/>
  <c r="CA31" i="12"/>
  <c r="BY31" i="12"/>
  <c r="CC27" i="12"/>
  <c r="BZ27" i="12"/>
  <c r="BZ26" i="12"/>
  <c r="CC28" i="12"/>
  <c r="BZ28" i="12"/>
  <c r="L68" i="2" a="1"/>
  <c r="J68" i="2" a="1"/>
  <c r="N68" i="2" a="1"/>
  <c r="U69" i="2"/>
  <c r="T69" i="2"/>
  <c r="O68" i="2" a="1"/>
  <c r="S69" i="2"/>
  <c r="K68" i="2" a="1"/>
  <c r="Q69" i="2"/>
  <c r="M68" i="2" a="1"/>
  <c r="R69" i="2"/>
  <c r="P69" i="2"/>
  <c r="K69" i="9" l="1"/>
  <c r="V69" i="2"/>
  <c r="O69" i="9" s="1"/>
  <c r="K209" i="9"/>
  <c r="M68" i="2"/>
  <c r="K139" i="9"/>
  <c r="K68" i="2"/>
  <c r="O68" i="2"/>
  <c r="N68" i="2"/>
  <c r="J68" i="2"/>
  <c r="L68" i="2"/>
  <c r="CC34" i="12"/>
  <c r="CE33" i="12"/>
  <c r="BZ33" i="12"/>
  <c r="AD139" i="5"/>
  <c r="N139" i="5"/>
  <c r="Z139" i="5"/>
  <c r="J139" i="5"/>
  <c r="AL139" i="5"/>
  <c r="V139" i="5"/>
  <c r="F139" i="5"/>
  <c r="AH139" i="5"/>
  <c r="R139" i="5"/>
  <c r="B139" i="5"/>
  <c r="P139" i="5"/>
  <c r="L139" i="5"/>
  <c r="H139" i="5"/>
  <c r="AJ139" i="5"/>
  <c r="D139" i="5"/>
  <c r="AF139" i="5"/>
  <c r="A141" i="5" a="1"/>
  <c r="A141" i="5" s="1"/>
  <c r="AB139" i="5"/>
  <c r="X139" i="5"/>
  <c r="T139" i="5"/>
  <c r="A140" i="5" a="1"/>
  <c r="A140" i="5" s="1"/>
  <c r="AB138" i="5"/>
  <c r="L138" i="5"/>
  <c r="X138" i="5"/>
  <c r="H138" i="5"/>
  <c r="AJ138" i="5"/>
  <c r="T138" i="5"/>
  <c r="D138" i="5"/>
  <c r="AF138" i="5"/>
  <c r="P138" i="5"/>
  <c r="AD138" i="5"/>
  <c r="Z138" i="5"/>
  <c r="V138" i="5"/>
  <c r="R138" i="5"/>
  <c r="N138" i="5"/>
  <c r="J138" i="5"/>
  <c r="AL138" i="5"/>
  <c r="F138" i="5"/>
  <c r="AH138" i="5"/>
  <c r="B138" i="5"/>
  <c r="CJ31" i="12"/>
  <c r="CH31" i="12"/>
  <c r="CF31" i="12"/>
  <c r="CJ30" i="12"/>
  <c r="CJ28" i="12"/>
  <c r="CJ27" i="12"/>
  <c r="CK25" i="12"/>
  <c r="CH30" i="12"/>
  <c r="CG28" i="12"/>
  <c r="CG27" i="12"/>
  <c r="CG26" i="12"/>
  <c r="CF25" i="12"/>
  <c r="CG30" i="12"/>
  <c r="CF30" i="12"/>
  <c r="CM1" i="10"/>
  <c r="O208" i="9"/>
  <c r="O138" i="9"/>
  <c r="M69" i="2" a="1"/>
  <c r="T70" i="2"/>
  <c r="J69" i="2" a="1"/>
  <c r="S70" i="2"/>
  <c r="N69" i="2" a="1"/>
  <c r="L69" i="2" a="1"/>
  <c r="O69" i="2" a="1"/>
  <c r="Q70" i="2"/>
  <c r="P70" i="2"/>
  <c r="R70" i="2"/>
  <c r="U70" i="2"/>
  <c r="K69" i="2" a="1"/>
  <c r="K69" i="2" l="1"/>
  <c r="K210" i="9"/>
  <c r="K70" i="9"/>
  <c r="V70" i="2"/>
  <c r="O70" i="9" s="1"/>
  <c r="K140" i="9"/>
  <c r="O69" i="2"/>
  <c r="L69" i="2"/>
  <c r="N69" i="2"/>
  <c r="J69" i="2"/>
  <c r="M69" i="2"/>
  <c r="AF140" i="5"/>
  <c r="P140" i="5"/>
  <c r="A142" i="5" a="1"/>
  <c r="A142" i="5" s="1"/>
  <c r="AB140" i="5"/>
  <c r="L140" i="5"/>
  <c r="X140" i="5"/>
  <c r="H140" i="5"/>
  <c r="AJ140" i="5"/>
  <c r="T140" i="5"/>
  <c r="D140" i="5"/>
  <c r="AH140" i="5"/>
  <c r="B140" i="5"/>
  <c r="AD140" i="5"/>
  <c r="Z140" i="5"/>
  <c r="V140" i="5"/>
  <c r="R140" i="5"/>
  <c r="N140" i="5"/>
  <c r="J140" i="5"/>
  <c r="AL140" i="5"/>
  <c r="F140" i="5"/>
  <c r="AH141" i="5"/>
  <c r="R141" i="5"/>
  <c r="B141" i="5"/>
  <c r="AD141" i="5"/>
  <c r="N141" i="5"/>
  <c r="Z141" i="5"/>
  <c r="J141" i="5"/>
  <c r="AL141" i="5"/>
  <c r="V141" i="5"/>
  <c r="F141" i="5"/>
  <c r="T141" i="5"/>
  <c r="P141" i="5"/>
  <c r="L141" i="5"/>
  <c r="H141" i="5"/>
  <c r="AJ141" i="5"/>
  <c r="D141" i="5"/>
  <c r="AF141" i="5"/>
  <c r="A143" i="5" a="1"/>
  <c r="A143" i="5" s="1"/>
  <c r="AB141" i="5"/>
  <c r="X141" i="5"/>
  <c r="CA39" i="12"/>
  <c r="BY39" i="12"/>
  <c r="CC36" i="12"/>
  <c r="CC35" i="12"/>
  <c r="BZ36" i="12"/>
  <c r="BZ35" i="12"/>
  <c r="BZ34" i="12"/>
  <c r="CC38" i="12"/>
  <c r="CD33" i="12"/>
  <c r="CA38" i="12"/>
  <c r="BZ38" i="12"/>
  <c r="BY33" i="12"/>
  <c r="CC39" i="12"/>
  <c r="BY38" i="12"/>
  <c r="O209" i="9"/>
  <c r="O139" i="9"/>
  <c r="CJ34" i="12"/>
  <c r="CG33" i="12"/>
  <c r="BX41" i="12"/>
  <c r="CT1" i="10"/>
  <c r="K70" i="2" a="1"/>
  <c r="O70" i="2" a="1"/>
  <c r="L70" i="2" a="1"/>
  <c r="M70" i="2" a="1"/>
  <c r="J70" i="2" a="1"/>
  <c r="N70" i="2" a="1"/>
  <c r="N70" i="2" l="1"/>
  <c r="J70" i="2"/>
  <c r="M70" i="2"/>
  <c r="L70" i="2"/>
  <c r="O70" i="2"/>
  <c r="K70" i="2"/>
  <c r="O210" i="9"/>
  <c r="O140" i="9"/>
  <c r="AL143" i="5"/>
  <c r="V143" i="5"/>
  <c r="F143" i="5"/>
  <c r="AH143" i="5"/>
  <c r="R143" i="5"/>
  <c r="B143" i="5"/>
  <c r="AD143" i="5"/>
  <c r="N143" i="5"/>
  <c r="Z143" i="5"/>
  <c r="J143" i="5"/>
  <c r="X143" i="5"/>
  <c r="T143" i="5"/>
  <c r="P143" i="5"/>
  <c r="L143" i="5"/>
  <c r="H143" i="5"/>
  <c r="AJ143" i="5"/>
  <c r="D143" i="5"/>
  <c r="AF143" i="5"/>
  <c r="A145" i="5" a="1"/>
  <c r="A145" i="5" s="1"/>
  <c r="AB143" i="5"/>
  <c r="CM9" i="10"/>
  <c r="BZ41" i="12"/>
  <c r="CC42" i="12"/>
  <c r="CE41" i="12"/>
  <c r="AJ142" i="5"/>
  <c r="T142" i="5"/>
  <c r="D142" i="5"/>
  <c r="AF142" i="5"/>
  <c r="P142" i="5"/>
  <c r="A144" i="5" a="1"/>
  <c r="A144" i="5" s="1"/>
  <c r="AB142" i="5"/>
  <c r="L142" i="5"/>
  <c r="X142" i="5"/>
  <c r="H142" i="5"/>
  <c r="AL142" i="5"/>
  <c r="F142" i="5"/>
  <c r="AH142" i="5"/>
  <c r="B142" i="5"/>
  <c r="AD142" i="5"/>
  <c r="Z142" i="5"/>
  <c r="V142" i="5"/>
  <c r="R142" i="5"/>
  <c r="N142" i="5"/>
  <c r="J142" i="5"/>
  <c r="CJ38" i="12"/>
  <c r="CJ36" i="12"/>
  <c r="CJ35" i="12"/>
  <c r="CK33" i="12"/>
  <c r="CH38" i="12"/>
  <c r="CG36" i="12"/>
  <c r="CG35" i="12"/>
  <c r="CG34" i="12"/>
  <c r="CG38" i="12"/>
  <c r="CF33" i="12"/>
  <c r="CF38" i="12"/>
  <c r="CJ39" i="12"/>
  <c r="CH39" i="12"/>
  <c r="CF39" i="12"/>
  <c r="X144" i="5" l="1"/>
  <c r="H144" i="5"/>
  <c r="AJ144" i="5"/>
  <c r="T144" i="5"/>
  <c r="D144" i="5"/>
  <c r="AF144" i="5"/>
  <c r="P144" i="5"/>
  <c r="AB144" i="5"/>
  <c r="L144" i="5"/>
  <c r="J144" i="5"/>
  <c r="AL144" i="5"/>
  <c r="F144" i="5"/>
  <c r="AH144" i="5"/>
  <c r="B144" i="5"/>
  <c r="AD144" i="5"/>
  <c r="Z144" i="5"/>
  <c r="V144" i="5"/>
  <c r="R144" i="5"/>
  <c r="N144" i="5"/>
  <c r="CC46" i="12"/>
  <c r="CD41" i="12"/>
  <c r="CA46" i="12"/>
  <c r="BZ46" i="12"/>
  <c r="BY41" i="12"/>
  <c r="CC47" i="12"/>
  <c r="BY46" i="12"/>
  <c r="CA47" i="12"/>
  <c r="BY47" i="12"/>
  <c r="CC44" i="12"/>
  <c r="CC43" i="12"/>
  <c r="BZ44" i="12"/>
  <c r="BZ43" i="12"/>
  <c r="BZ42" i="12"/>
  <c r="CT9" i="10"/>
  <c r="Z145" i="5"/>
  <c r="J145" i="5"/>
  <c r="AL145" i="5"/>
  <c r="V145" i="5"/>
  <c r="F145" i="5"/>
  <c r="AH145" i="5"/>
  <c r="R145" i="5"/>
  <c r="B145" i="5"/>
  <c r="AD145" i="5"/>
  <c r="N145" i="5"/>
  <c r="AB145" i="5"/>
  <c r="X145" i="5"/>
  <c r="T145" i="5"/>
  <c r="P145" i="5"/>
  <c r="L145" i="5"/>
  <c r="H145" i="5"/>
  <c r="AJ145" i="5"/>
  <c r="D145" i="5"/>
  <c r="AF145" i="5"/>
  <c r="CJ42" i="12"/>
  <c r="CG41" i="12"/>
  <c r="CM1" i="12"/>
  <c r="I1" i="8"/>
  <c r="I2" i="8"/>
  <c r="A9" i="6" l="1"/>
  <c r="T147" i="5" a="1"/>
  <c r="T147" i="5" s="1"/>
  <c r="T146" i="5" a="1"/>
  <c r="T146" i="5" s="1"/>
  <c r="C8" i="6" s="1"/>
  <c r="K8" i="6" s="1"/>
  <c r="F8" i="6" s="1"/>
  <c r="F147" i="5" a="1"/>
  <c r="F147" i="5" s="1"/>
  <c r="F146" i="5" a="1"/>
  <c r="F146" i="5" s="1"/>
  <c r="AH147" i="5" a="1"/>
  <c r="AH147" i="5" s="1"/>
  <c r="AH146" i="5" a="1"/>
  <c r="AH146" i="5" s="1"/>
  <c r="X146" i="5" a="1"/>
  <c r="X146" i="5" s="1"/>
  <c r="X147" i="5" a="1"/>
  <c r="X147" i="5" s="1"/>
  <c r="V147" i="5" a="1"/>
  <c r="V147" i="5" s="1"/>
  <c r="V146" i="5" a="1"/>
  <c r="V146" i="5" s="1"/>
  <c r="AF146" i="5" a="1"/>
  <c r="AF146" i="5" s="1"/>
  <c r="AF147" i="5" a="1"/>
  <c r="AF147" i="5" s="1"/>
  <c r="AB147" i="5" a="1"/>
  <c r="AB147" i="5" s="1"/>
  <c r="AB146" i="5" a="1"/>
  <c r="AB146" i="5" s="1"/>
  <c r="D146" i="5" a="1"/>
  <c r="D146" i="5" s="1"/>
  <c r="D147" i="5" a="1"/>
  <c r="D147" i="5" s="1"/>
  <c r="N147" i="5" a="1"/>
  <c r="N147" i="5" s="1"/>
  <c r="N146" i="5" a="1"/>
  <c r="N146" i="5" s="1"/>
  <c r="J147" i="5" a="1"/>
  <c r="J147" i="5" s="1"/>
  <c r="J146" i="5" a="1"/>
  <c r="J146" i="5" s="1"/>
  <c r="C4" i="6" s="1"/>
  <c r="K4" i="6" s="1"/>
  <c r="F4" i="6" s="1"/>
  <c r="AD147" i="5" a="1"/>
  <c r="AD147" i="5" s="1"/>
  <c r="AD146" i="5" a="1"/>
  <c r="AD146" i="5" s="1"/>
  <c r="P147" i="5" a="1"/>
  <c r="P147" i="5" s="1"/>
  <c r="P146" i="5" a="1"/>
  <c r="P146" i="5" s="1"/>
  <c r="C6" i="6" s="1"/>
  <c r="K6" i="6" s="1"/>
  <c r="F6" i="6" s="1"/>
  <c r="Z146" i="5" a="1"/>
  <c r="Z146" i="5" s="1"/>
  <c r="Z147" i="5" a="1"/>
  <c r="Z147" i="5" s="1"/>
  <c r="CT1" i="12"/>
  <c r="CO1" i="12"/>
  <c r="CR2" i="12"/>
  <c r="H147" i="5" a="1"/>
  <c r="H147" i="5" s="1"/>
  <c r="H146" i="5" a="1"/>
  <c r="H146" i="5" s="1"/>
  <c r="C3" i="6" s="1"/>
  <c r="K3" i="6" s="1"/>
  <c r="F3" i="6" s="1"/>
  <c r="B146" i="5" a="1"/>
  <c r="B146" i="5" s="1"/>
  <c r="B147" i="5" a="1"/>
  <c r="B147" i="5" s="1"/>
  <c r="AJ147" i="5" a="1"/>
  <c r="AJ147" i="5" s="1"/>
  <c r="AJ146" i="5" a="1"/>
  <c r="AJ146" i="5" s="1"/>
  <c r="CJ47" i="12"/>
  <c r="CH47" i="12"/>
  <c r="CF47" i="12"/>
  <c r="CJ46" i="12"/>
  <c r="CJ44" i="12"/>
  <c r="CJ43" i="12"/>
  <c r="CK41" i="12"/>
  <c r="CH46" i="12"/>
  <c r="CG44" i="12"/>
  <c r="CG43" i="12"/>
  <c r="CG42" i="12"/>
  <c r="CG46" i="12"/>
  <c r="CF41" i="12"/>
  <c r="CF46" i="12"/>
  <c r="L146" i="5" a="1"/>
  <c r="L146" i="5" s="1"/>
  <c r="L147" i="5" a="1"/>
  <c r="L147" i="5" s="1"/>
  <c r="R146" i="5" a="1"/>
  <c r="R146" i="5" s="1"/>
  <c r="C7" i="6" s="1"/>
  <c r="K7" i="6" s="1"/>
  <c r="F7" i="6" s="1"/>
  <c r="R147" i="5" a="1"/>
  <c r="R147" i="5" s="1"/>
  <c r="CM17" i="10"/>
  <c r="C247" i="9" a="1"/>
  <c r="H235" i="9" a="1"/>
  <c r="H243" i="9" a="1"/>
  <c r="H227" i="9" a="1"/>
  <c r="H239" i="9" a="1"/>
  <c r="H223" i="9" a="1"/>
  <c r="C5" i="6" l="1"/>
  <c r="L149" i="5"/>
  <c r="C2" i="6"/>
  <c r="F149" i="5"/>
  <c r="H223" i="9"/>
  <c r="H239" i="9"/>
  <c r="H227" i="9"/>
  <c r="H243" i="9"/>
  <c r="H235" i="9"/>
  <c r="C247" i="9"/>
  <c r="E6" i="8"/>
  <c r="CT17" i="10"/>
  <c r="CR7" i="12"/>
  <c r="CP7" i="12"/>
  <c r="CN7" i="12"/>
  <c r="CR6" i="12"/>
  <c r="CS1" i="12"/>
  <c r="CP6" i="12"/>
  <c r="CO2" i="12"/>
  <c r="CO6" i="12"/>
  <c r="CR4" i="12"/>
  <c r="CN6" i="12"/>
  <c r="CO4" i="12"/>
  <c r="CR3" i="12"/>
  <c r="CN1" i="12"/>
  <c r="CO3" i="12"/>
  <c r="CV1" i="12"/>
  <c r="CM9" i="12"/>
  <c r="CY2" i="12"/>
  <c r="K5" i="6" l="1"/>
  <c r="L5" i="6"/>
  <c r="G5" i="6" s="1"/>
  <c r="K2" i="6"/>
  <c r="F2" i="6" s="1"/>
  <c r="L2" i="6"/>
  <c r="G2" i="6" s="1"/>
  <c r="F247" i="9"/>
  <c r="G247" i="9" s="1"/>
  <c r="Q235" i="9"/>
  <c r="P235" i="9" s="1"/>
  <c r="F235" i="9"/>
  <c r="G235" i="9" s="1"/>
  <c r="Q243" i="9"/>
  <c r="P243" i="9" s="1"/>
  <c r="F243" i="9"/>
  <c r="G243" i="9" s="1"/>
  <c r="Q227" i="9"/>
  <c r="P227" i="9" s="1"/>
  <c r="F227" i="9"/>
  <c r="G227" i="9" s="1"/>
  <c r="CO9" i="12"/>
  <c r="CR10" i="12"/>
  <c r="CT9" i="12"/>
  <c r="CU7" i="12"/>
  <c r="CY6" i="12"/>
  <c r="CZ1" i="12"/>
  <c r="CW6" i="12"/>
  <c r="CV6" i="12"/>
  <c r="CU1" i="12"/>
  <c r="CU6" i="12"/>
  <c r="CY4" i="12"/>
  <c r="CY3" i="12"/>
  <c r="CV4" i="12"/>
  <c r="CV3" i="12"/>
  <c r="CV2" i="12"/>
  <c r="CY7" i="12"/>
  <c r="CW7" i="12"/>
  <c r="CM25" i="10"/>
  <c r="Q239" i="9"/>
  <c r="P239" i="9" s="1"/>
  <c r="F239" i="9"/>
  <c r="G239" i="9" s="1"/>
  <c r="H214" i="9"/>
  <c r="C6" i="8"/>
  <c r="F214" i="9" s="1"/>
  <c r="Q223" i="9"/>
  <c r="P223" i="9" s="1"/>
  <c r="F223" i="9"/>
  <c r="G223" i="9" s="1"/>
  <c r="H232" i="9" a="1"/>
  <c r="C232" i="9" a="1"/>
  <c r="H219" i="9" a="1"/>
  <c r="C220" i="9" a="1"/>
  <c r="H220" i="9" a="1"/>
  <c r="F5" i="6" l="1"/>
  <c r="C232" i="9"/>
  <c r="H232" i="9"/>
  <c r="Q232" i="9" s="1"/>
  <c r="P232" i="9" s="1"/>
  <c r="H220" i="9"/>
  <c r="Q220" i="9" s="1"/>
  <c r="P220" i="9" s="1"/>
  <c r="C220" i="9"/>
  <c r="H219" i="9"/>
  <c r="CT25" i="10"/>
  <c r="CR14" i="12"/>
  <c r="CS9" i="12"/>
  <c r="CP14" i="12"/>
  <c r="CO14" i="12"/>
  <c r="CR12" i="12"/>
  <c r="CR11" i="12"/>
  <c r="CN9" i="12"/>
  <c r="CN14" i="12"/>
  <c r="CO12" i="12"/>
  <c r="CO11" i="12"/>
  <c r="CO10" i="12"/>
  <c r="CR15" i="12"/>
  <c r="CP15" i="12"/>
  <c r="CN15" i="12"/>
  <c r="CY10" i="12"/>
  <c r="CV9" i="12"/>
  <c r="CM17" i="12"/>
  <c r="D6" i="8"/>
  <c r="G214" i="9" s="1"/>
  <c r="H231" i="9" a="1"/>
  <c r="H231" i="9" l="1"/>
  <c r="Q231" i="9" s="1"/>
  <c r="P231" i="9" s="1"/>
  <c r="F231" i="9"/>
  <c r="G231" i="9" s="1"/>
  <c r="J232" i="9"/>
  <c r="F232" i="9"/>
  <c r="G232" i="9" s="1"/>
  <c r="Q219" i="9"/>
  <c r="P219" i="9" s="1"/>
  <c r="F219" i="9"/>
  <c r="G219" i="9" s="1"/>
  <c r="F220" i="9"/>
  <c r="G220" i="9" s="1"/>
  <c r="A220" i="9"/>
  <c r="A223" i="9" s="1"/>
  <c r="A227" i="9" s="1"/>
  <c r="A231" i="9" s="1"/>
  <c r="J220" i="9"/>
  <c r="CT17" i="12"/>
  <c r="CO17" i="12"/>
  <c r="CR18" i="12"/>
  <c r="CY12" i="12"/>
  <c r="CY11" i="12"/>
  <c r="CV12" i="12"/>
  <c r="CV11" i="12"/>
  <c r="CV10" i="12"/>
  <c r="CY15" i="12"/>
  <c r="CW15" i="12"/>
  <c r="CU15" i="12"/>
  <c r="CY14" i="12"/>
  <c r="CZ9" i="12"/>
  <c r="CW14" i="12"/>
  <c r="CU9" i="12"/>
  <c r="CV14" i="12"/>
  <c r="CU14" i="12"/>
  <c r="CM33" i="10"/>
  <c r="A232" i="9" l="1"/>
  <c r="A235" i="9" s="1"/>
  <c r="A239" i="9" s="1"/>
  <c r="A243" i="9" s="1"/>
  <c r="A247" i="9" s="1"/>
  <c r="CV17" i="12"/>
  <c r="CM25" i="12"/>
  <c r="CY18" i="12"/>
  <c r="CT33" i="10"/>
  <c r="CR23" i="12"/>
  <c r="CP23" i="12"/>
  <c r="CN23" i="12"/>
  <c r="CR22" i="12"/>
  <c r="CS17" i="12"/>
  <c r="CP22" i="12"/>
  <c r="CO22" i="12"/>
  <c r="CR20" i="12"/>
  <c r="CN22" i="12"/>
  <c r="CO20" i="12"/>
  <c r="CR19" i="12"/>
  <c r="CN17" i="12"/>
  <c r="CO19" i="12"/>
  <c r="CO18" i="12"/>
  <c r="CU23" i="12" l="1"/>
  <c r="CY22" i="12"/>
  <c r="CZ17" i="12"/>
  <c r="CW22" i="12"/>
  <c r="CV22" i="12"/>
  <c r="CU17" i="12"/>
  <c r="CU22" i="12"/>
  <c r="CY20" i="12"/>
  <c r="CY19" i="12"/>
  <c r="CV20" i="12"/>
  <c r="CV19" i="12"/>
  <c r="CV18" i="12"/>
  <c r="CY23" i="12"/>
  <c r="CW23" i="12"/>
  <c r="CM41" i="10"/>
  <c r="CO25" i="12"/>
  <c r="CR26" i="12"/>
  <c r="CT25" i="12"/>
  <c r="CT41" i="10" l="1"/>
  <c r="CM33" i="12"/>
  <c r="CY26" i="12"/>
  <c r="CV25" i="12"/>
  <c r="CR30" i="12"/>
  <c r="CS25" i="12"/>
  <c r="CP30" i="12"/>
  <c r="CO30" i="12"/>
  <c r="CR28" i="12"/>
  <c r="CR27" i="12"/>
  <c r="CN25" i="12"/>
  <c r="CN30" i="12"/>
  <c r="CO28" i="12"/>
  <c r="CO27" i="12"/>
  <c r="CO26" i="12"/>
  <c r="CR31" i="12"/>
  <c r="CP31" i="12"/>
  <c r="CN31" i="12"/>
  <c r="DB1" i="10" l="1"/>
  <c r="CT33" i="12"/>
  <c r="CO33" i="12"/>
  <c r="CR34" i="12"/>
  <c r="CY28" i="12"/>
  <c r="CY27" i="12"/>
  <c r="CV28" i="12"/>
  <c r="CV27" i="12"/>
  <c r="CV26" i="12"/>
  <c r="CY31" i="12"/>
  <c r="CW31" i="12"/>
  <c r="CU31" i="12"/>
  <c r="CY30" i="12"/>
  <c r="CZ25" i="12"/>
  <c r="CW30" i="12"/>
  <c r="CV30" i="12"/>
  <c r="CU30" i="12"/>
  <c r="CU25" i="12"/>
  <c r="DI1" i="10" l="1"/>
  <c r="CR39" i="12"/>
  <c r="CP39" i="12"/>
  <c r="CN39" i="12"/>
  <c r="CR38" i="12"/>
  <c r="CS33" i="12"/>
  <c r="CP38" i="12"/>
  <c r="CO38" i="12"/>
  <c r="CR36" i="12"/>
  <c r="CR35" i="12"/>
  <c r="CN33" i="12"/>
  <c r="CN38" i="12"/>
  <c r="CO36" i="12"/>
  <c r="CO35" i="12"/>
  <c r="CO34" i="12"/>
  <c r="CV33" i="12"/>
  <c r="CM41" i="12"/>
  <c r="CY34" i="12"/>
  <c r="DB9" i="10" l="1"/>
  <c r="CU39" i="12"/>
  <c r="CY38" i="12"/>
  <c r="CZ33" i="12"/>
  <c r="CW38" i="12"/>
  <c r="CV38" i="12"/>
  <c r="CU33" i="12"/>
  <c r="CU38" i="12"/>
  <c r="CY36" i="12"/>
  <c r="CY35" i="12"/>
  <c r="CV36" i="12"/>
  <c r="CV35" i="12"/>
  <c r="CV34" i="12"/>
  <c r="CY39" i="12"/>
  <c r="CW39" i="12"/>
  <c r="CO41" i="12"/>
  <c r="CR42" i="12"/>
  <c r="CT41" i="12"/>
  <c r="DI9" i="10" l="1"/>
  <c r="CY42" i="12"/>
  <c r="CV41" i="12"/>
  <c r="DB1" i="12"/>
  <c r="CR46" i="12"/>
  <c r="CS41" i="12"/>
  <c r="CP46" i="12"/>
  <c r="CO46" i="12"/>
  <c r="CR44" i="12"/>
  <c r="CR43" i="12"/>
  <c r="CN41" i="12"/>
  <c r="CN46" i="12"/>
  <c r="CO44" i="12"/>
  <c r="CO43" i="12"/>
  <c r="CO42" i="12"/>
  <c r="CR47" i="12"/>
  <c r="CP47" i="12"/>
  <c r="CN47" i="12"/>
  <c r="DG2" i="12" l="1"/>
  <c r="DI1" i="12"/>
  <c r="DD1" i="12"/>
  <c r="CY44" i="12"/>
  <c r="CY43" i="12"/>
  <c r="CV44" i="12"/>
  <c r="CV43" i="12"/>
  <c r="CV42" i="12"/>
  <c r="CY47" i="12"/>
  <c r="CW47" i="12"/>
  <c r="CU47" i="12"/>
  <c r="CY46" i="12"/>
  <c r="CZ41" i="12"/>
  <c r="CW46" i="12"/>
  <c r="CV46" i="12"/>
  <c r="CU41" i="12"/>
  <c r="CU46" i="12"/>
  <c r="DB17" i="10"/>
  <c r="DN2" i="12" l="1"/>
  <c r="DK1" i="12"/>
  <c r="DB9" i="12"/>
  <c r="DG4" i="12"/>
  <c r="DG3" i="12"/>
  <c r="DG7" i="12"/>
  <c r="DD4" i="12"/>
  <c r="DD3" i="12"/>
  <c r="DD2" i="12"/>
  <c r="DE7" i="12"/>
  <c r="DG6" i="12"/>
  <c r="DH1" i="12"/>
  <c r="DC7" i="12"/>
  <c r="DE6" i="12"/>
  <c r="DD6" i="12"/>
  <c r="DC6" i="12"/>
  <c r="DC1" i="12"/>
  <c r="DI17" i="10"/>
  <c r="DN7" i="12" l="1"/>
  <c r="DN6" i="12"/>
  <c r="DN4" i="12"/>
  <c r="DN3" i="12"/>
  <c r="DO1" i="12"/>
  <c r="DL7" i="12"/>
  <c r="DL6" i="12"/>
  <c r="DK4" i="12"/>
  <c r="DK3" i="12"/>
  <c r="DK2" i="12"/>
  <c r="DJ7" i="12"/>
  <c r="DK6" i="12"/>
  <c r="DJ1" i="12"/>
  <c r="DJ6" i="12"/>
  <c r="DD9" i="12"/>
  <c r="DG10" i="12"/>
  <c r="DI9" i="12"/>
  <c r="DB25" i="10"/>
  <c r="DE15" i="12" l="1"/>
  <c r="DG14" i="12"/>
  <c r="DH9" i="12"/>
  <c r="DC15" i="12"/>
  <c r="DE14" i="12"/>
  <c r="DD14" i="12"/>
  <c r="DC9" i="12"/>
  <c r="DC14" i="12"/>
  <c r="DG11" i="12"/>
  <c r="DD11" i="12"/>
  <c r="DD10" i="12"/>
  <c r="DG15" i="12"/>
  <c r="DG12" i="12"/>
  <c r="DD12" i="12"/>
  <c r="DI25" i="10"/>
  <c r="DN10" i="12"/>
  <c r="DK9" i="12"/>
  <c r="DB17" i="12"/>
  <c r="DG18" i="12" l="1"/>
  <c r="DI17" i="12"/>
  <c r="DD17" i="12"/>
  <c r="DB33" i="10"/>
  <c r="DN15" i="12"/>
  <c r="DN14" i="12"/>
  <c r="DN12" i="12"/>
  <c r="DN11" i="12"/>
  <c r="DO9" i="12"/>
  <c r="DL15" i="12"/>
  <c r="DL14" i="12"/>
  <c r="DK12" i="12"/>
  <c r="DK11" i="12"/>
  <c r="DK10" i="12"/>
  <c r="DJ15" i="12"/>
  <c r="DK14" i="12"/>
  <c r="DJ14" i="12"/>
  <c r="DJ9" i="12"/>
  <c r="DG20" i="12" l="1"/>
  <c r="DG19" i="12"/>
  <c r="DG23" i="12"/>
  <c r="DD20" i="12"/>
  <c r="DD19" i="12"/>
  <c r="DD18" i="12"/>
  <c r="DE23" i="12"/>
  <c r="DG22" i="12"/>
  <c r="DH17" i="12"/>
  <c r="DC23" i="12"/>
  <c r="DE22" i="12"/>
  <c r="DD22" i="12"/>
  <c r="DC22" i="12"/>
  <c r="DC17" i="12"/>
  <c r="DI33" i="10"/>
  <c r="DN18" i="12"/>
  <c r="DK17" i="12"/>
  <c r="DB25" i="12"/>
  <c r="DN23" i="12" l="1"/>
  <c r="DN22" i="12"/>
  <c r="DN20" i="12"/>
  <c r="DN19" i="12"/>
  <c r="DO17" i="12"/>
  <c r="DL23" i="12"/>
  <c r="DL22" i="12"/>
  <c r="DK20" i="12"/>
  <c r="DK19" i="12"/>
  <c r="DK18" i="12"/>
  <c r="DJ23" i="12"/>
  <c r="DK22" i="12"/>
  <c r="DJ17" i="12"/>
  <c r="DJ22" i="12"/>
  <c r="DB41" i="10"/>
  <c r="DD25" i="12"/>
  <c r="DG26" i="12"/>
  <c r="DI25" i="12"/>
  <c r="DI41" i="10" l="1"/>
  <c r="DB33" i="12"/>
  <c r="DN26" i="12"/>
  <c r="DK25" i="12"/>
  <c r="DE31" i="12"/>
  <c r="DG30" i="12"/>
  <c r="DH25" i="12"/>
  <c r="DC31" i="12"/>
  <c r="DE30" i="12"/>
  <c r="DD30" i="12"/>
  <c r="DC25" i="12"/>
  <c r="DC30" i="12"/>
  <c r="DD26" i="12"/>
  <c r="DG31" i="12"/>
  <c r="DG28" i="12"/>
  <c r="DD28" i="12"/>
  <c r="DG27" i="12"/>
  <c r="DD27" i="12"/>
  <c r="DN31" i="12" l="1"/>
  <c r="DN30" i="12"/>
  <c r="DN28" i="12"/>
  <c r="DN27" i="12"/>
  <c r="DO25" i="12"/>
  <c r="DL31" i="12"/>
  <c r="DL30" i="12"/>
  <c r="DK28" i="12"/>
  <c r="DK27" i="12"/>
  <c r="DK26" i="12"/>
  <c r="DJ31" i="12"/>
  <c r="DK30" i="12"/>
  <c r="DJ30" i="12"/>
  <c r="DJ25" i="12"/>
  <c r="DG34" i="12"/>
  <c r="DI33" i="12"/>
  <c r="DD33" i="12"/>
  <c r="DQ1" i="10"/>
  <c r="DN34" i="12" l="1"/>
  <c r="DK33" i="12"/>
  <c r="DB41" i="12"/>
  <c r="DX1" i="10"/>
  <c r="DG36" i="12"/>
  <c r="DG35" i="12"/>
  <c r="DG39" i="12"/>
  <c r="DD36" i="12"/>
  <c r="DD35" i="12"/>
  <c r="DD34" i="12"/>
  <c r="DE39" i="12"/>
  <c r="DG38" i="12"/>
  <c r="DH33" i="12"/>
  <c r="DC39" i="12"/>
  <c r="DE38" i="12"/>
  <c r="DD38" i="12"/>
  <c r="DC33" i="12"/>
  <c r="DC38" i="12"/>
  <c r="DQ9" i="10" l="1"/>
  <c r="DD41" i="12"/>
  <c r="DG42" i="12"/>
  <c r="DI41" i="12"/>
  <c r="DN39" i="12"/>
  <c r="DN38" i="12"/>
  <c r="DN36" i="12"/>
  <c r="DN35" i="12"/>
  <c r="DO33" i="12"/>
  <c r="DL39" i="12"/>
  <c r="DL38" i="12"/>
  <c r="DK36" i="12"/>
  <c r="DK35" i="12"/>
  <c r="DK34" i="12"/>
  <c r="DJ39" i="12"/>
  <c r="DK38" i="12"/>
  <c r="DJ33" i="12"/>
  <c r="DJ38" i="12"/>
  <c r="DX9" i="10" l="1"/>
  <c r="DN42" i="12"/>
  <c r="DK41" i="12"/>
  <c r="DQ1" i="12"/>
  <c r="DE47" i="12"/>
  <c r="DG46" i="12"/>
  <c r="DH41" i="12"/>
  <c r="DC47" i="12"/>
  <c r="DE46" i="12"/>
  <c r="DD46" i="12"/>
  <c r="DC41" i="12"/>
  <c r="DC46" i="12"/>
  <c r="DG44" i="12"/>
  <c r="DG43" i="12"/>
  <c r="DG47" i="12"/>
  <c r="DD44" i="12"/>
  <c r="DD43" i="12"/>
  <c r="DD42" i="12"/>
  <c r="DQ17" i="10" l="1"/>
  <c r="DN47" i="12"/>
  <c r="DN46" i="12"/>
  <c r="DN44" i="12"/>
  <c r="DN43" i="12"/>
  <c r="DO41" i="12"/>
  <c r="DL47" i="12"/>
  <c r="DL46" i="12"/>
  <c r="DK44" i="12"/>
  <c r="DK43" i="12"/>
  <c r="DK42" i="12"/>
  <c r="DJ47" i="12"/>
  <c r="DK46" i="12"/>
  <c r="DJ41" i="12"/>
  <c r="DJ46" i="12"/>
  <c r="DX1" i="12"/>
  <c r="DS1" i="12"/>
  <c r="DV2" i="12"/>
  <c r="DX17" i="10" l="1"/>
  <c r="DV6" i="12"/>
  <c r="DW1" i="12"/>
  <c r="DV7" i="12"/>
  <c r="DT6" i="12"/>
  <c r="DT7" i="12"/>
  <c r="DS6" i="12"/>
  <c r="DR7" i="12"/>
  <c r="DR6" i="12"/>
  <c r="DV4" i="12"/>
  <c r="DR1" i="12"/>
  <c r="DS4" i="12"/>
  <c r="DV3" i="12"/>
  <c r="DS3" i="12"/>
  <c r="DS2" i="12"/>
  <c r="DZ1" i="12"/>
  <c r="DQ9" i="12"/>
  <c r="EC2" i="12"/>
  <c r="DS9" i="12" l="1"/>
  <c r="DV10" i="12"/>
  <c r="DX9" i="12"/>
  <c r="EC6" i="12"/>
  <c r="ED1" i="12"/>
  <c r="EA6" i="12"/>
  <c r="EC7" i="12"/>
  <c r="DZ6" i="12"/>
  <c r="DY1" i="12"/>
  <c r="EA7" i="12"/>
  <c r="DY6" i="12"/>
  <c r="DY7" i="12"/>
  <c r="EC4" i="12"/>
  <c r="EC3" i="12"/>
  <c r="DZ4" i="12"/>
  <c r="DZ3" i="12"/>
  <c r="DZ2" i="12"/>
  <c r="DQ25" i="10"/>
  <c r="EC10" i="12" l="1"/>
  <c r="DZ9" i="12"/>
  <c r="DQ17" i="12"/>
  <c r="DX25" i="10"/>
  <c r="DV14" i="12"/>
  <c r="DW9" i="12"/>
  <c r="DV15" i="12"/>
  <c r="DT14" i="12"/>
  <c r="DT15" i="12"/>
  <c r="DS14" i="12"/>
  <c r="DV12" i="12"/>
  <c r="DV11" i="12"/>
  <c r="DR9" i="12"/>
  <c r="DR15" i="12"/>
  <c r="DR14" i="12"/>
  <c r="DS12" i="12"/>
  <c r="DS11" i="12"/>
  <c r="DS10" i="12"/>
  <c r="DQ33" i="10" l="1"/>
  <c r="DX17" i="12"/>
  <c r="DS17" i="12"/>
  <c r="DV18" i="12"/>
  <c r="DY15" i="12"/>
  <c r="EC12" i="12"/>
  <c r="EC11" i="12"/>
  <c r="DZ12" i="12"/>
  <c r="DZ11" i="12"/>
  <c r="DZ10" i="12"/>
  <c r="EC14" i="12"/>
  <c r="ED9" i="12"/>
  <c r="EA14" i="12"/>
  <c r="EC15" i="12"/>
  <c r="DZ14" i="12"/>
  <c r="EA15" i="12"/>
  <c r="DY14" i="12"/>
  <c r="DY9" i="12"/>
  <c r="DV22" i="12" l="1"/>
  <c r="DW17" i="12"/>
  <c r="DV23" i="12"/>
  <c r="DT22" i="12"/>
  <c r="DV20" i="12"/>
  <c r="DR17" i="12"/>
  <c r="DS20" i="12"/>
  <c r="DV19" i="12"/>
  <c r="DS19" i="12"/>
  <c r="DS18" i="12"/>
  <c r="DT23" i="12"/>
  <c r="DS22" i="12"/>
  <c r="DR23" i="12"/>
  <c r="DR22" i="12"/>
  <c r="DZ17" i="12"/>
  <c r="DQ25" i="12"/>
  <c r="EC18" i="12"/>
  <c r="DX33" i="10"/>
  <c r="DS25" i="12" l="1"/>
  <c r="DV26" i="12"/>
  <c r="DX25" i="12"/>
  <c r="EC22" i="12"/>
  <c r="ED17" i="12"/>
  <c r="EA22" i="12"/>
  <c r="EC23" i="12"/>
  <c r="DZ22" i="12"/>
  <c r="DY17" i="12"/>
  <c r="EA23" i="12"/>
  <c r="DY22" i="12"/>
  <c r="DY23" i="12"/>
  <c r="EC20" i="12"/>
  <c r="EC19" i="12"/>
  <c r="DZ20" i="12"/>
  <c r="DZ19" i="12"/>
  <c r="DZ18" i="12"/>
  <c r="DQ41" i="10"/>
  <c r="DV30" i="12" l="1"/>
  <c r="DW25" i="12"/>
  <c r="DV31" i="12"/>
  <c r="DT30" i="12"/>
  <c r="DT31" i="12"/>
  <c r="DS30" i="12"/>
  <c r="DV28" i="12"/>
  <c r="DV27" i="12"/>
  <c r="DR25" i="12"/>
  <c r="DR31" i="12"/>
  <c r="DR30" i="12"/>
  <c r="DS28" i="12"/>
  <c r="DS27" i="12"/>
  <c r="DS26" i="12"/>
  <c r="DX41" i="10"/>
  <c r="DQ33" i="12"/>
  <c r="EC26" i="12"/>
  <c r="DZ25" i="12"/>
  <c r="EF1" i="10" l="1"/>
  <c r="DX33" i="12"/>
  <c r="DS33" i="12"/>
  <c r="DV34" i="12"/>
  <c r="DY31" i="12"/>
  <c r="EC28" i="12"/>
  <c r="EC27" i="12"/>
  <c r="DZ28" i="12"/>
  <c r="DZ27" i="12"/>
  <c r="DZ26" i="12"/>
  <c r="EC30" i="12"/>
  <c r="ED25" i="12"/>
  <c r="EA30" i="12"/>
  <c r="EC31" i="12"/>
  <c r="DZ30" i="12"/>
  <c r="EA31" i="12"/>
  <c r="DY30" i="12"/>
  <c r="DY25" i="12"/>
  <c r="DV38" i="12" l="1"/>
  <c r="DW33" i="12"/>
  <c r="DV39" i="12"/>
  <c r="DT38" i="12"/>
  <c r="DT39" i="12"/>
  <c r="DS38" i="12"/>
  <c r="DV36" i="12"/>
  <c r="DV35" i="12"/>
  <c r="DR33" i="12"/>
  <c r="DR39" i="12"/>
  <c r="DR38" i="12"/>
  <c r="DS36" i="12"/>
  <c r="DS35" i="12"/>
  <c r="DS34" i="12"/>
  <c r="DZ33" i="12"/>
  <c r="DQ41" i="12"/>
  <c r="EC34" i="12"/>
  <c r="EM1" i="10"/>
  <c r="DS41" i="12" l="1"/>
  <c r="DV42" i="12"/>
  <c r="DX41" i="12"/>
  <c r="EC38" i="12"/>
  <c r="ED33" i="12"/>
  <c r="EA38" i="12"/>
  <c r="EC39" i="12"/>
  <c r="DZ38" i="12"/>
  <c r="DY33" i="12"/>
  <c r="EA39" i="12"/>
  <c r="DY38" i="12"/>
  <c r="DY39" i="12"/>
  <c r="EC36" i="12"/>
  <c r="EC35" i="12"/>
  <c r="DZ36" i="12"/>
  <c r="DZ35" i="12"/>
  <c r="DZ34" i="12"/>
  <c r="EF9" i="10"/>
  <c r="EC42" i="12" l="1"/>
  <c r="DZ41" i="12"/>
  <c r="EF1" i="12"/>
  <c r="EM9" i="10"/>
  <c r="DV46" i="12"/>
  <c r="DW41" i="12"/>
  <c r="DV47" i="12"/>
  <c r="DT46" i="12"/>
  <c r="DT47" i="12"/>
  <c r="DS46" i="12"/>
  <c r="DV44" i="12"/>
  <c r="DV43" i="12"/>
  <c r="DR41" i="12"/>
  <c r="DR47" i="12"/>
  <c r="DR46" i="12"/>
  <c r="DS44" i="12"/>
  <c r="DS43" i="12"/>
  <c r="DS42" i="12"/>
  <c r="EK2" i="12" l="1"/>
  <c r="EM1" i="12"/>
  <c r="EH1" i="12"/>
  <c r="DY47" i="12"/>
  <c r="EC44" i="12"/>
  <c r="EC43" i="12"/>
  <c r="DZ44" i="12"/>
  <c r="DZ43" i="12"/>
  <c r="DZ42" i="12"/>
  <c r="EC46" i="12"/>
  <c r="ED41" i="12"/>
  <c r="EA46" i="12"/>
  <c r="EC47" i="12"/>
  <c r="DZ46" i="12"/>
  <c r="DY41" i="12"/>
  <c r="EA47" i="12"/>
  <c r="DY46" i="12"/>
  <c r="EF17" i="10"/>
  <c r="EI7" i="12" l="1"/>
  <c r="EG7" i="12"/>
  <c r="EK4" i="12"/>
  <c r="EK3" i="12"/>
  <c r="EH4" i="12"/>
  <c r="EH3" i="12"/>
  <c r="EH2" i="12"/>
  <c r="EK6" i="12"/>
  <c r="EL1" i="12"/>
  <c r="EI6" i="12"/>
  <c r="EG1" i="12"/>
  <c r="EH6" i="12"/>
  <c r="EK7" i="12"/>
  <c r="EG6" i="12"/>
  <c r="EM17" i="10"/>
  <c r="ER2" i="12"/>
  <c r="EO1" i="12"/>
  <c r="EF9" i="12"/>
  <c r="EF25" i="10" l="1"/>
  <c r="EH9" i="12"/>
  <c r="EK10" i="12"/>
  <c r="EM9" i="12"/>
  <c r="ER6" i="12"/>
  <c r="ER4" i="12"/>
  <c r="ER3" i="12"/>
  <c r="ES1" i="12"/>
  <c r="EP6" i="12"/>
  <c r="EO4" i="12"/>
  <c r="EO3" i="12"/>
  <c r="EO2" i="12"/>
  <c r="EO6" i="12"/>
  <c r="EN1" i="12"/>
  <c r="EN6" i="12"/>
  <c r="ER7" i="12"/>
  <c r="EP7" i="12"/>
  <c r="EN7" i="12"/>
  <c r="ER10" i="12" l="1"/>
  <c r="EO9" i="12"/>
  <c r="EF17" i="12"/>
  <c r="EK14" i="12"/>
  <c r="EL9" i="12"/>
  <c r="EI14" i="12"/>
  <c r="EH14" i="12"/>
  <c r="EG9" i="12"/>
  <c r="EK15" i="12"/>
  <c r="EG14" i="12"/>
  <c r="EI15" i="12"/>
  <c r="EG15" i="12"/>
  <c r="EH10" i="12"/>
  <c r="EK12" i="12"/>
  <c r="EH12" i="12"/>
  <c r="EK11" i="12"/>
  <c r="EH11" i="12"/>
  <c r="EM25" i="10"/>
  <c r="EK18" i="12" l="1"/>
  <c r="EM17" i="12"/>
  <c r="EH17" i="12"/>
  <c r="ER15" i="12"/>
  <c r="EP15" i="12"/>
  <c r="EN15" i="12"/>
  <c r="ER14" i="12"/>
  <c r="ER12" i="12"/>
  <c r="ER11" i="12"/>
  <c r="ES9" i="12"/>
  <c r="EP14" i="12"/>
  <c r="EO12" i="12"/>
  <c r="EO11" i="12"/>
  <c r="EO10" i="12"/>
  <c r="EO14" i="12"/>
  <c r="EN14" i="12"/>
  <c r="EN9" i="12"/>
  <c r="EF33" i="10"/>
  <c r="EI23" i="12" l="1"/>
  <c r="EG23" i="12"/>
  <c r="EK20" i="12"/>
  <c r="EK19" i="12"/>
  <c r="EH20" i="12"/>
  <c r="EH19" i="12"/>
  <c r="EH18" i="12"/>
  <c r="EK22" i="12"/>
  <c r="EL17" i="12"/>
  <c r="EI22" i="12"/>
  <c r="EH22" i="12"/>
  <c r="EK23" i="12"/>
  <c r="EG22" i="12"/>
  <c r="EG17" i="12"/>
  <c r="ER18" i="12"/>
  <c r="EO17" i="12"/>
  <c r="EF25" i="12"/>
  <c r="EM33" i="10"/>
  <c r="ER22" i="12" l="1"/>
  <c r="ER20" i="12"/>
  <c r="ER19" i="12"/>
  <c r="ES17" i="12"/>
  <c r="EP22" i="12"/>
  <c r="EO20" i="12"/>
  <c r="EO19" i="12"/>
  <c r="EO18" i="12"/>
  <c r="EO22" i="12"/>
  <c r="EN17" i="12"/>
  <c r="EN22" i="12"/>
  <c r="ER23" i="12"/>
  <c r="EP23" i="12"/>
  <c r="EN23" i="12"/>
  <c r="EF41" i="10"/>
  <c r="EH25" i="12"/>
  <c r="EM25" i="12"/>
  <c r="EK26" i="12"/>
  <c r="EM41" i="10" l="1"/>
  <c r="EF33" i="12"/>
  <c r="ER26" i="12"/>
  <c r="EO25" i="12"/>
  <c r="EK30" i="12"/>
  <c r="EL25" i="12"/>
  <c r="EI30" i="12"/>
  <c r="EH30" i="12"/>
  <c r="EG25" i="12"/>
  <c r="EK31" i="12"/>
  <c r="EG30" i="12"/>
  <c r="EI31" i="12"/>
  <c r="EG31" i="12"/>
  <c r="EK28" i="12"/>
  <c r="EH28" i="12"/>
  <c r="EK27" i="12"/>
  <c r="EH27" i="12"/>
  <c r="EH26" i="12"/>
  <c r="ER31" i="12" l="1"/>
  <c r="EP31" i="12"/>
  <c r="EN31" i="12"/>
  <c r="ER30" i="12"/>
  <c r="ER28" i="12"/>
  <c r="ER27" i="12"/>
  <c r="ES25" i="12"/>
  <c r="EP30" i="12"/>
  <c r="EO28" i="12"/>
  <c r="EO27" i="12"/>
  <c r="EO26" i="12"/>
  <c r="EN25" i="12"/>
  <c r="EO30" i="12"/>
  <c r="EN30" i="12"/>
  <c r="EK34" i="12"/>
  <c r="EM33" i="12"/>
  <c r="EH33" i="12"/>
  <c r="ER34" i="12" l="1"/>
  <c r="EO33" i="12"/>
  <c r="EF41" i="12"/>
  <c r="EI39" i="12"/>
  <c r="EG39" i="12"/>
  <c r="EK36" i="12"/>
  <c r="EK35" i="12"/>
  <c r="EH36" i="12"/>
  <c r="EH35" i="12"/>
  <c r="EH34" i="12"/>
  <c r="EK38" i="12"/>
  <c r="EL33" i="12"/>
  <c r="EI38" i="12"/>
  <c r="EH38" i="12"/>
  <c r="EG33" i="12"/>
  <c r="EK39" i="12"/>
  <c r="EG38" i="12"/>
  <c r="EH41" i="12" l="1"/>
  <c r="EK42" i="12"/>
  <c r="EM41" i="12"/>
  <c r="ER38" i="12"/>
  <c r="ER36" i="12"/>
  <c r="ER35" i="12"/>
  <c r="ES33" i="12"/>
  <c r="EP38" i="12"/>
  <c r="EO36" i="12"/>
  <c r="EO35" i="12"/>
  <c r="EO34" i="12"/>
  <c r="EO38" i="12"/>
  <c r="EN33" i="12"/>
  <c r="EN38" i="12"/>
  <c r="ER39" i="12"/>
  <c r="EP39" i="12"/>
  <c r="EN39" i="12"/>
  <c r="ER42" i="12" l="1"/>
  <c r="EO41" i="12"/>
  <c r="EK46" i="12"/>
  <c r="EL41" i="12"/>
  <c r="EI46" i="12"/>
  <c r="EH46" i="12"/>
  <c r="EG41" i="12"/>
  <c r="EK47" i="12"/>
  <c r="EG46" i="12"/>
  <c r="EI47" i="12"/>
  <c r="EG47" i="12"/>
  <c r="EK44" i="12"/>
  <c r="EK43" i="12"/>
  <c r="EH44" i="12"/>
  <c r="EH43" i="12"/>
  <c r="EH42" i="12"/>
  <c r="ER47" i="12" l="1"/>
  <c r="EP47" i="12"/>
  <c r="EN47" i="12"/>
  <c r="ER46" i="12"/>
  <c r="ER44" i="12"/>
  <c r="ER43" i="12"/>
  <c r="ES41" i="12"/>
  <c r="EP46" i="12"/>
  <c r="EO44" i="12"/>
  <c r="EO43" i="12"/>
  <c r="EO42" i="12"/>
  <c r="EO46" i="12"/>
  <c r="EN41" i="12"/>
  <c r="EN46" i="12"/>
  <c r="O8" i="7" a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O6" i="7"/>
  <c r="F6" i="7" a="1"/>
  <c r="O14" i="7" a="1"/>
  <c r="O4" i="7" a="1"/>
  <c r="F6" i="7" l="1"/>
  <c r="A6" i="7" s="1" a="1"/>
  <c r="A6" i="7" s="1"/>
  <c r="O14" i="7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4" i="7"/>
  <c r="O12" i="7" s="1" a="1"/>
  <c r="O12" i="7" s="1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" i="7" a="1"/>
  <c r="O2" i="7"/>
  <c r="O10" i="7" a="1"/>
  <c r="O7" i="7" a="1"/>
  <c r="O10" i="7" l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 a="1"/>
  <c r="O5" i="7"/>
  <c r="F5" i="7" a="1"/>
  <c r="O13" i="7" a="1"/>
  <c r="O3" i="7" a="1"/>
  <c r="F5" i="7" l="1"/>
  <c r="A5" i="7" s="1" a="1"/>
  <c r="A5" i="7" s="1"/>
  <c r="O13" i="7"/>
  <c r="O3" i="7"/>
  <c r="O21" i="7" a="1"/>
  <c r="O11" i="7" a="1"/>
  <c r="O1" i="7" a="1"/>
  <c r="O11" i="7" l="1"/>
  <c r="O21" i="7"/>
  <c r="O1" i="7"/>
  <c r="O9" i="7" s="1" a="1"/>
  <c r="O9" i="7" s="1"/>
  <c r="B9" i="7" s="1" a="1"/>
  <c r="B9" i="7" s="1"/>
  <c r="B10" i="7" a="1"/>
  <c r="B10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O19" i="7" a="1"/>
  <c r="O29" i="7" a="1"/>
  <c r="F1" i="7" a="1"/>
  <c r="F3" i="7" a="1"/>
  <c r="F7" i="7" a="1"/>
  <c r="F2" i="7" a="1"/>
  <c r="F4" i="7" a="1"/>
  <c r="F8" i="7" a="1"/>
  <c r="F8" i="7" l="1"/>
  <c r="A8" i="7" s="1" a="1"/>
  <c r="A8" i="7" s="1"/>
  <c r="F4" i="7"/>
  <c r="A4" i="7" s="1" a="1"/>
  <c r="A4" i="7" s="1"/>
  <c r="F2" i="7"/>
  <c r="F7" i="7"/>
  <c r="A7" i="7" s="1" a="1"/>
  <c r="A7" i="7" s="1"/>
  <c r="F3" i="7"/>
  <c r="F1" i="7"/>
  <c r="A1" i="7" s="1" a="1"/>
  <c r="A1" i="7" s="1"/>
  <c r="O29" i="7"/>
  <c r="O19" i="7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F13" i="7" a="1"/>
  <c r="F13" i="7" s="1"/>
  <c r="A13" i="7" s="1" a="1"/>
  <c r="A13" i="7" s="1"/>
  <c r="B21" i="7" a="1"/>
  <c r="B21" i="7" s="1"/>
  <c r="F12" i="7" a="1"/>
  <c r="F12" i="7" s="1"/>
  <c r="A12" i="7" s="1" a="1"/>
  <c r="A12" i="7" s="1"/>
  <c r="B20" i="7" a="1"/>
  <c r="B20" i="7" s="1"/>
  <c r="F10" i="7" a="1"/>
  <c r="F10" i="7" s="1"/>
  <c r="A10" i="7" s="1" a="1"/>
  <c r="A10" i="7" s="1"/>
  <c r="B18" i="7" a="1"/>
  <c r="B18" i="7" s="1"/>
  <c r="F9" i="7" a="1"/>
  <c r="F9" i="7" s="1"/>
  <c r="A9" i="7" s="1" a="1"/>
  <c r="A9" i="7" s="1"/>
  <c r="F16" i="7" a="1"/>
  <c r="F16" i="7" s="1"/>
  <c r="A16" i="7" s="1" a="1"/>
  <c r="A16" i="7" s="1"/>
  <c r="B24" i="7" a="1"/>
  <c r="B24" i="7" s="1"/>
  <c r="F15" i="7" a="1"/>
  <c r="F15" i="7" s="1"/>
  <c r="A15" i="7" s="1" a="1"/>
  <c r="A15" i="7" s="1"/>
  <c r="B23" i="7" a="1"/>
  <c r="B23" i="7" s="1"/>
  <c r="F14" i="7" a="1"/>
  <c r="F14" i="7" s="1"/>
  <c r="A14" i="7" s="1" a="1"/>
  <c r="A14" i="7" s="1"/>
  <c r="B22" i="7" a="1"/>
  <c r="B22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A2" i="7" a="1"/>
  <c r="B11" i="7" a="1"/>
  <c r="O37" i="7" a="1"/>
  <c r="B17" i="7" l="1" a="1"/>
  <c r="B17" i="7" s="1"/>
  <c r="F17" i="7" s="1" a="1"/>
  <c r="F17" i="7" s="1"/>
  <c r="A17" i="7" s="1" a="1"/>
  <c r="A17" i="7" s="1"/>
  <c r="O37" i="7"/>
  <c r="B11" i="7"/>
  <c r="A2" i="7"/>
  <c r="F22" i="7" a="1"/>
  <c r="F22" i="7" s="1"/>
  <c r="A22" i="7" s="1" a="1"/>
  <c r="A22" i="7" s="1"/>
  <c r="B30" i="7" a="1"/>
  <c r="B30" i="7" s="1"/>
  <c r="F18" i="7" a="1"/>
  <c r="F18" i="7" s="1"/>
  <c r="A18" i="7" s="1" a="1"/>
  <c r="A18" i="7" s="1"/>
  <c r="B26" i="7" a="1"/>
  <c r="B26" i="7" s="1"/>
  <c r="F23" i="7" a="1"/>
  <c r="F23" i="7" s="1"/>
  <c r="A23" i="7" s="1" a="1"/>
  <c r="A23" i="7" s="1"/>
  <c r="B31" i="7" a="1"/>
  <c r="B31" i="7" s="1"/>
  <c r="F20" i="7" a="1"/>
  <c r="F20" i="7" s="1"/>
  <c r="A20" i="7" s="1" a="1"/>
  <c r="A20" i="7" s="1"/>
  <c r="B28" i="7" a="1"/>
  <c r="B28" i="7" s="1"/>
  <c r="F24" i="7" a="1"/>
  <c r="F24" i="7" s="1"/>
  <c r="A24" i="7" s="1" a="1"/>
  <c r="A24" i="7" s="1"/>
  <c r="B32" i="7" a="1"/>
  <c r="B32" i="7" s="1"/>
  <c r="F21" i="7" a="1"/>
  <c r="F21" i="7" s="1"/>
  <c r="A21" i="7" s="1" a="1"/>
  <c r="A21" i="7" s="1"/>
  <c r="B29" i="7" a="1"/>
  <c r="B29" i="7" s="1"/>
  <c r="O45" i="7" a="1"/>
  <c r="A3" i="7" a="1"/>
  <c r="B25" i="7" l="1" a="1"/>
  <c r="B25" i="7" s="1"/>
  <c r="F25" i="7" s="1" a="1"/>
  <c r="F25" i="7" s="1"/>
  <c r="A25" i="7" s="1" a="1"/>
  <c r="A25" i="7" s="1"/>
  <c r="A3" i="7"/>
  <c r="O45" i="7"/>
  <c r="F32" i="7" a="1"/>
  <c r="F32" i="7" s="1"/>
  <c r="A32" i="7" s="1" a="1"/>
  <c r="A32" i="7" s="1"/>
  <c r="B40" i="7" a="1"/>
  <c r="B40" i="7" s="1"/>
  <c r="F30" i="7" a="1"/>
  <c r="F30" i="7" s="1"/>
  <c r="A30" i="7" s="1" a="1"/>
  <c r="A30" i="7" s="1"/>
  <c r="B38" i="7" a="1"/>
  <c r="B38" i="7" s="1"/>
  <c r="F28" i="7" a="1"/>
  <c r="F28" i="7" s="1"/>
  <c r="A28" i="7" s="1" a="1"/>
  <c r="A28" i="7" s="1"/>
  <c r="B36" i="7" a="1"/>
  <c r="B36" i="7" s="1"/>
  <c r="F31" i="7" a="1"/>
  <c r="F31" i="7" s="1"/>
  <c r="A31" i="7" s="1" a="1"/>
  <c r="A31" i="7" s="1"/>
  <c r="B39" i="7" a="1"/>
  <c r="B39" i="7" s="1"/>
  <c r="B19" i="7" a="1"/>
  <c r="B19" i="7" s="1"/>
  <c r="F29" i="7" a="1"/>
  <c r="F29" i="7" s="1"/>
  <c r="A29" i="7" s="1" a="1"/>
  <c r="A29" i="7" s="1"/>
  <c r="B37" i="7" a="1"/>
  <c r="B37" i="7" s="1"/>
  <c r="F26" i="7" a="1"/>
  <c r="F26" i="7" s="1"/>
  <c r="A26" i="7" s="1" a="1"/>
  <c r="A26" i="7" s="1"/>
  <c r="B34" i="7" a="1"/>
  <c r="B34" i="7" s="1"/>
  <c r="O53" i="7" a="1"/>
  <c r="F11" i="7" a="1"/>
  <c r="B33" i="7" l="1" a="1"/>
  <c r="B33" i="7" s="1"/>
  <c r="B41" i="7" s="1" a="1"/>
  <c r="B41" i="7" s="1"/>
  <c r="F11" i="7"/>
  <c r="O53" i="7"/>
  <c r="O61" i="7" s="1" a="1"/>
  <c r="O61" i="7" s="1"/>
  <c r="F19" i="7" a="1"/>
  <c r="F19" i="7" s="1"/>
  <c r="A19" i="7" s="1" a="1"/>
  <c r="A19" i="7" s="1"/>
  <c r="B27" i="7" a="1"/>
  <c r="B27" i="7" s="1"/>
  <c r="F38" i="7" a="1"/>
  <c r="F38" i="7" s="1"/>
  <c r="A38" i="7" s="1" a="1"/>
  <c r="A38" i="7" s="1"/>
  <c r="B46" i="7" a="1"/>
  <c r="B46" i="7" s="1"/>
  <c r="F39" i="7" a="1"/>
  <c r="F39" i="7" s="1"/>
  <c r="A39" i="7" s="1" a="1"/>
  <c r="A39" i="7" s="1"/>
  <c r="B47" i="7" a="1"/>
  <c r="B47" i="7" s="1"/>
  <c r="F40" i="7" a="1"/>
  <c r="F40" i="7" s="1"/>
  <c r="A40" i="7" s="1" a="1"/>
  <c r="A40" i="7" s="1"/>
  <c r="B48" i="7" a="1"/>
  <c r="B48" i="7" s="1"/>
  <c r="F34" i="7" a="1"/>
  <c r="F34" i="7" s="1"/>
  <c r="A34" i="7" s="1" a="1"/>
  <c r="A34" i="7" s="1"/>
  <c r="B42" i="7" a="1"/>
  <c r="B42" i="7" s="1"/>
  <c r="F36" i="7" a="1"/>
  <c r="F36" i="7" s="1"/>
  <c r="A36" i="7" s="1" a="1"/>
  <c r="A36" i="7" s="1"/>
  <c r="B44" i="7" a="1"/>
  <c r="B44" i="7" s="1"/>
  <c r="F37" i="7" a="1"/>
  <c r="F37" i="7" s="1"/>
  <c r="A37" i="7" s="1" a="1"/>
  <c r="A37" i="7" s="1"/>
  <c r="B45" i="7" a="1"/>
  <c r="B45" i="7" s="1"/>
  <c r="A11" i="7" a="1"/>
  <c r="F33" i="7" l="1" a="1"/>
  <c r="F33" i="7" s="1"/>
  <c r="A33" i="7" s="1" a="1"/>
  <c r="A33" i="7" s="1"/>
  <c r="A11" i="7"/>
  <c r="F44" i="7" a="1"/>
  <c r="F44" i="7" s="1"/>
  <c r="A44" i="7" s="1" a="1"/>
  <c r="A44" i="7" s="1"/>
  <c r="B52" i="7" a="1"/>
  <c r="B52" i="7" s="1"/>
  <c r="F46" i="7" a="1"/>
  <c r="F46" i="7" s="1"/>
  <c r="A46" i="7" s="1" a="1"/>
  <c r="A46" i="7" s="1"/>
  <c r="B54" i="7" a="1"/>
  <c r="B54" i="7" s="1"/>
  <c r="F42" i="7" a="1"/>
  <c r="F42" i="7" s="1"/>
  <c r="A42" i="7" s="1" a="1"/>
  <c r="A42" i="7" s="1"/>
  <c r="B50" i="7" a="1"/>
  <c r="B50" i="7" s="1"/>
  <c r="F27" i="7" a="1"/>
  <c r="F27" i="7" s="1"/>
  <c r="A27" i="7" s="1" a="1"/>
  <c r="A27" i="7" s="1"/>
  <c r="B35" i="7" a="1"/>
  <c r="B35" i="7" s="1"/>
  <c r="F48" i="7" a="1"/>
  <c r="F48" i="7" s="1"/>
  <c r="A48" i="7" s="1" a="1"/>
  <c r="A48" i="7" s="1"/>
  <c r="B56" i="7" a="1"/>
  <c r="B56" i="7" s="1"/>
  <c r="F41" i="7" a="1"/>
  <c r="F41" i="7" s="1"/>
  <c r="A41" i="7" s="1" a="1"/>
  <c r="A41" i="7" s="1"/>
  <c r="B49" i="7" a="1"/>
  <c r="B49" i="7" s="1"/>
  <c r="F45" i="7" a="1"/>
  <c r="F45" i="7" s="1"/>
  <c r="A45" i="7" s="1" a="1"/>
  <c r="A45" i="7" s="1"/>
  <c r="B53" i="7" a="1"/>
  <c r="B53" i="7" s="1"/>
  <c r="F47" i="7" a="1"/>
  <c r="F47" i="7" s="1"/>
  <c r="A47" i="7" s="1" a="1"/>
  <c r="A47" i="7" s="1"/>
  <c r="B55" i="7" a="1"/>
  <c r="B55" i="7" s="1"/>
  <c r="F53" i="7" l="1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F35" i="7" a="1"/>
  <c r="F35" i="7" s="1"/>
  <c r="A35" i="7" s="1" a="1"/>
  <c r="A35" i="7" s="1"/>
  <c r="B43" i="7" a="1"/>
  <c r="B43" i="7" s="1"/>
  <c r="F43" i="7" l="1" a="1"/>
  <c r="F43" i="7" s="1"/>
  <c r="A43" i="7" s="1" a="1"/>
  <c r="A43" i="7" s="1"/>
  <c r="B51" i="7" a="1"/>
  <c r="B51" i="7" s="1"/>
  <c r="F51" i="7" l="1" a="1"/>
  <c r="F51" i="7" s="1"/>
  <c r="A51" i="7" s="1" a="1"/>
  <c r="A51" i="7" s="1"/>
  <c r="B59" i="7" a="1"/>
  <c r="B59" i="7" s="1"/>
  <c r="F59" i="7" s="1" a="1"/>
  <c r="F59" i="7" s="1"/>
  <c r="A59" i="7" s="1" a="1"/>
  <c r="A59" i="7" s="1"/>
  <c r="R14" i="7" l="1" a="1"/>
  <c r="R14" i="7" s="1"/>
  <c r="S14" i="7" s="1"/>
  <c r="D264" i="9" s="1"/>
  <c r="R12" i="7" a="1"/>
  <c r="R12" i="7" s="1"/>
  <c r="T12" i="7" s="1"/>
  <c r="H262" i="9" s="1"/>
  <c r="Q262" i="9" s="1"/>
  <c r="P262" i="9" s="1"/>
  <c r="R10" i="7" a="1"/>
  <c r="R10" i="7" s="1"/>
  <c r="T10" i="7" s="1"/>
  <c r="R6" i="7" a="1"/>
  <c r="R6" i="7" s="1"/>
  <c r="T6" i="7" s="1"/>
  <c r="R2" i="7" a="1"/>
  <c r="R2" i="7" s="1"/>
  <c r="R5" i="7" a="1"/>
  <c r="R5" i="7" s="1"/>
  <c r="T5" i="7" s="1"/>
  <c r="R9" i="7" a="1"/>
  <c r="R9" i="7" s="1"/>
  <c r="R4" i="7" a="1"/>
  <c r="R4" i="7" s="1"/>
  <c r="T4" i="7" s="1"/>
  <c r="R13" i="7" a="1"/>
  <c r="R13" i="7" s="1"/>
  <c r="T13" i="7" s="1"/>
  <c r="R7" i="7" a="1"/>
  <c r="R7" i="7" s="1"/>
  <c r="T7" i="7" s="1"/>
  <c r="R1" i="7" a="1"/>
  <c r="R1" i="7" s="1"/>
  <c r="T1" i="7" s="1"/>
  <c r="C264" i="9"/>
  <c r="R8" i="7" a="1"/>
  <c r="R8" i="7" s="1"/>
  <c r="R15" i="7" a="1"/>
  <c r="R15" i="7" s="1"/>
  <c r="R11" i="7" a="1"/>
  <c r="R11" i="7" s="1"/>
  <c r="R3" i="7" a="1"/>
  <c r="R3" i="7" s="1"/>
  <c r="T3" i="7" s="1"/>
  <c r="T14" i="7" l="1"/>
  <c r="H264" i="9" s="1"/>
  <c r="Q264" i="9" s="1"/>
  <c r="P264" i="9" s="1"/>
  <c r="T9" i="7"/>
  <c r="H259" i="9" s="1"/>
  <c r="Q259" i="9" s="1"/>
  <c r="P259" i="9" s="1"/>
  <c r="S2" i="7"/>
  <c r="D252" i="9" s="1"/>
  <c r="T2" i="7"/>
  <c r="H252" i="9" s="1"/>
  <c r="Q252" i="9" s="1"/>
  <c r="P252" i="9" s="1"/>
  <c r="S11" i="7"/>
  <c r="D261" i="9" s="1"/>
  <c r="T11" i="7"/>
  <c r="H261" i="9" s="1"/>
  <c r="Q261" i="9" s="1"/>
  <c r="P261" i="9" s="1"/>
  <c r="S15" i="7"/>
  <c r="D265" i="9" s="1"/>
  <c r="T15" i="7"/>
  <c r="H265" i="9" s="1"/>
  <c r="Q265" i="9" s="1"/>
  <c r="P265" i="9" s="1"/>
  <c r="C259" i="9"/>
  <c r="J259" i="9" s="1"/>
  <c r="C252" i="9"/>
  <c r="S8" i="7"/>
  <c r="T8" i="7"/>
  <c r="C255" i="9"/>
  <c r="A255" i="9" s="1"/>
  <c r="S1" i="7"/>
  <c r="D251" i="9" s="1"/>
  <c r="S3" i="7"/>
  <c r="D253" i="9" s="1"/>
  <c r="C263" i="9"/>
  <c r="J263" i="9" s="1"/>
  <c r="S13" i="7"/>
  <c r="D263" i="9" s="1"/>
  <c r="C254" i="9"/>
  <c r="S4" i="7"/>
  <c r="D254" i="9" s="1"/>
  <c r="S9" i="7"/>
  <c r="D259" i="9" s="1"/>
  <c r="H255" i="9"/>
  <c r="Q255" i="9" s="1"/>
  <c r="P255" i="9" s="1"/>
  <c r="S5" i="7"/>
  <c r="D255" i="9" s="1"/>
  <c r="H256" i="9"/>
  <c r="Q256" i="9" s="1"/>
  <c r="P256" i="9" s="1"/>
  <c r="S6" i="7"/>
  <c r="D256" i="9" s="1"/>
  <c r="C251" i="9"/>
  <c r="A251" i="9" s="1"/>
  <c r="S10" i="7"/>
  <c r="D260" i="9" s="1"/>
  <c r="S7" i="7"/>
  <c r="D257" i="9" s="1"/>
  <c r="S12" i="7"/>
  <c r="D262" i="9" s="1"/>
  <c r="C262" i="9"/>
  <c r="J262" i="9" s="1"/>
  <c r="H263" i="9"/>
  <c r="Q263" i="9" s="1"/>
  <c r="P263" i="9" s="1"/>
  <c r="C256" i="9"/>
  <c r="J256" i="9" s="1"/>
  <c r="H257" i="9"/>
  <c r="Q257" i="9" s="1"/>
  <c r="P257" i="9" s="1"/>
  <c r="H254" i="9"/>
  <c r="Q254" i="9" s="1"/>
  <c r="P254" i="9" s="1"/>
  <c r="C257" i="9"/>
  <c r="J257" i="9" s="1"/>
  <c r="H251" i="9"/>
  <c r="Q251" i="9" s="1"/>
  <c r="P251" i="9" s="1"/>
  <c r="C260" i="9"/>
  <c r="A260" i="9" s="1"/>
  <c r="H260" i="9"/>
  <c r="Q260" i="9" s="1"/>
  <c r="P260" i="9" s="1"/>
  <c r="J252" i="9"/>
  <c r="A252" i="9"/>
  <c r="C253" i="9"/>
  <c r="H253" i="9"/>
  <c r="Q253" i="9" s="1"/>
  <c r="P253" i="9" s="1"/>
  <c r="C261" i="9"/>
  <c r="A254" i="9"/>
  <c r="J254" i="9"/>
  <c r="C265" i="9"/>
  <c r="D258" i="9"/>
  <c r="C258" i="9"/>
  <c r="H258" i="9"/>
  <c r="Q258" i="9" s="1"/>
  <c r="P258" i="9" s="1"/>
  <c r="J264" i="9"/>
  <c r="A264" i="9"/>
  <c r="A259" i="9" l="1"/>
  <c r="A262" i="9"/>
  <c r="A263" i="9"/>
  <c r="J255" i="9"/>
  <c r="R157" i="9" a="1"/>
  <c r="R157" i="9" s="1"/>
  <c r="S157" i="9" s="1" a="1"/>
  <c r="S157" i="9" s="1"/>
  <c r="AC157" i="9" s="1"/>
  <c r="J251" i="9"/>
  <c r="A257" i="9"/>
  <c r="A256" i="9"/>
  <c r="R162" i="9" a="1"/>
  <c r="R162" i="9" s="1"/>
  <c r="AU162" i="9" s="1"/>
  <c r="R1" i="9" a="1"/>
  <c r="R1" i="9" s="1"/>
  <c r="J260" i="9"/>
  <c r="R219" i="9" a="1"/>
  <c r="R219" i="9" s="1"/>
  <c r="J261" i="9"/>
  <c r="A261" i="9"/>
  <c r="R72" i="9" a="1"/>
  <c r="R72" i="9" s="1"/>
  <c r="AU72" i="9" s="1"/>
  <c r="R109" i="9" a="1"/>
  <c r="R109" i="9" s="1"/>
  <c r="R183" i="9" a="1"/>
  <c r="R183" i="9" s="1"/>
  <c r="R100" i="9" a="1"/>
  <c r="R100" i="9" s="1"/>
  <c r="AU100" i="9" s="1"/>
  <c r="R86" i="9" a="1"/>
  <c r="R86" i="9" s="1"/>
  <c r="R192" i="9" a="1"/>
  <c r="R192" i="9" s="1"/>
  <c r="R20" i="9" a="1"/>
  <c r="R20" i="9" s="1"/>
  <c r="R202" i="9" a="1"/>
  <c r="R202" i="9" s="1"/>
  <c r="R6" i="9" a="1"/>
  <c r="R6" i="9" s="1"/>
  <c r="R232" i="9" a="1"/>
  <c r="R232" i="9" s="1"/>
  <c r="R191" i="9" a="1"/>
  <c r="R191" i="9" s="1"/>
  <c r="R163" i="9" a="1"/>
  <c r="R163" i="9" s="1"/>
  <c r="R128" i="9" a="1"/>
  <c r="R128" i="9" s="1"/>
  <c r="R43" i="9" a="1"/>
  <c r="R43" i="9" s="1"/>
  <c r="R220" i="9" a="1"/>
  <c r="R220" i="9" s="1"/>
  <c r="R93" i="9" a="1"/>
  <c r="R93" i="9" s="1"/>
  <c r="R229" i="9" a="1"/>
  <c r="R229" i="9" s="1"/>
  <c r="R224" i="9" a="1"/>
  <c r="R224" i="9" s="1"/>
  <c r="R78" i="9" a="1"/>
  <c r="R78" i="9" s="1"/>
  <c r="R166" i="9" a="1"/>
  <c r="R166" i="9" s="1"/>
  <c r="R242" i="9" a="1"/>
  <c r="R242" i="9" s="1"/>
  <c r="R114" i="9" a="1"/>
  <c r="R114" i="9" s="1"/>
  <c r="R30" i="9" a="1"/>
  <c r="R30" i="9" s="1"/>
  <c r="R227" i="9" a="1"/>
  <c r="R227" i="9" s="1"/>
  <c r="R95" i="9" a="1"/>
  <c r="R95" i="9" s="1"/>
  <c r="R141" i="9" a="1"/>
  <c r="R141" i="9" s="1"/>
  <c r="R110" i="9" a="1"/>
  <c r="R110" i="9" s="1"/>
  <c r="R238" i="9" a="1"/>
  <c r="R238" i="9" s="1"/>
  <c r="R49" i="9" a="1"/>
  <c r="R49" i="9" s="1"/>
  <c r="R234" i="9" a="1"/>
  <c r="R234" i="9" s="1"/>
  <c r="R236" i="9" a="1"/>
  <c r="R236" i="9" s="1"/>
  <c r="R151" i="9" a="1"/>
  <c r="R151" i="9" s="1"/>
  <c r="R12" i="9" a="1"/>
  <c r="R12" i="9" s="1"/>
  <c r="R225" i="9" a="1"/>
  <c r="R225" i="9" s="1"/>
  <c r="AU225" i="9" s="1"/>
  <c r="R129" i="9" a="1"/>
  <c r="R129" i="9" s="1"/>
  <c r="AU129" i="9" s="1"/>
  <c r="R243" i="9" a="1"/>
  <c r="R243" i="9" s="1"/>
  <c r="R105" i="9" a="1"/>
  <c r="R105" i="9" s="1"/>
  <c r="R21" i="9" a="1"/>
  <c r="R21" i="9" s="1"/>
  <c r="R173" i="9" a="1"/>
  <c r="R173" i="9" s="1"/>
  <c r="R150" i="9" a="1"/>
  <c r="R150" i="9" s="1"/>
  <c r="R152" i="9" a="1"/>
  <c r="R152" i="9" s="1"/>
  <c r="AU152" i="9" s="1"/>
  <c r="R66" i="9" a="1"/>
  <c r="R66" i="9" s="1"/>
  <c r="R211" i="9" a="1"/>
  <c r="R211" i="9" s="1"/>
  <c r="R180" i="9" a="1"/>
  <c r="R180" i="9" s="1"/>
  <c r="R36" i="9" a="1"/>
  <c r="R36" i="9" s="1"/>
  <c r="R198" i="9" a="1"/>
  <c r="R198" i="9" s="1"/>
  <c r="R136" i="9" a="1"/>
  <c r="R136" i="9" s="1"/>
  <c r="R99" i="9" a="1"/>
  <c r="R99" i="9" s="1"/>
  <c r="R33" i="9" a="1"/>
  <c r="R33" i="9" s="1"/>
  <c r="R154" i="9" a="1"/>
  <c r="R154" i="9" s="1"/>
  <c r="R16" i="9" a="1"/>
  <c r="R16" i="9" s="1"/>
  <c r="R79" i="9" a="1"/>
  <c r="R79" i="9" s="1"/>
  <c r="R24" i="9" a="1"/>
  <c r="R24" i="9" s="1"/>
  <c r="R223" i="9" a="1"/>
  <c r="R223" i="9" s="1"/>
  <c r="R188" i="9" a="1"/>
  <c r="R188" i="9" s="1"/>
  <c r="R29" i="9" a="1"/>
  <c r="R29" i="9" s="1"/>
  <c r="R75" i="9" a="1"/>
  <c r="R75" i="9" s="1"/>
  <c r="R35" i="9" a="1"/>
  <c r="R35" i="9" s="1"/>
  <c r="R39" i="9" a="1"/>
  <c r="R39" i="9" s="1"/>
  <c r="R135" i="9" a="1"/>
  <c r="R135" i="9" s="1"/>
  <c r="R77" i="9" a="1"/>
  <c r="R77" i="9" s="1"/>
  <c r="R76" i="9" a="1"/>
  <c r="R76" i="9" s="1"/>
  <c r="R175" i="9" a="1"/>
  <c r="R175" i="9" s="1"/>
  <c r="R107" i="9" a="1"/>
  <c r="R107" i="9" s="1"/>
  <c r="R81" i="9" a="1"/>
  <c r="R81" i="9" s="1"/>
  <c r="R121" i="9" a="1"/>
  <c r="R121" i="9" s="1"/>
  <c r="R123" i="9" a="1"/>
  <c r="R123" i="9" s="1"/>
  <c r="AU123" i="9" s="1"/>
  <c r="A265" i="9"/>
  <c r="J265" i="9"/>
  <c r="R158" i="9" a="1"/>
  <c r="R158" i="9" s="1"/>
  <c r="AU158" i="9" s="1"/>
  <c r="R174" i="9" a="1"/>
  <c r="R174" i="9" s="1"/>
  <c r="R80" i="9" a="1"/>
  <c r="R80" i="9" s="1"/>
  <c r="R102" i="9" a="1"/>
  <c r="R102" i="9" s="1"/>
  <c r="R45" i="9" a="1"/>
  <c r="R45" i="9" s="1"/>
  <c r="R15" i="9" a="1"/>
  <c r="R15" i="9" s="1"/>
  <c r="R127" i="9" a="1"/>
  <c r="R127" i="9" s="1"/>
  <c r="R101" i="9" a="1"/>
  <c r="R101" i="9" s="1"/>
  <c r="R214" i="9" a="1"/>
  <c r="R214" i="9" s="1"/>
  <c r="R210" i="9" a="1"/>
  <c r="R210" i="9" s="1"/>
  <c r="R52" i="9" a="1"/>
  <c r="R52" i="9" s="1"/>
  <c r="R68" i="9" a="1"/>
  <c r="R68" i="9" s="1"/>
  <c r="R264" i="9" a="1"/>
  <c r="R264" i="9" s="1"/>
  <c r="R73" i="9" a="1"/>
  <c r="R73" i="9" s="1"/>
  <c r="R200" i="9" a="1"/>
  <c r="R200" i="9" s="1"/>
  <c r="R27" i="9" a="1"/>
  <c r="R27" i="9" s="1"/>
  <c r="R181" i="9" a="1"/>
  <c r="R181" i="9" s="1"/>
  <c r="R28" i="9" a="1"/>
  <c r="R28" i="9" s="1"/>
  <c r="R265" i="9" a="1"/>
  <c r="R265" i="9" s="1"/>
  <c r="R26" i="9" a="1"/>
  <c r="R26" i="9" s="1"/>
  <c r="R92" i="9" a="1"/>
  <c r="R92" i="9" s="1"/>
  <c r="R25" i="9" a="1"/>
  <c r="R25" i="9" s="1"/>
  <c r="R133" i="9" a="1"/>
  <c r="R133" i="9" s="1"/>
  <c r="R54" i="9" a="1"/>
  <c r="R54" i="9" s="1"/>
  <c r="R63" i="9" a="1"/>
  <c r="R63" i="9" s="1"/>
  <c r="R116" i="9" a="1"/>
  <c r="R116" i="9" s="1"/>
  <c r="R176" i="9" a="1"/>
  <c r="R176" i="9" s="1"/>
  <c r="R5" i="9" a="1"/>
  <c r="R5" i="9" s="1"/>
  <c r="R241" i="9" a="1"/>
  <c r="R241" i="9" s="1"/>
  <c r="R10" i="9" a="1"/>
  <c r="R10" i="9" s="1"/>
  <c r="R179" i="9" a="1"/>
  <c r="R179" i="9" s="1"/>
  <c r="R190" i="9" a="1"/>
  <c r="R190" i="9" s="1"/>
  <c r="AU190" i="9" s="1"/>
  <c r="R115" i="9" a="1"/>
  <c r="R115" i="9" s="1"/>
  <c r="R82" i="9" a="1"/>
  <c r="R82" i="9" s="1"/>
  <c r="R205" i="9" a="1"/>
  <c r="R205" i="9" s="1"/>
  <c r="R38" i="9" a="1"/>
  <c r="R38" i="9" s="1"/>
  <c r="R60" i="9" a="1"/>
  <c r="R60" i="9" s="1"/>
  <c r="R194" i="9" a="1"/>
  <c r="R194" i="9" s="1"/>
  <c r="R164" i="9" a="1"/>
  <c r="R164" i="9" s="1"/>
  <c r="R246" i="9" a="1"/>
  <c r="R246" i="9" s="1"/>
  <c r="R19" i="9" a="1"/>
  <c r="R19" i="9" s="1"/>
  <c r="R140" i="9" a="1"/>
  <c r="R140" i="9" s="1"/>
  <c r="R11" i="9" a="1"/>
  <c r="R11" i="9" s="1"/>
  <c r="R51" i="9" a="1"/>
  <c r="R51" i="9" s="1"/>
  <c r="R195" i="9" a="1"/>
  <c r="R195" i="9" s="1"/>
  <c r="R169" i="9" a="1"/>
  <c r="R169" i="9" s="1"/>
  <c r="R2" i="9" a="1"/>
  <c r="R2" i="9" s="1"/>
  <c r="R153" i="9" a="1"/>
  <c r="R153" i="9" s="1"/>
  <c r="R145" i="9" a="1"/>
  <c r="R145" i="9" s="1"/>
  <c r="R32" i="9" a="1"/>
  <c r="R32" i="9" s="1"/>
  <c r="R251" i="9" a="1"/>
  <c r="R251" i="9" s="1"/>
  <c r="R218" i="9" a="1"/>
  <c r="R218" i="9" s="1"/>
  <c r="R56" i="9" a="1"/>
  <c r="R56" i="9" s="1"/>
  <c r="R159" i="9" a="1"/>
  <c r="R159" i="9" s="1"/>
  <c r="R203" i="9" a="1"/>
  <c r="R203" i="9" s="1"/>
  <c r="R113" i="9" a="1"/>
  <c r="R113" i="9" s="1"/>
  <c r="R3" i="9" a="1"/>
  <c r="R3" i="9" s="1"/>
  <c r="R189" i="9" a="1"/>
  <c r="R189" i="9" s="1"/>
  <c r="R184" i="9" a="1"/>
  <c r="R184" i="9" s="1"/>
  <c r="R221" i="9" a="1"/>
  <c r="R221" i="9" s="1"/>
  <c r="R231" i="9" a="1"/>
  <c r="R231" i="9" s="1"/>
  <c r="R103" i="9" a="1"/>
  <c r="R103" i="9" s="1"/>
  <c r="R48" i="9" a="1"/>
  <c r="R48" i="9" s="1"/>
  <c r="R250" i="9" a="1"/>
  <c r="R250" i="9" s="1"/>
  <c r="R125" i="9" a="1"/>
  <c r="R125" i="9" s="1"/>
  <c r="R50" i="9" a="1"/>
  <c r="R50" i="9" s="1"/>
  <c r="R228" i="9" a="1"/>
  <c r="R228" i="9" s="1"/>
  <c r="AU228" i="9" s="1"/>
  <c r="R106" i="9" a="1"/>
  <c r="R106" i="9" s="1"/>
  <c r="R120" i="9" a="1"/>
  <c r="R120" i="9" s="1"/>
  <c r="R144" i="9" a="1"/>
  <c r="R144" i="9" s="1"/>
  <c r="R155" i="9" a="1"/>
  <c r="R155" i="9" s="1"/>
  <c r="AU155" i="9" s="1"/>
  <c r="R17" i="9" a="1"/>
  <c r="R17" i="9" s="1"/>
  <c r="R197" i="9" a="1"/>
  <c r="R197" i="9" s="1"/>
  <c r="R206" i="9" a="1"/>
  <c r="R206" i="9" s="1"/>
  <c r="R254" i="9" a="1"/>
  <c r="R254" i="9" s="1"/>
  <c r="R230" i="9" a="1"/>
  <c r="R230" i="9" s="1"/>
  <c r="R245" i="9" a="1"/>
  <c r="R245" i="9" s="1"/>
  <c r="R55" i="9" a="1"/>
  <c r="R55" i="9" s="1"/>
  <c r="R143" i="9" a="1"/>
  <c r="R143" i="9" s="1"/>
  <c r="R69" i="9" a="1"/>
  <c r="R69" i="9" s="1"/>
  <c r="R130" i="9" a="1"/>
  <c r="R130" i="9" s="1"/>
  <c r="R122" i="9" a="1"/>
  <c r="R122" i="9" s="1"/>
  <c r="R178" i="9" a="1"/>
  <c r="R178" i="9" s="1"/>
  <c r="R89" i="9" a="1"/>
  <c r="R89" i="9" s="1"/>
  <c r="R9" i="9" a="1"/>
  <c r="R9" i="9" s="1"/>
  <c r="R156" i="9" a="1"/>
  <c r="R156" i="9" s="1"/>
  <c r="R139" i="9" a="1"/>
  <c r="R139" i="9" s="1"/>
  <c r="R83" i="9" a="1"/>
  <c r="R83" i="9" s="1"/>
  <c r="R111" i="9" a="1"/>
  <c r="R111" i="9" s="1"/>
  <c r="R44" i="9" a="1"/>
  <c r="R44" i="9" s="1"/>
  <c r="R8" i="9" a="1"/>
  <c r="R8" i="9" s="1"/>
  <c r="R147" i="9" a="1"/>
  <c r="R147" i="9" s="1"/>
  <c r="R217" i="9" a="1"/>
  <c r="R217" i="9" s="1"/>
  <c r="R186" i="9" a="1"/>
  <c r="R186" i="9" s="1"/>
  <c r="R253" i="9" a="1"/>
  <c r="R253" i="9" s="1"/>
  <c r="R41" i="9" a="1"/>
  <c r="R41" i="9" s="1"/>
  <c r="R222" i="9" a="1"/>
  <c r="R222" i="9" s="1"/>
  <c r="R88" i="9" a="1"/>
  <c r="R88" i="9" s="1"/>
  <c r="R37" i="9" a="1"/>
  <c r="R37" i="9" s="1"/>
  <c r="R65" i="9" a="1"/>
  <c r="R65" i="9" s="1"/>
  <c r="R134" i="9" a="1"/>
  <c r="R134" i="9" s="1"/>
  <c r="R247" i="9" a="1"/>
  <c r="R247" i="9" s="1"/>
  <c r="R94" i="9" a="1"/>
  <c r="R94" i="9" s="1"/>
  <c r="R91" i="9" a="1"/>
  <c r="R91" i="9" s="1"/>
  <c r="R216" i="9" a="1"/>
  <c r="R216" i="9" s="1"/>
  <c r="R146" i="9" a="1"/>
  <c r="R146" i="9" s="1"/>
  <c r="R148" i="9" a="1"/>
  <c r="R148" i="9" s="1"/>
  <c r="R204" i="9" a="1"/>
  <c r="R204" i="9" s="1"/>
  <c r="R160" i="9" a="1"/>
  <c r="R160" i="9" s="1"/>
  <c r="R138" i="9" a="1"/>
  <c r="R138" i="9" s="1"/>
  <c r="R185" i="9" a="1"/>
  <c r="R185" i="9" s="1"/>
  <c r="R67" i="9" a="1"/>
  <c r="R67" i="9" s="1"/>
  <c r="R131" i="9" a="1"/>
  <c r="R131" i="9" s="1"/>
  <c r="R85" i="9" a="1"/>
  <c r="R85" i="9" s="1"/>
  <c r="R187" i="9" a="1"/>
  <c r="R187" i="9" s="1"/>
  <c r="R90" i="9" a="1"/>
  <c r="R90" i="9" s="1"/>
  <c r="R23" i="9" a="1"/>
  <c r="R23" i="9" s="1"/>
  <c r="R244" i="9" a="1"/>
  <c r="R244" i="9" s="1"/>
  <c r="R98" i="9" a="1"/>
  <c r="R98" i="9" s="1"/>
  <c r="R132" i="9" a="1"/>
  <c r="R132" i="9" s="1"/>
  <c r="R201" i="9" a="1"/>
  <c r="R201" i="9" s="1"/>
  <c r="R239" i="9" a="1"/>
  <c r="R239" i="9" s="1"/>
  <c r="R108" i="9" a="1"/>
  <c r="R108" i="9" s="1"/>
  <c r="R226" i="9" a="1"/>
  <c r="R226" i="9" s="1"/>
  <c r="R142" i="9" a="1"/>
  <c r="R142" i="9" s="1"/>
  <c r="R249" i="9" a="1"/>
  <c r="R249" i="9" s="1"/>
  <c r="R57" i="9" a="1"/>
  <c r="R57" i="9" s="1"/>
  <c r="R124" i="9" a="1"/>
  <c r="R124" i="9" s="1"/>
  <c r="AU124" i="9" s="1"/>
  <c r="J258" i="9"/>
  <c r="A258" i="9"/>
  <c r="J253" i="9"/>
  <c r="A253" i="9"/>
  <c r="R104" i="9" a="1"/>
  <c r="R104" i="9" s="1"/>
  <c r="R149" i="9" a="1"/>
  <c r="R149" i="9" s="1"/>
  <c r="R118" i="9" a="1"/>
  <c r="R118" i="9" s="1"/>
  <c r="R119" i="9" a="1"/>
  <c r="R119" i="9" s="1"/>
  <c r="R112" i="9" a="1"/>
  <c r="R112" i="9" s="1"/>
  <c r="R40" i="9" a="1"/>
  <c r="R40" i="9" s="1"/>
  <c r="R209" i="9" a="1"/>
  <c r="R209" i="9" s="1"/>
  <c r="R62" i="9" a="1"/>
  <c r="R62" i="9" s="1"/>
  <c r="R22" i="9" a="1"/>
  <c r="R22" i="9" s="1"/>
  <c r="R58" i="9" a="1"/>
  <c r="R58" i="9" s="1"/>
  <c r="R126" i="9" a="1"/>
  <c r="R126" i="9" s="1"/>
  <c r="R71" i="9" a="1"/>
  <c r="R71" i="9" s="1"/>
  <c r="R240" i="9" a="1"/>
  <c r="R240" i="9" s="1"/>
  <c r="R168" i="9" a="1"/>
  <c r="R168" i="9" s="1"/>
  <c r="R13" i="9" a="1"/>
  <c r="R13" i="9" s="1"/>
  <c r="R171" i="9" a="1"/>
  <c r="R171" i="9" s="1"/>
  <c r="R213" i="9" a="1"/>
  <c r="R213" i="9" s="1"/>
  <c r="R31" i="9" a="1"/>
  <c r="R31" i="9" s="1"/>
  <c r="R193" i="9" a="1"/>
  <c r="R193" i="9" s="1"/>
  <c r="R46" i="9" a="1"/>
  <c r="R46" i="9" s="1"/>
  <c r="R18" i="9" a="1"/>
  <c r="R18" i="9" s="1"/>
  <c r="R248" i="9" a="1"/>
  <c r="R248" i="9" s="1"/>
  <c r="R61" i="9" a="1"/>
  <c r="R61" i="9" s="1"/>
  <c r="R182" i="9" a="1"/>
  <c r="R182" i="9" s="1"/>
  <c r="R161" i="9" a="1"/>
  <c r="R161" i="9" s="1"/>
  <c r="R208" i="9" a="1"/>
  <c r="R208" i="9" s="1"/>
  <c r="R70" i="9" a="1"/>
  <c r="R70" i="9" s="1"/>
  <c r="R97" i="9" a="1"/>
  <c r="R97" i="9" s="1"/>
  <c r="R47" i="9" a="1"/>
  <c r="R47" i="9" s="1"/>
  <c r="R199" i="9" a="1"/>
  <c r="R199" i="9" s="1"/>
  <c r="R59" i="9" a="1"/>
  <c r="R59" i="9" s="1"/>
  <c r="R233" i="9" a="1"/>
  <c r="R233" i="9" s="1"/>
  <c r="R212" i="9" a="1"/>
  <c r="R212" i="9" s="1"/>
  <c r="R165" i="9" a="1"/>
  <c r="R165" i="9" s="1"/>
  <c r="R167" i="9" a="1"/>
  <c r="R167" i="9" s="1"/>
  <c r="R137" i="9" a="1"/>
  <c r="R137" i="9" s="1"/>
  <c r="R64" i="9" a="1"/>
  <c r="R64" i="9" s="1"/>
  <c r="R87" i="9" a="1"/>
  <c r="R87" i="9" s="1"/>
  <c r="R14" i="9" a="1"/>
  <c r="R14" i="9" s="1"/>
  <c r="R42" i="9" a="1"/>
  <c r="R42" i="9" s="1"/>
  <c r="R263" i="9" a="1"/>
  <c r="R263" i="9" s="1"/>
  <c r="R117" i="9" a="1"/>
  <c r="R117" i="9" s="1"/>
  <c r="R170" i="9" a="1"/>
  <c r="R170" i="9" s="1"/>
  <c r="R177" i="9" a="1"/>
  <c r="R177" i="9" s="1"/>
  <c r="R7" i="9" a="1"/>
  <c r="R7" i="9" s="1"/>
  <c r="R237" i="9" a="1"/>
  <c r="R237" i="9" s="1"/>
  <c r="R74" i="9" a="1"/>
  <c r="R74" i="9" s="1"/>
  <c r="R53" i="9" a="1"/>
  <c r="R53" i="9" s="1"/>
  <c r="R172" i="9" a="1"/>
  <c r="R172" i="9" s="1"/>
  <c r="R34" i="9" a="1"/>
  <c r="R34" i="9" s="1"/>
  <c r="R84" i="9" a="1"/>
  <c r="R84" i="9" s="1"/>
  <c r="R235" i="9" a="1"/>
  <c r="R235" i="9" s="1"/>
  <c r="R96" i="9" a="1"/>
  <c r="R96" i="9" s="1"/>
  <c r="R196" i="9" a="1"/>
  <c r="R196" i="9" s="1"/>
  <c r="R252" i="9" a="1"/>
  <c r="R252" i="9" s="1"/>
  <c r="R215" i="9" a="1"/>
  <c r="R215" i="9" s="1"/>
  <c r="R4" i="9" a="1"/>
  <c r="R4" i="9" s="1"/>
  <c r="R207" i="9" a="1"/>
  <c r="R207" i="9" s="1"/>
  <c r="S1" i="9" a="1"/>
  <c r="AB157" i="9" l="1" a="1"/>
  <c r="AB157" i="9" s="1"/>
  <c r="T157" i="9" a="1"/>
  <c r="T157" i="9" s="1"/>
  <c r="Y157" i="9" a="1"/>
  <c r="Y157" i="9" s="1"/>
  <c r="W162" i="9" a="1"/>
  <c r="W162" i="9" s="1"/>
  <c r="Y162" i="9" a="1"/>
  <c r="Y162" i="9" s="1"/>
  <c r="T162" i="9" a="1"/>
  <c r="T162" i="9" s="1"/>
  <c r="AU157" i="9"/>
  <c r="W157" i="9" a="1"/>
  <c r="W157" i="9" s="1"/>
  <c r="V162" i="9" a="1"/>
  <c r="V162" i="9" s="1"/>
  <c r="Z162" i="9"/>
  <c r="U162" i="9" a="1"/>
  <c r="U162" i="9" s="1"/>
  <c r="X157" i="9" a="1"/>
  <c r="X157" i="9" s="1"/>
  <c r="AB162" i="9" a="1"/>
  <c r="AB162" i="9" s="1"/>
  <c r="X162" i="9" a="1"/>
  <c r="X162" i="9" s="1"/>
  <c r="V157" i="9" a="1"/>
  <c r="V157" i="9" s="1"/>
  <c r="S162" i="9" a="1"/>
  <c r="S162" i="9" s="1"/>
  <c r="AC162" i="9" s="1"/>
  <c r="U157" i="9" a="1"/>
  <c r="U157" i="9" s="1"/>
  <c r="Z157" i="9"/>
  <c r="S1" i="9"/>
  <c r="AU252" i="9"/>
  <c r="Y252" i="9" a="1"/>
  <c r="Y252" i="9" s="1"/>
  <c r="S252" i="9" a="1"/>
  <c r="S252" i="9" s="1"/>
  <c r="AC252" i="9" s="1"/>
  <c r="V252" i="9" a="1"/>
  <c r="V252" i="9" s="1"/>
  <c r="U252" i="9" a="1"/>
  <c r="U252" i="9" s="1"/>
  <c r="X252" i="9" a="1"/>
  <c r="X252" i="9" s="1"/>
  <c r="W252" i="9" a="1"/>
  <c r="W252" i="9" s="1"/>
  <c r="T252" i="9" a="1"/>
  <c r="T252" i="9" s="1"/>
  <c r="Z252" i="9"/>
  <c r="AB252" i="9" a="1"/>
  <c r="AB252" i="9" s="1"/>
  <c r="AU74" i="9"/>
  <c r="X74" i="9" a="1"/>
  <c r="X74" i="9" s="1"/>
  <c r="Z74" i="9"/>
  <c r="U74" i="9" a="1"/>
  <c r="U74" i="9" s="1"/>
  <c r="T74" i="9" a="1"/>
  <c r="T74" i="9" s="1"/>
  <c r="Y74" i="9" a="1"/>
  <c r="Y74" i="9" s="1"/>
  <c r="V74" i="9" a="1"/>
  <c r="V74" i="9" s="1"/>
  <c r="W74" i="9" a="1"/>
  <c r="W74" i="9" s="1"/>
  <c r="AB74" i="9" a="1"/>
  <c r="AB74" i="9" s="1"/>
  <c r="W161" i="9" a="1"/>
  <c r="W161" i="9" s="1"/>
  <c r="AU161" i="9"/>
  <c r="S161" i="9" a="1"/>
  <c r="S161" i="9" s="1"/>
  <c r="AC161" i="9" s="1"/>
  <c r="V161" i="9" a="1"/>
  <c r="V161" i="9" s="1"/>
  <c r="T161" i="9" a="1"/>
  <c r="T161" i="9" s="1"/>
  <c r="Y161" i="9" a="1"/>
  <c r="Y161" i="9" s="1"/>
  <c r="Z161" i="9"/>
  <c r="X161" i="9" a="1"/>
  <c r="X161" i="9" s="1"/>
  <c r="U161" i="9" a="1"/>
  <c r="U161" i="9" s="1"/>
  <c r="AB161" i="9" a="1"/>
  <c r="AB161" i="9" s="1"/>
  <c r="V213" i="9" a="1"/>
  <c r="V213" i="9" s="1"/>
  <c r="Y213" i="9" a="1"/>
  <c r="Y213" i="9" s="1"/>
  <c r="AB213" i="9" a="1"/>
  <c r="AB213" i="9" s="1"/>
  <c r="AU213" i="9"/>
  <c r="T213" i="9" a="1"/>
  <c r="T213" i="9" s="1"/>
  <c r="Z213" i="9"/>
  <c r="X213" i="9" a="1"/>
  <c r="X213" i="9" s="1"/>
  <c r="U213" i="9" a="1"/>
  <c r="U213" i="9" s="1"/>
  <c r="W213" i="9" a="1"/>
  <c r="W213" i="9" s="1"/>
  <c r="S213" i="9" a="1"/>
  <c r="S213" i="9" s="1"/>
  <c r="AC213" i="9" s="1"/>
  <c r="W104" i="9" a="1"/>
  <c r="W104" i="9" s="1"/>
  <c r="T104" i="9" a="1"/>
  <c r="T104" i="9" s="1"/>
  <c r="V104" i="9" a="1"/>
  <c r="V104" i="9" s="1"/>
  <c r="AB104" i="9" a="1"/>
  <c r="AB104" i="9" s="1"/>
  <c r="X104" i="9" a="1"/>
  <c r="X104" i="9" s="1"/>
  <c r="AU104" i="9"/>
  <c r="S104" i="9" a="1"/>
  <c r="S104" i="9" s="1"/>
  <c r="AC104" i="9" s="1"/>
  <c r="U104" i="9" a="1"/>
  <c r="U104" i="9" s="1"/>
  <c r="Y104" i="9" a="1"/>
  <c r="Y104" i="9" s="1"/>
  <c r="Z104" i="9"/>
  <c r="V249" i="9" a="1"/>
  <c r="V249" i="9" s="1"/>
  <c r="T249" i="9" a="1"/>
  <c r="T249" i="9" s="1"/>
  <c r="W249" i="9" a="1"/>
  <c r="W249" i="9" s="1"/>
  <c r="X249" i="9" a="1"/>
  <c r="X249" i="9" s="1"/>
  <c r="U249" i="9" a="1"/>
  <c r="U249" i="9" s="1"/>
  <c r="S249" i="9" a="1"/>
  <c r="S249" i="9" s="1"/>
  <c r="AC249" i="9" s="1"/>
  <c r="AB249" i="9" a="1"/>
  <c r="AB249" i="9" s="1"/>
  <c r="Z249" i="9"/>
  <c r="AU249" i="9"/>
  <c r="Y249" i="9" a="1"/>
  <c r="Y249" i="9" s="1"/>
  <c r="W244" i="9" a="1"/>
  <c r="W244" i="9" s="1"/>
  <c r="S244" i="9" a="1"/>
  <c r="S244" i="9" s="1"/>
  <c r="AC244" i="9" s="1"/>
  <c r="AB244" i="9" a="1"/>
  <c r="AB244" i="9" s="1"/>
  <c r="Z244" i="9"/>
  <c r="Y244" i="9" a="1"/>
  <c r="Y244" i="9" s="1"/>
  <c r="V244" i="9" a="1"/>
  <c r="V244" i="9" s="1"/>
  <c r="AU244" i="9"/>
  <c r="T244" i="9" a="1"/>
  <c r="T244" i="9" s="1"/>
  <c r="X244" i="9" a="1"/>
  <c r="X244" i="9" s="1"/>
  <c r="U244" i="9" a="1"/>
  <c r="U244" i="9" s="1"/>
  <c r="X138" i="9" a="1"/>
  <c r="X138" i="9" s="1"/>
  <c r="Y138" i="9" a="1"/>
  <c r="Y138" i="9" s="1"/>
  <c r="S138" i="9" a="1"/>
  <c r="S138" i="9" s="1"/>
  <c r="AC138" i="9" s="1"/>
  <c r="Z138" i="9"/>
  <c r="W138" i="9" a="1"/>
  <c r="W138" i="9" s="1"/>
  <c r="AB138" i="9" a="1"/>
  <c r="AB138" i="9" s="1"/>
  <c r="U138" i="9" a="1"/>
  <c r="U138" i="9" s="1"/>
  <c r="T138" i="9" a="1"/>
  <c r="T138" i="9" s="1"/>
  <c r="V138" i="9" a="1"/>
  <c r="V138" i="9" s="1"/>
  <c r="AU138" i="9"/>
  <c r="X247" i="9" a="1"/>
  <c r="X247" i="9" s="1"/>
  <c r="AU247" i="9"/>
  <c r="S247" i="9" a="1"/>
  <c r="S247" i="9" s="1"/>
  <c r="AC247" i="9" s="1"/>
  <c r="Z247" i="9"/>
  <c r="T247" i="9" a="1"/>
  <c r="T247" i="9" s="1"/>
  <c r="V247" i="9" a="1"/>
  <c r="V247" i="9" s="1"/>
  <c r="AB247" i="9" a="1"/>
  <c r="AB247" i="9" s="1"/>
  <c r="U247" i="9" a="1"/>
  <c r="U247" i="9" s="1"/>
  <c r="Y247" i="9" a="1"/>
  <c r="Y247" i="9" s="1"/>
  <c r="W247" i="9" a="1"/>
  <c r="W247" i="9" s="1"/>
  <c r="V186" i="9" a="1"/>
  <c r="V186" i="9" s="1"/>
  <c r="U186" i="9" a="1"/>
  <c r="U186" i="9" s="1"/>
  <c r="X186" i="9" a="1"/>
  <c r="X186" i="9" s="1"/>
  <c r="Y186" i="9" a="1"/>
  <c r="Y186" i="9" s="1"/>
  <c r="W186" i="9" a="1"/>
  <c r="W186" i="9" s="1"/>
  <c r="T186" i="9" a="1"/>
  <c r="T186" i="9" s="1"/>
  <c r="AB186" i="9" a="1"/>
  <c r="AB186" i="9" s="1"/>
  <c r="AU186" i="9"/>
  <c r="Z186" i="9"/>
  <c r="S186" i="9" a="1"/>
  <c r="S186" i="9" s="1"/>
  <c r="AC186" i="9" s="1"/>
  <c r="Y156" i="9" a="1"/>
  <c r="Y156" i="9" s="1"/>
  <c r="X156" i="9" a="1"/>
  <c r="X156" i="9" s="1"/>
  <c r="V156" i="9" a="1"/>
  <c r="V156" i="9" s="1"/>
  <c r="W156" i="9" a="1"/>
  <c r="W156" i="9" s="1"/>
  <c r="AB156" i="9" a="1"/>
  <c r="AB156" i="9" s="1"/>
  <c r="T156" i="9" a="1"/>
  <c r="T156" i="9" s="1"/>
  <c r="S156" i="9" a="1"/>
  <c r="S156" i="9" s="1"/>
  <c r="AC156" i="9" s="1"/>
  <c r="Z156" i="9"/>
  <c r="U156" i="9" a="1"/>
  <c r="U156" i="9" s="1"/>
  <c r="AU156" i="9"/>
  <c r="AU55" i="9"/>
  <c r="Z144" i="9"/>
  <c r="AB144" i="9" a="1"/>
  <c r="AB144" i="9" s="1"/>
  <c r="W144" i="9" a="1"/>
  <c r="W144" i="9" s="1"/>
  <c r="X144" i="9" a="1"/>
  <c r="X144" i="9" s="1"/>
  <c r="Y144" i="9" a="1"/>
  <c r="Y144" i="9" s="1"/>
  <c r="U144" i="9" a="1"/>
  <c r="U144" i="9" s="1"/>
  <c r="S144" i="9" a="1"/>
  <c r="S144" i="9" s="1"/>
  <c r="AC144" i="9" s="1"/>
  <c r="V144" i="9" a="1"/>
  <c r="V144" i="9" s="1"/>
  <c r="T144" i="9" a="1"/>
  <c r="T144" i="9" s="1"/>
  <c r="AU144" i="9"/>
  <c r="V103" i="9" a="1"/>
  <c r="V103" i="9" s="1"/>
  <c r="X103" i="9" a="1"/>
  <c r="X103" i="9" s="1"/>
  <c r="Y103" i="9" a="1"/>
  <c r="Y103" i="9" s="1"/>
  <c r="Z103" i="9"/>
  <c r="T103" i="9" a="1"/>
  <c r="T103" i="9" s="1"/>
  <c r="U103" i="9" a="1"/>
  <c r="U103" i="9" s="1"/>
  <c r="AU103" i="9"/>
  <c r="S103" i="9" a="1"/>
  <c r="S103" i="9" s="1"/>
  <c r="AC103" i="9" s="1"/>
  <c r="W103" i="9" a="1"/>
  <c r="W103" i="9" s="1"/>
  <c r="AB103" i="9" a="1"/>
  <c r="AB103" i="9" s="1"/>
  <c r="X159" i="9" a="1"/>
  <c r="X159" i="9" s="1"/>
  <c r="U159" i="9" a="1"/>
  <c r="U159" i="9" s="1"/>
  <c r="W159" i="9" a="1"/>
  <c r="W159" i="9" s="1"/>
  <c r="T159" i="9" a="1"/>
  <c r="T159" i="9" s="1"/>
  <c r="AU159" i="9"/>
  <c r="Y159" i="9" a="1"/>
  <c r="Y159" i="9" s="1"/>
  <c r="Z159" i="9"/>
  <c r="AB159" i="9" a="1"/>
  <c r="AB159" i="9" s="1"/>
  <c r="V159" i="9" a="1"/>
  <c r="V159" i="9" s="1"/>
  <c r="S159" i="9" a="1"/>
  <c r="S159" i="9" s="1"/>
  <c r="AC159" i="9" s="1"/>
  <c r="T169" i="9" a="1"/>
  <c r="T169" i="9" s="1"/>
  <c r="W169" i="9" a="1"/>
  <c r="W169" i="9" s="1"/>
  <c r="AU169" i="9"/>
  <c r="S169" i="9" a="1"/>
  <c r="S169" i="9" s="1"/>
  <c r="AC169" i="9" s="1"/>
  <c r="U169" i="9" a="1"/>
  <c r="U169" i="9" s="1"/>
  <c r="Z169" i="9"/>
  <c r="Y169" i="9" a="1"/>
  <c r="Y169" i="9" s="1"/>
  <c r="X169" i="9" a="1"/>
  <c r="X169" i="9" s="1"/>
  <c r="V169" i="9" a="1"/>
  <c r="V169" i="9" s="1"/>
  <c r="AB169" i="9" a="1"/>
  <c r="AB169" i="9" s="1"/>
  <c r="W194" i="9" a="1"/>
  <c r="W194" i="9" s="1"/>
  <c r="Z194" i="9"/>
  <c r="Y194" i="9" a="1"/>
  <c r="Y194" i="9" s="1"/>
  <c r="V194" i="9" a="1"/>
  <c r="V194" i="9" s="1"/>
  <c r="AU194" i="9"/>
  <c r="S194" i="9" a="1"/>
  <c r="S194" i="9" s="1"/>
  <c r="AC194" i="9" s="1"/>
  <c r="T194" i="9" a="1"/>
  <c r="T194" i="9" s="1"/>
  <c r="X194" i="9" a="1"/>
  <c r="X194" i="9" s="1"/>
  <c r="AB194" i="9" a="1"/>
  <c r="AB194" i="9" s="1"/>
  <c r="U194" i="9" a="1"/>
  <c r="U194" i="9" s="1"/>
  <c r="AU73" i="9"/>
  <c r="W73" i="9" a="1"/>
  <c r="W73" i="9" s="1"/>
  <c r="X73" i="9" a="1"/>
  <c r="X73" i="9" s="1"/>
  <c r="Y73" i="9" a="1"/>
  <c r="Y73" i="9" s="1"/>
  <c r="U73" i="9" a="1"/>
  <c r="U73" i="9" s="1"/>
  <c r="V73" i="9" a="1"/>
  <c r="V73" i="9" s="1"/>
  <c r="Z73" i="9"/>
  <c r="AB73" i="9" a="1"/>
  <c r="AB73" i="9" s="1"/>
  <c r="S73" i="9" a="1"/>
  <c r="S73" i="9" s="1"/>
  <c r="AC73" i="9" s="1"/>
  <c r="T73" i="9" a="1"/>
  <c r="T73" i="9" s="1"/>
  <c r="AU211" i="9"/>
  <c r="T211" i="9" a="1"/>
  <c r="T211" i="9" s="1"/>
  <c r="V211" i="9" a="1"/>
  <c r="V211" i="9" s="1"/>
  <c r="AB211" i="9" a="1"/>
  <c r="AB211" i="9" s="1"/>
  <c r="Y211" i="9" a="1"/>
  <c r="Y211" i="9" s="1"/>
  <c r="W211" i="9" a="1"/>
  <c r="W211" i="9" s="1"/>
  <c r="Z211" i="9"/>
  <c r="S211" i="9" a="1"/>
  <c r="S211" i="9" s="1"/>
  <c r="AC211" i="9" s="1"/>
  <c r="X211" i="9" a="1"/>
  <c r="X211" i="9" s="1"/>
  <c r="U211" i="9" a="1"/>
  <c r="U211" i="9" s="1"/>
  <c r="U110" i="9" a="1"/>
  <c r="U110" i="9" s="1"/>
  <c r="Y110" i="9" a="1"/>
  <c r="Y110" i="9" s="1"/>
  <c r="X110" i="9" a="1"/>
  <c r="X110" i="9" s="1"/>
  <c r="T110" i="9" a="1"/>
  <c r="T110" i="9" s="1"/>
  <c r="AB110" i="9" a="1"/>
  <c r="AB110" i="9" s="1"/>
  <c r="AU110" i="9"/>
  <c r="W110" i="9" a="1"/>
  <c r="W110" i="9" s="1"/>
  <c r="Z110" i="9"/>
  <c r="S110" i="9" a="1"/>
  <c r="S110" i="9" s="1"/>
  <c r="AC110" i="9" s="1"/>
  <c r="V110" i="9" a="1"/>
  <c r="V110" i="9" s="1"/>
  <c r="W78" i="9" a="1"/>
  <c r="W78" i="9" s="1"/>
  <c r="AU78" i="9"/>
  <c r="Y78" i="9" a="1"/>
  <c r="Y78" i="9" s="1"/>
  <c r="X78" i="9" a="1"/>
  <c r="X78" i="9" s="1"/>
  <c r="U78" i="9" a="1"/>
  <c r="U78" i="9" s="1"/>
  <c r="Z78" i="9"/>
  <c r="T78" i="9" a="1"/>
  <c r="T78" i="9" s="1"/>
  <c r="S78" i="9" a="1"/>
  <c r="S78" i="9" s="1"/>
  <c r="AC78" i="9" s="1"/>
  <c r="AB78" i="9" a="1"/>
  <c r="AB78" i="9" s="1"/>
  <c r="V78" i="9" a="1"/>
  <c r="V78" i="9" s="1"/>
  <c r="V191" i="9" a="1"/>
  <c r="V191" i="9" s="1"/>
  <c r="Y191" i="9" a="1"/>
  <c r="Y191" i="9" s="1"/>
  <c r="X191" i="9" a="1"/>
  <c r="X191" i="9" s="1"/>
  <c r="W191" i="9" a="1"/>
  <c r="W191" i="9" s="1"/>
  <c r="Z191" i="9"/>
  <c r="U191" i="9" a="1"/>
  <c r="U191" i="9" s="1"/>
  <c r="AU191" i="9"/>
  <c r="S191" i="9" a="1"/>
  <c r="S191" i="9" s="1"/>
  <c r="AC191" i="9" s="1"/>
  <c r="T191" i="9" a="1"/>
  <c r="T191" i="9" s="1"/>
  <c r="AB191" i="9" a="1"/>
  <c r="AB191" i="9" s="1"/>
  <c r="AB183" i="9" a="1"/>
  <c r="AB183" i="9" s="1"/>
  <c r="AU183" i="9"/>
  <c r="T183" i="9" a="1"/>
  <c r="T183" i="9" s="1"/>
  <c r="X183" i="9" a="1"/>
  <c r="X183" i="9" s="1"/>
  <c r="Z183" i="9"/>
  <c r="V183" i="9" a="1"/>
  <c r="V183" i="9" s="1"/>
  <c r="W183" i="9" a="1"/>
  <c r="W183" i="9" s="1"/>
  <c r="S183" i="9" a="1"/>
  <c r="S183" i="9" s="1"/>
  <c r="AC183" i="9" s="1"/>
  <c r="Y183" i="9" a="1"/>
  <c r="Y183" i="9" s="1"/>
  <c r="U183" i="9" a="1"/>
  <c r="U183" i="9" s="1"/>
  <c r="Z237" i="9"/>
  <c r="T237" i="9" a="1"/>
  <c r="T237" i="9" s="1"/>
  <c r="V237" i="9" a="1"/>
  <c r="V237" i="9" s="1"/>
  <c r="AB237" i="9" a="1"/>
  <c r="AB237" i="9" s="1"/>
  <c r="S237" i="9" a="1"/>
  <c r="S237" i="9" s="1"/>
  <c r="AC237" i="9" s="1"/>
  <c r="U237" i="9" a="1"/>
  <c r="U237" i="9" s="1"/>
  <c r="Y237" i="9" a="1"/>
  <c r="Y237" i="9" s="1"/>
  <c r="W237" i="9" a="1"/>
  <c r="W237" i="9" s="1"/>
  <c r="X237" i="9" a="1"/>
  <c r="X237" i="9" s="1"/>
  <c r="AU237" i="9"/>
  <c r="X182" i="9" a="1"/>
  <c r="X182" i="9" s="1"/>
  <c r="U182" i="9" a="1"/>
  <c r="U182" i="9" s="1"/>
  <c r="AU182" i="9"/>
  <c r="V182" i="9" a="1"/>
  <c r="V182" i="9" s="1"/>
  <c r="T182" i="9" a="1"/>
  <c r="T182" i="9" s="1"/>
  <c r="W182" i="9" a="1"/>
  <c r="W182" i="9" s="1"/>
  <c r="Z182" i="9"/>
  <c r="Y182" i="9" a="1"/>
  <c r="Y182" i="9" s="1"/>
  <c r="S182" i="9" a="1"/>
  <c r="S182" i="9" s="1"/>
  <c r="AC182" i="9" s="1"/>
  <c r="AB182" i="9" a="1"/>
  <c r="AB182" i="9" s="1"/>
  <c r="U171" i="9" a="1"/>
  <c r="U171" i="9" s="1"/>
  <c r="AU171" i="9"/>
  <c r="Y171" i="9" a="1"/>
  <c r="Y171" i="9" s="1"/>
  <c r="S171" i="9" a="1"/>
  <c r="S171" i="9" s="1"/>
  <c r="AC171" i="9" s="1"/>
  <c r="X171" i="9" a="1"/>
  <c r="X171" i="9" s="1"/>
  <c r="AB171" i="9" a="1"/>
  <c r="AB171" i="9" s="1"/>
  <c r="Z171" i="9"/>
  <c r="V171" i="9" a="1"/>
  <c r="V171" i="9" s="1"/>
  <c r="W171" i="9" a="1"/>
  <c r="W171" i="9" s="1"/>
  <c r="T171" i="9" a="1"/>
  <c r="T171" i="9" s="1"/>
  <c r="V62" i="9" a="1"/>
  <c r="V62" i="9" s="1"/>
  <c r="W62" i="9" a="1"/>
  <c r="W62" i="9" s="1"/>
  <c r="Z62" i="9"/>
  <c r="U62" i="9" a="1"/>
  <c r="U62" i="9" s="1"/>
  <c r="Y62" i="9" a="1"/>
  <c r="Y62" i="9" s="1"/>
  <c r="T62" i="9" a="1"/>
  <c r="T62" i="9" s="1"/>
  <c r="AB62" i="9" a="1"/>
  <c r="AB62" i="9" s="1"/>
  <c r="AU62" i="9"/>
  <c r="X62" i="9" a="1"/>
  <c r="X62" i="9" s="1"/>
  <c r="S62" i="9" a="1"/>
  <c r="S62" i="9" s="1"/>
  <c r="AC62" i="9" s="1"/>
  <c r="T142" i="9" a="1"/>
  <c r="T142" i="9" s="1"/>
  <c r="Y142" i="9" a="1"/>
  <c r="Y142" i="9" s="1"/>
  <c r="U142" i="9" a="1"/>
  <c r="U142" i="9" s="1"/>
  <c r="Z142" i="9"/>
  <c r="X142" i="9" a="1"/>
  <c r="X142" i="9" s="1"/>
  <c r="W142" i="9" a="1"/>
  <c r="W142" i="9" s="1"/>
  <c r="AU142" i="9"/>
  <c r="AB142" i="9" a="1"/>
  <c r="AB142" i="9" s="1"/>
  <c r="V142" i="9" a="1"/>
  <c r="V142" i="9" s="1"/>
  <c r="S142" i="9" a="1"/>
  <c r="S142" i="9" s="1"/>
  <c r="AC142" i="9" s="1"/>
  <c r="U160" i="9" a="1"/>
  <c r="U160" i="9" s="1"/>
  <c r="S160" i="9" a="1"/>
  <c r="S160" i="9" s="1"/>
  <c r="AC160" i="9" s="1"/>
  <c r="W160" i="9" a="1"/>
  <c r="W160" i="9" s="1"/>
  <c r="Y160" i="9" a="1"/>
  <c r="Y160" i="9" s="1"/>
  <c r="X160" i="9" a="1"/>
  <c r="X160" i="9" s="1"/>
  <c r="AU160" i="9"/>
  <c r="T160" i="9" a="1"/>
  <c r="T160" i="9" s="1"/>
  <c r="AB160" i="9" a="1"/>
  <c r="AB160" i="9" s="1"/>
  <c r="Z160" i="9"/>
  <c r="V160" i="9" a="1"/>
  <c r="V160" i="9" s="1"/>
  <c r="T134" i="9" a="1"/>
  <c r="T134" i="9" s="1"/>
  <c r="V134" i="9" a="1"/>
  <c r="V134" i="9" s="1"/>
  <c r="W134" i="9" a="1"/>
  <c r="W134" i="9" s="1"/>
  <c r="U134" i="9" a="1"/>
  <c r="U134" i="9" s="1"/>
  <c r="AU134" i="9"/>
  <c r="AB134" i="9" a="1"/>
  <c r="AB134" i="9" s="1"/>
  <c r="X134" i="9" a="1"/>
  <c r="X134" i="9" s="1"/>
  <c r="Y134" i="9" a="1"/>
  <c r="Y134" i="9" s="1"/>
  <c r="S134" i="9" a="1"/>
  <c r="S134" i="9" s="1"/>
  <c r="AC134" i="9" s="1"/>
  <c r="Z134" i="9"/>
  <c r="U217" i="9" a="1"/>
  <c r="U217" i="9" s="1"/>
  <c r="AU217" i="9"/>
  <c r="Z217" i="9"/>
  <c r="W217" i="9" a="1"/>
  <c r="W217" i="9" s="1"/>
  <c r="Y217" i="9" a="1"/>
  <c r="Y217" i="9" s="1"/>
  <c r="T217" i="9" a="1"/>
  <c r="T217" i="9" s="1"/>
  <c r="X217" i="9" a="1"/>
  <c r="X217" i="9" s="1"/>
  <c r="V217" i="9" a="1"/>
  <c r="V217" i="9" s="1"/>
  <c r="S217" i="9" a="1"/>
  <c r="S217" i="9" s="1"/>
  <c r="AC217" i="9" s="1"/>
  <c r="AB217" i="9" a="1"/>
  <c r="AB217" i="9" s="1"/>
  <c r="W245" i="9" a="1"/>
  <c r="W245" i="9" s="1"/>
  <c r="V245" i="9" a="1"/>
  <c r="V245" i="9" s="1"/>
  <c r="X245" i="9" a="1"/>
  <c r="X245" i="9" s="1"/>
  <c r="AB245" i="9" a="1"/>
  <c r="AB245" i="9" s="1"/>
  <c r="AU245" i="9"/>
  <c r="U245" i="9" a="1"/>
  <c r="U245" i="9" s="1"/>
  <c r="S245" i="9" a="1"/>
  <c r="S245" i="9" s="1"/>
  <c r="AC245" i="9" s="1"/>
  <c r="T245" i="9" a="1"/>
  <c r="T245" i="9" s="1"/>
  <c r="Y245" i="9" a="1"/>
  <c r="Y245" i="9" s="1"/>
  <c r="Z245" i="9"/>
  <c r="X120" i="9" a="1"/>
  <c r="X120" i="9" s="1"/>
  <c r="AB120" i="9" a="1"/>
  <c r="AB120" i="9" s="1"/>
  <c r="AU120" i="9"/>
  <c r="W120" i="9" a="1"/>
  <c r="W120" i="9" s="1"/>
  <c r="Z120" i="9"/>
  <c r="Y120" i="9" a="1"/>
  <c r="Y120" i="9" s="1"/>
  <c r="T120" i="9" a="1"/>
  <c r="T120" i="9" s="1"/>
  <c r="U120" i="9" a="1"/>
  <c r="U120" i="9" s="1"/>
  <c r="V120" i="9" a="1"/>
  <c r="V120" i="9" s="1"/>
  <c r="S120" i="9" a="1"/>
  <c r="S120" i="9" s="1"/>
  <c r="AC120" i="9" s="1"/>
  <c r="Y231" i="9" a="1"/>
  <c r="Y231" i="9" s="1"/>
  <c r="W231" i="9" a="1"/>
  <c r="W231" i="9" s="1"/>
  <c r="AU231" i="9"/>
  <c r="S231" i="9" a="1"/>
  <c r="S231" i="9" s="1"/>
  <c r="AC231" i="9" s="1"/>
  <c r="T231" i="9" a="1"/>
  <c r="T231" i="9" s="1"/>
  <c r="Z231" i="9"/>
  <c r="AB231" i="9" a="1"/>
  <c r="AB231" i="9" s="1"/>
  <c r="X231" i="9" a="1"/>
  <c r="X231" i="9" s="1"/>
  <c r="U231" i="9" a="1"/>
  <c r="U231" i="9" s="1"/>
  <c r="V231" i="9" a="1"/>
  <c r="V231" i="9" s="1"/>
  <c r="AU56" i="9"/>
  <c r="AU195" i="9"/>
  <c r="S195" i="9" a="1"/>
  <c r="S195" i="9" s="1"/>
  <c r="AC195" i="9" s="1"/>
  <c r="X195" i="9" a="1"/>
  <c r="X195" i="9" s="1"/>
  <c r="U195" i="9" a="1"/>
  <c r="U195" i="9" s="1"/>
  <c r="Z195" i="9"/>
  <c r="Y195" i="9" a="1"/>
  <c r="Y195" i="9" s="1"/>
  <c r="V195" i="9" a="1"/>
  <c r="V195" i="9" s="1"/>
  <c r="AB195" i="9" a="1"/>
  <c r="AB195" i="9" s="1"/>
  <c r="T195" i="9" a="1"/>
  <c r="T195" i="9" s="1"/>
  <c r="W195" i="9" a="1"/>
  <c r="W195" i="9" s="1"/>
  <c r="V60" i="9" a="1"/>
  <c r="V60" i="9" s="1"/>
  <c r="T60" i="9" a="1"/>
  <c r="T60" i="9" s="1"/>
  <c r="X60" i="9" a="1"/>
  <c r="X60" i="9" s="1"/>
  <c r="AU60" i="9"/>
  <c r="S60" i="9" a="1"/>
  <c r="S60" i="9" s="1"/>
  <c r="AC60" i="9" s="1"/>
  <c r="U60" i="9" a="1"/>
  <c r="U60" i="9" s="1"/>
  <c r="Y60" i="9" a="1"/>
  <c r="Y60" i="9" s="1"/>
  <c r="W60" i="9" a="1"/>
  <c r="W60" i="9" s="1"/>
  <c r="Z60" i="9"/>
  <c r="AB60" i="9" a="1"/>
  <c r="AB60" i="9" s="1"/>
  <c r="U241" i="9" a="1"/>
  <c r="U241" i="9" s="1"/>
  <c r="X241" i="9" a="1"/>
  <c r="X241" i="9" s="1"/>
  <c r="AU241" i="9"/>
  <c r="S241" i="9" a="1"/>
  <c r="S241" i="9" s="1"/>
  <c r="AC241" i="9" s="1"/>
  <c r="T241" i="9" a="1"/>
  <c r="T241" i="9" s="1"/>
  <c r="Y241" i="9" a="1"/>
  <c r="Y241" i="9" s="1"/>
  <c r="Z241" i="9"/>
  <c r="V241" i="9" a="1"/>
  <c r="V241" i="9" s="1"/>
  <c r="AB241" i="9" a="1"/>
  <c r="AB241" i="9" s="1"/>
  <c r="W241" i="9" a="1"/>
  <c r="W241" i="9" s="1"/>
  <c r="AU92" i="9"/>
  <c r="W92" i="9" a="1"/>
  <c r="W92" i="9" s="1"/>
  <c r="S92" i="9" a="1"/>
  <c r="S92" i="9" s="1"/>
  <c r="AC92" i="9" s="1"/>
  <c r="U92" i="9" a="1"/>
  <c r="U92" i="9" s="1"/>
  <c r="Y92" i="9" a="1"/>
  <c r="Y92" i="9" s="1"/>
  <c r="V92" i="9" a="1"/>
  <c r="V92" i="9" s="1"/>
  <c r="AB92" i="9" a="1"/>
  <c r="AB92" i="9" s="1"/>
  <c r="T92" i="9" a="1"/>
  <c r="T92" i="9" s="1"/>
  <c r="Z92" i="9"/>
  <c r="X92" i="9" a="1"/>
  <c r="X92" i="9" s="1"/>
  <c r="Y264" i="9" a="1"/>
  <c r="Y264" i="9" s="1"/>
  <c r="S264" i="9" a="1"/>
  <c r="S264" i="9" s="1"/>
  <c r="AC264" i="9" s="1"/>
  <c r="AB264" i="9" a="1"/>
  <c r="AB264" i="9" s="1"/>
  <c r="W264" i="9" a="1"/>
  <c r="W264" i="9" s="1"/>
  <c r="V264" i="9" a="1"/>
  <c r="V264" i="9" s="1"/>
  <c r="U264" i="9" a="1"/>
  <c r="U264" i="9" s="1"/>
  <c r="Z264" i="9"/>
  <c r="X264" i="9" a="1"/>
  <c r="X264" i="9" s="1"/>
  <c r="T264" i="9" a="1"/>
  <c r="T264" i="9" s="1"/>
  <c r="V121" i="9" a="1"/>
  <c r="V121" i="9" s="1"/>
  <c r="Z121" i="9"/>
  <c r="S121" i="9" a="1"/>
  <c r="S121" i="9" s="1"/>
  <c r="AC121" i="9" s="1"/>
  <c r="T121" i="9" a="1"/>
  <c r="T121" i="9" s="1"/>
  <c r="Y121" i="9" a="1"/>
  <c r="Y121" i="9" s="1"/>
  <c r="U121" i="9" a="1"/>
  <c r="U121" i="9" s="1"/>
  <c r="W121" i="9" a="1"/>
  <c r="W121" i="9" s="1"/>
  <c r="AU121" i="9"/>
  <c r="AB121" i="9" a="1"/>
  <c r="AB121" i="9" s="1"/>
  <c r="X121" i="9" a="1"/>
  <c r="X121" i="9" s="1"/>
  <c r="Z154" i="9"/>
  <c r="S154" i="9" a="1"/>
  <c r="S154" i="9" s="1"/>
  <c r="AC154" i="9" s="1"/>
  <c r="AB154" i="9" a="1"/>
  <c r="AB154" i="9" s="1"/>
  <c r="X154" i="9" a="1"/>
  <c r="X154" i="9" s="1"/>
  <c r="T154" i="9" a="1"/>
  <c r="T154" i="9" s="1"/>
  <c r="Y154" i="9" a="1"/>
  <c r="Y154" i="9" s="1"/>
  <c r="U154" i="9" a="1"/>
  <c r="U154" i="9" s="1"/>
  <c r="AU154" i="9"/>
  <c r="W154" i="9" a="1"/>
  <c r="W154" i="9" s="1"/>
  <c r="V154" i="9" a="1"/>
  <c r="V154" i="9" s="1"/>
  <c r="X66" i="9" a="1"/>
  <c r="X66" i="9" s="1"/>
  <c r="W66" i="9" a="1"/>
  <c r="W66" i="9" s="1"/>
  <c r="T66" i="9" a="1"/>
  <c r="T66" i="9" s="1"/>
  <c r="Z66" i="9"/>
  <c r="Y66" i="9" a="1"/>
  <c r="Y66" i="9" s="1"/>
  <c r="AU66" i="9"/>
  <c r="AB66" i="9" a="1"/>
  <c r="AB66" i="9" s="1"/>
  <c r="U66" i="9" a="1"/>
  <c r="U66" i="9" s="1"/>
  <c r="V66" i="9" a="1"/>
  <c r="V66" i="9" s="1"/>
  <c r="S66" i="9" a="1"/>
  <c r="S66" i="9" s="1"/>
  <c r="AC66" i="9" s="1"/>
  <c r="X141" i="9" a="1"/>
  <c r="X141" i="9" s="1"/>
  <c r="Y141" i="9" a="1"/>
  <c r="Y141" i="9" s="1"/>
  <c r="AU141" i="9"/>
  <c r="V141" i="9" a="1"/>
  <c r="V141" i="9" s="1"/>
  <c r="Z141" i="9"/>
  <c r="S141" i="9" a="1"/>
  <c r="S141" i="9" s="1"/>
  <c r="AC141" i="9" s="1"/>
  <c r="T141" i="9" a="1"/>
  <c r="T141" i="9" s="1"/>
  <c r="W141" i="9" a="1"/>
  <c r="W141" i="9" s="1"/>
  <c r="U141" i="9" a="1"/>
  <c r="U141" i="9" s="1"/>
  <c r="AB141" i="9" a="1"/>
  <c r="AB141" i="9" s="1"/>
  <c r="Y224" i="9" a="1"/>
  <c r="Y224" i="9" s="1"/>
  <c r="V224" i="9" a="1"/>
  <c r="V224" i="9" s="1"/>
  <c r="AB224" i="9" a="1"/>
  <c r="AB224" i="9" s="1"/>
  <c r="Z224" i="9"/>
  <c r="X224" i="9" a="1"/>
  <c r="X224" i="9" s="1"/>
  <c r="AU224" i="9"/>
  <c r="S224" i="9" a="1"/>
  <c r="S224" i="9" s="1"/>
  <c r="AC224" i="9" s="1"/>
  <c r="U224" i="9" a="1"/>
  <c r="U224" i="9" s="1"/>
  <c r="T224" i="9" a="1"/>
  <c r="T224" i="9" s="1"/>
  <c r="W224" i="9" a="1"/>
  <c r="W224" i="9" s="1"/>
  <c r="Z232" i="9"/>
  <c r="AU232" i="9"/>
  <c r="AB232" i="9" a="1"/>
  <c r="AB232" i="9" s="1"/>
  <c r="V232" i="9" a="1"/>
  <c r="V232" i="9" s="1"/>
  <c r="T232" i="9" a="1"/>
  <c r="T232" i="9" s="1"/>
  <c r="S232" i="9" a="1"/>
  <c r="S232" i="9" s="1"/>
  <c r="AC232" i="9" s="1"/>
  <c r="X232" i="9" a="1"/>
  <c r="X232" i="9" s="1"/>
  <c r="U232" i="9" a="1"/>
  <c r="U232" i="9" s="1"/>
  <c r="W232" i="9" a="1"/>
  <c r="W232" i="9" s="1"/>
  <c r="Y232" i="9" a="1"/>
  <c r="Y232" i="9" s="1"/>
  <c r="X109" i="9" a="1"/>
  <c r="X109" i="9" s="1"/>
  <c r="V109" i="9" a="1"/>
  <c r="V109" i="9" s="1"/>
  <c r="U109" i="9" a="1"/>
  <c r="U109" i="9" s="1"/>
  <c r="S109" i="9" a="1"/>
  <c r="S109" i="9" s="1"/>
  <c r="AC109" i="9" s="1"/>
  <c r="AB109" i="9" a="1"/>
  <c r="AB109" i="9" s="1"/>
  <c r="Z109" i="9"/>
  <c r="T109" i="9" a="1"/>
  <c r="T109" i="9" s="1"/>
  <c r="Y109" i="9" a="1"/>
  <c r="Y109" i="9" s="1"/>
  <c r="AU109" i="9"/>
  <c r="W109" i="9" a="1"/>
  <c r="W109" i="9" s="1"/>
  <c r="V87" i="9" a="1"/>
  <c r="V87" i="9" s="1"/>
  <c r="Y87" i="9" a="1"/>
  <c r="Y87" i="9" s="1"/>
  <c r="U87" i="9" a="1"/>
  <c r="U87" i="9" s="1"/>
  <c r="T87" i="9" a="1"/>
  <c r="T87" i="9" s="1"/>
  <c r="S87" i="9" a="1"/>
  <c r="S87" i="9" s="1"/>
  <c r="AC87" i="9" s="1"/>
  <c r="X87" i="9" a="1"/>
  <c r="X87" i="9" s="1"/>
  <c r="W87" i="9" a="1"/>
  <c r="W87" i="9" s="1"/>
  <c r="Z87" i="9"/>
  <c r="AB87" i="9" a="1"/>
  <c r="AB87" i="9" s="1"/>
  <c r="AU87" i="9"/>
  <c r="X64" i="9" a="1"/>
  <c r="X64" i="9" s="1"/>
  <c r="Z64" i="9"/>
  <c r="S64" i="9" a="1"/>
  <c r="S64" i="9" s="1"/>
  <c r="AC64" i="9" s="1"/>
  <c r="Y64" i="9" a="1"/>
  <c r="Y64" i="9" s="1"/>
  <c r="T64" i="9" a="1"/>
  <c r="T64" i="9" s="1"/>
  <c r="U64" i="9" a="1"/>
  <c r="U64" i="9" s="1"/>
  <c r="W64" i="9" a="1"/>
  <c r="W64" i="9" s="1"/>
  <c r="AU64" i="9"/>
  <c r="V64" i="9" a="1"/>
  <c r="V64" i="9" s="1"/>
  <c r="AB64" i="9" a="1"/>
  <c r="AB64" i="9" s="1"/>
  <c r="U59" i="9" a="1"/>
  <c r="U59" i="9" s="1"/>
  <c r="S59" i="9" a="1"/>
  <c r="S59" i="9" s="1"/>
  <c r="AC59" i="9" s="1"/>
  <c r="W59" i="9" a="1"/>
  <c r="W59" i="9" s="1"/>
  <c r="V59" i="9" a="1"/>
  <c r="V59" i="9" s="1"/>
  <c r="AU59" i="9"/>
  <c r="AB59" i="9" a="1"/>
  <c r="AB59" i="9" s="1"/>
  <c r="T59" i="9" a="1"/>
  <c r="T59" i="9" s="1"/>
  <c r="X59" i="9" a="1"/>
  <c r="X59" i="9" s="1"/>
  <c r="Y59" i="9" a="1"/>
  <c r="Y59" i="9" s="1"/>
  <c r="Z59" i="9"/>
  <c r="X61" i="9" a="1"/>
  <c r="X61" i="9" s="1"/>
  <c r="V61" i="9" a="1"/>
  <c r="V61" i="9" s="1"/>
  <c r="Z61" i="9"/>
  <c r="AU61" i="9"/>
  <c r="T61" i="9" a="1"/>
  <c r="T61" i="9" s="1"/>
  <c r="Y61" i="9" a="1"/>
  <c r="Y61" i="9" s="1"/>
  <c r="U61" i="9" a="1"/>
  <c r="U61" i="9" s="1"/>
  <c r="S61" i="9" a="1"/>
  <c r="S61" i="9" s="1"/>
  <c r="AC61" i="9" s="1"/>
  <c r="W61" i="9" a="1"/>
  <c r="W61" i="9" s="1"/>
  <c r="AB61" i="9" a="1"/>
  <c r="AB61" i="9" s="1"/>
  <c r="X209" i="9" a="1"/>
  <c r="X209" i="9" s="1"/>
  <c r="AU209" i="9"/>
  <c r="W209" i="9" a="1"/>
  <c r="W209" i="9" s="1"/>
  <c r="Y209" i="9" a="1"/>
  <c r="Y209" i="9" s="1"/>
  <c r="U209" i="9" a="1"/>
  <c r="U209" i="9" s="1"/>
  <c r="AB209" i="9" a="1"/>
  <c r="AB209" i="9" s="1"/>
  <c r="Z209" i="9"/>
  <c r="S209" i="9" a="1"/>
  <c r="S209" i="9" s="1"/>
  <c r="AC209" i="9" s="1"/>
  <c r="V209" i="9" a="1"/>
  <c r="V209" i="9" s="1"/>
  <c r="T209" i="9" a="1"/>
  <c r="T209" i="9" s="1"/>
  <c r="V226" i="9" a="1"/>
  <c r="V226" i="9" s="1"/>
  <c r="W226" i="9" a="1"/>
  <c r="W226" i="9" s="1"/>
  <c r="U226" i="9" a="1"/>
  <c r="U226" i="9" s="1"/>
  <c r="Z226" i="9"/>
  <c r="T226" i="9" a="1"/>
  <c r="T226" i="9" s="1"/>
  <c r="AU226" i="9"/>
  <c r="X226" i="9" a="1"/>
  <c r="X226" i="9" s="1"/>
  <c r="S226" i="9" a="1"/>
  <c r="S226" i="9" s="1"/>
  <c r="AC226" i="9" s="1"/>
  <c r="AB226" i="9" a="1"/>
  <c r="AB226" i="9" s="1"/>
  <c r="Y226" i="9" a="1"/>
  <c r="Y226" i="9" s="1"/>
  <c r="AU90" i="9"/>
  <c r="V90" i="9" a="1"/>
  <c r="V90" i="9" s="1"/>
  <c r="AB90" i="9" a="1"/>
  <c r="AB90" i="9" s="1"/>
  <c r="T90" i="9" a="1"/>
  <c r="T90" i="9" s="1"/>
  <c r="U90" i="9" a="1"/>
  <c r="U90" i="9" s="1"/>
  <c r="X90" i="9" a="1"/>
  <c r="X90" i="9" s="1"/>
  <c r="Y90" i="9" a="1"/>
  <c r="Y90" i="9" s="1"/>
  <c r="Z90" i="9"/>
  <c r="W90" i="9" a="1"/>
  <c r="W90" i="9" s="1"/>
  <c r="S90" i="9" a="1"/>
  <c r="S90" i="9" s="1"/>
  <c r="AC90" i="9" s="1"/>
  <c r="X204" i="9" a="1"/>
  <c r="X204" i="9" s="1"/>
  <c r="AU204" i="9"/>
  <c r="T204" i="9" a="1"/>
  <c r="T204" i="9" s="1"/>
  <c r="W204" i="9" a="1"/>
  <c r="W204" i="9" s="1"/>
  <c r="Z204" i="9"/>
  <c r="U204" i="9" a="1"/>
  <c r="U204" i="9" s="1"/>
  <c r="V204" i="9" a="1"/>
  <c r="V204" i="9" s="1"/>
  <c r="Y204" i="9" a="1"/>
  <c r="Y204" i="9" s="1"/>
  <c r="AB204" i="9" a="1"/>
  <c r="AB204" i="9" s="1"/>
  <c r="S204" i="9" a="1"/>
  <c r="S204" i="9" s="1"/>
  <c r="AC204" i="9" s="1"/>
  <c r="Y65" i="9" a="1"/>
  <c r="Y65" i="9" s="1"/>
  <c r="X65" i="9" a="1"/>
  <c r="X65" i="9" s="1"/>
  <c r="AU65" i="9"/>
  <c r="W65" i="9" a="1"/>
  <c r="W65" i="9" s="1"/>
  <c r="U65" i="9" a="1"/>
  <c r="U65" i="9" s="1"/>
  <c r="V65" i="9" a="1"/>
  <c r="V65" i="9" s="1"/>
  <c r="S65" i="9" a="1"/>
  <c r="S65" i="9" s="1"/>
  <c r="AC65" i="9" s="1"/>
  <c r="Z65" i="9"/>
  <c r="T65" i="9" a="1"/>
  <c r="T65" i="9" s="1"/>
  <c r="AB65" i="9" a="1"/>
  <c r="AB65" i="9" s="1"/>
  <c r="W147" i="9" a="1"/>
  <c r="W147" i="9" s="1"/>
  <c r="T147" i="9" a="1"/>
  <c r="T147" i="9" s="1"/>
  <c r="Z147" i="9"/>
  <c r="S147" i="9" a="1"/>
  <c r="S147" i="9" s="1"/>
  <c r="AC147" i="9" s="1"/>
  <c r="V147" i="9" a="1"/>
  <c r="V147" i="9" s="1"/>
  <c r="AU147" i="9"/>
  <c r="AB147" i="9" a="1"/>
  <c r="AB147" i="9" s="1"/>
  <c r="U147" i="9" a="1"/>
  <c r="U147" i="9" s="1"/>
  <c r="Y147" i="9" a="1"/>
  <c r="Y147" i="9" s="1"/>
  <c r="X147" i="9" a="1"/>
  <c r="X147" i="9" s="1"/>
  <c r="V89" i="9" a="1"/>
  <c r="V89" i="9" s="1"/>
  <c r="U89" i="9" a="1"/>
  <c r="U89" i="9" s="1"/>
  <c r="X89" i="9" a="1"/>
  <c r="X89" i="9" s="1"/>
  <c r="AU89" i="9"/>
  <c r="T89" i="9" a="1"/>
  <c r="T89" i="9" s="1"/>
  <c r="W89" i="9" a="1"/>
  <c r="W89" i="9" s="1"/>
  <c r="AB89" i="9" a="1"/>
  <c r="AB89" i="9" s="1"/>
  <c r="Y89" i="9" a="1"/>
  <c r="Y89" i="9" s="1"/>
  <c r="Z89" i="9"/>
  <c r="S89" i="9" a="1"/>
  <c r="S89" i="9" s="1"/>
  <c r="AC89" i="9" s="1"/>
  <c r="W230" i="9" a="1"/>
  <c r="W230" i="9" s="1"/>
  <c r="V230" i="9" a="1"/>
  <c r="V230" i="9" s="1"/>
  <c r="X230" i="9" a="1"/>
  <c r="X230" i="9" s="1"/>
  <c r="Y230" i="9" a="1"/>
  <c r="Y230" i="9" s="1"/>
  <c r="Z230" i="9"/>
  <c r="U230" i="9" a="1"/>
  <c r="U230" i="9" s="1"/>
  <c r="AU230" i="9"/>
  <c r="S230" i="9" a="1"/>
  <c r="S230" i="9" s="1"/>
  <c r="AC230" i="9" s="1"/>
  <c r="AB230" i="9" a="1"/>
  <c r="AB230" i="9" s="1"/>
  <c r="T230" i="9" a="1"/>
  <c r="T230" i="9" s="1"/>
  <c r="W106" i="9" a="1"/>
  <c r="W106" i="9" s="1"/>
  <c r="S106" i="9" a="1"/>
  <c r="S106" i="9" s="1"/>
  <c r="AC106" i="9" s="1"/>
  <c r="U106" i="9" a="1"/>
  <c r="U106" i="9" s="1"/>
  <c r="X106" i="9" a="1"/>
  <c r="X106" i="9" s="1"/>
  <c r="Y106" i="9" a="1"/>
  <c r="Y106" i="9" s="1"/>
  <c r="Z106" i="9"/>
  <c r="V106" i="9" a="1"/>
  <c r="V106" i="9" s="1"/>
  <c r="AB106" i="9" a="1"/>
  <c r="AB106" i="9" s="1"/>
  <c r="AU106" i="9"/>
  <c r="T106" i="9" a="1"/>
  <c r="T106" i="9" s="1"/>
  <c r="T221" i="9" a="1"/>
  <c r="T221" i="9" s="1"/>
  <c r="Z221" i="9"/>
  <c r="V221" i="9" a="1"/>
  <c r="V221" i="9" s="1"/>
  <c r="X221" i="9" a="1"/>
  <c r="X221" i="9" s="1"/>
  <c r="S221" i="9" a="1"/>
  <c r="S221" i="9" s="1"/>
  <c r="AC221" i="9" s="1"/>
  <c r="W221" i="9" a="1"/>
  <c r="W221" i="9" s="1"/>
  <c r="Y221" i="9" a="1"/>
  <c r="Y221" i="9" s="1"/>
  <c r="AB221" i="9" a="1"/>
  <c r="AB221" i="9" s="1"/>
  <c r="U221" i="9" a="1"/>
  <c r="U221" i="9" s="1"/>
  <c r="AU221" i="9"/>
  <c r="W218" i="9" a="1"/>
  <c r="W218" i="9" s="1"/>
  <c r="X218" i="9" a="1"/>
  <c r="X218" i="9" s="1"/>
  <c r="AU218" i="9"/>
  <c r="S218" i="9" a="1"/>
  <c r="S218" i="9" s="1"/>
  <c r="AC218" i="9" s="1"/>
  <c r="Y218" i="9" a="1"/>
  <c r="Y218" i="9" s="1"/>
  <c r="T218" i="9" a="1"/>
  <c r="T218" i="9" s="1"/>
  <c r="V218" i="9" a="1"/>
  <c r="V218" i="9" s="1"/>
  <c r="AB218" i="9" a="1"/>
  <c r="AB218" i="9" s="1"/>
  <c r="U218" i="9" a="1"/>
  <c r="U218" i="9" s="1"/>
  <c r="Z218" i="9"/>
  <c r="AU51" i="9"/>
  <c r="U68" i="9" a="1"/>
  <c r="U68" i="9" s="1"/>
  <c r="V68" i="9" a="1"/>
  <c r="V68" i="9" s="1"/>
  <c r="W68" i="9" a="1"/>
  <c r="W68" i="9" s="1"/>
  <c r="AU68" i="9"/>
  <c r="AB68" i="9" a="1"/>
  <c r="AB68" i="9" s="1"/>
  <c r="X68" i="9" a="1"/>
  <c r="X68" i="9" s="1"/>
  <c r="T68" i="9" a="1"/>
  <c r="T68" i="9" s="1"/>
  <c r="Y68" i="9" a="1"/>
  <c r="Y68" i="9" s="1"/>
  <c r="S68" i="9" a="1"/>
  <c r="S68" i="9" s="1"/>
  <c r="AC68" i="9" s="1"/>
  <c r="Z68" i="9"/>
  <c r="AB102" i="9" a="1"/>
  <c r="AB102" i="9" s="1"/>
  <c r="X102" i="9" a="1"/>
  <c r="X102" i="9" s="1"/>
  <c r="Y102" i="9" a="1"/>
  <c r="Y102" i="9" s="1"/>
  <c r="T102" i="9" a="1"/>
  <c r="T102" i="9" s="1"/>
  <c r="U102" i="9" a="1"/>
  <c r="U102" i="9" s="1"/>
  <c r="S102" i="9" a="1"/>
  <c r="S102" i="9" s="1"/>
  <c r="AC102" i="9" s="1"/>
  <c r="Z102" i="9"/>
  <c r="W102" i="9" a="1"/>
  <c r="W102" i="9" s="1"/>
  <c r="V102" i="9" a="1"/>
  <c r="V102" i="9" s="1"/>
  <c r="AU102" i="9"/>
  <c r="AU81" i="9"/>
  <c r="Y81" i="9" a="1"/>
  <c r="Y81" i="9" s="1"/>
  <c r="V81" i="9" a="1"/>
  <c r="V81" i="9" s="1"/>
  <c r="T81" i="9" a="1"/>
  <c r="T81" i="9" s="1"/>
  <c r="S81" i="9" a="1"/>
  <c r="S81" i="9" s="1"/>
  <c r="AC81" i="9" s="1"/>
  <c r="X81" i="9" a="1"/>
  <c r="X81" i="9" s="1"/>
  <c r="U81" i="9" a="1"/>
  <c r="U81" i="9" s="1"/>
  <c r="W81" i="9" a="1"/>
  <c r="W81" i="9" s="1"/>
  <c r="Z81" i="9"/>
  <c r="AB81" i="9" a="1"/>
  <c r="AB81" i="9" s="1"/>
  <c r="V75" i="9" a="1"/>
  <c r="V75" i="9" s="1"/>
  <c r="X75" i="9" a="1"/>
  <c r="X75" i="9" s="1"/>
  <c r="AU75" i="9"/>
  <c r="S75" i="9" a="1"/>
  <c r="S75" i="9" s="1"/>
  <c r="AC75" i="9" s="1"/>
  <c r="U75" i="9" a="1"/>
  <c r="U75" i="9" s="1"/>
  <c r="W75" i="9" a="1"/>
  <c r="W75" i="9" s="1"/>
  <c r="AB75" i="9" a="1"/>
  <c r="AB75" i="9" s="1"/>
  <c r="T75" i="9" a="1"/>
  <c r="T75" i="9" s="1"/>
  <c r="Z75" i="9"/>
  <c r="Y75" i="9" a="1"/>
  <c r="Y75" i="9" s="1"/>
  <c r="V95" i="9" a="1"/>
  <c r="V95" i="9" s="1"/>
  <c r="Y95" i="9" a="1"/>
  <c r="Y95" i="9" s="1"/>
  <c r="U95" i="9" a="1"/>
  <c r="U95" i="9" s="1"/>
  <c r="AB95" i="9" a="1"/>
  <c r="AB95" i="9" s="1"/>
  <c r="S95" i="9" a="1"/>
  <c r="S95" i="9" s="1"/>
  <c r="AC95" i="9" s="1"/>
  <c r="T95" i="9" a="1"/>
  <c r="T95" i="9" s="1"/>
  <c r="AU95" i="9"/>
  <c r="X95" i="9" a="1"/>
  <c r="X95" i="9" s="1"/>
  <c r="W95" i="9" a="1"/>
  <c r="W95" i="9" s="1"/>
  <c r="Z95" i="9"/>
  <c r="W229" i="9" a="1"/>
  <c r="W229" i="9" s="1"/>
  <c r="T229" i="9" a="1"/>
  <c r="T229" i="9" s="1"/>
  <c r="V229" i="9" a="1"/>
  <c r="V229" i="9" s="1"/>
  <c r="AB229" i="9" a="1"/>
  <c r="AB229" i="9" s="1"/>
  <c r="X229" i="9" a="1"/>
  <c r="X229" i="9" s="1"/>
  <c r="AU229" i="9"/>
  <c r="S229" i="9" a="1"/>
  <c r="S229" i="9" s="1"/>
  <c r="AC229" i="9" s="1"/>
  <c r="Y229" i="9" a="1"/>
  <c r="Y229" i="9" s="1"/>
  <c r="Z229" i="9"/>
  <c r="U229" i="9" a="1"/>
  <c r="U229" i="9" s="1"/>
  <c r="AU235" i="9"/>
  <c r="X235" i="9" a="1"/>
  <c r="X235" i="9" s="1"/>
  <c r="S235" i="9" a="1"/>
  <c r="S235" i="9" s="1"/>
  <c r="AC235" i="9" s="1"/>
  <c r="U235" i="9" a="1"/>
  <c r="U235" i="9" s="1"/>
  <c r="W235" i="9" a="1"/>
  <c r="W235" i="9" s="1"/>
  <c r="Y235" i="9" a="1"/>
  <c r="Y235" i="9" s="1"/>
  <c r="V235" i="9" a="1"/>
  <c r="V235" i="9" s="1"/>
  <c r="Z235" i="9"/>
  <c r="AB235" i="9" a="1"/>
  <c r="AB235" i="9" s="1"/>
  <c r="T235" i="9" a="1"/>
  <c r="T235" i="9" s="1"/>
  <c r="X177" i="9" a="1"/>
  <c r="X177" i="9" s="1"/>
  <c r="V177" i="9" a="1"/>
  <c r="V177" i="9" s="1"/>
  <c r="S177" i="9" a="1"/>
  <c r="S177" i="9" s="1"/>
  <c r="AC177" i="9" s="1"/>
  <c r="W177" i="9" a="1"/>
  <c r="W177" i="9" s="1"/>
  <c r="T177" i="9" a="1"/>
  <c r="T177" i="9" s="1"/>
  <c r="AB177" i="9" a="1"/>
  <c r="AB177" i="9" s="1"/>
  <c r="Z177" i="9"/>
  <c r="U177" i="9" a="1"/>
  <c r="U177" i="9" s="1"/>
  <c r="AU177" i="9"/>
  <c r="Y177" i="9" a="1"/>
  <c r="Y177" i="9" s="1"/>
  <c r="S137" i="9" a="1"/>
  <c r="S137" i="9" s="1"/>
  <c r="AC137" i="9" s="1"/>
  <c r="AU137" i="9"/>
  <c r="AB137" i="9" a="1"/>
  <c r="AB137" i="9" s="1"/>
  <c r="V137" i="9" a="1"/>
  <c r="V137" i="9" s="1"/>
  <c r="W137" i="9" a="1"/>
  <c r="W137" i="9" s="1"/>
  <c r="Y137" i="9" a="1"/>
  <c r="Y137" i="9" s="1"/>
  <c r="U137" i="9" a="1"/>
  <c r="U137" i="9" s="1"/>
  <c r="Z137" i="9"/>
  <c r="X137" i="9" a="1"/>
  <c r="X137" i="9" s="1"/>
  <c r="T137" i="9" a="1"/>
  <c r="T137" i="9" s="1"/>
  <c r="W199" i="9" a="1"/>
  <c r="W199" i="9" s="1"/>
  <c r="AU199" i="9"/>
  <c r="T199" i="9" a="1"/>
  <c r="T199" i="9" s="1"/>
  <c r="Y199" i="9" a="1"/>
  <c r="Y199" i="9" s="1"/>
  <c r="X199" i="9" a="1"/>
  <c r="X199" i="9" s="1"/>
  <c r="Z199" i="9"/>
  <c r="AB199" i="9" a="1"/>
  <c r="AB199" i="9" s="1"/>
  <c r="V199" i="9" a="1"/>
  <c r="V199" i="9" s="1"/>
  <c r="U199" i="9" a="1"/>
  <c r="U199" i="9" s="1"/>
  <c r="S199" i="9" a="1"/>
  <c r="S199" i="9" s="1"/>
  <c r="AC199" i="9" s="1"/>
  <c r="AU248" i="9"/>
  <c r="U248" i="9" a="1"/>
  <c r="U248" i="9" s="1"/>
  <c r="X248" i="9" a="1"/>
  <c r="X248" i="9" s="1"/>
  <c r="Z248" i="9"/>
  <c r="T248" i="9" a="1"/>
  <c r="T248" i="9" s="1"/>
  <c r="Y248" i="9" a="1"/>
  <c r="Y248" i="9" s="1"/>
  <c r="V248" i="9" a="1"/>
  <c r="V248" i="9" s="1"/>
  <c r="S248" i="9" a="1"/>
  <c r="S248" i="9" s="1"/>
  <c r="AC248" i="9" s="1"/>
  <c r="W248" i="9" a="1"/>
  <c r="W248" i="9" s="1"/>
  <c r="AB248" i="9" a="1"/>
  <c r="AB248" i="9" s="1"/>
  <c r="Y168" i="9" a="1"/>
  <c r="Y168" i="9" s="1"/>
  <c r="Z168" i="9"/>
  <c r="AB168" i="9" a="1"/>
  <c r="AB168" i="9" s="1"/>
  <c r="X168" i="9" a="1"/>
  <c r="X168" i="9" s="1"/>
  <c r="S168" i="9" a="1"/>
  <c r="S168" i="9" s="1"/>
  <c r="AC168" i="9" s="1"/>
  <c r="AU168" i="9"/>
  <c r="T168" i="9" a="1"/>
  <c r="T168" i="9" s="1"/>
  <c r="U168" i="9" a="1"/>
  <c r="U168" i="9" s="1"/>
  <c r="V168" i="9" a="1"/>
  <c r="V168" i="9" s="1"/>
  <c r="W168" i="9" a="1"/>
  <c r="W168" i="9" s="1"/>
  <c r="Y108" i="9" a="1"/>
  <c r="Y108" i="9" s="1"/>
  <c r="W108" i="9" a="1"/>
  <c r="W108" i="9" s="1"/>
  <c r="AU108" i="9"/>
  <c r="S108" i="9" a="1"/>
  <c r="S108" i="9" s="1"/>
  <c r="AC108" i="9" s="1"/>
  <c r="T108" i="9" a="1"/>
  <c r="T108" i="9" s="1"/>
  <c r="AB108" i="9" a="1"/>
  <c r="AB108" i="9" s="1"/>
  <c r="V108" i="9" a="1"/>
  <c r="V108" i="9" s="1"/>
  <c r="X108" i="9" a="1"/>
  <c r="X108" i="9" s="1"/>
  <c r="Z108" i="9"/>
  <c r="U108" i="9" a="1"/>
  <c r="U108" i="9" s="1"/>
  <c r="Y187" i="9" a="1"/>
  <c r="Y187" i="9" s="1"/>
  <c r="Z187" i="9"/>
  <c r="T187" i="9" a="1"/>
  <c r="T187" i="9" s="1"/>
  <c r="AU187" i="9"/>
  <c r="X187" i="9" a="1"/>
  <c r="X187" i="9" s="1"/>
  <c r="V187" i="9" a="1"/>
  <c r="V187" i="9" s="1"/>
  <c r="AB187" i="9" a="1"/>
  <c r="AB187" i="9" s="1"/>
  <c r="S187" i="9" a="1"/>
  <c r="S187" i="9" s="1"/>
  <c r="AC187" i="9" s="1"/>
  <c r="W187" i="9" a="1"/>
  <c r="W187" i="9" s="1"/>
  <c r="AA187" i="9" s="1"/>
  <c r="U187" i="9" a="1"/>
  <c r="U187" i="9" s="1"/>
  <c r="AB148" i="9" a="1"/>
  <c r="AB148" i="9" s="1"/>
  <c r="S148" i="9" a="1"/>
  <c r="S148" i="9" s="1"/>
  <c r="AC148" i="9" s="1"/>
  <c r="X148" i="9" a="1"/>
  <c r="X148" i="9" s="1"/>
  <c r="Z148" i="9"/>
  <c r="AU148" i="9"/>
  <c r="V148" i="9" a="1"/>
  <c r="V148" i="9" s="1"/>
  <c r="W148" i="9" a="1"/>
  <c r="W148" i="9" s="1"/>
  <c r="Y148" i="9" a="1"/>
  <c r="Y148" i="9" s="1"/>
  <c r="T148" i="9" a="1"/>
  <c r="T148" i="9" s="1"/>
  <c r="U148" i="9" a="1"/>
  <c r="U148" i="9" s="1"/>
  <c r="S178" i="9" a="1"/>
  <c r="S178" i="9" s="1"/>
  <c r="AC178" i="9" s="1"/>
  <c r="AU178" i="9"/>
  <c r="T178" i="9" a="1"/>
  <c r="T178" i="9" s="1"/>
  <c r="X178" i="9" a="1"/>
  <c r="X178" i="9" s="1"/>
  <c r="U178" i="9" a="1"/>
  <c r="U178" i="9" s="1"/>
  <c r="V178" i="9" a="1"/>
  <c r="V178" i="9" s="1"/>
  <c r="W178" i="9" a="1"/>
  <c r="W178" i="9" s="1"/>
  <c r="Y178" i="9" a="1"/>
  <c r="Y178" i="9" s="1"/>
  <c r="AB178" i="9" a="1"/>
  <c r="AB178" i="9" s="1"/>
  <c r="Z178" i="9"/>
  <c r="AU254" i="9"/>
  <c r="Y254" i="9" a="1"/>
  <c r="Y254" i="9" s="1"/>
  <c r="T254" i="9" a="1"/>
  <c r="T254" i="9" s="1"/>
  <c r="AB254" i="9" a="1"/>
  <c r="AB254" i="9" s="1"/>
  <c r="X254" i="9" a="1"/>
  <c r="X254" i="9" s="1"/>
  <c r="W254" i="9" a="1"/>
  <c r="W254" i="9" s="1"/>
  <c r="U254" i="9" a="1"/>
  <c r="U254" i="9" s="1"/>
  <c r="V254" i="9" a="1"/>
  <c r="V254" i="9" s="1"/>
  <c r="Z254" i="9"/>
  <c r="S254" i="9" a="1"/>
  <c r="S254" i="9" s="1"/>
  <c r="AC254" i="9" s="1"/>
  <c r="AB184" i="9" a="1"/>
  <c r="AB184" i="9" s="1"/>
  <c r="AU184" i="9"/>
  <c r="W184" i="9" a="1"/>
  <c r="W184" i="9" s="1"/>
  <c r="Z184" i="9"/>
  <c r="Y184" i="9" a="1"/>
  <c r="Y184" i="9" s="1"/>
  <c r="V184" i="9" a="1"/>
  <c r="V184" i="9" s="1"/>
  <c r="U184" i="9" a="1"/>
  <c r="U184" i="9" s="1"/>
  <c r="X184" i="9" a="1"/>
  <c r="X184" i="9" s="1"/>
  <c r="T184" i="9" a="1"/>
  <c r="T184" i="9" s="1"/>
  <c r="S184" i="9" a="1"/>
  <c r="S184" i="9" s="1"/>
  <c r="AC184" i="9" s="1"/>
  <c r="V251" i="9" a="1"/>
  <c r="V251" i="9" s="1"/>
  <c r="Y251" i="9" a="1"/>
  <c r="Y251" i="9" s="1"/>
  <c r="Z251" i="9"/>
  <c r="AU251" i="9"/>
  <c r="AB251" i="9" a="1"/>
  <c r="AB251" i="9" s="1"/>
  <c r="S251" i="9" a="1"/>
  <c r="S251" i="9" s="1"/>
  <c r="AC251" i="9" s="1"/>
  <c r="W251" i="9" a="1"/>
  <c r="W251" i="9" s="1"/>
  <c r="X251" i="9" a="1"/>
  <c r="X251" i="9" s="1"/>
  <c r="U251" i="9" a="1"/>
  <c r="U251" i="9" s="1"/>
  <c r="T251" i="9" a="1"/>
  <c r="T251" i="9" s="1"/>
  <c r="AU205" i="9"/>
  <c r="X205" i="9" a="1"/>
  <c r="X205" i="9" s="1"/>
  <c r="S205" i="9" a="1"/>
  <c r="S205" i="9" s="1"/>
  <c r="AC205" i="9" s="1"/>
  <c r="W205" i="9" a="1"/>
  <c r="W205" i="9" s="1"/>
  <c r="Z205" i="9"/>
  <c r="V205" i="9" a="1"/>
  <c r="V205" i="9" s="1"/>
  <c r="T205" i="9" a="1"/>
  <c r="T205" i="9" s="1"/>
  <c r="U205" i="9" a="1"/>
  <c r="U205" i="9" s="1"/>
  <c r="Y205" i="9" a="1"/>
  <c r="Y205" i="9" s="1"/>
  <c r="AB205" i="9" a="1"/>
  <c r="AB205" i="9" s="1"/>
  <c r="Z176" i="9"/>
  <c r="S176" i="9" a="1"/>
  <c r="S176" i="9" s="1"/>
  <c r="AC176" i="9" s="1"/>
  <c r="U176" i="9" a="1"/>
  <c r="U176" i="9" s="1"/>
  <c r="AB176" i="9" a="1"/>
  <c r="AB176" i="9" s="1"/>
  <c r="V176" i="9" a="1"/>
  <c r="V176" i="9" s="1"/>
  <c r="T176" i="9" a="1"/>
  <c r="T176" i="9" s="1"/>
  <c r="AU176" i="9"/>
  <c r="W176" i="9" a="1"/>
  <c r="W176" i="9" s="1"/>
  <c r="Y176" i="9" a="1"/>
  <c r="Y176" i="9" s="1"/>
  <c r="X176" i="9" a="1"/>
  <c r="X176" i="9" s="1"/>
  <c r="V265" i="9" a="1"/>
  <c r="V265" i="9" s="1"/>
  <c r="AB265" i="9" a="1"/>
  <c r="AB265" i="9" s="1"/>
  <c r="S265" i="9" a="1"/>
  <c r="S265" i="9" s="1"/>
  <c r="AC265" i="9" s="1"/>
  <c r="U265" i="9" a="1"/>
  <c r="U265" i="9" s="1"/>
  <c r="Z265" i="9"/>
  <c r="W265" i="9" a="1"/>
  <c r="W265" i="9" s="1"/>
  <c r="T265" i="9" a="1"/>
  <c r="T265" i="9" s="1"/>
  <c r="X265" i="9" a="1"/>
  <c r="X265" i="9" s="1"/>
  <c r="Y265" i="9" a="1"/>
  <c r="Y265" i="9" s="1"/>
  <c r="AU52" i="9"/>
  <c r="AU80" i="9"/>
  <c r="X80" i="9" a="1"/>
  <c r="X80" i="9" s="1"/>
  <c r="S80" i="9" a="1"/>
  <c r="S80" i="9" s="1"/>
  <c r="AC80" i="9" s="1"/>
  <c r="U80" i="9" a="1"/>
  <c r="U80" i="9" s="1"/>
  <c r="Y80" i="9" a="1"/>
  <c r="Y80" i="9" s="1"/>
  <c r="W80" i="9" a="1"/>
  <c r="W80" i="9" s="1"/>
  <c r="Z80" i="9"/>
  <c r="T80" i="9" a="1"/>
  <c r="T80" i="9" s="1"/>
  <c r="V80" i="9" a="1"/>
  <c r="V80" i="9" s="1"/>
  <c r="AB80" i="9" a="1"/>
  <c r="AB80" i="9" s="1"/>
  <c r="Y107" i="9" a="1"/>
  <c r="Y107" i="9" s="1"/>
  <c r="W107" i="9" a="1"/>
  <c r="W107" i="9" s="1"/>
  <c r="U107" i="9" a="1"/>
  <c r="U107" i="9" s="1"/>
  <c r="Z107" i="9"/>
  <c r="V107" i="9" a="1"/>
  <c r="V107" i="9" s="1"/>
  <c r="AU107" i="9"/>
  <c r="X107" i="9" a="1"/>
  <c r="X107" i="9" s="1"/>
  <c r="S107" i="9" a="1"/>
  <c r="S107" i="9" s="1"/>
  <c r="AC107" i="9" s="1"/>
  <c r="AB107" i="9" a="1"/>
  <c r="AB107" i="9" s="1"/>
  <c r="T107" i="9" a="1"/>
  <c r="T107" i="9" s="1"/>
  <c r="AU99" i="9"/>
  <c r="Y99" i="9" a="1"/>
  <c r="Y99" i="9" s="1"/>
  <c r="V99" i="9" a="1"/>
  <c r="V99" i="9" s="1"/>
  <c r="AB99" i="9" a="1"/>
  <c r="AB99" i="9" s="1"/>
  <c r="T99" i="9" a="1"/>
  <c r="T99" i="9" s="1"/>
  <c r="S99" i="9" a="1"/>
  <c r="S99" i="9" s="1"/>
  <c r="AC99" i="9" s="1"/>
  <c r="Z99" i="9"/>
  <c r="X99" i="9" a="1"/>
  <c r="X99" i="9" s="1"/>
  <c r="U99" i="9" a="1"/>
  <c r="U99" i="9" s="1"/>
  <c r="W99" i="9" a="1"/>
  <c r="W99" i="9" s="1"/>
  <c r="AA99" i="9" s="1"/>
  <c r="V150" i="9" a="1"/>
  <c r="V150" i="9" s="1"/>
  <c r="X150" i="9" a="1"/>
  <c r="X150" i="9" s="1"/>
  <c r="W150" i="9" a="1"/>
  <c r="W150" i="9" s="1"/>
  <c r="T150" i="9" a="1"/>
  <c r="T150" i="9" s="1"/>
  <c r="Y150" i="9" a="1"/>
  <c r="Y150" i="9" s="1"/>
  <c r="U150" i="9" a="1"/>
  <c r="U150" i="9" s="1"/>
  <c r="Z150" i="9"/>
  <c r="AU150" i="9"/>
  <c r="AB150" i="9" a="1"/>
  <c r="AB150" i="9" s="1"/>
  <c r="S150" i="9" a="1"/>
  <c r="S150" i="9" s="1"/>
  <c r="AC150" i="9" s="1"/>
  <c r="X151" i="9" a="1"/>
  <c r="X151" i="9" s="1"/>
  <c r="Z151" i="9"/>
  <c r="U151" i="9" a="1"/>
  <c r="U151" i="9" s="1"/>
  <c r="AU151" i="9"/>
  <c r="AB151" i="9" a="1"/>
  <c r="AB151" i="9" s="1"/>
  <c r="T151" i="9" a="1"/>
  <c r="T151" i="9" s="1"/>
  <c r="V151" i="9" a="1"/>
  <c r="V151" i="9" s="1"/>
  <c r="W151" i="9" a="1"/>
  <c r="W151" i="9" s="1"/>
  <c r="S151" i="9" a="1"/>
  <c r="S151" i="9" s="1"/>
  <c r="AC151" i="9" s="1"/>
  <c r="Y151" i="9" a="1"/>
  <c r="Y151" i="9" s="1"/>
  <c r="V227" i="9" a="1"/>
  <c r="V227" i="9" s="1"/>
  <c r="Z227" i="9"/>
  <c r="X227" i="9" a="1"/>
  <c r="X227" i="9" s="1"/>
  <c r="U227" i="9" a="1"/>
  <c r="U227" i="9" s="1"/>
  <c r="Y227" i="9" a="1"/>
  <c r="Y227" i="9" s="1"/>
  <c r="AB227" i="9" a="1"/>
  <c r="AB227" i="9" s="1"/>
  <c r="AU227" i="9"/>
  <c r="T227" i="9" a="1"/>
  <c r="T227" i="9" s="1"/>
  <c r="W227" i="9" a="1"/>
  <c r="W227" i="9" s="1"/>
  <c r="S227" i="9" a="1"/>
  <c r="S227" i="9" s="1"/>
  <c r="AC227" i="9" s="1"/>
  <c r="V93" i="9" a="1"/>
  <c r="V93" i="9" s="1"/>
  <c r="U93" i="9" a="1"/>
  <c r="U93" i="9" s="1"/>
  <c r="S93" i="9" a="1"/>
  <c r="S93" i="9" s="1"/>
  <c r="AC93" i="9" s="1"/>
  <c r="T93" i="9" a="1"/>
  <c r="T93" i="9" s="1"/>
  <c r="W93" i="9" a="1"/>
  <c r="W93" i="9" s="1"/>
  <c r="X93" i="9" a="1"/>
  <c r="X93" i="9" s="1"/>
  <c r="Y93" i="9" a="1"/>
  <c r="Y93" i="9" s="1"/>
  <c r="AU93" i="9"/>
  <c r="Z93" i="9"/>
  <c r="AB93" i="9" a="1"/>
  <c r="AB93" i="9" s="1"/>
  <c r="Y202" i="9" a="1"/>
  <c r="Y202" i="9" s="1"/>
  <c r="AU202" i="9"/>
  <c r="S202" i="9" a="1"/>
  <c r="S202" i="9" s="1"/>
  <c r="AC202" i="9" s="1"/>
  <c r="T202" i="9" a="1"/>
  <c r="T202" i="9" s="1"/>
  <c r="U202" i="9" a="1"/>
  <c r="U202" i="9" s="1"/>
  <c r="X202" i="9" a="1"/>
  <c r="X202" i="9" s="1"/>
  <c r="AB202" i="9" a="1"/>
  <c r="AB202" i="9" s="1"/>
  <c r="W202" i="9" a="1"/>
  <c r="W202" i="9" s="1"/>
  <c r="V202" i="9" a="1"/>
  <c r="V202" i="9" s="1"/>
  <c r="Z202" i="9"/>
  <c r="W96" i="9" a="1"/>
  <c r="W96" i="9" s="1"/>
  <c r="Y96" i="9" a="1"/>
  <c r="Y96" i="9" s="1"/>
  <c r="V96" i="9" a="1"/>
  <c r="V96" i="9" s="1"/>
  <c r="T96" i="9" a="1"/>
  <c r="T96" i="9" s="1"/>
  <c r="AU96" i="9"/>
  <c r="X96" i="9" a="1"/>
  <c r="X96" i="9" s="1"/>
  <c r="S96" i="9" a="1"/>
  <c r="S96" i="9" s="1"/>
  <c r="AC96" i="9" s="1"/>
  <c r="U96" i="9" a="1"/>
  <c r="U96" i="9" s="1"/>
  <c r="Z96" i="9"/>
  <c r="AB96" i="9" a="1"/>
  <c r="AB96" i="9" s="1"/>
  <c r="AU84" i="9"/>
  <c r="S84" i="9" a="1"/>
  <c r="S84" i="9" s="1"/>
  <c r="AC84" i="9" s="1"/>
  <c r="T84" i="9" a="1"/>
  <c r="T84" i="9" s="1"/>
  <c r="W84" i="9" a="1"/>
  <c r="W84" i="9" s="1"/>
  <c r="X84" i="9" a="1"/>
  <c r="X84" i="9" s="1"/>
  <c r="Y84" i="9" a="1"/>
  <c r="Y84" i="9" s="1"/>
  <c r="AB84" i="9" a="1"/>
  <c r="AB84" i="9" s="1"/>
  <c r="U84" i="9" a="1"/>
  <c r="U84" i="9" s="1"/>
  <c r="V84" i="9" a="1"/>
  <c r="V84" i="9" s="1"/>
  <c r="Z84" i="9"/>
  <c r="T170" i="9" a="1"/>
  <c r="T170" i="9" s="1"/>
  <c r="Z170" i="9"/>
  <c r="S170" i="9" a="1"/>
  <c r="S170" i="9" s="1"/>
  <c r="AC170" i="9" s="1"/>
  <c r="U170" i="9" a="1"/>
  <c r="U170" i="9" s="1"/>
  <c r="AU170" i="9"/>
  <c r="W170" i="9" a="1"/>
  <c r="W170" i="9" s="1"/>
  <c r="V170" i="9" a="1"/>
  <c r="V170" i="9" s="1"/>
  <c r="Y170" i="9" a="1"/>
  <c r="Y170" i="9" s="1"/>
  <c r="AB170" i="9" a="1"/>
  <c r="AB170" i="9" s="1"/>
  <c r="X170" i="9" a="1"/>
  <c r="X170" i="9" s="1"/>
  <c r="Z167" i="9"/>
  <c r="W167" i="9" a="1"/>
  <c r="W167" i="9" s="1"/>
  <c r="AB167" i="9" a="1"/>
  <c r="AB167" i="9" s="1"/>
  <c r="X167" i="9" a="1"/>
  <c r="X167" i="9" s="1"/>
  <c r="T167" i="9" a="1"/>
  <c r="T167" i="9" s="1"/>
  <c r="U167" i="9" a="1"/>
  <c r="U167" i="9" s="1"/>
  <c r="S167" i="9" a="1"/>
  <c r="S167" i="9" s="1"/>
  <c r="AC167" i="9" s="1"/>
  <c r="V167" i="9" a="1"/>
  <c r="V167" i="9" s="1"/>
  <c r="Y167" i="9" a="1"/>
  <c r="Y167" i="9" s="1"/>
  <c r="AU167" i="9"/>
  <c r="Z240" i="9"/>
  <c r="AU240" i="9"/>
  <c r="Y240" i="9" a="1"/>
  <c r="Y240" i="9" s="1"/>
  <c r="X240" i="9" a="1"/>
  <c r="X240" i="9" s="1"/>
  <c r="W240" i="9" a="1"/>
  <c r="W240" i="9" s="1"/>
  <c r="U240" i="9" a="1"/>
  <c r="U240" i="9" s="1"/>
  <c r="AB240" i="9" a="1"/>
  <c r="AB240" i="9" s="1"/>
  <c r="T240" i="9" a="1"/>
  <c r="T240" i="9" s="1"/>
  <c r="V240" i="9" a="1"/>
  <c r="V240" i="9" s="1"/>
  <c r="S240" i="9" a="1"/>
  <c r="S240" i="9" s="1"/>
  <c r="AC240" i="9" s="1"/>
  <c r="W112" i="9" a="1"/>
  <c r="W112" i="9" s="1"/>
  <c r="Y112" i="9" a="1"/>
  <c r="Y112" i="9" s="1"/>
  <c r="Z112" i="9"/>
  <c r="T112" i="9" a="1"/>
  <c r="T112" i="9" s="1"/>
  <c r="V112" i="9" a="1"/>
  <c r="V112" i="9" s="1"/>
  <c r="AB112" i="9" a="1"/>
  <c r="AB112" i="9" s="1"/>
  <c r="X112" i="9" a="1"/>
  <c r="X112" i="9" s="1"/>
  <c r="AU112" i="9"/>
  <c r="S112" i="9" a="1"/>
  <c r="S112" i="9" s="1"/>
  <c r="AC112" i="9" s="1"/>
  <c r="U112" i="9" a="1"/>
  <c r="U112" i="9" s="1"/>
  <c r="Y239" i="9" a="1"/>
  <c r="Y239" i="9" s="1"/>
  <c r="W239" i="9" a="1"/>
  <c r="W239" i="9" s="1"/>
  <c r="AU239" i="9"/>
  <c r="U239" i="9" a="1"/>
  <c r="U239" i="9" s="1"/>
  <c r="V239" i="9" a="1"/>
  <c r="V239" i="9" s="1"/>
  <c r="S239" i="9" a="1"/>
  <c r="S239" i="9" s="1"/>
  <c r="AC239" i="9" s="1"/>
  <c r="T239" i="9" a="1"/>
  <c r="T239" i="9" s="1"/>
  <c r="X239" i="9" a="1"/>
  <c r="X239" i="9" s="1"/>
  <c r="AB239" i="9" a="1"/>
  <c r="AB239" i="9" s="1"/>
  <c r="Z239" i="9"/>
  <c r="T85" i="9" a="1"/>
  <c r="T85" i="9" s="1"/>
  <c r="X85" i="9" a="1"/>
  <c r="X85" i="9" s="1"/>
  <c r="AU85" i="9"/>
  <c r="Y85" i="9" a="1"/>
  <c r="Y85" i="9" s="1"/>
  <c r="S85" i="9" a="1"/>
  <c r="S85" i="9" s="1"/>
  <c r="AC85" i="9" s="1"/>
  <c r="W85" i="9" a="1"/>
  <c r="W85" i="9" s="1"/>
  <c r="AB85" i="9" a="1"/>
  <c r="AB85" i="9" s="1"/>
  <c r="U85" i="9" a="1"/>
  <c r="U85" i="9" s="1"/>
  <c r="V85" i="9" a="1"/>
  <c r="V85" i="9" s="1"/>
  <c r="Z85" i="9"/>
  <c r="V146" i="9" a="1"/>
  <c r="V146" i="9" s="1"/>
  <c r="Y146" i="9" a="1"/>
  <c r="Y146" i="9" s="1"/>
  <c r="X146" i="9" a="1"/>
  <c r="X146" i="9" s="1"/>
  <c r="AU146" i="9"/>
  <c r="W146" i="9" a="1"/>
  <c r="W146" i="9" s="1"/>
  <c r="T146" i="9" a="1"/>
  <c r="T146" i="9" s="1"/>
  <c r="Z146" i="9"/>
  <c r="U146" i="9" a="1"/>
  <c r="U146" i="9" s="1"/>
  <c r="AB146" i="9" a="1"/>
  <c r="AB146" i="9" s="1"/>
  <c r="S146" i="9" a="1"/>
  <c r="S146" i="9" s="1"/>
  <c r="AC146" i="9" s="1"/>
  <c r="T88" i="9" a="1"/>
  <c r="T88" i="9" s="1"/>
  <c r="Z88" i="9"/>
  <c r="V88" i="9" a="1"/>
  <c r="V88" i="9" s="1"/>
  <c r="X88" i="9" a="1"/>
  <c r="X88" i="9" s="1"/>
  <c r="AB88" i="9" a="1"/>
  <c r="AB88" i="9" s="1"/>
  <c r="AU88" i="9"/>
  <c r="U88" i="9" a="1"/>
  <c r="U88" i="9" s="1"/>
  <c r="S88" i="9" a="1"/>
  <c r="S88" i="9" s="1"/>
  <c r="AC88" i="9" s="1"/>
  <c r="W88" i="9" a="1"/>
  <c r="W88" i="9" s="1"/>
  <c r="Y88" i="9" a="1"/>
  <c r="Y88" i="9" s="1"/>
  <c r="AB122" i="9" a="1"/>
  <c r="AB122" i="9" s="1"/>
  <c r="S122" i="9" a="1"/>
  <c r="S122" i="9" s="1"/>
  <c r="AC122" i="9" s="1"/>
  <c r="X122" i="9" a="1"/>
  <c r="X122" i="9" s="1"/>
  <c r="U122" i="9" a="1"/>
  <c r="U122" i="9" s="1"/>
  <c r="W122" i="9" a="1"/>
  <c r="W122" i="9" s="1"/>
  <c r="Z122" i="9"/>
  <c r="Y122" i="9" a="1"/>
  <c r="Y122" i="9" s="1"/>
  <c r="V122" i="9" a="1"/>
  <c r="V122" i="9" s="1"/>
  <c r="T122" i="9" a="1"/>
  <c r="T122" i="9" s="1"/>
  <c r="AU122" i="9"/>
  <c r="AU206" i="9"/>
  <c r="AB206" i="9" a="1"/>
  <c r="AB206" i="9" s="1"/>
  <c r="S206" i="9" a="1"/>
  <c r="S206" i="9" s="1"/>
  <c r="AC206" i="9" s="1"/>
  <c r="X206" i="9" a="1"/>
  <c r="X206" i="9" s="1"/>
  <c r="U206" i="9" a="1"/>
  <c r="U206" i="9" s="1"/>
  <c r="W206" i="9" a="1"/>
  <c r="W206" i="9" s="1"/>
  <c r="Z206" i="9"/>
  <c r="V206" i="9" a="1"/>
  <c r="V206" i="9" s="1"/>
  <c r="Y206" i="9" a="1"/>
  <c r="Y206" i="9" s="1"/>
  <c r="T206" i="9" a="1"/>
  <c r="T206" i="9" s="1"/>
  <c r="AU50" i="9"/>
  <c r="V189" i="9" a="1"/>
  <c r="V189" i="9" s="1"/>
  <c r="S189" i="9" a="1"/>
  <c r="S189" i="9" s="1"/>
  <c r="AC189" i="9" s="1"/>
  <c r="T189" i="9" a="1"/>
  <c r="T189" i="9" s="1"/>
  <c r="Z189" i="9"/>
  <c r="W189" i="9" a="1"/>
  <c r="W189" i="9" s="1"/>
  <c r="Y189" i="9" a="1"/>
  <c r="Y189" i="9" s="1"/>
  <c r="X189" i="9" a="1"/>
  <c r="X189" i="9" s="1"/>
  <c r="AU189" i="9"/>
  <c r="AB189" i="9" a="1"/>
  <c r="AB189" i="9" s="1"/>
  <c r="U189" i="9" a="1"/>
  <c r="U189" i="9" s="1"/>
  <c r="U140" i="9" a="1"/>
  <c r="U140" i="9" s="1"/>
  <c r="AB140" i="9" a="1"/>
  <c r="AB140" i="9" s="1"/>
  <c r="X140" i="9" a="1"/>
  <c r="X140" i="9" s="1"/>
  <c r="Z140" i="9"/>
  <c r="V140" i="9" a="1"/>
  <c r="V140" i="9" s="1"/>
  <c r="AU140" i="9"/>
  <c r="W140" i="9" a="1"/>
  <c r="W140" i="9" s="1"/>
  <c r="S140" i="9" a="1"/>
  <c r="S140" i="9" s="1"/>
  <c r="AC140" i="9" s="1"/>
  <c r="T140" i="9" a="1"/>
  <c r="T140" i="9" s="1"/>
  <c r="Y140" i="9" a="1"/>
  <c r="Y140" i="9" s="1"/>
  <c r="V82" i="9" a="1"/>
  <c r="V82" i="9" s="1"/>
  <c r="AU82" i="9"/>
  <c r="U82" i="9" a="1"/>
  <c r="U82" i="9" s="1"/>
  <c r="S82" i="9" a="1"/>
  <c r="S82" i="9" s="1"/>
  <c r="AC82" i="9" s="1"/>
  <c r="T82" i="9" a="1"/>
  <c r="T82" i="9" s="1"/>
  <c r="W82" i="9" a="1"/>
  <c r="W82" i="9" s="1"/>
  <c r="AB82" i="9" a="1"/>
  <c r="AB82" i="9" s="1"/>
  <c r="Y82" i="9" a="1"/>
  <c r="Y82" i="9" s="1"/>
  <c r="Z82" i="9"/>
  <c r="X82" i="9" a="1"/>
  <c r="X82" i="9" s="1"/>
  <c r="V116" i="9" a="1"/>
  <c r="V116" i="9" s="1"/>
  <c r="T116" i="9" a="1"/>
  <c r="T116" i="9" s="1"/>
  <c r="AB116" i="9" a="1"/>
  <c r="AB116" i="9" s="1"/>
  <c r="Z116" i="9"/>
  <c r="W116" i="9" a="1"/>
  <c r="W116" i="9" s="1"/>
  <c r="Y116" i="9" a="1"/>
  <c r="Y116" i="9" s="1"/>
  <c r="U116" i="9" a="1"/>
  <c r="U116" i="9" s="1"/>
  <c r="S116" i="9" a="1"/>
  <c r="S116" i="9" s="1"/>
  <c r="AC116" i="9" s="1"/>
  <c r="X116" i="9" a="1"/>
  <c r="X116" i="9" s="1"/>
  <c r="AU116" i="9"/>
  <c r="V210" i="9" a="1"/>
  <c r="V210" i="9" s="1"/>
  <c r="Y210" i="9" a="1"/>
  <c r="Y210" i="9" s="1"/>
  <c r="Z210" i="9"/>
  <c r="S210" i="9" a="1"/>
  <c r="S210" i="9" s="1"/>
  <c r="AC210" i="9" s="1"/>
  <c r="X210" i="9" a="1"/>
  <c r="X210" i="9" s="1"/>
  <c r="AU210" i="9"/>
  <c r="T210" i="9" a="1"/>
  <c r="T210" i="9" s="1"/>
  <c r="AB210" i="9" a="1"/>
  <c r="AB210" i="9" s="1"/>
  <c r="W210" i="9" a="1"/>
  <c r="W210" i="9" s="1"/>
  <c r="U210" i="9" a="1"/>
  <c r="U210" i="9" s="1"/>
  <c r="Y174" i="9" a="1"/>
  <c r="Y174" i="9" s="1"/>
  <c r="AU174" i="9"/>
  <c r="V174" i="9" a="1"/>
  <c r="V174" i="9" s="1"/>
  <c r="W174" i="9" a="1"/>
  <c r="W174" i="9" s="1"/>
  <c r="Z174" i="9"/>
  <c r="S174" i="9" a="1"/>
  <c r="S174" i="9" s="1"/>
  <c r="AC174" i="9" s="1"/>
  <c r="AB174" i="9" a="1"/>
  <c r="AB174" i="9" s="1"/>
  <c r="X174" i="9" a="1"/>
  <c r="X174" i="9" s="1"/>
  <c r="T174" i="9" a="1"/>
  <c r="T174" i="9" s="1"/>
  <c r="U174" i="9" a="1"/>
  <c r="U174" i="9" s="1"/>
  <c r="S175" i="9" a="1"/>
  <c r="S175" i="9" s="1"/>
  <c r="AC175" i="9" s="1"/>
  <c r="AB175" i="9" a="1"/>
  <c r="AB175" i="9" s="1"/>
  <c r="AU175" i="9"/>
  <c r="X175" i="9" a="1"/>
  <c r="X175" i="9" s="1"/>
  <c r="T175" i="9" a="1"/>
  <c r="T175" i="9" s="1"/>
  <c r="Y175" i="9" a="1"/>
  <c r="Y175" i="9" s="1"/>
  <c r="Z175" i="9"/>
  <c r="U175" i="9" a="1"/>
  <c r="U175" i="9" s="1"/>
  <c r="V175" i="9" a="1"/>
  <c r="V175" i="9" s="1"/>
  <c r="W175" i="9" a="1"/>
  <c r="W175" i="9" s="1"/>
  <c r="V188" i="9" a="1"/>
  <c r="V188" i="9" s="1"/>
  <c r="AB188" i="9" a="1"/>
  <c r="AB188" i="9" s="1"/>
  <c r="X188" i="9" a="1"/>
  <c r="X188" i="9" s="1"/>
  <c r="S188" i="9" a="1"/>
  <c r="S188" i="9" s="1"/>
  <c r="AC188" i="9" s="1"/>
  <c r="U188" i="9" a="1"/>
  <c r="U188" i="9" s="1"/>
  <c r="W188" i="9" a="1"/>
  <c r="W188" i="9" s="1"/>
  <c r="AU188" i="9"/>
  <c r="T188" i="9" a="1"/>
  <c r="T188" i="9" s="1"/>
  <c r="Z188" i="9"/>
  <c r="Y188" i="9" a="1"/>
  <c r="Y188" i="9" s="1"/>
  <c r="Z136" i="9"/>
  <c r="AB136" i="9" a="1"/>
  <c r="AB136" i="9" s="1"/>
  <c r="AU136" i="9"/>
  <c r="S136" i="9" a="1"/>
  <c r="S136" i="9" s="1"/>
  <c r="AC136" i="9" s="1"/>
  <c r="V136" i="9" a="1"/>
  <c r="V136" i="9" s="1"/>
  <c r="Y136" i="9" a="1"/>
  <c r="Y136" i="9" s="1"/>
  <c r="W136" i="9" a="1"/>
  <c r="W136" i="9" s="1"/>
  <c r="U136" i="9" a="1"/>
  <c r="U136" i="9" s="1"/>
  <c r="T136" i="9" a="1"/>
  <c r="T136" i="9" s="1"/>
  <c r="X136" i="9" a="1"/>
  <c r="X136" i="9" s="1"/>
  <c r="V173" i="9" a="1"/>
  <c r="V173" i="9" s="1"/>
  <c r="W173" i="9" a="1"/>
  <c r="W173" i="9" s="1"/>
  <c r="T173" i="9" a="1"/>
  <c r="T173" i="9" s="1"/>
  <c r="AB173" i="9" a="1"/>
  <c r="AB173" i="9" s="1"/>
  <c r="U173" i="9" a="1"/>
  <c r="U173" i="9" s="1"/>
  <c r="S173" i="9" a="1"/>
  <c r="S173" i="9" s="1"/>
  <c r="AC173" i="9" s="1"/>
  <c r="X173" i="9" a="1"/>
  <c r="X173" i="9" s="1"/>
  <c r="Z173" i="9"/>
  <c r="AU173" i="9"/>
  <c r="Y173" i="9" a="1"/>
  <c r="Y173" i="9" s="1"/>
  <c r="U236" i="9" a="1"/>
  <c r="U236" i="9" s="1"/>
  <c r="X236" i="9" a="1"/>
  <c r="X236" i="9" s="1"/>
  <c r="W236" i="9" a="1"/>
  <c r="W236" i="9" s="1"/>
  <c r="Y236" i="9" a="1"/>
  <c r="Y236" i="9" s="1"/>
  <c r="Z236" i="9"/>
  <c r="AB236" i="9" a="1"/>
  <c r="AB236" i="9" s="1"/>
  <c r="AU236" i="9"/>
  <c r="S236" i="9" a="1"/>
  <c r="S236" i="9" s="1"/>
  <c r="AC236" i="9" s="1"/>
  <c r="T236" i="9" a="1"/>
  <c r="T236" i="9" s="1"/>
  <c r="V236" i="9" a="1"/>
  <c r="V236" i="9" s="1"/>
  <c r="U220" i="9" a="1"/>
  <c r="U220" i="9" s="1"/>
  <c r="S220" i="9" a="1"/>
  <c r="S220" i="9" s="1"/>
  <c r="AC220" i="9" s="1"/>
  <c r="AB220" i="9" a="1"/>
  <c r="AB220" i="9" s="1"/>
  <c r="Z220" i="9"/>
  <c r="AU220" i="9"/>
  <c r="V220" i="9" a="1"/>
  <c r="V220" i="9" s="1"/>
  <c r="W220" i="9" a="1"/>
  <c r="W220" i="9" s="1"/>
  <c r="Y220" i="9" a="1"/>
  <c r="Y220" i="9" s="1"/>
  <c r="T220" i="9" a="1"/>
  <c r="T220" i="9" s="1"/>
  <c r="X220" i="9" a="1"/>
  <c r="X220" i="9" s="1"/>
  <c r="S117" i="9" a="1"/>
  <c r="S117" i="9" s="1"/>
  <c r="AC117" i="9" s="1"/>
  <c r="T117" i="9" a="1"/>
  <c r="T117" i="9" s="1"/>
  <c r="Y117" i="9" a="1"/>
  <c r="Y117" i="9" s="1"/>
  <c r="W117" i="9" a="1"/>
  <c r="W117" i="9" s="1"/>
  <c r="U117" i="9" a="1"/>
  <c r="U117" i="9" s="1"/>
  <c r="AB117" i="9" a="1"/>
  <c r="AB117" i="9" s="1"/>
  <c r="V117" i="9" a="1"/>
  <c r="V117" i="9" s="1"/>
  <c r="Z117" i="9"/>
  <c r="X117" i="9" a="1"/>
  <c r="X117" i="9" s="1"/>
  <c r="AU117" i="9"/>
  <c r="AB165" i="9" a="1"/>
  <c r="AB165" i="9" s="1"/>
  <c r="V165" i="9" a="1"/>
  <c r="V165" i="9" s="1"/>
  <c r="Y165" i="9" a="1"/>
  <c r="Y165" i="9" s="1"/>
  <c r="Z165" i="9"/>
  <c r="W165" i="9" a="1"/>
  <c r="W165" i="9" s="1"/>
  <c r="AU165" i="9"/>
  <c r="X165" i="9" a="1"/>
  <c r="X165" i="9" s="1"/>
  <c r="T165" i="9" a="1"/>
  <c r="T165" i="9" s="1"/>
  <c r="S165" i="9" a="1"/>
  <c r="S165" i="9" s="1"/>
  <c r="AC165" i="9" s="1"/>
  <c r="U165" i="9" a="1"/>
  <c r="U165" i="9" s="1"/>
  <c r="V97" i="9" a="1"/>
  <c r="V97" i="9" s="1"/>
  <c r="T97" i="9" a="1"/>
  <c r="T97" i="9" s="1"/>
  <c r="AU97" i="9"/>
  <c r="Y97" i="9" a="1"/>
  <c r="Y97" i="9" s="1"/>
  <c r="AB97" i="9" a="1"/>
  <c r="AB97" i="9" s="1"/>
  <c r="X97" i="9" a="1"/>
  <c r="X97" i="9" s="1"/>
  <c r="U97" i="9" a="1"/>
  <c r="U97" i="9" s="1"/>
  <c r="Z97" i="9"/>
  <c r="W97" i="9" a="1"/>
  <c r="W97" i="9" s="1"/>
  <c r="S97" i="9" a="1"/>
  <c r="S97" i="9" s="1"/>
  <c r="AC97" i="9" s="1"/>
  <c r="AU71" i="9"/>
  <c r="W71" i="9" a="1"/>
  <c r="W71" i="9" s="1"/>
  <c r="Y71" i="9" a="1"/>
  <c r="Y71" i="9" s="1"/>
  <c r="AB71" i="9" a="1"/>
  <c r="AB71" i="9" s="1"/>
  <c r="S71" i="9" a="1"/>
  <c r="S71" i="9" s="1"/>
  <c r="AC71" i="9" s="1"/>
  <c r="T71" i="9" a="1"/>
  <c r="T71" i="9" s="1"/>
  <c r="U71" i="9" a="1"/>
  <c r="U71" i="9" s="1"/>
  <c r="V71" i="9" a="1"/>
  <c r="V71" i="9" s="1"/>
  <c r="X71" i="9" a="1"/>
  <c r="X71" i="9" s="1"/>
  <c r="Z71" i="9"/>
  <c r="AU119" i="9"/>
  <c r="AB119" i="9" a="1"/>
  <c r="AB119" i="9" s="1"/>
  <c r="T119" i="9" a="1"/>
  <c r="T119" i="9" s="1"/>
  <c r="W119" i="9" a="1"/>
  <c r="W119" i="9" s="1"/>
  <c r="X119" i="9" a="1"/>
  <c r="X119" i="9" s="1"/>
  <c r="Y119" i="9" a="1"/>
  <c r="Y119" i="9" s="1"/>
  <c r="U119" i="9" a="1"/>
  <c r="U119" i="9" s="1"/>
  <c r="V119" i="9" a="1"/>
  <c r="V119" i="9" s="1"/>
  <c r="Z119" i="9"/>
  <c r="S119" i="9" a="1"/>
  <c r="S119" i="9" s="1"/>
  <c r="AC119" i="9" s="1"/>
  <c r="AU201" i="9"/>
  <c r="W201" i="9" a="1"/>
  <c r="W201" i="9" s="1"/>
  <c r="Z201" i="9"/>
  <c r="T201" i="9" a="1"/>
  <c r="T201" i="9" s="1"/>
  <c r="V201" i="9" a="1"/>
  <c r="V201" i="9" s="1"/>
  <c r="AB201" i="9" a="1"/>
  <c r="AB201" i="9" s="1"/>
  <c r="Y201" i="9" a="1"/>
  <c r="Y201" i="9" s="1"/>
  <c r="X201" i="9" a="1"/>
  <c r="X201" i="9" s="1"/>
  <c r="U201" i="9" a="1"/>
  <c r="U201" i="9" s="1"/>
  <c r="S201" i="9" a="1"/>
  <c r="S201" i="9" s="1"/>
  <c r="AC201" i="9" s="1"/>
  <c r="AB131" i="9" a="1"/>
  <c r="AB131" i="9" s="1"/>
  <c r="Y131" i="9" a="1"/>
  <c r="Y131" i="9" s="1"/>
  <c r="Z131" i="9"/>
  <c r="U131" i="9" a="1"/>
  <c r="U131" i="9" s="1"/>
  <c r="T131" i="9" a="1"/>
  <c r="T131" i="9" s="1"/>
  <c r="W131" i="9" a="1"/>
  <c r="W131" i="9" s="1"/>
  <c r="V131" i="9" a="1"/>
  <c r="V131" i="9" s="1"/>
  <c r="S131" i="9" a="1"/>
  <c r="S131" i="9" s="1"/>
  <c r="AC131" i="9" s="1"/>
  <c r="X131" i="9" a="1"/>
  <c r="X131" i="9" s="1"/>
  <c r="AU131" i="9"/>
  <c r="W216" i="9" a="1"/>
  <c r="W216" i="9" s="1"/>
  <c r="T216" i="9" a="1"/>
  <c r="T216" i="9" s="1"/>
  <c r="AB216" i="9" a="1"/>
  <c r="AB216" i="9" s="1"/>
  <c r="Z216" i="9"/>
  <c r="S216" i="9" a="1"/>
  <c r="S216" i="9" s="1"/>
  <c r="AC216" i="9" s="1"/>
  <c r="V216" i="9" a="1"/>
  <c r="V216" i="9" s="1"/>
  <c r="AU216" i="9"/>
  <c r="X216" i="9" a="1"/>
  <c r="X216" i="9" s="1"/>
  <c r="Y216" i="9" a="1"/>
  <c r="Y216" i="9" s="1"/>
  <c r="U216" i="9" a="1"/>
  <c r="U216" i="9" s="1"/>
  <c r="AU222" i="9"/>
  <c r="Y222" i="9" a="1"/>
  <c r="Y222" i="9" s="1"/>
  <c r="Z222" i="9"/>
  <c r="W222" i="9" a="1"/>
  <c r="W222" i="9" s="1"/>
  <c r="U222" i="9" a="1"/>
  <c r="U222" i="9" s="1"/>
  <c r="T222" i="9" a="1"/>
  <c r="T222" i="9" s="1"/>
  <c r="X222" i="9" a="1"/>
  <c r="X222" i="9" s="1"/>
  <c r="V222" i="9" a="1"/>
  <c r="V222" i="9" s="1"/>
  <c r="S222" i="9" a="1"/>
  <c r="S222" i="9" s="1"/>
  <c r="AC222" i="9" s="1"/>
  <c r="AB222" i="9" a="1"/>
  <c r="AB222" i="9" s="1"/>
  <c r="Y111" i="9" a="1"/>
  <c r="Y111" i="9" s="1"/>
  <c r="T111" i="9" a="1"/>
  <c r="T111" i="9" s="1"/>
  <c r="S111" i="9" a="1"/>
  <c r="S111" i="9" s="1"/>
  <c r="AC111" i="9" s="1"/>
  <c r="X111" i="9" a="1"/>
  <c r="X111" i="9" s="1"/>
  <c r="U111" i="9" a="1"/>
  <c r="U111" i="9" s="1"/>
  <c r="W111" i="9" a="1"/>
  <c r="W111" i="9" s="1"/>
  <c r="Z111" i="9"/>
  <c r="V111" i="9" a="1"/>
  <c r="V111" i="9" s="1"/>
  <c r="AB111" i="9" a="1"/>
  <c r="AB111" i="9" s="1"/>
  <c r="AU111" i="9"/>
  <c r="AU130" i="9"/>
  <c r="AB130" i="9" a="1"/>
  <c r="AB130" i="9" s="1"/>
  <c r="S130" i="9" a="1"/>
  <c r="S130" i="9" s="1"/>
  <c r="AC130" i="9" s="1"/>
  <c r="V130" i="9" a="1"/>
  <c r="V130" i="9" s="1"/>
  <c r="U130" i="9" a="1"/>
  <c r="U130" i="9" s="1"/>
  <c r="Z130" i="9"/>
  <c r="W130" i="9" a="1"/>
  <c r="W130" i="9" s="1"/>
  <c r="T130" i="9" a="1"/>
  <c r="T130" i="9" s="1"/>
  <c r="Y130" i="9" a="1"/>
  <c r="Y130" i="9" s="1"/>
  <c r="X130" i="9" a="1"/>
  <c r="X130" i="9" s="1"/>
  <c r="U197" i="9" a="1"/>
  <c r="U197" i="9" s="1"/>
  <c r="W197" i="9" a="1"/>
  <c r="W197" i="9" s="1"/>
  <c r="Y197" i="9" a="1"/>
  <c r="Y197" i="9" s="1"/>
  <c r="V197" i="9" a="1"/>
  <c r="V197" i="9" s="1"/>
  <c r="AB197" i="9" a="1"/>
  <c r="AB197" i="9" s="1"/>
  <c r="Z197" i="9"/>
  <c r="T197" i="9" a="1"/>
  <c r="T197" i="9" s="1"/>
  <c r="AU197" i="9"/>
  <c r="S197" i="9" a="1"/>
  <c r="S197" i="9" s="1"/>
  <c r="AC197" i="9" s="1"/>
  <c r="X197" i="9" a="1"/>
  <c r="X197" i="9" s="1"/>
  <c r="S125" i="9" a="1"/>
  <c r="S125" i="9" s="1"/>
  <c r="AC125" i="9" s="1"/>
  <c r="AU125" i="9"/>
  <c r="T125" i="9" a="1"/>
  <c r="T125" i="9" s="1"/>
  <c r="W125" i="9" a="1"/>
  <c r="W125" i="9" s="1"/>
  <c r="U125" i="9" a="1"/>
  <c r="U125" i="9" s="1"/>
  <c r="AB125" i="9" a="1"/>
  <c r="AB125" i="9" s="1"/>
  <c r="Y125" i="9" a="1"/>
  <c r="Y125" i="9" s="1"/>
  <c r="V125" i="9" a="1"/>
  <c r="V125" i="9" s="1"/>
  <c r="X125" i="9" a="1"/>
  <c r="X125" i="9" s="1"/>
  <c r="Z125" i="9"/>
  <c r="AU145" i="9"/>
  <c r="AB145" i="9" a="1"/>
  <c r="AB145" i="9" s="1"/>
  <c r="V145" i="9" a="1"/>
  <c r="V145" i="9" s="1"/>
  <c r="Y145" i="9" a="1"/>
  <c r="Y145" i="9" s="1"/>
  <c r="S145" i="9" a="1"/>
  <c r="S145" i="9" s="1"/>
  <c r="AC145" i="9" s="1"/>
  <c r="Z145" i="9"/>
  <c r="T145" i="9" a="1"/>
  <c r="T145" i="9" s="1"/>
  <c r="W145" i="9" a="1"/>
  <c r="W145" i="9" s="1"/>
  <c r="U145" i="9" a="1"/>
  <c r="U145" i="9" s="1"/>
  <c r="X145" i="9" a="1"/>
  <c r="X145" i="9" s="1"/>
  <c r="S115" i="9" a="1"/>
  <c r="S115" i="9" s="1"/>
  <c r="AC115" i="9" s="1"/>
  <c r="X115" i="9" a="1"/>
  <c r="X115" i="9" s="1"/>
  <c r="V115" i="9" a="1"/>
  <c r="V115" i="9" s="1"/>
  <c r="Y115" i="9" a="1"/>
  <c r="Y115" i="9" s="1"/>
  <c r="T115" i="9" a="1"/>
  <c r="T115" i="9" s="1"/>
  <c r="AB115" i="9" a="1"/>
  <c r="AB115" i="9" s="1"/>
  <c r="AU115" i="9"/>
  <c r="U115" i="9" a="1"/>
  <c r="U115" i="9" s="1"/>
  <c r="W115" i="9" a="1"/>
  <c r="W115" i="9" s="1"/>
  <c r="Z115" i="9"/>
  <c r="AU63" i="9"/>
  <c r="T63" i="9" a="1"/>
  <c r="T63" i="9" s="1"/>
  <c r="S63" i="9" a="1"/>
  <c r="S63" i="9" s="1"/>
  <c r="AC63" i="9" s="1"/>
  <c r="X63" i="9" a="1"/>
  <c r="X63" i="9" s="1"/>
  <c r="Z63" i="9"/>
  <c r="W63" i="9" a="1"/>
  <c r="W63" i="9" s="1"/>
  <c r="U63" i="9" a="1"/>
  <c r="U63" i="9" s="1"/>
  <c r="V63" i="9" a="1"/>
  <c r="V63" i="9" s="1"/>
  <c r="AB63" i="9" a="1"/>
  <c r="AB63" i="9" s="1"/>
  <c r="Y63" i="9" a="1"/>
  <c r="Y63" i="9" s="1"/>
  <c r="W181" i="9" a="1"/>
  <c r="W181" i="9" s="1"/>
  <c r="Y181" i="9" a="1"/>
  <c r="Y181" i="9" s="1"/>
  <c r="S181" i="9" a="1"/>
  <c r="S181" i="9" s="1"/>
  <c r="AC181" i="9" s="1"/>
  <c r="Z181" i="9"/>
  <c r="AU181" i="9"/>
  <c r="T181" i="9" a="1"/>
  <c r="T181" i="9" s="1"/>
  <c r="X181" i="9" a="1"/>
  <c r="X181" i="9" s="1"/>
  <c r="U181" i="9" a="1"/>
  <c r="U181" i="9" s="1"/>
  <c r="V181" i="9" a="1"/>
  <c r="V181" i="9" s="1"/>
  <c r="AB181" i="9" a="1"/>
  <c r="AB181" i="9" s="1"/>
  <c r="AU214" i="9"/>
  <c r="Z214" i="9"/>
  <c r="V214" i="9" a="1"/>
  <c r="V214" i="9" s="1"/>
  <c r="AB214" i="9" a="1"/>
  <c r="AB214" i="9" s="1"/>
  <c r="Y214" i="9" a="1"/>
  <c r="Y214" i="9" s="1"/>
  <c r="W214" i="9" a="1"/>
  <c r="W214" i="9" s="1"/>
  <c r="X214" i="9" a="1"/>
  <c r="X214" i="9" s="1"/>
  <c r="U214" i="9" a="1"/>
  <c r="U214" i="9" s="1"/>
  <c r="S214" i="9" a="1"/>
  <c r="S214" i="9" s="1"/>
  <c r="AC214" i="9" s="1"/>
  <c r="T214" i="9" a="1"/>
  <c r="T214" i="9" s="1"/>
  <c r="AU76" i="9"/>
  <c r="Y76" i="9" a="1"/>
  <c r="Y76" i="9" s="1"/>
  <c r="AB76" i="9" a="1"/>
  <c r="AB76" i="9" s="1"/>
  <c r="S76" i="9" a="1"/>
  <c r="S76" i="9" s="1"/>
  <c r="AC76" i="9" s="1"/>
  <c r="W76" i="9" a="1"/>
  <c r="W76" i="9" s="1"/>
  <c r="T76" i="9" a="1"/>
  <c r="T76" i="9" s="1"/>
  <c r="X76" i="9" a="1"/>
  <c r="X76" i="9" s="1"/>
  <c r="V76" i="9" a="1"/>
  <c r="V76" i="9" s="1"/>
  <c r="Z76" i="9"/>
  <c r="U76" i="9" a="1"/>
  <c r="U76" i="9" s="1"/>
  <c r="S223" i="9" a="1"/>
  <c r="S223" i="9" s="1"/>
  <c r="AC223" i="9" s="1"/>
  <c r="AB223" i="9" a="1"/>
  <c r="AB223" i="9" s="1"/>
  <c r="Z223" i="9"/>
  <c r="T223" i="9" a="1"/>
  <c r="T223" i="9" s="1"/>
  <c r="X223" i="9" a="1"/>
  <c r="X223" i="9" s="1"/>
  <c r="W223" i="9" a="1"/>
  <c r="W223" i="9" s="1"/>
  <c r="AU223" i="9"/>
  <c r="Y223" i="9" a="1"/>
  <c r="Y223" i="9" s="1"/>
  <c r="U223" i="9" a="1"/>
  <c r="U223" i="9" s="1"/>
  <c r="V223" i="9" a="1"/>
  <c r="V223" i="9" s="1"/>
  <c r="AB198" i="9" a="1"/>
  <c r="AB198" i="9" s="1"/>
  <c r="V198" i="9" a="1"/>
  <c r="V198" i="9" s="1"/>
  <c r="W198" i="9" a="1"/>
  <c r="W198" i="9" s="1"/>
  <c r="Z198" i="9"/>
  <c r="Y198" i="9" a="1"/>
  <c r="Y198" i="9" s="1"/>
  <c r="AU198" i="9"/>
  <c r="T198" i="9" a="1"/>
  <c r="T198" i="9" s="1"/>
  <c r="S198" i="9" a="1"/>
  <c r="S198" i="9" s="1"/>
  <c r="AC198" i="9" s="1"/>
  <c r="X198" i="9" a="1"/>
  <c r="X198" i="9" s="1"/>
  <c r="U198" i="9" a="1"/>
  <c r="U198" i="9" s="1"/>
  <c r="W234" i="9" a="1"/>
  <c r="W234" i="9" s="1"/>
  <c r="T234" i="9" a="1"/>
  <c r="T234" i="9" s="1"/>
  <c r="AU234" i="9"/>
  <c r="Y234" i="9" a="1"/>
  <c r="Y234" i="9" s="1"/>
  <c r="V234" i="9" a="1"/>
  <c r="V234" i="9" s="1"/>
  <c r="U234" i="9" a="1"/>
  <c r="U234" i="9" s="1"/>
  <c r="Z234" i="9"/>
  <c r="AB234" i="9" a="1"/>
  <c r="AB234" i="9" s="1"/>
  <c r="X234" i="9" a="1"/>
  <c r="X234" i="9" s="1"/>
  <c r="S234" i="9" a="1"/>
  <c r="S234" i="9" s="1"/>
  <c r="AC234" i="9" s="1"/>
  <c r="T114" i="9" a="1"/>
  <c r="T114" i="9" s="1"/>
  <c r="V114" i="9" a="1"/>
  <c r="V114" i="9" s="1"/>
  <c r="AU114" i="9"/>
  <c r="AB114" i="9" a="1"/>
  <c r="AB114" i="9" s="1"/>
  <c r="U114" i="9" a="1"/>
  <c r="U114" i="9" s="1"/>
  <c r="S114" i="9" a="1"/>
  <c r="S114" i="9" s="1"/>
  <c r="AC114" i="9" s="1"/>
  <c r="Z114" i="9"/>
  <c r="X114" i="9" a="1"/>
  <c r="X114" i="9" s="1"/>
  <c r="W114" i="9" a="1"/>
  <c r="W114" i="9" s="1"/>
  <c r="Y114" i="9" a="1"/>
  <c r="Y114" i="9" s="1"/>
  <c r="Z192" i="9"/>
  <c r="AU192" i="9"/>
  <c r="T192" i="9" a="1"/>
  <c r="T192" i="9" s="1"/>
  <c r="S192" i="9" a="1"/>
  <c r="S192" i="9" s="1"/>
  <c r="AC192" i="9" s="1"/>
  <c r="X192" i="9" a="1"/>
  <c r="X192" i="9" s="1"/>
  <c r="W192" i="9" a="1"/>
  <c r="W192" i="9" s="1"/>
  <c r="V192" i="9" a="1"/>
  <c r="V192" i="9" s="1"/>
  <c r="U192" i="9" a="1"/>
  <c r="U192" i="9" s="1"/>
  <c r="Y192" i="9" a="1"/>
  <c r="Y192" i="9" s="1"/>
  <c r="AB192" i="9" a="1"/>
  <c r="AB192" i="9" s="1"/>
  <c r="V219" i="9" a="1"/>
  <c r="V219" i="9" s="1"/>
  <c r="S219" i="9" a="1"/>
  <c r="S219" i="9" s="1"/>
  <c r="AC219" i="9" s="1"/>
  <c r="Z219" i="9"/>
  <c r="X219" i="9" a="1"/>
  <c r="X219" i="9" s="1"/>
  <c r="U219" i="9" a="1"/>
  <c r="U219" i="9" s="1"/>
  <c r="W219" i="9" a="1"/>
  <c r="W219" i="9" s="1"/>
  <c r="Y219" i="9" a="1"/>
  <c r="Y219" i="9" s="1"/>
  <c r="AB219" i="9" a="1"/>
  <c r="AB219" i="9" s="1"/>
  <c r="AU219" i="9"/>
  <c r="T219" i="9" a="1"/>
  <c r="T219" i="9" s="1"/>
  <c r="X196" i="9" a="1"/>
  <c r="X196" i="9" s="1"/>
  <c r="S196" i="9" a="1"/>
  <c r="S196" i="9" s="1"/>
  <c r="AC196" i="9" s="1"/>
  <c r="T196" i="9" a="1"/>
  <c r="T196" i="9" s="1"/>
  <c r="Y196" i="9" a="1"/>
  <c r="Y196" i="9" s="1"/>
  <c r="Z196" i="9"/>
  <c r="W196" i="9" a="1"/>
  <c r="W196" i="9" s="1"/>
  <c r="V196" i="9" a="1"/>
  <c r="V196" i="9" s="1"/>
  <c r="U196" i="9" a="1"/>
  <c r="U196" i="9" s="1"/>
  <c r="AU196" i="9"/>
  <c r="AB196" i="9" a="1"/>
  <c r="AB196" i="9" s="1"/>
  <c r="V172" i="9" a="1"/>
  <c r="V172" i="9" s="1"/>
  <c r="W172" i="9" a="1"/>
  <c r="W172" i="9" s="1"/>
  <c r="Y172" i="9" a="1"/>
  <c r="Y172" i="9" s="1"/>
  <c r="AU172" i="9"/>
  <c r="X172" i="9" a="1"/>
  <c r="X172" i="9" s="1"/>
  <c r="AB172" i="9" a="1"/>
  <c r="AB172" i="9" s="1"/>
  <c r="Z172" i="9"/>
  <c r="T172" i="9" a="1"/>
  <c r="T172" i="9" s="1"/>
  <c r="S172" i="9" a="1"/>
  <c r="S172" i="9" s="1"/>
  <c r="AC172" i="9" s="1"/>
  <c r="U172" i="9" a="1"/>
  <c r="U172" i="9" s="1"/>
  <c r="V263" i="9" a="1"/>
  <c r="V263" i="9" s="1"/>
  <c r="U263" i="9" a="1"/>
  <c r="U263" i="9" s="1"/>
  <c r="W263" i="9" a="1"/>
  <c r="W263" i="9" s="1"/>
  <c r="X263" i="9" a="1"/>
  <c r="X263" i="9" s="1"/>
  <c r="Y263" i="9" a="1"/>
  <c r="Y263" i="9" s="1"/>
  <c r="AB263" i="9" a="1"/>
  <c r="AB263" i="9" s="1"/>
  <c r="T263" i="9" a="1"/>
  <c r="T263" i="9" s="1"/>
  <c r="Z263" i="9"/>
  <c r="S263" i="9" a="1"/>
  <c r="S263" i="9" s="1"/>
  <c r="AC263" i="9" s="1"/>
  <c r="V212" i="9" a="1"/>
  <c r="V212" i="9" s="1"/>
  <c r="Z212" i="9"/>
  <c r="AB212" i="9" a="1"/>
  <c r="AB212" i="9" s="1"/>
  <c r="AU212" i="9"/>
  <c r="T212" i="9" a="1"/>
  <c r="T212" i="9" s="1"/>
  <c r="S212" i="9" a="1"/>
  <c r="S212" i="9" s="1"/>
  <c r="AC212" i="9" s="1"/>
  <c r="U212" i="9" a="1"/>
  <c r="U212" i="9" s="1"/>
  <c r="X212" i="9" a="1"/>
  <c r="X212" i="9" s="1"/>
  <c r="Y212" i="9" a="1"/>
  <c r="Y212" i="9" s="1"/>
  <c r="W212" i="9" a="1"/>
  <c r="W212" i="9" s="1"/>
  <c r="T70" i="9" a="1"/>
  <c r="T70" i="9" s="1"/>
  <c r="V70" i="9" a="1"/>
  <c r="V70" i="9" s="1"/>
  <c r="W70" i="9" a="1"/>
  <c r="W70" i="9" s="1"/>
  <c r="Y70" i="9" a="1"/>
  <c r="Y70" i="9" s="1"/>
  <c r="AU70" i="9"/>
  <c r="U70" i="9" a="1"/>
  <c r="U70" i="9" s="1"/>
  <c r="AB70" i="9" a="1"/>
  <c r="AB70" i="9" s="1"/>
  <c r="X70" i="9" a="1"/>
  <c r="X70" i="9" s="1"/>
  <c r="S70" i="9" a="1"/>
  <c r="S70" i="9" s="1"/>
  <c r="AC70" i="9" s="1"/>
  <c r="Z70" i="9"/>
  <c r="W193" i="9" a="1"/>
  <c r="W193" i="9" s="1"/>
  <c r="V193" i="9" a="1"/>
  <c r="V193" i="9" s="1"/>
  <c r="Y193" i="9" a="1"/>
  <c r="Y193" i="9" s="1"/>
  <c r="T193" i="9" a="1"/>
  <c r="T193" i="9" s="1"/>
  <c r="Z193" i="9"/>
  <c r="AB193" i="9" a="1"/>
  <c r="AB193" i="9" s="1"/>
  <c r="AU193" i="9"/>
  <c r="X193" i="9" a="1"/>
  <c r="X193" i="9" s="1"/>
  <c r="S193" i="9" a="1"/>
  <c r="S193" i="9" s="1"/>
  <c r="AC193" i="9" s="1"/>
  <c r="U193" i="9" a="1"/>
  <c r="U193" i="9" s="1"/>
  <c r="V126" i="9" a="1"/>
  <c r="V126" i="9" s="1"/>
  <c r="Z126" i="9"/>
  <c r="AB126" i="9" a="1"/>
  <c r="AB126" i="9" s="1"/>
  <c r="S126" i="9" a="1"/>
  <c r="S126" i="9" s="1"/>
  <c r="AC126" i="9" s="1"/>
  <c r="X126" i="9" a="1"/>
  <c r="X126" i="9" s="1"/>
  <c r="T126" i="9" a="1"/>
  <c r="T126" i="9" s="1"/>
  <c r="W126" i="9" a="1"/>
  <c r="W126" i="9" s="1"/>
  <c r="Y126" i="9" a="1"/>
  <c r="Y126" i="9" s="1"/>
  <c r="U126" i="9" a="1"/>
  <c r="U126" i="9" s="1"/>
  <c r="AU126" i="9"/>
  <c r="Z118" i="9"/>
  <c r="Y118" i="9" a="1"/>
  <c r="Y118" i="9" s="1"/>
  <c r="T118" i="9" a="1"/>
  <c r="T118" i="9" s="1"/>
  <c r="S118" i="9" a="1"/>
  <c r="S118" i="9" s="1"/>
  <c r="AC118" i="9" s="1"/>
  <c r="U118" i="9" a="1"/>
  <c r="U118" i="9" s="1"/>
  <c r="AU118" i="9"/>
  <c r="AB118" i="9" a="1"/>
  <c r="AB118" i="9" s="1"/>
  <c r="V118" i="9" a="1"/>
  <c r="V118" i="9" s="1"/>
  <c r="W118" i="9" a="1"/>
  <c r="W118" i="9" s="1"/>
  <c r="X118" i="9" a="1"/>
  <c r="X118" i="9" s="1"/>
  <c r="Z132" i="9"/>
  <c r="S132" i="9" a="1"/>
  <c r="S132" i="9" s="1"/>
  <c r="AC132" i="9" s="1"/>
  <c r="AU132" i="9"/>
  <c r="AB132" i="9" a="1"/>
  <c r="AB132" i="9" s="1"/>
  <c r="U132" i="9" a="1"/>
  <c r="U132" i="9" s="1"/>
  <c r="T132" i="9" a="1"/>
  <c r="T132" i="9" s="1"/>
  <c r="W132" i="9" a="1"/>
  <c r="W132" i="9" s="1"/>
  <c r="V132" i="9" a="1"/>
  <c r="V132" i="9" s="1"/>
  <c r="Y132" i="9" a="1"/>
  <c r="Y132" i="9" s="1"/>
  <c r="X132" i="9" a="1"/>
  <c r="X132" i="9" s="1"/>
  <c r="W67" i="9" a="1"/>
  <c r="W67" i="9" s="1"/>
  <c r="X67" i="9" a="1"/>
  <c r="X67" i="9" s="1"/>
  <c r="U67" i="9" a="1"/>
  <c r="U67" i="9" s="1"/>
  <c r="Y67" i="9" a="1"/>
  <c r="Y67" i="9" s="1"/>
  <c r="T67" i="9" a="1"/>
  <c r="T67" i="9" s="1"/>
  <c r="V67" i="9" a="1"/>
  <c r="V67" i="9" s="1"/>
  <c r="AB67" i="9" a="1"/>
  <c r="AB67" i="9" s="1"/>
  <c r="Z67" i="9"/>
  <c r="AU67" i="9"/>
  <c r="S67" i="9" a="1"/>
  <c r="S67" i="9" s="1"/>
  <c r="AC67" i="9" s="1"/>
  <c r="V91" i="9" a="1"/>
  <c r="V91" i="9" s="1"/>
  <c r="AB91" i="9" a="1"/>
  <c r="AB91" i="9" s="1"/>
  <c r="S91" i="9" a="1"/>
  <c r="S91" i="9" s="1"/>
  <c r="AC91" i="9" s="1"/>
  <c r="Z91" i="9"/>
  <c r="X91" i="9" a="1"/>
  <c r="X91" i="9" s="1"/>
  <c r="U91" i="9" a="1"/>
  <c r="U91" i="9" s="1"/>
  <c r="W91" i="9" a="1"/>
  <c r="W91" i="9" s="1"/>
  <c r="Y91" i="9" a="1"/>
  <c r="Y91" i="9" s="1"/>
  <c r="AU91" i="9"/>
  <c r="T91" i="9" a="1"/>
  <c r="T91" i="9" s="1"/>
  <c r="Z83" i="9"/>
  <c r="S83" i="9" a="1"/>
  <c r="S83" i="9" s="1"/>
  <c r="AC83" i="9" s="1"/>
  <c r="T83" i="9" a="1"/>
  <c r="T83" i="9" s="1"/>
  <c r="V83" i="9" a="1"/>
  <c r="V83" i="9" s="1"/>
  <c r="AU83" i="9"/>
  <c r="X83" i="9" a="1"/>
  <c r="X83" i="9" s="1"/>
  <c r="U83" i="9" a="1"/>
  <c r="U83" i="9" s="1"/>
  <c r="W83" i="9" a="1"/>
  <c r="W83" i="9" s="1"/>
  <c r="AB83" i="9" a="1"/>
  <c r="AB83" i="9" s="1"/>
  <c r="Y83" i="9" a="1"/>
  <c r="Y83" i="9" s="1"/>
  <c r="W69" i="9" a="1"/>
  <c r="W69" i="9" s="1"/>
  <c r="V69" i="9" a="1"/>
  <c r="V69" i="9" s="1"/>
  <c r="AB69" i="9" a="1"/>
  <c r="AB69" i="9" s="1"/>
  <c r="AU69" i="9"/>
  <c r="U69" i="9" a="1"/>
  <c r="U69" i="9" s="1"/>
  <c r="S69" i="9" a="1"/>
  <c r="S69" i="9" s="1"/>
  <c r="AC69" i="9" s="1"/>
  <c r="T69" i="9" a="1"/>
  <c r="T69" i="9" s="1"/>
  <c r="Y69" i="9" a="1"/>
  <c r="Y69" i="9" s="1"/>
  <c r="Z69" i="9"/>
  <c r="X69" i="9" a="1"/>
  <c r="X69" i="9" s="1"/>
  <c r="W250" i="9" a="1"/>
  <c r="W250" i="9" s="1"/>
  <c r="AU250" i="9"/>
  <c r="Z250" i="9"/>
  <c r="S250" i="9" a="1"/>
  <c r="S250" i="9" s="1"/>
  <c r="AC250" i="9" s="1"/>
  <c r="T250" i="9" a="1"/>
  <c r="T250" i="9" s="1"/>
  <c r="U250" i="9" a="1"/>
  <c r="U250" i="9" s="1"/>
  <c r="AB250" i="9" a="1"/>
  <c r="AB250" i="9" s="1"/>
  <c r="X250" i="9" a="1"/>
  <c r="X250" i="9" s="1"/>
  <c r="V250" i="9" a="1"/>
  <c r="V250" i="9" s="1"/>
  <c r="Y250" i="9" a="1"/>
  <c r="Y250" i="9" s="1"/>
  <c r="T113" i="9" a="1"/>
  <c r="T113" i="9" s="1"/>
  <c r="AB113" i="9" a="1"/>
  <c r="AB113" i="9" s="1"/>
  <c r="Z113" i="9"/>
  <c r="S113" i="9" a="1"/>
  <c r="S113" i="9" s="1"/>
  <c r="AC113" i="9" s="1"/>
  <c r="AU113" i="9"/>
  <c r="W113" i="9" a="1"/>
  <c r="W113" i="9" s="1"/>
  <c r="V113" i="9" a="1"/>
  <c r="V113" i="9" s="1"/>
  <c r="X113" i="9" a="1"/>
  <c r="X113" i="9" s="1"/>
  <c r="Y113" i="9" a="1"/>
  <c r="Y113" i="9" s="1"/>
  <c r="U113" i="9" a="1"/>
  <c r="U113" i="9" s="1"/>
  <c r="Z153" i="9"/>
  <c r="X153" i="9" a="1"/>
  <c r="X153" i="9" s="1"/>
  <c r="V153" i="9" a="1"/>
  <c r="V153" i="9" s="1"/>
  <c r="AU153" i="9"/>
  <c r="T153" i="9" a="1"/>
  <c r="T153" i="9" s="1"/>
  <c r="AB153" i="9" a="1"/>
  <c r="AB153" i="9" s="1"/>
  <c r="S153" i="9" a="1"/>
  <c r="S153" i="9" s="1"/>
  <c r="AC153" i="9" s="1"/>
  <c r="W153" i="9" a="1"/>
  <c r="W153" i="9" s="1"/>
  <c r="Y153" i="9" a="1"/>
  <c r="Y153" i="9" s="1"/>
  <c r="U153" i="9" a="1"/>
  <c r="U153" i="9" s="1"/>
  <c r="S246" i="9" a="1"/>
  <c r="S246" i="9" s="1"/>
  <c r="AC246" i="9" s="1"/>
  <c r="T246" i="9" a="1"/>
  <c r="T246" i="9" s="1"/>
  <c r="W246" i="9" a="1"/>
  <c r="W246" i="9" s="1"/>
  <c r="X246" i="9" a="1"/>
  <c r="X246" i="9" s="1"/>
  <c r="Z246" i="9"/>
  <c r="Y246" i="9" a="1"/>
  <c r="Y246" i="9" s="1"/>
  <c r="U246" i="9" a="1"/>
  <c r="U246" i="9" s="1"/>
  <c r="V246" i="9" a="1"/>
  <c r="V246" i="9" s="1"/>
  <c r="AU246" i="9"/>
  <c r="AB246" i="9" a="1"/>
  <c r="AB246" i="9" s="1"/>
  <c r="AU54" i="9"/>
  <c r="V101" i="9" a="1"/>
  <c r="V101" i="9" s="1"/>
  <c r="U101" i="9" a="1"/>
  <c r="U101" i="9" s="1"/>
  <c r="AU101" i="9"/>
  <c r="Z101" i="9"/>
  <c r="AB101" i="9" a="1"/>
  <c r="AB101" i="9" s="1"/>
  <c r="W101" i="9" a="1"/>
  <c r="W101" i="9" s="1"/>
  <c r="X101" i="9" a="1"/>
  <c r="X101" i="9" s="1"/>
  <c r="Y101" i="9" a="1"/>
  <c r="Y101" i="9" s="1"/>
  <c r="S101" i="9" a="1"/>
  <c r="S101" i="9" s="1"/>
  <c r="AC101" i="9" s="1"/>
  <c r="T101" i="9" a="1"/>
  <c r="T101" i="9" s="1"/>
  <c r="Y77" i="9" a="1"/>
  <c r="Y77" i="9" s="1"/>
  <c r="Z77" i="9"/>
  <c r="U77" i="9" a="1"/>
  <c r="U77" i="9" s="1"/>
  <c r="X77" i="9" a="1"/>
  <c r="X77" i="9" s="1"/>
  <c r="AB77" i="9" a="1"/>
  <c r="AB77" i="9" s="1"/>
  <c r="S77" i="9" a="1"/>
  <c r="S77" i="9" s="1"/>
  <c r="AC77" i="9" s="1"/>
  <c r="W77" i="9" a="1"/>
  <c r="W77" i="9" s="1"/>
  <c r="T77" i="9" a="1"/>
  <c r="T77" i="9" s="1"/>
  <c r="V77" i="9" a="1"/>
  <c r="V77" i="9" s="1"/>
  <c r="AU77" i="9"/>
  <c r="T105" i="9" a="1"/>
  <c r="T105" i="9" s="1"/>
  <c r="V105" i="9" a="1"/>
  <c r="V105" i="9" s="1"/>
  <c r="AB105" i="9" a="1"/>
  <c r="AB105" i="9" s="1"/>
  <c r="X105" i="9" a="1"/>
  <c r="X105" i="9" s="1"/>
  <c r="AU105" i="9"/>
  <c r="S105" i="9" a="1"/>
  <c r="S105" i="9" s="1"/>
  <c r="AC105" i="9" s="1"/>
  <c r="U105" i="9" a="1"/>
  <c r="U105" i="9" s="1"/>
  <c r="Y105" i="9" a="1"/>
  <c r="Y105" i="9" s="1"/>
  <c r="W105" i="9" a="1"/>
  <c r="W105" i="9" s="1"/>
  <c r="Z105" i="9"/>
  <c r="AU49" i="9"/>
  <c r="T242" i="9" a="1"/>
  <c r="T242" i="9" s="1"/>
  <c r="Z242" i="9"/>
  <c r="V242" i="9" a="1"/>
  <c r="V242" i="9" s="1"/>
  <c r="AU242" i="9"/>
  <c r="X242" i="9" a="1"/>
  <c r="X242" i="9" s="1"/>
  <c r="S242" i="9" a="1"/>
  <c r="S242" i="9" s="1"/>
  <c r="AC242" i="9" s="1"/>
  <c r="U242" i="9" a="1"/>
  <c r="U242" i="9" s="1"/>
  <c r="W242" i="9" a="1"/>
  <c r="W242" i="9" s="1"/>
  <c r="Y242" i="9" a="1"/>
  <c r="Y242" i="9" s="1"/>
  <c r="AB242" i="9" a="1"/>
  <c r="AB242" i="9" s="1"/>
  <c r="Y128" i="9" a="1"/>
  <c r="Y128" i="9" s="1"/>
  <c r="Z128" i="9"/>
  <c r="AU128" i="9"/>
  <c r="U128" i="9" a="1"/>
  <c r="U128" i="9" s="1"/>
  <c r="AB128" i="9" a="1"/>
  <c r="AB128" i="9" s="1"/>
  <c r="W128" i="9" a="1"/>
  <c r="W128" i="9" s="1"/>
  <c r="V128" i="9" a="1"/>
  <c r="V128" i="9" s="1"/>
  <c r="T128" i="9" a="1"/>
  <c r="T128" i="9" s="1"/>
  <c r="X128" i="9" a="1"/>
  <c r="X128" i="9" s="1"/>
  <c r="S128" i="9" a="1"/>
  <c r="S128" i="9" s="1"/>
  <c r="AC128" i="9" s="1"/>
  <c r="Z86" i="9"/>
  <c r="X86" i="9" a="1"/>
  <c r="X86" i="9" s="1"/>
  <c r="W86" i="9" a="1"/>
  <c r="W86" i="9" s="1"/>
  <c r="U86" i="9" a="1"/>
  <c r="U86" i="9" s="1"/>
  <c r="Y86" i="9" a="1"/>
  <c r="Y86" i="9" s="1"/>
  <c r="V86" i="9" a="1"/>
  <c r="V86" i="9" s="1"/>
  <c r="AB86" i="9" a="1"/>
  <c r="AB86" i="9" s="1"/>
  <c r="AU86" i="9"/>
  <c r="S86" i="9" a="1"/>
  <c r="S86" i="9" s="1"/>
  <c r="AC86" i="9" s="1"/>
  <c r="T86" i="9" a="1"/>
  <c r="T86" i="9" s="1"/>
  <c r="Y207" i="9" a="1"/>
  <c r="Y207" i="9" s="1"/>
  <c r="W207" i="9" a="1"/>
  <c r="W207" i="9" s="1"/>
  <c r="T207" i="9" a="1"/>
  <c r="T207" i="9" s="1"/>
  <c r="AB207" i="9" a="1"/>
  <c r="AB207" i="9" s="1"/>
  <c r="V207" i="9" a="1"/>
  <c r="V207" i="9" s="1"/>
  <c r="U207" i="9" a="1"/>
  <c r="U207" i="9" s="1"/>
  <c r="S207" i="9" a="1"/>
  <c r="S207" i="9" s="1"/>
  <c r="AC207" i="9" s="1"/>
  <c r="Z207" i="9"/>
  <c r="AU207" i="9"/>
  <c r="X207" i="9" a="1"/>
  <c r="X207" i="9" s="1"/>
  <c r="AU215" i="9"/>
  <c r="X215" i="9" a="1"/>
  <c r="X215" i="9" s="1"/>
  <c r="S215" i="9" a="1"/>
  <c r="S215" i="9" s="1"/>
  <c r="AC215" i="9" s="1"/>
  <c r="U215" i="9" a="1"/>
  <c r="U215" i="9" s="1"/>
  <c r="W215" i="9" a="1"/>
  <c r="W215" i="9" s="1"/>
  <c r="V215" i="9" a="1"/>
  <c r="V215" i="9" s="1"/>
  <c r="T215" i="9" a="1"/>
  <c r="T215" i="9" s="1"/>
  <c r="Z215" i="9"/>
  <c r="AB215" i="9" a="1"/>
  <c r="AB215" i="9" s="1"/>
  <c r="Y215" i="9" a="1"/>
  <c r="Y215" i="9" s="1"/>
  <c r="AU53" i="9"/>
  <c r="S233" i="9" a="1"/>
  <c r="S233" i="9" s="1"/>
  <c r="AC233" i="9" s="1"/>
  <c r="AB233" i="9" a="1"/>
  <c r="AB233" i="9" s="1"/>
  <c r="Z233" i="9"/>
  <c r="T233" i="9" a="1"/>
  <c r="T233" i="9" s="1"/>
  <c r="W233" i="9" a="1"/>
  <c r="W233" i="9" s="1"/>
  <c r="X233" i="9" a="1"/>
  <c r="X233" i="9" s="1"/>
  <c r="Y233" i="9" a="1"/>
  <c r="Y233" i="9" s="1"/>
  <c r="U233" i="9" a="1"/>
  <c r="U233" i="9" s="1"/>
  <c r="V233" i="9" a="1"/>
  <c r="V233" i="9" s="1"/>
  <c r="AU233" i="9"/>
  <c r="X208" i="9" a="1"/>
  <c r="X208" i="9" s="1"/>
  <c r="S208" i="9" a="1"/>
  <c r="S208" i="9" s="1"/>
  <c r="AC208" i="9" s="1"/>
  <c r="Z208" i="9"/>
  <c r="V208" i="9" a="1"/>
  <c r="V208" i="9" s="1"/>
  <c r="AU208" i="9"/>
  <c r="Y208" i="9" a="1"/>
  <c r="Y208" i="9" s="1"/>
  <c r="AB208" i="9" a="1"/>
  <c r="AB208" i="9" s="1"/>
  <c r="W208" i="9" a="1"/>
  <c r="W208" i="9" s="1"/>
  <c r="T208" i="9" a="1"/>
  <c r="T208" i="9" s="1"/>
  <c r="U208" i="9" a="1"/>
  <c r="U208" i="9" s="1"/>
  <c r="V58" i="9" a="1"/>
  <c r="V58" i="9" s="1"/>
  <c r="AB58" i="9" a="1"/>
  <c r="AB58" i="9" s="1"/>
  <c r="S58" i="9" a="1"/>
  <c r="S58" i="9" s="1"/>
  <c r="AC58" i="9" s="1"/>
  <c r="T58" i="9" a="1"/>
  <c r="T58" i="9" s="1"/>
  <c r="AU58" i="9"/>
  <c r="W58" i="9" a="1"/>
  <c r="W58" i="9" s="1"/>
  <c r="X58" i="9" a="1"/>
  <c r="X58" i="9" s="1"/>
  <c r="Y58" i="9" a="1"/>
  <c r="Y58" i="9" s="1"/>
  <c r="U58" i="9" a="1"/>
  <c r="U58" i="9" s="1"/>
  <c r="Z58" i="9"/>
  <c r="U149" i="9" a="1"/>
  <c r="U149" i="9" s="1"/>
  <c r="W149" i="9" a="1"/>
  <c r="W149" i="9" s="1"/>
  <c r="T149" i="9" a="1"/>
  <c r="T149" i="9" s="1"/>
  <c r="V149" i="9" a="1"/>
  <c r="V149" i="9" s="1"/>
  <c r="S149" i="9" a="1"/>
  <c r="S149" i="9" s="1"/>
  <c r="AC149" i="9" s="1"/>
  <c r="AU149" i="9"/>
  <c r="Z149" i="9"/>
  <c r="Y149" i="9" a="1"/>
  <c r="Y149" i="9" s="1"/>
  <c r="X149" i="9" a="1"/>
  <c r="X149" i="9" s="1"/>
  <c r="AB149" i="9" a="1"/>
  <c r="AB149" i="9" s="1"/>
  <c r="X57" i="9" a="1"/>
  <c r="X57" i="9" s="1"/>
  <c r="V57" i="9" a="1"/>
  <c r="V57" i="9" s="1"/>
  <c r="W57" i="9" a="1"/>
  <c r="W57" i="9" s="1"/>
  <c r="AU57" i="9"/>
  <c r="S57" i="9" a="1"/>
  <c r="S57" i="9" s="1"/>
  <c r="AC57" i="9" s="1"/>
  <c r="U57" i="9" a="1"/>
  <c r="U57" i="9" s="1"/>
  <c r="Y57" i="9" a="1"/>
  <c r="Y57" i="9" s="1"/>
  <c r="Z57" i="9"/>
  <c r="AB57" i="9" a="1"/>
  <c r="AB57" i="9" s="1"/>
  <c r="T57" i="9" a="1"/>
  <c r="T57" i="9" s="1"/>
  <c r="W98" i="9" a="1"/>
  <c r="W98" i="9" s="1"/>
  <c r="Y98" i="9" a="1"/>
  <c r="Y98" i="9" s="1"/>
  <c r="Z98" i="9"/>
  <c r="AB98" i="9" a="1"/>
  <c r="AB98" i="9" s="1"/>
  <c r="V98" i="9" a="1"/>
  <c r="V98" i="9" s="1"/>
  <c r="AU98" i="9"/>
  <c r="T98" i="9" a="1"/>
  <c r="T98" i="9" s="1"/>
  <c r="S98" i="9" a="1"/>
  <c r="S98" i="9" s="1"/>
  <c r="AC98" i="9" s="1"/>
  <c r="X98" i="9" a="1"/>
  <c r="X98" i="9" s="1"/>
  <c r="U98" i="9" a="1"/>
  <c r="U98" i="9" s="1"/>
  <c r="S185" i="9" a="1"/>
  <c r="S185" i="9" s="1"/>
  <c r="AC185" i="9" s="1"/>
  <c r="W185" i="9" a="1"/>
  <c r="W185" i="9" s="1"/>
  <c r="AU185" i="9"/>
  <c r="U185" i="9" a="1"/>
  <c r="U185" i="9" s="1"/>
  <c r="V185" i="9" a="1"/>
  <c r="V185" i="9" s="1"/>
  <c r="AB185" i="9" a="1"/>
  <c r="AB185" i="9" s="1"/>
  <c r="Y185" i="9" a="1"/>
  <c r="Y185" i="9" s="1"/>
  <c r="T185" i="9" a="1"/>
  <c r="T185" i="9" s="1"/>
  <c r="Z185" i="9"/>
  <c r="X185" i="9" a="1"/>
  <c r="X185" i="9" s="1"/>
  <c r="T94" i="9" a="1"/>
  <c r="T94" i="9" s="1"/>
  <c r="AB94" i="9" a="1"/>
  <c r="AB94" i="9" s="1"/>
  <c r="AU94" i="9"/>
  <c r="V94" i="9" a="1"/>
  <c r="V94" i="9" s="1"/>
  <c r="X94" i="9" a="1"/>
  <c r="X94" i="9" s="1"/>
  <c r="S94" i="9" a="1"/>
  <c r="S94" i="9" s="1"/>
  <c r="AC94" i="9" s="1"/>
  <c r="W94" i="9" a="1"/>
  <c r="W94" i="9" s="1"/>
  <c r="U94" i="9" a="1"/>
  <c r="U94" i="9" s="1"/>
  <c r="Z94" i="9"/>
  <c r="Y94" i="9" a="1"/>
  <c r="Y94" i="9" s="1"/>
  <c r="S253" i="9" a="1"/>
  <c r="S253" i="9" s="1"/>
  <c r="AC253" i="9" s="1"/>
  <c r="AU253" i="9"/>
  <c r="X253" i="9" a="1"/>
  <c r="X253" i="9" s="1"/>
  <c r="V253" i="9" a="1"/>
  <c r="V253" i="9" s="1"/>
  <c r="W253" i="9" a="1"/>
  <c r="W253" i="9" s="1"/>
  <c r="T253" i="9" a="1"/>
  <c r="T253" i="9" s="1"/>
  <c r="AB253" i="9" a="1"/>
  <c r="AB253" i="9" s="1"/>
  <c r="U253" i="9" a="1"/>
  <c r="U253" i="9" s="1"/>
  <c r="Y253" i="9" a="1"/>
  <c r="Y253" i="9" s="1"/>
  <c r="Z253" i="9"/>
  <c r="Y139" i="9" a="1"/>
  <c r="Y139" i="9" s="1"/>
  <c r="V139" i="9" a="1"/>
  <c r="V139" i="9" s="1"/>
  <c r="U139" i="9" a="1"/>
  <c r="U139" i="9" s="1"/>
  <c r="Z139" i="9"/>
  <c r="AB139" i="9" a="1"/>
  <c r="AB139" i="9" s="1"/>
  <c r="W139" i="9" a="1"/>
  <c r="W139" i="9" s="1"/>
  <c r="S139" i="9" a="1"/>
  <c r="S139" i="9" s="1"/>
  <c r="AC139" i="9" s="1"/>
  <c r="X139" i="9" a="1"/>
  <c r="X139" i="9" s="1"/>
  <c r="AU139" i="9"/>
  <c r="T139" i="9" a="1"/>
  <c r="T139" i="9" s="1"/>
  <c r="AU143" i="9"/>
  <c r="V143" i="9" a="1"/>
  <c r="V143" i="9" s="1"/>
  <c r="U143" i="9" a="1"/>
  <c r="U143" i="9" s="1"/>
  <c r="X143" i="9" a="1"/>
  <c r="X143" i="9" s="1"/>
  <c r="W143" i="9" a="1"/>
  <c r="W143" i="9" s="1"/>
  <c r="Z143" i="9"/>
  <c r="Y143" i="9" a="1"/>
  <c r="Y143" i="9" s="1"/>
  <c r="T143" i="9" a="1"/>
  <c r="T143" i="9" s="1"/>
  <c r="S143" i="9" a="1"/>
  <c r="S143" i="9" s="1"/>
  <c r="AC143" i="9" s="1"/>
  <c r="AB143" i="9" a="1"/>
  <c r="AB143" i="9" s="1"/>
  <c r="AU48" i="9"/>
  <c r="V203" i="9" a="1"/>
  <c r="V203" i="9" s="1"/>
  <c r="S203" i="9" a="1"/>
  <c r="S203" i="9" s="1"/>
  <c r="AC203" i="9" s="1"/>
  <c r="U203" i="9" a="1"/>
  <c r="U203" i="9" s="1"/>
  <c r="X203" i="9" a="1"/>
  <c r="X203" i="9" s="1"/>
  <c r="T203" i="9" a="1"/>
  <c r="T203" i="9" s="1"/>
  <c r="Z203" i="9"/>
  <c r="AU203" i="9"/>
  <c r="W203" i="9" a="1"/>
  <c r="W203" i="9" s="1"/>
  <c r="Y203" i="9" a="1"/>
  <c r="Y203" i="9" s="1"/>
  <c r="AB203" i="9" a="1"/>
  <c r="AB203" i="9" s="1"/>
  <c r="AB164" i="9" a="1"/>
  <c r="AB164" i="9" s="1"/>
  <c r="Y164" i="9" a="1"/>
  <c r="Y164" i="9" s="1"/>
  <c r="Z164" i="9"/>
  <c r="AU164" i="9"/>
  <c r="T164" i="9" a="1"/>
  <c r="T164" i="9" s="1"/>
  <c r="X164" i="9" a="1"/>
  <c r="X164" i="9" s="1"/>
  <c r="U164" i="9" a="1"/>
  <c r="U164" i="9" s="1"/>
  <c r="S164" i="9" a="1"/>
  <c r="S164" i="9" s="1"/>
  <c r="AC164" i="9" s="1"/>
  <c r="V164" i="9" a="1"/>
  <c r="V164" i="9" s="1"/>
  <c r="W164" i="9" a="1"/>
  <c r="W164" i="9" s="1"/>
  <c r="AA164" i="9" s="1"/>
  <c r="U179" i="9" a="1"/>
  <c r="U179" i="9" s="1"/>
  <c r="AB179" i="9" a="1"/>
  <c r="AB179" i="9" s="1"/>
  <c r="T179" i="9" a="1"/>
  <c r="T179" i="9" s="1"/>
  <c r="X179" i="9" a="1"/>
  <c r="X179" i="9" s="1"/>
  <c r="V179" i="9" a="1"/>
  <c r="V179" i="9" s="1"/>
  <c r="Y179" i="9" a="1"/>
  <c r="Y179" i="9" s="1"/>
  <c r="W179" i="9" a="1"/>
  <c r="W179" i="9" s="1"/>
  <c r="Z179" i="9"/>
  <c r="S179" i="9" a="1"/>
  <c r="S179" i="9" s="1"/>
  <c r="AC179" i="9" s="1"/>
  <c r="AU179" i="9"/>
  <c r="W133" i="9" a="1"/>
  <c r="W133" i="9" s="1"/>
  <c r="AU133" i="9"/>
  <c r="V133" i="9" a="1"/>
  <c r="V133" i="9" s="1"/>
  <c r="Z133" i="9"/>
  <c r="U133" i="9" a="1"/>
  <c r="U133" i="9" s="1"/>
  <c r="AB133" i="9" a="1"/>
  <c r="AB133" i="9" s="1"/>
  <c r="S133" i="9" a="1"/>
  <c r="S133" i="9" s="1"/>
  <c r="AC133" i="9" s="1"/>
  <c r="Y133" i="9" a="1"/>
  <c r="Y133" i="9" s="1"/>
  <c r="T133" i="9" a="1"/>
  <c r="T133" i="9" s="1"/>
  <c r="X133" i="9" a="1"/>
  <c r="X133" i="9" s="1"/>
  <c r="U200" i="9" a="1"/>
  <c r="U200" i="9" s="1"/>
  <c r="W200" i="9" a="1"/>
  <c r="W200" i="9" s="1"/>
  <c r="Z200" i="9"/>
  <c r="Y200" i="9" a="1"/>
  <c r="Y200" i="9" s="1"/>
  <c r="V200" i="9" a="1"/>
  <c r="V200" i="9" s="1"/>
  <c r="AU200" i="9"/>
  <c r="S200" i="9" a="1"/>
  <c r="S200" i="9" s="1"/>
  <c r="AC200" i="9" s="1"/>
  <c r="AB200" i="9" a="1"/>
  <c r="AB200" i="9" s="1"/>
  <c r="T200" i="9" a="1"/>
  <c r="T200" i="9" s="1"/>
  <c r="X200" i="9" a="1"/>
  <c r="X200" i="9" s="1"/>
  <c r="AU127" i="9"/>
  <c r="U127" i="9" a="1"/>
  <c r="U127" i="9" s="1"/>
  <c r="V127" i="9" a="1"/>
  <c r="V127" i="9" s="1"/>
  <c r="S127" i="9" a="1"/>
  <c r="S127" i="9" s="1"/>
  <c r="AC127" i="9" s="1"/>
  <c r="Z127" i="9"/>
  <c r="Y127" i="9" a="1"/>
  <c r="Y127" i="9" s="1"/>
  <c r="X127" i="9" a="1"/>
  <c r="X127" i="9" s="1"/>
  <c r="AB127" i="9" a="1"/>
  <c r="AB127" i="9" s="1"/>
  <c r="T127" i="9" a="1"/>
  <c r="T127" i="9" s="1"/>
  <c r="W127" i="9" a="1"/>
  <c r="W127" i="9" s="1"/>
  <c r="T135" i="9" a="1"/>
  <c r="T135" i="9" s="1"/>
  <c r="Z135" i="9"/>
  <c r="AU135" i="9"/>
  <c r="S135" i="9" a="1"/>
  <c r="S135" i="9" s="1"/>
  <c r="AC135" i="9" s="1"/>
  <c r="AB135" i="9" a="1"/>
  <c r="AB135" i="9" s="1"/>
  <c r="Y135" i="9" a="1"/>
  <c r="Y135" i="9" s="1"/>
  <c r="X135" i="9" a="1"/>
  <c r="X135" i="9" s="1"/>
  <c r="W135" i="9" a="1"/>
  <c r="W135" i="9" s="1"/>
  <c r="U135" i="9" a="1"/>
  <c r="U135" i="9" s="1"/>
  <c r="V135" i="9" a="1"/>
  <c r="V135" i="9" s="1"/>
  <c r="Y79" i="9" a="1"/>
  <c r="Y79" i="9" s="1"/>
  <c r="V79" i="9" a="1"/>
  <c r="V79" i="9" s="1"/>
  <c r="AB79" i="9" a="1"/>
  <c r="AB79" i="9" s="1"/>
  <c r="T79" i="9" a="1"/>
  <c r="T79" i="9" s="1"/>
  <c r="S79" i="9" a="1"/>
  <c r="S79" i="9" s="1"/>
  <c r="AC79" i="9" s="1"/>
  <c r="X79" i="9" a="1"/>
  <c r="X79" i="9" s="1"/>
  <c r="U79" i="9" a="1"/>
  <c r="U79" i="9" s="1"/>
  <c r="W79" i="9" a="1"/>
  <c r="W79" i="9" s="1"/>
  <c r="Z79" i="9"/>
  <c r="AU79" i="9"/>
  <c r="AU180" i="9"/>
  <c r="Y180" i="9" a="1"/>
  <c r="Y180" i="9" s="1"/>
  <c r="T180" i="9" a="1"/>
  <c r="T180" i="9" s="1"/>
  <c r="Z180" i="9"/>
  <c r="U180" i="9" a="1"/>
  <c r="U180" i="9" s="1"/>
  <c r="X180" i="9" a="1"/>
  <c r="X180" i="9" s="1"/>
  <c r="V180" i="9" a="1"/>
  <c r="V180" i="9" s="1"/>
  <c r="S180" i="9" a="1"/>
  <c r="S180" i="9" s="1"/>
  <c r="AC180" i="9" s="1"/>
  <c r="W180" i="9" a="1"/>
  <c r="W180" i="9" s="1"/>
  <c r="AB180" i="9" a="1"/>
  <c r="AB180" i="9" s="1"/>
  <c r="U243" i="9" a="1"/>
  <c r="U243" i="9" s="1"/>
  <c r="S243" i="9" a="1"/>
  <c r="S243" i="9" s="1"/>
  <c r="AC243" i="9" s="1"/>
  <c r="T243" i="9" a="1"/>
  <c r="T243" i="9" s="1"/>
  <c r="Y243" i="9" a="1"/>
  <c r="Y243" i="9" s="1"/>
  <c r="X243" i="9" a="1"/>
  <c r="X243" i="9" s="1"/>
  <c r="W243" i="9" a="1"/>
  <c r="W243" i="9" s="1"/>
  <c r="Z243" i="9"/>
  <c r="V243" i="9" a="1"/>
  <c r="V243" i="9" s="1"/>
  <c r="AU243" i="9"/>
  <c r="AB243" i="9" a="1"/>
  <c r="AB243" i="9" s="1"/>
  <c r="AU238" i="9"/>
  <c r="V238" i="9" a="1"/>
  <c r="V238" i="9" s="1"/>
  <c r="AB238" i="9" a="1"/>
  <c r="AB238" i="9" s="1"/>
  <c r="T238" i="9" a="1"/>
  <c r="T238" i="9" s="1"/>
  <c r="Z238" i="9"/>
  <c r="X238" i="9" a="1"/>
  <c r="X238" i="9" s="1"/>
  <c r="S238" i="9" a="1"/>
  <c r="S238" i="9" s="1"/>
  <c r="AC238" i="9" s="1"/>
  <c r="U238" i="9" a="1"/>
  <c r="U238" i="9" s="1"/>
  <c r="W238" i="9" a="1"/>
  <c r="W238" i="9" s="1"/>
  <c r="Y238" i="9" a="1"/>
  <c r="Y238" i="9" s="1"/>
  <c r="X166" i="9" a="1"/>
  <c r="X166" i="9" s="1"/>
  <c r="V166" i="9" a="1"/>
  <c r="V166" i="9" s="1"/>
  <c r="AU166" i="9"/>
  <c r="AB166" i="9" a="1"/>
  <c r="AB166" i="9" s="1"/>
  <c r="S166" i="9" a="1"/>
  <c r="S166" i="9" s="1"/>
  <c r="AC166" i="9" s="1"/>
  <c r="U166" i="9" a="1"/>
  <c r="U166" i="9" s="1"/>
  <c r="Z166" i="9"/>
  <c r="T166" i="9" a="1"/>
  <c r="T166" i="9" s="1"/>
  <c r="Y166" i="9" a="1"/>
  <c r="Y166" i="9" s="1"/>
  <c r="W166" i="9" a="1"/>
  <c r="W166" i="9" s="1"/>
  <c r="U163" i="9" a="1"/>
  <c r="U163" i="9" s="1"/>
  <c r="W163" i="9" a="1"/>
  <c r="W163" i="9" s="1"/>
  <c r="Y163" i="9" a="1"/>
  <c r="Y163" i="9" s="1"/>
  <c r="Z163" i="9"/>
  <c r="X163" i="9" a="1"/>
  <c r="X163" i="9" s="1"/>
  <c r="S163" i="9" a="1"/>
  <c r="S163" i="9" s="1"/>
  <c r="AC163" i="9" s="1"/>
  <c r="AB163" i="9" a="1"/>
  <c r="AB163" i="9" s="1"/>
  <c r="T163" i="9" a="1"/>
  <c r="T163" i="9" s="1"/>
  <c r="AU163" i="9"/>
  <c r="V163" i="9" a="1"/>
  <c r="V163" i="9" s="1"/>
  <c r="T14" i="9" a="1"/>
  <c r="AB22" i="9" a="1"/>
  <c r="Y55" i="9" a="1"/>
  <c r="AB10" i="9" a="1"/>
  <c r="AB39" i="9" a="1"/>
  <c r="S23" i="9" a="1"/>
  <c r="U9" i="9" a="1"/>
  <c r="S56" i="9" a="1"/>
  <c r="S13" i="9" a="1"/>
  <c r="AB51" i="9" a="1"/>
  <c r="S51" i="9" a="1"/>
  <c r="Y26" i="9" a="1"/>
  <c r="U33" i="9" a="1"/>
  <c r="W12" i="9" a="1"/>
  <c r="X6" i="9" a="1"/>
  <c r="T7" i="9" a="1"/>
  <c r="Y7" i="9" a="1"/>
  <c r="Y40" i="9" a="1"/>
  <c r="Y8" i="9" a="1"/>
  <c r="X11" i="9" a="1"/>
  <c r="S11" i="9" a="1"/>
  <c r="S52" i="9" a="1"/>
  <c r="AB29" i="9" a="1"/>
  <c r="V44" i="9" a="1"/>
  <c r="Y50" i="9" a="1"/>
  <c r="AB50" i="9" a="1"/>
  <c r="AB28" i="9" a="1"/>
  <c r="S30" i="9" a="1"/>
  <c r="U20" i="9" a="1"/>
  <c r="AB20" i="9" a="1"/>
  <c r="T46" i="9" a="1"/>
  <c r="Y3" i="9" a="1"/>
  <c r="U3" i="9" a="1"/>
  <c r="V19" i="9" a="1"/>
  <c r="AB21" i="9" a="1"/>
  <c r="AB43" i="9" a="1"/>
  <c r="U4" i="9" a="1"/>
  <c r="X41" i="9" a="1"/>
  <c r="V41" i="9" a="1"/>
  <c r="S54" i="9" a="1"/>
  <c r="V54" i="9" a="1"/>
  <c r="S27" i="9" a="1"/>
  <c r="W24" i="9" a="1"/>
  <c r="V24" i="9" a="1"/>
  <c r="V49" i="9" a="1"/>
  <c r="V53" i="9" a="1"/>
  <c r="AB2" i="9" a="1"/>
  <c r="Y36" i="9" a="1"/>
  <c r="T53" i="9" a="1"/>
  <c r="T2" i="9" a="1"/>
  <c r="W16" i="9" a="1"/>
  <c r="X23" i="9" a="1"/>
  <c r="W26" i="9" a="1"/>
  <c r="V33" i="9" a="1"/>
  <c r="AB6" i="9" a="1"/>
  <c r="W8" i="9" a="1"/>
  <c r="Y29" i="9" a="1"/>
  <c r="V18" i="9" a="1"/>
  <c r="U44" i="9" a="1"/>
  <c r="S50" i="9" a="1"/>
  <c r="V28" i="9" a="1"/>
  <c r="U21" i="9" a="1"/>
  <c r="U54" i="9" a="1"/>
  <c r="W2" i="9" a="1"/>
  <c r="U6" i="9" a="1"/>
  <c r="U32" i="9" a="1"/>
  <c r="S3" i="9" a="1"/>
  <c r="U42" i="9" a="1"/>
  <c r="S14" i="9" a="1"/>
  <c r="Y22" i="9" a="1"/>
  <c r="T22" i="9" a="1"/>
  <c r="X55" i="9" a="1"/>
  <c r="V55" i="9" a="1"/>
  <c r="T10" i="9" a="1"/>
  <c r="S25" i="9" a="1"/>
  <c r="V39" i="9" a="1"/>
  <c r="W23" i="9" a="1"/>
  <c r="Y9" i="9" a="1"/>
  <c r="T56" i="9" a="1"/>
  <c r="U45" i="9" a="1"/>
  <c r="S35" i="9" a="1"/>
  <c r="U13" i="9" a="1"/>
  <c r="U51" i="9" a="1"/>
  <c r="W5" i="9" a="1"/>
  <c r="S5" i="9" a="1"/>
  <c r="AB26" i="9" a="1"/>
  <c r="AB12" i="9" a="1"/>
  <c r="Y6" i="9" a="1"/>
  <c r="W7" i="9" a="1"/>
  <c r="V40" i="9" a="1"/>
  <c r="U8" i="9" a="1"/>
  <c r="Y52" i="9" a="1"/>
  <c r="V29" i="9" a="1"/>
  <c r="V47" i="9" a="1"/>
  <c r="X18" i="9" a="1"/>
  <c r="T50" i="9" a="1"/>
  <c r="X50" i="9" a="1"/>
  <c r="S32" i="9" a="1"/>
  <c r="T28" i="9" a="1"/>
  <c r="U30" i="9" a="1"/>
  <c r="S20" i="9" a="1"/>
  <c r="X20" i="9" a="1"/>
  <c r="Y34" i="9" a="1"/>
  <c r="U46" i="9" a="1"/>
  <c r="W3" i="9" a="1"/>
  <c r="AB19" i="9" a="1"/>
  <c r="T43" i="9" a="1"/>
  <c r="Y41" i="9" a="1"/>
  <c r="T54" i="9" a="1"/>
  <c r="W27" i="9" a="1"/>
  <c r="X24" i="9" a="1"/>
  <c r="V36" i="9" a="1"/>
  <c r="W49" i="9" a="1"/>
  <c r="Y53" i="9" a="1"/>
  <c r="S53" i="9" a="1"/>
  <c r="AB42" i="9" a="1"/>
  <c r="W31" i="9" a="1"/>
  <c r="U31" i="9" a="1"/>
  <c r="V48" i="9" a="1"/>
  <c r="Y2" i="9" a="1"/>
  <c r="V2" i="9" a="1"/>
  <c r="T27" i="9" a="1"/>
  <c r="S31" i="9" a="1"/>
  <c r="AB48" i="9" a="1"/>
  <c r="S2" i="9" a="1"/>
  <c r="W45" i="9" a="1"/>
  <c r="Y5" i="9" a="1"/>
  <c r="U29" i="9" a="1"/>
  <c r="S18" i="9" a="1"/>
  <c r="W19" i="9" a="1"/>
  <c r="V21" i="9" a="1"/>
  <c r="U43" i="9" a="1"/>
  <c r="S17" i="9" a="1"/>
  <c r="X36" i="9" a="1"/>
  <c r="V50" i="9" a="1"/>
  <c r="T30" i="9" a="1"/>
  <c r="W41" i="9" a="1"/>
  <c r="X31" i="9" a="1"/>
  <c r="X14" i="9" a="1"/>
  <c r="X22" i="9" a="1"/>
  <c r="U55" i="9" a="1"/>
  <c r="S10" i="9" a="1"/>
  <c r="AB25" i="9" a="1"/>
  <c r="S39" i="9" a="1"/>
  <c r="AB16" i="9" a="1"/>
  <c r="T23" i="9" a="1"/>
  <c r="V23" i="9" a="1"/>
  <c r="W9" i="9" a="1"/>
  <c r="S9" i="9" a="1"/>
  <c r="X56" i="9" a="1"/>
  <c r="AB56" i="9" a="1"/>
  <c r="S45" i="9" a="1"/>
  <c r="Y35" i="9" a="1"/>
  <c r="V35" i="9" a="1"/>
  <c r="X13" i="9" a="1"/>
  <c r="W51" i="9" a="1"/>
  <c r="T5" i="9" a="1"/>
  <c r="T26" i="9" a="1"/>
  <c r="T12" i="9" a="1"/>
  <c r="X7" i="9" a="1"/>
  <c r="V8" i="9" a="1"/>
  <c r="U11" i="9" a="1"/>
  <c r="W52" i="9" a="1"/>
  <c r="T29" i="9" a="1"/>
  <c r="W47" i="9" a="1"/>
  <c r="T47" i="9" a="1"/>
  <c r="U18" i="9" a="1"/>
  <c r="W44" i="9" a="1"/>
  <c r="S44" i="9" a="1"/>
  <c r="W50" i="9" a="1"/>
  <c r="AB32" i="9" a="1"/>
  <c r="S28" i="9" a="1"/>
  <c r="X30" i="9" a="1"/>
  <c r="W20" i="9" a="1"/>
  <c r="V34" i="9" a="1"/>
  <c r="AB34" i="9" a="1"/>
  <c r="Y46" i="9" a="1"/>
  <c r="S46" i="9" a="1"/>
  <c r="T3" i="9" a="1"/>
  <c r="X19" i="9" a="1"/>
  <c r="T21" i="9" a="1"/>
  <c r="V43" i="9" a="1"/>
  <c r="X43" i="9" a="1"/>
  <c r="W4" i="9" a="1"/>
  <c r="V4" i="9" a="1"/>
  <c r="AB17" i="9" a="1"/>
  <c r="X27" i="9" a="1"/>
  <c r="Y24" i="9" a="1"/>
  <c r="AB36" i="9" a="1"/>
  <c r="AB49" i="9" a="1"/>
  <c r="V42" i="9" a="1"/>
  <c r="T31" i="9" a="1"/>
  <c r="T16" i="9" a="1"/>
  <c r="T35" i="9" a="1"/>
  <c r="AB47" i="9" a="1"/>
  <c r="W32" i="9" a="1"/>
  <c r="X28" i="9" a="1"/>
  <c r="W30" i="9" a="1"/>
  <c r="S19" i="9" a="1"/>
  <c r="T42" i="9" a="1"/>
  <c r="Y47" i="9" a="1"/>
  <c r="Y20" i="9" a="1"/>
  <c r="Y54" i="9" a="1"/>
  <c r="U53" i="9" a="1"/>
  <c r="Y14" i="9" a="1"/>
  <c r="U14" i="9" a="1"/>
  <c r="W22" i="9" a="1"/>
  <c r="X10" i="9" a="1"/>
  <c r="W39" i="9" a="1"/>
  <c r="T39" i="9" a="1"/>
  <c r="S16" i="9" a="1"/>
  <c r="Y23" i="9" a="1"/>
  <c r="X9" i="9" a="1"/>
  <c r="T9" i="9" a="1"/>
  <c r="W56" i="9" a="1"/>
  <c r="T45" i="9" a="1"/>
  <c r="W35" i="9" a="1"/>
  <c r="Y13" i="9" a="1"/>
  <c r="Y51" i="9" a="1"/>
  <c r="X5" i="9" a="1"/>
  <c r="V26" i="9" a="1"/>
  <c r="X26" i="9" a="1"/>
  <c r="AB33" i="9" a="1"/>
  <c r="X12" i="9" a="1"/>
  <c r="V6" i="9" a="1"/>
  <c r="V7" i="9" a="1"/>
  <c r="X8" i="9" a="1"/>
  <c r="Y11" i="9" a="1"/>
  <c r="S29" i="9" a="1"/>
  <c r="S47" i="9" a="1"/>
  <c r="X47" i="9" a="1"/>
  <c r="W18" i="9" a="1"/>
  <c r="T44" i="9" a="1"/>
  <c r="AB44" i="9" a="1"/>
  <c r="U28" i="9" a="1"/>
  <c r="Y30" i="9" a="1"/>
  <c r="T20" i="9" a="1"/>
  <c r="W34" i="9" a="1"/>
  <c r="T34" i="9" a="1"/>
  <c r="W46" i="9" a="1"/>
  <c r="X46" i="9" a="1"/>
  <c r="S21" i="9" a="1"/>
  <c r="S43" i="9" a="1"/>
  <c r="Y4" i="9" a="1"/>
  <c r="S4" i="9" a="1"/>
  <c r="AB41" i="9" a="1"/>
  <c r="V17" i="9" a="1"/>
  <c r="X54" i="9" a="1"/>
  <c r="V27" i="9" a="1"/>
  <c r="W36" i="9" a="1"/>
  <c r="T49" i="9" a="1"/>
  <c r="AB53" i="9" a="1"/>
  <c r="W42" i="9" a="1"/>
  <c r="S42" i="9" a="1"/>
  <c r="Y31" i="9" a="1"/>
  <c r="S48" i="9" a="1"/>
  <c r="T1" i="9" a="1"/>
  <c r="W14" i="9" a="1"/>
  <c r="S55" i="9" a="1"/>
  <c r="W10" i="9" a="1"/>
  <c r="U10" i="9" a="1"/>
  <c r="V25" i="9" a="1"/>
  <c r="X39" i="9" a="1"/>
  <c r="Y56" i="9" a="1"/>
  <c r="V13" i="9" a="1"/>
  <c r="U26" i="9" a="1"/>
  <c r="AB40" i="9" a="1"/>
  <c r="T52" i="9" a="1"/>
  <c r="T32" i="9" a="1"/>
  <c r="V3" i="9" a="1"/>
  <c r="AB27" i="9" a="1"/>
  <c r="AB24" i="9" a="1"/>
  <c r="AB31" i="9" a="1"/>
  <c r="T48" i="9" a="1"/>
  <c r="S7" i="9" a="1"/>
  <c r="AB11" i="9" a="1"/>
  <c r="U52" i="9" a="1"/>
  <c r="T18" i="9" a="1"/>
  <c r="W54" i="9" a="1"/>
  <c r="V22" i="9" a="1"/>
  <c r="AB55" i="9" a="1"/>
  <c r="Y10" i="9" a="1"/>
  <c r="W25" i="9" a="1"/>
  <c r="Y39" i="9" a="1"/>
  <c r="Y16" i="9" a="1"/>
  <c r="X16" i="9" a="1"/>
  <c r="U23" i="9" a="1"/>
  <c r="V9" i="9" a="1"/>
  <c r="U56" i="9" a="1"/>
  <c r="Y45" i="9" a="1"/>
  <c r="X35" i="9" a="1"/>
  <c r="AB13" i="9" a="1"/>
  <c r="V51" i="9" a="1"/>
  <c r="V5" i="9" a="1"/>
  <c r="X33" i="9" a="1"/>
  <c r="S33" i="9" a="1"/>
  <c r="S12" i="9" a="1"/>
  <c r="W6" i="9" a="1"/>
  <c r="AB7" i="9" a="1"/>
  <c r="U40" i="9" a="1"/>
  <c r="S40" i="9" a="1"/>
  <c r="S8" i="9" a="1"/>
  <c r="T8" i="9" a="1"/>
  <c r="T11" i="9" a="1"/>
  <c r="V52" i="9" a="1"/>
  <c r="X29" i="9" a="1"/>
  <c r="W29" i="9" a="1"/>
  <c r="AB18" i="9" a="1"/>
  <c r="Y18" i="9" a="1"/>
  <c r="X44" i="9" a="1"/>
  <c r="U50" i="9" a="1"/>
  <c r="V32" i="9" a="1"/>
  <c r="X32" i="9" a="1"/>
  <c r="Y28" i="9" a="1"/>
  <c r="V30" i="9" a="1"/>
  <c r="V20" i="9" a="1"/>
  <c r="X34" i="9" a="1"/>
  <c r="V46" i="9" a="1"/>
  <c r="X3" i="9" a="1"/>
  <c r="Y19" i="9" a="1"/>
  <c r="U19" i="9" a="1"/>
  <c r="Y21" i="9" a="1"/>
  <c r="X21" i="9" a="1"/>
  <c r="Y43" i="9" a="1"/>
  <c r="T4" i="9" a="1"/>
  <c r="S41" i="9" a="1"/>
  <c r="T17" i="9" a="1"/>
  <c r="W17" i="9" a="1"/>
  <c r="U27" i="9" a="1"/>
  <c r="S24" i="9" a="1"/>
  <c r="S36" i="9" a="1"/>
  <c r="Y49" i="9" a="1"/>
  <c r="S49" i="9" a="1"/>
  <c r="X53" i="9" a="1"/>
  <c r="X42" i="9" a="1"/>
  <c r="U48" i="9" a="1"/>
  <c r="X2" i="9" a="1"/>
  <c r="T24" i="9" a="1"/>
  <c r="X48" i="9" a="1"/>
  <c r="T25" i="9" a="1"/>
  <c r="AB35" i="9" a="1"/>
  <c r="X51" i="9" a="1"/>
  <c r="Y33" i="9" a="1"/>
  <c r="X40" i="9" a="1"/>
  <c r="W11" i="9" a="1"/>
  <c r="T19" i="9" a="1"/>
  <c r="U41" i="9" a="1"/>
  <c r="T36" i="9" a="1"/>
  <c r="V14" i="9" a="1"/>
  <c r="U22" i="9" a="1"/>
  <c r="T55" i="9" a="1"/>
  <c r="V10" i="9" a="1"/>
  <c r="X25" i="9" a="1"/>
  <c r="Y25" i="9" a="1"/>
  <c r="U39" i="9" a="1"/>
  <c r="U16" i="9" a="1"/>
  <c r="AB23" i="9" a="1"/>
  <c r="AB9" i="9" a="1"/>
  <c r="V56" i="9" a="1"/>
  <c r="V45" i="9" a="1"/>
  <c r="X45" i="9" a="1"/>
  <c r="U35" i="9" a="1"/>
  <c r="T51" i="9" a="1"/>
  <c r="AB5" i="9" a="1"/>
  <c r="S26" i="9" a="1"/>
  <c r="W33" i="9" a="1"/>
  <c r="T33" i="9" a="1"/>
  <c r="U12" i="9" a="1"/>
  <c r="S6" i="9" a="1"/>
  <c r="T6" i="9" a="1"/>
  <c r="U7" i="9" a="1"/>
  <c r="W40" i="9" a="1"/>
  <c r="T40" i="9" a="1"/>
  <c r="AB8" i="9" a="1"/>
  <c r="V11" i="9" a="1"/>
  <c r="AB52" i="9" a="1"/>
  <c r="U47" i="9" a="1"/>
  <c r="Y44" i="9" a="1"/>
  <c r="Y32" i="9" a="1"/>
  <c r="W28" i="9" a="1"/>
  <c r="AB30" i="9" a="1"/>
  <c r="U34" i="9" a="1"/>
  <c r="AB46" i="9" a="1"/>
  <c r="AB3" i="9" a="1"/>
  <c r="W21" i="9" a="1"/>
  <c r="W43" i="9" a="1"/>
  <c r="AB4" i="9" a="1"/>
  <c r="T41" i="9" a="1"/>
  <c r="Y17" i="9" a="1"/>
  <c r="X17" i="9" a="1"/>
  <c r="AB54" i="9" a="1"/>
  <c r="Y27" i="9" a="1"/>
  <c r="U36" i="9" a="1"/>
  <c r="U49" i="9" a="1"/>
  <c r="X49" i="9" a="1"/>
  <c r="W53" i="9" a="1"/>
  <c r="Y42" i="9" a="1"/>
  <c r="V31" i="9" a="1"/>
  <c r="W48" i="9" a="1"/>
  <c r="U2" i="9" a="1"/>
  <c r="AB14" i="9" a="1"/>
  <c r="S22" i="9" a="1"/>
  <c r="W55" i="9" a="1"/>
  <c r="U25" i="9" a="1"/>
  <c r="V16" i="9" a="1"/>
  <c r="AB45" i="9" a="1"/>
  <c r="W13" i="9" a="1"/>
  <c r="T13" i="9" a="1"/>
  <c r="U5" i="9" a="1"/>
  <c r="V12" i="9" a="1"/>
  <c r="Y12" i="9" a="1"/>
  <c r="X52" i="9" a="1"/>
  <c r="S34" i="9" a="1"/>
  <c r="X4" i="9" a="1"/>
  <c r="U17" i="9" a="1"/>
  <c r="U24" i="9" a="1"/>
  <c r="Y48" i="9" a="1"/>
  <c r="AA157" i="9" l="1"/>
  <c r="AA162" i="9"/>
  <c r="Y48" i="9"/>
  <c r="U24" i="9"/>
  <c r="U17" i="9"/>
  <c r="X4" i="9"/>
  <c r="S34" i="9"/>
  <c r="AC34" i="9" s="1"/>
  <c r="AU34" i="9" s="1"/>
  <c r="X52" i="9"/>
  <c r="Y12" i="9"/>
  <c r="V12" i="9"/>
  <c r="U5" i="9"/>
  <c r="T13" i="9"/>
  <c r="W13" i="9"/>
  <c r="AB45" i="9"/>
  <c r="V16" i="9"/>
  <c r="U25" i="9"/>
  <c r="W55" i="9"/>
  <c r="S22" i="9"/>
  <c r="AC22" i="9" s="1"/>
  <c r="AU22" i="9" s="1"/>
  <c r="AB14" i="9"/>
  <c r="U2" i="9"/>
  <c r="W48" i="9"/>
  <c r="Z48" i="9" s="1"/>
  <c r="V31" i="9"/>
  <c r="Y42" i="9"/>
  <c r="W53" i="9"/>
  <c r="X49" i="9"/>
  <c r="U49" i="9"/>
  <c r="U36" i="9"/>
  <c r="Y27" i="9"/>
  <c r="AB54" i="9"/>
  <c r="X17" i="9"/>
  <c r="Y17" i="9"/>
  <c r="AA17" i="9" s="1"/>
  <c r="T41" i="9"/>
  <c r="AB4" i="9"/>
  <c r="W43" i="9"/>
  <c r="Z43" i="9" s="1"/>
  <c r="W21" i="9"/>
  <c r="AB3" i="9"/>
  <c r="AB46" i="9"/>
  <c r="U34" i="9"/>
  <c r="AB30" i="9"/>
  <c r="W28" i="9"/>
  <c r="Y32" i="9"/>
  <c r="Y44" i="9"/>
  <c r="U47" i="9"/>
  <c r="AB52" i="9"/>
  <c r="V11" i="9"/>
  <c r="AB8" i="9"/>
  <c r="T40" i="9"/>
  <c r="W40" i="9"/>
  <c r="U7" i="9"/>
  <c r="T6" i="9"/>
  <c r="S6" i="9"/>
  <c r="AC6" i="9" s="1"/>
  <c r="AU6" i="9" s="1"/>
  <c r="U12" i="9"/>
  <c r="T33" i="9"/>
  <c r="W33" i="9"/>
  <c r="AA33" i="9" s="1"/>
  <c r="S26" i="9"/>
  <c r="AC26" i="9" s="1"/>
  <c r="AU26" i="9" s="1"/>
  <c r="AB5" i="9"/>
  <c r="T51" i="9"/>
  <c r="U35" i="9"/>
  <c r="X45" i="9"/>
  <c r="V45" i="9"/>
  <c r="V56" i="9"/>
  <c r="AB9" i="9"/>
  <c r="AB23" i="9"/>
  <c r="U16" i="9"/>
  <c r="U39" i="9"/>
  <c r="Y25" i="9"/>
  <c r="X25" i="9"/>
  <c r="V10" i="9"/>
  <c r="T55" i="9"/>
  <c r="U22" i="9"/>
  <c r="V14" i="9"/>
  <c r="T36" i="9"/>
  <c r="U41" i="9"/>
  <c r="T19" i="9"/>
  <c r="W11" i="9"/>
  <c r="Z11" i="9" s="1"/>
  <c r="X40" i="9"/>
  <c r="Y33" i="9"/>
  <c r="X51" i="9"/>
  <c r="AB35" i="9"/>
  <c r="T25" i="9"/>
  <c r="X48" i="9"/>
  <c r="T24" i="9"/>
  <c r="X2" i="9"/>
  <c r="U48" i="9"/>
  <c r="X42" i="9"/>
  <c r="X53" i="9"/>
  <c r="S49" i="9"/>
  <c r="AC49" i="9" s="1"/>
  <c r="Y49" i="9"/>
  <c r="S36" i="9"/>
  <c r="AC36" i="9" s="1"/>
  <c r="AU36" i="9" s="1"/>
  <c r="S24" i="9"/>
  <c r="AC24" i="9" s="1"/>
  <c r="AU24" i="9" s="1"/>
  <c r="U27" i="9"/>
  <c r="W17" i="9"/>
  <c r="T17" i="9"/>
  <c r="S41" i="9"/>
  <c r="AC41" i="9" s="1"/>
  <c r="AU41" i="9" s="1"/>
  <c r="T4" i="9"/>
  <c r="Y43" i="9"/>
  <c r="X21" i="9"/>
  <c r="Y21" i="9"/>
  <c r="AA21" i="9" s="1"/>
  <c r="U19" i="9"/>
  <c r="Y19" i="9"/>
  <c r="X3" i="9"/>
  <c r="V46" i="9"/>
  <c r="X34" i="9"/>
  <c r="V20" i="9"/>
  <c r="V30" i="9"/>
  <c r="Y28" i="9"/>
  <c r="X32" i="9"/>
  <c r="V32" i="9"/>
  <c r="U50" i="9"/>
  <c r="X44" i="9"/>
  <c r="Y18" i="9"/>
  <c r="AA18" i="9" s="1"/>
  <c r="AB18" i="9"/>
  <c r="W29" i="9"/>
  <c r="X29" i="9"/>
  <c r="V52" i="9"/>
  <c r="T11" i="9"/>
  <c r="T8" i="9"/>
  <c r="S8" i="9"/>
  <c r="AC8" i="9" s="1"/>
  <c r="AU8" i="9" s="1"/>
  <c r="S40" i="9"/>
  <c r="AC40" i="9" s="1"/>
  <c r="AU40" i="9" s="1"/>
  <c r="U40" i="9"/>
  <c r="AB7" i="9"/>
  <c r="W6" i="9"/>
  <c r="S12" i="9"/>
  <c r="AC12" i="9" s="1"/>
  <c r="AU12" i="9" s="1"/>
  <c r="S33" i="9"/>
  <c r="AC33" i="9" s="1"/>
  <c r="AU33" i="9" s="1"/>
  <c r="X33" i="9"/>
  <c r="V5" i="9"/>
  <c r="V51" i="9"/>
  <c r="AB13" i="9"/>
  <c r="X35" i="9"/>
  <c r="Y45" i="9"/>
  <c r="U56" i="9"/>
  <c r="V9" i="9"/>
  <c r="U23" i="9"/>
  <c r="X16" i="9"/>
  <c r="Y16" i="9"/>
  <c r="Y39" i="9"/>
  <c r="W25" i="9"/>
  <c r="Y10" i="9"/>
  <c r="AB55" i="9"/>
  <c r="V22" i="9"/>
  <c r="W54" i="9"/>
  <c r="T18" i="9"/>
  <c r="U52" i="9"/>
  <c r="AB11" i="9"/>
  <c r="S7" i="9"/>
  <c r="AC7" i="9" s="1"/>
  <c r="AU7" i="9" s="1"/>
  <c r="T48" i="9"/>
  <c r="AB31" i="9"/>
  <c r="AB24" i="9"/>
  <c r="AB27" i="9"/>
  <c r="V3" i="9"/>
  <c r="T32" i="9"/>
  <c r="T52" i="9"/>
  <c r="AB40" i="9"/>
  <c r="U26" i="9"/>
  <c r="V13" i="9"/>
  <c r="Y56" i="9"/>
  <c r="X39" i="9"/>
  <c r="V25" i="9"/>
  <c r="U10" i="9"/>
  <c r="W10" i="9"/>
  <c r="S55" i="9"/>
  <c r="AC55" i="9" s="1"/>
  <c r="W14" i="9"/>
  <c r="Z14" i="9" s="1"/>
  <c r="T1" i="9"/>
  <c r="S48" i="9"/>
  <c r="AC48" i="9" s="1"/>
  <c r="Y31" i="9"/>
  <c r="S42" i="9"/>
  <c r="AC42" i="9" s="1"/>
  <c r="AU42" i="9" s="1"/>
  <c r="W42" i="9"/>
  <c r="Z42" i="9" s="1"/>
  <c r="AB53" i="9"/>
  <c r="T49" i="9"/>
  <c r="W36" i="9"/>
  <c r="Z36" i="9" s="1"/>
  <c r="V27" i="9"/>
  <c r="X54" i="9"/>
  <c r="V17" i="9"/>
  <c r="AB41" i="9"/>
  <c r="S4" i="9"/>
  <c r="AC4" i="9" s="1"/>
  <c r="AU4" i="9" s="1"/>
  <c r="Y4" i="9"/>
  <c r="S43" i="9"/>
  <c r="AC43" i="9" s="1"/>
  <c r="AU43" i="9" s="1"/>
  <c r="S21" i="9"/>
  <c r="AC21" i="9" s="1"/>
  <c r="AU21" i="9" s="1"/>
  <c r="X46" i="9"/>
  <c r="W46" i="9"/>
  <c r="Z46" i="9" s="1"/>
  <c r="T34" i="9"/>
  <c r="W34" i="9"/>
  <c r="Z34" i="9" s="1"/>
  <c r="T20" i="9"/>
  <c r="Y30" i="9"/>
  <c r="U28" i="9"/>
  <c r="AB44" i="9"/>
  <c r="T44" i="9"/>
  <c r="W18" i="9"/>
  <c r="X47" i="9"/>
  <c r="S47" i="9"/>
  <c r="AC47" i="9" s="1"/>
  <c r="AU47" i="9" s="1"/>
  <c r="S29" i="9"/>
  <c r="AC29" i="9" s="1"/>
  <c r="AU29" i="9" s="1"/>
  <c r="Y11" i="9"/>
  <c r="X8" i="9"/>
  <c r="V7" i="9"/>
  <c r="V6" i="9"/>
  <c r="X12" i="9"/>
  <c r="AB33" i="9"/>
  <c r="X26" i="9"/>
  <c r="V26" i="9"/>
  <c r="X5" i="9"/>
  <c r="Y51" i="9"/>
  <c r="Y13" i="9"/>
  <c r="AA13" i="9" s="1"/>
  <c r="W35" i="9"/>
  <c r="T45" i="9"/>
  <c r="W56" i="9"/>
  <c r="T9" i="9"/>
  <c r="X9" i="9"/>
  <c r="Y23" i="9"/>
  <c r="S16" i="9"/>
  <c r="AC16" i="9" s="1"/>
  <c r="AU16" i="9" s="1"/>
  <c r="T39" i="9"/>
  <c r="W39" i="9"/>
  <c r="Z39" i="9" s="1"/>
  <c r="X10" i="9"/>
  <c r="W22" i="9"/>
  <c r="U14" i="9"/>
  <c r="Y14" i="9"/>
  <c r="U53" i="9"/>
  <c r="Y54" i="9"/>
  <c r="Y20" i="9"/>
  <c r="Y47" i="9"/>
  <c r="T42" i="9"/>
  <c r="S19" i="9"/>
  <c r="AC19" i="9" s="1"/>
  <c r="AU19" i="9" s="1"/>
  <c r="W30" i="9"/>
  <c r="Z30" i="9" s="1"/>
  <c r="X28" i="9"/>
  <c r="W32" i="9"/>
  <c r="Z32" i="9" s="1"/>
  <c r="AB47" i="9"/>
  <c r="T35" i="9"/>
  <c r="T16" i="9"/>
  <c r="T31" i="9"/>
  <c r="V42" i="9"/>
  <c r="AB49" i="9"/>
  <c r="AB36" i="9"/>
  <c r="Y24" i="9"/>
  <c r="X27" i="9"/>
  <c r="AB17" i="9"/>
  <c r="V4" i="9"/>
  <c r="W4" i="9"/>
  <c r="X43" i="9"/>
  <c r="V43" i="9"/>
  <c r="T21" i="9"/>
  <c r="X19" i="9"/>
  <c r="T3" i="9"/>
  <c r="S46" i="9"/>
  <c r="AC46" i="9" s="1"/>
  <c r="AU46" i="9" s="1"/>
  <c r="Y46" i="9"/>
  <c r="AB34" i="9"/>
  <c r="V34" i="9"/>
  <c r="W20" i="9"/>
  <c r="X30" i="9"/>
  <c r="S28" i="9"/>
  <c r="AC28" i="9" s="1"/>
  <c r="AU28" i="9" s="1"/>
  <c r="AB32" i="9"/>
  <c r="W50" i="9"/>
  <c r="Z50" i="9" s="1"/>
  <c r="S44" i="9"/>
  <c r="AC44" i="9" s="1"/>
  <c r="AU44" i="9" s="1"/>
  <c r="W44" i="9"/>
  <c r="U18" i="9"/>
  <c r="T47" i="9"/>
  <c r="W47" i="9"/>
  <c r="Z47" i="9" s="1"/>
  <c r="T29" i="9"/>
  <c r="W52" i="9"/>
  <c r="Z52" i="9" s="1"/>
  <c r="U11" i="9"/>
  <c r="V8" i="9"/>
  <c r="X7" i="9"/>
  <c r="T12" i="9"/>
  <c r="T26" i="9"/>
  <c r="T5" i="9"/>
  <c r="W51" i="9"/>
  <c r="X13" i="9"/>
  <c r="V35" i="9"/>
  <c r="Y35" i="9"/>
  <c r="AA35" i="9" s="1"/>
  <c r="S45" i="9"/>
  <c r="AC45" i="9" s="1"/>
  <c r="AU45" i="9" s="1"/>
  <c r="AB56" i="9"/>
  <c r="X56" i="9"/>
  <c r="S9" i="9"/>
  <c r="AC9" i="9" s="1"/>
  <c r="AU9" i="9" s="1"/>
  <c r="W9" i="9"/>
  <c r="V23" i="9"/>
  <c r="T23" i="9"/>
  <c r="AB16" i="9"/>
  <c r="S39" i="9"/>
  <c r="AC39" i="9" s="1"/>
  <c r="AU39" i="9" s="1"/>
  <c r="AB25" i="9"/>
  <c r="S10" i="9"/>
  <c r="AC10" i="9" s="1"/>
  <c r="AU10" i="9" s="1"/>
  <c r="U55" i="9"/>
  <c r="X22" i="9"/>
  <c r="X14" i="9"/>
  <c r="X31" i="9"/>
  <c r="W41" i="9"/>
  <c r="Z41" i="9" s="1"/>
  <c r="T30" i="9"/>
  <c r="V50" i="9"/>
  <c r="X36" i="9"/>
  <c r="S17" i="9"/>
  <c r="AC17" i="9" s="1"/>
  <c r="AU17" i="9" s="1"/>
  <c r="U43" i="9"/>
  <c r="V21" i="9"/>
  <c r="W19" i="9"/>
  <c r="Z19" i="9" s="1"/>
  <c r="S18" i="9"/>
  <c r="AC18" i="9" s="1"/>
  <c r="AU18" i="9" s="1"/>
  <c r="U29" i="9"/>
  <c r="Y5" i="9"/>
  <c r="W45" i="9"/>
  <c r="S2" i="9"/>
  <c r="AC2" i="9" s="1"/>
  <c r="AU2" i="9" s="1"/>
  <c r="AB48" i="9"/>
  <c r="S31" i="9"/>
  <c r="AC31" i="9" s="1"/>
  <c r="AU31" i="9" s="1"/>
  <c r="T27" i="9"/>
  <c r="V2" i="9"/>
  <c r="Y2" i="9"/>
  <c r="V48" i="9"/>
  <c r="U31" i="9"/>
  <c r="W31" i="9"/>
  <c r="Z31" i="9" s="1"/>
  <c r="AB42" i="9"/>
  <c r="S53" i="9"/>
  <c r="AC53" i="9" s="1"/>
  <c r="Y53" i="9"/>
  <c r="W49" i="9"/>
  <c r="Z49" i="9" s="1"/>
  <c r="V36" i="9"/>
  <c r="X24" i="9"/>
  <c r="W27" i="9"/>
  <c r="Z27" i="9" s="1"/>
  <c r="T54" i="9"/>
  <c r="Y41" i="9"/>
  <c r="T43" i="9"/>
  <c r="AB19" i="9"/>
  <c r="W3" i="9"/>
  <c r="AA3" i="9" s="1"/>
  <c r="U46" i="9"/>
  <c r="Y34" i="9"/>
  <c r="X20" i="9"/>
  <c r="S20" i="9"/>
  <c r="AC20" i="9" s="1"/>
  <c r="AU20" i="9" s="1"/>
  <c r="U30" i="9"/>
  <c r="T28" i="9"/>
  <c r="S32" i="9"/>
  <c r="AC32" i="9" s="1"/>
  <c r="AU32" i="9" s="1"/>
  <c r="X50" i="9"/>
  <c r="T50" i="9"/>
  <c r="X18" i="9"/>
  <c r="V47" i="9"/>
  <c r="V29" i="9"/>
  <c r="Y52" i="9"/>
  <c r="U8" i="9"/>
  <c r="V40" i="9"/>
  <c r="W7" i="9"/>
  <c r="Y6" i="9"/>
  <c r="AB12" i="9"/>
  <c r="AB26" i="9"/>
  <c r="S5" i="9"/>
  <c r="AC5" i="9" s="1"/>
  <c r="AU5" i="9" s="1"/>
  <c r="W5" i="9"/>
  <c r="U51" i="9"/>
  <c r="U13" i="9"/>
  <c r="S35" i="9"/>
  <c r="AC35" i="9" s="1"/>
  <c r="AU35" i="9" s="1"/>
  <c r="U45" i="9"/>
  <c r="T56" i="9"/>
  <c r="Y9" i="9"/>
  <c r="W23" i="9"/>
  <c r="Z23" i="9" s="1"/>
  <c r="V39" i="9"/>
  <c r="S25" i="9"/>
  <c r="AC25" i="9" s="1"/>
  <c r="AU25" i="9" s="1"/>
  <c r="T10" i="9"/>
  <c r="V55" i="9"/>
  <c r="X55" i="9"/>
  <c r="T22" i="9"/>
  <c r="Y22" i="9"/>
  <c r="AA22" i="9" s="1"/>
  <c r="S14" i="9"/>
  <c r="AC14" i="9" s="1"/>
  <c r="AU14" i="9" s="1"/>
  <c r="U42" i="9"/>
  <c r="S3" i="9"/>
  <c r="AC3" i="9" s="1"/>
  <c r="AU3" i="9" s="1"/>
  <c r="U32" i="9"/>
  <c r="U6" i="9"/>
  <c r="W2" i="9"/>
  <c r="Z2" i="9" s="1"/>
  <c r="U54" i="9"/>
  <c r="U21" i="9"/>
  <c r="V28" i="9"/>
  <c r="S50" i="9"/>
  <c r="AC50" i="9" s="1"/>
  <c r="U44" i="9"/>
  <c r="V18" i="9"/>
  <c r="Y29" i="9"/>
  <c r="W8" i="9"/>
  <c r="AB6" i="9"/>
  <c r="V33" i="9"/>
  <c r="W26" i="9"/>
  <c r="Z26" i="9" s="1"/>
  <c r="X23" i="9"/>
  <c r="W16" i="9"/>
  <c r="Z16" i="9" s="1"/>
  <c r="T2" i="9"/>
  <c r="T53" i="9"/>
  <c r="Y36" i="9"/>
  <c r="AB2" i="9"/>
  <c r="V53" i="9"/>
  <c r="V49" i="9"/>
  <c r="V24" i="9"/>
  <c r="W24" i="9"/>
  <c r="Z24" i="9" s="1"/>
  <c r="S27" i="9"/>
  <c r="AC27" i="9" s="1"/>
  <c r="AU27" i="9" s="1"/>
  <c r="V54" i="9"/>
  <c r="S54" i="9"/>
  <c r="AC54" i="9" s="1"/>
  <c r="V41" i="9"/>
  <c r="X41" i="9"/>
  <c r="U4" i="9"/>
  <c r="AB43" i="9"/>
  <c r="AB21" i="9"/>
  <c r="V19" i="9"/>
  <c r="U3" i="9"/>
  <c r="Y3" i="9"/>
  <c r="T46" i="9"/>
  <c r="AB20" i="9"/>
  <c r="U20" i="9"/>
  <c r="S30" i="9"/>
  <c r="AC30" i="9" s="1"/>
  <c r="AU30" i="9" s="1"/>
  <c r="AB28" i="9"/>
  <c r="AB50" i="9"/>
  <c r="Y50" i="9"/>
  <c r="V44" i="9"/>
  <c r="AB29" i="9"/>
  <c r="S52" i="9"/>
  <c r="AC52" i="9" s="1"/>
  <c r="S11" i="9"/>
  <c r="AC11" i="9" s="1"/>
  <c r="AU11" i="9" s="1"/>
  <c r="X11" i="9"/>
  <c r="Y8" i="9"/>
  <c r="Y40" i="9"/>
  <c r="Y7" i="9"/>
  <c r="T7" i="9"/>
  <c r="X6" i="9"/>
  <c r="W12" i="9"/>
  <c r="U33" i="9"/>
  <c r="Y26" i="9"/>
  <c r="S51" i="9"/>
  <c r="AC51" i="9" s="1"/>
  <c r="AB51" i="9"/>
  <c r="S13" i="9"/>
  <c r="AC13" i="9" s="1"/>
  <c r="AU13" i="9" s="1"/>
  <c r="S56" i="9"/>
  <c r="AC56" i="9" s="1"/>
  <c r="U9" i="9"/>
  <c r="S23" i="9"/>
  <c r="AC23" i="9" s="1"/>
  <c r="AU23" i="9" s="1"/>
  <c r="AB39" i="9"/>
  <c r="AB10" i="9"/>
  <c r="Y55" i="9"/>
  <c r="AB22" i="9"/>
  <c r="T14" i="9"/>
  <c r="AA71" i="9"/>
  <c r="AA166" i="9"/>
  <c r="AA212" i="9"/>
  <c r="AA108" i="9"/>
  <c r="AA92" i="9"/>
  <c r="AA171" i="9"/>
  <c r="AA222" i="9"/>
  <c r="AA85" i="9"/>
  <c r="AA138" i="9"/>
  <c r="AA248" i="9"/>
  <c r="AA76" i="9"/>
  <c r="AA235" i="9"/>
  <c r="AA221" i="9"/>
  <c r="AA184" i="9"/>
  <c r="AA252" i="9"/>
  <c r="AA86" i="9"/>
  <c r="AA82" i="9"/>
  <c r="AA122" i="9"/>
  <c r="AA186" i="9"/>
  <c r="AA213" i="9"/>
  <c r="AA80" i="9"/>
  <c r="AA200" i="9"/>
  <c r="AA89" i="9"/>
  <c r="AA204" i="9"/>
  <c r="AA192" i="9"/>
  <c r="AA125" i="9"/>
  <c r="AA201" i="9"/>
  <c r="AA75" i="9"/>
  <c r="AA223" i="9"/>
  <c r="AA197" i="9"/>
  <c r="AA178" i="9"/>
  <c r="AA61" i="9"/>
  <c r="AA253" i="9"/>
  <c r="AA98" i="9"/>
  <c r="AA149" i="9"/>
  <c r="AA209" i="9"/>
  <c r="AA218" i="9"/>
  <c r="AA87" i="9"/>
  <c r="AA60" i="9"/>
  <c r="AA179" i="9"/>
  <c r="AA94" i="9"/>
  <c r="AA232" i="9"/>
  <c r="AA244" i="9"/>
  <c r="AA79" i="9"/>
  <c r="AA203" i="9"/>
  <c r="AA48" i="9"/>
  <c r="AA208" i="9"/>
  <c r="AA242" i="9"/>
  <c r="AA183" i="9"/>
  <c r="AA57" i="9"/>
  <c r="AA214" i="9"/>
  <c r="AA145" i="9"/>
  <c r="AA110" i="9"/>
  <c r="AA172" i="9"/>
  <c r="AA195" i="9"/>
  <c r="AA142" i="9"/>
  <c r="AA238" i="9"/>
  <c r="AA140" i="9"/>
  <c r="AA103" i="9"/>
  <c r="AA215" i="9"/>
  <c r="AA105" i="9"/>
  <c r="AA77" i="9"/>
  <c r="AA69" i="9"/>
  <c r="AA91" i="9"/>
  <c r="AA67" i="9"/>
  <c r="AA126" i="9"/>
  <c r="AA193" i="9"/>
  <c r="AA70" i="9"/>
  <c r="AA219" i="9"/>
  <c r="AA46" i="9"/>
  <c r="AA175" i="9"/>
  <c r="AA174" i="9"/>
  <c r="AA206" i="9"/>
  <c r="AA239" i="9"/>
  <c r="AA170" i="9"/>
  <c r="AA107" i="9"/>
  <c r="AA251" i="9"/>
  <c r="AA229" i="9"/>
  <c r="AA154" i="9"/>
  <c r="AA56" i="9"/>
  <c r="AA217" i="9"/>
  <c r="AA211" i="9"/>
  <c r="AA247" i="9"/>
  <c r="AA146" i="9"/>
  <c r="AA93" i="9"/>
  <c r="AA150" i="9"/>
  <c r="AA224" i="9"/>
  <c r="AA88" i="9"/>
  <c r="AA112" i="9"/>
  <c r="AA117" i="9"/>
  <c r="AA68" i="9"/>
  <c r="AA196" i="9"/>
  <c r="AA63" i="9"/>
  <c r="AA111" i="9"/>
  <c r="AA90" i="9"/>
  <c r="AA59" i="9"/>
  <c r="AA121" i="9"/>
  <c r="AA249" i="9"/>
  <c r="AA135" i="9"/>
  <c r="AA127" i="9"/>
  <c r="AA2" i="9"/>
  <c r="AA185" i="9"/>
  <c r="AA198" i="9"/>
  <c r="AA216" i="9"/>
  <c r="AA220" i="9"/>
  <c r="AA236" i="9"/>
  <c r="AA136" i="9"/>
  <c r="AA227" i="9"/>
  <c r="AA205" i="9"/>
  <c r="AA168" i="9"/>
  <c r="AA65" i="9"/>
  <c r="AA226" i="9"/>
  <c r="AA245" i="9"/>
  <c r="AA147" i="9"/>
  <c r="AA144" i="9"/>
  <c r="AA161" i="9"/>
  <c r="AA153" i="9"/>
  <c r="AA181" i="9"/>
  <c r="AA165" i="9"/>
  <c r="AA240" i="9"/>
  <c r="AA96" i="9"/>
  <c r="AA265" i="9"/>
  <c r="AA176" i="9"/>
  <c r="AA233" i="9"/>
  <c r="AA119" i="9"/>
  <c r="AA173" i="9"/>
  <c r="AA188" i="9"/>
  <c r="AA167" i="9"/>
  <c r="AA151" i="9"/>
  <c r="AA148" i="9"/>
  <c r="AA137" i="9"/>
  <c r="AA95" i="9"/>
  <c r="AA106" i="9"/>
  <c r="AA241" i="9"/>
  <c r="AA231" i="9"/>
  <c r="AA120" i="9"/>
  <c r="AA78" i="9"/>
  <c r="AA194" i="9"/>
  <c r="AA104" i="9"/>
  <c r="AA163" i="9"/>
  <c r="AA58" i="9"/>
  <c r="AA101" i="9"/>
  <c r="AA83" i="9"/>
  <c r="AA263" i="9"/>
  <c r="AA114" i="9"/>
  <c r="AA130" i="9"/>
  <c r="AA97" i="9"/>
  <c r="AA81" i="9"/>
  <c r="AA134" i="9"/>
  <c r="AA73" i="9"/>
  <c r="AA169" i="9"/>
  <c r="AA156" i="9"/>
  <c r="AA180" i="9"/>
  <c r="AA243" i="9"/>
  <c r="AA133" i="9"/>
  <c r="AA143" i="9"/>
  <c r="AA246" i="9"/>
  <c r="AA250" i="9"/>
  <c r="AA132" i="9"/>
  <c r="AA118" i="9"/>
  <c r="AA131" i="9"/>
  <c r="AA84" i="9"/>
  <c r="AA202" i="9"/>
  <c r="AA199" i="9"/>
  <c r="AA230" i="9"/>
  <c r="AA64" i="9"/>
  <c r="AA264" i="9"/>
  <c r="AA159" i="9"/>
  <c r="AA74" i="9"/>
  <c r="AA139" i="9"/>
  <c r="AA207" i="9"/>
  <c r="AA128" i="9"/>
  <c r="AA113" i="9"/>
  <c r="AA234" i="9"/>
  <c r="AA115" i="9"/>
  <c r="AA210" i="9"/>
  <c r="AA116" i="9"/>
  <c r="AA189" i="9"/>
  <c r="AA254" i="9"/>
  <c r="AA177" i="9"/>
  <c r="AA102" i="9"/>
  <c r="AA109" i="9"/>
  <c r="AA141" i="9"/>
  <c r="AA66" i="9"/>
  <c r="AA160" i="9"/>
  <c r="AA62" i="9"/>
  <c r="AA182" i="9"/>
  <c r="AA237" i="9"/>
  <c r="AA191" i="9"/>
  <c r="AA54" i="9" l="1"/>
  <c r="AA30" i="9"/>
  <c r="Z5" i="9"/>
  <c r="AA11" i="9"/>
  <c r="AA4" i="9"/>
  <c r="AA42" i="9"/>
  <c r="AA7" i="9"/>
  <c r="AA51" i="9"/>
  <c r="AA29" i="9"/>
  <c r="AA39" i="9"/>
  <c r="AA55" i="9"/>
  <c r="AA26" i="9"/>
  <c r="AA9" i="9"/>
  <c r="AA45" i="9"/>
  <c r="AA23" i="9"/>
  <c r="AA24" i="9"/>
  <c r="AA41" i="9"/>
  <c r="AA47" i="9"/>
  <c r="AA34" i="9"/>
  <c r="AA5" i="9"/>
  <c r="AA40" i="9"/>
  <c r="AA53" i="9"/>
  <c r="AA20" i="9"/>
  <c r="AA10" i="9"/>
  <c r="Z6" i="9"/>
  <c r="AA28" i="9"/>
  <c r="AA25" i="9"/>
  <c r="AA44" i="9"/>
  <c r="AA52" i="9"/>
  <c r="AA32" i="9"/>
  <c r="AA27" i="9"/>
  <c r="AA49" i="9"/>
  <c r="AA8" i="9"/>
  <c r="Z4" i="9"/>
  <c r="Z25" i="9"/>
  <c r="Z29" i="9"/>
  <c r="Z55" i="9"/>
  <c r="AA50" i="9"/>
  <c r="AA36" i="9"/>
  <c r="Z9" i="9"/>
  <c r="Z51" i="9"/>
  <c r="Z10" i="9"/>
  <c r="Z40" i="9"/>
  <c r="Z28" i="9"/>
  <c r="Z53" i="9"/>
  <c r="Z45" i="9"/>
  <c r="Z20" i="9"/>
  <c r="Z33" i="9"/>
  <c r="AA12" i="9"/>
  <c r="Z12" i="9"/>
  <c r="AA31" i="9"/>
  <c r="AA19" i="9"/>
  <c r="AA6" i="9"/>
  <c r="Z22" i="9"/>
  <c r="Z56" i="9"/>
  <c r="Z54" i="9"/>
  <c r="Z13" i="9"/>
  <c r="Z8" i="9"/>
  <c r="Z44" i="9"/>
  <c r="Z18" i="9"/>
  <c r="Z17" i="9"/>
  <c r="AA14" i="9"/>
  <c r="AA43" i="9"/>
  <c r="AA16" i="9"/>
  <c r="Z7" i="9"/>
  <c r="Z3" i="9"/>
  <c r="Z35" i="9"/>
  <c r="Z21" i="9"/>
  <c r="AC1" i="9" l="1"/>
  <c r="AU1" i="9" s="1"/>
  <c r="T124" i="9" a="1"/>
  <c r="T124" i="9" s="1"/>
  <c r="W124" i="9" a="1"/>
  <c r="W124" i="9" s="1"/>
  <c r="Y124" i="9" a="1"/>
  <c r="Y124" i="9" s="1"/>
  <c r="AB124" i="9" a="1"/>
  <c r="AB124" i="9" s="1"/>
  <c r="S124" i="9" a="1"/>
  <c r="S124" i="9" s="1"/>
  <c r="AC124" i="9" s="1"/>
  <c r="X124" i="9" a="1"/>
  <c r="X124" i="9" s="1"/>
  <c r="U124" i="9" a="1"/>
  <c r="U124" i="9" s="1"/>
  <c r="Z124" i="9"/>
  <c r="V124" i="9" a="1"/>
  <c r="V124" i="9" s="1"/>
  <c r="S72" i="9" a="1"/>
  <c r="S72" i="9" s="1"/>
  <c r="AC72" i="9" s="1"/>
  <c r="W72" i="9" a="1"/>
  <c r="W72" i="9" s="1"/>
  <c r="Y72" i="9" a="1"/>
  <c r="Y72" i="9" s="1"/>
  <c r="Z72" i="9"/>
  <c r="AB72" i="9" a="1"/>
  <c r="AB72" i="9" s="1"/>
  <c r="T72" i="9" a="1"/>
  <c r="T72" i="9" s="1"/>
  <c r="X72" i="9" a="1"/>
  <c r="X72" i="9" s="1"/>
  <c r="U72" i="9" a="1"/>
  <c r="U72" i="9" s="1"/>
  <c r="V72" i="9" a="1"/>
  <c r="V72" i="9" s="1"/>
  <c r="U158" i="9" a="1"/>
  <c r="U158" i="9" s="1"/>
  <c r="S158" i="9" a="1"/>
  <c r="S158" i="9" s="1"/>
  <c r="AC158" i="9" s="1"/>
  <c r="X158" i="9" a="1"/>
  <c r="X158" i="9" s="1"/>
  <c r="Y158" i="9" a="1"/>
  <c r="Y158" i="9" s="1"/>
  <c r="T158" i="9" a="1"/>
  <c r="T158" i="9" s="1"/>
  <c r="Z158" i="9"/>
  <c r="AB158" i="9" a="1"/>
  <c r="AB158" i="9" s="1"/>
  <c r="V158" i="9" a="1"/>
  <c r="V158" i="9" s="1"/>
  <c r="W158" i="9" a="1"/>
  <c r="W158" i="9" s="1"/>
  <c r="S190" i="9" a="1"/>
  <c r="S190" i="9" s="1"/>
  <c r="AC190" i="9" s="1"/>
  <c r="W190" i="9" a="1"/>
  <c r="W190" i="9" s="1"/>
  <c r="Y190" i="9" a="1"/>
  <c r="Y190" i="9" s="1"/>
  <c r="AB190" i="9" a="1"/>
  <c r="AB190" i="9" s="1"/>
  <c r="U190" i="9" a="1"/>
  <c r="U190" i="9" s="1"/>
  <c r="Z190" i="9"/>
  <c r="V190" i="9" a="1"/>
  <c r="V190" i="9" s="1"/>
  <c r="T190" i="9" a="1"/>
  <c r="T190" i="9" s="1"/>
  <c r="X190" i="9" a="1"/>
  <c r="X190" i="9" s="1"/>
  <c r="Z123" i="9"/>
  <c r="Y123" i="9" a="1"/>
  <c r="Y123" i="9" s="1"/>
  <c r="S123" i="9" a="1"/>
  <c r="S123" i="9" s="1"/>
  <c r="AC123" i="9" s="1"/>
  <c r="AB123" i="9" a="1"/>
  <c r="AB123" i="9" s="1"/>
  <c r="U123" i="9" a="1"/>
  <c r="U123" i="9" s="1"/>
  <c r="W123" i="9" a="1"/>
  <c r="W123" i="9" s="1"/>
  <c r="V123" i="9" a="1"/>
  <c r="V123" i="9" s="1"/>
  <c r="T123" i="9" a="1"/>
  <c r="T123" i="9" s="1"/>
  <c r="X123" i="9" a="1"/>
  <c r="X123" i="9" s="1"/>
  <c r="V225" i="9" a="1"/>
  <c r="V225" i="9" s="1"/>
  <c r="S225" i="9" a="1"/>
  <c r="S225" i="9" s="1"/>
  <c r="AC225" i="9" s="1"/>
  <c r="W225" i="9" a="1"/>
  <c r="W225" i="9" s="1"/>
  <c r="Y225" i="9" a="1"/>
  <c r="Y225" i="9" s="1"/>
  <c r="AB225" i="9" a="1"/>
  <c r="AB225" i="9" s="1"/>
  <c r="T225" i="9" a="1"/>
  <c r="T225" i="9" s="1"/>
  <c r="X225" i="9" a="1"/>
  <c r="X225" i="9" s="1"/>
  <c r="U225" i="9" a="1"/>
  <c r="U225" i="9" s="1"/>
  <c r="Z225" i="9"/>
  <c r="V155" i="9" a="1"/>
  <c r="V155" i="9" s="1"/>
  <c r="AB155" i="9" a="1"/>
  <c r="AB155" i="9" s="1"/>
  <c r="S155" i="9" a="1"/>
  <c r="S155" i="9" s="1"/>
  <c r="AC155" i="9" s="1"/>
  <c r="T155" i="9" a="1"/>
  <c r="T155" i="9" s="1"/>
  <c r="Y155" i="9" a="1"/>
  <c r="Y155" i="9" s="1"/>
  <c r="U155" i="9" a="1"/>
  <c r="U155" i="9" s="1"/>
  <c r="W155" i="9" a="1"/>
  <c r="W155" i="9" s="1"/>
  <c r="X155" i="9" a="1"/>
  <c r="X155" i="9" s="1"/>
  <c r="Z155" i="9"/>
  <c r="V100" i="9" a="1"/>
  <c r="V100" i="9" s="1"/>
  <c r="Z100" i="9"/>
  <c r="S100" i="9" a="1"/>
  <c r="S100" i="9" s="1"/>
  <c r="AC100" i="9" s="1"/>
  <c r="W100" i="9" a="1"/>
  <c r="W100" i="9" s="1"/>
  <c r="Y100" i="9" a="1"/>
  <c r="Y100" i="9" s="1"/>
  <c r="AB100" i="9" a="1"/>
  <c r="AB100" i="9" s="1"/>
  <c r="T100" i="9" a="1"/>
  <c r="T100" i="9" s="1"/>
  <c r="X100" i="9" a="1"/>
  <c r="X100" i="9" s="1"/>
  <c r="U100" i="9" a="1"/>
  <c r="U100" i="9" s="1"/>
  <c r="W228" i="9" a="1"/>
  <c r="W228" i="9" s="1"/>
  <c r="Y228" i="9" a="1"/>
  <c r="Y228" i="9" s="1"/>
  <c r="AB228" i="9" a="1"/>
  <c r="AB228" i="9" s="1"/>
  <c r="S228" i="9" a="1"/>
  <c r="S228" i="9" s="1"/>
  <c r="AC228" i="9" s="1"/>
  <c r="T228" i="9" a="1"/>
  <c r="T228" i="9" s="1"/>
  <c r="X228" i="9" a="1"/>
  <c r="X228" i="9" s="1"/>
  <c r="U228" i="9" a="1"/>
  <c r="U228" i="9" s="1"/>
  <c r="Z228" i="9"/>
  <c r="V228" i="9" a="1"/>
  <c r="V228" i="9" s="1"/>
  <c r="W129" i="9" a="1"/>
  <c r="W129" i="9" s="1"/>
  <c r="Y129" i="9" a="1"/>
  <c r="Y129" i="9" s="1"/>
  <c r="U129" i="9" a="1"/>
  <c r="U129" i="9" s="1"/>
  <c r="S129" i="9" a="1"/>
  <c r="S129" i="9" s="1"/>
  <c r="AC129" i="9" s="1"/>
  <c r="X129" i="9" a="1"/>
  <c r="X129" i="9" s="1"/>
  <c r="T129" i="9" a="1"/>
  <c r="T129" i="9" s="1"/>
  <c r="Z129" i="9"/>
  <c r="AB129" i="9" a="1"/>
  <c r="AB129" i="9" s="1"/>
  <c r="V129" i="9" a="1"/>
  <c r="V129" i="9" s="1"/>
  <c r="W152" i="9" a="1"/>
  <c r="W152" i="9" s="1"/>
  <c r="Y152" i="9" a="1"/>
  <c r="Y152" i="9" s="1"/>
  <c r="T152" i="9" a="1"/>
  <c r="T152" i="9" s="1"/>
  <c r="Z152" i="9"/>
  <c r="U152" i="9" a="1"/>
  <c r="U152" i="9" s="1"/>
  <c r="AB152" i="9" a="1"/>
  <c r="AB152" i="9" s="1"/>
  <c r="V152" i="9" a="1"/>
  <c r="V152" i="9" s="1"/>
  <c r="S152" i="9" a="1"/>
  <c r="S152" i="9" s="1"/>
  <c r="AC152" i="9" s="1"/>
  <c r="X152" i="9" a="1"/>
  <c r="X152" i="9" s="1"/>
  <c r="T15" i="9" a="1"/>
  <c r="V38" i="9" a="1"/>
  <c r="AB37" i="9" a="1"/>
  <c r="X1" i="9" a="1"/>
  <c r="V1" i="9" a="1"/>
  <c r="X15" i="9" a="1"/>
  <c r="S38" i="9" a="1"/>
  <c r="T37" i="9" a="1"/>
  <c r="U15" i="9" a="1"/>
  <c r="W38" i="9" a="1"/>
  <c r="U37" i="9" a="1"/>
  <c r="X37" i="9" a="1"/>
  <c r="Y15" i="9" a="1"/>
  <c r="W37" i="9" a="1"/>
  <c r="W1" i="9" a="1"/>
  <c r="V15" i="9" a="1"/>
  <c r="AB38" i="9" a="1"/>
  <c r="Y37" i="9" a="1"/>
  <c r="Y38" i="9" a="1"/>
  <c r="AB15" i="9" a="1"/>
  <c r="Y1" i="9" a="1"/>
  <c r="S15" i="9" a="1"/>
  <c r="T38" i="9" a="1"/>
  <c r="U1" i="9" a="1"/>
  <c r="AB1" i="9" a="1"/>
  <c r="W15" i="9" a="1"/>
  <c r="U38" i="9" a="1"/>
  <c r="X38" i="9" a="1"/>
  <c r="V37" i="9" a="1"/>
  <c r="S37" i="9" a="1"/>
  <c r="S37" i="9" l="1"/>
  <c r="AC37" i="9" s="1"/>
  <c r="AU37" i="9" s="1"/>
  <c r="V37" i="9"/>
  <c r="X38" i="9"/>
  <c r="U38" i="9"/>
  <c r="W15" i="9"/>
  <c r="Z15" i="9" s="1"/>
  <c r="AB1" i="9"/>
  <c r="U1" i="9"/>
  <c r="T38" i="9"/>
  <c r="S15" i="9"/>
  <c r="AC15" i="9" s="1"/>
  <c r="AU15" i="9" s="1"/>
  <c r="Y1" i="9"/>
  <c r="AB15" i="9"/>
  <c r="Y38" i="9"/>
  <c r="Y37" i="9"/>
  <c r="AB38" i="9"/>
  <c r="V15" i="9"/>
  <c r="W1" i="9"/>
  <c r="W37" i="9"/>
  <c r="Y15" i="9"/>
  <c r="X37" i="9"/>
  <c r="U37" i="9"/>
  <c r="W38" i="9"/>
  <c r="Z38" i="9" s="1"/>
  <c r="U15" i="9"/>
  <c r="T37" i="9"/>
  <c r="S38" i="9"/>
  <c r="AC38" i="9" s="1"/>
  <c r="AU38" i="9" s="1"/>
  <c r="X15" i="9"/>
  <c r="V1" i="9"/>
  <c r="X1" i="9"/>
  <c r="AB37" i="9"/>
  <c r="V38" i="9"/>
  <c r="T15" i="9"/>
  <c r="AA228" i="9"/>
  <c r="AA129" i="9"/>
  <c r="AA124" i="9"/>
  <c r="AA123" i="9"/>
  <c r="AA100" i="9"/>
  <c r="AA72" i="9"/>
  <c r="AA158" i="9"/>
  <c r="AA152" i="9"/>
  <c r="AA190" i="9"/>
  <c r="AA225" i="9"/>
  <c r="AA155" i="9"/>
  <c r="AA1" i="9" l="1"/>
  <c r="AL304" i="9"/>
  <c r="AA15" i="9"/>
  <c r="AA38" i="9"/>
  <c r="AA37" i="9"/>
  <c r="AN259" i="9"/>
  <c r="AM286" i="9"/>
  <c r="AI190" i="9"/>
  <c r="AE203" i="9"/>
  <c r="AH337" i="9"/>
  <c r="AP261" i="9"/>
  <c r="AN292" i="9"/>
  <c r="AK359" i="9"/>
  <c r="AH278" i="9"/>
  <c r="AH291" i="9"/>
  <c r="AL294" i="9"/>
  <c r="AL254" i="9"/>
  <c r="AE290" i="9"/>
  <c r="AH334" i="9"/>
  <c r="AL335" i="9"/>
  <c r="AF338" i="9"/>
  <c r="AO307" i="9"/>
  <c r="AI181" i="9"/>
  <c r="AI334" i="9"/>
  <c r="AG264" i="9"/>
  <c r="AF363" i="9"/>
  <c r="AN373" i="9"/>
  <c r="AJ313" i="9"/>
  <c r="AL331" i="9"/>
  <c r="AN251" i="9"/>
  <c r="AO332" i="9"/>
  <c r="AG333" i="9"/>
  <c r="AN372" i="9"/>
  <c r="AO242" i="9"/>
  <c r="AM354" i="9"/>
  <c r="AF372" i="9"/>
  <c r="AI289" i="9"/>
  <c r="AI293" i="9"/>
  <c r="AK309" i="9"/>
  <c r="AN323" i="9"/>
  <c r="AK334" i="9"/>
  <c r="AN339" i="9"/>
  <c r="AI284" i="9"/>
  <c r="AO259" i="9"/>
  <c r="AE309" i="9"/>
  <c r="AH348" i="9"/>
  <c r="AD362" i="9"/>
  <c r="AI279" i="9"/>
  <c r="AK293" i="9"/>
  <c r="AP320" i="9"/>
  <c r="AP253" i="9"/>
  <c r="AM256" i="9"/>
  <c r="AE262" i="9"/>
  <c r="AH324" i="9"/>
  <c r="AH339" i="9"/>
  <c r="AF288" i="9"/>
  <c r="AM252" i="9"/>
  <c r="AG315" i="9"/>
  <c r="AG358" i="9"/>
  <c r="AM326" i="9"/>
  <c r="AI372" i="9"/>
  <c r="AE372" i="9"/>
  <c r="AN370" i="9"/>
  <c r="AE307" i="9"/>
  <c r="AI325" i="9"/>
  <c r="AD257" i="9"/>
  <c r="AL372" i="9"/>
  <c r="AO292" i="9"/>
  <c r="AD344" i="9"/>
  <c r="AN363" i="9"/>
  <c r="AF320" i="9"/>
  <c r="AE373" i="9"/>
  <c r="AF301" i="9"/>
  <c r="AG344" i="9"/>
  <c r="AJ200" i="9"/>
  <c r="AE217" i="9"/>
  <c r="AD334" i="9"/>
  <c r="AG372" i="9"/>
  <c r="AH305" i="9"/>
  <c r="AP294" i="9"/>
  <c r="AO347" i="9"/>
  <c r="AL279" i="9"/>
  <c r="AK324" i="9"/>
  <c r="AK364" i="9"/>
  <c r="AE226" i="9"/>
  <c r="AO255" i="9"/>
  <c r="AN297" i="9"/>
  <c r="AP348" i="9"/>
  <c r="AO366" i="9"/>
  <c r="AL322" i="9"/>
  <c r="AH374" i="9"/>
  <c r="AD303" i="9"/>
  <c r="AJ345" i="9"/>
  <c r="AK279" i="9"/>
  <c r="AH353" i="9"/>
  <c r="AP313" i="9"/>
  <c r="AK274" i="9"/>
  <c r="AJ338" i="9"/>
  <c r="AP265" i="9"/>
  <c r="AE302" i="9"/>
  <c r="AL342" i="9"/>
  <c r="AH260" i="9"/>
  <c r="AL212" i="9"/>
  <c r="AM199" i="9"/>
  <c r="AO342" i="9"/>
  <c r="AH372" i="9"/>
  <c r="AJ365" i="9"/>
  <c r="AK371" i="9"/>
  <c r="AP282" i="9"/>
  <c r="AJ250" i="9"/>
  <c r="AG176" i="9"/>
  <c r="AP297" i="9"/>
  <c r="AN302" i="9"/>
  <c r="AN252" i="9"/>
  <c r="AH336" i="9"/>
  <c r="AK194" i="9"/>
  <c r="AE312" i="9"/>
  <c r="AL272" i="9"/>
  <c r="AN340" i="9"/>
  <c r="AE341" i="9"/>
  <c r="AE308" i="9"/>
  <c r="AJ333" i="9"/>
  <c r="AD217" i="9"/>
  <c r="AD292" i="9"/>
  <c r="AN307" i="9"/>
  <c r="AJ351" i="9"/>
  <c r="AH330" i="9"/>
  <c r="AL349" i="9"/>
  <c r="AM142" i="9"/>
  <c r="AM341" i="9"/>
  <c r="AO357" i="9"/>
  <c r="AF368" i="9"/>
  <c r="AO318" i="9"/>
  <c r="AG367" i="9"/>
  <c r="AN254" i="9"/>
  <c r="AN343" i="9"/>
  <c r="AK346" i="9"/>
  <c r="AM357" i="9"/>
  <c r="AF359" i="9"/>
  <c r="AJ222" i="9"/>
  <c r="AH274" i="9"/>
  <c r="AK312" i="9"/>
  <c r="AM363" i="9"/>
  <c r="AG259" i="9"/>
  <c r="AK327" i="9"/>
  <c r="AF257" i="9"/>
  <c r="AM306" i="9"/>
  <c r="AF349" i="9"/>
  <c r="AH207" i="9"/>
  <c r="AG293" i="9"/>
  <c r="AM353" i="9"/>
  <c r="AK285" i="9"/>
  <c r="AD325" i="9"/>
  <c r="AH302" i="9"/>
  <c r="AD354" i="9"/>
  <c r="AF285" i="9"/>
  <c r="AE330" i="9"/>
  <c r="AJ369" i="9"/>
  <c r="AF242" i="9"/>
  <c r="AG279" i="9"/>
  <c r="AJ317" i="9"/>
  <c r="AL368" i="9"/>
  <c r="AI261" i="9"/>
  <c r="AN328" i="9"/>
  <c r="AH259" i="9"/>
  <c r="AK308" i="9"/>
  <c r="AI350" i="9"/>
  <c r="AL274" i="9"/>
  <c r="AI348" i="9"/>
  <c r="AD309" i="9"/>
  <c r="AI265" i="9"/>
  <c r="AN318" i="9"/>
  <c r="AD371" i="9"/>
  <c r="AF297" i="9"/>
  <c r="AM337" i="9"/>
  <c r="AG255" i="9"/>
  <c r="AF216" i="9"/>
  <c r="AK178" i="9"/>
  <c r="AP337" i="9"/>
  <c r="AN342" i="9"/>
  <c r="AK360" i="9"/>
  <c r="AL366" i="9"/>
  <c r="AI371" i="9"/>
  <c r="AM230" i="9"/>
  <c r="AG227" i="9"/>
  <c r="AE264" i="9"/>
  <c r="AO297" i="9"/>
  <c r="AP370" i="9"/>
  <c r="AI331" i="9"/>
  <c r="AO172" i="9"/>
  <c r="AF307" i="9"/>
  <c r="AE374" i="9"/>
  <c r="AO335" i="9"/>
  <c r="AH326" i="9"/>
  <c r="AI242" i="9"/>
  <c r="AK328" i="9"/>
  <c r="AJ211" i="9"/>
  <c r="AH333" i="9"/>
  <c r="AG337" i="9"/>
  <c r="AH312" i="9"/>
  <c r="AD314" i="9"/>
  <c r="AN287" i="9"/>
  <c r="AE274" i="9"/>
  <c r="AE278" i="9"/>
  <c r="AO296" i="9"/>
  <c r="AJ279" i="9"/>
  <c r="AJ288" i="9"/>
  <c r="AI370" i="9"/>
  <c r="AO302" i="9"/>
  <c r="AF295" i="9"/>
  <c r="AO169" i="9"/>
  <c r="AD241" i="9"/>
  <c r="AD294" i="9"/>
  <c r="AG332" i="9"/>
  <c r="AH261" i="9"/>
  <c r="AO275" i="9"/>
  <c r="AM333" i="9"/>
  <c r="AO262" i="9"/>
  <c r="AO312" i="9"/>
  <c r="AE354" i="9"/>
  <c r="AM183" i="9"/>
  <c r="AO333" i="9"/>
  <c r="AI373" i="9"/>
  <c r="AG305" i="9"/>
  <c r="AF339" i="9"/>
  <c r="AJ308" i="9"/>
  <c r="AI361" i="9"/>
  <c r="AM290" i="9"/>
  <c r="AD335" i="9"/>
  <c r="AI374" i="9"/>
  <c r="AE292" i="9"/>
  <c r="AP298" i="9"/>
  <c r="AF337" i="9"/>
  <c r="AG270" i="9"/>
  <c r="AP278" i="9"/>
  <c r="AP334" i="9"/>
  <c r="AO264" i="9"/>
  <c r="AE314" i="9"/>
  <c r="AH355" i="9"/>
  <c r="AJ265" i="9"/>
  <c r="AJ343" i="9"/>
  <c r="AE304" i="9"/>
  <c r="AK260" i="9"/>
  <c r="AO313" i="9"/>
  <c r="AE366" i="9"/>
  <c r="AG292" i="9"/>
  <c r="AN332" i="9"/>
  <c r="AD372" i="9"/>
  <c r="AE265" i="9"/>
  <c r="AM185" i="9"/>
  <c r="AD333" i="9"/>
  <c r="AO337" i="9"/>
  <c r="AD331" i="9"/>
  <c r="AM361" i="9"/>
  <c r="AJ366" i="9"/>
  <c r="AE236" i="9"/>
  <c r="AO189" i="9"/>
  <c r="AF259" i="9"/>
  <c r="AM374" i="9"/>
  <c r="AJ336" i="9"/>
  <c r="AE227" i="9"/>
  <c r="AL218" i="9"/>
  <c r="AM272" i="9"/>
  <c r="AL339" i="9"/>
  <c r="AN276" i="9"/>
  <c r="AL301" i="9"/>
  <c r="AP209" i="9"/>
  <c r="AG295" i="9"/>
  <c r="AI243" i="9"/>
  <c r="AF16" i="9"/>
  <c r="AE141" i="9"/>
  <c r="AJ174" i="9"/>
  <c r="AI320" i="9"/>
  <c r="AD214" i="9"/>
  <c r="AE200" i="9"/>
  <c r="AG306" i="9"/>
  <c r="AL300" i="9"/>
  <c r="AE196" i="9"/>
  <c r="AI213" i="9"/>
  <c r="AF220" i="9"/>
  <c r="AE246" i="9"/>
  <c r="AP296" i="9"/>
  <c r="AG187" i="9"/>
  <c r="AI163" i="9"/>
  <c r="AG217" i="9"/>
  <c r="AM180" i="9"/>
  <c r="AE167" i="9"/>
  <c r="AM211" i="9"/>
  <c r="AN219" i="9"/>
  <c r="AO274" i="9"/>
  <c r="AM258" i="9"/>
  <c r="AG232" i="9"/>
  <c r="AL209" i="9"/>
  <c r="AI248" i="9"/>
  <c r="AJ227" i="9"/>
  <c r="AH341" i="9"/>
  <c r="AI245" i="9"/>
  <c r="AE222" i="9"/>
  <c r="AF303" i="9"/>
  <c r="AG241" i="9"/>
  <c r="AO277" i="9"/>
  <c r="AG317" i="9"/>
  <c r="AE173" i="9"/>
  <c r="AJ209" i="9"/>
  <c r="AD231" i="9"/>
  <c r="AJ331" i="9"/>
  <c r="AD240" i="9"/>
  <c r="AI339" i="9"/>
  <c r="AL256" i="9"/>
  <c r="AF300" i="9"/>
  <c r="AK339" i="9"/>
  <c r="AP255" i="9"/>
  <c r="AD299" i="9"/>
  <c r="AI338" i="9"/>
  <c r="AI271" i="9"/>
  <c r="AN310" i="9"/>
  <c r="AF350" i="9"/>
  <c r="AJ271" i="9"/>
  <c r="AO310" i="9"/>
  <c r="AG350" i="9"/>
  <c r="AJ276" i="9"/>
  <c r="AO315" i="9"/>
  <c r="AG355" i="9"/>
  <c r="AN277" i="9"/>
  <c r="AF317" i="9"/>
  <c r="AD205" i="9"/>
  <c r="AO188" i="9"/>
  <c r="AP213" i="9"/>
  <c r="AO247" i="9"/>
  <c r="AF222" i="9"/>
  <c r="AE335" i="9"/>
  <c r="AJ374" i="9"/>
  <c r="AO295" i="9"/>
  <c r="AG335" i="9"/>
  <c r="AL374" i="9"/>
  <c r="AM294" i="9"/>
  <c r="AE334" i="9"/>
  <c r="AJ373" i="9"/>
  <c r="AJ306" i="9"/>
  <c r="AO345" i="9"/>
  <c r="AM262" i="9"/>
  <c r="AK306" i="9"/>
  <c r="AP345" i="9"/>
  <c r="AF272" i="9"/>
  <c r="AK311" i="9"/>
  <c r="AP350" i="9"/>
  <c r="AG191" i="9"/>
  <c r="AO205" i="9"/>
  <c r="AD242" i="9"/>
  <c r="AO210" i="9"/>
  <c r="AJ245" i="9"/>
  <c r="AO325" i="9"/>
  <c r="AG365" i="9"/>
  <c r="AL286" i="9"/>
  <c r="AH197" i="9"/>
  <c r="AD218" i="9"/>
  <c r="AH240" i="9"/>
  <c r="AE219" i="9"/>
  <c r="AL202" i="9"/>
  <c r="AL345" i="9"/>
  <c r="AO131" i="9"/>
  <c r="AF199" i="9"/>
  <c r="AF218" i="9"/>
  <c r="AE225" i="9"/>
  <c r="AH216" i="9"/>
  <c r="AO301" i="9"/>
  <c r="AE198" i="9"/>
  <c r="AE169" i="9"/>
  <c r="AF193" i="9"/>
  <c r="AO185" i="9"/>
  <c r="AG172" i="9"/>
  <c r="AL190" i="9"/>
  <c r="AM224" i="9"/>
  <c r="AG314" i="9"/>
  <c r="AG290" i="9"/>
  <c r="AF237" i="9"/>
  <c r="AH214" i="9"/>
  <c r="AP257" i="9"/>
  <c r="AI232" i="9"/>
  <c r="AN209" i="9"/>
  <c r="AI250" i="9"/>
  <c r="AD227" i="9"/>
  <c r="AK342" i="9"/>
  <c r="AF246" i="9"/>
  <c r="AN282" i="9"/>
  <c r="AF322" i="9"/>
  <c r="AG194" i="9"/>
  <c r="AF203" i="9"/>
  <c r="AN250" i="9"/>
  <c r="AJ224" i="9"/>
  <c r="AD289" i="9"/>
  <c r="AH344" i="9"/>
  <c r="AM261" i="9"/>
  <c r="AE305" i="9"/>
  <c r="AJ344" i="9"/>
  <c r="AI260" i="9"/>
  <c r="AP303" i="9"/>
  <c r="AH343" i="9"/>
  <c r="AH276" i="9"/>
  <c r="AM315" i="9"/>
  <c r="AE355" i="9"/>
  <c r="AI276" i="9"/>
  <c r="AN315" i="9"/>
  <c r="AF355" i="9"/>
  <c r="AI281" i="9"/>
  <c r="AN320" i="9"/>
  <c r="AF360" i="9"/>
  <c r="AM282" i="9"/>
  <c r="AE322" i="9"/>
  <c r="AO174" i="9"/>
  <c r="AK223" i="9"/>
  <c r="AO232" i="9"/>
  <c r="AG346" i="9"/>
  <c r="AO241" i="9"/>
  <c r="AD340" i="9"/>
  <c r="AI257" i="9"/>
  <c r="AN300" i="9"/>
  <c r="AF340" i="9"/>
  <c r="AE256" i="9"/>
  <c r="AL299" i="9"/>
  <c r="AD339" i="9"/>
  <c r="AD272" i="9"/>
  <c r="AI311" i="9"/>
  <c r="AN350" i="9"/>
  <c r="AE272" i="9"/>
  <c r="AJ311" i="9"/>
  <c r="AO350" i="9"/>
  <c r="AE277" i="9"/>
  <c r="AJ316" i="9"/>
  <c r="AO355" i="9"/>
  <c r="AL189" i="9"/>
  <c r="AE171" i="9"/>
  <c r="AI280" i="9"/>
  <c r="AF231" i="9"/>
  <c r="AM332" i="9"/>
  <c r="AN330" i="9"/>
  <c r="AF370" i="9"/>
  <c r="AK291" i="9"/>
  <c r="AF155" i="9"/>
  <c r="AM284" i="9"/>
  <c r="AL265" i="9"/>
  <c r="AD300" i="9"/>
  <c r="AL207" i="9"/>
  <c r="AO223" i="9"/>
  <c r="AE137" i="9"/>
  <c r="AE224" i="9"/>
  <c r="AM276" i="9"/>
  <c r="AD230" i="9"/>
  <c r="AP220" i="9"/>
  <c r="AH132" i="9"/>
  <c r="AG203" i="9"/>
  <c r="AG174" i="9"/>
  <c r="AN197" i="9"/>
  <c r="AK191" i="9"/>
  <c r="AI177" i="9"/>
  <c r="AF195" i="9"/>
  <c r="AL229" i="9"/>
  <c r="AL353" i="9"/>
  <c r="AL329" i="9"/>
  <c r="AE242" i="9"/>
  <c r="AN218" i="9"/>
  <c r="AL281" i="9"/>
  <c r="AH237" i="9"/>
  <c r="AP215" i="9"/>
  <c r="AD258" i="9"/>
  <c r="AP231" i="9"/>
  <c r="AD212" i="9"/>
  <c r="AF251" i="9"/>
  <c r="AM287" i="9"/>
  <c r="AJ126" i="9"/>
  <c r="AD192" i="9"/>
  <c r="AK218" i="9"/>
  <c r="AK374" i="9"/>
  <c r="AF244" i="9"/>
  <c r="AL276" i="9"/>
  <c r="AG349" i="9"/>
  <c r="AL270" i="9"/>
  <c r="AD310" i="9"/>
  <c r="AI349" i="9"/>
  <c r="AO265" i="9"/>
  <c r="AO308" i="9"/>
  <c r="AG348" i="9"/>
  <c r="AG281" i="9"/>
  <c r="AL320" i="9"/>
  <c r="AD360" i="9"/>
  <c r="AH281" i="9"/>
  <c r="AM320" i="9"/>
  <c r="AE360" i="9"/>
  <c r="AH286" i="9"/>
  <c r="AM325" i="9"/>
  <c r="AE365" i="9"/>
  <c r="AL287" i="9"/>
  <c r="AD327" i="9"/>
  <c r="AK196" i="9"/>
  <c r="AP204" i="9"/>
  <c r="AE253" i="9"/>
  <c r="AH226" i="9"/>
  <c r="AN303" i="9"/>
  <c r="AP344" i="9"/>
  <c r="AJ262" i="9"/>
  <c r="AM305" i="9"/>
  <c r="AE345" i="9"/>
  <c r="AF261" i="9"/>
  <c r="AK304" i="9"/>
  <c r="AP343" i="9"/>
  <c r="AP276" i="9"/>
  <c r="AH316" i="9"/>
  <c r="AM355" i="9"/>
  <c r="AD277" i="9"/>
  <c r="AI316" i="9"/>
  <c r="AN355" i="9"/>
  <c r="AD282" i="9"/>
  <c r="AI321" i="9"/>
  <c r="AN360" i="9"/>
  <c r="AO207" i="9"/>
  <c r="AG192" i="9"/>
  <c r="AK216" i="9"/>
  <c r="AP250" i="9"/>
  <c r="AG225" i="9"/>
  <c r="AM335" i="9"/>
  <c r="AH253" i="9"/>
  <c r="AJ296" i="9"/>
  <c r="AO149" i="9"/>
  <c r="AO261" i="9"/>
  <c r="AG309" i="9"/>
  <c r="AH140" i="9"/>
  <c r="AM232" i="9"/>
  <c r="AN228" i="9"/>
  <c r="AN194" i="9"/>
  <c r="AD229" i="9"/>
  <c r="AE316" i="9"/>
  <c r="AP277" i="9"/>
  <c r="AO225" i="9"/>
  <c r="AM137" i="9"/>
  <c r="AL208" i="9"/>
  <c r="AI179" i="9"/>
  <c r="AH202" i="9"/>
  <c r="AM196" i="9"/>
  <c r="AE183" i="9"/>
  <c r="AN199" i="9"/>
  <c r="AK234" i="9"/>
  <c r="AI233" i="9"/>
  <c r="AD369" i="9"/>
  <c r="AE247" i="9"/>
  <c r="AM223" i="9"/>
  <c r="AD321" i="9"/>
  <c r="AG242" i="9"/>
  <c r="AN220" i="9"/>
  <c r="AO282" i="9"/>
  <c r="AO236" i="9"/>
  <c r="AP216" i="9"/>
  <c r="AH258" i="9"/>
  <c r="AL292" i="9"/>
  <c r="AE146" i="9"/>
  <c r="AO217" i="9"/>
  <c r="AG238" i="9"/>
  <c r="AI227" i="9"/>
  <c r="AI312" i="9"/>
  <c r="AH296" i="9"/>
  <c r="AF354" i="9"/>
  <c r="AK275" i="9"/>
  <c r="AP314" i="9"/>
  <c r="AH354" i="9"/>
  <c r="AI274" i="9"/>
  <c r="AN313" i="9"/>
  <c r="AF353" i="9"/>
  <c r="AF286" i="9"/>
  <c r="AK325" i="9"/>
  <c r="AP364" i="9"/>
  <c r="AG286" i="9"/>
  <c r="AL325" i="9"/>
  <c r="AD365" i="9"/>
  <c r="AG291" i="9"/>
  <c r="AL330" i="9"/>
  <c r="AD370" i="9"/>
  <c r="AK292" i="9"/>
  <c r="AL128" i="9"/>
  <c r="AN193" i="9"/>
  <c r="AI220" i="9"/>
  <c r="AF210" i="9"/>
  <c r="AD246" i="9"/>
  <c r="AJ278" i="9"/>
  <c r="AO349" i="9"/>
  <c r="AG271" i="9"/>
  <c r="AL310" i="9"/>
  <c r="AD350" i="9"/>
  <c r="AE270" i="9"/>
  <c r="AJ309" i="9"/>
  <c r="AO348" i="9"/>
  <c r="AO281" i="9"/>
  <c r="AG321" i="9"/>
  <c r="AL360" i="9"/>
  <c r="AP281" i="9"/>
  <c r="AH321" i="9"/>
  <c r="AM360" i="9"/>
  <c r="AP286" i="9"/>
  <c r="AP116" i="9"/>
  <c r="AM134" i="9"/>
  <c r="AH223" i="9"/>
  <c r="AE191" i="9"/>
  <c r="AN202" i="9"/>
  <c r="AG354" i="9"/>
  <c r="AM265" i="9"/>
  <c r="AH199" i="9"/>
  <c r="AM324" i="9"/>
  <c r="AJ355" i="9"/>
  <c r="AH317" i="9"/>
  <c r="AG257" i="9"/>
  <c r="AE142" i="9"/>
  <c r="AN190" i="9"/>
  <c r="AE185" i="9"/>
  <c r="AP206" i="9"/>
  <c r="AO201" i="9"/>
  <c r="AG188" i="9"/>
  <c r="AH204" i="9"/>
  <c r="AJ239" i="9"/>
  <c r="AH238" i="9"/>
  <c r="AH213" i="9"/>
  <c r="AG252" i="9"/>
  <c r="AL228" i="9"/>
  <c r="AI360" i="9"/>
  <c r="AG247" i="9"/>
  <c r="AM225" i="9"/>
  <c r="AG322" i="9"/>
  <c r="AN241" i="9"/>
  <c r="AK221" i="9"/>
  <c r="AO298" i="9"/>
  <c r="AK297" i="9"/>
  <c r="AH170" i="9"/>
  <c r="AK179" i="9"/>
  <c r="AL261" i="9"/>
  <c r="AF247" i="9"/>
  <c r="AO220" i="9"/>
  <c r="AN314" i="9"/>
  <c r="AE359" i="9"/>
  <c r="AJ280" i="9"/>
  <c r="AO319" i="9"/>
  <c r="AG359" i="9"/>
  <c r="AH279" i="9"/>
  <c r="AM318" i="9"/>
  <c r="AE358" i="9"/>
  <c r="AE291" i="9"/>
  <c r="AJ330" i="9"/>
  <c r="AO369" i="9"/>
  <c r="AF291" i="9"/>
  <c r="AK330" i="9"/>
  <c r="AP369" i="9"/>
  <c r="AF296" i="9"/>
  <c r="AK335" i="9"/>
  <c r="AP374" i="9"/>
  <c r="AJ297" i="9"/>
  <c r="AO147" i="9"/>
  <c r="AE160" i="9"/>
  <c r="AE240" i="9"/>
  <c r="AG229" i="9"/>
  <c r="AF327" i="9"/>
  <c r="AF298" i="9"/>
  <c r="AN354" i="9"/>
  <c r="AF276" i="9"/>
  <c r="AK315" i="9"/>
  <c r="AP354" i="9"/>
  <c r="AD275" i="9"/>
  <c r="AI314" i="9"/>
  <c r="AN353" i="9"/>
  <c r="AN286" i="9"/>
  <c r="AF326" i="9"/>
  <c r="AK365" i="9"/>
  <c r="AO286" i="9"/>
  <c r="AG326" i="9"/>
  <c r="AL365" i="9"/>
  <c r="AO291" i="9"/>
  <c r="AG331" i="9"/>
  <c r="AL370" i="9"/>
  <c r="AI199" i="9"/>
  <c r="AK208" i="9"/>
  <c r="AJ260" i="9"/>
  <c r="AI229" i="9"/>
  <c r="AI328" i="9"/>
  <c r="AK345" i="9"/>
  <c r="AF263" i="9"/>
  <c r="AH306" i="9"/>
  <c r="AG111" i="9"/>
  <c r="AJ125" i="9"/>
  <c r="AD313" i="9"/>
  <c r="AL206" i="9"/>
  <c r="AF207" i="9"/>
  <c r="AN211" i="9"/>
  <c r="AL214" i="9"/>
  <c r="AO178" i="9"/>
  <c r="AE364" i="9"/>
  <c r="AL241" i="9"/>
  <c r="AM356" i="9"/>
  <c r="AP293" i="9"/>
  <c r="AF180" i="9"/>
  <c r="AH195" i="9"/>
  <c r="AG190" i="9"/>
  <c r="AF224" i="9"/>
  <c r="AI207" i="9"/>
  <c r="AI193" i="9"/>
  <c r="AL210" i="9"/>
  <c r="AI244" i="9"/>
  <c r="AG243" i="9"/>
  <c r="AP217" i="9"/>
  <c r="AD264" i="9"/>
  <c r="AK233" i="9"/>
  <c r="AP211" i="9"/>
  <c r="AI252" i="9"/>
  <c r="AL230" i="9"/>
  <c r="AL361" i="9"/>
  <c r="AM246" i="9"/>
  <c r="AJ226" i="9"/>
  <c r="AG338" i="9"/>
  <c r="AJ302" i="9"/>
  <c r="AE186" i="9"/>
  <c r="AM200" i="9"/>
  <c r="AE237" i="9"/>
  <c r="AK350" i="9"/>
  <c r="AK240" i="9"/>
  <c r="AL324" i="9"/>
  <c r="AD364" i="9"/>
  <c r="AI285" i="9"/>
  <c r="AN324" i="9"/>
  <c r="AF364" i="9"/>
  <c r="AG284" i="9"/>
  <c r="AL323" i="9"/>
  <c r="AD363" i="9"/>
  <c r="AD296" i="9"/>
  <c r="AI335" i="9"/>
  <c r="AN374" i="9"/>
  <c r="AE296" i="9"/>
  <c r="AJ335" i="9"/>
  <c r="AO374" i="9"/>
  <c r="AE301" i="9"/>
  <c r="AJ340" i="9"/>
  <c r="AK258" i="9"/>
  <c r="AI302" i="9"/>
  <c r="AL173" i="9"/>
  <c r="AG181" i="9"/>
  <c r="AN279" i="9"/>
  <c r="AD249" i="9"/>
  <c r="AM222" i="9"/>
  <c r="AD316" i="9"/>
  <c r="AM359" i="9"/>
  <c r="AE281" i="9"/>
  <c r="AJ320" i="9"/>
  <c r="AO359" i="9"/>
  <c r="AP279" i="9"/>
  <c r="AH319" i="9"/>
  <c r="AM358" i="9"/>
  <c r="AM291" i="9"/>
  <c r="AE331" i="9"/>
  <c r="AJ370" i="9"/>
  <c r="AN291" i="9"/>
  <c r="AF331" i="9"/>
  <c r="AK370" i="9"/>
  <c r="AN296" i="9"/>
  <c r="AF336" i="9"/>
  <c r="AG131" i="9"/>
  <c r="AL196" i="9"/>
  <c r="AJ223" i="9"/>
  <c r="AP212" i="9"/>
  <c r="AF249" i="9"/>
  <c r="AK281" i="9"/>
  <c r="AJ350" i="9"/>
  <c r="AO271" i="9"/>
  <c r="AG311" i="9"/>
  <c r="AD141" i="9"/>
  <c r="AI162" i="9"/>
  <c r="AO212" i="9"/>
  <c r="AJ190" i="9"/>
  <c r="AE211" i="9"/>
  <c r="AL247" i="9"/>
  <c r="AJ217" i="9"/>
  <c r="AM251" i="9"/>
  <c r="AD207" i="9"/>
  <c r="AH293" i="9"/>
  <c r="AM329" i="9"/>
  <c r="AP367" i="9"/>
  <c r="AD301" i="9"/>
  <c r="AI345" i="9"/>
  <c r="AI202" i="9"/>
  <c r="AG325" i="9"/>
  <c r="AN364" i="9"/>
  <c r="AL296" i="9"/>
  <c r="AE336" i="9"/>
  <c r="AD346" i="9"/>
  <c r="AF243" i="9"/>
  <c r="AP244" i="9"/>
  <c r="AM281" i="9"/>
  <c r="AM345" i="9"/>
  <c r="AN261" i="9"/>
  <c r="AF305" i="9"/>
  <c r="AK344" i="9"/>
  <c r="AK277" i="9"/>
  <c r="AP316" i="9"/>
  <c r="AH356" i="9"/>
  <c r="AL277" i="9"/>
  <c r="AD317" i="9"/>
  <c r="AI356" i="9"/>
  <c r="AL282" i="9"/>
  <c r="AK180" i="9"/>
  <c r="AF191" i="9"/>
  <c r="AN237" i="9"/>
  <c r="AH210" i="9"/>
  <c r="AN246" i="9"/>
  <c r="AG341" i="9"/>
  <c r="AN258" i="9"/>
  <c r="AD302" i="9"/>
  <c r="AI341" i="9"/>
  <c r="AJ257" i="9"/>
  <c r="AO300" i="9"/>
  <c r="AG340" i="9"/>
  <c r="AG273" i="9"/>
  <c r="AL312" i="9"/>
  <c r="AD352" i="9"/>
  <c r="AH273" i="9"/>
  <c r="AM312" i="9"/>
  <c r="AG162" i="9"/>
  <c r="AI197" i="9"/>
  <c r="AF221" i="9"/>
  <c r="AL262" i="9"/>
  <c r="AF230" i="9"/>
  <c r="AP336" i="9"/>
  <c r="AK254" i="9"/>
  <c r="AM297" i="9"/>
  <c r="AE337" i="9"/>
  <c r="AI253" i="9"/>
  <c r="AK296" i="9"/>
  <c r="AP335" i="9"/>
  <c r="AH265" i="9"/>
  <c r="AH308" i="9"/>
  <c r="AM347" i="9"/>
  <c r="AM264" i="9"/>
  <c r="AI308" i="9"/>
  <c r="AN347" i="9"/>
  <c r="AD274" i="9"/>
  <c r="AO206" i="9"/>
  <c r="AK210" i="9"/>
  <c r="AK310" i="9"/>
  <c r="AF236" i="9"/>
  <c r="AP264" i="9"/>
  <c r="AI347" i="9"/>
  <c r="AF265" i="9"/>
  <c r="AF308" i="9"/>
  <c r="AK347" i="9"/>
  <c r="AO263" i="9"/>
  <c r="AD307" i="9"/>
  <c r="AE122" i="9"/>
  <c r="AI194" i="9"/>
  <c r="AE340" i="9"/>
  <c r="AE182" i="9"/>
  <c r="AI161" i="9"/>
  <c r="AE252" i="9"/>
  <c r="AK222" i="9"/>
  <c r="AG261" i="9"/>
  <c r="AH203" i="9"/>
  <c r="AH220" i="9"/>
  <c r="AL334" i="9"/>
  <c r="AO372" i="9"/>
  <c r="AP305" i="9"/>
  <c r="AH350" i="9"/>
  <c r="AM167" i="9"/>
  <c r="AF330" i="9"/>
  <c r="AM369" i="9"/>
  <c r="AK301" i="9"/>
  <c r="AD341" i="9"/>
  <c r="AM365" i="9"/>
  <c r="AI304" i="9"/>
  <c r="AG301" i="9"/>
  <c r="AI301" i="9"/>
  <c r="AL350" i="9"/>
  <c r="AM270" i="9"/>
  <c r="AE310" i="9"/>
  <c r="AJ349" i="9"/>
  <c r="AJ282" i="9"/>
  <c r="AO321" i="9"/>
  <c r="AG361" i="9"/>
  <c r="AK282" i="9"/>
  <c r="AP321" i="9"/>
  <c r="AH361" i="9"/>
  <c r="AK287" i="9"/>
  <c r="AM201" i="9"/>
  <c r="AG219" i="9"/>
  <c r="AF271" i="9"/>
  <c r="AG231" i="9"/>
  <c r="AF343" i="9"/>
  <c r="AF346" i="9"/>
  <c r="AN263" i="9"/>
  <c r="AP306" i="9"/>
  <c r="AH346" i="9"/>
  <c r="AK262" i="9"/>
  <c r="AN305" i="9"/>
  <c r="AF345" i="9"/>
  <c r="AF278" i="9"/>
  <c r="AK317" i="9"/>
  <c r="AP356" i="9"/>
  <c r="AG278" i="9"/>
  <c r="AL317" i="9"/>
  <c r="AI183" i="9"/>
  <c r="AD194" i="9"/>
  <c r="AO240" i="9"/>
  <c r="AJ214" i="9"/>
  <c r="AP249" i="9"/>
  <c r="AO341" i="9"/>
  <c r="AK259" i="9"/>
  <c r="AL302" i="9"/>
  <c r="AD342" i="9"/>
  <c r="AG258" i="9"/>
  <c r="AJ301" i="9"/>
  <c r="AO340" i="9"/>
  <c r="AO273" i="9"/>
  <c r="AG313" i="9"/>
  <c r="AL352" i="9"/>
  <c r="AP273" i="9"/>
  <c r="AH313" i="9"/>
  <c r="AM352" i="9"/>
  <c r="AF138" i="9"/>
  <c r="AP202" i="9"/>
  <c r="AG230" i="9"/>
  <c r="AI219" i="9"/>
  <c r="AM259" i="9"/>
  <c r="AH288" i="9"/>
  <c r="AH352" i="9"/>
  <c r="AM273" i="9"/>
  <c r="AE313" i="9"/>
  <c r="AJ352" i="9"/>
  <c r="AK272" i="9"/>
  <c r="AP311" i="9"/>
  <c r="AH351" i="9"/>
  <c r="AH284" i="9"/>
  <c r="AM323" i="9"/>
  <c r="AE363" i="9"/>
  <c r="AI134" i="9"/>
  <c r="AM215" i="9"/>
  <c r="AK246" i="9"/>
  <c r="AP199" i="9"/>
  <c r="AE199" i="9"/>
  <c r="AI222" i="9"/>
  <c r="AL264" i="9"/>
  <c r="AI231" i="9"/>
  <c r="AI165" i="9"/>
  <c r="AK329" i="9"/>
  <c r="AE369" i="9"/>
  <c r="AP300" i="9"/>
  <c r="AI340" i="9"/>
  <c r="AK263" i="9"/>
  <c r="AP238" i="9"/>
  <c r="AL364" i="9"/>
  <c r="AO284" i="9"/>
  <c r="AD336" i="9"/>
  <c r="AM257" i="9"/>
  <c r="AG151" i="9"/>
  <c r="AP235" i="9"/>
  <c r="AO317" i="9"/>
  <c r="AF316" i="9"/>
  <c r="AK355" i="9"/>
  <c r="AL275" i="9"/>
  <c r="AD315" i="9"/>
  <c r="AI354" i="9"/>
  <c r="AI287" i="9"/>
  <c r="AN326" i="9"/>
  <c r="AF366" i="9"/>
  <c r="AJ287" i="9"/>
  <c r="AO326" i="9"/>
  <c r="AG366" i="9"/>
  <c r="AP132" i="9"/>
  <c r="AH198" i="9"/>
  <c r="AH225" i="9"/>
  <c r="AP214" i="9"/>
  <c r="AD251" i="9"/>
  <c r="AI283" i="9"/>
  <c r="AE351" i="9"/>
  <c r="AJ272" i="9"/>
  <c r="AO311" i="9"/>
  <c r="AG351" i="9"/>
  <c r="AH271" i="9"/>
  <c r="AM310" i="9"/>
  <c r="AE350" i="9"/>
  <c r="AE283" i="9"/>
  <c r="AJ322" i="9"/>
  <c r="AO361" i="9"/>
  <c r="AF283" i="9"/>
  <c r="AK322" i="9"/>
  <c r="AE205" i="9"/>
  <c r="AG208" i="9"/>
  <c r="AN295" i="9"/>
  <c r="AH234" i="9"/>
  <c r="AN367" i="9"/>
  <c r="AN346" i="9"/>
  <c r="AJ264" i="9"/>
  <c r="AK307" i="9"/>
  <c r="AP346" i="9"/>
  <c r="AG263" i="9"/>
  <c r="AI306" i="9"/>
  <c r="AN345" i="9"/>
  <c r="AN278" i="9"/>
  <c r="AF318" i="9"/>
  <c r="AK357" i="9"/>
  <c r="AO278" i="9"/>
  <c r="AG318" i="9"/>
  <c r="AL357" i="9"/>
  <c r="AM158" i="9"/>
  <c r="AI170" i="9"/>
  <c r="AD250" i="9"/>
  <c r="AE239" i="9"/>
  <c r="AK212" i="9"/>
  <c r="AD308" i="9"/>
  <c r="AG357" i="9"/>
  <c r="AL278" i="9"/>
  <c r="AD318" i="9"/>
  <c r="AI357" i="9"/>
  <c r="AJ277" i="9"/>
  <c r="AO316" i="9"/>
  <c r="AG356" i="9"/>
  <c r="AG289" i="9"/>
  <c r="AL328" i="9"/>
  <c r="AD368" i="9"/>
  <c r="AJ129" i="9"/>
  <c r="AM231" i="9"/>
  <c r="AK251" i="9"/>
  <c r="AJ204" i="9"/>
  <c r="AG204" i="9"/>
  <c r="AH227" i="9"/>
  <c r="AP301" i="9"/>
  <c r="AH236" i="9"/>
  <c r="AE187" i="9"/>
  <c r="AJ334" i="9"/>
  <c r="AD374" i="9"/>
  <c r="AO305" i="9"/>
  <c r="AH345" i="9"/>
  <c r="AO272" i="9"/>
  <c r="AG260" i="9"/>
  <c r="AK369" i="9"/>
  <c r="AN289" i="9"/>
  <c r="AP340" i="9"/>
  <c r="AN262" i="9"/>
  <c r="AL178" i="9"/>
  <c r="AH232" i="9"/>
  <c r="AL340" i="9"/>
  <c r="AE321" i="9"/>
  <c r="AJ360" i="9"/>
  <c r="AK280" i="9"/>
  <c r="AP319" i="9"/>
  <c r="AH359" i="9"/>
  <c r="AH292" i="9"/>
  <c r="AM331" i="9"/>
  <c r="AE371" i="9"/>
  <c r="AI292" i="9"/>
  <c r="AN331" i="9"/>
  <c r="AF371" i="9"/>
  <c r="AK153" i="9"/>
  <c r="AG165" i="9"/>
  <c r="AD245" i="9"/>
  <c r="AF234" i="9"/>
  <c r="AK366" i="9"/>
  <c r="AE303" i="9"/>
  <c r="AD356" i="9"/>
  <c r="AI277" i="9"/>
  <c r="AN316" i="9"/>
  <c r="AF356" i="9"/>
  <c r="AG276" i="9"/>
  <c r="AL315" i="9"/>
  <c r="AD355" i="9"/>
  <c r="AD288" i="9"/>
  <c r="AI327" i="9"/>
  <c r="AN366" i="9"/>
  <c r="AE288" i="9"/>
  <c r="AL136" i="9"/>
  <c r="AF201" i="9"/>
  <c r="AI228" i="9"/>
  <c r="AI217" i="9"/>
  <c r="AF255" i="9"/>
  <c r="AJ286" i="9"/>
  <c r="AM351" i="9"/>
  <c r="AE273" i="9"/>
  <c r="AJ312" i="9"/>
  <c r="AO351" i="9"/>
  <c r="AP271" i="9"/>
  <c r="AH311" i="9"/>
  <c r="AM350" i="9"/>
  <c r="AM283" i="9"/>
  <c r="AE323" i="9"/>
  <c r="AJ362" i="9"/>
  <c r="AN283" i="9"/>
  <c r="AF323" i="9"/>
  <c r="AK362" i="9"/>
  <c r="AF192" i="9"/>
  <c r="AE192" i="9"/>
  <c r="AK358" i="9"/>
  <c r="AK286" i="9"/>
  <c r="AK232" i="9"/>
  <c r="AN322" i="9"/>
  <c r="AF362" i="9"/>
  <c r="AK283" i="9"/>
  <c r="AP322" i="9"/>
  <c r="AH362" i="9"/>
  <c r="AI282" i="9"/>
  <c r="AN321" i="9"/>
  <c r="AF361" i="9"/>
  <c r="AF294" i="9"/>
  <c r="AK333" i="9"/>
  <c r="AP372" i="9"/>
  <c r="AP207" i="9"/>
  <c r="AM219" i="9"/>
  <c r="AG236" i="9"/>
  <c r="AI195" i="9"/>
  <c r="AI209" i="9"/>
  <c r="AL305" i="9"/>
  <c r="AK235" i="9"/>
  <c r="AH264" i="9"/>
  <c r="AN256" i="9"/>
  <c r="AP368" i="9"/>
  <c r="AF289" i="9"/>
  <c r="AH340" i="9"/>
  <c r="AF262" i="9"/>
  <c r="AH307" i="9"/>
  <c r="AH365" i="9"/>
  <c r="AD286" i="9"/>
  <c r="AG324" i="9"/>
  <c r="AP252" i="9"/>
  <c r="AM301" i="9"/>
  <c r="AG178" i="9"/>
  <c r="AH252" i="9"/>
  <c r="AI355" i="9"/>
  <c r="AD326" i="9"/>
  <c r="AI365" i="9"/>
  <c r="AJ285" i="9"/>
  <c r="AO324" i="9"/>
  <c r="AG364" i="9"/>
  <c r="AG297" i="9"/>
  <c r="AL336" i="9"/>
  <c r="AK253" i="9"/>
  <c r="AH297" i="9"/>
  <c r="AM336" i="9"/>
  <c r="AJ258" i="9"/>
  <c r="AJ181" i="9"/>
  <c r="AI186" i="9"/>
  <c r="AF319" i="9"/>
  <c r="AI259" i="9"/>
  <c r="AL227" i="9"/>
  <c r="AM319" i="9"/>
  <c r="AP360" i="9"/>
  <c r="AH282" i="9"/>
  <c r="AM321" i="9"/>
  <c r="AE361" i="9"/>
  <c r="AF281" i="9"/>
  <c r="AK320" i="9"/>
  <c r="AP359" i="9"/>
  <c r="AP292" i="9"/>
  <c r="AH332" i="9"/>
  <c r="AM371" i="9"/>
  <c r="AD293" i="9"/>
  <c r="AI156" i="9"/>
  <c r="AM168" i="9"/>
  <c r="AF248" i="9"/>
  <c r="AG237" i="9"/>
  <c r="AO209" i="9"/>
  <c r="AF306" i="9"/>
  <c r="AL356" i="9"/>
  <c r="AD278" i="9"/>
  <c r="AI317" i="9"/>
  <c r="AN356" i="9"/>
  <c r="AO276" i="9"/>
  <c r="AG316" i="9"/>
  <c r="AL355" i="9"/>
  <c r="AL288" i="9"/>
  <c r="AD328" i="9"/>
  <c r="AI367" i="9"/>
  <c r="AM288" i="9"/>
  <c r="AE328" i="9"/>
  <c r="AJ367" i="9"/>
  <c r="AM198" i="9"/>
  <c r="AJ220" i="9"/>
  <c r="AG248" i="9"/>
  <c r="AG218" i="9"/>
  <c r="AK252" i="9"/>
  <c r="AM327" i="9"/>
  <c r="AE367" i="9"/>
  <c r="AE172" i="9"/>
  <c r="AL224" i="9"/>
  <c r="AF241" i="9"/>
  <c r="AG206" i="9"/>
  <c r="AE214" i="9"/>
  <c r="AD345" i="9"/>
  <c r="AJ240" i="9"/>
  <c r="AP272" i="9"/>
  <c r="AG212" i="9"/>
  <c r="AO373" i="9"/>
  <c r="AE294" i="9"/>
  <c r="AG345" i="9"/>
  <c r="AK271" i="9"/>
  <c r="AG312" i="9"/>
  <c r="AE228" i="9"/>
  <c r="AP290" i="9"/>
  <c r="AF329" i="9"/>
  <c r="AL257" i="9"/>
  <c r="AL306" i="9"/>
  <c r="AK163" i="9"/>
  <c r="AO370" i="9"/>
  <c r="AH360" i="9"/>
  <c r="AP330" i="9"/>
  <c r="AH370" i="9"/>
  <c r="AI290" i="9"/>
  <c r="AN329" i="9"/>
  <c r="AF369" i="9"/>
  <c r="AF302" i="9"/>
  <c r="AK341" i="9"/>
  <c r="AI258" i="9"/>
  <c r="AG302" i="9"/>
  <c r="AL341" i="9"/>
  <c r="AJ263" i="9"/>
  <c r="AK193" i="9"/>
  <c r="AH208" i="9"/>
  <c r="AO243" i="9"/>
  <c r="AI212" i="9"/>
  <c r="AI247" i="9"/>
  <c r="AJ326" i="9"/>
  <c r="AO365" i="9"/>
  <c r="AG287" i="9"/>
  <c r="AL326" i="9"/>
  <c r="AD366" i="9"/>
  <c r="AE286" i="9"/>
  <c r="AJ325" i="9"/>
  <c r="AO364" i="9"/>
  <c r="AF273" i="9"/>
  <c r="AL295" i="9"/>
  <c r="AL285" i="9"/>
  <c r="AL359" i="9"/>
  <c r="AP353" i="9"/>
  <c r="AJ284" i="9"/>
  <c r="AJ274" i="9"/>
  <c r="AN195" i="9"/>
  <c r="AO287" i="9"/>
  <c r="AD291" i="9"/>
  <c r="AM184" i="9"/>
  <c r="AP140" i="9"/>
  <c r="AD273" i="9"/>
  <c r="AM313" i="9"/>
  <c r="AP351" i="9"/>
  <c r="AD285" i="9"/>
  <c r="AM285" i="9"/>
  <c r="AO339" i="9"/>
  <c r="AJ273" i="9"/>
  <c r="AI318" i="9"/>
  <c r="AD359" i="9"/>
  <c r="AF235" i="9"/>
  <c r="AK353" i="9"/>
  <c r="AN273" i="9"/>
  <c r="AP324" i="9"/>
  <c r="AE352" i="9"/>
  <c r="AL314" i="9"/>
  <c r="AK367" i="9"/>
  <c r="AG296" i="9"/>
  <c r="AP339" i="9"/>
  <c r="AO163" i="9"/>
  <c r="AG216" i="9"/>
  <c r="AL318" i="9"/>
  <c r="AO356" i="9"/>
  <c r="AP289" i="9"/>
  <c r="AN288" i="9"/>
  <c r="AH342" i="9"/>
  <c r="AM274" i="9"/>
  <c r="AL319" i="9"/>
  <c r="AG360" i="9"/>
  <c r="AD260" i="9"/>
  <c r="AK338" i="9"/>
  <c r="AF299" i="9"/>
  <c r="AJ255" i="9"/>
  <c r="AP308" i="9"/>
  <c r="AI346" i="9"/>
  <c r="AH287" i="9"/>
  <c r="AO327" i="9"/>
  <c r="AJ342" i="9"/>
  <c r="AP237" i="9"/>
  <c r="AK164" i="9"/>
  <c r="AJ303" i="9"/>
  <c r="AP332" i="9"/>
  <c r="AE326" i="9"/>
  <c r="AF332" i="9"/>
  <c r="AK361" i="9"/>
  <c r="AE216" i="9"/>
  <c r="AF194" i="9"/>
  <c r="AF254" i="9"/>
  <c r="AN369" i="9"/>
  <c r="AK331" i="9"/>
  <c r="AJ347" i="9"/>
  <c r="AH191" i="9"/>
  <c r="AI263" i="9"/>
  <c r="AM334" i="9"/>
  <c r="AF258" i="9"/>
  <c r="AM296" i="9"/>
  <c r="AO187" i="9"/>
  <c r="AH290" i="9"/>
  <c r="AJ238" i="9"/>
  <c r="AG185" i="9"/>
  <c r="AP295" i="9"/>
  <c r="AD312" i="9"/>
  <c r="AO360" i="9"/>
  <c r="AH233" i="9"/>
  <c r="AP366" i="9"/>
  <c r="AK352" i="9"/>
  <c r="AD319" i="9"/>
  <c r="AG329" i="9"/>
  <c r="AK340" i="9"/>
  <c r="AI343" i="9"/>
  <c r="AD232" i="9"/>
  <c r="AN281" i="9"/>
  <c r="AM307" i="9"/>
  <c r="AF252" i="9"/>
  <c r="AN198" i="9"/>
  <c r="AJ215" i="9"/>
  <c r="AI333" i="9"/>
  <c r="AL371" i="9"/>
  <c r="AM304" i="9"/>
  <c r="AH294" i="9"/>
  <c r="AG347" i="9"/>
  <c r="AD279" i="9"/>
  <c r="AP323" i="9"/>
  <c r="AP363" i="9"/>
  <c r="AP373" i="9"/>
  <c r="AG373" i="9"/>
  <c r="AJ293" i="9"/>
  <c r="AL344" i="9"/>
  <c r="AI364" i="9"/>
  <c r="AD322" i="9"/>
  <c r="AM373" i="9"/>
  <c r="AN301" i="9"/>
  <c r="AO344" i="9"/>
  <c r="AI167" i="9"/>
  <c r="AE235" i="9"/>
  <c r="AH338" i="9"/>
  <c r="AF270" i="9"/>
  <c r="AL309" i="9"/>
  <c r="AK295" i="9"/>
  <c r="AJ348" i="9"/>
  <c r="AG280" i="9"/>
  <c r="AF325" i="9"/>
  <c r="AF365" i="9"/>
  <c r="AD373" i="9"/>
  <c r="AL333" i="9"/>
  <c r="AG294" i="9"/>
  <c r="AF358" i="9"/>
  <c r="AD304" i="9"/>
  <c r="AJ341" i="9"/>
  <c r="AO258" i="9"/>
  <c r="AG303" i="9"/>
  <c r="AK337" i="9"/>
  <c r="AM242" i="9"/>
  <c r="AP195" i="9"/>
  <c r="AK298" i="9"/>
  <c r="AI303" i="9"/>
  <c r="AF321" i="9"/>
  <c r="AG327" i="9"/>
  <c r="AD332" i="9"/>
  <c r="AN271" i="9"/>
  <c r="AI196" i="9"/>
  <c r="AE347" i="9"/>
  <c r="AH335" i="9"/>
  <c r="AE297" i="9"/>
  <c r="AG253" i="9"/>
  <c r="AM277" i="9"/>
  <c r="AI351" i="9"/>
  <c r="AG300" i="9"/>
  <c r="AN225" i="9"/>
  <c r="AK368" i="9"/>
  <c r="AP310" i="9"/>
  <c r="AP245" i="9"/>
  <c r="AM254" i="9"/>
  <c r="AM249" i="9"/>
  <c r="AP246" i="9"/>
  <c r="AE218" i="9"/>
  <c r="AJ189" i="9"/>
  <c r="AK175" i="9"/>
  <c r="AP352" i="9"/>
  <c r="AH314" i="9"/>
  <c r="AI307" i="9"/>
  <c r="AN205" i="9"/>
  <c r="AI291" i="9"/>
  <c r="AE353" i="9"/>
  <c r="AP284" i="9"/>
  <c r="AI324" i="9"/>
  <c r="AJ300" i="9"/>
  <c r="AI353" i="9"/>
  <c r="AK284" i="9"/>
  <c r="AJ329" i="9"/>
  <c r="AO368" i="9"/>
  <c r="AH224" i="9"/>
  <c r="AP274" i="9"/>
  <c r="AF313" i="9"/>
  <c r="AH364" i="9"/>
  <c r="AL260" i="9"/>
  <c r="AF328" i="9"/>
  <c r="AN257" i="9"/>
  <c r="AP307" i="9"/>
  <c r="AN349" i="9"/>
  <c r="AO173" i="9"/>
  <c r="AE311" i="9"/>
  <c r="AD358" i="9"/>
  <c r="AO289" i="9"/>
  <c r="AJ327" i="9"/>
  <c r="AP302" i="9"/>
  <c r="AL354" i="9"/>
  <c r="AN285" i="9"/>
  <c r="AM330" i="9"/>
  <c r="AE370" i="9"/>
  <c r="AE368" i="9"/>
  <c r="AM328" i="9"/>
  <c r="AH289" i="9"/>
  <c r="AG353" i="9"/>
  <c r="AE299" i="9"/>
  <c r="AK336" i="9"/>
  <c r="AD254" i="9"/>
  <c r="AH298" i="9"/>
  <c r="AL332" i="9"/>
  <c r="AD223" i="9"/>
  <c r="AN264" i="9"/>
  <c r="AL293" i="9"/>
  <c r="AJ298" i="9"/>
  <c r="AL291" i="9"/>
  <c r="AH322" i="9"/>
  <c r="AE327" i="9"/>
  <c r="AN319" i="9"/>
  <c r="AF187" i="9"/>
  <c r="AF342" i="9"/>
  <c r="AI330" i="9"/>
  <c r="AF292" i="9"/>
  <c r="AD233" i="9"/>
  <c r="AN272" i="9"/>
  <c r="AJ346" i="9"/>
  <c r="AH295" i="9"/>
  <c r="AN351" i="9"/>
  <c r="AL363" i="9"/>
  <c r="AD306" i="9"/>
  <c r="AG226" i="9"/>
  <c r="AI249" i="9"/>
  <c r="AM244" i="9"/>
  <c r="AO70" i="9"/>
  <c r="AF88" i="9"/>
  <c r="AM95" i="9"/>
  <c r="Z1" i="9"/>
  <c r="AD367" i="9"/>
  <c r="AL327" i="9"/>
  <c r="AE282" i="9"/>
  <c r="AK351" i="9"/>
  <c r="AL298" i="9"/>
  <c r="AF315" i="9"/>
  <c r="AM275" i="9"/>
  <c r="AO343" i="9"/>
  <c r="AK261" i="9"/>
  <c r="AO190" i="9"/>
  <c r="AN341" i="9"/>
  <c r="AM298" i="9"/>
  <c r="AI369" i="9"/>
  <c r="AM317" i="9"/>
  <c r="AD357" i="9"/>
  <c r="AF334" i="9"/>
  <c r="AD283" i="9"/>
  <c r="AN362" i="9"/>
  <c r="AF232" i="9"/>
  <c r="AP355" i="9"/>
  <c r="AM314" i="9"/>
  <c r="AK265" i="9"/>
  <c r="AN336" i="9"/>
  <c r="AF280" i="9"/>
  <c r="AO270" i="9"/>
  <c r="AN337" i="9"/>
  <c r="AK299" i="9"/>
  <c r="AO306" i="9"/>
  <c r="AN90" i="9"/>
  <c r="AJ34" i="9"/>
  <c r="AE21" i="9"/>
  <c r="AJ10" i="9"/>
  <c r="AK10" i="9"/>
  <c r="AE37" i="9"/>
  <c r="AG23" i="9"/>
  <c r="AD28" i="9"/>
  <c r="AE29" i="9"/>
  <c r="AH63" i="9"/>
  <c r="AJ18" i="9"/>
  <c r="AM68" i="9"/>
  <c r="AJ58" i="9"/>
  <c r="AN54" i="9"/>
  <c r="AM36" i="9"/>
  <c r="AL36" i="9"/>
  <c r="AJ1" i="9"/>
  <c r="AG6" i="9"/>
  <c r="AI8" i="9"/>
  <c r="AL52" i="9"/>
  <c r="AI41" i="9"/>
  <c r="AP40" i="9"/>
  <c r="AL3" i="9"/>
  <c r="AG38" i="9"/>
  <c r="AP39" i="9"/>
  <c r="AJ49" i="9"/>
  <c r="AM52" i="9"/>
  <c r="AD70" i="9"/>
  <c r="AL62" i="9"/>
  <c r="AJ65" i="9"/>
  <c r="AM3" i="9"/>
  <c r="AL116" i="9"/>
  <c r="AG5" i="9"/>
  <c r="AL18" i="9"/>
  <c r="AP14" i="9"/>
  <c r="AK25" i="9"/>
  <c r="AN20" i="9"/>
  <c r="AN28" i="9"/>
  <c r="AL42" i="9"/>
  <c r="AI39" i="9"/>
  <c r="AH46" i="9"/>
  <c r="AO53" i="9"/>
  <c r="AJ56" i="9"/>
  <c r="AD66" i="9"/>
  <c r="AO78" i="9"/>
  <c r="AD80" i="9"/>
  <c r="AJ102" i="9"/>
  <c r="AO4" i="9"/>
  <c r="AP13" i="9"/>
  <c r="AJ15" i="9"/>
  <c r="AJ23" i="9"/>
  <c r="AN19" i="9"/>
  <c r="AG28" i="9"/>
  <c r="AM42" i="9"/>
  <c r="AN35" i="9"/>
  <c r="AJ47" i="9"/>
  <c r="AH53" i="9"/>
  <c r="AE58" i="9"/>
  <c r="AN59" i="9"/>
  <c r="AD68" i="9"/>
  <c r="AM1" i="9"/>
  <c r="AG124" i="9"/>
  <c r="AN2" i="9"/>
  <c r="AL16" i="9"/>
  <c r="AJ14" i="9"/>
  <c r="AD24" i="9"/>
  <c r="AO19" i="9"/>
  <c r="AM33" i="9"/>
  <c r="AJ38" i="9"/>
  <c r="AG35" i="9"/>
  <c r="AF50" i="9"/>
  <c r="AG51" i="9"/>
  <c r="AF58" i="9"/>
  <c r="AF61" i="9"/>
  <c r="AF98" i="9"/>
  <c r="AF30" i="9"/>
  <c r="AN21" i="9"/>
  <c r="AD20" i="9"/>
  <c r="AG14" i="9"/>
  <c r="AD36" i="9"/>
  <c r="AM21" i="9"/>
  <c r="AJ50" i="9"/>
  <c r="AK51" i="9"/>
  <c r="AN6" i="9"/>
  <c r="AE5" i="9"/>
  <c r="AK3" i="9"/>
  <c r="AG39" i="9"/>
  <c r="AL43" i="9"/>
  <c r="AJ41" i="9"/>
  <c r="AK50" i="9"/>
  <c r="AO54" i="9"/>
  <c r="AJ72" i="9"/>
  <c r="AI63" i="9"/>
  <c r="AG54" i="9"/>
  <c r="AK95" i="9"/>
  <c r="AJ78" i="9"/>
  <c r="AE11" i="9"/>
  <c r="AO13" i="9"/>
  <c r="AK17" i="9"/>
  <c r="AM27" i="9"/>
  <c r="AO29" i="9"/>
  <c r="AP30" i="9"/>
  <c r="AH38" i="9"/>
  <c r="AD42" i="9"/>
  <c r="AP46" i="9"/>
  <c r="AE59" i="9"/>
  <c r="AK57" i="9"/>
  <c r="AM62" i="9"/>
  <c r="AL115" i="9"/>
  <c r="AI77" i="9"/>
  <c r="AF3" i="9"/>
  <c r="AF11" i="9"/>
  <c r="AF19" i="9"/>
  <c r="AL17" i="9"/>
  <c r="AO20" i="9"/>
  <c r="AH29" i="9"/>
  <c r="AI30" i="9"/>
  <c r="AF43" i="9"/>
  <c r="AJ39" i="9"/>
  <c r="AK48" i="9"/>
  <c r="AM58" i="9"/>
  <c r="AJ55" i="9"/>
  <c r="AM65" i="9"/>
  <c r="AD96" i="9"/>
  <c r="AG70" i="9"/>
  <c r="AO67" i="9"/>
  <c r="AG3" i="9"/>
  <c r="AO11" i="9"/>
  <c r="AN10" i="9"/>
  <c r="AE25" i="9"/>
  <c r="AO27" i="9"/>
  <c r="AP28" i="9"/>
  <c r="AL40" i="9"/>
  <c r="AI37" i="9"/>
  <c r="AJ46" i="9"/>
  <c r="AL56" i="9"/>
  <c r="AK55" i="9"/>
  <c r="AN58" i="9"/>
  <c r="AH66" i="9"/>
  <c r="AL96" i="9"/>
  <c r="AN82" i="9"/>
  <c r="AK6" i="9"/>
  <c r="AM16" i="9"/>
  <c r="AG10" i="9"/>
  <c r="AM24" i="9"/>
  <c r="AG26" i="9"/>
  <c r="AF33" i="9"/>
  <c r="AF41" i="9"/>
  <c r="AD39" i="9"/>
  <c r="AE48" i="9"/>
  <c r="AF57" i="9"/>
  <c r="AL55" i="9"/>
  <c r="AF62" i="9"/>
  <c r="AE67" i="9"/>
  <c r="AJ4" i="9"/>
  <c r="AH2" i="9"/>
  <c r="AJ94" i="9"/>
  <c r="AD14" i="9"/>
  <c r="AF24" i="9"/>
  <c r="AJ20" i="9"/>
  <c r="AF32" i="9"/>
  <c r="AH34" i="9"/>
  <c r="AK37" i="9"/>
  <c r="AM47" i="9"/>
  <c r="AJ44" i="9"/>
  <c r="AM55" i="9"/>
  <c r="AP58" i="9"/>
  <c r="AO57" i="9"/>
  <c r="AN64" i="9"/>
  <c r="AF7" i="9"/>
  <c r="AL5" i="9"/>
  <c r="AG8" i="9"/>
  <c r="AO16" i="9"/>
  <c r="AK20" i="9"/>
  <c r="AL29" i="9"/>
  <c r="AD29" i="9"/>
  <c r="AD37" i="9"/>
  <c r="AE46" i="9"/>
  <c r="AJ43" i="9"/>
  <c r="AJ51" i="9"/>
  <c r="AL53" i="9"/>
  <c r="AG65" i="9"/>
  <c r="AH57" i="9"/>
  <c r="AG75" i="9"/>
  <c r="AP76" i="9"/>
  <c r="AD88" i="9"/>
  <c r="AI110" i="9"/>
  <c r="AD95" i="9"/>
  <c r="AE66" i="9"/>
  <c r="AE82" i="9"/>
  <c r="AN133" i="9"/>
  <c r="AN128" i="9"/>
  <c r="AM81" i="9"/>
  <c r="AG4" i="9"/>
  <c r="AN3" i="9"/>
  <c r="AM18" i="9"/>
  <c r="AN11" i="9"/>
  <c r="AH21" i="9"/>
  <c r="AM34" i="9"/>
  <c r="AJ31" i="9"/>
  <c r="AI38" i="9"/>
  <c r="AL41" i="9"/>
  <c r="AO44" i="9"/>
  <c r="AF59" i="9"/>
  <c r="AL57" i="9"/>
  <c r="AN62" i="9"/>
  <c r="AF2" i="9"/>
  <c r="AK103" i="9"/>
  <c r="AH4" i="9"/>
  <c r="AP4" i="9"/>
  <c r="AM17" i="9"/>
  <c r="AP12" i="9"/>
  <c r="AP20" i="9"/>
  <c r="AE33" i="9"/>
  <c r="AF34" i="9"/>
  <c r="AH36" i="9"/>
  <c r="AN34" i="9"/>
  <c r="AN42" i="9"/>
  <c r="AO51" i="9"/>
  <c r="AD56" i="9"/>
  <c r="AG59" i="9"/>
  <c r="AD153" i="9"/>
  <c r="AN69" i="9"/>
  <c r="AO2" i="9"/>
  <c r="AJ5" i="9"/>
  <c r="AF17" i="9"/>
  <c r="AJ13" i="9"/>
  <c r="AL23" i="9"/>
  <c r="AL31" i="9"/>
  <c r="AI28" i="9"/>
  <c r="AJ37" i="9"/>
  <c r="AL39" i="9"/>
  <c r="AM48" i="9"/>
  <c r="AD55" i="9"/>
  <c r="AE56" i="9"/>
  <c r="AG61" i="9"/>
  <c r="AF68" i="9"/>
  <c r="AK5" i="9"/>
  <c r="AP2" i="9"/>
  <c r="AG9" i="9"/>
  <c r="AH10" i="9"/>
  <c r="AK21" i="9"/>
  <c r="AE23" i="9"/>
  <c r="AJ28" i="9"/>
  <c r="AM39" i="9"/>
  <c r="AD38" i="9"/>
  <c r="AI43" i="9"/>
  <c r="AD46" i="9"/>
  <c r="AP50" i="9"/>
  <c r="AJ60" i="9"/>
  <c r="AK66" i="9"/>
  <c r="AD75" i="9"/>
  <c r="AE89" i="9"/>
  <c r="AE6" i="9"/>
  <c r="AH9" i="9"/>
  <c r="AE22" i="9"/>
  <c r="AD21" i="9"/>
  <c r="AH25" i="9"/>
  <c r="AN23" i="9"/>
  <c r="AM38" i="9"/>
  <c r="AH41" i="9"/>
  <c r="AN39" i="9"/>
  <c r="AD53" i="9"/>
  <c r="AO56" i="9"/>
  <c r="AM105" i="9"/>
  <c r="AD64" i="9"/>
  <c r="AE74" i="9"/>
  <c r="AG83" i="9"/>
  <c r="AG76" i="9"/>
  <c r="AL118" i="9"/>
  <c r="AH99" i="9"/>
  <c r="AN153" i="9"/>
  <c r="AI86" i="9"/>
  <c r="AH70" i="9"/>
  <c r="AK110" i="9"/>
  <c r="AH109" i="9"/>
  <c r="AL97" i="9"/>
  <c r="AF81" i="9"/>
  <c r="AO119" i="9"/>
  <c r="AK88" i="9"/>
  <c r="AJ71" i="9"/>
  <c r="AL111" i="9"/>
  <c r="AD113" i="9"/>
  <c r="AG108" i="9"/>
  <c r="AP91" i="9"/>
  <c r="AJ63" i="9"/>
  <c r="AK104" i="9"/>
  <c r="AE88" i="9"/>
  <c r="AF64" i="9"/>
  <c r="AK42" i="9"/>
  <c r="AD43" i="9"/>
  <c r="AO46" i="9"/>
  <c r="AL67" i="9"/>
  <c r="AG64" i="9"/>
  <c r="AL59" i="9"/>
  <c r="AP137" i="9"/>
  <c r="AP100" i="9"/>
  <c r="AM11" i="9"/>
  <c r="AL10" i="9"/>
  <c r="AN12" i="9"/>
  <c r="AD18" i="9"/>
  <c r="AI23" i="9"/>
  <c r="AH30" i="9"/>
  <c r="AL34" i="9"/>
  <c r="AP38" i="9"/>
  <c r="AO45" i="9"/>
  <c r="AN44" i="9"/>
  <c r="AF60" i="9"/>
  <c r="AL58" i="9"/>
  <c r="AK63" i="9"/>
  <c r="AE97" i="9"/>
  <c r="AF149" i="9"/>
  <c r="AL9" i="9"/>
  <c r="AH5" i="9"/>
  <c r="AI14" i="9"/>
  <c r="AO12" i="9"/>
  <c r="AM26" i="9"/>
  <c r="AD33" i="9"/>
  <c r="AN27" i="9"/>
  <c r="AK40" i="9"/>
  <c r="AG44" i="9"/>
  <c r="AH45" i="9"/>
  <c r="AK56" i="9"/>
  <c r="AG52" i="9"/>
  <c r="AO61" i="9"/>
  <c r="AM97" i="9"/>
  <c r="AI109" i="9"/>
  <c r="AM9" i="9"/>
  <c r="AD8" i="9"/>
  <c r="AI13" i="9"/>
  <c r="AD16" i="9"/>
  <c r="AN18" i="9"/>
  <c r="AI29" i="9"/>
  <c r="AD32" i="9"/>
  <c r="AM41" i="9"/>
  <c r="AG43" i="9"/>
  <c r="AE49" i="9"/>
  <c r="AP52" i="9"/>
  <c r="AI53" i="9"/>
  <c r="AO65" i="9"/>
  <c r="AL70" i="9"/>
  <c r="AG107" i="9"/>
  <c r="AE8" i="9"/>
  <c r="AI4" i="9"/>
  <c r="AI12" i="9"/>
  <c r="AL15" i="9"/>
  <c r="AP19" i="9"/>
  <c r="AE32" i="9"/>
  <c r="AK30" i="9"/>
  <c r="AN33" i="9"/>
  <c r="AN41" i="9"/>
  <c r="AI44" i="9"/>
  <c r="AG50" i="9"/>
  <c r="AJ53" i="9"/>
  <c r="AG58" i="9"/>
  <c r="AP62" i="9"/>
  <c r="AD6" i="9"/>
  <c r="AP108" i="9"/>
  <c r="AL14" i="9"/>
  <c r="AM15" i="9"/>
  <c r="AD22" i="9"/>
  <c r="AG17" i="9"/>
  <c r="AD30" i="9"/>
  <c r="AF40" i="9"/>
  <c r="AG33" i="9"/>
  <c r="AO41" i="9"/>
  <c r="AG49" i="9"/>
  <c r="AF56" i="9"/>
  <c r="AG62" i="9"/>
  <c r="AF71" i="9"/>
  <c r="AI2" i="9"/>
  <c r="AK4" i="9"/>
  <c r="AI122" i="9"/>
  <c r="AM14" i="9"/>
  <c r="AP17" i="9"/>
  <c r="AL21" i="9"/>
  <c r="AM30" i="9"/>
  <c r="AO32" i="9"/>
  <c r="AG32" i="9"/>
  <c r="AG40" i="9"/>
  <c r="AG48" i="9"/>
  <c r="AG63" i="9"/>
  <c r="AL66" i="9"/>
  <c r="AP73" i="9"/>
  <c r="AL127" i="9"/>
  <c r="AG29" i="9"/>
  <c r="AJ40" i="9"/>
  <c r="AM51" i="9"/>
  <c r="AI47" i="9"/>
  <c r="AH54" i="9"/>
  <c r="AN61" i="9"/>
  <c r="AK69" i="9"/>
  <c r="AD112" i="9"/>
  <c r="AO72" i="9"/>
  <c r="AM10" i="9"/>
  <c r="AK8" i="9"/>
  <c r="AD17" i="9"/>
  <c r="AL25" i="9"/>
  <c r="AP21" i="9"/>
  <c r="AP29" i="9"/>
  <c r="AE34" i="9"/>
  <c r="AG36" i="9"/>
  <c r="AE50" i="9"/>
  <c r="AF51" i="9"/>
  <c r="AO52" i="9"/>
  <c r="AO60" i="9"/>
  <c r="AG60" i="9"/>
  <c r="AG91" i="9"/>
  <c r="AE1" i="9"/>
  <c r="AI5" i="9"/>
  <c r="AL8" i="9"/>
  <c r="AE17" i="9"/>
  <c r="AM25" i="9"/>
  <c r="AG19" i="9"/>
  <c r="AN26" i="9"/>
  <c r="AL32" i="9"/>
  <c r="AF42" i="9"/>
  <c r="AO43" i="9"/>
  <c r="AH44" i="9"/>
  <c r="AE57" i="9"/>
  <c r="AO59" i="9"/>
  <c r="AN119" i="9"/>
  <c r="AH108" i="9"/>
  <c r="AJ64" i="9"/>
  <c r="AL7" i="9"/>
  <c r="AG2" i="9"/>
  <c r="AH11" i="9"/>
  <c r="AE24" i="9"/>
  <c r="AJ21" i="9"/>
  <c r="AO26" i="9"/>
  <c r="AJ29" i="9"/>
  <c r="AG34" i="9"/>
  <c r="AL47" i="9"/>
  <c r="AK46" i="9"/>
  <c r="AM56" i="9"/>
  <c r="AO58" i="9"/>
  <c r="AL64" i="9"/>
  <c r="AO69" i="9"/>
  <c r="AF8" i="9"/>
  <c r="AO1" i="9"/>
  <c r="AN8" i="9"/>
  <c r="AI11" i="9"/>
  <c r="AP18" i="9"/>
  <c r="AL30" i="9"/>
  <c r="AN24" i="9"/>
  <c r="AP34" i="9"/>
  <c r="AE39" i="9"/>
  <c r="AP42" i="9"/>
  <c r="AE55" i="9"/>
  <c r="AK53" i="9"/>
  <c r="AI59" i="9"/>
  <c r="AG67" i="9"/>
  <c r="AJ3" i="9"/>
  <c r="AM118" i="9"/>
  <c r="AE14" i="9"/>
  <c r="AL13" i="9"/>
  <c r="AN15" i="9"/>
  <c r="AG16" i="9"/>
  <c r="AK28" i="9"/>
  <c r="AH33" i="9"/>
  <c r="AK36" i="9"/>
  <c r="AP41" i="9"/>
  <c r="AO48" i="9"/>
  <c r="AK52" i="9"/>
  <c r="AM89" i="9"/>
  <c r="AJ144" i="9"/>
  <c r="AI72" i="9"/>
  <c r="AF75" i="9"/>
  <c r="AK60" i="9"/>
  <c r="AF91" i="9"/>
  <c r="AO74" i="9"/>
  <c r="AD114" i="9"/>
  <c r="AD79" i="9"/>
  <c r="AH101" i="9"/>
  <c r="AJ85" i="9"/>
  <c r="AD145" i="9"/>
  <c r="AP127" i="9"/>
  <c r="AK112" i="9"/>
  <c r="AE96" i="9"/>
  <c r="AF67" i="9"/>
  <c r="AI102" i="9"/>
  <c r="AD87" i="9"/>
  <c r="AI62" i="9"/>
  <c r="AN83" i="9"/>
  <c r="AK137" i="9"/>
  <c r="AO106" i="9"/>
  <c r="AJ79" i="9"/>
  <c r="AN123" i="9"/>
  <c r="AD103" i="9"/>
  <c r="AG98" i="9"/>
  <c r="AK65" i="9"/>
  <c r="AM2" i="9"/>
  <c r="AL113" i="9"/>
  <c r="AI6" i="9"/>
  <c r="AJ7" i="9"/>
  <c r="AG12" i="9"/>
  <c r="AE26" i="9"/>
  <c r="AK24" i="9"/>
  <c r="AF35" i="9"/>
  <c r="AO36" i="9"/>
  <c r="AH37" i="9"/>
  <c r="AM50" i="9"/>
  <c r="AN43" i="9"/>
  <c r="AI54" i="9"/>
  <c r="AF66" i="9"/>
  <c r="AD62" i="9"/>
  <c r="AH92" i="9"/>
  <c r="AN77" i="9"/>
  <c r="AJ6" i="9"/>
  <c r="AO3" i="9"/>
  <c r="AH12" i="9"/>
  <c r="AF26" i="9"/>
  <c r="AL24" i="9"/>
  <c r="AG27" i="9"/>
  <c r="AO35" i="9"/>
  <c r="AK39" i="9"/>
  <c r="AM49" i="9"/>
  <c r="AI45" i="9"/>
  <c r="AH52" i="9"/>
  <c r="AP60" i="9"/>
  <c r="AP92" i="9"/>
  <c r="AD67" i="9"/>
  <c r="AE68" i="9"/>
  <c r="AH3" i="9"/>
  <c r="AD7" i="9"/>
  <c r="AN9" i="9"/>
  <c r="AH19" i="9"/>
  <c r="AD23" i="9"/>
  <c r="AN25" i="9"/>
  <c r="AO34" i="9"/>
  <c r="AP35" i="9"/>
  <c r="AF49" i="9"/>
  <c r="AP43" i="9"/>
  <c r="AI52" i="9"/>
  <c r="AH59" i="9"/>
  <c r="AJ66" i="9"/>
  <c r="AH73" i="9"/>
  <c r="AI3" i="9"/>
  <c r="AH76" i="9"/>
  <c r="AO9" i="9"/>
  <c r="AK13" i="9"/>
  <c r="AI19" i="9"/>
  <c r="AE31" i="9"/>
  <c r="AH26" i="9"/>
  <c r="AJ36" i="9"/>
  <c r="AG41" i="9"/>
  <c r="AF48" i="9"/>
  <c r="AH50" i="9"/>
  <c r="AN48" i="9"/>
  <c r="AN56" i="9"/>
  <c r="AJ68" i="9"/>
  <c r="AD5" i="9"/>
  <c r="AK73" i="9"/>
  <c r="AP9" i="9"/>
  <c r="AK12" i="9"/>
  <c r="AH17" i="9"/>
  <c r="AO24" i="9"/>
  <c r="AG24" i="9"/>
  <c r="AF39" i="9"/>
  <c r="AN31" i="9"/>
  <c r="AF47" i="9"/>
  <c r="AE54" i="9"/>
  <c r="AP49" i="9"/>
  <c r="AP71" i="9"/>
  <c r="AN55" i="9"/>
  <c r="AO64" i="9"/>
  <c r="AK61" i="9"/>
  <c r="AL68" i="9"/>
  <c r="AK96" i="9"/>
  <c r="AE80" i="9"/>
  <c r="AD118" i="9"/>
  <c r="AP107" i="9"/>
  <c r="AM106" i="9"/>
  <c r="AG90" i="9"/>
  <c r="AH61" i="9"/>
  <c r="AH77" i="9"/>
  <c r="AP120" i="9"/>
  <c r="AI100" i="9"/>
  <c r="AM88" i="9"/>
  <c r="AN107" i="9"/>
  <c r="AH91" i="9"/>
  <c r="AI94" i="9"/>
  <c r="AD89" i="9"/>
  <c r="AK72" i="9"/>
  <c r="AE112" i="9"/>
  <c r="AG84" i="9"/>
  <c r="AK332" i="9"/>
  <c r="AI332" i="9"/>
  <c r="AG197" i="9"/>
  <c r="AO323" i="9"/>
  <c r="AP260" i="9"/>
  <c r="AH275" i="9"/>
  <c r="AJ357" i="9"/>
  <c r="AL75" i="9"/>
  <c r="AD120" i="9"/>
  <c r="AM20" i="9"/>
  <c r="AL60" i="9"/>
  <c r="AF21" i="9"/>
  <c r="AP121" i="9"/>
  <c r="AI48" i="9"/>
  <c r="AJ57" i="9"/>
  <c r="AG13" i="9"/>
  <c r="AK33" i="9"/>
  <c r="AL50" i="9"/>
  <c r="AL114" i="9"/>
  <c r="AE18" i="9"/>
  <c r="AE42" i="9"/>
  <c r="AN51" i="9"/>
  <c r="AL80" i="9"/>
  <c r="AI21" i="9"/>
  <c r="AD40" i="9"/>
  <c r="AH60" i="9"/>
  <c r="AO62" i="9"/>
  <c r="AP11" i="9"/>
  <c r="AD31" i="9"/>
  <c r="AI36" i="9"/>
  <c r="AK54" i="9"/>
  <c r="AN70" i="9"/>
  <c r="AE7" i="9"/>
  <c r="AN16" i="9"/>
  <c r="AN32" i="9"/>
  <c r="AN40" i="9"/>
  <c r="AF63" i="9"/>
  <c r="AE105" i="9"/>
  <c r="AN7" i="9"/>
  <c r="AP25" i="9"/>
  <c r="AK44" i="9"/>
  <c r="AN47" i="9"/>
  <c r="AD104" i="9"/>
  <c r="AH71" i="9"/>
  <c r="AN89" i="9"/>
  <c r="AO76" i="9"/>
  <c r="AP99" i="9"/>
  <c r="AL103" i="9"/>
  <c r="AP75" i="9"/>
  <c r="AD65" i="9"/>
  <c r="AI76" i="9"/>
  <c r="AP126" i="9"/>
  <c r="AF122" i="9"/>
  <c r="AL156" i="9"/>
  <c r="AD144" i="9"/>
  <c r="AM116" i="9"/>
  <c r="AD81" i="9"/>
  <c r="AJ127" i="9"/>
  <c r="AE104" i="9"/>
  <c r="AJ84" i="9"/>
  <c r="AD129" i="9"/>
  <c r="AM111" i="9"/>
  <c r="AP74" i="9"/>
  <c r="AH68" i="9"/>
  <c r="AI75" i="9"/>
  <c r="AN114" i="9"/>
  <c r="AD102" i="9"/>
  <c r="AG81" i="9"/>
  <c r="AI91" i="9"/>
  <c r="AO81" i="9"/>
  <c r="AJ92" i="9"/>
  <c r="AO68" i="9"/>
  <c r="AJ108" i="9"/>
  <c r="AO104" i="9"/>
  <c r="AD63" i="9"/>
  <c r="AK76" i="9"/>
  <c r="AP114" i="9"/>
  <c r="AO152" i="9"/>
  <c r="AG96" i="9"/>
  <c r="AL77" i="9"/>
  <c r="AE94" i="9"/>
  <c r="AD93" i="9"/>
  <c r="AL157" i="9"/>
  <c r="AG88" i="9"/>
  <c r="AN103" i="9"/>
  <c r="AJ99" i="9"/>
  <c r="AH67" i="9"/>
  <c r="AK75" i="9"/>
  <c r="AO79" i="9"/>
  <c r="AH121" i="9"/>
  <c r="AL107" i="9"/>
  <c r="AM70" i="9"/>
  <c r="AP95" i="9"/>
  <c r="AF110" i="9"/>
  <c r="AK98" i="9"/>
  <c r="AK68" i="9"/>
  <c r="AO95" i="9"/>
  <c r="AE84" i="9"/>
  <c r="AH139" i="9"/>
  <c r="AH95" i="9"/>
  <c r="AD92" i="9"/>
  <c r="AH79" i="9"/>
  <c r="AF140" i="9"/>
  <c r="AP150" i="9"/>
  <c r="AK107" i="9"/>
  <c r="AO94" i="9"/>
  <c r="AK83" i="9"/>
  <c r="AI130" i="9"/>
  <c r="AK99" i="9"/>
  <c r="AO86" i="9"/>
  <c r="AK160" i="9"/>
  <c r="AI87" i="9"/>
  <c r="AP143" i="9"/>
  <c r="AJ128" i="9"/>
  <c r="AM119" i="9"/>
  <c r="AE174" i="9"/>
  <c r="AD165" i="9"/>
  <c r="AL142" i="9"/>
  <c r="AD134" i="9"/>
  <c r="AH138" i="9"/>
  <c r="AO135" i="9"/>
  <c r="AN187" i="9"/>
  <c r="AJ113" i="9"/>
  <c r="AH115" i="9"/>
  <c r="AH162" i="9"/>
  <c r="AD149" i="9"/>
  <c r="AH145" i="9"/>
  <c r="AL123" i="9"/>
  <c r="AL184" i="9"/>
  <c r="AF170" i="9"/>
  <c r="AN178" i="9"/>
  <c r="AF164" i="9"/>
  <c r="AE99" i="9"/>
  <c r="AF167" i="9"/>
  <c r="AF143" i="9"/>
  <c r="AG130" i="9"/>
  <c r="AF126" i="9"/>
  <c r="AJ188" i="9"/>
  <c r="AN156" i="9"/>
  <c r="AI149" i="9"/>
  <c r="AH152" i="9"/>
  <c r="AE148" i="9"/>
  <c r="AN84" i="9"/>
  <c r="AG134" i="9"/>
  <c r="AM125" i="9"/>
  <c r="AH187" i="9"/>
  <c r="AF168" i="9"/>
  <c r="AK159" i="9"/>
  <c r="AP138" i="9"/>
  <c r="AL130" i="9"/>
  <c r="AP134" i="9"/>
  <c r="AE133" i="9"/>
  <c r="AL182" i="9"/>
  <c r="AO109" i="9"/>
  <c r="AM112" i="9"/>
  <c r="AH157" i="9"/>
  <c r="AP146" i="9"/>
  <c r="AJ140" i="9"/>
  <c r="AP119" i="9"/>
  <c r="AP177" i="9"/>
  <c r="AN164" i="9"/>
  <c r="AG171" i="9"/>
  <c r="AO304" i="9"/>
  <c r="AJ354" i="9"/>
  <c r="AJ361" i="9"/>
  <c r="AL290" i="9"/>
  <c r="AL235" i="9"/>
  <c r="AL362" i="9"/>
  <c r="AH255" i="9"/>
  <c r="AF22" i="9"/>
  <c r="AE28" i="9"/>
  <c r="AJ2" i="9"/>
  <c r="AI1" i="9"/>
  <c r="AP24" i="9"/>
  <c r="AJ33" i="9"/>
  <c r="AN45" i="9"/>
  <c r="AK1" i="9"/>
  <c r="AE19" i="9"/>
  <c r="AI31" i="9"/>
  <c r="AD58" i="9"/>
  <c r="AL1" i="9"/>
  <c r="AG20" i="9"/>
  <c r="AD41" i="9"/>
  <c r="AD57" i="9"/>
  <c r="AF10" i="9"/>
  <c r="AJ22" i="9"/>
  <c r="AL48" i="9"/>
  <c r="AO91" i="9"/>
  <c r="AM8" i="9"/>
  <c r="AK14" i="9"/>
  <c r="AH27" i="9"/>
  <c r="AD47" i="9"/>
  <c r="AN49" i="9"/>
  <c r="AF74" i="9"/>
  <c r="AJ12" i="9"/>
  <c r="AO17" i="9"/>
  <c r="AL38" i="9"/>
  <c r="AL54" i="9"/>
  <c r="AG57" i="9"/>
  <c r="AM6" i="9"/>
  <c r="AF23" i="9"/>
  <c r="AI26" i="9"/>
  <c r="AI42" i="9"/>
  <c r="AI71" i="9"/>
  <c r="AI58" i="9"/>
  <c r="AL81" i="9"/>
  <c r="AM104" i="9"/>
  <c r="AN91" i="9"/>
  <c r="AF105" i="9"/>
  <c r="AM82" i="9"/>
  <c r="AK86" i="9"/>
  <c r="AP77" i="9"/>
  <c r="AN81" i="9"/>
  <c r="AJ93" i="9"/>
  <c r="AJ77" i="9"/>
  <c r="AK124" i="9"/>
  <c r="AD73" i="9"/>
  <c r="AD166" i="9"/>
  <c r="AH85" i="9"/>
  <c r="AD161" i="9"/>
  <c r="AI108" i="9"/>
  <c r="AG89" i="9"/>
  <c r="AF169" i="9"/>
  <c r="AJ70" i="9"/>
  <c r="AF80" i="9"/>
  <c r="AN96" i="9"/>
  <c r="AN80" i="9"/>
  <c r="AP118" i="9"/>
  <c r="AI145" i="9"/>
  <c r="AL86" i="9"/>
  <c r="AN115" i="9"/>
  <c r="AH106" i="9"/>
  <c r="AG97" i="9"/>
  <c r="AM73" i="9"/>
  <c r="AE72" i="9"/>
  <c r="AE110" i="9"/>
  <c r="AE102" i="9"/>
  <c r="AO80" i="9"/>
  <c r="AF119" i="9"/>
  <c r="AE64" i="9"/>
  <c r="AL101" i="9"/>
  <c r="AK92" i="9"/>
  <c r="AF117" i="9"/>
  <c r="AH97" i="9"/>
  <c r="AP142" i="9"/>
  <c r="AL93" i="9"/>
  <c r="AN167" i="9"/>
  <c r="AG104" i="9"/>
  <c r="AN65" i="9"/>
  <c r="AE77" i="9"/>
  <c r="AE85" i="9"/>
  <c r="AP135" i="9"/>
  <c r="AP111" i="9"/>
  <c r="AE75" i="9"/>
  <c r="AM155" i="9"/>
  <c r="AG116" i="9"/>
  <c r="AO102" i="9"/>
  <c r="AH88" i="9"/>
  <c r="AE101" i="9"/>
  <c r="AI88" i="9"/>
  <c r="AP65" i="9"/>
  <c r="AK126" i="9"/>
  <c r="AH96" i="9"/>
  <c r="AM84" i="9"/>
  <c r="AO71" i="9"/>
  <c r="AF101" i="9"/>
  <c r="AO111" i="9"/>
  <c r="AE100" i="9"/>
  <c r="AO87" i="9"/>
  <c r="AM147" i="9"/>
  <c r="AO103" i="9"/>
  <c r="AE92" i="9"/>
  <c r="AL69" i="9"/>
  <c r="AN92" i="9"/>
  <c r="AF157" i="9"/>
  <c r="AH134" i="9"/>
  <c r="AE124" i="9"/>
  <c r="AN185" i="9"/>
  <c r="AN176" i="9"/>
  <c r="AG150" i="9"/>
  <c r="AN140" i="9"/>
  <c r="AD143" i="9"/>
  <c r="AG141" i="9"/>
  <c r="AH78" i="9"/>
  <c r="AL121" i="9"/>
  <c r="AM120" i="9"/>
  <c r="AH172" i="9"/>
  <c r="AJ156" i="9"/>
  <c r="AO150" i="9"/>
  <c r="AK130" i="9"/>
  <c r="AD122" i="9"/>
  <c r="AL181" i="9"/>
  <c r="AD199" i="9"/>
  <c r="AI172" i="9"/>
  <c r="AI103" i="9"/>
  <c r="AP178" i="9"/>
  <c r="AN147" i="9"/>
  <c r="AN137" i="9"/>
  <c r="AE132" i="9"/>
  <c r="AP182" i="9"/>
  <c r="AJ164" i="9"/>
  <c r="AP155" i="9"/>
  <c r="AD158" i="9"/>
  <c r="AG153" i="9"/>
  <c r="AD90" i="9"/>
  <c r="AJ152" i="9"/>
  <c r="AP130" i="9"/>
  <c r="AG121" i="9"/>
  <c r="AD178" i="9"/>
  <c r="AO171" i="9"/>
  <c r="AJ145" i="9"/>
  <c r="AK136" i="9"/>
  <c r="AO140" i="9"/>
  <c r="AI137" i="9"/>
  <c r="AN196" i="9"/>
  <c r="AJ116" i="9"/>
  <c r="AJ117" i="9"/>
  <c r="AG167" i="9"/>
  <c r="AM151" i="9"/>
  <c r="AF148" i="9"/>
  <c r="AH126" i="9"/>
  <c r="AL191" i="9"/>
  <c r="AM174" i="9"/>
  <c r="AN181" i="9"/>
  <c r="AJ167" i="9"/>
  <c r="AN100" i="9"/>
  <c r="AH171" i="9"/>
  <c r="AE145" i="9"/>
  <c r="AN132" i="9"/>
  <c r="AO127" i="9"/>
  <c r="AG288" i="9"/>
  <c r="AI295" i="9"/>
  <c r="AM346" i="9"/>
  <c r="AH369" i="9"/>
  <c r="AN245" i="9"/>
  <c r="AP342" i="9"/>
  <c r="AG319" i="9"/>
  <c r="AL61" i="9"/>
  <c r="AI65" i="9"/>
  <c r="AJ25" i="9"/>
  <c r="AH31" i="9"/>
  <c r="AP8" i="9"/>
  <c r="AN14" i="9"/>
  <c r="AH47" i="9"/>
  <c r="AJ86" i="9"/>
  <c r="AI15" i="9"/>
  <c r="AE43" i="9"/>
  <c r="AI55" i="9"/>
  <c r="AE2" i="9"/>
  <c r="AF27" i="9"/>
  <c r="AP37" i="9"/>
  <c r="AE61" i="9"/>
  <c r="AK7" i="9"/>
  <c r="AK23" i="9"/>
  <c r="AP44" i="9"/>
  <c r="AE62" i="9"/>
  <c r="AP3" i="9"/>
  <c r="AO18" i="9"/>
  <c r="AM32" i="9"/>
  <c r="AG42" i="9"/>
  <c r="AH51" i="9"/>
  <c r="AN98" i="9"/>
  <c r="AE15" i="9"/>
  <c r="AG25" i="9"/>
  <c r="AI35" i="9"/>
  <c r="AJ52" i="9"/>
  <c r="AE65" i="9"/>
  <c r="AP1" i="9"/>
  <c r="AM22" i="9"/>
  <c r="AE38" i="9"/>
  <c r="AD45" i="9"/>
  <c r="AN74" i="9"/>
  <c r="AI67" i="9"/>
  <c r="AP85" i="9"/>
  <c r="AJ109" i="9"/>
  <c r="AD97" i="9"/>
  <c r="AM114" i="9"/>
  <c r="AJ87" i="9"/>
  <c r="AO90" i="9"/>
  <c r="AF83" i="9"/>
  <c r="AM96" i="9"/>
  <c r="AF142" i="9"/>
  <c r="AG82" i="9"/>
  <c r="AH83" i="9"/>
  <c r="AK78" i="9"/>
  <c r="AO84" i="9"/>
  <c r="AM90" i="9"/>
  <c r="AG74" i="9"/>
  <c r="AM113" i="9"/>
  <c r="AL94" i="9"/>
  <c r="AM72" i="9"/>
  <c r="AM122" i="9"/>
  <c r="AK85" i="9"/>
  <c r="AD121" i="9"/>
  <c r="AD86" i="9"/>
  <c r="AD138" i="9"/>
  <c r="AG148" i="9"/>
  <c r="AP90" i="9"/>
  <c r="AP106" i="9"/>
  <c r="AN116" i="9"/>
  <c r="AL102" i="9"/>
  <c r="AE79" i="9"/>
  <c r="AJ75" i="9"/>
  <c r="AF114" i="9"/>
  <c r="AE121" i="9"/>
  <c r="AE86" i="9"/>
  <c r="AH131" i="9"/>
  <c r="AG113" i="9"/>
  <c r="AP105" i="9"/>
  <c r="AI106" i="9"/>
  <c r="AF65" i="9"/>
  <c r="AM102" i="9"/>
  <c r="AF79" i="9"/>
  <c r="AP97" i="9"/>
  <c r="AF129" i="9"/>
  <c r="AL109" i="9"/>
  <c r="AG66" i="9"/>
  <c r="AN72" i="9"/>
  <c r="AI89" i="9"/>
  <c r="AK158" i="9"/>
  <c r="AI119" i="9"/>
  <c r="AN109" i="9"/>
  <c r="AH80" i="9"/>
  <c r="AG123" i="9"/>
  <c r="AE108" i="9"/>
  <c r="AH113" i="9"/>
  <c r="AI105" i="9"/>
  <c r="AN93" i="9"/>
  <c r="AG71" i="9"/>
  <c r="AD84" i="9"/>
  <c r="AM101" i="9"/>
  <c r="AJ89" i="9"/>
  <c r="AJ67" i="9"/>
  <c r="AD69" i="9"/>
  <c r="AP117" i="9"/>
  <c r="AI104" i="9"/>
  <c r="AE93" i="9"/>
  <c r="AI80" i="9"/>
  <c r="AE109" i="9"/>
  <c r="AI96" i="9"/>
  <c r="AD74" i="9"/>
  <c r="AD98" i="9"/>
  <c r="AN165" i="9"/>
  <c r="AH141" i="9"/>
  <c r="AK128" i="9"/>
  <c r="AF125" i="9"/>
  <c r="AF186" i="9"/>
  <c r="AD155" i="9"/>
  <c r="AJ147" i="9"/>
  <c r="AJ150" i="9"/>
  <c r="AI146" i="9"/>
  <c r="AM83" i="9"/>
  <c r="AK132" i="9"/>
  <c r="AM124" i="9"/>
  <c r="AL183" i="9"/>
  <c r="AP166" i="9"/>
  <c r="AJ157" i="9"/>
  <c r="AG137" i="9"/>
  <c r="AF128" i="9"/>
  <c r="AG133" i="9"/>
  <c r="AD132" i="9"/>
  <c r="AO179" i="9"/>
  <c r="AN108" i="9"/>
  <c r="AP193" i="9"/>
  <c r="AI155" i="9"/>
  <c r="AF145" i="9"/>
  <c r="AM138" i="9"/>
  <c r="AO118" i="9"/>
  <c r="AL174" i="9"/>
  <c r="AJ161" i="9"/>
  <c r="AL169" i="9"/>
  <c r="AI158" i="9"/>
  <c r="AH94" i="9"/>
  <c r="AG159" i="9"/>
  <c r="AO136" i="9"/>
  <c r="AN125" i="9"/>
  <c r="AH189" i="9"/>
  <c r="AD179" i="9"/>
  <c r="AP152" i="9"/>
  <c r="AN142" i="9"/>
  <c r="AM145" i="9"/>
  <c r="AK143" i="9"/>
  <c r="AJ80" i="9"/>
  <c r="AL126" i="9"/>
  <c r="AG122" i="9"/>
  <c r="AI176" i="9"/>
  <c r="AJ159" i="9"/>
  <c r="AN152" i="9"/>
  <c r="AD133" i="9"/>
  <c r="AM123" i="9"/>
  <c r="AD185" i="9"/>
  <c r="AD255" i="9"/>
  <c r="AH303" i="9"/>
  <c r="AO320" i="9"/>
  <c r="AO294" i="9"/>
  <c r="AP205" i="9"/>
  <c r="AM309" i="9"/>
  <c r="AN338" i="9"/>
  <c r="AG47" i="9"/>
  <c r="AD4" i="9"/>
  <c r="AL20" i="9"/>
  <c r="AN30" i="9"/>
  <c r="AI33" i="9"/>
  <c r="AK59" i="9"/>
  <c r="AM60" i="9"/>
  <c r="AF4" i="9"/>
  <c r="AO21" i="9"/>
  <c r="AF44" i="9"/>
  <c r="AN52" i="9"/>
  <c r="AE10" i="9"/>
  <c r="AI22" i="9"/>
  <c r="AL49" i="9"/>
  <c r="AM63" i="9"/>
  <c r="AE9" i="9"/>
  <c r="AJ30" i="9"/>
  <c r="AK47" i="9"/>
  <c r="AN63" i="9"/>
  <c r="AF9" i="9"/>
  <c r="AI20" i="9"/>
  <c r="AP27" i="9"/>
  <c r="AO42" i="9"/>
  <c r="AP59" i="9"/>
  <c r="AM7" i="9"/>
  <c r="AP10" i="9"/>
  <c r="AM31" i="9"/>
  <c r="AO33" i="9"/>
  <c r="AO49" i="9"/>
  <c r="AP63" i="9"/>
  <c r="AO8" i="9"/>
  <c r="AI18" i="9"/>
  <c r="AI34" i="9"/>
  <c r="AL45" i="9"/>
  <c r="AJ73" i="9"/>
  <c r="AG56" i="9"/>
  <c r="AO100" i="9"/>
  <c r="AO144" i="9"/>
  <c r="AJ111" i="9"/>
  <c r="AN118" i="9"/>
  <c r="AG92" i="9"/>
  <c r="AN105" i="9"/>
  <c r="AO92" i="9"/>
  <c r="AJ101" i="9"/>
  <c r="AI78" i="9"/>
  <c r="AL87" i="9"/>
  <c r="AL89" i="9"/>
  <c r="AO82" i="9"/>
  <c r="AD105" i="9"/>
  <c r="AJ95" i="9"/>
  <c r="AL79" i="9"/>
  <c r="AM117" i="9"/>
  <c r="AP98" i="9"/>
  <c r="AD110" i="9"/>
  <c r="AL78" i="9"/>
  <c r="AO89" i="9"/>
  <c r="AF112" i="9"/>
  <c r="AH90" i="9"/>
  <c r="AP68" i="9"/>
  <c r="AG68" i="9"/>
  <c r="AF96" i="9"/>
  <c r="AD71" i="9"/>
  <c r="AN67" i="9"/>
  <c r="AE116" i="9"/>
  <c r="AI83" i="9"/>
  <c r="AG80" i="9"/>
  <c r="AF118" i="9"/>
  <c r="AF123" i="9"/>
  <c r="AI90" i="9"/>
  <c r="AK62" i="9"/>
  <c r="AH147" i="9"/>
  <c r="AF111" i="9"/>
  <c r="AO115" i="9"/>
  <c r="AP171" i="9"/>
  <c r="AJ107" i="9"/>
  <c r="AI98" i="9"/>
  <c r="AF103" i="9"/>
  <c r="AI74" i="9"/>
  <c r="AO66" i="9"/>
  <c r="AP67" i="9"/>
  <c r="AG73" i="9"/>
  <c r="AN94" i="9"/>
  <c r="AD83" i="9"/>
  <c r="AM131" i="9"/>
  <c r="AH72" i="9"/>
  <c r="AM85" i="9"/>
  <c r="AO138" i="9"/>
  <c r="AI112" i="9"/>
  <c r="AJ81" i="9"/>
  <c r="AN110" i="9"/>
  <c r="AD99" i="9"/>
  <c r="AM75" i="9"/>
  <c r="AG119" i="9"/>
  <c r="AJ106" i="9"/>
  <c r="AG94" i="9"/>
  <c r="AM100" i="9"/>
  <c r="AJ82" i="9"/>
  <c r="AK129" i="9"/>
  <c r="AJ143" i="9"/>
  <c r="AI97" i="9"/>
  <c r="AN85" i="9"/>
  <c r="AH114" i="9"/>
  <c r="AN101" i="9"/>
  <c r="AJ98" i="9"/>
  <c r="AH102" i="9"/>
  <c r="AH176" i="9"/>
  <c r="AO146" i="9"/>
  <c r="AH135" i="9"/>
  <c r="AH130" i="9"/>
  <c r="AF179" i="9"/>
  <c r="AP162" i="9"/>
  <c r="AP154" i="9"/>
  <c r="AE157" i="9"/>
  <c r="AE152" i="9"/>
  <c r="AJ88" i="9"/>
  <c r="AK150" i="9"/>
  <c r="AG129" i="9"/>
  <c r="AF120" i="9"/>
  <c r="AL176" i="9"/>
  <c r="AL167" i="9"/>
  <c r="AL143" i="9"/>
  <c r="AO134" i="9"/>
  <c r="AF139" i="9"/>
  <c r="AH136" i="9"/>
  <c r="AF189" i="9"/>
  <c r="AJ114" i="9"/>
  <c r="AP115" i="9"/>
  <c r="AF163" i="9"/>
  <c r="AN149" i="9"/>
  <c r="AG146" i="9"/>
  <c r="AI124" i="9"/>
  <c r="AJ186" i="9"/>
  <c r="AD171" i="9"/>
  <c r="AL179" i="9"/>
  <c r="AP165" i="9"/>
  <c r="AM99" i="9"/>
  <c r="AN169" i="9"/>
  <c r="AF144" i="9"/>
  <c r="AE131" i="9"/>
  <c r="AO126" i="9"/>
  <c r="AN189" i="9"/>
  <c r="AM157" i="9"/>
  <c r="AH150" i="9"/>
  <c r="AH153" i="9"/>
  <c r="AM148" i="9"/>
  <c r="AG85" i="9"/>
  <c r="AI136" i="9"/>
  <c r="AD126" i="9"/>
  <c r="AD189" i="9"/>
  <c r="AP170" i="9"/>
  <c r="AJ160" i="9"/>
  <c r="AD139" i="9"/>
  <c r="AJ131" i="9"/>
  <c r="AD135" i="9"/>
  <c r="AM133" i="9"/>
  <c r="AJ324" i="9"/>
  <c r="AE261" i="9"/>
  <c r="AP275" i="9"/>
  <c r="AN361" i="9"/>
  <c r="AG336" i="9"/>
  <c r="AG342" i="9"/>
  <c r="AO204" i="9"/>
  <c r="AK18" i="9"/>
  <c r="AP7" i="9"/>
  <c r="AJ17" i="9"/>
  <c r="AF37" i="9"/>
  <c r="AI32" i="9"/>
  <c r="AO38" i="9"/>
  <c r="AD59" i="9"/>
  <c r="AF12" i="9"/>
  <c r="AD26" i="9"/>
  <c r="AE51" i="9"/>
  <c r="AN60" i="9"/>
  <c r="AP5" i="9"/>
  <c r="AO28" i="9"/>
  <c r="AP45" i="9"/>
  <c r="AF82" i="9"/>
  <c r="AK15" i="9"/>
  <c r="AK31" i="9"/>
  <c r="AN50" i="9"/>
  <c r="AF1" i="9"/>
  <c r="AO10" i="9"/>
  <c r="AF25" i="9"/>
  <c r="AM40" i="9"/>
  <c r="AJ45" i="9"/>
  <c r="AI60" i="9"/>
  <c r="AL6" i="9"/>
  <c r="AH18" i="9"/>
  <c r="AO25" i="9"/>
  <c r="AE47" i="9"/>
  <c r="AD54" i="9"/>
  <c r="AM76" i="9"/>
  <c r="AD13" i="9"/>
  <c r="AE30" i="9"/>
  <c r="AP33" i="9"/>
  <c r="AF55" i="9"/>
  <c r="AH84" i="9"/>
  <c r="AH62" i="9"/>
  <c r="AI128" i="9"/>
  <c r="AK80" i="9"/>
  <c r="AH75" i="9"/>
  <c r="AK64" i="9"/>
  <c r="AF107" i="9"/>
  <c r="AD115" i="9"/>
  <c r="AK113" i="9"/>
  <c r="AM115" i="9"/>
  <c r="AM98" i="9"/>
  <c r="AK102" i="9"/>
  <c r="AF99" i="9"/>
  <c r="AN97" i="9"/>
  <c r="AD117" i="9"/>
  <c r="AL105" i="9"/>
  <c r="AF89" i="9"/>
  <c r="AH69" i="9"/>
  <c r="AK109" i="9"/>
  <c r="AE135" i="9"/>
  <c r="AL124" i="9"/>
  <c r="AI99" i="9"/>
  <c r="AE103" i="9"/>
  <c r="AJ100" i="9"/>
  <c r="AH120" i="9"/>
  <c r="AE117" i="9"/>
  <c r="AO105" i="9"/>
  <c r="AO112" i="9"/>
  <c r="AD78" i="9"/>
  <c r="AO97" i="9"/>
  <c r="AD94" i="9"/>
  <c r="AP89" i="9"/>
  <c r="AL148" i="9"/>
  <c r="AO88" i="9"/>
  <c r="AD101" i="9"/>
  <c r="AF87" i="9"/>
  <c r="AH81" i="9"/>
  <c r="AJ120" i="9"/>
  <c r="AL63" i="9"/>
  <c r="AE78" i="9"/>
  <c r="AF116" i="9"/>
  <c r="AO117" i="9"/>
  <c r="AP112" i="9"/>
  <c r="AD85" i="9"/>
  <c r="AI68" i="9"/>
  <c r="AM71" i="9"/>
  <c r="AM77" i="9"/>
  <c r="AH104" i="9"/>
  <c r="AM92" i="9"/>
  <c r="AE70" i="9"/>
  <c r="AN146" i="9"/>
  <c r="AG95" i="9"/>
  <c r="AL83" i="9"/>
  <c r="AH65" i="9"/>
  <c r="AP80" i="9"/>
  <c r="AL125" i="9"/>
  <c r="AM108" i="9"/>
  <c r="AI66" i="9"/>
  <c r="AO129" i="9"/>
  <c r="AG117" i="9"/>
  <c r="AP103" i="9"/>
  <c r="AP72" i="9"/>
  <c r="AL92" i="9"/>
  <c r="AP79" i="9"/>
  <c r="AL108" i="9"/>
  <c r="AD108" i="9"/>
  <c r="AL84" i="9"/>
  <c r="AF132" i="9"/>
  <c r="AH111" i="9"/>
  <c r="AH117" i="9"/>
  <c r="AJ112" i="9"/>
  <c r="AO114" i="9"/>
  <c r="AP161" i="9"/>
  <c r="AO148" i="9"/>
  <c r="AH144" i="9"/>
  <c r="AD123" i="9"/>
  <c r="AH181" i="9"/>
  <c r="AJ169" i="9"/>
  <c r="AF176" i="9"/>
  <c r="AH163" i="9"/>
  <c r="AL98" i="9"/>
  <c r="AL166" i="9"/>
  <c r="AG142" i="9"/>
  <c r="AH129" i="9"/>
  <c r="AO125" i="9"/>
  <c r="AL187" i="9"/>
  <c r="AN155" i="9"/>
  <c r="AJ148" i="9"/>
  <c r="AI151" i="9"/>
  <c r="AK147" i="9"/>
  <c r="AF84" i="9"/>
  <c r="AH133" i="9"/>
  <c r="AD125" i="9"/>
  <c r="AL185" i="9"/>
  <c r="AH167" i="9"/>
  <c r="AJ158" i="9"/>
  <c r="AE138" i="9"/>
  <c r="AN129" i="9"/>
  <c r="AE134" i="9"/>
  <c r="AL132" i="9"/>
  <c r="AL180" i="9"/>
  <c r="AG109" i="9"/>
  <c r="AL199" i="9"/>
  <c r="AH156" i="9"/>
  <c r="AF146" i="9"/>
  <c r="AL139" i="9"/>
  <c r="AH119" i="9"/>
  <c r="AH175" i="9"/>
  <c r="AP163" i="9"/>
  <c r="AJ170" i="9"/>
  <c r="AD159" i="9"/>
  <c r="AP94" i="9"/>
  <c r="AD160" i="9"/>
  <c r="AL137" i="9"/>
  <c r="AE126" i="9"/>
  <c r="AN192" i="9"/>
  <c r="AD181" i="9"/>
  <c r="AE153" i="9"/>
  <c r="AM143" i="9"/>
  <c r="AL146" i="9"/>
  <c r="AE144" i="9"/>
  <c r="AK81" i="9"/>
  <c r="AP371" i="9"/>
  <c r="AN304" i="9"/>
  <c r="AD324" i="9"/>
  <c r="AP254" i="9"/>
  <c r="AM302" i="9"/>
  <c r="AG320" i="9"/>
  <c r="AK290" i="9"/>
  <c r="AO14" i="9"/>
  <c r="AJ26" i="9"/>
  <c r="AK67" i="9"/>
  <c r="AN71" i="9"/>
  <c r="AH40" i="9"/>
  <c r="AE12" i="9"/>
  <c r="AM44" i="9"/>
  <c r="AP55" i="9"/>
  <c r="AP6" i="9"/>
  <c r="AG21" i="9"/>
  <c r="AK49" i="9"/>
  <c r="AD61" i="9"/>
  <c r="AH13" i="9"/>
  <c r="AK32" i="9"/>
  <c r="AD49" i="9"/>
  <c r="AM69" i="9"/>
  <c r="AF18" i="9"/>
  <c r="AE41" i="9"/>
  <c r="AM57" i="9"/>
  <c r="AE76" i="9"/>
  <c r="AE16" i="9"/>
  <c r="AN17" i="9"/>
  <c r="AH35" i="9"/>
  <c r="AP51" i="9"/>
  <c r="AO63" i="9"/>
  <c r="AG1" i="9"/>
  <c r="AM23" i="9"/>
  <c r="AI27" i="9"/>
  <c r="AH42" i="9"/>
  <c r="AH58" i="9"/>
  <c r="AH1" i="9"/>
  <c r="AJ11" i="9"/>
  <c r="AJ27" i="9"/>
  <c r="AL37" i="9"/>
  <c r="AH49" i="9"/>
  <c r="AE69" i="9"/>
  <c r="AJ59" i="9"/>
  <c r="AD170" i="9"/>
  <c r="AK116" i="9"/>
  <c r="AM80" i="9"/>
  <c r="AE90" i="9"/>
  <c r="AL134" i="9"/>
  <c r="AL149" i="9"/>
  <c r="AM121" i="9"/>
  <c r="AG120" i="9"/>
  <c r="AJ103" i="9"/>
  <c r="AD116" i="9"/>
  <c r="AO108" i="9"/>
  <c r="AH107" i="9"/>
  <c r="AN172" i="9"/>
  <c r="AP109" i="9"/>
  <c r="AK94" i="9"/>
  <c r="AH74" i="9"/>
  <c r="AO113" i="9"/>
  <c r="AF73" i="9"/>
  <c r="AG125" i="9"/>
  <c r="AN104" i="9"/>
  <c r="AE113" i="9"/>
  <c r="AG105" i="9"/>
  <c r="AK142" i="9"/>
  <c r="AK71" i="9"/>
  <c r="AE115" i="9"/>
  <c r="AL71" i="9"/>
  <c r="AH82" i="9"/>
  <c r="AD152" i="9"/>
  <c r="AH98" i="9"/>
  <c r="AF95" i="9"/>
  <c r="AJ61" i="9"/>
  <c r="AK125" i="9"/>
  <c r="AH105" i="9"/>
  <c r="AO96" i="9"/>
  <c r="AM86" i="9"/>
  <c r="AJ135" i="9"/>
  <c r="AL159" i="9"/>
  <c r="AI82" i="9"/>
  <c r="AN122" i="9"/>
  <c r="AM78" i="9"/>
  <c r="AO116" i="9"/>
  <c r="AH89" i="9"/>
  <c r="AJ69" i="9"/>
  <c r="AO73" i="9"/>
  <c r="AF78" i="9"/>
  <c r="AM109" i="9"/>
  <c r="AJ97" i="9"/>
  <c r="AL74" i="9"/>
  <c r="AN78" i="9"/>
  <c r="AL100" i="9"/>
  <c r="AP87" i="9"/>
  <c r="AI115" i="9"/>
  <c r="AF86" i="9"/>
  <c r="AL141" i="9"/>
  <c r="AI113" i="9"/>
  <c r="AF76" i="9"/>
  <c r="AI81" i="9"/>
  <c r="AG126" i="9"/>
  <c r="AF109" i="9"/>
  <c r="AM93" i="9"/>
  <c r="AP96" i="9"/>
  <c r="AF85" i="9"/>
  <c r="AK106" i="9"/>
  <c r="AH112" i="9"/>
  <c r="AP88" i="9"/>
  <c r="AP151" i="9"/>
  <c r="AI118" i="9"/>
  <c r="AO77" i="9"/>
  <c r="AO120" i="9"/>
  <c r="AE120" i="9"/>
  <c r="AJ171" i="9"/>
  <c r="AJ155" i="9"/>
  <c r="AD150" i="9"/>
  <c r="AL129" i="9"/>
  <c r="AK121" i="9"/>
  <c r="AH180" i="9"/>
  <c r="AJ198" i="9"/>
  <c r="AL171" i="9"/>
  <c r="AP102" i="9"/>
  <c r="AD177" i="9"/>
  <c r="AD147" i="9"/>
  <c r="AF136" i="9"/>
  <c r="AF131" i="9"/>
  <c r="AF181" i="9"/>
  <c r="AN163" i="9"/>
  <c r="AE155" i="9"/>
  <c r="AP157" i="9"/>
  <c r="AM152" i="9"/>
  <c r="AK89" i="9"/>
  <c r="AJ151" i="9"/>
  <c r="AE130" i="9"/>
  <c r="AN120" i="9"/>
  <c r="AJ177" i="9"/>
  <c r="AI168" i="9"/>
  <c r="AK144" i="9"/>
  <c r="AM135" i="9"/>
  <c r="AE140" i="9"/>
  <c r="AP136" i="9"/>
  <c r="AD195" i="9"/>
  <c r="AJ115" i="9"/>
  <c r="AI116" i="9"/>
  <c r="AN166" i="9"/>
  <c r="AN150" i="9"/>
  <c r="AF147" i="9"/>
  <c r="AH125" i="9"/>
  <c r="AN188" i="9"/>
  <c r="AP173" i="9"/>
  <c r="AI180" i="9"/>
  <c r="AM166" i="9"/>
  <c r="AF100" i="9"/>
  <c r="AL170" i="9"/>
  <c r="AP144" i="9"/>
  <c r="AP131" i="9"/>
  <c r="AF127" i="9"/>
  <c r="AF175" i="9"/>
  <c r="AL158" i="9"/>
  <c r="AH151" i="9"/>
  <c r="AG154" i="9"/>
  <c r="AG149" i="9"/>
  <c r="AO85" i="9"/>
  <c r="AF137" i="9"/>
  <c r="AM126" i="9"/>
  <c r="AJ194" i="9"/>
  <c r="AN171" i="9"/>
  <c r="AM162" i="9"/>
  <c r="AN139" i="9"/>
  <c r="AN371" i="9"/>
  <c r="AP291" i="9"/>
  <c r="AF6" i="9"/>
  <c r="AP47" i="9"/>
  <c r="AG45" i="9"/>
  <c r="AP53" i="9"/>
  <c r="AJ54" i="9"/>
  <c r="AK38" i="9"/>
  <c r="AL22" i="9"/>
  <c r="AK74" i="9"/>
  <c r="AI50" i="9"/>
  <c r="AJ168" i="9"/>
  <c r="AP61" i="9"/>
  <c r="AJ122" i="9"/>
  <c r="AK117" i="9"/>
  <c r="AE87" i="9"/>
  <c r="AL110" i="9"/>
  <c r="AD72" i="9"/>
  <c r="AK100" i="9"/>
  <c r="AN111" i="9"/>
  <c r="AN87" i="9"/>
  <c r="AM94" i="9"/>
  <c r="AG115" i="9"/>
  <c r="AP104" i="9"/>
  <c r="AF165" i="9"/>
  <c r="AE143" i="9"/>
  <c r="AK90" i="9"/>
  <c r="AK82" i="9"/>
  <c r="AD124" i="9"/>
  <c r="AJ136" i="9"/>
  <c r="AE178" i="9"/>
  <c r="AG144" i="9"/>
  <c r="AP160" i="9"/>
  <c r="AP158" i="9"/>
  <c r="AF178" i="9"/>
  <c r="AI142" i="9"/>
  <c r="AP175" i="9"/>
  <c r="AE123" i="9"/>
  <c r="AK105" i="9"/>
  <c r="AL133" i="9"/>
  <c r="AF159" i="9"/>
  <c r="AE91" i="9"/>
  <c r="AP181" i="9"/>
  <c r="AD168" i="9"/>
  <c r="AJ182" i="9"/>
  <c r="AP176" i="9"/>
  <c r="AO167" i="9"/>
  <c r="AD157" i="9"/>
  <c r="AK161" i="9"/>
  <c r="AK155" i="9"/>
  <c r="AH86" i="9"/>
  <c r="AM139" i="9"/>
  <c r="AD127" i="9"/>
  <c r="AL195" i="9"/>
  <c r="AJ172" i="9"/>
  <c r="AJ163" i="9"/>
  <c r="AM140" i="9"/>
  <c r="AF133" i="9"/>
  <c r="AM136" i="9"/>
  <c r="AN134" i="9"/>
  <c r="AJ185" i="9"/>
  <c r="AE107" i="9"/>
  <c r="AJ183" i="9"/>
  <c r="AK152" i="9"/>
  <c r="AH142" i="9"/>
  <c r="AG136" i="9"/>
  <c r="AP189" i="9"/>
  <c r="AH169" i="9"/>
  <c r="AN158" i="9"/>
  <c r="AP164" i="9"/>
  <c r="AM156" i="9"/>
  <c r="AI133" i="9"/>
  <c r="AD182" i="9"/>
  <c r="AP191" i="9"/>
  <c r="AE181" i="9"/>
  <c r="AP198" i="9"/>
  <c r="AK187" i="9"/>
  <c r="AI173" i="9"/>
  <c r="AN191" i="9"/>
  <c r="AP225" i="9"/>
  <c r="AE324" i="9"/>
  <c r="AE300" i="9"/>
  <c r="AI238" i="9"/>
  <c r="AF215" i="9"/>
  <c r="AN260" i="9"/>
  <c r="AL233" i="9"/>
  <c r="AP210" i="9"/>
  <c r="AL251" i="9"/>
  <c r="AG228" i="9"/>
  <c r="AI352" i="9"/>
  <c r="AJ247" i="9"/>
  <c r="AD284" i="9"/>
  <c r="AH124" i="9"/>
  <c r="AP167" i="9"/>
  <c r="AK205" i="9"/>
  <c r="AO170" i="9"/>
  <c r="AH190" i="9"/>
  <c r="AG177" i="9"/>
  <c r="AM163" i="9"/>
  <c r="AK206" i="9"/>
  <c r="AI216" i="9"/>
  <c r="AH257" i="9"/>
  <c r="AO253" i="9"/>
  <c r="AF229" i="9"/>
  <c r="AN359" i="9"/>
  <c r="AG245" i="9"/>
  <c r="AI224" i="9"/>
  <c r="AM316" i="9"/>
  <c r="AH242" i="9"/>
  <c r="AD219" i="9"/>
  <c r="AK278" i="9"/>
  <c r="AF238" i="9"/>
  <c r="AN274" i="9"/>
  <c r="AF314" i="9"/>
  <c r="AG155" i="9"/>
  <c r="AG195" i="9"/>
  <c r="AE161" i="9"/>
  <c r="AI203" i="9"/>
  <c r="AK167" i="9"/>
  <c r="AJ216" i="9"/>
  <c r="AG196" i="9"/>
  <c r="AE207" i="9"/>
  <c r="AO246" i="9"/>
  <c r="AM245" i="9"/>
  <c r="AP219" i="9"/>
  <c r="AP285" i="9"/>
  <c r="AD236" i="9"/>
  <c r="AG215" i="9"/>
  <c r="AJ259" i="9"/>
  <c r="AE233" i="9"/>
  <c r="AM208" i="9"/>
  <c r="AG249" i="9"/>
  <c r="AP228" i="9"/>
  <c r="AP357" i="9"/>
  <c r="AP304" i="9"/>
  <c r="AO155" i="9"/>
  <c r="AO195" i="9"/>
  <c r="AM161" i="9"/>
  <c r="AK204" i="9"/>
  <c r="AE168" i="9"/>
  <c r="AN224" i="9"/>
  <c r="AO196" i="9"/>
  <c r="AM207" i="9"/>
  <c r="AK247" i="9"/>
  <c r="AH246" i="9"/>
  <c r="AK220" i="9"/>
  <c r="AO290" i="9"/>
  <c r="AL236" i="9"/>
  <c r="AO215" i="9"/>
  <c r="AO260" i="9"/>
  <c r="AM233" i="9"/>
  <c r="AG209" i="9"/>
  <c r="AO249" i="9"/>
  <c r="AK229" i="9"/>
  <c r="AO362" i="9"/>
  <c r="AK305" i="9"/>
  <c r="AM146" i="9"/>
  <c r="AM186" i="9"/>
  <c r="AP203" i="9"/>
  <c r="AO194" i="9"/>
  <c r="AM221" i="9"/>
  <c r="AG201" i="9"/>
  <c r="AM187" i="9"/>
  <c r="AN203" i="9"/>
  <c r="AO238" i="9"/>
  <c r="AM237" i="9"/>
  <c r="AK363" i="9"/>
  <c r="AD290" i="9"/>
  <c r="AP31" i="9"/>
  <c r="AG69" i="9"/>
  <c r="AH64" i="9"/>
  <c r="AI64" i="9"/>
  <c r="AI93" i="9"/>
  <c r="AH43" i="9"/>
  <c r="AP26" i="9"/>
  <c r="AF15" i="9"/>
  <c r="AM74" i="9"/>
  <c r="AK119" i="9"/>
  <c r="AE98" i="9"/>
  <c r="AP93" i="9"/>
  <c r="AP83" i="9"/>
  <c r="AK93" i="9"/>
  <c r="AE111" i="9"/>
  <c r="AL72" i="9"/>
  <c r="AD130" i="9"/>
  <c r="AD77" i="9"/>
  <c r="AG112" i="9"/>
  <c r="AF72" i="9"/>
  <c r="AH87" i="9"/>
  <c r="AI164" i="9"/>
  <c r="AH103" i="9"/>
  <c r="AL99" i="9"/>
  <c r="AH116" i="9"/>
  <c r="AD107" i="9"/>
  <c r="AJ153" i="9"/>
  <c r="AE170" i="9"/>
  <c r="AG93" i="9"/>
  <c r="AJ187" i="9"/>
  <c r="AN143" i="9"/>
  <c r="AF121" i="9"/>
  <c r="AI131" i="9"/>
  <c r="AF173" i="9"/>
  <c r="AL138" i="9"/>
  <c r="AD156" i="9"/>
  <c r="AI153" i="9"/>
  <c r="AL172" i="9"/>
  <c r="AH128" i="9"/>
  <c r="AI95" i="9"/>
  <c r="AF113" i="9"/>
  <c r="AF177" i="9"/>
  <c r="AL203" i="9"/>
  <c r="AP187" i="9"/>
  <c r="AJ178" i="9"/>
  <c r="AK165" i="9"/>
  <c r="AD172" i="9"/>
  <c r="AI160" i="9"/>
  <c r="AM91" i="9"/>
  <c r="AH155" i="9"/>
  <c r="AM132" i="9"/>
  <c r="AP122" i="9"/>
  <c r="AP183" i="9"/>
  <c r="AF174" i="9"/>
  <c r="AH148" i="9"/>
  <c r="AE139" i="9"/>
  <c r="AD142" i="9"/>
  <c r="AD140" i="9"/>
  <c r="AD203" i="9"/>
  <c r="AI111" i="9"/>
  <c r="AG114" i="9"/>
  <c r="AF160" i="9"/>
  <c r="AD148" i="9"/>
  <c r="AI143" i="9"/>
  <c r="AK122" i="9"/>
  <c r="AD180" i="9"/>
  <c r="AP168" i="9"/>
  <c r="AL175" i="9"/>
  <c r="AL162" i="9"/>
  <c r="AN138" i="9"/>
  <c r="AH193" i="9"/>
  <c r="AJ196" i="9"/>
  <c r="AG186" i="9"/>
  <c r="AJ203" i="9"/>
  <c r="AM192" i="9"/>
  <c r="AE179" i="9"/>
  <c r="AH196" i="9"/>
  <c r="AO230" i="9"/>
  <c r="AJ363" i="9"/>
  <c r="AJ339" i="9"/>
  <c r="AH243" i="9"/>
  <c r="AD220" i="9"/>
  <c r="AJ291" i="9"/>
  <c r="AK238" i="9"/>
  <c r="AN216" i="9"/>
  <c r="AD261" i="9"/>
  <c r="AF233" i="9"/>
  <c r="AE213" i="9"/>
  <c r="AL252" i="9"/>
  <c r="AP288" i="9"/>
  <c r="AM129" i="9"/>
  <c r="AG175" i="9"/>
  <c r="AO219" i="9"/>
  <c r="AK176" i="9"/>
  <c r="AP194" i="9"/>
  <c r="AI182" i="9"/>
  <c r="AO168" i="9"/>
  <c r="AP230" i="9"/>
  <c r="AL221" i="9"/>
  <c r="AL289" i="9"/>
  <c r="AD262" i="9"/>
  <c r="AE234" i="9"/>
  <c r="AG211" i="9"/>
  <c r="AG250" i="9"/>
  <c r="AH229" i="9"/>
  <c r="AE356" i="9"/>
  <c r="AH247" i="9"/>
  <c r="AP223" i="9"/>
  <c r="AP317" i="9"/>
  <c r="AE243" i="9"/>
  <c r="AM279" i="9"/>
  <c r="AE319" i="9"/>
  <c r="AH161" i="9"/>
  <c r="AI200" i="9"/>
  <c r="AG166" i="9"/>
  <c r="AD208" i="9"/>
  <c r="AM172" i="9"/>
  <c r="AE159" i="9"/>
  <c r="AI201" i="9"/>
  <c r="AE212" i="9"/>
  <c r="AO251" i="9"/>
  <c r="AE250" i="9"/>
  <c r="AO224" i="9"/>
  <c r="AH325" i="9"/>
  <c r="AP240" i="9"/>
  <c r="AE220" i="9"/>
  <c r="AG282" i="9"/>
  <c r="AD238" i="9"/>
  <c r="AK214" i="9"/>
  <c r="AI255" i="9"/>
  <c r="AO233" i="9"/>
  <c r="AJ270" i="9"/>
  <c r="AO309" i="9"/>
  <c r="AE162" i="9"/>
  <c r="AK201" i="9"/>
  <c r="AO166" i="9"/>
  <c r="AP208" i="9"/>
  <c r="AG173" i="9"/>
  <c r="AM159" i="9"/>
  <c r="AK202" i="9"/>
  <c r="AM212" i="9"/>
  <c r="AD252" i="9"/>
  <c r="AM250" i="9"/>
  <c r="AJ225" i="9"/>
  <c r="AG330" i="9"/>
  <c r="AK241" i="9"/>
  <c r="AM220" i="9"/>
  <c r="AF287" i="9"/>
  <c r="AL238" i="9"/>
  <c r="AI215" i="9"/>
  <c r="AH256" i="9"/>
  <c r="AJ234" i="9"/>
  <c r="AE271" i="9"/>
  <c r="AJ310" i="9"/>
  <c r="AO151" i="9"/>
  <c r="AO191" i="9"/>
  <c r="AN208" i="9"/>
  <c r="AK200" i="9"/>
  <c r="AE164" i="9"/>
  <c r="AI206" i="9"/>
  <c r="AO192" i="9"/>
  <c r="AK209" i="9"/>
  <c r="AN243" i="9"/>
  <c r="AL242" i="9"/>
  <c r="AH217" i="9"/>
  <c r="AH262" i="9"/>
  <c r="AP232" i="9"/>
  <c r="AM247" i="9"/>
  <c r="AF310" i="9"/>
  <c r="AD19" i="9"/>
  <c r="AI56" i="9"/>
  <c r="AD1" i="9"/>
  <c r="AL112" i="9"/>
  <c r="AJ110" i="9"/>
  <c r="AO50" i="9"/>
  <c r="AK29" i="9"/>
  <c r="AI10" i="9"/>
  <c r="AF90" i="9"/>
  <c r="AL95" i="9"/>
  <c r="AN136" i="9"/>
  <c r="AK115" i="9"/>
  <c r="AO98" i="9"/>
  <c r="AP69" i="9"/>
  <c r="AK77" i="9"/>
  <c r="AM87" i="9"/>
  <c r="AF150" i="9"/>
  <c r="AJ91" i="9"/>
  <c r="AF141" i="9"/>
  <c r="AE71" i="9"/>
  <c r="AG102" i="9"/>
  <c r="AF93" i="9"/>
  <c r="AI121" i="9"/>
  <c r="AJ123" i="9"/>
  <c r="AI73" i="9"/>
  <c r="AM130" i="9"/>
  <c r="AH182" i="9"/>
  <c r="AI127" i="9"/>
  <c r="AF108" i="9"/>
  <c r="AO137" i="9"/>
  <c r="AJ166" i="9"/>
  <c r="AE136" i="9"/>
  <c r="AF152" i="9"/>
  <c r="AI79" i="9"/>
  <c r="AH158" i="9"/>
  <c r="AN184" i="9"/>
  <c r="AJ180" i="9"/>
  <c r="AH186" i="9"/>
  <c r="AJ138" i="9"/>
  <c r="AD106" i="9"/>
  <c r="AK118" i="9"/>
  <c r="AH122" i="9"/>
  <c r="AK134" i="9"/>
  <c r="AI120" i="9"/>
  <c r="AN200" i="9"/>
  <c r="AJ175" i="9"/>
  <c r="AH183" i="9"/>
  <c r="AH168" i="9"/>
  <c r="AJ96" i="9"/>
  <c r="AF162" i="9"/>
  <c r="AI139" i="9"/>
  <c r="AE127" i="9"/>
  <c r="AF124" i="9"/>
  <c r="AF184" i="9"/>
  <c r="AD154" i="9"/>
  <c r="AL145" i="9"/>
  <c r="AK148" i="9"/>
  <c r="AG145" i="9"/>
  <c r="AG77" i="9"/>
  <c r="AJ119" i="9"/>
  <c r="AL119" i="9"/>
  <c r="AM170" i="9"/>
  <c r="AK154" i="9"/>
  <c r="AP149" i="9"/>
  <c r="AO128" i="9"/>
  <c r="AJ206" i="9"/>
  <c r="AJ179" i="9"/>
  <c r="AP186" i="9"/>
  <c r="AN170" i="9"/>
  <c r="AG143" i="9"/>
  <c r="AG183" i="9"/>
  <c r="AD201" i="9"/>
  <c r="AI191" i="9"/>
  <c r="AF208" i="9"/>
  <c r="AO197" i="9"/>
  <c r="AG184" i="9"/>
  <c r="AP200" i="9"/>
  <c r="AN235" i="9"/>
  <c r="AL234" i="9"/>
  <c r="AE210" i="9"/>
  <c r="AH248" i="9"/>
  <c r="AP224" i="9"/>
  <c r="AO330" i="9"/>
  <c r="AJ243" i="9"/>
  <c r="AD222" i="9"/>
  <c r="AM292" i="9"/>
  <c r="AE238" i="9"/>
  <c r="AM217" i="9"/>
  <c r="AM263" i="9"/>
  <c r="AO293" i="9"/>
  <c r="AJ134" i="9"/>
  <c r="AN183" i="9"/>
  <c r="AJ192" i="9"/>
  <c r="AM181" i="9"/>
  <c r="AJ199" i="9"/>
  <c r="AE188" i="9"/>
  <c r="AK174" i="9"/>
  <c r="AH192" i="9"/>
  <c r="AK226" i="9"/>
  <c r="AD329" i="9"/>
  <c r="AD305" i="9"/>
  <c r="AD239" i="9"/>
  <c r="AN215" i="9"/>
  <c r="AI262" i="9"/>
  <c r="AG234" i="9"/>
  <c r="AI211" i="9"/>
  <c r="AJ252" i="9"/>
  <c r="AO228" i="9"/>
  <c r="AH357" i="9"/>
  <c r="AE248" i="9"/>
  <c r="AL284" i="9"/>
  <c r="AP124" i="9"/>
  <c r="AN168" i="9"/>
  <c r="AE206" i="9"/>
  <c r="AI171" i="9"/>
  <c r="AP190" i="9"/>
  <c r="AO177" i="9"/>
  <c r="AG164" i="9"/>
  <c r="AK207" i="9"/>
  <c r="AF217" i="9"/>
  <c r="AL258" i="9"/>
  <c r="AO254" i="9"/>
  <c r="AN229" i="9"/>
  <c r="AM364" i="9"/>
  <c r="AO245" i="9"/>
  <c r="AD225" i="9"/>
  <c r="AL321" i="9"/>
  <c r="AP242" i="9"/>
  <c r="AL219" i="9"/>
  <c r="AJ283" i="9"/>
  <c r="AN238" i="9"/>
  <c r="AI275" i="9"/>
  <c r="AI125" i="9"/>
  <c r="AK169" i="9"/>
  <c r="AM206" i="9"/>
  <c r="AK172" i="9"/>
  <c r="AJ191" i="9"/>
  <c r="AI178" i="9"/>
  <c r="AO164" i="9"/>
  <c r="AJ208" i="9"/>
  <c r="AN217" i="9"/>
  <c r="AF260" i="9"/>
  <c r="AN255" i="9"/>
  <c r="AI230" i="9"/>
  <c r="AL369" i="9"/>
  <c r="AJ246" i="9"/>
  <c r="AL225" i="9"/>
  <c r="AK326" i="9"/>
  <c r="AK243" i="9"/>
  <c r="AG220" i="9"/>
  <c r="AI288" i="9"/>
  <c r="AI239" i="9"/>
  <c r="AD276" i="9"/>
  <c r="AI315" i="9"/>
  <c r="AK157" i="9"/>
  <c r="AK197" i="9"/>
  <c r="AO162" i="9"/>
  <c r="AM205" i="9"/>
  <c r="AG169" i="9"/>
  <c r="AD210" i="9"/>
  <c r="AK198" i="9"/>
  <c r="AO208" i="9"/>
  <c r="AN248" i="9"/>
  <c r="AD247" i="9"/>
  <c r="AN221" i="9"/>
  <c r="AM300" i="9"/>
  <c r="AO237" i="9"/>
  <c r="AM216" i="9"/>
  <c r="AG304" i="9"/>
  <c r="AL217" i="9"/>
  <c r="AK11" i="9"/>
  <c r="AI101" i="9"/>
  <c r="AD9" i="9"/>
  <c r="AG11" i="9"/>
  <c r="AN1" i="9"/>
  <c r="AN57" i="9"/>
  <c r="AL46" i="9"/>
  <c r="AJ19" i="9"/>
  <c r="AP57" i="9"/>
  <c r="AM66" i="9"/>
  <c r="AG106" i="9"/>
  <c r="AI92" i="9"/>
  <c r="AL65" i="9"/>
  <c r="AE95" i="9"/>
  <c r="AI107" i="9"/>
  <c r="AP82" i="9"/>
  <c r="AN73" i="9"/>
  <c r="AF115" i="9"/>
  <c r="AN145" i="9"/>
  <c r="AK70" i="9"/>
  <c r="AK173" i="9"/>
  <c r="AL120" i="9"/>
  <c r="AI114" i="9"/>
  <c r="AG110" i="9"/>
  <c r="AN102" i="9"/>
  <c r="AG86" i="9"/>
  <c r="AH143" i="9"/>
  <c r="AP159" i="9"/>
  <c r="AF158" i="9"/>
  <c r="AK177" i="9"/>
  <c r="AO141" i="9"/>
  <c r="AD173" i="9"/>
  <c r="AL122" i="9"/>
  <c r="AJ104" i="9"/>
  <c r="AO132" i="9"/>
  <c r="AO158" i="9"/>
  <c r="AD131" i="9"/>
  <c r="AJ146" i="9"/>
  <c r="AI154" i="9"/>
  <c r="AH110" i="9"/>
  <c r="AO122" i="9"/>
  <c r="AN126" i="9"/>
  <c r="AJ141" i="9"/>
  <c r="AH127" i="9"/>
  <c r="AJ124" i="9"/>
  <c r="AN186" i="9"/>
  <c r="AP128" i="9"/>
  <c r="AN175" i="9"/>
  <c r="AG101" i="9"/>
  <c r="AF172" i="9"/>
  <c r="AP145" i="9"/>
  <c r="AK133" i="9"/>
  <c r="AM128" i="9"/>
  <c r="AL177" i="9"/>
  <c r="AL160" i="9"/>
  <c r="AF153" i="9"/>
  <c r="AF156" i="9"/>
  <c r="AI150" i="9"/>
  <c r="AL82" i="9"/>
  <c r="AP129" i="9"/>
  <c r="AP123" i="9"/>
  <c r="AN180" i="9"/>
  <c r="AG163" i="9"/>
  <c r="AL155" i="9"/>
  <c r="AL135" i="9"/>
  <c r="AI126" i="9"/>
  <c r="AP197" i="9"/>
  <c r="AJ130" i="9"/>
  <c r="AH177" i="9"/>
  <c r="AI148" i="9"/>
  <c r="AI188" i="9"/>
  <c r="AL205" i="9"/>
  <c r="AE197" i="9"/>
  <c r="AM160" i="9"/>
  <c r="AK203" i="9"/>
  <c r="AI189" i="9"/>
  <c r="AJ205" i="9"/>
  <c r="AM240" i="9"/>
  <c r="AK239" i="9"/>
  <c r="AG214" i="9"/>
  <c r="AP256" i="9"/>
  <c r="AO229" i="9"/>
  <c r="AG370" i="9"/>
  <c r="AJ248" i="9"/>
  <c r="AP226" i="9"/>
  <c r="AE332" i="9"/>
  <c r="AD243" i="9"/>
  <c r="AN222" i="9"/>
  <c r="AM308" i="9"/>
  <c r="AN298" i="9"/>
  <c r="AG139" i="9"/>
  <c r="AJ202" i="9"/>
  <c r="AD197" i="9"/>
  <c r="AO186" i="9"/>
  <c r="AD204" i="9"/>
  <c r="AG193" i="9"/>
  <c r="AM179" i="9"/>
  <c r="AP196" i="9"/>
  <c r="AJ231" i="9"/>
  <c r="AI368" i="9"/>
  <c r="AI344" i="9"/>
  <c r="AP243" i="9"/>
  <c r="AL220" i="9"/>
  <c r="AI296" i="9"/>
  <c r="AF239" i="9"/>
  <c r="AK217" i="9"/>
  <c r="AP262" i="9"/>
  <c r="AN233" i="9"/>
  <c r="AM213" i="9"/>
  <c r="AM253" i="9"/>
  <c r="AK289" i="9"/>
  <c r="AF130" i="9"/>
  <c r="AD176" i="9"/>
  <c r="AH222" i="9"/>
  <c r="AE177" i="9"/>
  <c r="AJ195" i="9"/>
  <c r="AK183" i="9"/>
  <c r="AI169" i="9"/>
  <c r="AH188" i="9"/>
  <c r="AG222" i="9"/>
  <c r="AK294" i="9"/>
  <c r="AK270" i="9"/>
  <c r="AM234" i="9"/>
  <c r="AO211" i="9"/>
  <c r="AO250" i="9"/>
  <c r="AP229" i="9"/>
  <c r="AD361" i="9"/>
  <c r="AP247" i="9"/>
  <c r="AK224" i="9"/>
  <c r="AO322" i="9"/>
  <c r="AM243" i="9"/>
  <c r="AH280" i="9"/>
  <c r="AN130" i="9"/>
  <c r="AN177" i="9"/>
  <c r="AM229" i="9"/>
  <c r="AM177" i="9"/>
  <c r="AD196" i="9"/>
  <c r="AE184" i="9"/>
  <c r="AK170" i="9"/>
  <c r="AP188" i="9"/>
  <c r="AO222" i="9"/>
  <c r="AJ299" i="9"/>
  <c r="AJ275" i="9"/>
  <c r="AH235" i="9"/>
  <c r="AH212" i="9"/>
  <c r="AJ251" i="9"/>
  <c r="AK230" i="9"/>
  <c r="AP365" i="9"/>
  <c r="AK248" i="9"/>
  <c r="AF225" i="9"/>
  <c r="AN327" i="9"/>
  <c r="AH244" i="9"/>
  <c r="AP280" i="9"/>
  <c r="AH320" i="9"/>
  <c r="AL164" i="9"/>
  <c r="AM202" i="9"/>
  <c r="AK168" i="9"/>
  <c r="AL215" i="9"/>
  <c r="AI174" i="9"/>
  <c r="AO160" i="9"/>
  <c r="AM203" i="9"/>
  <c r="AN213" i="9"/>
  <c r="AN253" i="9"/>
  <c r="AP251" i="9"/>
  <c r="AK343" i="9"/>
  <c r="AG15" i="9"/>
  <c r="AN66" i="9"/>
  <c r="AJ8" i="9"/>
  <c r="AK16" i="9"/>
  <c r="AH20" i="9"/>
  <c r="AD15" i="9"/>
  <c r="AE63" i="9"/>
  <c r="AK45" i="9"/>
  <c r="AF31" i="9"/>
  <c r="AL163" i="9"/>
  <c r="AL73" i="9"/>
  <c r="AN99" i="9"/>
  <c r="AN112" i="9"/>
  <c r="AM79" i="9"/>
  <c r="AE114" i="9"/>
  <c r="AJ76" i="9"/>
  <c r="AN162" i="9"/>
  <c r="AP113" i="9"/>
  <c r="AE151" i="9"/>
  <c r="AJ83" i="9"/>
  <c r="AJ74" i="9"/>
  <c r="AJ132" i="9"/>
  <c r="AD91" i="9"/>
  <c r="AP125" i="9"/>
  <c r="AG103" i="9"/>
  <c r="AH118" i="9"/>
  <c r="AE83" i="9"/>
  <c r="AD164" i="9"/>
  <c r="AP201" i="9"/>
  <c r="AD187" i="9"/>
  <c r="AG118" i="9"/>
  <c r="AO157" i="9"/>
  <c r="AE125" i="9"/>
  <c r="AN141" i="9"/>
  <c r="AK123" i="9"/>
  <c r="AN151" i="9"/>
  <c r="AI208" i="9"/>
  <c r="AM149" i="9"/>
  <c r="AE166" i="9"/>
  <c r="AN159" i="9"/>
  <c r="AI117" i="9"/>
  <c r="AN131" i="9"/>
  <c r="AI140" i="9"/>
  <c r="AP148" i="9"/>
  <c r="AO133" i="9"/>
  <c r="AI132" i="9"/>
  <c r="AN135" i="9"/>
  <c r="AF134" i="9"/>
  <c r="AP184" i="9"/>
  <c r="AL106" i="9"/>
  <c r="AF182" i="9"/>
  <c r="AL151" i="9"/>
  <c r="AI141" i="9"/>
  <c r="AI135" i="9"/>
  <c r="AL188" i="9"/>
  <c r="AL168" i="9"/>
  <c r="AN157" i="9"/>
  <c r="AD162" i="9"/>
  <c r="AE156" i="9"/>
  <c r="AP86" i="9"/>
  <c r="AK140" i="9"/>
  <c r="AM127" i="9"/>
  <c r="AE119" i="9"/>
  <c r="AH173" i="9"/>
  <c r="AH164" i="9"/>
  <c r="AM141" i="9"/>
  <c r="AP133" i="9"/>
  <c r="AJ137" i="9"/>
  <c r="AG135" i="9"/>
  <c r="AD186" i="9"/>
  <c r="AE154" i="9"/>
  <c r="AE194" i="9"/>
  <c r="AP222" i="9"/>
  <c r="AG202" i="9"/>
  <c r="AO165" i="9"/>
  <c r="AN212" i="9"/>
  <c r="AE195" i="9"/>
  <c r="AL226" i="9"/>
  <c r="AL245" i="9"/>
  <c r="AJ244" i="9"/>
  <c r="AM218" i="9"/>
  <c r="AE276" i="9"/>
  <c r="AN234" i="9"/>
  <c r="AJ213" i="9"/>
  <c r="AE254" i="9"/>
  <c r="AO231" i="9"/>
  <c r="AJ371" i="9"/>
  <c r="AD248" i="9"/>
  <c r="AM227" i="9"/>
  <c r="AE348" i="9"/>
  <c r="AM303" i="9"/>
  <c r="AO143" i="9"/>
  <c r="AO183" i="9"/>
  <c r="AL201" i="9"/>
  <c r="AK192" i="9"/>
  <c r="AF212" i="9"/>
  <c r="AI198" i="9"/>
  <c r="AO184" i="9"/>
  <c r="AJ201" i="9"/>
  <c r="AI236" i="9"/>
  <c r="AG235" i="9"/>
  <c r="AM210" i="9"/>
  <c r="AP248" i="9"/>
  <c r="AK225" i="9"/>
  <c r="AN335" i="9"/>
  <c r="AE244" i="9"/>
  <c r="AL222" i="9"/>
  <c r="AL297" i="9"/>
  <c r="AM238" i="9"/>
  <c r="AJ218" i="9"/>
  <c r="AG274" i="9"/>
  <c r="AJ294" i="9"/>
  <c r="AK135" i="9"/>
  <c r="AH184" i="9"/>
  <c r="AD193" i="9"/>
  <c r="AG182" i="9"/>
  <c r="AD200" i="9"/>
  <c r="AM188" i="9"/>
  <c r="AE175" i="9"/>
  <c r="AP192" i="9"/>
  <c r="AF227" i="9"/>
  <c r="AP333" i="9"/>
  <c r="AP309" i="9"/>
  <c r="AL239" i="9"/>
  <c r="AD216" i="9"/>
  <c r="AD263" i="9"/>
  <c r="AO234" i="9"/>
  <c r="AJ212" i="9"/>
  <c r="AJ253" i="9"/>
  <c r="AJ229" i="9"/>
  <c r="AG362" i="9"/>
  <c r="AM248" i="9"/>
  <c r="AG285" i="9"/>
  <c r="AD136" i="9"/>
  <c r="AL186" i="9"/>
  <c r="AL193" i="9"/>
  <c r="AO182" i="9"/>
  <c r="AL200" i="9"/>
  <c r="AG189" i="9"/>
  <c r="AM175" i="9"/>
  <c r="AJ193" i="9"/>
  <c r="AN227" i="9"/>
  <c r="AO338" i="9"/>
  <c r="AO314" i="9"/>
  <c r="AG240" i="9"/>
  <c r="AL216" i="9"/>
  <c r="AI264" i="9"/>
  <c r="AJ235" i="9"/>
  <c r="AK213" i="9"/>
  <c r="AG254" i="9"/>
  <c r="AE230" i="9"/>
  <c r="AF367" i="9"/>
  <c r="AH249" i="9"/>
  <c r="AO285" i="9"/>
  <c r="AK127" i="9"/>
  <c r="AF171" i="9"/>
  <c r="AN207" i="9"/>
  <c r="AM173" i="9"/>
  <c r="AL192" i="9"/>
  <c r="AE180" i="9"/>
  <c r="AK166" i="9"/>
  <c r="AJ210" i="9"/>
  <c r="AF219" i="9"/>
  <c r="AP263" i="9"/>
  <c r="AK257" i="9"/>
  <c r="AL231" i="9"/>
  <c r="AD209" i="9"/>
  <c r="AO353" i="9"/>
  <c r="AO47" i="9"/>
  <c r="AO6" i="9"/>
  <c r="AF28" i="9"/>
  <c r="AD25" i="9"/>
  <c r="AH28" i="9"/>
  <c r="AK22" i="9"/>
  <c r="AO107" i="9"/>
  <c r="AI51" i="9"/>
  <c r="AJ35" i="9"/>
  <c r="AE106" i="9"/>
  <c r="AP101" i="9"/>
  <c r="AH93" i="9"/>
  <c r="AN154" i="9"/>
  <c r="AF104" i="9"/>
  <c r="AE73" i="9"/>
  <c r="AK101" i="9"/>
  <c r="AN88" i="9"/>
  <c r="AN95" i="9"/>
  <c r="AI138" i="9"/>
  <c r="AK108" i="9"/>
  <c r="AD76" i="9"/>
  <c r="AJ105" i="9"/>
  <c r="AO110" i="9"/>
  <c r="AL91" i="9"/>
  <c r="AG87" i="9"/>
  <c r="AG79" i="9"/>
  <c r="AM107" i="9"/>
  <c r="AD137" i="9"/>
  <c r="AL165" i="9"/>
  <c r="AF135" i="9"/>
  <c r="AF151" i="9"/>
  <c r="AP78" i="9"/>
  <c r="AI157" i="9"/>
  <c r="AD183" i="9"/>
  <c r="AN179" i="9"/>
  <c r="AJ184" i="9"/>
  <c r="AO153" i="9"/>
  <c r="AO121" i="9"/>
  <c r="AH137" i="9"/>
  <c r="AP174" i="9"/>
  <c r="AG127" i="9"/>
  <c r="AK138" i="9"/>
  <c r="AE147" i="9"/>
  <c r="AM153" i="9"/>
  <c r="AI147" i="9"/>
  <c r="AG138" i="9"/>
  <c r="AP141" i="9"/>
  <c r="AK139" i="9"/>
  <c r="AH201" i="9"/>
  <c r="AP110" i="9"/>
  <c r="AN113" i="9"/>
  <c r="AH159" i="9"/>
  <c r="AP147" i="9"/>
  <c r="AJ142" i="9"/>
  <c r="AJ121" i="9"/>
  <c r="AG179" i="9"/>
  <c r="AH166" i="9"/>
  <c r="AN174" i="9"/>
  <c r="AN161" i="9"/>
  <c r="AF92" i="9"/>
  <c r="AG156" i="9"/>
  <c r="AJ133" i="9"/>
  <c r="AI123" i="9"/>
  <c r="AD184" i="9"/>
  <c r="AD175" i="9"/>
  <c r="AH149" i="9"/>
  <c r="AP139" i="9"/>
  <c r="AO142" i="9"/>
  <c r="AL140" i="9"/>
  <c r="AN204" i="9"/>
  <c r="AI159" i="9"/>
  <c r="AG199" i="9"/>
  <c r="AE165" i="9"/>
  <c r="AG207" i="9"/>
  <c r="AK171" i="9"/>
  <c r="AO227" i="9"/>
  <c r="AG200" i="9"/>
  <c r="AD211" i="9"/>
  <c r="AL250" i="9"/>
  <c r="AO248" i="9"/>
  <c r="AL223" i="9"/>
  <c r="AJ315" i="9"/>
  <c r="AM239" i="9"/>
  <c r="AO218" i="9"/>
  <c r="AI272" i="9"/>
  <c r="AN236" i="9"/>
  <c r="AD213" i="9"/>
  <c r="AL253" i="9"/>
  <c r="AL232" i="9"/>
  <c r="AD265" i="9"/>
  <c r="AL308" i="9"/>
  <c r="AK149" i="9"/>
  <c r="AK189" i="9"/>
  <c r="AF206" i="9"/>
  <c r="AM197" i="9"/>
  <c r="AG161" i="9"/>
  <c r="AE204" i="9"/>
  <c r="AK190" i="9"/>
  <c r="AD206" i="9"/>
  <c r="AH241" i="9"/>
  <c r="AF240" i="9"/>
  <c r="AO214" i="9"/>
  <c r="AO257" i="9"/>
  <c r="AJ230" i="9"/>
  <c r="AE209" i="9"/>
  <c r="AE249" i="9"/>
  <c r="AK227" i="9"/>
  <c r="AD337" i="9"/>
  <c r="AL243" i="9"/>
  <c r="AI223" i="9"/>
  <c r="AL313" i="9"/>
  <c r="AI299" i="9"/>
  <c r="AO139" i="9"/>
  <c r="AH205" i="9"/>
  <c r="AL197" i="9"/>
  <c r="AI187" i="9"/>
  <c r="AL204" i="9"/>
  <c r="AO193" i="9"/>
  <c r="AG180" i="9"/>
  <c r="AJ197" i="9"/>
  <c r="AE232" i="9"/>
  <c r="AH373" i="9"/>
  <c r="AH349" i="9"/>
  <c r="AK244" i="9"/>
  <c r="AG221" i="9"/>
  <c r="AH301" i="9"/>
  <c r="AN239" i="9"/>
  <c r="AH218" i="9"/>
  <c r="AH263" i="9"/>
  <c r="AI234" i="9"/>
  <c r="AH347" i="9"/>
  <c r="AK323" i="9"/>
  <c r="AG22" i="9"/>
  <c r="AN5" i="9"/>
  <c r="AF36" i="9"/>
  <c r="AL33" i="9"/>
  <c r="AP36" i="9"/>
  <c r="AG18" i="9"/>
  <c r="AK87" i="9"/>
  <c r="AI61" i="9"/>
  <c r="AO40" i="9"/>
  <c r="AI84" i="9"/>
  <c r="AP70" i="9"/>
  <c r="AK114" i="9"/>
  <c r="AN75" i="9"/>
  <c r="AN117" i="9"/>
  <c r="AI70" i="9"/>
  <c r="AI69" i="9"/>
  <c r="AM103" i="9"/>
  <c r="AM110" i="9"/>
  <c r="AK84" i="9"/>
  <c r="AM64" i="9"/>
  <c r="AL76" i="9"/>
  <c r="AL131" i="9"/>
  <c r="AK91" i="9"/>
  <c r="AN86" i="9"/>
  <c r="AF102" i="9"/>
  <c r="AF94" i="9"/>
  <c r="AO130" i="9"/>
  <c r="AK156" i="9"/>
  <c r="AK131" i="9"/>
  <c r="AJ154" i="9"/>
  <c r="AN173" i="9"/>
  <c r="AO93" i="9"/>
  <c r="AD188" i="9"/>
  <c r="AN144" i="9"/>
  <c r="AN121" i="9"/>
  <c r="AG132" i="9"/>
  <c r="AD174" i="9"/>
  <c r="AJ139" i="9"/>
  <c r="AO156" i="9"/>
  <c r="AF183" i="9"/>
  <c r="AH154" i="9"/>
  <c r="AL150" i="9"/>
  <c r="AL152" i="9"/>
  <c r="AJ173" i="9"/>
  <c r="AP153" i="9"/>
  <c r="AL144" i="9"/>
  <c r="AL147" i="9"/>
  <c r="AM144" i="9"/>
  <c r="AN76" i="9"/>
  <c r="AJ118" i="9"/>
  <c r="AD119" i="9"/>
  <c r="AP169" i="9"/>
  <c r="AL153" i="9"/>
  <c r="AE149" i="9"/>
  <c r="AE128" i="9"/>
  <c r="AF204" i="9"/>
  <c r="AM178" i="9"/>
  <c r="AF185" i="9"/>
  <c r="AD169" i="9"/>
  <c r="AK97" i="9"/>
  <c r="AD163" i="9"/>
  <c r="AG140" i="9"/>
  <c r="AN127" i="9"/>
  <c r="AO124" i="9"/>
  <c r="AP185" i="9"/>
  <c r="AO154" i="9"/>
  <c r="AK146" i="9"/>
  <c r="AJ149" i="9"/>
  <c r="AO145" i="9"/>
  <c r="AJ207" i="9"/>
  <c r="AD167" i="9"/>
  <c r="AI204" i="9"/>
  <c r="AG170" i="9"/>
  <c r="AJ228" i="9"/>
  <c r="AM176" i="9"/>
  <c r="AE163" i="9"/>
  <c r="AI205" i="9"/>
  <c r="AK215" i="9"/>
  <c r="AK256" i="9"/>
  <c r="AD253" i="9"/>
  <c r="AK228" i="9"/>
  <c r="AO354" i="9"/>
  <c r="AL244" i="9"/>
  <c r="AN223" i="9"/>
  <c r="AN311" i="9"/>
  <c r="AM241" i="9"/>
  <c r="AI218" i="9"/>
  <c r="AL273" i="9"/>
  <c r="AK237" i="9"/>
  <c r="AF274" i="9"/>
  <c r="AK313" i="9"/>
  <c r="AM154" i="9"/>
  <c r="AM194" i="9"/>
  <c r="AI225" i="9"/>
  <c r="AO202" i="9"/>
  <c r="AI166" i="9"/>
  <c r="AO213" i="9"/>
  <c r="AM195" i="9"/>
  <c r="AE229" i="9"/>
  <c r="AG246" i="9"/>
  <c r="AE245" i="9"/>
  <c r="AH219" i="9"/>
  <c r="AD281" i="9"/>
  <c r="AI235" i="9"/>
  <c r="AI214" i="9"/>
  <c r="AE255" i="9"/>
  <c r="AJ232" i="9"/>
  <c r="AE208" i="9"/>
  <c r="AL248" i="9"/>
  <c r="AH228" i="9"/>
  <c r="AD353" i="9"/>
  <c r="AH304" i="9"/>
  <c r="AI144" i="9"/>
  <c r="AI184" i="9"/>
  <c r="AF202" i="9"/>
  <c r="AE193" i="9"/>
  <c r="AG213" i="9"/>
  <c r="AK199" i="9"/>
  <c r="AI185" i="9"/>
  <c r="AD202" i="9"/>
  <c r="AD237" i="9"/>
  <c r="AO235" i="9"/>
  <c r="AF211" i="9"/>
  <c r="AK249" i="9"/>
  <c r="AF226" i="9"/>
  <c r="AM340" i="9"/>
  <c r="AF198" i="9"/>
  <c r="AE295" i="9"/>
  <c r="AG244" i="9"/>
  <c r="AM209" i="9"/>
  <c r="AM204" i="9"/>
  <c r="AG233" i="9"/>
  <c r="AG224" i="9"/>
  <c r="AM165" i="9"/>
  <c r="AL246" i="9"/>
  <c r="AD221" i="9"/>
  <c r="AE129" i="9"/>
  <c r="AD146" i="9"/>
  <c r="AL154" i="9"/>
  <c r="AG152" i="9"/>
  <c r="AP180" i="9"/>
  <c r="AN124" i="9"/>
  <c r="AJ90" i="9"/>
  <c r="AE118" i="9"/>
  <c r="AE40" i="9"/>
  <c r="AP172" i="9"/>
  <c r="AD128" i="9"/>
  <c r="AE287" i="9"/>
  <c r="AK250" i="9"/>
  <c r="AK211" i="9"/>
  <c r="AH231" i="9"/>
  <c r="AF256" i="9"/>
  <c r="AH215" i="9"/>
  <c r="AM236" i="9"/>
  <c r="AF253" i="9"/>
  <c r="AI251" i="9"/>
  <c r="AH285" i="9"/>
  <c r="AL194" i="9"/>
  <c r="AH206" i="9"/>
  <c r="AF190" i="9"/>
  <c r="AM295" i="9"/>
  <c r="AO244" i="9"/>
  <c r="AP218" i="9"/>
  <c r="AN226" i="9"/>
  <c r="AI241" i="9"/>
  <c r="AD198" i="9"/>
  <c r="AN214" i="9"/>
  <c r="AM190" i="9"/>
  <c r="AF290" i="9"/>
  <c r="AH239" i="9"/>
  <c r="AE231" i="9"/>
  <c r="AO161" i="9"/>
  <c r="AI254" i="9"/>
  <c r="AJ249" i="9"/>
  <c r="AO199" i="9"/>
  <c r="AF351" i="9"/>
  <c r="AD226" i="9"/>
  <c r="AK151" i="9"/>
  <c r="AO175" i="9"/>
  <c r="AJ162" i="9"/>
  <c r="AO159" i="9"/>
  <c r="AL90" i="9"/>
  <c r="AG157" i="9"/>
  <c r="AD100" i="9"/>
  <c r="AG100" i="9"/>
  <c r="AD48" i="9"/>
  <c r="AJ165" i="9"/>
  <c r="AK321" i="9"/>
  <c r="AF282" i="9"/>
  <c r="AK245" i="9"/>
  <c r="AL337" i="9"/>
  <c r="AI226" i="9"/>
  <c r="AN249" i="9"/>
  <c r="AF209" i="9"/>
  <c r="AN231" i="9"/>
  <c r="AN247" i="9"/>
  <c r="AI246" i="9"/>
  <c r="AN232" i="9"/>
  <c r="AD190" i="9"/>
  <c r="AN201" i="9"/>
  <c r="AK181" i="9"/>
  <c r="AN290" i="9"/>
  <c r="AP239" i="9"/>
  <c r="AH250" i="9"/>
  <c r="AO221" i="9"/>
  <c r="AJ236" i="9"/>
  <c r="AM191" i="9"/>
  <c r="AF205" i="9"/>
  <c r="AK185" i="9"/>
  <c r="AK318" i="9"/>
  <c r="AP341" i="9"/>
  <c r="AP258" i="9"/>
  <c r="AG198" i="9"/>
  <c r="AL213" i="9"/>
  <c r="AG251" i="9"/>
  <c r="AN160" i="9"/>
  <c r="AM228" i="9"/>
  <c r="AG168" i="9"/>
  <c r="AP156" i="9"/>
  <c r="AO101" i="9"/>
  <c r="AP179" i="9"/>
  <c r="AN182" i="9"/>
  <c r="AH165" i="9"/>
  <c r="AD191" i="9"/>
  <c r="AN79" i="9"/>
  <c r="AF97" i="9"/>
  <c r="AI46" i="9"/>
  <c r="AE158" i="9"/>
  <c r="AL316" i="9"/>
  <c r="AG277" i="9"/>
  <c r="AL240" i="9"/>
  <c r="AG298" i="9"/>
  <c r="AJ221" i="9"/>
  <c r="AN244" i="9"/>
  <c r="AI336" i="9"/>
  <c r="AO226" i="9"/>
  <c r="AN242" i="9"/>
  <c r="AJ241" i="9"/>
  <c r="AM348" i="9"/>
  <c r="AK182" i="9"/>
  <c r="AF197" i="9"/>
  <c r="AF188" i="9"/>
  <c r="AJ323" i="9"/>
  <c r="AD235" i="9"/>
  <c r="AH245" i="9"/>
  <c r="AE259" i="9"/>
  <c r="AK231" i="9"/>
  <c r="AK186" i="9"/>
  <c r="AO198" i="9"/>
  <c r="AF200" i="9"/>
  <c r="AF279" i="9"/>
  <c r="AK302" i="9"/>
  <c r="AE215" i="9"/>
  <c r="AN206" i="9"/>
  <c r="AI237" i="9"/>
  <c r="AL211" i="9"/>
  <c r="AJ318" i="9"/>
  <c r="AL249" i="9"/>
  <c r="AO181" i="9"/>
  <c r="AF154" i="9"/>
  <c r="AJ176" i="9"/>
  <c r="AH123" i="9"/>
  <c r="AH160" i="9"/>
  <c r="AN148" i="9"/>
  <c r="AH185" i="9"/>
  <c r="AD109" i="9"/>
  <c r="AD111" i="9"/>
  <c r="AN36" i="9"/>
  <c r="AM164" i="9"/>
  <c r="AE201" i="9"/>
  <c r="AD215" i="9"/>
  <c r="AI192" i="9"/>
  <c r="AI152" i="9"/>
  <c r="AM311" i="9"/>
  <c r="AH272" i="9"/>
  <c r="AM235" i="9"/>
  <c r="AE258" i="9"/>
  <c r="AO216" i="9"/>
  <c r="AO239" i="9"/>
  <c r="AD297" i="9"/>
  <c r="AP221" i="9"/>
  <c r="AD228" i="9"/>
  <c r="AK236" i="9"/>
  <c r="AH309" i="9"/>
  <c r="AO176" i="9"/>
  <c r="AM189" i="9"/>
  <c r="AH179" i="9"/>
  <c r="AE284" i="9"/>
  <c r="AO346" i="9"/>
  <c r="AI240" i="9"/>
  <c r="AF250" i="9"/>
  <c r="AK242" i="9"/>
  <c r="AO180" i="9"/>
  <c r="AM193" i="9"/>
  <c r="AM150" i="9"/>
  <c r="AJ254" i="9"/>
  <c r="AF228" i="9"/>
  <c r="AN240" i="9"/>
  <c r="AE190" i="9"/>
  <c r="AH277" i="9"/>
  <c r="AO200" i="9"/>
  <c r="AE279" i="9"/>
  <c r="AN210" i="9"/>
  <c r="AH194" i="9"/>
  <c r="AF161" i="9"/>
  <c r="AI129" i="9"/>
  <c r="AG128" i="9"/>
  <c r="AG158" i="9"/>
  <c r="AH209" i="9"/>
  <c r="AK120" i="9"/>
  <c r="AP81" i="9"/>
  <c r="AH174" i="9"/>
  <c r="AN37" i="9"/>
  <c r="AG147" i="9"/>
  <c r="AN306" i="9"/>
  <c r="AM372" i="9"/>
  <c r="AN230" i="9"/>
  <c r="AE251" i="9"/>
  <c r="AI210" i="9"/>
  <c r="AP234" i="9"/>
  <c r="AE263" i="9"/>
  <c r="AH211" i="9"/>
  <c r="AE223" i="9"/>
  <c r="AM226" i="9"/>
  <c r="AP233" i="9"/>
  <c r="AM171" i="9"/>
  <c r="AK184" i="9"/>
  <c r="AK141" i="9"/>
  <c r="AK255" i="9"/>
  <c r="AJ307" i="9"/>
  <c r="AG210" i="9"/>
  <c r="AF245" i="9"/>
  <c r="AL237" i="9"/>
  <c r="AG205" i="9"/>
  <c r="AK188" i="9"/>
  <c r="AK145" i="9"/>
  <c r="AD224" i="9"/>
  <c r="AG223" i="9"/>
  <c r="AP241" i="9"/>
  <c r="AE150" i="9"/>
  <c r="AJ219" i="9"/>
  <c r="AH230" i="9"/>
  <c r="AJ242" i="9"/>
  <c r="AJ233" i="9"/>
  <c r="AI175" i="9"/>
  <c r="AH178" i="9"/>
  <c r="AF196" i="9"/>
  <c r="AD82" i="9"/>
  <c r="AL161" i="9"/>
  <c r="AD151" i="9"/>
  <c r="AH146" i="9"/>
  <c r="AL85" i="9"/>
  <c r="AM54" i="9"/>
  <c r="AG55" i="9"/>
  <c r="AE362" i="9"/>
  <c r="AF70" i="9"/>
  <c r="AM59" i="9"/>
  <c r="AD50" i="9"/>
  <c r="AF52" i="9"/>
  <c r="AG37" i="9"/>
  <c r="AO37" i="9"/>
  <c r="AM35" i="9"/>
  <c r="AJ24" i="9"/>
  <c r="AH22" i="9"/>
  <c r="AM19" i="9"/>
  <c r="AK9" i="9"/>
  <c r="AO5" i="9"/>
  <c r="AN106" i="9"/>
  <c r="AE3" i="9"/>
  <c r="AP66" i="9"/>
  <c r="AH55" i="9"/>
  <c r="AM61" i="9"/>
  <c r="AE52" i="9"/>
  <c r="AD51" i="9"/>
  <c r="AH39" i="9"/>
  <c r="AK34" i="9"/>
  <c r="AP56" i="9"/>
  <c r="AL4" i="9"/>
  <c r="AD27" i="9"/>
  <c r="AP32" i="9"/>
  <c r="AI49" i="9"/>
  <c r="AL19" i="9"/>
  <c r="AK27" i="9"/>
  <c r="AE13" i="9"/>
  <c r="AE45" i="9"/>
  <c r="AL44" i="9"/>
  <c r="AK79" i="9"/>
  <c r="AE4" i="9"/>
  <c r="AM45" i="9"/>
  <c r="AE36" i="9"/>
  <c r="AM13" i="9"/>
  <c r="AL28" i="9"/>
  <c r="AH15" i="9"/>
  <c r="AD12" i="9"/>
  <c r="AL117" i="9"/>
  <c r="AM29" i="9"/>
  <c r="AF38" i="9"/>
  <c r="AK35" i="9"/>
  <c r="AM169" i="9"/>
  <c r="AP236" i="9"/>
  <c r="AP338" i="9"/>
  <c r="AN270" i="9"/>
  <c r="AG310" i="9"/>
  <c r="AI297" i="9"/>
  <c r="AE349" i="9"/>
  <c r="AO280" i="9"/>
  <c r="AN325" i="9"/>
  <c r="AN365" i="9"/>
  <c r="AF311" i="9"/>
  <c r="AF284" i="9"/>
  <c r="AI322" i="9"/>
  <c r="AK373" i="9"/>
  <c r="AH270" i="9"/>
  <c r="AD330" i="9"/>
  <c r="AE260" i="9"/>
  <c r="AN309" i="9"/>
  <c r="AL351" i="9"/>
  <c r="AH200" i="9"/>
  <c r="AM343" i="9"/>
  <c r="AL259" i="9"/>
  <c r="AE315" i="9"/>
  <c r="AM344" i="9"/>
  <c r="AF312" i="9"/>
  <c r="AO363" i="9"/>
  <c r="AN293" i="9"/>
  <c r="AJ337" i="9"/>
  <c r="AF166" i="9"/>
  <c r="AJ32" i="9"/>
  <c r="AL26" i="9"/>
  <c r="AE27" i="9"/>
  <c r="AH14" i="9"/>
  <c r="AN4" i="9"/>
  <c r="AD10" i="9"/>
  <c r="AO99" i="9"/>
  <c r="AL2" i="9"/>
  <c r="AO75" i="9"/>
  <c r="AF77" i="9"/>
  <c r="AN68" i="9"/>
  <c r="AG46" i="9"/>
  <c r="AF53" i="9"/>
  <c r="AE44" i="9"/>
  <c r="AP16" i="9"/>
  <c r="AK2" i="9"/>
  <c r="AF46" i="9"/>
  <c r="AI16" i="9"/>
  <c r="AF5" i="9"/>
  <c r="AJ9" i="9"/>
  <c r="AO23" i="9"/>
  <c r="AH16" i="9"/>
  <c r="AF54" i="9"/>
  <c r="AI57" i="9"/>
  <c r="AM28" i="9"/>
  <c r="AO39" i="9"/>
  <c r="AM53" i="9"/>
  <c r="AI85" i="9"/>
  <c r="AO30" i="9"/>
  <c r="AH48" i="9"/>
  <c r="AF69" i="9"/>
  <c r="AN13" i="9"/>
  <c r="AE53" i="9"/>
  <c r="AE20" i="9"/>
  <c r="AD3" i="9"/>
  <c r="AH100" i="9"/>
  <c r="AG99" i="9"/>
  <c r="AE176" i="9"/>
  <c r="AP312" i="9"/>
  <c r="AL358" i="9"/>
  <c r="AJ290" i="9"/>
  <c r="AH329" i="9"/>
  <c r="AK303" i="9"/>
  <c r="AJ356" i="9"/>
  <c r="AI286" i="9"/>
  <c r="AH331" i="9"/>
  <c r="AM370" i="9"/>
  <c r="AK219" i="9"/>
  <c r="AO303" i="9"/>
  <c r="AE342" i="9"/>
  <c r="AF275" i="9"/>
  <c r="AN280" i="9"/>
  <c r="AI337" i="9"/>
  <c r="AI270" i="9"/>
  <c r="AH315" i="9"/>
  <c r="AK356" i="9"/>
  <c r="AD234" i="9"/>
  <c r="AI363" i="9"/>
  <c r="AL283" i="9"/>
  <c r="AN334" i="9"/>
  <c r="AO358" i="9"/>
  <c r="AH318" i="9"/>
  <c r="AG371" i="9"/>
  <c r="AH299" i="9"/>
  <c r="AI342" i="9"/>
  <c r="AH24" i="9"/>
  <c r="AN22" i="9"/>
  <c r="AO31" i="9"/>
  <c r="AL88" i="9"/>
  <c r="AK111" i="9"/>
  <c r="AN38" i="9"/>
  <c r="AM37" i="9"/>
  <c r="AO123" i="9"/>
  <c r="AJ42" i="9"/>
  <c r="AO22" i="9"/>
  <c r="AH8" i="9"/>
  <c r="AO55" i="9"/>
  <c r="AO15" i="9"/>
  <c r="AD44" i="9"/>
  <c r="AL12" i="9"/>
  <c r="AK43" i="9"/>
  <c r="AL35" i="9"/>
  <c r="AF106" i="9"/>
  <c r="AG30" i="9"/>
  <c r="AF29" i="9"/>
  <c r="AD60" i="9"/>
  <c r="AN46" i="9"/>
  <c r="AM255" i="9"/>
  <c r="AJ358" i="9"/>
  <c r="AM278" i="9"/>
  <c r="AO329" i="9"/>
  <c r="AK354" i="9"/>
  <c r="AE317" i="9"/>
  <c r="AN368" i="9"/>
  <c r="AE298" i="9"/>
  <c r="AF341" i="9"/>
  <c r="AE189" i="9"/>
  <c r="AJ256" i="9"/>
  <c r="AG343" i="9"/>
  <c r="AE275" i="9"/>
  <c r="AK314" i="9"/>
  <c r="AD298" i="9"/>
  <c r="AM349" i="9"/>
  <c r="AJ281" i="9"/>
  <c r="AI326" i="9"/>
  <c r="AI366" i="9"/>
  <c r="AP325" i="9"/>
  <c r="AN284" i="9"/>
  <c r="AD323" i="9"/>
  <c r="AF374" i="9"/>
  <c r="AP270" i="9"/>
  <c r="AO331" i="9"/>
  <c r="AM260" i="9"/>
  <c r="AI310" i="9"/>
  <c r="AG352" i="9"/>
  <c r="AM67" i="9"/>
  <c r="AG53" i="9"/>
  <c r="AP54" i="9"/>
  <c r="AJ48" i="9"/>
  <c r="AK41" i="9"/>
  <c r="AM43" i="9"/>
  <c r="AD34" i="9"/>
  <c r="AE35" i="9"/>
  <c r="AP22" i="9"/>
  <c r="AJ16" i="9"/>
  <c r="AF20" i="9"/>
  <c r="AI7" i="9"/>
  <c r="AH6" i="9"/>
  <c r="AD2" i="9"/>
  <c r="AE81" i="9"/>
  <c r="AN53" i="9"/>
  <c r="AK58" i="9"/>
  <c r="AE60" i="9"/>
  <c r="AL51" i="9"/>
  <c r="AI40" i="9"/>
  <c r="AF45" i="9"/>
  <c r="AG31" i="9"/>
  <c r="AO83" i="9"/>
  <c r="AP64" i="9"/>
  <c r="AM4" i="9"/>
  <c r="AO7" i="9"/>
  <c r="AG7" i="9"/>
  <c r="AG78" i="9"/>
  <c r="AJ62" i="9"/>
  <c r="AH23" i="9"/>
  <c r="AG72" i="9"/>
  <c r="AM5" i="9"/>
  <c r="AM12" i="9"/>
  <c r="AP15" i="9"/>
  <c r="AL104" i="9"/>
  <c r="AH7" i="9"/>
  <c r="AP48" i="9"/>
  <c r="AD11" i="9"/>
  <c r="AI9" i="9"/>
  <c r="AI25" i="9"/>
  <c r="AD52" i="9"/>
  <c r="AD35" i="9"/>
  <c r="AI17" i="9"/>
  <c r="AL27" i="9"/>
  <c r="AP227" i="9"/>
  <c r="AD256" i="9"/>
  <c r="AI298" i="9"/>
  <c r="AK349" i="9"/>
  <c r="AM368" i="9"/>
  <c r="AG323" i="9"/>
  <c r="AH254" i="9"/>
  <c r="AL303" i="9"/>
  <c r="AE346" i="9"/>
  <c r="AK195" i="9"/>
  <c r="AI323" i="9"/>
  <c r="AP362" i="9"/>
  <c r="AN294" i="9"/>
  <c r="AP329" i="9"/>
  <c r="AF304" i="9"/>
  <c r="AE357" i="9"/>
  <c r="AD287" i="9"/>
  <c r="AP331" i="9"/>
  <c r="AH371" i="9"/>
  <c r="AI221" i="9"/>
  <c r="AJ304" i="9"/>
  <c r="AM342" i="9"/>
  <c r="AN275" i="9"/>
  <c r="AG283" i="9"/>
  <c r="AD338" i="9"/>
  <c r="AD271" i="9"/>
  <c r="AP315" i="9"/>
  <c r="AF357" i="9"/>
  <c r="AP84" i="9"/>
  <c r="AK19" i="9"/>
  <c r="AI24" i="9"/>
  <c r="AF13" i="9"/>
  <c r="AP23" i="9"/>
  <c r="AL11" i="9"/>
  <c r="AF14" i="9"/>
  <c r="AK26" i="9"/>
  <c r="AN29" i="9"/>
  <c r="AH56" i="9"/>
  <c r="AH32" i="9"/>
  <c r="AD244" i="9"/>
  <c r="AO279" i="9"/>
  <c r="AE318" i="9"/>
  <c r="AG369" i="9"/>
  <c r="AF264" i="9"/>
  <c r="AI329" i="9"/>
  <c r="AP259" i="9"/>
  <c r="AF309" i="9"/>
  <c r="AD351" i="9"/>
  <c r="AL198" i="9"/>
  <c r="AE343" i="9"/>
  <c r="AD259" i="9"/>
  <c r="AJ314" i="9"/>
  <c r="AE344" i="9"/>
  <c r="AH310" i="9"/>
  <c r="AG363" i="9"/>
  <c r="AF293" i="9"/>
  <c r="AO336" i="9"/>
  <c r="AM182" i="9"/>
  <c r="AJ237" i="9"/>
  <c r="AF324" i="9"/>
  <c r="AI362" i="9"/>
  <c r="AJ295" i="9"/>
  <c r="AJ292" i="9"/>
  <c r="AF344" i="9"/>
  <c r="AK276" i="9"/>
  <c r="AJ321" i="9"/>
  <c r="Z37" i="9"/>
  <c r="AM46" i="9" s="1"/>
  <c r="AF213" i="9"/>
  <c r="AH328" i="9"/>
  <c r="AJ328" i="9"/>
  <c r="AP287" i="9"/>
  <c r="AD280" i="9"/>
  <c r="AG256" i="9"/>
  <c r="AG334" i="9"/>
  <c r="AO283" i="9"/>
  <c r="AP318" i="9"/>
  <c r="AL338" i="9"/>
  <c r="AO371" i="9"/>
  <c r="AH283" i="9"/>
  <c r="AP299" i="9"/>
  <c r="AF333" i="9"/>
  <c r="AN357" i="9"/>
  <c r="AP349" i="9"/>
  <c r="AG308" i="9"/>
  <c r="AM339" i="9"/>
  <c r="AO334" i="9"/>
  <c r="AE285" i="9"/>
  <c r="AI313" i="9"/>
  <c r="AN352" i="9"/>
  <c r="AG262" i="9"/>
  <c r="AK300" i="9"/>
  <c r="AN333" i="9"/>
  <c r="AH363" i="9"/>
  <c r="AH251" i="9"/>
  <c r="AE257" i="9"/>
  <c r="AM367" i="9"/>
  <c r="AO367" i="9"/>
  <c r="AM366" i="9"/>
  <c r="AN358" i="9"/>
  <c r="AF347" i="9"/>
  <c r="AE293" i="9"/>
  <c r="AE325" i="9"/>
  <c r="AH358" i="9"/>
  <c r="AL271" i="9"/>
  <c r="AJ305" i="9"/>
  <c r="AE338" i="9"/>
  <c r="AL367" i="9"/>
  <c r="AE221" i="9"/>
  <c r="AE241" i="9"/>
  <c r="AD270" i="9"/>
  <c r="AJ368" i="9"/>
  <c r="AH367" i="9"/>
  <c r="AI359" i="9"/>
  <c r="AD349" i="9"/>
  <c r="AO299" i="9"/>
  <c r="AG339" i="9"/>
  <c r="AG272" i="9"/>
  <c r="AE306" i="9"/>
  <c r="AM338" i="9"/>
  <c r="AG368" i="9"/>
  <c r="AF335" i="9"/>
  <c r="AE289" i="9"/>
  <c r="AH327" i="9"/>
  <c r="AE339" i="9"/>
  <c r="AJ319" i="9"/>
  <c r="AI273" i="9"/>
  <c r="AN312" i="9"/>
  <c r="AF352" i="9"/>
  <c r="AJ261" i="9"/>
  <c r="AI294" i="9"/>
  <c r="AM322" i="9"/>
  <c r="AO352" i="9"/>
  <c r="AM214" i="9"/>
  <c r="AP328" i="9"/>
  <c r="AI309" i="9"/>
  <c r="AK288" i="9"/>
  <c r="AH300" i="9"/>
  <c r="AI300" i="9"/>
  <c r="AG275" i="9"/>
  <c r="AE333" i="9"/>
  <c r="AJ372" i="9"/>
  <c r="AJ289" i="9"/>
  <c r="AH323" i="9"/>
  <c r="AJ353" i="9"/>
  <c r="AG160" i="9"/>
  <c r="AG239" i="9"/>
  <c r="AD348" i="9"/>
  <c r="AF348" i="9"/>
  <c r="AD347" i="9"/>
  <c r="AG328" i="9"/>
  <c r="AO252" i="9"/>
  <c r="AL263" i="9"/>
  <c r="AH368" i="9"/>
  <c r="AE329" i="9"/>
  <c r="AP327" i="9"/>
  <c r="AD320" i="9"/>
  <c r="AE320" i="9"/>
  <c r="AM293" i="9"/>
  <c r="AK319" i="9"/>
  <c r="AL346" i="9"/>
  <c r="AI256" i="9"/>
  <c r="AD295" i="9"/>
  <c r="AO328" i="9"/>
  <c r="AI358" i="9"/>
  <c r="AF214" i="9"/>
  <c r="AH221" i="9"/>
  <c r="AN265" i="9"/>
  <c r="AK264" i="9"/>
  <c r="AI319" i="9"/>
  <c r="AN299" i="9"/>
  <c r="AL373" i="9"/>
  <c r="AI305" i="9"/>
  <c r="AN344" i="9"/>
  <c r="AL255" i="9"/>
  <c r="AO288" i="9"/>
  <c r="AK316" i="9"/>
  <c r="AP347" i="9"/>
  <c r="AK372" i="9"/>
  <c r="AK162" i="9"/>
  <c r="AK273" i="9"/>
  <c r="AM289" i="9"/>
  <c r="AG265" i="9"/>
  <c r="AL280" i="9"/>
  <c r="AM280" i="9"/>
  <c r="AG374" i="9"/>
  <c r="AP326" i="9"/>
  <c r="AH366" i="9"/>
  <c r="AP283" i="9"/>
  <c r="AN317" i="9"/>
  <c r="AK348" i="9"/>
  <c r="AE202" i="9"/>
  <c r="AM271" i="9"/>
  <c r="AN308" i="9"/>
  <c r="AL307" i="9"/>
  <c r="AM299" i="9"/>
  <c r="AE280" i="9"/>
  <c r="AJ359" i="9"/>
  <c r="AG299" i="9"/>
  <c r="AJ332" i="9"/>
  <c r="AJ364" i="9"/>
  <c r="AF277" i="9"/>
  <c r="AD311" i="9"/>
  <c r="AD343" i="9"/>
  <c r="AM362" i="9"/>
  <c r="AO203" i="9"/>
  <c r="AF223" i="9"/>
  <c r="AL348" i="9"/>
  <c r="AN348" i="9"/>
  <c r="AL347" i="9"/>
  <c r="AO256" i="9"/>
  <c r="AP361" i="9"/>
  <c r="AG307" i="9"/>
  <c r="AP358" i="9"/>
  <c r="AI278" i="9"/>
  <c r="AL311" i="9"/>
  <c r="AL343" i="9"/>
  <c r="AF373" i="9"/>
  <c r="Y9" i="10" a="1"/>
  <c r="AN17" i="10" a="1"/>
  <c r="AV17" i="10" a="1"/>
  <c r="BK41" i="10" a="1"/>
  <c r="BR41" i="10" a="1"/>
  <c r="BC9" i="10" a="1"/>
  <c r="AG41" i="10" a="1"/>
  <c r="BC41" i="10" a="1"/>
  <c r="J33" i="10" a="1"/>
  <c r="R41" i="10" a="1"/>
  <c r="CV25" i="10" a="1"/>
  <c r="AG1" i="10" a="1"/>
  <c r="CV17" i="10" a="1"/>
  <c r="AN41" i="10" a="1"/>
  <c r="AV33" i="10" a="1"/>
  <c r="C1" i="10" a="1"/>
  <c r="CG25" i="10" a="1"/>
  <c r="BK9" i="10" a="1"/>
  <c r="CO9" i="10" a="1"/>
  <c r="BK1" i="10" a="1"/>
  <c r="Y33" i="10" a="1"/>
  <c r="CV1" i="10" a="1"/>
  <c r="J9" i="10" a="1"/>
  <c r="R9" i="10" a="1"/>
  <c r="CG33" i="10" a="1"/>
  <c r="BC33" i="10" a="1"/>
  <c r="AV25" i="10" a="1"/>
  <c r="BZ17" i="10" a="1"/>
  <c r="AG25" i="10" a="1"/>
  <c r="BC1" i="10" a="1"/>
  <c r="CO17" i="10" a="1"/>
  <c r="Y1" i="10" a="1"/>
  <c r="CG17" i="10" a="1"/>
  <c r="BR1" i="10" a="1"/>
  <c r="C9" i="10" a="1"/>
  <c r="BK33" i="10" a="1"/>
  <c r="Y41" i="10" a="1"/>
  <c r="J1" i="10" a="1"/>
  <c r="AN33" i="10" a="1"/>
  <c r="R33" i="10" a="1"/>
  <c r="BC25" i="10" a="1"/>
  <c r="J41" i="10" a="1"/>
  <c r="CV9" i="10" a="1"/>
  <c r="C17" i="10" a="1"/>
  <c r="BZ1" i="10" a="1"/>
  <c r="C41" i="10" a="1"/>
  <c r="BR25" i="10" a="1"/>
  <c r="J25" i="10" a="1"/>
  <c r="AV9" i="10" a="1"/>
  <c r="BZ9" i="10" a="1"/>
  <c r="CO25" i="10" a="1"/>
  <c r="J17" i="10" a="1"/>
  <c r="AN9" i="10" a="1"/>
  <c r="BR9" i="10" a="1"/>
  <c r="R17" i="10" a="1"/>
  <c r="BR33" i="10" a="1"/>
  <c r="R25" i="10" a="1"/>
  <c r="CG1" i="10" a="1"/>
  <c r="AN25" i="10" a="1"/>
  <c r="CG9" i="10" a="1"/>
  <c r="BZ25" i="10" a="1"/>
  <c r="AN1" i="10" a="1"/>
  <c r="AG9" i="10" a="1"/>
  <c r="C33" i="10" a="1"/>
  <c r="BK25" i="10" a="1"/>
  <c r="CO1" i="10" a="1"/>
  <c r="CG41" i="10" a="1"/>
  <c r="BK17" i="10" a="1"/>
  <c r="AG17" i="10" a="1"/>
  <c r="BZ41" i="10" a="1"/>
  <c r="Y25" i="10" a="1"/>
  <c r="AG33" i="10" a="1"/>
  <c r="AV1" i="10" a="1"/>
  <c r="Y17" i="10" a="1"/>
  <c r="BR17" i="10" a="1"/>
  <c r="BZ33" i="10" a="1"/>
  <c r="R1" i="10" a="1"/>
  <c r="C25" i="10" a="1"/>
  <c r="BC17" i="10" a="1"/>
  <c r="AV41" i="10" a="1"/>
  <c r="CO33" i="10" a="1"/>
  <c r="Y9" i="10" l="1"/>
  <c r="AV41" i="10"/>
  <c r="BC17" i="10"/>
  <c r="C25" i="10"/>
  <c r="R1" i="10"/>
  <c r="BZ33" i="10"/>
  <c r="BR17" i="10"/>
  <c r="Y17" i="10"/>
  <c r="AV1" i="10"/>
  <c r="AG33" i="10"/>
  <c r="Y25" i="10"/>
  <c r="BZ41" i="10"/>
  <c r="AG17" i="10"/>
  <c r="BK17" i="10"/>
  <c r="CG41" i="10"/>
  <c r="CO1" i="10"/>
  <c r="BK25" i="10"/>
  <c r="C33" i="10"/>
  <c r="AG9" i="10"/>
  <c r="AN1" i="10"/>
  <c r="BZ25" i="10"/>
  <c r="CG9" i="10"/>
  <c r="AN25" i="10"/>
  <c r="CG1" i="10"/>
  <c r="R25" i="10"/>
  <c r="BR33" i="10"/>
  <c r="R17" i="10"/>
  <c r="BR9" i="10"/>
  <c r="AN9" i="10"/>
  <c r="J17" i="10"/>
  <c r="CO25" i="10"/>
  <c r="BZ9" i="10"/>
  <c r="AV9" i="10"/>
  <c r="J25" i="10"/>
  <c r="BR25" i="10"/>
  <c r="C41" i="10"/>
  <c r="BZ1" i="10"/>
  <c r="C17" i="10"/>
  <c r="CV9" i="10"/>
  <c r="J41" i="10"/>
  <c r="BC25" i="10"/>
  <c r="R33" i="10"/>
  <c r="AN33" i="10"/>
  <c r="J1" i="10"/>
  <c r="Y41" i="10"/>
  <c r="BK33" i="10"/>
  <c r="C9" i="10"/>
  <c r="BR1" i="10"/>
  <c r="CG17" i="10"/>
  <c r="Y1" i="10"/>
  <c r="CO17" i="10"/>
  <c r="BC1" i="10"/>
  <c r="AG25" i="10"/>
  <c r="BZ17" i="10"/>
  <c r="AV25" i="10"/>
  <c r="BC33" i="10"/>
  <c r="CG33" i="10"/>
  <c r="R9" i="10"/>
  <c r="J9" i="10"/>
  <c r="CV1" i="10"/>
  <c r="Y33" i="10"/>
  <c r="BK1" i="10"/>
  <c r="CO9" i="10"/>
  <c r="BK9" i="10"/>
  <c r="CG25" i="10"/>
  <c r="C1" i="10"/>
  <c r="AV33" i="10"/>
  <c r="AN41" i="10"/>
  <c r="CV17" i="10"/>
  <c r="AG1" i="10"/>
  <c r="CV25" i="10"/>
  <c r="CY26" i="10" s="1" a="1"/>
  <c r="CY26" i="10" s="1"/>
  <c r="R41" i="10"/>
  <c r="J33" i="10"/>
  <c r="BC41" i="10"/>
  <c r="AG41" i="10"/>
  <c r="BC9" i="10"/>
  <c r="BR41" i="10"/>
  <c r="BK41" i="10"/>
  <c r="AV17" i="10"/>
  <c r="AN17" i="10"/>
  <c r="X9" i="10"/>
  <c r="CO33" i="10"/>
  <c r="CN38" i="10" s="1" a="1"/>
  <c r="CN38" i="10" s="1"/>
  <c r="Y14" i="10" a="1"/>
  <c r="Y12" i="10" a="1"/>
  <c r="AB10" i="10" a="1"/>
  <c r="AB11" i="10" a="1"/>
  <c r="AC9" i="10" a="1"/>
  <c r="X14" i="10" a="1"/>
  <c r="AB15" i="10" a="1"/>
  <c r="AB14" i="10" a="1"/>
  <c r="X15" i="10" a="1"/>
  <c r="Y10" i="10" a="1"/>
  <c r="Z15" i="10" a="1"/>
  <c r="AB12" i="10" a="1"/>
  <c r="Z14" i="10" a="1"/>
  <c r="CV33" i="10" a="1"/>
  <c r="CP39" i="10" l="1" a="1"/>
  <c r="CP39" i="10" s="1"/>
  <c r="CV28" i="10" a="1"/>
  <c r="CV28" i="10" s="1"/>
  <c r="CY30" i="10" a="1"/>
  <c r="CY30" i="10" s="1"/>
  <c r="CW31" i="10" a="1"/>
  <c r="CW31" i="10" s="1"/>
  <c r="CU31" i="10" a="1"/>
  <c r="CU31" i="10" s="1"/>
  <c r="CU25" i="10"/>
  <c r="CU30" i="10" a="1"/>
  <c r="CU30" i="10" s="1"/>
  <c r="CR39" i="10" a="1"/>
  <c r="CR39" i="10" s="1"/>
  <c r="CY28" i="10" a="1"/>
  <c r="CY28" i="10" s="1"/>
  <c r="CW30" i="10" a="1"/>
  <c r="CW30" i="10" s="1"/>
  <c r="CY27" i="10" a="1"/>
  <c r="CY27" i="10" s="1"/>
  <c r="CZ25" i="10" a="1"/>
  <c r="CZ25" i="10" s="1"/>
  <c r="CY31" i="10" a="1"/>
  <c r="CY31" i="10" s="1"/>
  <c r="CV26" i="10" a="1"/>
  <c r="CV26" i="10" s="1"/>
  <c r="CV27" i="10" s="1" a="1"/>
  <c r="CV27" i="10" s="1"/>
  <c r="CV30" i="10" a="1"/>
  <c r="CV30" i="10" s="1"/>
  <c r="Z14" i="10"/>
  <c r="AB12" i="10"/>
  <c r="Z15" i="10"/>
  <c r="Y10" i="10"/>
  <c r="X15" i="10"/>
  <c r="AB14" i="10"/>
  <c r="AB15" i="10"/>
  <c r="X14" i="10"/>
  <c r="AC9" i="10"/>
  <c r="AB11" i="10"/>
  <c r="AB10" i="10"/>
  <c r="Y12" i="10"/>
  <c r="Y14" i="10"/>
  <c r="AM17" i="10"/>
  <c r="Q41" i="10"/>
  <c r="BJ9" i="10"/>
  <c r="BB33" i="10"/>
  <c r="BQ1" i="10"/>
  <c r="I41" i="10"/>
  <c r="BZ12" i="10" a="1"/>
  <c r="BZ12" i="10" s="1"/>
  <c r="BY15" i="10" a="1"/>
  <c r="BY15" i="10" s="1"/>
  <c r="CC14" i="10" a="1"/>
  <c r="CC14" i="10" s="1"/>
  <c r="CC10" i="10" a="1"/>
  <c r="CC10" i="10" s="1"/>
  <c r="CC12" i="10" a="1"/>
  <c r="CC12" i="10" s="1"/>
  <c r="CC11" i="10" a="1"/>
  <c r="CC11" i="10" s="1"/>
  <c r="BZ14" i="10" a="1"/>
  <c r="BZ14" i="10" s="1"/>
  <c r="CC15" i="10" a="1"/>
  <c r="CC15" i="10" s="1"/>
  <c r="CA14" i="10" a="1"/>
  <c r="CA14" i="10" s="1"/>
  <c r="BY14" i="10" a="1"/>
  <c r="BY14" i="10" s="1"/>
  <c r="BY9" i="10"/>
  <c r="CD9" i="10" a="1"/>
  <c r="CD9" i="10" s="1"/>
  <c r="BZ10" i="10" a="1"/>
  <c r="BZ10" i="10" s="1"/>
  <c r="BZ11" i="10" s="1" a="1"/>
  <c r="BZ11" i="10" s="1"/>
  <c r="CA15" i="10" a="1"/>
  <c r="CA15" i="10" s="1"/>
  <c r="CF6" i="10" a="1"/>
  <c r="CF6" i="10" s="1"/>
  <c r="CH7" i="10" a="1"/>
  <c r="CH7" i="10" s="1"/>
  <c r="CG4" i="10" a="1"/>
  <c r="CG4" i="10" s="1"/>
  <c r="CJ4" i="10" a="1"/>
  <c r="CJ4" i="10" s="1"/>
  <c r="CF1" i="10"/>
  <c r="CF7" i="10" a="1"/>
  <c r="CF7" i="10" s="1"/>
  <c r="CK1" i="10" a="1"/>
  <c r="CK1" i="10" s="1"/>
  <c r="CG6" i="10" a="1"/>
  <c r="CG6" i="10" s="1"/>
  <c r="CJ6" i="10" a="1"/>
  <c r="CJ6" i="10" s="1"/>
  <c r="CG2" i="10" a="1"/>
  <c r="CG2" i="10" s="1"/>
  <c r="CG3" i="10" s="1" a="1"/>
  <c r="CG3" i="10" s="1"/>
  <c r="CJ3" i="10" a="1"/>
  <c r="CJ3" i="10" s="1"/>
  <c r="CJ7" i="10" a="1"/>
  <c r="CJ7" i="10" s="1"/>
  <c r="CJ2" i="10" a="1"/>
  <c r="CJ2" i="10" s="1"/>
  <c r="CH6" i="10" a="1"/>
  <c r="CH6" i="10" s="1"/>
  <c r="CR6" i="10" a="1"/>
  <c r="CR6" i="10" s="1"/>
  <c r="CR2" i="10" a="1"/>
  <c r="CR2" i="10" s="1"/>
  <c r="CP6" i="10" a="1"/>
  <c r="CP6" i="10" s="1"/>
  <c r="CN7" i="10" a="1"/>
  <c r="CN7" i="10" s="1"/>
  <c r="CR4" i="10" a="1"/>
  <c r="CR4" i="10" s="1"/>
  <c r="CN6" i="10" a="1"/>
  <c r="CN6" i="10" s="1"/>
  <c r="CO2" i="10" a="1"/>
  <c r="CO2" i="10" s="1"/>
  <c r="CO3" i="10" s="1" a="1"/>
  <c r="CO3" i="10" s="1"/>
  <c r="CN1" i="10"/>
  <c r="CS1" i="10" a="1"/>
  <c r="CS1" i="10" s="1"/>
  <c r="CO6" i="10" a="1"/>
  <c r="CO6" i="10" s="1"/>
  <c r="CR3" i="10" a="1"/>
  <c r="CR3" i="10" s="1"/>
  <c r="CR7" i="10" a="1"/>
  <c r="CR7" i="10" s="1"/>
  <c r="CP7" i="10" a="1"/>
  <c r="CP7" i="10" s="1"/>
  <c r="CO4" i="10" a="1"/>
  <c r="CO4" i="10" s="1"/>
  <c r="X17" i="10"/>
  <c r="AU9" i="10"/>
  <c r="AU17" i="10"/>
  <c r="CR14" i="10" a="1"/>
  <c r="CR14" i="10" s="1"/>
  <c r="CS9" i="10" a="1"/>
  <c r="CS9" i="10" s="1"/>
  <c r="CO10" i="10" a="1"/>
  <c r="CO10" i="10" s="1"/>
  <c r="CO11" i="10" s="1" a="1"/>
  <c r="CO11" i="10" s="1"/>
  <c r="CR11" i="10" a="1"/>
  <c r="CR11" i="10" s="1"/>
  <c r="CR15" i="10" a="1"/>
  <c r="CR15" i="10" s="1"/>
  <c r="CN9" i="10"/>
  <c r="CP15" i="10" a="1"/>
  <c r="CP15" i="10" s="1"/>
  <c r="CN15" i="10" a="1"/>
  <c r="CN15" i="10" s="1"/>
  <c r="CO14" i="10" a="1"/>
  <c r="CO14" i="10" s="1"/>
  <c r="CN14" i="10" a="1"/>
  <c r="CN14" i="10" s="1"/>
  <c r="CO12" i="10" a="1"/>
  <c r="CO12" i="10" s="1"/>
  <c r="CR10" i="10" a="1"/>
  <c r="CR10" i="10" s="1"/>
  <c r="CR12" i="10" a="1"/>
  <c r="CR12" i="10" s="1"/>
  <c r="CP14" i="10" a="1"/>
  <c r="CP14" i="10" s="1"/>
  <c r="AU25" i="10"/>
  <c r="AW30" i="10" a="1"/>
  <c r="AW30" i="10" s="1"/>
  <c r="AY31" i="10" a="1"/>
  <c r="AY31" i="10" s="1"/>
  <c r="AY26" i="10" a="1"/>
  <c r="AY26" i="10" s="1"/>
  <c r="AY27" i="10" a="1"/>
  <c r="AY27" i="10" s="1"/>
  <c r="AV30" i="10" a="1"/>
  <c r="AV30" i="10" s="1"/>
  <c r="AU30" i="10" a="1"/>
  <c r="AU30" i="10" s="1"/>
  <c r="AY30" i="10" a="1"/>
  <c r="AY30" i="10" s="1"/>
  <c r="B9" i="10"/>
  <c r="CV10" i="10" a="1"/>
  <c r="CV10" i="10" s="1"/>
  <c r="CV11" i="10" s="1" a="1"/>
  <c r="CV11" i="10" s="1"/>
  <c r="CU9" i="10"/>
  <c r="CY10" i="10" a="1"/>
  <c r="CY10" i="10" s="1"/>
  <c r="CV14" i="10" a="1"/>
  <c r="CV14" i="10" s="1"/>
  <c r="CW14" i="10" a="1"/>
  <c r="CW14" i="10" s="1"/>
  <c r="CU15" i="10" a="1"/>
  <c r="CU15" i="10" s="1"/>
  <c r="CY12" i="10" a="1"/>
  <c r="CY12" i="10" s="1"/>
  <c r="CZ9" i="10" a="1"/>
  <c r="CZ9" i="10" s="1"/>
  <c r="CU14" i="10" a="1"/>
  <c r="CU14" i="10" s="1"/>
  <c r="CV12" i="10" a="1"/>
  <c r="CV12" i="10" s="1"/>
  <c r="CY15" i="10" a="1"/>
  <c r="CY15" i="10" s="1"/>
  <c r="CY11" i="10" a="1"/>
  <c r="CY11" i="10" s="1"/>
  <c r="CW15" i="10" a="1"/>
  <c r="CW15" i="10" s="1"/>
  <c r="CY14" i="10" a="1"/>
  <c r="CY14" i="10" s="1"/>
  <c r="CN25" i="10"/>
  <c r="CP31" i="10" a="1"/>
  <c r="CP31" i="10" s="1"/>
  <c r="CR27" i="10" a="1"/>
  <c r="CR27" i="10" s="1"/>
  <c r="CS25" i="10" a="1"/>
  <c r="CS25" i="10" s="1"/>
  <c r="CN30" i="10" a="1"/>
  <c r="CN30" i="10" s="1"/>
  <c r="CR28" i="10" a="1"/>
  <c r="CR28" i="10" s="1"/>
  <c r="CN31" i="10" a="1"/>
  <c r="CN31" i="10" s="1"/>
  <c r="CR31" i="10" a="1"/>
  <c r="CR31" i="10" s="1"/>
  <c r="CO28" i="10" a="1"/>
  <c r="CO28" i="10" s="1"/>
  <c r="CR26" i="10" a="1"/>
  <c r="CR26" i="10" s="1"/>
  <c r="CO26" i="10" a="1"/>
  <c r="CO26" i="10" s="1"/>
  <c r="CO27" i="10" s="1" a="1"/>
  <c r="CO27" i="10" s="1"/>
  <c r="CP30" i="10" a="1"/>
  <c r="CP30" i="10" s="1"/>
  <c r="CR30" i="10" a="1"/>
  <c r="CR30" i="10" s="1"/>
  <c r="CO30" i="10" a="1"/>
  <c r="CO30" i="10" s="1"/>
  <c r="AM25" i="10"/>
  <c r="CF47" i="10" a="1"/>
  <c r="CF47" i="10" s="1"/>
  <c r="CG46" i="10" a="1"/>
  <c r="CG46" i="10" s="1"/>
  <c r="CG42" i="10" a="1"/>
  <c r="CG42" i="10" s="1"/>
  <c r="CG43" i="10" s="1" a="1"/>
  <c r="CG43" i="10" s="1"/>
  <c r="CF46" i="10" a="1"/>
  <c r="CF46" i="10" s="1"/>
  <c r="CJ42" i="10" a="1"/>
  <c r="CJ42" i="10" s="1"/>
  <c r="CJ43" i="10" a="1"/>
  <c r="CJ43" i="10" s="1"/>
  <c r="CH47" i="10" a="1"/>
  <c r="CH47" i="10" s="1"/>
  <c r="CJ46" i="10" a="1"/>
  <c r="CJ46" i="10" s="1"/>
  <c r="CH46" i="10" a="1"/>
  <c r="CH46" i="10" s="1"/>
  <c r="CJ44" i="10" a="1"/>
  <c r="CJ44" i="10" s="1"/>
  <c r="CF41" i="10"/>
  <c r="CG44" i="10" a="1"/>
  <c r="CG44" i="10" s="1"/>
  <c r="CJ47" i="10" a="1"/>
  <c r="CJ47" i="10" s="1"/>
  <c r="CK41" i="10" a="1"/>
  <c r="CK41" i="10" s="1"/>
  <c r="BQ17" i="10"/>
  <c r="CH39" i="10" a="1"/>
  <c r="CH39" i="10" s="1"/>
  <c r="CG34" i="10" a="1"/>
  <c r="CG34" i="10" s="1"/>
  <c r="CG35" i="10" s="1" a="1"/>
  <c r="CG35" i="10" s="1"/>
  <c r="CG36" i="10" a="1"/>
  <c r="CG36" i="10" s="1"/>
  <c r="CJ34" i="10" a="1"/>
  <c r="CJ34" i="10" s="1"/>
  <c r="CJ35" i="10" a="1"/>
  <c r="CJ35" i="10" s="1"/>
  <c r="CH38" i="10" a="1"/>
  <c r="CH38" i="10" s="1"/>
  <c r="CF38" i="10" a="1"/>
  <c r="CF38" i="10" s="1"/>
  <c r="CK33" i="10" a="1"/>
  <c r="CK33" i="10" s="1"/>
  <c r="CJ39" i="10" a="1"/>
  <c r="CJ39" i="10" s="1"/>
  <c r="CJ38" i="10" a="1"/>
  <c r="CJ38" i="10" s="1"/>
  <c r="CF33" i="10"/>
  <c r="CG38" i="10" a="1"/>
  <c r="CG38" i="10" s="1"/>
  <c r="CF39" i="10" a="1"/>
  <c r="CF39" i="10" s="1"/>
  <c r="CJ36" i="10" a="1"/>
  <c r="CJ36" i="10" s="1"/>
  <c r="Q25" i="10"/>
  <c r="BN44" i="10" a="1"/>
  <c r="BN44" i="10" s="1"/>
  <c r="BJ46" i="10" a="1"/>
  <c r="BJ46" i="10" s="1"/>
  <c r="BN43" i="10" a="1"/>
  <c r="BN43" i="10" s="1"/>
  <c r="BN47" i="10" a="1"/>
  <c r="BN47" i="10" s="1"/>
  <c r="BN46" i="10" a="1"/>
  <c r="BN46" i="10" s="1"/>
  <c r="BL46" i="10" a="1"/>
  <c r="BL46" i="10" s="1"/>
  <c r="BN42" i="10" a="1"/>
  <c r="BN42" i="10" s="1"/>
  <c r="BO41" i="10" a="1"/>
  <c r="BO41" i="10" s="1"/>
  <c r="BK44" i="10" a="1"/>
  <c r="BK44" i="10" s="1"/>
  <c r="BK46" i="10" a="1"/>
  <c r="BK46" i="10" s="1"/>
  <c r="BJ47" i="10" a="1"/>
  <c r="BJ47" i="10" s="1"/>
  <c r="BJ41" i="10"/>
  <c r="BL47" i="10" a="1"/>
  <c r="BL47" i="10" s="1"/>
  <c r="BK42" i="10" a="1"/>
  <c r="BK42" i="10" s="1"/>
  <c r="BK43" i="10" s="1" a="1"/>
  <c r="BK43" i="10" s="1"/>
  <c r="AF1" i="10"/>
  <c r="BJ1" i="10"/>
  <c r="CC20" i="10" a="1"/>
  <c r="CC20" i="10" s="1"/>
  <c r="BZ22" i="10" a="1"/>
  <c r="BZ22" i="10" s="1"/>
  <c r="BZ18" i="10" a="1"/>
  <c r="BZ18" i="10" s="1"/>
  <c r="BZ19" i="10" s="1" a="1"/>
  <c r="BZ19" i="10" s="1"/>
  <c r="CA22" i="10" a="1"/>
  <c r="CA22" i="10" s="1"/>
  <c r="BZ20" i="10" a="1"/>
  <c r="BZ20" i="10" s="1"/>
  <c r="BY17" i="10"/>
  <c r="CD17" i="10" a="1"/>
  <c r="CD17" i="10" s="1"/>
  <c r="CC23" i="10" a="1"/>
  <c r="CC23" i="10" s="1"/>
  <c r="CC18" i="10" a="1"/>
  <c r="CC18" i="10" s="1"/>
  <c r="BY22" i="10" a="1"/>
  <c r="BY22" i="10" s="1"/>
  <c r="CA23" i="10" a="1"/>
  <c r="CA23" i="10" s="1"/>
  <c r="CC19" i="10" a="1"/>
  <c r="CC19" i="10" s="1"/>
  <c r="BY23" i="10" a="1"/>
  <c r="BY23" i="10" s="1"/>
  <c r="CC22" i="10" a="1"/>
  <c r="CC22" i="10" s="1"/>
  <c r="BN34" i="10" a="1"/>
  <c r="BN34" i="10" s="1"/>
  <c r="BL38" i="10" a="1"/>
  <c r="BL38" i="10" s="1"/>
  <c r="BN38" i="10" a="1"/>
  <c r="BN38" i="10" s="1"/>
  <c r="BK34" i="10" a="1"/>
  <c r="BK34" i="10" s="1"/>
  <c r="BK35" i="10" s="1" a="1"/>
  <c r="BK35" i="10" s="1"/>
  <c r="BJ39" i="10" a="1"/>
  <c r="BJ39" i="10" s="1"/>
  <c r="BL39" i="10" a="1"/>
  <c r="BL39" i="10" s="1"/>
  <c r="BJ33" i="10"/>
  <c r="BN35" i="10" a="1"/>
  <c r="BN35" i="10" s="1"/>
  <c r="BK38" i="10" a="1"/>
  <c r="BK38" i="10" s="1"/>
  <c r="BK36" i="10" a="1"/>
  <c r="BK36" i="10" s="1"/>
  <c r="BN36" i="10" a="1"/>
  <c r="BN36" i="10" s="1"/>
  <c r="BN39" i="10" a="1"/>
  <c r="BN39" i="10" s="1"/>
  <c r="BO33" i="10" a="1"/>
  <c r="BO33" i="10" s="1"/>
  <c r="BJ38" i="10" a="1"/>
  <c r="BJ38" i="10" s="1"/>
  <c r="B17" i="10"/>
  <c r="I17" i="10"/>
  <c r="CG12" i="10" a="1"/>
  <c r="CG12" i="10" s="1"/>
  <c r="CJ15" i="10" a="1"/>
  <c r="CJ15" i="10" s="1"/>
  <c r="CG10" i="10" a="1"/>
  <c r="CG10" i="10" s="1"/>
  <c r="CG11" i="10" s="1" a="1"/>
  <c r="CG11" i="10" s="1"/>
  <c r="CF15" i="10" a="1"/>
  <c r="CF15" i="10" s="1"/>
  <c r="CK9" i="10" a="1"/>
  <c r="CK9" i="10" s="1"/>
  <c r="CF9" i="10"/>
  <c r="CH15" i="10" a="1"/>
  <c r="CH15" i="10" s="1"/>
  <c r="CJ10" i="10" a="1"/>
  <c r="CJ10" i="10" s="1"/>
  <c r="CG14" i="10" a="1"/>
  <c r="CG14" i="10" s="1"/>
  <c r="CJ11" i="10" a="1"/>
  <c r="CJ11" i="10" s="1"/>
  <c r="CJ12" i="10" a="1"/>
  <c r="CJ12" i="10" s="1"/>
  <c r="CJ14" i="10" a="1"/>
  <c r="CJ14" i="10" s="1"/>
  <c r="CH14" i="10" a="1"/>
  <c r="CH14" i="10" s="1"/>
  <c r="CF14" i="10" a="1"/>
  <c r="CF14" i="10" s="1"/>
  <c r="BJ17" i="10"/>
  <c r="CC36" i="10" a="1"/>
  <c r="CC36" i="10" s="1"/>
  <c r="BY38" i="10" a="1"/>
  <c r="BY38" i="10" s="1"/>
  <c r="BZ36" i="10" a="1"/>
  <c r="BZ36" i="10" s="1"/>
  <c r="BZ34" i="10" a="1"/>
  <c r="BZ34" i="10" s="1"/>
  <c r="BZ35" i="10" s="1" a="1"/>
  <c r="BZ35" i="10" s="1"/>
  <c r="CC39" i="10" a="1"/>
  <c r="CC39" i="10" s="1"/>
  <c r="CC38" i="10" a="1"/>
  <c r="CC38" i="10" s="1"/>
  <c r="BY39" i="10" a="1"/>
  <c r="BY39" i="10" s="1"/>
  <c r="CC34" i="10" a="1"/>
  <c r="CC34" i="10" s="1"/>
  <c r="BZ38" i="10" a="1"/>
  <c r="BZ38" i="10" s="1"/>
  <c r="CA38" i="10" a="1"/>
  <c r="CA38" i="10" s="1"/>
  <c r="BY33" i="10"/>
  <c r="CC35" i="10" a="1"/>
  <c r="CC35" i="10" s="1"/>
  <c r="CD33" i="10" a="1"/>
  <c r="CD33" i="10" s="1"/>
  <c r="CA39" i="10" a="1"/>
  <c r="CA39" i="10" s="1"/>
  <c r="I33" i="10"/>
  <c r="AU1" i="10"/>
  <c r="BU43" i="10" a="1"/>
  <c r="BU43" i="10" s="1"/>
  <c r="BQ41" i="10"/>
  <c r="BR42" i="10" a="1"/>
  <c r="BR42" i="10" s="1"/>
  <c r="BR43" i="10" s="1" a="1"/>
  <c r="BR43" i="10" s="1"/>
  <c r="BV41" i="10" a="1"/>
  <c r="BV41" i="10" s="1"/>
  <c r="BS47" i="10" a="1"/>
  <c r="BS47" i="10" s="1"/>
  <c r="BU47" i="10" a="1"/>
  <c r="BU47" i="10" s="1"/>
  <c r="BU44" i="10" a="1"/>
  <c r="BU44" i="10" s="1"/>
  <c r="BU46" i="10" a="1"/>
  <c r="BU46" i="10" s="1"/>
  <c r="BS46" i="10" a="1"/>
  <c r="BS46" i="10" s="1"/>
  <c r="BQ46" i="10" a="1"/>
  <c r="BQ46" i="10" s="1"/>
  <c r="BR46" i="10" a="1"/>
  <c r="BR46" i="10" s="1"/>
  <c r="BU42" i="10" a="1"/>
  <c r="BU42" i="10" s="1"/>
  <c r="BR44" i="10" a="1"/>
  <c r="BR44" i="10" s="1"/>
  <c r="BQ47" i="10" a="1"/>
  <c r="BQ47" i="10" s="1"/>
  <c r="CZ17" i="10" a="1"/>
  <c r="CZ17" i="10" s="1"/>
  <c r="CV22" i="10" a="1"/>
  <c r="CV22" i="10" s="1"/>
  <c r="CY18" i="10" a="1"/>
  <c r="CY18" i="10" s="1"/>
  <c r="CU23" i="10" a="1"/>
  <c r="CU23" i="10" s="1"/>
  <c r="CV20" i="10" a="1"/>
  <c r="CV20" i="10" s="1"/>
  <c r="CU22" i="10" a="1"/>
  <c r="CU22" i="10" s="1"/>
  <c r="CU17" i="10"/>
  <c r="CY19" i="10" a="1"/>
  <c r="CY19" i="10" s="1"/>
  <c r="CV18" i="10" a="1"/>
  <c r="CV18" i="10" s="1"/>
  <c r="CV19" i="10" s="1" a="1"/>
  <c r="CV19" i="10" s="1"/>
  <c r="CY23" i="10" a="1"/>
  <c r="CY23" i="10" s="1"/>
  <c r="CY22" i="10" a="1"/>
  <c r="CY22" i="10" s="1"/>
  <c r="CW23" i="10" a="1"/>
  <c r="CW23" i="10" s="1"/>
  <c r="CY20" i="10" a="1"/>
  <c r="CY20" i="10" s="1"/>
  <c r="CW22" i="10" a="1"/>
  <c r="CW22" i="10" s="1"/>
  <c r="X33" i="10"/>
  <c r="AF25" i="10"/>
  <c r="X41" i="10"/>
  <c r="CC2" i="10" a="1"/>
  <c r="CC2" i="10" s="1"/>
  <c r="CA7" i="10" a="1"/>
  <c r="CA7" i="10" s="1"/>
  <c r="BZ4" i="10" a="1"/>
  <c r="BZ4" i="10" s="1"/>
  <c r="CD1" i="10" a="1"/>
  <c r="CD1" i="10" s="1"/>
  <c r="BZ6" i="10" a="1"/>
  <c r="BZ6" i="10" s="1"/>
  <c r="CC3" i="10" a="1"/>
  <c r="CC3" i="10" s="1"/>
  <c r="CA6" i="10" a="1"/>
  <c r="CA6" i="10" s="1"/>
  <c r="BY6" i="10" a="1"/>
  <c r="BY6" i="10" s="1"/>
  <c r="BY7" i="10" a="1"/>
  <c r="BY7" i="10" s="1"/>
  <c r="BY1" i="10"/>
  <c r="CC7" i="10" a="1"/>
  <c r="CC7" i="10" s="1"/>
  <c r="CC6" i="10" a="1"/>
  <c r="CC6" i="10" s="1"/>
  <c r="BZ2" i="10" a="1"/>
  <c r="BZ2" i="10" s="1"/>
  <c r="BZ3" i="10" s="1" a="1"/>
  <c r="BZ3" i="10" s="1"/>
  <c r="CC4" i="10" a="1"/>
  <c r="CC4" i="10" s="1"/>
  <c r="AM9" i="10"/>
  <c r="CC30" i="10" a="1"/>
  <c r="CC30" i="10" s="1"/>
  <c r="CC26" i="10" a="1"/>
  <c r="CC26" i="10" s="1"/>
  <c r="BZ28" i="10" a="1"/>
  <c r="BZ28" i="10" s="1"/>
  <c r="CD25" i="10" a="1"/>
  <c r="CD25" i="10" s="1"/>
  <c r="BZ26" i="10" a="1"/>
  <c r="BZ26" i="10" s="1"/>
  <c r="BZ27" i="10" s="1" a="1"/>
  <c r="BZ27" i="10" s="1"/>
  <c r="CC31" i="10" a="1"/>
  <c r="CC31" i="10" s="1"/>
  <c r="CC27" i="10" a="1"/>
  <c r="CC27" i="10" s="1"/>
  <c r="BZ30" i="10" a="1"/>
  <c r="BZ30" i="10" s="1"/>
  <c r="CC28" i="10" a="1"/>
  <c r="CC28" i="10" s="1"/>
  <c r="BY31" i="10" a="1"/>
  <c r="BY31" i="10" s="1"/>
  <c r="CA30" i="10" a="1"/>
  <c r="CA30" i="10" s="1"/>
  <c r="CA31" i="10" a="1"/>
  <c r="CA31" i="10" s="1"/>
  <c r="BY25" i="10"/>
  <c r="BY30" i="10" a="1"/>
  <c r="BY30" i="10" s="1"/>
  <c r="AF17" i="10"/>
  <c r="Q1" i="10"/>
  <c r="BB9" i="10"/>
  <c r="AM41" i="10"/>
  <c r="CU6" i="10" a="1"/>
  <c r="CU6" i="10" s="1"/>
  <c r="CV2" i="10" a="1"/>
  <c r="CV2" i="10" s="1"/>
  <c r="CV3" i="10" s="1" a="1"/>
  <c r="CV3" i="10" s="1"/>
  <c r="CY2" i="10" a="1"/>
  <c r="CY2" i="10" s="1"/>
  <c r="CZ1" i="10" a="1"/>
  <c r="CZ1" i="10" s="1"/>
  <c r="CW6" i="10" a="1"/>
  <c r="CW6" i="10" s="1"/>
  <c r="CY7" i="10" a="1"/>
  <c r="CY7" i="10" s="1"/>
  <c r="CU1" i="10"/>
  <c r="CU7" i="10" a="1"/>
  <c r="CU7" i="10" s="1"/>
  <c r="CY4" i="10" a="1"/>
  <c r="CY4" i="10" s="1"/>
  <c r="CV4" i="10" a="1"/>
  <c r="CV4" i="10" s="1"/>
  <c r="CY6" i="10" a="1"/>
  <c r="CY6" i="10" s="1"/>
  <c r="CY3" i="10" a="1"/>
  <c r="CY3" i="10" s="1"/>
  <c r="CV6" i="10" a="1"/>
  <c r="CV6" i="10" s="1"/>
  <c r="CW7" i="10" a="1"/>
  <c r="CW7" i="10" s="1"/>
  <c r="BB1" i="10"/>
  <c r="I1" i="10"/>
  <c r="B41" i="10"/>
  <c r="BQ9" i="10"/>
  <c r="AM1" i="10"/>
  <c r="CC47" i="10" a="1"/>
  <c r="CC47" i="10" s="1"/>
  <c r="BZ42" i="10" a="1"/>
  <c r="BZ42" i="10" s="1"/>
  <c r="BZ43" i="10" s="1" a="1"/>
  <c r="BZ43" i="10" s="1"/>
  <c r="CA47" i="10" a="1"/>
  <c r="CA47" i="10" s="1"/>
  <c r="BZ44" i="10" a="1"/>
  <c r="BZ44" i="10" s="1"/>
  <c r="BZ46" i="10" a="1"/>
  <c r="BZ46" i="10" s="1"/>
  <c r="CC42" i="10" a="1"/>
  <c r="CC42" i="10" s="1"/>
  <c r="CC46" i="10" a="1"/>
  <c r="CC46" i="10" s="1"/>
  <c r="CC43" i="10" a="1"/>
  <c r="CC43" i="10" s="1"/>
  <c r="BY41" i="10"/>
  <c r="CC44" i="10" a="1"/>
  <c r="CC44" i="10" s="1"/>
  <c r="CA46" i="10" a="1"/>
  <c r="CA46" i="10" s="1"/>
  <c r="BY46" i="10" a="1"/>
  <c r="BY46" i="10" s="1"/>
  <c r="BY47" i="10" a="1"/>
  <c r="BY47" i="10" s="1"/>
  <c r="CD41" i="10" a="1"/>
  <c r="CD41" i="10" s="1"/>
  <c r="B25" i="10"/>
  <c r="CJ27" i="10" a="1"/>
  <c r="CJ27" i="10" s="1"/>
  <c r="CG26" i="10" a="1"/>
  <c r="CG26" i="10" s="1"/>
  <c r="CG27" i="10" s="1" a="1"/>
  <c r="CG27" i="10" s="1"/>
  <c r="CH31" i="10" a="1"/>
  <c r="CH31" i="10" s="1"/>
  <c r="CJ26" i="10" a="1"/>
  <c r="CJ26" i="10" s="1"/>
  <c r="CF30" i="10" a="1"/>
  <c r="CF30" i="10" s="1"/>
  <c r="CJ28" i="10" a="1"/>
  <c r="CJ28" i="10" s="1"/>
  <c r="CK25" i="10" a="1"/>
  <c r="CK25" i="10" s="1"/>
  <c r="CF25" i="10"/>
  <c r="CF31" i="10" a="1"/>
  <c r="CF31" i="10" s="1"/>
  <c r="CG30" i="10" a="1"/>
  <c r="CG30" i="10" s="1"/>
  <c r="CH30" i="10" a="1"/>
  <c r="CH30" i="10" s="1"/>
  <c r="CJ31" i="10" a="1"/>
  <c r="CJ31" i="10" s="1"/>
  <c r="CG28" i="10" a="1"/>
  <c r="CG28" i="10" s="1"/>
  <c r="CJ30" i="10" a="1"/>
  <c r="CJ30" i="10" s="1"/>
  <c r="AF41" i="10"/>
  <c r="AU33" i="10"/>
  <c r="I9" i="10"/>
  <c r="CN17" i="10"/>
  <c r="CR19" i="10" a="1"/>
  <c r="CR19" i="10" s="1"/>
  <c r="CO22" i="10" a="1"/>
  <c r="CO22" i="10" s="1"/>
  <c r="CR20" i="10" a="1"/>
  <c r="CR20" i="10" s="1"/>
  <c r="CP23" i="10" a="1"/>
  <c r="CP23" i="10" s="1"/>
  <c r="CR22" i="10" a="1"/>
  <c r="CR22" i="10" s="1"/>
  <c r="CR23" i="10" a="1"/>
  <c r="CR23" i="10" s="1"/>
  <c r="CO18" i="10" a="1"/>
  <c r="CO18" i="10" s="1"/>
  <c r="CO19" i="10" s="1" a="1"/>
  <c r="CO19" i="10" s="1"/>
  <c r="CO20" i="10" a="1"/>
  <c r="CO20" i="10" s="1"/>
  <c r="CP22" i="10" a="1"/>
  <c r="CP22" i="10" s="1"/>
  <c r="CN23" i="10" a="1"/>
  <c r="CN23" i="10" s="1"/>
  <c r="CS17" i="10" a="1"/>
  <c r="CS17" i="10" s="1"/>
  <c r="CN22" i="10" a="1"/>
  <c r="CN22" i="10" s="1"/>
  <c r="CR18" i="10" a="1"/>
  <c r="CR18" i="10" s="1"/>
  <c r="AM33" i="10"/>
  <c r="BQ25" i="10"/>
  <c r="Q17" i="10"/>
  <c r="AF9" i="10"/>
  <c r="X25" i="10"/>
  <c r="BB17" i="10"/>
  <c r="CJ19" i="10" a="1"/>
  <c r="CJ19" i="10" s="1"/>
  <c r="CK17" i="10" a="1"/>
  <c r="CK17" i="10" s="1"/>
  <c r="CF22" i="10" a="1"/>
  <c r="CF22" i="10" s="1"/>
  <c r="CJ22" i="10" a="1"/>
  <c r="CJ22" i="10" s="1"/>
  <c r="CH22" i="10" a="1"/>
  <c r="CH22" i="10" s="1"/>
  <c r="CG18" i="10" a="1"/>
  <c r="CG18" i="10" s="1"/>
  <c r="CG19" i="10" s="1" a="1"/>
  <c r="CG19" i="10" s="1"/>
  <c r="CG22" i="10" a="1"/>
  <c r="CG22" i="10" s="1"/>
  <c r="CJ18" i="10" a="1"/>
  <c r="CJ18" i="10" s="1"/>
  <c r="CF23" i="10" a="1"/>
  <c r="CF23" i="10" s="1"/>
  <c r="CH23" i="10" a="1"/>
  <c r="CH23" i="10" s="1"/>
  <c r="CF17" i="10"/>
  <c r="CG20" i="10" a="1"/>
  <c r="CG20" i="10" s="1"/>
  <c r="CJ20" i="10" a="1"/>
  <c r="CJ20" i="10" s="1"/>
  <c r="CJ23" i="10" a="1"/>
  <c r="CJ23" i="10" s="1"/>
  <c r="BC30" i="10" a="1"/>
  <c r="BC30" i="10" s="1"/>
  <c r="BF31" i="10" a="1"/>
  <c r="BF31" i="10" s="1"/>
  <c r="BD30" i="10" a="1"/>
  <c r="BD30" i="10" s="1"/>
  <c r="BF26" i="10" a="1"/>
  <c r="BF26" i="10" s="1"/>
  <c r="BB25" i="10"/>
  <c r="BB30" i="10" a="1"/>
  <c r="BB30" i="10" s="1"/>
  <c r="BF30" i="10" a="1"/>
  <c r="BF30" i="10" s="1"/>
  <c r="BF27" i="10" a="1"/>
  <c r="BF27" i="10" s="1"/>
  <c r="BJ25" i="10"/>
  <c r="BB41" i="10"/>
  <c r="B1" i="10"/>
  <c r="Q9" i="10"/>
  <c r="X1" i="10"/>
  <c r="Q33" i="10"/>
  <c r="I25" i="10"/>
  <c r="BU38" i="10" a="1"/>
  <c r="BU38" i="10" s="1"/>
  <c r="BQ38" i="10" a="1"/>
  <c r="BQ38" i="10" s="1"/>
  <c r="BR38" i="10" a="1"/>
  <c r="BR38" i="10" s="1"/>
  <c r="BR36" i="10" a="1"/>
  <c r="BR36" i="10" s="1"/>
  <c r="BS39" i="10" a="1"/>
  <c r="BS39" i="10" s="1"/>
  <c r="BQ39" i="10" a="1"/>
  <c r="BQ39" i="10" s="1"/>
  <c r="BU34" i="10" a="1"/>
  <c r="BU34" i="10" s="1"/>
  <c r="BU35" i="10" a="1"/>
  <c r="BU35" i="10" s="1"/>
  <c r="BQ33" i="10"/>
  <c r="BV33" i="10" a="1"/>
  <c r="BV33" i="10" s="1"/>
  <c r="BU36" i="10" a="1"/>
  <c r="BU36" i="10" s="1"/>
  <c r="BR34" i="10" a="1"/>
  <c r="BR34" i="10" s="1"/>
  <c r="BR35" i="10" s="1" a="1"/>
  <c r="BR35" i="10" s="1"/>
  <c r="BS38" i="10" a="1"/>
  <c r="BS38" i="10" s="1"/>
  <c r="BU39" i="10" a="1"/>
  <c r="BU39" i="10" s="1"/>
  <c r="B33" i="10"/>
  <c r="AF33" i="10"/>
  <c r="AY43" i="10" a="1"/>
  <c r="AY43" i="10" s="1"/>
  <c r="AU41" i="10"/>
  <c r="CR34" i="10" a="1"/>
  <c r="CR34" i="10" s="1"/>
  <c r="CR38" i="10" a="1"/>
  <c r="CR38" i="10" s="1"/>
  <c r="CO36" i="10" a="1"/>
  <c r="CO36" i="10" s="1"/>
  <c r="CO34" i="10" a="1"/>
  <c r="CO34" i="10" s="1"/>
  <c r="CO35" i="10" s="1" a="1"/>
  <c r="CO35" i="10" s="1"/>
  <c r="CR36" i="10" a="1"/>
  <c r="CR36" i="10" s="1"/>
  <c r="CO38" i="10" a="1"/>
  <c r="CO38" i="10" s="1"/>
  <c r="CS33" i="10" a="1"/>
  <c r="CS33" i="10" s="1"/>
  <c r="CR35" i="10" a="1"/>
  <c r="CR35" i="10" s="1"/>
  <c r="CN33" i="10"/>
  <c r="CN39" i="10" a="1"/>
  <c r="CN39" i="10" s="1"/>
  <c r="CP38" i="10" a="1"/>
  <c r="CP38" i="10" s="1"/>
  <c r="CV33" i="10"/>
  <c r="CV38" i="10" s="1" a="1"/>
  <c r="CV38" i="10" s="1"/>
  <c r="AR17" i="10" a="1"/>
  <c r="AM22" i="10" a="1"/>
  <c r="Q46" i="10" a="1"/>
  <c r="S47" i="10" a="1"/>
  <c r="BL14" i="10" a="1"/>
  <c r="BD38" i="10" a="1"/>
  <c r="BC38" i="10" a="1"/>
  <c r="BU6" i="10" a="1"/>
  <c r="BQ6" i="10" a="1"/>
  <c r="J44" i="10" a="1"/>
  <c r="K46" i="10" a="1"/>
  <c r="AC17" i="10" a="1"/>
  <c r="Y18" i="10" a="1"/>
  <c r="AY10" i="10" a="1"/>
  <c r="AY20" i="10" a="1"/>
  <c r="AW23" i="10" a="1"/>
  <c r="AV28" i="10" a="1"/>
  <c r="F11" i="10" a="1"/>
  <c r="AN28" i="10" a="1"/>
  <c r="BR22" i="10" a="1"/>
  <c r="BS22" i="10" a="1"/>
  <c r="S30" i="10" a="1"/>
  <c r="U27" i="10" a="1"/>
  <c r="AK1" i="10" a="1"/>
  <c r="AH7" i="10" a="1"/>
  <c r="BN2" i="10" a="1"/>
  <c r="BK4" i="10" a="1"/>
  <c r="F20" i="10" a="1"/>
  <c r="D22" i="10" a="1"/>
  <c r="J18" i="10" a="1"/>
  <c r="M22" i="10" a="1"/>
  <c r="BO17" i="10" a="1"/>
  <c r="M35" i="10" a="1"/>
  <c r="M36" i="10" a="1"/>
  <c r="AU7" i="10" a="1"/>
  <c r="AY7" i="10" a="1"/>
  <c r="Z39" i="10" a="1"/>
  <c r="X38" i="10" a="1"/>
  <c r="AF31" i="10" a="1"/>
  <c r="AG26" i="10" a="1"/>
  <c r="AB46" i="10" a="1"/>
  <c r="AR9" i="10" a="1"/>
  <c r="AM15" i="10" a="1"/>
  <c r="AJ19" i="10" a="1"/>
  <c r="U4" i="10" a="1"/>
  <c r="R6" i="10" a="1"/>
  <c r="BC12" i="10" a="1"/>
  <c r="BF12" i="10" a="1"/>
  <c r="AO47" i="10" a="1"/>
  <c r="BD6" i="10" a="1"/>
  <c r="BD7" i="10" a="1"/>
  <c r="M6" i="10" a="1"/>
  <c r="I6" i="10" a="1"/>
  <c r="D46" i="10" a="1"/>
  <c r="F44" i="10" a="1"/>
  <c r="BS14" i="10" a="1"/>
  <c r="AM7" i="10" a="1"/>
  <c r="AQ4" i="10" a="1"/>
  <c r="B30" i="10" a="1"/>
  <c r="F27" i="10" a="1"/>
  <c r="AJ44" i="10" a="1"/>
  <c r="AV36" i="10" a="1"/>
  <c r="AY34" i="10" a="1"/>
  <c r="J12" i="10" a="1"/>
  <c r="M11" i="10" a="1"/>
  <c r="AR33" i="10" a="1"/>
  <c r="AQ39" i="10" a="1"/>
  <c r="BU26" i="10" a="1"/>
  <c r="BS30" i="10" a="1"/>
  <c r="U19" i="10" a="1"/>
  <c r="S23" i="10" a="1"/>
  <c r="AJ11" i="10" a="1"/>
  <c r="AC25" i="10" a="1"/>
  <c r="AB27" i="10" a="1"/>
  <c r="BF22" i="10" a="1"/>
  <c r="BC20" i="10" a="1"/>
  <c r="BF28" i="10" a="1"/>
  <c r="BL30" i="10" a="1"/>
  <c r="BK30" i="10" a="1"/>
  <c r="BF43" i="10" a="1"/>
  <c r="BB47" i="10" a="1"/>
  <c r="F4" i="10" a="1"/>
  <c r="G1" i="10" a="1"/>
  <c r="S14" i="10" a="1"/>
  <c r="AB3" i="10" a="1"/>
  <c r="AB4" i="10" a="1"/>
  <c r="V33" i="10" a="1"/>
  <c r="S38" i="10" a="1"/>
  <c r="M30" i="10" a="1"/>
  <c r="I31" i="10" a="1"/>
  <c r="D39" i="10" a="1"/>
  <c r="AK33" i="10" a="1"/>
  <c r="AJ38" i="10" a="1"/>
  <c r="AV42" i="10" a="1"/>
  <c r="D38" i="10" a="1"/>
  <c r="AJ35" i="10" a="1"/>
  <c r="AV44" i="10" a="1"/>
  <c r="AU47" i="10" a="1"/>
  <c r="AU46" i="10" a="1"/>
  <c r="AQ22" i="10" a="1"/>
  <c r="BL7" i="10" a="1"/>
  <c r="Y34" i="10" a="1"/>
  <c r="AB47" i="10" a="1"/>
  <c r="AH22" i="10" a="1"/>
  <c r="BR10" i="10" a="1"/>
  <c r="AV34" i="10" a="1"/>
  <c r="AG10" i="10" a="1"/>
  <c r="BC28" i="10" a="1"/>
  <c r="C2" i="10" a="1"/>
  <c r="R36" i="10" a="1"/>
  <c r="AY46" i="10" a="1"/>
  <c r="AQ19" i="10" a="1"/>
  <c r="AQ23" i="10" a="1"/>
  <c r="V41" i="10" a="1"/>
  <c r="BN10" i="10" a="1"/>
  <c r="BJ14" i="10" a="1"/>
  <c r="BF38" i="10" a="1"/>
  <c r="BG33" i="10" a="1"/>
  <c r="BS6" i="10" a="1"/>
  <c r="BR4" i="10" a="1"/>
  <c r="J46" i="10" a="1"/>
  <c r="AB18" i="10" a="1"/>
  <c r="AZ9" i="10" a="1"/>
  <c r="AU23" i="10" a="1"/>
  <c r="AU22" i="10" a="1"/>
  <c r="AY28" i="10" a="1"/>
  <c r="F10" i="10" a="1"/>
  <c r="AR25" i="10" a="1"/>
  <c r="BU18" i="10" a="1"/>
  <c r="BU22" i="10" a="1"/>
  <c r="Q31" i="10" a="1"/>
  <c r="AF6" i="10" a="1"/>
  <c r="AG4" i="10" a="1"/>
  <c r="BN6" i="10" a="1"/>
  <c r="C22" i="10" a="1"/>
  <c r="F19" i="10" a="1"/>
  <c r="K22" i="10" a="1"/>
  <c r="M23" i="10" a="1"/>
  <c r="BK22" i="10" a="1"/>
  <c r="BJ23" i="10" a="1"/>
  <c r="M39" i="10" a="1"/>
  <c r="AY2" i="10" a="1"/>
  <c r="X39" i="10" a="1"/>
  <c r="AB38" i="10" a="1"/>
  <c r="AH30" i="10" a="1"/>
  <c r="Y42" i="10" a="1"/>
  <c r="X47" i="10" a="1"/>
  <c r="AQ15" i="10" a="1"/>
  <c r="AO14" i="10" a="1"/>
  <c r="AJ20" i="10" a="1"/>
  <c r="AG20" i="10" a="1"/>
  <c r="U2" i="10" a="1"/>
  <c r="S6" i="10" a="1"/>
  <c r="BF15" i="10" a="1"/>
  <c r="BC14" i="10" a="1"/>
  <c r="AN42" i="10" a="1"/>
  <c r="BF7" i="10" a="1"/>
  <c r="BB6" i="10" a="1"/>
  <c r="J6" i="10" a="1"/>
  <c r="M3" i="10" a="1"/>
  <c r="F43" i="10" a="1"/>
  <c r="BV9" i="10" a="1"/>
  <c r="BQ15" i="10" a="1"/>
  <c r="AQ6" i="10" a="1"/>
  <c r="AQ3" i="10" a="1"/>
  <c r="F30" i="10" a="1"/>
  <c r="AJ42" i="10" a="1"/>
  <c r="AK41" i="10" a="1"/>
  <c r="AZ33" i="10" a="1"/>
  <c r="AW39" i="10" a="1"/>
  <c r="M15" i="10" a="1"/>
  <c r="M12" i="10" a="1"/>
  <c r="AQ34" i="10" a="1"/>
  <c r="AO39" i="10" a="1"/>
  <c r="BU28" i="10" a="1"/>
  <c r="R18" i="10" a="1"/>
  <c r="Q22" i="10" a="1"/>
  <c r="AJ12" i="10" a="1"/>
  <c r="AB31" i="10" a="1"/>
  <c r="AB30" i="10" a="1"/>
  <c r="BF20" i="10" a="1"/>
  <c r="BC22" i="10" a="1"/>
  <c r="BD31" i="10" a="1"/>
  <c r="BO25" i="10" a="1"/>
  <c r="BK28" i="10" a="1"/>
  <c r="BF44" i="10" a="1"/>
  <c r="BG41" i="10" a="1"/>
  <c r="B7" i="10" a="1"/>
  <c r="F3" i="10" a="1"/>
  <c r="R14" i="10" a="1"/>
  <c r="AB7" i="10" a="1"/>
  <c r="X6" i="10" a="1"/>
  <c r="U35" i="10" a="1"/>
  <c r="Q38" i="10" a="1"/>
  <c r="K30" i="10" a="1"/>
  <c r="J26" i="10" a="1"/>
  <c r="C38" i="10" a="1"/>
  <c r="BB38" i="10" a="1"/>
  <c r="D15" i="10" a="1"/>
  <c r="BU20" i="10" a="1"/>
  <c r="B23" i="10" a="1"/>
  <c r="BK18" i="10" a="1"/>
  <c r="J38" i="10" a="1"/>
  <c r="Z38" i="10" a="1"/>
  <c r="AQ11" i="10" a="1"/>
  <c r="AQ44" i="10" a="1"/>
  <c r="I7" i="10" a="1"/>
  <c r="AN38" i="10" a="1"/>
  <c r="BB22" i="10" a="1"/>
  <c r="BL31" i="10" a="1"/>
  <c r="R12" i="10" a="1"/>
  <c r="M27" i="10" a="1"/>
  <c r="AO23" i="10" a="1"/>
  <c r="AO22" i="10" a="1"/>
  <c r="Q47" i="10" a="1"/>
  <c r="BN12" i="10" a="1"/>
  <c r="BJ15" i="10" a="1"/>
  <c r="BF36" i="10" a="1"/>
  <c r="BD39" i="10" a="1"/>
  <c r="BQ7" i="10" a="1"/>
  <c r="BS7" i="10" a="1"/>
  <c r="M42" i="10" a="1"/>
  <c r="Z23" i="10" a="1"/>
  <c r="AW15" i="10" a="1"/>
  <c r="AV14" i="10" a="1"/>
  <c r="AY18" i="10" a="1"/>
  <c r="AW22" i="10" a="1"/>
  <c r="D14" i="10" a="1"/>
  <c r="F15" i="10" a="1"/>
  <c r="AO30" i="10" a="1"/>
  <c r="BV17" i="10" a="1"/>
  <c r="BU19" i="10" a="1"/>
  <c r="R30" i="10" a="1"/>
  <c r="AH6" i="10" a="1"/>
  <c r="AJ3" i="10" a="1"/>
  <c r="BJ6" i="10" a="1"/>
  <c r="BL6" i="10" a="1"/>
  <c r="C18" i="10" a="1"/>
  <c r="D23" i="10" a="1"/>
  <c r="I23" i="10" a="1"/>
  <c r="I22" i="10" a="1"/>
  <c r="BN19" i="10" a="1"/>
  <c r="I39" i="10" a="1"/>
  <c r="K39" i="10" a="1"/>
  <c r="AV4" i="10" a="1"/>
  <c r="AB39" i="10" a="1"/>
  <c r="AH31" i="10" a="1"/>
  <c r="Y44" i="10" a="1"/>
  <c r="AB44" i="10" a="1"/>
  <c r="AQ14" i="10" a="1"/>
  <c r="AN12" i="10" a="1"/>
  <c r="AJ23" i="10" a="1"/>
  <c r="U7" i="10" a="1"/>
  <c r="Q7" i="10" a="1"/>
  <c r="BF14" i="10" a="1"/>
  <c r="BB14" i="10" a="1"/>
  <c r="AN44" i="10" a="1"/>
  <c r="BF2" i="10" a="1"/>
  <c r="BF4" i="10" a="1"/>
  <c r="J4" i="10" a="1"/>
  <c r="M4" i="10" a="1"/>
  <c r="C44" i="10" a="1"/>
  <c r="BU12" i="10" a="1"/>
  <c r="BR12" i="10" a="1"/>
  <c r="AO6" i="10" a="1"/>
  <c r="AN2" i="10" a="1"/>
  <c r="G25" i="10" a="1"/>
  <c r="AJ43" i="10" a="1"/>
  <c r="AH47" i="10" a="1"/>
  <c r="AU38" i="10" a="1"/>
  <c r="AY39" i="10" a="1"/>
  <c r="AQ38" i="10" a="1"/>
  <c r="AQ35" i="10" a="1"/>
  <c r="BU30" i="10" a="1"/>
  <c r="BV25" i="10" a="1"/>
  <c r="AK9" i="10" a="1"/>
  <c r="AG12" i="10" a="1"/>
  <c r="Z31" i="10" a="1"/>
  <c r="AB26" i="10" a="1"/>
  <c r="BF23" i="10" a="1"/>
  <c r="BG25" i="10" a="1"/>
  <c r="BN30" i="10" a="1"/>
  <c r="BN28" i="10" a="1"/>
  <c r="BD46" i="10" a="1"/>
  <c r="BC42" i="10" a="1"/>
  <c r="F2" i="10" a="1"/>
  <c r="U10" i="10" a="1"/>
  <c r="Q14" i="10" a="1"/>
  <c r="AC1" i="10" a="1"/>
  <c r="U38" i="10" a="1"/>
  <c r="R34" i="10" a="1"/>
  <c r="M31" i="10" a="1"/>
  <c r="B38" i="10" a="1"/>
  <c r="F36" i="10" a="1"/>
  <c r="AJ36" i="10" a="1"/>
  <c r="AG34" i="10" a="1"/>
  <c r="AV46" i="10" a="1"/>
  <c r="AY42" i="10" a="1"/>
  <c r="R42" i="10" a="1"/>
  <c r="BR2" i="10" a="1"/>
  <c r="AU14" i="10" a="1"/>
  <c r="BL23" i="10" a="1"/>
  <c r="AV6" i="10" a="1"/>
  <c r="AG30" i="10" a="1"/>
  <c r="AM47" i="10" a="1"/>
  <c r="AG42" i="10" a="1"/>
  <c r="I14" i="10" a="1"/>
  <c r="R20" i="10" a="1"/>
  <c r="BB23" i="10" a="1"/>
  <c r="BF47" i="10" a="1"/>
  <c r="U36" i="10" a="1"/>
  <c r="F39" i="10" a="1"/>
  <c r="AQ18" i="10" a="1"/>
  <c r="U42" i="10" a="1"/>
  <c r="BK12" i="10" a="1"/>
  <c r="BL15" i="10" a="1"/>
  <c r="BF34" i="10" a="1"/>
  <c r="BF39" i="10" a="1"/>
  <c r="BU2" i="10" a="1"/>
  <c r="N41" i="10" a="1"/>
  <c r="M43" i="10" a="1"/>
  <c r="AB23" i="10" a="1"/>
  <c r="Y20" i="10" a="1"/>
  <c r="AU15" i="10" a="1"/>
  <c r="AY12" i="10" a="1"/>
  <c r="AV18" i="10" a="1"/>
  <c r="AZ17" i="10" a="1"/>
  <c r="B15" i="10" a="1"/>
  <c r="F12" i="10" a="1"/>
  <c r="AO31" i="10" a="1"/>
  <c r="AQ31" i="10" a="1"/>
  <c r="BS23" i="10" a="1"/>
  <c r="BQ22" i="10" a="1"/>
  <c r="Q30" i="10" a="1"/>
  <c r="U28" i="10" a="1"/>
  <c r="AG6" i="10" a="1"/>
  <c r="BK6" i="10" a="1"/>
  <c r="F23" i="10" a="1"/>
  <c r="B22" i="10" a="1"/>
  <c r="M20" i="10" a="1"/>
  <c r="BJ22" i="10" a="1"/>
  <c r="BL22" i="10" a="1"/>
  <c r="I38" i="10" a="1"/>
  <c r="AY4" i="10" a="1"/>
  <c r="AW7" i="10" a="1"/>
  <c r="AB34" i="10" a="1"/>
  <c r="AG28" i="10" a="1"/>
  <c r="AF30" i="10" a="1"/>
  <c r="Y46" i="10" a="1"/>
  <c r="AN14" i="10" a="1"/>
  <c r="AG22" i="10" a="1"/>
  <c r="AJ22" i="10" a="1"/>
  <c r="U6" i="10" a="1"/>
  <c r="S7" i="10" a="1"/>
  <c r="BD14" i="10" a="1"/>
  <c r="AR41" i="10" a="1"/>
  <c r="AM46" i="10" a="1"/>
  <c r="BC4" i="10" a="1"/>
  <c r="BC6" i="10" a="1"/>
  <c r="K6" i="10" a="1"/>
  <c r="F46" i="10" a="1"/>
  <c r="F47" i="10" a="1"/>
  <c r="BQ14" i="10" a="1"/>
  <c r="AM6" i="10" a="1"/>
  <c r="AO7" i="10" a="1"/>
  <c r="D31" i="10" a="1"/>
  <c r="B31" i="10" a="1"/>
  <c r="AJ47" i="10" a="1"/>
  <c r="AF46" i="10" a="1"/>
  <c r="AV38" i="10" a="1"/>
  <c r="J10" i="10" a="1"/>
  <c r="M10" i="10" a="1"/>
  <c r="AN36" i="10" a="1"/>
  <c r="AO38" i="10" a="1"/>
  <c r="BU31" i="10" a="1"/>
  <c r="BR30" i="10" a="1"/>
  <c r="V17" i="10" a="1"/>
  <c r="AJ10" i="10" a="1"/>
  <c r="AF14" i="10" a="1"/>
  <c r="Y28" i="10" a="1"/>
  <c r="Z30" i="10" a="1"/>
  <c r="BD22" i="10" a="1"/>
  <c r="BC18" i="10" a="1"/>
  <c r="BJ30" i="10" a="1"/>
  <c r="BN26" i="10" a="1"/>
  <c r="BC44" i="10" a="1"/>
  <c r="BB46" i="10" a="1"/>
  <c r="D7" i="10" a="1"/>
  <c r="U15" i="10" a="1"/>
  <c r="U11" i="10" a="1"/>
  <c r="Y4" i="10" a="1"/>
  <c r="Z7" i="10" a="1"/>
  <c r="S39" i="10" a="1"/>
  <c r="U39" i="10" a="1"/>
  <c r="F35" i="10" a="1"/>
  <c r="F38" i="10" a="1"/>
  <c r="AG36" i="10" a="1"/>
  <c r="AH38" i="10" a="1"/>
  <c r="AN20" i="10" a="1"/>
  <c r="AB20" i="10" a="1"/>
  <c r="AY11" i="10" a="1"/>
  <c r="AZ25" i="10" a="1"/>
  <c r="AN30" i="10" a="1"/>
  <c r="BJ7" i="10" a="1"/>
  <c r="J36" i="10" a="1"/>
  <c r="AJ31" i="10" a="1"/>
  <c r="BD15" i="10" a="1"/>
  <c r="BC2" i="10" a="1"/>
  <c r="BU14" i="10" a="1"/>
  <c r="J14" i="10" a="1"/>
  <c r="U14" i="10" a="1"/>
  <c r="AN22" i="10" a="1"/>
  <c r="R46" i="10" a="1"/>
  <c r="R44" i="10" a="1"/>
  <c r="BN11" i="10" a="1"/>
  <c r="BC36" i="10" a="1"/>
  <c r="BB39" i="10" a="1"/>
  <c r="BU4" i="10" a="1"/>
  <c r="M47" i="10" a="1"/>
  <c r="M44" i="10" a="1"/>
  <c r="AB19" i="10" a="1"/>
  <c r="AB22" i="10" a="1"/>
  <c r="AW14" i="10" a="1"/>
  <c r="AV10" i="10" a="1"/>
  <c r="AY19" i="10" a="1"/>
  <c r="AV26" i="10" a="1"/>
  <c r="AU31" i="10" a="1"/>
  <c r="C12" i="10" a="1"/>
  <c r="C14" i="10" a="1"/>
  <c r="AM31" i="10" a="1"/>
  <c r="AQ26" i="10" a="1"/>
  <c r="BQ23" i="10" a="1"/>
  <c r="BU23" i="10" a="1"/>
  <c r="S31" i="10" a="1"/>
  <c r="R28" i="10" a="1"/>
  <c r="AF7" i="10" a="1"/>
  <c r="AG2" i="10" a="1"/>
  <c r="BK2" i="10" a="1"/>
  <c r="F22" i="10" a="1"/>
  <c r="G17" i="10" a="1"/>
  <c r="N17" i="10" a="1"/>
  <c r="BN18" i="10" a="1"/>
  <c r="BN23" i="10" a="1"/>
  <c r="J34" i="10" a="1"/>
  <c r="AY3" i="10" a="1"/>
  <c r="AV2" i="10" a="1"/>
  <c r="AB36" i="10" a="1"/>
  <c r="AK25" i="10" a="1"/>
  <c r="AJ26" i="10" a="1"/>
  <c r="AC41" i="10" a="1"/>
  <c r="AB42" i="10" a="1"/>
  <c r="AH23" i="10" a="1"/>
  <c r="AG18" i="10" a="1"/>
  <c r="V1" i="10" a="1"/>
  <c r="R2" i="10" a="1"/>
  <c r="BB15" i="10" a="1"/>
  <c r="AQ46" i="10" a="1"/>
  <c r="AQ42" i="10" a="1"/>
  <c r="BB7" i="10" a="1"/>
  <c r="BF6" i="10" a="1"/>
  <c r="M7" i="10" a="1"/>
  <c r="D47" i="10" a="1"/>
  <c r="BU11" i="10" a="1"/>
  <c r="BU10" i="10" a="1"/>
  <c r="AQ7" i="10" a="1"/>
  <c r="F31" i="10" a="1"/>
  <c r="F26" i="10" a="1"/>
  <c r="AF47" i="10" a="1"/>
  <c r="AG46" i="10" a="1"/>
  <c r="AY36" i="10" a="1"/>
  <c r="K15" i="10" a="1"/>
  <c r="AN34" i="10" a="1"/>
  <c r="BQ31" i="10" a="1"/>
  <c r="R22" i="10" a="1"/>
  <c r="U23" i="10" a="1"/>
  <c r="AH15" i="10" a="1"/>
  <c r="AH14" i="10" a="1"/>
  <c r="X30" i="10" a="1"/>
  <c r="Y26" i="10" a="1"/>
  <c r="BG17" i="10" a="1"/>
  <c r="BN31" i="10" a="1"/>
  <c r="BC46" i="10" a="1"/>
  <c r="C6" i="10" a="1"/>
  <c r="B6" i="10" a="1"/>
  <c r="Q15" i="10" a="1"/>
  <c r="AB6" i="10" a="1"/>
  <c r="Y6" i="10" a="1"/>
  <c r="I30" i="10" a="1"/>
  <c r="M26" i="10" a="1"/>
  <c r="C34" i="10" a="1"/>
  <c r="C36" i="10" a="1"/>
  <c r="AF39" i="10" a="1"/>
  <c r="AZ41" i="10" a="1"/>
  <c r="BK14" i="10" a="1"/>
  <c r="M46" i="10" a="1"/>
  <c r="AQ30" i="10" a="1"/>
  <c r="AJ2" i="10" a="1"/>
  <c r="X46" i="10" a="1"/>
  <c r="AF23" i="10" a="1"/>
  <c r="AN4" i="10" a="1"/>
  <c r="BS31" i="10" a="1"/>
  <c r="Y30" i="10" a="1"/>
  <c r="AJ34" i="10" a="1"/>
  <c r="AM23" i="10" a="1"/>
  <c r="U43" i="10" a="1"/>
  <c r="S46" i="10" a="1"/>
  <c r="BN14" i="10" a="1"/>
  <c r="BO9" i="10" a="1"/>
  <c r="BF35" i="10" a="1"/>
  <c r="BR6" i="10" a="1"/>
  <c r="K47" i="10" a="1"/>
  <c r="I46" i="10" a="1"/>
  <c r="X23" i="10" a="1"/>
  <c r="Z22" i="10" a="1"/>
  <c r="AV12" i="10" a="1"/>
  <c r="AY15" i="10" a="1"/>
  <c r="AV20" i="10" a="1"/>
  <c r="AW31" i="10" a="1"/>
  <c r="G9" i="10" a="1"/>
  <c r="B14" i="10" a="1"/>
  <c r="AN26" i="10" a="1"/>
  <c r="AQ27" i="10" a="1"/>
  <c r="V25" i="10" a="1"/>
  <c r="U30" i="10" a="1"/>
  <c r="AJ4" i="10" a="1"/>
  <c r="BO1" i="10" a="1"/>
  <c r="BN7" i="10" a="1"/>
  <c r="C20" i="10" a="1"/>
  <c r="M19" i="10" a="1"/>
  <c r="BN20" i="10" a="1"/>
  <c r="BN22" i="10" a="1"/>
  <c r="M34" i="10" a="1"/>
  <c r="M38" i="10" a="1"/>
  <c r="AZ1" i="10" a="1"/>
  <c r="AY6" i="10" a="1"/>
  <c r="Y36" i="10" a="1"/>
  <c r="Y38" i="10" a="1"/>
  <c r="AJ30" i="10" a="1"/>
  <c r="AB43" i="10" a="1"/>
  <c r="Z47" i="10" a="1"/>
  <c r="AQ12" i="10" a="1"/>
  <c r="AQ10" i="10" a="1"/>
  <c r="AF22" i="10" a="1"/>
  <c r="AK17" i="10" a="1"/>
  <c r="BC10" i="10" a="1"/>
  <c r="AQ43" i="10" a="1"/>
  <c r="AQ47" i="10" a="1"/>
  <c r="BF3" i="10" a="1"/>
  <c r="K7" i="10" a="1"/>
  <c r="M2" i="10" a="1"/>
  <c r="F42" i="10" a="1"/>
  <c r="B47" i="10" a="1"/>
  <c r="BU15" i="10" a="1"/>
  <c r="BR14" i="10" a="1"/>
  <c r="AN6" i="10" a="1"/>
  <c r="C28" i="10" a="1"/>
  <c r="D30" i="10" a="1"/>
  <c r="AG44" i="10" a="1"/>
  <c r="AW38" i="10" a="1"/>
  <c r="AU39" i="10" a="1"/>
  <c r="K14" i="10" a="1"/>
  <c r="M14" i="10" a="1"/>
  <c r="AM39" i="10" a="1"/>
  <c r="AQ36" i="10" a="1"/>
  <c r="BR28" i="10" a="1"/>
  <c r="S22" i="10" a="1"/>
  <c r="U22" i="10" a="1"/>
  <c r="AF15" i="10" a="1"/>
  <c r="AJ15" i="10" a="1"/>
  <c r="AB28" i="10" a="1"/>
  <c r="X31" i="10" a="1"/>
  <c r="BD23" i="10" a="1"/>
  <c r="BB31" i="10" a="1"/>
  <c r="BN27" i="10" a="1"/>
  <c r="BK26" i="10" a="1"/>
  <c r="BD47" i="10" a="1"/>
  <c r="D6" i="10" a="1"/>
  <c r="S15" i="10" a="1"/>
  <c r="V9" i="10" a="1"/>
  <c r="Z6" i="10" a="1"/>
  <c r="Y2" i="10" a="1"/>
  <c r="R38" i="10" a="1"/>
  <c r="J30" i="10" a="1"/>
  <c r="J28" i="10" a="1"/>
  <c r="B39" i="10" a="1"/>
  <c r="G33" i="10" a="1"/>
  <c r="AJ39" i="10" a="1"/>
  <c r="AY47" i="10" a="1"/>
  <c r="AW47" i="10" a="1"/>
  <c r="U44" i="10" a="1"/>
  <c r="BU3" i="10" a="1"/>
  <c r="AY23" i="10" a="1"/>
  <c r="C10" i="10" a="1"/>
  <c r="U26" i="10" a="1"/>
  <c r="M18" i="10" a="1"/>
  <c r="BF11" i="10" a="1"/>
  <c r="B46" i="10" a="1"/>
  <c r="U20" i="10" a="1"/>
  <c r="BC26" i="10" a="1"/>
  <c r="C4" i="10" a="1"/>
  <c r="K31" i="10" a="1"/>
  <c r="AG38" i="10" a="1"/>
  <c r="AN18" i="10" a="1"/>
  <c r="AQ20" i="10" a="1"/>
  <c r="U47" i="10" a="1"/>
  <c r="U46" i="10" a="1"/>
  <c r="BN15" i="10" a="1"/>
  <c r="BC34" i="10" a="1"/>
  <c r="BV1" i="10" a="1"/>
  <c r="BU7" i="10" a="1"/>
  <c r="I47" i="10" a="1"/>
  <c r="X22" i="10" a="1"/>
  <c r="Y22" i="10" a="1"/>
  <c r="AY14" i="10" a="1"/>
  <c r="AV22" i="10" a="1"/>
  <c r="AY22" i="10" a="1"/>
  <c r="F14" i="10" a="1"/>
  <c r="AM30" i="10" a="1"/>
  <c r="AQ28" i="10" a="1"/>
  <c r="BR18" i="10" a="1"/>
  <c r="BR20" i="10" a="1"/>
  <c r="U31" i="10" a="1"/>
  <c r="R26" i="10" a="1"/>
  <c r="AJ7" i="10" a="1"/>
  <c r="AJ6" i="10" a="1"/>
  <c r="BN4" i="10" a="1"/>
  <c r="BN3" i="10" a="1"/>
  <c r="F18" i="10" a="1"/>
  <c r="J22" i="10" a="1"/>
  <c r="J20" i="10" a="1"/>
  <c r="BK20" i="10" a="1"/>
  <c r="N33" i="10" a="1"/>
  <c r="K38" i="10" a="1"/>
  <c r="AW6" i="10" a="1"/>
  <c r="AU6" i="10" a="1"/>
  <c r="AC33" i="10" a="1"/>
  <c r="AB35" i="10" a="1"/>
  <c r="AJ28" i="10" a="1"/>
  <c r="AJ27" i="10" a="1"/>
  <c r="Z46" i="10" a="1"/>
  <c r="AM14" i="10" a="1"/>
  <c r="AO15" i="10" a="1"/>
  <c r="AJ18" i="10" a="1"/>
  <c r="R4" i="10" a="1"/>
  <c r="Q6" i="10" a="1"/>
  <c r="BG9" i="10" a="1"/>
  <c r="BF10" i="10" a="1"/>
  <c r="AO46" i="10" a="1"/>
  <c r="AN46" i="10" a="1"/>
  <c r="BG1" i="10" a="1"/>
  <c r="J2" i="10" a="1"/>
  <c r="N1" i="10" a="1"/>
  <c r="G41" i="10" a="1"/>
  <c r="C42" i="10" a="1"/>
  <c r="BS15" i="10" a="1"/>
  <c r="AR1" i="10" a="1"/>
  <c r="AQ2" i="10" a="1"/>
  <c r="C30" i="10" a="1"/>
  <c r="F28" i="10" a="1"/>
  <c r="AH46" i="10" a="1"/>
  <c r="AJ46" i="10" a="1"/>
  <c r="AY35" i="10" a="1"/>
  <c r="N9" i="10" a="1"/>
  <c r="I15" i="10" a="1"/>
  <c r="AM38" i="10" a="1"/>
  <c r="BR26" i="10" a="1"/>
  <c r="BQ30" i="10" a="1"/>
  <c r="U18" i="10" a="1"/>
  <c r="Q23" i="10" a="1"/>
  <c r="AG14" i="10" a="1"/>
  <c r="AJ14" i="10" a="1"/>
  <c r="BF19" i="10" a="1"/>
  <c r="BF18" i="10" a="1"/>
  <c r="BJ31" i="10" a="1"/>
  <c r="BF42" i="10" a="1"/>
  <c r="BF46" i="10" a="1"/>
  <c r="F6" i="10" a="1"/>
  <c r="F7" i="10" a="1"/>
  <c r="U12" i="10" a="1"/>
  <c r="R10" i="10" a="1"/>
  <c r="X7" i="10" a="1"/>
  <c r="U34" i="10" a="1"/>
  <c r="Q39" i="10" a="1"/>
  <c r="N25" i="10" a="1"/>
  <c r="M28" i="10" a="1"/>
  <c r="F34" i="10" a="1"/>
  <c r="AH39" i="10" a="1"/>
  <c r="AF38" i="10" a="1"/>
  <c r="AW46" i="10" a="1"/>
  <c r="BK10" i="10" a="1"/>
  <c r="J42" i="10" a="1"/>
  <c r="K23" i="10" a="1"/>
  <c r="AN10" i="10" a="1"/>
  <c r="U3" i="10" a="1"/>
  <c r="C46" i="10" a="1"/>
  <c r="C26" i="10" a="1"/>
  <c r="AY38" i="10" a="1"/>
  <c r="BU27" i="10" a="1"/>
  <c r="AB2" i="10" a="1"/>
  <c r="AY44" i="10" a="1"/>
  <c r="CO41" i="10" a="1"/>
  <c r="CY34" i="10" l="1" a="1"/>
  <c r="CY34" i="10" s="1"/>
  <c r="AY44" i="10"/>
  <c r="AB2" i="10"/>
  <c r="BU27" i="10"/>
  <c r="AY38" i="10"/>
  <c r="C26" i="10"/>
  <c r="C46" i="10"/>
  <c r="U3" i="10"/>
  <c r="AN10" i="10"/>
  <c r="K23" i="10"/>
  <c r="J42" i="10"/>
  <c r="BK10" i="10"/>
  <c r="AW46" i="10"/>
  <c r="AF38" i="10"/>
  <c r="AH39" i="10"/>
  <c r="F34" i="10"/>
  <c r="M28" i="10"/>
  <c r="N25" i="10"/>
  <c r="Q39" i="10"/>
  <c r="U34" i="10"/>
  <c r="X7" i="10"/>
  <c r="R10" i="10"/>
  <c r="U12" i="10"/>
  <c r="F7" i="10"/>
  <c r="F6" i="10"/>
  <c r="BF46" i="10"/>
  <c r="BF42" i="10"/>
  <c r="BJ31" i="10"/>
  <c r="BF18" i="10"/>
  <c r="BF19" i="10"/>
  <c r="AJ14" i="10"/>
  <c r="AG14" i="10"/>
  <c r="Q23" i="10"/>
  <c r="U18" i="10"/>
  <c r="BQ30" i="10"/>
  <c r="BR26" i="10"/>
  <c r="AM38" i="10"/>
  <c r="I15" i="10"/>
  <c r="N9" i="10"/>
  <c r="AY35" i="10"/>
  <c r="AJ46" i="10"/>
  <c r="AH46" i="10"/>
  <c r="F28" i="10"/>
  <c r="C30" i="10"/>
  <c r="AQ2" i="10"/>
  <c r="AR1" i="10"/>
  <c r="BS15" i="10"/>
  <c r="C42" i="10"/>
  <c r="G41" i="10"/>
  <c r="N1" i="10"/>
  <c r="J2" i="10"/>
  <c r="BG1" i="10"/>
  <c r="AN46" i="10"/>
  <c r="AO46" i="10"/>
  <c r="BF10" i="10"/>
  <c r="BG9" i="10"/>
  <c r="Q6" i="10"/>
  <c r="R4" i="10"/>
  <c r="AJ18" i="10"/>
  <c r="AO15" i="10"/>
  <c r="AM14" i="10"/>
  <c r="Z46" i="10"/>
  <c r="AJ27" i="10"/>
  <c r="AJ28" i="10"/>
  <c r="AB35" i="10"/>
  <c r="AC33" i="10"/>
  <c r="AU6" i="10"/>
  <c r="AW6" i="10"/>
  <c r="K38" i="10"/>
  <c r="N33" i="10"/>
  <c r="BK20" i="10"/>
  <c r="J20" i="10"/>
  <c r="J22" i="10"/>
  <c r="F18" i="10"/>
  <c r="BN3" i="10"/>
  <c r="BN4" i="10"/>
  <c r="AJ6" i="10"/>
  <c r="AJ7" i="10"/>
  <c r="R26" i="10"/>
  <c r="U31" i="10"/>
  <c r="BR20" i="10"/>
  <c r="BR18" i="10"/>
  <c r="AQ28" i="10"/>
  <c r="AM30" i="10"/>
  <c r="F14" i="10"/>
  <c r="AY22" i="10"/>
  <c r="AV22" i="10"/>
  <c r="AY14" i="10"/>
  <c r="Y22" i="10"/>
  <c r="X22" i="10"/>
  <c r="I47" i="10"/>
  <c r="BU7" i="10"/>
  <c r="BV1" i="10"/>
  <c r="BC34" i="10"/>
  <c r="BN15" i="10"/>
  <c r="U46" i="10"/>
  <c r="U47" i="10"/>
  <c r="AQ20" i="10"/>
  <c r="AN18" i="10"/>
  <c r="AG38" i="10"/>
  <c r="K31" i="10"/>
  <c r="C4" i="10"/>
  <c r="BC26" i="10"/>
  <c r="BC27" i="10" s="1" a="1"/>
  <c r="BC27" i="10" s="1"/>
  <c r="U20" i="10"/>
  <c r="B46" i="10"/>
  <c r="BF11" i="10"/>
  <c r="M18" i="10"/>
  <c r="U26" i="10"/>
  <c r="C10" i="10"/>
  <c r="AY23" i="10"/>
  <c r="BU3" i="10"/>
  <c r="U44" i="10"/>
  <c r="AW47" i="10"/>
  <c r="AY47" i="10"/>
  <c r="AJ39" i="10"/>
  <c r="G33" i="10"/>
  <c r="B39" i="10"/>
  <c r="J28" i="10"/>
  <c r="J30" i="10"/>
  <c r="R38" i="10"/>
  <c r="Y2" i="10"/>
  <c r="Z6" i="10"/>
  <c r="V9" i="10"/>
  <c r="S15" i="10"/>
  <c r="D6" i="10"/>
  <c r="BD47" i="10"/>
  <c r="BK26" i="10"/>
  <c r="BN27" i="10"/>
  <c r="BB31" i="10"/>
  <c r="BD23" i="10"/>
  <c r="X31" i="10"/>
  <c r="AB28" i="10"/>
  <c r="AJ15" i="10"/>
  <c r="AF15" i="10"/>
  <c r="U22" i="10"/>
  <c r="S22" i="10"/>
  <c r="BR28" i="10"/>
  <c r="AQ36" i="10"/>
  <c r="AM39" i="10"/>
  <c r="M14" i="10"/>
  <c r="K14" i="10"/>
  <c r="AU39" i="10"/>
  <c r="AW38" i="10"/>
  <c r="AG44" i="10"/>
  <c r="D30" i="10"/>
  <c r="C28" i="10"/>
  <c r="AN6" i="10"/>
  <c r="BR14" i="10"/>
  <c r="BU15" i="10"/>
  <c r="B47" i="10"/>
  <c r="F42" i="10"/>
  <c r="M2" i="10"/>
  <c r="K7" i="10"/>
  <c r="BF3" i="10"/>
  <c r="AQ47" i="10"/>
  <c r="AQ43" i="10"/>
  <c r="BC10" i="10"/>
  <c r="AK17" i="10"/>
  <c r="AF22" i="10"/>
  <c r="AQ10" i="10"/>
  <c r="AQ12" i="10"/>
  <c r="Z47" i="10"/>
  <c r="AB43" i="10"/>
  <c r="AJ30" i="10"/>
  <c r="Y38" i="10"/>
  <c r="Y36" i="10"/>
  <c r="AY6" i="10"/>
  <c r="AZ1" i="10"/>
  <c r="M38" i="10"/>
  <c r="M34" i="10"/>
  <c r="BN22" i="10"/>
  <c r="BN20" i="10"/>
  <c r="M19" i="10"/>
  <c r="C20" i="10"/>
  <c r="BN7" i="10"/>
  <c r="BO1" i="10"/>
  <c r="AJ4" i="10"/>
  <c r="U30" i="10"/>
  <c r="V25" i="10"/>
  <c r="AQ27" i="10"/>
  <c r="AN26" i="10"/>
  <c r="B14" i="10"/>
  <c r="G9" i="10"/>
  <c r="AW31" i="10"/>
  <c r="AV20" i="10"/>
  <c r="AY15" i="10"/>
  <c r="AV12" i="10"/>
  <c r="Z22" i="10"/>
  <c r="X23" i="10"/>
  <c r="I46" i="10"/>
  <c r="K47" i="10"/>
  <c r="BR6" i="10"/>
  <c r="BF35" i="10"/>
  <c r="BO9" i="10"/>
  <c r="BN14" i="10"/>
  <c r="S46" i="10"/>
  <c r="U43" i="10"/>
  <c r="AM23" i="10"/>
  <c r="AJ34" i="10"/>
  <c r="Y30" i="10"/>
  <c r="BS31" i="10"/>
  <c r="AN4" i="10"/>
  <c r="AF23" i="10"/>
  <c r="X46" i="10"/>
  <c r="AJ2" i="10"/>
  <c r="AQ30" i="10"/>
  <c r="M46" i="10"/>
  <c r="BK14" i="10"/>
  <c r="AZ41" i="10"/>
  <c r="AF39" i="10"/>
  <c r="C36" i="10"/>
  <c r="C34" i="10"/>
  <c r="M26" i="10"/>
  <c r="I30" i="10"/>
  <c r="Y6" i="10"/>
  <c r="AB6" i="10"/>
  <c r="Q15" i="10"/>
  <c r="B6" i="10"/>
  <c r="C6" i="10"/>
  <c r="BC46" i="10"/>
  <c r="BN31" i="10"/>
  <c r="BG17" i="10"/>
  <c r="Y26" i="10"/>
  <c r="X30" i="10"/>
  <c r="AH14" i="10"/>
  <c r="AH15" i="10"/>
  <c r="U23" i="10"/>
  <c r="R22" i="10"/>
  <c r="BQ31" i="10"/>
  <c r="AN34" i="10"/>
  <c r="K15" i="10"/>
  <c r="AY36" i="10"/>
  <c r="AG46" i="10"/>
  <c r="AF47" i="10"/>
  <c r="F26" i="10"/>
  <c r="F31" i="10"/>
  <c r="AQ7" i="10"/>
  <c r="BU10" i="10"/>
  <c r="BU11" i="10"/>
  <c r="D47" i="10"/>
  <c r="M7" i="10"/>
  <c r="BF6" i="10"/>
  <c r="BB7" i="10"/>
  <c r="AQ42" i="10"/>
  <c r="AQ46" i="10"/>
  <c r="BB15" i="10"/>
  <c r="R2" i="10"/>
  <c r="V1" i="10"/>
  <c r="AG18" i="10"/>
  <c r="AH23" i="10"/>
  <c r="AB42" i="10"/>
  <c r="AC41" i="10"/>
  <c r="AJ26" i="10"/>
  <c r="AK25" i="10"/>
  <c r="AB36" i="10"/>
  <c r="AV2" i="10"/>
  <c r="AY3" i="10"/>
  <c r="J34" i="10"/>
  <c r="BN23" i="10"/>
  <c r="BN18" i="10"/>
  <c r="N17" i="10"/>
  <c r="G17" i="10"/>
  <c r="F22" i="10"/>
  <c r="BK2" i="10"/>
  <c r="AG2" i="10"/>
  <c r="AF7" i="10"/>
  <c r="R28" i="10"/>
  <c r="S31" i="10"/>
  <c r="BU23" i="10"/>
  <c r="BQ23" i="10"/>
  <c r="AQ26" i="10"/>
  <c r="AM31" i="10"/>
  <c r="C14" i="10"/>
  <c r="C12" i="10"/>
  <c r="AU31" i="10"/>
  <c r="AV26" i="10"/>
  <c r="AV27" i="10" s="1" a="1"/>
  <c r="AV27" i="10" s="1"/>
  <c r="AY19" i="10"/>
  <c r="AV10" i="10"/>
  <c r="AW14" i="10"/>
  <c r="AB22" i="10"/>
  <c r="AB19" i="10"/>
  <c r="M44" i="10"/>
  <c r="M47" i="10"/>
  <c r="BU4" i="10"/>
  <c r="BB39" i="10"/>
  <c r="BC36" i="10"/>
  <c r="BN11" i="10"/>
  <c r="R44" i="10"/>
  <c r="R46" i="10"/>
  <c r="AN22" i="10"/>
  <c r="U14" i="10"/>
  <c r="J14" i="10"/>
  <c r="BU14" i="10"/>
  <c r="BC2" i="10"/>
  <c r="BD15" i="10"/>
  <c r="AJ31" i="10"/>
  <c r="J36" i="10"/>
  <c r="BJ7" i="10"/>
  <c r="AN30" i="10"/>
  <c r="AZ25" i="10"/>
  <c r="AY11" i="10"/>
  <c r="AB20" i="10"/>
  <c r="AN20" i="10"/>
  <c r="AH38" i="10"/>
  <c r="AG36" i="10"/>
  <c r="F38" i="10"/>
  <c r="F35" i="10"/>
  <c r="U39" i="10"/>
  <c r="S39" i="10"/>
  <c r="Z7" i="10"/>
  <c r="Y4" i="10"/>
  <c r="U11" i="10"/>
  <c r="U15" i="10"/>
  <c r="D7" i="10"/>
  <c r="BB46" i="10"/>
  <c r="BC44" i="10"/>
  <c r="BN26" i="10"/>
  <c r="BJ30" i="10"/>
  <c r="BC18" i="10"/>
  <c r="BD22" i="10"/>
  <c r="Z30" i="10"/>
  <c r="Y28" i="10"/>
  <c r="AF14" i="10"/>
  <c r="AJ10" i="10"/>
  <c r="V17" i="10"/>
  <c r="BR30" i="10"/>
  <c r="BU31" i="10"/>
  <c r="AO38" i="10"/>
  <c r="AN36" i="10"/>
  <c r="M10" i="10"/>
  <c r="J10" i="10"/>
  <c r="AV38" i="10"/>
  <c r="AF46" i="10"/>
  <c r="AJ47" i="10"/>
  <c r="B31" i="10"/>
  <c r="D31" i="10"/>
  <c r="AO7" i="10"/>
  <c r="AM6" i="10"/>
  <c r="BQ14" i="10"/>
  <c r="F47" i="10"/>
  <c r="F46" i="10"/>
  <c r="K6" i="10"/>
  <c r="BC6" i="10"/>
  <c r="BC4" i="10"/>
  <c r="AM46" i="10"/>
  <c r="AR41" i="10"/>
  <c r="BD14" i="10"/>
  <c r="S7" i="10"/>
  <c r="U6" i="10"/>
  <c r="AJ22" i="10"/>
  <c r="AG22" i="10"/>
  <c r="AN14" i="10"/>
  <c r="Y46" i="10"/>
  <c r="AF30" i="10"/>
  <c r="AG28" i="10"/>
  <c r="AB34" i="10"/>
  <c r="AW7" i="10"/>
  <c r="AY4" i="10"/>
  <c r="I38" i="10"/>
  <c r="BL22" i="10"/>
  <c r="BJ22" i="10"/>
  <c r="M20" i="10"/>
  <c r="B22" i="10"/>
  <c r="F23" i="10"/>
  <c r="BK6" i="10"/>
  <c r="AG6" i="10"/>
  <c r="U28" i="10"/>
  <c r="Q30" i="10"/>
  <c r="BQ22" i="10"/>
  <c r="BS23" i="10"/>
  <c r="AQ31" i="10"/>
  <c r="AO31" i="10"/>
  <c r="F12" i="10"/>
  <c r="B15" i="10"/>
  <c r="AZ17" i="10"/>
  <c r="AV18" i="10"/>
  <c r="AY12" i="10"/>
  <c r="AU15" i="10"/>
  <c r="Y20" i="10"/>
  <c r="AB23" i="10"/>
  <c r="M43" i="10"/>
  <c r="N41" i="10"/>
  <c r="BU2" i="10"/>
  <c r="BF39" i="10"/>
  <c r="BF34" i="10"/>
  <c r="BL15" i="10"/>
  <c r="BK12" i="10"/>
  <c r="U42" i="10"/>
  <c r="AQ18" i="10"/>
  <c r="F39" i="10"/>
  <c r="U36" i="10"/>
  <c r="BF47" i="10"/>
  <c r="BB23" i="10"/>
  <c r="R20" i="10"/>
  <c r="I14" i="10"/>
  <c r="AG42" i="10"/>
  <c r="AM47" i="10"/>
  <c r="AG30" i="10"/>
  <c r="AV6" i="10"/>
  <c r="BL23" i="10"/>
  <c r="AU14" i="10"/>
  <c r="BR2" i="10"/>
  <c r="R42" i="10"/>
  <c r="AY42" i="10"/>
  <c r="AV46" i="10"/>
  <c r="AG34" i="10"/>
  <c r="AJ36" i="10"/>
  <c r="F36" i="10"/>
  <c r="B38" i="10"/>
  <c r="M31" i="10"/>
  <c r="R34" i="10"/>
  <c r="U38" i="10"/>
  <c r="AC1" i="10"/>
  <c r="Q14" i="10"/>
  <c r="U10" i="10"/>
  <c r="F2" i="10"/>
  <c r="BC42" i="10"/>
  <c r="BD46" i="10"/>
  <c r="BN28" i="10"/>
  <c r="BN30" i="10"/>
  <c r="BG25" i="10"/>
  <c r="BF23" i="10"/>
  <c r="AB26" i="10"/>
  <c r="Z31" i="10"/>
  <c r="AG12" i="10"/>
  <c r="AK9" i="10"/>
  <c r="BV25" i="10"/>
  <c r="BU30" i="10"/>
  <c r="AQ35" i="10"/>
  <c r="AQ38" i="10"/>
  <c r="AY39" i="10"/>
  <c r="AU38" i="10"/>
  <c r="AH47" i="10"/>
  <c r="AJ43" i="10"/>
  <c r="G25" i="10"/>
  <c r="AN2" i="10"/>
  <c r="AO6" i="10"/>
  <c r="BR12" i="10"/>
  <c r="BU12" i="10"/>
  <c r="C44" i="10"/>
  <c r="M4" i="10"/>
  <c r="J4" i="10"/>
  <c r="BF4" i="10"/>
  <c r="BF2" i="10"/>
  <c r="AN44" i="10"/>
  <c r="BB14" i="10"/>
  <c r="BF14" i="10"/>
  <c r="Q7" i="10"/>
  <c r="U7" i="10"/>
  <c r="AJ23" i="10"/>
  <c r="AN12" i="10"/>
  <c r="AQ14" i="10"/>
  <c r="AB44" i="10"/>
  <c r="Y44" i="10"/>
  <c r="AH31" i="10"/>
  <c r="AB39" i="10"/>
  <c r="AV4" i="10"/>
  <c r="K39" i="10"/>
  <c r="I39" i="10"/>
  <c r="BN19" i="10"/>
  <c r="I22" i="10"/>
  <c r="I23" i="10"/>
  <c r="D23" i="10"/>
  <c r="C18" i="10"/>
  <c r="BL6" i="10"/>
  <c r="BJ6" i="10"/>
  <c r="AJ3" i="10"/>
  <c r="AH6" i="10"/>
  <c r="R30" i="10"/>
  <c r="BU19" i="10"/>
  <c r="BV17" i="10"/>
  <c r="AO30" i="10"/>
  <c r="F15" i="10"/>
  <c r="D14" i="10"/>
  <c r="AW22" i="10"/>
  <c r="AY18" i="10"/>
  <c r="AV14" i="10"/>
  <c r="AW15" i="10"/>
  <c r="Z23" i="10"/>
  <c r="M42" i="10"/>
  <c r="BS7" i="10"/>
  <c r="BQ7" i="10"/>
  <c r="BD39" i="10"/>
  <c r="BF36" i="10"/>
  <c r="BJ15" i="10"/>
  <c r="BN12" i="10"/>
  <c r="Q47" i="10"/>
  <c r="AO22" i="10"/>
  <c r="AO23" i="10"/>
  <c r="M27" i="10"/>
  <c r="R12" i="10"/>
  <c r="BL31" i="10"/>
  <c r="BB22" i="10"/>
  <c r="AN38" i="10"/>
  <c r="I7" i="10"/>
  <c r="AQ44" i="10"/>
  <c r="AQ11" i="10"/>
  <c r="Z38" i="10"/>
  <c r="J38" i="10"/>
  <c r="BK18" i="10"/>
  <c r="B23" i="10"/>
  <c r="BU20" i="10"/>
  <c r="D15" i="10"/>
  <c r="BB38" i="10"/>
  <c r="C38" i="10"/>
  <c r="J26" i="10"/>
  <c r="K30" i="10"/>
  <c r="Q38" i="10"/>
  <c r="U35" i="10"/>
  <c r="X6" i="10"/>
  <c r="AB7" i="10"/>
  <c r="R14" i="10"/>
  <c r="F3" i="10"/>
  <c r="B7" i="10"/>
  <c r="BG41" i="10"/>
  <c r="BF44" i="10"/>
  <c r="BK28" i="10"/>
  <c r="BO25" i="10"/>
  <c r="BD31" i="10"/>
  <c r="BC22" i="10"/>
  <c r="BF20" i="10"/>
  <c r="AB30" i="10"/>
  <c r="AB31" i="10"/>
  <c r="AJ12" i="10"/>
  <c r="Q22" i="10"/>
  <c r="R18" i="10"/>
  <c r="BU28" i="10"/>
  <c r="AO39" i="10"/>
  <c r="AQ34" i="10"/>
  <c r="M12" i="10"/>
  <c r="M15" i="10"/>
  <c r="AW39" i="10"/>
  <c r="AZ33" i="10"/>
  <c r="AK41" i="10"/>
  <c r="AJ42" i="10"/>
  <c r="F30" i="10"/>
  <c r="AQ3" i="10"/>
  <c r="AQ6" i="10"/>
  <c r="BQ15" i="10"/>
  <c r="BV9" i="10"/>
  <c r="F43" i="10"/>
  <c r="M3" i="10"/>
  <c r="J6" i="10"/>
  <c r="BB6" i="10"/>
  <c r="BF7" i="10"/>
  <c r="AN42" i="10"/>
  <c r="BC14" i="10"/>
  <c r="BF15" i="10"/>
  <c r="S6" i="10"/>
  <c r="U2" i="10"/>
  <c r="AG20" i="10"/>
  <c r="AJ20" i="10"/>
  <c r="AO14" i="10"/>
  <c r="AQ15" i="10"/>
  <c r="X47" i="10"/>
  <c r="Y42" i="10"/>
  <c r="AH30" i="10"/>
  <c r="AB38" i="10"/>
  <c r="X39" i="10"/>
  <c r="AY2" i="10"/>
  <c r="M39" i="10"/>
  <c r="BJ23" i="10"/>
  <c r="BK22" i="10"/>
  <c r="M23" i="10"/>
  <c r="K22" i="10"/>
  <c r="F19" i="10"/>
  <c r="C22" i="10"/>
  <c r="BN6" i="10"/>
  <c r="AG4" i="10"/>
  <c r="AF6" i="10"/>
  <c r="Q31" i="10"/>
  <c r="BU22" i="10"/>
  <c r="BU18" i="10"/>
  <c r="AR25" i="10"/>
  <c r="F10" i="10"/>
  <c r="AY28" i="10"/>
  <c r="AU22" i="10"/>
  <c r="AU23" i="10"/>
  <c r="AZ9" i="10"/>
  <c r="AB18" i="10"/>
  <c r="J46" i="10"/>
  <c r="BR4" i="10"/>
  <c r="BS6" i="10"/>
  <c r="BG33" i="10"/>
  <c r="BF38" i="10"/>
  <c r="BJ14" i="10"/>
  <c r="BN10" i="10"/>
  <c r="V41" i="10"/>
  <c r="AQ23" i="10"/>
  <c r="AQ19" i="10"/>
  <c r="AY46" i="10"/>
  <c r="R36" i="10"/>
  <c r="C2" i="10"/>
  <c r="BC28" i="10"/>
  <c r="AG10" i="10"/>
  <c r="AV34" i="10"/>
  <c r="BR10" i="10"/>
  <c r="AH22" i="10"/>
  <c r="AB47" i="10"/>
  <c r="Y34" i="10"/>
  <c r="BL7" i="10"/>
  <c r="AQ22" i="10"/>
  <c r="AU46" i="10"/>
  <c r="AU47" i="10"/>
  <c r="AV44" i="10"/>
  <c r="AJ35" i="10"/>
  <c r="D38" i="10"/>
  <c r="AV42" i="10"/>
  <c r="AV43" i="10" s="1" a="1"/>
  <c r="AV43" i="10" s="1"/>
  <c r="AJ38" i="10"/>
  <c r="AK33" i="10"/>
  <c r="D39" i="10"/>
  <c r="I31" i="10"/>
  <c r="M30" i="10"/>
  <c r="S38" i="10"/>
  <c r="V33" i="10"/>
  <c r="AB4" i="10"/>
  <c r="AB3" i="10"/>
  <c r="S14" i="10"/>
  <c r="G1" i="10"/>
  <c r="F4" i="10"/>
  <c r="BB47" i="10"/>
  <c r="BF43" i="10"/>
  <c r="BK30" i="10"/>
  <c r="BL30" i="10"/>
  <c r="BF28" i="10"/>
  <c r="BC20" i="10"/>
  <c r="BF22" i="10"/>
  <c r="AB27" i="10"/>
  <c r="AC25" i="10"/>
  <c r="AJ11" i="10"/>
  <c r="S23" i="10"/>
  <c r="U19" i="10"/>
  <c r="BS30" i="10"/>
  <c r="BU26" i="10"/>
  <c r="AQ39" i="10"/>
  <c r="AR33" i="10"/>
  <c r="M11" i="10"/>
  <c r="J12" i="10"/>
  <c r="AY34" i="10"/>
  <c r="AV36" i="10"/>
  <c r="AJ44" i="10"/>
  <c r="F27" i="10"/>
  <c r="B30" i="10"/>
  <c r="AQ4" i="10"/>
  <c r="AM7" i="10"/>
  <c r="BS14" i="10"/>
  <c r="F44" i="10"/>
  <c r="D46" i="10"/>
  <c r="I6" i="10"/>
  <c r="M6" i="10"/>
  <c r="BD7" i="10"/>
  <c r="BD6" i="10"/>
  <c r="AO47" i="10"/>
  <c r="BF12" i="10"/>
  <c r="BC12" i="10"/>
  <c r="R6" i="10"/>
  <c r="U4" i="10"/>
  <c r="AJ19" i="10"/>
  <c r="AM15" i="10"/>
  <c r="AR9" i="10"/>
  <c r="AB46" i="10"/>
  <c r="AG26" i="10"/>
  <c r="AF31" i="10"/>
  <c r="X38" i="10"/>
  <c r="Z39" i="10"/>
  <c r="AY7" i="10"/>
  <c r="AU7" i="10"/>
  <c r="M36" i="10"/>
  <c r="M35" i="10"/>
  <c r="BO17" i="10"/>
  <c r="M22" i="10"/>
  <c r="J18" i="10"/>
  <c r="D22" i="10"/>
  <c r="F20" i="10"/>
  <c r="BK4" i="10"/>
  <c r="BN2" i="10"/>
  <c r="AH7" i="10"/>
  <c r="AK1" i="10"/>
  <c r="U27" i="10"/>
  <c r="S30" i="10"/>
  <c r="BS22" i="10"/>
  <c r="BR22" i="10"/>
  <c r="AN28" i="10"/>
  <c r="F11" i="10"/>
  <c r="AV28" i="10"/>
  <c r="AW23" i="10"/>
  <c r="AY20" i="10"/>
  <c r="AY10" i="10"/>
  <c r="Y18" i="10"/>
  <c r="AC17" i="10"/>
  <c r="K46" i="10"/>
  <c r="J44" i="10"/>
  <c r="BQ6" i="10"/>
  <c r="BU6" i="10"/>
  <c r="BC38" i="10"/>
  <c r="BD38" i="10"/>
  <c r="BL14" i="10"/>
  <c r="S47" i="10"/>
  <c r="Q46" i="10"/>
  <c r="AM22" i="10"/>
  <c r="AR17" i="10"/>
  <c r="CY35" i="10" a="1"/>
  <c r="CY35" i="10" s="1"/>
  <c r="CV36" i="10" a="1"/>
  <c r="CV36" i="10" s="1"/>
  <c r="CY39" i="10" a="1"/>
  <c r="CY39" i="10" s="1"/>
  <c r="CU33" i="10"/>
  <c r="CU39" i="10" a="1"/>
  <c r="CU39" i="10" s="1"/>
  <c r="CZ33" i="10" a="1"/>
  <c r="CZ33" i="10" s="1"/>
  <c r="CY38" i="10" a="1"/>
  <c r="CY38" i="10" s="1"/>
  <c r="CU38" i="10" a="1"/>
  <c r="CU38" i="10" s="1"/>
  <c r="CV34" i="10" a="1"/>
  <c r="CV34" i="10" s="1"/>
  <c r="CV35" i="10" s="1" a="1"/>
  <c r="CV35" i="10" s="1"/>
  <c r="CW39" i="10" a="1"/>
  <c r="CW39" i="10" s="1"/>
  <c r="CW38" i="10" a="1"/>
  <c r="CW38" i="10" s="1"/>
  <c r="CY36" i="10" a="1"/>
  <c r="CY36" i="10" s="1"/>
  <c r="CO41" i="10"/>
  <c r="CO42" i="10" s="1" a="1"/>
  <c r="CO42" i="10" s="1"/>
  <c r="CO43" i="10" s="1" a="1"/>
  <c r="CO43" i="10" s="1"/>
  <c r="J27" i="10" a="1"/>
  <c r="AN43" i="10" a="1"/>
  <c r="AV19" i="10" a="1"/>
  <c r="AV3" i="10" a="1"/>
  <c r="AN3" i="10" a="1"/>
  <c r="BK19" i="10" a="1"/>
  <c r="Y43" i="10" a="1"/>
  <c r="Y35" i="10" a="1"/>
  <c r="C19" i="10" a="1"/>
  <c r="C27" i="10" a="1"/>
  <c r="AV11" i="10" a="1"/>
  <c r="AG35" i="10" a="1"/>
  <c r="R19" i="10" a="1"/>
  <c r="AG27" i="10" a="1"/>
  <c r="J19" i="10" a="1"/>
  <c r="Y27" i="10" a="1"/>
  <c r="R3" i="10" a="1"/>
  <c r="Y11" i="10" a="1"/>
  <c r="BK3" i="10" a="1"/>
  <c r="BC43" i="10" a="1"/>
  <c r="C3" i="10" a="1"/>
  <c r="Y19" i="10" a="1"/>
  <c r="C43" i="10" a="1"/>
  <c r="CV41" i="10" a="1"/>
  <c r="C43" i="10" l="1"/>
  <c r="Y19" i="10"/>
  <c r="C3" i="10"/>
  <c r="BC43" i="10"/>
  <c r="BK3" i="10"/>
  <c r="Y11" i="10"/>
  <c r="R3" i="10"/>
  <c r="Y27" i="10"/>
  <c r="J19" i="10"/>
  <c r="AG27" i="10"/>
  <c r="R19" i="10"/>
  <c r="AG35" i="10"/>
  <c r="AV11" i="10"/>
  <c r="C27" i="10"/>
  <c r="C19" i="10"/>
  <c r="Y35" i="10"/>
  <c r="Y43" i="10"/>
  <c r="BK19" i="10"/>
  <c r="AN3" i="10"/>
  <c r="AV3" i="10"/>
  <c r="AV19" i="10"/>
  <c r="AN43" i="10"/>
  <c r="J27" i="10"/>
  <c r="CN46" i="10" a="1"/>
  <c r="CN46" i="10" s="1"/>
  <c r="CR44" i="10" a="1"/>
  <c r="CR44" i="10" s="1"/>
  <c r="CS41" i="10" a="1"/>
  <c r="CS41" i="10" s="1"/>
  <c r="CP47" i="10" a="1"/>
  <c r="CP47" i="10" s="1"/>
  <c r="CO44" i="10" a="1"/>
  <c r="CO44" i="10" s="1"/>
  <c r="CN41" i="10"/>
  <c r="CN47" i="10" a="1"/>
  <c r="CN47" i="10" s="1"/>
  <c r="CO46" i="10" a="1"/>
  <c r="CO46" i="10" s="1"/>
  <c r="CR47" i="10" a="1"/>
  <c r="CR47" i="10" s="1"/>
  <c r="CR42" i="10" a="1"/>
  <c r="CR42" i="10" s="1"/>
  <c r="CR46" i="10" a="1"/>
  <c r="CR46" i="10" s="1"/>
  <c r="CP46" i="10" a="1"/>
  <c r="CP46" i="10" s="1"/>
  <c r="CR43" i="10" a="1"/>
  <c r="CR43" i="10" s="1"/>
  <c r="CV41" i="10"/>
  <c r="CZ41" i="10" s="1" a="1"/>
  <c r="CZ41" i="10" s="1"/>
  <c r="CY44" i="10" a="1"/>
  <c r="CY44" i="10" s="1"/>
  <c r="AG19" i="10" a="1"/>
  <c r="BC35" i="10" a="1"/>
  <c r="C35" i="10" a="1"/>
  <c r="J3" i="10" a="1"/>
  <c r="J35" i="10" a="1"/>
  <c r="Y3" i="10" a="1"/>
  <c r="R11" i="10" a="1"/>
  <c r="BR27" i="10" a="1"/>
  <c r="J43" i="10" a="1"/>
  <c r="AG11" i="10" a="1"/>
  <c r="J11" i="10" a="1"/>
  <c r="AN11" i="10" a="1"/>
  <c r="BR11" i="10" a="1"/>
  <c r="BK11" i="10" a="1"/>
  <c r="BR3" i="10" a="1"/>
  <c r="AN27" i="10" a="1"/>
  <c r="BC19" i="10" a="1"/>
  <c r="BK27" i="10" a="1"/>
  <c r="BC11" i="10" a="1"/>
  <c r="R35" i="10" a="1"/>
  <c r="BR19" i="10" a="1"/>
  <c r="AV35" i="10" a="1"/>
  <c r="R27" i="10" a="1"/>
  <c r="C11" i="10" a="1"/>
  <c r="R43" i="10" a="1"/>
  <c r="BC3" i="10" a="1"/>
  <c r="AG3" i="10" a="1"/>
  <c r="AN35" i="10" a="1"/>
  <c r="AG43" i="10" a="1"/>
  <c r="AN19" i="10" a="1"/>
  <c r="DD1" i="10" a="1"/>
  <c r="AN19" i="10" l="1"/>
  <c r="AG43" i="10"/>
  <c r="AN35" i="10"/>
  <c r="AG3" i="10"/>
  <c r="BC3" i="10"/>
  <c r="R43" i="10"/>
  <c r="C11" i="10"/>
  <c r="R27" i="10"/>
  <c r="AV35" i="10"/>
  <c r="BR19" i="10"/>
  <c r="R35" i="10"/>
  <c r="BC11" i="10"/>
  <c r="BK27" i="10"/>
  <c r="BC19" i="10"/>
  <c r="AN27" i="10"/>
  <c r="BR3" i="10"/>
  <c r="BK11" i="10"/>
  <c r="BR11" i="10"/>
  <c r="AN11" i="10"/>
  <c r="J11" i="10"/>
  <c r="AG11" i="10"/>
  <c r="J43" i="10"/>
  <c r="BR27" i="10"/>
  <c r="R11" i="10"/>
  <c r="Y3" i="10"/>
  <c r="J35" i="10"/>
  <c r="J3" i="10"/>
  <c r="C35" i="10"/>
  <c r="BC35" i="10"/>
  <c r="AG19" i="10"/>
  <c r="CU41" i="10"/>
  <c r="CU46" i="10" a="1"/>
  <c r="CU46" i="10" s="1"/>
  <c r="CY46" i="10" a="1"/>
  <c r="CY46" i="10" s="1"/>
  <c r="CW46" i="10" a="1"/>
  <c r="CW46" i="10" s="1"/>
  <c r="CV42" i="10" a="1"/>
  <c r="CV42" i="10" s="1"/>
  <c r="CV43" i="10" s="1" a="1"/>
  <c r="CV43" i="10" s="1"/>
  <c r="CV46" i="10" a="1"/>
  <c r="CV46" i="10" s="1"/>
  <c r="CY47" i="10" a="1"/>
  <c r="CY47" i="10" s="1"/>
  <c r="CY42" i="10" a="1"/>
  <c r="CY42" i="10" s="1"/>
  <c r="CW47" i="10" a="1"/>
  <c r="CW47" i="10" s="1"/>
  <c r="CV44" i="10" a="1"/>
  <c r="CV44" i="10" s="1"/>
  <c r="CY43" i="10" a="1"/>
  <c r="CY43" i="10" s="1"/>
  <c r="CU47" i="10" a="1"/>
  <c r="CU47" i="10" s="1"/>
  <c r="DD1" i="10"/>
  <c r="DC6" i="10" s="1" a="1"/>
  <c r="DC6" i="10" s="1"/>
  <c r="DK1" i="10" a="1"/>
  <c r="DG4" i="10" l="1" a="1"/>
  <c r="DG4" i="10" s="1"/>
  <c r="DG3" i="10" a="1"/>
  <c r="DG3" i="10" s="1"/>
  <c r="DG2" i="10" a="1"/>
  <c r="DG2" i="10" s="1"/>
  <c r="DD4" i="10" a="1"/>
  <c r="DD4" i="10" s="1"/>
  <c r="DE7" i="10" a="1"/>
  <c r="DE7" i="10" s="1"/>
  <c r="DG6" i="10" a="1"/>
  <c r="DG6" i="10" s="1"/>
  <c r="DC7" i="10" a="1"/>
  <c r="DC7" i="10" s="1"/>
  <c r="DD2" i="10" a="1"/>
  <c r="DD2" i="10" s="1"/>
  <c r="DD3" i="10" s="1" a="1"/>
  <c r="DD3" i="10" s="1"/>
  <c r="DH1" i="10" a="1"/>
  <c r="DH1" i="10" s="1"/>
  <c r="DC1" i="10"/>
  <c r="DD6" i="10" a="1"/>
  <c r="DD6" i="10" s="1"/>
  <c r="DE6" i="10" a="1"/>
  <c r="DE6" i="10" s="1"/>
  <c r="DG7" i="10" a="1"/>
  <c r="DG7" i="10" s="1"/>
  <c r="DK1" i="10"/>
  <c r="DN6" i="10" s="1" a="1"/>
  <c r="DN6" i="10" s="1"/>
  <c r="DO1" i="10" a="1"/>
  <c r="DO1" i="10" s="1"/>
  <c r="DD9" i="10" a="1"/>
  <c r="DJ7" i="10" l="1" a="1"/>
  <c r="DJ7" i="10" s="1"/>
  <c r="DK4" i="10" a="1"/>
  <c r="DK4" i="10" s="1"/>
  <c r="DK2" i="10" a="1"/>
  <c r="DK2" i="10" s="1"/>
  <c r="DK3" i="10" s="1" a="1"/>
  <c r="DK3" i="10" s="1"/>
  <c r="DK6" i="10" a="1"/>
  <c r="DK6" i="10" s="1"/>
  <c r="DJ6" i="10" a="1"/>
  <c r="DJ6" i="10" s="1"/>
  <c r="DL7" i="10" a="1"/>
  <c r="DL7" i="10" s="1"/>
  <c r="DN4" i="10" a="1"/>
  <c r="DN4" i="10" s="1"/>
  <c r="DL6" i="10" a="1"/>
  <c r="DL6" i="10" s="1"/>
  <c r="DN3" i="10" a="1"/>
  <c r="DN3" i="10" s="1"/>
  <c r="DJ1" i="10"/>
  <c r="DN2" i="10" a="1"/>
  <c r="DN2" i="10" s="1"/>
  <c r="DN7" i="10" a="1"/>
  <c r="DN7" i="10" s="1"/>
  <c r="DD9" i="10"/>
  <c r="DC9" i="10" s="1"/>
  <c r="DG11" i="10" a="1"/>
  <c r="DG11" i="10" s="1"/>
  <c r="DK9" i="10" a="1"/>
  <c r="DH9" i="10" l="1" a="1"/>
  <c r="DH9" i="10" s="1"/>
  <c r="DG10" i="10" a="1"/>
  <c r="DG10" i="10" s="1"/>
  <c r="DD10" i="10" a="1"/>
  <c r="DD10" i="10" s="1"/>
  <c r="DD11" i="10" s="1" a="1"/>
  <c r="DD11" i="10" s="1"/>
  <c r="DD14" i="10" a="1"/>
  <c r="DD14" i="10" s="1"/>
  <c r="DC15" i="10" a="1"/>
  <c r="DC15" i="10" s="1"/>
  <c r="DG12" i="10" a="1"/>
  <c r="DG12" i="10" s="1"/>
  <c r="DG14" i="10" a="1"/>
  <c r="DG14" i="10" s="1"/>
  <c r="DD12" i="10" a="1"/>
  <c r="DD12" i="10" s="1"/>
  <c r="DE14" i="10" a="1"/>
  <c r="DE14" i="10" s="1"/>
  <c r="DC14" i="10" a="1"/>
  <c r="DC14" i="10" s="1"/>
  <c r="DE15" i="10" a="1"/>
  <c r="DE15" i="10" s="1"/>
  <c r="DG15" i="10" a="1"/>
  <c r="DG15" i="10" s="1"/>
  <c r="DK9" i="10"/>
  <c r="DK10" i="10" s="1" a="1"/>
  <c r="DK10" i="10" s="1"/>
  <c r="DK11" i="10" s="1" a="1"/>
  <c r="DK11" i="10" s="1"/>
  <c r="DN15" i="10" a="1"/>
  <c r="DN15" i="10" s="1"/>
  <c r="DD17" i="10" a="1"/>
  <c r="DN14" i="10" l="1" a="1"/>
  <c r="DN14" i="10" s="1"/>
  <c r="DJ14" i="10" a="1"/>
  <c r="DJ14" i="10" s="1"/>
  <c r="DK12" i="10" a="1"/>
  <c r="DK12" i="10" s="1"/>
  <c r="DN11" i="10" a="1"/>
  <c r="DN11" i="10" s="1"/>
  <c r="DJ9" i="10"/>
  <c r="DL14" i="10" a="1"/>
  <c r="DL14" i="10" s="1"/>
  <c r="DL15" i="10" a="1"/>
  <c r="DL15" i="10" s="1"/>
  <c r="DN12" i="10" a="1"/>
  <c r="DN12" i="10" s="1"/>
  <c r="DO9" i="10" a="1"/>
  <c r="DO9" i="10" s="1"/>
  <c r="DJ15" i="10" a="1"/>
  <c r="DJ15" i="10" s="1"/>
  <c r="DN10" i="10" a="1"/>
  <c r="DN10" i="10" s="1"/>
  <c r="DK14" i="10" a="1"/>
  <c r="DK14" i="10" s="1"/>
  <c r="DD17" i="10"/>
  <c r="DD18" i="10" s="1" a="1"/>
  <c r="DD18" i="10" s="1"/>
  <c r="DD19" i="10" s="1" a="1"/>
  <c r="DD19" i="10" s="1"/>
  <c r="DK17" i="10" a="1"/>
  <c r="DD20" i="10" l="1" a="1"/>
  <c r="DD20" i="10" s="1"/>
  <c r="DG18" i="10" a="1"/>
  <c r="DG18" i="10" s="1"/>
  <c r="DC23" i="10" a="1"/>
  <c r="DC23" i="10" s="1"/>
  <c r="DC22" i="10" a="1"/>
  <c r="DC22" i="10" s="1"/>
  <c r="DE23" i="10" a="1"/>
  <c r="DE23" i="10" s="1"/>
  <c r="DG22" i="10" a="1"/>
  <c r="DG22" i="10" s="1"/>
  <c r="DG20" i="10" a="1"/>
  <c r="DG20" i="10" s="1"/>
  <c r="DG23" i="10" a="1"/>
  <c r="DG23" i="10" s="1"/>
  <c r="DG19" i="10" a="1"/>
  <c r="DG19" i="10" s="1"/>
  <c r="DH17" i="10" a="1"/>
  <c r="DH17" i="10" s="1"/>
  <c r="DE22" i="10" a="1"/>
  <c r="DE22" i="10" s="1"/>
  <c r="DD22" i="10" a="1"/>
  <c r="DD22" i="10" s="1"/>
  <c r="DC17" i="10"/>
  <c r="DK17" i="10"/>
  <c r="DN20" i="10" s="1" a="1"/>
  <c r="DN20" i="10" s="1"/>
  <c r="DD25" i="10" a="1"/>
  <c r="DO17" i="10" l="1" a="1"/>
  <c r="DO17" i="10" s="1"/>
  <c r="DK22" i="10" a="1"/>
  <c r="DK22" i="10" s="1"/>
  <c r="DN22" i="10" a="1"/>
  <c r="DN22" i="10" s="1"/>
  <c r="DJ22" i="10" a="1"/>
  <c r="DJ22" i="10" s="1"/>
  <c r="DL22" i="10" a="1"/>
  <c r="DL22" i="10" s="1"/>
  <c r="DN18" i="10" a="1"/>
  <c r="DN18" i="10" s="1"/>
  <c r="DK20" i="10" a="1"/>
  <c r="DK20" i="10" s="1"/>
  <c r="DK18" i="10" a="1"/>
  <c r="DK18" i="10" s="1"/>
  <c r="DK19" i="10" s="1" a="1"/>
  <c r="DK19" i="10" s="1"/>
  <c r="DL23" i="10" a="1"/>
  <c r="DL23" i="10" s="1"/>
  <c r="DN23" i="10" a="1"/>
  <c r="DN23" i="10" s="1"/>
  <c r="DN19" i="10" a="1"/>
  <c r="DN19" i="10" s="1"/>
  <c r="DJ17" i="10"/>
  <c r="DJ23" i="10" a="1"/>
  <c r="DJ23" i="10" s="1"/>
  <c r="DD25" i="10"/>
  <c r="DD26" i="10" s="1" a="1"/>
  <c r="DD26" i="10" s="1"/>
  <c r="DD27" i="10" s="1" a="1"/>
  <c r="DD27" i="10" s="1"/>
  <c r="DK25" i="10" a="1"/>
  <c r="DD28" i="10" l="1" a="1"/>
  <c r="DD28" i="10" s="1"/>
  <c r="DG27" i="10" a="1"/>
  <c r="DG27" i="10" s="1"/>
  <c r="DC25" i="10"/>
  <c r="DG28" i="10" a="1"/>
  <c r="DG28" i="10" s="1"/>
  <c r="DC30" i="10" a="1"/>
  <c r="DC30" i="10" s="1"/>
  <c r="DH25" i="10" a="1"/>
  <c r="DH25" i="10" s="1"/>
  <c r="DG26" i="10" a="1"/>
  <c r="DG26" i="10" s="1"/>
  <c r="DE30" i="10" a="1"/>
  <c r="DE30" i="10" s="1"/>
  <c r="DC31" i="10" a="1"/>
  <c r="DC31" i="10" s="1"/>
  <c r="DG30" i="10" a="1"/>
  <c r="DG30" i="10" s="1"/>
  <c r="DD30" i="10" a="1"/>
  <c r="DD30" i="10" s="1"/>
  <c r="DE31" i="10" a="1"/>
  <c r="DE31" i="10" s="1"/>
  <c r="DG31" i="10" a="1"/>
  <c r="DG31" i="10" s="1"/>
  <c r="DK25" i="10"/>
  <c r="DN31" i="10" s="1" a="1"/>
  <c r="DN31" i="10" s="1"/>
  <c r="DK26" i="10" a="1"/>
  <c r="DK26" i="10" s="1"/>
  <c r="DK27" i="10" s="1" a="1"/>
  <c r="DK27" i="10" s="1"/>
  <c r="DD33" i="10" a="1"/>
  <c r="DL30" i="10" l="1" a="1"/>
  <c r="DL30" i="10" s="1"/>
  <c r="DN28" i="10" a="1"/>
  <c r="DN28" i="10" s="1"/>
  <c r="DN27" i="10" a="1"/>
  <c r="DN27" i="10" s="1"/>
  <c r="DL31" i="10" a="1"/>
  <c r="DL31" i="10" s="1"/>
  <c r="DK30" i="10" a="1"/>
  <c r="DK30" i="10" s="1"/>
  <c r="DN26" i="10" a="1"/>
  <c r="DN26" i="10" s="1"/>
  <c r="DN30" i="10" a="1"/>
  <c r="DN30" i="10" s="1"/>
  <c r="DK28" i="10" a="1"/>
  <c r="DK28" i="10" s="1"/>
  <c r="DJ31" i="10" a="1"/>
  <c r="DJ31" i="10" s="1"/>
  <c r="DO25" i="10" a="1"/>
  <c r="DO25" i="10" s="1"/>
  <c r="DJ25" i="10"/>
  <c r="DJ30" i="10" a="1"/>
  <c r="DJ30" i="10" s="1"/>
  <c r="DD33" i="10"/>
  <c r="DG36" i="10" s="1" a="1"/>
  <c r="DG36" i="10" s="1"/>
  <c r="DG34" i="10" a="1"/>
  <c r="DG34" i="10" s="1"/>
  <c r="DK33" i="10" a="1"/>
  <c r="DG39" i="10" l="1" a="1"/>
  <c r="DG39" i="10" s="1"/>
  <c r="DE38" i="10" a="1"/>
  <c r="DE38" i="10" s="1"/>
  <c r="DG35" i="10" a="1"/>
  <c r="DG35" i="10" s="1"/>
  <c r="DC39" i="10" a="1"/>
  <c r="DC39" i="10" s="1"/>
  <c r="DC33" i="10"/>
  <c r="DD36" i="10" a="1"/>
  <c r="DD36" i="10" s="1"/>
  <c r="DE39" i="10" a="1"/>
  <c r="DE39" i="10" s="1"/>
  <c r="DH33" i="10" a="1"/>
  <c r="DH33" i="10" s="1"/>
  <c r="DG38" i="10" a="1"/>
  <c r="DG38" i="10" s="1"/>
  <c r="DD34" i="10" a="1"/>
  <c r="DD34" i="10" s="1"/>
  <c r="DD35" i="10" s="1" a="1"/>
  <c r="DD35" i="10" s="1"/>
  <c r="DC38" i="10" a="1"/>
  <c r="DC38" i="10" s="1"/>
  <c r="DD38" i="10" a="1"/>
  <c r="DD38" i="10" s="1"/>
  <c r="DK33" i="10"/>
  <c r="DN34" i="10" s="1" a="1"/>
  <c r="DN34" i="10" s="1"/>
  <c r="DD41" i="10" a="1"/>
  <c r="DJ33" i="10" l="1"/>
  <c r="DK36" i="10" a="1"/>
  <c r="DK36" i="10" s="1"/>
  <c r="DN39" i="10" a="1"/>
  <c r="DN39" i="10" s="1"/>
  <c r="DK34" i="10" a="1"/>
  <c r="DK34" i="10" s="1"/>
  <c r="DK35" i="10" s="1" a="1"/>
  <c r="DK35" i="10" s="1"/>
  <c r="DN38" i="10" a="1"/>
  <c r="DN38" i="10" s="1"/>
  <c r="DJ38" i="10" a="1"/>
  <c r="DJ38" i="10" s="1"/>
  <c r="DL39" i="10" a="1"/>
  <c r="DL39" i="10" s="1"/>
  <c r="DL38" i="10" a="1"/>
  <c r="DL38" i="10" s="1"/>
  <c r="DN36" i="10" a="1"/>
  <c r="DN36" i="10" s="1"/>
  <c r="DK38" i="10" a="1"/>
  <c r="DK38" i="10" s="1"/>
  <c r="DN35" i="10" a="1"/>
  <c r="DN35" i="10" s="1"/>
  <c r="DO33" i="10" a="1"/>
  <c r="DO33" i="10" s="1"/>
  <c r="DJ39" i="10" a="1"/>
  <c r="DJ39" i="10" s="1"/>
  <c r="DD41" i="10"/>
  <c r="DE47" i="10" s="1" a="1"/>
  <c r="DE47" i="10" s="1"/>
  <c r="DK41" i="10" a="1"/>
  <c r="DG46" i="10" l="1" a="1"/>
  <c r="DG46" i="10" s="1"/>
  <c r="DG44" i="10" a="1"/>
  <c r="DG44" i="10" s="1"/>
  <c r="DD46" i="10" a="1"/>
  <c r="DD46" i="10" s="1"/>
  <c r="DG43" i="10" a="1"/>
  <c r="DG43" i="10" s="1"/>
  <c r="DE46" i="10" a="1"/>
  <c r="DE46" i="10" s="1"/>
  <c r="DD42" i="10" a="1"/>
  <c r="DD42" i="10" s="1"/>
  <c r="DD43" i="10" s="1" a="1"/>
  <c r="DD43" i="10" s="1"/>
  <c r="DC46" i="10" a="1"/>
  <c r="DC46" i="10" s="1"/>
  <c r="DC41" i="10"/>
  <c r="DH41" i="10" a="1"/>
  <c r="DH41" i="10" s="1"/>
  <c r="DC47" i="10" a="1"/>
  <c r="DC47" i="10" s="1"/>
  <c r="DG47" i="10" a="1"/>
  <c r="DG47" i="10" s="1"/>
  <c r="DD44" i="10" a="1"/>
  <c r="DD44" i="10" s="1"/>
  <c r="DG42" i="10" a="1"/>
  <c r="DG42" i="10" s="1"/>
  <c r="DK41" i="10"/>
  <c r="DK44" i="10" s="1" a="1"/>
  <c r="DK44" i="10" s="1"/>
  <c r="DK46" i="10" a="1"/>
  <c r="DK46" i="10" s="1"/>
  <c r="DS1" i="10" a="1"/>
  <c r="DL47" i="10" l="1" a="1"/>
  <c r="DL47" i="10" s="1"/>
  <c r="DN44" i="10" a="1"/>
  <c r="DN44" i="10" s="1"/>
  <c r="DN43" i="10" a="1"/>
  <c r="DN43" i="10" s="1"/>
  <c r="DJ41" i="10"/>
  <c r="DN42" i="10" a="1"/>
  <c r="DN42" i="10" s="1"/>
  <c r="DN46" i="10" a="1"/>
  <c r="DN46" i="10" s="1"/>
  <c r="DJ47" i="10" a="1"/>
  <c r="DJ47" i="10" s="1"/>
  <c r="DK42" i="10" a="1"/>
  <c r="DK42" i="10" s="1"/>
  <c r="DK43" i="10" s="1" a="1"/>
  <c r="DK43" i="10" s="1"/>
  <c r="DO41" i="10" a="1"/>
  <c r="DO41" i="10" s="1"/>
  <c r="DN47" i="10" a="1"/>
  <c r="DN47" i="10" s="1"/>
  <c r="DJ46" i="10" a="1"/>
  <c r="DJ46" i="10" s="1"/>
  <c r="DL46" i="10" a="1"/>
  <c r="DL46" i="10" s="1"/>
  <c r="DS1" i="10"/>
  <c r="DV6" i="10" s="1" a="1"/>
  <c r="DV6" i="10" s="1"/>
  <c r="DV2" i="10" a="1"/>
  <c r="DV2" i="10" s="1"/>
  <c r="DV3" i="10" a="1"/>
  <c r="DV3" i="10" s="1"/>
  <c r="DV4" i="10" a="1"/>
  <c r="DV4" i="10" s="1"/>
  <c r="DZ1" i="10" a="1"/>
  <c r="DS6" i="10" l="1" a="1"/>
  <c r="DS6" i="10" s="1"/>
  <c r="DS2" i="10" a="1"/>
  <c r="DS2" i="10" s="1"/>
  <c r="DS3" i="10" s="1" a="1"/>
  <c r="DS3" i="10" s="1"/>
  <c r="DV7" i="10" a="1"/>
  <c r="DV7" i="10" s="1"/>
  <c r="DT6" i="10" a="1"/>
  <c r="DT6" i="10" s="1"/>
  <c r="DT7" i="10" a="1"/>
  <c r="DT7" i="10" s="1"/>
  <c r="DS4" i="10" a="1"/>
  <c r="DS4" i="10" s="1"/>
  <c r="DW1" i="10" a="1"/>
  <c r="DW1" i="10" s="1"/>
  <c r="DR6" i="10" a="1"/>
  <c r="DR6" i="10" s="1"/>
  <c r="DR7" i="10" a="1"/>
  <c r="DR7" i="10" s="1"/>
  <c r="DR1" i="10"/>
  <c r="DZ1" i="10"/>
  <c r="EC7" i="10" s="1" a="1"/>
  <c r="EC7" i="10" s="1"/>
  <c r="DS9" i="10" a="1"/>
  <c r="EC3" i="10" l="1" a="1"/>
  <c r="EC3" i="10" s="1"/>
  <c r="DZ6" i="10" a="1"/>
  <c r="DZ6" i="10" s="1"/>
  <c r="EC2" i="10" a="1"/>
  <c r="EC2" i="10" s="1"/>
  <c r="DY1" i="10"/>
  <c r="ED1" i="10" a="1"/>
  <c r="ED1" i="10" s="1"/>
  <c r="DZ4" i="10" a="1"/>
  <c r="DZ4" i="10" s="1"/>
  <c r="EA7" i="10" a="1"/>
  <c r="EA7" i="10" s="1"/>
  <c r="EC6" i="10" a="1"/>
  <c r="EC6" i="10" s="1"/>
  <c r="DY6" i="10" a="1"/>
  <c r="DY6" i="10" s="1"/>
  <c r="DZ2" i="10" a="1"/>
  <c r="DZ2" i="10" s="1"/>
  <c r="DZ3" i="10" s="1" a="1"/>
  <c r="DZ3" i="10" s="1"/>
  <c r="DY7" i="10" a="1"/>
  <c r="DY7" i="10" s="1"/>
  <c r="EA6" i="10" a="1"/>
  <c r="EA6" i="10" s="1"/>
  <c r="EC4" i="10" a="1"/>
  <c r="EC4" i="10" s="1"/>
  <c r="DS9" i="10"/>
  <c r="DW9" i="10" s="1" a="1"/>
  <c r="DW9" i="10" s="1"/>
  <c r="DR9" i="10"/>
  <c r="DV10" i="10" a="1"/>
  <c r="DV10" i="10" s="1"/>
  <c r="DZ9" i="10" a="1"/>
  <c r="DV15" i="10" l="1" a="1"/>
  <c r="DV15" i="10" s="1"/>
  <c r="DT14" i="10" a="1"/>
  <c r="DT14" i="10" s="1"/>
  <c r="DT15" i="10" a="1"/>
  <c r="DT15" i="10" s="1"/>
  <c r="DV12" i="10" a="1"/>
  <c r="DV12" i="10" s="1"/>
  <c r="DS12" i="10" a="1"/>
  <c r="DS12" i="10" s="1"/>
  <c r="DR15" i="10" a="1"/>
  <c r="DR15" i="10" s="1"/>
  <c r="DR14" i="10" a="1"/>
  <c r="DR14" i="10" s="1"/>
  <c r="DS10" i="10" a="1"/>
  <c r="DS10" i="10" s="1"/>
  <c r="DS11" i="10" s="1" a="1"/>
  <c r="DS11" i="10" s="1"/>
  <c r="DS14" i="10" a="1"/>
  <c r="DS14" i="10" s="1"/>
  <c r="DV11" i="10" a="1"/>
  <c r="DV11" i="10" s="1"/>
  <c r="DV14" i="10" a="1"/>
  <c r="DV14" i="10" s="1"/>
  <c r="DZ9" i="10"/>
  <c r="EC11" i="10" s="1" a="1"/>
  <c r="EC11" i="10" s="1"/>
  <c r="DS17" i="10" a="1"/>
  <c r="DY9" i="10" l="1"/>
  <c r="EC10" i="10" a="1"/>
  <c r="EC10" i="10" s="1"/>
  <c r="DZ10" i="10" a="1"/>
  <c r="DZ10" i="10" s="1"/>
  <c r="DZ11" i="10" s="1" a="1"/>
  <c r="DZ11" i="10" s="1"/>
  <c r="EA14" i="10" a="1"/>
  <c r="EA14" i="10" s="1"/>
  <c r="EC12" i="10" a="1"/>
  <c r="EC12" i="10" s="1"/>
  <c r="EA15" i="10" a="1"/>
  <c r="EA15" i="10" s="1"/>
  <c r="DZ12" i="10" a="1"/>
  <c r="DZ12" i="10" s="1"/>
  <c r="ED9" i="10" a="1"/>
  <c r="ED9" i="10" s="1"/>
  <c r="EC14" i="10" a="1"/>
  <c r="EC14" i="10" s="1"/>
  <c r="DZ14" i="10" a="1"/>
  <c r="DZ14" i="10" s="1"/>
  <c r="EC15" i="10" a="1"/>
  <c r="EC15" i="10" s="1"/>
  <c r="DY14" i="10" a="1"/>
  <c r="DY14" i="10" s="1"/>
  <c r="DY15" i="10" a="1"/>
  <c r="DY15" i="10" s="1"/>
  <c r="DS17" i="10"/>
  <c r="DS22" i="10" s="1" a="1"/>
  <c r="DS22" i="10" s="1"/>
  <c r="DS20" i="10" a="1"/>
  <c r="DS20" i="10" s="1"/>
  <c r="DV23" i="10" a="1"/>
  <c r="DV23" i="10" s="1"/>
  <c r="DZ17" i="10" a="1"/>
  <c r="DV22" i="10" l="1" a="1"/>
  <c r="DV22" i="10" s="1"/>
  <c r="DV18" i="10" a="1"/>
  <c r="DV18" i="10" s="1"/>
  <c r="DT23" i="10" a="1"/>
  <c r="DT23" i="10" s="1"/>
  <c r="DS18" i="10" a="1"/>
  <c r="DS18" i="10" s="1"/>
  <c r="DS19" i="10" s="1" a="1"/>
  <c r="DS19" i="10" s="1"/>
  <c r="DT22" i="10" a="1"/>
  <c r="DT22" i="10" s="1"/>
  <c r="DV19" i="10" a="1"/>
  <c r="DV19" i="10" s="1"/>
  <c r="DW17" i="10" a="1"/>
  <c r="DW17" i="10" s="1"/>
  <c r="DR17" i="10"/>
  <c r="DR23" i="10" a="1"/>
  <c r="DR23" i="10" s="1"/>
  <c r="DV20" i="10" a="1"/>
  <c r="DV20" i="10" s="1"/>
  <c r="DR22" i="10" a="1"/>
  <c r="DR22" i="10" s="1"/>
  <c r="DZ17" i="10"/>
  <c r="EA23" i="10" s="1" a="1"/>
  <c r="EA23" i="10" s="1"/>
  <c r="EC22" i="10" a="1"/>
  <c r="EC22" i="10" s="1"/>
  <c r="DS25" i="10" a="1"/>
  <c r="EC19" i="10" l="1" a="1"/>
  <c r="EC19" i="10" s="1"/>
  <c r="DY23" i="10" a="1"/>
  <c r="DY23" i="10" s="1"/>
  <c r="DY22" i="10" a="1"/>
  <c r="DY22" i="10" s="1"/>
  <c r="ED17" i="10" a="1"/>
  <c r="ED17" i="10" s="1"/>
  <c r="EA22" i="10" a="1"/>
  <c r="EA22" i="10" s="1"/>
  <c r="DY17" i="10"/>
  <c r="DZ20" i="10" a="1"/>
  <c r="DZ20" i="10" s="1"/>
  <c r="DZ18" i="10" a="1"/>
  <c r="DZ18" i="10" s="1"/>
  <c r="DZ19" i="10" s="1" a="1"/>
  <c r="DZ19" i="10" s="1"/>
  <c r="DZ22" i="10" a="1"/>
  <c r="DZ22" i="10" s="1"/>
  <c r="EC20" i="10" a="1"/>
  <c r="EC20" i="10" s="1"/>
  <c r="EC18" i="10" a="1"/>
  <c r="EC18" i="10" s="1"/>
  <c r="EC23" i="10" a="1"/>
  <c r="EC23" i="10" s="1"/>
  <c r="DS25" i="10"/>
  <c r="DV26" i="10" s="1" a="1"/>
  <c r="DV26" i="10" s="1"/>
  <c r="DZ25" i="10" a="1"/>
  <c r="DV27" i="10" l="1" a="1"/>
  <c r="DV27" i="10" s="1"/>
  <c r="DV30" i="10" a="1"/>
  <c r="DV30" i="10" s="1"/>
  <c r="DS30" i="10" a="1"/>
  <c r="DS30" i="10" s="1"/>
  <c r="DS28" i="10" a="1"/>
  <c r="DS28" i="10" s="1"/>
  <c r="DV28" i="10" a="1"/>
  <c r="DV28" i="10" s="1"/>
  <c r="DR30" i="10" a="1"/>
  <c r="DR30" i="10" s="1"/>
  <c r="DR25" i="10"/>
  <c r="DR31" i="10" a="1"/>
  <c r="DR31" i="10" s="1"/>
  <c r="DV31" i="10" a="1"/>
  <c r="DV31" i="10" s="1"/>
  <c r="DS26" i="10" a="1"/>
  <c r="DS26" i="10" s="1"/>
  <c r="DS27" i="10" s="1" a="1"/>
  <c r="DS27" i="10" s="1"/>
  <c r="DW25" i="10" a="1"/>
  <c r="DW25" i="10" s="1"/>
  <c r="DT31" i="10" a="1"/>
  <c r="DT31" i="10" s="1"/>
  <c r="DT30" i="10" a="1"/>
  <c r="DT30" i="10" s="1"/>
  <c r="DZ25" i="10"/>
  <c r="DY30" i="10" s="1" a="1"/>
  <c r="DY30" i="10" s="1"/>
  <c r="DY25" i="10"/>
  <c r="DS33" i="10" a="1"/>
  <c r="EC26" i="10" l="1" a="1"/>
  <c r="EC26" i="10" s="1"/>
  <c r="EC27" i="10" a="1"/>
  <c r="EC27" i="10" s="1"/>
  <c r="DY31" i="10" a="1"/>
  <c r="DY31" i="10" s="1"/>
  <c r="DZ28" i="10" a="1"/>
  <c r="DZ28" i="10" s="1"/>
  <c r="DZ30" i="10" a="1"/>
  <c r="DZ30" i="10" s="1"/>
  <c r="EC30" i="10" a="1"/>
  <c r="EC30" i="10" s="1"/>
  <c r="EA31" i="10" a="1"/>
  <c r="EA31" i="10" s="1"/>
  <c r="ED25" i="10" a="1"/>
  <c r="ED25" i="10" s="1"/>
  <c r="EC28" i="10" a="1"/>
  <c r="EC28" i="10" s="1"/>
  <c r="DZ26" i="10" a="1"/>
  <c r="DZ26" i="10" s="1"/>
  <c r="DZ27" i="10" s="1" a="1"/>
  <c r="DZ27" i="10" s="1"/>
  <c r="EA30" i="10" a="1"/>
  <c r="EA30" i="10" s="1"/>
  <c r="EC31" i="10" a="1"/>
  <c r="EC31" i="10" s="1"/>
  <c r="DS33" i="10"/>
  <c r="DV35" i="10" s="1" a="1"/>
  <c r="DV35" i="10" s="1"/>
  <c r="DV34" i="10" a="1"/>
  <c r="DV34" i="10" s="1"/>
  <c r="DZ33" i="10" a="1"/>
  <c r="DR39" i="10" l="1" a="1"/>
  <c r="DR39" i="10" s="1"/>
  <c r="DW33" i="10" a="1"/>
  <c r="DW33" i="10" s="1"/>
  <c r="DS34" i="10" a="1"/>
  <c r="DS34" i="10" s="1"/>
  <c r="DS35" i="10" s="1" a="1"/>
  <c r="DS35" i="10" s="1"/>
  <c r="DT39" i="10" a="1"/>
  <c r="DT39" i="10" s="1"/>
  <c r="DV38" i="10" a="1"/>
  <c r="DV38" i="10" s="1"/>
  <c r="DT38" i="10" a="1"/>
  <c r="DT38" i="10" s="1"/>
  <c r="DV36" i="10" a="1"/>
  <c r="DV36" i="10" s="1"/>
  <c r="DV39" i="10" a="1"/>
  <c r="DV39" i="10" s="1"/>
  <c r="DS38" i="10" a="1"/>
  <c r="DS38" i="10" s="1"/>
  <c r="DS36" i="10" a="1"/>
  <c r="DS36" i="10" s="1"/>
  <c r="DR33" i="10"/>
  <c r="DR38" i="10" a="1"/>
  <c r="DR38" i="10" s="1"/>
  <c r="DZ33" i="10"/>
  <c r="EC34" i="10" s="1" a="1"/>
  <c r="EC34" i="10" s="1"/>
  <c r="EC36" i="10" a="1"/>
  <c r="EC36" i="10" s="1"/>
  <c r="DS41" i="10" a="1"/>
  <c r="DY39" i="10" l="1" a="1"/>
  <c r="DY39" i="10" s="1"/>
  <c r="DY38" i="10" a="1"/>
  <c r="DY38" i="10" s="1"/>
  <c r="DZ38" i="10" a="1"/>
  <c r="DZ38" i="10" s="1"/>
  <c r="EC38" i="10" a="1"/>
  <c r="EC38" i="10" s="1"/>
  <c r="EC39" i="10" a="1"/>
  <c r="EC39" i="10" s="1"/>
  <c r="EC35" i="10" a="1"/>
  <c r="EC35" i="10" s="1"/>
  <c r="DZ34" i="10" a="1"/>
  <c r="DZ34" i="10" s="1"/>
  <c r="DZ35" i="10" s="1" a="1"/>
  <c r="DZ35" i="10" s="1"/>
  <c r="EA38" i="10" a="1"/>
  <c r="EA38" i="10" s="1"/>
  <c r="DY33" i="10"/>
  <c r="DZ36" i="10" a="1"/>
  <c r="DZ36" i="10" s="1"/>
  <c r="ED33" i="10" a="1"/>
  <c r="ED33" i="10" s="1"/>
  <c r="EA39" i="10" a="1"/>
  <c r="EA39" i="10" s="1"/>
  <c r="DS41" i="10"/>
  <c r="DV42" i="10" s="1" a="1"/>
  <c r="DV42" i="10" s="1"/>
  <c r="DZ41" i="10" a="1"/>
  <c r="DT46" i="10" l="1" a="1"/>
  <c r="DT46" i="10" s="1"/>
  <c r="DR46" i="10" a="1"/>
  <c r="DR46" i="10" s="1"/>
  <c r="DS42" i="10" a="1"/>
  <c r="DS42" i="10" s="1"/>
  <c r="DS43" i="10" s="1" a="1"/>
  <c r="DS43" i="10" s="1"/>
  <c r="DV47" i="10" a="1"/>
  <c r="DV47" i="10" s="1"/>
  <c r="DT47" i="10" a="1"/>
  <c r="DT47" i="10" s="1"/>
  <c r="DV44" i="10" a="1"/>
  <c r="DV44" i="10" s="1"/>
  <c r="DV46" i="10" a="1"/>
  <c r="DV46" i="10" s="1"/>
  <c r="DR41" i="10"/>
  <c r="DV43" i="10" a="1"/>
  <c r="DV43" i="10" s="1"/>
  <c r="DW41" i="10" a="1"/>
  <c r="DW41" i="10" s="1"/>
  <c r="DS46" i="10" a="1"/>
  <c r="DS46" i="10" s="1"/>
  <c r="DS44" i="10" a="1"/>
  <c r="DS44" i="10" s="1"/>
  <c r="DR47" i="10" a="1"/>
  <c r="DR47" i="10" s="1"/>
  <c r="DZ41" i="10"/>
  <c r="DY47" i="10" s="1" a="1"/>
  <c r="DY47" i="10" s="1"/>
  <c r="EC44" i="10" a="1"/>
  <c r="EC44" i="10" s="1"/>
  <c r="EH1" i="10" a="1"/>
  <c r="EC42" i="10" l="1" a="1"/>
  <c r="EC42" i="10" s="1"/>
  <c r="EC47" i="10" a="1"/>
  <c r="EC47" i="10" s="1"/>
  <c r="DZ46" i="10" a="1"/>
  <c r="DZ46" i="10" s="1"/>
  <c r="EC43" i="10" a="1"/>
  <c r="EC43" i="10" s="1"/>
  <c r="EA47" i="10" a="1"/>
  <c r="EA47" i="10" s="1"/>
  <c r="DY46" i="10" a="1"/>
  <c r="DY46" i="10" s="1"/>
  <c r="EC46" i="10" a="1"/>
  <c r="EC46" i="10" s="1"/>
  <c r="DZ42" i="10" a="1"/>
  <c r="DZ42" i="10" s="1"/>
  <c r="DZ43" i="10" s="1" a="1"/>
  <c r="DZ43" i="10" s="1"/>
  <c r="EA46" i="10" a="1"/>
  <c r="EA46" i="10" s="1"/>
  <c r="DZ44" i="10" a="1"/>
  <c r="DZ44" i="10" s="1"/>
  <c r="ED41" i="10" a="1"/>
  <c r="ED41" i="10" s="1"/>
  <c r="DY41" i="10"/>
  <c r="EH1" i="10"/>
  <c r="EK3" i="10" s="1" a="1"/>
  <c r="EK3" i="10" s="1"/>
  <c r="EK4" i="10" a="1"/>
  <c r="EK4" i="10" s="1"/>
  <c r="EK2" i="10" a="1"/>
  <c r="EK2" i="10" s="1"/>
  <c r="EG7" i="10" a="1"/>
  <c r="EG7" i="10" s="1"/>
  <c r="EO1" i="10" a="1"/>
  <c r="EI6" i="10" l="1" a="1"/>
  <c r="EI6" i="10" s="1"/>
  <c r="EL1" i="10" a="1"/>
  <c r="EL1" i="10" s="1"/>
  <c r="EH6" i="10" a="1"/>
  <c r="EH6" i="10" s="1"/>
  <c r="EH4" i="10" a="1"/>
  <c r="EH4" i="10" s="1"/>
  <c r="EG1" i="10"/>
  <c r="EK7" i="10" a="1"/>
  <c r="EK7" i="10" s="1"/>
  <c r="EG6" i="10" a="1"/>
  <c r="EG6" i="10" s="1"/>
  <c r="EI7" i="10" a="1"/>
  <c r="EI7" i="10" s="1"/>
  <c r="EH2" i="10" a="1"/>
  <c r="EH2" i="10" s="1"/>
  <c r="EH3" i="10" s="1" a="1"/>
  <c r="EH3" i="10" s="1"/>
  <c r="EK6" i="10" a="1"/>
  <c r="EK6" i="10" s="1"/>
  <c r="EO1" i="10"/>
  <c r="EO2" i="10" s="1" a="1"/>
  <c r="EO2" i="10" s="1"/>
  <c r="EO3" i="10" s="1" a="1"/>
  <c r="EO3" i="10" s="1"/>
  <c r="EH9" i="10" a="1"/>
  <c r="EN6" i="10" l="1" a="1"/>
  <c r="EN6" i="10" s="1"/>
  <c r="EN1" i="10"/>
  <c r="ER4" i="10" a="1"/>
  <c r="ER4" i="10" s="1"/>
  <c r="ER3" i="10" a="1"/>
  <c r="ER3" i="10" s="1"/>
  <c r="ER2" i="10" a="1"/>
  <c r="ER2" i="10" s="1"/>
  <c r="ES1" i="10" a="1"/>
  <c r="ES1" i="10" s="1"/>
  <c r="ER7" i="10" a="1"/>
  <c r="ER7" i="10" s="1"/>
  <c r="EP6" i="10" a="1"/>
  <c r="EP6" i="10" s="1"/>
  <c r="EP7" i="10" a="1"/>
  <c r="EP7" i="10" s="1"/>
  <c r="EO6" i="10" a="1"/>
  <c r="EO6" i="10" s="1"/>
  <c r="EN7" i="10" a="1"/>
  <c r="EN7" i="10" s="1"/>
  <c r="EO4" i="10" a="1"/>
  <c r="EO4" i="10" s="1"/>
  <c r="ER6" i="10" a="1"/>
  <c r="ER6" i="10" s="1"/>
  <c r="EH9" i="10"/>
  <c r="EK10" i="10" s="1" a="1"/>
  <c r="EK10" i="10" s="1"/>
  <c r="EG14" i="10" a="1"/>
  <c r="EG14" i="10" s="1"/>
  <c r="EO9" i="10" a="1"/>
  <c r="EH10" i="10" l="1" a="1"/>
  <c r="EH10" i="10" s="1"/>
  <c r="EH11" i="10" s="1" a="1"/>
  <c r="EH11" i="10" s="1"/>
  <c r="EK15" i="10" a="1"/>
  <c r="EK15" i="10" s="1"/>
  <c r="EK11" i="10" a="1"/>
  <c r="EK11" i="10" s="1"/>
  <c r="EH14" i="10" a="1"/>
  <c r="EH14" i="10" s="1"/>
  <c r="EG15" i="10" a="1"/>
  <c r="EG15" i="10" s="1"/>
  <c r="EL9" i="10" a="1"/>
  <c r="EL9" i="10" s="1"/>
  <c r="EG9" i="10"/>
  <c r="EI15" i="10" a="1"/>
  <c r="EI15" i="10" s="1"/>
  <c r="EK12" i="10" a="1"/>
  <c r="EK12" i="10" s="1"/>
  <c r="EK14" i="10" a="1"/>
  <c r="EK14" i="10" s="1"/>
  <c r="EH12" i="10" a="1"/>
  <c r="EH12" i="10" s="1"/>
  <c r="EI14" i="10" a="1"/>
  <c r="EI14" i="10" s="1"/>
  <c r="EO9" i="10"/>
  <c r="EN9" i="10" s="1"/>
  <c r="EH17" i="10" a="1"/>
  <c r="ER14" i="10" l="1" a="1"/>
  <c r="ER14" i="10" s="1"/>
  <c r="EP15" i="10" a="1"/>
  <c r="EP15" i="10" s="1"/>
  <c r="ER11" i="10" a="1"/>
  <c r="ER11" i="10" s="1"/>
  <c r="EO14" i="10" a="1"/>
  <c r="EO14" i="10" s="1"/>
  <c r="ER15" i="10" a="1"/>
  <c r="ER15" i="10" s="1"/>
  <c r="ER10" i="10" a="1"/>
  <c r="ER10" i="10" s="1"/>
  <c r="EP14" i="10" a="1"/>
  <c r="EP14" i="10" s="1"/>
  <c r="EO10" i="10" a="1"/>
  <c r="EO10" i="10" s="1"/>
  <c r="EO11" i="10" s="1" a="1"/>
  <c r="EO11" i="10" s="1"/>
  <c r="EN14" i="10" a="1"/>
  <c r="EN14" i="10" s="1"/>
  <c r="ES9" i="10" a="1"/>
  <c r="ES9" i="10" s="1"/>
  <c r="ER12" i="10" a="1"/>
  <c r="ER12" i="10" s="1"/>
  <c r="EN15" i="10" a="1"/>
  <c r="EN15" i="10" s="1"/>
  <c r="EO12" i="10" a="1"/>
  <c r="EO12" i="10" s="1"/>
  <c r="EH17" i="10"/>
  <c r="EH20" i="10" s="1" a="1"/>
  <c r="EH20" i="10" s="1"/>
  <c r="EH18" i="10" a="1"/>
  <c r="EH18" i="10" s="1"/>
  <c r="EH19" i="10" s="1" a="1"/>
  <c r="EH19" i="10" s="1"/>
  <c r="EL17" i="10" a="1"/>
  <c r="EL17" i="10" s="1"/>
  <c r="EO17" i="10" a="1"/>
  <c r="EH22" i="10" l="1" a="1"/>
  <c r="EH22" i="10" s="1"/>
  <c r="EI23" i="10" a="1"/>
  <c r="EI23" i="10" s="1"/>
  <c r="EK23" i="10" a="1"/>
  <c r="EK23" i="10" s="1"/>
  <c r="EK19" i="10" a="1"/>
  <c r="EK19" i="10" s="1"/>
  <c r="EK22" i="10" a="1"/>
  <c r="EK22" i="10" s="1"/>
  <c r="EG22" i="10" a="1"/>
  <c r="EG22" i="10" s="1"/>
  <c r="EK20" i="10" a="1"/>
  <c r="EK20" i="10" s="1"/>
  <c r="EK18" i="10" a="1"/>
  <c r="EK18" i="10" s="1"/>
  <c r="EG23" i="10" a="1"/>
  <c r="EG23" i="10" s="1"/>
  <c r="EI22" i="10" a="1"/>
  <c r="EI22" i="10" s="1"/>
  <c r="EG17" i="10"/>
  <c r="EO17" i="10"/>
  <c r="ER19" i="10" s="1" a="1"/>
  <c r="ER19" i="10" s="1"/>
  <c r="ER23" i="10" a="1"/>
  <c r="ER23" i="10" s="1"/>
  <c r="ER20" i="10" a="1"/>
  <c r="ER20" i="10" s="1"/>
  <c r="EO22" i="10" a="1"/>
  <c r="EO22" i="10" s="1"/>
  <c r="EN17" i="10"/>
  <c r="EH25" i="10" a="1"/>
  <c r="EN23" i="10" l="1" a="1"/>
  <c r="EN23" i="10" s="1"/>
  <c r="ER22" i="10" a="1"/>
  <c r="ER22" i="10" s="1"/>
  <c r="EP22" i="10" a="1"/>
  <c r="EP22" i="10" s="1"/>
  <c r="ES17" i="10" a="1"/>
  <c r="ES17" i="10" s="1"/>
  <c r="ER18" i="10" a="1"/>
  <c r="ER18" i="10" s="1"/>
  <c r="EP23" i="10" a="1"/>
  <c r="EP23" i="10" s="1"/>
  <c r="EO20" i="10" a="1"/>
  <c r="EO20" i="10" s="1"/>
  <c r="EN22" i="10" a="1"/>
  <c r="EN22" i="10" s="1"/>
  <c r="EO18" i="10" a="1"/>
  <c r="EO18" i="10" s="1"/>
  <c r="EO19" i="10" s="1" a="1"/>
  <c r="EO19" i="10" s="1"/>
  <c r="EH25" i="10"/>
  <c r="EK31" i="10" s="1" a="1"/>
  <c r="EK31" i="10" s="1"/>
  <c r="EG25" i="10"/>
  <c r="EK26" i="10" a="1"/>
  <c r="EK26" i="10" s="1"/>
  <c r="EK28" i="10" a="1"/>
  <c r="EK28" i="10" s="1"/>
  <c r="EH30" i="10" a="1"/>
  <c r="EH30" i="10" s="1"/>
  <c r="EI30" i="10" a="1"/>
  <c r="EI30" i="10" s="1"/>
  <c r="EO25" i="10" a="1"/>
  <c r="EK30" i="10" l="1" a="1"/>
  <c r="EK30" i="10" s="1"/>
  <c r="EG31" i="10" a="1"/>
  <c r="EG31" i="10" s="1"/>
  <c r="EH26" i="10" a="1"/>
  <c r="EH26" i="10" s="1"/>
  <c r="EH27" i="10" s="1" a="1"/>
  <c r="EH27" i="10" s="1"/>
  <c r="EI31" i="10" a="1"/>
  <c r="EI31" i="10" s="1"/>
  <c r="EK27" i="10" a="1"/>
  <c r="EK27" i="10" s="1"/>
  <c r="EH28" i="10" a="1"/>
  <c r="EH28" i="10" s="1"/>
  <c r="EG30" i="10" a="1"/>
  <c r="EG30" i="10" s="1"/>
  <c r="EL25" i="10" a="1"/>
  <c r="EL25" i="10" s="1"/>
  <c r="EO25" i="10"/>
  <c r="ER27" i="10" s="1" a="1"/>
  <c r="ER27" i="10" s="1"/>
  <c r="EH33" i="10" a="1"/>
  <c r="ER26" i="10" l="1" a="1"/>
  <c r="ER26" i="10" s="1"/>
  <c r="EN25" i="10"/>
  <c r="EO28" i="10" a="1"/>
  <c r="EO28" i="10" s="1"/>
  <c r="EN30" i="10" a="1"/>
  <c r="EN30" i="10" s="1"/>
  <c r="ER31" i="10" a="1"/>
  <c r="ER31" i="10" s="1"/>
  <c r="EP31" i="10" a="1"/>
  <c r="EP31" i="10" s="1"/>
  <c r="EP30" i="10" a="1"/>
  <c r="EP30" i="10" s="1"/>
  <c r="ER30" i="10" a="1"/>
  <c r="ER30" i="10" s="1"/>
  <c r="EO30" i="10" a="1"/>
  <c r="EO30" i="10" s="1"/>
  <c r="EO26" i="10" a="1"/>
  <c r="EO26" i="10" s="1"/>
  <c r="EO27" i="10" s="1" a="1"/>
  <c r="EO27" i="10" s="1"/>
  <c r="ES25" i="10" a="1"/>
  <c r="ES25" i="10" s="1"/>
  <c r="ER28" i="10" a="1"/>
  <c r="ER28" i="10" s="1"/>
  <c r="EN31" i="10" a="1"/>
  <c r="EN31" i="10" s="1"/>
  <c r="EH33" i="10"/>
  <c r="EK34" i="10" s="1" a="1"/>
  <c r="EK34" i="10" s="1"/>
  <c r="EK39" i="10" a="1"/>
  <c r="EK39" i="10" s="1"/>
  <c r="EG33" i="10"/>
  <c r="EO33" i="10" a="1"/>
  <c r="EH34" i="10" l="1" a="1"/>
  <c r="EH34" i="10" s="1"/>
  <c r="EH35" i="10" s="1" a="1"/>
  <c r="EH35" i="10" s="1"/>
  <c r="EG38" i="10" a="1"/>
  <c r="EG38" i="10" s="1"/>
  <c r="EH36" i="10" a="1"/>
  <c r="EH36" i="10" s="1"/>
  <c r="EI39" i="10" a="1"/>
  <c r="EI39" i="10" s="1"/>
  <c r="EH38" i="10" a="1"/>
  <c r="EH38" i="10" s="1"/>
  <c r="EK35" i="10" a="1"/>
  <c r="EK35" i="10" s="1"/>
  <c r="EK36" i="10" a="1"/>
  <c r="EK36" i="10" s="1"/>
  <c r="EL33" i="10" a="1"/>
  <c r="EL33" i="10" s="1"/>
  <c r="EG39" i="10" a="1"/>
  <c r="EG39" i="10" s="1"/>
  <c r="EK38" i="10" a="1"/>
  <c r="EK38" i="10" s="1"/>
  <c r="EI38" i="10" a="1"/>
  <c r="EI38" i="10" s="1"/>
  <c r="EO33" i="10"/>
  <c r="ER35" i="10" s="1" a="1"/>
  <c r="ER35" i="10" s="1"/>
  <c r="EH41" i="10" a="1"/>
  <c r="EN33" i="10" l="1"/>
  <c r="ER36" i="10" a="1"/>
  <c r="ER36" i="10" s="1"/>
  <c r="EN39" i="10" a="1"/>
  <c r="EN39" i="10" s="1"/>
  <c r="EO34" i="10" a="1"/>
  <c r="EO34" i="10" s="1"/>
  <c r="EO35" i="10" s="1" a="1"/>
  <c r="EO35" i="10" s="1"/>
  <c r="EO36" i="10" a="1"/>
  <c r="EO36" i="10" s="1"/>
  <c r="ES33" i="10" a="1"/>
  <c r="ES33" i="10" s="1"/>
  <c r="EP38" i="10" a="1"/>
  <c r="EP38" i="10" s="1"/>
  <c r="EO38" i="10" a="1"/>
  <c r="EO38" i="10" s="1"/>
  <c r="ER38" i="10" a="1"/>
  <c r="ER38" i="10" s="1"/>
  <c r="ER39" i="10" a="1"/>
  <c r="ER39" i="10" s="1"/>
  <c r="ER34" i="10" a="1"/>
  <c r="ER34" i="10" s="1"/>
  <c r="EN38" i="10" a="1"/>
  <c r="EN38" i="10" s="1"/>
  <c r="EP39" i="10" a="1"/>
  <c r="EP39" i="10" s="1"/>
  <c r="EH41" i="10"/>
  <c r="EK46" i="10" s="1" a="1"/>
  <c r="EK46" i="10" s="1"/>
  <c r="EL41" i="10" a="1"/>
  <c r="EL41" i="10" s="1"/>
  <c r="EK47" i="10" a="1"/>
  <c r="EK47" i="10" s="1"/>
  <c r="EO41" i="10" a="1"/>
  <c r="EK44" i="10" l="1" a="1"/>
  <c r="EK44" i="10" s="1"/>
  <c r="EK42" i="10" a="1"/>
  <c r="EK42" i="10" s="1"/>
  <c r="EH46" i="10" a="1"/>
  <c r="EH46" i="10" s="1"/>
  <c r="EG47" i="10" a="1"/>
  <c r="EG47" i="10" s="1"/>
  <c r="EH44" i="10" a="1"/>
  <c r="EH44" i="10" s="1"/>
  <c r="EG46" i="10" a="1"/>
  <c r="EG46" i="10" s="1"/>
  <c r="EH42" i="10" a="1"/>
  <c r="EH42" i="10" s="1"/>
  <c r="EH43" i="10" s="1" a="1"/>
  <c r="EH43" i="10" s="1"/>
  <c r="EI46" i="10" a="1"/>
  <c r="EI46" i="10" s="1"/>
  <c r="EK43" i="10" a="1"/>
  <c r="EK43" i="10" s="1"/>
  <c r="EG41" i="10"/>
  <c r="EI47" i="10" a="1"/>
  <c r="EI47" i="10" s="1"/>
  <c r="EO41" i="10"/>
  <c r="EO42" i="10" s="1" a="1"/>
  <c r="EO42" i="10" s="1"/>
  <c r="EO43" i="10" s="1" a="1"/>
  <c r="EO43" i="10" s="1"/>
  <c r="ER43" i="10" a="1"/>
  <c r="ER43" i="10" s="1"/>
  <c r="ER44" i="10" a="1"/>
  <c r="ER44" i="10" s="1"/>
  <c r="EP46" i="10" a="1"/>
  <c r="EP46" i="10" s="1"/>
  <c r="EN46" i="10" a="1"/>
  <c r="EN46" i="10" s="1"/>
  <c r="ER46" i="10" l="1" a="1"/>
  <c r="ER46" i="10" s="1"/>
  <c r="EP47" i="10" a="1"/>
  <c r="EP47" i="10" s="1"/>
  <c r="EN41" i="10"/>
  <c r="ER47" i="10" a="1"/>
  <c r="ER47" i="10" s="1"/>
  <c r="ES41" i="10" a="1"/>
  <c r="ES41" i="10" s="1"/>
  <c r="EO46" i="10" a="1"/>
  <c r="EO46" i="10" s="1"/>
  <c r="EN47" i="10" a="1"/>
  <c r="EN47" i="10" s="1"/>
  <c r="EO44" i="10" a="1"/>
  <c r="EO44" i="10" s="1"/>
  <c r="ER42" i="10" a="1"/>
  <c r="ER4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<sst xmlns="http://schemas.openxmlformats.org/spreadsheetml/2006/main" count="1320" uniqueCount="591">
  <si>
    <t>赤</t>
  </si>
  <si>
    <t>オレンジ</t>
  </si>
  <si>
    <t>パンカップ　</t>
  </si>
  <si>
    <t>お誕生会　</t>
  </si>
  <si>
    <t>食育</t>
  </si>
  <si>
    <t>配膳スマ</t>
  </si>
  <si>
    <t>どんぶり給食</t>
  </si>
  <si>
    <t>社食</t>
  </si>
  <si>
    <t>＊＊＊</t>
  </si>
  <si>
    <t>数出表</t>
  </si>
  <si>
    <t>上段：園児、下段：先生</t>
  </si>
  <si>
    <t>作成日</t>
  </si>
  <si>
    <t>キャラ弁（学食）</t>
  </si>
  <si>
    <t>キャラ弁当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</si>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</sst>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3"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0" xfId="0" applyFont="1" applyAlignment="1"/>
    <xf numFmtId="0" fontId="4" fillId="0" borderId="9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 applyAlignment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 applyAlignment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30" fillId="0" borderId="6" xfId="0" applyFont="1" applyBorder="1" applyAlignment="1">
      <alignment vertical="center"/>
    </xf>
    <xf numFmtId="0" fontId="30" fillId="0" borderId="9" xfId="0" applyFont="1" applyBorder="1" applyAlignment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 applyAlignment="1">
      <alignment vertical="center"/>
    </xf>
    <xf numFmtId="0" fontId="30" fillId="0" borderId="8" xfId="0" applyFont="1" applyBorder="1" applyAlignment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 applyAlignment="1">
      <alignment vertical="center"/>
    </xf>
    <xf numFmtId="0" fontId="30" fillId="0" borderId="10" xfId="0" applyFont="1" applyBorder="1" applyAlignment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 applyAlignment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 applyAlignment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 applyAlignment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 applyAlignment="1">
      <alignment vertical="center"/>
    </xf>
    <xf numFmtId="0" fontId="0" fillId="10" borderId="6" xfId="0" applyFill="1" applyBorder="1" applyAlignment="1">
      <alignment vertical="center"/>
    </xf>
    <xf numFmtId="0" fontId="0" fillId="10" borderId="11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0" fillId="11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19" fillId="2" borderId="0" xfId="0" applyFont="1" applyFill="1" applyAlignment="1"/>
    <xf numFmtId="0" fontId="19" fillId="6" borderId="0" xfId="0" applyFont="1" applyFill="1" applyAlignment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 applyAlignment="1">
      <alignment vertical="center"/>
    </xf>
    <xf numFmtId="0" fontId="19" fillId="9" borderId="0" xfId="0" applyFont="1" applyFill="1" applyAlignment="1"/>
    <xf numFmtId="0" fontId="19" fillId="11" borderId="0" xfId="0" applyFont="1" applyFill="1" applyAlignment="1">
      <alignment vertical="center"/>
    </xf>
    <xf numFmtId="0" fontId="20" fillId="8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5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11" borderId="0" xfId="0" applyFill="1" applyAlignment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 applyAlignment="1">
      <alignment vertical="center"/>
    </xf>
    <xf numFmtId="0" fontId="30" fillId="0" borderId="12" xfId="0" applyFont="1" applyBorder="1" applyAlignment="1">
      <alignment vertical="center"/>
    </xf>
    <xf numFmtId="0" fontId="30" fillId="11" borderId="31" xfId="0" applyFont="1" applyFill="1" applyBorder="1" applyAlignment="1">
      <alignment vertical="center"/>
    </xf>
    <xf numFmtId="0" fontId="30" fillId="11" borderId="32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10" borderId="0" xfId="0" applyFont="1" applyFill="1" applyAlignment="1">
      <alignment vertical="center"/>
    </xf>
    <xf numFmtId="177" fontId="24" fillId="0" borderId="34" xfId="0" applyNumberFormat="1" applyFont="1" applyBorder="1" applyAlignment="1">
      <alignment horizontal="center" vertical="center"/>
    </xf>
    <xf numFmtId="177" fontId="24" fillId="0" borderId="8" xfId="0" applyNumberFormat="1" applyFont="1" applyBorder="1" applyAlignment="1">
      <alignment horizontal="center" vertical="center"/>
    </xf>
    <xf numFmtId="176" fontId="19" fillId="0" borderId="0" xfId="0" applyNumberFormat="1" applyFont="1" applyAlignment="1">
      <alignment vertical="center"/>
    </xf>
    <xf numFmtId="176" fontId="19" fillId="5" borderId="0" xfId="0" applyNumberFormat="1" applyFont="1" applyFill="1" applyAlignment="1">
      <alignment vertical="center"/>
    </xf>
    <xf numFmtId="176" fontId="19" fillId="11" borderId="0" xfId="0" applyNumberFormat="1" applyFont="1" applyFill="1" applyAlignment="1">
      <alignment vertical="center"/>
    </xf>
    <xf numFmtId="176" fontId="19" fillId="3" borderId="0" xfId="0" applyNumberFormat="1" applyFont="1" applyFill="1" applyAlignment="1">
      <alignment vertical="center"/>
    </xf>
    <xf numFmtId="176" fontId="19" fillId="8" borderId="0" xfId="0" applyNumberFormat="1" applyFont="1" applyFill="1" applyAlignment="1">
      <alignment vertical="center"/>
    </xf>
    <xf numFmtId="176" fontId="19" fillId="2" borderId="0" xfId="0" applyNumberFormat="1" applyFont="1" applyFill="1" applyAlignment="1">
      <alignment vertical="center"/>
    </xf>
    <xf numFmtId="176" fontId="19" fillId="6" borderId="0" xfId="0" applyNumberFormat="1" applyFont="1" applyFill="1" applyAlignment="1"/>
    <xf numFmtId="176" fontId="15" fillId="0" borderId="0" xfId="0" applyNumberFormat="1" applyFont="1" applyAlignment="1">
      <alignment horizontal="right"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2C8FCA8A-BBB6-276B-B415-9F7E51FAE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D1" sqref="A1:D1048576"/>
    </sheetView>
  </sheetViews>
  <sheetFormatPr defaultRowHeight="18"/>
  <cols>
    <col min="1" max="1" width="16.69921875" style="179" customWidth="1"/>
    <col min="5" max="5" width="21.69921875" style="179" customWidth="1"/>
  </cols>
  <sheetData>
    <row r="1" spans="1:6">
      <c r="A1"/>
      <c r="E1" s="211" t="s">
        <v>12</v>
      </c>
      <c r="F1">
        <v>24</v>
      </c>
    </row>
    <row r="2" spans="1:6">
      <c r="A2"/>
      <c r="E2" s="211" t="s">
        <v>13</v>
      </c>
      <c r="F2">
        <v>24</v>
      </c>
    </row>
    <row r="3" spans="1:6">
      <c r="A3"/>
      <c r="E3" s="211" t="str">
        <f>IF(A1&lt;&gt;"",A1,"")</f>
        <v/>
      </c>
      <c r="F3" t="str">
        <f t="shared" ref="F3:F13" si="0">IF(B1&lt;&gt;"",B1,"")</f>
        <v/>
      </c>
    </row>
    <row r="4" spans="1:6">
      <c r="A4"/>
      <c r="E4" s="211" t="str">
        <f t="shared" ref="E3:E13" si="1">IF(A2&lt;&gt;"",A2,"")</f>
        <v/>
      </c>
      <c r="F4" t="str">
        <f t="shared" si="0"/>
        <v/>
      </c>
    </row>
    <row r="5" spans="1:6">
      <c r="A5"/>
      <c r="E5" s="211" t="str">
        <f t="shared" si="1"/>
        <v/>
      </c>
      <c r="F5" t="str">
        <f t="shared" si="0"/>
        <v/>
      </c>
    </row>
    <row r="6" spans="1:6">
      <c r="A6"/>
      <c r="E6" s="211" t="str">
        <f t="shared" si="1"/>
        <v/>
      </c>
      <c r="F6" t="str">
        <f t="shared" si="0"/>
        <v/>
      </c>
    </row>
    <row r="7" spans="1:6">
      <c r="A7"/>
      <c r="E7" s="211" t="str">
        <f t="shared" si="1"/>
        <v/>
      </c>
      <c r="F7" t="str">
        <f t="shared" si="0"/>
        <v/>
      </c>
    </row>
    <row r="8" spans="1:6">
      <c r="A8"/>
      <c r="E8" s="211" t="str">
        <f t="shared" si="1"/>
        <v/>
      </c>
      <c r="F8" t="str">
        <f t="shared" si="0"/>
        <v/>
      </c>
    </row>
    <row r="9" spans="1:6">
      <c r="E9" s="211" t="str">
        <f t="shared" si="1"/>
        <v/>
      </c>
      <c r="F9" t="str">
        <f t="shared" si="0"/>
        <v/>
      </c>
    </row>
    <row r="10" spans="1:6">
      <c r="E10" s="211" t="str">
        <f t="shared" si="1"/>
        <v/>
      </c>
      <c r="F10" t="str">
        <f t="shared" si="0"/>
        <v/>
      </c>
    </row>
    <row r="11" spans="1:6">
      <c r="E11" s="211" t="str">
        <f t="shared" si="1"/>
        <v/>
      </c>
      <c r="F11" t="str">
        <f t="shared" si="0"/>
        <v/>
      </c>
    </row>
    <row r="12" spans="1:6">
      <c r="E12" s="211" t="str">
        <f t="shared" si="1"/>
        <v/>
      </c>
      <c r="F12" t="str">
        <f t="shared" si="0"/>
        <v/>
      </c>
    </row>
    <row r="13" spans="1:6">
      <c r="E13" s="211" t="str">
        <f t="shared" si="1"/>
        <v/>
      </c>
      <c r="F13" t="str">
        <f t="shared" si="0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179" customWidth="1"/>
    <col min="8" max="8" width="3.19921875" style="79" customWidth="1"/>
    <col min="9" max="9" width="5.59765625" style="179" customWidth="1"/>
    <col min="10" max="15" width="14.796875" style="179" customWidth="1"/>
    <col min="16" max="21" width="4" style="17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179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7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/>
      <c r="P2"/>
      <c r="Q2"/>
      <c r="R2" t="s">
        <v>10</v>
      </c>
      <c r="S2"/>
      <c r="T2" t="s">
        <v>11</v>
      </c>
      <c r="U2" t="s">
        <v>11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12</v>
      </c>
      <c r="C3" s="23" t="s">
        <v>12</v>
      </c>
      <c r="D3" s="99" t="s">
        <v>13</v>
      </c>
      <c r="E3" s="24" t="s">
        <v>13</v>
      </c>
      <c r="F3" s="23" t="s">
        <v>13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14</v>
      </c>
      <c r="U3" s="15"/>
      <c r="V3" s="53"/>
      <c r="W3" s="6"/>
    </row>
    <row r="4" spans="1:23">
      <c r="A4" s="2" t="s">
        <v>15</v>
      </c>
      <c r="B4" s="13" t="s">
        <v>16</v>
      </c>
      <c r="C4" s="13" t="s">
        <v>16</v>
      </c>
      <c r="D4" s="13" t="s">
        <v>16</v>
      </c>
      <c r="E4" s="13" t="s">
        <v>17</v>
      </c>
      <c r="F4" s="13" t="s">
        <v>18</v>
      </c>
      <c r="G4" s="13" t="s">
        <v>16</v>
      </c>
      <c r="H4" s="13" t="s">
        <v>16</v>
      </c>
      <c r="I4" s="13" t="s">
        <v>17</v>
      </c>
      <c r="J4" s="13" t="s">
        <v>17</v>
      </c>
      <c r="K4" s="13" t="s">
        <v>18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19</v>
      </c>
      <c r="F5" s="13"/>
      <c r="G5" s="13">
        <v>120</v>
      </c>
      <c r="H5" s="13">
        <v>100</v>
      </c>
      <c r="I5" s="13" t="s">
        <v>19</v>
      </c>
      <c r="J5" s="13" t="s">
        <v>20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6.2" customHeight="1"/>
  <cols>
    <col min="1" max="1" width="26.69921875" style="84" customWidth="1"/>
    <col min="2" max="2" width="10.59765625" style="148" customWidth="1"/>
    <col min="3" max="3" width="5.09765625" style="148" customWidth="1"/>
    <col min="4" max="4" width="10.59765625" style="148" customWidth="1"/>
    <col min="5" max="5" width="5.09765625" style="148" customWidth="1"/>
    <col min="6" max="6" width="10.8984375" style="148" customWidth="1"/>
    <col min="7" max="7" width="5.09765625" style="148" customWidth="1"/>
    <col min="8" max="8" width="10.59765625" style="148" customWidth="1"/>
    <col min="9" max="9" width="5.09765625" style="148" customWidth="1"/>
    <col min="10" max="10" width="10.59765625" style="148" customWidth="1"/>
    <col min="11" max="11" width="5.09765625" style="148" customWidth="1"/>
    <col min="12" max="12" width="10.59765625" style="148" customWidth="1"/>
    <col min="13" max="13" width="5.09765625" style="148" customWidth="1"/>
    <col min="14" max="14" width="10.59765625" style="148" customWidth="1"/>
    <col min="15" max="15" width="5.09765625" style="148" customWidth="1"/>
    <col min="16" max="16" width="10.59765625" style="148" customWidth="1"/>
    <col min="17" max="17" width="5.09765625" style="148" customWidth="1"/>
    <col min="18" max="18" width="10.59765625" style="148" customWidth="1"/>
    <col min="19" max="19" width="5.09765625" style="148" customWidth="1"/>
    <col min="20" max="20" width="10.59765625" style="148" customWidth="1"/>
    <col min="21" max="21" width="5.09765625" style="148" customWidth="1"/>
    <col min="22" max="22" width="10.59765625" style="149" customWidth="1"/>
    <col min="23" max="23" width="5.09765625" style="148" customWidth="1"/>
    <col min="24" max="24" width="10.59765625" style="149" customWidth="1"/>
    <col min="25" max="25" width="5.09765625" style="148" customWidth="1"/>
    <col min="26" max="26" width="10.59765625" style="149" customWidth="1"/>
    <col min="27" max="27" width="5.09765625" style="148" customWidth="1"/>
    <col min="28" max="28" width="10.59765625" style="149" customWidth="1"/>
    <col min="29" max="29" width="5.09765625" style="148" customWidth="1"/>
    <col min="30" max="30" width="10.59765625" style="149" customWidth="1"/>
    <col min="31" max="31" width="5.09765625" style="148" customWidth="1"/>
    <col min="32" max="32" width="10.59765625" style="149" customWidth="1"/>
    <col min="33" max="33" width="5.09765625" style="148" customWidth="1"/>
    <col min="34" max="34" width="10.59765625" style="149" customWidth="1"/>
    <col min="35" max="35" width="5.09765625" style="148" customWidth="1"/>
    <col min="36" max="36" width="10.59765625" style="149" customWidth="1"/>
    <col min="37" max="37" width="5.09765625" style="148" customWidth="1"/>
    <col min="38" max="38" width="11.3984375" style="149" customWidth="1"/>
    <col min="39" max="39" width="32.796875" style="84" customWidth="1"/>
    <col min="40" max="40" width="27.69921875" style="84" customWidth="1"/>
    <col min="41" max="65" width="8.796875" style="58" customWidth="1"/>
    <col min="66" max="16384" width="8.796875" style="58"/>
  </cols>
  <sheetData>
    <row r="1" spans="1:40" s="81" customFormat="1" ht="19.8" customHeight="1" thickTop="1"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5"/>
      <c r="AL1" s="146"/>
      <c r="AM1" s="133" t="s">
        <v>21</v>
      </c>
      <c r="AN1" s="135"/>
    </row>
    <row r="2" spans="1:40" s="81" customFormat="1" ht="19.8" customHeight="1" thickBot="1">
      <c r="A2" s="81" t="str">
        <f>貼り付け用!A2&amp;"　"&amp;貼り付け用!B2&amp;"　"&amp;貼り付け用!C2</f>
        <v>　　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 t="s">
        <v>8</v>
      </c>
      <c r="Q2" s="144"/>
      <c r="R2" s="144"/>
      <c r="S2" s="144"/>
      <c r="T2" s="144" t="s">
        <v>9</v>
      </c>
      <c r="U2" s="144"/>
      <c r="V2" s="144"/>
      <c r="W2" s="144"/>
      <c r="X2" s="144" t="s">
        <v>8</v>
      </c>
      <c r="Y2" s="144"/>
      <c r="Z2" s="144"/>
      <c r="AA2" s="144"/>
      <c r="AB2" s="144" t="s">
        <v>10</v>
      </c>
      <c r="AC2" s="144"/>
      <c r="AD2" s="144"/>
      <c r="AE2" s="144"/>
      <c r="AF2" s="144"/>
      <c r="AG2" s="144"/>
      <c r="AI2" s="144"/>
      <c r="AJ2" s="144"/>
      <c r="AK2" s="144"/>
      <c r="AL2" s="144" t="s">
        <v>11</v>
      </c>
      <c r="AM2" s="81" t="str">
        <f>貼り付け用!T2&amp;"　"&amp;貼り付け用!U2&amp;"　"&amp;貼り付け用!V2&amp;"　"&amp;貼り付け用!W2</f>
        <v>　　　</v>
      </c>
      <c r="AN2" s="136"/>
    </row>
    <row r="3" spans="1:40" s="81" customFormat="1" ht="16.2" customHeight="1" thickTop="1">
      <c r="A3" s="82"/>
      <c r="B3" s="170" t="s">
        <v>12</v>
      </c>
      <c r="C3" s="129" t="s">
        <v>12</v>
      </c>
      <c r="D3" s="129" t="s">
        <v>12</v>
      </c>
      <c r="E3" s="132" t="s">
        <v>12</v>
      </c>
      <c r="F3" s="147" t="s">
        <v>13</v>
      </c>
      <c r="G3" s="129" t="s">
        <v>13</v>
      </c>
      <c r="H3" s="129" t="s">
        <v>13</v>
      </c>
      <c r="I3" s="129" t="s">
        <v>13</v>
      </c>
      <c r="J3" s="129" t="s">
        <v>13</v>
      </c>
      <c r="K3" s="132" t="s">
        <v>13</v>
      </c>
      <c r="L3" s="130" t="s">
        <v>0</v>
      </c>
      <c r="M3" s="129" t="s">
        <v>0</v>
      </c>
      <c r="N3" s="129" t="s">
        <v>0</v>
      </c>
      <c r="O3" s="129" t="s">
        <v>0</v>
      </c>
      <c r="P3" s="129" t="s">
        <v>0</v>
      </c>
      <c r="Q3" s="129" t="s">
        <v>0</v>
      </c>
      <c r="R3" s="129" t="s">
        <v>0</v>
      </c>
      <c r="S3" s="129" t="s">
        <v>0</v>
      </c>
      <c r="T3" s="129" t="s">
        <v>0</v>
      </c>
      <c r="U3" s="132" t="s">
        <v>0</v>
      </c>
      <c r="V3" s="131">
        <f>数出表_Excel!L3</f>
        <v>0</v>
      </c>
      <c r="W3" s="139">
        <f>IF(V3&lt;&gt;"",V3,"")</f>
        <v>0</v>
      </c>
      <c r="X3" s="131">
        <f>数出表_Excel!M3</f>
        <v>0</v>
      </c>
      <c r="Y3" s="139">
        <f>IF(X3&lt;&gt;"",X3,"")</f>
        <v>0</v>
      </c>
      <c r="Z3" s="131">
        <f>数出表_Excel!N3</f>
        <v>0</v>
      </c>
      <c r="AA3" s="139">
        <f>IF(Z3&lt;&gt;"",Z3,"")</f>
        <v>0</v>
      </c>
      <c r="AB3" s="131">
        <f>数出表_Excel!O3</f>
        <v>0</v>
      </c>
      <c r="AC3" s="139">
        <f>IF(AB3&lt;&gt;"",AB3,"")</f>
        <v>0</v>
      </c>
      <c r="AD3" s="131">
        <f>数出表_Excel!P3</f>
        <v>0</v>
      </c>
      <c r="AE3" s="139">
        <f>IF(AD3&lt;&gt;"",AD3,"")</f>
        <v>0</v>
      </c>
      <c r="AF3" s="131">
        <f>数出表_Excel!Q3</f>
        <v>0</v>
      </c>
      <c r="AG3" s="139">
        <f>IF(AF3&lt;&gt;"",AF3,"")</f>
        <v>0</v>
      </c>
      <c r="AH3" s="131">
        <f>数出表_Excel!R3</f>
        <v>0</v>
      </c>
      <c r="AI3" s="139">
        <f>IF(AH3&lt;&gt;"",AH3,"")</f>
        <v>0</v>
      </c>
      <c r="AJ3" s="131">
        <f>数出表_Excel!S3</f>
        <v>0</v>
      </c>
      <c r="AK3" s="139">
        <f>IF(AJ3&lt;&gt;"",AJ3,"")</f>
        <v>0</v>
      </c>
      <c r="AL3" s="176" t="s">
        <v>14</v>
      </c>
      <c r="AM3" s="87"/>
      <c r="AN3" s="134"/>
    </row>
    <row r="4" spans="1:40" s="81" customFormat="1" ht="16.2" customHeight="1">
      <c r="A4" s="140" t="s">
        <v>15</v>
      </c>
      <c r="B4" s="131" t="s">
        <v>16</v>
      </c>
      <c r="C4" s="139" t="s">
        <v>16</v>
      </c>
      <c r="D4" s="131" t="s">
        <v>16</v>
      </c>
      <c r="E4" s="139" t="s">
        <v>16</v>
      </c>
      <c r="F4" s="131" t="s">
        <v>16</v>
      </c>
      <c r="G4" s="139" t="s">
        <v>16</v>
      </c>
      <c r="H4" s="131" t="s">
        <v>17</v>
      </c>
      <c r="I4" s="139" t="s">
        <v>17</v>
      </c>
      <c r="J4" s="131" t="s">
        <v>18</v>
      </c>
      <c r="K4" s="139" t="s">
        <v>18</v>
      </c>
      <c r="L4" s="131" t="s">
        <v>16</v>
      </c>
      <c r="M4" s="139" t="s">
        <v>16</v>
      </c>
      <c r="N4" s="131" t="s">
        <v>16</v>
      </c>
      <c r="O4" s="139" t="s">
        <v>16</v>
      </c>
      <c r="P4" s="131" t="s">
        <v>17</v>
      </c>
      <c r="Q4" s="139" t="s">
        <v>17</v>
      </c>
      <c r="R4" s="131" t="s">
        <v>17</v>
      </c>
      <c r="S4" s="139" t="s">
        <v>17</v>
      </c>
      <c r="T4" s="131" t="s">
        <v>18</v>
      </c>
      <c r="U4" s="172" t="s">
        <v>18</v>
      </c>
      <c r="V4" s="173"/>
      <c r="W4" s="89"/>
      <c r="X4" s="17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5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5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5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7"/>
      <c r="AN4" s="134"/>
    </row>
    <row r="5" spans="1:40" ht="16.2" customHeight="1">
      <c r="A5" s="141"/>
      <c r="B5" s="63">
        <v>100</v>
      </c>
      <c r="C5" s="171">
        <v>100</v>
      </c>
      <c r="D5" s="63">
        <v>150</v>
      </c>
      <c r="E5" s="171">
        <v>150</v>
      </c>
      <c r="F5" s="63">
        <v>120</v>
      </c>
      <c r="G5" s="171">
        <v>120</v>
      </c>
      <c r="H5" s="63" t="s">
        <v>19</v>
      </c>
      <c r="I5" s="171" t="s">
        <v>19</v>
      </c>
      <c r="J5" s="63"/>
      <c r="K5" s="171"/>
      <c r="L5" s="63">
        <v>120</v>
      </c>
      <c r="M5" s="171">
        <v>120</v>
      </c>
      <c r="N5" s="63">
        <v>100</v>
      </c>
      <c r="O5" s="171">
        <v>100</v>
      </c>
      <c r="P5" s="63" t="s">
        <v>19</v>
      </c>
      <c r="Q5" s="171" t="s">
        <v>19</v>
      </c>
      <c r="R5" s="63" t="s">
        <v>20</v>
      </c>
      <c r="S5" s="171" t="s">
        <v>20</v>
      </c>
      <c r="T5" s="63"/>
      <c r="U5" s="171"/>
      <c r="V5" s="63"/>
      <c r="W5" s="174"/>
      <c r="X5" s="63"/>
      <c r="Y5" s="174"/>
      <c r="Z5" s="63"/>
      <c r="AA5" s="174"/>
      <c r="AB5" s="63"/>
      <c r="AC5" s="174"/>
      <c r="AD5" s="63"/>
      <c r="AE5" s="174"/>
      <c r="AF5" s="63"/>
      <c r="AG5" s="174"/>
      <c r="AH5" s="63"/>
      <c r="AI5" s="174"/>
      <c r="AJ5" s="63"/>
      <c r="AK5" s="174"/>
      <c r="AL5" s="64"/>
      <c r="AM5" s="94"/>
      <c r="AN5" s="95"/>
    </row>
    <row r="6" spans="1:40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3" t="str">
        <f ca="1">IFERROR(VALUE(IF(VLOOKUP($A6,数出表_Excel!$A$6:$T$150,COLUMN()/2+1,FALSE)=0,"",VLOOKUP($A6,数出表_Excel!$A$6:$T$150,COLUMN()/2+1,FALSE))),"")</f>
        <v/>
      </c>
      <c r="C6" s="60"/>
      <c r="D6" s="183" t="str">
        <f ca="1">IFERROR(VALUE(IF(VLOOKUP($A6,数出表_Excel!$A$6:$T$150,COLUMN()/2+1,FALSE)=0,"",VLOOKUP($A6,数出表_Excel!$A$6:$T$150,COLUMN()/2+1,FALSE))),"")</f>
        <v/>
      </c>
      <c r="E6" s="76"/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</row>
    <row r="7" spans="1:40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50" t="str">
        <f ca="1">IFERROR(VALUE(IF(VLOOKUP($A7,数出表_Excel!$A$6:$T$150,COLUMN()/2+1,FALSE)=0,"",VLOOKUP($A7,数出表_Excel!$A$6:$T$150,COLUMN()/2+1,FALSE))),"")</f>
        <v/>
      </c>
      <c r="C7" s="61"/>
      <c r="D7" s="150" t="str">
        <f ca="1">IFERROR(VALUE(IF(VLOOKUP($A7,数出表_Excel!$A$6:$T$150,COLUMN()/2+1,FALSE)=0,"",VLOOKUP($A7,数出表_Excel!$A$6:$T$150,COLUMN()/2+1,FALSE))),"")</f>
        <v/>
      </c>
      <c r="E7" s="77"/>
      <c r="F7" s="160" t="str">
        <f ca="1">IFERROR(VALUE(IF(VLOOKUP($A7,数出表_Excel!$A$6:$T$150,COLUMN()/2+1,FALSE)=0,"",VLOOKUP($A7,数出表_Excel!$A$6:$T$150,COLUMN()/2+1,FALSE))),"")</f>
        <v/>
      </c>
      <c r="G7" s="61"/>
      <c r="H7" s="150" t="str">
        <f ca="1">IFERROR(VALUE(IF(VLOOKUP($A7,数出表_Excel!$A$6:$T$150,COLUMN()/2+1,FALSE)=0,"",VLOOKUP($A7,数出表_Excel!$A$6:$T$150,COLUMN()/2+1,FALSE))),"")</f>
        <v/>
      </c>
      <c r="I7" s="77"/>
      <c r="J7" s="160" t="str">
        <f ca="1">IFERROR(VALUE(IF(VLOOKUP($A7,数出表_Excel!$A$6:$T$150,COLUMN()/2+1,FALSE)=0,"",VLOOKUP($A7,数出表_Excel!$A$6:$T$150,COLUMN()/2+1,FALSE))),"")</f>
        <v/>
      </c>
      <c r="K7" s="61"/>
      <c r="L7" s="150" t="str">
        <f ca="1">IFERROR(VALUE(IF(VLOOKUP($A7,数出表_Excel!$A$6:$T$150,COLUMN()/2+1,FALSE)=0,"",VLOOKUP($A7,数出表_Excel!$A$6:$T$150,COLUMN()/2+1,FALSE))),"")</f>
        <v/>
      </c>
      <c r="M7" s="77"/>
      <c r="N7" s="160" t="str">
        <f ca="1">IFERROR(VALUE(IF(VLOOKUP($A7,数出表_Excel!$A$6:$T$150,COLUMN()/2+1,FALSE)=0,"",VLOOKUP($A7,数出表_Excel!$A$6:$T$150,COLUMN()/2+1,FALSE))),"")</f>
        <v/>
      </c>
      <c r="O7" s="61"/>
      <c r="P7" s="150" t="str">
        <f ca="1">IFERROR(VALUE(IF(VLOOKUP($A7,数出表_Excel!$A$6:$T$150,COLUMN()/2+1,FALSE)=0,"",VLOOKUP($A7,数出表_Excel!$A$6:$T$150,COLUMN()/2+1,FALSE))),"")</f>
        <v/>
      </c>
      <c r="Q7" s="77"/>
      <c r="R7" s="160" t="str">
        <f ca="1">IFERROR(VALUE(IF(VLOOKUP($A7,数出表_Excel!$A$6:$T$150,COLUMN()/2+1,FALSE)=0,"",VLOOKUP($A7,数出表_Excel!$A$6:$T$150,COLUMN()/2+1,FALSE))),"")</f>
        <v/>
      </c>
      <c r="S7" s="61"/>
      <c r="T7" s="150" t="str">
        <f ca="1">IFERROR(VALUE(IF(VLOOKUP($A7,数出表_Excel!$A$6:$T$150,COLUMN()/2+1,FALSE)=0,"",VLOOKUP($A7,数出表_Excel!$A$6:$T$150,COLUMN()/2+1,FALSE))),"")</f>
        <v/>
      </c>
      <c r="U7" s="77"/>
      <c r="V7" s="160" t="str">
        <f ca="1">IFERROR(VALUE(IF(VLOOKUP($A7,数出表_Excel!$A$6:$T$150,COLUMN()/2+1,FALSE)=0,"",VLOOKUP($A7,数出表_Excel!$A$6:$T$150,COLUMN()/2+1,FALSE))),"")</f>
        <v/>
      </c>
      <c r="W7" s="61"/>
      <c r="X7" s="150" t="str">
        <f ca="1">IFERROR(VALUE(IF(VLOOKUP($A7,数出表_Excel!$A$6:$T$150,COLUMN()/2+1,FALSE)=0,"",VLOOKUP($A7,数出表_Excel!$A$6:$T$150,COLUMN()/2+1,FALSE))),"")</f>
        <v/>
      </c>
      <c r="Y7" s="77"/>
      <c r="Z7" s="160" t="str">
        <f ca="1">IFERROR(VALUE(IF(VLOOKUP($A7,数出表_Excel!$A$6:$T$150,COLUMN()/2+1,FALSE)=0,"",VLOOKUP($A7,数出表_Excel!$A$6:$T$150,COLUMN()/2+1,FALSE))),"")</f>
        <v/>
      </c>
      <c r="AA7" s="77"/>
      <c r="AB7" s="150" t="str">
        <f ca="1">IFERROR(VALUE(IF(VLOOKUP($A7,数出表_Excel!$A$6:$T$150,COLUMN()/2+1,FALSE)=0,"",VLOOKUP($A7,数出表_Excel!$A$6:$T$150,COLUMN()/2+1,FALSE))),"")</f>
        <v/>
      </c>
      <c r="AC7" s="77"/>
      <c r="AD7" s="150" t="str">
        <f ca="1">IFERROR(VALUE(IF(VLOOKUP($A7,数出表_Excel!$A$6:$T$150,COLUMN()/2+1,FALSE)=0,"",VLOOKUP($A7,数出表_Excel!$A$6:$T$150,COLUMN()/2+1,FALSE))),"")</f>
        <v/>
      </c>
      <c r="AE7" s="77"/>
      <c r="AF7" s="150" t="str">
        <f ca="1">IFERROR(VALUE(IF(VLOOKUP($A7,数出表_Excel!$A$6:$T$150,COLUMN()/2+1,FALSE)=0,"",VLOOKUP($A7,数出表_Excel!$A$6:$T$150,COLUMN()/2+1,FALSE))),"")</f>
        <v/>
      </c>
      <c r="AG7" s="77"/>
      <c r="AH7" s="150" t="str">
        <f ca="1">IFERROR(VALUE(IF(VLOOKUP($A7,数出表_Excel!$A$6:$T$150,COLUMN()/2+1,FALSE)=0,"",VLOOKUP($A7,数出表_Excel!$A$6:$T$150,COLUMN()/2+1,FALSE))),"")</f>
        <v/>
      </c>
      <c r="AI7" s="77"/>
      <c r="AJ7" s="150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</row>
    <row r="8" spans="1:40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</row>
    <row r="9" spans="1:40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50" t="str">
        <f ca="1">IFERROR(VALUE(IF(VLOOKUP($A9,数出表_Excel!$A$6:$T$150,COLUMN()/2+1,FALSE)=0,"",VLOOKUP($A9,数出表_Excel!$A$6:$T$150,COLUMN()/2+1,FALSE))),"")</f>
        <v/>
      </c>
      <c r="C9" s="61"/>
      <c r="D9" s="150" t="str">
        <f ca="1">IFERROR(VALUE(IF(VLOOKUP($A9,数出表_Excel!$A$6:$T$150,COLUMN()/2+1,FALSE)=0,"",VLOOKUP($A9,数出表_Excel!$A$6:$T$150,COLUMN()/2+1,FALSE))),"")</f>
        <v/>
      </c>
      <c r="E9" s="77"/>
      <c r="F9" s="160" t="str">
        <f ca="1">IFERROR(VALUE(IF(VLOOKUP($A9,数出表_Excel!$A$6:$T$150,COLUMN()/2+1,FALSE)=0,"",VLOOKUP($A9,数出表_Excel!$A$6:$T$150,COLUMN()/2+1,FALSE))),"")</f>
        <v/>
      </c>
      <c r="G9" s="61"/>
      <c r="H9" s="150" t="str">
        <f ca="1">IFERROR(VALUE(IF(VLOOKUP($A9,数出表_Excel!$A$6:$T$150,COLUMN()/2+1,FALSE)=0,"",VLOOKUP($A9,数出表_Excel!$A$6:$T$150,COLUMN()/2+1,FALSE))),"")</f>
        <v/>
      </c>
      <c r="I9" s="77"/>
      <c r="J9" s="160" t="str">
        <f ca="1">IFERROR(VALUE(IF(VLOOKUP($A9,数出表_Excel!$A$6:$T$150,COLUMN()/2+1,FALSE)=0,"",VLOOKUP($A9,数出表_Excel!$A$6:$T$150,COLUMN()/2+1,FALSE))),"")</f>
        <v/>
      </c>
      <c r="K9" s="61"/>
      <c r="L9" s="150" t="str">
        <f ca="1">IFERROR(VALUE(IF(VLOOKUP($A9,数出表_Excel!$A$6:$T$150,COLUMN()/2+1,FALSE)=0,"",VLOOKUP($A9,数出表_Excel!$A$6:$T$150,COLUMN()/2+1,FALSE))),"")</f>
        <v/>
      </c>
      <c r="M9" s="77"/>
      <c r="N9" s="160" t="str">
        <f ca="1">IFERROR(VALUE(IF(VLOOKUP($A9,数出表_Excel!$A$6:$T$150,COLUMN()/2+1,FALSE)=0,"",VLOOKUP($A9,数出表_Excel!$A$6:$T$150,COLUMN()/2+1,FALSE))),"")</f>
        <v/>
      </c>
      <c r="O9" s="61"/>
      <c r="P9" s="150" t="str">
        <f ca="1">IFERROR(VALUE(IF(VLOOKUP($A9,数出表_Excel!$A$6:$T$150,COLUMN()/2+1,FALSE)=0,"",VLOOKUP($A9,数出表_Excel!$A$6:$T$150,COLUMN()/2+1,FALSE))),"")</f>
        <v/>
      </c>
      <c r="Q9" s="77"/>
      <c r="R9" s="160" t="str">
        <f ca="1">IFERROR(VALUE(IF(VLOOKUP($A9,数出表_Excel!$A$6:$T$150,COLUMN()/2+1,FALSE)=0,"",VLOOKUP($A9,数出表_Excel!$A$6:$T$150,COLUMN()/2+1,FALSE))),"")</f>
        <v/>
      </c>
      <c r="S9" s="61"/>
      <c r="T9" s="150" t="str">
        <f ca="1">IFERROR(VALUE(IF(VLOOKUP($A9,数出表_Excel!$A$6:$T$150,COLUMN()/2+1,FALSE)=0,"",VLOOKUP($A9,数出表_Excel!$A$6:$T$150,COLUMN()/2+1,FALSE))),"")</f>
        <v/>
      </c>
      <c r="U9" s="77"/>
      <c r="V9" s="160" t="str">
        <f ca="1">IFERROR(VALUE(IF(VLOOKUP($A9,数出表_Excel!$A$6:$T$150,COLUMN()/2+1,FALSE)=0,"",VLOOKUP($A9,数出表_Excel!$A$6:$T$150,COLUMN()/2+1,FALSE))),"")</f>
        <v/>
      </c>
      <c r="W9" s="61"/>
      <c r="X9" s="150" t="str">
        <f ca="1">IFERROR(VALUE(IF(VLOOKUP($A9,数出表_Excel!$A$6:$T$150,COLUMN()/2+1,FALSE)=0,"",VLOOKUP($A9,数出表_Excel!$A$6:$T$150,COLUMN()/2+1,FALSE))),"")</f>
        <v/>
      </c>
      <c r="Y9" s="77"/>
      <c r="Z9" s="160" t="str">
        <f ca="1">IFERROR(VALUE(IF(VLOOKUP($A9,数出表_Excel!$A$6:$T$150,COLUMN()/2+1,FALSE)=0,"",VLOOKUP($A9,数出表_Excel!$A$6:$T$150,COLUMN()/2+1,FALSE))),"")</f>
        <v/>
      </c>
      <c r="AA9" s="77"/>
      <c r="AB9" s="150" t="str">
        <f ca="1">IFERROR(VALUE(IF(VLOOKUP($A9,数出表_Excel!$A$6:$T$150,COLUMN()/2+1,FALSE)=0,"",VLOOKUP($A9,数出表_Excel!$A$6:$T$150,COLUMN()/2+1,FALSE))),"")</f>
        <v/>
      </c>
      <c r="AC9" s="77"/>
      <c r="AD9" s="150" t="str">
        <f ca="1">IFERROR(VALUE(IF(VLOOKUP($A9,数出表_Excel!$A$6:$T$150,COLUMN()/2+1,FALSE)=0,"",VLOOKUP($A9,数出表_Excel!$A$6:$T$150,COLUMN()/2+1,FALSE))),"")</f>
        <v/>
      </c>
      <c r="AE9" s="77"/>
      <c r="AF9" s="150" t="str">
        <f ca="1">IFERROR(VALUE(IF(VLOOKUP($A9,数出表_Excel!$A$6:$T$150,COLUMN()/2+1,FALSE)=0,"",VLOOKUP($A9,数出表_Excel!$A$6:$T$150,COLUMN()/2+1,FALSE))),"")</f>
        <v/>
      </c>
      <c r="AG9" s="77"/>
      <c r="AH9" s="150" t="str">
        <f ca="1">IFERROR(VALUE(IF(VLOOKUP($A9,数出表_Excel!$A$6:$T$150,COLUMN()/2+1,FALSE)=0,"",VLOOKUP($A9,数出表_Excel!$A$6:$T$150,COLUMN()/2+1,FALSE))),"")</f>
        <v/>
      </c>
      <c r="AI9" s="77"/>
      <c r="AJ9" s="150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</row>
    <row r="10" spans="1:40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</row>
    <row r="11" spans="1:40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50" t="str">
        <f ca="1">IFERROR(VALUE(IF(VLOOKUP($A11,数出表_Excel!$A$6:$T$150,COLUMN()/2+1,FALSE)=0,"",VLOOKUP($A11,数出表_Excel!$A$6:$T$150,COLUMN()/2+1,FALSE))),"")</f>
        <v/>
      </c>
      <c r="C11" s="61"/>
      <c r="D11" s="150" t="str">
        <f ca="1">IFERROR(VALUE(IF(VLOOKUP($A11,数出表_Excel!$A$6:$T$150,COLUMN()/2+1,FALSE)=0,"",VLOOKUP($A11,数出表_Excel!$A$6:$T$150,COLUMN()/2+1,FALSE))),"")</f>
        <v/>
      </c>
      <c r="E11" s="77"/>
      <c r="F11" s="160" t="str">
        <f ca="1">IFERROR(VALUE(IF(VLOOKUP($A11,数出表_Excel!$A$6:$T$150,COLUMN()/2+1,FALSE)=0,"",VLOOKUP($A11,数出表_Excel!$A$6:$T$150,COLUMN()/2+1,FALSE))),"")</f>
        <v/>
      </c>
      <c r="G11" s="61"/>
      <c r="H11" s="150" t="str">
        <f ca="1">IFERROR(VALUE(IF(VLOOKUP($A11,数出表_Excel!$A$6:$T$150,COLUMN()/2+1,FALSE)=0,"",VLOOKUP($A11,数出表_Excel!$A$6:$T$150,COLUMN()/2+1,FALSE))),"")</f>
        <v/>
      </c>
      <c r="I11" s="77"/>
      <c r="J11" s="160" t="str">
        <f ca="1">IFERROR(VALUE(IF(VLOOKUP($A11,数出表_Excel!$A$6:$T$150,COLUMN()/2+1,FALSE)=0,"",VLOOKUP($A11,数出表_Excel!$A$6:$T$150,COLUMN()/2+1,FALSE))),"")</f>
        <v/>
      </c>
      <c r="K11" s="61"/>
      <c r="L11" s="150" t="str">
        <f ca="1">IFERROR(VALUE(IF(VLOOKUP($A11,数出表_Excel!$A$6:$T$150,COLUMN()/2+1,FALSE)=0,"",VLOOKUP($A11,数出表_Excel!$A$6:$T$150,COLUMN()/2+1,FALSE))),"")</f>
        <v/>
      </c>
      <c r="M11" s="77"/>
      <c r="N11" s="160" t="str">
        <f ca="1">IFERROR(VALUE(IF(VLOOKUP($A11,数出表_Excel!$A$6:$T$150,COLUMN()/2+1,FALSE)=0,"",VLOOKUP($A11,数出表_Excel!$A$6:$T$150,COLUMN()/2+1,FALSE))),"")</f>
        <v/>
      </c>
      <c r="O11" s="61"/>
      <c r="P11" s="150" t="str">
        <f ca="1">IFERROR(VALUE(IF(VLOOKUP($A11,数出表_Excel!$A$6:$T$150,COLUMN()/2+1,FALSE)=0,"",VLOOKUP($A11,数出表_Excel!$A$6:$T$150,COLUMN()/2+1,FALSE))),"")</f>
        <v/>
      </c>
      <c r="Q11" s="77"/>
      <c r="R11" s="160" t="str">
        <f ca="1">IFERROR(VALUE(IF(VLOOKUP($A11,数出表_Excel!$A$6:$T$150,COLUMN()/2+1,FALSE)=0,"",VLOOKUP($A11,数出表_Excel!$A$6:$T$150,COLUMN()/2+1,FALSE))),"")</f>
        <v/>
      </c>
      <c r="S11" s="61"/>
      <c r="T11" s="150" t="str">
        <f ca="1">IFERROR(VALUE(IF(VLOOKUP($A11,数出表_Excel!$A$6:$T$150,COLUMN()/2+1,FALSE)=0,"",VLOOKUP($A11,数出表_Excel!$A$6:$T$150,COLUMN()/2+1,FALSE))),"")</f>
        <v/>
      </c>
      <c r="U11" s="77"/>
      <c r="V11" s="160" t="str">
        <f ca="1">IFERROR(VALUE(IF(VLOOKUP($A11,数出表_Excel!$A$6:$T$150,COLUMN()/2+1,FALSE)=0,"",VLOOKUP($A11,数出表_Excel!$A$6:$T$150,COLUMN()/2+1,FALSE))),"")</f>
        <v/>
      </c>
      <c r="W11" s="61"/>
      <c r="X11" s="150" t="str">
        <f ca="1">IFERROR(VALUE(IF(VLOOKUP($A11,数出表_Excel!$A$6:$T$150,COLUMN()/2+1,FALSE)=0,"",VLOOKUP($A11,数出表_Excel!$A$6:$T$150,COLUMN()/2+1,FALSE))),"")</f>
        <v/>
      </c>
      <c r="Y11" s="77"/>
      <c r="Z11" s="160" t="str">
        <f ca="1">IFERROR(VALUE(IF(VLOOKUP($A11,数出表_Excel!$A$6:$T$150,COLUMN()/2+1,FALSE)=0,"",VLOOKUP($A11,数出表_Excel!$A$6:$T$150,COLUMN()/2+1,FALSE))),"")</f>
        <v/>
      </c>
      <c r="AA11" s="77"/>
      <c r="AB11" s="150" t="str">
        <f ca="1">IFERROR(VALUE(IF(VLOOKUP($A11,数出表_Excel!$A$6:$T$150,COLUMN()/2+1,FALSE)=0,"",VLOOKUP($A11,数出表_Excel!$A$6:$T$150,COLUMN()/2+1,FALSE))),"")</f>
        <v/>
      </c>
      <c r="AC11" s="77"/>
      <c r="AD11" s="150" t="str">
        <f ca="1">IFERROR(VALUE(IF(VLOOKUP($A11,数出表_Excel!$A$6:$T$150,COLUMN()/2+1,FALSE)=0,"",VLOOKUP($A11,数出表_Excel!$A$6:$T$150,COLUMN()/2+1,FALSE))),"")</f>
        <v/>
      </c>
      <c r="AE11" s="77"/>
      <c r="AF11" s="150" t="str">
        <f ca="1">IFERROR(VALUE(IF(VLOOKUP($A11,数出表_Excel!$A$6:$T$150,COLUMN()/2+1,FALSE)=0,"",VLOOKUP($A11,数出表_Excel!$A$6:$T$150,COLUMN()/2+1,FALSE))),"")</f>
        <v/>
      </c>
      <c r="AG11" s="77"/>
      <c r="AH11" s="150" t="str">
        <f ca="1">IFERROR(VALUE(IF(VLOOKUP($A11,数出表_Excel!$A$6:$T$150,COLUMN()/2+1,FALSE)=0,"",VLOOKUP($A11,数出表_Excel!$A$6:$T$150,COLUMN()/2+1,FALSE))),"")</f>
        <v/>
      </c>
      <c r="AI11" s="77"/>
      <c r="AJ11" s="150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0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/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0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50" t="str">
        <f ca="1">IFERROR(VALUE(IF(VLOOKUP($A13,数出表_Excel!$A$6:$T$150,COLUMN()/2+1,FALSE)=0,"",VLOOKUP($A13,数出表_Excel!$A$6:$T$150,COLUMN()/2+1,FALSE))),"")</f>
        <v/>
      </c>
      <c r="C13" s="61"/>
      <c r="D13" s="150" t="str">
        <f ca="1">IFERROR(VALUE(IF(VLOOKUP($A13,数出表_Excel!$A$6:$T$150,COLUMN()/2+1,FALSE)=0,"",VLOOKUP($A13,数出表_Excel!$A$6:$T$150,COLUMN()/2+1,FALSE))),"")</f>
        <v/>
      </c>
      <c r="E13" s="77"/>
      <c r="F13" s="160" t="str">
        <f ca="1">IFERROR(VALUE(IF(VLOOKUP($A13,数出表_Excel!$A$6:$T$150,COLUMN()/2+1,FALSE)=0,"",VLOOKUP($A13,数出表_Excel!$A$6:$T$150,COLUMN()/2+1,FALSE))),"")</f>
        <v/>
      </c>
      <c r="G13" s="61"/>
      <c r="H13" s="150" t="str">
        <f ca="1">IFERROR(VALUE(IF(VLOOKUP($A13,数出表_Excel!$A$6:$T$150,COLUMN()/2+1,FALSE)=0,"",VLOOKUP($A13,数出表_Excel!$A$6:$T$150,COLUMN()/2+1,FALSE))),"")</f>
        <v/>
      </c>
      <c r="I13" s="77"/>
      <c r="J13" s="160" t="str">
        <f ca="1">IFERROR(VALUE(IF(VLOOKUP($A13,数出表_Excel!$A$6:$T$150,COLUMN()/2+1,FALSE)=0,"",VLOOKUP($A13,数出表_Excel!$A$6:$T$150,COLUMN()/2+1,FALSE))),"")</f>
        <v/>
      </c>
      <c r="K13" s="61"/>
      <c r="L13" s="150" t="str">
        <f ca="1">IFERROR(VALUE(IF(VLOOKUP($A13,数出表_Excel!$A$6:$T$150,COLUMN()/2+1,FALSE)=0,"",VLOOKUP($A13,数出表_Excel!$A$6:$T$150,COLUMN()/2+1,FALSE))),"")</f>
        <v/>
      </c>
      <c r="M13" s="77"/>
      <c r="N13" s="160" t="str">
        <f ca="1">IFERROR(VALUE(IF(VLOOKUP($A13,数出表_Excel!$A$6:$T$150,COLUMN()/2+1,FALSE)=0,"",VLOOKUP($A13,数出表_Excel!$A$6:$T$150,COLUMN()/2+1,FALSE))),"")</f>
        <v/>
      </c>
      <c r="O13" s="61"/>
      <c r="P13" s="150" t="str">
        <f ca="1">IFERROR(VALUE(IF(VLOOKUP($A13,数出表_Excel!$A$6:$T$150,COLUMN()/2+1,FALSE)=0,"",VLOOKUP($A13,数出表_Excel!$A$6:$T$150,COLUMN()/2+1,FALSE))),"")</f>
        <v/>
      </c>
      <c r="Q13" s="77"/>
      <c r="R13" s="160" t="str">
        <f ca="1">IFERROR(VALUE(IF(VLOOKUP($A13,数出表_Excel!$A$6:$T$150,COLUMN()/2+1,FALSE)=0,"",VLOOKUP($A13,数出表_Excel!$A$6:$T$150,COLUMN()/2+1,FALSE))),"")</f>
        <v/>
      </c>
      <c r="S13" s="61"/>
      <c r="T13" s="150" t="str">
        <f ca="1">IFERROR(VALUE(IF(VLOOKUP($A13,数出表_Excel!$A$6:$T$150,COLUMN()/2+1,FALSE)=0,"",VLOOKUP($A13,数出表_Excel!$A$6:$T$150,COLUMN()/2+1,FALSE))),"")</f>
        <v/>
      </c>
      <c r="U13" s="77"/>
      <c r="V13" s="160" t="str">
        <f ca="1">IFERROR(VALUE(IF(VLOOKUP($A13,数出表_Excel!$A$6:$T$150,COLUMN()/2+1,FALSE)=0,"",VLOOKUP($A13,数出表_Excel!$A$6:$T$150,COLUMN()/2+1,FALSE))),"")</f>
        <v/>
      </c>
      <c r="W13" s="61"/>
      <c r="X13" s="150" t="str">
        <f ca="1">IFERROR(VALUE(IF(VLOOKUP($A13,数出表_Excel!$A$6:$T$150,COLUMN()/2+1,FALSE)=0,"",VLOOKUP($A13,数出表_Excel!$A$6:$T$150,COLUMN()/2+1,FALSE))),"")</f>
        <v/>
      </c>
      <c r="Y13" s="77"/>
      <c r="Z13" s="160" t="str">
        <f ca="1">IFERROR(VALUE(IF(VLOOKUP($A13,数出表_Excel!$A$6:$T$150,COLUMN()/2+1,FALSE)=0,"",VLOOKUP($A13,数出表_Excel!$A$6:$T$150,COLUMN()/2+1,FALSE))),"")</f>
        <v/>
      </c>
      <c r="AA13" s="77"/>
      <c r="AB13" s="150" t="str">
        <f ca="1">IFERROR(VALUE(IF(VLOOKUP($A13,数出表_Excel!$A$6:$T$150,COLUMN()/2+1,FALSE)=0,"",VLOOKUP($A13,数出表_Excel!$A$6:$T$150,COLUMN()/2+1,FALSE))),"")</f>
        <v/>
      </c>
      <c r="AC13" s="77"/>
      <c r="AD13" s="150" t="str">
        <f ca="1">IFERROR(VALUE(IF(VLOOKUP($A13,数出表_Excel!$A$6:$T$150,COLUMN()/2+1,FALSE)=0,"",VLOOKUP($A13,数出表_Excel!$A$6:$T$150,COLUMN()/2+1,FALSE))),"")</f>
        <v/>
      </c>
      <c r="AE13" s="77"/>
      <c r="AF13" s="150" t="str">
        <f ca="1">IFERROR(VALUE(IF(VLOOKUP($A13,数出表_Excel!$A$6:$T$150,COLUMN()/2+1,FALSE)=0,"",VLOOKUP($A13,数出表_Excel!$A$6:$T$150,COLUMN()/2+1,FALSE))),"")</f>
        <v/>
      </c>
      <c r="AG13" s="77"/>
      <c r="AH13" s="150" t="str">
        <f ca="1">IFERROR(VALUE(IF(VLOOKUP($A13,数出表_Excel!$A$6:$T$150,COLUMN()/2+1,FALSE)=0,"",VLOOKUP($A13,数出表_Excel!$A$6:$T$150,COLUMN()/2+1,FALSE))),"")</f>
        <v/>
      </c>
      <c r="AI13" s="77"/>
      <c r="AJ13" s="150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0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0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50" t="str">
        <f ca="1">IFERROR(VALUE(IF(VLOOKUP($A15,数出表_Excel!$A$6:$T$150,COLUMN()/2+1,FALSE)=0,"",VLOOKUP($A15,数出表_Excel!$A$6:$T$150,COLUMN()/2+1,FALSE))),"")</f>
        <v/>
      </c>
      <c r="C15" s="61"/>
      <c r="D15" s="150" t="str">
        <f ca="1">IFERROR(VALUE(IF(VLOOKUP($A15,数出表_Excel!$A$6:$T$150,COLUMN()/2+1,FALSE)=0,"",VLOOKUP($A15,数出表_Excel!$A$6:$T$150,COLUMN()/2+1,FALSE))),"")</f>
        <v/>
      </c>
      <c r="E15" s="77"/>
      <c r="F15" s="160" t="str">
        <f ca="1">IFERROR(VALUE(IF(VLOOKUP($A15,数出表_Excel!$A$6:$T$150,COLUMN()/2+1,FALSE)=0,"",VLOOKUP($A15,数出表_Excel!$A$6:$T$150,COLUMN()/2+1,FALSE))),"")</f>
        <v/>
      </c>
      <c r="G15" s="61"/>
      <c r="H15" s="150" t="str">
        <f ca="1">IFERROR(VALUE(IF(VLOOKUP($A15,数出表_Excel!$A$6:$T$150,COLUMN()/2+1,FALSE)=0,"",VLOOKUP($A15,数出表_Excel!$A$6:$T$150,COLUMN()/2+1,FALSE))),"")</f>
        <v/>
      </c>
      <c r="I15" s="77"/>
      <c r="J15" s="160" t="str">
        <f ca="1">IFERROR(VALUE(IF(VLOOKUP($A15,数出表_Excel!$A$6:$T$150,COLUMN()/2+1,FALSE)=0,"",VLOOKUP($A15,数出表_Excel!$A$6:$T$150,COLUMN()/2+1,FALSE))),"")</f>
        <v/>
      </c>
      <c r="K15" s="61"/>
      <c r="L15" s="150" t="str">
        <f ca="1">IFERROR(VALUE(IF(VLOOKUP($A15,数出表_Excel!$A$6:$T$150,COLUMN()/2+1,FALSE)=0,"",VLOOKUP($A15,数出表_Excel!$A$6:$T$150,COLUMN()/2+1,FALSE))),"")</f>
        <v/>
      </c>
      <c r="M15" s="77"/>
      <c r="N15" s="160" t="str">
        <f ca="1">IFERROR(VALUE(IF(VLOOKUP($A15,数出表_Excel!$A$6:$T$150,COLUMN()/2+1,FALSE)=0,"",VLOOKUP($A15,数出表_Excel!$A$6:$T$150,COLUMN()/2+1,FALSE))),"")</f>
        <v/>
      </c>
      <c r="O15" s="61"/>
      <c r="P15" s="150" t="str">
        <f ca="1">IFERROR(VALUE(IF(VLOOKUP($A15,数出表_Excel!$A$6:$T$150,COLUMN()/2+1,FALSE)=0,"",VLOOKUP($A15,数出表_Excel!$A$6:$T$150,COLUMN()/2+1,FALSE))),"")</f>
        <v/>
      </c>
      <c r="Q15" s="77"/>
      <c r="R15" s="160" t="str">
        <f ca="1">IFERROR(VALUE(IF(VLOOKUP($A15,数出表_Excel!$A$6:$T$150,COLUMN()/2+1,FALSE)=0,"",VLOOKUP($A15,数出表_Excel!$A$6:$T$150,COLUMN()/2+1,FALSE))),"")</f>
        <v/>
      </c>
      <c r="S15" s="61"/>
      <c r="T15" s="150" t="str">
        <f ca="1">IFERROR(VALUE(IF(VLOOKUP($A15,数出表_Excel!$A$6:$T$150,COLUMN()/2+1,FALSE)=0,"",VLOOKUP($A15,数出表_Excel!$A$6:$T$150,COLUMN()/2+1,FALSE))),"")</f>
        <v/>
      </c>
      <c r="U15" s="77"/>
      <c r="V15" s="160" t="str">
        <f ca="1">IFERROR(VALUE(IF(VLOOKUP($A15,数出表_Excel!$A$6:$T$150,COLUMN()/2+1,FALSE)=0,"",VLOOKUP($A15,数出表_Excel!$A$6:$T$150,COLUMN()/2+1,FALSE))),"")</f>
        <v/>
      </c>
      <c r="W15" s="61"/>
      <c r="X15" s="150" t="str">
        <f ca="1">IFERROR(VALUE(IF(VLOOKUP($A15,数出表_Excel!$A$6:$T$150,COLUMN()/2+1,FALSE)=0,"",VLOOKUP($A15,数出表_Excel!$A$6:$T$150,COLUMN()/2+1,FALSE))),"")</f>
        <v/>
      </c>
      <c r="Y15" s="77"/>
      <c r="Z15" s="160" t="str">
        <f ca="1">IFERROR(VALUE(IF(VLOOKUP($A15,数出表_Excel!$A$6:$T$150,COLUMN()/2+1,FALSE)=0,"",VLOOKUP($A15,数出表_Excel!$A$6:$T$150,COLUMN()/2+1,FALSE))),"")</f>
        <v/>
      </c>
      <c r="AA15" s="77"/>
      <c r="AB15" s="150" t="str">
        <f ca="1">IFERROR(VALUE(IF(VLOOKUP($A15,数出表_Excel!$A$6:$T$150,COLUMN()/2+1,FALSE)=0,"",VLOOKUP($A15,数出表_Excel!$A$6:$T$150,COLUMN()/2+1,FALSE))),"")</f>
        <v/>
      </c>
      <c r="AC15" s="77"/>
      <c r="AD15" s="150" t="str">
        <f ca="1">IFERROR(VALUE(IF(VLOOKUP($A15,数出表_Excel!$A$6:$T$150,COLUMN()/2+1,FALSE)=0,"",VLOOKUP($A15,数出表_Excel!$A$6:$T$150,COLUMN()/2+1,FALSE))),"")</f>
        <v/>
      </c>
      <c r="AE15" s="77"/>
      <c r="AF15" s="150" t="str">
        <f ca="1">IFERROR(VALUE(IF(VLOOKUP($A15,数出表_Excel!$A$6:$T$150,COLUMN()/2+1,FALSE)=0,"",VLOOKUP($A15,数出表_Excel!$A$6:$T$150,COLUMN()/2+1,FALSE))),"")</f>
        <v/>
      </c>
      <c r="AG15" s="77"/>
      <c r="AH15" s="150" t="str">
        <f ca="1">IFERROR(VALUE(IF(VLOOKUP($A15,数出表_Excel!$A$6:$T$150,COLUMN()/2+1,FALSE)=0,"",VLOOKUP($A15,数出表_Excel!$A$6:$T$150,COLUMN()/2+1,FALSE))),"")</f>
        <v/>
      </c>
      <c r="AI15" s="77"/>
      <c r="AJ15" s="150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0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84" t="str">
        <f ca="1">IFERROR(VALUE(IF(VLOOKUP($A16,数出表_Excel!$A$6:$T$150,COLUMN()/2+1,FALSE)=0,"",VLOOKUP($A16,数出表_Excel!$A$6:$T$150,COLUMN()/2+1,FALSE))),"")</f>
        <v/>
      </c>
      <c r="K16" s="60"/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50" t="str">
        <f ca="1">IFERROR(VALUE(IF(VLOOKUP($A17,数出表_Excel!$A$6:$T$150,COLUMN()/2+1,FALSE)=0,"",VLOOKUP($A17,数出表_Excel!$A$6:$T$150,COLUMN()/2+1,FALSE))),"")</f>
        <v/>
      </c>
      <c r="C17" s="61"/>
      <c r="D17" s="150" t="str">
        <f ca="1">IFERROR(VALUE(IF(VLOOKUP($A17,数出表_Excel!$A$6:$T$150,COLUMN()/2+1,FALSE)=0,"",VLOOKUP($A17,数出表_Excel!$A$6:$T$150,COLUMN()/2+1,FALSE))),"")</f>
        <v/>
      </c>
      <c r="E17" s="77"/>
      <c r="F17" s="160" t="str">
        <f ca="1">IFERROR(VALUE(IF(VLOOKUP($A17,数出表_Excel!$A$6:$T$150,COLUMN()/2+1,FALSE)=0,"",VLOOKUP($A17,数出表_Excel!$A$6:$T$150,COLUMN()/2+1,FALSE))),"")</f>
        <v/>
      </c>
      <c r="G17" s="61"/>
      <c r="H17" s="150" t="str">
        <f ca="1">IFERROR(VALUE(IF(VLOOKUP($A17,数出表_Excel!$A$6:$T$150,COLUMN()/2+1,FALSE)=0,"",VLOOKUP($A17,数出表_Excel!$A$6:$T$150,COLUMN()/2+1,FALSE))),"")</f>
        <v/>
      </c>
      <c r="I17" s="77"/>
      <c r="J17" s="160" t="str">
        <f ca="1">IFERROR(VALUE(IF(VLOOKUP($A17,数出表_Excel!$A$6:$T$150,COLUMN()/2+1,FALSE)=0,"",VLOOKUP($A17,数出表_Excel!$A$6:$T$150,COLUMN()/2+1,FALSE))),"")</f>
        <v/>
      </c>
      <c r="K17" s="61"/>
      <c r="L17" s="150" t="str">
        <f ca="1">IFERROR(VALUE(IF(VLOOKUP($A17,数出表_Excel!$A$6:$T$150,COLUMN()/2+1,FALSE)=0,"",VLOOKUP($A17,数出表_Excel!$A$6:$T$150,COLUMN()/2+1,FALSE))),"")</f>
        <v/>
      </c>
      <c r="M17" s="77"/>
      <c r="N17" s="160" t="str">
        <f ca="1">IFERROR(VALUE(IF(VLOOKUP($A17,数出表_Excel!$A$6:$T$150,COLUMN()/2+1,FALSE)=0,"",VLOOKUP($A17,数出表_Excel!$A$6:$T$150,COLUMN()/2+1,FALSE))),"")</f>
        <v/>
      </c>
      <c r="O17" s="61"/>
      <c r="P17" s="150" t="str">
        <f ca="1">IFERROR(VALUE(IF(VLOOKUP($A17,数出表_Excel!$A$6:$T$150,COLUMN()/2+1,FALSE)=0,"",VLOOKUP($A17,数出表_Excel!$A$6:$T$150,COLUMN()/2+1,FALSE))),"")</f>
        <v/>
      </c>
      <c r="Q17" s="77"/>
      <c r="R17" s="160" t="str">
        <f ca="1">IFERROR(VALUE(IF(VLOOKUP($A17,数出表_Excel!$A$6:$T$150,COLUMN()/2+1,FALSE)=0,"",VLOOKUP($A17,数出表_Excel!$A$6:$T$150,COLUMN()/2+1,FALSE))),"")</f>
        <v/>
      </c>
      <c r="S17" s="61"/>
      <c r="T17" s="150" t="str">
        <f ca="1">IFERROR(VALUE(IF(VLOOKUP($A17,数出表_Excel!$A$6:$T$150,COLUMN()/2+1,FALSE)=0,"",VLOOKUP($A17,数出表_Excel!$A$6:$T$150,COLUMN()/2+1,FALSE))),"")</f>
        <v/>
      </c>
      <c r="U17" s="77"/>
      <c r="V17" s="160" t="str">
        <f ca="1">IFERROR(VALUE(IF(VLOOKUP($A17,数出表_Excel!$A$6:$T$150,COLUMN()/2+1,FALSE)=0,"",VLOOKUP($A17,数出表_Excel!$A$6:$T$150,COLUMN()/2+1,FALSE))),"")</f>
        <v/>
      </c>
      <c r="W17" s="61"/>
      <c r="X17" s="150" t="str">
        <f ca="1">IFERROR(VALUE(IF(VLOOKUP($A17,数出表_Excel!$A$6:$T$150,COLUMN()/2+1,FALSE)=0,"",VLOOKUP($A17,数出表_Excel!$A$6:$T$150,COLUMN()/2+1,FALSE))),"")</f>
        <v/>
      </c>
      <c r="Y17" s="77"/>
      <c r="Z17" s="160" t="str">
        <f ca="1">IFERROR(VALUE(IF(VLOOKUP($A17,数出表_Excel!$A$6:$T$150,COLUMN()/2+1,FALSE)=0,"",VLOOKUP($A17,数出表_Excel!$A$6:$T$150,COLUMN()/2+1,FALSE))),"")</f>
        <v/>
      </c>
      <c r="AA17" s="77"/>
      <c r="AB17" s="150" t="str">
        <f ca="1">IFERROR(VALUE(IF(VLOOKUP($A17,数出表_Excel!$A$6:$T$150,COLUMN()/2+1,FALSE)=0,"",VLOOKUP($A17,数出表_Excel!$A$6:$T$150,COLUMN()/2+1,FALSE))),"")</f>
        <v/>
      </c>
      <c r="AC17" s="77"/>
      <c r="AD17" s="150" t="str">
        <f ca="1">IFERROR(VALUE(IF(VLOOKUP($A17,数出表_Excel!$A$6:$T$150,COLUMN()/2+1,FALSE)=0,"",VLOOKUP($A17,数出表_Excel!$A$6:$T$150,COLUMN()/2+1,FALSE))),"")</f>
        <v/>
      </c>
      <c r="AE17" s="77"/>
      <c r="AF17" s="150" t="str">
        <f ca="1">IFERROR(VALUE(IF(VLOOKUP($A17,数出表_Excel!$A$6:$T$150,COLUMN()/2+1,FALSE)=0,"",VLOOKUP($A17,数出表_Excel!$A$6:$T$150,COLUMN()/2+1,FALSE))),"")</f>
        <v/>
      </c>
      <c r="AG17" s="77"/>
      <c r="AH17" s="150" t="str">
        <f ca="1">IFERROR(VALUE(IF(VLOOKUP($A17,数出表_Excel!$A$6:$T$150,COLUMN()/2+1,FALSE)=0,"",VLOOKUP($A17,数出表_Excel!$A$6:$T$150,COLUMN()/2+1,FALSE))),"")</f>
        <v/>
      </c>
      <c r="AI17" s="77"/>
      <c r="AJ17" s="150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/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50" t="str">
        <f ca="1">IFERROR(VALUE(IF(VLOOKUP($A19,数出表_Excel!$A$6:$T$150,COLUMN()/2+1,FALSE)=0,"",VLOOKUP($A19,数出表_Excel!$A$6:$T$150,COLUMN()/2+1,FALSE))),"")</f>
        <v/>
      </c>
      <c r="C19" s="61"/>
      <c r="D19" s="150" t="str">
        <f ca="1">IFERROR(VALUE(IF(VLOOKUP($A19,数出表_Excel!$A$6:$T$150,COLUMN()/2+1,FALSE)=0,"",VLOOKUP($A19,数出表_Excel!$A$6:$T$150,COLUMN()/2+1,FALSE))),"")</f>
        <v/>
      </c>
      <c r="E19" s="77"/>
      <c r="F19" s="160" t="str">
        <f ca="1">IFERROR(VALUE(IF(VLOOKUP($A19,数出表_Excel!$A$6:$T$150,COLUMN()/2+1,FALSE)=0,"",VLOOKUP($A19,数出表_Excel!$A$6:$T$150,COLUMN()/2+1,FALSE))),"")</f>
        <v/>
      </c>
      <c r="G19" s="61"/>
      <c r="H19" s="150" t="str">
        <f ca="1">IFERROR(VALUE(IF(VLOOKUP($A19,数出表_Excel!$A$6:$T$150,COLUMN()/2+1,FALSE)=0,"",VLOOKUP($A19,数出表_Excel!$A$6:$T$150,COLUMN()/2+1,FALSE))),"")</f>
        <v/>
      </c>
      <c r="I19" s="77"/>
      <c r="J19" s="160" t="str">
        <f ca="1">IFERROR(VALUE(IF(VLOOKUP($A19,数出表_Excel!$A$6:$T$150,COLUMN()/2+1,FALSE)=0,"",VLOOKUP($A19,数出表_Excel!$A$6:$T$150,COLUMN()/2+1,FALSE))),"")</f>
        <v/>
      </c>
      <c r="K19" s="61"/>
      <c r="L19" s="150" t="str">
        <f ca="1">IFERROR(VALUE(IF(VLOOKUP($A19,数出表_Excel!$A$6:$T$150,COLUMN()/2+1,FALSE)=0,"",VLOOKUP($A19,数出表_Excel!$A$6:$T$150,COLUMN()/2+1,FALSE))),"")</f>
        <v/>
      </c>
      <c r="M19" s="77"/>
      <c r="N19" s="160" t="str">
        <f ca="1">IFERROR(VALUE(IF(VLOOKUP($A19,数出表_Excel!$A$6:$T$150,COLUMN()/2+1,FALSE)=0,"",VLOOKUP($A19,数出表_Excel!$A$6:$T$150,COLUMN()/2+1,FALSE))),"")</f>
        <v/>
      </c>
      <c r="O19" s="61"/>
      <c r="P19" s="150" t="str">
        <f ca="1">IFERROR(VALUE(IF(VLOOKUP($A19,数出表_Excel!$A$6:$T$150,COLUMN()/2+1,FALSE)=0,"",VLOOKUP($A19,数出表_Excel!$A$6:$T$150,COLUMN()/2+1,FALSE))),"")</f>
        <v/>
      </c>
      <c r="Q19" s="77"/>
      <c r="R19" s="160" t="str">
        <f ca="1">IFERROR(VALUE(IF(VLOOKUP($A19,数出表_Excel!$A$6:$T$150,COLUMN()/2+1,FALSE)=0,"",VLOOKUP($A19,数出表_Excel!$A$6:$T$150,COLUMN()/2+1,FALSE))),"")</f>
        <v/>
      </c>
      <c r="S19" s="61"/>
      <c r="T19" s="150" t="str">
        <f ca="1">IFERROR(VALUE(IF(VLOOKUP($A19,数出表_Excel!$A$6:$T$150,COLUMN()/2+1,FALSE)=0,"",VLOOKUP($A19,数出表_Excel!$A$6:$T$150,COLUMN()/2+1,FALSE))),"")</f>
        <v/>
      </c>
      <c r="U19" s="77"/>
      <c r="V19" s="160" t="str">
        <f ca="1">IFERROR(VALUE(IF(VLOOKUP($A19,数出表_Excel!$A$6:$T$150,COLUMN()/2+1,FALSE)=0,"",VLOOKUP($A19,数出表_Excel!$A$6:$T$150,COLUMN()/2+1,FALSE))),"")</f>
        <v/>
      </c>
      <c r="W19" s="61"/>
      <c r="X19" s="150" t="str">
        <f ca="1">IFERROR(VALUE(IF(VLOOKUP($A19,数出表_Excel!$A$6:$T$150,COLUMN()/2+1,FALSE)=0,"",VLOOKUP($A19,数出表_Excel!$A$6:$T$150,COLUMN()/2+1,FALSE))),"")</f>
        <v/>
      </c>
      <c r="Y19" s="77"/>
      <c r="Z19" s="160" t="str">
        <f ca="1">IFERROR(VALUE(IF(VLOOKUP($A19,数出表_Excel!$A$6:$T$150,COLUMN()/2+1,FALSE)=0,"",VLOOKUP($A19,数出表_Excel!$A$6:$T$150,COLUMN()/2+1,FALSE))),"")</f>
        <v/>
      </c>
      <c r="AA19" s="77"/>
      <c r="AB19" s="150" t="str">
        <f ca="1">IFERROR(VALUE(IF(VLOOKUP($A19,数出表_Excel!$A$6:$T$150,COLUMN()/2+1,FALSE)=0,"",VLOOKUP($A19,数出表_Excel!$A$6:$T$150,COLUMN()/2+1,FALSE))),"")</f>
        <v/>
      </c>
      <c r="AC19" s="77"/>
      <c r="AD19" s="150" t="str">
        <f ca="1">IFERROR(VALUE(IF(VLOOKUP($A19,数出表_Excel!$A$6:$T$150,COLUMN()/2+1,FALSE)=0,"",VLOOKUP($A19,数出表_Excel!$A$6:$T$150,COLUMN()/2+1,FALSE))),"")</f>
        <v/>
      </c>
      <c r="AE19" s="77"/>
      <c r="AF19" s="150" t="str">
        <f ca="1">IFERROR(VALUE(IF(VLOOKUP($A19,数出表_Excel!$A$6:$T$150,COLUMN()/2+1,FALSE)=0,"",VLOOKUP($A19,数出表_Excel!$A$6:$T$150,COLUMN()/2+1,FALSE))),"")</f>
        <v/>
      </c>
      <c r="AG19" s="77"/>
      <c r="AH19" s="150" t="str">
        <f ca="1">IFERROR(VALUE(IF(VLOOKUP($A19,数出表_Excel!$A$6:$T$150,COLUMN()/2+1,FALSE)=0,"",VLOOKUP($A19,数出表_Excel!$A$6:$T$150,COLUMN()/2+1,FALSE))),"")</f>
        <v/>
      </c>
      <c r="AI19" s="77"/>
      <c r="AJ19" s="150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50" t="str">
        <f ca="1">IFERROR(VALUE(IF(VLOOKUP($A21,数出表_Excel!$A$6:$T$150,COLUMN()/2+1,FALSE)=0,"",VLOOKUP($A21,数出表_Excel!$A$6:$T$150,COLUMN()/2+1,FALSE))),"")</f>
        <v/>
      </c>
      <c r="C21" s="61"/>
      <c r="D21" s="150" t="str">
        <f ca="1">IFERROR(VALUE(IF(VLOOKUP($A21,数出表_Excel!$A$6:$T$150,COLUMN()/2+1,FALSE)=0,"",VLOOKUP($A21,数出表_Excel!$A$6:$T$150,COLUMN()/2+1,FALSE))),"")</f>
        <v/>
      </c>
      <c r="E21" s="77"/>
      <c r="F21" s="160" t="str">
        <f ca="1">IFERROR(VALUE(IF(VLOOKUP($A21,数出表_Excel!$A$6:$T$150,COLUMN()/2+1,FALSE)=0,"",VLOOKUP($A21,数出表_Excel!$A$6:$T$150,COLUMN()/2+1,FALSE))),"")</f>
        <v/>
      </c>
      <c r="G21" s="61"/>
      <c r="H21" s="150" t="str">
        <f ca="1">IFERROR(VALUE(IF(VLOOKUP($A21,数出表_Excel!$A$6:$T$150,COLUMN()/2+1,FALSE)=0,"",VLOOKUP($A21,数出表_Excel!$A$6:$T$150,COLUMN()/2+1,FALSE))),"")</f>
        <v/>
      </c>
      <c r="I21" s="77"/>
      <c r="J21" s="160" t="str">
        <f ca="1">IFERROR(VALUE(IF(VLOOKUP($A21,数出表_Excel!$A$6:$T$150,COLUMN()/2+1,FALSE)=0,"",VLOOKUP($A21,数出表_Excel!$A$6:$T$150,COLUMN()/2+1,FALSE))),"")</f>
        <v/>
      </c>
      <c r="K21" s="61"/>
      <c r="L21" s="150" t="str">
        <f ca="1">IFERROR(VALUE(IF(VLOOKUP($A21,数出表_Excel!$A$6:$T$150,COLUMN()/2+1,FALSE)=0,"",VLOOKUP($A21,数出表_Excel!$A$6:$T$150,COLUMN()/2+1,FALSE))),"")</f>
        <v/>
      </c>
      <c r="M21" s="77"/>
      <c r="N21" s="160" t="str">
        <f ca="1">IFERROR(VALUE(IF(VLOOKUP($A21,数出表_Excel!$A$6:$T$150,COLUMN()/2+1,FALSE)=0,"",VLOOKUP($A21,数出表_Excel!$A$6:$T$150,COLUMN()/2+1,FALSE))),"")</f>
        <v/>
      </c>
      <c r="O21" s="61"/>
      <c r="P21" s="150" t="str">
        <f ca="1">IFERROR(VALUE(IF(VLOOKUP($A21,数出表_Excel!$A$6:$T$150,COLUMN()/2+1,FALSE)=0,"",VLOOKUP($A21,数出表_Excel!$A$6:$T$150,COLUMN()/2+1,FALSE))),"")</f>
        <v/>
      </c>
      <c r="Q21" s="77"/>
      <c r="R21" s="160" t="str">
        <f ca="1">IFERROR(VALUE(IF(VLOOKUP($A21,数出表_Excel!$A$6:$T$150,COLUMN()/2+1,FALSE)=0,"",VLOOKUP($A21,数出表_Excel!$A$6:$T$150,COLUMN()/2+1,FALSE))),"")</f>
        <v/>
      </c>
      <c r="S21" s="61"/>
      <c r="T21" s="150" t="str">
        <f ca="1">IFERROR(VALUE(IF(VLOOKUP($A21,数出表_Excel!$A$6:$T$150,COLUMN()/2+1,FALSE)=0,"",VLOOKUP($A21,数出表_Excel!$A$6:$T$150,COLUMN()/2+1,FALSE))),"")</f>
        <v/>
      </c>
      <c r="U21" s="77"/>
      <c r="V21" s="160" t="str">
        <f ca="1">IFERROR(VALUE(IF(VLOOKUP($A21,数出表_Excel!$A$6:$T$150,COLUMN()/2+1,FALSE)=0,"",VLOOKUP($A21,数出表_Excel!$A$6:$T$150,COLUMN()/2+1,FALSE))),"")</f>
        <v/>
      </c>
      <c r="W21" s="61"/>
      <c r="X21" s="150" t="str">
        <f ca="1">IFERROR(VALUE(IF(VLOOKUP($A21,数出表_Excel!$A$6:$T$150,COLUMN()/2+1,FALSE)=0,"",VLOOKUP($A21,数出表_Excel!$A$6:$T$150,COLUMN()/2+1,FALSE))),"")</f>
        <v/>
      </c>
      <c r="Y21" s="77"/>
      <c r="Z21" s="160" t="str">
        <f ca="1">IFERROR(VALUE(IF(VLOOKUP($A21,数出表_Excel!$A$6:$T$150,COLUMN()/2+1,FALSE)=0,"",VLOOKUP($A21,数出表_Excel!$A$6:$T$150,COLUMN()/2+1,FALSE))),"")</f>
        <v/>
      </c>
      <c r="AA21" s="77"/>
      <c r="AB21" s="150" t="str">
        <f ca="1">IFERROR(VALUE(IF(VLOOKUP($A21,数出表_Excel!$A$6:$T$150,COLUMN()/2+1,FALSE)=0,"",VLOOKUP($A21,数出表_Excel!$A$6:$T$150,COLUMN()/2+1,FALSE))),"")</f>
        <v/>
      </c>
      <c r="AC21" s="77"/>
      <c r="AD21" s="150" t="str">
        <f ca="1">IFERROR(VALUE(IF(VLOOKUP($A21,数出表_Excel!$A$6:$T$150,COLUMN()/2+1,FALSE)=0,"",VLOOKUP($A21,数出表_Excel!$A$6:$T$150,COLUMN()/2+1,FALSE))),"")</f>
        <v/>
      </c>
      <c r="AE21" s="77"/>
      <c r="AF21" s="150" t="str">
        <f ca="1">IFERROR(VALUE(IF(VLOOKUP($A21,数出表_Excel!$A$6:$T$150,COLUMN()/2+1,FALSE)=0,"",VLOOKUP($A21,数出表_Excel!$A$6:$T$150,COLUMN()/2+1,FALSE))),"")</f>
        <v/>
      </c>
      <c r="AG21" s="77"/>
      <c r="AH21" s="150" t="str">
        <f ca="1">IFERROR(VALUE(IF(VLOOKUP($A21,数出表_Excel!$A$6:$T$150,COLUMN()/2+1,FALSE)=0,"",VLOOKUP($A21,数出表_Excel!$A$6:$T$150,COLUMN()/2+1,FALSE))),"")</f>
        <v/>
      </c>
      <c r="AI21" s="77"/>
      <c r="AJ21" s="150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/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50" t="str">
        <f ca="1">IFERROR(VALUE(IF(VLOOKUP($A23,数出表_Excel!$A$6:$T$150,COLUMN()/2+1,FALSE)=0,"",VLOOKUP($A23,数出表_Excel!$A$6:$T$150,COLUMN()/2+1,FALSE))),"")</f>
        <v/>
      </c>
      <c r="C23" s="61"/>
      <c r="D23" s="150" t="str">
        <f ca="1">IFERROR(VALUE(IF(VLOOKUP($A23,数出表_Excel!$A$6:$T$150,COLUMN()/2+1,FALSE)=0,"",VLOOKUP($A23,数出表_Excel!$A$6:$T$150,COLUMN()/2+1,FALSE))),"")</f>
        <v/>
      </c>
      <c r="E23" s="77"/>
      <c r="F23" s="160" t="str">
        <f ca="1">IFERROR(VALUE(IF(VLOOKUP($A23,数出表_Excel!$A$6:$T$150,COLUMN()/2+1,FALSE)=0,"",VLOOKUP($A23,数出表_Excel!$A$6:$T$150,COLUMN()/2+1,FALSE))),"")</f>
        <v/>
      </c>
      <c r="G23" s="61"/>
      <c r="H23" s="150" t="str">
        <f ca="1">IFERROR(VALUE(IF(VLOOKUP($A23,数出表_Excel!$A$6:$T$150,COLUMN()/2+1,FALSE)=0,"",VLOOKUP($A23,数出表_Excel!$A$6:$T$150,COLUMN()/2+1,FALSE))),"")</f>
        <v/>
      </c>
      <c r="I23" s="77"/>
      <c r="J23" s="160" t="str">
        <f ca="1">IFERROR(VALUE(IF(VLOOKUP($A23,数出表_Excel!$A$6:$T$150,COLUMN()/2+1,FALSE)=0,"",VLOOKUP($A23,数出表_Excel!$A$6:$T$150,COLUMN()/2+1,FALSE))),"")</f>
        <v/>
      </c>
      <c r="K23" s="61"/>
      <c r="L23" s="150" t="str">
        <f ca="1">IFERROR(VALUE(IF(VLOOKUP($A23,数出表_Excel!$A$6:$T$150,COLUMN()/2+1,FALSE)=0,"",VLOOKUP($A23,数出表_Excel!$A$6:$T$150,COLUMN()/2+1,FALSE))),"")</f>
        <v/>
      </c>
      <c r="M23" s="77"/>
      <c r="N23" s="160" t="str">
        <f ca="1">IFERROR(VALUE(IF(VLOOKUP($A23,数出表_Excel!$A$6:$T$150,COLUMN()/2+1,FALSE)=0,"",VLOOKUP($A23,数出表_Excel!$A$6:$T$150,COLUMN()/2+1,FALSE))),"")</f>
        <v/>
      </c>
      <c r="O23" s="61"/>
      <c r="P23" s="150" t="str">
        <f ca="1">IFERROR(VALUE(IF(VLOOKUP($A23,数出表_Excel!$A$6:$T$150,COLUMN()/2+1,FALSE)=0,"",VLOOKUP($A23,数出表_Excel!$A$6:$T$150,COLUMN()/2+1,FALSE))),"")</f>
        <v/>
      </c>
      <c r="Q23" s="77"/>
      <c r="R23" s="160" t="str">
        <f ca="1">IFERROR(VALUE(IF(VLOOKUP($A23,数出表_Excel!$A$6:$T$150,COLUMN()/2+1,FALSE)=0,"",VLOOKUP($A23,数出表_Excel!$A$6:$T$150,COLUMN()/2+1,FALSE))),"")</f>
        <v/>
      </c>
      <c r="S23" s="61"/>
      <c r="T23" s="150" t="str">
        <f ca="1">IFERROR(VALUE(IF(VLOOKUP($A23,数出表_Excel!$A$6:$T$150,COLUMN()/2+1,FALSE)=0,"",VLOOKUP($A23,数出表_Excel!$A$6:$T$150,COLUMN()/2+1,FALSE))),"")</f>
        <v/>
      </c>
      <c r="U23" s="77"/>
      <c r="V23" s="160" t="str">
        <f ca="1">IFERROR(VALUE(IF(VLOOKUP($A23,数出表_Excel!$A$6:$T$150,COLUMN()/2+1,FALSE)=0,"",VLOOKUP($A23,数出表_Excel!$A$6:$T$150,COLUMN()/2+1,FALSE))),"")</f>
        <v/>
      </c>
      <c r="W23" s="61"/>
      <c r="X23" s="150" t="str">
        <f ca="1">IFERROR(VALUE(IF(VLOOKUP($A23,数出表_Excel!$A$6:$T$150,COLUMN()/2+1,FALSE)=0,"",VLOOKUP($A23,数出表_Excel!$A$6:$T$150,COLUMN()/2+1,FALSE))),"")</f>
        <v/>
      </c>
      <c r="Y23" s="77"/>
      <c r="Z23" s="160" t="str">
        <f ca="1">IFERROR(VALUE(IF(VLOOKUP($A23,数出表_Excel!$A$6:$T$150,COLUMN()/2+1,FALSE)=0,"",VLOOKUP($A23,数出表_Excel!$A$6:$T$150,COLUMN()/2+1,FALSE))),"")</f>
        <v/>
      </c>
      <c r="AA23" s="77"/>
      <c r="AB23" s="150" t="str">
        <f ca="1">IFERROR(VALUE(IF(VLOOKUP($A23,数出表_Excel!$A$6:$T$150,COLUMN()/2+1,FALSE)=0,"",VLOOKUP($A23,数出表_Excel!$A$6:$T$150,COLUMN()/2+1,FALSE))),"")</f>
        <v/>
      </c>
      <c r="AC23" s="77"/>
      <c r="AD23" s="150" t="str">
        <f ca="1">IFERROR(VALUE(IF(VLOOKUP($A23,数出表_Excel!$A$6:$T$150,COLUMN()/2+1,FALSE)=0,"",VLOOKUP($A23,数出表_Excel!$A$6:$T$150,COLUMN()/2+1,FALSE))),"")</f>
        <v/>
      </c>
      <c r="AE23" s="77"/>
      <c r="AF23" s="150" t="str">
        <f ca="1">IFERROR(VALUE(IF(VLOOKUP($A23,数出表_Excel!$A$6:$T$150,COLUMN()/2+1,FALSE)=0,"",VLOOKUP($A23,数出表_Excel!$A$6:$T$150,COLUMN()/2+1,FALSE))),"")</f>
        <v/>
      </c>
      <c r="AG23" s="77"/>
      <c r="AH23" s="150" t="str">
        <f ca="1">IFERROR(VALUE(IF(VLOOKUP($A23,数出表_Excel!$A$6:$T$150,COLUMN()/2+1,FALSE)=0,"",VLOOKUP($A23,数出表_Excel!$A$6:$T$150,COLUMN()/2+1,FALSE))),"")</f>
        <v/>
      </c>
      <c r="AI23" s="77"/>
      <c r="AJ23" s="150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50" t="str">
        <f ca="1">IFERROR(VALUE(IF(VLOOKUP($A25,数出表_Excel!$A$6:$T$150,COLUMN()/2+1,FALSE)=0,"",VLOOKUP($A25,数出表_Excel!$A$6:$T$150,COLUMN()/2+1,FALSE))),"")</f>
        <v/>
      </c>
      <c r="C25" s="61"/>
      <c r="D25" s="150" t="str">
        <f ca="1">IFERROR(VALUE(IF(VLOOKUP($A25,数出表_Excel!$A$6:$T$150,COLUMN()/2+1,FALSE)=0,"",VLOOKUP($A25,数出表_Excel!$A$6:$T$150,COLUMN()/2+1,FALSE))),"")</f>
        <v/>
      </c>
      <c r="E25" s="77"/>
      <c r="F25" s="160" t="str">
        <f ca="1">IFERROR(VALUE(IF(VLOOKUP($A25,数出表_Excel!$A$6:$T$150,COLUMN()/2+1,FALSE)=0,"",VLOOKUP($A25,数出表_Excel!$A$6:$T$150,COLUMN()/2+1,FALSE))),"")</f>
        <v/>
      </c>
      <c r="G25" s="61"/>
      <c r="H25" s="150" t="str">
        <f ca="1">IFERROR(VALUE(IF(VLOOKUP($A25,数出表_Excel!$A$6:$T$150,COLUMN()/2+1,FALSE)=0,"",VLOOKUP($A25,数出表_Excel!$A$6:$T$150,COLUMN()/2+1,FALSE))),"")</f>
        <v/>
      </c>
      <c r="I25" s="77"/>
      <c r="J25" s="160" t="str">
        <f ca="1">IFERROR(VALUE(IF(VLOOKUP($A25,数出表_Excel!$A$6:$T$150,COLUMN()/2+1,FALSE)=0,"",VLOOKUP($A25,数出表_Excel!$A$6:$T$150,COLUMN()/2+1,FALSE))),"")</f>
        <v/>
      </c>
      <c r="K25" s="61"/>
      <c r="L25" s="150" t="str">
        <f ca="1">IFERROR(VALUE(IF(VLOOKUP($A25,数出表_Excel!$A$6:$T$150,COLUMN()/2+1,FALSE)=0,"",VLOOKUP($A25,数出表_Excel!$A$6:$T$150,COLUMN()/2+1,FALSE))),"")</f>
        <v/>
      </c>
      <c r="M25" s="77"/>
      <c r="N25" s="160" t="str">
        <f ca="1">IFERROR(VALUE(IF(VLOOKUP($A25,数出表_Excel!$A$6:$T$150,COLUMN()/2+1,FALSE)=0,"",VLOOKUP($A25,数出表_Excel!$A$6:$T$150,COLUMN()/2+1,FALSE))),"")</f>
        <v/>
      </c>
      <c r="O25" s="61"/>
      <c r="P25" s="150" t="str">
        <f ca="1">IFERROR(VALUE(IF(VLOOKUP($A25,数出表_Excel!$A$6:$T$150,COLUMN()/2+1,FALSE)=0,"",VLOOKUP($A25,数出表_Excel!$A$6:$T$150,COLUMN()/2+1,FALSE))),"")</f>
        <v/>
      </c>
      <c r="Q25" s="77"/>
      <c r="R25" s="160" t="str">
        <f ca="1">IFERROR(VALUE(IF(VLOOKUP($A25,数出表_Excel!$A$6:$T$150,COLUMN()/2+1,FALSE)=0,"",VLOOKUP($A25,数出表_Excel!$A$6:$T$150,COLUMN()/2+1,FALSE))),"")</f>
        <v/>
      </c>
      <c r="S25" s="61"/>
      <c r="T25" s="150" t="str">
        <f ca="1">IFERROR(VALUE(IF(VLOOKUP($A25,数出表_Excel!$A$6:$T$150,COLUMN()/2+1,FALSE)=0,"",VLOOKUP($A25,数出表_Excel!$A$6:$T$150,COLUMN()/2+1,FALSE))),"")</f>
        <v/>
      </c>
      <c r="U25" s="77"/>
      <c r="V25" s="160" t="str">
        <f ca="1">IFERROR(VALUE(IF(VLOOKUP($A25,数出表_Excel!$A$6:$T$150,COLUMN()/2+1,FALSE)=0,"",VLOOKUP($A25,数出表_Excel!$A$6:$T$150,COLUMN()/2+1,FALSE))),"")</f>
        <v/>
      </c>
      <c r="W25" s="61"/>
      <c r="X25" s="150" t="str">
        <f ca="1">IFERROR(VALUE(IF(VLOOKUP($A25,数出表_Excel!$A$6:$T$150,COLUMN()/2+1,FALSE)=0,"",VLOOKUP($A25,数出表_Excel!$A$6:$T$150,COLUMN()/2+1,FALSE))),"")</f>
        <v/>
      </c>
      <c r="Y25" s="77"/>
      <c r="Z25" s="160" t="str">
        <f ca="1">IFERROR(VALUE(IF(VLOOKUP($A25,数出表_Excel!$A$6:$T$150,COLUMN()/2+1,FALSE)=0,"",VLOOKUP($A25,数出表_Excel!$A$6:$T$150,COLUMN()/2+1,FALSE))),"")</f>
        <v/>
      </c>
      <c r="AA25" s="77"/>
      <c r="AB25" s="150" t="str">
        <f ca="1">IFERROR(VALUE(IF(VLOOKUP($A25,数出表_Excel!$A$6:$T$150,COLUMN()/2+1,FALSE)=0,"",VLOOKUP($A25,数出表_Excel!$A$6:$T$150,COLUMN()/2+1,FALSE))),"")</f>
        <v/>
      </c>
      <c r="AC25" s="77"/>
      <c r="AD25" s="150" t="str">
        <f ca="1">IFERROR(VALUE(IF(VLOOKUP($A25,数出表_Excel!$A$6:$T$150,COLUMN()/2+1,FALSE)=0,"",VLOOKUP($A25,数出表_Excel!$A$6:$T$150,COLUMN()/2+1,FALSE))),"")</f>
        <v/>
      </c>
      <c r="AE25" s="77"/>
      <c r="AF25" s="150" t="str">
        <f ca="1">IFERROR(VALUE(IF(VLOOKUP($A25,数出表_Excel!$A$6:$T$150,COLUMN()/2+1,FALSE)=0,"",VLOOKUP($A25,数出表_Excel!$A$6:$T$150,COLUMN()/2+1,FALSE))),"")</f>
        <v/>
      </c>
      <c r="AG25" s="77"/>
      <c r="AH25" s="150" t="str">
        <f ca="1">IFERROR(VALUE(IF(VLOOKUP($A25,数出表_Excel!$A$6:$T$150,COLUMN()/2+1,FALSE)=0,"",VLOOKUP($A25,数出表_Excel!$A$6:$T$150,COLUMN()/2+1,FALSE))),"")</f>
        <v/>
      </c>
      <c r="AI25" s="77"/>
      <c r="AJ25" s="150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50" t="str">
        <f ca="1">IFERROR(VALUE(IF(VLOOKUP($A27,数出表_Excel!$A$6:$T$150,COLUMN()/2+1,FALSE)=0,"",VLOOKUP($A27,数出表_Excel!$A$6:$T$150,COLUMN()/2+1,FALSE))),"")</f>
        <v/>
      </c>
      <c r="C27" s="61"/>
      <c r="D27" s="150" t="str">
        <f ca="1">IFERROR(VALUE(IF(VLOOKUP($A27,数出表_Excel!$A$6:$T$150,COLUMN()/2+1,FALSE)=0,"",VLOOKUP($A27,数出表_Excel!$A$6:$T$150,COLUMN()/2+1,FALSE))),"")</f>
        <v/>
      </c>
      <c r="E27" s="77"/>
      <c r="F27" s="160" t="str">
        <f ca="1">IFERROR(VALUE(IF(VLOOKUP($A27,数出表_Excel!$A$6:$T$150,COLUMN()/2+1,FALSE)=0,"",VLOOKUP($A27,数出表_Excel!$A$6:$T$150,COLUMN()/2+1,FALSE))),"")</f>
        <v/>
      </c>
      <c r="G27" s="61"/>
      <c r="H27" s="150" t="str">
        <f ca="1">IFERROR(VALUE(IF(VLOOKUP($A27,数出表_Excel!$A$6:$T$150,COLUMN()/2+1,FALSE)=0,"",VLOOKUP($A27,数出表_Excel!$A$6:$T$150,COLUMN()/2+1,FALSE))),"")</f>
        <v/>
      </c>
      <c r="I27" s="77"/>
      <c r="J27" s="160" t="str">
        <f ca="1">IFERROR(VALUE(IF(VLOOKUP($A27,数出表_Excel!$A$6:$T$150,COLUMN()/2+1,FALSE)=0,"",VLOOKUP($A27,数出表_Excel!$A$6:$T$150,COLUMN()/2+1,FALSE))),"")</f>
        <v/>
      </c>
      <c r="K27" s="61"/>
      <c r="L27" s="150" t="str">
        <f ca="1">IFERROR(VALUE(IF(VLOOKUP($A27,数出表_Excel!$A$6:$T$150,COLUMN()/2+1,FALSE)=0,"",VLOOKUP($A27,数出表_Excel!$A$6:$T$150,COLUMN()/2+1,FALSE))),"")</f>
        <v/>
      </c>
      <c r="M27" s="77"/>
      <c r="N27" s="160" t="str">
        <f ca="1">IFERROR(VALUE(IF(VLOOKUP($A27,数出表_Excel!$A$6:$T$150,COLUMN()/2+1,FALSE)=0,"",VLOOKUP($A27,数出表_Excel!$A$6:$T$150,COLUMN()/2+1,FALSE))),"")</f>
        <v/>
      </c>
      <c r="O27" s="61"/>
      <c r="P27" s="150" t="str">
        <f ca="1">IFERROR(VALUE(IF(VLOOKUP($A27,数出表_Excel!$A$6:$T$150,COLUMN()/2+1,FALSE)=0,"",VLOOKUP($A27,数出表_Excel!$A$6:$T$150,COLUMN()/2+1,FALSE))),"")</f>
        <v/>
      </c>
      <c r="Q27" s="77"/>
      <c r="R27" s="160" t="str">
        <f ca="1">IFERROR(VALUE(IF(VLOOKUP($A27,数出表_Excel!$A$6:$T$150,COLUMN()/2+1,FALSE)=0,"",VLOOKUP($A27,数出表_Excel!$A$6:$T$150,COLUMN()/2+1,FALSE))),"")</f>
        <v/>
      </c>
      <c r="S27" s="61"/>
      <c r="T27" s="150" t="str">
        <f ca="1">IFERROR(VALUE(IF(VLOOKUP($A27,数出表_Excel!$A$6:$T$150,COLUMN()/2+1,FALSE)=0,"",VLOOKUP($A27,数出表_Excel!$A$6:$T$150,COLUMN()/2+1,FALSE))),"")</f>
        <v/>
      </c>
      <c r="U27" s="77"/>
      <c r="V27" s="160" t="str">
        <f ca="1">IFERROR(VALUE(IF(VLOOKUP($A27,数出表_Excel!$A$6:$T$150,COLUMN()/2+1,FALSE)=0,"",VLOOKUP($A27,数出表_Excel!$A$6:$T$150,COLUMN()/2+1,FALSE))),"")</f>
        <v/>
      </c>
      <c r="W27" s="61"/>
      <c r="X27" s="150" t="str">
        <f ca="1">IFERROR(VALUE(IF(VLOOKUP($A27,数出表_Excel!$A$6:$T$150,COLUMN()/2+1,FALSE)=0,"",VLOOKUP($A27,数出表_Excel!$A$6:$T$150,COLUMN()/2+1,FALSE))),"")</f>
        <v/>
      </c>
      <c r="Y27" s="77"/>
      <c r="Z27" s="160" t="str">
        <f ca="1">IFERROR(VALUE(IF(VLOOKUP($A27,数出表_Excel!$A$6:$T$150,COLUMN()/2+1,FALSE)=0,"",VLOOKUP($A27,数出表_Excel!$A$6:$T$150,COLUMN()/2+1,FALSE))),"")</f>
        <v/>
      </c>
      <c r="AA27" s="77"/>
      <c r="AB27" s="150" t="str">
        <f ca="1">IFERROR(VALUE(IF(VLOOKUP($A27,数出表_Excel!$A$6:$T$150,COLUMN()/2+1,FALSE)=0,"",VLOOKUP($A27,数出表_Excel!$A$6:$T$150,COLUMN()/2+1,FALSE))),"")</f>
        <v/>
      </c>
      <c r="AC27" s="77"/>
      <c r="AD27" s="150" t="str">
        <f ca="1">IFERROR(VALUE(IF(VLOOKUP($A27,数出表_Excel!$A$6:$T$150,COLUMN()/2+1,FALSE)=0,"",VLOOKUP($A27,数出表_Excel!$A$6:$T$150,COLUMN()/2+1,FALSE))),"")</f>
        <v/>
      </c>
      <c r="AE27" s="77"/>
      <c r="AF27" s="150" t="str">
        <f ca="1">IFERROR(VALUE(IF(VLOOKUP($A27,数出表_Excel!$A$6:$T$150,COLUMN()/2+1,FALSE)=0,"",VLOOKUP($A27,数出表_Excel!$A$6:$T$150,COLUMN()/2+1,FALSE))),"")</f>
        <v/>
      </c>
      <c r="AG27" s="77"/>
      <c r="AH27" s="150" t="str">
        <f ca="1">IFERROR(VALUE(IF(VLOOKUP($A27,数出表_Excel!$A$6:$T$150,COLUMN()/2+1,FALSE)=0,"",VLOOKUP($A27,数出表_Excel!$A$6:$T$150,COLUMN()/2+1,FALSE))),"")</f>
        <v/>
      </c>
      <c r="AI27" s="77"/>
      <c r="AJ27" s="150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50" t="str">
        <f ca="1">IFERROR(VALUE(IF(VLOOKUP($A29,数出表_Excel!$A$6:$T$150,COLUMN()/2+1,FALSE)=0,"",VLOOKUP($A29,数出表_Excel!$A$6:$T$150,COLUMN()/2+1,FALSE))),"")</f>
        <v/>
      </c>
      <c r="C29" s="61"/>
      <c r="D29" s="150" t="str">
        <f ca="1">IFERROR(VALUE(IF(VLOOKUP($A29,数出表_Excel!$A$6:$T$150,COLUMN()/2+1,FALSE)=0,"",VLOOKUP($A29,数出表_Excel!$A$6:$T$150,COLUMN()/2+1,FALSE))),"")</f>
        <v/>
      </c>
      <c r="E29" s="77"/>
      <c r="F29" s="160" t="str">
        <f ca="1">IFERROR(VALUE(IF(VLOOKUP($A29,数出表_Excel!$A$6:$T$150,COLUMN()/2+1,FALSE)=0,"",VLOOKUP($A29,数出表_Excel!$A$6:$T$150,COLUMN()/2+1,FALSE))),"")</f>
        <v/>
      </c>
      <c r="G29" s="61"/>
      <c r="H29" s="150" t="str">
        <f ca="1">IFERROR(VALUE(IF(VLOOKUP($A29,数出表_Excel!$A$6:$T$150,COLUMN()/2+1,FALSE)=0,"",VLOOKUP($A29,数出表_Excel!$A$6:$T$150,COLUMN()/2+1,FALSE))),"")</f>
        <v/>
      </c>
      <c r="I29" s="77"/>
      <c r="J29" s="160" t="str">
        <f ca="1">IFERROR(VALUE(IF(VLOOKUP($A29,数出表_Excel!$A$6:$T$150,COLUMN()/2+1,FALSE)=0,"",VLOOKUP($A29,数出表_Excel!$A$6:$T$150,COLUMN()/2+1,FALSE))),"")</f>
        <v/>
      </c>
      <c r="K29" s="61"/>
      <c r="L29" s="150" t="str">
        <f ca="1">IFERROR(VALUE(IF(VLOOKUP($A29,数出表_Excel!$A$6:$T$150,COLUMN()/2+1,FALSE)=0,"",VLOOKUP($A29,数出表_Excel!$A$6:$T$150,COLUMN()/2+1,FALSE))),"")</f>
        <v/>
      </c>
      <c r="M29" s="77"/>
      <c r="N29" s="160" t="str">
        <f ca="1">IFERROR(VALUE(IF(VLOOKUP($A29,数出表_Excel!$A$6:$T$150,COLUMN()/2+1,FALSE)=0,"",VLOOKUP($A29,数出表_Excel!$A$6:$T$150,COLUMN()/2+1,FALSE))),"")</f>
        <v/>
      </c>
      <c r="O29" s="61"/>
      <c r="P29" s="150" t="str">
        <f ca="1">IFERROR(VALUE(IF(VLOOKUP($A29,数出表_Excel!$A$6:$T$150,COLUMN()/2+1,FALSE)=0,"",VLOOKUP($A29,数出表_Excel!$A$6:$T$150,COLUMN()/2+1,FALSE))),"")</f>
        <v/>
      </c>
      <c r="Q29" s="77"/>
      <c r="R29" s="160" t="str">
        <f ca="1">IFERROR(VALUE(IF(VLOOKUP($A29,数出表_Excel!$A$6:$T$150,COLUMN()/2+1,FALSE)=0,"",VLOOKUP($A29,数出表_Excel!$A$6:$T$150,COLUMN()/2+1,FALSE))),"")</f>
        <v/>
      </c>
      <c r="S29" s="61"/>
      <c r="T29" s="150" t="str">
        <f ca="1">IFERROR(VALUE(IF(VLOOKUP($A29,数出表_Excel!$A$6:$T$150,COLUMN()/2+1,FALSE)=0,"",VLOOKUP($A29,数出表_Excel!$A$6:$T$150,COLUMN()/2+1,FALSE))),"")</f>
        <v/>
      </c>
      <c r="U29" s="77"/>
      <c r="V29" s="160" t="str">
        <f ca="1">IFERROR(VALUE(IF(VLOOKUP($A29,数出表_Excel!$A$6:$T$150,COLUMN()/2+1,FALSE)=0,"",VLOOKUP($A29,数出表_Excel!$A$6:$T$150,COLUMN()/2+1,FALSE))),"")</f>
        <v/>
      </c>
      <c r="W29" s="61"/>
      <c r="X29" s="150" t="str">
        <f ca="1">IFERROR(VALUE(IF(VLOOKUP($A29,数出表_Excel!$A$6:$T$150,COLUMN()/2+1,FALSE)=0,"",VLOOKUP($A29,数出表_Excel!$A$6:$T$150,COLUMN()/2+1,FALSE))),"")</f>
        <v/>
      </c>
      <c r="Y29" s="77"/>
      <c r="Z29" s="160" t="str">
        <f ca="1">IFERROR(VALUE(IF(VLOOKUP($A29,数出表_Excel!$A$6:$T$150,COLUMN()/2+1,FALSE)=0,"",VLOOKUP($A29,数出表_Excel!$A$6:$T$150,COLUMN()/2+1,FALSE))),"")</f>
        <v/>
      </c>
      <c r="AA29" s="77"/>
      <c r="AB29" s="150" t="str">
        <f ca="1">IFERROR(VALUE(IF(VLOOKUP($A29,数出表_Excel!$A$6:$T$150,COLUMN()/2+1,FALSE)=0,"",VLOOKUP($A29,数出表_Excel!$A$6:$T$150,COLUMN()/2+1,FALSE))),"")</f>
        <v/>
      </c>
      <c r="AC29" s="77"/>
      <c r="AD29" s="150" t="str">
        <f ca="1">IFERROR(VALUE(IF(VLOOKUP($A29,数出表_Excel!$A$6:$T$150,COLUMN()/2+1,FALSE)=0,"",VLOOKUP($A29,数出表_Excel!$A$6:$T$150,COLUMN()/2+1,FALSE))),"")</f>
        <v/>
      </c>
      <c r="AE29" s="77"/>
      <c r="AF29" s="150" t="str">
        <f ca="1">IFERROR(VALUE(IF(VLOOKUP($A29,数出表_Excel!$A$6:$T$150,COLUMN()/2+1,FALSE)=0,"",VLOOKUP($A29,数出表_Excel!$A$6:$T$150,COLUMN()/2+1,FALSE))),"")</f>
        <v/>
      </c>
      <c r="AG29" s="77"/>
      <c r="AH29" s="150" t="str">
        <f ca="1">IFERROR(VALUE(IF(VLOOKUP($A29,数出表_Excel!$A$6:$T$150,COLUMN()/2+1,FALSE)=0,"",VLOOKUP($A29,数出表_Excel!$A$6:$T$150,COLUMN()/2+1,FALSE))),"")</f>
        <v/>
      </c>
      <c r="AI29" s="77"/>
      <c r="AJ29" s="150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50" t="str">
        <f ca="1">IFERROR(VALUE(IF(VLOOKUP($A31,数出表_Excel!$A$6:$T$150,COLUMN()/2+1,FALSE)=0,"",VLOOKUP($A31,数出表_Excel!$A$6:$T$150,COLUMN()/2+1,FALSE))),"")</f>
        <v/>
      </c>
      <c r="C31" s="61"/>
      <c r="D31" s="150" t="str">
        <f ca="1">IFERROR(VALUE(IF(VLOOKUP($A31,数出表_Excel!$A$6:$T$150,COLUMN()/2+1,FALSE)=0,"",VLOOKUP($A31,数出表_Excel!$A$6:$T$150,COLUMN()/2+1,FALSE))),"")</f>
        <v/>
      </c>
      <c r="E31" s="77"/>
      <c r="F31" s="160" t="str">
        <f ca="1">IFERROR(VALUE(IF(VLOOKUP($A31,数出表_Excel!$A$6:$T$150,COLUMN()/2+1,FALSE)=0,"",VLOOKUP($A31,数出表_Excel!$A$6:$T$150,COLUMN()/2+1,FALSE))),"")</f>
        <v/>
      </c>
      <c r="G31" s="61"/>
      <c r="H31" s="150" t="str">
        <f ca="1">IFERROR(VALUE(IF(VLOOKUP($A31,数出表_Excel!$A$6:$T$150,COLUMN()/2+1,FALSE)=0,"",VLOOKUP($A31,数出表_Excel!$A$6:$T$150,COLUMN()/2+1,FALSE))),"")</f>
        <v/>
      </c>
      <c r="I31" s="77"/>
      <c r="J31" s="160" t="str">
        <f ca="1">IFERROR(VALUE(IF(VLOOKUP($A31,数出表_Excel!$A$6:$T$150,COLUMN()/2+1,FALSE)=0,"",VLOOKUP($A31,数出表_Excel!$A$6:$T$150,COLUMN()/2+1,FALSE))),"")</f>
        <v/>
      </c>
      <c r="K31" s="61"/>
      <c r="L31" s="150" t="str">
        <f ca="1">IFERROR(VALUE(IF(VLOOKUP($A31,数出表_Excel!$A$6:$T$150,COLUMN()/2+1,FALSE)=0,"",VLOOKUP($A31,数出表_Excel!$A$6:$T$150,COLUMN()/2+1,FALSE))),"")</f>
        <v/>
      </c>
      <c r="M31" s="77"/>
      <c r="N31" s="160" t="str">
        <f ca="1">IFERROR(VALUE(IF(VLOOKUP($A31,数出表_Excel!$A$6:$T$150,COLUMN()/2+1,FALSE)=0,"",VLOOKUP($A31,数出表_Excel!$A$6:$T$150,COLUMN()/2+1,FALSE))),"")</f>
        <v/>
      </c>
      <c r="O31" s="61"/>
      <c r="P31" s="150" t="str">
        <f ca="1">IFERROR(VALUE(IF(VLOOKUP($A31,数出表_Excel!$A$6:$T$150,COLUMN()/2+1,FALSE)=0,"",VLOOKUP($A31,数出表_Excel!$A$6:$T$150,COLUMN()/2+1,FALSE))),"")</f>
        <v/>
      </c>
      <c r="Q31" s="77"/>
      <c r="R31" s="160" t="str">
        <f ca="1">IFERROR(VALUE(IF(VLOOKUP($A31,数出表_Excel!$A$6:$T$150,COLUMN()/2+1,FALSE)=0,"",VLOOKUP($A31,数出表_Excel!$A$6:$T$150,COLUMN()/2+1,FALSE))),"")</f>
        <v/>
      </c>
      <c r="S31" s="61"/>
      <c r="T31" s="150" t="str">
        <f ca="1">IFERROR(VALUE(IF(VLOOKUP($A31,数出表_Excel!$A$6:$T$150,COLUMN()/2+1,FALSE)=0,"",VLOOKUP($A31,数出表_Excel!$A$6:$T$150,COLUMN()/2+1,FALSE))),"")</f>
        <v/>
      </c>
      <c r="U31" s="77"/>
      <c r="V31" s="160" t="str">
        <f ca="1">IFERROR(VALUE(IF(VLOOKUP($A31,数出表_Excel!$A$6:$T$150,COLUMN()/2+1,FALSE)=0,"",VLOOKUP($A31,数出表_Excel!$A$6:$T$150,COLUMN()/2+1,FALSE))),"")</f>
        <v/>
      </c>
      <c r="W31" s="61"/>
      <c r="X31" s="150" t="str">
        <f ca="1">IFERROR(VALUE(IF(VLOOKUP($A31,数出表_Excel!$A$6:$T$150,COLUMN()/2+1,FALSE)=0,"",VLOOKUP($A31,数出表_Excel!$A$6:$T$150,COLUMN()/2+1,FALSE))),"")</f>
        <v/>
      </c>
      <c r="Y31" s="77"/>
      <c r="Z31" s="160" t="str">
        <f ca="1">IFERROR(VALUE(IF(VLOOKUP($A31,数出表_Excel!$A$6:$T$150,COLUMN()/2+1,FALSE)=0,"",VLOOKUP($A31,数出表_Excel!$A$6:$T$150,COLUMN()/2+1,FALSE))),"")</f>
        <v/>
      </c>
      <c r="AA31" s="77"/>
      <c r="AB31" s="150" t="str">
        <f ca="1">IFERROR(VALUE(IF(VLOOKUP($A31,数出表_Excel!$A$6:$T$150,COLUMN()/2+1,FALSE)=0,"",VLOOKUP($A31,数出表_Excel!$A$6:$T$150,COLUMN()/2+1,FALSE))),"")</f>
        <v/>
      </c>
      <c r="AC31" s="77"/>
      <c r="AD31" s="150" t="str">
        <f ca="1">IFERROR(VALUE(IF(VLOOKUP($A31,数出表_Excel!$A$6:$T$150,COLUMN()/2+1,FALSE)=0,"",VLOOKUP($A31,数出表_Excel!$A$6:$T$150,COLUMN()/2+1,FALSE))),"")</f>
        <v/>
      </c>
      <c r="AE31" s="77"/>
      <c r="AF31" s="150" t="str">
        <f ca="1">IFERROR(VALUE(IF(VLOOKUP($A31,数出表_Excel!$A$6:$T$150,COLUMN()/2+1,FALSE)=0,"",VLOOKUP($A31,数出表_Excel!$A$6:$T$150,COLUMN()/2+1,FALSE))),"")</f>
        <v/>
      </c>
      <c r="AG31" s="77"/>
      <c r="AH31" s="150" t="str">
        <f ca="1">IFERROR(VALUE(IF(VLOOKUP($A31,数出表_Excel!$A$6:$T$150,COLUMN()/2+1,FALSE)=0,"",VLOOKUP($A31,数出表_Excel!$A$6:$T$150,COLUMN()/2+1,FALSE))),"")</f>
        <v/>
      </c>
      <c r="AI31" s="77"/>
      <c r="AJ31" s="150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/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50" t="str">
        <f ca="1">IFERROR(VALUE(IF(VLOOKUP($A33,数出表_Excel!$A$6:$T$150,COLUMN()/2+1,FALSE)=0,"",VLOOKUP($A33,数出表_Excel!$A$6:$T$150,COLUMN()/2+1,FALSE))),"")</f>
        <v/>
      </c>
      <c r="C33" s="61"/>
      <c r="D33" s="150" t="str">
        <f ca="1">IFERROR(VALUE(IF(VLOOKUP($A33,数出表_Excel!$A$6:$T$150,COLUMN()/2+1,FALSE)=0,"",VLOOKUP($A33,数出表_Excel!$A$6:$T$150,COLUMN()/2+1,FALSE))),"")</f>
        <v/>
      </c>
      <c r="E33" s="77"/>
      <c r="F33" s="160" t="str">
        <f ca="1">IFERROR(VALUE(IF(VLOOKUP($A33,数出表_Excel!$A$6:$T$150,COLUMN()/2+1,FALSE)=0,"",VLOOKUP($A33,数出表_Excel!$A$6:$T$150,COLUMN()/2+1,FALSE))),"")</f>
        <v/>
      </c>
      <c r="G33" s="61"/>
      <c r="H33" s="150" t="str">
        <f ca="1">IFERROR(VALUE(IF(VLOOKUP($A33,数出表_Excel!$A$6:$T$150,COLUMN()/2+1,FALSE)=0,"",VLOOKUP($A33,数出表_Excel!$A$6:$T$150,COLUMN()/2+1,FALSE))),"")</f>
        <v/>
      </c>
      <c r="I33" s="77"/>
      <c r="J33" s="160" t="str">
        <f ca="1">IFERROR(VALUE(IF(VLOOKUP($A33,数出表_Excel!$A$6:$T$150,COLUMN()/2+1,FALSE)=0,"",VLOOKUP($A33,数出表_Excel!$A$6:$T$150,COLUMN()/2+1,FALSE))),"")</f>
        <v/>
      </c>
      <c r="K33" s="61"/>
      <c r="L33" s="150" t="str">
        <f ca="1">IFERROR(VALUE(IF(VLOOKUP($A33,数出表_Excel!$A$6:$T$150,COLUMN()/2+1,FALSE)=0,"",VLOOKUP($A33,数出表_Excel!$A$6:$T$150,COLUMN()/2+1,FALSE))),"")</f>
        <v/>
      </c>
      <c r="M33" s="77"/>
      <c r="N33" s="160" t="str">
        <f ca="1">IFERROR(VALUE(IF(VLOOKUP($A33,数出表_Excel!$A$6:$T$150,COLUMN()/2+1,FALSE)=0,"",VLOOKUP($A33,数出表_Excel!$A$6:$T$150,COLUMN()/2+1,FALSE))),"")</f>
        <v/>
      </c>
      <c r="O33" s="61"/>
      <c r="P33" s="150" t="str">
        <f ca="1">IFERROR(VALUE(IF(VLOOKUP($A33,数出表_Excel!$A$6:$T$150,COLUMN()/2+1,FALSE)=0,"",VLOOKUP($A33,数出表_Excel!$A$6:$T$150,COLUMN()/2+1,FALSE))),"")</f>
        <v/>
      </c>
      <c r="Q33" s="77"/>
      <c r="R33" s="160" t="str">
        <f ca="1">IFERROR(VALUE(IF(VLOOKUP($A33,数出表_Excel!$A$6:$T$150,COLUMN()/2+1,FALSE)=0,"",VLOOKUP($A33,数出表_Excel!$A$6:$T$150,COLUMN()/2+1,FALSE))),"")</f>
        <v/>
      </c>
      <c r="S33" s="61"/>
      <c r="T33" s="150" t="str">
        <f ca="1">IFERROR(VALUE(IF(VLOOKUP($A33,数出表_Excel!$A$6:$T$150,COLUMN()/2+1,FALSE)=0,"",VLOOKUP($A33,数出表_Excel!$A$6:$T$150,COLUMN()/2+1,FALSE))),"")</f>
        <v/>
      </c>
      <c r="U33" s="77"/>
      <c r="V33" s="160" t="str">
        <f ca="1">IFERROR(VALUE(IF(VLOOKUP($A33,数出表_Excel!$A$6:$T$150,COLUMN()/2+1,FALSE)=0,"",VLOOKUP($A33,数出表_Excel!$A$6:$T$150,COLUMN()/2+1,FALSE))),"")</f>
        <v/>
      </c>
      <c r="W33" s="61"/>
      <c r="X33" s="150" t="str">
        <f ca="1">IFERROR(VALUE(IF(VLOOKUP($A33,数出表_Excel!$A$6:$T$150,COLUMN()/2+1,FALSE)=0,"",VLOOKUP($A33,数出表_Excel!$A$6:$T$150,COLUMN()/2+1,FALSE))),"")</f>
        <v/>
      </c>
      <c r="Y33" s="77"/>
      <c r="Z33" s="160" t="str">
        <f ca="1">IFERROR(VALUE(IF(VLOOKUP($A33,数出表_Excel!$A$6:$T$150,COLUMN()/2+1,FALSE)=0,"",VLOOKUP($A33,数出表_Excel!$A$6:$T$150,COLUMN()/2+1,FALSE))),"")</f>
        <v/>
      </c>
      <c r="AA33" s="77"/>
      <c r="AB33" s="150" t="str">
        <f ca="1">IFERROR(VALUE(IF(VLOOKUP($A33,数出表_Excel!$A$6:$T$150,COLUMN()/2+1,FALSE)=0,"",VLOOKUP($A33,数出表_Excel!$A$6:$T$150,COLUMN()/2+1,FALSE))),"")</f>
        <v/>
      </c>
      <c r="AC33" s="77"/>
      <c r="AD33" s="150" t="str">
        <f ca="1">IFERROR(VALUE(IF(VLOOKUP($A33,数出表_Excel!$A$6:$T$150,COLUMN()/2+1,FALSE)=0,"",VLOOKUP($A33,数出表_Excel!$A$6:$T$150,COLUMN()/2+1,FALSE))),"")</f>
        <v/>
      </c>
      <c r="AE33" s="77"/>
      <c r="AF33" s="150" t="str">
        <f ca="1">IFERROR(VALUE(IF(VLOOKUP($A33,数出表_Excel!$A$6:$T$150,COLUMN()/2+1,FALSE)=0,"",VLOOKUP($A33,数出表_Excel!$A$6:$T$150,COLUMN()/2+1,FALSE))),"")</f>
        <v/>
      </c>
      <c r="AG33" s="77"/>
      <c r="AH33" s="150" t="str">
        <f ca="1">IFERROR(VALUE(IF(VLOOKUP($A33,数出表_Excel!$A$6:$T$150,COLUMN()/2+1,FALSE)=0,"",VLOOKUP($A33,数出表_Excel!$A$6:$T$150,COLUMN()/2+1,FALSE))),"")</f>
        <v/>
      </c>
      <c r="AI33" s="77"/>
      <c r="AJ33" s="150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/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50" t="str">
        <f ca="1">IFERROR(VALUE(IF(VLOOKUP($A35,数出表_Excel!$A$6:$T$150,COLUMN()/2+1,FALSE)=0,"",VLOOKUP($A35,数出表_Excel!$A$6:$T$150,COLUMN()/2+1,FALSE))),"")</f>
        <v/>
      </c>
      <c r="C35" s="61"/>
      <c r="D35" s="150" t="str">
        <f ca="1">IFERROR(VALUE(IF(VLOOKUP($A35,数出表_Excel!$A$6:$T$150,COLUMN()/2+1,FALSE)=0,"",VLOOKUP($A35,数出表_Excel!$A$6:$T$150,COLUMN()/2+1,FALSE))),"")</f>
        <v/>
      </c>
      <c r="E35" s="77"/>
      <c r="F35" s="160" t="str">
        <f ca="1">IFERROR(VALUE(IF(VLOOKUP($A35,数出表_Excel!$A$6:$T$150,COLUMN()/2+1,FALSE)=0,"",VLOOKUP($A35,数出表_Excel!$A$6:$T$150,COLUMN()/2+1,FALSE))),"")</f>
        <v/>
      </c>
      <c r="G35" s="61"/>
      <c r="H35" s="150" t="str">
        <f ca="1">IFERROR(VALUE(IF(VLOOKUP($A35,数出表_Excel!$A$6:$T$150,COLUMN()/2+1,FALSE)=0,"",VLOOKUP($A35,数出表_Excel!$A$6:$T$150,COLUMN()/2+1,FALSE))),"")</f>
        <v/>
      </c>
      <c r="I35" s="77"/>
      <c r="J35" s="160" t="str">
        <f ca="1">IFERROR(VALUE(IF(VLOOKUP($A35,数出表_Excel!$A$6:$T$150,COLUMN()/2+1,FALSE)=0,"",VLOOKUP($A35,数出表_Excel!$A$6:$T$150,COLUMN()/2+1,FALSE))),"")</f>
        <v/>
      </c>
      <c r="K35" s="61"/>
      <c r="L35" s="150" t="str">
        <f ca="1">IFERROR(VALUE(IF(VLOOKUP($A35,数出表_Excel!$A$6:$T$150,COLUMN()/2+1,FALSE)=0,"",VLOOKUP($A35,数出表_Excel!$A$6:$T$150,COLUMN()/2+1,FALSE))),"")</f>
        <v/>
      </c>
      <c r="M35" s="77"/>
      <c r="N35" s="160" t="str">
        <f ca="1">IFERROR(VALUE(IF(VLOOKUP($A35,数出表_Excel!$A$6:$T$150,COLUMN()/2+1,FALSE)=0,"",VLOOKUP($A35,数出表_Excel!$A$6:$T$150,COLUMN()/2+1,FALSE))),"")</f>
        <v/>
      </c>
      <c r="O35" s="61"/>
      <c r="P35" s="150" t="str">
        <f ca="1">IFERROR(VALUE(IF(VLOOKUP($A35,数出表_Excel!$A$6:$T$150,COLUMN()/2+1,FALSE)=0,"",VLOOKUP($A35,数出表_Excel!$A$6:$T$150,COLUMN()/2+1,FALSE))),"")</f>
        <v/>
      </c>
      <c r="Q35" s="77"/>
      <c r="R35" s="160" t="str">
        <f ca="1">IFERROR(VALUE(IF(VLOOKUP($A35,数出表_Excel!$A$6:$T$150,COLUMN()/2+1,FALSE)=0,"",VLOOKUP($A35,数出表_Excel!$A$6:$T$150,COLUMN()/2+1,FALSE))),"")</f>
        <v/>
      </c>
      <c r="S35" s="61"/>
      <c r="T35" s="150" t="str">
        <f ca="1">IFERROR(VALUE(IF(VLOOKUP($A35,数出表_Excel!$A$6:$T$150,COLUMN()/2+1,FALSE)=0,"",VLOOKUP($A35,数出表_Excel!$A$6:$T$150,COLUMN()/2+1,FALSE))),"")</f>
        <v/>
      </c>
      <c r="U35" s="77"/>
      <c r="V35" s="160" t="str">
        <f ca="1">IFERROR(VALUE(IF(VLOOKUP($A35,数出表_Excel!$A$6:$T$150,COLUMN()/2+1,FALSE)=0,"",VLOOKUP($A35,数出表_Excel!$A$6:$T$150,COLUMN()/2+1,FALSE))),"")</f>
        <v/>
      </c>
      <c r="W35" s="61"/>
      <c r="X35" s="150" t="str">
        <f ca="1">IFERROR(VALUE(IF(VLOOKUP($A35,数出表_Excel!$A$6:$T$150,COLUMN()/2+1,FALSE)=0,"",VLOOKUP($A35,数出表_Excel!$A$6:$T$150,COLUMN()/2+1,FALSE))),"")</f>
        <v/>
      </c>
      <c r="Y35" s="77"/>
      <c r="Z35" s="160" t="str">
        <f ca="1">IFERROR(VALUE(IF(VLOOKUP($A35,数出表_Excel!$A$6:$T$150,COLUMN()/2+1,FALSE)=0,"",VLOOKUP($A35,数出表_Excel!$A$6:$T$150,COLUMN()/2+1,FALSE))),"")</f>
        <v/>
      </c>
      <c r="AA35" s="77"/>
      <c r="AB35" s="150" t="str">
        <f ca="1">IFERROR(VALUE(IF(VLOOKUP($A35,数出表_Excel!$A$6:$T$150,COLUMN()/2+1,FALSE)=0,"",VLOOKUP($A35,数出表_Excel!$A$6:$T$150,COLUMN()/2+1,FALSE))),"")</f>
        <v/>
      </c>
      <c r="AC35" s="77"/>
      <c r="AD35" s="150" t="str">
        <f ca="1">IFERROR(VALUE(IF(VLOOKUP($A35,数出表_Excel!$A$6:$T$150,COLUMN()/2+1,FALSE)=0,"",VLOOKUP($A35,数出表_Excel!$A$6:$T$150,COLUMN()/2+1,FALSE))),"")</f>
        <v/>
      </c>
      <c r="AE35" s="77"/>
      <c r="AF35" s="150" t="str">
        <f ca="1">IFERROR(VALUE(IF(VLOOKUP($A35,数出表_Excel!$A$6:$T$150,COLUMN()/2+1,FALSE)=0,"",VLOOKUP($A35,数出表_Excel!$A$6:$T$150,COLUMN()/2+1,FALSE))),"")</f>
        <v/>
      </c>
      <c r="AG35" s="77"/>
      <c r="AH35" s="150" t="str">
        <f ca="1">IFERROR(VALUE(IF(VLOOKUP($A35,数出表_Excel!$A$6:$T$150,COLUMN()/2+1,FALSE)=0,"",VLOOKUP($A35,数出表_Excel!$A$6:$T$150,COLUMN()/2+1,FALSE))),"")</f>
        <v/>
      </c>
      <c r="AI35" s="77"/>
      <c r="AJ35" s="150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4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50" t="str">
        <f ca="1">IFERROR(VALUE(IF(VLOOKUP($A37,数出表_Excel!$A$6:$T$150,COLUMN()/2+1,FALSE)=0,"",VLOOKUP($A37,数出表_Excel!$A$6:$T$150,COLUMN()/2+1,FALSE))),"")</f>
        <v/>
      </c>
      <c r="C37" s="61"/>
      <c r="D37" s="150" t="str">
        <f ca="1">IFERROR(VALUE(IF(VLOOKUP($A37,数出表_Excel!$A$6:$T$150,COLUMN()/2+1,FALSE)=0,"",VLOOKUP($A37,数出表_Excel!$A$6:$T$150,COLUMN()/2+1,FALSE))),"")</f>
        <v/>
      </c>
      <c r="E37" s="77"/>
      <c r="F37" s="160" t="str">
        <f ca="1">IFERROR(VALUE(IF(VLOOKUP($A37,数出表_Excel!$A$6:$T$150,COLUMN()/2+1,FALSE)=0,"",VLOOKUP($A37,数出表_Excel!$A$6:$T$150,COLUMN()/2+1,FALSE))),"")</f>
        <v/>
      </c>
      <c r="G37" s="61"/>
      <c r="H37" s="150" t="str">
        <f ca="1">IFERROR(VALUE(IF(VLOOKUP($A37,数出表_Excel!$A$6:$T$150,COLUMN()/2+1,FALSE)=0,"",VLOOKUP($A37,数出表_Excel!$A$6:$T$150,COLUMN()/2+1,FALSE))),"")</f>
        <v/>
      </c>
      <c r="I37" s="77"/>
      <c r="J37" s="160" t="str">
        <f ca="1">IFERROR(VALUE(IF(VLOOKUP($A37,数出表_Excel!$A$6:$T$150,COLUMN()/2+1,FALSE)=0,"",VLOOKUP($A37,数出表_Excel!$A$6:$T$150,COLUMN()/2+1,FALSE))),"")</f>
        <v/>
      </c>
      <c r="K37" s="61"/>
      <c r="L37" s="150" t="str">
        <f ca="1">IFERROR(VALUE(IF(VLOOKUP($A37,数出表_Excel!$A$6:$T$150,COLUMN()/2+1,FALSE)=0,"",VLOOKUP($A37,数出表_Excel!$A$6:$T$150,COLUMN()/2+1,FALSE))),"")</f>
        <v/>
      </c>
      <c r="M37" s="77"/>
      <c r="N37" s="160" t="str">
        <f ca="1">IFERROR(VALUE(IF(VLOOKUP($A37,数出表_Excel!$A$6:$T$150,COLUMN()/2+1,FALSE)=0,"",VLOOKUP($A37,数出表_Excel!$A$6:$T$150,COLUMN()/2+1,FALSE))),"")</f>
        <v/>
      </c>
      <c r="O37" s="61"/>
      <c r="P37" s="150" t="str">
        <f ca="1">IFERROR(VALUE(IF(VLOOKUP($A37,数出表_Excel!$A$6:$T$150,COLUMN()/2+1,FALSE)=0,"",VLOOKUP($A37,数出表_Excel!$A$6:$T$150,COLUMN()/2+1,FALSE))),"")</f>
        <v/>
      </c>
      <c r="Q37" s="77"/>
      <c r="R37" s="160" t="str">
        <f ca="1">IFERROR(VALUE(IF(VLOOKUP($A37,数出表_Excel!$A$6:$T$150,COLUMN()/2+1,FALSE)=0,"",VLOOKUP($A37,数出表_Excel!$A$6:$T$150,COLUMN()/2+1,FALSE))),"")</f>
        <v/>
      </c>
      <c r="S37" s="61"/>
      <c r="T37" s="150" t="str">
        <f ca="1">IFERROR(VALUE(IF(VLOOKUP($A37,数出表_Excel!$A$6:$T$150,COLUMN()/2+1,FALSE)=0,"",VLOOKUP($A37,数出表_Excel!$A$6:$T$150,COLUMN()/2+1,FALSE))),"")</f>
        <v/>
      </c>
      <c r="U37" s="77"/>
      <c r="V37" s="160" t="str">
        <f ca="1">IFERROR(VALUE(IF(VLOOKUP($A37,数出表_Excel!$A$6:$T$150,COLUMN()/2+1,FALSE)=0,"",VLOOKUP($A37,数出表_Excel!$A$6:$T$150,COLUMN()/2+1,FALSE))),"")</f>
        <v/>
      </c>
      <c r="W37" s="61"/>
      <c r="X37" s="150" t="str">
        <f ca="1">IFERROR(VALUE(IF(VLOOKUP($A37,数出表_Excel!$A$6:$T$150,COLUMN()/2+1,FALSE)=0,"",VLOOKUP($A37,数出表_Excel!$A$6:$T$150,COLUMN()/2+1,FALSE))),"")</f>
        <v/>
      </c>
      <c r="Y37" s="77"/>
      <c r="Z37" s="160" t="str">
        <f ca="1">IFERROR(VALUE(IF(VLOOKUP($A37,数出表_Excel!$A$6:$T$150,COLUMN()/2+1,FALSE)=0,"",VLOOKUP($A37,数出表_Excel!$A$6:$T$150,COLUMN()/2+1,FALSE))),"")</f>
        <v/>
      </c>
      <c r="AA37" s="77"/>
      <c r="AB37" s="150" t="str">
        <f ca="1">IFERROR(VALUE(IF(VLOOKUP($A37,数出表_Excel!$A$6:$T$150,COLUMN()/2+1,FALSE)=0,"",VLOOKUP($A37,数出表_Excel!$A$6:$T$150,COLUMN()/2+1,FALSE))),"")</f>
        <v/>
      </c>
      <c r="AC37" s="77"/>
      <c r="AD37" s="150" t="str">
        <f ca="1">IFERROR(VALUE(IF(VLOOKUP($A37,数出表_Excel!$A$6:$T$150,COLUMN()/2+1,FALSE)=0,"",VLOOKUP($A37,数出表_Excel!$A$6:$T$150,COLUMN()/2+1,FALSE))),"")</f>
        <v/>
      </c>
      <c r="AE37" s="77"/>
      <c r="AF37" s="150" t="str">
        <f ca="1">IFERROR(VALUE(IF(VLOOKUP($A37,数出表_Excel!$A$6:$T$150,COLUMN()/2+1,FALSE)=0,"",VLOOKUP($A37,数出表_Excel!$A$6:$T$150,COLUMN()/2+1,FALSE))),"")</f>
        <v/>
      </c>
      <c r="AG37" s="77"/>
      <c r="AH37" s="150" t="str">
        <f ca="1">IFERROR(VALUE(IF(VLOOKUP($A37,数出表_Excel!$A$6:$T$150,COLUMN()/2+1,FALSE)=0,"",VLOOKUP($A37,数出表_Excel!$A$6:$T$150,COLUMN()/2+1,FALSE))),"")</f>
        <v/>
      </c>
      <c r="AI37" s="77"/>
      <c r="AJ37" s="150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84" t="str">
        <f ca="1">IFERROR(VALUE(IF(VLOOKUP($A38,数出表_Excel!$A$6:$T$150,COLUMN()/2+1,FALSE)=0,"",VLOOKUP($A38,数出表_Excel!$A$6:$T$150,COLUMN()/2+1,FALSE))),"")</f>
        <v/>
      </c>
      <c r="AA38" s="76"/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50" t="str">
        <f ca="1">IFERROR(VALUE(IF(VLOOKUP($A39,数出表_Excel!$A$6:$T$150,COLUMN()/2+1,FALSE)=0,"",VLOOKUP($A39,数出表_Excel!$A$6:$T$150,COLUMN()/2+1,FALSE))),"")</f>
        <v/>
      </c>
      <c r="C39" s="61"/>
      <c r="D39" s="150" t="str">
        <f ca="1">IFERROR(VALUE(IF(VLOOKUP($A39,数出表_Excel!$A$6:$T$150,COLUMN()/2+1,FALSE)=0,"",VLOOKUP($A39,数出表_Excel!$A$6:$T$150,COLUMN()/2+1,FALSE))),"")</f>
        <v/>
      </c>
      <c r="E39" s="77"/>
      <c r="F39" s="160" t="str">
        <f ca="1">IFERROR(VALUE(IF(VLOOKUP($A39,数出表_Excel!$A$6:$T$150,COLUMN()/2+1,FALSE)=0,"",VLOOKUP($A39,数出表_Excel!$A$6:$T$150,COLUMN()/2+1,FALSE))),"")</f>
        <v/>
      </c>
      <c r="G39" s="61"/>
      <c r="H39" s="150" t="str">
        <f ca="1">IFERROR(VALUE(IF(VLOOKUP($A39,数出表_Excel!$A$6:$T$150,COLUMN()/2+1,FALSE)=0,"",VLOOKUP($A39,数出表_Excel!$A$6:$T$150,COLUMN()/2+1,FALSE))),"")</f>
        <v/>
      </c>
      <c r="I39" s="77"/>
      <c r="J39" s="160" t="str">
        <f ca="1">IFERROR(VALUE(IF(VLOOKUP($A39,数出表_Excel!$A$6:$T$150,COLUMN()/2+1,FALSE)=0,"",VLOOKUP($A39,数出表_Excel!$A$6:$T$150,COLUMN()/2+1,FALSE))),"")</f>
        <v/>
      </c>
      <c r="K39" s="61"/>
      <c r="L39" s="150" t="str">
        <f ca="1">IFERROR(VALUE(IF(VLOOKUP($A39,数出表_Excel!$A$6:$T$150,COLUMN()/2+1,FALSE)=0,"",VLOOKUP($A39,数出表_Excel!$A$6:$T$150,COLUMN()/2+1,FALSE))),"")</f>
        <v/>
      </c>
      <c r="M39" s="77"/>
      <c r="N39" s="160" t="str">
        <f ca="1">IFERROR(VALUE(IF(VLOOKUP($A39,数出表_Excel!$A$6:$T$150,COLUMN()/2+1,FALSE)=0,"",VLOOKUP($A39,数出表_Excel!$A$6:$T$150,COLUMN()/2+1,FALSE))),"")</f>
        <v/>
      </c>
      <c r="O39" s="61"/>
      <c r="P39" s="150" t="str">
        <f ca="1">IFERROR(VALUE(IF(VLOOKUP($A39,数出表_Excel!$A$6:$T$150,COLUMN()/2+1,FALSE)=0,"",VLOOKUP($A39,数出表_Excel!$A$6:$T$150,COLUMN()/2+1,FALSE))),"")</f>
        <v/>
      </c>
      <c r="Q39" s="77"/>
      <c r="R39" s="160" t="str">
        <f ca="1">IFERROR(VALUE(IF(VLOOKUP($A39,数出表_Excel!$A$6:$T$150,COLUMN()/2+1,FALSE)=0,"",VLOOKUP($A39,数出表_Excel!$A$6:$T$150,COLUMN()/2+1,FALSE))),"")</f>
        <v/>
      </c>
      <c r="S39" s="61"/>
      <c r="T39" s="150" t="str">
        <f ca="1">IFERROR(VALUE(IF(VLOOKUP($A39,数出表_Excel!$A$6:$T$150,COLUMN()/2+1,FALSE)=0,"",VLOOKUP($A39,数出表_Excel!$A$6:$T$150,COLUMN()/2+1,FALSE))),"")</f>
        <v/>
      </c>
      <c r="U39" s="77"/>
      <c r="V39" s="160" t="str">
        <f ca="1">IFERROR(VALUE(IF(VLOOKUP($A39,数出表_Excel!$A$6:$T$150,COLUMN()/2+1,FALSE)=0,"",VLOOKUP($A39,数出表_Excel!$A$6:$T$150,COLUMN()/2+1,FALSE))),"")</f>
        <v/>
      </c>
      <c r="W39" s="61"/>
      <c r="X39" s="150" t="str">
        <f ca="1">IFERROR(VALUE(IF(VLOOKUP($A39,数出表_Excel!$A$6:$T$150,COLUMN()/2+1,FALSE)=0,"",VLOOKUP($A39,数出表_Excel!$A$6:$T$150,COLUMN()/2+1,FALSE))),"")</f>
        <v/>
      </c>
      <c r="Y39" s="77"/>
      <c r="Z39" s="160" t="str">
        <f ca="1">IFERROR(VALUE(IF(VLOOKUP($A39,数出表_Excel!$A$6:$T$150,COLUMN()/2+1,FALSE)=0,"",VLOOKUP($A39,数出表_Excel!$A$6:$T$150,COLUMN()/2+1,FALSE))),"")</f>
        <v/>
      </c>
      <c r="AA39" s="77"/>
      <c r="AB39" s="150" t="str">
        <f ca="1">IFERROR(VALUE(IF(VLOOKUP($A39,数出表_Excel!$A$6:$T$150,COLUMN()/2+1,FALSE)=0,"",VLOOKUP($A39,数出表_Excel!$A$6:$T$150,COLUMN()/2+1,FALSE))),"")</f>
        <v/>
      </c>
      <c r="AC39" s="77"/>
      <c r="AD39" s="150" t="str">
        <f ca="1">IFERROR(VALUE(IF(VLOOKUP($A39,数出表_Excel!$A$6:$T$150,COLUMN()/2+1,FALSE)=0,"",VLOOKUP($A39,数出表_Excel!$A$6:$T$150,COLUMN()/2+1,FALSE))),"")</f>
        <v/>
      </c>
      <c r="AE39" s="77"/>
      <c r="AF39" s="150" t="str">
        <f ca="1">IFERROR(VALUE(IF(VLOOKUP($A39,数出表_Excel!$A$6:$T$150,COLUMN()/2+1,FALSE)=0,"",VLOOKUP($A39,数出表_Excel!$A$6:$T$150,COLUMN()/2+1,FALSE))),"")</f>
        <v/>
      </c>
      <c r="AG39" s="77"/>
      <c r="AH39" s="150" t="str">
        <f ca="1">IFERROR(VALUE(IF(VLOOKUP($A39,数出表_Excel!$A$6:$T$150,COLUMN()/2+1,FALSE)=0,"",VLOOKUP($A39,数出表_Excel!$A$6:$T$150,COLUMN()/2+1,FALSE))),"")</f>
        <v/>
      </c>
      <c r="AI39" s="77"/>
      <c r="AJ39" s="150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/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4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50" t="str">
        <f ca="1">IFERROR(VALUE(IF(VLOOKUP($A41,数出表_Excel!$A$6:$T$150,COLUMN()/2+1,FALSE)=0,"",VLOOKUP($A41,数出表_Excel!$A$6:$T$150,COLUMN()/2+1,FALSE))),"")</f>
        <v/>
      </c>
      <c r="C41" s="61"/>
      <c r="D41" s="150" t="str">
        <f ca="1">IFERROR(VALUE(IF(VLOOKUP($A41,数出表_Excel!$A$6:$T$150,COLUMN()/2+1,FALSE)=0,"",VLOOKUP($A41,数出表_Excel!$A$6:$T$150,COLUMN()/2+1,FALSE))),"")</f>
        <v/>
      </c>
      <c r="E41" s="77"/>
      <c r="F41" s="160" t="str">
        <f ca="1">IFERROR(VALUE(IF(VLOOKUP($A41,数出表_Excel!$A$6:$T$150,COLUMN()/2+1,FALSE)=0,"",VLOOKUP($A41,数出表_Excel!$A$6:$T$150,COLUMN()/2+1,FALSE))),"")</f>
        <v/>
      </c>
      <c r="G41" s="61"/>
      <c r="H41" s="150" t="str">
        <f ca="1">IFERROR(VALUE(IF(VLOOKUP($A41,数出表_Excel!$A$6:$T$150,COLUMN()/2+1,FALSE)=0,"",VLOOKUP($A41,数出表_Excel!$A$6:$T$150,COLUMN()/2+1,FALSE))),"")</f>
        <v/>
      </c>
      <c r="I41" s="77"/>
      <c r="J41" s="160" t="str">
        <f ca="1">IFERROR(VALUE(IF(VLOOKUP($A41,数出表_Excel!$A$6:$T$150,COLUMN()/2+1,FALSE)=0,"",VLOOKUP($A41,数出表_Excel!$A$6:$T$150,COLUMN()/2+1,FALSE))),"")</f>
        <v/>
      </c>
      <c r="K41" s="61"/>
      <c r="L41" s="150" t="str">
        <f ca="1">IFERROR(VALUE(IF(VLOOKUP($A41,数出表_Excel!$A$6:$T$150,COLUMN()/2+1,FALSE)=0,"",VLOOKUP($A41,数出表_Excel!$A$6:$T$150,COLUMN()/2+1,FALSE))),"")</f>
        <v/>
      </c>
      <c r="M41" s="77"/>
      <c r="N41" s="160" t="str">
        <f ca="1">IFERROR(VALUE(IF(VLOOKUP($A41,数出表_Excel!$A$6:$T$150,COLUMN()/2+1,FALSE)=0,"",VLOOKUP($A41,数出表_Excel!$A$6:$T$150,COLUMN()/2+1,FALSE))),"")</f>
        <v/>
      </c>
      <c r="O41" s="61"/>
      <c r="P41" s="150" t="str">
        <f ca="1">IFERROR(VALUE(IF(VLOOKUP($A41,数出表_Excel!$A$6:$T$150,COLUMN()/2+1,FALSE)=0,"",VLOOKUP($A41,数出表_Excel!$A$6:$T$150,COLUMN()/2+1,FALSE))),"")</f>
        <v/>
      </c>
      <c r="Q41" s="77"/>
      <c r="R41" s="160" t="str">
        <f ca="1">IFERROR(VALUE(IF(VLOOKUP($A41,数出表_Excel!$A$6:$T$150,COLUMN()/2+1,FALSE)=0,"",VLOOKUP($A41,数出表_Excel!$A$6:$T$150,COLUMN()/2+1,FALSE))),"")</f>
        <v/>
      </c>
      <c r="S41" s="61"/>
      <c r="T41" s="150" t="str">
        <f ca="1">IFERROR(VALUE(IF(VLOOKUP($A41,数出表_Excel!$A$6:$T$150,COLUMN()/2+1,FALSE)=0,"",VLOOKUP($A41,数出表_Excel!$A$6:$T$150,COLUMN()/2+1,FALSE))),"")</f>
        <v/>
      </c>
      <c r="U41" s="77"/>
      <c r="V41" s="160" t="str">
        <f ca="1">IFERROR(VALUE(IF(VLOOKUP($A41,数出表_Excel!$A$6:$T$150,COLUMN()/2+1,FALSE)=0,"",VLOOKUP($A41,数出表_Excel!$A$6:$T$150,COLUMN()/2+1,FALSE))),"")</f>
        <v/>
      </c>
      <c r="W41" s="61"/>
      <c r="X41" s="150" t="str">
        <f ca="1">IFERROR(VALUE(IF(VLOOKUP($A41,数出表_Excel!$A$6:$T$150,COLUMN()/2+1,FALSE)=0,"",VLOOKUP($A41,数出表_Excel!$A$6:$T$150,COLUMN()/2+1,FALSE))),"")</f>
        <v/>
      </c>
      <c r="Y41" s="77"/>
      <c r="Z41" s="160" t="str">
        <f ca="1">IFERROR(VALUE(IF(VLOOKUP($A41,数出表_Excel!$A$6:$T$150,COLUMN()/2+1,FALSE)=0,"",VLOOKUP($A41,数出表_Excel!$A$6:$T$150,COLUMN()/2+1,FALSE))),"")</f>
        <v/>
      </c>
      <c r="AA41" s="77"/>
      <c r="AB41" s="150" t="str">
        <f ca="1">IFERROR(VALUE(IF(VLOOKUP($A41,数出表_Excel!$A$6:$T$150,COLUMN()/2+1,FALSE)=0,"",VLOOKUP($A41,数出表_Excel!$A$6:$T$150,COLUMN()/2+1,FALSE))),"")</f>
        <v/>
      </c>
      <c r="AC41" s="77"/>
      <c r="AD41" s="150" t="str">
        <f ca="1">IFERROR(VALUE(IF(VLOOKUP($A41,数出表_Excel!$A$6:$T$150,COLUMN()/2+1,FALSE)=0,"",VLOOKUP($A41,数出表_Excel!$A$6:$T$150,COLUMN()/2+1,FALSE))),"")</f>
        <v/>
      </c>
      <c r="AE41" s="77"/>
      <c r="AF41" s="150" t="str">
        <f ca="1">IFERROR(VALUE(IF(VLOOKUP($A41,数出表_Excel!$A$6:$T$150,COLUMN()/2+1,FALSE)=0,"",VLOOKUP($A41,数出表_Excel!$A$6:$T$150,COLUMN()/2+1,FALSE))),"")</f>
        <v/>
      </c>
      <c r="AG41" s="77"/>
      <c r="AH41" s="150" t="str">
        <f ca="1">IFERROR(VALUE(IF(VLOOKUP($A41,数出表_Excel!$A$6:$T$150,COLUMN()/2+1,FALSE)=0,"",VLOOKUP($A41,数出表_Excel!$A$6:$T$150,COLUMN()/2+1,FALSE))),"")</f>
        <v/>
      </c>
      <c r="AI41" s="77"/>
      <c r="AJ41" s="150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/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4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50" t="str">
        <f ca="1">IFERROR(VALUE(IF(VLOOKUP($A43,数出表_Excel!$A$6:$T$150,COLUMN()/2+1,FALSE)=0,"",VLOOKUP($A43,数出表_Excel!$A$6:$T$150,COLUMN()/2+1,FALSE))),"")</f>
        <v/>
      </c>
      <c r="C43" s="61"/>
      <c r="D43" s="150" t="str">
        <f ca="1">IFERROR(VALUE(IF(VLOOKUP($A43,数出表_Excel!$A$6:$T$150,COLUMN()/2+1,FALSE)=0,"",VLOOKUP($A43,数出表_Excel!$A$6:$T$150,COLUMN()/2+1,FALSE))),"")</f>
        <v/>
      </c>
      <c r="E43" s="77"/>
      <c r="F43" s="160" t="str">
        <f ca="1">IFERROR(VALUE(IF(VLOOKUP($A43,数出表_Excel!$A$6:$T$150,COLUMN()/2+1,FALSE)=0,"",VLOOKUP($A43,数出表_Excel!$A$6:$T$150,COLUMN()/2+1,FALSE))),"")</f>
        <v/>
      </c>
      <c r="G43" s="61"/>
      <c r="H43" s="150" t="str">
        <f ca="1">IFERROR(VALUE(IF(VLOOKUP($A43,数出表_Excel!$A$6:$T$150,COLUMN()/2+1,FALSE)=0,"",VLOOKUP($A43,数出表_Excel!$A$6:$T$150,COLUMN()/2+1,FALSE))),"")</f>
        <v/>
      </c>
      <c r="I43" s="77"/>
      <c r="J43" s="160" t="str">
        <f ca="1">IFERROR(VALUE(IF(VLOOKUP($A43,数出表_Excel!$A$6:$T$150,COLUMN()/2+1,FALSE)=0,"",VLOOKUP($A43,数出表_Excel!$A$6:$T$150,COLUMN()/2+1,FALSE))),"")</f>
        <v/>
      </c>
      <c r="K43" s="61"/>
      <c r="L43" s="150" t="str">
        <f ca="1">IFERROR(VALUE(IF(VLOOKUP($A43,数出表_Excel!$A$6:$T$150,COLUMN()/2+1,FALSE)=0,"",VLOOKUP($A43,数出表_Excel!$A$6:$T$150,COLUMN()/2+1,FALSE))),"")</f>
        <v/>
      </c>
      <c r="M43" s="77"/>
      <c r="N43" s="160" t="str">
        <f ca="1">IFERROR(VALUE(IF(VLOOKUP($A43,数出表_Excel!$A$6:$T$150,COLUMN()/2+1,FALSE)=0,"",VLOOKUP($A43,数出表_Excel!$A$6:$T$150,COLUMN()/2+1,FALSE))),"")</f>
        <v/>
      </c>
      <c r="O43" s="61"/>
      <c r="P43" s="150" t="str">
        <f ca="1">IFERROR(VALUE(IF(VLOOKUP($A43,数出表_Excel!$A$6:$T$150,COLUMN()/2+1,FALSE)=0,"",VLOOKUP($A43,数出表_Excel!$A$6:$T$150,COLUMN()/2+1,FALSE))),"")</f>
        <v/>
      </c>
      <c r="Q43" s="77"/>
      <c r="R43" s="160" t="str">
        <f ca="1">IFERROR(VALUE(IF(VLOOKUP($A43,数出表_Excel!$A$6:$T$150,COLUMN()/2+1,FALSE)=0,"",VLOOKUP($A43,数出表_Excel!$A$6:$T$150,COLUMN()/2+1,FALSE))),"")</f>
        <v/>
      </c>
      <c r="S43" s="61"/>
      <c r="T43" s="150" t="str">
        <f ca="1">IFERROR(VALUE(IF(VLOOKUP($A43,数出表_Excel!$A$6:$T$150,COLUMN()/2+1,FALSE)=0,"",VLOOKUP($A43,数出表_Excel!$A$6:$T$150,COLUMN()/2+1,FALSE))),"")</f>
        <v/>
      </c>
      <c r="U43" s="77"/>
      <c r="V43" s="160" t="str">
        <f ca="1">IFERROR(VALUE(IF(VLOOKUP($A43,数出表_Excel!$A$6:$T$150,COLUMN()/2+1,FALSE)=0,"",VLOOKUP($A43,数出表_Excel!$A$6:$T$150,COLUMN()/2+1,FALSE))),"")</f>
        <v/>
      </c>
      <c r="W43" s="61"/>
      <c r="X43" s="150" t="str">
        <f ca="1">IFERROR(VALUE(IF(VLOOKUP($A43,数出表_Excel!$A$6:$T$150,COLUMN()/2+1,FALSE)=0,"",VLOOKUP($A43,数出表_Excel!$A$6:$T$150,COLUMN()/2+1,FALSE))),"")</f>
        <v/>
      </c>
      <c r="Y43" s="77"/>
      <c r="Z43" s="160" t="str">
        <f ca="1">IFERROR(VALUE(IF(VLOOKUP($A43,数出表_Excel!$A$6:$T$150,COLUMN()/2+1,FALSE)=0,"",VLOOKUP($A43,数出表_Excel!$A$6:$T$150,COLUMN()/2+1,FALSE))),"")</f>
        <v/>
      </c>
      <c r="AA43" s="77"/>
      <c r="AB43" s="150" t="str">
        <f ca="1">IFERROR(VALUE(IF(VLOOKUP($A43,数出表_Excel!$A$6:$T$150,COLUMN()/2+1,FALSE)=0,"",VLOOKUP($A43,数出表_Excel!$A$6:$T$150,COLUMN()/2+1,FALSE))),"")</f>
        <v/>
      </c>
      <c r="AC43" s="77"/>
      <c r="AD43" s="150" t="str">
        <f ca="1">IFERROR(VALUE(IF(VLOOKUP($A43,数出表_Excel!$A$6:$T$150,COLUMN()/2+1,FALSE)=0,"",VLOOKUP($A43,数出表_Excel!$A$6:$T$150,COLUMN()/2+1,FALSE))),"")</f>
        <v/>
      </c>
      <c r="AE43" s="77"/>
      <c r="AF43" s="150" t="str">
        <f ca="1">IFERROR(VALUE(IF(VLOOKUP($A43,数出表_Excel!$A$6:$T$150,COLUMN()/2+1,FALSE)=0,"",VLOOKUP($A43,数出表_Excel!$A$6:$T$150,COLUMN()/2+1,FALSE))),"")</f>
        <v/>
      </c>
      <c r="AG43" s="77"/>
      <c r="AH43" s="150" t="str">
        <f ca="1">IFERROR(VALUE(IF(VLOOKUP($A43,数出表_Excel!$A$6:$T$150,COLUMN()/2+1,FALSE)=0,"",VLOOKUP($A43,数出表_Excel!$A$6:$T$150,COLUMN()/2+1,FALSE))),"")</f>
        <v/>
      </c>
      <c r="AI43" s="77"/>
      <c r="AJ43" s="150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/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4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50" t="str">
        <f ca="1">IFERROR(VALUE(IF(VLOOKUP($A45,数出表_Excel!$A$6:$T$150,COLUMN()/2+1,FALSE)=0,"",VLOOKUP($A45,数出表_Excel!$A$6:$T$150,COLUMN()/2+1,FALSE))),"")</f>
        <v/>
      </c>
      <c r="C45" s="61"/>
      <c r="D45" s="150" t="str">
        <f ca="1">IFERROR(VALUE(IF(VLOOKUP($A45,数出表_Excel!$A$6:$T$150,COLUMN()/2+1,FALSE)=0,"",VLOOKUP($A45,数出表_Excel!$A$6:$T$150,COLUMN()/2+1,FALSE))),"")</f>
        <v/>
      </c>
      <c r="E45" s="77"/>
      <c r="F45" s="160" t="str">
        <f ca="1">IFERROR(VALUE(IF(VLOOKUP($A45,数出表_Excel!$A$6:$T$150,COLUMN()/2+1,FALSE)=0,"",VLOOKUP($A45,数出表_Excel!$A$6:$T$150,COLUMN()/2+1,FALSE))),"")</f>
        <v/>
      </c>
      <c r="G45" s="61"/>
      <c r="H45" s="150" t="str">
        <f ca="1">IFERROR(VALUE(IF(VLOOKUP($A45,数出表_Excel!$A$6:$T$150,COLUMN()/2+1,FALSE)=0,"",VLOOKUP($A45,数出表_Excel!$A$6:$T$150,COLUMN()/2+1,FALSE))),"")</f>
        <v/>
      </c>
      <c r="I45" s="77"/>
      <c r="J45" s="160" t="str">
        <f ca="1">IFERROR(VALUE(IF(VLOOKUP($A45,数出表_Excel!$A$6:$T$150,COLUMN()/2+1,FALSE)=0,"",VLOOKUP($A45,数出表_Excel!$A$6:$T$150,COLUMN()/2+1,FALSE))),"")</f>
        <v/>
      </c>
      <c r="K45" s="61"/>
      <c r="L45" s="150" t="str">
        <f ca="1">IFERROR(VALUE(IF(VLOOKUP($A45,数出表_Excel!$A$6:$T$150,COLUMN()/2+1,FALSE)=0,"",VLOOKUP($A45,数出表_Excel!$A$6:$T$150,COLUMN()/2+1,FALSE))),"")</f>
        <v/>
      </c>
      <c r="M45" s="77"/>
      <c r="N45" s="160" t="str">
        <f ca="1">IFERROR(VALUE(IF(VLOOKUP($A45,数出表_Excel!$A$6:$T$150,COLUMN()/2+1,FALSE)=0,"",VLOOKUP($A45,数出表_Excel!$A$6:$T$150,COLUMN()/2+1,FALSE))),"")</f>
        <v/>
      </c>
      <c r="O45" s="61"/>
      <c r="P45" s="150" t="str">
        <f ca="1">IFERROR(VALUE(IF(VLOOKUP($A45,数出表_Excel!$A$6:$T$150,COLUMN()/2+1,FALSE)=0,"",VLOOKUP($A45,数出表_Excel!$A$6:$T$150,COLUMN()/2+1,FALSE))),"")</f>
        <v/>
      </c>
      <c r="Q45" s="77"/>
      <c r="R45" s="160" t="str">
        <f ca="1">IFERROR(VALUE(IF(VLOOKUP($A45,数出表_Excel!$A$6:$T$150,COLUMN()/2+1,FALSE)=0,"",VLOOKUP($A45,数出表_Excel!$A$6:$T$150,COLUMN()/2+1,FALSE))),"")</f>
        <v/>
      </c>
      <c r="S45" s="61"/>
      <c r="T45" s="150" t="str">
        <f ca="1">IFERROR(VALUE(IF(VLOOKUP($A45,数出表_Excel!$A$6:$T$150,COLUMN()/2+1,FALSE)=0,"",VLOOKUP($A45,数出表_Excel!$A$6:$T$150,COLUMN()/2+1,FALSE))),"")</f>
        <v/>
      </c>
      <c r="U45" s="77"/>
      <c r="V45" s="160" t="str">
        <f ca="1">IFERROR(VALUE(IF(VLOOKUP($A45,数出表_Excel!$A$6:$T$150,COLUMN()/2+1,FALSE)=0,"",VLOOKUP($A45,数出表_Excel!$A$6:$T$150,COLUMN()/2+1,FALSE))),"")</f>
        <v/>
      </c>
      <c r="W45" s="61"/>
      <c r="X45" s="150" t="str">
        <f ca="1">IFERROR(VALUE(IF(VLOOKUP($A45,数出表_Excel!$A$6:$T$150,COLUMN()/2+1,FALSE)=0,"",VLOOKUP($A45,数出表_Excel!$A$6:$T$150,COLUMN()/2+1,FALSE))),"")</f>
        <v/>
      </c>
      <c r="Y45" s="77"/>
      <c r="Z45" s="160" t="str">
        <f ca="1">IFERROR(VALUE(IF(VLOOKUP($A45,数出表_Excel!$A$6:$T$150,COLUMN()/2+1,FALSE)=0,"",VLOOKUP($A45,数出表_Excel!$A$6:$T$150,COLUMN()/2+1,FALSE))),"")</f>
        <v/>
      </c>
      <c r="AA45" s="77"/>
      <c r="AB45" s="150" t="str">
        <f ca="1">IFERROR(VALUE(IF(VLOOKUP($A45,数出表_Excel!$A$6:$T$150,COLUMN()/2+1,FALSE)=0,"",VLOOKUP($A45,数出表_Excel!$A$6:$T$150,COLUMN()/2+1,FALSE))),"")</f>
        <v/>
      </c>
      <c r="AC45" s="77"/>
      <c r="AD45" s="150" t="str">
        <f ca="1">IFERROR(VALUE(IF(VLOOKUP($A45,数出表_Excel!$A$6:$T$150,COLUMN()/2+1,FALSE)=0,"",VLOOKUP($A45,数出表_Excel!$A$6:$T$150,COLUMN()/2+1,FALSE))),"")</f>
        <v/>
      </c>
      <c r="AE45" s="77"/>
      <c r="AF45" s="150" t="str">
        <f ca="1">IFERROR(VALUE(IF(VLOOKUP($A45,数出表_Excel!$A$6:$T$150,COLUMN()/2+1,FALSE)=0,"",VLOOKUP($A45,数出表_Excel!$A$6:$T$150,COLUMN()/2+1,FALSE))),"")</f>
        <v/>
      </c>
      <c r="AG45" s="77"/>
      <c r="AH45" s="150" t="str">
        <f ca="1">IFERROR(VALUE(IF(VLOOKUP($A45,数出表_Excel!$A$6:$T$150,COLUMN()/2+1,FALSE)=0,"",VLOOKUP($A45,数出表_Excel!$A$6:$T$150,COLUMN()/2+1,FALSE))),"")</f>
        <v/>
      </c>
      <c r="AI45" s="77"/>
      <c r="AJ45" s="150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83" t="str">
        <f ca="1">IFERROR(VALUE(IF(VLOOKUP($A46,数出表_Excel!$A$6:$T$150,COLUMN()/2+1,FALSE)=0,"",VLOOKUP($A46,数出表_Excel!$A$6:$T$150,COLUMN()/2+1,FALSE))),"")</f>
        <v/>
      </c>
      <c r="M46" s="76"/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4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50" t="str">
        <f ca="1">IFERROR(VALUE(IF(VLOOKUP($A47,数出表_Excel!$A$6:$T$150,COLUMN()/2+1,FALSE)=0,"",VLOOKUP($A47,数出表_Excel!$A$6:$T$150,COLUMN()/2+1,FALSE))),"")</f>
        <v/>
      </c>
      <c r="C47" s="61"/>
      <c r="D47" s="150" t="str">
        <f ca="1">IFERROR(VALUE(IF(VLOOKUP($A47,数出表_Excel!$A$6:$T$150,COLUMN()/2+1,FALSE)=0,"",VLOOKUP($A47,数出表_Excel!$A$6:$T$150,COLUMN()/2+1,FALSE))),"")</f>
        <v/>
      </c>
      <c r="E47" s="77"/>
      <c r="F47" s="160" t="str">
        <f ca="1">IFERROR(VALUE(IF(VLOOKUP($A47,数出表_Excel!$A$6:$T$150,COLUMN()/2+1,FALSE)=0,"",VLOOKUP($A47,数出表_Excel!$A$6:$T$150,COLUMN()/2+1,FALSE))),"")</f>
        <v/>
      </c>
      <c r="G47" s="61"/>
      <c r="H47" s="150" t="str">
        <f ca="1">IFERROR(VALUE(IF(VLOOKUP($A47,数出表_Excel!$A$6:$T$150,COLUMN()/2+1,FALSE)=0,"",VLOOKUP($A47,数出表_Excel!$A$6:$T$150,COLUMN()/2+1,FALSE))),"")</f>
        <v/>
      </c>
      <c r="I47" s="77"/>
      <c r="J47" s="160" t="str">
        <f ca="1">IFERROR(VALUE(IF(VLOOKUP($A47,数出表_Excel!$A$6:$T$150,COLUMN()/2+1,FALSE)=0,"",VLOOKUP($A47,数出表_Excel!$A$6:$T$150,COLUMN()/2+1,FALSE))),"")</f>
        <v/>
      </c>
      <c r="K47" s="61"/>
      <c r="L47" s="150" t="str">
        <f ca="1">IFERROR(VALUE(IF(VLOOKUP($A47,数出表_Excel!$A$6:$T$150,COLUMN()/2+1,FALSE)=0,"",VLOOKUP($A47,数出表_Excel!$A$6:$T$150,COLUMN()/2+1,FALSE))),"")</f>
        <v/>
      </c>
      <c r="M47" s="77"/>
      <c r="N47" s="160" t="str">
        <f ca="1">IFERROR(VALUE(IF(VLOOKUP($A47,数出表_Excel!$A$6:$T$150,COLUMN()/2+1,FALSE)=0,"",VLOOKUP($A47,数出表_Excel!$A$6:$T$150,COLUMN()/2+1,FALSE))),"")</f>
        <v/>
      </c>
      <c r="O47" s="61"/>
      <c r="P47" s="150" t="str">
        <f ca="1">IFERROR(VALUE(IF(VLOOKUP($A47,数出表_Excel!$A$6:$T$150,COLUMN()/2+1,FALSE)=0,"",VLOOKUP($A47,数出表_Excel!$A$6:$T$150,COLUMN()/2+1,FALSE))),"")</f>
        <v/>
      </c>
      <c r="Q47" s="77"/>
      <c r="R47" s="160" t="str">
        <f ca="1">IFERROR(VALUE(IF(VLOOKUP($A47,数出表_Excel!$A$6:$T$150,COLUMN()/2+1,FALSE)=0,"",VLOOKUP($A47,数出表_Excel!$A$6:$T$150,COLUMN()/2+1,FALSE))),"")</f>
        <v/>
      </c>
      <c r="S47" s="61"/>
      <c r="T47" s="150" t="str">
        <f ca="1">IFERROR(VALUE(IF(VLOOKUP($A47,数出表_Excel!$A$6:$T$150,COLUMN()/2+1,FALSE)=0,"",VLOOKUP($A47,数出表_Excel!$A$6:$T$150,COLUMN()/2+1,FALSE))),"")</f>
        <v/>
      </c>
      <c r="U47" s="77"/>
      <c r="V47" s="160" t="str">
        <f ca="1">IFERROR(VALUE(IF(VLOOKUP($A47,数出表_Excel!$A$6:$T$150,COLUMN()/2+1,FALSE)=0,"",VLOOKUP($A47,数出表_Excel!$A$6:$T$150,COLUMN()/2+1,FALSE))),"")</f>
        <v/>
      </c>
      <c r="W47" s="61"/>
      <c r="X47" s="150" t="str">
        <f ca="1">IFERROR(VALUE(IF(VLOOKUP($A47,数出表_Excel!$A$6:$T$150,COLUMN()/2+1,FALSE)=0,"",VLOOKUP($A47,数出表_Excel!$A$6:$T$150,COLUMN()/2+1,FALSE))),"")</f>
        <v/>
      </c>
      <c r="Y47" s="77"/>
      <c r="Z47" s="160" t="str">
        <f ca="1">IFERROR(VALUE(IF(VLOOKUP($A47,数出表_Excel!$A$6:$T$150,COLUMN()/2+1,FALSE)=0,"",VLOOKUP($A47,数出表_Excel!$A$6:$T$150,COLUMN()/2+1,FALSE))),"")</f>
        <v/>
      </c>
      <c r="AA47" s="77"/>
      <c r="AB47" s="150" t="str">
        <f ca="1">IFERROR(VALUE(IF(VLOOKUP($A47,数出表_Excel!$A$6:$T$150,COLUMN()/2+1,FALSE)=0,"",VLOOKUP($A47,数出表_Excel!$A$6:$T$150,COLUMN()/2+1,FALSE))),"")</f>
        <v/>
      </c>
      <c r="AC47" s="77"/>
      <c r="AD47" s="150" t="str">
        <f ca="1">IFERROR(VALUE(IF(VLOOKUP($A47,数出表_Excel!$A$6:$T$150,COLUMN()/2+1,FALSE)=0,"",VLOOKUP($A47,数出表_Excel!$A$6:$T$150,COLUMN()/2+1,FALSE))),"")</f>
        <v/>
      </c>
      <c r="AE47" s="77"/>
      <c r="AF47" s="150" t="str">
        <f ca="1">IFERROR(VALUE(IF(VLOOKUP($A47,数出表_Excel!$A$6:$T$150,COLUMN()/2+1,FALSE)=0,"",VLOOKUP($A47,数出表_Excel!$A$6:$T$150,COLUMN()/2+1,FALSE))),"")</f>
        <v/>
      </c>
      <c r="AG47" s="77"/>
      <c r="AH47" s="150" t="str">
        <f ca="1">IFERROR(VALUE(IF(VLOOKUP($A47,数出表_Excel!$A$6:$T$150,COLUMN()/2+1,FALSE)=0,"",VLOOKUP($A47,数出表_Excel!$A$6:$T$150,COLUMN()/2+1,FALSE))),"")</f>
        <v/>
      </c>
      <c r="AI47" s="77"/>
      <c r="AJ47" s="150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83" t="str">
        <f ca="1">IFERROR(VALUE(IF(VLOOKUP($A48,数出表_Excel!$A$6:$T$150,COLUMN()/2+1,FALSE)=0,"",VLOOKUP($A48,数出表_Excel!$A$6:$T$150,COLUMN()/2+1,FALSE))),"")</f>
        <v/>
      </c>
      <c r="M48" s="76"/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4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50" t="str">
        <f ca="1">IFERROR(VALUE(IF(VLOOKUP($A49,数出表_Excel!$A$6:$T$150,COLUMN()/2+1,FALSE)=0,"",VLOOKUP($A49,数出表_Excel!$A$6:$T$150,COLUMN()/2+1,FALSE))),"")</f>
        <v/>
      </c>
      <c r="C49" s="61"/>
      <c r="D49" s="150" t="str">
        <f ca="1">IFERROR(VALUE(IF(VLOOKUP($A49,数出表_Excel!$A$6:$T$150,COLUMN()/2+1,FALSE)=0,"",VLOOKUP($A49,数出表_Excel!$A$6:$T$150,COLUMN()/2+1,FALSE))),"")</f>
        <v/>
      </c>
      <c r="E49" s="77"/>
      <c r="F49" s="160" t="str">
        <f ca="1">IFERROR(VALUE(IF(VLOOKUP($A49,数出表_Excel!$A$6:$T$150,COLUMN()/2+1,FALSE)=0,"",VLOOKUP($A49,数出表_Excel!$A$6:$T$150,COLUMN()/2+1,FALSE))),"")</f>
        <v/>
      </c>
      <c r="G49" s="61"/>
      <c r="H49" s="150" t="str">
        <f ca="1">IFERROR(VALUE(IF(VLOOKUP($A49,数出表_Excel!$A$6:$T$150,COLUMN()/2+1,FALSE)=0,"",VLOOKUP($A49,数出表_Excel!$A$6:$T$150,COLUMN()/2+1,FALSE))),"")</f>
        <v/>
      </c>
      <c r="I49" s="77"/>
      <c r="J49" s="160" t="str">
        <f ca="1">IFERROR(VALUE(IF(VLOOKUP($A49,数出表_Excel!$A$6:$T$150,COLUMN()/2+1,FALSE)=0,"",VLOOKUP($A49,数出表_Excel!$A$6:$T$150,COLUMN()/2+1,FALSE))),"")</f>
        <v/>
      </c>
      <c r="K49" s="61"/>
      <c r="L49" s="150" t="str">
        <f ca="1">IFERROR(VALUE(IF(VLOOKUP($A49,数出表_Excel!$A$6:$T$150,COLUMN()/2+1,FALSE)=0,"",VLOOKUP($A49,数出表_Excel!$A$6:$T$150,COLUMN()/2+1,FALSE))),"")</f>
        <v/>
      </c>
      <c r="M49" s="77"/>
      <c r="N49" s="160" t="str">
        <f ca="1">IFERROR(VALUE(IF(VLOOKUP($A49,数出表_Excel!$A$6:$T$150,COLUMN()/2+1,FALSE)=0,"",VLOOKUP($A49,数出表_Excel!$A$6:$T$150,COLUMN()/2+1,FALSE))),"")</f>
        <v/>
      </c>
      <c r="O49" s="61"/>
      <c r="P49" s="150" t="str">
        <f ca="1">IFERROR(VALUE(IF(VLOOKUP($A49,数出表_Excel!$A$6:$T$150,COLUMN()/2+1,FALSE)=0,"",VLOOKUP($A49,数出表_Excel!$A$6:$T$150,COLUMN()/2+1,FALSE))),"")</f>
        <v/>
      </c>
      <c r="Q49" s="77"/>
      <c r="R49" s="160" t="str">
        <f ca="1">IFERROR(VALUE(IF(VLOOKUP($A49,数出表_Excel!$A$6:$T$150,COLUMN()/2+1,FALSE)=0,"",VLOOKUP($A49,数出表_Excel!$A$6:$T$150,COLUMN()/2+1,FALSE))),"")</f>
        <v/>
      </c>
      <c r="S49" s="61"/>
      <c r="T49" s="150" t="str">
        <f ca="1">IFERROR(VALUE(IF(VLOOKUP($A49,数出表_Excel!$A$6:$T$150,COLUMN()/2+1,FALSE)=0,"",VLOOKUP($A49,数出表_Excel!$A$6:$T$150,COLUMN()/2+1,FALSE))),"")</f>
        <v/>
      </c>
      <c r="U49" s="77"/>
      <c r="V49" s="160" t="str">
        <f ca="1">IFERROR(VALUE(IF(VLOOKUP($A49,数出表_Excel!$A$6:$T$150,COLUMN()/2+1,FALSE)=0,"",VLOOKUP($A49,数出表_Excel!$A$6:$T$150,COLUMN()/2+1,FALSE))),"")</f>
        <v/>
      </c>
      <c r="W49" s="61"/>
      <c r="X49" s="150" t="str">
        <f ca="1">IFERROR(VALUE(IF(VLOOKUP($A49,数出表_Excel!$A$6:$T$150,COLUMN()/2+1,FALSE)=0,"",VLOOKUP($A49,数出表_Excel!$A$6:$T$150,COLUMN()/2+1,FALSE))),"")</f>
        <v/>
      </c>
      <c r="Y49" s="77"/>
      <c r="Z49" s="160" t="str">
        <f ca="1">IFERROR(VALUE(IF(VLOOKUP($A49,数出表_Excel!$A$6:$T$150,COLUMN()/2+1,FALSE)=0,"",VLOOKUP($A49,数出表_Excel!$A$6:$T$150,COLUMN()/2+1,FALSE))),"")</f>
        <v/>
      </c>
      <c r="AA49" s="77"/>
      <c r="AB49" s="150" t="str">
        <f ca="1">IFERROR(VALUE(IF(VLOOKUP($A49,数出表_Excel!$A$6:$T$150,COLUMN()/2+1,FALSE)=0,"",VLOOKUP($A49,数出表_Excel!$A$6:$T$150,COLUMN()/2+1,FALSE))),"")</f>
        <v/>
      </c>
      <c r="AC49" s="77"/>
      <c r="AD49" s="150" t="str">
        <f ca="1">IFERROR(VALUE(IF(VLOOKUP($A49,数出表_Excel!$A$6:$T$150,COLUMN()/2+1,FALSE)=0,"",VLOOKUP($A49,数出表_Excel!$A$6:$T$150,COLUMN()/2+1,FALSE))),"")</f>
        <v/>
      </c>
      <c r="AE49" s="77"/>
      <c r="AF49" s="150" t="str">
        <f ca="1">IFERROR(VALUE(IF(VLOOKUP($A49,数出表_Excel!$A$6:$T$150,COLUMN()/2+1,FALSE)=0,"",VLOOKUP($A49,数出表_Excel!$A$6:$T$150,COLUMN()/2+1,FALSE))),"")</f>
        <v/>
      </c>
      <c r="AG49" s="77"/>
      <c r="AH49" s="150" t="str">
        <f ca="1">IFERROR(VALUE(IF(VLOOKUP($A49,数出表_Excel!$A$6:$T$150,COLUMN()/2+1,FALSE)=0,"",VLOOKUP($A49,数出表_Excel!$A$6:$T$150,COLUMN()/2+1,FALSE))),"")</f>
        <v/>
      </c>
      <c r="AI49" s="77"/>
      <c r="AJ49" s="150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83" t="str">
        <f ca="1">IFERROR(VALUE(IF(VLOOKUP($A50,数出表_Excel!$A$6:$T$150,COLUMN()/2+1,FALSE)=0,"",VLOOKUP($A50,数出表_Excel!$A$6:$T$150,COLUMN()/2+1,FALSE))),"")</f>
        <v/>
      </c>
      <c r="M50" s="76"/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4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50" t="str">
        <f ca="1">IFERROR(VALUE(IF(VLOOKUP($A51,数出表_Excel!$A$6:$T$150,COLUMN()/2+1,FALSE)=0,"",VLOOKUP($A51,数出表_Excel!$A$6:$T$150,COLUMN()/2+1,FALSE))),"")</f>
        <v/>
      </c>
      <c r="C51" s="61"/>
      <c r="D51" s="150" t="str">
        <f ca="1">IFERROR(VALUE(IF(VLOOKUP($A51,数出表_Excel!$A$6:$T$150,COLUMN()/2+1,FALSE)=0,"",VLOOKUP($A51,数出表_Excel!$A$6:$T$150,COLUMN()/2+1,FALSE))),"")</f>
        <v/>
      </c>
      <c r="E51" s="77"/>
      <c r="F51" s="160" t="str">
        <f ca="1">IFERROR(VALUE(IF(VLOOKUP($A51,数出表_Excel!$A$6:$T$150,COLUMN()/2+1,FALSE)=0,"",VLOOKUP($A51,数出表_Excel!$A$6:$T$150,COLUMN()/2+1,FALSE))),"")</f>
        <v/>
      </c>
      <c r="G51" s="61"/>
      <c r="H51" s="150" t="str">
        <f ca="1">IFERROR(VALUE(IF(VLOOKUP($A51,数出表_Excel!$A$6:$T$150,COLUMN()/2+1,FALSE)=0,"",VLOOKUP($A51,数出表_Excel!$A$6:$T$150,COLUMN()/2+1,FALSE))),"")</f>
        <v/>
      </c>
      <c r="I51" s="77"/>
      <c r="J51" s="160" t="str">
        <f ca="1">IFERROR(VALUE(IF(VLOOKUP($A51,数出表_Excel!$A$6:$T$150,COLUMN()/2+1,FALSE)=0,"",VLOOKUP($A51,数出表_Excel!$A$6:$T$150,COLUMN()/2+1,FALSE))),"")</f>
        <v/>
      </c>
      <c r="K51" s="61"/>
      <c r="L51" s="150" t="str">
        <f ca="1">IFERROR(VALUE(IF(VLOOKUP($A51,数出表_Excel!$A$6:$T$150,COLUMN()/2+1,FALSE)=0,"",VLOOKUP($A51,数出表_Excel!$A$6:$T$150,COLUMN()/2+1,FALSE))),"")</f>
        <v/>
      </c>
      <c r="M51" s="77"/>
      <c r="N51" s="160" t="str">
        <f ca="1">IFERROR(VALUE(IF(VLOOKUP($A51,数出表_Excel!$A$6:$T$150,COLUMN()/2+1,FALSE)=0,"",VLOOKUP($A51,数出表_Excel!$A$6:$T$150,COLUMN()/2+1,FALSE))),"")</f>
        <v/>
      </c>
      <c r="O51" s="61"/>
      <c r="P51" s="150" t="str">
        <f ca="1">IFERROR(VALUE(IF(VLOOKUP($A51,数出表_Excel!$A$6:$T$150,COLUMN()/2+1,FALSE)=0,"",VLOOKUP($A51,数出表_Excel!$A$6:$T$150,COLUMN()/2+1,FALSE))),"")</f>
        <v/>
      </c>
      <c r="Q51" s="77"/>
      <c r="R51" s="160" t="str">
        <f ca="1">IFERROR(VALUE(IF(VLOOKUP($A51,数出表_Excel!$A$6:$T$150,COLUMN()/2+1,FALSE)=0,"",VLOOKUP($A51,数出表_Excel!$A$6:$T$150,COLUMN()/2+1,FALSE))),"")</f>
        <v/>
      </c>
      <c r="S51" s="61"/>
      <c r="T51" s="150" t="str">
        <f ca="1">IFERROR(VALUE(IF(VLOOKUP($A51,数出表_Excel!$A$6:$T$150,COLUMN()/2+1,FALSE)=0,"",VLOOKUP($A51,数出表_Excel!$A$6:$T$150,COLUMN()/2+1,FALSE))),"")</f>
        <v/>
      </c>
      <c r="U51" s="77"/>
      <c r="V51" s="160" t="str">
        <f ca="1">IFERROR(VALUE(IF(VLOOKUP($A51,数出表_Excel!$A$6:$T$150,COLUMN()/2+1,FALSE)=0,"",VLOOKUP($A51,数出表_Excel!$A$6:$T$150,COLUMN()/2+1,FALSE))),"")</f>
        <v/>
      </c>
      <c r="W51" s="61"/>
      <c r="X51" s="150" t="str">
        <f ca="1">IFERROR(VALUE(IF(VLOOKUP($A51,数出表_Excel!$A$6:$T$150,COLUMN()/2+1,FALSE)=0,"",VLOOKUP($A51,数出表_Excel!$A$6:$T$150,COLUMN()/2+1,FALSE))),"")</f>
        <v/>
      </c>
      <c r="Y51" s="77"/>
      <c r="Z51" s="160" t="str">
        <f ca="1">IFERROR(VALUE(IF(VLOOKUP($A51,数出表_Excel!$A$6:$T$150,COLUMN()/2+1,FALSE)=0,"",VLOOKUP($A51,数出表_Excel!$A$6:$T$150,COLUMN()/2+1,FALSE))),"")</f>
        <v/>
      </c>
      <c r="AA51" s="77"/>
      <c r="AB51" s="150" t="str">
        <f ca="1">IFERROR(VALUE(IF(VLOOKUP($A51,数出表_Excel!$A$6:$T$150,COLUMN()/2+1,FALSE)=0,"",VLOOKUP($A51,数出表_Excel!$A$6:$T$150,COLUMN()/2+1,FALSE))),"")</f>
        <v/>
      </c>
      <c r="AC51" s="77"/>
      <c r="AD51" s="150" t="str">
        <f ca="1">IFERROR(VALUE(IF(VLOOKUP($A51,数出表_Excel!$A$6:$T$150,COLUMN()/2+1,FALSE)=0,"",VLOOKUP($A51,数出表_Excel!$A$6:$T$150,COLUMN()/2+1,FALSE))),"")</f>
        <v/>
      </c>
      <c r="AE51" s="77"/>
      <c r="AF51" s="150" t="str">
        <f ca="1">IFERROR(VALUE(IF(VLOOKUP($A51,数出表_Excel!$A$6:$T$150,COLUMN()/2+1,FALSE)=0,"",VLOOKUP($A51,数出表_Excel!$A$6:$T$150,COLUMN()/2+1,FALSE))),"")</f>
        <v/>
      </c>
      <c r="AG51" s="77"/>
      <c r="AH51" s="150" t="str">
        <f ca="1">IFERROR(VALUE(IF(VLOOKUP($A51,数出表_Excel!$A$6:$T$150,COLUMN()/2+1,FALSE)=0,"",VLOOKUP($A51,数出表_Excel!$A$6:$T$150,COLUMN()/2+1,FALSE))),"")</f>
        <v/>
      </c>
      <c r="AI51" s="77"/>
      <c r="AJ51" s="150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/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50" t="str">
        <f ca="1">IFERROR(VALUE(IF(VLOOKUP($A53,数出表_Excel!$A$6:$T$150,COLUMN()/2+1,FALSE)=0,"",VLOOKUP($A53,数出表_Excel!$A$6:$T$150,COLUMN()/2+1,FALSE))),"")</f>
        <v/>
      </c>
      <c r="C53" s="61"/>
      <c r="D53" s="150" t="str">
        <f ca="1">IFERROR(VALUE(IF(VLOOKUP($A53,数出表_Excel!$A$6:$T$150,COLUMN()/2+1,FALSE)=0,"",VLOOKUP($A53,数出表_Excel!$A$6:$T$150,COLUMN()/2+1,FALSE))),"")</f>
        <v/>
      </c>
      <c r="E53" s="77"/>
      <c r="F53" s="160" t="str">
        <f ca="1">IFERROR(VALUE(IF(VLOOKUP($A53,数出表_Excel!$A$6:$T$150,COLUMN()/2+1,FALSE)=0,"",VLOOKUP($A53,数出表_Excel!$A$6:$T$150,COLUMN()/2+1,FALSE))),"")</f>
        <v/>
      </c>
      <c r="G53" s="61"/>
      <c r="H53" s="150" t="str">
        <f ca="1">IFERROR(VALUE(IF(VLOOKUP($A53,数出表_Excel!$A$6:$T$150,COLUMN()/2+1,FALSE)=0,"",VLOOKUP($A53,数出表_Excel!$A$6:$T$150,COLUMN()/2+1,FALSE))),"")</f>
        <v/>
      </c>
      <c r="I53" s="77"/>
      <c r="J53" s="160" t="str">
        <f ca="1">IFERROR(VALUE(IF(VLOOKUP($A53,数出表_Excel!$A$6:$T$150,COLUMN()/2+1,FALSE)=0,"",VLOOKUP($A53,数出表_Excel!$A$6:$T$150,COLUMN()/2+1,FALSE))),"")</f>
        <v/>
      </c>
      <c r="K53" s="61"/>
      <c r="L53" s="150" t="str">
        <f ca="1">IFERROR(VALUE(IF(VLOOKUP($A53,数出表_Excel!$A$6:$T$150,COLUMN()/2+1,FALSE)=0,"",VLOOKUP($A53,数出表_Excel!$A$6:$T$150,COLUMN()/2+1,FALSE))),"")</f>
        <v/>
      </c>
      <c r="M53" s="77"/>
      <c r="N53" s="160" t="str">
        <f ca="1">IFERROR(VALUE(IF(VLOOKUP($A53,数出表_Excel!$A$6:$T$150,COLUMN()/2+1,FALSE)=0,"",VLOOKUP($A53,数出表_Excel!$A$6:$T$150,COLUMN()/2+1,FALSE))),"")</f>
        <v/>
      </c>
      <c r="O53" s="61"/>
      <c r="P53" s="150" t="str">
        <f ca="1">IFERROR(VALUE(IF(VLOOKUP($A53,数出表_Excel!$A$6:$T$150,COLUMN()/2+1,FALSE)=0,"",VLOOKUP($A53,数出表_Excel!$A$6:$T$150,COLUMN()/2+1,FALSE))),"")</f>
        <v/>
      </c>
      <c r="Q53" s="77"/>
      <c r="R53" s="160" t="str">
        <f ca="1">IFERROR(VALUE(IF(VLOOKUP($A53,数出表_Excel!$A$6:$T$150,COLUMN()/2+1,FALSE)=0,"",VLOOKUP($A53,数出表_Excel!$A$6:$T$150,COLUMN()/2+1,FALSE))),"")</f>
        <v/>
      </c>
      <c r="S53" s="61"/>
      <c r="T53" s="150" t="str">
        <f ca="1">IFERROR(VALUE(IF(VLOOKUP($A53,数出表_Excel!$A$6:$T$150,COLUMN()/2+1,FALSE)=0,"",VLOOKUP($A53,数出表_Excel!$A$6:$T$150,COLUMN()/2+1,FALSE))),"")</f>
        <v/>
      </c>
      <c r="U53" s="77"/>
      <c r="V53" s="160" t="str">
        <f ca="1">IFERROR(VALUE(IF(VLOOKUP($A53,数出表_Excel!$A$6:$T$150,COLUMN()/2+1,FALSE)=0,"",VLOOKUP($A53,数出表_Excel!$A$6:$T$150,COLUMN()/2+1,FALSE))),"")</f>
        <v/>
      </c>
      <c r="W53" s="61"/>
      <c r="X53" s="150" t="str">
        <f ca="1">IFERROR(VALUE(IF(VLOOKUP($A53,数出表_Excel!$A$6:$T$150,COLUMN()/2+1,FALSE)=0,"",VLOOKUP($A53,数出表_Excel!$A$6:$T$150,COLUMN()/2+1,FALSE))),"")</f>
        <v/>
      </c>
      <c r="Y53" s="77"/>
      <c r="Z53" s="160" t="str">
        <f ca="1">IFERROR(VALUE(IF(VLOOKUP($A53,数出表_Excel!$A$6:$T$150,COLUMN()/2+1,FALSE)=0,"",VLOOKUP($A53,数出表_Excel!$A$6:$T$150,COLUMN()/2+1,FALSE))),"")</f>
        <v/>
      </c>
      <c r="AA53" s="77"/>
      <c r="AB53" s="150" t="str">
        <f ca="1">IFERROR(VALUE(IF(VLOOKUP($A53,数出表_Excel!$A$6:$T$150,COLUMN()/2+1,FALSE)=0,"",VLOOKUP($A53,数出表_Excel!$A$6:$T$150,COLUMN()/2+1,FALSE))),"")</f>
        <v/>
      </c>
      <c r="AC53" s="77"/>
      <c r="AD53" s="150" t="str">
        <f ca="1">IFERROR(VALUE(IF(VLOOKUP($A53,数出表_Excel!$A$6:$T$150,COLUMN()/2+1,FALSE)=0,"",VLOOKUP($A53,数出表_Excel!$A$6:$T$150,COLUMN()/2+1,FALSE))),"")</f>
        <v/>
      </c>
      <c r="AE53" s="77"/>
      <c r="AF53" s="150" t="str">
        <f ca="1">IFERROR(VALUE(IF(VLOOKUP($A53,数出表_Excel!$A$6:$T$150,COLUMN()/2+1,FALSE)=0,"",VLOOKUP($A53,数出表_Excel!$A$6:$T$150,COLUMN()/2+1,FALSE))),"")</f>
        <v/>
      </c>
      <c r="AG53" s="77"/>
      <c r="AH53" s="150" t="str">
        <f ca="1">IFERROR(VALUE(IF(VLOOKUP($A53,数出表_Excel!$A$6:$T$150,COLUMN()/2+1,FALSE)=0,"",VLOOKUP($A53,数出表_Excel!$A$6:$T$150,COLUMN()/2+1,FALSE))),"")</f>
        <v/>
      </c>
      <c r="AI53" s="77"/>
      <c r="AJ53" s="150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50" t="str">
        <f ca="1">IFERROR(VALUE(IF(VLOOKUP($A55,数出表_Excel!$A$6:$T$150,COLUMN()/2+1,FALSE)=0,"",VLOOKUP($A55,数出表_Excel!$A$6:$T$150,COLUMN()/2+1,FALSE))),"")</f>
        <v/>
      </c>
      <c r="C55" s="61"/>
      <c r="D55" s="150" t="str">
        <f ca="1">IFERROR(VALUE(IF(VLOOKUP($A55,数出表_Excel!$A$6:$T$150,COLUMN()/2+1,FALSE)=0,"",VLOOKUP($A55,数出表_Excel!$A$6:$T$150,COLUMN()/2+1,FALSE))),"")</f>
        <v/>
      </c>
      <c r="E55" s="77"/>
      <c r="F55" s="160" t="str">
        <f ca="1">IFERROR(VALUE(IF(VLOOKUP($A55,数出表_Excel!$A$6:$T$150,COLUMN()/2+1,FALSE)=0,"",VLOOKUP($A55,数出表_Excel!$A$6:$T$150,COLUMN()/2+1,FALSE))),"")</f>
        <v/>
      </c>
      <c r="G55" s="61"/>
      <c r="H55" s="150" t="str">
        <f ca="1">IFERROR(VALUE(IF(VLOOKUP($A55,数出表_Excel!$A$6:$T$150,COLUMN()/2+1,FALSE)=0,"",VLOOKUP($A55,数出表_Excel!$A$6:$T$150,COLUMN()/2+1,FALSE))),"")</f>
        <v/>
      </c>
      <c r="I55" s="77"/>
      <c r="J55" s="160" t="str">
        <f ca="1">IFERROR(VALUE(IF(VLOOKUP($A55,数出表_Excel!$A$6:$T$150,COLUMN()/2+1,FALSE)=0,"",VLOOKUP($A55,数出表_Excel!$A$6:$T$150,COLUMN()/2+1,FALSE))),"")</f>
        <v/>
      </c>
      <c r="K55" s="61"/>
      <c r="L55" s="150" t="str">
        <f ca="1">IFERROR(VALUE(IF(VLOOKUP($A55,数出表_Excel!$A$6:$T$150,COLUMN()/2+1,FALSE)=0,"",VLOOKUP($A55,数出表_Excel!$A$6:$T$150,COLUMN()/2+1,FALSE))),"")</f>
        <v/>
      </c>
      <c r="M55" s="77"/>
      <c r="N55" s="160" t="str">
        <f ca="1">IFERROR(VALUE(IF(VLOOKUP($A55,数出表_Excel!$A$6:$T$150,COLUMN()/2+1,FALSE)=0,"",VLOOKUP($A55,数出表_Excel!$A$6:$T$150,COLUMN()/2+1,FALSE))),"")</f>
        <v/>
      </c>
      <c r="O55" s="61"/>
      <c r="P55" s="150" t="str">
        <f ca="1">IFERROR(VALUE(IF(VLOOKUP($A55,数出表_Excel!$A$6:$T$150,COLUMN()/2+1,FALSE)=0,"",VLOOKUP($A55,数出表_Excel!$A$6:$T$150,COLUMN()/2+1,FALSE))),"")</f>
        <v/>
      </c>
      <c r="Q55" s="77"/>
      <c r="R55" s="160" t="str">
        <f ca="1">IFERROR(VALUE(IF(VLOOKUP($A55,数出表_Excel!$A$6:$T$150,COLUMN()/2+1,FALSE)=0,"",VLOOKUP($A55,数出表_Excel!$A$6:$T$150,COLUMN()/2+1,FALSE))),"")</f>
        <v/>
      </c>
      <c r="S55" s="61"/>
      <c r="T55" s="150" t="str">
        <f ca="1">IFERROR(VALUE(IF(VLOOKUP($A55,数出表_Excel!$A$6:$T$150,COLUMN()/2+1,FALSE)=0,"",VLOOKUP($A55,数出表_Excel!$A$6:$T$150,COLUMN()/2+1,FALSE))),"")</f>
        <v/>
      </c>
      <c r="U55" s="77"/>
      <c r="V55" s="160" t="str">
        <f ca="1">IFERROR(VALUE(IF(VLOOKUP($A55,数出表_Excel!$A$6:$T$150,COLUMN()/2+1,FALSE)=0,"",VLOOKUP($A55,数出表_Excel!$A$6:$T$150,COLUMN()/2+1,FALSE))),"")</f>
        <v/>
      </c>
      <c r="W55" s="61"/>
      <c r="X55" s="150" t="str">
        <f ca="1">IFERROR(VALUE(IF(VLOOKUP($A55,数出表_Excel!$A$6:$T$150,COLUMN()/2+1,FALSE)=0,"",VLOOKUP($A55,数出表_Excel!$A$6:$T$150,COLUMN()/2+1,FALSE))),"")</f>
        <v/>
      </c>
      <c r="Y55" s="77"/>
      <c r="Z55" s="160" t="str">
        <f ca="1">IFERROR(VALUE(IF(VLOOKUP($A55,数出表_Excel!$A$6:$T$150,COLUMN()/2+1,FALSE)=0,"",VLOOKUP($A55,数出表_Excel!$A$6:$T$150,COLUMN()/2+1,FALSE))),"")</f>
        <v/>
      </c>
      <c r="AA55" s="77"/>
      <c r="AB55" s="150" t="str">
        <f ca="1">IFERROR(VALUE(IF(VLOOKUP($A55,数出表_Excel!$A$6:$T$150,COLUMN()/2+1,FALSE)=0,"",VLOOKUP($A55,数出表_Excel!$A$6:$T$150,COLUMN()/2+1,FALSE))),"")</f>
        <v/>
      </c>
      <c r="AC55" s="77"/>
      <c r="AD55" s="150" t="str">
        <f ca="1">IFERROR(VALUE(IF(VLOOKUP($A55,数出表_Excel!$A$6:$T$150,COLUMN()/2+1,FALSE)=0,"",VLOOKUP($A55,数出表_Excel!$A$6:$T$150,COLUMN()/2+1,FALSE))),"")</f>
        <v/>
      </c>
      <c r="AE55" s="77"/>
      <c r="AF55" s="150" t="str">
        <f ca="1">IFERROR(VALUE(IF(VLOOKUP($A55,数出表_Excel!$A$6:$T$150,COLUMN()/2+1,FALSE)=0,"",VLOOKUP($A55,数出表_Excel!$A$6:$T$150,COLUMN()/2+1,FALSE))),"")</f>
        <v/>
      </c>
      <c r="AG55" s="77"/>
      <c r="AH55" s="150" t="str">
        <f ca="1">IFERROR(VALUE(IF(VLOOKUP($A55,数出表_Excel!$A$6:$T$150,COLUMN()/2+1,FALSE)=0,"",VLOOKUP($A55,数出表_Excel!$A$6:$T$150,COLUMN()/2+1,FALSE))),"")</f>
        <v/>
      </c>
      <c r="AI55" s="77"/>
      <c r="AJ55" s="150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/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50" t="str">
        <f ca="1">IFERROR(VALUE(IF(VLOOKUP($A57,数出表_Excel!$A$6:$T$150,COLUMN()/2+1,FALSE)=0,"",VLOOKUP($A57,数出表_Excel!$A$6:$T$150,COLUMN()/2+1,FALSE))),"")</f>
        <v/>
      </c>
      <c r="C57" s="61"/>
      <c r="D57" s="150" t="str">
        <f ca="1">IFERROR(VALUE(IF(VLOOKUP($A57,数出表_Excel!$A$6:$T$150,COLUMN()/2+1,FALSE)=0,"",VLOOKUP($A57,数出表_Excel!$A$6:$T$150,COLUMN()/2+1,FALSE))),"")</f>
        <v/>
      </c>
      <c r="E57" s="77"/>
      <c r="F57" s="160" t="str">
        <f ca="1">IFERROR(VALUE(IF(VLOOKUP($A57,数出表_Excel!$A$6:$T$150,COLUMN()/2+1,FALSE)=0,"",VLOOKUP($A57,数出表_Excel!$A$6:$T$150,COLUMN()/2+1,FALSE))),"")</f>
        <v/>
      </c>
      <c r="G57" s="61"/>
      <c r="H57" s="150" t="str">
        <f ca="1">IFERROR(VALUE(IF(VLOOKUP($A57,数出表_Excel!$A$6:$T$150,COLUMN()/2+1,FALSE)=0,"",VLOOKUP($A57,数出表_Excel!$A$6:$T$150,COLUMN()/2+1,FALSE))),"")</f>
        <v/>
      </c>
      <c r="I57" s="77"/>
      <c r="J57" s="160" t="str">
        <f ca="1">IFERROR(VALUE(IF(VLOOKUP($A57,数出表_Excel!$A$6:$T$150,COLUMN()/2+1,FALSE)=0,"",VLOOKUP($A57,数出表_Excel!$A$6:$T$150,COLUMN()/2+1,FALSE))),"")</f>
        <v/>
      </c>
      <c r="K57" s="61"/>
      <c r="L57" s="150" t="str">
        <f ca="1">IFERROR(VALUE(IF(VLOOKUP($A57,数出表_Excel!$A$6:$T$150,COLUMN()/2+1,FALSE)=0,"",VLOOKUP($A57,数出表_Excel!$A$6:$T$150,COLUMN()/2+1,FALSE))),"")</f>
        <v/>
      </c>
      <c r="M57" s="77"/>
      <c r="N57" s="160" t="str">
        <f ca="1">IFERROR(VALUE(IF(VLOOKUP($A57,数出表_Excel!$A$6:$T$150,COLUMN()/2+1,FALSE)=0,"",VLOOKUP($A57,数出表_Excel!$A$6:$T$150,COLUMN()/2+1,FALSE))),"")</f>
        <v/>
      </c>
      <c r="O57" s="61"/>
      <c r="P57" s="150" t="str">
        <f ca="1">IFERROR(VALUE(IF(VLOOKUP($A57,数出表_Excel!$A$6:$T$150,COLUMN()/2+1,FALSE)=0,"",VLOOKUP($A57,数出表_Excel!$A$6:$T$150,COLUMN()/2+1,FALSE))),"")</f>
        <v/>
      </c>
      <c r="Q57" s="77"/>
      <c r="R57" s="160" t="str">
        <f ca="1">IFERROR(VALUE(IF(VLOOKUP($A57,数出表_Excel!$A$6:$T$150,COLUMN()/2+1,FALSE)=0,"",VLOOKUP($A57,数出表_Excel!$A$6:$T$150,COLUMN()/2+1,FALSE))),"")</f>
        <v/>
      </c>
      <c r="S57" s="61"/>
      <c r="T57" s="150" t="str">
        <f ca="1">IFERROR(VALUE(IF(VLOOKUP($A57,数出表_Excel!$A$6:$T$150,COLUMN()/2+1,FALSE)=0,"",VLOOKUP($A57,数出表_Excel!$A$6:$T$150,COLUMN()/2+1,FALSE))),"")</f>
        <v/>
      </c>
      <c r="U57" s="77"/>
      <c r="V57" s="160" t="str">
        <f ca="1">IFERROR(VALUE(IF(VLOOKUP($A57,数出表_Excel!$A$6:$T$150,COLUMN()/2+1,FALSE)=0,"",VLOOKUP($A57,数出表_Excel!$A$6:$T$150,COLUMN()/2+1,FALSE))),"")</f>
        <v/>
      </c>
      <c r="W57" s="61"/>
      <c r="X57" s="150" t="str">
        <f ca="1">IFERROR(VALUE(IF(VLOOKUP($A57,数出表_Excel!$A$6:$T$150,COLUMN()/2+1,FALSE)=0,"",VLOOKUP($A57,数出表_Excel!$A$6:$T$150,COLUMN()/2+1,FALSE))),"")</f>
        <v/>
      </c>
      <c r="Y57" s="77"/>
      <c r="Z57" s="160" t="str">
        <f ca="1">IFERROR(VALUE(IF(VLOOKUP($A57,数出表_Excel!$A$6:$T$150,COLUMN()/2+1,FALSE)=0,"",VLOOKUP($A57,数出表_Excel!$A$6:$T$150,COLUMN()/2+1,FALSE))),"")</f>
        <v/>
      </c>
      <c r="AA57" s="77"/>
      <c r="AB57" s="150" t="str">
        <f ca="1">IFERROR(VALUE(IF(VLOOKUP($A57,数出表_Excel!$A$6:$T$150,COLUMN()/2+1,FALSE)=0,"",VLOOKUP($A57,数出表_Excel!$A$6:$T$150,COLUMN()/2+1,FALSE))),"")</f>
        <v/>
      </c>
      <c r="AC57" s="77"/>
      <c r="AD57" s="150" t="str">
        <f ca="1">IFERROR(VALUE(IF(VLOOKUP($A57,数出表_Excel!$A$6:$T$150,COLUMN()/2+1,FALSE)=0,"",VLOOKUP($A57,数出表_Excel!$A$6:$T$150,COLUMN()/2+1,FALSE))),"")</f>
        <v/>
      </c>
      <c r="AE57" s="77"/>
      <c r="AF57" s="150" t="str">
        <f ca="1">IFERROR(VALUE(IF(VLOOKUP($A57,数出表_Excel!$A$6:$T$150,COLUMN()/2+1,FALSE)=0,"",VLOOKUP($A57,数出表_Excel!$A$6:$T$150,COLUMN()/2+1,FALSE))),"")</f>
        <v/>
      </c>
      <c r="AG57" s="77"/>
      <c r="AH57" s="150" t="str">
        <f ca="1">IFERROR(VALUE(IF(VLOOKUP($A57,数出表_Excel!$A$6:$T$150,COLUMN()/2+1,FALSE)=0,"",VLOOKUP($A57,数出表_Excel!$A$6:$T$150,COLUMN()/2+1,FALSE))),"")</f>
        <v/>
      </c>
      <c r="AI57" s="77"/>
      <c r="AJ57" s="150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50" t="str">
        <f ca="1">IFERROR(VALUE(IF(VLOOKUP($A59,数出表_Excel!$A$6:$T$150,COLUMN()/2+1,FALSE)=0,"",VLOOKUP($A59,数出表_Excel!$A$6:$T$150,COLUMN()/2+1,FALSE))),"")</f>
        <v/>
      </c>
      <c r="C59" s="61"/>
      <c r="D59" s="150" t="str">
        <f ca="1">IFERROR(VALUE(IF(VLOOKUP($A59,数出表_Excel!$A$6:$T$150,COLUMN()/2+1,FALSE)=0,"",VLOOKUP($A59,数出表_Excel!$A$6:$T$150,COLUMN()/2+1,FALSE))),"")</f>
        <v/>
      </c>
      <c r="E59" s="77"/>
      <c r="F59" s="160" t="str">
        <f ca="1">IFERROR(VALUE(IF(VLOOKUP($A59,数出表_Excel!$A$6:$T$150,COLUMN()/2+1,FALSE)=0,"",VLOOKUP($A59,数出表_Excel!$A$6:$T$150,COLUMN()/2+1,FALSE))),"")</f>
        <v/>
      </c>
      <c r="G59" s="61"/>
      <c r="H59" s="150" t="str">
        <f ca="1">IFERROR(VALUE(IF(VLOOKUP($A59,数出表_Excel!$A$6:$T$150,COLUMN()/2+1,FALSE)=0,"",VLOOKUP($A59,数出表_Excel!$A$6:$T$150,COLUMN()/2+1,FALSE))),"")</f>
        <v/>
      </c>
      <c r="I59" s="77"/>
      <c r="J59" s="160" t="str">
        <f ca="1">IFERROR(VALUE(IF(VLOOKUP($A59,数出表_Excel!$A$6:$T$150,COLUMN()/2+1,FALSE)=0,"",VLOOKUP($A59,数出表_Excel!$A$6:$T$150,COLUMN()/2+1,FALSE))),"")</f>
        <v/>
      </c>
      <c r="K59" s="61"/>
      <c r="L59" s="150" t="str">
        <f ca="1">IFERROR(VALUE(IF(VLOOKUP($A59,数出表_Excel!$A$6:$T$150,COLUMN()/2+1,FALSE)=0,"",VLOOKUP($A59,数出表_Excel!$A$6:$T$150,COLUMN()/2+1,FALSE))),"")</f>
        <v/>
      </c>
      <c r="M59" s="77"/>
      <c r="N59" s="160" t="str">
        <f ca="1">IFERROR(VALUE(IF(VLOOKUP($A59,数出表_Excel!$A$6:$T$150,COLUMN()/2+1,FALSE)=0,"",VLOOKUP($A59,数出表_Excel!$A$6:$T$150,COLUMN()/2+1,FALSE))),"")</f>
        <v/>
      </c>
      <c r="O59" s="61"/>
      <c r="P59" s="150" t="str">
        <f ca="1">IFERROR(VALUE(IF(VLOOKUP($A59,数出表_Excel!$A$6:$T$150,COLUMN()/2+1,FALSE)=0,"",VLOOKUP($A59,数出表_Excel!$A$6:$T$150,COLUMN()/2+1,FALSE))),"")</f>
        <v/>
      </c>
      <c r="Q59" s="77"/>
      <c r="R59" s="160" t="str">
        <f ca="1">IFERROR(VALUE(IF(VLOOKUP($A59,数出表_Excel!$A$6:$T$150,COLUMN()/2+1,FALSE)=0,"",VLOOKUP($A59,数出表_Excel!$A$6:$T$150,COLUMN()/2+1,FALSE))),"")</f>
        <v/>
      </c>
      <c r="S59" s="61"/>
      <c r="T59" s="150" t="str">
        <f ca="1">IFERROR(VALUE(IF(VLOOKUP($A59,数出表_Excel!$A$6:$T$150,COLUMN()/2+1,FALSE)=0,"",VLOOKUP($A59,数出表_Excel!$A$6:$T$150,COLUMN()/2+1,FALSE))),"")</f>
        <v/>
      </c>
      <c r="U59" s="77"/>
      <c r="V59" s="160" t="str">
        <f ca="1">IFERROR(VALUE(IF(VLOOKUP($A59,数出表_Excel!$A$6:$T$150,COLUMN()/2+1,FALSE)=0,"",VLOOKUP($A59,数出表_Excel!$A$6:$T$150,COLUMN()/2+1,FALSE))),"")</f>
        <v/>
      </c>
      <c r="W59" s="61"/>
      <c r="X59" s="150" t="str">
        <f ca="1">IFERROR(VALUE(IF(VLOOKUP($A59,数出表_Excel!$A$6:$T$150,COLUMN()/2+1,FALSE)=0,"",VLOOKUP($A59,数出表_Excel!$A$6:$T$150,COLUMN()/2+1,FALSE))),"")</f>
        <v/>
      </c>
      <c r="Y59" s="77"/>
      <c r="Z59" s="160" t="str">
        <f ca="1">IFERROR(VALUE(IF(VLOOKUP($A59,数出表_Excel!$A$6:$T$150,COLUMN()/2+1,FALSE)=0,"",VLOOKUP($A59,数出表_Excel!$A$6:$T$150,COLUMN()/2+1,FALSE))),"")</f>
        <v/>
      </c>
      <c r="AA59" s="77"/>
      <c r="AB59" s="150" t="str">
        <f ca="1">IFERROR(VALUE(IF(VLOOKUP($A59,数出表_Excel!$A$6:$T$150,COLUMN()/2+1,FALSE)=0,"",VLOOKUP($A59,数出表_Excel!$A$6:$T$150,COLUMN()/2+1,FALSE))),"")</f>
        <v/>
      </c>
      <c r="AC59" s="77"/>
      <c r="AD59" s="150" t="str">
        <f ca="1">IFERROR(VALUE(IF(VLOOKUP($A59,数出表_Excel!$A$6:$T$150,COLUMN()/2+1,FALSE)=0,"",VLOOKUP($A59,数出表_Excel!$A$6:$T$150,COLUMN()/2+1,FALSE))),"")</f>
        <v/>
      </c>
      <c r="AE59" s="77"/>
      <c r="AF59" s="150" t="str">
        <f ca="1">IFERROR(VALUE(IF(VLOOKUP($A59,数出表_Excel!$A$6:$T$150,COLUMN()/2+1,FALSE)=0,"",VLOOKUP($A59,数出表_Excel!$A$6:$T$150,COLUMN()/2+1,FALSE))),"")</f>
        <v/>
      </c>
      <c r="AG59" s="77"/>
      <c r="AH59" s="150" t="str">
        <f ca="1">IFERROR(VALUE(IF(VLOOKUP($A59,数出表_Excel!$A$6:$T$150,COLUMN()/2+1,FALSE)=0,"",VLOOKUP($A59,数出表_Excel!$A$6:$T$150,COLUMN()/2+1,FALSE))),"")</f>
        <v/>
      </c>
      <c r="AI59" s="77"/>
      <c r="AJ59" s="150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/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50" t="str">
        <f ca="1">IFERROR(VALUE(IF(VLOOKUP($A61,数出表_Excel!$A$6:$T$150,COLUMN()/2+1,FALSE)=0,"",VLOOKUP($A61,数出表_Excel!$A$6:$T$150,COLUMN()/2+1,FALSE))),"")</f>
        <v/>
      </c>
      <c r="C61" s="61"/>
      <c r="D61" s="150" t="str">
        <f ca="1">IFERROR(VALUE(IF(VLOOKUP($A61,数出表_Excel!$A$6:$T$150,COLUMN()/2+1,FALSE)=0,"",VLOOKUP($A61,数出表_Excel!$A$6:$T$150,COLUMN()/2+1,FALSE))),"")</f>
        <v/>
      </c>
      <c r="E61" s="77"/>
      <c r="F61" s="160" t="str">
        <f ca="1">IFERROR(VALUE(IF(VLOOKUP($A61,数出表_Excel!$A$6:$T$150,COLUMN()/2+1,FALSE)=0,"",VLOOKUP($A61,数出表_Excel!$A$6:$T$150,COLUMN()/2+1,FALSE))),"")</f>
        <v/>
      </c>
      <c r="G61" s="61"/>
      <c r="H61" s="150" t="str">
        <f ca="1">IFERROR(VALUE(IF(VLOOKUP($A61,数出表_Excel!$A$6:$T$150,COLUMN()/2+1,FALSE)=0,"",VLOOKUP($A61,数出表_Excel!$A$6:$T$150,COLUMN()/2+1,FALSE))),"")</f>
        <v/>
      </c>
      <c r="I61" s="77"/>
      <c r="J61" s="160" t="str">
        <f ca="1">IFERROR(VALUE(IF(VLOOKUP($A61,数出表_Excel!$A$6:$T$150,COLUMN()/2+1,FALSE)=0,"",VLOOKUP($A61,数出表_Excel!$A$6:$T$150,COLUMN()/2+1,FALSE))),"")</f>
        <v/>
      </c>
      <c r="K61" s="61"/>
      <c r="L61" s="150" t="str">
        <f ca="1">IFERROR(VALUE(IF(VLOOKUP($A61,数出表_Excel!$A$6:$T$150,COLUMN()/2+1,FALSE)=0,"",VLOOKUP($A61,数出表_Excel!$A$6:$T$150,COLUMN()/2+1,FALSE))),"")</f>
        <v/>
      </c>
      <c r="M61" s="77"/>
      <c r="N61" s="160" t="str">
        <f ca="1">IFERROR(VALUE(IF(VLOOKUP($A61,数出表_Excel!$A$6:$T$150,COLUMN()/2+1,FALSE)=0,"",VLOOKUP($A61,数出表_Excel!$A$6:$T$150,COLUMN()/2+1,FALSE))),"")</f>
        <v/>
      </c>
      <c r="O61" s="61"/>
      <c r="P61" s="150" t="str">
        <f ca="1">IFERROR(VALUE(IF(VLOOKUP($A61,数出表_Excel!$A$6:$T$150,COLUMN()/2+1,FALSE)=0,"",VLOOKUP($A61,数出表_Excel!$A$6:$T$150,COLUMN()/2+1,FALSE))),"")</f>
        <v/>
      </c>
      <c r="Q61" s="77"/>
      <c r="R61" s="160" t="str">
        <f ca="1">IFERROR(VALUE(IF(VLOOKUP($A61,数出表_Excel!$A$6:$T$150,COLUMN()/2+1,FALSE)=0,"",VLOOKUP($A61,数出表_Excel!$A$6:$T$150,COLUMN()/2+1,FALSE))),"")</f>
        <v/>
      </c>
      <c r="S61" s="61"/>
      <c r="T61" s="150" t="str">
        <f ca="1">IFERROR(VALUE(IF(VLOOKUP($A61,数出表_Excel!$A$6:$T$150,COLUMN()/2+1,FALSE)=0,"",VLOOKUP($A61,数出表_Excel!$A$6:$T$150,COLUMN()/2+1,FALSE))),"")</f>
        <v/>
      </c>
      <c r="U61" s="77"/>
      <c r="V61" s="160" t="str">
        <f ca="1">IFERROR(VALUE(IF(VLOOKUP($A61,数出表_Excel!$A$6:$T$150,COLUMN()/2+1,FALSE)=0,"",VLOOKUP($A61,数出表_Excel!$A$6:$T$150,COLUMN()/2+1,FALSE))),"")</f>
        <v/>
      </c>
      <c r="W61" s="61"/>
      <c r="X61" s="150" t="str">
        <f ca="1">IFERROR(VALUE(IF(VLOOKUP($A61,数出表_Excel!$A$6:$T$150,COLUMN()/2+1,FALSE)=0,"",VLOOKUP($A61,数出表_Excel!$A$6:$T$150,COLUMN()/2+1,FALSE))),"")</f>
        <v/>
      </c>
      <c r="Y61" s="77"/>
      <c r="Z61" s="160" t="str">
        <f ca="1">IFERROR(VALUE(IF(VLOOKUP($A61,数出表_Excel!$A$6:$T$150,COLUMN()/2+1,FALSE)=0,"",VLOOKUP($A61,数出表_Excel!$A$6:$T$150,COLUMN()/2+1,FALSE))),"")</f>
        <v/>
      </c>
      <c r="AA61" s="77"/>
      <c r="AB61" s="150" t="str">
        <f ca="1">IFERROR(VALUE(IF(VLOOKUP($A61,数出表_Excel!$A$6:$T$150,COLUMN()/2+1,FALSE)=0,"",VLOOKUP($A61,数出表_Excel!$A$6:$T$150,COLUMN()/2+1,FALSE))),"")</f>
        <v/>
      </c>
      <c r="AC61" s="77"/>
      <c r="AD61" s="150" t="str">
        <f ca="1">IFERROR(VALUE(IF(VLOOKUP($A61,数出表_Excel!$A$6:$T$150,COLUMN()/2+1,FALSE)=0,"",VLOOKUP($A61,数出表_Excel!$A$6:$T$150,COLUMN()/2+1,FALSE))),"")</f>
        <v/>
      </c>
      <c r="AE61" s="77"/>
      <c r="AF61" s="150" t="str">
        <f ca="1">IFERROR(VALUE(IF(VLOOKUP($A61,数出表_Excel!$A$6:$T$150,COLUMN()/2+1,FALSE)=0,"",VLOOKUP($A61,数出表_Excel!$A$6:$T$150,COLUMN()/2+1,FALSE))),"")</f>
        <v/>
      </c>
      <c r="AG61" s="77"/>
      <c r="AH61" s="150" t="str">
        <f ca="1">IFERROR(VALUE(IF(VLOOKUP($A61,数出表_Excel!$A$6:$T$150,COLUMN()/2+1,FALSE)=0,"",VLOOKUP($A61,数出表_Excel!$A$6:$T$150,COLUMN()/2+1,FALSE))),"")</f>
        <v/>
      </c>
      <c r="AI61" s="77"/>
      <c r="AJ61" s="150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/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50" t="str">
        <f ca="1">IFERROR(VALUE(IF(VLOOKUP($A63,数出表_Excel!$A$6:$T$150,COLUMN()/2+1,FALSE)=0,"",VLOOKUP($A63,数出表_Excel!$A$6:$T$150,COLUMN()/2+1,FALSE))),"")</f>
        <v/>
      </c>
      <c r="C63" s="61"/>
      <c r="D63" s="150" t="str">
        <f ca="1">IFERROR(VALUE(IF(VLOOKUP($A63,数出表_Excel!$A$6:$T$150,COLUMN()/2+1,FALSE)=0,"",VLOOKUP($A63,数出表_Excel!$A$6:$T$150,COLUMN()/2+1,FALSE))),"")</f>
        <v/>
      </c>
      <c r="E63" s="77"/>
      <c r="F63" s="160" t="str">
        <f ca="1">IFERROR(VALUE(IF(VLOOKUP($A63,数出表_Excel!$A$6:$T$150,COLUMN()/2+1,FALSE)=0,"",VLOOKUP($A63,数出表_Excel!$A$6:$T$150,COLUMN()/2+1,FALSE))),"")</f>
        <v/>
      </c>
      <c r="G63" s="61"/>
      <c r="H63" s="150" t="str">
        <f ca="1">IFERROR(VALUE(IF(VLOOKUP($A63,数出表_Excel!$A$6:$T$150,COLUMN()/2+1,FALSE)=0,"",VLOOKUP($A63,数出表_Excel!$A$6:$T$150,COLUMN()/2+1,FALSE))),"")</f>
        <v/>
      </c>
      <c r="I63" s="77"/>
      <c r="J63" s="160" t="str">
        <f ca="1">IFERROR(VALUE(IF(VLOOKUP($A63,数出表_Excel!$A$6:$T$150,COLUMN()/2+1,FALSE)=0,"",VLOOKUP($A63,数出表_Excel!$A$6:$T$150,COLUMN()/2+1,FALSE))),"")</f>
        <v/>
      </c>
      <c r="K63" s="61"/>
      <c r="L63" s="150" t="str">
        <f ca="1">IFERROR(VALUE(IF(VLOOKUP($A63,数出表_Excel!$A$6:$T$150,COLUMN()/2+1,FALSE)=0,"",VLOOKUP($A63,数出表_Excel!$A$6:$T$150,COLUMN()/2+1,FALSE))),"")</f>
        <v/>
      </c>
      <c r="M63" s="77"/>
      <c r="N63" s="160" t="str">
        <f ca="1">IFERROR(VALUE(IF(VLOOKUP($A63,数出表_Excel!$A$6:$T$150,COLUMN()/2+1,FALSE)=0,"",VLOOKUP($A63,数出表_Excel!$A$6:$T$150,COLUMN()/2+1,FALSE))),"")</f>
        <v/>
      </c>
      <c r="O63" s="61"/>
      <c r="P63" s="150" t="str">
        <f ca="1">IFERROR(VALUE(IF(VLOOKUP($A63,数出表_Excel!$A$6:$T$150,COLUMN()/2+1,FALSE)=0,"",VLOOKUP($A63,数出表_Excel!$A$6:$T$150,COLUMN()/2+1,FALSE))),"")</f>
        <v/>
      </c>
      <c r="Q63" s="77"/>
      <c r="R63" s="160" t="str">
        <f ca="1">IFERROR(VALUE(IF(VLOOKUP($A63,数出表_Excel!$A$6:$T$150,COLUMN()/2+1,FALSE)=0,"",VLOOKUP($A63,数出表_Excel!$A$6:$T$150,COLUMN()/2+1,FALSE))),"")</f>
        <v/>
      </c>
      <c r="S63" s="61"/>
      <c r="T63" s="150" t="str">
        <f ca="1">IFERROR(VALUE(IF(VLOOKUP($A63,数出表_Excel!$A$6:$T$150,COLUMN()/2+1,FALSE)=0,"",VLOOKUP($A63,数出表_Excel!$A$6:$T$150,COLUMN()/2+1,FALSE))),"")</f>
        <v/>
      </c>
      <c r="U63" s="77"/>
      <c r="V63" s="160" t="str">
        <f ca="1">IFERROR(VALUE(IF(VLOOKUP($A63,数出表_Excel!$A$6:$T$150,COLUMN()/2+1,FALSE)=0,"",VLOOKUP($A63,数出表_Excel!$A$6:$T$150,COLUMN()/2+1,FALSE))),"")</f>
        <v/>
      </c>
      <c r="W63" s="61"/>
      <c r="X63" s="150" t="str">
        <f ca="1">IFERROR(VALUE(IF(VLOOKUP($A63,数出表_Excel!$A$6:$T$150,COLUMN()/2+1,FALSE)=0,"",VLOOKUP($A63,数出表_Excel!$A$6:$T$150,COLUMN()/2+1,FALSE))),"")</f>
        <v/>
      </c>
      <c r="Y63" s="77"/>
      <c r="Z63" s="160" t="str">
        <f ca="1">IFERROR(VALUE(IF(VLOOKUP($A63,数出表_Excel!$A$6:$T$150,COLUMN()/2+1,FALSE)=0,"",VLOOKUP($A63,数出表_Excel!$A$6:$T$150,COLUMN()/2+1,FALSE))),"")</f>
        <v/>
      </c>
      <c r="AA63" s="77"/>
      <c r="AB63" s="150" t="str">
        <f ca="1">IFERROR(VALUE(IF(VLOOKUP($A63,数出表_Excel!$A$6:$T$150,COLUMN()/2+1,FALSE)=0,"",VLOOKUP($A63,数出表_Excel!$A$6:$T$150,COLUMN()/2+1,FALSE))),"")</f>
        <v/>
      </c>
      <c r="AC63" s="77"/>
      <c r="AD63" s="150" t="str">
        <f ca="1">IFERROR(VALUE(IF(VLOOKUP($A63,数出表_Excel!$A$6:$T$150,COLUMN()/2+1,FALSE)=0,"",VLOOKUP($A63,数出表_Excel!$A$6:$T$150,COLUMN()/2+1,FALSE))),"")</f>
        <v/>
      </c>
      <c r="AE63" s="77"/>
      <c r="AF63" s="150" t="str">
        <f ca="1">IFERROR(VALUE(IF(VLOOKUP($A63,数出表_Excel!$A$6:$T$150,COLUMN()/2+1,FALSE)=0,"",VLOOKUP($A63,数出表_Excel!$A$6:$T$150,COLUMN()/2+1,FALSE))),"")</f>
        <v/>
      </c>
      <c r="AG63" s="77"/>
      <c r="AH63" s="150" t="str">
        <f ca="1">IFERROR(VALUE(IF(VLOOKUP($A63,数出表_Excel!$A$6:$T$150,COLUMN()/2+1,FALSE)=0,"",VLOOKUP($A63,数出表_Excel!$A$6:$T$150,COLUMN()/2+1,FALSE))),"")</f>
        <v/>
      </c>
      <c r="AI63" s="77"/>
      <c r="AJ63" s="150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/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50" t="str">
        <f ca="1">IFERROR(VALUE(IF(VLOOKUP($A65,数出表_Excel!$A$6:$T$150,COLUMN()/2+1,FALSE)=0,"",VLOOKUP($A65,数出表_Excel!$A$6:$T$150,COLUMN()/2+1,FALSE))),"")</f>
        <v/>
      </c>
      <c r="C65" s="61"/>
      <c r="D65" s="150" t="str">
        <f ca="1">IFERROR(VALUE(IF(VLOOKUP($A65,数出表_Excel!$A$6:$T$150,COLUMN()/2+1,FALSE)=0,"",VLOOKUP($A65,数出表_Excel!$A$6:$T$150,COLUMN()/2+1,FALSE))),"")</f>
        <v/>
      </c>
      <c r="E65" s="77"/>
      <c r="F65" s="160" t="str">
        <f ca="1">IFERROR(VALUE(IF(VLOOKUP($A65,数出表_Excel!$A$6:$T$150,COLUMN()/2+1,FALSE)=0,"",VLOOKUP($A65,数出表_Excel!$A$6:$T$150,COLUMN()/2+1,FALSE))),"")</f>
        <v/>
      </c>
      <c r="G65" s="61"/>
      <c r="H65" s="150" t="str">
        <f ca="1">IFERROR(VALUE(IF(VLOOKUP($A65,数出表_Excel!$A$6:$T$150,COLUMN()/2+1,FALSE)=0,"",VLOOKUP($A65,数出表_Excel!$A$6:$T$150,COLUMN()/2+1,FALSE))),"")</f>
        <v/>
      </c>
      <c r="I65" s="77"/>
      <c r="J65" s="160" t="str">
        <f ca="1">IFERROR(VALUE(IF(VLOOKUP($A65,数出表_Excel!$A$6:$T$150,COLUMN()/2+1,FALSE)=0,"",VLOOKUP($A65,数出表_Excel!$A$6:$T$150,COLUMN()/2+1,FALSE))),"")</f>
        <v/>
      </c>
      <c r="K65" s="61"/>
      <c r="L65" s="150" t="str">
        <f ca="1">IFERROR(VALUE(IF(VLOOKUP($A65,数出表_Excel!$A$6:$T$150,COLUMN()/2+1,FALSE)=0,"",VLOOKUP($A65,数出表_Excel!$A$6:$T$150,COLUMN()/2+1,FALSE))),"")</f>
        <v/>
      </c>
      <c r="M65" s="77"/>
      <c r="N65" s="160" t="str">
        <f ca="1">IFERROR(VALUE(IF(VLOOKUP($A65,数出表_Excel!$A$6:$T$150,COLUMN()/2+1,FALSE)=0,"",VLOOKUP($A65,数出表_Excel!$A$6:$T$150,COLUMN()/2+1,FALSE))),"")</f>
        <v/>
      </c>
      <c r="O65" s="61"/>
      <c r="P65" s="150" t="str">
        <f ca="1">IFERROR(VALUE(IF(VLOOKUP($A65,数出表_Excel!$A$6:$T$150,COLUMN()/2+1,FALSE)=0,"",VLOOKUP($A65,数出表_Excel!$A$6:$T$150,COLUMN()/2+1,FALSE))),"")</f>
        <v/>
      </c>
      <c r="Q65" s="77"/>
      <c r="R65" s="160" t="str">
        <f ca="1">IFERROR(VALUE(IF(VLOOKUP($A65,数出表_Excel!$A$6:$T$150,COLUMN()/2+1,FALSE)=0,"",VLOOKUP($A65,数出表_Excel!$A$6:$T$150,COLUMN()/2+1,FALSE))),"")</f>
        <v/>
      </c>
      <c r="S65" s="61"/>
      <c r="T65" s="150" t="str">
        <f ca="1">IFERROR(VALUE(IF(VLOOKUP($A65,数出表_Excel!$A$6:$T$150,COLUMN()/2+1,FALSE)=0,"",VLOOKUP($A65,数出表_Excel!$A$6:$T$150,COLUMN()/2+1,FALSE))),"")</f>
        <v/>
      </c>
      <c r="U65" s="77"/>
      <c r="V65" s="160" t="str">
        <f ca="1">IFERROR(VALUE(IF(VLOOKUP($A65,数出表_Excel!$A$6:$T$150,COLUMN()/2+1,FALSE)=0,"",VLOOKUP($A65,数出表_Excel!$A$6:$T$150,COLUMN()/2+1,FALSE))),"")</f>
        <v/>
      </c>
      <c r="W65" s="61"/>
      <c r="X65" s="150" t="str">
        <f ca="1">IFERROR(VALUE(IF(VLOOKUP($A65,数出表_Excel!$A$6:$T$150,COLUMN()/2+1,FALSE)=0,"",VLOOKUP($A65,数出表_Excel!$A$6:$T$150,COLUMN()/2+1,FALSE))),"")</f>
        <v/>
      </c>
      <c r="Y65" s="77"/>
      <c r="Z65" s="160" t="str">
        <f ca="1">IFERROR(VALUE(IF(VLOOKUP($A65,数出表_Excel!$A$6:$T$150,COLUMN()/2+1,FALSE)=0,"",VLOOKUP($A65,数出表_Excel!$A$6:$T$150,COLUMN()/2+1,FALSE))),"")</f>
        <v/>
      </c>
      <c r="AA65" s="77"/>
      <c r="AB65" s="150" t="str">
        <f ca="1">IFERROR(VALUE(IF(VLOOKUP($A65,数出表_Excel!$A$6:$T$150,COLUMN()/2+1,FALSE)=0,"",VLOOKUP($A65,数出表_Excel!$A$6:$T$150,COLUMN()/2+1,FALSE))),"")</f>
        <v/>
      </c>
      <c r="AC65" s="77"/>
      <c r="AD65" s="150" t="str">
        <f ca="1">IFERROR(VALUE(IF(VLOOKUP($A65,数出表_Excel!$A$6:$T$150,COLUMN()/2+1,FALSE)=0,"",VLOOKUP($A65,数出表_Excel!$A$6:$T$150,COLUMN()/2+1,FALSE))),"")</f>
        <v/>
      </c>
      <c r="AE65" s="77"/>
      <c r="AF65" s="150" t="str">
        <f ca="1">IFERROR(VALUE(IF(VLOOKUP($A65,数出表_Excel!$A$6:$T$150,COLUMN()/2+1,FALSE)=0,"",VLOOKUP($A65,数出表_Excel!$A$6:$T$150,COLUMN()/2+1,FALSE))),"")</f>
        <v/>
      </c>
      <c r="AG65" s="77"/>
      <c r="AH65" s="150" t="str">
        <f ca="1">IFERROR(VALUE(IF(VLOOKUP($A65,数出表_Excel!$A$6:$T$150,COLUMN()/2+1,FALSE)=0,"",VLOOKUP($A65,数出表_Excel!$A$6:$T$150,COLUMN()/2+1,FALSE))),"")</f>
        <v/>
      </c>
      <c r="AI65" s="77"/>
      <c r="AJ65" s="150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/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50" t="str">
        <f ca="1">IFERROR(VALUE(IF(VLOOKUP($A67,数出表_Excel!$A$6:$T$150,COLUMN()/2+1,FALSE)=0,"",VLOOKUP($A67,数出表_Excel!$A$6:$T$150,COLUMN()/2+1,FALSE))),"")</f>
        <v/>
      </c>
      <c r="C67" s="61"/>
      <c r="D67" s="150" t="str">
        <f ca="1">IFERROR(VALUE(IF(VLOOKUP($A67,数出表_Excel!$A$6:$T$150,COLUMN()/2+1,FALSE)=0,"",VLOOKUP($A67,数出表_Excel!$A$6:$T$150,COLUMN()/2+1,FALSE))),"")</f>
        <v/>
      </c>
      <c r="E67" s="77"/>
      <c r="F67" s="160" t="str">
        <f ca="1">IFERROR(VALUE(IF(VLOOKUP($A67,数出表_Excel!$A$6:$T$150,COLUMN()/2+1,FALSE)=0,"",VLOOKUP($A67,数出表_Excel!$A$6:$T$150,COLUMN()/2+1,FALSE))),"")</f>
        <v/>
      </c>
      <c r="G67" s="61"/>
      <c r="H67" s="150" t="str">
        <f ca="1">IFERROR(VALUE(IF(VLOOKUP($A67,数出表_Excel!$A$6:$T$150,COLUMN()/2+1,FALSE)=0,"",VLOOKUP($A67,数出表_Excel!$A$6:$T$150,COLUMN()/2+1,FALSE))),"")</f>
        <v/>
      </c>
      <c r="I67" s="77"/>
      <c r="J67" s="160" t="str">
        <f ca="1">IFERROR(VALUE(IF(VLOOKUP($A67,数出表_Excel!$A$6:$T$150,COLUMN()/2+1,FALSE)=0,"",VLOOKUP($A67,数出表_Excel!$A$6:$T$150,COLUMN()/2+1,FALSE))),"")</f>
        <v/>
      </c>
      <c r="K67" s="61"/>
      <c r="L67" s="150" t="str">
        <f ca="1">IFERROR(VALUE(IF(VLOOKUP($A67,数出表_Excel!$A$6:$T$150,COLUMN()/2+1,FALSE)=0,"",VLOOKUP($A67,数出表_Excel!$A$6:$T$150,COLUMN()/2+1,FALSE))),"")</f>
        <v/>
      </c>
      <c r="M67" s="77"/>
      <c r="N67" s="160" t="str">
        <f ca="1">IFERROR(VALUE(IF(VLOOKUP($A67,数出表_Excel!$A$6:$T$150,COLUMN()/2+1,FALSE)=0,"",VLOOKUP($A67,数出表_Excel!$A$6:$T$150,COLUMN()/2+1,FALSE))),"")</f>
        <v/>
      </c>
      <c r="O67" s="61"/>
      <c r="P67" s="150" t="str">
        <f ca="1">IFERROR(VALUE(IF(VLOOKUP($A67,数出表_Excel!$A$6:$T$150,COLUMN()/2+1,FALSE)=0,"",VLOOKUP($A67,数出表_Excel!$A$6:$T$150,COLUMN()/2+1,FALSE))),"")</f>
        <v/>
      </c>
      <c r="Q67" s="77"/>
      <c r="R67" s="160" t="str">
        <f ca="1">IFERROR(VALUE(IF(VLOOKUP($A67,数出表_Excel!$A$6:$T$150,COLUMN()/2+1,FALSE)=0,"",VLOOKUP($A67,数出表_Excel!$A$6:$T$150,COLUMN()/2+1,FALSE))),"")</f>
        <v/>
      </c>
      <c r="S67" s="61"/>
      <c r="T67" s="150" t="str">
        <f ca="1">IFERROR(VALUE(IF(VLOOKUP($A67,数出表_Excel!$A$6:$T$150,COLUMN()/2+1,FALSE)=0,"",VLOOKUP($A67,数出表_Excel!$A$6:$T$150,COLUMN()/2+1,FALSE))),"")</f>
        <v/>
      </c>
      <c r="U67" s="77"/>
      <c r="V67" s="160" t="str">
        <f ca="1">IFERROR(VALUE(IF(VLOOKUP($A67,数出表_Excel!$A$6:$T$150,COLUMN()/2+1,FALSE)=0,"",VLOOKUP($A67,数出表_Excel!$A$6:$T$150,COLUMN()/2+1,FALSE))),"")</f>
        <v/>
      </c>
      <c r="W67" s="61"/>
      <c r="X67" s="150" t="str">
        <f ca="1">IFERROR(VALUE(IF(VLOOKUP($A67,数出表_Excel!$A$6:$T$150,COLUMN()/2+1,FALSE)=0,"",VLOOKUP($A67,数出表_Excel!$A$6:$T$150,COLUMN()/2+1,FALSE))),"")</f>
        <v/>
      </c>
      <c r="Y67" s="77"/>
      <c r="Z67" s="160" t="str">
        <f ca="1">IFERROR(VALUE(IF(VLOOKUP($A67,数出表_Excel!$A$6:$T$150,COLUMN()/2+1,FALSE)=0,"",VLOOKUP($A67,数出表_Excel!$A$6:$T$150,COLUMN()/2+1,FALSE))),"")</f>
        <v/>
      </c>
      <c r="AA67" s="77"/>
      <c r="AB67" s="150" t="str">
        <f ca="1">IFERROR(VALUE(IF(VLOOKUP($A67,数出表_Excel!$A$6:$T$150,COLUMN()/2+1,FALSE)=0,"",VLOOKUP($A67,数出表_Excel!$A$6:$T$150,COLUMN()/2+1,FALSE))),"")</f>
        <v/>
      </c>
      <c r="AC67" s="77"/>
      <c r="AD67" s="150" t="str">
        <f ca="1">IFERROR(VALUE(IF(VLOOKUP($A67,数出表_Excel!$A$6:$T$150,COLUMN()/2+1,FALSE)=0,"",VLOOKUP($A67,数出表_Excel!$A$6:$T$150,COLUMN()/2+1,FALSE))),"")</f>
        <v/>
      </c>
      <c r="AE67" s="77"/>
      <c r="AF67" s="150" t="str">
        <f ca="1">IFERROR(VALUE(IF(VLOOKUP($A67,数出表_Excel!$A$6:$T$150,COLUMN()/2+1,FALSE)=0,"",VLOOKUP($A67,数出表_Excel!$A$6:$T$150,COLUMN()/2+1,FALSE))),"")</f>
        <v/>
      </c>
      <c r="AG67" s="77"/>
      <c r="AH67" s="150" t="str">
        <f ca="1">IFERROR(VALUE(IF(VLOOKUP($A67,数出表_Excel!$A$6:$T$150,COLUMN()/2+1,FALSE)=0,"",VLOOKUP($A67,数出表_Excel!$A$6:$T$150,COLUMN()/2+1,FALSE))),"")</f>
        <v/>
      </c>
      <c r="AI67" s="77"/>
      <c r="AJ67" s="150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50" t="str">
        <f ca="1">IFERROR(VALUE(IF(VLOOKUP($A69,数出表_Excel!$A$6:$T$150,COLUMN()/2+1,FALSE)=0,"",VLOOKUP($A69,数出表_Excel!$A$6:$T$150,COLUMN()/2+1,FALSE))),"")</f>
        <v/>
      </c>
      <c r="C69" s="61"/>
      <c r="D69" s="150" t="str">
        <f ca="1">IFERROR(VALUE(IF(VLOOKUP($A69,数出表_Excel!$A$6:$T$150,COLUMN()/2+1,FALSE)=0,"",VLOOKUP($A69,数出表_Excel!$A$6:$T$150,COLUMN()/2+1,FALSE))),"")</f>
        <v/>
      </c>
      <c r="E69" s="77"/>
      <c r="F69" s="160" t="str">
        <f ca="1">IFERROR(VALUE(IF(VLOOKUP($A69,数出表_Excel!$A$6:$T$150,COLUMN()/2+1,FALSE)=0,"",VLOOKUP($A69,数出表_Excel!$A$6:$T$150,COLUMN()/2+1,FALSE))),"")</f>
        <v/>
      </c>
      <c r="G69" s="61"/>
      <c r="H69" s="150" t="str">
        <f ca="1">IFERROR(VALUE(IF(VLOOKUP($A69,数出表_Excel!$A$6:$T$150,COLUMN()/2+1,FALSE)=0,"",VLOOKUP($A69,数出表_Excel!$A$6:$T$150,COLUMN()/2+1,FALSE))),"")</f>
        <v/>
      </c>
      <c r="I69" s="77"/>
      <c r="J69" s="160" t="str">
        <f ca="1">IFERROR(VALUE(IF(VLOOKUP($A69,数出表_Excel!$A$6:$T$150,COLUMN()/2+1,FALSE)=0,"",VLOOKUP($A69,数出表_Excel!$A$6:$T$150,COLUMN()/2+1,FALSE))),"")</f>
        <v/>
      </c>
      <c r="K69" s="61"/>
      <c r="L69" s="150" t="str">
        <f ca="1">IFERROR(VALUE(IF(VLOOKUP($A69,数出表_Excel!$A$6:$T$150,COLUMN()/2+1,FALSE)=0,"",VLOOKUP($A69,数出表_Excel!$A$6:$T$150,COLUMN()/2+1,FALSE))),"")</f>
        <v/>
      </c>
      <c r="M69" s="77"/>
      <c r="N69" s="160" t="str">
        <f ca="1">IFERROR(VALUE(IF(VLOOKUP($A69,数出表_Excel!$A$6:$T$150,COLUMN()/2+1,FALSE)=0,"",VLOOKUP($A69,数出表_Excel!$A$6:$T$150,COLUMN()/2+1,FALSE))),"")</f>
        <v/>
      </c>
      <c r="O69" s="61"/>
      <c r="P69" s="150" t="str">
        <f ca="1">IFERROR(VALUE(IF(VLOOKUP($A69,数出表_Excel!$A$6:$T$150,COLUMN()/2+1,FALSE)=0,"",VLOOKUP($A69,数出表_Excel!$A$6:$T$150,COLUMN()/2+1,FALSE))),"")</f>
        <v/>
      </c>
      <c r="Q69" s="77"/>
      <c r="R69" s="160" t="str">
        <f ca="1">IFERROR(VALUE(IF(VLOOKUP($A69,数出表_Excel!$A$6:$T$150,COLUMN()/2+1,FALSE)=0,"",VLOOKUP($A69,数出表_Excel!$A$6:$T$150,COLUMN()/2+1,FALSE))),"")</f>
        <v/>
      </c>
      <c r="S69" s="61"/>
      <c r="T69" s="150" t="str">
        <f ca="1">IFERROR(VALUE(IF(VLOOKUP($A69,数出表_Excel!$A$6:$T$150,COLUMN()/2+1,FALSE)=0,"",VLOOKUP($A69,数出表_Excel!$A$6:$T$150,COLUMN()/2+1,FALSE))),"")</f>
        <v/>
      </c>
      <c r="U69" s="77"/>
      <c r="V69" s="160" t="str">
        <f ca="1">IFERROR(VALUE(IF(VLOOKUP($A69,数出表_Excel!$A$6:$T$150,COLUMN()/2+1,FALSE)=0,"",VLOOKUP($A69,数出表_Excel!$A$6:$T$150,COLUMN()/2+1,FALSE))),"")</f>
        <v/>
      </c>
      <c r="W69" s="61"/>
      <c r="X69" s="150" t="str">
        <f ca="1">IFERROR(VALUE(IF(VLOOKUP($A69,数出表_Excel!$A$6:$T$150,COLUMN()/2+1,FALSE)=0,"",VLOOKUP($A69,数出表_Excel!$A$6:$T$150,COLUMN()/2+1,FALSE))),"")</f>
        <v/>
      </c>
      <c r="Y69" s="77"/>
      <c r="Z69" s="160" t="str">
        <f ca="1">IFERROR(VALUE(IF(VLOOKUP($A69,数出表_Excel!$A$6:$T$150,COLUMN()/2+1,FALSE)=0,"",VLOOKUP($A69,数出表_Excel!$A$6:$T$150,COLUMN()/2+1,FALSE))),"")</f>
        <v/>
      </c>
      <c r="AA69" s="77"/>
      <c r="AB69" s="150" t="str">
        <f ca="1">IFERROR(VALUE(IF(VLOOKUP($A69,数出表_Excel!$A$6:$T$150,COLUMN()/2+1,FALSE)=0,"",VLOOKUP($A69,数出表_Excel!$A$6:$T$150,COLUMN()/2+1,FALSE))),"")</f>
        <v/>
      </c>
      <c r="AC69" s="77"/>
      <c r="AD69" s="150" t="str">
        <f ca="1">IFERROR(VALUE(IF(VLOOKUP($A69,数出表_Excel!$A$6:$T$150,COLUMN()/2+1,FALSE)=0,"",VLOOKUP($A69,数出表_Excel!$A$6:$T$150,COLUMN()/2+1,FALSE))),"")</f>
        <v/>
      </c>
      <c r="AE69" s="77"/>
      <c r="AF69" s="150" t="str">
        <f ca="1">IFERROR(VALUE(IF(VLOOKUP($A69,数出表_Excel!$A$6:$T$150,COLUMN()/2+1,FALSE)=0,"",VLOOKUP($A69,数出表_Excel!$A$6:$T$150,COLUMN()/2+1,FALSE))),"")</f>
        <v/>
      </c>
      <c r="AG69" s="77"/>
      <c r="AH69" s="150" t="str">
        <f ca="1">IFERROR(VALUE(IF(VLOOKUP($A69,数出表_Excel!$A$6:$T$150,COLUMN()/2+1,FALSE)=0,"",VLOOKUP($A69,数出表_Excel!$A$6:$T$150,COLUMN()/2+1,FALSE))),"")</f>
        <v/>
      </c>
      <c r="AI69" s="77"/>
      <c r="AJ69" s="150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83" t="str">
        <f ca="1">IFERROR(VALUE(IF(VLOOKUP($A70,数出表_Excel!$A$6:$T$150,COLUMN()/2+1,FALSE)=0,"",VLOOKUP($A70,数出表_Excel!$A$6:$T$150,COLUMN()/2+1,FALSE))),"")</f>
        <v/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50" t="str">
        <f ca="1">IFERROR(VALUE(IF(VLOOKUP($A71,数出表_Excel!$A$6:$T$150,COLUMN()/2+1,FALSE)=0,"",VLOOKUP($A71,数出表_Excel!$A$6:$T$150,COLUMN()/2+1,FALSE))),"")</f>
        <v/>
      </c>
      <c r="C71" s="61"/>
      <c r="D71" s="150" t="str">
        <f ca="1">IFERROR(VALUE(IF(VLOOKUP($A71,数出表_Excel!$A$6:$T$150,COLUMN()/2+1,FALSE)=0,"",VLOOKUP($A71,数出表_Excel!$A$6:$T$150,COLUMN()/2+1,FALSE))),"")</f>
        <v/>
      </c>
      <c r="E71" s="77"/>
      <c r="F71" s="160" t="str">
        <f ca="1">IFERROR(VALUE(IF(VLOOKUP($A71,数出表_Excel!$A$6:$T$150,COLUMN()/2+1,FALSE)=0,"",VLOOKUP($A71,数出表_Excel!$A$6:$T$150,COLUMN()/2+1,FALSE))),"")</f>
        <v/>
      </c>
      <c r="G71" s="61"/>
      <c r="H71" s="150" t="str">
        <f ca="1">IFERROR(VALUE(IF(VLOOKUP($A71,数出表_Excel!$A$6:$T$150,COLUMN()/2+1,FALSE)=0,"",VLOOKUP($A71,数出表_Excel!$A$6:$T$150,COLUMN()/2+1,FALSE))),"")</f>
        <v/>
      </c>
      <c r="I71" s="77"/>
      <c r="J71" s="160" t="str">
        <f ca="1">IFERROR(VALUE(IF(VLOOKUP($A71,数出表_Excel!$A$6:$T$150,COLUMN()/2+1,FALSE)=0,"",VLOOKUP($A71,数出表_Excel!$A$6:$T$150,COLUMN()/2+1,FALSE))),"")</f>
        <v/>
      </c>
      <c r="K71" s="61"/>
      <c r="L71" s="150" t="str">
        <f ca="1">IFERROR(VALUE(IF(VLOOKUP($A71,数出表_Excel!$A$6:$T$150,COLUMN()/2+1,FALSE)=0,"",VLOOKUP($A71,数出表_Excel!$A$6:$T$150,COLUMN()/2+1,FALSE))),"")</f>
        <v/>
      </c>
      <c r="M71" s="77"/>
      <c r="N71" s="160" t="str">
        <f ca="1">IFERROR(VALUE(IF(VLOOKUP($A71,数出表_Excel!$A$6:$T$150,COLUMN()/2+1,FALSE)=0,"",VLOOKUP($A71,数出表_Excel!$A$6:$T$150,COLUMN()/2+1,FALSE))),"")</f>
        <v/>
      </c>
      <c r="O71" s="61"/>
      <c r="P71" s="150" t="str">
        <f ca="1">IFERROR(VALUE(IF(VLOOKUP($A71,数出表_Excel!$A$6:$T$150,COLUMN()/2+1,FALSE)=0,"",VLOOKUP($A71,数出表_Excel!$A$6:$T$150,COLUMN()/2+1,FALSE))),"")</f>
        <v/>
      </c>
      <c r="Q71" s="77"/>
      <c r="R71" s="160" t="str">
        <f ca="1">IFERROR(VALUE(IF(VLOOKUP($A71,数出表_Excel!$A$6:$T$150,COLUMN()/2+1,FALSE)=0,"",VLOOKUP($A71,数出表_Excel!$A$6:$T$150,COLUMN()/2+1,FALSE))),"")</f>
        <v/>
      </c>
      <c r="S71" s="61"/>
      <c r="T71" s="150" t="str">
        <f ca="1">IFERROR(VALUE(IF(VLOOKUP($A71,数出表_Excel!$A$6:$T$150,COLUMN()/2+1,FALSE)=0,"",VLOOKUP($A71,数出表_Excel!$A$6:$T$150,COLUMN()/2+1,FALSE))),"")</f>
        <v/>
      </c>
      <c r="U71" s="77"/>
      <c r="V71" s="160" t="str">
        <f ca="1">IFERROR(VALUE(IF(VLOOKUP($A71,数出表_Excel!$A$6:$T$150,COLUMN()/2+1,FALSE)=0,"",VLOOKUP($A71,数出表_Excel!$A$6:$T$150,COLUMN()/2+1,FALSE))),"")</f>
        <v/>
      </c>
      <c r="W71" s="61"/>
      <c r="X71" s="150" t="str">
        <f ca="1">IFERROR(VALUE(IF(VLOOKUP($A71,数出表_Excel!$A$6:$T$150,COLUMN()/2+1,FALSE)=0,"",VLOOKUP($A71,数出表_Excel!$A$6:$T$150,COLUMN()/2+1,FALSE))),"")</f>
        <v/>
      </c>
      <c r="Y71" s="77"/>
      <c r="Z71" s="160" t="str">
        <f ca="1">IFERROR(VALUE(IF(VLOOKUP($A71,数出表_Excel!$A$6:$T$150,COLUMN()/2+1,FALSE)=0,"",VLOOKUP($A71,数出表_Excel!$A$6:$T$150,COLUMN()/2+1,FALSE))),"")</f>
        <v/>
      </c>
      <c r="AA71" s="77"/>
      <c r="AB71" s="150" t="str">
        <f ca="1">IFERROR(VALUE(IF(VLOOKUP($A71,数出表_Excel!$A$6:$T$150,COLUMN()/2+1,FALSE)=0,"",VLOOKUP($A71,数出表_Excel!$A$6:$T$150,COLUMN()/2+1,FALSE))),"")</f>
        <v/>
      </c>
      <c r="AC71" s="77"/>
      <c r="AD71" s="150" t="str">
        <f ca="1">IFERROR(VALUE(IF(VLOOKUP($A71,数出表_Excel!$A$6:$T$150,COLUMN()/2+1,FALSE)=0,"",VLOOKUP($A71,数出表_Excel!$A$6:$T$150,COLUMN()/2+1,FALSE))),"")</f>
        <v/>
      </c>
      <c r="AE71" s="77"/>
      <c r="AF71" s="150" t="str">
        <f ca="1">IFERROR(VALUE(IF(VLOOKUP($A71,数出表_Excel!$A$6:$T$150,COLUMN()/2+1,FALSE)=0,"",VLOOKUP($A71,数出表_Excel!$A$6:$T$150,COLUMN()/2+1,FALSE))),"")</f>
        <v/>
      </c>
      <c r="AG71" s="77"/>
      <c r="AH71" s="150" t="str">
        <f ca="1">IFERROR(VALUE(IF(VLOOKUP($A71,数出表_Excel!$A$6:$T$150,COLUMN()/2+1,FALSE)=0,"",VLOOKUP($A71,数出表_Excel!$A$6:$T$150,COLUMN()/2+1,FALSE))),"")</f>
        <v/>
      </c>
      <c r="AI71" s="77"/>
      <c r="AJ71" s="150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50" t="str">
        <f ca="1">IFERROR(VALUE(IF(VLOOKUP($A73,数出表_Excel!$A$6:$T$150,COLUMN()/2+1,FALSE)=0,"",VLOOKUP($A73,数出表_Excel!$A$6:$T$150,COLUMN()/2+1,FALSE))),"")</f>
        <v/>
      </c>
      <c r="C73" s="61"/>
      <c r="D73" s="150" t="str">
        <f ca="1">IFERROR(VALUE(IF(VLOOKUP($A73,数出表_Excel!$A$6:$T$150,COLUMN()/2+1,FALSE)=0,"",VLOOKUP($A73,数出表_Excel!$A$6:$T$150,COLUMN()/2+1,FALSE))),"")</f>
        <v/>
      </c>
      <c r="E73" s="77"/>
      <c r="F73" s="160" t="str">
        <f ca="1">IFERROR(VALUE(IF(VLOOKUP($A73,数出表_Excel!$A$6:$T$150,COLUMN()/2+1,FALSE)=0,"",VLOOKUP($A73,数出表_Excel!$A$6:$T$150,COLUMN()/2+1,FALSE))),"")</f>
        <v/>
      </c>
      <c r="G73" s="61"/>
      <c r="H73" s="150" t="str">
        <f ca="1">IFERROR(VALUE(IF(VLOOKUP($A73,数出表_Excel!$A$6:$T$150,COLUMN()/2+1,FALSE)=0,"",VLOOKUP($A73,数出表_Excel!$A$6:$T$150,COLUMN()/2+1,FALSE))),"")</f>
        <v/>
      </c>
      <c r="I73" s="77"/>
      <c r="J73" s="160" t="str">
        <f ca="1">IFERROR(VALUE(IF(VLOOKUP($A73,数出表_Excel!$A$6:$T$150,COLUMN()/2+1,FALSE)=0,"",VLOOKUP($A73,数出表_Excel!$A$6:$T$150,COLUMN()/2+1,FALSE))),"")</f>
        <v/>
      </c>
      <c r="K73" s="61"/>
      <c r="L73" s="150" t="str">
        <f ca="1">IFERROR(VALUE(IF(VLOOKUP($A73,数出表_Excel!$A$6:$T$150,COLUMN()/2+1,FALSE)=0,"",VLOOKUP($A73,数出表_Excel!$A$6:$T$150,COLUMN()/2+1,FALSE))),"")</f>
        <v/>
      </c>
      <c r="M73" s="77"/>
      <c r="N73" s="160" t="str">
        <f ca="1">IFERROR(VALUE(IF(VLOOKUP($A73,数出表_Excel!$A$6:$T$150,COLUMN()/2+1,FALSE)=0,"",VLOOKUP($A73,数出表_Excel!$A$6:$T$150,COLUMN()/2+1,FALSE))),"")</f>
        <v/>
      </c>
      <c r="O73" s="61"/>
      <c r="P73" s="150" t="str">
        <f ca="1">IFERROR(VALUE(IF(VLOOKUP($A73,数出表_Excel!$A$6:$T$150,COLUMN()/2+1,FALSE)=0,"",VLOOKUP($A73,数出表_Excel!$A$6:$T$150,COLUMN()/2+1,FALSE))),"")</f>
        <v/>
      </c>
      <c r="Q73" s="77"/>
      <c r="R73" s="160" t="str">
        <f ca="1">IFERROR(VALUE(IF(VLOOKUP($A73,数出表_Excel!$A$6:$T$150,COLUMN()/2+1,FALSE)=0,"",VLOOKUP($A73,数出表_Excel!$A$6:$T$150,COLUMN()/2+1,FALSE))),"")</f>
        <v/>
      </c>
      <c r="S73" s="61"/>
      <c r="T73" s="150" t="str">
        <f ca="1">IFERROR(VALUE(IF(VLOOKUP($A73,数出表_Excel!$A$6:$T$150,COLUMN()/2+1,FALSE)=0,"",VLOOKUP($A73,数出表_Excel!$A$6:$T$150,COLUMN()/2+1,FALSE))),"")</f>
        <v/>
      </c>
      <c r="U73" s="77"/>
      <c r="V73" s="160" t="str">
        <f ca="1">IFERROR(VALUE(IF(VLOOKUP($A73,数出表_Excel!$A$6:$T$150,COLUMN()/2+1,FALSE)=0,"",VLOOKUP($A73,数出表_Excel!$A$6:$T$150,COLUMN()/2+1,FALSE))),"")</f>
        <v/>
      </c>
      <c r="W73" s="61"/>
      <c r="X73" s="150" t="str">
        <f ca="1">IFERROR(VALUE(IF(VLOOKUP($A73,数出表_Excel!$A$6:$T$150,COLUMN()/2+1,FALSE)=0,"",VLOOKUP($A73,数出表_Excel!$A$6:$T$150,COLUMN()/2+1,FALSE))),"")</f>
        <v/>
      </c>
      <c r="Y73" s="77"/>
      <c r="Z73" s="160" t="str">
        <f ca="1">IFERROR(VALUE(IF(VLOOKUP($A73,数出表_Excel!$A$6:$T$150,COLUMN()/2+1,FALSE)=0,"",VLOOKUP($A73,数出表_Excel!$A$6:$T$150,COLUMN()/2+1,FALSE))),"")</f>
        <v/>
      </c>
      <c r="AA73" s="77"/>
      <c r="AB73" s="150" t="str">
        <f ca="1">IFERROR(VALUE(IF(VLOOKUP($A73,数出表_Excel!$A$6:$T$150,COLUMN()/2+1,FALSE)=0,"",VLOOKUP($A73,数出表_Excel!$A$6:$T$150,COLUMN()/2+1,FALSE))),"")</f>
        <v/>
      </c>
      <c r="AC73" s="77"/>
      <c r="AD73" s="150" t="str">
        <f ca="1">IFERROR(VALUE(IF(VLOOKUP($A73,数出表_Excel!$A$6:$T$150,COLUMN()/2+1,FALSE)=0,"",VLOOKUP($A73,数出表_Excel!$A$6:$T$150,COLUMN()/2+1,FALSE))),"")</f>
        <v/>
      </c>
      <c r="AE73" s="77"/>
      <c r="AF73" s="150" t="str">
        <f ca="1">IFERROR(VALUE(IF(VLOOKUP($A73,数出表_Excel!$A$6:$T$150,COLUMN()/2+1,FALSE)=0,"",VLOOKUP($A73,数出表_Excel!$A$6:$T$150,COLUMN()/2+1,FALSE))),"")</f>
        <v/>
      </c>
      <c r="AG73" s="77"/>
      <c r="AH73" s="150" t="str">
        <f ca="1">IFERROR(VALUE(IF(VLOOKUP($A73,数出表_Excel!$A$6:$T$150,COLUMN()/2+1,FALSE)=0,"",VLOOKUP($A73,数出表_Excel!$A$6:$T$150,COLUMN()/2+1,FALSE))),"")</f>
        <v/>
      </c>
      <c r="AI73" s="77"/>
      <c r="AJ73" s="150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50" t="str">
        <f ca="1">IFERROR(VALUE(IF(VLOOKUP($A75,数出表_Excel!$A$6:$T$150,COLUMN()/2+1,FALSE)=0,"",VLOOKUP($A75,数出表_Excel!$A$6:$T$150,COLUMN()/2+1,FALSE))),"")</f>
        <v/>
      </c>
      <c r="C75" s="61"/>
      <c r="D75" s="150" t="str">
        <f ca="1">IFERROR(VALUE(IF(VLOOKUP($A75,数出表_Excel!$A$6:$T$150,COLUMN()/2+1,FALSE)=0,"",VLOOKUP($A75,数出表_Excel!$A$6:$T$150,COLUMN()/2+1,FALSE))),"")</f>
        <v/>
      </c>
      <c r="E75" s="77"/>
      <c r="F75" s="160" t="str">
        <f ca="1">IFERROR(VALUE(IF(VLOOKUP($A75,数出表_Excel!$A$6:$T$150,COLUMN()/2+1,FALSE)=0,"",VLOOKUP($A75,数出表_Excel!$A$6:$T$150,COLUMN()/2+1,FALSE))),"")</f>
        <v/>
      </c>
      <c r="G75" s="61"/>
      <c r="H75" s="150" t="str">
        <f ca="1">IFERROR(VALUE(IF(VLOOKUP($A75,数出表_Excel!$A$6:$T$150,COLUMN()/2+1,FALSE)=0,"",VLOOKUP($A75,数出表_Excel!$A$6:$T$150,COLUMN()/2+1,FALSE))),"")</f>
        <v/>
      </c>
      <c r="I75" s="77"/>
      <c r="J75" s="160" t="str">
        <f ca="1">IFERROR(VALUE(IF(VLOOKUP($A75,数出表_Excel!$A$6:$T$150,COLUMN()/2+1,FALSE)=0,"",VLOOKUP($A75,数出表_Excel!$A$6:$T$150,COLUMN()/2+1,FALSE))),"")</f>
        <v/>
      </c>
      <c r="K75" s="61"/>
      <c r="L75" s="150" t="str">
        <f ca="1">IFERROR(VALUE(IF(VLOOKUP($A75,数出表_Excel!$A$6:$T$150,COLUMN()/2+1,FALSE)=0,"",VLOOKUP($A75,数出表_Excel!$A$6:$T$150,COLUMN()/2+1,FALSE))),"")</f>
        <v/>
      </c>
      <c r="M75" s="77"/>
      <c r="N75" s="160" t="str">
        <f ca="1">IFERROR(VALUE(IF(VLOOKUP($A75,数出表_Excel!$A$6:$T$150,COLUMN()/2+1,FALSE)=0,"",VLOOKUP($A75,数出表_Excel!$A$6:$T$150,COLUMN()/2+1,FALSE))),"")</f>
        <v/>
      </c>
      <c r="O75" s="61"/>
      <c r="P75" s="150" t="str">
        <f ca="1">IFERROR(VALUE(IF(VLOOKUP($A75,数出表_Excel!$A$6:$T$150,COLUMN()/2+1,FALSE)=0,"",VLOOKUP($A75,数出表_Excel!$A$6:$T$150,COLUMN()/2+1,FALSE))),"")</f>
        <v/>
      </c>
      <c r="Q75" s="77"/>
      <c r="R75" s="160" t="str">
        <f ca="1">IFERROR(VALUE(IF(VLOOKUP($A75,数出表_Excel!$A$6:$T$150,COLUMN()/2+1,FALSE)=0,"",VLOOKUP($A75,数出表_Excel!$A$6:$T$150,COLUMN()/2+1,FALSE))),"")</f>
        <v/>
      </c>
      <c r="S75" s="61"/>
      <c r="T75" s="150" t="str">
        <f ca="1">IFERROR(VALUE(IF(VLOOKUP($A75,数出表_Excel!$A$6:$T$150,COLUMN()/2+1,FALSE)=0,"",VLOOKUP($A75,数出表_Excel!$A$6:$T$150,COLUMN()/2+1,FALSE))),"")</f>
        <v/>
      </c>
      <c r="U75" s="77"/>
      <c r="V75" s="160" t="str">
        <f ca="1">IFERROR(VALUE(IF(VLOOKUP($A75,数出表_Excel!$A$6:$T$150,COLUMN()/2+1,FALSE)=0,"",VLOOKUP($A75,数出表_Excel!$A$6:$T$150,COLUMN()/2+1,FALSE))),"")</f>
        <v/>
      </c>
      <c r="W75" s="61"/>
      <c r="X75" s="150" t="str">
        <f ca="1">IFERROR(VALUE(IF(VLOOKUP($A75,数出表_Excel!$A$6:$T$150,COLUMN()/2+1,FALSE)=0,"",VLOOKUP($A75,数出表_Excel!$A$6:$T$150,COLUMN()/2+1,FALSE))),"")</f>
        <v/>
      </c>
      <c r="Y75" s="77"/>
      <c r="Z75" s="160" t="str">
        <f ca="1">IFERROR(VALUE(IF(VLOOKUP($A75,数出表_Excel!$A$6:$T$150,COLUMN()/2+1,FALSE)=0,"",VLOOKUP($A75,数出表_Excel!$A$6:$T$150,COLUMN()/2+1,FALSE))),"")</f>
        <v/>
      </c>
      <c r="AA75" s="77"/>
      <c r="AB75" s="150" t="str">
        <f ca="1">IFERROR(VALUE(IF(VLOOKUP($A75,数出表_Excel!$A$6:$T$150,COLUMN()/2+1,FALSE)=0,"",VLOOKUP($A75,数出表_Excel!$A$6:$T$150,COLUMN()/2+1,FALSE))),"")</f>
        <v/>
      </c>
      <c r="AC75" s="77"/>
      <c r="AD75" s="150" t="str">
        <f ca="1">IFERROR(VALUE(IF(VLOOKUP($A75,数出表_Excel!$A$6:$T$150,COLUMN()/2+1,FALSE)=0,"",VLOOKUP($A75,数出表_Excel!$A$6:$T$150,COLUMN()/2+1,FALSE))),"")</f>
        <v/>
      </c>
      <c r="AE75" s="77"/>
      <c r="AF75" s="150" t="str">
        <f ca="1">IFERROR(VALUE(IF(VLOOKUP($A75,数出表_Excel!$A$6:$T$150,COLUMN()/2+1,FALSE)=0,"",VLOOKUP($A75,数出表_Excel!$A$6:$T$150,COLUMN()/2+1,FALSE))),"")</f>
        <v/>
      </c>
      <c r="AG75" s="77"/>
      <c r="AH75" s="150" t="str">
        <f ca="1">IFERROR(VALUE(IF(VLOOKUP($A75,数出表_Excel!$A$6:$T$150,COLUMN()/2+1,FALSE)=0,"",VLOOKUP($A75,数出表_Excel!$A$6:$T$150,COLUMN()/2+1,FALSE))),"")</f>
        <v/>
      </c>
      <c r="AI75" s="77"/>
      <c r="AJ75" s="150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/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/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50" t="str">
        <f ca="1">IFERROR(VALUE(IF(VLOOKUP($A77,数出表_Excel!$A$6:$T$150,COLUMN()/2+1,FALSE)=0,"",VLOOKUP($A77,数出表_Excel!$A$6:$T$150,COLUMN()/2+1,FALSE))),"")</f>
        <v/>
      </c>
      <c r="C77" s="61"/>
      <c r="D77" s="150" t="str">
        <f ca="1">IFERROR(VALUE(IF(VLOOKUP($A77,数出表_Excel!$A$6:$T$150,COLUMN()/2+1,FALSE)=0,"",VLOOKUP($A77,数出表_Excel!$A$6:$T$150,COLUMN()/2+1,FALSE))),"")</f>
        <v/>
      </c>
      <c r="E77" s="77"/>
      <c r="F77" s="160" t="str">
        <f ca="1">IFERROR(VALUE(IF(VLOOKUP($A77,数出表_Excel!$A$6:$T$150,COLUMN()/2+1,FALSE)=0,"",VLOOKUP($A77,数出表_Excel!$A$6:$T$150,COLUMN()/2+1,FALSE))),"")</f>
        <v/>
      </c>
      <c r="G77" s="61"/>
      <c r="H77" s="150" t="str">
        <f ca="1">IFERROR(VALUE(IF(VLOOKUP($A77,数出表_Excel!$A$6:$T$150,COLUMN()/2+1,FALSE)=0,"",VLOOKUP($A77,数出表_Excel!$A$6:$T$150,COLUMN()/2+1,FALSE))),"")</f>
        <v/>
      </c>
      <c r="I77" s="77"/>
      <c r="J77" s="160" t="str">
        <f ca="1">IFERROR(VALUE(IF(VLOOKUP($A77,数出表_Excel!$A$6:$T$150,COLUMN()/2+1,FALSE)=0,"",VLOOKUP($A77,数出表_Excel!$A$6:$T$150,COLUMN()/2+1,FALSE))),"")</f>
        <v/>
      </c>
      <c r="K77" s="61"/>
      <c r="L77" s="150" t="str">
        <f ca="1">IFERROR(VALUE(IF(VLOOKUP($A77,数出表_Excel!$A$6:$T$150,COLUMN()/2+1,FALSE)=0,"",VLOOKUP($A77,数出表_Excel!$A$6:$T$150,COLUMN()/2+1,FALSE))),"")</f>
        <v/>
      </c>
      <c r="M77" s="77"/>
      <c r="N77" s="160" t="str">
        <f ca="1">IFERROR(VALUE(IF(VLOOKUP($A77,数出表_Excel!$A$6:$T$150,COLUMN()/2+1,FALSE)=0,"",VLOOKUP($A77,数出表_Excel!$A$6:$T$150,COLUMN()/2+1,FALSE))),"")</f>
        <v/>
      </c>
      <c r="O77" s="61"/>
      <c r="P77" s="150" t="str">
        <f ca="1">IFERROR(VALUE(IF(VLOOKUP($A77,数出表_Excel!$A$6:$T$150,COLUMN()/2+1,FALSE)=0,"",VLOOKUP($A77,数出表_Excel!$A$6:$T$150,COLUMN()/2+1,FALSE))),"")</f>
        <v/>
      </c>
      <c r="Q77" s="77"/>
      <c r="R77" s="160" t="str">
        <f ca="1">IFERROR(VALUE(IF(VLOOKUP($A77,数出表_Excel!$A$6:$T$150,COLUMN()/2+1,FALSE)=0,"",VLOOKUP($A77,数出表_Excel!$A$6:$T$150,COLUMN()/2+1,FALSE))),"")</f>
        <v/>
      </c>
      <c r="S77" s="61"/>
      <c r="T77" s="150" t="str">
        <f ca="1">IFERROR(VALUE(IF(VLOOKUP($A77,数出表_Excel!$A$6:$T$150,COLUMN()/2+1,FALSE)=0,"",VLOOKUP($A77,数出表_Excel!$A$6:$T$150,COLUMN()/2+1,FALSE))),"")</f>
        <v/>
      </c>
      <c r="U77" s="77"/>
      <c r="V77" s="160" t="str">
        <f ca="1">IFERROR(VALUE(IF(VLOOKUP($A77,数出表_Excel!$A$6:$T$150,COLUMN()/2+1,FALSE)=0,"",VLOOKUP($A77,数出表_Excel!$A$6:$T$150,COLUMN()/2+1,FALSE))),"")</f>
        <v/>
      </c>
      <c r="W77" s="61"/>
      <c r="X77" s="150" t="str">
        <f ca="1">IFERROR(VALUE(IF(VLOOKUP($A77,数出表_Excel!$A$6:$T$150,COLUMN()/2+1,FALSE)=0,"",VLOOKUP($A77,数出表_Excel!$A$6:$T$150,COLUMN()/2+1,FALSE))),"")</f>
        <v/>
      </c>
      <c r="Y77" s="77"/>
      <c r="Z77" s="160" t="str">
        <f ca="1">IFERROR(VALUE(IF(VLOOKUP($A77,数出表_Excel!$A$6:$T$150,COLUMN()/2+1,FALSE)=0,"",VLOOKUP($A77,数出表_Excel!$A$6:$T$150,COLUMN()/2+1,FALSE))),"")</f>
        <v/>
      </c>
      <c r="AA77" s="77"/>
      <c r="AB77" s="150" t="str">
        <f ca="1">IFERROR(VALUE(IF(VLOOKUP($A77,数出表_Excel!$A$6:$T$150,COLUMN()/2+1,FALSE)=0,"",VLOOKUP($A77,数出表_Excel!$A$6:$T$150,COLUMN()/2+1,FALSE))),"")</f>
        <v/>
      </c>
      <c r="AC77" s="77"/>
      <c r="AD77" s="150" t="str">
        <f ca="1">IFERROR(VALUE(IF(VLOOKUP($A77,数出表_Excel!$A$6:$T$150,COLUMN()/2+1,FALSE)=0,"",VLOOKUP($A77,数出表_Excel!$A$6:$T$150,COLUMN()/2+1,FALSE))),"")</f>
        <v/>
      </c>
      <c r="AE77" s="77"/>
      <c r="AF77" s="150" t="str">
        <f ca="1">IFERROR(VALUE(IF(VLOOKUP($A77,数出表_Excel!$A$6:$T$150,COLUMN()/2+1,FALSE)=0,"",VLOOKUP($A77,数出表_Excel!$A$6:$T$150,COLUMN()/2+1,FALSE))),"")</f>
        <v/>
      </c>
      <c r="AG77" s="77"/>
      <c r="AH77" s="150" t="str">
        <f ca="1">IFERROR(VALUE(IF(VLOOKUP($A77,数出表_Excel!$A$6:$T$150,COLUMN()/2+1,FALSE)=0,"",VLOOKUP($A77,数出表_Excel!$A$6:$T$150,COLUMN()/2+1,FALSE))),"")</f>
        <v/>
      </c>
      <c r="AI77" s="77"/>
      <c r="AJ77" s="150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50" t="str">
        <f ca="1">IFERROR(VALUE(IF(VLOOKUP($A79,数出表_Excel!$A$6:$T$150,COLUMN()/2+1,FALSE)=0,"",VLOOKUP($A79,数出表_Excel!$A$6:$T$150,COLUMN()/2+1,FALSE))),"")</f>
        <v/>
      </c>
      <c r="C79" s="61"/>
      <c r="D79" s="150" t="str">
        <f ca="1">IFERROR(VALUE(IF(VLOOKUP($A79,数出表_Excel!$A$6:$T$150,COLUMN()/2+1,FALSE)=0,"",VLOOKUP($A79,数出表_Excel!$A$6:$T$150,COLUMN()/2+1,FALSE))),"")</f>
        <v/>
      </c>
      <c r="E79" s="77"/>
      <c r="F79" s="160" t="str">
        <f ca="1">IFERROR(VALUE(IF(VLOOKUP($A79,数出表_Excel!$A$6:$T$150,COLUMN()/2+1,FALSE)=0,"",VLOOKUP($A79,数出表_Excel!$A$6:$T$150,COLUMN()/2+1,FALSE))),"")</f>
        <v/>
      </c>
      <c r="G79" s="61"/>
      <c r="H79" s="150" t="str">
        <f ca="1">IFERROR(VALUE(IF(VLOOKUP($A79,数出表_Excel!$A$6:$T$150,COLUMN()/2+1,FALSE)=0,"",VLOOKUP($A79,数出表_Excel!$A$6:$T$150,COLUMN()/2+1,FALSE))),"")</f>
        <v/>
      </c>
      <c r="I79" s="77"/>
      <c r="J79" s="160" t="str">
        <f ca="1">IFERROR(VALUE(IF(VLOOKUP($A79,数出表_Excel!$A$6:$T$150,COLUMN()/2+1,FALSE)=0,"",VLOOKUP($A79,数出表_Excel!$A$6:$T$150,COLUMN()/2+1,FALSE))),"")</f>
        <v/>
      </c>
      <c r="K79" s="61"/>
      <c r="L79" s="150" t="str">
        <f ca="1">IFERROR(VALUE(IF(VLOOKUP($A79,数出表_Excel!$A$6:$T$150,COLUMN()/2+1,FALSE)=0,"",VLOOKUP($A79,数出表_Excel!$A$6:$T$150,COLUMN()/2+1,FALSE))),"")</f>
        <v/>
      </c>
      <c r="M79" s="77"/>
      <c r="N79" s="160" t="str">
        <f ca="1">IFERROR(VALUE(IF(VLOOKUP($A79,数出表_Excel!$A$6:$T$150,COLUMN()/2+1,FALSE)=0,"",VLOOKUP($A79,数出表_Excel!$A$6:$T$150,COLUMN()/2+1,FALSE))),"")</f>
        <v/>
      </c>
      <c r="O79" s="61"/>
      <c r="P79" s="150" t="str">
        <f ca="1">IFERROR(VALUE(IF(VLOOKUP($A79,数出表_Excel!$A$6:$T$150,COLUMN()/2+1,FALSE)=0,"",VLOOKUP($A79,数出表_Excel!$A$6:$T$150,COLUMN()/2+1,FALSE))),"")</f>
        <v/>
      </c>
      <c r="Q79" s="77"/>
      <c r="R79" s="160" t="str">
        <f ca="1">IFERROR(VALUE(IF(VLOOKUP($A79,数出表_Excel!$A$6:$T$150,COLUMN()/2+1,FALSE)=0,"",VLOOKUP($A79,数出表_Excel!$A$6:$T$150,COLUMN()/2+1,FALSE))),"")</f>
        <v/>
      </c>
      <c r="S79" s="61"/>
      <c r="T79" s="150" t="str">
        <f ca="1">IFERROR(VALUE(IF(VLOOKUP($A79,数出表_Excel!$A$6:$T$150,COLUMN()/2+1,FALSE)=0,"",VLOOKUP($A79,数出表_Excel!$A$6:$T$150,COLUMN()/2+1,FALSE))),"")</f>
        <v/>
      </c>
      <c r="U79" s="77"/>
      <c r="V79" s="160" t="str">
        <f ca="1">IFERROR(VALUE(IF(VLOOKUP($A79,数出表_Excel!$A$6:$T$150,COLUMN()/2+1,FALSE)=0,"",VLOOKUP($A79,数出表_Excel!$A$6:$T$150,COLUMN()/2+1,FALSE))),"")</f>
        <v/>
      </c>
      <c r="W79" s="61"/>
      <c r="X79" s="150" t="str">
        <f ca="1">IFERROR(VALUE(IF(VLOOKUP($A79,数出表_Excel!$A$6:$T$150,COLUMN()/2+1,FALSE)=0,"",VLOOKUP($A79,数出表_Excel!$A$6:$T$150,COLUMN()/2+1,FALSE))),"")</f>
        <v/>
      </c>
      <c r="Y79" s="77"/>
      <c r="Z79" s="160" t="str">
        <f ca="1">IFERROR(VALUE(IF(VLOOKUP($A79,数出表_Excel!$A$6:$T$150,COLUMN()/2+1,FALSE)=0,"",VLOOKUP($A79,数出表_Excel!$A$6:$T$150,COLUMN()/2+1,FALSE))),"")</f>
        <v/>
      </c>
      <c r="AA79" s="77"/>
      <c r="AB79" s="150" t="str">
        <f ca="1">IFERROR(VALUE(IF(VLOOKUP($A79,数出表_Excel!$A$6:$T$150,COLUMN()/2+1,FALSE)=0,"",VLOOKUP($A79,数出表_Excel!$A$6:$T$150,COLUMN()/2+1,FALSE))),"")</f>
        <v/>
      </c>
      <c r="AC79" s="77"/>
      <c r="AD79" s="150" t="str">
        <f ca="1">IFERROR(VALUE(IF(VLOOKUP($A79,数出表_Excel!$A$6:$T$150,COLUMN()/2+1,FALSE)=0,"",VLOOKUP($A79,数出表_Excel!$A$6:$T$150,COLUMN()/2+1,FALSE))),"")</f>
        <v/>
      </c>
      <c r="AE79" s="77"/>
      <c r="AF79" s="150" t="str">
        <f ca="1">IFERROR(VALUE(IF(VLOOKUP($A79,数出表_Excel!$A$6:$T$150,COLUMN()/2+1,FALSE)=0,"",VLOOKUP($A79,数出表_Excel!$A$6:$T$150,COLUMN()/2+1,FALSE))),"")</f>
        <v/>
      </c>
      <c r="AG79" s="77"/>
      <c r="AH79" s="150" t="str">
        <f ca="1">IFERROR(VALUE(IF(VLOOKUP($A79,数出表_Excel!$A$6:$T$150,COLUMN()/2+1,FALSE)=0,"",VLOOKUP($A79,数出表_Excel!$A$6:$T$150,COLUMN()/2+1,FALSE))),"")</f>
        <v/>
      </c>
      <c r="AI79" s="77"/>
      <c r="AJ79" s="150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83" t="str">
        <f ca="1">IFERROR(VALUE(IF(VLOOKUP($A80,数出表_Excel!$A$6:$T$150,COLUMN()/2+1,FALSE)=0,"",VLOOKUP($A80,数出表_Excel!$A$6:$T$150,COLUMN()/2+1,FALSE))),"")</f>
        <v/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50" t="str">
        <f ca="1">IFERROR(VALUE(IF(VLOOKUP($A81,数出表_Excel!$A$6:$T$150,COLUMN()/2+1,FALSE)=0,"",VLOOKUP($A81,数出表_Excel!$A$6:$T$150,COLUMN()/2+1,FALSE))),"")</f>
        <v/>
      </c>
      <c r="C81" s="61"/>
      <c r="D81" s="150" t="str">
        <f ca="1">IFERROR(VALUE(IF(VLOOKUP($A81,数出表_Excel!$A$6:$T$150,COLUMN()/2+1,FALSE)=0,"",VLOOKUP($A81,数出表_Excel!$A$6:$T$150,COLUMN()/2+1,FALSE))),"")</f>
        <v/>
      </c>
      <c r="E81" s="77"/>
      <c r="F81" s="160" t="str">
        <f ca="1">IFERROR(VALUE(IF(VLOOKUP($A81,数出表_Excel!$A$6:$T$150,COLUMN()/2+1,FALSE)=0,"",VLOOKUP($A81,数出表_Excel!$A$6:$T$150,COLUMN()/2+1,FALSE))),"")</f>
        <v/>
      </c>
      <c r="G81" s="61"/>
      <c r="H81" s="150" t="str">
        <f ca="1">IFERROR(VALUE(IF(VLOOKUP($A81,数出表_Excel!$A$6:$T$150,COLUMN()/2+1,FALSE)=0,"",VLOOKUP($A81,数出表_Excel!$A$6:$T$150,COLUMN()/2+1,FALSE))),"")</f>
        <v/>
      </c>
      <c r="I81" s="77"/>
      <c r="J81" s="160" t="str">
        <f ca="1">IFERROR(VALUE(IF(VLOOKUP($A81,数出表_Excel!$A$6:$T$150,COLUMN()/2+1,FALSE)=0,"",VLOOKUP($A81,数出表_Excel!$A$6:$T$150,COLUMN()/2+1,FALSE))),"")</f>
        <v/>
      </c>
      <c r="K81" s="61"/>
      <c r="L81" s="150" t="str">
        <f ca="1">IFERROR(VALUE(IF(VLOOKUP($A81,数出表_Excel!$A$6:$T$150,COLUMN()/2+1,FALSE)=0,"",VLOOKUP($A81,数出表_Excel!$A$6:$T$150,COLUMN()/2+1,FALSE))),"")</f>
        <v/>
      </c>
      <c r="M81" s="77"/>
      <c r="N81" s="160" t="str">
        <f ca="1">IFERROR(VALUE(IF(VLOOKUP($A81,数出表_Excel!$A$6:$T$150,COLUMN()/2+1,FALSE)=0,"",VLOOKUP($A81,数出表_Excel!$A$6:$T$150,COLUMN()/2+1,FALSE))),"")</f>
        <v/>
      </c>
      <c r="O81" s="61"/>
      <c r="P81" s="150" t="str">
        <f ca="1">IFERROR(VALUE(IF(VLOOKUP($A81,数出表_Excel!$A$6:$T$150,COLUMN()/2+1,FALSE)=0,"",VLOOKUP($A81,数出表_Excel!$A$6:$T$150,COLUMN()/2+1,FALSE))),"")</f>
        <v/>
      </c>
      <c r="Q81" s="77"/>
      <c r="R81" s="160" t="str">
        <f ca="1">IFERROR(VALUE(IF(VLOOKUP($A81,数出表_Excel!$A$6:$T$150,COLUMN()/2+1,FALSE)=0,"",VLOOKUP($A81,数出表_Excel!$A$6:$T$150,COLUMN()/2+1,FALSE))),"")</f>
        <v/>
      </c>
      <c r="S81" s="61"/>
      <c r="T81" s="150" t="str">
        <f ca="1">IFERROR(VALUE(IF(VLOOKUP($A81,数出表_Excel!$A$6:$T$150,COLUMN()/2+1,FALSE)=0,"",VLOOKUP($A81,数出表_Excel!$A$6:$T$150,COLUMN()/2+1,FALSE))),"")</f>
        <v/>
      </c>
      <c r="U81" s="77"/>
      <c r="V81" s="160" t="str">
        <f ca="1">IFERROR(VALUE(IF(VLOOKUP($A81,数出表_Excel!$A$6:$T$150,COLUMN()/2+1,FALSE)=0,"",VLOOKUP($A81,数出表_Excel!$A$6:$T$150,COLUMN()/2+1,FALSE))),"")</f>
        <v/>
      </c>
      <c r="W81" s="61"/>
      <c r="X81" s="150" t="str">
        <f ca="1">IFERROR(VALUE(IF(VLOOKUP($A81,数出表_Excel!$A$6:$T$150,COLUMN()/2+1,FALSE)=0,"",VLOOKUP($A81,数出表_Excel!$A$6:$T$150,COLUMN()/2+1,FALSE))),"")</f>
        <v/>
      </c>
      <c r="Y81" s="77"/>
      <c r="Z81" s="160" t="str">
        <f ca="1">IFERROR(VALUE(IF(VLOOKUP($A81,数出表_Excel!$A$6:$T$150,COLUMN()/2+1,FALSE)=0,"",VLOOKUP($A81,数出表_Excel!$A$6:$T$150,COLUMN()/2+1,FALSE))),"")</f>
        <v/>
      </c>
      <c r="AA81" s="77"/>
      <c r="AB81" s="150" t="str">
        <f ca="1">IFERROR(VALUE(IF(VLOOKUP($A81,数出表_Excel!$A$6:$T$150,COLUMN()/2+1,FALSE)=0,"",VLOOKUP($A81,数出表_Excel!$A$6:$T$150,COLUMN()/2+1,FALSE))),"")</f>
        <v/>
      </c>
      <c r="AC81" s="77"/>
      <c r="AD81" s="150" t="str">
        <f ca="1">IFERROR(VALUE(IF(VLOOKUP($A81,数出表_Excel!$A$6:$T$150,COLUMN()/2+1,FALSE)=0,"",VLOOKUP($A81,数出表_Excel!$A$6:$T$150,COLUMN()/2+1,FALSE))),"")</f>
        <v/>
      </c>
      <c r="AE81" s="77"/>
      <c r="AF81" s="150" t="str">
        <f ca="1">IFERROR(VALUE(IF(VLOOKUP($A81,数出表_Excel!$A$6:$T$150,COLUMN()/2+1,FALSE)=0,"",VLOOKUP($A81,数出表_Excel!$A$6:$T$150,COLUMN()/2+1,FALSE))),"")</f>
        <v/>
      </c>
      <c r="AG81" s="77"/>
      <c r="AH81" s="150" t="str">
        <f ca="1">IFERROR(VALUE(IF(VLOOKUP($A81,数出表_Excel!$A$6:$T$150,COLUMN()/2+1,FALSE)=0,"",VLOOKUP($A81,数出表_Excel!$A$6:$T$150,COLUMN()/2+1,FALSE))),"")</f>
        <v/>
      </c>
      <c r="AI81" s="77"/>
      <c r="AJ81" s="150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50" t="str">
        <f ca="1">IFERROR(VALUE(IF(VLOOKUP($A83,数出表_Excel!$A$6:$T$150,COLUMN()/2+1,FALSE)=0,"",VLOOKUP($A83,数出表_Excel!$A$6:$T$150,COLUMN()/2+1,FALSE))),"")</f>
        <v/>
      </c>
      <c r="C83" s="61"/>
      <c r="D83" s="150" t="str">
        <f ca="1">IFERROR(VALUE(IF(VLOOKUP($A83,数出表_Excel!$A$6:$T$150,COLUMN()/2+1,FALSE)=0,"",VLOOKUP($A83,数出表_Excel!$A$6:$T$150,COLUMN()/2+1,FALSE))),"")</f>
        <v/>
      </c>
      <c r="E83" s="77"/>
      <c r="F83" s="160" t="str">
        <f ca="1">IFERROR(VALUE(IF(VLOOKUP($A83,数出表_Excel!$A$6:$T$150,COLUMN()/2+1,FALSE)=0,"",VLOOKUP($A83,数出表_Excel!$A$6:$T$150,COLUMN()/2+1,FALSE))),"")</f>
        <v/>
      </c>
      <c r="G83" s="61"/>
      <c r="H83" s="150" t="str">
        <f ca="1">IFERROR(VALUE(IF(VLOOKUP($A83,数出表_Excel!$A$6:$T$150,COLUMN()/2+1,FALSE)=0,"",VLOOKUP($A83,数出表_Excel!$A$6:$T$150,COLUMN()/2+1,FALSE))),"")</f>
        <v/>
      </c>
      <c r="I83" s="77"/>
      <c r="J83" s="160" t="str">
        <f ca="1">IFERROR(VALUE(IF(VLOOKUP($A83,数出表_Excel!$A$6:$T$150,COLUMN()/2+1,FALSE)=0,"",VLOOKUP($A83,数出表_Excel!$A$6:$T$150,COLUMN()/2+1,FALSE))),"")</f>
        <v/>
      </c>
      <c r="K83" s="61"/>
      <c r="L83" s="150" t="str">
        <f ca="1">IFERROR(VALUE(IF(VLOOKUP($A83,数出表_Excel!$A$6:$T$150,COLUMN()/2+1,FALSE)=0,"",VLOOKUP($A83,数出表_Excel!$A$6:$T$150,COLUMN()/2+1,FALSE))),"")</f>
        <v/>
      </c>
      <c r="M83" s="77"/>
      <c r="N83" s="160" t="str">
        <f ca="1">IFERROR(VALUE(IF(VLOOKUP($A83,数出表_Excel!$A$6:$T$150,COLUMN()/2+1,FALSE)=0,"",VLOOKUP($A83,数出表_Excel!$A$6:$T$150,COLUMN()/2+1,FALSE))),"")</f>
        <v/>
      </c>
      <c r="O83" s="61"/>
      <c r="P83" s="150" t="str">
        <f ca="1">IFERROR(VALUE(IF(VLOOKUP($A83,数出表_Excel!$A$6:$T$150,COLUMN()/2+1,FALSE)=0,"",VLOOKUP($A83,数出表_Excel!$A$6:$T$150,COLUMN()/2+1,FALSE))),"")</f>
        <v/>
      </c>
      <c r="Q83" s="77"/>
      <c r="R83" s="160" t="str">
        <f ca="1">IFERROR(VALUE(IF(VLOOKUP($A83,数出表_Excel!$A$6:$T$150,COLUMN()/2+1,FALSE)=0,"",VLOOKUP($A83,数出表_Excel!$A$6:$T$150,COLUMN()/2+1,FALSE))),"")</f>
        <v/>
      </c>
      <c r="S83" s="61"/>
      <c r="T83" s="150" t="str">
        <f ca="1">IFERROR(VALUE(IF(VLOOKUP($A83,数出表_Excel!$A$6:$T$150,COLUMN()/2+1,FALSE)=0,"",VLOOKUP($A83,数出表_Excel!$A$6:$T$150,COLUMN()/2+1,FALSE))),"")</f>
        <v/>
      </c>
      <c r="U83" s="77"/>
      <c r="V83" s="160" t="str">
        <f ca="1">IFERROR(VALUE(IF(VLOOKUP($A83,数出表_Excel!$A$6:$T$150,COLUMN()/2+1,FALSE)=0,"",VLOOKUP($A83,数出表_Excel!$A$6:$T$150,COLUMN()/2+1,FALSE))),"")</f>
        <v/>
      </c>
      <c r="W83" s="61"/>
      <c r="X83" s="150" t="str">
        <f ca="1">IFERROR(VALUE(IF(VLOOKUP($A83,数出表_Excel!$A$6:$T$150,COLUMN()/2+1,FALSE)=0,"",VLOOKUP($A83,数出表_Excel!$A$6:$T$150,COLUMN()/2+1,FALSE))),"")</f>
        <v/>
      </c>
      <c r="Y83" s="77"/>
      <c r="Z83" s="160" t="str">
        <f ca="1">IFERROR(VALUE(IF(VLOOKUP($A83,数出表_Excel!$A$6:$T$150,COLUMN()/2+1,FALSE)=0,"",VLOOKUP($A83,数出表_Excel!$A$6:$T$150,COLUMN()/2+1,FALSE))),"")</f>
        <v/>
      </c>
      <c r="AA83" s="77"/>
      <c r="AB83" s="150" t="str">
        <f ca="1">IFERROR(VALUE(IF(VLOOKUP($A83,数出表_Excel!$A$6:$T$150,COLUMN()/2+1,FALSE)=0,"",VLOOKUP($A83,数出表_Excel!$A$6:$T$150,COLUMN()/2+1,FALSE))),"")</f>
        <v/>
      </c>
      <c r="AC83" s="77"/>
      <c r="AD83" s="150" t="str">
        <f ca="1">IFERROR(VALUE(IF(VLOOKUP($A83,数出表_Excel!$A$6:$T$150,COLUMN()/2+1,FALSE)=0,"",VLOOKUP($A83,数出表_Excel!$A$6:$T$150,COLUMN()/2+1,FALSE))),"")</f>
        <v/>
      </c>
      <c r="AE83" s="77"/>
      <c r="AF83" s="150" t="str">
        <f ca="1">IFERROR(VALUE(IF(VLOOKUP($A83,数出表_Excel!$A$6:$T$150,COLUMN()/2+1,FALSE)=0,"",VLOOKUP($A83,数出表_Excel!$A$6:$T$150,COLUMN()/2+1,FALSE))),"")</f>
        <v/>
      </c>
      <c r="AG83" s="77"/>
      <c r="AH83" s="150" t="str">
        <f ca="1">IFERROR(VALUE(IF(VLOOKUP($A83,数出表_Excel!$A$6:$T$150,COLUMN()/2+1,FALSE)=0,"",VLOOKUP($A83,数出表_Excel!$A$6:$T$150,COLUMN()/2+1,FALSE))),"")</f>
        <v/>
      </c>
      <c r="AI83" s="77"/>
      <c r="AJ83" s="150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/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50" t="str">
        <f ca="1">IFERROR(VALUE(IF(VLOOKUP($A85,数出表_Excel!$A$6:$T$150,COLUMN()/2+1,FALSE)=0,"",VLOOKUP($A85,数出表_Excel!$A$6:$T$150,COLUMN()/2+1,FALSE))),"")</f>
        <v/>
      </c>
      <c r="C85" s="61"/>
      <c r="D85" s="150" t="str">
        <f ca="1">IFERROR(VALUE(IF(VLOOKUP($A85,数出表_Excel!$A$6:$T$150,COLUMN()/2+1,FALSE)=0,"",VLOOKUP($A85,数出表_Excel!$A$6:$T$150,COLUMN()/2+1,FALSE))),"")</f>
        <v/>
      </c>
      <c r="E85" s="77"/>
      <c r="F85" s="160" t="str">
        <f ca="1">IFERROR(VALUE(IF(VLOOKUP($A85,数出表_Excel!$A$6:$T$150,COLUMN()/2+1,FALSE)=0,"",VLOOKUP($A85,数出表_Excel!$A$6:$T$150,COLUMN()/2+1,FALSE))),"")</f>
        <v/>
      </c>
      <c r="G85" s="61"/>
      <c r="H85" s="150" t="str">
        <f ca="1">IFERROR(VALUE(IF(VLOOKUP($A85,数出表_Excel!$A$6:$T$150,COLUMN()/2+1,FALSE)=0,"",VLOOKUP($A85,数出表_Excel!$A$6:$T$150,COLUMN()/2+1,FALSE))),"")</f>
        <v/>
      </c>
      <c r="I85" s="77"/>
      <c r="J85" s="160" t="str">
        <f ca="1">IFERROR(VALUE(IF(VLOOKUP($A85,数出表_Excel!$A$6:$T$150,COLUMN()/2+1,FALSE)=0,"",VLOOKUP($A85,数出表_Excel!$A$6:$T$150,COLUMN()/2+1,FALSE))),"")</f>
        <v/>
      </c>
      <c r="K85" s="61"/>
      <c r="L85" s="150" t="str">
        <f ca="1">IFERROR(VALUE(IF(VLOOKUP($A85,数出表_Excel!$A$6:$T$150,COLUMN()/2+1,FALSE)=0,"",VLOOKUP($A85,数出表_Excel!$A$6:$T$150,COLUMN()/2+1,FALSE))),"")</f>
        <v/>
      </c>
      <c r="M85" s="77"/>
      <c r="N85" s="160" t="str">
        <f ca="1">IFERROR(VALUE(IF(VLOOKUP($A85,数出表_Excel!$A$6:$T$150,COLUMN()/2+1,FALSE)=0,"",VLOOKUP($A85,数出表_Excel!$A$6:$T$150,COLUMN()/2+1,FALSE))),"")</f>
        <v/>
      </c>
      <c r="O85" s="61"/>
      <c r="P85" s="150" t="str">
        <f ca="1">IFERROR(VALUE(IF(VLOOKUP($A85,数出表_Excel!$A$6:$T$150,COLUMN()/2+1,FALSE)=0,"",VLOOKUP($A85,数出表_Excel!$A$6:$T$150,COLUMN()/2+1,FALSE))),"")</f>
        <v/>
      </c>
      <c r="Q85" s="77"/>
      <c r="R85" s="160" t="str">
        <f ca="1">IFERROR(VALUE(IF(VLOOKUP($A85,数出表_Excel!$A$6:$T$150,COLUMN()/2+1,FALSE)=0,"",VLOOKUP($A85,数出表_Excel!$A$6:$T$150,COLUMN()/2+1,FALSE))),"")</f>
        <v/>
      </c>
      <c r="S85" s="61"/>
      <c r="T85" s="150" t="str">
        <f ca="1">IFERROR(VALUE(IF(VLOOKUP($A85,数出表_Excel!$A$6:$T$150,COLUMN()/2+1,FALSE)=0,"",VLOOKUP($A85,数出表_Excel!$A$6:$T$150,COLUMN()/2+1,FALSE))),"")</f>
        <v/>
      </c>
      <c r="U85" s="77"/>
      <c r="V85" s="160" t="str">
        <f ca="1">IFERROR(VALUE(IF(VLOOKUP($A85,数出表_Excel!$A$6:$T$150,COLUMN()/2+1,FALSE)=0,"",VLOOKUP($A85,数出表_Excel!$A$6:$T$150,COLUMN()/2+1,FALSE))),"")</f>
        <v/>
      </c>
      <c r="W85" s="61"/>
      <c r="X85" s="150" t="str">
        <f ca="1">IFERROR(VALUE(IF(VLOOKUP($A85,数出表_Excel!$A$6:$T$150,COLUMN()/2+1,FALSE)=0,"",VLOOKUP($A85,数出表_Excel!$A$6:$T$150,COLUMN()/2+1,FALSE))),"")</f>
        <v/>
      </c>
      <c r="Y85" s="77"/>
      <c r="Z85" s="160" t="str">
        <f ca="1">IFERROR(VALUE(IF(VLOOKUP($A85,数出表_Excel!$A$6:$T$150,COLUMN()/2+1,FALSE)=0,"",VLOOKUP($A85,数出表_Excel!$A$6:$T$150,COLUMN()/2+1,FALSE))),"")</f>
        <v/>
      </c>
      <c r="AA85" s="77"/>
      <c r="AB85" s="150" t="str">
        <f ca="1">IFERROR(VALUE(IF(VLOOKUP($A85,数出表_Excel!$A$6:$T$150,COLUMN()/2+1,FALSE)=0,"",VLOOKUP($A85,数出表_Excel!$A$6:$T$150,COLUMN()/2+1,FALSE))),"")</f>
        <v/>
      </c>
      <c r="AC85" s="77"/>
      <c r="AD85" s="150" t="str">
        <f ca="1">IFERROR(VALUE(IF(VLOOKUP($A85,数出表_Excel!$A$6:$T$150,COLUMN()/2+1,FALSE)=0,"",VLOOKUP($A85,数出表_Excel!$A$6:$T$150,COLUMN()/2+1,FALSE))),"")</f>
        <v/>
      </c>
      <c r="AE85" s="77"/>
      <c r="AF85" s="150" t="str">
        <f ca="1">IFERROR(VALUE(IF(VLOOKUP($A85,数出表_Excel!$A$6:$T$150,COLUMN()/2+1,FALSE)=0,"",VLOOKUP($A85,数出表_Excel!$A$6:$T$150,COLUMN()/2+1,FALSE))),"")</f>
        <v/>
      </c>
      <c r="AG85" s="77"/>
      <c r="AH85" s="150" t="str">
        <f ca="1">IFERROR(VALUE(IF(VLOOKUP($A85,数出表_Excel!$A$6:$T$150,COLUMN()/2+1,FALSE)=0,"",VLOOKUP($A85,数出表_Excel!$A$6:$T$150,COLUMN()/2+1,FALSE))),"")</f>
        <v/>
      </c>
      <c r="AI85" s="77"/>
      <c r="AJ85" s="150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50" t="str">
        <f ca="1">IFERROR(VALUE(IF(VLOOKUP($A87,数出表_Excel!$A$6:$T$150,COLUMN()/2+1,FALSE)=0,"",VLOOKUP($A87,数出表_Excel!$A$6:$T$150,COLUMN()/2+1,FALSE))),"")</f>
        <v/>
      </c>
      <c r="C87" s="61"/>
      <c r="D87" s="150" t="str">
        <f ca="1">IFERROR(VALUE(IF(VLOOKUP($A87,数出表_Excel!$A$6:$T$150,COLUMN()/2+1,FALSE)=0,"",VLOOKUP($A87,数出表_Excel!$A$6:$T$150,COLUMN()/2+1,FALSE))),"")</f>
        <v/>
      </c>
      <c r="E87" s="77"/>
      <c r="F87" s="160" t="str">
        <f ca="1">IFERROR(VALUE(IF(VLOOKUP($A87,数出表_Excel!$A$6:$T$150,COLUMN()/2+1,FALSE)=0,"",VLOOKUP($A87,数出表_Excel!$A$6:$T$150,COLUMN()/2+1,FALSE))),"")</f>
        <v/>
      </c>
      <c r="G87" s="61"/>
      <c r="H87" s="150" t="str">
        <f ca="1">IFERROR(VALUE(IF(VLOOKUP($A87,数出表_Excel!$A$6:$T$150,COLUMN()/2+1,FALSE)=0,"",VLOOKUP($A87,数出表_Excel!$A$6:$T$150,COLUMN()/2+1,FALSE))),"")</f>
        <v/>
      </c>
      <c r="I87" s="77"/>
      <c r="J87" s="160" t="str">
        <f ca="1">IFERROR(VALUE(IF(VLOOKUP($A87,数出表_Excel!$A$6:$T$150,COLUMN()/2+1,FALSE)=0,"",VLOOKUP($A87,数出表_Excel!$A$6:$T$150,COLUMN()/2+1,FALSE))),"")</f>
        <v/>
      </c>
      <c r="K87" s="61"/>
      <c r="L87" s="150" t="str">
        <f ca="1">IFERROR(VALUE(IF(VLOOKUP($A87,数出表_Excel!$A$6:$T$150,COLUMN()/2+1,FALSE)=0,"",VLOOKUP($A87,数出表_Excel!$A$6:$T$150,COLUMN()/2+1,FALSE))),"")</f>
        <v/>
      </c>
      <c r="M87" s="77"/>
      <c r="N87" s="160" t="str">
        <f ca="1">IFERROR(VALUE(IF(VLOOKUP($A87,数出表_Excel!$A$6:$T$150,COLUMN()/2+1,FALSE)=0,"",VLOOKUP($A87,数出表_Excel!$A$6:$T$150,COLUMN()/2+1,FALSE))),"")</f>
        <v/>
      </c>
      <c r="O87" s="61"/>
      <c r="P87" s="150" t="str">
        <f ca="1">IFERROR(VALUE(IF(VLOOKUP($A87,数出表_Excel!$A$6:$T$150,COLUMN()/2+1,FALSE)=0,"",VLOOKUP($A87,数出表_Excel!$A$6:$T$150,COLUMN()/2+1,FALSE))),"")</f>
        <v/>
      </c>
      <c r="Q87" s="77"/>
      <c r="R87" s="160" t="str">
        <f ca="1">IFERROR(VALUE(IF(VLOOKUP($A87,数出表_Excel!$A$6:$T$150,COLUMN()/2+1,FALSE)=0,"",VLOOKUP($A87,数出表_Excel!$A$6:$T$150,COLUMN()/2+1,FALSE))),"")</f>
        <v/>
      </c>
      <c r="S87" s="61"/>
      <c r="T87" s="150" t="str">
        <f ca="1">IFERROR(VALUE(IF(VLOOKUP($A87,数出表_Excel!$A$6:$T$150,COLUMN()/2+1,FALSE)=0,"",VLOOKUP($A87,数出表_Excel!$A$6:$T$150,COLUMN()/2+1,FALSE))),"")</f>
        <v/>
      </c>
      <c r="U87" s="77"/>
      <c r="V87" s="160" t="str">
        <f ca="1">IFERROR(VALUE(IF(VLOOKUP($A87,数出表_Excel!$A$6:$T$150,COLUMN()/2+1,FALSE)=0,"",VLOOKUP($A87,数出表_Excel!$A$6:$T$150,COLUMN()/2+1,FALSE))),"")</f>
        <v/>
      </c>
      <c r="W87" s="61"/>
      <c r="X87" s="150" t="str">
        <f ca="1">IFERROR(VALUE(IF(VLOOKUP($A87,数出表_Excel!$A$6:$T$150,COLUMN()/2+1,FALSE)=0,"",VLOOKUP($A87,数出表_Excel!$A$6:$T$150,COLUMN()/2+1,FALSE))),"")</f>
        <v/>
      </c>
      <c r="Y87" s="77"/>
      <c r="Z87" s="160" t="str">
        <f ca="1">IFERROR(VALUE(IF(VLOOKUP($A87,数出表_Excel!$A$6:$T$150,COLUMN()/2+1,FALSE)=0,"",VLOOKUP($A87,数出表_Excel!$A$6:$T$150,COLUMN()/2+1,FALSE))),"")</f>
        <v/>
      </c>
      <c r="AA87" s="77"/>
      <c r="AB87" s="150" t="str">
        <f ca="1">IFERROR(VALUE(IF(VLOOKUP($A87,数出表_Excel!$A$6:$T$150,COLUMN()/2+1,FALSE)=0,"",VLOOKUP($A87,数出表_Excel!$A$6:$T$150,COLUMN()/2+1,FALSE))),"")</f>
        <v/>
      </c>
      <c r="AC87" s="77"/>
      <c r="AD87" s="150" t="str">
        <f ca="1">IFERROR(VALUE(IF(VLOOKUP($A87,数出表_Excel!$A$6:$T$150,COLUMN()/2+1,FALSE)=0,"",VLOOKUP($A87,数出表_Excel!$A$6:$T$150,COLUMN()/2+1,FALSE))),"")</f>
        <v/>
      </c>
      <c r="AE87" s="77"/>
      <c r="AF87" s="150" t="str">
        <f ca="1">IFERROR(VALUE(IF(VLOOKUP($A87,数出表_Excel!$A$6:$T$150,COLUMN()/2+1,FALSE)=0,"",VLOOKUP($A87,数出表_Excel!$A$6:$T$150,COLUMN()/2+1,FALSE))),"")</f>
        <v/>
      </c>
      <c r="AG87" s="77"/>
      <c r="AH87" s="150" t="str">
        <f ca="1">IFERROR(VALUE(IF(VLOOKUP($A87,数出表_Excel!$A$6:$T$150,COLUMN()/2+1,FALSE)=0,"",VLOOKUP($A87,数出表_Excel!$A$6:$T$150,COLUMN()/2+1,FALSE))),"")</f>
        <v/>
      </c>
      <c r="AI87" s="77"/>
      <c r="AJ87" s="150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50" t="str">
        <f ca="1">IFERROR(VALUE(IF(VLOOKUP($A89,数出表_Excel!$A$6:$T$150,COLUMN()/2+1,FALSE)=0,"",VLOOKUP($A89,数出表_Excel!$A$6:$T$150,COLUMN()/2+1,FALSE))),"")</f>
        <v/>
      </c>
      <c r="C89" s="61"/>
      <c r="D89" s="150" t="str">
        <f ca="1">IFERROR(VALUE(IF(VLOOKUP($A89,数出表_Excel!$A$6:$T$150,COLUMN()/2+1,FALSE)=0,"",VLOOKUP($A89,数出表_Excel!$A$6:$T$150,COLUMN()/2+1,FALSE))),"")</f>
        <v/>
      </c>
      <c r="E89" s="77"/>
      <c r="F89" s="160" t="str">
        <f ca="1">IFERROR(VALUE(IF(VLOOKUP($A89,数出表_Excel!$A$6:$T$150,COLUMN()/2+1,FALSE)=0,"",VLOOKUP($A89,数出表_Excel!$A$6:$T$150,COLUMN()/2+1,FALSE))),"")</f>
        <v/>
      </c>
      <c r="G89" s="61"/>
      <c r="H89" s="150" t="str">
        <f ca="1">IFERROR(VALUE(IF(VLOOKUP($A89,数出表_Excel!$A$6:$T$150,COLUMN()/2+1,FALSE)=0,"",VLOOKUP($A89,数出表_Excel!$A$6:$T$150,COLUMN()/2+1,FALSE))),"")</f>
        <v/>
      </c>
      <c r="I89" s="77"/>
      <c r="J89" s="160" t="str">
        <f ca="1">IFERROR(VALUE(IF(VLOOKUP($A89,数出表_Excel!$A$6:$T$150,COLUMN()/2+1,FALSE)=0,"",VLOOKUP($A89,数出表_Excel!$A$6:$T$150,COLUMN()/2+1,FALSE))),"")</f>
        <v/>
      </c>
      <c r="K89" s="61"/>
      <c r="L89" s="150" t="str">
        <f ca="1">IFERROR(VALUE(IF(VLOOKUP($A89,数出表_Excel!$A$6:$T$150,COLUMN()/2+1,FALSE)=0,"",VLOOKUP($A89,数出表_Excel!$A$6:$T$150,COLUMN()/2+1,FALSE))),"")</f>
        <v/>
      </c>
      <c r="M89" s="77"/>
      <c r="N89" s="160" t="str">
        <f ca="1">IFERROR(VALUE(IF(VLOOKUP($A89,数出表_Excel!$A$6:$T$150,COLUMN()/2+1,FALSE)=0,"",VLOOKUP($A89,数出表_Excel!$A$6:$T$150,COLUMN()/2+1,FALSE))),"")</f>
        <v/>
      </c>
      <c r="O89" s="61"/>
      <c r="P89" s="150" t="str">
        <f ca="1">IFERROR(VALUE(IF(VLOOKUP($A89,数出表_Excel!$A$6:$T$150,COLUMN()/2+1,FALSE)=0,"",VLOOKUP($A89,数出表_Excel!$A$6:$T$150,COLUMN()/2+1,FALSE))),"")</f>
        <v/>
      </c>
      <c r="Q89" s="77"/>
      <c r="R89" s="160" t="str">
        <f ca="1">IFERROR(VALUE(IF(VLOOKUP($A89,数出表_Excel!$A$6:$T$150,COLUMN()/2+1,FALSE)=0,"",VLOOKUP($A89,数出表_Excel!$A$6:$T$150,COLUMN()/2+1,FALSE))),"")</f>
        <v/>
      </c>
      <c r="S89" s="61"/>
      <c r="T89" s="150" t="str">
        <f ca="1">IFERROR(VALUE(IF(VLOOKUP($A89,数出表_Excel!$A$6:$T$150,COLUMN()/2+1,FALSE)=0,"",VLOOKUP($A89,数出表_Excel!$A$6:$T$150,COLUMN()/2+1,FALSE))),"")</f>
        <v/>
      </c>
      <c r="U89" s="77"/>
      <c r="V89" s="160" t="str">
        <f ca="1">IFERROR(VALUE(IF(VLOOKUP($A89,数出表_Excel!$A$6:$T$150,COLUMN()/2+1,FALSE)=0,"",VLOOKUP($A89,数出表_Excel!$A$6:$T$150,COLUMN()/2+1,FALSE))),"")</f>
        <v/>
      </c>
      <c r="W89" s="61"/>
      <c r="X89" s="150" t="str">
        <f ca="1">IFERROR(VALUE(IF(VLOOKUP($A89,数出表_Excel!$A$6:$T$150,COLUMN()/2+1,FALSE)=0,"",VLOOKUP($A89,数出表_Excel!$A$6:$T$150,COLUMN()/2+1,FALSE))),"")</f>
        <v/>
      </c>
      <c r="Y89" s="77"/>
      <c r="Z89" s="160" t="str">
        <f ca="1">IFERROR(VALUE(IF(VLOOKUP($A89,数出表_Excel!$A$6:$T$150,COLUMN()/2+1,FALSE)=0,"",VLOOKUP($A89,数出表_Excel!$A$6:$T$150,COLUMN()/2+1,FALSE))),"")</f>
        <v/>
      </c>
      <c r="AA89" s="77"/>
      <c r="AB89" s="150" t="str">
        <f ca="1">IFERROR(VALUE(IF(VLOOKUP($A89,数出表_Excel!$A$6:$T$150,COLUMN()/2+1,FALSE)=0,"",VLOOKUP($A89,数出表_Excel!$A$6:$T$150,COLUMN()/2+1,FALSE))),"")</f>
        <v/>
      </c>
      <c r="AC89" s="77"/>
      <c r="AD89" s="150" t="str">
        <f ca="1">IFERROR(VALUE(IF(VLOOKUP($A89,数出表_Excel!$A$6:$T$150,COLUMN()/2+1,FALSE)=0,"",VLOOKUP($A89,数出表_Excel!$A$6:$T$150,COLUMN()/2+1,FALSE))),"")</f>
        <v/>
      </c>
      <c r="AE89" s="77"/>
      <c r="AF89" s="150" t="str">
        <f ca="1">IFERROR(VALUE(IF(VLOOKUP($A89,数出表_Excel!$A$6:$T$150,COLUMN()/2+1,FALSE)=0,"",VLOOKUP($A89,数出表_Excel!$A$6:$T$150,COLUMN()/2+1,FALSE))),"")</f>
        <v/>
      </c>
      <c r="AG89" s="77"/>
      <c r="AH89" s="150" t="str">
        <f ca="1">IFERROR(VALUE(IF(VLOOKUP($A89,数出表_Excel!$A$6:$T$150,COLUMN()/2+1,FALSE)=0,"",VLOOKUP($A89,数出表_Excel!$A$6:$T$150,COLUMN()/2+1,FALSE))),"")</f>
        <v/>
      </c>
      <c r="AI89" s="77"/>
      <c r="AJ89" s="150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50" t="str">
        <f ca="1">IFERROR(VALUE(IF(VLOOKUP($A91,数出表_Excel!$A$6:$T$150,COLUMN()/2+1,FALSE)=0,"",VLOOKUP($A91,数出表_Excel!$A$6:$T$150,COLUMN()/2+1,FALSE))),"")</f>
        <v/>
      </c>
      <c r="C91" s="61"/>
      <c r="D91" s="150" t="str">
        <f ca="1">IFERROR(VALUE(IF(VLOOKUP($A91,数出表_Excel!$A$6:$T$150,COLUMN()/2+1,FALSE)=0,"",VLOOKUP($A91,数出表_Excel!$A$6:$T$150,COLUMN()/2+1,FALSE))),"")</f>
        <v/>
      </c>
      <c r="E91" s="77"/>
      <c r="F91" s="160" t="str">
        <f ca="1">IFERROR(VALUE(IF(VLOOKUP($A91,数出表_Excel!$A$6:$T$150,COLUMN()/2+1,FALSE)=0,"",VLOOKUP($A91,数出表_Excel!$A$6:$T$150,COLUMN()/2+1,FALSE))),"")</f>
        <v/>
      </c>
      <c r="G91" s="61"/>
      <c r="H91" s="150" t="str">
        <f ca="1">IFERROR(VALUE(IF(VLOOKUP($A91,数出表_Excel!$A$6:$T$150,COLUMN()/2+1,FALSE)=0,"",VLOOKUP($A91,数出表_Excel!$A$6:$T$150,COLUMN()/2+1,FALSE))),"")</f>
        <v/>
      </c>
      <c r="I91" s="77"/>
      <c r="J91" s="160" t="str">
        <f ca="1">IFERROR(VALUE(IF(VLOOKUP($A91,数出表_Excel!$A$6:$T$150,COLUMN()/2+1,FALSE)=0,"",VLOOKUP($A91,数出表_Excel!$A$6:$T$150,COLUMN()/2+1,FALSE))),"")</f>
        <v/>
      </c>
      <c r="K91" s="61"/>
      <c r="L91" s="150" t="str">
        <f ca="1">IFERROR(VALUE(IF(VLOOKUP($A91,数出表_Excel!$A$6:$T$150,COLUMN()/2+1,FALSE)=0,"",VLOOKUP($A91,数出表_Excel!$A$6:$T$150,COLUMN()/2+1,FALSE))),"")</f>
        <v/>
      </c>
      <c r="M91" s="77"/>
      <c r="N91" s="160" t="str">
        <f ca="1">IFERROR(VALUE(IF(VLOOKUP($A91,数出表_Excel!$A$6:$T$150,COLUMN()/2+1,FALSE)=0,"",VLOOKUP($A91,数出表_Excel!$A$6:$T$150,COLUMN()/2+1,FALSE))),"")</f>
        <v/>
      </c>
      <c r="O91" s="61"/>
      <c r="P91" s="150" t="str">
        <f ca="1">IFERROR(VALUE(IF(VLOOKUP($A91,数出表_Excel!$A$6:$T$150,COLUMN()/2+1,FALSE)=0,"",VLOOKUP($A91,数出表_Excel!$A$6:$T$150,COLUMN()/2+1,FALSE))),"")</f>
        <v/>
      </c>
      <c r="Q91" s="77"/>
      <c r="R91" s="160" t="str">
        <f ca="1">IFERROR(VALUE(IF(VLOOKUP($A91,数出表_Excel!$A$6:$T$150,COLUMN()/2+1,FALSE)=0,"",VLOOKUP($A91,数出表_Excel!$A$6:$T$150,COLUMN()/2+1,FALSE))),"")</f>
        <v/>
      </c>
      <c r="S91" s="61"/>
      <c r="T91" s="150" t="str">
        <f ca="1">IFERROR(VALUE(IF(VLOOKUP($A91,数出表_Excel!$A$6:$T$150,COLUMN()/2+1,FALSE)=0,"",VLOOKUP($A91,数出表_Excel!$A$6:$T$150,COLUMN()/2+1,FALSE))),"")</f>
        <v/>
      </c>
      <c r="U91" s="77"/>
      <c r="V91" s="160" t="str">
        <f ca="1">IFERROR(VALUE(IF(VLOOKUP($A91,数出表_Excel!$A$6:$T$150,COLUMN()/2+1,FALSE)=0,"",VLOOKUP($A91,数出表_Excel!$A$6:$T$150,COLUMN()/2+1,FALSE))),"")</f>
        <v/>
      </c>
      <c r="W91" s="61"/>
      <c r="X91" s="150" t="str">
        <f ca="1">IFERROR(VALUE(IF(VLOOKUP($A91,数出表_Excel!$A$6:$T$150,COLUMN()/2+1,FALSE)=0,"",VLOOKUP($A91,数出表_Excel!$A$6:$T$150,COLUMN()/2+1,FALSE))),"")</f>
        <v/>
      </c>
      <c r="Y91" s="77"/>
      <c r="Z91" s="160" t="str">
        <f ca="1">IFERROR(VALUE(IF(VLOOKUP($A91,数出表_Excel!$A$6:$T$150,COLUMN()/2+1,FALSE)=0,"",VLOOKUP($A91,数出表_Excel!$A$6:$T$150,COLUMN()/2+1,FALSE))),"")</f>
        <v/>
      </c>
      <c r="AA91" s="77"/>
      <c r="AB91" s="150" t="str">
        <f ca="1">IFERROR(VALUE(IF(VLOOKUP($A91,数出表_Excel!$A$6:$T$150,COLUMN()/2+1,FALSE)=0,"",VLOOKUP($A91,数出表_Excel!$A$6:$T$150,COLUMN()/2+1,FALSE))),"")</f>
        <v/>
      </c>
      <c r="AC91" s="77"/>
      <c r="AD91" s="150" t="str">
        <f ca="1">IFERROR(VALUE(IF(VLOOKUP($A91,数出表_Excel!$A$6:$T$150,COLUMN()/2+1,FALSE)=0,"",VLOOKUP($A91,数出表_Excel!$A$6:$T$150,COLUMN()/2+1,FALSE))),"")</f>
        <v/>
      </c>
      <c r="AE91" s="77"/>
      <c r="AF91" s="150" t="str">
        <f ca="1">IFERROR(VALUE(IF(VLOOKUP($A91,数出表_Excel!$A$6:$T$150,COLUMN()/2+1,FALSE)=0,"",VLOOKUP($A91,数出表_Excel!$A$6:$T$150,COLUMN()/2+1,FALSE))),"")</f>
        <v/>
      </c>
      <c r="AG91" s="77"/>
      <c r="AH91" s="150" t="str">
        <f ca="1">IFERROR(VALUE(IF(VLOOKUP($A91,数出表_Excel!$A$6:$T$150,COLUMN()/2+1,FALSE)=0,"",VLOOKUP($A91,数出表_Excel!$A$6:$T$150,COLUMN()/2+1,FALSE))),"")</f>
        <v/>
      </c>
      <c r="AI91" s="77"/>
      <c r="AJ91" s="150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50" t="str">
        <f ca="1">IFERROR(VALUE(IF(VLOOKUP($A93,数出表_Excel!$A$6:$T$150,COLUMN()/2+1,FALSE)=0,"",VLOOKUP($A93,数出表_Excel!$A$6:$T$150,COLUMN()/2+1,FALSE))),"")</f>
        <v/>
      </c>
      <c r="C93" s="61"/>
      <c r="D93" s="150" t="str">
        <f ca="1">IFERROR(VALUE(IF(VLOOKUP($A93,数出表_Excel!$A$6:$T$150,COLUMN()/2+1,FALSE)=0,"",VLOOKUP($A93,数出表_Excel!$A$6:$T$150,COLUMN()/2+1,FALSE))),"")</f>
        <v/>
      </c>
      <c r="E93" s="77"/>
      <c r="F93" s="160" t="str">
        <f ca="1">IFERROR(VALUE(IF(VLOOKUP($A93,数出表_Excel!$A$6:$T$150,COLUMN()/2+1,FALSE)=0,"",VLOOKUP($A93,数出表_Excel!$A$6:$T$150,COLUMN()/2+1,FALSE))),"")</f>
        <v/>
      </c>
      <c r="G93" s="61"/>
      <c r="H93" s="150" t="str">
        <f ca="1">IFERROR(VALUE(IF(VLOOKUP($A93,数出表_Excel!$A$6:$T$150,COLUMN()/2+1,FALSE)=0,"",VLOOKUP($A93,数出表_Excel!$A$6:$T$150,COLUMN()/2+1,FALSE))),"")</f>
        <v/>
      </c>
      <c r="I93" s="77"/>
      <c r="J93" s="160" t="str">
        <f ca="1">IFERROR(VALUE(IF(VLOOKUP($A93,数出表_Excel!$A$6:$T$150,COLUMN()/2+1,FALSE)=0,"",VLOOKUP($A93,数出表_Excel!$A$6:$T$150,COLUMN()/2+1,FALSE))),"")</f>
        <v/>
      </c>
      <c r="K93" s="61"/>
      <c r="L93" s="150" t="str">
        <f ca="1">IFERROR(VALUE(IF(VLOOKUP($A93,数出表_Excel!$A$6:$T$150,COLUMN()/2+1,FALSE)=0,"",VLOOKUP($A93,数出表_Excel!$A$6:$T$150,COLUMN()/2+1,FALSE))),"")</f>
        <v/>
      </c>
      <c r="M93" s="77"/>
      <c r="N93" s="160" t="str">
        <f ca="1">IFERROR(VALUE(IF(VLOOKUP($A93,数出表_Excel!$A$6:$T$150,COLUMN()/2+1,FALSE)=0,"",VLOOKUP($A93,数出表_Excel!$A$6:$T$150,COLUMN()/2+1,FALSE))),"")</f>
        <v/>
      </c>
      <c r="O93" s="61"/>
      <c r="P93" s="150" t="str">
        <f ca="1">IFERROR(VALUE(IF(VLOOKUP($A93,数出表_Excel!$A$6:$T$150,COLUMN()/2+1,FALSE)=0,"",VLOOKUP($A93,数出表_Excel!$A$6:$T$150,COLUMN()/2+1,FALSE))),"")</f>
        <v/>
      </c>
      <c r="Q93" s="77"/>
      <c r="R93" s="160" t="str">
        <f ca="1">IFERROR(VALUE(IF(VLOOKUP($A93,数出表_Excel!$A$6:$T$150,COLUMN()/2+1,FALSE)=0,"",VLOOKUP($A93,数出表_Excel!$A$6:$T$150,COLUMN()/2+1,FALSE))),"")</f>
        <v/>
      </c>
      <c r="S93" s="61"/>
      <c r="T93" s="150" t="str">
        <f ca="1">IFERROR(VALUE(IF(VLOOKUP($A93,数出表_Excel!$A$6:$T$150,COLUMN()/2+1,FALSE)=0,"",VLOOKUP($A93,数出表_Excel!$A$6:$T$150,COLUMN()/2+1,FALSE))),"")</f>
        <v/>
      </c>
      <c r="U93" s="77"/>
      <c r="V93" s="160" t="str">
        <f ca="1">IFERROR(VALUE(IF(VLOOKUP($A93,数出表_Excel!$A$6:$T$150,COLUMN()/2+1,FALSE)=0,"",VLOOKUP($A93,数出表_Excel!$A$6:$T$150,COLUMN()/2+1,FALSE))),"")</f>
        <v/>
      </c>
      <c r="W93" s="61"/>
      <c r="X93" s="150" t="str">
        <f ca="1">IFERROR(VALUE(IF(VLOOKUP($A93,数出表_Excel!$A$6:$T$150,COLUMN()/2+1,FALSE)=0,"",VLOOKUP($A93,数出表_Excel!$A$6:$T$150,COLUMN()/2+1,FALSE))),"")</f>
        <v/>
      </c>
      <c r="Y93" s="77"/>
      <c r="Z93" s="160" t="str">
        <f ca="1">IFERROR(VALUE(IF(VLOOKUP($A93,数出表_Excel!$A$6:$T$150,COLUMN()/2+1,FALSE)=0,"",VLOOKUP($A93,数出表_Excel!$A$6:$T$150,COLUMN()/2+1,FALSE))),"")</f>
        <v/>
      </c>
      <c r="AA93" s="77"/>
      <c r="AB93" s="150" t="str">
        <f ca="1">IFERROR(VALUE(IF(VLOOKUP($A93,数出表_Excel!$A$6:$T$150,COLUMN()/2+1,FALSE)=0,"",VLOOKUP($A93,数出表_Excel!$A$6:$T$150,COLUMN()/2+1,FALSE))),"")</f>
        <v/>
      </c>
      <c r="AC93" s="77"/>
      <c r="AD93" s="150" t="str">
        <f ca="1">IFERROR(VALUE(IF(VLOOKUP($A93,数出表_Excel!$A$6:$T$150,COLUMN()/2+1,FALSE)=0,"",VLOOKUP($A93,数出表_Excel!$A$6:$T$150,COLUMN()/2+1,FALSE))),"")</f>
        <v/>
      </c>
      <c r="AE93" s="77"/>
      <c r="AF93" s="150" t="str">
        <f ca="1">IFERROR(VALUE(IF(VLOOKUP($A93,数出表_Excel!$A$6:$T$150,COLUMN()/2+1,FALSE)=0,"",VLOOKUP($A93,数出表_Excel!$A$6:$T$150,COLUMN()/2+1,FALSE))),"")</f>
        <v/>
      </c>
      <c r="AG93" s="77"/>
      <c r="AH93" s="150" t="str">
        <f ca="1">IFERROR(VALUE(IF(VLOOKUP($A93,数出表_Excel!$A$6:$T$150,COLUMN()/2+1,FALSE)=0,"",VLOOKUP($A93,数出表_Excel!$A$6:$T$150,COLUMN()/2+1,FALSE))),"")</f>
        <v/>
      </c>
      <c r="AI93" s="77"/>
      <c r="AJ93" s="150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/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50" t="str">
        <f ca="1">IFERROR(VALUE(IF(VLOOKUP($A95,数出表_Excel!$A$6:$T$150,COLUMN()/2+1,FALSE)=0,"",VLOOKUP($A95,数出表_Excel!$A$6:$T$150,COLUMN()/2+1,FALSE))),"")</f>
        <v/>
      </c>
      <c r="C95" s="61"/>
      <c r="D95" s="150" t="str">
        <f ca="1">IFERROR(VALUE(IF(VLOOKUP($A95,数出表_Excel!$A$6:$T$150,COLUMN()/2+1,FALSE)=0,"",VLOOKUP($A95,数出表_Excel!$A$6:$T$150,COLUMN()/2+1,FALSE))),"")</f>
        <v/>
      </c>
      <c r="E95" s="77"/>
      <c r="F95" s="160" t="str">
        <f ca="1">IFERROR(VALUE(IF(VLOOKUP($A95,数出表_Excel!$A$6:$T$150,COLUMN()/2+1,FALSE)=0,"",VLOOKUP($A95,数出表_Excel!$A$6:$T$150,COLUMN()/2+1,FALSE))),"")</f>
        <v/>
      </c>
      <c r="G95" s="61"/>
      <c r="H95" s="150" t="str">
        <f ca="1">IFERROR(VALUE(IF(VLOOKUP($A95,数出表_Excel!$A$6:$T$150,COLUMN()/2+1,FALSE)=0,"",VLOOKUP($A95,数出表_Excel!$A$6:$T$150,COLUMN()/2+1,FALSE))),"")</f>
        <v/>
      </c>
      <c r="I95" s="77"/>
      <c r="J95" s="160" t="str">
        <f ca="1">IFERROR(VALUE(IF(VLOOKUP($A95,数出表_Excel!$A$6:$T$150,COLUMN()/2+1,FALSE)=0,"",VLOOKUP($A95,数出表_Excel!$A$6:$T$150,COLUMN()/2+1,FALSE))),"")</f>
        <v/>
      </c>
      <c r="K95" s="61"/>
      <c r="L95" s="150" t="str">
        <f ca="1">IFERROR(VALUE(IF(VLOOKUP($A95,数出表_Excel!$A$6:$T$150,COLUMN()/2+1,FALSE)=0,"",VLOOKUP($A95,数出表_Excel!$A$6:$T$150,COLUMN()/2+1,FALSE))),"")</f>
        <v/>
      </c>
      <c r="M95" s="77"/>
      <c r="N95" s="160" t="str">
        <f ca="1">IFERROR(VALUE(IF(VLOOKUP($A95,数出表_Excel!$A$6:$T$150,COLUMN()/2+1,FALSE)=0,"",VLOOKUP($A95,数出表_Excel!$A$6:$T$150,COLUMN()/2+1,FALSE))),"")</f>
        <v/>
      </c>
      <c r="O95" s="61"/>
      <c r="P95" s="150" t="str">
        <f ca="1">IFERROR(VALUE(IF(VLOOKUP($A95,数出表_Excel!$A$6:$T$150,COLUMN()/2+1,FALSE)=0,"",VLOOKUP($A95,数出表_Excel!$A$6:$T$150,COLUMN()/2+1,FALSE))),"")</f>
        <v/>
      </c>
      <c r="Q95" s="77"/>
      <c r="R95" s="160" t="str">
        <f ca="1">IFERROR(VALUE(IF(VLOOKUP($A95,数出表_Excel!$A$6:$T$150,COLUMN()/2+1,FALSE)=0,"",VLOOKUP($A95,数出表_Excel!$A$6:$T$150,COLUMN()/2+1,FALSE))),"")</f>
        <v/>
      </c>
      <c r="S95" s="61"/>
      <c r="T95" s="150" t="str">
        <f ca="1">IFERROR(VALUE(IF(VLOOKUP($A95,数出表_Excel!$A$6:$T$150,COLUMN()/2+1,FALSE)=0,"",VLOOKUP($A95,数出表_Excel!$A$6:$T$150,COLUMN()/2+1,FALSE))),"")</f>
        <v/>
      </c>
      <c r="U95" s="77"/>
      <c r="V95" s="160" t="str">
        <f ca="1">IFERROR(VALUE(IF(VLOOKUP($A95,数出表_Excel!$A$6:$T$150,COLUMN()/2+1,FALSE)=0,"",VLOOKUP($A95,数出表_Excel!$A$6:$T$150,COLUMN()/2+1,FALSE))),"")</f>
        <v/>
      </c>
      <c r="W95" s="61"/>
      <c r="X95" s="150" t="str">
        <f ca="1">IFERROR(VALUE(IF(VLOOKUP($A95,数出表_Excel!$A$6:$T$150,COLUMN()/2+1,FALSE)=0,"",VLOOKUP($A95,数出表_Excel!$A$6:$T$150,COLUMN()/2+1,FALSE))),"")</f>
        <v/>
      </c>
      <c r="Y95" s="77"/>
      <c r="Z95" s="160" t="str">
        <f ca="1">IFERROR(VALUE(IF(VLOOKUP($A95,数出表_Excel!$A$6:$T$150,COLUMN()/2+1,FALSE)=0,"",VLOOKUP($A95,数出表_Excel!$A$6:$T$150,COLUMN()/2+1,FALSE))),"")</f>
        <v/>
      </c>
      <c r="AA95" s="77"/>
      <c r="AB95" s="150" t="str">
        <f ca="1">IFERROR(VALUE(IF(VLOOKUP($A95,数出表_Excel!$A$6:$T$150,COLUMN()/2+1,FALSE)=0,"",VLOOKUP($A95,数出表_Excel!$A$6:$T$150,COLUMN()/2+1,FALSE))),"")</f>
        <v/>
      </c>
      <c r="AC95" s="77"/>
      <c r="AD95" s="150" t="str">
        <f ca="1">IFERROR(VALUE(IF(VLOOKUP($A95,数出表_Excel!$A$6:$T$150,COLUMN()/2+1,FALSE)=0,"",VLOOKUP($A95,数出表_Excel!$A$6:$T$150,COLUMN()/2+1,FALSE))),"")</f>
        <v/>
      </c>
      <c r="AE95" s="77"/>
      <c r="AF95" s="150" t="str">
        <f ca="1">IFERROR(VALUE(IF(VLOOKUP($A95,数出表_Excel!$A$6:$T$150,COLUMN()/2+1,FALSE)=0,"",VLOOKUP($A95,数出表_Excel!$A$6:$T$150,COLUMN()/2+1,FALSE))),"")</f>
        <v/>
      </c>
      <c r="AG95" s="77"/>
      <c r="AH95" s="150" t="str">
        <f ca="1">IFERROR(VALUE(IF(VLOOKUP($A95,数出表_Excel!$A$6:$T$150,COLUMN()/2+1,FALSE)=0,"",VLOOKUP($A95,数出表_Excel!$A$6:$T$150,COLUMN()/2+1,FALSE))),"")</f>
        <v/>
      </c>
      <c r="AI95" s="77"/>
      <c r="AJ95" s="150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50" t="str">
        <f ca="1">IFERROR(VALUE(IF(VLOOKUP($A97,数出表_Excel!$A$6:$T$150,COLUMN()/2+1,FALSE)=0,"",VLOOKUP($A97,数出表_Excel!$A$6:$T$150,COLUMN()/2+1,FALSE))),"")</f>
        <v/>
      </c>
      <c r="C97" s="61"/>
      <c r="D97" s="150" t="str">
        <f ca="1">IFERROR(VALUE(IF(VLOOKUP($A97,数出表_Excel!$A$6:$T$150,COLUMN()/2+1,FALSE)=0,"",VLOOKUP($A97,数出表_Excel!$A$6:$T$150,COLUMN()/2+1,FALSE))),"")</f>
        <v/>
      </c>
      <c r="E97" s="77"/>
      <c r="F97" s="160" t="str">
        <f ca="1">IFERROR(VALUE(IF(VLOOKUP($A97,数出表_Excel!$A$6:$T$150,COLUMN()/2+1,FALSE)=0,"",VLOOKUP($A97,数出表_Excel!$A$6:$T$150,COLUMN()/2+1,FALSE))),"")</f>
        <v/>
      </c>
      <c r="G97" s="61"/>
      <c r="H97" s="150" t="str">
        <f ca="1">IFERROR(VALUE(IF(VLOOKUP($A97,数出表_Excel!$A$6:$T$150,COLUMN()/2+1,FALSE)=0,"",VLOOKUP($A97,数出表_Excel!$A$6:$T$150,COLUMN()/2+1,FALSE))),"")</f>
        <v/>
      </c>
      <c r="I97" s="77"/>
      <c r="J97" s="160" t="str">
        <f ca="1">IFERROR(VALUE(IF(VLOOKUP($A97,数出表_Excel!$A$6:$T$150,COLUMN()/2+1,FALSE)=0,"",VLOOKUP($A97,数出表_Excel!$A$6:$T$150,COLUMN()/2+1,FALSE))),"")</f>
        <v/>
      </c>
      <c r="K97" s="61"/>
      <c r="L97" s="150" t="str">
        <f ca="1">IFERROR(VALUE(IF(VLOOKUP($A97,数出表_Excel!$A$6:$T$150,COLUMN()/2+1,FALSE)=0,"",VLOOKUP($A97,数出表_Excel!$A$6:$T$150,COLUMN()/2+1,FALSE))),"")</f>
        <v/>
      </c>
      <c r="M97" s="77"/>
      <c r="N97" s="160" t="str">
        <f ca="1">IFERROR(VALUE(IF(VLOOKUP($A97,数出表_Excel!$A$6:$T$150,COLUMN()/2+1,FALSE)=0,"",VLOOKUP($A97,数出表_Excel!$A$6:$T$150,COLUMN()/2+1,FALSE))),"")</f>
        <v/>
      </c>
      <c r="O97" s="61"/>
      <c r="P97" s="150" t="str">
        <f ca="1">IFERROR(VALUE(IF(VLOOKUP($A97,数出表_Excel!$A$6:$T$150,COLUMN()/2+1,FALSE)=0,"",VLOOKUP($A97,数出表_Excel!$A$6:$T$150,COLUMN()/2+1,FALSE))),"")</f>
        <v/>
      </c>
      <c r="Q97" s="77"/>
      <c r="R97" s="160" t="str">
        <f ca="1">IFERROR(VALUE(IF(VLOOKUP($A97,数出表_Excel!$A$6:$T$150,COLUMN()/2+1,FALSE)=0,"",VLOOKUP($A97,数出表_Excel!$A$6:$T$150,COLUMN()/2+1,FALSE))),"")</f>
        <v/>
      </c>
      <c r="S97" s="61"/>
      <c r="T97" s="150" t="str">
        <f ca="1">IFERROR(VALUE(IF(VLOOKUP($A97,数出表_Excel!$A$6:$T$150,COLUMN()/2+1,FALSE)=0,"",VLOOKUP($A97,数出表_Excel!$A$6:$T$150,COLUMN()/2+1,FALSE))),"")</f>
        <v/>
      </c>
      <c r="U97" s="77"/>
      <c r="V97" s="160" t="str">
        <f ca="1">IFERROR(VALUE(IF(VLOOKUP($A97,数出表_Excel!$A$6:$T$150,COLUMN()/2+1,FALSE)=0,"",VLOOKUP($A97,数出表_Excel!$A$6:$T$150,COLUMN()/2+1,FALSE))),"")</f>
        <v/>
      </c>
      <c r="W97" s="61"/>
      <c r="X97" s="150" t="str">
        <f ca="1">IFERROR(VALUE(IF(VLOOKUP($A97,数出表_Excel!$A$6:$T$150,COLUMN()/2+1,FALSE)=0,"",VLOOKUP($A97,数出表_Excel!$A$6:$T$150,COLUMN()/2+1,FALSE))),"")</f>
        <v/>
      </c>
      <c r="Y97" s="77"/>
      <c r="Z97" s="160" t="str">
        <f ca="1">IFERROR(VALUE(IF(VLOOKUP($A97,数出表_Excel!$A$6:$T$150,COLUMN()/2+1,FALSE)=0,"",VLOOKUP($A97,数出表_Excel!$A$6:$T$150,COLUMN()/2+1,FALSE))),"")</f>
        <v/>
      </c>
      <c r="AA97" s="77"/>
      <c r="AB97" s="150" t="str">
        <f ca="1">IFERROR(VALUE(IF(VLOOKUP($A97,数出表_Excel!$A$6:$T$150,COLUMN()/2+1,FALSE)=0,"",VLOOKUP($A97,数出表_Excel!$A$6:$T$150,COLUMN()/2+1,FALSE))),"")</f>
        <v/>
      </c>
      <c r="AC97" s="77"/>
      <c r="AD97" s="150" t="str">
        <f ca="1">IFERROR(VALUE(IF(VLOOKUP($A97,数出表_Excel!$A$6:$T$150,COLUMN()/2+1,FALSE)=0,"",VLOOKUP($A97,数出表_Excel!$A$6:$T$150,COLUMN()/2+1,FALSE))),"")</f>
        <v/>
      </c>
      <c r="AE97" s="77"/>
      <c r="AF97" s="150" t="str">
        <f ca="1">IFERROR(VALUE(IF(VLOOKUP($A97,数出表_Excel!$A$6:$T$150,COLUMN()/2+1,FALSE)=0,"",VLOOKUP($A97,数出表_Excel!$A$6:$T$150,COLUMN()/2+1,FALSE))),"")</f>
        <v/>
      </c>
      <c r="AG97" s="77"/>
      <c r="AH97" s="150" t="str">
        <f ca="1">IFERROR(VALUE(IF(VLOOKUP($A97,数出表_Excel!$A$6:$T$150,COLUMN()/2+1,FALSE)=0,"",VLOOKUP($A97,数出表_Excel!$A$6:$T$150,COLUMN()/2+1,FALSE))),"")</f>
        <v/>
      </c>
      <c r="AI97" s="77"/>
      <c r="AJ97" s="150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50" t="str">
        <f ca="1">IFERROR(VALUE(IF(VLOOKUP($A99,数出表_Excel!$A$6:$T$150,COLUMN()/2+1,FALSE)=0,"",VLOOKUP($A99,数出表_Excel!$A$6:$T$150,COLUMN()/2+1,FALSE))),"")</f>
        <v/>
      </c>
      <c r="C99" s="61"/>
      <c r="D99" s="150" t="str">
        <f ca="1">IFERROR(VALUE(IF(VLOOKUP($A99,数出表_Excel!$A$6:$T$150,COLUMN()/2+1,FALSE)=0,"",VLOOKUP($A99,数出表_Excel!$A$6:$T$150,COLUMN()/2+1,FALSE))),"")</f>
        <v/>
      </c>
      <c r="E99" s="77"/>
      <c r="F99" s="160" t="str">
        <f ca="1">IFERROR(VALUE(IF(VLOOKUP($A99,数出表_Excel!$A$6:$T$150,COLUMN()/2+1,FALSE)=0,"",VLOOKUP($A99,数出表_Excel!$A$6:$T$150,COLUMN()/2+1,FALSE))),"")</f>
        <v/>
      </c>
      <c r="G99" s="61"/>
      <c r="H99" s="150" t="str">
        <f ca="1">IFERROR(VALUE(IF(VLOOKUP($A99,数出表_Excel!$A$6:$T$150,COLUMN()/2+1,FALSE)=0,"",VLOOKUP($A99,数出表_Excel!$A$6:$T$150,COLUMN()/2+1,FALSE))),"")</f>
        <v/>
      </c>
      <c r="I99" s="77"/>
      <c r="J99" s="160" t="str">
        <f ca="1">IFERROR(VALUE(IF(VLOOKUP($A99,数出表_Excel!$A$6:$T$150,COLUMN()/2+1,FALSE)=0,"",VLOOKUP($A99,数出表_Excel!$A$6:$T$150,COLUMN()/2+1,FALSE))),"")</f>
        <v/>
      </c>
      <c r="K99" s="61"/>
      <c r="L99" s="150" t="str">
        <f ca="1">IFERROR(VALUE(IF(VLOOKUP($A99,数出表_Excel!$A$6:$T$150,COLUMN()/2+1,FALSE)=0,"",VLOOKUP($A99,数出表_Excel!$A$6:$T$150,COLUMN()/2+1,FALSE))),"")</f>
        <v/>
      </c>
      <c r="M99" s="77"/>
      <c r="N99" s="160" t="str">
        <f ca="1">IFERROR(VALUE(IF(VLOOKUP($A99,数出表_Excel!$A$6:$T$150,COLUMN()/2+1,FALSE)=0,"",VLOOKUP($A99,数出表_Excel!$A$6:$T$150,COLUMN()/2+1,FALSE))),"")</f>
        <v/>
      </c>
      <c r="O99" s="61"/>
      <c r="P99" s="150" t="str">
        <f ca="1">IFERROR(VALUE(IF(VLOOKUP($A99,数出表_Excel!$A$6:$T$150,COLUMN()/2+1,FALSE)=0,"",VLOOKUP($A99,数出表_Excel!$A$6:$T$150,COLUMN()/2+1,FALSE))),"")</f>
        <v/>
      </c>
      <c r="Q99" s="77"/>
      <c r="R99" s="160" t="str">
        <f ca="1">IFERROR(VALUE(IF(VLOOKUP($A99,数出表_Excel!$A$6:$T$150,COLUMN()/2+1,FALSE)=0,"",VLOOKUP($A99,数出表_Excel!$A$6:$T$150,COLUMN()/2+1,FALSE))),"")</f>
        <v/>
      </c>
      <c r="S99" s="61"/>
      <c r="T99" s="150" t="str">
        <f ca="1">IFERROR(VALUE(IF(VLOOKUP($A99,数出表_Excel!$A$6:$T$150,COLUMN()/2+1,FALSE)=0,"",VLOOKUP($A99,数出表_Excel!$A$6:$T$150,COLUMN()/2+1,FALSE))),"")</f>
        <v/>
      </c>
      <c r="U99" s="77"/>
      <c r="V99" s="160" t="str">
        <f ca="1">IFERROR(VALUE(IF(VLOOKUP($A99,数出表_Excel!$A$6:$T$150,COLUMN()/2+1,FALSE)=0,"",VLOOKUP($A99,数出表_Excel!$A$6:$T$150,COLUMN()/2+1,FALSE))),"")</f>
        <v/>
      </c>
      <c r="W99" s="61"/>
      <c r="X99" s="150" t="str">
        <f ca="1">IFERROR(VALUE(IF(VLOOKUP($A99,数出表_Excel!$A$6:$T$150,COLUMN()/2+1,FALSE)=0,"",VLOOKUP($A99,数出表_Excel!$A$6:$T$150,COLUMN()/2+1,FALSE))),"")</f>
        <v/>
      </c>
      <c r="Y99" s="77"/>
      <c r="Z99" s="160" t="str">
        <f ca="1">IFERROR(VALUE(IF(VLOOKUP($A99,数出表_Excel!$A$6:$T$150,COLUMN()/2+1,FALSE)=0,"",VLOOKUP($A99,数出表_Excel!$A$6:$T$150,COLUMN()/2+1,FALSE))),"")</f>
        <v/>
      </c>
      <c r="AA99" s="77"/>
      <c r="AB99" s="150" t="str">
        <f ca="1">IFERROR(VALUE(IF(VLOOKUP($A99,数出表_Excel!$A$6:$T$150,COLUMN()/2+1,FALSE)=0,"",VLOOKUP($A99,数出表_Excel!$A$6:$T$150,COLUMN()/2+1,FALSE))),"")</f>
        <v/>
      </c>
      <c r="AC99" s="77"/>
      <c r="AD99" s="150" t="str">
        <f ca="1">IFERROR(VALUE(IF(VLOOKUP($A99,数出表_Excel!$A$6:$T$150,COLUMN()/2+1,FALSE)=0,"",VLOOKUP($A99,数出表_Excel!$A$6:$T$150,COLUMN()/2+1,FALSE))),"")</f>
        <v/>
      </c>
      <c r="AE99" s="77"/>
      <c r="AF99" s="150" t="str">
        <f ca="1">IFERROR(VALUE(IF(VLOOKUP($A99,数出表_Excel!$A$6:$T$150,COLUMN()/2+1,FALSE)=0,"",VLOOKUP($A99,数出表_Excel!$A$6:$T$150,COLUMN()/2+1,FALSE))),"")</f>
        <v/>
      </c>
      <c r="AG99" s="77"/>
      <c r="AH99" s="150" t="str">
        <f ca="1">IFERROR(VALUE(IF(VLOOKUP($A99,数出表_Excel!$A$6:$T$150,COLUMN()/2+1,FALSE)=0,"",VLOOKUP($A99,数出表_Excel!$A$6:$T$150,COLUMN()/2+1,FALSE))),"")</f>
        <v/>
      </c>
      <c r="AI99" s="77"/>
      <c r="AJ99" s="150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/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50" t="str">
        <f ca="1">IFERROR(VALUE(IF(VLOOKUP($A101,数出表_Excel!$A$6:$T$150,COLUMN()/2+1,FALSE)=0,"",VLOOKUP($A101,数出表_Excel!$A$6:$T$150,COLUMN()/2+1,FALSE))),"")</f>
        <v/>
      </c>
      <c r="C101" s="61"/>
      <c r="D101" s="150" t="str">
        <f ca="1">IFERROR(VALUE(IF(VLOOKUP($A101,数出表_Excel!$A$6:$T$150,COLUMN()/2+1,FALSE)=0,"",VLOOKUP($A101,数出表_Excel!$A$6:$T$150,COLUMN()/2+1,FALSE))),"")</f>
        <v/>
      </c>
      <c r="E101" s="77"/>
      <c r="F101" s="160" t="str">
        <f ca="1">IFERROR(VALUE(IF(VLOOKUP($A101,数出表_Excel!$A$6:$T$150,COLUMN()/2+1,FALSE)=0,"",VLOOKUP($A101,数出表_Excel!$A$6:$T$150,COLUMN()/2+1,FALSE))),"")</f>
        <v/>
      </c>
      <c r="G101" s="61"/>
      <c r="H101" s="150" t="str">
        <f ca="1">IFERROR(VALUE(IF(VLOOKUP($A101,数出表_Excel!$A$6:$T$150,COLUMN()/2+1,FALSE)=0,"",VLOOKUP($A101,数出表_Excel!$A$6:$T$150,COLUMN()/2+1,FALSE))),"")</f>
        <v/>
      </c>
      <c r="I101" s="77"/>
      <c r="J101" s="160" t="str">
        <f ca="1">IFERROR(VALUE(IF(VLOOKUP($A101,数出表_Excel!$A$6:$T$150,COLUMN()/2+1,FALSE)=0,"",VLOOKUP($A101,数出表_Excel!$A$6:$T$150,COLUMN()/2+1,FALSE))),"")</f>
        <v/>
      </c>
      <c r="K101" s="61"/>
      <c r="L101" s="150" t="str">
        <f ca="1">IFERROR(VALUE(IF(VLOOKUP($A101,数出表_Excel!$A$6:$T$150,COLUMN()/2+1,FALSE)=0,"",VLOOKUP($A101,数出表_Excel!$A$6:$T$150,COLUMN()/2+1,FALSE))),"")</f>
        <v/>
      </c>
      <c r="M101" s="77"/>
      <c r="N101" s="160" t="str">
        <f ca="1">IFERROR(VALUE(IF(VLOOKUP($A101,数出表_Excel!$A$6:$T$150,COLUMN()/2+1,FALSE)=0,"",VLOOKUP($A101,数出表_Excel!$A$6:$T$150,COLUMN()/2+1,FALSE))),"")</f>
        <v/>
      </c>
      <c r="O101" s="61"/>
      <c r="P101" s="150" t="str">
        <f ca="1">IFERROR(VALUE(IF(VLOOKUP($A101,数出表_Excel!$A$6:$T$150,COLUMN()/2+1,FALSE)=0,"",VLOOKUP($A101,数出表_Excel!$A$6:$T$150,COLUMN()/2+1,FALSE))),"")</f>
        <v/>
      </c>
      <c r="Q101" s="77"/>
      <c r="R101" s="160" t="str">
        <f ca="1">IFERROR(VALUE(IF(VLOOKUP($A101,数出表_Excel!$A$6:$T$150,COLUMN()/2+1,FALSE)=0,"",VLOOKUP($A101,数出表_Excel!$A$6:$T$150,COLUMN()/2+1,FALSE))),"")</f>
        <v/>
      </c>
      <c r="S101" s="61"/>
      <c r="T101" s="150" t="str">
        <f ca="1">IFERROR(VALUE(IF(VLOOKUP($A101,数出表_Excel!$A$6:$T$150,COLUMN()/2+1,FALSE)=0,"",VLOOKUP($A101,数出表_Excel!$A$6:$T$150,COLUMN()/2+1,FALSE))),"")</f>
        <v/>
      </c>
      <c r="U101" s="77"/>
      <c r="V101" s="160" t="str">
        <f ca="1">IFERROR(VALUE(IF(VLOOKUP($A101,数出表_Excel!$A$6:$T$150,COLUMN()/2+1,FALSE)=0,"",VLOOKUP($A101,数出表_Excel!$A$6:$T$150,COLUMN()/2+1,FALSE))),"")</f>
        <v/>
      </c>
      <c r="W101" s="61"/>
      <c r="X101" s="150" t="str">
        <f ca="1">IFERROR(VALUE(IF(VLOOKUP($A101,数出表_Excel!$A$6:$T$150,COLUMN()/2+1,FALSE)=0,"",VLOOKUP($A101,数出表_Excel!$A$6:$T$150,COLUMN()/2+1,FALSE))),"")</f>
        <v/>
      </c>
      <c r="Y101" s="77"/>
      <c r="Z101" s="160" t="str">
        <f ca="1">IFERROR(VALUE(IF(VLOOKUP($A101,数出表_Excel!$A$6:$T$150,COLUMN()/2+1,FALSE)=0,"",VLOOKUP($A101,数出表_Excel!$A$6:$T$150,COLUMN()/2+1,FALSE))),"")</f>
        <v/>
      </c>
      <c r="AA101" s="77"/>
      <c r="AB101" s="150" t="str">
        <f ca="1">IFERROR(VALUE(IF(VLOOKUP($A101,数出表_Excel!$A$6:$T$150,COLUMN()/2+1,FALSE)=0,"",VLOOKUP($A101,数出表_Excel!$A$6:$T$150,COLUMN()/2+1,FALSE))),"")</f>
        <v/>
      </c>
      <c r="AC101" s="77"/>
      <c r="AD101" s="150" t="str">
        <f ca="1">IFERROR(VALUE(IF(VLOOKUP($A101,数出表_Excel!$A$6:$T$150,COLUMN()/2+1,FALSE)=0,"",VLOOKUP($A101,数出表_Excel!$A$6:$T$150,COLUMN()/2+1,FALSE))),"")</f>
        <v/>
      </c>
      <c r="AE101" s="77"/>
      <c r="AF101" s="150" t="str">
        <f ca="1">IFERROR(VALUE(IF(VLOOKUP($A101,数出表_Excel!$A$6:$T$150,COLUMN()/2+1,FALSE)=0,"",VLOOKUP($A101,数出表_Excel!$A$6:$T$150,COLUMN()/2+1,FALSE))),"")</f>
        <v/>
      </c>
      <c r="AG101" s="77"/>
      <c r="AH101" s="150" t="str">
        <f ca="1">IFERROR(VALUE(IF(VLOOKUP($A101,数出表_Excel!$A$6:$T$150,COLUMN()/2+1,FALSE)=0,"",VLOOKUP($A101,数出表_Excel!$A$6:$T$150,COLUMN()/2+1,FALSE))),"")</f>
        <v/>
      </c>
      <c r="AI101" s="77"/>
      <c r="AJ101" s="150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50" t="str">
        <f ca="1">IFERROR(VALUE(IF(VLOOKUP($A103,数出表_Excel!$A$6:$T$150,COLUMN()/2+1,FALSE)=0,"",VLOOKUP($A103,数出表_Excel!$A$6:$T$150,COLUMN()/2+1,FALSE))),"")</f>
        <v/>
      </c>
      <c r="C103" s="61"/>
      <c r="D103" s="150" t="str">
        <f ca="1">IFERROR(VALUE(IF(VLOOKUP($A103,数出表_Excel!$A$6:$T$150,COLUMN()/2+1,FALSE)=0,"",VLOOKUP($A103,数出表_Excel!$A$6:$T$150,COLUMN()/2+1,FALSE))),"")</f>
        <v/>
      </c>
      <c r="E103" s="77"/>
      <c r="F103" s="160" t="str">
        <f ca="1">IFERROR(VALUE(IF(VLOOKUP($A103,数出表_Excel!$A$6:$T$150,COLUMN()/2+1,FALSE)=0,"",VLOOKUP($A103,数出表_Excel!$A$6:$T$150,COLUMN()/2+1,FALSE))),"")</f>
        <v/>
      </c>
      <c r="G103" s="61"/>
      <c r="H103" s="150" t="str">
        <f ca="1">IFERROR(VALUE(IF(VLOOKUP($A103,数出表_Excel!$A$6:$T$150,COLUMN()/2+1,FALSE)=0,"",VLOOKUP($A103,数出表_Excel!$A$6:$T$150,COLUMN()/2+1,FALSE))),"")</f>
        <v/>
      </c>
      <c r="I103" s="77"/>
      <c r="J103" s="160" t="str">
        <f ca="1">IFERROR(VALUE(IF(VLOOKUP($A103,数出表_Excel!$A$6:$T$150,COLUMN()/2+1,FALSE)=0,"",VLOOKUP($A103,数出表_Excel!$A$6:$T$150,COLUMN()/2+1,FALSE))),"")</f>
        <v/>
      </c>
      <c r="K103" s="61"/>
      <c r="L103" s="150" t="str">
        <f ca="1">IFERROR(VALUE(IF(VLOOKUP($A103,数出表_Excel!$A$6:$T$150,COLUMN()/2+1,FALSE)=0,"",VLOOKUP($A103,数出表_Excel!$A$6:$T$150,COLUMN()/2+1,FALSE))),"")</f>
        <v/>
      </c>
      <c r="M103" s="77"/>
      <c r="N103" s="160" t="str">
        <f ca="1">IFERROR(VALUE(IF(VLOOKUP($A103,数出表_Excel!$A$6:$T$150,COLUMN()/2+1,FALSE)=0,"",VLOOKUP($A103,数出表_Excel!$A$6:$T$150,COLUMN()/2+1,FALSE))),"")</f>
        <v/>
      </c>
      <c r="O103" s="61"/>
      <c r="P103" s="150" t="str">
        <f ca="1">IFERROR(VALUE(IF(VLOOKUP($A103,数出表_Excel!$A$6:$T$150,COLUMN()/2+1,FALSE)=0,"",VLOOKUP($A103,数出表_Excel!$A$6:$T$150,COLUMN()/2+1,FALSE))),"")</f>
        <v/>
      </c>
      <c r="Q103" s="77"/>
      <c r="R103" s="160" t="str">
        <f ca="1">IFERROR(VALUE(IF(VLOOKUP($A103,数出表_Excel!$A$6:$T$150,COLUMN()/2+1,FALSE)=0,"",VLOOKUP($A103,数出表_Excel!$A$6:$T$150,COLUMN()/2+1,FALSE))),"")</f>
        <v/>
      </c>
      <c r="S103" s="61"/>
      <c r="T103" s="150" t="str">
        <f ca="1">IFERROR(VALUE(IF(VLOOKUP($A103,数出表_Excel!$A$6:$T$150,COLUMN()/2+1,FALSE)=0,"",VLOOKUP($A103,数出表_Excel!$A$6:$T$150,COLUMN()/2+1,FALSE))),"")</f>
        <v/>
      </c>
      <c r="U103" s="77"/>
      <c r="V103" s="160" t="str">
        <f ca="1">IFERROR(VALUE(IF(VLOOKUP($A103,数出表_Excel!$A$6:$T$150,COLUMN()/2+1,FALSE)=0,"",VLOOKUP($A103,数出表_Excel!$A$6:$T$150,COLUMN()/2+1,FALSE))),"")</f>
        <v/>
      </c>
      <c r="W103" s="61"/>
      <c r="X103" s="150" t="str">
        <f ca="1">IFERROR(VALUE(IF(VLOOKUP($A103,数出表_Excel!$A$6:$T$150,COLUMN()/2+1,FALSE)=0,"",VLOOKUP($A103,数出表_Excel!$A$6:$T$150,COLUMN()/2+1,FALSE))),"")</f>
        <v/>
      </c>
      <c r="Y103" s="77"/>
      <c r="Z103" s="160" t="str">
        <f ca="1">IFERROR(VALUE(IF(VLOOKUP($A103,数出表_Excel!$A$6:$T$150,COLUMN()/2+1,FALSE)=0,"",VLOOKUP($A103,数出表_Excel!$A$6:$T$150,COLUMN()/2+1,FALSE))),"")</f>
        <v/>
      </c>
      <c r="AA103" s="77"/>
      <c r="AB103" s="150" t="str">
        <f ca="1">IFERROR(VALUE(IF(VLOOKUP($A103,数出表_Excel!$A$6:$T$150,COLUMN()/2+1,FALSE)=0,"",VLOOKUP($A103,数出表_Excel!$A$6:$T$150,COLUMN()/2+1,FALSE))),"")</f>
        <v/>
      </c>
      <c r="AC103" s="77"/>
      <c r="AD103" s="150" t="str">
        <f ca="1">IFERROR(VALUE(IF(VLOOKUP($A103,数出表_Excel!$A$6:$T$150,COLUMN()/2+1,FALSE)=0,"",VLOOKUP($A103,数出表_Excel!$A$6:$T$150,COLUMN()/2+1,FALSE))),"")</f>
        <v/>
      </c>
      <c r="AE103" s="77"/>
      <c r="AF103" s="150" t="str">
        <f ca="1">IFERROR(VALUE(IF(VLOOKUP($A103,数出表_Excel!$A$6:$T$150,COLUMN()/2+1,FALSE)=0,"",VLOOKUP($A103,数出表_Excel!$A$6:$T$150,COLUMN()/2+1,FALSE))),"")</f>
        <v/>
      </c>
      <c r="AG103" s="77"/>
      <c r="AH103" s="150" t="str">
        <f ca="1">IFERROR(VALUE(IF(VLOOKUP($A103,数出表_Excel!$A$6:$T$150,COLUMN()/2+1,FALSE)=0,"",VLOOKUP($A103,数出表_Excel!$A$6:$T$150,COLUMN()/2+1,FALSE))),"")</f>
        <v/>
      </c>
      <c r="AI103" s="77"/>
      <c r="AJ103" s="150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50" t="str">
        <f ca="1">IFERROR(VALUE(IF(VLOOKUP($A105,数出表_Excel!$A$6:$T$150,COLUMN()/2+1,FALSE)=0,"",VLOOKUP($A105,数出表_Excel!$A$6:$T$150,COLUMN()/2+1,FALSE))),"")</f>
        <v/>
      </c>
      <c r="C105" s="61"/>
      <c r="D105" s="150" t="str">
        <f ca="1">IFERROR(VALUE(IF(VLOOKUP($A105,数出表_Excel!$A$6:$T$150,COLUMN()/2+1,FALSE)=0,"",VLOOKUP($A105,数出表_Excel!$A$6:$T$150,COLUMN()/2+1,FALSE))),"")</f>
        <v/>
      </c>
      <c r="E105" s="77"/>
      <c r="F105" s="160" t="str">
        <f ca="1">IFERROR(VALUE(IF(VLOOKUP($A105,数出表_Excel!$A$6:$T$150,COLUMN()/2+1,FALSE)=0,"",VLOOKUP($A105,数出表_Excel!$A$6:$T$150,COLUMN()/2+1,FALSE))),"")</f>
        <v/>
      </c>
      <c r="G105" s="61"/>
      <c r="H105" s="150" t="str">
        <f ca="1">IFERROR(VALUE(IF(VLOOKUP($A105,数出表_Excel!$A$6:$T$150,COLUMN()/2+1,FALSE)=0,"",VLOOKUP($A105,数出表_Excel!$A$6:$T$150,COLUMN()/2+1,FALSE))),"")</f>
        <v/>
      </c>
      <c r="I105" s="77"/>
      <c r="J105" s="160" t="str">
        <f ca="1">IFERROR(VALUE(IF(VLOOKUP($A105,数出表_Excel!$A$6:$T$150,COLUMN()/2+1,FALSE)=0,"",VLOOKUP($A105,数出表_Excel!$A$6:$T$150,COLUMN()/2+1,FALSE))),"")</f>
        <v/>
      </c>
      <c r="K105" s="61"/>
      <c r="L105" s="150" t="str">
        <f ca="1">IFERROR(VALUE(IF(VLOOKUP($A105,数出表_Excel!$A$6:$T$150,COLUMN()/2+1,FALSE)=0,"",VLOOKUP($A105,数出表_Excel!$A$6:$T$150,COLUMN()/2+1,FALSE))),"")</f>
        <v/>
      </c>
      <c r="M105" s="77"/>
      <c r="N105" s="160" t="str">
        <f ca="1">IFERROR(VALUE(IF(VLOOKUP($A105,数出表_Excel!$A$6:$T$150,COLUMN()/2+1,FALSE)=0,"",VLOOKUP($A105,数出表_Excel!$A$6:$T$150,COLUMN()/2+1,FALSE))),"")</f>
        <v/>
      </c>
      <c r="O105" s="61"/>
      <c r="P105" s="150" t="str">
        <f ca="1">IFERROR(VALUE(IF(VLOOKUP($A105,数出表_Excel!$A$6:$T$150,COLUMN()/2+1,FALSE)=0,"",VLOOKUP($A105,数出表_Excel!$A$6:$T$150,COLUMN()/2+1,FALSE))),"")</f>
        <v/>
      </c>
      <c r="Q105" s="77"/>
      <c r="R105" s="160" t="str">
        <f ca="1">IFERROR(VALUE(IF(VLOOKUP($A105,数出表_Excel!$A$6:$T$150,COLUMN()/2+1,FALSE)=0,"",VLOOKUP($A105,数出表_Excel!$A$6:$T$150,COLUMN()/2+1,FALSE))),"")</f>
        <v/>
      </c>
      <c r="S105" s="61"/>
      <c r="T105" s="150" t="str">
        <f ca="1">IFERROR(VALUE(IF(VLOOKUP($A105,数出表_Excel!$A$6:$T$150,COLUMN()/2+1,FALSE)=0,"",VLOOKUP($A105,数出表_Excel!$A$6:$T$150,COLUMN()/2+1,FALSE))),"")</f>
        <v/>
      </c>
      <c r="U105" s="77"/>
      <c r="V105" s="160" t="str">
        <f ca="1">IFERROR(VALUE(IF(VLOOKUP($A105,数出表_Excel!$A$6:$T$150,COLUMN()/2+1,FALSE)=0,"",VLOOKUP($A105,数出表_Excel!$A$6:$T$150,COLUMN()/2+1,FALSE))),"")</f>
        <v/>
      </c>
      <c r="W105" s="61"/>
      <c r="X105" s="150" t="str">
        <f ca="1">IFERROR(VALUE(IF(VLOOKUP($A105,数出表_Excel!$A$6:$T$150,COLUMN()/2+1,FALSE)=0,"",VLOOKUP($A105,数出表_Excel!$A$6:$T$150,COLUMN()/2+1,FALSE))),"")</f>
        <v/>
      </c>
      <c r="Y105" s="77"/>
      <c r="Z105" s="160" t="str">
        <f ca="1">IFERROR(VALUE(IF(VLOOKUP($A105,数出表_Excel!$A$6:$T$150,COLUMN()/2+1,FALSE)=0,"",VLOOKUP($A105,数出表_Excel!$A$6:$T$150,COLUMN()/2+1,FALSE))),"")</f>
        <v/>
      </c>
      <c r="AA105" s="77"/>
      <c r="AB105" s="150" t="str">
        <f ca="1">IFERROR(VALUE(IF(VLOOKUP($A105,数出表_Excel!$A$6:$T$150,COLUMN()/2+1,FALSE)=0,"",VLOOKUP($A105,数出表_Excel!$A$6:$T$150,COLUMN()/2+1,FALSE))),"")</f>
        <v/>
      </c>
      <c r="AC105" s="77"/>
      <c r="AD105" s="150" t="str">
        <f ca="1">IFERROR(VALUE(IF(VLOOKUP($A105,数出表_Excel!$A$6:$T$150,COLUMN()/2+1,FALSE)=0,"",VLOOKUP($A105,数出表_Excel!$A$6:$T$150,COLUMN()/2+1,FALSE))),"")</f>
        <v/>
      </c>
      <c r="AE105" s="77"/>
      <c r="AF105" s="150" t="str">
        <f ca="1">IFERROR(VALUE(IF(VLOOKUP($A105,数出表_Excel!$A$6:$T$150,COLUMN()/2+1,FALSE)=0,"",VLOOKUP($A105,数出表_Excel!$A$6:$T$150,COLUMN()/2+1,FALSE))),"")</f>
        <v/>
      </c>
      <c r="AG105" s="77"/>
      <c r="AH105" s="150" t="str">
        <f ca="1">IFERROR(VALUE(IF(VLOOKUP($A105,数出表_Excel!$A$6:$T$150,COLUMN()/2+1,FALSE)=0,"",VLOOKUP($A105,数出表_Excel!$A$6:$T$150,COLUMN()/2+1,FALSE))),"")</f>
        <v/>
      </c>
      <c r="AI105" s="77"/>
      <c r="AJ105" s="150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50" t="str">
        <f ca="1">IFERROR(VALUE(IF(VLOOKUP($A107,数出表_Excel!$A$6:$T$150,COLUMN()/2+1,FALSE)=0,"",VLOOKUP($A107,数出表_Excel!$A$6:$T$150,COLUMN()/2+1,FALSE))),"")</f>
        <v/>
      </c>
      <c r="C107" s="61"/>
      <c r="D107" s="150" t="str">
        <f ca="1">IFERROR(VALUE(IF(VLOOKUP($A107,数出表_Excel!$A$6:$T$150,COLUMN()/2+1,FALSE)=0,"",VLOOKUP($A107,数出表_Excel!$A$6:$T$150,COLUMN()/2+1,FALSE))),"")</f>
        <v/>
      </c>
      <c r="E107" s="77"/>
      <c r="F107" s="160" t="str">
        <f ca="1">IFERROR(VALUE(IF(VLOOKUP($A107,数出表_Excel!$A$6:$T$150,COLUMN()/2+1,FALSE)=0,"",VLOOKUP($A107,数出表_Excel!$A$6:$T$150,COLUMN()/2+1,FALSE))),"")</f>
        <v/>
      </c>
      <c r="G107" s="61"/>
      <c r="H107" s="150" t="str">
        <f ca="1">IFERROR(VALUE(IF(VLOOKUP($A107,数出表_Excel!$A$6:$T$150,COLUMN()/2+1,FALSE)=0,"",VLOOKUP($A107,数出表_Excel!$A$6:$T$150,COLUMN()/2+1,FALSE))),"")</f>
        <v/>
      </c>
      <c r="I107" s="77"/>
      <c r="J107" s="160" t="str">
        <f ca="1">IFERROR(VALUE(IF(VLOOKUP($A107,数出表_Excel!$A$6:$T$150,COLUMN()/2+1,FALSE)=0,"",VLOOKUP($A107,数出表_Excel!$A$6:$T$150,COLUMN()/2+1,FALSE))),"")</f>
        <v/>
      </c>
      <c r="K107" s="61"/>
      <c r="L107" s="150" t="str">
        <f ca="1">IFERROR(VALUE(IF(VLOOKUP($A107,数出表_Excel!$A$6:$T$150,COLUMN()/2+1,FALSE)=0,"",VLOOKUP($A107,数出表_Excel!$A$6:$T$150,COLUMN()/2+1,FALSE))),"")</f>
        <v/>
      </c>
      <c r="M107" s="77"/>
      <c r="N107" s="160" t="str">
        <f ca="1">IFERROR(VALUE(IF(VLOOKUP($A107,数出表_Excel!$A$6:$T$150,COLUMN()/2+1,FALSE)=0,"",VLOOKUP($A107,数出表_Excel!$A$6:$T$150,COLUMN()/2+1,FALSE))),"")</f>
        <v/>
      </c>
      <c r="O107" s="61"/>
      <c r="P107" s="150" t="str">
        <f ca="1">IFERROR(VALUE(IF(VLOOKUP($A107,数出表_Excel!$A$6:$T$150,COLUMN()/2+1,FALSE)=0,"",VLOOKUP($A107,数出表_Excel!$A$6:$T$150,COLUMN()/2+1,FALSE))),"")</f>
        <v/>
      </c>
      <c r="Q107" s="77"/>
      <c r="R107" s="160" t="str">
        <f ca="1">IFERROR(VALUE(IF(VLOOKUP($A107,数出表_Excel!$A$6:$T$150,COLUMN()/2+1,FALSE)=0,"",VLOOKUP($A107,数出表_Excel!$A$6:$T$150,COLUMN()/2+1,FALSE))),"")</f>
        <v/>
      </c>
      <c r="S107" s="61"/>
      <c r="T107" s="150" t="str">
        <f ca="1">IFERROR(VALUE(IF(VLOOKUP($A107,数出表_Excel!$A$6:$T$150,COLUMN()/2+1,FALSE)=0,"",VLOOKUP($A107,数出表_Excel!$A$6:$T$150,COLUMN()/2+1,FALSE))),"")</f>
        <v/>
      </c>
      <c r="U107" s="77"/>
      <c r="V107" s="160" t="str">
        <f ca="1">IFERROR(VALUE(IF(VLOOKUP($A107,数出表_Excel!$A$6:$T$150,COLUMN()/2+1,FALSE)=0,"",VLOOKUP($A107,数出表_Excel!$A$6:$T$150,COLUMN()/2+1,FALSE))),"")</f>
        <v/>
      </c>
      <c r="W107" s="61"/>
      <c r="X107" s="150" t="str">
        <f ca="1">IFERROR(VALUE(IF(VLOOKUP($A107,数出表_Excel!$A$6:$T$150,COLUMN()/2+1,FALSE)=0,"",VLOOKUP($A107,数出表_Excel!$A$6:$T$150,COLUMN()/2+1,FALSE))),"")</f>
        <v/>
      </c>
      <c r="Y107" s="77"/>
      <c r="Z107" s="160" t="str">
        <f ca="1">IFERROR(VALUE(IF(VLOOKUP($A107,数出表_Excel!$A$6:$T$150,COLUMN()/2+1,FALSE)=0,"",VLOOKUP($A107,数出表_Excel!$A$6:$T$150,COLUMN()/2+1,FALSE))),"")</f>
        <v/>
      </c>
      <c r="AA107" s="77"/>
      <c r="AB107" s="150" t="str">
        <f ca="1">IFERROR(VALUE(IF(VLOOKUP($A107,数出表_Excel!$A$6:$T$150,COLUMN()/2+1,FALSE)=0,"",VLOOKUP($A107,数出表_Excel!$A$6:$T$150,COLUMN()/2+1,FALSE))),"")</f>
        <v/>
      </c>
      <c r="AC107" s="77"/>
      <c r="AD107" s="150" t="str">
        <f ca="1">IFERROR(VALUE(IF(VLOOKUP($A107,数出表_Excel!$A$6:$T$150,COLUMN()/2+1,FALSE)=0,"",VLOOKUP($A107,数出表_Excel!$A$6:$T$150,COLUMN()/2+1,FALSE))),"")</f>
        <v/>
      </c>
      <c r="AE107" s="77"/>
      <c r="AF107" s="150" t="str">
        <f ca="1">IFERROR(VALUE(IF(VLOOKUP($A107,数出表_Excel!$A$6:$T$150,COLUMN()/2+1,FALSE)=0,"",VLOOKUP($A107,数出表_Excel!$A$6:$T$150,COLUMN()/2+1,FALSE))),"")</f>
        <v/>
      </c>
      <c r="AG107" s="77"/>
      <c r="AH107" s="150" t="str">
        <f ca="1">IFERROR(VALUE(IF(VLOOKUP($A107,数出表_Excel!$A$6:$T$150,COLUMN()/2+1,FALSE)=0,"",VLOOKUP($A107,数出表_Excel!$A$6:$T$150,COLUMN()/2+1,FALSE))),"")</f>
        <v/>
      </c>
      <c r="AI107" s="77"/>
      <c r="AJ107" s="150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50" t="str">
        <f ca="1">IFERROR(VALUE(IF(VLOOKUP($A109,数出表_Excel!$A$6:$T$150,COLUMN()/2+1,FALSE)=0,"",VLOOKUP($A109,数出表_Excel!$A$6:$T$150,COLUMN()/2+1,FALSE))),"")</f>
        <v/>
      </c>
      <c r="C109" s="61"/>
      <c r="D109" s="150" t="str">
        <f ca="1">IFERROR(VALUE(IF(VLOOKUP($A109,数出表_Excel!$A$6:$T$150,COLUMN()/2+1,FALSE)=0,"",VLOOKUP($A109,数出表_Excel!$A$6:$T$150,COLUMN()/2+1,FALSE))),"")</f>
        <v/>
      </c>
      <c r="E109" s="77"/>
      <c r="F109" s="160" t="str">
        <f ca="1">IFERROR(VALUE(IF(VLOOKUP($A109,数出表_Excel!$A$6:$T$150,COLUMN()/2+1,FALSE)=0,"",VLOOKUP($A109,数出表_Excel!$A$6:$T$150,COLUMN()/2+1,FALSE))),"")</f>
        <v/>
      </c>
      <c r="G109" s="61"/>
      <c r="H109" s="150" t="str">
        <f ca="1">IFERROR(VALUE(IF(VLOOKUP($A109,数出表_Excel!$A$6:$T$150,COLUMN()/2+1,FALSE)=0,"",VLOOKUP($A109,数出表_Excel!$A$6:$T$150,COLUMN()/2+1,FALSE))),"")</f>
        <v/>
      </c>
      <c r="I109" s="77"/>
      <c r="J109" s="160" t="str">
        <f ca="1">IFERROR(VALUE(IF(VLOOKUP($A109,数出表_Excel!$A$6:$T$150,COLUMN()/2+1,FALSE)=0,"",VLOOKUP($A109,数出表_Excel!$A$6:$T$150,COLUMN()/2+1,FALSE))),"")</f>
        <v/>
      </c>
      <c r="K109" s="61"/>
      <c r="L109" s="150" t="str">
        <f ca="1">IFERROR(VALUE(IF(VLOOKUP($A109,数出表_Excel!$A$6:$T$150,COLUMN()/2+1,FALSE)=0,"",VLOOKUP($A109,数出表_Excel!$A$6:$T$150,COLUMN()/2+1,FALSE))),"")</f>
        <v/>
      </c>
      <c r="M109" s="77"/>
      <c r="N109" s="160" t="str">
        <f ca="1">IFERROR(VALUE(IF(VLOOKUP($A109,数出表_Excel!$A$6:$T$150,COLUMN()/2+1,FALSE)=0,"",VLOOKUP($A109,数出表_Excel!$A$6:$T$150,COLUMN()/2+1,FALSE))),"")</f>
        <v/>
      </c>
      <c r="O109" s="61"/>
      <c r="P109" s="150" t="str">
        <f ca="1">IFERROR(VALUE(IF(VLOOKUP($A109,数出表_Excel!$A$6:$T$150,COLUMN()/2+1,FALSE)=0,"",VLOOKUP($A109,数出表_Excel!$A$6:$T$150,COLUMN()/2+1,FALSE))),"")</f>
        <v/>
      </c>
      <c r="Q109" s="77"/>
      <c r="R109" s="160" t="str">
        <f ca="1">IFERROR(VALUE(IF(VLOOKUP($A109,数出表_Excel!$A$6:$T$150,COLUMN()/2+1,FALSE)=0,"",VLOOKUP($A109,数出表_Excel!$A$6:$T$150,COLUMN()/2+1,FALSE))),"")</f>
        <v/>
      </c>
      <c r="S109" s="61"/>
      <c r="T109" s="150" t="str">
        <f ca="1">IFERROR(VALUE(IF(VLOOKUP($A109,数出表_Excel!$A$6:$T$150,COLUMN()/2+1,FALSE)=0,"",VLOOKUP($A109,数出表_Excel!$A$6:$T$150,COLUMN()/2+1,FALSE))),"")</f>
        <v/>
      </c>
      <c r="U109" s="77"/>
      <c r="V109" s="160" t="str">
        <f ca="1">IFERROR(VALUE(IF(VLOOKUP($A109,数出表_Excel!$A$6:$T$150,COLUMN()/2+1,FALSE)=0,"",VLOOKUP($A109,数出表_Excel!$A$6:$T$150,COLUMN()/2+1,FALSE))),"")</f>
        <v/>
      </c>
      <c r="W109" s="61"/>
      <c r="X109" s="150" t="str">
        <f ca="1">IFERROR(VALUE(IF(VLOOKUP($A109,数出表_Excel!$A$6:$T$150,COLUMN()/2+1,FALSE)=0,"",VLOOKUP($A109,数出表_Excel!$A$6:$T$150,COLUMN()/2+1,FALSE))),"")</f>
        <v/>
      </c>
      <c r="Y109" s="77"/>
      <c r="Z109" s="160" t="str">
        <f ca="1">IFERROR(VALUE(IF(VLOOKUP($A109,数出表_Excel!$A$6:$T$150,COLUMN()/2+1,FALSE)=0,"",VLOOKUP($A109,数出表_Excel!$A$6:$T$150,COLUMN()/2+1,FALSE))),"")</f>
        <v/>
      </c>
      <c r="AA109" s="77"/>
      <c r="AB109" s="150" t="str">
        <f ca="1">IFERROR(VALUE(IF(VLOOKUP($A109,数出表_Excel!$A$6:$T$150,COLUMN()/2+1,FALSE)=0,"",VLOOKUP($A109,数出表_Excel!$A$6:$T$150,COLUMN()/2+1,FALSE))),"")</f>
        <v/>
      </c>
      <c r="AC109" s="77"/>
      <c r="AD109" s="150" t="str">
        <f ca="1">IFERROR(VALUE(IF(VLOOKUP($A109,数出表_Excel!$A$6:$T$150,COLUMN()/2+1,FALSE)=0,"",VLOOKUP($A109,数出表_Excel!$A$6:$T$150,COLUMN()/2+1,FALSE))),"")</f>
        <v/>
      </c>
      <c r="AE109" s="77"/>
      <c r="AF109" s="150" t="str">
        <f ca="1">IFERROR(VALUE(IF(VLOOKUP($A109,数出表_Excel!$A$6:$T$150,COLUMN()/2+1,FALSE)=0,"",VLOOKUP($A109,数出表_Excel!$A$6:$T$150,COLUMN()/2+1,FALSE))),"")</f>
        <v/>
      </c>
      <c r="AG109" s="77"/>
      <c r="AH109" s="150" t="str">
        <f ca="1">IFERROR(VALUE(IF(VLOOKUP($A109,数出表_Excel!$A$6:$T$150,COLUMN()/2+1,FALSE)=0,"",VLOOKUP($A109,数出表_Excel!$A$6:$T$150,COLUMN()/2+1,FALSE))),"")</f>
        <v/>
      </c>
      <c r="AI109" s="77"/>
      <c r="AJ109" s="150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50" t="str">
        <f ca="1">IFERROR(VALUE(IF(VLOOKUP($A111,数出表_Excel!$A$6:$T$150,COLUMN()/2+1,FALSE)=0,"",VLOOKUP($A111,数出表_Excel!$A$6:$T$150,COLUMN()/2+1,FALSE))),"")</f>
        <v/>
      </c>
      <c r="C111" s="61"/>
      <c r="D111" s="150" t="str">
        <f ca="1">IFERROR(VALUE(IF(VLOOKUP($A111,数出表_Excel!$A$6:$T$150,COLUMN()/2+1,FALSE)=0,"",VLOOKUP($A111,数出表_Excel!$A$6:$T$150,COLUMN()/2+1,FALSE))),"")</f>
        <v/>
      </c>
      <c r="E111" s="77"/>
      <c r="F111" s="160" t="str">
        <f ca="1">IFERROR(VALUE(IF(VLOOKUP($A111,数出表_Excel!$A$6:$T$150,COLUMN()/2+1,FALSE)=0,"",VLOOKUP($A111,数出表_Excel!$A$6:$T$150,COLUMN()/2+1,FALSE))),"")</f>
        <v/>
      </c>
      <c r="G111" s="61"/>
      <c r="H111" s="150" t="str">
        <f ca="1">IFERROR(VALUE(IF(VLOOKUP($A111,数出表_Excel!$A$6:$T$150,COLUMN()/2+1,FALSE)=0,"",VLOOKUP($A111,数出表_Excel!$A$6:$T$150,COLUMN()/2+1,FALSE))),"")</f>
        <v/>
      </c>
      <c r="I111" s="77"/>
      <c r="J111" s="160" t="str">
        <f ca="1">IFERROR(VALUE(IF(VLOOKUP($A111,数出表_Excel!$A$6:$T$150,COLUMN()/2+1,FALSE)=0,"",VLOOKUP($A111,数出表_Excel!$A$6:$T$150,COLUMN()/2+1,FALSE))),"")</f>
        <v/>
      </c>
      <c r="K111" s="61"/>
      <c r="L111" s="150" t="str">
        <f ca="1">IFERROR(VALUE(IF(VLOOKUP($A111,数出表_Excel!$A$6:$T$150,COLUMN()/2+1,FALSE)=0,"",VLOOKUP($A111,数出表_Excel!$A$6:$T$150,COLUMN()/2+1,FALSE))),"")</f>
        <v/>
      </c>
      <c r="M111" s="77"/>
      <c r="N111" s="160" t="str">
        <f ca="1">IFERROR(VALUE(IF(VLOOKUP($A111,数出表_Excel!$A$6:$T$150,COLUMN()/2+1,FALSE)=0,"",VLOOKUP($A111,数出表_Excel!$A$6:$T$150,COLUMN()/2+1,FALSE))),"")</f>
        <v/>
      </c>
      <c r="O111" s="61"/>
      <c r="P111" s="150" t="str">
        <f ca="1">IFERROR(VALUE(IF(VLOOKUP($A111,数出表_Excel!$A$6:$T$150,COLUMN()/2+1,FALSE)=0,"",VLOOKUP($A111,数出表_Excel!$A$6:$T$150,COLUMN()/2+1,FALSE))),"")</f>
        <v/>
      </c>
      <c r="Q111" s="77"/>
      <c r="R111" s="160" t="str">
        <f ca="1">IFERROR(VALUE(IF(VLOOKUP($A111,数出表_Excel!$A$6:$T$150,COLUMN()/2+1,FALSE)=0,"",VLOOKUP($A111,数出表_Excel!$A$6:$T$150,COLUMN()/2+1,FALSE))),"")</f>
        <v/>
      </c>
      <c r="S111" s="61"/>
      <c r="T111" s="150" t="str">
        <f ca="1">IFERROR(VALUE(IF(VLOOKUP($A111,数出表_Excel!$A$6:$T$150,COLUMN()/2+1,FALSE)=0,"",VLOOKUP($A111,数出表_Excel!$A$6:$T$150,COLUMN()/2+1,FALSE))),"")</f>
        <v/>
      </c>
      <c r="U111" s="77"/>
      <c r="V111" s="160" t="str">
        <f ca="1">IFERROR(VALUE(IF(VLOOKUP($A111,数出表_Excel!$A$6:$T$150,COLUMN()/2+1,FALSE)=0,"",VLOOKUP($A111,数出表_Excel!$A$6:$T$150,COLUMN()/2+1,FALSE))),"")</f>
        <v/>
      </c>
      <c r="W111" s="61"/>
      <c r="X111" s="150" t="str">
        <f ca="1">IFERROR(VALUE(IF(VLOOKUP($A111,数出表_Excel!$A$6:$T$150,COLUMN()/2+1,FALSE)=0,"",VLOOKUP($A111,数出表_Excel!$A$6:$T$150,COLUMN()/2+1,FALSE))),"")</f>
        <v/>
      </c>
      <c r="Y111" s="77"/>
      <c r="Z111" s="160" t="str">
        <f ca="1">IFERROR(VALUE(IF(VLOOKUP($A111,数出表_Excel!$A$6:$T$150,COLUMN()/2+1,FALSE)=0,"",VLOOKUP($A111,数出表_Excel!$A$6:$T$150,COLUMN()/2+1,FALSE))),"")</f>
        <v/>
      </c>
      <c r="AA111" s="77"/>
      <c r="AB111" s="150" t="str">
        <f ca="1">IFERROR(VALUE(IF(VLOOKUP($A111,数出表_Excel!$A$6:$T$150,COLUMN()/2+1,FALSE)=0,"",VLOOKUP($A111,数出表_Excel!$A$6:$T$150,COLUMN()/2+1,FALSE))),"")</f>
        <v/>
      </c>
      <c r="AC111" s="77"/>
      <c r="AD111" s="150" t="str">
        <f ca="1">IFERROR(VALUE(IF(VLOOKUP($A111,数出表_Excel!$A$6:$T$150,COLUMN()/2+1,FALSE)=0,"",VLOOKUP($A111,数出表_Excel!$A$6:$T$150,COLUMN()/2+1,FALSE))),"")</f>
        <v/>
      </c>
      <c r="AE111" s="77"/>
      <c r="AF111" s="150" t="str">
        <f ca="1">IFERROR(VALUE(IF(VLOOKUP($A111,数出表_Excel!$A$6:$T$150,COLUMN()/2+1,FALSE)=0,"",VLOOKUP($A111,数出表_Excel!$A$6:$T$150,COLUMN()/2+1,FALSE))),"")</f>
        <v/>
      </c>
      <c r="AG111" s="77"/>
      <c r="AH111" s="150" t="str">
        <f ca="1">IFERROR(VALUE(IF(VLOOKUP($A111,数出表_Excel!$A$6:$T$150,COLUMN()/2+1,FALSE)=0,"",VLOOKUP($A111,数出表_Excel!$A$6:$T$150,COLUMN()/2+1,FALSE))),"")</f>
        <v/>
      </c>
      <c r="AI111" s="77"/>
      <c r="AJ111" s="150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50" t="str">
        <f ca="1">IFERROR(VALUE(IF(VLOOKUP($A113,数出表_Excel!$A$6:$T$150,COLUMN()/2+1,FALSE)=0,"",VLOOKUP($A113,数出表_Excel!$A$6:$T$150,COLUMN()/2+1,FALSE))),"")</f>
        <v/>
      </c>
      <c r="C113" s="61"/>
      <c r="D113" s="150" t="str">
        <f ca="1">IFERROR(VALUE(IF(VLOOKUP($A113,数出表_Excel!$A$6:$T$150,COLUMN()/2+1,FALSE)=0,"",VLOOKUP($A113,数出表_Excel!$A$6:$T$150,COLUMN()/2+1,FALSE))),"")</f>
        <v/>
      </c>
      <c r="E113" s="77"/>
      <c r="F113" s="160" t="str">
        <f ca="1">IFERROR(VALUE(IF(VLOOKUP($A113,数出表_Excel!$A$6:$T$150,COLUMN()/2+1,FALSE)=0,"",VLOOKUP($A113,数出表_Excel!$A$6:$T$150,COLUMN()/2+1,FALSE))),"")</f>
        <v/>
      </c>
      <c r="G113" s="61"/>
      <c r="H113" s="150" t="str">
        <f ca="1">IFERROR(VALUE(IF(VLOOKUP($A113,数出表_Excel!$A$6:$T$150,COLUMN()/2+1,FALSE)=0,"",VLOOKUP($A113,数出表_Excel!$A$6:$T$150,COLUMN()/2+1,FALSE))),"")</f>
        <v/>
      </c>
      <c r="I113" s="77"/>
      <c r="J113" s="160" t="str">
        <f ca="1">IFERROR(VALUE(IF(VLOOKUP($A113,数出表_Excel!$A$6:$T$150,COLUMN()/2+1,FALSE)=0,"",VLOOKUP($A113,数出表_Excel!$A$6:$T$150,COLUMN()/2+1,FALSE))),"")</f>
        <v/>
      </c>
      <c r="K113" s="61"/>
      <c r="L113" s="150" t="str">
        <f ca="1">IFERROR(VALUE(IF(VLOOKUP($A113,数出表_Excel!$A$6:$T$150,COLUMN()/2+1,FALSE)=0,"",VLOOKUP($A113,数出表_Excel!$A$6:$T$150,COLUMN()/2+1,FALSE))),"")</f>
        <v/>
      </c>
      <c r="M113" s="77"/>
      <c r="N113" s="160" t="str">
        <f ca="1">IFERROR(VALUE(IF(VLOOKUP($A113,数出表_Excel!$A$6:$T$150,COLUMN()/2+1,FALSE)=0,"",VLOOKUP($A113,数出表_Excel!$A$6:$T$150,COLUMN()/2+1,FALSE))),"")</f>
        <v/>
      </c>
      <c r="O113" s="61"/>
      <c r="P113" s="150" t="str">
        <f ca="1">IFERROR(VALUE(IF(VLOOKUP($A113,数出表_Excel!$A$6:$T$150,COLUMN()/2+1,FALSE)=0,"",VLOOKUP($A113,数出表_Excel!$A$6:$T$150,COLUMN()/2+1,FALSE))),"")</f>
        <v/>
      </c>
      <c r="Q113" s="77"/>
      <c r="R113" s="160" t="str">
        <f ca="1">IFERROR(VALUE(IF(VLOOKUP($A113,数出表_Excel!$A$6:$T$150,COLUMN()/2+1,FALSE)=0,"",VLOOKUP($A113,数出表_Excel!$A$6:$T$150,COLUMN()/2+1,FALSE))),"")</f>
        <v/>
      </c>
      <c r="S113" s="61"/>
      <c r="T113" s="150" t="str">
        <f ca="1">IFERROR(VALUE(IF(VLOOKUP($A113,数出表_Excel!$A$6:$T$150,COLUMN()/2+1,FALSE)=0,"",VLOOKUP($A113,数出表_Excel!$A$6:$T$150,COLUMN()/2+1,FALSE))),"")</f>
        <v/>
      </c>
      <c r="U113" s="77"/>
      <c r="V113" s="160" t="str">
        <f ca="1">IFERROR(VALUE(IF(VLOOKUP($A113,数出表_Excel!$A$6:$T$150,COLUMN()/2+1,FALSE)=0,"",VLOOKUP($A113,数出表_Excel!$A$6:$T$150,COLUMN()/2+1,FALSE))),"")</f>
        <v/>
      </c>
      <c r="W113" s="61"/>
      <c r="X113" s="150" t="str">
        <f ca="1">IFERROR(VALUE(IF(VLOOKUP($A113,数出表_Excel!$A$6:$T$150,COLUMN()/2+1,FALSE)=0,"",VLOOKUP($A113,数出表_Excel!$A$6:$T$150,COLUMN()/2+1,FALSE))),"")</f>
        <v/>
      </c>
      <c r="Y113" s="77"/>
      <c r="Z113" s="160" t="str">
        <f ca="1">IFERROR(VALUE(IF(VLOOKUP($A113,数出表_Excel!$A$6:$T$150,COLUMN()/2+1,FALSE)=0,"",VLOOKUP($A113,数出表_Excel!$A$6:$T$150,COLUMN()/2+1,FALSE))),"")</f>
        <v/>
      </c>
      <c r="AA113" s="77"/>
      <c r="AB113" s="150" t="str">
        <f ca="1">IFERROR(VALUE(IF(VLOOKUP($A113,数出表_Excel!$A$6:$T$150,COLUMN()/2+1,FALSE)=0,"",VLOOKUP($A113,数出表_Excel!$A$6:$T$150,COLUMN()/2+1,FALSE))),"")</f>
        <v/>
      </c>
      <c r="AC113" s="77"/>
      <c r="AD113" s="150" t="str">
        <f ca="1">IFERROR(VALUE(IF(VLOOKUP($A113,数出表_Excel!$A$6:$T$150,COLUMN()/2+1,FALSE)=0,"",VLOOKUP($A113,数出表_Excel!$A$6:$T$150,COLUMN()/2+1,FALSE))),"")</f>
        <v/>
      </c>
      <c r="AE113" s="77"/>
      <c r="AF113" s="150" t="str">
        <f ca="1">IFERROR(VALUE(IF(VLOOKUP($A113,数出表_Excel!$A$6:$T$150,COLUMN()/2+1,FALSE)=0,"",VLOOKUP($A113,数出表_Excel!$A$6:$T$150,COLUMN()/2+1,FALSE))),"")</f>
        <v/>
      </c>
      <c r="AG113" s="77"/>
      <c r="AH113" s="150" t="str">
        <f ca="1">IFERROR(VALUE(IF(VLOOKUP($A113,数出表_Excel!$A$6:$T$150,COLUMN()/2+1,FALSE)=0,"",VLOOKUP($A113,数出表_Excel!$A$6:$T$150,COLUMN()/2+1,FALSE))),"")</f>
        <v/>
      </c>
      <c r="AI113" s="77"/>
      <c r="AJ113" s="150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50" t="str">
        <f ca="1">IFERROR(VALUE(IF(VLOOKUP($A115,数出表_Excel!$A$6:$T$150,COLUMN()/2+1,FALSE)=0,"",VLOOKUP($A115,数出表_Excel!$A$6:$T$150,COLUMN()/2+1,FALSE))),"")</f>
        <v/>
      </c>
      <c r="C115" s="61"/>
      <c r="D115" s="150" t="str">
        <f ca="1">IFERROR(VALUE(IF(VLOOKUP($A115,数出表_Excel!$A$6:$T$150,COLUMN()/2+1,FALSE)=0,"",VLOOKUP($A115,数出表_Excel!$A$6:$T$150,COLUMN()/2+1,FALSE))),"")</f>
        <v/>
      </c>
      <c r="E115" s="77"/>
      <c r="F115" s="160" t="str">
        <f ca="1">IFERROR(VALUE(IF(VLOOKUP($A115,数出表_Excel!$A$6:$T$150,COLUMN()/2+1,FALSE)=0,"",VLOOKUP($A115,数出表_Excel!$A$6:$T$150,COLUMN()/2+1,FALSE))),"")</f>
        <v/>
      </c>
      <c r="G115" s="61"/>
      <c r="H115" s="150" t="str">
        <f ca="1">IFERROR(VALUE(IF(VLOOKUP($A115,数出表_Excel!$A$6:$T$150,COLUMN()/2+1,FALSE)=0,"",VLOOKUP($A115,数出表_Excel!$A$6:$T$150,COLUMN()/2+1,FALSE))),"")</f>
        <v/>
      </c>
      <c r="I115" s="77"/>
      <c r="J115" s="160" t="str">
        <f ca="1">IFERROR(VALUE(IF(VLOOKUP($A115,数出表_Excel!$A$6:$T$150,COLUMN()/2+1,FALSE)=0,"",VLOOKUP($A115,数出表_Excel!$A$6:$T$150,COLUMN()/2+1,FALSE))),"")</f>
        <v/>
      </c>
      <c r="K115" s="61"/>
      <c r="L115" s="150" t="str">
        <f ca="1">IFERROR(VALUE(IF(VLOOKUP($A115,数出表_Excel!$A$6:$T$150,COLUMN()/2+1,FALSE)=0,"",VLOOKUP($A115,数出表_Excel!$A$6:$T$150,COLUMN()/2+1,FALSE))),"")</f>
        <v/>
      </c>
      <c r="M115" s="77"/>
      <c r="N115" s="160" t="str">
        <f ca="1">IFERROR(VALUE(IF(VLOOKUP($A115,数出表_Excel!$A$6:$T$150,COLUMN()/2+1,FALSE)=0,"",VLOOKUP($A115,数出表_Excel!$A$6:$T$150,COLUMN()/2+1,FALSE))),"")</f>
        <v/>
      </c>
      <c r="O115" s="61"/>
      <c r="P115" s="150" t="str">
        <f ca="1">IFERROR(VALUE(IF(VLOOKUP($A115,数出表_Excel!$A$6:$T$150,COLUMN()/2+1,FALSE)=0,"",VLOOKUP($A115,数出表_Excel!$A$6:$T$150,COLUMN()/2+1,FALSE))),"")</f>
        <v/>
      </c>
      <c r="Q115" s="77"/>
      <c r="R115" s="160" t="str">
        <f ca="1">IFERROR(VALUE(IF(VLOOKUP($A115,数出表_Excel!$A$6:$T$150,COLUMN()/2+1,FALSE)=0,"",VLOOKUP($A115,数出表_Excel!$A$6:$T$150,COLUMN()/2+1,FALSE))),"")</f>
        <v/>
      </c>
      <c r="S115" s="61"/>
      <c r="T115" s="150" t="str">
        <f ca="1">IFERROR(VALUE(IF(VLOOKUP($A115,数出表_Excel!$A$6:$T$150,COLUMN()/2+1,FALSE)=0,"",VLOOKUP($A115,数出表_Excel!$A$6:$T$150,COLUMN()/2+1,FALSE))),"")</f>
        <v/>
      </c>
      <c r="U115" s="77"/>
      <c r="V115" s="160" t="str">
        <f ca="1">IFERROR(VALUE(IF(VLOOKUP($A115,数出表_Excel!$A$6:$T$150,COLUMN()/2+1,FALSE)=0,"",VLOOKUP($A115,数出表_Excel!$A$6:$T$150,COLUMN()/2+1,FALSE))),"")</f>
        <v/>
      </c>
      <c r="W115" s="61"/>
      <c r="X115" s="150" t="str">
        <f ca="1">IFERROR(VALUE(IF(VLOOKUP($A115,数出表_Excel!$A$6:$T$150,COLUMN()/2+1,FALSE)=0,"",VLOOKUP($A115,数出表_Excel!$A$6:$T$150,COLUMN()/2+1,FALSE))),"")</f>
        <v/>
      </c>
      <c r="Y115" s="77"/>
      <c r="Z115" s="160" t="str">
        <f ca="1">IFERROR(VALUE(IF(VLOOKUP($A115,数出表_Excel!$A$6:$T$150,COLUMN()/2+1,FALSE)=0,"",VLOOKUP($A115,数出表_Excel!$A$6:$T$150,COLUMN()/2+1,FALSE))),"")</f>
        <v/>
      </c>
      <c r="AA115" s="77"/>
      <c r="AB115" s="150" t="str">
        <f ca="1">IFERROR(VALUE(IF(VLOOKUP($A115,数出表_Excel!$A$6:$T$150,COLUMN()/2+1,FALSE)=0,"",VLOOKUP($A115,数出表_Excel!$A$6:$T$150,COLUMN()/2+1,FALSE))),"")</f>
        <v/>
      </c>
      <c r="AC115" s="77"/>
      <c r="AD115" s="150" t="str">
        <f ca="1">IFERROR(VALUE(IF(VLOOKUP($A115,数出表_Excel!$A$6:$T$150,COLUMN()/2+1,FALSE)=0,"",VLOOKUP($A115,数出表_Excel!$A$6:$T$150,COLUMN()/2+1,FALSE))),"")</f>
        <v/>
      </c>
      <c r="AE115" s="77"/>
      <c r="AF115" s="150" t="str">
        <f ca="1">IFERROR(VALUE(IF(VLOOKUP($A115,数出表_Excel!$A$6:$T$150,COLUMN()/2+1,FALSE)=0,"",VLOOKUP($A115,数出表_Excel!$A$6:$T$150,COLUMN()/2+1,FALSE))),"")</f>
        <v/>
      </c>
      <c r="AG115" s="77"/>
      <c r="AH115" s="150" t="str">
        <f ca="1">IFERROR(VALUE(IF(VLOOKUP($A115,数出表_Excel!$A$6:$T$150,COLUMN()/2+1,FALSE)=0,"",VLOOKUP($A115,数出表_Excel!$A$6:$T$150,COLUMN()/2+1,FALSE))),"")</f>
        <v/>
      </c>
      <c r="AI115" s="77"/>
      <c r="AJ115" s="150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50" t="str">
        <f ca="1">IFERROR(VALUE(IF(VLOOKUP($A117,数出表_Excel!$A$6:$T$150,COLUMN()/2+1,FALSE)=0,"",VLOOKUP($A117,数出表_Excel!$A$6:$T$150,COLUMN()/2+1,FALSE))),"")</f>
        <v/>
      </c>
      <c r="C117" s="61"/>
      <c r="D117" s="150" t="str">
        <f ca="1">IFERROR(VALUE(IF(VLOOKUP($A117,数出表_Excel!$A$6:$T$150,COLUMN()/2+1,FALSE)=0,"",VLOOKUP($A117,数出表_Excel!$A$6:$T$150,COLUMN()/2+1,FALSE))),"")</f>
        <v/>
      </c>
      <c r="E117" s="77"/>
      <c r="F117" s="160" t="str">
        <f ca="1">IFERROR(VALUE(IF(VLOOKUP($A117,数出表_Excel!$A$6:$T$150,COLUMN()/2+1,FALSE)=0,"",VLOOKUP($A117,数出表_Excel!$A$6:$T$150,COLUMN()/2+1,FALSE))),"")</f>
        <v/>
      </c>
      <c r="G117" s="61"/>
      <c r="H117" s="150" t="str">
        <f ca="1">IFERROR(VALUE(IF(VLOOKUP($A117,数出表_Excel!$A$6:$T$150,COLUMN()/2+1,FALSE)=0,"",VLOOKUP($A117,数出表_Excel!$A$6:$T$150,COLUMN()/2+1,FALSE))),"")</f>
        <v/>
      </c>
      <c r="I117" s="77"/>
      <c r="J117" s="160" t="str">
        <f ca="1">IFERROR(VALUE(IF(VLOOKUP($A117,数出表_Excel!$A$6:$T$150,COLUMN()/2+1,FALSE)=0,"",VLOOKUP($A117,数出表_Excel!$A$6:$T$150,COLUMN()/2+1,FALSE))),"")</f>
        <v/>
      </c>
      <c r="K117" s="61"/>
      <c r="L117" s="150" t="str">
        <f ca="1">IFERROR(VALUE(IF(VLOOKUP($A117,数出表_Excel!$A$6:$T$150,COLUMN()/2+1,FALSE)=0,"",VLOOKUP($A117,数出表_Excel!$A$6:$T$150,COLUMN()/2+1,FALSE))),"")</f>
        <v/>
      </c>
      <c r="M117" s="77"/>
      <c r="N117" s="160" t="str">
        <f ca="1">IFERROR(VALUE(IF(VLOOKUP($A117,数出表_Excel!$A$6:$T$150,COLUMN()/2+1,FALSE)=0,"",VLOOKUP($A117,数出表_Excel!$A$6:$T$150,COLUMN()/2+1,FALSE))),"")</f>
        <v/>
      </c>
      <c r="O117" s="61"/>
      <c r="P117" s="150" t="str">
        <f ca="1">IFERROR(VALUE(IF(VLOOKUP($A117,数出表_Excel!$A$6:$T$150,COLUMN()/2+1,FALSE)=0,"",VLOOKUP($A117,数出表_Excel!$A$6:$T$150,COLUMN()/2+1,FALSE))),"")</f>
        <v/>
      </c>
      <c r="Q117" s="77"/>
      <c r="R117" s="160" t="str">
        <f ca="1">IFERROR(VALUE(IF(VLOOKUP($A117,数出表_Excel!$A$6:$T$150,COLUMN()/2+1,FALSE)=0,"",VLOOKUP($A117,数出表_Excel!$A$6:$T$150,COLUMN()/2+1,FALSE))),"")</f>
        <v/>
      </c>
      <c r="S117" s="61"/>
      <c r="T117" s="150" t="str">
        <f ca="1">IFERROR(VALUE(IF(VLOOKUP($A117,数出表_Excel!$A$6:$T$150,COLUMN()/2+1,FALSE)=0,"",VLOOKUP($A117,数出表_Excel!$A$6:$T$150,COLUMN()/2+1,FALSE))),"")</f>
        <v/>
      </c>
      <c r="U117" s="77"/>
      <c r="V117" s="160" t="str">
        <f ca="1">IFERROR(VALUE(IF(VLOOKUP($A117,数出表_Excel!$A$6:$T$150,COLUMN()/2+1,FALSE)=0,"",VLOOKUP($A117,数出表_Excel!$A$6:$T$150,COLUMN()/2+1,FALSE))),"")</f>
        <v/>
      </c>
      <c r="W117" s="61"/>
      <c r="X117" s="150" t="str">
        <f ca="1">IFERROR(VALUE(IF(VLOOKUP($A117,数出表_Excel!$A$6:$T$150,COLUMN()/2+1,FALSE)=0,"",VLOOKUP($A117,数出表_Excel!$A$6:$T$150,COLUMN()/2+1,FALSE))),"")</f>
        <v/>
      </c>
      <c r="Y117" s="77"/>
      <c r="Z117" s="160" t="str">
        <f ca="1">IFERROR(VALUE(IF(VLOOKUP($A117,数出表_Excel!$A$6:$T$150,COLUMN()/2+1,FALSE)=0,"",VLOOKUP($A117,数出表_Excel!$A$6:$T$150,COLUMN()/2+1,FALSE))),"")</f>
        <v/>
      </c>
      <c r="AA117" s="77"/>
      <c r="AB117" s="150" t="str">
        <f ca="1">IFERROR(VALUE(IF(VLOOKUP($A117,数出表_Excel!$A$6:$T$150,COLUMN()/2+1,FALSE)=0,"",VLOOKUP($A117,数出表_Excel!$A$6:$T$150,COLUMN()/2+1,FALSE))),"")</f>
        <v/>
      </c>
      <c r="AC117" s="77"/>
      <c r="AD117" s="150" t="str">
        <f ca="1">IFERROR(VALUE(IF(VLOOKUP($A117,数出表_Excel!$A$6:$T$150,COLUMN()/2+1,FALSE)=0,"",VLOOKUP($A117,数出表_Excel!$A$6:$T$150,COLUMN()/2+1,FALSE))),"")</f>
        <v/>
      </c>
      <c r="AE117" s="77"/>
      <c r="AF117" s="150" t="str">
        <f ca="1">IFERROR(VALUE(IF(VLOOKUP($A117,数出表_Excel!$A$6:$T$150,COLUMN()/2+1,FALSE)=0,"",VLOOKUP($A117,数出表_Excel!$A$6:$T$150,COLUMN()/2+1,FALSE))),"")</f>
        <v/>
      </c>
      <c r="AG117" s="77"/>
      <c r="AH117" s="150" t="str">
        <f ca="1">IFERROR(VALUE(IF(VLOOKUP($A117,数出表_Excel!$A$6:$T$150,COLUMN()/2+1,FALSE)=0,"",VLOOKUP($A117,数出表_Excel!$A$6:$T$150,COLUMN()/2+1,FALSE))),"")</f>
        <v/>
      </c>
      <c r="AI117" s="77"/>
      <c r="AJ117" s="150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50" t="str">
        <f ca="1">IFERROR(VALUE(IF(VLOOKUP($A119,数出表_Excel!$A$6:$T$150,COLUMN()/2+1,FALSE)=0,"",VLOOKUP($A119,数出表_Excel!$A$6:$T$150,COLUMN()/2+1,FALSE))),"")</f>
        <v/>
      </c>
      <c r="C119" s="61"/>
      <c r="D119" s="150" t="str">
        <f ca="1">IFERROR(VALUE(IF(VLOOKUP($A119,数出表_Excel!$A$6:$T$150,COLUMN()/2+1,FALSE)=0,"",VLOOKUP($A119,数出表_Excel!$A$6:$T$150,COLUMN()/2+1,FALSE))),"")</f>
        <v/>
      </c>
      <c r="E119" s="77"/>
      <c r="F119" s="160" t="str">
        <f ca="1">IFERROR(VALUE(IF(VLOOKUP($A119,数出表_Excel!$A$6:$T$150,COLUMN()/2+1,FALSE)=0,"",VLOOKUP($A119,数出表_Excel!$A$6:$T$150,COLUMN()/2+1,FALSE))),"")</f>
        <v/>
      </c>
      <c r="G119" s="61"/>
      <c r="H119" s="150" t="str">
        <f ca="1">IFERROR(VALUE(IF(VLOOKUP($A119,数出表_Excel!$A$6:$T$150,COLUMN()/2+1,FALSE)=0,"",VLOOKUP($A119,数出表_Excel!$A$6:$T$150,COLUMN()/2+1,FALSE))),"")</f>
        <v/>
      </c>
      <c r="I119" s="77"/>
      <c r="J119" s="160" t="str">
        <f ca="1">IFERROR(VALUE(IF(VLOOKUP($A119,数出表_Excel!$A$6:$T$150,COLUMN()/2+1,FALSE)=0,"",VLOOKUP($A119,数出表_Excel!$A$6:$T$150,COLUMN()/2+1,FALSE))),"")</f>
        <v/>
      </c>
      <c r="K119" s="61"/>
      <c r="L119" s="150" t="str">
        <f ca="1">IFERROR(VALUE(IF(VLOOKUP($A119,数出表_Excel!$A$6:$T$150,COLUMN()/2+1,FALSE)=0,"",VLOOKUP($A119,数出表_Excel!$A$6:$T$150,COLUMN()/2+1,FALSE))),"")</f>
        <v/>
      </c>
      <c r="M119" s="77"/>
      <c r="N119" s="160" t="str">
        <f ca="1">IFERROR(VALUE(IF(VLOOKUP($A119,数出表_Excel!$A$6:$T$150,COLUMN()/2+1,FALSE)=0,"",VLOOKUP($A119,数出表_Excel!$A$6:$T$150,COLUMN()/2+1,FALSE))),"")</f>
        <v/>
      </c>
      <c r="O119" s="61"/>
      <c r="P119" s="150" t="str">
        <f ca="1">IFERROR(VALUE(IF(VLOOKUP($A119,数出表_Excel!$A$6:$T$150,COLUMN()/2+1,FALSE)=0,"",VLOOKUP($A119,数出表_Excel!$A$6:$T$150,COLUMN()/2+1,FALSE))),"")</f>
        <v/>
      </c>
      <c r="Q119" s="77"/>
      <c r="R119" s="160" t="str">
        <f ca="1">IFERROR(VALUE(IF(VLOOKUP($A119,数出表_Excel!$A$6:$T$150,COLUMN()/2+1,FALSE)=0,"",VLOOKUP($A119,数出表_Excel!$A$6:$T$150,COLUMN()/2+1,FALSE))),"")</f>
        <v/>
      </c>
      <c r="S119" s="61"/>
      <c r="T119" s="150" t="str">
        <f ca="1">IFERROR(VALUE(IF(VLOOKUP($A119,数出表_Excel!$A$6:$T$150,COLUMN()/2+1,FALSE)=0,"",VLOOKUP($A119,数出表_Excel!$A$6:$T$150,COLUMN()/2+1,FALSE))),"")</f>
        <v/>
      </c>
      <c r="U119" s="77"/>
      <c r="V119" s="160" t="str">
        <f ca="1">IFERROR(VALUE(IF(VLOOKUP($A119,数出表_Excel!$A$6:$T$150,COLUMN()/2+1,FALSE)=0,"",VLOOKUP($A119,数出表_Excel!$A$6:$T$150,COLUMN()/2+1,FALSE))),"")</f>
        <v/>
      </c>
      <c r="W119" s="61"/>
      <c r="X119" s="150" t="str">
        <f ca="1">IFERROR(VALUE(IF(VLOOKUP($A119,数出表_Excel!$A$6:$T$150,COLUMN()/2+1,FALSE)=0,"",VLOOKUP($A119,数出表_Excel!$A$6:$T$150,COLUMN()/2+1,FALSE))),"")</f>
        <v/>
      </c>
      <c r="Y119" s="77"/>
      <c r="Z119" s="160" t="str">
        <f ca="1">IFERROR(VALUE(IF(VLOOKUP($A119,数出表_Excel!$A$6:$T$150,COLUMN()/2+1,FALSE)=0,"",VLOOKUP($A119,数出表_Excel!$A$6:$T$150,COLUMN()/2+1,FALSE))),"")</f>
        <v/>
      </c>
      <c r="AA119" s="77"/>
      <c r="AB119" s="150" t="str">
        <f ca="1">IFERROR(VALUE(IF(VLOOKUP($A119,数出表_Excel!$A$6:$T$150,COLUMN()/2+1,FALSE)=0,"",VLOOKUP($A119,数出表_Excel!$A$6:$T$150,COLUMN()/2+1,FALSE))),"")</f>
        <v/>
      </c>
      <c r="AC119" s="77"/>
      <c r="AD119" s="150" t="str">
        <f ca="1">IFERROR(VALUE(IF(VLOOKUP($A119,数出表_Excel!$A$6:$T$150,COLUMN()/2+1,FALSE)=0,"",VLOOKUP($A119,数出表_Excel!$A$6:$T$150,COLUMN()/2+1,FALSE))),"")</f>
        <v/>
      </c>
      <c r="AE119" s="77"/>
      <c r="AF119" s="150" t="str">
        <f ca="1">IFERROR(VALUE(IF(VLOOKUP($A119,数出表_Excel!$A$6:$T$150,COLUMN()/2+1,FALSE)=0,"",VLOOKUP($A119,数出表_Excel!$A$6:$T$150,COLUMN()/2+1,FALSE))),"")</f>
        <v/>
      </c>
      <c r="AG119" s="77"/>
      <c r="AH119" s="150" t="str">
        <f ca="1">IFERROR(VALUE(IF(VLOOKUP($A119,数出表_Excel!$A$6:$T$150,COLUMN()/2+1,FALSE)=0,"",VLOOKUP($A119,数出表_Excel!$A$6:$T$150,COLUMN()/2+1,FALSE))),"")</f>
        <v/>
      </c>
      <c r="AI119" s="77"/>
      <c r="AJ119" s="150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50" t="str">
        <f ca="1">IFERROR(VALUE(IF(VLOOKUP($A121,数出表_Excel!$A$6:$T$150,COLUMN()/2+1,FALSE)=0,"",VLOOKUP($A121,数出表_Excel!$A$6:$T$150,COLUMN()/2+1,FALSE))),"")</f>
        <v/>
      </c>
      <c r="C121" s="61"/>
      <c r="D121" s="150" t="str">
        <f ca="1">IFERROR(VALUE(IF(VLOOKUP($A121,数出表_Excel!$A$6:$T$150,COLUMN()/2+1,FALSE)=0,"",VLOOKUP($A121,数出表_Excel!$A$6:$T$150,COLUMN()/2+1,FALSE))),"")</f>
        <v/>
      </c>
      <c r="E121" s="77"/>
      <c r="F121" s="160" t="str">
        <f ca="1">IFERROR(VALUE(IF(VLOOKUP($A121,数出表_Excel!$A$6:$T$150,COLUMN()/2+1,FALSE)=0,"",VLOOKUP($A121,数出表_Excel!$A$6:$T$150,COLUMN()/2+1,FALSE))),"")</f>
        <v/>
      </c>
      <c r="G121" s="61"/>
      <c r="H121" s="150" t="str">
        <f ca="1">IFERROR(VALUE(IF(VLOOKUP($A121,数出表_Excel!$A$6:$T$150,COLUMN()/2+1,FALSE)=0,"",VLOOKUP($A121,数出表_Excel!$A$6:$T$150,COLUMN()/2+1,FALSE))),"")</f>
        <v/>
      </c>
      <c r="I121" s="77"/>
      <c r="J121" s="160" t="str">
        <f ca="1">IFERROR(VALUE(IF(VLOOKUP($A121,数出表_Excel!$A$6:$T$150,COLUMN()/2+1,FALSE)=0,"",VLOOKUP($A121,数出表_Excel!$A$6:$T$150,COLUMN()/2+1,FALSE))),"")</f>
        <v/>
      </c>
      <c r="K121" s="61"/>
      <c r="L121" s="150" t="str">
        <f ca="1">IFERROR(VALUE(IF(VLOOKUP($A121,数出表_Excel!$A$6:$T$150,COLUMN()/2+1,FALSE)=0,"",VLOOKUP($A121,数出表_Excel!$A$6:$T$150,COLUMN()/2+1,FALSE))),"")</f>
        <v/>
      </c>
      <c r="M121" s="77"/>
      <c r="N121" s="160" t="str">
        <f ca="1">IFERROR(VALUE(IF(VLOOKUP($A121,数出表_Excel!$A$6:$T$150,COLUMN()/2+1,FALSE)=0,"",VLOOKUP($A121,数出表_Excel!$A$6:$T$150,COLUMN()/2+1,FALSE))),"")</f>
        <v/>
      </c>
      <c r="O121" s="61"/>
      <c r="P121" s="150" t="str">
        <f ca="1">IFERROR(VALUE(IF(VLOOKUP($A121,数出表_Excel!$A$6:$T$150,COLUMN()/2+1,FALSE)=0,"",VLOOKUP($A121,数出表_Excel!$A$6:$T$150,COLUMN()/2+1,FALSE))),"")</f>
        <v/>
      </c>
      <c r="Q121" s="77"/>
      <c r="R121" s="160" t="str">
        <f ca="1">IFERROR(VALUE(IF(VLOOKUP($A121,数出表_Excel!$A$6:$T$150,COLUMN()/2+1,FALSE)=0,"",VLOOKUP($A121,数出表_Excel!$A$6:$T$150,COLUMN()/2+1,FALSE))),"")</f>
        <v/>
      </c>
      <c r="S121" s="61"/>
      <c r="T121" s="150" t="str">
        <f ca="1">IFERROR(VALUE(IF(VLOOKUP($A121,数出表_Excel!$A$6:$T$150,COLUMN()/2+1,FALSE)=0,"",VLOOKUP($A121,数出表_Excel!$A$6:$T$150,COLUMN()/2+1,FALSE))),"")</f>
        <v/>
      </c>
      <c r="U121" s="77"/>
      <c r="V121" s="160" t="str">
        <f ca="1">IFERROR(VALUE(IF(VLOOKUP($A121,数出表_Excel!$A$6:$T$150,COLUMN()/2+1,FALSE)=0,"",VLOOKUP($A121,数出表_Excel!$A$6:$T$150,COLUMN()/2+1,FALSE))),"")</f>
        <v/>
      </c>
      <c r="W121" s="61"/>
      <c r="X121" s="150" t="str">
        <f ca="1">IFERROR(VALUE(IF(VLOOKUP($A121,数出表_Excel!$A$6:$T$150,COLUMN()/2+1,FALSE)=0,"",VLOOKUP($A121,数出表_Excel!$A$6:$T$150,COLUMN()/2+1,FALSE))),"")</f>
        <v/>
      </c>
      <c r="Y121" s="77"/>
      <c r="Z121" s="160" t="str">
        <f ca="1">IFERROR(VALUE(IF(VLOOKUP($A121,数出表_Excel!$A$6:$T$150,COLUMN()/2+1,FALSE)=0,"",VLOOKUP($A121,数出表_Excel!$A$6:$T$150,COLUMN()/2+1,FALSE))),"")</f>
        <v/>
      </c>
      <c r="AA121" s="77"/>
      <c r="AB121" s="150" t="str">
        <f ca="1">IFERROR(VALUE(IF(VLOOKUP($A121,数出表_Excel!$A$6:$T$150,COLUMN()/2+1,FALSE)=0,"",VLOOKUP($A121,数出表_Excel!$A$6:$T$150,COLUMN()/2+1,FALSE))),"")</f>
        <v/>
      </c>
      <c r="AC121" s="77"/>
      <c r="AD121" s="150" t="str">
        <f ca="1">IFERROR(VALUE(IF(VLOOKUP($A121,数出表_Excel!$A$6:$T$150,COLUMN()/2+1,FALSE)=0,"",VLOOKUP($A121,数出表_Excel!$A$6:$T$150,COLUMN()/2+1,FALSE))),"")</f>
        <v/>
      </c>
      <c r="AE121" s="77"/>
      <c r="AF121" s="150" t="str">
        <f ca="1">IFERROR(VALUE(IF(VLOOKUP($A121,数出表_Excel!$A$6:$T$150,COLUMN()/2+1,FALSE)=0,"",VLOOKUP($A121,数出表_Excel!$A$6:$T$150,COLUMN()/2+1,FALSE))),"")</f>
        <v/>
      </c>
      <c r="AG121" s="77"/>
      <c r="AH121" s="150" t="str">
        <f ca="1">IFERROR(VALUE(IF(VLOOKUP($A121,数出表_Excel!$A$6:$T$150,COLUMN()/2+1,FALSE)=0,"",VLOOKUP($A121,数出表_Excel!$A$6:$T$150,COLUMN()/2+1,FALSE))),"")</f>
        <v/>
      </c>
      <c r="AI121" s="77"/>
      <c r="AJ121" s="150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50" t="str">
        <f ca="1">IFERROR(VALUE(IF(VLOOKUP($A123,数出表_Excel!$A$6:$T$150,COLUMN()/2+1,FALSE)=0,"",VLOOKUP($A123,数出表_Excel!$A$6:$T$150,COLUMN()/2+1,FALSE))),"")</f>
        <v/>
      </c>
      <c r="C123" s="61"/>
      <c r="D123" s="150" t="str">
        <f ca="1">IFERROR(VALUE(IF(VLOOKUP($A123,数出表_Excel!$A$6:$T$150,COLUMN()/2+1,FALSE)=0,"",VLOOKUP($A123,数出表_Excel!$A$6:$T$150,COLUMN()/2+1,FALSE))),"")</f>
        <v/>
      </c>
      <c r="E123" s="77"/>
      <c r="F123" s="160" t="str">
        <f ca="1">IFERROR(VALUE(IF(VLOOKUP($A123,数出表_Excel!$A$6:$T$150,COLUMN()/2+1,FALSE)=0,"",VLOOKUP($A123,数出表_Excel!$A$6:$T$150,COLUMN()/2+1,FALSE))),"")</f>
        <v/>
      </c>
      <c r="G123" s="61"/>
      <c r="H123" s="150" t="str">
        <f ca="1">IFERROR(VALUE(IF(VLOOKUP($A123,数出表_Excel!$A$6:$T$150,COLUMN()/2+1,FALSE)=0,"",VLOOKUP($A123,数出表_Excel!$A$6:$T$150,COLUMN()/2+1,FALSE))),"")</f>
        <v/>
      </c>
      <c r="I123" s="77"/>
      <c r="J123" s="160" t="str">
        <f ca="1">IFERROR(VALUE(IF(VLOOKUP($A123,数出表_Excel!$A$6:$T$150,COLUMN()/2+1,FALSE)=0,"",VLOOKUP($A123,数出表_Excel!$A$6:$T$150,COLUMN()/2+1,FALSE))),"")</f>
        <v/>
      </c>
      <c r="K123" s="61"/>
      <c r="L123" s="150" t="str">
        <f ca="1">IFERROR(VALUE(IF(VLOOKUP($A123,数出表_Excel!$A$6:$T$150,COLUMN()/2+1,FALSE)=0,"",VLOOKUP($A123,数出表_Excel!$A$6:$T$150,COLUMN()/2+1,FALSE))),"")</f>
        <v/>
      </c>
      <c r="M123" s="77"/>
      <c r="N123" s="160" t="str">
        <f ca="1">IFERROR(VALUE(IF(VLOOKUP($A123,数出表_Excel!$A$6:$T$150,COLUMN()/2+1,FALSE)=0,"",VLOOKUP($A123,数出表_Excel!$A$6:$T$150,COLUMN()/2+1,FALSE))),"")</f>
        <v/>
      </c>
      <c r="O123" s="61"/>
      <c r="P123" s="150" t="str">
        <f ca="1">IFERROR(VALUE(IF(VLOOKUP($A123,数出表_Excel!$A$6:$T$150,COLUMN()/2+1,FALSE)=0,"",VLOOKUP($A123,数出表_Excel!$A$6:$T$150,COLUMN()/2+1,FALSE))),"")</f>
        <v/>
      </c>
      <c r="Q123" s="77"/>
      <c r="R123" s="160" t="str">
        <f ca="1">IFERROR(VALUE(IF(VLOOKUP($A123,数出表_Excel!$A$6:$T$150,COLUMN()/2+1,FALSE)=0,"",VLOOKUP($A123,数出表_Excel!$A$6:$T$150,COLUMN()/2+1,FALSE))),"")</f>
        <v/>
      </c>
      <c r="S123" s="61"/>
      <c r="T123" s="150" t="str">
        <f ca="1">IFERROR(VALUE(IF(VLOOKUP($A123,数出表_Excel!$A$6:$T$150,COLUMN()/2+1,FALSE)=0,"",VLOOKUP($A123,数出表_Excel!$A$6:$T$150,COLUMN()/2+1,FALSE))),"")</f>
        <v/>
      </c>
      <c r="U123" s="77"/>
      <c r="V123" s="160" t="str">
        <f ca="1">IFERROR(VALUE(IF(VLOOKUP($A123,数出表_Excel!$A$6:$T$150,COLUMN()/2+1,FALSE)=0,"",VLOOKUP($A123,数出表_Excel!$A$6:$T$150,COLUMN()/2+1,FALSE))),"")</f>
        <v/>
      </c>
      <c r="W123" s="61"/>
      <c r="X123" s="150" t="str">
        <f ca="1">IFERROR(VALUE(IF(VLOOKUP($A123,数出表_Excel!$A$6:$T$150,COLUMN()/2+1,FALSE)=0,"",VLOOKUP($A123,数出表_Excel!$A$6:$T$150,COLUMN()/2+1,FALSE))),"")</f>
        <v/>
      </c>
      <c r="Y123" s="77"/>
      <c r="Z123" s="160" t="str">
        <f ca="1">IFERROR(VALUE(IF(VLOOKUP($A123,数出表_Excel!$A$6:$T$150,COLUMN()/2+1,FALSE)=0,"",VLOOKUP($A123,数出表_Excel!$A$6:$T$150,COLUMN()/2+1,FALSE))),"")</f>
        <v/>
      </c>
      <c r="AA123" s="77"/>
      <c r="AB123" s="150" t="str">
        <f ca="1">IFERROR(VALUE(IF(VLOOKUP($A123,数出表_Excel!$A$6:$T$150,COLUMN()/2+1,FALSE)=0,"",VLOOKUP($A123,数出表_Excel!$A$6:$T$150,COLUMN()/2+1,FALSE))),"")</f>
        <v/>
      </c>
      <c r="AC123" s="77"/>
      <c r="AD123" s="150" t="str">
        <f ca="1">IFERROR(VALUE(IF(VLOOKUP($A123,数出表_Excel!$A$6:$T$150,COLUMN()/2+1,FALSE)=0,"",VLOOKUP($A123,数出表_Excel!$A$6:$T$150,COLUMN()/2+1,FALSE))),"")</f>
        <v/>
      </c>
      <c r="AE123" s="77"/>
      <c r="AF123" s="150" t="str">
        <f ca="1">IFERROR(VALUE(IF(VLOOKUP($A123,数出表_Excel!$A$6:$T$150,COLUMN()/2+1,FALSE)=0,"",VLOOKUP($A123,数出表_Excel!$A$6:$T$150,COLUMN()/2+1,FALSE))),"")</f>
        <v/>
      </c>
      <c r="AG123" s="77"/>
      <c r="AH123" s="150" t="str">
        <f ca="1">IFERROR(VALUE(IF(VLOOKUP($A123,数出表_Excel!$A$6:$T$150,COLUMN()/2+1,FALSE)=0,"",VLOOKUP($A123,数出表_Excel!$A$6:$T$150,COLUMN()/2+1,FALSE))),"")</f>
        <v/>
      </c>
      <c r="AI123" s="77"/>
      <c r="AJ123" s="150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50" t="str">
        <f ca="1">IFERROR(VALUE(IF(VLOOKUP($A125,数出表_Excel!$A$6:$T$150,COLUMN()/2+1,FALSE)=0,"",VLOOKUP($A125,数出表_Excel!$A$6:$T$150,COLUMN()/2+1,FALSE))),"")</f>
        <v/>
      </c>
      <c r="C125" s="61"/>
      <c r="D125" s="150" t="str">
        <f ca="1">IFERROR(VALUE(IF(VLOOKUP($A125,数出表_Excel!$A$6:$T$150,COLUMN()/2+1,FALSE)=0,"",VLOOKUP($A125,数出表_Excel!$A$6:$T$150,COLUMN()/2+1,FALSE))),"")</f>
        <v/>
      </c>
      <c r="E125" s="77"/>
      <c r="F125" s="160" t="str">
        <f ca="1">IFERROR(VALUE(IF(VLOOKUP($A125,数出表_Excel!$A$6:$T$150,COLUMN()/2+1,FALSE)=0,"",VLOOKUP($A125,数出表_Excel!$A$6:$T$150,COLUMN()/2+1,FALSE))),"")</f>
        <v/>
      </c>
      <c r="G125" s="61"/>
      <c r="H125" s="150" t="str">
        <f ca="1">IFERROR(VALUE(IF(VLOOKUP($A125,数出表_Excel!$A$6:$T$150,COLUMN()/2+1,FALSE)=0,"",VLOOKUP($A125,数出表_Excel!$A$6:$T$150,COLUMN()/2+1,FALSE))),"")</f>
        <v/>
      </c>
      <c r="I125" s="77"/>
      <c r="J125" s="160" t="str">
        <f ca="1">IFERROR(VALUE(IF(VLOOKUP($A125,数出表_Excel!$A$6:$T$150,COLUMN()/2+1,FALSE)=0,"",VLOOKUP($A125,数出表_Excel!$A$6:$T$150,COLUMN()/2+1,FALSE))),"")</f>
        <v/>
      </c>
      <c r="K125" s="61"/>
      <c r="L125" s="150" t="str">
        <f ca="1">IFERROR(VALUE(IF(VLOOKUP($A125,数出表_Excel!$A$6:$T$150,COLUMN()/2+1,FALSE)=0,"",VLOOKUP($A125,数出表_Excel!$A$6:$T$150,COLUMN()/2+1,FALSE))),"")</f>
        <v/>
      </c>
      <c r="M125" s="77"/>
      <c r="N125" s="160" t="str">
        <f ca="1">IFERROR(VALUE(IF(VLOOKUP($A125,数出表_Excel!$A$6:$T$150,COLUMN()/2+1,FALSE)=0,"",VLOOKUP($A125,数出表_Excel!$A$6:$T$150,COLUMN()/2+1,FALSE))),"")</f>
        <v/>
      </c>
      <c r="O125" s="61"/>
      <c r="P125" s="150" t="str">
        <f ca="1">IFERROR(VALUE(IF(VLOOKUP($A125,数出表_Excel!$A$6:$T$150,COLUMN()/2+1,FALSE)=0,"",VLOOKUP($A125,数出表_Excel!$A$6:$T$150,COLUMN()/2+1,FALSE))),"")</f>
        <v/>
      </c>
      <c r="Q125" s="77"/>
      <c r="R125" s="160" t="str">
        <f ca="1">IFERROR(VALUE(IF(VLOOKUP($A125,数出表_Excel!$A$6:$T$150,COLUMN()/2+1,FALSE)=0,"",VLOOKUP($A125,数出表_Excel!$A$6:$T$150,COLUMN()/2+1,FALSE))),"")</f>
        <v/>
      </c>
      <c r="S125" s="61"/>
      <c r="T125" s="150" t="str">
        <f ca="1">IFERROR(VALUE(IF(VLOOKUP($A125,数出表_Excel!$A$6:$T$150,COLUMN()/2+1,FALSE)=0,"",VLOOKUP($A125,数出表_Excel!$A$6:$T$150,COLUMN()/2+1,FALSE))),"")</f>
        <v/>
      </c>
      <c r="U125" s="77"/>
      <c r="V125" s="160" t="str">
        <f ca="1">IFERROR(VALUE(IF(VLOOKUP($A125,数出表_Excel!$A$6:$T$150,COLUMN()/2+1,FALSE)=0,"",VLOOKUP($A125,数出表_Excel!$A$6:$T$150,COLUMN()/2+1,FALSE))),"")</f>
        <v/>
      </c>
      <c r="W125" s="61"/>
      <c r="X125" s="150" t="str">
        <f ca="1">IFERROR(VALUE(IF(VLOOKUP($A125,数出表_Excel!$A$6:$T$150,COLUMN()/2+1,FALSE)=0,"",VLOOKUP($A125,数出表_Excel!$A$6:$T$150,COLUMN()/2+1,FALSE))),"")</f>
        <v/>
      </c>
      <c r="Y125" s="77"/>
      <c r="Z125" s="160" t="str">
        <f ca="1">IFERROR(VALUE(IF(VLOOKUP($A125,数出表_Excel!$A$6:$T$150,COLUMN()/2+1,FALSE)=0,"",VLOOKUP($A125,数出表_Excel!$A$6:$T$150,COLUMN()/2+1,FALSE))),"")</f>
        <v/>
      </c>
      <c r="AA125" s="77"/>
      <c r="AB125" s="150" t="str">
        <f ca="1">IFERROR(VALUE(IF(VLOOKUP($A125,数出表_Excel!$A$6:$T$150,COLUMN()/2+1,FALSE)=0,"",VLOOKUP($A125,数出表_Excel!$A$6:$T$150,COLUMN()/2+1,FALSE))),"")</f>
        <v/>
      </c>
      <c r="AC125" s="77"/>
      <c r="AD125" s="150" t="str">
        <f ca="1">IFERROR(VALUE(IF(VLOOKUP($A125,数出表_Excel!$A$6:$T$150,COLUMN()/2+1,FALSE)=0,"",VLOOKUP($A125,数出表_Excel!$A$6:$T$150,COLUMN()/2+1,FALSE))),"")</f>
        <v/>
      </c>
      <c r="AE125" s="77"/>
      <c r="AF125" s="150" t="str">
        <f ca="1">IFERROR(VALUE(IF(VLOOKUP($A125,数出表_Excel!$A$6:$T$150,COLUMN()/2+1,FALSE)=0,"",VLOOKUP($A125,数出表_Excel!$A$6:$T$150,COLUMN()/2+1,FALSE))),"")</f>
        <v/>
      </c>
      <c r="AG125" s="77"/>
      <c r="AH125" s="150" t="str">
        <f ca="1">IFERROR(VALUE(IF(VLOOKUP($A125,数出表_Excel!$A$6:$T$150,COLUMN()/2+1,FALSE)=0,"",VLOOKUP($A125,数出表_Excel!$A$6:$T$150,COLUMN()/2+1,FALSE))),"")</f>
        <v/>
      </c>
      <c r="AI125" s="77"/>
      <c r="AJ125" s="150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50" t="str">
        <f ca="1">IFERROR(VALUE(IF(VLOOKUP($A127,数出表_Excel!$A$6:$T$150,COLUMN()/2+1,FALSE)=0,"",VLOOKUP($A127,数出表_Excel!$A$6:$T$150,COLUMN()/2+1,FALSE))),"")</f>
        <v/>
      </c>
      <c r="C127" s="61"/>
      <c r="D127" s="150" t="str">
        <f ca="1">IFERROR(VALUE(IF(VLOOKUP($A127,数出表_Excel!$A$6:$T$150,COLUMN()/2+1,FALSE)=0,"",VLOOKUP($A127,数出表_Excel!$A$6:$T$150,COLUMN()/2+1,FALSE))),"")</f>
        <v/>
      </c>
      <c r="E127" s="77"/>
      <c r="F127" s="160" t="str">
        <f ca="1">IFERROR(VALUE(IF(VLOOKUP($A127,数出表_Excel!$A$6:$T$150,COLUMN()/2+1,FALSE)=0,"",VLOOKUP($A127,数出表_Excel!$A$6:$T$150,COLUMN()/2+1,FALSE))),"")</f>
        <v/>
      </c>
      <c r="G127" s="61"/>
      <c r="H127" s="150" t="str">
        <f ca="1">IFERROR(VALUE(IF(VLOOKUP($A127,数出表_Excel!$A$6:$T$150,COLUMN()/2+1,FALSE)=0,"",VLOOKUP($A127,数出表_Excel!$A$6:$T$150,COLUMN()/2+1,FALSE))),"")</f>
        <v/>
      </c>
      <c r="I127" s="77"/>
      <c r="J127" s="160" t="str">
        <f ca="1">IFERROR(VALUE(IF(VLOOKUP($A127,数出表_Excel!$A$6:$T$150,COLUMN()/2+1,FALSE)=0,"",VLOOKUP($A127,数出表_Excel!$A$6:$T$150,COLUMN()/2+1,FALSE))),"")</f>
        <v/>
      </c>
      <c r="K127" s="61"/>
      <c r="L127" s="150" t="str">
        <f ca="1">IFERROR(VALUE(IF(VLOOKUP($A127,数出表_Excel!$A$6:$T$150,COLUMN()/2+1,FALSE)=0,"",VLOOKUP($A127,数出表_Excel!$A$6:$T$150,COLUMN()/2+1,FALSE))),"")</f>
        <v/>
      </c>
      <c r="M127" s="77"/>
      <c r="N127" s="160" t="str">
        <f ca="1">IFERROR(VALUE(IF(VLOOKUP($A127,数出表_Excel!$A$6:$T$150,COLUMN()/2+1,FALSE)=0,"",VLOOKUP($A127,数出表_Excel!$A$6:$T$150,COLUMN()/2+1,FALSE))),"")</f>
        <v/>
      </c>
      <c r="O127" s="61"/>
      <c r="P127" s="150" t="str">
        <f ca="1">IFERROR(VALUE(IF(VLOOKUP($A127,数出表_Excel!$A$6:$T$150,COLUMN()/2+1,FALSE)=0,"",VLOOKUP($A127,数出表_Excel!$A$6:$T$150,COLUMN()/2+1,FALSE))),"")</f>
        <v/>
      </c>
      <c r="Q127" s="77"/>
      <c r="R127" s="160" t="str">
        <f ca="1">IFERROR(VALUE(IF(VLOOKUP($A127,数出表_Excel!$A$6:$T$150,COLUMN()/2+1,FALSE)=0,"",VLOOKUP($A127,数出表_Excel!$A$6:$T$150,COLUMN()/2+1,FALSE))),"")</f>
        <v/>
      </c>
      <c r="S127" s="61"/>
      <c r="T127" s="150" t="str">
        <f ca="1">IFERROR(VALUE(IF(VLOOKUP($A127,数出表_Excel!$A$6:$T$150,COLUMN()/2+1,FALSE)=0,"",VLOOKUP($A127,数出表_Excel!$A$6:$T$150,COLUMN()/2+1,FALSE))),"")</f>
        <v/>
      </c>
      <c r="U127" s="77"/>
      <c r="V127" s="160" t="str">
        <f ca="1">IFERROR(VALUE(IF(VLOOKUP($A127,数出表_Excel!$A$6:$T$150,COLUMN()/2+1,FALSE)=0,"",VLOOKUP($A127,数出表_Excel!$A$6:$T$150,COLUMN()/2+1,FALSE))),"")</f>
        <v/>
      </c>
      <c r="W127" s="61"/>
      <c r="X127" s="150" t="str">
        <f ca="1">IFERROR(VALUE(IF(VLOOKUP($A127,数出表_Excel!$A$6:$T$150,COLUMN()/2+1,FALSE)=0,"",VLOOKUP($A127,数出表_Excel!$A$6:$T$150,COLUMN()/2+1,FALSE))),"")</f>
        <v/>
      </c>
      <c r="Y127" s="77"/>
      <c r="Z127" s="160" t="str">
        <f ca="1">IFERROR(VALUE(IF(VLOOKUP($A127,数出表_Excel!$A$6:$T$150,COLUMN()/2+1,FALSE)=0,"",VLOOKUP($A127,数出表_Excel!$A$6:$T$150,COLUMN()/2+1,FALSE))),"")</f>
        <v/>
      </c>
      <c r="AA127" s="77"/>
      <c r="AB127" s="150" t="str">
        <f ca="1">IFERROR(VALUE(IF(VLOOKUP($A127,数出表_Excel!$A$6:$T$150,COLUMN()/2+1,FALSE)=0,"",VLOOKUP($A127,数出表_Excel!$A$6:$T$150,COLUMN()/2+1,FALSE))),"")</f>
        <v/>
      </c>
      <c r="AC127" s="77"/>
      <c r="AD127" s="150" t="str">
        <f ca="1">IFERROR(VALUE(IF(VLOOKUP($A127,数出表_Excel!$A$6:$T$150,COLUMN()/2+1,FALSE)=0,"",VLOOKUP($A127,数出表_Excel!$A$6:$T$150,COLUMN()/2+1,FALSE))),"")</f>
        <v/>
      </c>
      <c r="AE127" s="77"/>
      <c r="AF127" s="150" t="str">
        <f ca="1">IFERROR(VALUE(IF(VLOOKUP($A127,数出表_Excel!$A$6:$T$150,COLUMN()/2+1,FALSE)=0,"",VLOOKUP($A127,数出表_Excel!$A$6:$T$150,COLUMN()/2+1,FALSE))),"")</f>
        <v/>
      </c>
      <c r="AG127" s="77"/>
      <c r="AH127" s="150" t="str">
        <f ca="1">IFERROR(VALUE(IF(VLOOKUP($A127,数出表_Excel!$A$6:$T$150,COLUMN()/2+1,FALSE)=0,"",VLOOKUP($A127,数出表_Excel!$A$6:$T$150,COLUMN()/2+1,FALSE))),"")</f>
        <v/>
      </c>
      <c r="AI127" s="77"/>
      <c r="AJ127" s="150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50" t="str">
        <f ca="1">IFERROR(VALUE(IF(VLOOKUP($A129,数出表_Excel!$A$6:$T$150,COLUMN()/2+1,FALSE)=0,"",VLOOKUP($A129,数出表_Excel!$A$6:$T$150,COLUMN()/2+1,FALSE))),"")</f>
        <v/>
      </c>
      <c r="C129" s="61"/>
      <c r="D129" s="150" t="str">
        <f ca="1">IFERROR(VALUE(IF(VLOOKUP($A129,数出表_Excel!$A$6:$T$150,COLUMN()/2+1,FALSE)=0,"",VLOOKUP($A129,数出表_Excel!$A$6:$T$150,COLUMN()/2+1,FALSE))),"")</f>
        <v/>
      </c>
      <c r="E129" s="77"/>
      <c r="F129" s="160" t="str">
        <f ca="1">IFERROR(VALUE(IF(VLOOKUP($A129,数出表_Excel!$A$6:$T$150,COLUMN()/2+1,FALSE)=0,"",VLOOKUP($A129,数出表_Excel!$A$6:$T$150,COLUMN()/2+1,FALSE))),"")</f>
        <v/>
      </c>
      <c r="G129" s="61"/>
      <c r="H129" s="150" t="str">
        <f ca="1">IFERROR(VALUE(IF(VLOOKUP($A129,数出表_Excel!$A$6:$T$150,COLUMN()/2+1,FALSE)=0,"",VLOOKUP($A129,数出表_Excel!$A$6:$T$150,COLUMN()/2+1,FALSE))),"")</f>
        <v/>
      </c>
      <c r="I129" s="77"/>
      <c r="J129" s="160" t="str">
        <f ca="1">IFERROR(VALUE(IF(VLOOKUP($A129,数出表_Excel!$A$6:$T$150,COLUMN()/2+1,FALSE)=0,"",VLOOKUP($A129,数出表_Excel!$A$6:$T$150,COLUMN()/2+1,FALSE))),"")</f>
        <v/>
      </c>
      <c r="K129" s="61"/>
      <c r="L129" s="150" t="str">
        <f ca="1">IFERROR(VALUE(IF(VLOOKUP($A129,数出表_Excel!$A$6:$T$150,COLUMN()/2+1,FALSE)=0,"",VLOOKUP($A129,数出表_Excel!$A$6:$T$150,COLUMN()/2+1,FALSE))),"")</f>
        <v/>
      </c>
      <c r="M129" s="77"/>
      <c r="N129" s="160" t="str">
        <f ca="1">IFERROR(VALUE(IF(VLOOKUP($A129,数出表_Excel!$A$6:$T$150,COLUMN()/2+1,FALSE)=0,"",VLOOKUP($A129,数出表_Excel!$A$6:$T$150,COLUMN()/2+1,FALSE))),"")</f>
        <v/>
      </c>
      <c r="O129" s="61"/>
      <c r="P129" s="150" t="str">
        <f ca="1">IFERROR(VALUE(IF(VLOOKUP($A129,数出表_Excel!$A$6:$T$150,COLUMN()/2+1,FALSE)=0,"",VLOOKUP($A129,数出表_Excel!$A$6:$T$150,COLUMN()/2+1,FALSE))),"")</f>
        <v/>
      </c>
      <c r="Q129" s="77"/>
      <c r="R129" s="160" t="str">
        <f ca="1">IFERROR(VALUE(IF(VLOOKUP($A129,数出表_Excel!$A$6:$T$150,COLUMN()/2+1,FALSE)=0,"",VLOOKUP($A129,数出表_Excel!$A$6:$T$150,COLUMN()/2+1,FALSE))),"")</f>
        <v/>
      </c>
      <c r="S129" s="61"/>
      <c r="T129" s="150" t="str">
        <f ca="1">IFERROR(VALUE(IF(VLOOKUP($A129,数出表_Excel!$A$6:$T$150,COLUMN()/2+1,FALSE)=0,"",VLOOKUP($A129,数出表_Excel!$A$6:$T$150,COLUMN()/2+1,FALSE))),"")</f>
        <v/>
      </c>
      <c r="U129" s="77"/>
      <c r="V129" s="160" t="str">
        <f ca="1">IFERROR(VALUE(IF(VLOOKUP($A129,数出表_Excel!$A$6:$T$150,COLUMN()/2+1,FALSE)=0,"",VLOOKUP($A129,数出表_Excel!$A$6:$T$150,COLUMN()/2+1,FALSE))),"")</f>
        <v/>
      </c>
      <c r="W129" s="61"/>
      <c r="X129" s="150" t="str">
        <f ca="1">IFERROR(VALUE(IF(VLOOKUP($A129,数出表_Excel!$A$6:$T$150,COLUMN()/2+1,FALSE)=0,"",VLOOKUP($A129,数出表_Excel!$A$6:$T$150,COLUMN()/2+1,FALSE))),"")</f>
        <v/>
      </c>
      <c r="Y129" s="77"/>
      <c r="Z129" s="160" t="str">
        <f ca="1">IFERROR(VALUE(IF(VLOOKUP($A129,数出表_Excel!$A$6:$T$150,COLUMN()/2+1,FALSE)=0,"",VLOOKUP($A129,数出表_Excel!$A$6:$T$150,COLUMN()/2+1,FALSE))),"")</f>
        <v/>
      </c>
      <c r="AA129" s="77"/>
      <c r="AB129" s="150" t="str">
        <f ca="1">IFERROR(VALUE(IF(VLOOKUP($A129,数出表_Excel!$A$6:$T$150,COLUMN()/2+1,FALSE)=0,"",VLOOKUP($A129,数出表_Excel!$A$6:$T$150,COLUMN()/2+1,FALSE))),"")</f>
        <v/>
      </c>
      <c r="AC129" s="77"/>
      <c r="AD129" s="150" t="str">
        <f ca="1">IFERROR(VALUE(IF(VLOOKUP($A129,数出表_Excel!$A$6:$T$150,COLUMN()/2+1,FALSE)=0,"",VLOOKUP($A129,数出表_Excel!$A$6:$T$150,COLUMN()/2+1,FALSE))),"")</f>
        <v/>
      </c>
      <c r="AE129" s="77"/>
      <c r="AF129" s="150" t="str">
        <f ca="1">IFERROR(VALUE(IF(VLOOKUP($A129,数出表_Excel!$A$6:$T$150,COLUMN()/2+1,FALSE)=0,"",VLOOKUP($A129,数出表_Excel!$A$6:$T$150,COLUMN()/2+1,FALSE))),"")</f>
        <v/>
      </c>
      <c r="AG129" s="77"/>
      <c r="AH129" s="150" t="str">
        <f ca="1">IFERROR(VALUE(IF(VLOOKUP($A129,数出表_Excel!$A$6:$T$150,COLUMN()/2+1,FALSE)=0,"",VLOOKUP($A129,数出表_Excel!$A$6:$T$150,COLUMN()/2+1,FALSE))),"")</f>
        <v/>
      </c>
      <c r="AI129" s="77"/>
      <c r="AJ129" s="150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50" t="str">
        <f ca="1">IFERROR(VALUE(IF(VLOOKUP($A131,数出表_Excel!$A$6:$T$150,COLUMN()/2+1,FALSE)=0,"",VLOOKUP($A131,数出表_Excel!$A$6:$T$150,COLUMN()/2+1,FALSE))),"")</f>
        <v/>
      </c>
      <c r="C131" s="61"/>
      <c r="D131" s="150" t="str">
        <f ca="1">IFERROR(VALUE(IF(VLOOKUP($A131,数出表_Excel!$A$6:$T$150,COLUMN()/2+1,FALSE)=0,"",VLOOKUP($A131,数出表_Excel!$A$6:$T$150,COLUMN()/2+1,FALSE))),"")</f>
        <v/>
      </c>
      <c r="E131" s="77"/>
      <c r="F131" s="160" t="str">
        <f ca="1">IFERROR(VALUE(IF(VLOOKUP($A131,数出表_Excel!$A$6:$T$150,COLUMN()/2+1,FALSE)=0,"",VLOOKUP($A131,数出表_Excel!$A$6:$T$150,COLUMN()/2+1,FALSE))),"")</f>
        <v/>
      </c>
      <c r="G131" s="61"/>
      <c r="H131" s="150" t="str">
        <f ca="1">IFERROR(VALUE(IF(VLOOKUP($A131,数出表_Excel!$A$6:$T$150,COLUMN()/2+1,FALSE)=0,"",VLOOKUP($A131,数出表_Excel!$A$6:$T$150,COLUMN()/2+1,FALSE))),"")</f>
        <v/>
      </c>
      <c r="I131" s="77"/>
      <c r="J131" s="160" t="str">
        <f ca="1">IFERROR(VALUE(IF(VLOOKUP($A131,数出表_Excel!$A$6:$T$150,COLUMN()/2+1,FALSE)=0,"",VLOOKUP($A131,数出表_Excel!$A$6:$T$150,COLUMN()/2+1,FALSE))),"")</f>
        <v/>
      </c>
      <c r="K131" s="61"/>
      <c r="L131" s="150" t="str">
        <f ca="1">IFERROR(VALUE(IF(VLOOKUP($A131,数出表_Excel!$A$6:$T$150,COLUMN()/2+1,FALSE)=0,"",VLOOKUP($A131,数出表_Excel!$A$6:$T$150,COLUMN()/2+1,FALSE))),"")</f>
        <v/>
      </c>
      <c r="M131" s="77"/>
      <c r="N131" s="160" t="str">
        <f ca="1">IFERROR(VALUE(IF(VLOOKUP($A131,数出表_Excel!$A$6:$T$150,COLUMN()/2+1,FALSE)=0,"",VLOOKUP($A131,数出表_Excel!$A$6:$T$150,COLUMN()/2+1,FALSE))),"")</f>
        <v/>
      </c>
      <c r="O131" s="61"/>
      <c r="P131" s="150" t="str">
        <f ca="1">IFERROR(VALUE(IF(VLOOKUP($A131,数出表_Excel!$A$6:$T$150,COLUMN()/2+1,FALSE)=0,"",VLOOKUP($A131,数出表_Excel!$A$6:$T$150,COLUMN()/2+1,FALSE))),"")</f>
        <v/>
      </c>
      <c r="Q131" s="77"/>
      <c r="R131" s="160" t="str">
        <f ca="1">IFERROR(VALUE(IF(VLOOKUP($A131,数出表_Excel!$A$6:$T$150,COLUMN()/2+1,FALSE)=0,"",VLOOKUP($A131,数出表_Excel!$A$6:$T$150,COLUMN()/2+1,FALSE))),"")</f>
        <v/>
      </c>
      <c r="S131" s="61"/>
      <c r="T131" s="150" t="str">
        <f ca="1">IFERROR(VALUE(IF(VLOOKUP($A131,数出表_Excel!$A$6:$T$150,COLUMN()/2+1,FALSE)=0,"",VLOOKUP($A131,数出表_Excel!$A$6:$T$150,COLUMN()/2+1,FALSE))),"")</f>
        <v/>
      </c>
      <c r="U131" s="77"/>
      <c r="V131" s="160" t="str">
        <f ca="1">IFERROR(VALUE(IF(VLOOKUP($A131,数出表_Excel!$A$6:$T$150,COLUMN()/2+1,FALSE)=0,"",VLOOKUP($A131,数出表_Excel!$A$6:$T$150,COLUMN()/2+1,FALSE))),"")</f>
        <v/>
      </c>
      <c r="W131" s="61"/>
      <c r="X131" s="150" t="str">
        <f ca="1">IFERROR(VALUE(IF(VLOOKUP($A131,数出表_Excel!$A$6:$T$150,COLUMN()/2+1,FALSE)=0,"",VLOOKUP($A131,数出表_Excel!$A$6:$T$150,COLUMN()/2+1,FALSE))),"")</f>
        <v/>
      </c>
      <c r="Y131" s="77"/>
      <c r="Z131" s="160" t="str">
        <f ca="1">IFERROR(VALUE(IF(VLOOKUP($A131,数出表_Excel!$A$6:$T$150,COLUMN()/2+1,FALSE)=0,"",VLOOKUP($A131,数出表_Excel!$A$6:$T$150,COLUMN()/2+1,FALSE))),"")</f>
        <v/>
      </c>
      <c r="AA131" s="77"/>
      <c r="AB131" s="150" t="str">
        <f ca="1">IFERROR(VALUE(IF(VLOOKUP($A131,数出表_Excel!$A$6:$T$150,COLUMN()/2+1,FALSE)=0,"",VLOOKUP($A131,数出表_Excel!$A$6:$T$150,COLUMN()/2+1,FALSE))),"")</f>
        <v/>
      </c>
      <c r="AC131" s="77"/>
      <c r="AD131" s="150" t="str">
        <f ca="1">IFERROR(VALUE(IF(VLOOKUP($A131,数出表_Excel!$A$6:$T$150,COLUMN()/2+1,FALSE)=0,"",VLOOKUP($A131,数出表_Excel!$A$6:$T$150,COLUMN()/2+1,FALSE))),"")</f>
        <v/>
      </c>
      <c r="AE131" s="77"/>
      <c r="AF131" s="150" t="str">
        <f ca="1">IFERROR(VALUE(IF(VLOOKUP($A131,数出表_Excel!$A$6:$T$150,COLUMN()/2+1,FALSE)=0,"",VLOOKUP($A131,数出表_Excel!$A$6:$T$150,COLUMN()/2+1,FALSE))),"")</f>
        <v/>
      </c>
      <c r="AG131" s="77"/>
      <c r="AH131" s="150" t="str">
        <f ca="1">IFERROR(VALUE(IF(VLOOKUP($A131,数出表_Excel!$A$6:$T$150,COLUMN()/2+1,FALSE)=0,"",VLOOKUP($A131,数出表_Excel!$A$6:$T$150,COLUMN()/2+1,FALSE))),"")</f>
        <v/>
      </c>
      <c r="AI131" s="77"/>
      <c r="AJ131" s="150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50" t="str">
        <f ca="1">IFERROR(VALUE(IF(VLOOKUP($A133,数出表_Excel!$A$6:$T$150,COLUMN()/2+1,FALSE)=0,"",VLOOKUP($A133,数出表_Excel!$A$6:$T$150,COLUMN()/2+1,FALSE))),"")</f>
        <v/>
      </c>
      <c r="C133" s="61"/>
      <c r="D133" s="150" t="str">
        <f ca="1">IFERROR(VALUE(IF(VLOOKUP($A133,数出表_Excel!$A$6:$T$150,COLUMN()/2+1,FALSE)=0,"",VLOOKUP($A133,数出表_Excel!$A$6:$T$150,COLUMN()/2+1,FALSE))),"")</f>
        <v/>
      </c>
      <c r="E133" s="77"/>
      <c r="F133" s="160" t="str">
        <f ca="1">IFERROR(VALUE(IF(VLOOKUP($A133,数出表_Excel!$A$6:$T$150,COLUMN()/2+1,FALSE)=0,"",VLOOKUP($A133,数出表_Excel!$A$6:$T$150,COLUMN()/2+1,FALSE))),"")</f>
        <v/>
      </c>
      <c r="G133" s="61"/>
      <c r="H133" s="150" t="str">
        <f ca="1">IFERROR(VALUE(IF(VLOOKUP($A133,数出表_Excel!$A$6:$T$150,COLUMN()/2+1,FALSE)=0,"",VLOOKUP($A133,数出表_Excel!$A$6:$T$150,COLUMN()/2+1,FALSE))),"")</f>
        <v/>
      </c>
      <c r="I133" s="77"/>
      <c r="J133" s="160" t="str">
        <f ca="1">IFERROR(VALUE(IF(VLOOKUP($A133,数出表_Excel!$A$6:$T$150,COLUMN()/2+1,FALSE)=0,"",VLOOKUP($A133,数出表_Excel!$A$6:$T$150,COLUMN()/2+1,FALSE))),"")</f>
        <v/>
      </c>
      <c r="K133" s="61"/>
      <c r="L133" s="150" t="str">
        <f ca="1">IFERROR(VALUE(IF(VLOOKUP($A133,数出表_Excel!$A$6:$T$150,COLUMN()/2+1,FALSE)=0,"",VLOOKUP($A133,数出表_Excel!$A$6:$T$150,COLUMN()/2+1,FALSE))),"")</f>
        <v/>
      </c>
      <c r="M133" s="77"/>
      <c r="N133" s="160" t="str">
        <f ca="1">IFERROR(VALUE(IF(VLOOKUP($A133,数出表_Excel!$A$6:$T$150,COLUMN()/2+1,FALSE)=0,"",VLOOKUP($A133,数出表_Excel!$A$6:$T$150,COLUMN()/2+1,FALSE))),"")</f>
        <v/>
      </c>
      <c r="O133" s="61"/>
      <c r="P133" s="150" t="str">
        <f ca="1">IFERROR(VALUE(IF(VLOOKUP($A133,数出表_Excel!$A$6:$T$150,COLUMN()/2+1,FALSE)=0,"",VLOOKUP($A133,数出表_Excel!$A$6:$T$150,COLUMN()/2+1,FALSE))),"")</f>
        <v/>
      </c>
      <c r="Q133" s="77"/>
      <c r="R133" s="160" t="str">
        <f ca="1">IFERROR(VALUE(IF(VLOOKUP($A133,数出表_Excel!$A$6:$T$150,COLUMN()/2+1,FALSE)=0,"",VLOOKUP($A133,数出表_Excel!$A$6:$T$150,COLUMN()/2+1,FALSE))),"")</f>
        <v/>
      </c>
      <c r="S133" s="61"/>
      <c r="T133" s="150" t="str">
        <f ca="1">IFERROR(VALUE(IF(VLOOKUP($A133,数出表_Excel!$A$6:$T$150,COLUMN()/2+1,FALSE)=0,"",VLOOKUP($A133,数出表_Excel!$A$6:$T$150,COLUMN()/2+1,FALSE))),"")</f>
        <v/>
      </c>
      <c r="U133" s="77"/>
      <c r="V133" s="160" t="str">
        <f ca="1">IFERROR(VALUE(IF(VLOOKUP($A133,数出表_Excel!$A$6:$T$150,COLUMN()/2+1,FALSE)=0,"",VLOOKUP($A133,数出表_Excel!$A$6:$T$150,COLUMN()/2+1,FALSE))),"")</f>
        <v/>
      </c>
      <c r="W133" s="61"/>
      <c r="X133" s="150" t="str">
        <f ca="1">IFERROR(VALUE(IF(VLOOKUP($A133,数出表_Excel!$A$6:$T$150,COLUMN()/2+1,FALSE)=0,"",VLOOKUP($A133,数出表_Excel!$A$6:$T$150,COLUMN()/2+1,FALSE))),"")</f>
        <v/>
      </c>
      <c r="Y133" s="77"/>
      <c r="Z133" s="160" t="str">
        <f ca="1">IFERROR(VALUE(IF(VLOOKUP($A133,数出表_Excel!$A$6:$T$150,COLUMN()/2+1,FALSE)=0,"",VLOOKUP($A133,数出表_Excel!$A$6:$T$150,COLUMN()/2+1,FALSE))),"")</f>
        <v/>
      </c>
      <c r="AA133" s="77"/>
      <c r="AB133" s="150" t="str">
        <f ca="1">IFERROR(VALUE(IF(VLOOKUP($A133,数出表_Excel!$A$6:$T$150,COLUMN()/2+1,FALSE)=0,"",VLOOKUP($A133,数出表_Excel!$A$6:$T$150,COLUMN()/2+1,FALSE))),"")</f>
        <v/>
      </c>
      <c r="AC133" s="77"/>
      <c r="AD133" s="150" t="str">
        <f ca="1">IFERROR(VALUE(IF(VLOOKUP($A133,数出表_Excel!$A$6:$T$150,COLUMN()/2+1,FALSE)=0,"",VLOOKUP($A133,数出表_Excel!$A$6:$T$150,COLUMN()/2+1,FALSE))),"")</f>
        <v/>
      </c>
      <c r="AE133" s="77"/>
      <c r="AF133" s="150" t="str">
        <f ca="1">IFERROR(VALUE(IF(VLOOKUP($A133,数出表_Excel!$A$6:$T$150,COLUMN()/2+1,FALSE)=0,"",VLOOKUP($A133,数出表_Excel!$A$6:$T$150,COLUMN()/2+1,FALSE))),"")</f>
        <v/>
      </c>
      <c r="AG133" s="77"/>
      <c r="AH133" s="150" t="str">
        <f ca="1">IFERROR(VALUE(IF(VLOOKUP($A133,数出表_Excel!$A$6:$T$150,COLUMN()/2+1,FALSE)=0,"",VLOOKUP($A133,数出表_Excel!$A$6:$T$150,COLUMN()/2+1,FALSE))),"")</f>
        <v/>
      </c>
      <c r="AI133" s="77"/>
      <c r="AJ133" s="150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50" t="str">
        <f ca="1">IFERROR(VALUE(IF(VLOOKUP($A135,数出表_Excel!$A$6:$T$150,COLUMN()/2+1,FALSE)=0,"",VLOOKUP($A135,数出表_Excel!$A$6:$T$150,COLUMN()/2+1,FALSE))),"")</f>
        <v/>
      </c>
      <c r="C135" s="61"/>
      <c r="D135" s="150" t="str">
        <f ca="1">IFERROR(VALUE(IF(VLOOKUP($A135,数出表_Excel!$A$6:$T$150,COLUMN()/2+1,FALSE)=0,"",VLOOKUP($A135,数出表_Excel!$A$6:$T$150,COLUMN()/2+1,FALSE))),"")</f>
        <v/>
      </c>
      <c r="E135" s="77"/>
      <c r="F135" s="160" t="str">
        <f ca="1">IFERROR(VALUE(IF(VLOOKUP($A135,数出表_Excel!$A$6:$T$150,COLUMN()/2+1,FALSE)=0,"",VLOOKUP($A135,数出表_Excel!$A$6:$T$150,COLUMN()/2+1,FALSE))),"")</f>
        <v/>
      </c>
      <c r="G135" s="61"/>
      <c r="H135" s="150" t="str">
        <f ca="1">IFERROR(VALUE(IF(VLOOKUP($A135,数出表_Excel!$A$6:$T$150,COLUMN()/2+1,FALSE)=0,"",VLOOKUP($A135,数出表_Excel!$A$6:$T$150,COLUMN()/2+1,FALSE))),"")</f>
        <v/>
      </c>
      <c r="I135" s="77"/>
      <c r="J135" s="160" t="str">
        <f ca="1">IFERROR(VALUE(IF(VLOOKUP($A135,数出表_Excel!$A$6:$T$150,COLUMN()/2+1,FALSE)=0,"",VLOOKUP($A135,数出表_Excel!$A$6:$T$150,COLUMN()/2+1,FALSE))),"")</f>
        <v/>
      </c>
      <c r="K135" s="61"/>
      <c r="L135" s="150" t="str">
        <f ca="1">IFERROR(VALUE(IF(VLOOKUP($A135,数出表_Excel!$A$6:$T$150,COLUMN()/2+1,FALSE)=0,"",VLOOKUP($A135,数出表_Excel!$A$6:$T$150,COLUMN()/2+1,FALSE))),"")</f>
        <v/>
      </c>
      <c r="M135" s="77"/>
      <c r="N135" s="160" t="str">
        <f ca="1">IFERROR(VALUE(IF(VLOOKUP($A135,数出表_Excel!$A$6:$T$150,COLUMN()/2+1,FALSE)=0,"",VLOOKUP($A135,数出表_Excel!$A$6:$T$150,COLUMN()/2+1,FALSE))),"")</f>
        <v/>
      </c>
      <c r="O135" s="61"/>
      <c r="P135" s="150" t="str">
        <f ca="1">IFERROR(VALUE(IF(VLOOKUP($A135,数出表_Excel!$A$6:$T$150,COLUMN()/2+1,FALSE)=0,"",VLOOKUP($A135,数出表_Excel!$A$6:$T$150,COLUMN()/2+1,FALSE))),"")</f>
        <v/>
      </c>
      <c r="Q135" s="77"/>
      <c r="R135" s="160" t="str">
        <f ca="1">IFERROR(VALUE(IF(VLOOKUP($A135,数出表_Excel!$A$6:$T$150,COLUMN()/2+1,FALSE)=0,"",VLOOKUP($A135,数出表_Excel!$A$6:$T$150,COLUMN()/2+1,FALSE))),"")</f>
        <v/>
      </c>
      <c r="S135" s="61"/>
      <c r="T135" s="150" t="str">
        <f ca="1">IFERROR(VALUE(IF(VLOOKUP($A135,数出表_Excel!$A$6:$T$150,COLUMN()/2+1,FALSE)=0,"",VLOOKUP($A135,数出表_Excel!$A$6:$T$150,COLUMN()/2+1,FALSE))),"")</f>
        <v/>
      </c>
      <c r="U135" s="77"/>
      <c r="V135" s="160" t="str">
        <f ca="1">IFERROR(VALUE(IF(VLOOKUP($A135,数出表_Excel!$A$6:$T$150,COLUMN()/2+1,FALSE)=0,"",VLOOKUP($A135,数出表_Excel!$A$6:$T$150,COLUMN()/2+1,FALSE))),"")</f>
        <v/>
      </c>
      <c r="W135" s="61"/>
      <c r="X135" s="150" t="str">
        <f ca="1">IFERROR(VALUE(IF(VLOOKUP($A135,数出表_Excel!$A$6:$T$150,COLUMN()/2+1,FALSE)=0,"",VLOOKUP($A135,数出表_Excel!$A$6:$T$150,COLUMN()/2+1,FALSE))),"")</f>
        <v/>
      </c>
      <c r="Y135" s="77"/>
      <c r="Z135" s="160" t="str">
        <f ca="1">IFERROR(VALUE(IF(VLOOKUP($A135,数出表_Excel!$A$6:$T$150,COLUMN()/2+1,FALSE)=0,"",VLOOKUP($A135,数出表_Excel!$A$6:$T$150,COLUMN()/2+1,FALSE))),"")</f>
        <v/>
      </c>
      <c r="AA135" s="77"/>
      <c r="AB135" s="150" t="str">
        <f ca="1">IFERROR(VALUE(IF(VLOOKUP($A135,数出表_Excel!$A$6:$T$150,COLUMN()/2+1,FALSE)=0,"",VLOOKUP($A135,数出表_Excel!$A$6:$T$150,COLUMN()/2+1,FALSE))),"")</f>
        <v/>
      </c>
      <c r="AC135" s="77"/>
      <c r="AD135" s="150" t="str">
        <f ca="1">IFERROR(VALUE(IF(VLOOKUP($A135,数出表_Excel!$A$6:$T$150,COLUMN()/2+1,FALSE)=0,"",VLOOKUP($A135,数出表_Excel!$A$6:$T$150,COLUMN()/2+1,FALSE))),"")</f>
        <v/>
      </c>
      <c r="AE135" s="77"/>
      <c r="AF135" s="150" t="str">
        <f ca="1">IFERROR(VALUE(IF(VLOOKUP($A135,数出表_Excel!$A$6:$T$150,COLUMN()/2+1,FALSE)=0,"",VLOOKUP($A135,数出表_Excel!$A$6:$T$150,COLUMN()/2+1,FALSE))),"")</f>
        <v/>
      </c>
      <c r="AG135" s="77"/>
      <c r="AH135" s="150" t="str">
        <f ca="1">IFERROR(VALUE(IF(VLOOKUP($A135,数出表_Excel!$A$6:$T$150,COLUMN()/2+1,FALSE)=0,"",VLOOKUP($A135,数出表_Excel!$A$6:$T$150,COLUMN()/2+1,FALSE))),"")</f>
        <v/>
      </c>
      <c r="AI135" s="77"/>
      <c r="AJ135" s="150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50" t="str">
        <f ca="1">IFERROR(VALUE(IF(VLOOKUP($A137,数出表_Excel!$A$6:$T$150,COLUMN()/2+1,FALSE)=0,"",VLOOKUP($A137,数出表_Excel!$A$6:$T$150,COLUMN()/2+1,FALSE))),"")</f>
        <v/>
      </c>
      <c r="C137" s="61"/>
      <c r="D137" s="150" t="str">
        <f ca="1">IFERROR(VALUE(IF(VLOOKUP($A137,数出表_Excel!$A$6:$T$150,COLUMN()/2+1,FALSE)=0,"",VLOOKUP($A137,数出表_Excel!$A$6:$T$150,COLUMN()/2+1,FALSE))),"")</f>
        <v/>
      </c>
      <c r="E137" s="77"/>
      <c r="F137" s="160" t="str">
        <f ca="1">IFERROR(VALUE(IF(VLOOKUP($A137,数出表_Excel!$A$6:$T$150,COLUMN()/2+1,FALSE)=0,"",VLOOKUP($A137,数出表_Excel!$A$6:$T$150,COLUMN()/2+1,FALSE))),"")</f>
        <v/>
      </c>
      <c r="G137" s="61"/>
      <c r="H137" s="150" t="str">
        <f ca="1">IFERROR(VALUE(IF(VLOOKUP($A137,数出表_Excel!$A$6:$T$150,COLUMN()/2+1,FALSE)=0,"",VLOOKUP($A137,数出表_Excel!$A$6:$T$150,COLUMN()/2+1,FALSE))),"")</f>
        <v/>
      </c>
      <c r="I137" s="77"/>
      <c r="J137" s="160" t="str">
        <f ca="1">IFERROR(VALUE(IF(VLOOKUP($A137,数出表_Excel!$A$6:$T$150,COLUMN()/2+1,FALSE)=0,"",VLOOKUP($A137,数出表_Excel!$A$6:$T$150,COLUMN()/2+1,FALSE))),"")</f>
        <v/>
      </c>
      <c r="K137" s="61"/>
      <c r="L137" s="150" t="str">
        <f ca="1">IFERROR(VALUE(IF(VLOOKUP($A137,数出表_Excel!$A$6:$T$150,COLUMN()/2+1,FALSE)=0,"",VLOOKUP($A137,数出表_Excel!$A$6:$T$150,COLUMN()/2+1,FALSE))),"")</f>
        <v/>
      </c>
      <c r="M137" s="77"/>
      <c r="N137" s="160" t="str">
        <f ca="1">IFERROR(VALUE(IF(VLOOKUP($A137,数出表_Excel!$A$6:$T$150,COLUMN()/2+1,FALSE)=0,"",VLOOKUP($A137,数出表_Excel!$A$6:$T$150,COLUMN()/2+1,FALSE))),"")</f>
        <v/>
      </c>
      <c r="O137" s="61"/>
      <c r="P137" s="150" t="str">
        <f ca="1">IFERROR(VALUE(IF(VLOOKUP($A137,数出表_Excel!$A$6:$T$150,COLUMN()/2+1,FALSE)=0,"",VLOOKUP($A137,数出表_Excel!$A$6:$T$150,COLUMN()/2+1,FALSE))),"")</f>
        <v/>
      </c>
      <c r="Q137" s="77"/>
      <c r="R137" s="160" t="str">
        <f ca="1">IFERROR(VALUE(IF(VLOOKUP($A137,数出表_Excel!$A$6:$T$150,COLUMN()/2+1,FALSE)=0,"",VLOOKUP($A137,数出表_Excel!$A$6:$T$150,COLUMN()/2+1,FALSE))),"")</f>
        <v/>
      </c>
      <c r="S137" s="61"/>
      <c r="T137" s="150" t="str">
        <f ca="1">IFERROR(VALUE(IF(VLOOKUP($A137,数出表_Excel!$A$6:$T$150,COLUMN()/2+1,FALSE)=0,"",VLOOKUP($A137,数出表_Excel!$A$6:$T$150,COLUMN()/2+1,FALSE))),"")</f>
        <v/>
      </c>
      <c r="U137" s="77"/>
      <c r="V137" s="160" t="str">
        <f ca="1">IFERROR(VALUE(IF(VLOOKUP($A137,数出表_Excel!$A$6:$T$150,COLUMN()/2+1,FALSE)=0,"",VLOOKUP($A137,数出表_Excel!$A$6:$T$150,COLUMN()/2+1,FALSE))),"")</f>
        <v/>
      </c>
      <c r="W137" s="61"/>
      <c r="X137" s="150" t="str">
        <f ca="1">IFERROR(VALUE(IF(VLOOKUP($A137,数出表_Excel!$A$6:$T$150,COLUMN()/2+1,FALSE)=0,"",VLOOKUP($A137,数出表_Excel!$A$6:$T$150,COLUMN()/2+1,FALSE))),"")</f>
        <v/>
      </c>
      <c r="Y137" s="77"/>
      <c r="Z137" s="160" t="str">
        <f ca="1">IFERROR(VALUE(IF(VLOOKUP($A137,数出表_Excel!$A$6:$T$150,COLUMN()/2+1,FALSE)=0,"",VLOOKUP($A137,数出表_Excel!$A$6:$T$150,COLUMN()/2+1,FALSE))),"")</f>
        <v/>
      </c>
      <c r="AA137" s="77"/>
      <c r="AB137" s="150" t="str">
        <f ca="1">IFERROR(VALUE(IF(VLOOKUP($A137,数出表_Excel!$A$6:$T$150,COLUMN()/2+1,FALSE)=0,"",VLOOKUP($A137,数出表_Excel!$A$6:$T$150,COLUMN()/2+1,FALSE))),"")</f>
        <v/>
      </c>
      <c r="AC137" s="77"/>
      <c r="AD137" s="150" t="str">
        <f ca="1">IFERROR(VALUE(IF(VLOOKUP($A137,数出表_Excel!$A$6:$T$150,COLUMN()/2+1,FALSE)=0,"",VLOOKUP($A137,数出表_Excel!$A$6:$T$150,COLUMN()/2+1,FALSE))),"")</f>
        <v/>
      </c>
      <c r="AE137" s="77"/>
      <c r="AF137" s="150" t="str">
        <f ca="1">IFERROR(VALUE(IF(VLOOKUP($A137,数出表_Excel!$A$6:$T$150,COLUMN()/2+1,FALSE)=0,"",VLOOKUP($A137,数出表_Excel!$A$6:$T$150,COLUMN()/2+1,FALSE))),"")</f>
        <v/>
      </c>
      <c r="AG137" s="77"/>
      <c r="AH137" s="150" t="str">
        <f ca="1">IFERROR(VALUE(IF(VLOOKUP($A137,数出表_Excel!$A$6:$T$150,COLUMN()/2+1,FALSE)=0,"",VLOOKUP($A137,数出表_Excel!$A$6:$T$150,COLUMN()/2+1,FALSE))),"")</f>
        <v/>
      </c>
      <c r="AI137" s="77"/>
      <c r="AJ137" s="150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50" t="str">
        <f ca="1">IFERROR(VALUE(IF(VLOOKUP($A139,数出表_Excel!$A$6:$T$150,COLUMN()/2+1,FALSE)=0,"",VLOOKUP($A139,数出表_Excel!$A$6:$T$150,COLUMN()/2+1,FALSE))),"")</f>
        <v/>
      </c>
      <c r="C139" s="61"/>
      <c r="D139" s="150" t="str">
        <f ca="1">IFERROR(VALUE(IF(VLOOKUP($A139,数出表_Excel!$A$6:$T$150,COLUMN()/2+1,FALSE)=0,"",VLOOKUP($A139,数出表_Excel!$A$6:$T$150,COLUMN()/2+1,FALSE))),"")</f>
        <v/>
      </c>
      <c r="E139" s="77"/>
      <c r="F139" s="160" t="str">
        <f ca="1">IFERROR(VALUE(IF(VLOOKUP($A139,数出表_Excel!$A$6:$T$150,COLUMN()/2+1,FALSE)=0,"",VLOOKUP($A139,数出表_Excel!$A$6:$T$150,COLUMN()/2+1,FALSE))),"")</f>
        <v/>
      </c>
      <c r="G139" s="61"/>
      <c r="H139" s="150" t="str">
        <f ca="1">IFERROR(VALUE(IF(VLOOKUP($A139,数出表_Excel!$A$6:$T$150,COLUMN()/2+1,FALSE)=0,"",VLOOKUP($A139,数出表_Excel!$A$6:$T$150,COLUMN()/2+1,FALSE))),"")</f>
        <v/>
      </c>
      <c r="I139" s="77"/>
      <c r="J139" s="160" t="str">
        <f ca="1">IFERROR(VALUE(IF(VLOOKUP($A139,数出表_Excel!$A$6:$T$150,COLUMN()/2+1,FALSE)=0,"",VLOOKUP($A139,数出表_Excel!$A$6:$T$150,COLUMN()/2+1,FALSE))),"")</f>
        <v/>
      </c>
      <c r="K139" s="61"/>
      <c r="L139" s="150" t="str">
        <f ca="1">IFERROR(VALUE(IF(VLOOKUP($A139,数出表_Excel!$A$6:$T$150,COLUMN()/2+1,FALSE)=0,"",VLOOKUP($A139,数出表_Excel!$A$6:$T$150,COLUMN()/2+1,FALSE))),"")</f>
        <v/>
      </c>
      <c r="M139" s="77"/>
      <c r="N139" s="160" t="str">
        <f ca="1">IFERROR(VALUE(IF(VLOOKUP($A139,数出表_Excel!$A$6:$T$150,COLUMN()/2+1,FALSE)=0,"",VLOOKUP($A139,数出表_Excel!$A$6:$T$150,COLUMN()/2+1,FALSE))),"")</f>
        <v/>
      </c>
      <c r="O139" s="61"/>
      <c r="P139" s="150" t="str">
        <f ca="1">IFERROR(VALUE(IF(VLOOKUP($A139,数出表_Excel!$A$6:$T$150,COLUMN()/2+1,FALSE)=0,"",VLOOKUP($A139,数出表_Excel!$A$6:$T$150,COLUMN()/2+1,FALSE))),"")</f>
        <v/>
      </c>
      <c r="Q139" s="77"/>
      <c r="R139" s="160" t="str">
        <f ca="1">IFERROR(VALUE(IF(VLOOKUP($A139,数出表_Excel!$A$6:$T$150,COLUMN()/2+1,FALSE)=0,"",VLOOKUP($A139,数出表_Excel!$A$6:$T$150,COLUMN()/2+1,FALSE))),"")</f>
        <v/>
      </c>
      <c r="S139" s="61"/>
      <c r="T139" s="150" t="str">
        <f ca="1">IFERROR(VALUE(IF(VLOOKUP($A139,数出表_Excel!$A$6:$T$150,COLUMN()/2+1,FALSE)=0,"",VLOOKUP($A139,数出表_Excel!$A$6:$T$150,COLUMN()/2+1,FALSE))),"")</f>
        <v/>
      </c>
      <c r="U139" s="77"/>
      <c r="V139" s="160" t="str">
        <f ca="1">IFERROR(VALUE(IF(VLOOKUP($A139,数出表_Excel!$A$6:$T$150,COLUMN()/2+1,FALSE)=0,"",VLOOKUP($A139,数出表_Excel!$A$6:$T$150,COLUMN()/2+1,FALSE))),"")</f>
        <v/>
      </c>
      <c r="W139" s="61"/>
      <c r="X139" s="150" t="str">
        <f ca="1">IFERROR(VALUE(IF(VLOOKUP($A139,数出表_Excel!$A$6:$T$150,COLUMN()/2+1,FALSE)=0,"",VLOOKUP($A139,数出表_Excel!$A$6:$T$150,COLUMN()/2+1,FALSE))),"")</f>
        <v/>
      </c>
      <c r="Y139" s="77"/>
      <c r="Z139" s="160" t="str">
        <f ca="1">IFERROR(VALUE(IF(VLOOKUP($A139,数出表_Excel!$A$6:$T$150,COLUMN()/2+1,FALSE)=0,"",VLOOKUP($A139,数出表_Excel!$A$6:$T$150,COLUMN()/2+1,FALSE))),"")</f>
        <v/>
      </c>
      <c r="AA139" s="77"/>
      <c r="AB139" s="150" t="str">
        <f ca="1">IFERROR(VALUE(IF(VLOOKUP($A139,数出表_Excel!$A$6:$T$150,COLUMN()/2+1,FALSE)=0,"",VLOOKUP($A139,数出表_Excel!$A$6:$T$150,COLUMN()/2+1,FALSE))),"")</f>
        <v/>
      </c>
      <c r="AC139" s="77"/>
      <c r="AD139" s="150" t="str">
        <f ca="1">IFERROR(VALUE(IF(VLOOKUP($A139,数出表_Excel!$A$6:$T$150,COLUMN()/2+1,FALSE)=0,"",VLOOKUP($A139,数出表_Excel!$A$6:$T$150,COLUMN()/2+1,FALSE))),"")</f>
        <v/>
      </c>
      <c r="AE139" s="77"/>
      <c r="AF139" s="150" t="str">
        <f ca="1">IFERROR(VALUE(IF(VLOOKUP($A139,数出表_Excel!$A$6:$T$150,COLUMN()/2+1,FALSE)=0,"",VLOOKUP($A139,数出表_Excel!$A$6:$T$150,COLUMN()/2+1,FALSE))),"")</f>
        <v/>
      </c>
      <c r="AG139" s="77"/>
      <c r="AH139" s="150" t="str">
        <f ca="1">IFERROR(VALUE(IF(VLOOKUP($A139,数出表_Excel!$A$6:$T$150,COLUMN()/2+1,FALSE)=0,"",VLOOKUP($A139,数出表_Excel!$A$6:$T$150,COLUMN()/2+1,FALSE))),"")</f>
        <v/>
      </c>
      <c r="AI139" s="77"/>
      <c r="AJ139" s="150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50" t="str">
        <f ca="1">IFERROR(VALUE(IF(VLOOKUP($A141,数出表_Excel!$A$6:$T$150,COLUMN()/2+1,FALSE)=0,"",VLOOKUP($A141,数出表_Excel!$A$6:$T$150,COLUMN()/2+1,FALSE))),"")</f>
        <v/>
      </c>
      <c r="C141" s="61"/>
      <c r="D141" s="150" t="str">
        <f ca="1">IFERROR(VALUE(IF(VLOOKUP($A141,数出表_Excel!$A$6:$T$150,COLUMN()/2+1,FALSE)=0,"",VLOOKUP($A141,数出表_Excel!$A$6:$T$150,COLUMN()/2+1,FALSE))),"")</f>
        <v/>
      </c>
      <c r="E141" s="77"/>
      <c r="F141" s="160" t="str">
        <f ca="1">IFERROR(VALUE(IF(VLOOKUP($A141,数出表_Excel!$A$6:$T$150,COLUMN()/2+1,FALSE)=0,"",VLOOKUP($A141,数出表_Excel!$A$6:$T$150,COLUMN()/2+1,FALSE))),"")</f>
        <v/>
      </c>
      <c r="G141" s="61"/>
      <c r="H141" s="150" t="str">
        <f ca="1">IFERROR(VALUE(IF(VLOOKUP($A141,数出表_Excel!$A$6:$T$150,COLUMN()/2+1,FALSE)=0,"",VLOOKUP($A141,数出表_Excel!$A$6:$T$150,COLUMN()/2+1,FALSE))),"")</f>
        <v/>
      </c>
      <c r="I141" s="77"/>
      <c r="J141" s="160" t="str">
        <f ca="1">IFERROR(VALUE(IF(VLOOKUP($A141,数出表_Excel!$A$6:$T$150,COLUMN()/2+1,FALSE)=0,"",VLOOKUP($A141,数出表_Excel!$A$6:$T$150,COLUMN()/2+1,FALSE))),"")</f>
        <v/>
      </c>
      <c r="K141" s="61"/>
      <c r="L141" s="150" t="str">
        <f ca="1">IFERROR(VALUE(IF(VLOOKUP($A141,数出表_Excel!$A$6:$T$150,COLUMN()/2+1,FALSE)=0,"",VLOOKUP($A141,数出表_Excel!$A$6:$T$150,COLUMN()/2+1,FALSE))),"")</f>
        <v/>
      </c>
      <c r="M141" s="77"/>
      <c r="N141" s="160" t="str">
        <f ca="1">IFERROR(VALUE(IF(VLOOKUP($A141,数出表_Excel!$A$6:$T$150,COLUMN()/2+1,FALSE)=0,"",VLOOKUP($A141,数出表_Excel!$A$6:$T$150,COLUMN()/2+1,FALSE))),"")</f>
        <v/>
      </c>
      <c r="O141" s="61"/>
      <c r="P141" s="150" t="str">
        <f ca="1">IFERROR(VALUE(IF(VLOOKUP($A141,数出表_Excel!$A$6:$T$150,COLUMN()/2+1,FALSE)=0,"",VLOOKUP($A141,数出表_Excel!$A$6:$T$150,COLUMN()/2+1,FALSE))),"")</f>
        <v/>
      </c>
      <c r="Q141" s="77"/>
      <c r="R141" s="160" t="str">
        <f ca="1">IFERROR(VALUE(IF(VLOOKUP($A141,数出表_Excel!$A$6:$T$150,COLUMN()/2+1,FALSE)=0,"",VLOOKUP($A141,数出表_Excel!$A$6:$T$150,COLUMN()/2+1,FALSE))),"")</f>
        <v/>
      </c>
      <c r="S141" s="61"/>
      <c r="T141" s="150" t="str">
        <f ca="1">IFERROR(VALUE(IF(VLOOKUP($A141,数出表_Excel!$A$6:$T$150,COLUMN()/2+1,FALSE)=0,"",VLOOKUP($A141,数出表_Excel!$A$6:$T$150,COLUMN()/2+1,FALSE))),"")</f>
        <v/>
      </c>
      <c r="U141" s="77"/>
      <c r="V141" s="160" t="str">
        <f ca="1">IFERROR(VALUE(IF(VLOOKUP($A141,数出表_Excel!$A$6:$T$150,COLUMN()/2+1,FALSE)=0,"",VLOOKUP($A141,数出表_Excel!$A$6:$T$150,COLUMN()/2+1,FALSE))),"")</f>
        <v/>
      </c>
      <c r="W141" s="61"/>
      <c r="X141" s="150" t="str">
        <f ca="1">IFERROR(VALUE(IF(VLOOKUP($A141,数出表_Excel!$A$6:$T$150,COLUMN()/2+1,FALSE)=0,"",VLOOKUP($A141,数出表_Excel!$A$6:$T$150,COLUMN()/2+1,FALSE))),"")</f>
        <v/>
      </c>
      <c r="Y141" s="77"/>
      <c r="Z141" s="160" t="str">
        <f ca="1">IFERROR(VALUE(IF(VLOOKUP($A141,数出表_Excel!$A$6:$T$150,COLUMN()/2+1,FALSE)=0,"",VLOOKUP($A141,数出表_Excel!$A$6:$T$150,COLUMN()/2+1,FALSE))),"")</f>
        <v/>
      </c>
      <c r="AA141" s="77"/>
      <c r="AB141" s="150" t="str">
        <f ca="1">IFERROR(VALUE(IF(VLOOKUP($A141,数出表_Excel!$A$6:$T$150,COLUMN()/2+1,FALSE)=0,"",VLOOKUP($A141,数出表_Excel!$A$6:$T$150,COLUMN()/2+1,FALSE))),"")</f>
        <v/>
      </c>
      <c r="AC141" s="77"/>
      <c r="AD141" s="150" t="str">
        <f ca="1">IFERROR(VALUE(IF(VLOOKUP($A141,数出表_Excel!$A$6:$T$150,COLUMN()/2+1,FALSE)=0,"",VLOOKUP($A141,数出表_Excel!$A$6:$T$150,COLUMN()/2+1,FALSE))),"")</f>
        <v/>
      </c>
      <c r="AE141" s="77"/>
      <c r="AF141" s="150" t="str">
        <f ca="1">IFERROR(VALUE(IF(VLOOKUP($A141,数出表_Excel!$A$6:$T$150,COLUMN()/2+1,FALSE)=0,"",VLOOKUP($A141,数出表_Excel!$A$6:$T$150,COLUMN()/2+1,FALSE))),"")</f>
        <v/>
      </c>
      <c r="AG141" s="77"/>
      <c r="AH141" s="150" t="str">
        <f ca="1">IFERROR(VALUE(IF(VLOOKUP($A141,数出表_Excel!$A$6:$T$150,COLUMN()/2+1,FALSE)=0,"",VLOOKUP($A141,数出表_Excel!$A$6:$T$150,COLUMN()/2+1,FALSE))),"")</f>
        <v/>
      </c>
      <c r="AI141" s="77"/>
      <c r="AJ141" s="150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50" t="str">
        <f ca="1">IFERROR(VALUE(IF(VLOOKUP($A143,数出表_Excel!$A$6:$T$150,COLUMN()/2+1,FALSE)=0,"",VLOOKUP($A143,数出表_Excel!$A$6:$T$150,COLUMN()/2+1,FALSE))),"")</f>
        <v/>
      </c>
      <c r="C143" s="61"/>
      <c r="D143" s="150" t="str">
        <f ca="1">IFERROR(VALUE(IF(VLOOKUP($A143,数出表_Excel!$A$6:$T$150,COLUMN()/2+1,FALSE)=0,"",VLOOKUP($A143,数出表_Excel!$A$6:$T$150,COLUMN()/2+1,FALSE))),"")</f>
        <v/>
      </c>
      <c r="E143" s="77"/>
      <c r="F143" s="160" t="str">
        <f ca="1">IFERROR(VALUE(IF(VLOOKUP($A143,数出表_Excel!$A$6:$T$150,COLUMN()/2+1,FALSE)=0,"",VLOOKUP($A143,数出表_Excel!$A$6:$T$150,COLUMN()/2+1,FALSE))),"")</f>
        <v/>
      </c>
      <c r="G143" s="61"/>
      <c r="H143" s="150" t="str">
        <f ca="1">IFERROR(VALUE(IF(VLOOKUP($A143,数出表_Excel!$A$6:$T$150,COLUMN()/2+1,FALSE)=0,"",VLOOKUP($A143,数出表_Excel!$A$6:$T$150,COLUMN()/2+1,FALSE))),"")</f>
        <v/>
      </c>
      <c r="I143" s="77"/>
      <c r="J143" s="160" t="str">
        <f ca="1">IFERROR(VALUE(IF(VLOOKUP($A143,数出表_Excel!$A$6:$T$150,COLUMN()/2+1,FALSE)=0,"",VLOOKUP($A143,数出表_Excel!$A$6:$T$150,COLUMN()/2+1,FALSE))),"")</f>
        <v/>
      </c>
      <c r="K143" s="61"/>
      <c r="L143" s="150" t="str">
        <f ca="1">IFERROR(VALUE(IF(VLOOKUP($A143,数出表_Excel!$A$6:$T$150,COLUMN()/2+1,FALSE)=0,"",VLOOKUP($A143,数出表_Excel!$A$6:$T$150,COLUMN()/2+1,FALSE))),"")</f>
        <v/>
      </c>
      <c r="M143" s="77"/>
      <c r="N143" s="160" t="str">
        <f ca="1">IFERROR(VALUE(IF(VLOOKUP($A143,数出表_Excel!$A$6:$T$150,COLUMN()/2+1,FALSE)=0,"",VLOOKUP($A143,数出表_Excel!$A$6:$T$150,COLUMN()/2+1,FALSE))),"")</f>
        <v/>
      </c>
      <c r="O143" s="61"/>
      <c r="P143" s="150" t="str">
        <f ca="1">IFERROR(VALUE(IF(VLOOKUP($A143,数出表_Excel!$A$6:$T$150,COLUMN()/2+1,FALSE)=0,"",VLOOKUP($A143,数出表_Excel!$A$6:$T$150,COLUMN()/2+1,FALSE))),"")</f>
        <v/>
      </c>
      <c r="Q143" s="77"/>
      <c r="R143" s="160" t="str">
        <f ca="1">IFERROR(VALUE(IF(VLOOKUP($A143,数出表_Excel!$A$6:$T$150,COLUMN()/2+1,FALSE)=0,"",VLOOKUP($A143,数出表_Excel!$A$6:$T$150,COLUMN()/2+1,FALSE))),"")</f>
        <v/>
      </c>
      <c r="S143" s="61"/>
      <c r="T143" s="150" t="str">
        <f ca="1">IFERROR(VALUE(IF(VLOOKUP($A143,数出表_Excel!$A$6:$T$150,COLUMN()/2+1,FALSE)=0,"",VLOOKUP($A143,数出表_Excel!$A$6:$T$150,COLUMN()/2+1,FALSE))),"")</f>
        <v/>
      </c>
      <c r="U143" s="77"/>
      <c r="V143" s="160" t="str">
        <f ca="1">IFERROR(VALUE(IF(VLOOKUP($A143,数出表_Excel!$A$6:$T$150,COLUMN()/2+1,FALSE)=0,"",VLOOKUP($A143,数出表_Excel!$A$6:$T$150,COLUMN()/2+1,FALSE))),"")</f>
        <v/>
      </c>
      <c r="W143" s="61"/>
      <c r="X143" s="150" t="str">
        <f ca="1">IFERROR(VALUE(IF(VLOOKUP($A143,数出表_Excel!$A$6:$T$150,COLUMN()/2+1,FALSE)=0,"",VLOOKUP($A143,数出表_Excel!$A$6:$T$150,COLUMN()/2+1,FALSE))),"")</f>
        <v/>
      </c>
      <c r="Y143" s="77"/>
      <c r="Z143" s="160" t="str">
        <f ca="1">IFERROR(VALUE(IF(VLOOKUP($A143,数出表_Excel!$A$6:$T$150,COLUMN()/2+1,FALSE)=0,"",VLOOKUP($A143,数出表_Excel!$A$6:$T$150,COLUMN()/2+1,FALSE))),"")</f>
        <v/>
      </c>
      <c r="AA143" s="77"/>
      <c r="AB143" s="150" t="str">
        <f ca="1">IFERROR(VALUE(IF(VLOOKUP($A143,数出表_Excel!$A$6:$T$150,COLUMN()/2+1,FALSE)=0,"",VLOOKUP($A143,数出表_Excel!$A$6:$T$150,COLUMN()/2+1,FALSE))),"")</f>
        <v/>
      </c>
      <c r="AC143" s="77"/>
      <c r="AD143" s="150" t="str">
        <f ca="1">IFERROR(VALUE(IF(VLOOKUP($A143,数出表_Excel!$A$6:$T$150,COLUMN()/2+1,FALSE)=0,"",VLOOKUP($A143,数出表_Excel!$A$6:$T$150,COLUMN()/2+1,FALSE))),"")</f>
        <v/>
      </c>
      <c r="AE143" s="77"/>
      <c r="AF143" s="150" t="str">
        <f ca="1">IFERROR(VALUE(IF(VLOOKUP($A143,数出表_Excel!$A$6:$T$150,COLUMN()/2+1,FALSE)=0,"",VLOOKUP($A143,数出表_Excel!$A$6:$T$150,COLUMN()/2+1,FALSE))),"")</f>
        <v/>
      </c>
      <c r="AG143" s="77"/>
      <c r="AH143" s="150" t="str">
        <f ca="1">IFERROR(VALUE(IF(VLOOKUP($A143,数出表_Excel!$A$6:$T$150,COLUMN()/2+1,FALSE)=0,"",VLOOKUP($A143,数出表_Excel!$A$6:$T$150,COLUMN()/2+1,FALSE))),"")</f>
        <v/>
      </c>
      <c r="AI143" s="77"/>
      <c r="AJ143" s="150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50" t="str">
        <f ca="1">IFERROR(VALUE(IF(VLOOKUP($A145,数出表_Excel!$A$6:$T$150,COLUMN()/2+1,FALSE)=0,"",VLOOKUP($A145,数出表_Excel!$A$6:$T$150,COLUMN()/2+1,FALSE))),"")</f>
        <v/>
      </c>
      <c r="C145" s="61"/>
      <c r="D145" s="150" t="str">
        <f ca="1">IFERROR(VALUE(IF(VLOOKUP($A145,数出表_Excel!$A$6:$T$150,COLUMN()/2+1,FALSE)=0,"",VLOOKUP($A145,数出表_Excel!$A$6:$T$150,COLUMN()/2+1,FALSE))),"")</f>
        <v/>
      </c>
      <c r="E145" s="77"/>
      <c r="F145" s="160" t="str">
        <f ca="1">IFERROR(VALUE(IF(VLOOKUP($A145,数出表_Excel!$A$6:$T$150,COLUMN()/2+1,FALSE)=0,"",VLOOKUP($A145,数出表_Excel!$A$6:$T$150,COLUMN()/2+1,FALSE))),"")</f>
        <v/>
      </c>
      <c r="G145" s="61"/>
      <c r="H145" s="150" t="str">
        <f ca="1">IFERROR(VALUE(IF(VLOOKUP($A145,数出表_Excel!$A$6:$T$150,COLUMN()/2+1,FALSE)=0,"",VLOOKUP($A145,数出表_Excel!$A$6:$T$150,COLUMN()/2+1,FALSE))),"")</f>
        <v/>
      </c>
      <c r="I145" s="77"/>
      <c r="J145" s="160" t="str">
        <f ca="1">IFERROR(VALUE(IF(VLOOKUP($A145,数出表_Excel!$A$6:$T$150,COLUMN()/2+1,FALSE)=0,"",VLOOKUP($A145,数出表_Excel!$A$6:$T$150,COLUMN()/2+1,FALSE))),"")</f>
        <v/>
      </c>
      <c r="K145" s="61"/>
      <c r="L145" s="150" t="str">
        <f ca="1">IFERROR(VALUE(IF(VLOOKUP($A145,数出表_Excel!$A$6:$T$150,COLUMN()/2+1,FALSE)=0,"",VLOOKUP($A145,数出表_Excel!$A$6:$T$150,COLUMN()/2+1,FALSE))),"")</f>
        <v/>
      </c>
      <c r="M145" s="77"/>
      <c r="N145" s="160" t="str">
        <f ca="1">IFERROR(VALUE(IF(VLOOKUP($A145,数出表_Excel!$A$6:$T$150,COLUMN()/2+1,FALSE)=0,"",VLOOKUP($A145,数出表_Excel!$A$6:$T$150,COLUMN()/2+1,FALSE))),"")</f>
        <v/>
      </c>
      <c r="O145" s="61"/>
      <c r="P145" s="150" t="str">
        <f ca="1">IFERROR(VALUE(IF(VLOOKUP($A145,数出表_Excel!$A$6:$T$150,COLUMN()/2+1,FALSE)=0,"",VLOOKUP($A145,数出表_Excel!$A$6:$T$150,COLUMN()/2+1,FALSE))),"")</f>
        <v/>
      </c>
      <c r="Q145" s="77"/>
      <c r="R145" s="160" t="str">
        <f ca="1">IFERROR(VALUE(IF(VLOOKUP($A145,数出表_Excel!$A$6:$T$150,COLUMN()/2+1,FALSE)=0,"",VLOOKUP($A145,数出表_Excel!$A$6:$T$150,COLUMN()/2+1,FALSE))),"")</f>
        <v/>
      </c>
      <c r="S145" s="61"/>
      <c r="T145" s="150" t="str">
        <f ca="1">IFERROR(VALUE(IF(VLOOKUP($A145,数出表_Excel!$A$6:$T$150,COLUMN()/2+1,FALSE)=0,"",VLOOKUP($A145,数出表_Excel!$A$6:$T$150,COLUMN()/2+1,FALSE))),"")</f>
        <v/>
      </c>
      <c r="U145" s="77"/>
      <c r="V145" s="160" t="str">
        <f ca="1">IFERROR(VALUE(IF(VLOOKUP($A145,数出表_Excel!$A$6:$T$150,COLUMN()/2+1,FALSE)=0,"",VLOOKUP($A145,数出表_Excel!$A$6:$T$150,COLUMN()/2+1,FALSE))),"")</f>
        <v/>
      </c>
      <c r="W145" s="61"/>
      <c r="X145" s="150" t="str">
        <f ca="1">IFERROR(VALUE(IF(VLOOKUP($A145,数出表_Excel!$A$6:$T$150,COLUMN()/2+1,FALSE)=0,"",VLOOKUP($A145,数出表_Excel!$A$6:$T$150,COLUMN()/2+1,FALSE))),"")</f>
        <v/>
      </c>
      <c r="Y145" s="77"/>
      <c r="Z145" s="160" t="str">
        <f ca="1">IFERROR(VALUE(IF(VLOOKUP($A145,数出表_Excel!$A$6:$T$150,COLUMN()/2+1,FALSE)=0,"",VLOOKUP($A145,数出表_Excel!$A$6:$T$150,COLUMN()/2+1,FALSE))),"")</f>
        <v/>
      </c>
      <c r="AA145" s="77"/>
      <c r="AB145" s="150" t="str">
        <f ca="1">IFERROR(VALUE(IF(VLOOKUP($A145,数出表_Excel!$A$6:$T$150,COLUMN()/2+1,FALSE)=0,"",VLOOKUP($A145,数出表_Excel!$A$6:$T$150,COLUMN()/2+1,FALSE))),"")</f>
        <v/>
      </c>
      <c r="AC145" s="77"/>
      <c r="AD145" s="150" t="str">
        <f ca="1">IFERROR(VALUE(IF(VLOOKUP($A145,数出表_Excel!$A$6:$T$150,COLUMN()/2+1,FALSE)=0,"",VLOOKUP($A145,数出表_Excel!$A$6:$T$150,COLUMN()/2+1,FALSE))),"")</f>
        <v/>
      </c>
      <c r="AE145" s="77"/>
      <c r="AF145" s="150" t="str">
        <f ca="1">IFERROR(VALUE(IF(VLOOKUP($A145,数出表_Excel!$A$6:$T$150,COLUMN()/2+1,FALSE)=0,"",VLOOKUP($A145,数出表_Excel!$A$6:$T$150,COLUMN()/2+1,FALSE))),"")</f>
        <v/>
      </c>
      <c r="AG145" s="77"/>
      <c r="AH145" s="150" t="str">
        <f ca="1">IFERROR(VALUE(IF(VLOOKUP($A145,数出表_Excel!$A$6:$T$150,COLUMN()/2+1,FALSE)=0,"",VLOOKUP($A145,数出表_Excel!$A$6:$T$150,COLUMN()/2+1,FALSE))),"")</f>
        <v/>
      </c>
      <c r="AI145" s="77"/>
      <c r="AJ145" s="150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1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1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1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1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1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1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1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1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1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1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1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1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5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5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60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5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6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50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6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5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6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5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60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50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60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50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50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50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50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50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6"/>
      <c r="C148" s="164"/>
      <c r="D148" s="156"/>
      <c r="E148" s="153"/>
      <c r="F148" s="166"/>
      <c r="G148" s="164"/>
      <c r="H148" s="156"/>
      <c r="I148" s="153"/>
      <c r="J148" s="166"/>
      <c r="K148" s="164"/>
      <c r="L148" s="156"/>
      <c r="M148" s="153"/>
      <c r="N148" s="166"/>
      <c r="O148" s="164"/>
      <c r="P148" s="156"/>
      <c r="Q148" s="153"/>
      <c r="R148" s="166"/>
      <c r="S148" s="164"/>
      <c r="T148" s="156"/>
      <c r="U148" s="153"/>
      <c r="V148" s="162"/>
      <c r="W148" s="164"/>
      <c r="X148" s="152"/>
      <c r="Y148" s="153"/>
      <c r="Z148" s="162"/>
      <c r="AA148" s="153"/>
      <c r="AB148" s="152"/>
      <c r="AC148" s="153"/>
      <c r="AD148" s="152"/>
      <c r="AE148" s="153"/>
      <c r="AF148" s="152"/>
      <c r="AG148" s="153"/>
      <c r="AH148" s="152"/>
      <c r="AI148" s="153"/>
      <c r="AJ148" s="152"/>
      <c r="AK148" s="153"/>
      <c r="AL148" s="65"/>
    </row>
    <row r="149" spans="1:40" ht="23.4" customHeight="1">
      <c r="A149" s="85" t="s">
        <v>22</v>
      </c>
      <c r="B149" s="154"/>
      <c r="C149" s="159"/>
      <c r="D149" s="154"/>
      <c r="E149" s="155"/>
      <c r="F149" s="163" t="str">
        <f>IF(OR(F150&lt;&gt;"",F153&lt;&gt;""),F146-F150-F151-F152-F153,"")</f>
        <v/>
      </c>
      <c r="G149" s="165"/>
      <c r="H149" s="154" t="str">
        <f>IF(OR(H150&lt;&gt;"",H153&lt;&gt;""),H146-H150-H151-H152-H153,"")</f>
        <v/>
      </c>
      <c r="I149" s="167"/>
      <c r="J149" s="163" t="str">
        <f>IF(OR(J150&lt;&gt;"",J153&lt;&gt;""),J146-J150-J151-J152-J153,"")</f>
        <v/>
      </c>
      <c r="K149" s="159"/>
      <c r="L149" s="154" t="str">
        <f>IF(OR(L150&lt;&gt;"",L153&lt;&gt;""),L146-L150-L151-L152-L153,"")</f>
        <v/>
      </c>
      <c r="M149" s="167"/>
      <c r="N149" s="163" t="str">
        <f>IF(OR(N150&lt;&gt;"",N153&lt;&gt;""),N146-N150-N151-N152-N153,"")</f>
        <v/>
      </c>
      <c r="O149" s="165"/>
      <c r="P149" s="154" t="str">
        <f>IF(OR(P150&lt;&gt;"",P153&lt;&gt;""),P146-P150-P151-P152-P153,"")</f>
        <v/>
      </c>
      <c r="Q149" s="167"/>
      <c r="R149" s="163" t="str">
        <f>IF(OR(R150&lt;&gt;"",R153&lt;&gt;""),R146-R150-R151-R152-R153,"")</f>
        <v/>
      </c>
      <c r="S149" s="165"/>
      <c r="T149" s="154" t="str">
        <f>IF(OR(T150&lt;&gt;"",T153&lt;&gt;""),T146-T150-T151-T152-T153,"")</f>
        <v/>
      </c>
      <c r="U149" s="155"/>
      <c r="V149" s="163" t="str">
        <f>IF(OR(V150&lt;&gt;"",V153&lt;&gt;""),V146-V150-V151-V152-V153,"")</f>
        <v/>
      </c>
      <c r="W149" s="159"/>
      <c r="X149" s="154" t="str">
        <f>IF(OR(X150&lt;&gt;"",X153&lt;&gt;""),X146-X150-X151-X152-X153,"")</f>
        <v/>
      </c>
      <c r="Y149" s="155"/>
      <c r="Z149" s="163" t="str">
        <f>IF(OR(Z150&lt;&gt;"",Z153&lt;&gt;""),Z146-Z150-Z151-Z152-Z153,"")</f>
        <v/>
      </c>
      <c r="AA149" s="155"/>
      <c r="AB149" s="154" t="str">
        <f>IF(OR(AB150&lt;&gt;"",AB153&lt;&gt;""),AB146-AB150-AB151-AB152-AB153,"")</f>
        <v/>
      </c>
      <c r="AC149" s="155"/>
      <c r="AD149" s="154" t="str">
        <f>IF(OR(AD150&lt;&gt;"",AD153&lt;&gt;""),AD146-AD150-AD151-AD152-AD153,"")</f>
        <v/>
      </c>
      <c r="AE149" s="155"/>
      <c r="AF149" s="154" t="str">
        <f>IF(OR(AF150&lt;&gt;"",AF153&lt;&gt;""),AF146-AF150-AF151-AF152-AF153,"")</f>
        <v/>
      </c>
      <c r="AG149" s="155"/>
      <c r="AH149" s="154" t="str">
        <f>IF(OR(AH150&lt;&gt;"",AH153&lt;&gt;""),AH146-AH150-AH151-AH152-AH153,"")</f>
        <v/>
      </c>
      <c r="AI149" s="155"/>
      <c r="AJ149" s="154" t="str">
        <f>IF(OR(AJ150&lt;&gt;"",AJ153&lt;&gt;""),AJ146-AJ150-AJ151-AJ152-AJ153,"")</f>
        <v/>
      </c>
      <c r="AK149" s="155"/>
      <c r="AL149" s="74" t="str">
        <f>IF(OR(AL150&lt;&gt;"",AL153&lt;&gt;""),AL146-AL150-AL151-AL152-AL153,"")</f>
        <v/>
      </c>
    </row>
    <row r="150" spans="1:40" ht="16.2" customHeight="1">
      <c r="A150" s="142" t="s">
        <v>23</v>
      </c>
      <c r="B150" s="157"/>
      <c r="C150" s="193">
        <f>SUM(C6:C145)</f>
        <v>0</v>
      </c>
      <c r="D150" s="157"/>
      <c r="E150" s="196">
        <f>SUM(E6:E145)</f>
        <v>0</v>
      </c>
      <c r="F150" s="67"/>
      <c r="G150" s="193">
        <f>SUM(G6:G145)</f>
        <v>0</v>
      </c>
      <c r="H150" s="66"/>
      <c r="I150" s="196">
        <f>SUM(I6:I145)</f>
        <v>0</v>
      </c>
      <c r="J150" s="67"/>
      <c r="K150" s="193">
        <f>SUM(K6:K145)</f>
        <v>0</v>
      </c>
      <c r="L150" s="66"/>
      <c r="M150" s="196">
        <f>SUM(M6:M145)</f>
        <v>0</v>
      </c>
      <c r="N150" s="168"/>
      <c r="O150" s="193">
        <f>SUM(O6:O145)</f>
        <v>0</v>
      </c>
      <c r="P150" s="66"/>
      <c r="Q150" s="196">
        <f>SUM(Q6:Q145)</f>
        <v>0</v>
      </c>
      <c r="R150" s="67"/>
      <c r="S150" s="193">
        <f>SUM(S6:S145)</f>
        <v>0</v>
      </c>
      <c r="T150" s="66"/>
      <c r="U150" s="196">
        <f>SUM(U6:U145)</f>
        <v>0</v>
      </c>
      <c r="V150" s="67"/>
      <c r="W150" s="193">
        <f>SUM(W6:W145)</f>
        <v>0</v>
      </c>
      <c r="X150" s="66"/>
      <c r="Y150" s="196">
        <f>SUM(Y6:Y145)</f>
        <v>0</v>
      </c>
      <c r="Z150" s="67"/>
      <c r="AA150" s="196">
        <f>SUM(AA6:AA145)</f>
        <v>0</v>
      </c>
      <c r="AB150" s="66"/>
      <c r="AC150" s="196">
        <f>SUM(AC6:AC145)</f>
        <v>0</v>
      </c>
      <c r="AD150" s="66"/>
      <c r="AE150" s="196">
        <f>SUM(AE6:AE145)</f>
        <v>0</v>
      </c>
      <c r="AF150" s="68"/>
      <c r="AG150" s="196">
        <f>SUM(AG6:AG145)</f>
        <v>0</v>
      </c>
      <c r="AH150" s="68"/>
      <c r="AI150" s="196">
        <f>SUM(AI6:AI145)</f>
        <v>0</v>
      </c>
      <c r="AJ150" s="68"/>
      <c r="AK150" s="196">
        <f>SUM(AK6:AK145)</f>
        <v>0</v>
      </c>
      <c r="AL150" s="69"/>
      <c r="AM150" s="96"/>
      <c r="AN150" s="97"/>
    </row>
    <row r="151" spans="1:40" ht="16.2" customHeight="1">
      <c r="A151" s="142" t="s">
        <v>24</v>
      </c>
      <c r="B151" s="157"/>
      <c r="C151" s="194"/>
      <c r="D151" s="157"/>
      <c r="E151" s="197"/>
      <c r="F151" s="67"/>
      <c r="G151" s="194"/>
      <c r="H151" s="66"/>
      <c r="I151" s="197"/>
      <c r="J151" s="67"/>
      <c r="K151" s="194"/>
      <c r="L151" s="66"/>
      <c r="M151" s="197"/>
      <c r="N151" s="168"/>
      <c r="O151" s="194"/>
      <c r="P151" s="66"/>
      <c r="Q151" s="197"/>
      <c r="R151" s="67"/>
      <c r="S151" s="194"/>
      <c r="T151" s="66"/>
      <c r="U151" s="197"/>
      <c r="V151" s="67"/>
      <c r="W151" s="194"/>
      <c r="X151" s="66"/>
      <c r="Y151" s="197"/>
      <c r="Z151" s="67"/>
      <c r="AA151" s="197"/>
      <c r="AB151" s="66"/>
      <c r="AC151" s="197"/>
      <c r="AD151" s="66"/>
      <c r="AE151" s="197"/>
      <c r="AF151" s="68"/>
      <c r="AG151" s="197"/>
      <c r="AH151" s="68"/>
      <c r="AI151" s="197"/>
      <c r="AJ151" s="68"/>
      <c r="AK151" s="197"/>
      <c r="AL151" s="69"/>
      <c r="AM151" s="96"/>
      <c r="AN151" s="97"/>
    </row>
    <row r="152" spans="1:40" ht="16.2" customHeight="1">
      <c r="A152" s="142" t="s">
        <v>25</v>
      </c>
      <c r="B152" s="157"/>
      <c r="C152" s="194"/>
      <c r="D152" s="157"/>
      <c r="E152" s="197"/>
      <c r="F152" s="67"/>
      <c r="G152" s="194"/>
      <c r="H152" s="66"/>
      <c r="I152" s="197"/>
      <c r="J152" s="67"/>
      <c r="K152" s="194"/>
      <c r="L152" s="66"/>
      <c r="M152" s="197"/>
      <c r="N152" s="168"/>
      <c r="O152" s="194"/>
      <c r="P152" s="66"/>
      <c r="Q152" s="197"/>
      <c r="R152" s="67"/>
      <c r="S152" s="194"/>
      <c r="T152" s="66"/>
      <c r="U152" s="197"/>
      <c r="V152" s="67"/>
      <c r="W152" s="194"/>
      <c r="X152" s="66"/>
      <c r="Y152" s="197"/>
      <c r="Z152" s="67"/>
      <c r="AA152" s="197"/>
      <c r="AB152" s="66"/>
      <c r="AC152" s="197"/>
      <c r="AD152" s="66"/>
      <c r="AE152" s="197"/>
      <c r="AF152" s="68"/>
      <c r="AG152" s="197"/>
      <c r="AH152" s="68"/>
      <c r="AI152" s="197"/>
      <c r="AJ152" s="68"/>
      <c r="AK152" s="197"/>
      <c r="AL152" s="69"/>
    </row>
    <row r="153" spans="1:40" s="59" customFormat="1" ht="16.2" customHeight="1">
      <c r="A153" s="143" t="s">
        <v>26</v>
      </c>
      <c r="B153" s="158"/>
      <c r="C153" s="195"/>
      <c r="D153" s="158"/>
      <c r="E153" s="198"/>
      <c r="F153" s="71"/>
      <c r="G153" s="195"/>
      <c r="H153" s="70"/>
      <c r="I153" s="198"/>
      <c r="J153" s="71"/>
      <c r="K153" s="195"/>
      <c r="L153" s="70"/>
      <c r="M153" s="198"/>
      <c r="N153" s="169"/>
      <c r="O153" s="195"/>
      <c r="P153" s="70"/>
      <c r="Q153" s="198"/>
      <c r="R153" s="71"/>
      <c r="S153" s="195"/>
      <c r="T153" s="70"/>
      <c r="U153" s="198"/>
      <c r="V153" s="71"/>
      <c r="W153" s="195"/>
      <c r="X153" s="70"/>
      <c r="Y153" s="198"/>
      <c r="Z153" s="71"/>
      <c r="AA153" s="198"/>
      <c r="AB153" s="70"/>
      <c r="AC153" s="198"/>
      <c r="AD153" s="70"/>
      <c r="AE153" s="198"/>
      <c r="AF153" s="72"/>
      <c r="AG153" s="198"/>
      <c r="AH153" s="72"/>
      <c r="AI153" s="198"/>
      <c r="AJ153" s="72"/>
      <c r="AK153" s="198"/>
      <c r="AL153" s="73"/>
      <c r="AM153" s="98"/>
      <c r="AN153" s="98"/>
    </row>
    <row r="154" spans="1:40" ht="16.2" customHeight="1">
      <c r="A154" s="86" t="s">
        <v>27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heet3.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179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7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28</v>
      </c>
      <c r="R1" s="127" t="str">
        <f t="array" aca="1" ref="R1" ca="1">IFERROR(INDEX($A:$A,SMALL(IF($A$1:$A$64&lt;&gt;"",ROW($A$1:$A$64)),ROW(A1))),"")</f>
        <v/>
      </c>
      <c r="S1" s="212" t="str">
        <f ca="1">IF(R1&lt;&gt;"",
VLOOKUP(R1,$A$1:$N$64,2,FALSE),"")</f>
        <v/>
      </c>
      <c r="T1" s="127" t="str">
        <f ca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29</v>
      </c>
      <c r="R2" s="127" t="str">
        <f t="array" aca="1" ref="R2" ca="1">IFERROR(INDEX($A:$A,SMALL(IF($A$1:$A$64&lt;&gt;"",ROW($A$1:$A$64)),ROW(A2))),"")</f>
        <v/>
      </c>
      <c r="S2" s="212" t="str">
        <f t="shared" ref="S2:S15" ca="1" si="0">IF(R2&lt;&gt;"",
VLOOKUP(R2,$A$1:$N$64,2,FALSE),"")</f>
        <v/>
      </c>
      <c r="T2" s="127" t="str">
        <f t="shared" ref="T2:T15" ca="1" si="1">IF(R2&lt;&gt;"",
VLOOKUP(R2,$A$1:$N$64,6,FALSE),"")</f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30</v>
      </c>
      <c r="R3" s="127" t="str">
        <f t="array" aca="1" ref="R3" ca="1">IFERROR(INDEX($A:$A,SMALL(IF($A$1:$A$64&lt;&gt;"",ROW($A$1:$A$64)),ROW(A3))),"")</f>
        <v/>
      </c>
      <c r="S3" s="212" t="str">
        <f t="shared" ca="1" si="0"/>
        <v/>
      </c>
      <c r="T3" s="127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31</v>
      </c>
      <c r="R4" s="127" t="str">
        <f t="array" aca="1" ref="R4" ca="1">IFERROR(INDEX($A:$A,SMALL(IF($A$1:$A$64&lt;&gt;"",ROW($A$1:$A$64)),ROW(A4))),"")</f>
        <v/>
      </c>
      <c r="S4" s="212" t="str">
        <f t="shared" ca="1" si="0"/>
        <v/>
      </c>
      <c r="T4" s="127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32</v>
      </c>
      <c r="R5" s="127" t="str">
        <f t="array" aca="1" ref="R5" ca="1">IFERROR(INDEX($A:$A,SMALL(IF($A$1:$A$64&lt;&gt;"",ROW($A$1:$A$64)),ROW(A5))),"")</f>
        <v/>
      </c>
      <c r="S5" s="212" t="str">
        <f t="shared" ca="1" si="0"/>
        <v/>
      </c>
      <c r="T5" s="127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33</v>
      </c>
      <c r="R6" s="127" t="str">
        <f t="array" aca="1" ref="R6" ca="1">IFERROR(INDEX($A:$A,SMALL(IF($A$1:$A$64&lt;&gt;"",ROW($A$1:$A$64)),ROW(A6))),"")</f>
        <v/>
      </c>
      <c r="S6" s="212" t="str">
        <f t="shared" ca="1" si="0"/>
        <v/>
      </c>
      <c r="T6" s="127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34</v>
      </c>
      <c r="R7" s="127" t="str">
        <f t="array" aca="1" ref="R7" ca="1">IFERROR(INDEX($A:$A,SMALL(IF($A$1:$A$64&lt;&gt;"",ROW($A$1:$A$64)),ROW(A7))),"")</f>
        <v/>
      </c>
      <c r="S7" s="212" t="str">
        <f t="shared" ca="1" si="0"/>
        <v/>
      </c>
      <c r="T7" s="127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35</v>
      </c>
      <c r="R8" s="127" t="str">
        <f t="array" aca="1" ref="R8" ca="1">IFERROR(INDEX($A:$A,SMALL(IF($A$1:$A$64&lt;&gt;"",ROW($A$1:$A$64)),ROW(A8))),"")</f>
        <v/>
      </c>
      <c r="S8" s="212" t="str">
        <f t="shared" ca="1" si="0"/>
        <v/>
      </c>
      <c r="T8" s="127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28</v>
      </c>
      <c r="R9" s="127" t="str">
        <f t="array" aca="1" ref="R9" ca="1">IFERROR(INDEX($A:$A,SMALL(IF($A$1:$A$64&lt;&gt;"",ROW($A$1:$A$64)),ROW(A9))),"")</f>
        <v/>
      </c>
      <c r="S9" s="212" t="str">
        <f t="shared" ca="1" si="0"/>
        <v/>
      </c>
      <c r="T9" s="127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29</v>
      </c>
      <c r="R10" s="127" t="str">
        <f t="array" aca="1" ref="R10" ca="1">IFERROR(INDEX($A:$A,SMALL(IF($A$1:$A$64&lt;&gt;"",ROW($A$1:$A$64)),ROW(A10))),"")</f>
        <v/>
      </c>
      <c r="S10" s="212" t="str">
        <f t="shared" ca="1" si="0"/>
        <v/>
      </c>
      <c r="T10" s="127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30</v>
      </c>
      <c r="R11" s="127" t="str">
        <f t="array" aca="1" ref="R11" ca="1">IFERROR(INDEX($A:$A,SMALL(IF($A$1:$A$64&lt;&gt;"",ROW($A$1:$A$64)),ROW(A11))),"")</f>
        <v/>
      </c>
      <c r="S11" s="212" t="str">
        <f t="shared" ca="1" si="0"/>
        <v/>
      </c>
      <c r="T11" s="127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31</v>
      </c>
      <c r="R12" s="127" t="str">
        <f t="array" aca="1" ref="R12" ca="1">IFERROR(INDEX($A:$A,SMALL(IF($A$1:$A$64&lt;&gt;"",ROW($A$1:$A$64)),ROW(A12))),"")</f>
        <v/>
      </c>
      <c r="S12" s="212" t="str">
        <f t="shared" ca="1" si="0"/>
        <v/>
      </c>
      <c r="T12" s="127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32</v>
      </c>
      <c r="R13" s="127" t="str">
        <f t="array" aca="1" ref="R13" ca="1">IFERROR(INDEX($A:$A,SMALL(IF($A$1:$A$64&lt;&gt;"",ROW($A$1:$A$64)),ROW(A13))),"")</f>
        <v/>
      </c>
      <c r="S13" s="212" t="str">
        <f t="shared" ca="1" si="0"/>
        <v/>
      </c>
      <c r="T13" s="127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33</v>
      </c>
      <c r="R14" s="127" t="str">
        <f t="array" aca="1" ref="R14" ca="1">IFERROR(INDEX($A:$A,SMALL(IF($A$1:$A$64&lt;&gt;"",ROW($A$1:$A$64)),ROW(A14))),"")</f>
        <v/>
      </c>
      <c r="S14" s="212" t="str">
        <f t="shared" ca="1" si="0"/>
        <v/>
      </c>
      <c r="T14" s="127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34</v>
      </c>
      <c r="R15" s="127" t="str">
        <f t="array" aca="1" ref="R15" ca="1">IFERROR(INDEX($A:$A,SMALL(IF($A$1:$A$64&lt;&gt;"",ROW($A$1:$A$64)),ROW(A15))),"")</f>
        <v/>
      </c>
      <c r="S15" s="212" t="str">
        <f t="shared" ca="1" si="0"/>
        <v/>
      </c>
      <c r="T15" s="127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35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28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29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30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31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32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33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34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35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28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29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30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31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32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33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34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35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28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29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30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31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32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33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34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35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28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29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30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31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32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33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34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35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28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29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30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31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32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33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34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35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28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29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30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31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32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33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34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B2" sqref="B2"/>
    </sheetView>
  </sheetViews>
  <sheetFormatPr defaultRowHeight="18"/>
  <cols>
    <col min="1" max="1" width="15.8984375" style="179" customWidth="1"/>
  </cols>
  <sheetData>
    <row r="1" spans="1:10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37</v>
      </c>
      <c r="E4" t="e">
        <f ca="1">MID(B3,FIND("新日本",B3)+3,FIND("ニシム",B3)-1-(FIND("新日本",B3)+3))</f>
        <v>#N/A</v>
      </c>
    </row>
    <row r="5" spans="1:10">
      <c r="A5" t="s">
        <v>38</v>
      </c>
      <c r="E5">
        <v>2</v>
      </c>
    </row>
    <row r="6" spans="1:10">
      <c r="A6" t="s">
        <v>39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R70" sqref="R1:AC70"/>
    </sheetView>
  </sheetViews>
  <sheetFormatPr defaultRowHeight="22.2"/>
  <cols>
    <col min="1" max="1" width="7.19921875" style="101" customWidth="1"/>
    <col min="2" max="2" width="14.09765625" style="181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81" customWidth="1"/>
    <col min="10" max="10" width="6.796875" style="181" customWidth="1"/>
    <col min="11" max="18" width="8.796875" style="181" customWidth="1"/>
    <col min="19" max="19" width="36.3984375" style="101" customWidth="1"/>
    <col min="20" max="20" width="38" style="181" customWidth="1"/>
    <col min="21" max="21" width="8.796875" style="185" customWidth="1"/>
    <col min="22" max="22" width="17.69921875" style="181" customWidth="1"/>
    <col min="23" max="29" width="8.796875" style="181" customWidth="1"/>
    <col min="30" max="30" width="8.19921875" style="181" customWidth="1"/>
    <col min="31" max="31" width="8" style="181" customWidth="1"/>
    <col min="32" max="32" width="20.296875" style="181" customWidth="1"/>
    <col min="33" max="33" width="17.59765625" style="181" customWidth="1"/>
    <col min="34" max="34" width="8.796875" style="185" customWidth="1"/>
    <col min="35" max="46" width="8.796875" style="181" customWidth="1"/>
    <col min="47" max="47" width="11.59765625" style="181" customWidth="1"/>
    <col min="48" max="61" width="8.796875" style="181" customWidth="1"/>
    <col min="62" max="16384" width="8.796875" style="181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45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VLOOKUP("*"&amp;D1&amp;"*",商品マスタ一覧!D:H,5,FALSE)),"")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 cm="1">
        <f t="array" aca="1" ref="R1" ca="1">IFERROR(SMALL(IF(P$1:P$311&lt;&gt;0,P$1:P$311),ROW(A1)),"")</f>
        <v>211</v>
      </c>
      <c r="S1" s="123" t="str" cm="1">
        <f t="array" aca="1" ref="S1" ca="1">IF($R1&lt;&gt;"",
SUBSTITUTE(SUBSTITUTE(INDIRECT("C"&amp;$R1&amp;"")," 週3ｺｰｽ","")," 週5ｺｰｽ",""),"")</f>
        <v>ニシム</v>
      </c>
      <c r="T1" s="123" t="str" cm="1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81">
        <f t="shared" ref="AD1:AD64" ca="1" si="5">IFERROR(INDEX(AC:AC,MATCH(SMALL($AU:$AU,ROW()),$AU:$AU,0)),"")</f>
        <v>146</v>
      </c>
      <c r="AE1" s="181">
        <f t="shared" ref="AE1:AE64" ca="1" si="6">IFERROR(INDEX(R:R,MATCH(SMALL($AU:$AU,ROW()),$AU:$AU,0)),"")</f>
        <v>214</v>
      </c>
      <c r="AF1" s="181" t="str">
        <f t="shared" ref="AF1:AF64" ca="1" si="7">IFERROR(INDEX(S:S,MATCH(SMALL($AU:$AU,ROW()),$AU:$AU,0)),"")</f>
        <v>先生用</v>
      </c>
      <c r="AG1" s="181" t="str">
        <f t="shared" ref="AG1:AG64" ca="1" si="8">IFERROR(INDEX(T:T,MATCH(SMALL($AU:$AU,ROW()),$AU:$AU,0)),"")</f>
        <v/>
      </c>
      <c r="AH1" s="185" t="str">
        <f t="shared" ref="AH1:AH64" ca="1" si="9">IFERROR(INDEX(U:U,MATCH(SMALL($AU:$AU,ROW()),$AU:$AU,0)),"")</f>
        <v/>
      </c>
      <c r="AI1" s="181" t="str">
        <f t="shared" ref="AI1:AI64" ca="1" si="10">IFERROR(INDEX(V:V,MATCH(SMALL($AU:$AU,ROW()),$AU:$AU,0)),"")</f>
        <v/>
      </c>
      <c r="AJ1" s="181" t="str">
        <f t="shared" ref="AJ1:AJ64" ca="1" si="11">IFERROR(INDEX(W:W,MATCH(SMALL($AU:$AU,ROW()),$AU:$AU,0)),"")</f>
        <v/>
      </c>
      <c r="AK1" s="181">
        <f t="shared" ref="AK1:AK64" ca="1" si="12">IFERROR(INDEX(X:X,MATCH(SMALL($AU:$AU,ROW()),$AU:$AU,0)),"")</f>
        <v>0</v>
      </c>
      <c r="AL1" s="181">
        <f t="shared" ref="AL1:AL64" ca="1" si="13">IFERROR(INDEX(Y:Y,MATCH(SMALL($AU:$AU,ROW()),$AU:$AU,0)),"")</f>
        <v>12</v>
      </c>
      <c r="AM1" s="181" t="str">
        <f t="shared" ref="AM1:AM64" ca="1" si="14">IFERROR(INDEX(Z:Z,MATCH(SMALL($AU:$AU,ROW()),$AU:$AU,0)),"")</f>
        <v/>
      </c>
      <c r="AN1" s="181" t="str">
        <f t="shared" ref="AN1:AN64" ca="1" si="15">IFERROR(INDEX(AA:AA,MATCH(SMALL($AU:$AU,ROW()),$AU:$AU,0)),"")</f>
        <v/>
      </c>
      <c r="AO1" s="181">
        <f t="shared" ref="AO1:AO64" ca="1" si="16">IFERROR(INDEX(AB:AB,MATCH(SMALL($AU:$AU,ROW()),$AU:$AU,0)),"")</f>
        <v>0</v>
      </c>
      <c r="AP1" s="181">
        <f t="shared" ref="AP1:AP64" ca="1" si="17">IFERROR(INDEX(AC:AC,MATCH(SMALL($AU:$AU,ROW()),$AU:$AU,0)),"")</f>
        <v>146</v>
      </c>
      <c r="AU1" s="181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45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VLOOKUP("*"&amp;D2&amp;"*",商品マスタ一覧!D:H,5,FALSE)),"")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81" t="str">
        <f t="shared" ca="1" si="5"/>
        <v/>
      </c>
      <c r="AE2" s="181" t="str">
        <f t="shared" ca="1" si="6"/>
        <v/>
      </c>
      <c r="AF2" s="181" t="str">
        <f t="shared" ca="1" si="7"/>
        <v/>
      </c>
      <c r="AG2" s="181" t="str">
        <f t="shared" ca="1" si="8"/>
        <v/>
      </c>
      <c r="AH2" s="185" t="str">
        <f t="shared" ca="1" si="9"/>
        <v/>
      </c>
      <c r="AI2" s="181" t="str">
        <f t="shared" ca="1" si="10"/>
        <v/>
      </c>
      <c r="AJ2" s="181" t="str">
        <f t="shared" ca="1" si="11"/>
        <v/>
      </c>
      <c r="AK2" s="181" t="str">
        <f t="shared" ca="1" si="12"/>
        <v/>
      </c>
      <c r="AL2" s="181" t="str">
        <f t="shared" ca="1" si="13"/>
        <v/>
      </c>
      <c r="AM2" s="181" t="str">
        <f t="shared" ca="1" si="14"/>
        <v/>
      </c>
      <c r="AN2" s="181" t="str">
        <f t="shared" ca="1" si="15"/>
        <v/>
      </c>
      <c r="AO2" s="181" t="str">
        <f t="shared" ca="1" si="16"/>
        <v/>
      </c>
      <c r="AP2" s="181" t="str">
        <f t="shared" ca="1" si="17"/>
        <v/>
      </c>
      <c r="AU2" s="181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45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VLOOKUP("*"&amp;D3&amp;"*",商品マスタ一覧!D:H,5,FALSE)),"")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81" t="str">
        <f t="shared" ca="1" si="5"/>
        <v/>
      </c>
      <c r="AE3" s="181" t="str">
        <f t="shared" ca="1" si="6"/>
        <v/>
      </c>
      <c r="AF3" s="181" t="str">
        <f t="shared" ca="1" si="7"/>
        <v/>
      </c>
      <c r="AG3" s="181" t="str">
        <f t="shared" ca="1" si="8"/>
        <v/>
      </c>
      <c r="AH3" s="185" t="str">
        <f t="shared" ca="1" si="9"/>
        <v/>
      </c>
      <c r="AI3" s="181" t="str">
        <f t="shared" ca="1" si="10"/>
        <v/>
      </c>
      <c r="AJ3" s="181" t="str">
        <f t="shared" ca="1" si="11"/>
        <v/>
      </c>
      <c r="AK3" s="181" t="str">
        <f t="shared" ca="1" si="12"/>
        <v/>
      </c>
      <c r="AL3" s="181" t="str">
        <f t="shared" ca="1" si="13"/>
        <v/>
      </c>
      <c r="AM3" s="181" t="str">
        <f t="shared" ca="1" si="14"/>
        <v/>
      </c>
      <c r="AN3" s="181" t="str">
        <f t="shared" ca="1" si="15"/>
        <v/>
      </c>
      <c r="AO3" s="181" t="str">
        <f t="shared" ca="1" si="16"/>
        <v/>
      </c>
      <c r="AP3" s="181" t="str">
        <f t="shared" ca="1" si="17"/>
        <v/>
      </c>
      <c r="AU3" s="181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45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VLOOKUP("*"&amp;D4&amp;"*",商品マスタ一覧!D:H,5,FALSE)),"")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81" t="str">
        <f t="shared" ca="1" si="5"/>
        <v/>
      </c>
      <c r="AE4" s="181" t="str">
        <f t="shared" ca="1" si="6"/>
        <v/>
      </c>
      <c r="AF4" s="181" t="str">
        <f t="shared" ca="1" si="7"/>
        <v/>
      </c>
      <c r="AG4" s="181" t="str">
        <f t="shared" ca="1" si="8"/>
        <v/>
      </c>
      <c r="AH4" s="185" t="str">
        <f t="shared" ca="1" si="9"/>
        <v/>
      </c>
      <c r="AI4" s="181" t="str">
        <f t="shared" ca="1" si="10"/>
        <v/>
      </c>
      <c r="AJ4" s="181" t="str">
        <f t="shared" ca="1" si="11"/>
        <v/>
      </c>
      <c r="AK4" s="181" t="str">
        <f t="shared" ca="1" si="12"/>
        <v/>
      </c>
      <c r="AL4" s="181" t="str">
        <f t="shared" ca="1" si="13"/>
        <v/>
      </c>
      <c r="AM4" s="181" t="str">
        <f t="shared" ca="1" si="14"/>
        <v/>
      </c>
      <c r="AN4" s="181" t="str">
        <f t="shared" ca="1" si="15"/>
        <v/>
      </c>
      <c r="AO4" s="181" t="str">
        <f t="shared" ca="1" si="16"/>
        <v/>
      </c>
      <c r="AP4" s="181" t="str">
        <f t="shared" ca="1" si="17"/>
        <v/>
      </c>
      <c r="AU4" s="181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45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VLOOKUP("*"&amp;D5&amp;"*",商品マスタ一覧!D:H,5,FALSE)),"")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81" t="str">
        <f t="shared" ca="1" si="5"/>
        <v/>
      </c>
      <c r="AE5" s="181" t="str">
        <f t="shared" ca="1" si="6"/>
        <v/>
      </c>
      <c r="AF5" s="181" t="str">
        <f t="shared" ca="1" si="7"/>
        <v/>
      </c>
      <c r="AG5" s="181" t="str">
        <f t="shared" ca="1" si="8"/>
        <v/>
      </c>
      <c r="AH5" s="185" t="str">
        <f t="shared" ca="1" si="9"/>
        <v/>
      </c>
      <c r="AI5" s="181" t="str">
        <f t="shared" ca="1" si="10"/>
        <v/>
      </c>
      <c r="AJ5" s="181" t="str">
        <f t="shared" ca="1" si="11"/>
        <v/>
      </c>
      <c r="AK5" s="181" t="str">
        <f t="shared" ca="1" si="12"/>
        <v/>
      </c>
      <c r="AL5" s="181" t="str">
        <f t="shared" ca="1" si="13"/>
        <v/>
      </c>
      <c r="AM5" s="181" t="str">
        <f t="shared" ca="1" si="14"/>
        <v/>
      </c>
      <c r="AN5" s="181" t="str">
        <f t="shared" ca="1" si="15"/>
        <v/>
      </c>
      <c r="AO5" s="181" t="str">
        <f t="shared" ca="1" si="16"/>
        <v/>
      </c>
      <c r="AP5" s="181" t="str">
        <f t="shared" ca="1" si="17"/>
        <v/>
      </c>
      <c r="AU5" s="181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45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VLOOKUP("*"&amp;D6&amp;"*",商品マスタ一覧!D:H,5,FALSE)),"")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81" t="str">
        <f t="shared" ca="1" si="5"/>
        <v/>
      </c>
      <c r="AE6" s="181" t="str">
        <f t="shared" ca="1" si="6"/>
        <v/>
      </c>
      <c r="AF6" s="181" t="str">
        <f t="shared" ca="1" si="7"/>
        <v/>
      </c>
      <c r="AG6" s="181" t="str">
        <f t="shared" ca="1" si="8"/>
        <v/>
      </c>
      <c r="AH6" s="185" t="str">
        <f t="shared" ca="1" si="9"/>
        <v/>
      </c>
      <c r="AI6" s="181" t="str">
        <f t="shared" ca="1" si="10"/>
        <v/>
      </c>
      <c r="AJ6" s="181" t="str">
        <f t="shared" ca="1" si="11"/>
        <v/>
      </c>
      <c r="AK6" s="181" t="str">
        <f t="shared" ca="1" si="12"/>
        <v/>
      </c>
      <c r="AL6" s="181" t="str">
        <f t="shared" ca="1" si="13"/>
        <v/>
      </c>
      <c r="AM6" s="181" t="str">
        <f t="shared" ca="1" si="14"/>
        <v/>
      </c>
      <c r="AN6" s="181" t="str">
        <f t="shared" ca="1" si="15"/>
        <v/>
      </c>
      <c r="AO6" s="181" t="str">
        <f t="shared" ca="1" si="16"/>
        <v/>
      </c>
      <c r="AP6" s="181" t="str">
        <f t="shared" ca="1" si="17"/>
        <v/>
      </c>
      <c r="AU6" s="181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45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VLOOKUP("*"&amp;D7&amp;"*",商品マスタ一覧!D:H,5,FALSE)),"")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81" t="str">
        <f t="shared" ca="1" si="5"/>
        <v/>
      </c>
      <c r="AE7" s="181" t="str">
        <f t="shared" ca="1" si="6"/>
        <v/>
      </c>
      <c r="AF7" s="181" t="str">
        <f t="shared" ca="1" si="7"/>
        <v/>
      </c>
      <c r="AG7" s="181" t="str">
        <f t="shared" ca="1" si="8"/>
        <v/>
      </c>
      <c r="AH7" s="185" t="str">
        <f t="shared" ca="1" si="9"/>
        <v/>
      </c>
      <c r="AI7" s="181" t="str">
        <f t="shared" ca="1" si="10"/>
        <v/>
      </c>
      <c r="AJ7" s="181" t="str">
        <f t="shared" ca="1" si="11"/>
        <v/>
      </c>
      <c r="AK7" s="181" t="str">
        <f t="shared" ca="1" si="12"/>
        <v/>
      </c>
      <c r="AL7" s="181" t="str">
        <f t="shared" ca="1" si="13"/>
        <v/>
      </c>
      <c r="AM7" s="181" t="str">
        <f t="shared" ca="1" si="14"/>
        <v/>
      </c>
      <c r="AN7" s="181" t="str">
        <f t="shared" ca="1" si="15"/>
        <v/>
      </c>
      <c r="AO7" s="181" t="str">
        <f t="shared" ca="1" si="16"/>
        <v/>
      </c>
      <c r="AP7" s="181" t="str">
        <f t="shared" ca="1" si="17"/>
        <v/>
      </c>
      <c r="AU7" s="181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45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VLOOKUP("*"&amp;D8&amp;"*",商品マスタ一覧!D:H,5,FALSE)),"")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81" t="str">
        <f t="shared" ca="1" si="5"/>
        <v/>
      </c>
      <c r="AE8" s="181" t="str">
        <f t="shared" ca="1" si="6"/>
        <v/>
      </c>
      <c r="AF8" s="181" t="str">
        <f t="shared" ca="1" si="7"/>
        <v/>
      </c>
      <c r="AG8" s="181" t="str">
        <f t="shared" ca="1" si="8"/>
        <v/>
      </c>
      <c r="AH8" s="185" t="str">
        <f t="shared" ca="1" si="9"/>
        <v/>
      </c>
      <c r="AI8" s="181" t="str">
        <f t="shared" ca="1" si="10"/>
        <v/>
      </c>
      <c r="AJ8" s="181" t="str">
        <f t="shared" ca="1" si="11"/>
        <v/>
      </c>
      <c r="AK8" s="181" t="str">
        <f t="shared" ca="1" si="12"/>
        <v/>
      </c>
      <c r="AL8" s="181" t="str">
        <f t="shared" ca="1" si="13"/>
        <v/>
      </c>
      <c r="AM8" s="181" t="str">
        <f t="shared" ca="1" si="14"/>
        <v/>
      </c>
      <c r="AN8" s="181" t="str">
        <f t="shared" ca="1" si="15"/>
        <v/>
      </c>
      <c r="AO8" s="181" t="str">
        <f t="shared" ca="1" si="16"/>
        <v/>
      </c>
      <c r="AP8" s="181" t="str">
        <f t="shared" ca="1" si="17"/>
        <v/>
      </c>
      <c r="AU8" s="181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45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VLOOKUP("*"&amp;D9&amp;"*",商品マスタ一覧!D:H,5,FALSE)),"")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81" t="str">
        <f t="shared" ca="1" si="5"/>
        <v/>
      </c>
      <c r="AE9" s="181" t="str">
        <f t="shared" ca="1" si="6"/>
        <v/>
      </c>
      <c r="AF9" s="181" t="str">
        <f t="shared" ca="1" si="7"/>
        <v/>
      </c>
      <c r="AG9" s="181" t="str">
        <f t="shared" ca="1" si="8"/>
        <v/>
      </c>
      <c r="AH9" s="185" t="str">
        <f t="shared" ca="1" si="9"/>
        <v/>
      </c>
      <c r="AI9" s="181" t="str">
        <f t="shared" ca="1" si="10"/>
        <v/>
      </c>
      <c r="AJ9" s="181" t="str">
        <f t="shared" ca="1" si="11"/>
        <v/>
      </c>
      <c r="AK9" s="181" t="str">
        <f t="shared" ca="1" si="12"/>
        <v/>
      </c>
      <c r="AL9" s="181" t="str">
        <f t="shared" ca="1" si="13"/>
        <v/>
      </c>
      <c r="AM9" s="181" t="str">
        <f t="shared" ca="1" si="14"/>
        <v/>
      </c>
      <c r="AN9" s="181" t="str">
        <f t="shared" ca="1" si="15"/>
        <v/>
      </c>
      <c r="AO9" s="181" t="str">
        <f t="shared" ca="1" si="16"/>
        <v/>
      </c>
      <c r="AP9" s="181" t="str">
        <f t="shared" ca="1" si="17"/>
        <v/>
      </c>
      <c r="AU9" s="181" t="str">
        <f t="shared" ca="1" si="18"/>
        <v/>
      </c>
    </row>
    <row r="10" spans="1:47" ht="22.2" customHeight="1">
      <c r="A10" s="102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45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VLOOKUP("*"&amp;D10&amp;"*",商品マスタ一覧!D:H,5,FALSE)),"")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81" t="str">
        <f t="shared" ca="1" si="5"/>
        <v/>
      </c>
      <c r="AE10" s="181" t="str">
        <f t="shared" ca="1" si="6"/>
        <v/>
      </c>
      <c r="AF10" s="181" t="str">
        <f t="shared" ca="1" si="7"/>
        <v/>
      </c>
      <c r="AG10" s="181" t="str">
        <f t="shared" ca="1" si="8"/>
        <v/>
      </c>
      <c r="AH10" s="185" t="str">
        <f t="shared" ca="1" si="9"/>
        <v/>
      </c>
      <c r="AI10" s="181" t="str">
        <f t="shared" ca="1" si="10"/>
        <v/>
      </c>
      <c r="AJ10" s="181" t="str">
        <f t="shared" ca="1" si="11"/>
        <v/>
      </c>
      <c r="AK10" s="181" t="str">
        <f t="shared" ca="1" si="12"/>
        <v/>
      </c>
      <c r="AL10" s="181" t="str">
        <f t="shared" ca="1" si="13"/>
        <v/>
      </c>
      <c r="AM10" s="181" t="str">
        <f t="shared" ca="1" si="14"/>
        <v/>
      </c>
      <c r="AN10" s="181" t="str">
        <f t="shared" ca="1" si="15"/>
        <v/>
      </c>
      <c r="AO10" s="181" t="str">
        <f t="shared" ca="1" si="16"/>
        <v/>
      </c>
      <c r="AP10" s="181" t="str">
        <f t="shared" ca="1" si="17"/>
        <v/>
      </c>
      <c r="AU10" s="181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45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VLOOKUP("*"&amp;D11&amp;"*",商品マスタ一覧!D:H,5,FALSE)),"")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81" t="str">
        <f t="shared" ca="1" si="5"/>
        <v/>
      </c>
      <c r="AE11" s="181" t="str">
        <f t="shared" ca="1" si="6"/>
        <v/>
      </c>
      <c r="AF11" s="181" t="str">
        <f t="shared" ca="1" si="7"/>
        <v/>
      </c>
      <c r="AG11" s="181" t="str">
        <f t="shared" ca="1" si="8"/>
        <v/>
      </c>
      <c r="AH11" s="185" t="str">
        <f t="shared" ca="1" si="9"/>
        <v/>
      </c>
      <c r="AI11" s="181" t="str">
        <f t="shared" ca="1" si="10"/>
        <v/>
      </c>
      <c r="AJ11" s="181" t="str">
        <f t="shared" ca="1" si="11"/>
        <v/>
      </c>
      <c r="AK11" s="181" t="str">
        <f t="shared" ca="1" si="12"/>
        <v/>
      </c>
      <c r="AL11" s="181" t="str">
        <f t="shared" ca="1" si="13"/>
        <v/>
      </c>
      <c r="AM11" s="181" t="str">
        <f t="shared" ca="1" si="14"/>
        <v/>
      </c>
      <c r="AN11" s="181" t="str">
        <f t="shared" ca="1" si="15"/>
        <v/>
      </c>
      <c r="AO11" s="181" t="str">
        <f t="shared" ca="1" si="16"/>
        <v/>
      </c>
      <c r="AP11" s="181" t="str">
        <f t="shared" ca="1" si="17"/>
        <v/>
      </c>
      <c r="AU11" s="181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45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VLOOKUP("*"&amp;D12&amp;"*",商品マスタ一覧!D:H,5,FALSE)),"")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81" t="str">
        <f t="shared" ca="1" si="5"/>
        <v/>
      </c>
      <c r="AE12" s="181" t="str">
        <f t="shared" ca="1" si="6"/>
        <v/>
      </c>
      <c r="AF12" s="181" t="str">
        <f t="shared" ca="1" si="7"/>
        <v/>
      </c>
      <c r="AG12" s="181" t="str">
        <f t="shared" ca="1" si="8"/>
        <v/>
      </c>
      <c r="AH12" s="185" t="str">
        <f t="shared" ca="1" si="9"/>
        <v/>
      </c>
      <c r="AI12" s="181" t="str">
        <f t="shared" ca="1" si="10"/>
        <v/>
      </c>
      <c r="AJ12" s="181" t="str">
        <f t="shared" ca="1" si="11"/>
        <v/>
      </c>
      <c r="AK12" s="181" t="str">
        <f t="shared" ca="1" si="12"/>
        <v/>
      </c>
      <c r="AL12" s="181" t="str">
        <f t="shared" ca="1" si="13"/>
        <v/>
      </c>
      <c r="AM12" s="181" t="str">
        <f t="shared" ca="1" si="14"/>
        <v/>
      </c>
      <c r="AN12" s="181" t="str">
        <f t="shared" ca="1" si="15"/>
        <v/>
      </c>
      <c r="AO12" s="181" t="str">
        <f t="shared" ca="1" si="16"/>
        <v/>
      </c>
      <c r="AP12" s="181" t="str">
        <f t="shared" ca="1" si="17"/>
        <v/>
      </c>
      <c r="AU12" s="181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45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VLOOKUP("*"&amp;D13&amp;"*",商品マスタ一覧!D:H,5,FALSE)),"")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81" t="str">
        <f t="shared" ca="1" si="5"/>
        <v/>
      </c>
      <c r="AE13" s="181" t="str">
        <f t="shared" ca="1" si="6"/>
        <v/>
      </c>
      <c r="AF13" s="181" t="str">
        <f t="shared" ca="1" si="7"/>
        <v/>
      </c>
      <c r="AG13" s="181" t="str">
        <f t="shared" ca="1" si="8"/>
        <v/>
      </c>
      <c r="AH13" s="185" t="str">
        <f t="shared" ca="1" si="9"/>
        <v/>
      </c>
      <c r="AI13" s="181" t="str">
        <f t="shared" ca="1" si="10"/>
        <v/>
      </c>
      <c r="AJ13" s="181" t="str">
        <f t="shared" ca="1" si="11"/>
        <v/>
      </c>
      <c r="AK13" s="181" t="str">
        <f t="shared" ca="1" si="12"/>
        <v/>
      </c>
      <c r="AL13" s="181" t="str">
        <f t="shared" ca="1" si="13"/>
        <v/>
      </c>
      <c r="AM13" s="181" t="str">
        <f t="shared" ca="1" si="14"/>
        <v/>
      </c>
      <c r="AN13" s="181" t="str">
        <f t="shared" ca="1" si="15"/>
        <v/>
      </c>
      <c r="AO13" s="181" t="str">
        <f t="shared" ca="1" si="16"/>
        <v/>
      </c>
      <c r="AP13" s="181" t="str">
        <f t="shared" ca="1" si="17"/>
        <v/>
      </c>
      <c r="AU13" s="181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45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VLOOKUP("*"&amp;D14&amp;"*",商品マスタ一覧!D:H,5,FALSE)),"")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81" t="str">
        <f t="shared" ca="1" si="5"/>
        <v/>
      </c>
      <c r="AE14" s="181" t="str">
        <f t="shared" ca="1" si="6"/>
        <v/>
      </c>
      <c r="AF14" s="181" t="str">
        <f t="shared" ca="1" si="7"/>
        <v/>
      </c>
      <c r="AG14" s="181" t="str">
        <f t="shared" ca="1" si="8"/>
        <v/>
      </c>
      <c r="AH14" s="185" t="str">
        <f t="shared" ca="1" si="9"/>
        <v/>
      </c>
      <c r="AI14" s="181" t="str">
        <f t="shared" ca="1" si="10"/>
        <v/>
      </c>
      <c r="AJ14" s="181" t="str">
        <f t="shared" ca="1" si="11"/>
        <v/>
      </c>
      <c r="AK14" s="181" t="str">
        <f t="shared" ca="1" si="12"/>
        <v/>
      </c>
      <c r="AL14" s="181" t="str">
        <f t="shared" ca="1" si="13"/>
        <v/>
      </c>
      <c r="AM14" s="181" t="str">
        <f t="shared" ca="1" si="14"/>
        <v/>
      </c>
      <c r="AN14" s="181" t="str">
        <f t="shared" ca="1" si="15"/>
        <v/>
      </c>
      <c r="AO14" s="181" t="str">
        <f t="shared" ca="1" si="16"/>
        <v/>
      </c>
      <c r="AP14" s="181" t="str">
        <f t="shared" ca="1" si="17"/>
        <v/>
      </c>
      <c r="AU14" s="181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45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VLOOKUP("*"&amp;D15&amp;"*",商品マスタ一覧!D:H,5,FALSE)),"")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81" t="str">
        <f t="shared" ca="1" si="5"/>
        <v/>
      </c>
      <c r="AE15" s="181" t="str">
        <f t="shared" ca="1" si="6"/>
        <v/>
      </c>
      <c r="AF15" s="181" t="str">
        <f t="shared" ca="1" si="7"/>
        <v/>
      </c>
      <c r="AG15" s="181" t="str">
        <f t="shared" ca="1" si="8"/>
        <v/>
      </c>
      <c r="AH15" s="185" t="str">
        <f t="shared" ca="1" si="9"/>
        <v/>
      </c>
      <c r="AI15" s="181" t="str">
        <f t="shared" ca="1" si="10"/>
        <v/>
      </c>
      <c r="AJ15" s="181" t="str">
        <f t="shared" ca="1" si="11"/>
        <v/>
      </c>
      <c r="AK15" s="181" t="str">
        <f t="shared" ca="1" si="12"/>
        <v/>
      </c>
      <c r="AL15" s="181" t="str">
        <f t="shared" ca="1" si="13"/>
        <v/>
      </c>
      <c r="AM15" s="181" t="str">
        <f t="shared" ca="1" si="14"/>
        <v/>
      </c>
      <c r="AN15" s="181" t="str">
        <f t="shared" ca="1" si="15"/>
        <v/>
      </c>
      <c r="AO15" s="181" t="str">
        <f t="shared" ca="1" si="16"/>
        <v/>
      </c>
      <c r="AP15" s="181" t="str">
        <f t="shared" ca="1" si="17"/>
        <v/>
      </c>
      <c r="AU15" s="181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45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VLOOKUP("*"&amp;D16&amp;"*",商品マスタ一覧!D:H,5,FALSE)),"")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81" t="str">
        <f t="shared" ca="1" si="5"/>
        <v/>
      </c>
      <c r="AE16" s="181" t="str">
        <f t="shared" ca="1" si="6"/>
        <v/>
      </c>
      <c r="AF16" s="181" t="str">
        <f t="shared" ca="1" si="7"/>
        <v/>
      </c>
      <c r="AG16" s="181" t="str">
        <f t="shared" ca="1" si="8"/>
        <v/>
      </c>
      <c r="AH16" s="185" t="str">
        <f t="shared" ca="1" si="9"/>
        <v/>
      </c>
      <c r="AI16" s="181" t="str">
        <f t="shared" ca="1" si="10"/>
        <v/>
      </c>
      <c r="AJ16" s="181" t="str">
        <f t="shared" ca="1" si="11"/>
        <v/>
      </c>
      <c r="AK16" s="181" t="str">
        <f t="shared" ca="1" si="12"/>
        <v/>
      </c>
      <c r="AL16" s="181" t="str">
        <f t="shared" ca="1" si="13"/>
        <v/>
      </c>
      <c r="AM16" s="181" t="str">
        <f t="shared" ca="1" si="14"/>
        <v/>
      </c>
      <c r="AN16" s="181" t="str">
        <f t="shared" ca="1" si="15"/>
        <v/>
      </c>
      <c r="AO16" s="181" t="str">
        <f t="shared" ca="1" si="16"/>
        <v/>
      </c>
      <c r="AP16" s="181" t="str">
        <f t="shared" ca="1" si="17"/>
        <v/>
      </c>
      <c r="AU16" s="181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45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VLOOKUP("*"&amp;D17&amp;"*",商品マスタ一覧!D:H,5,FALSE)),"")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81" t="str">
        <f t="shared" ca="1" si="5"/>
        <v/>
      </c>
      <c r="AE17" s="181" t="str">
        <f t="shared" ca="1" si="6"/>
        <v/>
      </c>
      <c r="AF17" s="181" t="str">
        <f t="shared" ca="1" si="7"/>
        <v/>
      </c>
      <c r="AG17" s="181" t="str">
        <f t="shared" ca="1" si="8"/>
        <v/>
      </c>
      <c r="AH17" s="185" t="str">
        <f t="shared" ca="1" si="9"/>
        <v/>
      </c>
      <c r="AI17" s="181" t="str">
        <f t="shared" ca="1" si="10"/>
        <v/>
      </c>
      <c r="AJ17" s="181" t="str">
        <f t="shared" ca="1" si="11"/>
        <v/>
      </c>
      <c r="AK17" s="181" t="str">
        <f t="shared" ca="1" si="12"/>
        <v/>
      </c>
      <c r="AL17" s="181" t="str">
        <f t="shared" ca="1" si="13"/>
        <v/>
      </c>
      <c r="AM17" s="181" t="str">
        <f t="shared" ca="1" si="14"/>
        <v/>
      </c>
      <c r="AN17" s="181" t="str">
        <f t="shared" ca="1" si="15"/>
        <v/>
      </c>
      <c r="AO17" s="181" t="str">
        <f t="shared" ca="1" si="16"/>
        <v/>
      </c>
      <c r="AP17" s="181" t="str">
        <f t="shared" ca="1" si="17"/>
        <v/>
      </c>
      <c r="AU17" s="181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45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VLOOKUP("*"&amp;D18&amp;"*",商品マスタ一覧!D:H,5,FALSE)),"")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81" t="str">
        <f t="shared" ca="1" si="5"/>
        <v/>
      </c>
      <c r="AE18" s="181" t="str">
        <f t="shared" ca="1" si="6"/>
        <v/>
      </c>
      <c r="AF18" s="181" t="str">
        <f t="shared" ca="1" si="7"/>
        <v/>
      </c>
      <c r="AG18" s="181" t="str">
        <f t="shared" ca="1" si="8"/>
        <v/>
      </c>
      <c r="AH18" s="185" t="str">
        <f t="shared" ca="1" si="9"/>
        <v/>
      </c>
      <c r="AI18" s="181" t="str">
        <f t="shared" ca="1" si="10"/>
        <v/>
      </c>
      <c r="AJ18" s="181" t="str">
        <f t="shared" ca="1" si="11"/>
        <v/>
      </c>
      <c r="AK18" s="181" t="str">
        <f t="shared" ca="1" si="12"/>
        <v/>
      </c>
      <c r="AL18" s="181" t="str">
        <f t="shared" ca="1" si="13"/>
        <v/>
      </c>
      <c r="AM18" s="181" t="str">
        <f t="shared" ca="1" si="14"/>
        <v/>
      </c>
      <c r="AN18" s="181" t="str">
        <f t="shared" ca="1" si="15"/>
        <v/>
      </c>
      <c r="AO18" s="181" t="str">
        <f t="shared" ca="1" si="16"/>
        <v/>
      </c>
      <c r="AP18" s="181" t="str">
        <f t="shared" ca="1" si="17"/>
        <v/>
      </c>
      <c r="AU18" s="181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45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VLOOKUP("*"&amp;D19&amp;"*",商品マスタ一覧!D:H,5,FALSE)),"")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81" t="str">
        <f t="shared" ca="1" si="5"/>
        <v/>
      </c>
      <c r="AE19" s="181" t="str">
        <f t="shared" ca="1" si="6"/>
        <v/>
      </c>
      <c r="AF19" s="181" t="str">
        <f t="shared" ca="1" si="7"/>
        <v/>
      </c>
      <c r="AG19" s="181" t="str">
        <f t="shared" ca="1" si="8"/>
        <v/>
      </c>
      <c r="AH19" s="185" t="str">
        <f t="shared" ca="1" si="9"/>
        <v/>
      </c>
      <c r="AI19" s="181" t="str">
        <f t="shared" ca="1" si="10"/>
        <v/>
      </c>
      <c r="AJ19" s="181" t="str">
        <f t="shared" ca="1" si="11"/>
        <v/>
      </c>
      <c r="AK19" s="181" t="str">
        <f t="shared" ca="1" si="12"/>
        <v/>
      </c>
      <c r="AL19" s="181" t="str">
        <f t="shared" ca="1" si="13"/>
        <v/>
      </c>
      <c r="AM19" s="181" t="str">
        <f t="shared" ca="1" si="14"/>
        <v/>
      </c>
      <c r="AN19" s="181" t="str">
        <f t="shared" ca="1" si="15"/>
        <v/>
      </c>
      <c r="AO19" s="181" t="str">
        <f t="shared" ca="1" si="16"/>
        <v/>
      </c>
      <c r="AP19" s="181" t="str">
        <f t="shared" ca="1" si="17"/>
        <v/>
      </c>
      <c r="AU19" s="181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45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VLOOKUP("*"&amp;D20&amp;"*",商品マスタ一覧!D:H,5,FALSE)),"")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81" t="str">
        <f t="shared" ca="1" si="5"/>
        <v/>
      </c>
      <c r="AE20" s="181" t="str">
        <f t="shared" ca="1" si="6"/>
        <v/>
      </c>
      <c r="AF20" s="181" t="str">
        <f t="shared" ca="1" si="7"/>
        <v/>
      </c>
      <c r="AG20" s="181" t="str">
        <f t="shared" ca="1" si="8"/>
        <v/>
      </c>
      <c r="AH20" s="185" t="str">
        <f t="shared" ca="1" si="9"/>
        <v/>
      </c>
      <c r="AI20" s="181" t="str">
        <f t="shared" ca="1" si="10"/>
        <v/>
      </c>
      <c r="AJ20" s="181" t="str">
        <f t="shared" ca="1" si="11"/>
        <v/>
      </c>
      <c r="AK20" s="181" t="str">
        <f t="shared" ca="1" si="12"/>
        <v/>
      </c>
      <c r="AL20" s="181" t="str">
        <f t="shared" ca="1" si="13"/>
        <v/>
      </c>
      <c r="AM20" s="181" t="str">
        <f t="shared" ca="1" si="14"/>
        <v/>
      </c>
      <c r="AN20" s="181" t="str">
        <f t="shared" ca="1" si="15"/>
        <v/>
      </c>
      <c r="AO20" s="181" t="str">
        <f t="shared" ca="1" si="16"/>
        <v/>
      </c>
      <c r="AP20" s="181" t="str">
        <f t="shared" ca="1" si="17"/>
        <v/>
      </c>
      <c r="AU20" s="181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45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VLOOKUP("*"&amp;D21&amp;"*",商品マスタ一覧!D:H,5,FALSE)),"")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81" t="str">
        <f t="shared" ca="1" si="5"/>
        <v/>
      </c>
      <c r="AE21" s="181" t="str">
        <f t="shared" ca="1" si="6"/>
        <v/>
      </c>
      <c r="AF21" s="181" t="str">
        <f t="shared" ca="1" si="7"/>
        <v/>
      </c>
      <c r="AG21" s="181" t="str">
        <f t="shared" ca="1" si="8"/>
        <v/>
      </c>
      <c r="AH21" s="185" t="str">
        <f t="shared" ca="1" si="9"/>
        <v/>
      </c>
      <c r="AI21" s="181" t="str">
        <f t="shared" ca="1" si="10"/>
        <v/>
      </c>
      <c r="AJ21" s="181" t="str">
        <f t="shared" ca="1" si="11"/>
        <v/>
      </c>
      <c r="AK21" s="181" t="str">
        <f t="shared" ca="1" si="12"/>
        <v/>
      </c>
      <c r="AL21" s="181" t="str">
        <f t="shared" ca="1" si="13"/>
        <v/>
      </c>
      <c r="AM21" s="181" t="str">
        <f t="shared" ca="1" si="14"/>
        <v/>
      </c>
      <c r="AN21" s="181" t="str">
        <f t="shared" ca="1" si="15"/>
        <v/>
      </c>
      <c r="AO21" s="181" t="str">
        <f t="shared" ca="1" si="16"/>
        <v/>
      </c>
      <c r="AP21" s="181" t="str">
        <f t="shared" ca="1" si="17"/>
        <v/>
      </c>
      <c r="AU21" s="181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45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VLOOKUP("*"&amp;D22&amp;"*",商品マスタ一覧!D:H,5,FALSE)),"")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81" t="str">
        <f t="shared" ca="1" si="5"/>
        <v/>
      </c>
      <c r="AE22" s="181" t="str">
        <f t="shared" ca="1" si="6"/>
        <v/>
      </c>
      <c r="AF22" s="181" t="str">
        <f t="shared" ca="1" si="7"/>
        <v/>
      </c>
      <c r="AG22" s="181" t="str">
        <f t="shared" ca="1" si="8"/>
        <v/>
      </c>
      <c r="AH22" s="185" t="str">
        <f t="shared" ca="1" si="9"/>
        <v/>
      </c>
      <c r="AI22" s="181" t="str">
        <f t="shared" ca="1" si="10"/>
        <v/>
      </c>
      <c r="AJ22" s="181" t="str">
        <f t="shared" ca="1" si="11"/>
        <v/>
      </c>
      <c r="AK22" s="181" t="str">
        <f t="shared" ca="1" si="12"/>
        <v/>
      </c>
      <c r="AL22" s="181" t="str">
        <f t="shared" ca="1" si="13"/>
        <v/>
      </c>
      <c r="AM22" s="181" t="str">
        <f t="shared" ca="1" si="14"/>
        <v/>
      </c>
      <c r="AN22" s="181" t="str">
        <f t="shared" ca="1" si="15"/>
        <v/>
      </c>
      <c r="AO22" s="181" t="str">
        <f t="shared" ca="1" si="16"/>
        <v/>
      </c>
      <c r="AP22" s="181" t="str">
        <f t="shared" ca="1" si="17"/>
        <v/>
      </c>
      <c r="AU22" s="181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45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VLOOKUP("*"&amp;D23&amp;"*",商品マスタ一覧!D:H,5,FALSE)),"")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81" t="str">
        <f t="shared" ca="1" si="5"/>
        <v/>
      </c>
      <c r="AE23" s="181" t="str">
        <f t="shared" ca="1" si="6"/>
        <v/>
      </c>
      <c r="AF23" s="181" t="str">
        <f t="shared" ca="1" si="7"/>
        <v/>
      </c>
      <c r="AG23" s="181" t="str">
        <f t="shared" ca="1" si="8"/>
        <v/>
      </c>
      <c r="AH23" s="185" t="str">
        <f t="shared" ca="1" si="9"/>
        <v/>
      </c>
      <c r="AI23" s="181" t="str">
        <f t="shared" ca="1" si="10"/>
        <v/>
      </c>
      <c r="AJ23" s="181" t="str">
        <f t="shared" ca="1" si="11"/>
        <v/>
      </c>
      <c r="AK23" s="181" t="str">
        <f t="shared" ca="1" si="12"/>
        <v/>
      </c>
      <c r="AL23" s="181" t="str">
        <f t="shared" ca="1" si="13"/>
        <v/>
      </c>
      <c r="AM23" s="181" t="str">
        <f t="shared" ca="1" si="14"/>
        <v/>
      </c>
      <c r="AN23" s="181" t="str">
        <f t="shared" ca="1" si="15"/>
        <v/>
      </c>
      <c r="AO23" s="181" t="str">
        <f t="shared" ca="1" si="16"/>
        <v/>
      </c>
      <c r="AP23" s="181" t="str">
        <f t="shared" ca="1" si="17"/>
        <v/>
      </c>
      <c r="AU23" s="181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45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VLOOKUP("*"&amp;D24&amp;"*",商品マスタ一覧!D:H,5,FALSE)),"")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81" t="str">
        <f t="shared" ca="1" si="5"/>
        <v/>
      </c>
      <c r="AE24" s="181" t="str">
        <f t="shared" ca="1" si="6"/>
        <v/>
      </c>
      <c r="AF24" s="181" t="str">
        <f t="shared" ca="1" si="7"/>
        <v/>
      </c>
      <c r="AG24" s="181" t="str">
        <f t="shared" ca="1" si="8"/>
        <v/>
      </c>
      <c r="AH24" s="185" t="str">
        <f t="shared" ca="1" si="9"/>
        <v/>
      </c>
      <c r="AI24" s="181" t="str">
        <f t="shared" ca="1" si="10"/>
        <v/>
      </c>
      <c r="AJ24" s="181" t="str">
        <f t="shared" ca="1" si="11"/>
        <v/>
      </c>
      <c r="AK24" s="181" t="str">
        <f t="shared" ca="1" si="12"/>
        <v/>
      </c>
      <c r="AL24" s="181" t="str">
        <f t="shared" ca="1" si="13"/>
        <v/>
      </c>
      <c r="AM24" s="181" t="str">
        <f t="shared" ca="1" si="14"/>
        <v/>
      </c>
      <c r="AN24" s="181" t="str">
        <f t="shared" ca="1" si="15"/>
        <v/>
      </c>
      <c r="AO24" s="181" t="str">
        <f t="shared" ca="1" si="16"/>
        <v/>
      </c>
      <c r="AP24" s="181" t="str">
        <f t="shared" ca="1" si="17"/>
        <v/>
      </c>
      <c r="AU24" s="181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45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VLOOKUP("*"&amp;D25&amp;"*",商品マスタ一覧!D:H,5,FALSE)),"")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81" t="str">
        <f t="shared" ca="1" si="5"/>
        <v/>
      </c>
      <c r="AE25" s="181" t="str">
        <f t="shared" ca="1" si="6"/>
        <v/>
      </c>
      <c r="AF25" s="181" t="str">
        <f t="shared" ca="1" si="7"/>
        <v/>
      </c>
      <c r="AG25" s="181" t="str">
        <f t="shared" ca="1" si="8"/>
        <v/>
      </c>
      <c r="AH25" s="185" t="str">
        <f t="shared" ca="1" si="9"/>
        <v/>
      </c>
      <c r="AI25" s="181" t="str">
        <f t="shared" ca="1" si="10"/>
        <v/>
      </c>
      <c r="AJ25" s="181" t="str">
        <f t="shared" ca="1" si="11"/>
        <v/>
      </c>
      <c r="AK25" s="181" t="str">
        <f t="shared" ca="1" si="12"/>
        <v/>
      </c>
      <c r="AL25" s="181" t="str">
        <f t="shared" ca="1" si="13"/>
        <v/>
      </c>
      <c r="AM25" s="181" t="str">
        <f t="shared" ca="1" si="14"/>
        <v/>
      </c>
      <c r="AN25" s="181" t="str">
        <f t="shared" ca="1" si="15"/>
        <v/>
      </c>
      <c r="AO25" s="181" t="str">
        <f t="shared" ca="1" si="16"/>
        <v/>
      </c>
      <c r="AP25" s="181" t="str">
        <f t="shared" ca="1" si="17"/>
        <v/>
      </c>
      <c r="AU25" s="181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45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VLOOKUP("*"&amp;D26&amp;"*",商品マスタ一覧!D:H,5,FALSE)),"")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81" t="str">
        <f t="shared" ca="1" si="5"/>
        <v/>
      </c>
      <c r="AE26" s="181" t="str">
        <f t="shared" ca="1" si="6"/>
        <v/>
      </c>
      <c r="AF26" s="181" t="str">
        <f t="shared" ca="1" si="7"/>
        <v/>
      </c>
      <c r="AG26" s="181" t="str">
        <f t="shared" ca="1" si="8"/>
        <v/>
      </c>
      <c r="AH26" s="185" t="str">
        <f t="shared" ca="1" si="9"/>
        <v/>
      </c>
      <c r="AI26" s="181" t="str">
        <f t="shared" ca="1" si="10"/>
        <v/>
      </c>
      <c r="AJ26" s="181" t="str">
        <f t="shared" ca="1" si="11"/>
        <v/>
      </c>
      <c r="AK26" s="181" t="str">
        <f t="shared" ca="1" si="12"/>
        <v/>
      </c>
      <c r="AL26" s="181" t="str">
        <f t="shared" ca="1" si="13"/>
        <v/>
      </c>
      <c r="AM26" s="181" t="str">
        <f t="shared" ca="1" si="14"/>
        <v/>
      </c>
      <c r="AN26" s="181" t="str">
        <f t="shared" ca="1" si="15"/>
        <v/>
      </c>
      <c r="AO26" s="181" t="str">
        <f t="shared" ca="1" si="16"/>
        <v/>
      </c>
      <c r="AP26" s="181" t="str">
        <f t="shared" ca="1" si="17"/>
        <v/>
      </c>
      <c r="AU26" s="181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45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VLOOKUP("*"&amp;D27&amp;"*",商品マスタ一覧!D:H,5,FALSE)),"")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81" t="str">
        <f t="shared" ca="1" si="5"/>
        <v/>
      </c>
      <c r="AE27" s="181" t="str">
        <f t="shared" ca="1" si="6"/>
        <v/>
      </c>
      <c r="AF27" s="181" t="str">
        <f t="shared" ca="1" si="7"/>
        <v/>
      </c>
      <c r="AG27" s="181" t="str">
        <f t="shared" ca="1" si="8"/>
        <v/>
      </c>
      <c r="AH27" s="185" t="str">
        <f t="shared" ca="1" si="9"/>
        <v/>
      </c>
      <c r="AI27" s="181" t="str">
        <f t="shared" ca="1" si="10"/>
        <v/>
      </c>
      <c r="AJ27" s="181" t="str">
        <f t="shared" ca="1" si="11"/>
        <v/>
      </c>
      <c r="AK27" s="181" t="str">
        <f t="shared" ca="1" si="12"/>
        <v/>
      </c>
      <c r="AL27" s="181" t="str">
        <f t="shared" ca="1" si="13"/>
        <v/>
      </c>
      <c r="AM27" s="181" t="str">
        <f t="shared" ca="1" si="14"/>
        <v/>
      </c>
      <c r="AN27" s="181" t="str">
        <f t="shared" ca="1" si="15"/>
        <v/>
      </c>
      <c r="AO27" s="181" t="str">
        <f t="shared" ca="1" si="16"/>
        <v/>
      </c>
      <c r="AP27" s="181" t="str">
        <f t="shared" ca="1" si="17"/>
        <v/>
      </c>
      <c r="AU27" s="181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45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VLOOKUP("*"&amp;D28&amp;"*",商品マスタ一覧!D:H,5,FALSE)),"")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81" t="str">
        <f t="shared" ca="1" si="5"/>
        <v/>
      </c>
      <c r="AE28" s="181" t="str">
        <f t="shared" ca="1" si="6"/>
        <v/>
      </c>
      <c r="AF28" s="181" t="str">
        <f t="shared" ca="1" si="7"/>
        <v/>
      </c>
      <c r="AG28" s="181" t="str">
        <f t="shared" ca="1" si="8"/>
        <v/>
      </c>
      <c r="AH28" s="185" t="str">
        <f t="shared" ca="1" si="9"/>
        <v/>
      </c>
      <c r="AI28" s="181" t="str">
        <f t="shared" ca="1" si="10"/>
        <v/>
      </c>
      <c r="AJ28" s="181" t="str">
        <f t="shared" ca="1" si="11"/>
        <v/>
      </c>
      <c r="AK28" s="181" t="str">
        <f t="shared" ca="1" si="12"/>
        <v/>
      </c>
      <c r="AL28" s="181" t="str">
        <f t="shared" ca="1" si="13"/>
        <v/>
      </c>
      <c r="AM28" s="181" t="str">
        <f t="shared" ca="1" si="14"/>
        <v/>
      </c>
      <c r="AN28" s="181" t="str">
        <f t="shared" ca="1" si="15"/>
        <v/>
      </c>
      <c r="AO28" s="181" t="str">
        <f t="shared" ca="1" si="16"/>
        <v/>
      </c>
      <c r="AP28" s="181" t="str">
        <f t="shared" ca="1" si="17"/>
        <v/>
      </c>
      <c r="AU28" s="181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45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0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VLOOKUP("*"&amp;D29&amp;"*",商品マスタ一覧!D:H,5,FALSE)),"")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81" t="str">
        <f t="shared" ca="1" si="5"/>
        <v/>
      </c>
      <c r="AE29" s="181" t="str">
        <f t="shared" ca="1" si="6"/>
        <v/>
      </c>
      <c r="AF29" s="181" t="str">
        <f t="shared" ca="1" si="7"/>
        <v/>
      </c>
      <c r="AG29" s="181" t="str">
        <f t="shared" ca="1" si="8"/>
        <v/>
      </c>
      <c r="AH29" s="185" t="str">
        <f t="shared" ca="1" si="9"/>
        <v/>
      </c>
      <c r="AI29" s="181" t="str">
        <f t="shared" ca="1" si="10"/>
        <v/>
      </c>
      <c r="AJ29" s="181" t="str">
        <f t="shared" ca="1" si="11"/>
        <v/>
      </c>
      <c r="AK29" s="181" t="str">
        <f t="shared" ca="1" si="12"/>
        <v/>
      </c>
      <c r="AL29" s="181" t="str">
        <f t="shared" ca="1" si="13"/>
        <v/>
      </c>
      <c r="AM29" s="181" t="str">
        <f t="shared" ca="1" si="14"/>
        <v/>
      </c>
      <c r="AN29" s="181" t="str">
        <f t="shared" ca="1" si="15"/>
        <v/>
      </c>
      <c r="AO29" s="181" t="str">
        <f t="shared" ca="1" si="16"/>
        <v/>
      </c>
      <c r="AP29" s="181" t="str">
        <f t="shared" ca="1" si="17"/>
        <v/>
      </c>
      <c r="AU29" s="181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45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VLOOKUP("*"&amp;D30&amp;"*",商品マスタ一覧!D:H,5,FALSE)),"")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81" t="str">
        <f t="shared" ca="1" si="5"/>
        <v/>
      </c>
      <c r="AE30" s="181" t="str">
        <f t="shared" ca="1" si="6"/>
        <v/>
      </c>
      <c r="AF30" s="181" t="str">
        <f t="shared" ca="1" si="7"/>
        <v/>
      </c>
      <c r="AG30" s="181" t="str">
        <f t="shared" ca="1" si="8"/>
        <v/>
      </c>
      <c r="AH30" s="185" t="str">
        <f t="shared" ca="1" si="9"/>
        <v/>
      </c>
      <c r="AI30" s="181" t="str">
        <f t="shared" ca="1" si="10"/>
        <v/>
      </c>
      <c r="AJ30" s="181" t="str">
        <f t="shared" ca="1" si="11"/>
        <v/>
      </c>
      <c r="AK30" s="181" t="str">
        <f t="shared" ca="1" si="12"/>
        <v/>
      </c>
      <c r="AL30" s="181" t="str">
        <f t="shared" ca="1" si="13"/>
        <v/>
      </c>
      <c r="AM30" s="181" t="str">
        <f t="shared" ca="1" si="14"/>
        <v/>
      </c>
      <c r="AN30" s="181" t="str">
        <f t="shared" ca="1" si="15"/>
        <v/>
      </c>
      <c r="AO30" s="181" t="str">
        <f t="shared" ca="1" si="16"/>
        <v/>
      </c>
      <c r="AP30" s="181" t="str">
        <f t="shared" ca="1" si="17"/>
        <v/>
      </c>
      <c r="AU30" s="181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45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VLOOKUP("*"&amp;D31&amp;"*",商品マスタ一覧!D:H,5,FALSE)),"")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81" t="str">
        <f t="shared" ca="1" si="5"/>
        <v/>
      </c>
      <c r="AE31" s="181" t="str">
        <f t="shared" ca="1" si="6"/>
        <v/>
      </c>
      <c r="AF31" s="181" t="str">
        <f t="shared" ca="1" si="7"/>
        <v/>
      </c>
      <c r="AG31" s="181" t="str">
        <f t="shared" ca="1" si="8"/>
        <v/>
      </c>
      <c r="AH31" s="185" t="str">
        <f t="shared" ca="1" si="9"/>
        <v/>
      </c>
      <c r="AI31" s="181" t="str">
        <f t="shared" ca="1" si="10"/>
        <v/>
      </c>
      <c r="AJ31" s="181" t="str">
        <f t="shared" ca="1" si="11"/>
        <v/>
      </c>
      <c r="AK31" s="181" t="str">
        <f t="shared" ca="1" si="12"/>
        <v/>
      </c>
      <c r="AL31" s="181" t="str">
        <f t="shared" ca="1" si="13"/>
        <v/>
      </c>
      <c r="AM31" s="181" t="str">
        <f t="shared" ca="1" si="14"/>
        <v/>
      </c>
      <c r="AN31" s="181" t="str">
        <f t="shared" ca="1" si="15"/>
        <v/>
      </c>
      <c r="AO31" s="181" t="str">
        <f t="shared" ca="1" si="16"/>
        <v/>
      </c>
      <c r="AP31" s="181" t="str">
        <f t="shared" ca="1" si="17"/>
        <v/>
      </c>
      <c r="AU31" s="181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45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VLOOKUP("*"&amp;D32&amp;"*",商品マスタ一覧!D:H,5,FALSE)),"")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81" t="str">
        <f t="shared" ca="1" si="5"/>
        <v/>
      </c>
      <c r="AE32" s="181" t="str">
        <f t="shared" ca="1" si="6"/>
        <v/>
      </c>
      <c r="AF32" s="181" t="str">
        <f t="shared" ca="1" si="7"/>
        <v/>
      </c>
      <c r="AG32" s="181" t="str">
        <f t="shared" ca="1" si="8"/>
        <v/>
      </c>
      <c r="AH32" s="185" t="str">
        <f t="shared" ca="1" si="9"/>
        <v/>
      </c>
      <c r="AI32" s="181" t="str">
        <f t="shared" ca="1" si="10"/>
        <v/>
      </c>
      <c r="AJ32" s="181" t="str">
        <f t="shared" ca="1" si="11"/>
        <v/>
      </c>
      <c r="AK32" s="181" t="str">
        <f t="shared" ca="1" si="12"/>
        <v/>
      </c>
      <c r="AL32" s="181" t="str">
        <f t="shared" ca="1" si="13"/>
        <v/>
      </c>
      <c r="AM32" s="181" t="str">
        <f t="shared" ca="1" si="14"/>
        <v/>
      </c>
      <c r="AN32" s="181" t="str">
        <f t="shared" ca="1" si="15"/>
        <v/>
      </c>
      <c r="AO32" s="181" t="str">
        <f t="shared" ca="1" si="16"/>
        <v/>
      </c>
      <c r="AP32" s="181" t="str">
        <f t="shared" ca="1" si="17"/>
        <v/>
      </c>
      <c r="AU32" s="181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45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VLOOKUP("*"&amp;D33&amp;"*",商品マスタ一覧!D:H,5,FALSE)),"")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81" t="str">
        <f t="shared" ca="1" si="5"/>
        <v/>
      </c>
      <c r="AE33" s="181" t="str">
        <f t="shared" ca="1" si="6"/>
        <v/>
      </c>
      <c r="AF33" s="181" t="str">
        <f t="shared" ca="1" si="7"/>
        <v/>
      </c>
      <c r="AG33" s="181" t="str">
        <f t="shared" ca="1" si="8"/>
        <v/>
      </c>
      <c r="AH33" s="185" t="str">
        <f t="shared" ca="1" si="9"/>
        <v/>
      </c>
      <c r="AI33" s="181" t="str">
        <f t="shared" ca="1" si="10"/>
        <v/>
      </c>
      <c r="AJ33" s="181" t="str">
        <f t="shared" ca="1" si="11"/>
        <v/>
      </c>
      <c r="AK33" s="181" t="str">
        <f t="shared" ca="1" si="12"/>
        <v/>
      </c>
      <c r="AL33" s="181" t="str">
        <f t="shared" ca="1" si="13"/>
        <v/>
      </c>
      <c r="AM33" s="181" t="str">
        <f t="shared" ca="1" si="14"/>
        <v/>
      </c>
      <c r="AN33" s="181" t="str">
        <f t="shared" ca="1" si="15"/>
        <v/>
      </c>
      <c r="AO33" s="181" t="str">
        <f t="shared" ca="1" si="16"/>
        <v/>
      </c>
      <c r="AP33" s="181" t="str">
        <f t="shared" ca="1" si="17"/>
        <v/>
      </c>
      <c r="AU33" s="181" t="str">
        <f t="shared" ca="1" si="18"/>
        <v/>
      </c>
    </row>
    <row r="34" spans="1:47" ht="22.2" customHeight="1">
      <c r="A34" s="102">
        <f t="shared" ref="A34:A70" si="21">A33+2</f>
        <v>73</v>
      </c>
      <c r="B34" s="45" t="str">
        <f t="shared" ref="B34:B65" si="22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45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VLOOKUP("*"&amp;D34&amp;"*",商品マスタ一覧!D:H,5,FALSE)),"")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81" t="str">
        <f t="shared" ca="1" si="5"/>
        <v/>
      </c>
      <c r="AE34" s="181" t="str">
        <f t="shared" ca="1" si="6"/>
        <v/>
      </c>
      <c r="AF34" s="181" t="str">
        <f t="shared" ca="1" si="7"/>
        <v/>
      </c>
      <c r="AG34" s="181" t="str">
        <f t="shared" ca="1" si="8"/>
        <v/>
      </c>
      <c r="AH34" s="185" t="str">
        <f t="shared" ca="1" si="9"/>
        <v/>
      </c>
      <c r="AI34" s="181" t="str">
        <f t="shared" ca="1" si="10"/>
        <v/>
      </c>
      <c r="AJ34" s="181" t="str">
        <f t="shared" ca="1" si="11"/>
        <v/>
      </c>
      <c r="AK34" s="181" t="str">
        <f t="shared" ca="1" si="12"/>
        <v/>
      </c>
      <c r="AL34" s="181" t="str">
        <f t="shared" ca="1" si="13"/>
        <v/>
      </c>
      <c r="AM34" s="181" t="str">
        <f t="shared" ca="1" si="14"/>
        <v/>
      </c>
      <c r="AN34" s="181" t="str">
        <f t="shared" ca="1" si="15"/>
        <v/>
      </c>
      <c r="AO34" s="181" t="str">
        <f t="shared" ca="1" si="16"/>
        <v/>
      </c>
      <c r="AP34" s="181" t="str">
        <f t="shared" ca="1" si="17"/>
        <v/>
      </c>
      <c r="AU34" s="181" t="str">
        <f t="shared" ca="1" si="18"/>
        <v/>
      </c>
    </row>
    <row r="35" spans="1:47" ht="21" customHeight="1">
      <c r="A35" s="102">
        <f t="shared" si="21"/>
        <v>75</v>
      </c>
      <c r="B35" s="45" t="str">
        <f t="shared" si="2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45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VLOOKUP("*"&amp;D35&amp;"*",商品マスタ一覧!D:H,5,FALSE)),"")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81" t="str">
        <f t="shared" ca="1" si="5"/>
        <v/>
      </c>
      <c r="AE35" s="181" t="str">
        <f t="shared" ca="1" si="6"/>
        <v/>
      </c>
      <c r="AF35" s="181" t="str">
        <f t="shared" ca="1" si="7"/>
        <v/>
      </c>
      <c r="AG35" s="181" t="str">
        <f t="shared" ca="1" si="8"/>
        <v/>
      </c>
      <c r="AH35" s="185" t="str">
        <f t="shared" ca="1" si="9"/>
        <v/>
      </c>
      <c r="AI35" s="181" t="str">
        <f t="shared" ca="1" si="10"/>
        <v/>
      </c>
      <c r="AJ35" s="181" t="str">
        <f t="shared" ca="1" si="11"/>
        <v/>
      </c>
      <c r="AK35" s="181" t="str">
        <f t="shared" ca="1" si="12"/>
        <v/>
      </c>
      <c r="AL35" s="181" t="str">
        <f t="shared" ca="1" si="13"/>
        <v/>
      </c>
      <c r="AM35" s="181" t="str">
        <f t="shared" ca="1" si="14"/>
        <v/>
      </c>
      <c r="AN35" s="181" t="str">
        <f t="shared" ca="1" si="15"/>
        <v/>
      </c>
      <c r="AO35" s="181" t="str">
        <f t="shared" ca="1" si="16"/>
        <v/>
      </c>
      <c r="AP35" s="181" t="str">
        <f t="shared" ca="1" si="17"/>
        <v/>
      </c>
      <c r="AU35" s="181" t="str">
        <f t="shared" ca="1" si="18"/>
        <v/>
      </c>
    </row>
    <row r="36" spans="1:47" ht="19.2" customHeight="1">
      <c r="A36" s="102">
        <f t="shared" si="21"/>
        <v>77</v>
      </c>
      <c r="B36" s="45" t="str">
        <f t="shared" si="2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45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VLOOKUP("*"&amp;D36&amp;"*",商品マスタ一覧!D:H,5,FALSE)),"")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81" t="str">
        <f t="shared" ca="1" si="5"/>
        <v/>
      </c>
      <c r="AE36" s="181" t="str">
        <f t="shared" ca="1" si="6"/>
        <v/>
      </c>
      <c r="AF36" s="181" t="str">
        <f t="shared" ca="1" si="7"/>
        <v/>
      </c>
      <c r="AG36" s="181" t="str">
        <f t="shared" ca="1" si="8"/>
        <v/>
      </c>
      <c r="AH36" s="185" t="str">
        <f t="shared" ca="1" si="9"/>
        <v/>
      </c>
      <c r="AI36" s="181" t="str">
        <f t="shared" ca="1" si="10"/>
        <v/>
      </c>
      <c r="AJ36" s="181" t="str">
        <f t="shared" ca="1" si="11"/>
        <v/>
      </c>
      <c r="AK36" s="181" t="str">
        <f t="shared" ca="1" si="12"/>
        <v/>
      </c>
      <c r="AL36" s="181" t="str">
        <f t="shared" ca="1" si="13"/>
        <v/>
      </c>
      <c r="AM36" s="181" t="str">
        <f t="shared" ca="1" si="14"/>
        <v/>
      </c>
      <c r="AN36" s="181" t="str">
        <f t="shared" ca="1" si="15"/>
        <v/>
      </c>
      <c r="AO36" s="181" t="str">
        <f t="shared" ca="1" si="16"/>
        <v/>
      </c>
      <c r="AP36" s="181" t="str">
        <f t="shared" ca="1" si="17"/>
        <v/>
      </c>
      <c r="AU36" s="181" t="str">
        <f t="shared" ca="1" si="18"/>
        <v/>
      </c>
    </row>
    <row r="37" spans="1:47" ht="19.2" customHeight="1">
      <c r="A37" s="102">
        <f t="shared" si="21"/>
        <v>79</v>
      </c>
      <c r="B37" s="45" t="str">
        <f t="shared" si="2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45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VLOOKUP("*"&amp;D37&amp;"*",商品マスタ一覧!D:H,5,FALSE)),"")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81" t="str">
        <f t="shared" ca="1" si="5"/>
        <v/>
      </c>
      <c r="AE37" s="181" t="str">
        <f t="shared" ca="1" si="6"/>
        <v/>
      </c>
      <c r="AF37" s="181" t="str">
        <f t="shared" ca="1" si="7"/>
        <v/>
      </c>
      <c r="AG37" s="181" t="str">
        <f t="shared" ca="1" si="8"/>
        <v/>
      </c>
      <c r="AH37" s="185" t="str">
        <f t="shared" ca="1" si="9"/>
        <v/>
      </c>
      <c r="AI37" s="181" t="str">
        <f t="shared" ca="1" si="10"/>
        <v/>
      </c>
      <c r="AJ37" s="181" t="str">
        <f t="shared" ca="1" si="11"/>
        <v/>
      </c>
      <c r="AK37" s="181" t="str">
        <f t="shared" ca="1" si="12"/>
        <v/>
      </c>
      <c r="AL37" s="181" t="str">
        <f t="shared" ca="1" si="13"/>
        <v/>
      </c>
      <c r="AM37" s="181" t="str">
        <f t="shared" ca="1" si="14"/>
        <v/>
      </c>
      <c r="AN37" s="181" t="str">
        <f t="shared" ca="1" si="15"/>
        <v/>
      </c>
      <c r="AO37" s="181" t="str">
        <f t="shared" ca="1" si="16"/>
        <v/>
      </c>
      <c r="AP37" s="181" t="str">
        <f t="shared" ca="1" si="17"/>
        <v/>
      </c>
      <c r="AU37" s="181" t="str">
        <f t="shared" ca="1" si="18"/>
        <v/>
      </c>
    </row>
    <row r="38" spans="1:47" ht="22.2" customHeight="1">
      <c r="A38" s="102">
        <f t="shared" si="21"/>
        <v>81</v>
      </c>
      <c r="B38" s="45" t="str">
        <f t="shared" si="2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45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VLOOKUP("*"&amp;D38&amp;"*",商品マスタ一覧!D:H,5,FALSE)),"")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81" t="str">
        <f t="shared" ca="1" si="5"/>
        <v/>
      </c>
      <c r="AE38" s="181" t="str">
        <f t="shared" ca="1" si="6"/>
        <v/>
      </c>
      <c r="AF38" s="181" t="str">
        <f t="shared" ca="1" si="7"/>
        <v/>
      </c>
      <c r="AG38" s="181" t="str">
        <f t="shared" ca="1" si="8"/>
        <v/>
      </c>
      <c r="AH38" s="185" t="str">
        <f t="shared" ca="1" si="9"/>
        <v/>
      </c>
      <c r="AI38" s="181" t="str">
        <f t="shared" ca="1" si="10"/>
        <v/>
      </c>
      <c r="AJ38" s="181" t="str">
        <f t="shared" ca="1" si="11"/>
        <v/>
      </c>
      <c r="AK38" s="181" t="str">
        <f t="shared" ca="1" si="12"/>
        <v/>
      </c>
      <c r="AL38" s="181" t="str">
        <f t="shared" ca="1" si="13"/>
        <v/>
      </c>
      <c r="AM38" s="181" t="str">
        <f t="shared" ca="1" si="14"/>
        <v/>
      </c>
      <c r="AN38" s="181" t="str">
        <f t="shared" ca="1" si="15"/>
        <v/>
      </c>
      <c r="AO38" s="181" t="str">
        <f t="shared" ca="1" si="16"/>
        <v/>
      </c>
      <c r="AP38" s="181" t="str">
        <f t="shared" ca="1" si="17"/>
        <v/>
      </c>
      <c r="AU38" s="181" t="str">
        <f t="shared" ca="1" si="18"/>
        <v/>
      </c>
    </row>
    <row r="39" spans="1:47" ht="18" customHeight="1">
      <c r="A39" s="102">
        <f t="shared" si="21"/>
        <v>83</v>
      </c>
      <c r="B39" s="45" t="str">
        <f t="shared" si="2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45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VLOOKUP("*"&amp;D39&amp;"*",商品マスタ一覧!D:H,5,FALSE)),"")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81" t="str">
        <f t="shared" ca="1" si="5"/>
        <v/>
      </c>
      <c r="AE39" s="181" t="str">
        <f t="shared" ca="1" si="6"/>
        <v/>
      </c>
      <c r="AF39" s="181" t="str">
        <f t="shared" ca="1" si="7"/>
        <v/>
      </c>
      <c r="AG39" s="181" t="str">
        <f t="shared" ca="1" si="8"/>
        <v/>
      </c>
      <c r="AH39" s="185" t="str">
        <f t="shared" ca="1" si="9"/>
        <v/>
      </c>
      <c r="AI39" s="181" t="str">
        <f t="shared" ca="1" si="10"/>
        <v/>
      </c>
      <c r="AJ39" s="181" t="str">
        <f t="shared" ca="1" si="11"/>
        <v/>
      </c>
      <c r="AK39" s="181" t="str">
        <f t="shared" ca="1" si="12"/>
        <v/>
      </c>
      <c r="AL39" s="181" t="str">
        <f t="shared" ca="1" si="13"/>
        <v/>
      </c>
      <c r="AM39" s="181" t="str">
        <f t="shared" ca="1" si="14"/>
        <v/>
      </c>
      <c r="AN39" s="181" t="str">
        <f t="shared" ca="1" si="15"/>
        <v/>
      </c>
      <c r="AO39" s="181" t="str">
        <f t="shared" ca="1" si="16"/>
        <v/>
      </c>
      <c r="AP39" s="181" t="str">
        <f t="shared" ca="1" si="17"/>
        <v/>
      </c>
      <c r="AU39" s="181" t="str">
        <f t="shared" ca="1" si="18"/>
        <v/>
      </c>
    </row>
    <row r="40" spans="1:47" ht="18" customHeight="1">
      <c r="A40" s="102">
        <f t="shared" si="21"/>
        <v>85</v>
      </c>
      <c r="B40" s="45" t="str">
        <f t="shared" si="2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45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VLOOKUP("*"&amp;D40&amp;"*",商品マスタ一覧!D:H,5,FALSE)),"")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81" t="str">
        <f t="shared" ca="1" si="5"/>
        <v/>
      </c>
      <c r="AE40" s="181" t="str">
        <f t="shared" ca="1" si="6"/>
        <v/>
      </c>
      <c r="AF40" s="181" t="str">
        <f t="shared" ca="1" si="7"/>
        <v/>
      </c>
      <c r="AG40" s="181" t="str">
        <f t="shared" ca="1" si="8"/>
        <v/>
      </c>
      <c r="AH40" s="185" t="str">
        <f t="shared" ca="1" si="9"/>
        <v/>
      </c>
      <c r="AI40" s="181" t="str">
        <f t="shared" ca="1" si="10"/>
        <v/>
      </c>
      <c r="AJ40" s="181" t="str">
        <f t="shared" ca="1" si="11"/>
        <v/>
      </c>
      <c r="AK40" s="181" t="str">
        <f t="shared" ca="1" si="12"/>
        <v/>
      </c>
      <c r="AL40" s="181" t="str">
        <f t="shared" ca="1" si="13"/>
        <v/>
      </c>
      <c r="AM40" s="181" t="str">
        <f t="shared" ca="1" si="14"/>
        <v/>
      </c>
      <c r="AN40" s="181" t="str">
        <f t="shared" ca="1" si="15"/>
        <v/>
      </c>
      <c r="AO40" s="181" t="str">
        <f t="shared" ca="1" si="16"/>
        <v/>
      </c>
      <c r="AP40" s="181" t="str">
        <f t="shared" ca="1" si="17"/>
        <v/>
      </c>
      <c r="AU40" s="181" t="str">
        <f t="shared" ca="1" si="18"/>
        <v/>
      </c>
    </row>
    <row r="41" spans="1:47" ht="22.2" customHeight="1">
      <c r="A41" s="102">
        <f t="shared" si="21"/>
        <v>87</v>
      </c>
      <c r="B41" s="45" t="str">
        <f t="shared" si="2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45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VLOOKUP("*"&amp;D41&amp;"*",商品マスタ一覧!D:H,5,FALSE)),"")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81" t="str">
        <f t="shared" ca="1" si="5"/>
        <v/>
      </c>
      <c r="AE41" s="181" t="str">
        <f t="shared" ca="1" si="6"/>
        <v/>
      </c>
      <c r="AF41" s="181" t="str">
        <f t="shared" ca="1" si="7"/>
        <v/>
      </c>
      <c r="AG41" s="181" t="str">
        <f t="shared" ca="1" si="8"/>
        <v/>
      </c>
      <c r="AH41" s="185" t="str">
        <f t="shared" ca="1" si="9"/>
        <v/>
      </c>
      <c r="AI41" s="181" t="str">
        <f t="shared" ca="1" si="10"/>
        <v/>
      </c>
      <c r="AJ41" s="181" t="str">
        <f t="shared" ca="1" si="11"/>
        <v/>
      </c>
      <c r="AK41" s="181" t="str">
        <f t="shared" ca="1" si="12"/>
        <v/>
      </c>
      <c r="AL41" s="181" t="str">
        <f t="shared" ca="1" si="13"/>
        <v/>
      </c>
      <c r="AM41" s="181" t="str">
        <f t="shared" ca="1" si="14"/>
        <v/>
      </c>
      <c r="AN41" s="181" t="str">
        <f t="shared" ca="1" si="15"/>
        <v/>
      </c>
      <c r="AO41" s="181" t="str">
        <f t="shared" ca="1" si="16"/>
        <v/>
      </c>
      <c r="AP41" s="181" t="str">
        <f t="shared" ca="1" si="17"/>
        <v/>
      </c>
      <c r="AU41" s="181" t="str">
        <f t="shared" ca="1" si="18"/>
        <v/>
      </c>
    </row>
    <row r="42" spans="1:47" ht="21" customHeight="1">
      <c r="A42" s="102">
        <f t="shared" si="21"/>
        <v>89</v>
      </c>
      <c r="B42" s="45" t="str">
        <f t="shared" si="2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45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VLOOKUP("*"&amp;D42&amp;"*",商品マスタ一覧!D:H,5,FALSE)),"")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81" t="str">
        <f t="shared" ca="1" si="5"/>
        <v/>
      </c>
      <c r="AE42" s="181" t="str">
        <f t="shared" ca="1" si="6"/>
        <v/>
      </c>
      <c r="AF42" s="181" t="str">
        <f t="shared" ca="1" si="7"/>
        <v/>
      </c>
      <c r="AG42" s="181" t="str">
        <f t="shared" ca="1" si="8"/>
        <v/>
      </c>
      <c r="AH42" s="185" t="str">
        <f t="shared" ca="1" si="9"/>
        <v/>
      </c>
      <c r="AI42" s="181" t="str">
        <f t="shared" ca="1" si="10"/>
        <v/>
      </c>
      <c r="AJ42" s="181" t="str">
        <f t="shared" ca="1" si="11"/>
        <v/>
      </c>
      <c r="AK42" s="181" t="str">
        <f t="shared" ca="1" si="12"/>
        <v/>
      </c>
      <c r="AL42" s="181" t="str">
        <f t="shared" ca="1" si="13"/>
        <v/>
      </c>
      <c r="AM42" s="181" t="str">
        <f t="shared" ca="1" si="14"/>
        <v/>
      </c>
      <c r="AN42" s="181" t="str">
        <f t="shared" ca="1" si="15"/>
        <v/>
      </c>
      <c r="AO42" s="181" t="str">
        <f t="shared" ca="1" si="16"/>
        <v/>
      </c>
      <c r="AP42" s="181" t="str">
        <f t="shared" ca="1" si="17"/>
        <v/>
      </c>
      <c r="AU42" s="181" t="str">
        <f t="shared" ca="1" si="18"/>
        <v/>
      </c>
    </row>
    <row r="43" spans="1:47" ht="18" customHeight="1">
      <c r="A43" s="102">
        <f t="shared" si="21"/>
        <v>91</v>
      </c>
      <c r="B43" s="45" t="str">
        <f t="shared" si="2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45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VLOOKUP("*"&amp;D43&amp;"*",商品マスタ一覧!D:H,5,FALSE)),"")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81" t="str">
        <f t="shared" ca="1" si="5"/>
        <v/>
      </c>
      <c r="AE43" s="181" t="str">
        <f t="shared" ca="1" si="6"/>
        <v/>
      </c>
      <c r="AF43" s="181" t="str">
        <f t="shared" ca="1" si="7"/>
        <v/>
      </c>
      <c r="AG43" s="181" t="str">
        <f t="shared" ca="1" si="8"/>
        <v/>
      </c>
      <c r="AH43" s="185" t="str">
        <f t="shared" ca="1" si="9"/>
        <v/>
      </c>
      <c r="AI43" s="181" t="str">
        <f t="shared" ca="1" si="10"/>
        <v/>
      </c>
      <c r="AJ43" s="181" t="str">
        <f t="shared" ca="1" si="11"/>
        <v/>
      </c>
      <c r="AK43" s="181" t="str">
        <f t="shared" ca="1" si="12"/>
        <v/>
      </c>
      <c r="AL43" s="181" t="str">
        <f t="shared" ca="1" si="13"/>
        <v/>
      </c>
      <c r="AM43" s="181" t="str">
        <f t="shared" ca="1" si="14"/>
        <v/>
      </c>
      <c r="AN43" s="181" t="str">
        <f t="shared" ca="1" si="15"/>
        <v/>
      </c>
      <c r="AO43" s="181" t="str">
        <f t="shared" ca="1" si="16"/>
        <v/>
      </c>
      <c r="AP43" s="181" t="str">
        <f t="shared" ca="1" si="17"/>
        <v/>
      </c>
      <c r="AU43" s="181" t="str">
        <f t="shared" ca="1" si="18"/>
        <v/>
      </c>
    </row>
    <row r="44" spans="1:47" ht="18" customHeight="1">
      <c r="A44" s="102">
        <f t="shared" si="21"/>
        <v>93</v>
      </c>
      <c r="B44" s="45" t="str">
        <f t="shared" si="2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45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VLOOKUP("*"&amp;D44&amp;"*",商品マスタ一覧!D:H,5,FALSE)),"")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81" t="str">
        <f t="shared" ca="1" si="5"/>
        <v/>
      </c>
      <c r="AE44" s="181" t="str">
        <f t="shared" ca="1" si="6"/>
        <v/>
      </c>
      <c r="AF44" s="181" t="str">
        <f t="shared" ca="1" si="7"/>
        <v/>
      </c>
      <c r="AG44" s="181" t="str">
        <f t="shared" ca="1" si="8"/>
        <v/>
      </c>
      <c r="AH44" s="185" t="str">
        <f t="shared" ca="1" si="9"/>
        <v/>
      </c>
      <c r="AI44" s="181" t="str">
        <f t="shared" ca="1" si="10"/>
        <v/>
      </c>
      <c r="AJ44" s="181" t="str">
        <f t="shared" ca="1" si="11"/>
        <v/>
      </c>
      <c r="AK44" s="181" t="str">
        <f t="shared" ca="1" si="12"/>
        <v/>
      </c>
      <c r="AL44" s="181" t="str">
        <f t="shared" ca="1" si="13"/>
        <v/>
      </c>
      <c r="AM44" s="181" t="str">
        <f t="shared" ca="1" si="14"/>
        <v/>
      </c>
      <c r="AN44" s="181" t="str">
        <f t="shared" ca="1" si="15"/>
        <v/>
      </c>
      <c r="AO44" s="181" t="str">
        <f t="shared" ca="1" si="16"/>
        <v/>
      </c>
      <c r="AP44" s="181" t="str">
        <f t="shared" ca="1" si="17"/>
        <v/>
      </c>
      <c r="AU44" s="181" t="str">
        <f t="shared" ca="1" si="18"/>
        <v/>
      </c>
    </row>
    <row r="45" spans="1:47" ht="22.2" customHeight="1">
      <c r="A45" s="102">
        <f t="shared" si="21"/>
        <v>95</v>
      </c>
      <c r="B45" s="45" t="str">
        <f t="shared" si="2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45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VLOOKUP("*"&amp;D45&amp;"*",商品マスタ一覧!D:H,5,FALSE)),"")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81" t="str">
        <f t="shared" ca="1" si="5"/>
        <v/>
      </c>
      <c r="AE45" s="181" t="str">
        <f t="shared" ca="1" si="6"/>
        <v/>
      </c>
      <c r="AF45" s="181" t="str">
        <f t="shared" ca="1" si="7"/>
        <v/>
      </c>
      <c r="AG45" s="181" t="str">
        <f t="shared" ca="1" si="8"/>
        <v/>
      </c>
      <c r="AH45" s="185" t="str">
        <f t="shared" ca="1" si="9"/>
        <v/>
      </c>
      <c r="AI45" s="181" t="str">
        <f t="shared" ca="1" si="10"/>
        <v/>
      </c>
      <c r="AJ45" s="181" t="str">
        <f t="shared" ca="1" si="11"/>
        <v/>
      </c>
      <c r="AK45" s="181" t="str">
        <f t="shared" ca="1" si="12"/>
        <v/>
      </c>
      <c r="AL45" s="181" t="str">
        <f t="shared" ca="1" si="13"/>
        <v/>
      </c>
      <c r="AM45" s="181" t="str">
        <f t="shared" ca="1" si="14"/>
        <v/>
      </c>
      <c r="AN45" s="181" t="str">
        <f t="shared" ca="1" si="15"/>
        <v/>
      </c>
      <c r="AO45" s="181" t="str">
        <f t="shared" ca="1" si="16"/>
        <v/>
      </c>
      <c r="AP45" s="181" t="str">
        <f t="shared" ca="1" si="17"/>
        <v/>
      </c>
      <c r="AU45" s="181" t="str">
        <f t="shared" ca="1" si="18"/>
        <v/>
      </c>
    </row>
    <row r="46" spans="1:47" ht="18" customHeight="1">
      <c r="A46" s="102">
        <f t="shared" si="21"/>
        <v>97</v>
      </c>
      <c r="B46" s="45" t="str">
        <f t="shared" si="2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45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VLOOKUP("*"&amp;D46&amp;"*",商品マスタ一覧!D:H,5,FALSE)),"")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81" t="str">
        <f t="shared" ca="1" si="5"/>
        <v/>
      </c>
      <c r="AE46" s="181" t="str">
        <f t="shared" ca="1" si="6"/>
        <v/>
      </c>
      <c r="AF46" s="181" t="str">
        <f t="shared" ca="1" si="7"/>
        <v/>
      </c>
      <c r="AG46" s="181" t="str">
        <f t="shared" ca="1" si="8"/>
        <v/>
      </c>
      <c r="AH46" s="185" t="str">
        <f t="shared" ca="1" si="9"/>
        <v/>
      </c>
      <c r="AI46" s="181" t="str">
        <f t="shared" ca="1" si="10"/>
        <v/>
      </c>
      <c r="AJ46" s="181" t="str">
        <f t="shared" ca="1" si="11"/>
        <v/>
      </c>
      <c r="AK46" s="181" t="str">
        <f t="shared" ca="1" si="12"/>
        <v/>
      </c>
      <c r="AL46" s="181" t="str">
        <f t="shared" ca="1" si="13"/>
        <v/>
      </c>
      <c r="AM46" s="181" t="str">
        <f t="shared" ca="1" si="14"/>
        <v/>
      </c>
      <c r="AN46" s="181" t="str">
        <f t="shared" ca="1" si="15"/>
        <v/>
      </c>
      <c r="AO46" s="181" t="str">
        <f t="shared" ca="1" si="16"/>
        <v/>
      </c>
      <c r="AP46" s="181" t="str">
        <f t="shared" ca="1" si="17"/>
        <v/>
      </c>
      <c r="AU46" s="181" t="str">
        <f t="shared" ca="1" si="18"/>
        <v/>
      </c>
    </row>
    <row r="47" spans="1:47" ht="18" customHeight="1">
      <c r="A47" s="102">
        <f t="shared" si="21"/>
        <v>99</v>
      </c>
      <c r="B47" s="45" t="str">
        <f t="shared" si="2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45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VLOOKUP("*"&amp;D47&amp;"*",商品マスタ一覧!D:H,5,FALSE)),"")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81" t="str">
        <f t="shared" ca="1" si="5"/>
        <v/>
      </c>
      <c r="AE47" s="181" t="str">
        <f t="shared" ca="1" si="6"/>
        <v/>
      </c>
      <c r="AF47" s="181" t="str">
        <f t="shared" ca="1" si="7"/>
        <v/>
      </c>
      <c r="AG47" s="181" t="str">
        <f t="shared" ca="1" si="8"/>
        <v/>
      </c>
      <c r="AH47" s="185" t="str">
        <f t="shared" ca="1" si="9"/>
        <v/>
      </c>
      <c r="AI47" s="181" t="str">
        <f t="shared" ca="1" si="10"/>
        <v/>
      </c>
      <c r="AJ47" s="181" t="str">
        <f t="shared" ca="1" si="11"/>
        <v/>
      </c>
      <c r="AK47" s="181" t="str">
        <f t="shared" ca="1" si="12"/>
        <v/>
      </c>
      <c r="AL47" s="181" t="str">
        <f t="shared" ca="1" si="13"/>
        <v/>
      </c>
      <c r="AM47" s="181" t="str">
        <f t="shared" ca="1" si="14"/>
        <v/>
      </c>
      <c r="AN47" s="181" t="str">
        <f t="shared" ca="1" si="15"/>
        <v/>
      </c>
      <c r="AO47" s="181" t="str">
        <f t="shared" ca="1" si="16"/>
        <v/>
      </c>
      <c r="AP47" s="181" t="str">
        <f t="shared" ca="1" si="17"/>
        <v/>
      </c>
      <c r="AU47" s="181" t="str">
        <f t="shared" ca="1" si="18"/>
        <v/>
      </c>
    </row>
    <row r="48" spans="1:47" ht="22.2" customHeight="1">
      <c r="A48" s="102">
        <f t="shared" si="21"/>
        <v>101</v>
      </c>
      <c r="B48" s="45" t="str">
        <f t="shared" si="2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45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VLOOKUP("*"&amp;D48&amp;"*",商品マスタ一覧!D:H,5,FALSE)),"")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81" t="str">
        <f t="shared" ca="1" si="5"/>
        <v/>
      </c>
      <c r="AE48" s="181" t="str">
        <f t="shared" ca="1" si="6"/>
        <v/>
      </c>
      <c r="AF48" s="181" t="str">
        <f t="shared" ca="1" si="7"/>
        <v/>
      </c>
      <c r="AG48" s="181" t="str">
        <f t="shared" ca="1" si="8"/>
        <v/>
      </c>
      <c r="AH48" s="185" t="str">
        <f t="shared" ca="1" si="9"/>
        <v/>
      </c>
      <c r="AI48" s="181" t="str">
        <f t="shared" ca="1" si="10"/>
        <v/>
      </c>
      <c r="AJ48" s="181" t="str">
        <f t="shared" ca="1" si="11"/>
        <v/>
      </c>
      <c r="AK48" s="181" t="str">
        <f t="shared" ca="1" si="12"/>
        <v/>
      </c>
      <c r="AL48" s="181" t="str">
        <f t="shared" ca="1" si="13"/>
        <v/>
      </c>
      <c r="AM48" s="181" t="str">
        <f t="shared" ca="1" si="14"/>
        <v/>
      </c>
      <c r="AN48" s="181" t="str">
        <f t="shared" ca="1" si="15"/>
        <v/>
      </c>
      <c r="AO48" s="181" t="str">
        <f t="shared" ca="1" si="16"/>
        <v/>
      </c>
      <c r="AP48" s="181" t="str">
        <f t="shared" ca="1" si="17"/>
        <v/>
      </c>
      <c r="AU48" s="181" t="str">
        <f t="shared" ca="1" si="18"/>
        <v/>
      </c>
    </row>
    <row r="49" spans="1:47" ht="21" customHeight="1">
      <c r="A49" s="102">
        <f t="shared" si="21"/>
        <v>103</v>
      </c>
      <c r="B49" s="45" t="str">
        <f t="shared" si="2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45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VLOOKUP("*"&amp;D49&amp;"*",商品マスタ一覧!D:H,5,FALSE)),"")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81" t="str">
        <f t="shared" ca="1" si="5"/>
        <v/>
      </c>
      <c r="AE49" s="181" t="str">
        <f t="shared" ca="1" si="6"/>
        <v/>
      </c>
      <c r="AF49" s="181" t="str">
        <f t="shared" ca="1" si="7"/>
        <v/>
      </c>
      <c r="AG49" s="181" t="str">
        <f t="shared" ca="1" si="8"/>
        <v/>
      </c>
      <c r="AH49" s="185" t="str">
        <f t="shared" ca="1" si="9"/>
        <v/>
      </c>
      <c r="AI49" s="181" t="str">
        <f t="shared" ca="1" si="10"/>
        <v/>
      </c>
      <c r="AJ49" s="181" t="str">
        <f t="shared" ca="1" si="11"/>
        <v/>
      </c>
      <c r="AK49" s="181" t="str">
        <f t="shared" ca="1" si="12"/>
        <v/>
      </c>
      <c r="AL49" s="181" t="str">
        <f t="shared" ca="1" si="13"/>
        <v/>
      </c>
      <c r="AM49" s="181" t="str">
        <f t="shared" ca="1" si="14"/>
        <v/>
      </c>
      <c r="AN49" s="181" t="str">
        <f t="shared" ca="1" si="15"/>
        <v/>
      </c>
      <c r="AO49" s="181" t="str">
        <f t="shared" ca="1" si="16"/>
        <v/>
      </c>
      <c r="AP49" s="181" t="str">
        <f t="shared" ca="1" si="17"/>
        <v/>
      </c>
      <c r="AU49" s="181" t="str">
        <f t="shared" ca="1" si="18"/>
        <v/>
      </c>
    </row>
    <row r="50" spans="1:47" ht="18" customHeight="1">
      <c r="A50" s="102">
        <f t="shared" si="21"/>
        <v>105</v>
      </c>
      <c r="B50" s="45" t="str">
        <f t="shared" si="2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45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VLOOKUP("*"&amp;D50&amp;"*",商品マスタ一覧!D:H,5,FALSE)),"")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81" t="str">
        <f t="shared" ca="1" si="5"/>
        <v/>
      </c>
      <c r="AE50" s="181" t="str">
        <f t="shared" ca="1" si="6"/>
        <v/>
      </c>
      <c r="AF50" s="181" t="str">
        <f t="shared" ca="1" si="7"/>
        <v/>
      </c>
      <c r="AG50" s="181" t="str">
        <f t="shared" ca="1" si="8"/>
        <v/>
      </c>
      <c r="AH50" s="185" t="str">
        <f t="shared" ca="1" si="9"/>
        <v/>
      </c>
      <c r="AI50" s="181" t="str">
        <f t="shared" ca="1" si="10"/>
        <v/>
      </c>
      <c r="AJ50" s="181" t="str">
        <f t="shared" ca="1" si="11"/>
        <v/>
      </c>
      <c r="AK50" s="181" t="str">
        <f t="shared" ca="1" si="12"/>
        <v/>
      </c>
      <c r="AL50" s="181" t="str">
        <f t="shared" ca="1" si="13"/>
        <v/>
      </c>
      <c r="AM50" s="181" t="str">
        <f t="shared" ca="1" si="14"/>
        <v/>
      </c>
      <c r="AN50" s="181" t="str">
        <f t="shared" ca="1" si="15"/>
        <v/>
      </c>
      <c r="AO50" s="181" t="str">
        <f t="shared" ca="1" si="16"/>
        <v/>
      </c>
      <c r="AP50" s="181" t="str">
        <f t="shared" ca="1" si="17"/>
        <v/>
      </c>
      <c r="AU50" s="181" t="str">
        <f t="shared" ca="1" si="18"/>
        <v/>
      </c>
    </row>
    <row r="51" spans="1:47" ht="18" customHeight="1">
      <c r="A51" s="102">
        <f t="shared" si="21"/>
        <v>107</v>
      </c>
      <c r="B51" s="45" t="str">
        <f t="shared" si="2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45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VLOOKUP("*"&amp;D51&amp;"*",商品マスタ一覧!D:H,5,FALSE)),"")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81" t="str">
        <f t="shared" ca="1" si="5"/>
        <v/>
      </c>
      <c r="AE51" s="181" t="str">
        <f t="shared" ca="1" si="6"/>
        <v/>
      </c>
      <c r="AF51" s="181" t="str">
        <f t="shared" ca="1" si="7"/>
        <v/>
      </c>
      <c r="AG51" s="181" t="str">
        <f t="shared" ca="1" si="8"/>
        <v/>
      </c>
      <c r="AH51" s="185" t="str">
        <f t="shared" ca="1" si="9"/>
        <v/>
      </c>
      <c r="AI51" s="181" t="str">
        <f t="shared" ca="1" si="10"/>
        <v/>
      </c>
      <c r="AJ51" s="181" t="str">
        <f t="shared" ca="1" si="11"/>
        <v/>
      </c>
      <c r="AK51" s="181" t="str">
        <f t="shared" ca="1" si="12"/>
        <v/>
      </c>
      <c r="AL51" s="181" t="str">
        <f t="shared" ca="1" si="13"/>
        <v/>
      </c>
      <c r="AM51" s="181" t="str">
        <f t="shared" ca="1" si="14"/>
        <v/>
      </c>
      <c r="AN51" s="181" t="str">
        <f t="shared" ca="1" si="15"/>
        <v/>
      </c>
      <c r="AO51" s="181" t="str">
        <f t="shared" ca="1" si="16"/>
        <v/>
      </c>
      <c r="AP51" s="181" t="str">
        <f t="shared" ca="1" si="17"/>
        <v/>
      </c>
      <c r="AU51" s="181" t="str">
        <f t="shared" ca="1" si="18"/>
        <v/>
      </c>
    </row>
    <row r="52" spans="1:47" ht="22.2" customHeight="1">
      <c r="A52" s="102">
        <f t="shared" si="21"/>
        <v>109</v>
      </c>
      <c r="B52" s="45" t="str">
        <f t="shared" si="2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45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VLOOKUP("*"&amp;D52&amp;"*",商品マスタ一覧!D:H,5,FALSE)),"")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81" t="str">
        <f t="shared" ca="1" si="5"/>
        <v/>
      </c>
      <c r="AE52" s="181" t="str">
        <f t="shared" ca="1" si="6"/>
        <v/>
      </c>
      <c r="AF52" s="181" t="str">
        <f t="shared" ca="1" si="7"/>
        <v/>
      </c>
      <c r="AG52" s="181" t="str">
        <f t="shared" ca="1" si="8"/>
        <v/>
      </c>
      <c r="AH52" s="185" t="str">
        <f t="shared" ca="1" si="9"/>
        <v/>
      </c>
      <c r="AI52" s="181" t="str">
        <f t="shared" ca="1" si="10"/>
        <v/>
      </c>
      <c r="AJ52" s="181" t="str">
        <f t="shared" ca="1" si="11"/>
        <v/>
      </c>
      <c r="AK52" s="181" t="str">
        <f t="shared" ca="1" si="12"/>
        <v/>
      </c>
      <c r="AL52" s="181" t="str">
        <f t="shared" ca="1" si="13"/>
        <v/>
      </c>
      <c r="AM52" s="181" t="str">
        <f t="shared" ca="1" si="14"/>
        <v/>
      </c>
      <c r="AN52" s="181" t="str">
        <f t="shared" ca="1" si="15"/>
        <v/>
      </c>
      <c r="AO52" s="181" t="str">
        <f t="shared" ca="1" si="16"/>
        <v/>
      </c>
      <c r="AP52" s="181" t="str">
        <f t="shared" ca="1" si="17"/>
        <v/>
      </c>
      <c r="AU52" s="181" t="str">
        <f t="shared" ca="1" si="18"/>
        <v/>
      </c>
    </row>
    <row r="53" spans="1:47" ht="18" customHeight="1">
      <c r="A53" s="102">
        <f t="shared" si="21"/>
        <v>111</v>
      </c>
      <c r="B53" s="45" t="str">
        <f t="shared" si="2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45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VLOOKUP("*"&amp;D53&amp;"*",商品マスタ一覧!D:H,5,FALSE)),"")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81" t="str">
        <f t="shared" ca="1" si="5"/>
        <v/>
      </c>
      <c r="AE53" s="181" t="str">
        <f t="shared" ca="1" si="6"/>
        <v/>
      </c>
      <c r="AF53" s="181" t="str">
        <f t="shared" ca="1" si="7"/>
        <v/>
      </c>
      <c r="AG53" s="181" t="str">
        <f t="shared" ca="1" si="8"/>
        <v/>
      </c>
      <c r="AH53" s="185" t="str">
        <f t="shared" ca="1" si="9"/>
        <v/>
      </c>
      <c r="AI53" s="181" t="str">
        <f t="shared" ca="1" si="10"/>
        <v/>
      </c>
      <c r="AJ53" s="181" t="str">
        <f t="shared" ca="1" si="11"/>
        <v/>
      </c>
      <c r="AK53" s="181" t="str">
        <f t="shared" ca="1" si="12"/>
        <v/>
      </c>
      <c r="AL53" s="181" t="str">
        <f t="shared" ca="1" si="13"/>
        <v/>
      </c>
      <c r="AM53" s="181" t="str">
        <f t="shared" ca="1" si="14"/>
        <v/>
      </c>
      <c r="AN53" s="181" t="str">
        <f t="shared" ca="1" si="15"/>
        <v/>
      </c>
      <c r="AO53" s="181" t="str">
        <f t="shared" ca="1" si="16"/>
        <v/>
      </c>
      <c r="AP53" s="181" t="str">
        <f t="shared" ca="1" si="17"/>
        <v/>
      </c>
      <c r="AU53" s="181" t="str">
        <f t="shared" ca="1" si="18"/>
        <v/>
      </c>
    </row>
    <row r="54" spans="1:47" ht="18" customHeight="1">
      <c r="A54" s="102">
        <f t="shared" si="21"/>
        <v>113</v>
      </c>
      <c r="B54" s="45" t="str">
        <f t="shared" si="2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45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VLOOKUP("*"&amp;D54&amp;"*",商品マスタ一覧!D:H,5,FALSE)),"")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81" t="str">
        <f t="shared" ca="1" si="5"/>
        <v/>
      </c>
      <c r="AE54" s="181" t="str">
        <f t="shared" ca="1" si="6"/>
        <v/>
      </c>
      <c r="AF54" s="181" t="str">
        <f t="shared" ca="1" si="7"/>
        <v/>
      </c>
      <c r="AG54" s="181" t="str">
        <f t="shared" ca="1" si="8"/>
        <v/>
      </c>
      <c r="AH54" s="185" t="str">
        <f t="shared" ca="1" si="9"/>
        <v/>
      </c>
      <c r="AI54" s="181" t="str">
        <f t="shared" ca="1" si="10"/>
        <v/>
      </c>
      <c r="AJ54" s="181" t="str">
        <f t="shared" ca="1" si="11"/>
        <v/>
      </c>
      <c r="AK54" s="181" t="str">
        <f t="shared" ca="1" si="12"/>
        <v/>
      </c>
      <c r="AL54" s="181" t="str">
        <f t="shared" ca="1" si="13"/>
        <v/>
      </c>
      <c r="AM54" s="181" t="str">
        <f t="shared" ca="1" si="14"/>
        <v/>
      </c>
      <c r="AN54" s="181" t="str">
        <f t="shared" ca="1" si="15"/>
        <v/>
      </c>
      <c r="AO54" s="181" t="str">
        <f t="shared" ca="1" si="16"/>
        <v/>
      </c>
      <c r="AP54" s="181" t="str">
        <f t="shared" ca="1" si="17"/>
        <v/>
      </c>
      <c r="AU54" s="181" t="str">
        <f t="shared" ca="1" si="18"/>
        <v/>
      </c>
    </row>
    <row r="55" spans="1:47" ht="22.2" customHeight="1">
      <c r="A55" s="102">
        <f t="shared" si="21"/>
        <v>115</v>
      </c>
      <c r="B55" s="45" t="str">
        <f t="shared" si="2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45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VLOOKUP("*"&amp;D55&amp;"*",商品マスタ一覧!D:H,5,FALSE)),"")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81" t="str">
        <f t="shared" ca="1" si="5"/>
        <v/>
      </c>
      <c r="AE55" s="181" t="str">
        <f t="shared" ca="1" si="6"/>
        <v/>
      </c>
      <c r="AF55" s="181" t="str">
        <f t="shared" ca="1" si="7"/>
        <v/>
      </c>
      <c r="AG55" s="181" t="str">
        <f t="shared" ca="1" si="8"/>
        <v/>
      </c>
      <c r="AH55" s="185" t="str">
        <f t="shared" ca="1" si="9"/>
        <v/>
      </c>
      <c r="AI55" s="181" t="str">
        <f t="shared" ca="1" si="10"/>
        <v/>
      </c>
      <c r="AJ55" s="181" t="str">
        <f t="shared" ca="1" si="11"/>
        <v/>
      </c>
      <c r="AK55" s="181" t="str">
        <f t="shared" ca="1" si="12"/>
        <v/>
      </c>
      <c r="AL55" s="181" t="str">
        <f t="shared" ca="1" si="13"/>
        <v/>
      </c>
      <c r="AM55" s="181" t="str">
        <f t="shared" ca="1" si="14"/>
        <v/>
      </c>
      <c r="AN55" s="181" t="str">
        <f t="shared" ca="1" si="15"/>
        <v/>
      </c>
      <c r="AO55" s="181" t="str">
        <f t="shared" ca="1" si="16"/>
        <v/>
      </c>
      <c r="AP55" s="181" t="str">
        <f t="shared" ca="1" si="17"/>
        <v/>
      </c>
      <c r="AU55" s="181" t="str">
        <f t="shared" ca="1" si="18"/>
        <v/>
      </c>
    </row>
    <row r="56" spans="1:47" ht="21" customHeight="1">
      <c r="A56" s="102">
        <f t="shared" si="21"/>
        <v>117</v>
      </c>
      <c r="B56" s="45" t="str">
        <f t="shared" si="2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45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VLOOKUP("*"&amp;D56&amp;"*",商品マスタ一覧!D:H,5,FALSE)),"")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81" t="str">
        <f t="shared" ca="1" si="5"/>
        <v/>
      </c>
      <c r="AE56" s="181" t="str">
        <f t="shared" ca="1" si="6"/>
        <v/>
      </c>
      <c r="AF56" s="181" t="str">
        <f t="shared" ca="1" si="7"/>
        <v/>
      </c>
      <c r="AG56" s="181" t="str">
        <f t="shared" ca="1" si="8"/>
        <v/>
      </c>
      <c r="AH56" s="185" t="str">
        <f t="shared" ca="1" si="9"/>
        <v/>
      </c>
      <c r="AI56" s="181" t="str">
        <f t="shared" ca="1" si="10"/>
        <v/>
      </c>
      <c r="AJ56" s="181" t="str">
        <f t="shared" ca="1" si="11"/>
        <v/>
      </c>
      <c r="AK56" s="181" t="str">
        <f t="shared" ca="1" si="12"/>
        <v/>
      </c>
      <c r="AL56" s="181" t="str">
        <f t="shared" ca="1" si="13"/>
        <v/>
      </c>
      <c r="AM56" s="181" t="str">
        <f t="shared" ca="1" si="14"/>
        <v/>
      </c>
      <c r="AN56" s="181" t="str">
        <f t="shared" ca="1" si="15"/>
        <v/>
      </c>
      <c r="AO56" s="181" t="str">
        <f t="shared" ca="1" si="16"/>
        <v/>
      </c>
      <c r="AP56" s="181" t="str">
        <f t="shared" ca="1" si="17"/>
        <v/>
      </c>
      <c r="AU56" s="181" t="str">
        <f t="shared" ca="1" si="18"/>
        <v/>
      </c>
    </row>
    <row r="57" spans="1:47" ht="18" customHeight="1">
      <c r="A57" s="102">
        <f t="shared" si="21"/>
        <v>119</v>
      </c>
      <c r="B57" s="45" t="str">
        <f t="shared" si="2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45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VLOOKUP("*"&amp;D57&amp;"*",商品マスタ一覧!D:H,5,FALSE)),"")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81" t="str">
        <f t="shared" ca="1" si="5"/>
        <v/>
      </c>
      <c r="AE57" s="181" t="str">
        <f t="shared" ca="1" si="6"/>
        <v/>
      </c>
      <c r="AF57" s="181" t="str">
        <f t="shared" ca="1" si="7"/>
        <v/>
      </c>
      <c r="AG57" s="181" t="str">
        <f t="shared" ca="1" si="8"/>
        <v/>
      </c>
      <c r="AH57" s="185" t="str">
        <f t="shared" ca="1" si="9"/>
        <v/>
      </c>
      <c r="AI57" s="181" t="str">
        <f t="shared" ca="1" si="10"/>
        <v/>
      </c>
      <c r="AJ57" s="181" t="str">
        <f t="shared" ca="1" si="11"/>
        <v/>
      </c>
      <c r="AK57" s="181" t="str">
        <f t="shared" ca="1" si="12"/>
        <v/>
      </c>
      <c r="AL57" s="181" t="str">
        <f t="shared" ca="1" si="13"/>
        <v/>
      </c>
      <c r="AM57" s="181" t="str">
        <f t="shared" ca="1" si="14"/>
        <v/>
      </c>
      <c r="AN57" s="181" t="str">
        <f t="shared" ca="1" si="15"/>
        <v/>
      </c>
      <c r="AO57" s="181" t="str">
        <f t="shared" ca="1" si="16"/>
        <v/>
      </c>
      <c r="AP57" s="181" t="str">
        <f t="shared" ca="1" si="17"/>
        <v/>
      </c>
      <c r="AU57" s="181" t="str">
        <f t="shared" ca="1" si="18"/>
        <v/>
      </c>
    </row>
    <row r="58" spans="1:47" ht="18" customHeight="1">
      <c r="A58" s="102">
        <f t="shared" si="21"/>
        <v>121</v>
      </c>
      <c r="B58" s="45" t="str">
        <f t="shared" si="2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45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VLOOKUP("*"&amp;D58&amp;"*",商品マスタ一覧!D:H,5,FALSE)),"")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81" t="str">
        <f t="shared" ca="1" si="5"/>
        <v/>
      </c>
      <c r="AE58" s="181" t="str">
        <f t="shared" ca="1" si="6"/>
        <v/>
      </c>
      <c r="AF58" s="181" t="str">
        <f t="shared" ca="1" si="7"/>
        <v/>
      </c>
      <c r="AG58" s="181" t="str">
        <f t="shared" ca="1" si="8"/>
        <v/>
      </c>
      <c r="AH58" s="185" t="str">
        <f t="shared" ca="1" si="9"/>
        <v/>
      </c>
      <c r="AI58" s="181" t="str">
        <f t="shared" ca="1" si="10"/>
        <v/>
      </c>
      <c r="AJ58" s="181" t="str">
        <f t="shared" ca="1" si="11"/>
        <v/>
      </c>
      <c r="AK58" s="181" t="str">
        <f t="shared" ca="1" si="12"/>
        <v/>
      </c>
      <c r="AL58" s="181" t="str">
        <f t="shared" ca="1" si="13"/>
        <v/>
      </c>
      <c r="AM58" s="181" t="str">
        <f t="shared" ca="1" si="14"/>
        <v/>
      </c>
      <c r="AN58" s="181" t="str">
        <f t="shared" ca="1" si="15"/>
        <v/>
      </c>
      <c r="AO58" s="181" t="str">
        <f t="shared" ca="1" si="16"/>
        <v/>
      </c>
      <c r="AP58" s="181" t="str">
        <f t="shared" ca="1" si="17"/>
        <v/>
      </c>
      <c r="AU58" s="181" t="str">
        <f t="shared" ca="1" si="18"/>
        <v/>
      </c>
    </row>
    <row r="59" spans="1:47" ht="22.2" customHeight="1">
      <c r="A59" s="102">
        <f t="shared" si="21"/>
        <v>123</v>
      </c>
      <c r="B59" s="45" t="str">
        <f t="shared" si="2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45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VLOOKUP("*"&amp;D59&amp;"*",商品マスタ一覧!D:H,5,FALSE)),"")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81" t="str">
        <f t="shared" ca="1" si="5"/>
        <v/>
      </c>
      <c r="AE59" s="181" t="str">
        <f t="shared" ca="1" si="6"/>
        <v/>
      </c>
      <c r="AF59" s="181" t="str">
        <f t="shared" ca="1" si="7"/>
        <v/>
      </c>
      <c r="AG59" s="181" t="str">
        <f t="shared" ca="1" si="8"/>
        <v/>
      </c>
      <c r="AH59" s="185" t="str">
        <f t="shared" ca="1" si="9"/>
        <v/>
      </c>
      <c r="AI59" s="181" t="str">
        <f t="shared" ca="1" si="10"/>
        <v/>
      </c>
      <c r="AJ59" s="181" t="str">
        <f t="shared" ca="1" si="11"/>
        <v/>
      </c>
      <c r="AK59" s="181" t="str">
        <f t="shared" ca="1" si="12"/>
        <v/>
      </c>
      <c r="AL59" s="181" t="str">
        <f t="shared" ca="1" si="13"/>
        <v/>
      </c>
      <c r="AM59" s="181" t="str">
        <f t="shared" ca="1" si="14"/>
        <v/>
      </c>
      <c r="AN59" s="181" t="str">
        <f t="shared" ca="1" si="15"/>
        <v/>
      </c>
      <c r="AO59" s="181" t="str">
        <f t="shared" ca="1" si="16"/>
        <v/>
      </c>
      <c r="AP59" s="181" t="str">
        <f t="shared" ca="1" si="17"/>
        <v/>
      </c>
      <c r="AU59" s="181" t="str">
        <f t="shared" ca="1" si="18"/>
        <v/>
      </c>
    </row>
    <row r="60" spans="1:47" ht="18" customHeight="1">
      <c r="A60" s="102">
        <f t="shared" si="21"/>
        <v>125</v>
      </c>
      <c r="B60" s="45" t="str">
        <f t="shared" si="2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45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VLOOKUP("*"&amp;D60&amp;"*",商品マスタ一覧!D:H,5,FALSE)),"")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81" t="str">
        <f t="shared" ca="1" si="5"/>
        <v/>
      </c>
      <c r="AE60" s="181" t="str">
        <f t="shared" ca="1" si="6"/>
        <v/>
      </c>
      <c r="AF60" s="181" t="str">
        <f t="shared" ca="1" si="7"/>
        <v/>
      </c>
      <c r="AG60" s="181" t="str">
        <f t="shared" ca="1" si="8"/>
        <v/>
      </c>
      <c r="AH60" s="185" t="str">
        <f t="shared" ca="1" si="9"/>
        <v/>
      </c>
      <c r="AI60" s="181" t="str">
        <f t="shared" ca="1" si="10"/>
        <v/>
      </c>
      <c r="AJ60" s="181" t="str">
        <f t="shared" ca="1" si="11"/>
        <v/>
      </c>
      <c r="AK60" s="181" t="str">
        <f t="shared" ca="1" si="12"/>
        <v/>
      </c>
      <c r="AL60" s="181" t="str">
        <f t="shared" ca="1" si="13"/>
        <v/>
      </c>
      <c r="AM60" s="181" t="str">
        <f t="shared" ca="1" si="14"/>
        <v/>
      </c>
      <c r="AN60" s="181" t="str">
        <f t="shared" ca="1" si="15"/>
        <v/>
      </c>
      <c r="AO60" s="181" t="str">
        <f t="shared" ca="1" si="16"/>
        <v/>
      </c>
      <c r="AP60" s="181" t="str">
        <f t="shared" ca="1" si="17"/>
        <v/>
      </c>
      <c r="AU60" s="181" t="str">
        <f t="shared" ca="1" si="18"/>
        <v/>
      </c>
    </row>
    <row r="61" spans="1:47" ht="18" customHeight="1">
      <c r="A61" s="102">
        <f t="shared" si="21"/>
        <v>127</v>
      </c>
      <c r="B61" s="45" t="str">
        <f t="shared" si="2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45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VLOOKUP("*"&amp;D61&amp;"*",商品マスタ一覧!D:H,5,FALSE)),"")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81" t="str">
        <f t="shared" ca="1" si="5"/>
        <v/>
      </c>
      <c r="AE61" s="181" t="str">
        <f t="shared" ca="1" si="6"/>
        <v/>
      </c>
      <c r="AF61" s="181" t="str">
        <f t="shared" ca="1" si="7"/>
        <v/>
      </c>
      <c r="AG61" s="181" t="str">
        <f t="shared" ca="1" si="8"/>
        <v/>
      </c>
      <c r="AH61" s="185" t="str">
        <f t="shared" ca="1" si="9"/>
        <v/>
      </c>
      <c r="AI61" s="181" t="str">
        <f t="shared" ca="1" si="10"/>
        <v/>
      </c>
      <c r="AJ61" s="181" t="str">
        <f t="shared" ca="1" si="11"/>
        <v/>
      </c>
      <c r="AK61" s="181" t="str">
        <f t="shared" ca="1" si="12"/>
        <v/>
      </c>
      <c r="AL61" s="181" t="str">
        <f t="shared" ca="1" si="13"/>
        <v/>
      </c>
      <c r="AM61" s="181" t="str">
        <f t="shared" ca="1" si="14"/>
        <v/>
      </c>
      <c r="AN61" s="181" t="str">
        <f t="shared" ca="1" si="15"/>
        <v/>
      </c>
      <c r="AO61" s="181" t="str">
        <f t="shared" ca="1" si="16"/>
        <v/>
      </c>
      <c r="AP61" s="181" t="str">
        <f t="shared" ca="1" si="17"/>
        <v/>
      </c>
      <c r="AU61" s="181" t="str">
        <f t="shared" ca="1" si="18"/>
        <v/>
      </c>
    </row>
    <row r="62" spans="1:47" ht="22.2" customHeight="1">
      <c r="A62" s="102">
        <f t="shared" si="21"/>
        <v>129</v>
      </c>
      <c r="B62" s="45" t="str">
        <f t="shared" si="2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45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VLOOKUP("*"&amp;D62&amp;"*",商品マスタ一覧!D:H,5,FALSE)),"")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81" t="str">
        <f t="shared" ca="1" si="5"/>
        <v/>
      </c>
      <c r="AE62" s="181" t="str">
        <f t="shared" ca="1" si="6"/>
        <v/>
      </c>
      <c r="AF62" s="181" t="str">
        <f t="shared" ca="1" si="7"/>
        <v/>
      </c>
      <c r="AG62" s="181" t="str">
        <f t="shared" ca="1" si="8"/>
        <v/>
      </c>
      <c r="AH62" s="185" t="str">
        <f t="shared" ca="1" si="9"/>
        <v/>
      </c>
      <c r="AI62" s="181" t="str">
        <f t="shared" ca="1" si="10"/>
        <v/>
      </c>
      <c r="AJ62" s="181" t="str">
        <f t="shared" ca="1" si="11"/>
        <v/>
      </c>
      <c r="AK62" s="181" t="str">
        <f t="shared" ca="1" si="12"/>
        <v/>
      </c>
      <c r="AL62" s="181" t="str">
        <f t="shared" ca="1" si="13"/>
        <v/>
      </c>
      <c r="AM62" s="181" t="str">
        <f t="shared" ca="1" si="14"/>
        <v/>
      </c>
      <c r="AN62" s="181" t="str">
        <f t="shared" ca="1" si="15"/>
        <v/>
      </c>
      <c r="AO62" s="181" t="str">
        <f t="shared" ca="1" si="16"/>
        <v/>
      </c>
      <c r="AP62" s="181" t="str">
        <f t="shared" ca="1" si="17"/>
        <v/>
      </c>
      <c r="AU62" s="181" t="str">
        <f t="shared" ca="1" si="18"/>
        <v/>
      </c>
    </row>
    <row r="63" spans="1:47" ht="21" customHeight="1">
      <c r="A63" s="102">
        <f t="shared" si="21"/>
        <v>131</v>
      </c>
      <c r="B63" s="45" t="str">
        <f t="shared" si="2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45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VLOOKUP("*"&amp;D63&amp;"*",商品マスタ一覧!D:H,5,FALSE)),"")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81" t="str">
        <f t="shared" ca="1" si="5"/>
        <v/>
      </c>
      <c r="AE63" s="181" t="str">
        <f t="shared" ca="1" si="6"/>
        <v/>
      </c>
      <c r="AF63" s="181" t="str">
        <f t="shared" ca="1" si="7"/>
        <v/>
      </c>
      <c r="AG63" s="181" t="str">
        <f t="shared" ca="1" si="8"/>
        <v/>
      </c>
      <c r="AH63" s="185" t="str">
        <f t="shared" ca="1" si="9"/>
        <v/>
      </c>
      <c r="AI63" s="181" t="str">
        <f t="shared" ca="1" si="10"/>
        <v/>
      </c>
      <c r="AJ63" s="181" t="str">
        <f t="shared" ca="1" si="11"/>
        <v/>
      </c>
      <c r="AK63" s="181" t="str">
        <f t="shared" ca="1" si="12"/>
        <v/>
      </c>
      <c r="AL63" s="181" t="str">
        <f t="shared" ca="1" si="13"/>
        <v/>
      </c>
      <c r="AM63" s="181" t="str">
        <f t="shared" ca="1" si="14"/>
        <v/>
      </c>
      <c r="AN63" s="181" t="str">
        <f t="shared" ca="1" si="15"/>
        <v/>
      </c>
      <c r="AO63" s="181" t="str">
        <f t="shared" ca="1" si="16"/>
        <v/>
      </c>
      <c r="AP63" s="181" t="str">
        <f t="shared" ca="1" si="17"/>
        <v/>
      </c>
      <c r="AU63" s="181" t="str">
        <f t="shared" ca="1" si="18"/>
        <v/>
      </c>
    </row>
    <row r="64" spans="1:47" ht="18" customHeight="1">
      <c r="A64" s="102">
        <f t="shared" si="21"/>
        <v>133</v>
      </c>
      <c r="B64" s="45" t="str">
        <f t="shared" si="2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45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VLOOKUP("*"&amp;D64&amp;"*",商品マスタ一覧!D:H,5,FALSE)),"")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81" t="str">
        <f t="shared" ca="1" si="5"/>
        <v/>
      </c>
      <c r="AE64" s="181" t="str">
        <f t="shared" ca="1" si="6"/>
        <v/>
      </c>
      <c r="AF64" s="181" t="str">
        <f t="shared" ca="1" si="7"/>
        <v/>
      </c>
      <c r="AG64" s="181" t="str">
        <f t="shared" ca="1" si="8"/>
        <v/>
      </c>
      <c r="AH64" s="185" t="str">
        <f t="shared" ca="1" si="9"/>
        <v/>
      </c>
      <c r="AI64" s="181" t="str">
        <f t="shared" ca="1" si="10"/>
        <v/>
      </c>
      <c r="AJ64" s="181" t="str">
        <f t="shared" ca="1" si="11"/>
        <v/>
      </c>
      <c r="AK64" s="181" t="str">
        <f t="shared" ca="1" si="12"/>
        <v/>
      </c>
      <c r="AL64" s="181" t="str">
        <f t="shared" ca="1" si="13"/>
        <v/>
      </c>
      <c r="AM64" s="181" t="str">
        <f t="shared" ca="1" si="14"/>
        <v/>
      </c>
      <c r="AN64" s="181" t="str">
        <f t="shared" ca="1" si="15"/>
        <v/>
      </c>
      <c r="AO64" s="181" t="str">
        <f t="shared" ca="1" si="16"/>
        <v/>
      </c>
      <c r="AP64" s="181" t="str">
        <f t="shared" ca="1" si="17"/>
        <v/>
      </c>
      <c r="AU64" s="181" t="str">
        <f t="shared" ca="1" si="18"/>
        <v/>
      </c>
    </row>
    <row r="65" spans="1:47" ht="18" customHeight="1">
      <c r="A65" s="102">
        <f t="shared" si="21"/>
        <v>135</v>
      </c>
      <c r="B65" s="45" t="str">
        <f t="shared" si="2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45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VLOOKUP("*"&amp;D65&amp;"*",商品マスタ一覧!D:H,5,FALSE)),"")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81" t="str">
        <f t="shared" ref="AD65:AD128" ca="1" si="28">IFERROR(INDEX(AC:AC,MATCH(SMALL($AU:$AU,ROW()),$AU:$AU,0)),"")</f>
        <v/>
      </c>
      <c r="AE65" s="181" t="str">
        <f t="shared" ref="AE65:AE128" ca="1" si="29">IFERROR(INDEX(R:R,MATCH(SMALL($AU:$AU,ROW()),$AU:$AU,0)),"")</f>
        <v/>
      </c>
      <c r="AF65" s="181" t="str">
        <f t="shared" ref="AF65:AF128" ca="1" si="30">IFERROR(INDEX(S:S,MATCH(SMALL($AU:$AU,ROW()),$AU:$AU,0)),"")</f>
        <v/>
      </c>
      <c r="AG65" s="181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81" t="str">
        <f t="shared" ref="AI65:AI128" ca="1" si="33">IFERROR(INDEX(V:V,MATCH(SMALL($AU:$AU,ROW()),$AU:$AU,0)),"")</f>
        <v/>
      </c>
      <c r="AJ65" s="181" t="str">
        <f t="shared" ref="AJ65:AJ128" ca="1" si="34">IFERROR(INDEX(W:W,MATCH(SMALL($AU:$AU,ROW()),$AU:$AU,0)),"")</f>
        <v/>
      </c>
      <c r="AK65" s="181" t="str">
        <f t="shared" ref="AK65:AK128" ca="1" si="35">IFERROR(INDEX(X:X,MATCH(SMALL($AU:$AU,ROW()),$AU:$AU,0)),"")</f>
        <v/>
      </c>
      <c r="AL65" s="181" t="str">
        <f t="shared" ref="AL65:AL128" ca="1" si="36">IFERROR(INDEX(Y:Y,MATCH(SMALL($AU:$AU,ROW()),$AU:$AU,0)),"")</f>
        <v/>
      </c>
      <c r="AM65" s="181" t="str">
        <f t="shared" ref="AM65:AM128" ca="1" si="37">IFERROR(INDEX(Z:Z,MATCH(SMALL($AU:$AU,ROW()),$AU:$AU,0)),"")</f>
        <v/>
      </c>
      <c r="AN65" s="181" t="str">
        <f t="shared" ref="AN65:AN128" ca="1" si="38">IFERROR(INDEX(AA:AA,MATCH(SMALL($AU:$AU,ROW()),$AU:$AU,0)),"")</f>
        <v/>
      </c>
      <c r="AO65" s="181" t="str">
        <f t="shared" ref="AO65:AO128" ca="1" si="39">IFERROR(INDEX(AB:AB,MATCH(SMALL($AU:$AU,ROW()),$AU:$AU,0)),"")</f>
        <v/>
      </c>
      <c r="AP65" s="181" t="str">
        <f t="shared" ref="AP65:AP128" ca="1" si="40">IFERROR(INDEX(AC:AC,MATCH(SMALL($AU:$AU,ROW()),$AU:$AU,0)),"")</f>
        <v/>
      </c>
      <c r="AU65" s="181" t="str">
        <f t="shared" ref="AU65:AU128" ca="1" si="41">IFERROR(IF(R65&gt;=219, 1000000+R65, AC65*1000+R65),"")</f>
        <v/>
      </c>
    </row>
    <row r="66" spans="1:47" ht="22.2" customHeight="1">
      <c r="A66" s="102">
        <f t="shared" si="21"/>
        <v>137</v>
      </c>
      <c r="B66" s="45" t="str">
        <f t="shared" ref="B66:B97" si="4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45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VLOOKUP("*"&amp;D66&amp;"*",商品マスタ一覧!D:H,5,FALSE)),"")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81" t="str">
        <f t="shared" ca="1" si="28"/>
        <v/>
      </c>
      <c r="AE66" s="181" t="str">
        <f t="shared" ca="1" si="29"/>
        <v/>
      </c>
      <c r="AF66" s="181" t="str">
        <f t="shared" ca="1" si="30"/>
        <v/>
      </c>
      <c r="AG66" s="181" t="str">
        <f t="shared" ca="1" si="31"/>
        <v/>
      </c>
      <c r="AH66" s="185" t="str">
        <f t="shared" ca="1" si="32"/>
        <v/>
      </c>
      <c r="AI66" s="181" t="str">
        <f t="shared" ca="1" si="33"/>
        <v/>
      </c>
      <c r="AJ66" s="181" t="str">
        <f t="shared" ca="1" si="34"/>
        <v/>
      </c>
      <c r="AK66" s="181" t="str">
        <f t="shared" ca="1" si="35"/>
        <v/>
      </c>
      <c r="AL66" s="181" t="str">
        <f t="shared" ca="1" si="36"/>
        <v/>
      </c>
      <c r="AM66" s="181" t="str">
        <f t="shared" ca="1" si="37"/>
        <v/>
      </c>
      <c r="AN66" s="181" t="str">
        <f t="shared" ca="1" si="38"/>
        <v/>
      </c>
      <c r="AO66" s="181" t="str">
        <f t="shared" ca="1" si="39"/>
        <v/>
      </c>
      <c r="AP66" s="181" t="str">
        <f t="shared" ca="1" si="40"/>
        <v/>
      </c>
      <c r="AU66" s="181" t="str">
        <f t="shared" ca="1" si="41"/>
        <v/>
      </c>
    </row>
    <row r="67" spans="1:47" ht="18" customHeight="1">
      <c r="A67" s="102">
        <f t="shared" si="21"/>
        <v>139</v>
      </c>
      <c r="B67" s="45" t="str">
        <f t="shared" si="4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45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VLOOKUP("*"&amp;D67&amp;"*",商品マスタ一覧!D:H,5,FALSE)),"")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81" t="str">
        <f t="shared" ca="1" si="28"/>
        <v/>
      </c>
      <c r="AE67" s="181" t="str">
        <f t="shared" ca="1" si="29"/>
        <v/>
      </c>
      <c r="AF67" s="181" t="str">
        <f t="shared" ca="1" si="30"/>
        <v/>
      </c>
      <c r="AG67" s="181" t="str">
        <f t="shared" ca="1" si="31"/>
        <v/>
      </c>
      <c r="AH67" s="185" t="str">
        <f t="shared" ca="1" si="32"/>
        <v/>
      </c>
      <c r="AI67" s="181" t="str">
        <f t="shared" ca="1" si="33"/>
        <v/>
      </c>
      <c r="AJ67" s="181" t="str">
        <f t="shared" ca="1" si="34"/>
        <v/>
      </c>
      <c r="AK67" s="181" t="str">
        <f t="shared" ca="1" si="35"/>
        <v/>
      </c>
      <c r="AL67" s="181" t="str">
        <f t="shared" ca="1" si="36"/>
        <v/>
      </c>
      <c r="AM67" s="181" t="str">
        <f t="shared" ca="1" si="37"/>
        <v/>
      </c>
      <c r="AN67" s="181" t="str">
        <f t="shared" ca="1" si="38"/>
        <v/>
      </c>
      <c r="AO67" s="181" t="str">
        <f t="shared" ca="1" si="39"/>
        <v/>
      </c>
      <c r="AP67" s="181" t="str">
        <f t="shared" ca="1" si="40"/>
        <v/>
      </c>
      <c r="AU67" s="181" t="str">
        <f t="shared" ca="1" si="41"/>
        <v/>
      </c>
    </row>
    <row r="68" spans="1:47" ht="18" customHeight="1">
      <c r="A68" s="102">
        <f t="shared" si="21"/>
        <v>141</v>
      </c>
      <c r="B68" s="45" t="str">
        <f t="shared" si="4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45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VLOOKUP("*"&amp;D68&amp;"*",商品マスタ一覧!D:H,5,FALSE)),"")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81" t="str">
        <f t="shared" ca="1" si="28"/>
        <v/>
      </c>
      <c r="AE68" s="181" t="str">
        <f t="shared" ca="1" si="29"/>
        <v/>
      </c>
      <c r="AF68" s="181" t="str">
        <f t="shared" ca="1" si="30"/>
        <v/>
      </c>
      <c r="AG68" s="181" t="str">
        <f t="shared" ca="1" si="31"/>
        <v/>
      </c>
      <c r="AH68" s="185" t="str">
        <f t="shared" ca="1" si="32"/>
        <v/>
      </c>
      <c r="AI68" s="181" t="str">
        <f t="shared" ca="1" si="33"/>
        <v/>
      </c>
      <c r="AJ68" s="181" t="str">
        <f t="shared" ca="1" si="34"/>
        <v/>
      </c>
      <c r="AK68" s="181" t="str">
        <f t="shared" ca="1" si="35"/>
        <v/>
      </c>
      <c r="AL68" s="181" t="str">
        <f t="shared" ca="1" si="36"/>
        <v/>
      </c>
      <c r="AM68" s="181" t="str">
        <f t="shared" ca="1" si="37"/>
        <v/>
      </c>
      <c r="AN68" s="181" t="str">
        <f t="shared" ca="1" si="38"/>
        <v/>
      </c>
      <c r="AO68" s="181" t="str">
        <f t="shared" ca="1" si="39"/>
        <v/>
      </c>
      <c r="AP68" s="181" t="str">
        <f t="shared" ca="1" si="40"/>
        <v/>
      </c>
      <c r="AU68" s="181" t="str">
        <f t="shared" ca="1" si="41"/>
        <v/>
      </c>
    </row>
    <row r="69" spans="1:47" ht="22.2" customHeight="1">
      <c r="A69" s="102">
        <f t="shared" si="21"/>
        <v>143</v>
      </c>
      <c r="B69" s="45" t="str">
        <f t="shared" si="4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45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VLOOKUP("*"&amp;D69&amp;"*",商品マスタ一覧!D:H,5,FALSE)),"")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81" t="str">
        <f t="shared" ca="1" si="28"/>
        <v/>
      </c>
      <c r="AE69" s="181" t="str">
        <f t="shared" ca="1" si="29"/>
        <v/>
      </c>
      <c r="AF69" s="181" t="str">
        <f t="shared" ca="1" si="30"/>
        <v/>
      </c>
      <c r="AG69" s="181" t="str">
        <f t="shared" ca="1" si="31"/>
        <v/>
      </c>
      <c r="AH69" s="185" t="str">
        <f t="shared" ca="1" si="32"/>
        <v/>
      </c>
      <c r="AI69" s="181" t="str">
        <f t="shared" ca="1" si="33"/>
        <v/>
      </c>
      <c r="AJ69" s="181" t="str">
        <f t="shared" ca="1" si="34"/>
        <v/>
      </c>
      <c r="AK69" s="181" t="str">
        <f t="shared" ca="1" si="35"/>
        <v/>
      </c>
      <c r="AL69" s="181" t="str">
        <f t="shared" ca="1" si="36"/>
        <v/>
      </c>
      <c r="AM69" s="181" t="str">
        <f t="shared" ca="1" si="37"/>
        <v/>
      </c>
      <c r="AN69" s="181" t="str">
        <f t="shared" ca="1" si="38"/>
        <v/>
      </c>
      <c r="AO69" s="181" t="str">
        <f t="shared" ca="1" si="39"/>
        <v/>
      </c>
      <c r="AP69" s="181" t="str">
        <f t="shared" ca="1" si="40"/>
        <v/>
      </c>
      <c r="AU69" s="181" t="str">
        <f t="shared" ca="1" si="41"/>
        <v/>
      </c>
    </row>
    <row r="70" spans="1:47" ht="21" customHeight="1">
      <c r="A70" s="102">
        <f t="shared" si="21"/>
        <v>145</v>
      </c>
      <c r="B70" s="45" t="str">
        <f t="shared" si="4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45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VLOOKUP("*"&amp;D70&amp;"*",商品マスタ一覧!D:H,5,FALSE)),"")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81" t="str">
        <f t="shared" ca="1" si="28"/>
        <v/>
      </c>
      <c r="AE70" s="181" t="str">
        <f t="shared" ca="1" si="29"/>
        <v/>
      </c>
      <c r="AF70" s="181" t="str">
        <f t="shared" ca="1" si="30"/>
        <v/>
      </c>
      <c r="AG70" s="181" t="str">
        <f t="shared" ca="1" si="31"/>
        <v/>
      </c>
      <c r="AH70" s="185" t="str">
        <f t="shared" ca="1" si="32"/>
        <v/>
      </c>
      <c r="AI70" s="181" t="str">
        <f t="shared" ca="1" si="33"/>
        <v/>
      </c>
      <c r="AJ70" s="181" t="str">
        <f t="shared" ca="1" si="34"/>
        <v/>
      </c>
      <c r="AK70" s="181" t="str">
        <f t="shared" ca="1" si="35"/>
        <v/>
      </c>
      <c r="AL70" s="181" t="str">
        <f t="shared" ca="1" si="36"/>
        <v/>
      </c>
      <c r="AM70" s="181" t="str">
        <f t="shared" ca="1" si="37"/>
        <v/>
      </c>
      <c r="AN70" s="181" t="str">
        <f t="shared" ca="1" si="38"/>
        <v/>
      </c>
      <c r="AO70" s="181" t="str">
        <f t="shared" ca="1" si="39"/>
        <v/>
      </c>
      <c r="AP70" s="181" t="str">
        <f t="shared" ca="1" si="40"/>
        <v/>
      </c>
      <c r="AU70" s="181" t="str">
        <f t="shared" ca="1" si="41"/>
        <v/>
      </c>
    </row>
    <row r="71" spans="1:47" ht="22.2" customHeight="1">
      <c r="A71" s="105">
        <v>7</v>
      </c>
      <c r="B71" s="105" t="str">
        <f t="shared" ref="B71:B102" ca="1" si="4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05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06" t="str">
        <f>IF(C71&lt;&gt;"",
クライアント抽出!C1,"")</f>
        <v/>
      </c>
      <c r="I71" s="105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VLOOKUP("*"&amp;D71&amp;"*",商品マスタ一覧!D:H,5,FALSE)),"")</f>
        <v/>
      </c>
      <c r="O71" s="105">
        <f t="shared" ref="O71:O102" ca="1" si="44">O1</f>
        <v>0</v>
      </c>
      <c r="P71" s="105">
        <f t="shared" si="23"/>
        <v>0</v>
      </c>
      <c r="Q71" s="105" t="b">
        <f t="shared" si="24"/>
        <v>0</v>
      </c>
      <c r="R71" s="181" t="str">
        <f t="array" aca="1" ref="R71" ca="1">IFERROR(SMALL(IF(P$1:P$311&lt;&gt;0,P$1:P$311),ROW(A71)),"")</f>
        <v/>
      </c>
      <c r="S71" s="181" t="str">
        <f t="array" aca="1" ref="S71" ca="1">IF($R71&lt;&gt;"",
SUBSTITUTE(SUBSTITUTE(INDIRECT("C"&amp;$R71&amp;"")," 週3ｺｰｽ","")," 週5ｺｰｽ",""),"")</f>
        <v/>
      </c>
      <c r="T71" s="18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81" t="str">
        <f t="array" aca="1" ref="V71" ca="1">IF($R71&lt;&gt;"",
INDIRECT("G"&amp;$R71&amp;""),"")</f>
        <v/>
      </c>
      <c r="W71" s="181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81" t="str">
        <f t="array" aca="1" ref="X71" ca="1">IF($R71&lt;&gt;"",
INDIRECT(""&amp;IF(COLUMN(I71)&lt;=26,CHAR(COLUMN(I71)+64),CHAR(INT((COLUMN(I71)-1)/26)+64)&amp;CHAR(MOD(COLUMN(I71)-1,26)+65))&amp;$R71&amp;""),"")</f>
        <v/>
      </c>
      <c r="Y71" s="181" t="str">
        <f t="array" aca="1" ref="Y71" ca="1">IF($R71&lt;&gt;"",
INDIRECT(""&amp;IF(COLUMN(J71)&lt;=26,CHAR(COLUMN(J71)+64),CHAR(INT((COLUMN(J71)-1)/26)+64)&amp;CHAR(MOD(COLUMN(J71)-1,26)+65))&amp;$R71&amp;""),"")</f>
        <v/>
      </c>
      <c r="Z71" s="181" t="str">
        <f t="shared" ca="1" si="25"/>
        <v/>
      </c>
      <c r="AA71" s="181" t="str">
        <f t="shared" ca="1" si="26"/>
        <v/>
      </c>
      <c r="AB71" s="181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81" t="str">
        <f t="shared" ca="1" si="27"/>
        <v/>
      </c>
      <c r="AD71" s="181" t="str">
        <f t="shared" ca="1" si="28"/>
        <v/>
      </c>
      <c r="AE71" s="181" t="str">
        <f t="shared" ca="1" si="29"/>
        <v/>
      </c>
      <c r="AF71" s="181" t="str">
        <f t="shared" ca="1" si="30"/>
        <v/>
      </c>
      <c r="AG71" s="181" t="str">
        <f t="shared" ca="1" si="31"/>
        <v/>
      </c>
      <c r="AH71" s="185" t="str">
        <f t="shared" ca="1" si="32"/>
        <v/>
      </c>
      <c r="AI71" s="181" t="str">
        <f t="shared" ca="1" si="33"/>
        <v/>
      </c>
      <c r="AJ71" s="181" t="str">
        <f t="shared" ca="1" si="34"/>
        <v/>
      </c>
      <c r="AK71" s="181" t="str">
        <f t="shared" ca="1" si="35"/>
        <v/>
      </c>
      <c r="AL71" s="181" t="str">
        <f t="shared" ca="1" si="36"/>
        <v/>
      </c>
      <c r="AM71" s="181" t="str">
        <f t="shared" ca="1" si="37"/>
        <v/>
      </c>
      <c r="AN71" s="181" t="str">
        <f t="shared" ca="1" si="38"/>
        <v/>
      </c>
      <c r="AO71" s="181" t="str">
        <f t="shared" ca="1" si="39"/>
        <v/>
      </c>
      <c r="AP71" s="181" t="str">
        <f t="shared" ca="1" si="40"/>
        <v/>
      </c>
      <c r="AU71" s="181" t="str">
        <f t="shared" ca="1" si="41"/>
        <v/>
      </c>
    </row>
    <row r="72" spans="1:47" ht="21" customHeight="1">
      <c r="A72" s="104">
        <f t="shared" ref="A72:A103" si="45">A71+2</f>
        <v>9</v>
      </c>
      <c r="B72" s="105" t="str">
        <f t="shared" ca="1" si="43"/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05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06" t="str">
        <f>IF(C72&lt;&gt;"",
クライアント抽出!C2,"")</f>
        <v/>
      </c>
      <c r="I72" s="105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VLOOKUP("*"&amp;D72&amp;"*",商品マスタ一覧!D:H,5,FALSE)),"")</f>
        <v/>
      </c>
      <c r="O72" s="105">
        <f t="shared" ca="1" si="44"/>
        <v>0</v>
      </c>
      <c r="P72" s="105">
        <f t="shared" si="23"/>
        <v>0</v>
      </c>
      <c r="Q72" s="105" t="b">
        <f t="shared" si="24"/>
        <v>0</v>
      </c>
      <c r="R72" s="181" t="str">
        <f t="array" aca="1" ref="R72" ca="1">IFERROR(SMALL(IF(P$1:P$311&lt;&gt;0,P$1:P$311),ROW(A72)),"")</f>
        <v/>
      </c>
      <c r="S72" s="181" t="str">
        <f t="array" aca="1" ref="S72" ca="1">IF($R72&lt;&gt;"",
SUBSTITUTE(SUBSTITUTE(INDIRECT("C"&amp;$R72&amp;"")," 週3ｺｰｽ","")," 週5ｺｰｽ",""),"")</f>
        <v/>
      </c>
      <c r="T72" s="18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81" t="str">
        <f t="array" aca="1" ref="V72" ca="1">IF($R72&lt;&gt;"",
INDIRECT("G"&amp;$R72&amp;""),"")</f>
        <v/>
      </c>
      <c r="W72" s="181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81" t="str">
        <f t="array" aca="1" ref="X72" ca="1">IF($R72&lt;&gt;"",
INDIRECT(""&amp;IF(COLUMN(I72)&lt;=26,CHAR(COLUMN(I72)+64),CHAR(INT((COLUMN(I72)-1)/26)+64)&amp;CHAR(MOD(COLUMN(I72)-1,26)+65))&amp;$R72&amp;""),"")</f>
        <v/>
      </c>
      <c r="Y72" s="181" t="str">
        <f t="array" aca="1" ref="Y72" ca="1">IF($R72&lt;&gt;"",
INDIRECT(""&amp;IF(COLUMN(J72)&lt;=26,CHAR(COLUMN(J72)+64),CHAR(INT((COLUMN(J72)-1)/26)+64)&amp;CHAR(MOD(COLUMN(J72)-1,26)+65))&amp;$R72&amp;""),"")</f>
        <v/>
      </c>
      <c r="Z72" s="181" t="str">
        <f t="shared" ca="1" si="25"/>
        <v/>
      </c>
      <c r="AA72" s="181" t="str">
        <f t="shared" ca="1" si="26"/>
        <v/>
      </c>
      <c r="AB72" s="181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81" t="str">
        <f t="shared" ca="1" si="27"/>
        <v/>
      </c>
      <c r="AD72" s="181" t="str">
        <f t="shared" ca="1" si="28"/>
        <v/>
      </c>
      <c r="AE72" s="181" t="str">
        <f t="shared" ca="1" si="29"/>
        <v/>
      </c>
      <c r="AF72" s="181" t="str">
        <f t="shared" ca="1" si="30"/>
        <v/>
      </c>
      <c r="AG72" s="181" t="str">
        <f t="shared" ca="1" si="31"/>
        <v/>
      </c>
      <c r="AH72" s="185" t="str">
        <f t="shared" ca="1" si="32"/>
        <v/>
      </c>
      <c r="AI72" s="181" t="str">
        <f t="shared" ca="1" si="33"/>
        <v/>
      </c>
      <c r="AJ72" s="181" t="str">
        <f t="shared" ca="1" si="34"/>
        <v/>
      </c>
      <c r="AK72" s="181" t="str">
        <f t="shared" ca="1" si="35"/>
        <v/>
      </c>
      <c r="AL72" s="181" t="str">
        <f t="shared" ca="1" si="36"/>
        <v/>
      </c>
      <c r="AM72" s="181" t="str">
        <f t="shared" ca="1" si="37"/>
        <v/>
      </c>
      <c r="AN72" s="181" t="str">
        <f t="shared" ca="1" si="38"/>
        <v/>
      </c>
      <c r="AO72" s="181" t="str">
        <f t="shared" ca="1" si="39"/>
        <v/>
      </c>
      <c r="AP72" s="181" t="str">
        <f t="shared" ca="1" si="40"/>
        <v/>
      </c>
      <c r="AU72" s="181" t="str">
        <f t="shared" ca="1" si="41"/>
        <v/>
      </c>
    </row>
    <row r="73" spans="1:47" ht="19.2" customHeight="1">
      <c r="A73" s="104">
        <f t="shared" si="45"/>
        <v>11</v>
      </c>
      <c r="B73" s="105" t="str">
        <f t="shared" ca="1" si="43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05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06" t="str">
        <f>IF(C73&lt;&gt;"",
クライアント抽出!C3,"")</f>
        <v/>
      </c>
      <c r="I73" s="105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VLOOKUP("*"&amp;D73&amp;"*",商品マスタ一覧!D:H,5,FALSE)),"")</f>
        <v/>
      </c>
      <c r="O73" s="105">
        <f t="shared" ca="1" si="44"/>
        <v>0</v>
      </c>
      <c r="P73" s="105">
        <f t="shared" si="23"/>
        <v>0</v>
      </c>
      <c r="Q73" s="105" t="b">
        <f t="shared" si="24"/>
        <v>0</v>
      </c>
      <c r="R73" s="181" t="str">
        <f t="array" aca="1" ref="R73" ca="1">IFERROR(SMALL(IF(P$1:P$311&lt;&gt;0,P$1:P$311),ROW(A73)),"")</f>
        <v/>
      </c>
      <c r="S73" s="181" t="str">
        <f t="array" aca="1" ref="S73" ca="1">IF($R73&lt;&gt;"",
SUBSTITUTE(SUBSTITUTE(INDIRECT("C"&amp;$R73&amp;"")," 週3ｺｰｽ","")," 週5ｺｰｽ",""),"")</f>
        <v/>
      </c>
      <c r="T73" s="18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81" t="str">
        <f t="array" aca="1" ref="V73" ca="1">IF($R73&lt;&gt;"",
INDIRECT("G"&amp;$R73&amp;""),"")</f>
        <v/>
      </c>
      <c r="W73" s="181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81" t="str">
        <f t="array" aca="1" ref="X73" ca="1">IF($R73&lt;&gt;"",
INDIRECT(""&amp;IF(COLUMN(I73)&lt;=26,CHAR(COLUMN(I73)+64),CHAR(INT((COLUMN(I73)-1)/26)+64)&amp;CHAR(MOD(COLUMN(I73)-1,26)+65))&amp;$R73&amp;""),"")</f>
        <v/>
      </c>
      <c r="Y73" s="181" t="str">
        <f t="array" aca="1" ref="Y73" ca="1">IF($R73&lt;&gt;"",
INDIRECT(""&amp;IF(COLUMN(J73)&lt;=26,CHAR(COLUMN(J73)+64),CHAR(INT((COLUMN(J73)-1)/26)+64)&amp;CHAR(MOD(COLUMN(J73)-1,26)+65))&amp;$R73&amp;""),"")</f>
        <v/>
      </c>
      <c r="Z73" s="181" t="str">
        <f t="shared" ca="1" si="25"/>
        <v/>
      </c>
      <c r="AA73" s="181" t="str">
        <f t="shared" ca="1" si="26"/>
        <v/>
      </c>
      <c r="AB73" s="181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81" t="str">
        <f t="shared" ca="1" si="27"/>
        <v/>
      </c>
      <c r="AD73" s="181" t="str">
        <f t="shared" ca="1" si="28"/>
        <v/>
      </c>
      <c r="AE73" s="181" t="str">
        <f t="shared" ca="1" si="29"/>
        <v/>
      </c>
      <c r="AF73" s="181" t="str">
        <f t="shared" ca="1" si="30"/>
        <v/>
      </c>
      <c r="AG73" s="181" t="str">
        <f t="shared" ca="1" si="31"/>
        <v/>
      </c>
      <c r="AH73" s="185" t="str">
        <f t="shared" ca="1" si="32"/>
        <v/>
      </c>
      <c r="AI73" s="181" t="str">
        <f t="shared" ca="1" si="33"/>
        <v/>
      </c>
      <c r="AJ73" s="181" t="str">
        <f t="shared" ca="1" si="34"/>
        <v/>
      </c>
      <c r="AK73" s="181" t="str">
        <f t="shared" ca="1" si="35"/>
        <v/>
      </c>
      <c r="AL73" s="181" t="str">
        <f t="shared" ca="1" si="36"/>
        <v/>
      </c>
      <c r="AM73" s="181" t="str">
        <f t="shared" ca="1" si="37"/>
        <v/>
      </c>
      <c r="AN73" s="181" t="str">
        <f t="shared" ca="1" si="38"/>
        <v/>
      </c>
      <c r="AO73" s="181" t="str">
        <f t="shared" ca="1" si="39"/>
        <v/>
      </c>
      <c r="AP73" s="181" t="str">
        <f t="shared" ca="1" si="40"/>
        <v/>
      </c>
      <c r="AU73" s="181" t="str">
        <f t="shared" ca="1" si="41"/>
        <v/>
      </c>
    </row>
    <row r="74" spans="1:47" ht="19.2" customHeight="1">
      <c r="A74" s="104">
        <f t="shared" si="45"/>
        <v>13</v>
      </c>
      <c r="B74" s="105" t="str">
        <f t="shared" ca="1" si="43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05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06" t="str">
        <f>IF(C74&lt;&gt;"",
クライアント抽出!C4,"")</f>
        <v/>
      </c>
      <c r="I74" s="105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VLOOKUP("*"&amp;D74&amp;"*",商品マスタ一覧!D:H,5,FALSE)),"")</f>
        <v/>
      </c>
      <c r="O74" s="105">
        <f t="shared" ca="1" si="44"/>
        <v>0</v>
      </c>
      <c r="P74" s="105">
        <f t="shared" si="23"/>
        <v>0</v>
      </c>
      <c r="Q74" s="105" t="b">
        <f t="shared" si="24"/>
        <v>0</v>
      </c>
      <c r="R74" s="181" t="str">
        <f t="array" aca="1" ref="R74" ca="1">IFERROR(SMALL(IF(P$1:P$311&lt;&gt;0,P$1:P$311),ROW(A74)),"")</f>
        <v/>
      </c>
      <c r="S74" s="181"/>
      <c r="T74" s="18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81" t="str">
        <f t="array" aca="1" ref="V74" ca="1">IF($R74&lt;&gt;"",
INDIRECT("G"&amp;$R74&amp;""),"")</f>
        <v/>
      </c>
      <c r="W74" s="181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81" t="str">
        <f t="array" aca="1" ref="X74" ca="1">IF($R74&lt;&gt;"",
INDIRECT(""&amp;IF(COLUMN(I74)&lt;=26,CHAR(COLUMN(I74)+64),CHAR(INT((COLUMN(I74)-1)/26)+64)&amp;CHAR(MOD(COLUMN(I74)-1,26)+65))&amp;$R74&amp;""),"")</f>
        <v/>
      </c>
      <c r="Y74" s="181" t="str">
        <f t="array" aca="1" ref="Y74" ca="1">IF($R74&lt;&gt;"",
INDIRECT(""&amp;IF(COLUMN(J74)&lt;=26,CHAR(COLUMN(J74)+64),CHAR(INT((COLUMN(J74)-1)/26)+64)&amp;CHAR(MOD(COLUMN(J74)-1,26)+65))&amp;$R74&amp;""),"")</f>
        <v/>
      </c>
      <c r="Z74" s="181" t="str">
        <f t="shared" ca="1" si="25"/>
        <v/>
      </c>
      <c r="AA74" s="181" t="str">
        <f t="shared" ca="1" si="26"/>
        <v/>
      </c>
      <c r="AB74" s="181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81" t="str">
        <f t="shared" si="27"/>
        <v/>
      </c>
      <c r="AD74" s="181" t="str">
        <f t="shared" ca="1" si="28"/>
        <v/>
      </c>
      <c r="AE74" s="181" t="str">
        <f t="shared" ca="1" si="29"/>
        <v/>
      </c>
      <c r="AF74" s="181" t="str">
        <f t="shared" ca="1" si="30"/>
        <v/>
      </c>
      <c r="AG74" s="181" t="str">
        <f t="shared" ca="1" si="31"/>
        <v/>
      </c>
      <c r="AH74" s="185" t="str">
        <f t="shared" ca="1" si="32"/>
        <v/>
      </c>
      <c r="AI74" s="181" t="str">
        <f t="shared" ca="1" si="33"/>
        <v/>
      </c>
      <c r="AJ74" s="181" t="str">
        <f t="shared" ca="1" si="34"/>
        <v/>
      </c>
      <c r="AK74" s="181" t="str">
        <f t="shared" ca="1" si="35"/>
        <v/>
      </c>
      <c r="AL74" s="181" t="str">
        <f t="shared" ca="1" si="36"/>
        <v/>
      </c>
      <c r="AM74" s="181" t="str">
        <f t="shared" ca="1" si="37"/>
        <v/>
      </c>
      <c r="AN74" s="181" t="str">
        <f t="shared" ca="1" si="38"/>
        <v/>
      </c>
      <c r="AO74" s="181" t="str">
        <f t="shared" ca="1" si="39"/>
        <v/>
      </c>
      <c r="AP74" s="181" t="str">
        <f t="shared" ca="1" si="40"/>
        <v/>
      </c>
      <c r="AU74" s="181" t="str">
        <f t="shared" ca="1" si="41"/>
        <v/>
      </c>
    </row>
    <row r="75" spans="1:47" ht="22.2" customHeight="1">
      <c r="A75" s="104">
        <f t="shared" si="45"/>
        <v>15</v>
      </c>
      <c r="B75" s="105" t="str">
        <f t="shared" ca="1" si="43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05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06" t="str">
        <f>IF(C75&lt;&gt;"",
クライアント抽出!C5,"")</f>
        <v/>
      </c>
      <c r="I75" s="105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VLOOKUP("*"&amp;D75&amp;"*",商品マスタ一覧!D:H,5,FALSE)),"")</f>
        <v/>
      </c>
      <c r="O75" s="105">
        <f t="shared" ca="1" si="44"/>
        <v>0</v>
      </c>
      <c r="P75" s="105">
        <f t="shared" si="23"/>
        <v>0</v>
      </c>
      <c r="Q75" s="105" t="b">
        <f t="shared" si="24"/>
        <v>0</v>
      </c>
      <c r="R75" s="181" t="str">
        <f t="array" aca="1" ref="R75" ca="1">IFERROR(SMALL(IF(P$1:P$311&lt;&gt;0,P$1:P$311),ROW(A75)),"")</f>
        <v/>
      </c>
      <c r="S75" s="181" t="str">
        <f t="array" aca="1" ref="S75" ca="1">IF($R75&lt;&gt;"",
SUBSTITUTE(SUBSTITUTE(INDIRECT("C"&amp;$R75&amp;"")," 週3ｺｰｽ","")," 週5ｺｰｽ",""),"")</f>
        <v/>
      </c>
      <c r="T75" s="18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81" t="str">
        <f t="array" aca="1" ref="V75" ca="1">IF($R75&lt;&gt;"",
INDIRECT("G"&amp;$R75&amp;""),"")</f>
        <v/>
      </c>
      <c r="W75" s="181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81" t="str">
        <f t="array" aca="1" ref="X75" ca="1">IF($R75&lt;&gt;"",
INDIRECT(""&amp;IF(COLUMN(I75)&lt;=26,CHAR(COLUMN(I75)+64),CHAR(INT((COLUMN(I75)-1)/26)+64)&amp;CHAR(MOD(COLUMN(I75)-1,26)+65))&amp;$R75&amp;""),"")</f>
        <v/>
      </c>
      <c r="Y75" s="181" t="str">
        <f t="array" aca="1" ref="Y75" ca="1">IF($R75&lt;&gt;"",
INDIRECT(""&amp;IF(COLUMN(J75)&lt;=26,CHAR(COLUMN(J75)+64),CHAR(INT((COLUMN(J75)-1)/26)+64)&amp;CHAR(MOD(COLUMN(J75)-1,26)+65))&amp;$R75&amp;""),"")</f>
        <v/>
      </c>
      <c r="Z75" s="181" t="str">
        <f t="shared" ca="1" si="25"/>
        <v/>
      </c>
      <c r="AA75" s="181" t="str">
        <f t="shared" ca="1" si="26"/>
        <v/>
      </c>
      <c r="AB75" s="181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81" t="str">
        <f t="shared" ca="1" si="27"/>
        <v/>
      </c>
      <c r="AD75" s="181" t="str">
        <f t="shared" ca="1" si="28"/>
        <v/>
      </c>
      <c r="AE75" s="181" t="str">
        <f t="shared" ca="1" si="29"/>
        <v/>
      </c>
      <c r="AF75" s="181" t="str">
        <f t="shared" ca="1" si="30"/>
        <v/>
      </c>
      <c r="AG75" s="181" t="str">
        <f t="shared" ca="1" si="31"/>
        <v/>
      </c>
      <c r="AH75" s="185" t="str">
        <f t="shared" ca="1" si="32"/>
        <v/>
      </c>
      <c r="AI75" s="181" t="str">
        <f t="shared" ca="1" si="33"/>
        <v/>
      </c>
      <c r="AJ75" s="181" t="str">
        <f t="shared" ca="1" si="34"/>
        <v/>
      </c>
      <c r="AK75" s="181" t="str">
        <f t="shared" ca="1" si="35"/>
        <v/>
      </c>
      <c r="AL75" s="181" t="str">
        <f t="shared" ca="1" si="36"/>
        <v/>
      </c>
      <c r="AM75" s="181" t="str">
        <f t="shared" ca="1" si="37"/>
        <v/>
      </c>
      <c r="AN75" s="181" t="str">
        <f t="shared" ca="1" si="38"/>
        <v/>
      </c>
      <c r="AO75" s="181" t="str">
        <f t="shared" ca="1" si="39"/>
        <v/>
      </c>
      <c r="AP75" s="181" t="str">
        <f t="shared" ca="1" si="40"/>
        <v/>
      </c>
      <c r="AU75" s="181" t="str">
        <f t="shared" ca="1" si="41"/>
        <v/>
      </c>
    </row>
    <row r="76" spans="1:47" ht="18" customHeight="1">
      <c r="A76" s="104">
        <f t="shared" si="45"/>
        <v>17</v>
      </c>
      <c r="B76" s="105" t="str">
        <f t="shared" ca="1" si="43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05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06" t="str">
        <f>IF(C76&lt;&gt;"",
クライアント抽出!C6,"")</f>
        <v/>
      </c>
      <c r="I76" s="105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VLOOKUP("*"&amp;D76&amp;"*",商品マスタ一覧!D:H,5,FALSE)),"")</f>
        <v/>
      </c>
      <c r="O76" s="105">
        <f t="shared" ca="1" si="44"/>
        <v>0</v>
      </c>
      <c r="P76" s="105">
        <f t="shared" si="23"/>
        <v>0</v>
      </c>
      <c r="Q76" s="105" t="b">
        <f t="shared" si="24"/>
        <v>0</v>
      </c>
      <c r="R76" s="181" t="str">
        <f t="array" aca="1" ref="R76" ca="1">IFERROR(SMALL(IF(P$1:P$311&lt;&gt;0,P$1:P$311),ROW(A76)),"")</f>
        <v/>
      </c>
      <c r="S76" s="181" t="str">
        <f t="array" aca="1" ref="S76" ca="1">IF($R76&lt;&gt;"",
SUBSTITUTE(SUBSTITUTE(INDIRECT("C"&amp;$R76&amp;"")," 週3ｺｰｽ","")," 週5ｺｰｽ",""),"")</f>
        <v/>
      </c>
      <c r="T76" s="18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81" t="str">
        <f t="array" aca="1" ref="V76" ca="1">IF($R76&lt;&gt;"",
INDIRECT("G"&amp;$R76&amp;""),"")</f>
        <v/>
      </c>
      <c r="W76" s="181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81" t="str">
        <f t="array" aca="1" ref="X76" ca="1">IF($R76&lt;&gt;"",
INDIRECT(""&amp;IF(COLUMN(I76)&lt;=26,CHAR(COLUMN(I76)+64),CHAR(INT((COLUMN(I76)-1)/26)+64)&amp;CHAR(MOD(COLUMN(I76)-1,26)+65))&amp;$R76&amp;""),"")</f>
        <v/>
      </c>
      <c r="Y76" s="181" t="str">
        <f t="array" aca="1" ref="Y76" ca="1">IF($R76&lt;&gt;"",
INDIRECT(""&amp;IF(COLUMN(J76)&lt;=26,CHAR(COLUMN(J76)+64),CHAR(INT((COLUMN(J76)-1)/26)+64)&amp;CHAR(MOD(COLUMN(J76)-1,26)+65))&amp;$R76&amp;""),"")</f>
        <v/>
      </c>
      <c r="Z76" s="181" t="str">
        <f t="shared" ca="1" si="25"/>
        <v/>
      </c>
      <c r="AA76" s="181" t="str">
        <f t="shared" ca="1" si="26"/>
        <v/>
      </c>
      <c r="AB76" s="181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81" t="str">
        <f t="shared" ca="1" si="27"/>
        <v/>
      </c>
      <c r="AD76" s="181" t="str">
        <f t="shared" ca="1" si="28"/>
        <v/>
      </c>
      <c r="AE76" s="181" t="str">
        <f t="shared" ca="1" si="29"/>
        <v/>
      </c>
      <c r="AF76" s="181" t="str">
        <f t="shared" ca="1" si="30"/>
        <v/>
      </c>
      <c r="AG76" s="181" t="str">
        <f t="shared" ca="1" si="31"/>
        <v/>
      </c>
      <c r="AH76" s="185" t="str">
        <f t="shared" ca="1" si="32"/>
        <v/>
      </c>
      <c r="AI76" s="181" t="str">
        <f t="shared" ca="1" si="33"/>
        <v/>
      </c>
      <c r="AJ76" s="181" t="str">
        <f t="shared" ca="1" si="34"/>
        <v/>
      </c>
      <c r="AK76" s="181" t="str">
        <f t="shared" ca="1" si="35"/>
        <v/>
      </c>
      <c r="AL76" s="181" t="str">
        <f t="shared" ca="1" si="36"/>
        <v/>
      </c>
      <c r="AM76" s="181" t="str">
        <f t="shared" ca="1" si="37"/>
        <v/>
      </c>
      <c r="AN76" s="181" t="str">
        <f t="shared" ca="1" si="38"/>
        <v/>
      </c>
      <c r="AO76" s="181" t="str">
        <f t="shared" ca="1" si="39"/>
        <v/>
      </c>
      <c r="AP76" s="181" t="str">
        <f t="shared" ca="1" si="40"/>
        <v/>
      </c>
      <c r="AU76" s="181" t="str">
        <f t="shared" ca="1" si="41"/>
        <v/>
      </c>
    </row>
    <row r="77" spans="1:47" ht="18" customHeight="1">
      <c r="A77" s="104">
        <f t="shared" si="45"/>
        <v>19</v>
      </c>
      <c r="B77" s="105" t="str">
        <f t="shared" ca="1" si="43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05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06" t="str">
        <f>IF(C77&lt;&gt;"",
クライアント抽出!C7,"")</f>
        <v/>
      </c>
      <c r="I77" s="105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VLOOKUP("*"&amp;D77&amp;"*",商品マスタ一覧!D:H,5,FALSE)),"")</f>
        <v/>
      </c>
      <c r="O77" s="105">
        <f t="shared" ca="1" si="44"/>
        <v>0</v>
      </c>
      <c r="P77" s="105">
        <f t="shared" si="23"/>
        <v>0</v>
      </c>
      <c r="Q77" s="105" t="b">
        <f t="shared" si="24"/>
        <v>0</v>
      </c>
      <c r="R77" s="181" t="str">
        <f t="array" aca="1" ref="R77" ca="1">IFERROR(SMALL(IF(P$1:P$311&lt;&gt;0,P$1:P$311),ROW(A77)),"")</f>
        <v/>
      </c>
      <c r="S77" s="181" t="str">
        <f t="array" aca="1" ref="S77" ca="1">IF($R77&lt;&gt;"",
SUBSTITUTE(SUBSTITUTE(INDIRECT("C"&amp;$R77&amp;"")," 週3ｺｰｽ","")," 週5ｺｰｽ",""),"")</f>
        <v/>
      </c>
      <c r="T77" s="18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81" t="str">
        <f t="array" aca="1" ref="V77" ca="1">IF($R77&lt;&gt;"",
INDIRECT("G"&amp;$R77&amp;""),"")</f>
        <v/>
      </c>
      <c r="W77" s="181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81" t="str">
        <f t="array" aca="1" ref="X77" ca="1">IF($R77&lt;&gt;"",
INDIRECT(""&amp;IF(COLUMN(I77)&lt;=26,CHAR(COLUMN(I77)+64),CHAR(INT((COLUMN(I77)-1)/26)+64)&amp;CHAR(MOD(COLUMN(I77)-1,26)+65))&amp;$R77&amp;""),"")</f>
        <v/>
      </c>
      <c r="Y77" s="181" t="str">
        <f t="array" aca="1" ref="Y77" ca="1">IF($R77&lt;&gt;"",
INDIRECT(""&amp;IF(COLUMN(J77)&lt;=26,CHAR(COLUMN(J77)+64),CHAR(INT((COLUMN(J77)-1)/26)+64)&amp;CHAR(MOD(COLUMN(J77)-1,26)+65))&amp;$R77&amp;""),"")</f>
        <v/>
      </c>
      <c r="Z77" s="181" t="str">
        <f t="shared" ca="1" si="25"/>
        <v/>
      </c>
      <c r="AA77" s="181" t="str">
        <f t="shared" ca="1" si="26"/>
        <v/>
      </c>
      <c r="AB77" s="181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81" t="str">
        <f t="shared" ca="1" si="27"/>
        <v/>
      </c>
      <c r="AD77" s="181" t="str">
        <f t="shared" ca="1" si="28"/>
        <v/>
      </c>
      <c r="AE77" s="181" t="str">
        <f t="shared" ca="1" si="29"/>
        <v/>
      </c>
      <c r="AF77" s="181" t="str">
        <f t="shared" ca="1" si="30"/>
        <v/>
      </c>
      <c r="AG77" s="181" t="str">
        <f t="shared" ca="1" si="31"/>
        <v/>
      </c>
      <c r="AH77" s="185" t="str">
        <f t="shared" ca="1" si="32"/>
        <v/>
      </c>
      <c r="AI77" s="181" t="str">
        <f t="shared" ca="1" si="33"/>
        <v/>
      </c>
      <c r="AJ77" s="181" t="str">
        <f t="shared" ca="1" si="34"/>
        <v/>
      </c>
      <c r="AK77" s="181" t="str">
        <f t="shared" ca="1" si="35"/>
        <v/>
      </c>
      <c r="AL77" s="181" t="str">
        <f t="shared" ca="1" si="36"/>
        <v/>
      </c>
      <c r="AM77" s="181" t="str">
        <f t="shared" ca="1" si="37"/>
        <v/>
      </c>
      <c r="AN77" s="181" t="str">
        <f t="shared" ca="1" si="38"/>
        <v/>
      </c>
      <c r="AO77" s="181" t="str">
        <f t="shared" ca="1" si="39"/>
        <v/>
      </c>
      <c r="AP77" s="181" t="str">
        <f t="shared" ca="1" si="40"/>
        <v/>
      </c>
      <c r="AU77" s="181" t="str">
        <f t="shared" ca="1" si="41"/>
        <v/>
      </c>
    </row>
    <row r="78" spans="1:47" ht="22.2" customHeight="1">
      <c r="A78" s="104">
        <f t="shared" si="45"/>
        <v>21</v>
      </c>
      <c r="B78" s="105" t="str">
        <f t="shared" ca="1" si="43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05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06" t="str">
        <f>IF(C78&lt;&gt;"",
クライアント抽出!C8,"")</f>
        <v/>
      </c>
      <c r="I78" s="105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VLOOKUP("*"&amp;D78&amp;"*",商品マスタ一覧!D:H,5,FALSE)),"")</f>
        <v/>
      </c>
      <c r="O78" s="105">
        <f t="shared" ca="1" si="44"/>
        <v>0</v>
      </c>
      <c r="P78" s="105">
        <f t="shared" si="23"/>
        <v>0</v>
      </c>
      <c r="Q78" s="105" t="b">
        <f t="shared" si="24"/>
        <v>0</v>
      </c>
      <c r="R78" s="181" t="str">
        <f t="array" aca="1" ref="R78" ca="1">IFERROR(SMALL(IF(P$1:P$311&lt;&gt;0,P$1:P$311),ROW(A78)),"")</f>
        <v/>
      </c>
      <c r="S78" s="181" t="str">
        <f t="array" aca="1" ref="S78" ca="1">IF($R78&lt;&gt;"",
SUBSTITUTE(SUBSTITUTE(INDIRECT("C"&amp;$R78&amp;"")," 週3ｺｰｽ","")," 週5ｺｰｽ",""),"")</f>
        <v/>
      </c>
      <c r="T78" s="18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81" t="str">
        <f t="array" aca="1" ref="V78" ca="1">IF($R78&lt;&gt;"",
INDIRECT("G"&amp;$R78&amp;""),"")</f>
        <v/>
      </c>
      <c r="W78" s="181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81" t="str">
        <f t="array" aca="1" ref="X78" ca="1">IF($R78&lt;&gt;"",
INDIRECT(""&amp;IF(COLUMN(I78)&lt;=26,CHAR(COLUMN(I78)+64),CHAR(INT((COLUMN(I78)-1)/26)+64)&amp;CHAR(MOD(COLUMN(I78)-1,26)+65))&amp;$R78&amp;""),"")</f>
        <v/>
      </c>
      <c r="Y78" s="181" t="str">
        <f t="array" aca="1" ref="Y78" ca="1">IF($R78&lt;&gt;"",
INDIRECT(""&amp;IF(COLUMN(J78)&lt;=26,CHAR(COLUMN(J78)+64),CHAR(INT((COLUMN(J78)-1)/26)+64)&amp;CHAR(MOD(COLUMN(J78)-1,26)+65))&amp;$R78&amp;""),"")</f>
        <v/>
      </c>
      <c r="Z78" s="181" t="str">
        <f t="shared" ca="1" si="25"/>
        <v/>
      </c>
      <c r="AA78" s="181" t="str">
        <f t="shared" ca="1" si="26"/>
        <v/>
      </c>
      <c r="AB78" s="181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81" t="str">
        <f t="shared" ca="1" si="27"/>
        <v/>
      </c>
      <c r="AD78" s="181" t="str">
        <f t="shared" ca="1" si="28"/>
        <v/>
      </c>
      <c r="AE78" s="181" t="str">
        <f t="shared" ca="1" si="29"/>
        <v/>
      </c>
      <c r="AF78" s="181" t="str">
        <f t="shared" ca="1" si="30"/>
        <v/>
      </c>
      <c r="AG78" s="181" t="str">
        <f t="shared" ca="1" si="31"/>
        <v/>
      </c>
      <c r="AH78" s="185" t="str">
        <f t="shared" ca="1" si="32"/>
        <v/>
      </c>
      <c r="AI78" s="181" t="str">
        <f t="shared" ca="1" si="33"/>
        <v/>
      </c>
      <c r="AJ78" s="181" t="str">
        <f t="shared" ca="1" si="34"/>
        <v/>
      </c>
      <c r="AK78" s="181" t="str">
        <f t="shared" ca="1" si="35"/>
        <v/>
      </c>
      <c r="AL78" s="181" t="str">
        <f t="shared" ca="1" si="36"/>
        <v/>
      </c>
      <c r="AM78" s="181" t="str">
        <f t="shared" ca="1" si="37"/>
        <v/>
      </c>
      <c r="AN78" s="181" t="str">
        <f t="shared" ca="1" si="38"/>
        <v/>
      </c>
      <c r="AO78" s="181" t="str">
        <f t="shared" ca="1" si="39"/>
        <v/>
      </c>
      <c r="AP78" s="181" t="str">
        <f t="shared" ca="1" si="40"/>
        <v/>
      </c>
      <c r="AU78" s="181" t="str">
        <f t="shared" ca="1" si="41"/>
        <v/>
      </c>
    </row>
    <row r="79" spans="1:47" ht="21" customHeight="1">
      <c r="A79" s="104">
        <f t="shared" si="45"/>
        <v>23</v>
      </c>
      <c r="B79" s="105" t="str">
        <f t="shared" ca="1" si="43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05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06" t="str">
        <f>IF(C79&lt;&gt;"",
クライアント抽出!C9,"")</f>
        <v/>
      </c>
      <c r="I79" s="105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VLOOKUP("*"&amp;D79&amp;"*",商品マスタ一覧!D:H,5,FALSE)),"")</f>
        <v/>
      </c>
      <c r="O79" s="105">
        <f t="shared" ca="1" si="44"/>
        <v>0</v>
      </c>
      <c r="P79" s="105">
        <f t="shared" si="23"/>
        <v>0</v>
      </c>
      <c r="Q79" s="105" t="b">
        <f t="shared" si="24"/>
        <v>0</v>
      </c>
      <c r="R79" s="181" t="str">
        <f t="array" aca="1" ref="R79" ca="1">IFERROR(SMALL(IF(P$1:P$311&lt;&gt;0,P$1:P$311),ROW(A79)),"")</f>
        <v/>
      </c>
      <c r="S79" s="181" t="str">
        <f t="array" aca="1" ref="S79" ca="1">IF($R79&lt;&gt;"",
SUBSTITUTE(SUBSTITUTE(INDIRECT("C"&amp;$R79&amp;"")," 週3ｺｰｽ","")," 週5ｺｰｽ",""),"")</f>
        <v/>
      </c>
      <c r="T79" s="18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81" t="str">
        <f t="array" aca="1" ref="V79" ca="1">IF($R79&lt;&gt;"",
INDIRECT("G"&amp;$R79&amp;""),"")</f>
        <v/>
      </c>
      <c r="W79" s="181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81" t="str">
        <f t="array" aca="1" ref="X79" ca="1">IF($R79&lt;&gt;"",
INDIRECT(""&amp;IF(COLUMN(I79)&lt;=26,CHAR(COLUMN(I79)+64),CHAR(INT((COLUMN(I79)-1)/26)+64)&amp;CHAR(MOD(COLUMN(I79)-1,26)+65))&amp;$R79&amp;""),"")</f>
        <v/>
      </c>
      <c r="Y79" s="181" t="str">
        <f t="array" aca="1" ref="Y79" ca="1">IF($R79&lt;&gt;"",
INDIRECT(""&amp;IF(COLUMN(J79)&lt;=26,CHAR(COLUMN(J79)+64),CHAR(INT((COLUMN(J79)-1)/26)+64)&amp;CHAR(MOD(COLUMN(J79)-1,26)+65))&amp;$R79&amp;""),"")</f>
        <v/>
      </c>
      <c r="Z79" s="181" t="str">
        <f t="shared" ca="1" si="25"/>
        <v/>
      </c>
      <c r="AA79" s="181" t="str">
        <f t="shared" ca="1" si="26"/>
        <v/>
      </c>
      <c r="AB79" s="181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81" t="str">
        <f t="shared" ca="1" si="27"/>
        <v/>
      </c>
      <c r="AD79" s="181" t="str">
        <f t="shared" ca="1" si="28"/>
        <v/>
      </c>
      <c r="AE79" s="181" t="str">
        <f t="shared" ca="1" si="29"/>
        <v/>
      </c>
      <c r="AF79" s="181" t="str">
        <f t="shared" ca="1" si="30"/>
        <v/>
      </c>
      <c r="AG79" s="181" t="str">
        <f t="shared" ca="1" si="31"/>
        <v/>
      </c>
      <c r="AH79" s="185" t="str">
        <f t="shared" ca="1" si="32"/>
        <v/>
      </c>
      <c r="AI79" s="181" t="str">
        <f t="shared" ca="1" si="33"/>
        <v/>
      </c>
      <c r="AJ79" s="181" t="str">
        <f t="shared" ca="1" si="34"/>
        <v/>
      </c>
      <c r="AK79" s="181" t="str">
        <f t="shared" ca="1" si="35"/>
        <v/>
      </c>
      <c r="AL79" s="181" t="str">
        <f t="shared" ca="1" si="36"/>
        <v/>
      </c>
      <c r="AM79" s="181" t="str">
        <f t="shared" ca="1" si="37"/>
        <v/>
      </c>
      <c r="AN79" s="181" t="str">
        <f t="shared" ca="1" si="38"/>
        <v/>
      </c>
      <c r="AO79" s="181" t="str">
        <f t="shared" ca="1" si="39"/>
        <v/>
      </c>
      <c r="AP79" s="181" t="str">
        <f t="shared" ca="1" si="40"/>
        <v/>
      </c>
      <c r="AU79" s="181" t="str">
        <f t="shared" ca="1" si="41"/>
        <v/>
      </c>
    </row>
    <row r="80" spans="1:47" ht="22.2" customHeight="1">
      <c r="A80" s="104">
        <f t="shared" si="45"/>
        <v>25</v>
      </c>
      <c r="B80" s="105" t="str">
        <f t="shared" ca="1" si="43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05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06" t="str">
        <f>IF(C80&lt;&gt;"",
クライアント抽出!C10,"")</f>
        <v/>
      </c>
      <c r="I80" s="105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VLOOKUP("*"&amp;D80&amp;"*",商品マスタ一覧!D:H,5,FALSE)),"")</f>
        <v/>
      </c>
      <c r="O80" s="105">
        <f t="shared" ca="1" si="44"/>
        <v>0</v>
      </c>
      <c r="P80" s="105">
        <f t="shared" si="23"/>
        <v>0</v>
      </c>
      <c r="Q80" s="105" t="b">
        <f t="shared" si="24"/>
        <v>0</v>
      </c>
      <c r="R80" s="181" t="str">
        <f t="array" aca="1" ref="R80" ca="1">IFERROR(SMALL(IF(P$1:P$311&lt;&gt;0,P$1:P$311),ROW(A80)),"")</f>
        <v/>
      </c>
      <c r="S80" s="181" t="str">
        <f t="array" aca="1" ref="S80" ca="1">IF($R80&lt;&gt;"",
SUBSTITUTE(SUBSTITUTE(INDIRECT("C"&amp;$R80&amp;"")," 週3ｺｰｽ","")," 週5ｺｰｽ",""),"")</f>
        <v/>
      </c>
      <c r="T80" s="18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81" t="str">
        <f t="array" aca="1" ref="V80" ca="1">IF($R80&lt;&gt;"",
INDIRECT("G"&amp;$R80&amp;""),"")</f>
        <v/>
      </c>
      <c r="W80" s="181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81" t="str">
        <f t="array" aca="1" ref="X80" ca="1">IF($R80&lt;&gt;"",
INDIRECT(""&amp;IF(COLUMN(I80)&lt;=26,CHAR(COLUMN(I80)+64),CHAR(INT((COLUMN(I80)-1)/26)+64)&amp;CHAR(MOD(COLUMN(I80)-1,26)+65))&amp;$R80&amp;""),"")</f>
        <v/>
      </c>
      <c r="Y80" s="181" t="str">
        <f t="array" aca="1" ref="Y80" ca="1">IF($R80&lt;&gt;"",
INDIRECT(""&amp;IF(COLUMN(J80)&lt;=26,CHAR(COLUMN(J80)+64),CHAR(INT((COLUMN(J80)-1)/26)+64)&amp;CHAR(MOD(COLUMN(J80)-1,26)+65))&amp;$R80&amp;""),"")</f>
        <v/>
      </c>
      <c r="Z80" s="181" t="str">
        <f t="shared" ca="1" si="25"/>
        <v/>
      </c>
      <c r="AA80" s="181" t="str">
        <f t="shared" ca="1" si="26"/>
        <v/>
      </c>
      <c r="AB80" s="181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81" t="str">
        <f t="shared" ca="1" si="27"/>
        <v/>
      </c>
      <c r="AD80" s="181" t="str">
        <f t="shared" ca="1" si="28"/>
        <v/>
      </c>
      <c r="AE80" s="181" t="str">
        <f t="shared" ca="1" si="29"/>
        <v/>
      </c>
      <c r="AF80" s="181" t="str">
        <f t="shared" ca="1" si="30"/>
        <v/>
      </c>
      <c r="AG80" s="181" t="str">
        <f t="shared" ca="1" si="31"/>
        <v/>
      </c>
      <c r="AH80" s="185" t="str">
        <f t="shared" ca="1" si="32"/>
        <v/>
      </c>
      <c r="AI80" s="181" t="str">
        <f t="shared" ca="1" si="33"/>
        <v/>
      </c>
      <c r="AJ80" s="181" t="str">
        <f t="shared" ca="1" si="34"/>
        <v/>
      </c>
      <c r="AK80" s="181" t="str">
        <f t="shared" ca="1" si="35"/>
        <v/>
      </c>
      <c r="AL80" s="181" t="str">
        <f t="shared" ca="1" si="36"/>
        <v/>
      </c>
      <c r="AM80" s="181" t="str">
        <f t="shared" ca="1" si="37"/>
        <v/>
      </c>
      <c r="AN80" s="181" t="str">
        <f t="shared" ca="1" si="38"/>
        <v/>
      </c>
      <c r="AO80" s="181" t="str">
        <f t="shared" ca="1" si="39"/>
        <v/>
      </c>
      <c r="AP80" s="181" t="str">
        <f t="shared" ca="1" si="40"/>
        <v/>
      </c>
      <c r="AU80" s="181" t="str">
        <f t="shared" ca="1" si="41"/>
        <v/>
      </c>
    </row>
    <row r="81" spans="1:47" ht="22.2" customHeight="1">
      <c r="A81" s="104">
        <f t="shared" si="45"/>
        <v>27</v>
      </c>
      <c r="B81" s="105" t="str">
        <f t="shared" ca="1" si="43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05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06" t="str">
        <f>IF(C81&lt;&gt;"",
クライアント抽出!C11,"")</f>
        <v/>
      </c>
      <c r="I81" s="105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VLOOKUP("*"&amp;D81&amp;"*",商品マスタ一覧!D:H,5,FALSE)),"")</f>
        <v/>
      </c>
      <c r="O81" s="105">
        <f t="shared" ca="1" si="44"/>
        <v>0</v>
      </c>
      <c r="P81" s="105">
        <f t="shared" si="23"/>
        <v>0</v>
      </c>
      <c r="Q81" s="105" t="b">
        <f t="shared" si="24"/>
        <v>0</v>
      </c>
      <c r="R81" s="181" t="str">
        <f t="array" aca="1" ref="R81" ca="1">IFERROR(SMALL(IF(P$1:P$311&lt;&gt;0,P$1:P$311),ROW(A81)),"")</f>
        <v/>
      </c>
      <c r="S81" s="181" t="str">
        <f t="array" aca="1" ref="S81" ca="1">IF($R81&lt;&gt;"",
SUBSTITUTE(SUBSTITUTE(INDIRECT("C"&amp;$R81&amp;"")," 週3ｺｰｽ","")," 週5ｺｰｽ",""),"")</f>
        <v/>
      </c>
      <c r="T81" s="18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81" t="str">
        <f t="array" aca="1" ref="V81" ca="1">IF($R81&lt;&gt;"",
INDIRECT("G"&amp;$R81&amp;""),"")</f>
        <v/>
      </c>
      <c r="W81" s="181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81" t="str">
        <f t="array" aca="1" ref="X81" ca="1">IF($R81&lt;&gt;"",
INDIRECT(""&amp;IF(COLUMN(I81)&lt;=26,CHAR(COLUMN(I81)+64),CHAR(INT((COLUMN(I81)-1)/26)+64)&amp;CHAR(MOD(COLUMN(I81)-1,26)+65))&amp;$R81&amp;""),"")</f>
        <v/>
      </c>
      <c r="Y81" s="181" t="str">
        <f t="array" aca="1" ref="Y81" ca="1">IF($R81&lt;&gt;"",
INDIRECT(""&amp;IF(COLUMN(J81)&lt;=26,CHAR(COLUMN(J81)+64),CHAR(INT((COLUMN(J81)-1)/26)+64)&amp;CHAR(MOD(COLUMN(J81)-1,26)+65))&amp;$R81&amp;""),"")</f>
        <v/>
      </c>
      <c r="Z81" s="181" t="str">
        <f t="shared" ca="1" si="25"/>
        <v/>
      </c>
      <c r="AA81" s="181" t="str">
        <f t="shared" ca="1" si="26"/>
        <v/>
      </c>
      <c r="AB81" s="181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81" t="str">
        <f t="shared" ca="1" si="27"/>
        <v/>
      </c>
      <c r="AD81" s="181" t="str">
        <f t="shared" ca="1" si="28"/>
        <v/>
      </c>
      <c r="AE81" s="181" t="str">
        <f t="shared" ca="1" si="29"/>
        <v/>
      </c>
      <c r="AF81" s="181" t="str">
        <f t="shared" ca="1" si="30"/>
        <v/>
      </c>
      <c r="AG81" s="181" t="str">
        <f t="shared" ca="1" si="31"/>
        <v/>
      </c>
      <c r="AH81" s="185" t="str">
        <f t="shared" ca="1" si="32"/>
        <v/>
      </c>
      <c r="AI81" s="181" t="str">
        <f t="shared" ca="1" si="33"/>
        <v/>
      </c>
      <c r="AJ81" s="181" t="str">
        <f t="shared" ca="1" si="34"/>
        <v/>
      </c>
      <c r="AK81" s="181" t="str">
        <f t="shared" ca="1" si="35"/>
        <v/>
      </c>
      <c r="AL81" s="181" t="str">
        <f t="shared" ca="1" si="36"/>
        <v/>
      </c>
      <c r="AM81" s="181" t="str">
        <f t="shared" ca="1" si="37"/>
        <v/>
      </c>
      <c r="AN81" s="181" t="str">
        <f t="shared" ca="1" si="38"/>
        <v/>
      </c>
      <c r="AO81" s="181" t="str">
        <f t="shared" ca="1" si="39"/>
        <v/>
      </c>
      <c r="AP81" s="181" t="str">
        <f t="shared" ca="1" si="40"/>
        <v/>
      </c>
      <c r="AU81" s="181" t="str">
        <f t="shared" ca="1" si="41"/>
        <v/>
      </c>
    </row>
    <row r="82" spans="1:47" ht="22.2" customHeight="1">
      <c r="A82" s="104">
        <f t="shared" si="45"/>
        <v>29</v>
      </c>
      <c r="B82" s="105" t="str">
        <f t="shared" ca="1" si="43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05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06" t="str">
        <f>IF(C82&lt;&gt;"",
クライアント抽出!C12,"")</f>
        <v/>
      </c>
      <c r="I82" s="105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VLOOKUP("*"&amp;D82&amp;"*",商品マスタ一覧!D:H,5,FALSE)),"")</f>
        <v/>
      </c>
      <c r="O82" s="105">
        <f t="shared" ca="1" si="44"/>
        <v>0</v>
      </c>
      <c r="P82" s="105">
        <f t="shared" si="23"/>
        <v>0</v>
      </c>
      <c r="Q82" s="105" t="b">
        <f t="shared" si="24"/>
        <v>0</v>
      </c>
      <c r="R82" s="181" t="str">
        <f t="array" aca="1" ref="R82" ca="1">IFERROR(SMALL(IF(P$1:P$311&lt;&gt;0,P$1:P$311),ROW(A82)),"")</f>
        <v/>
      </c>
      <c r="S82" s="181" t="str">
        <f t="array" aca="1" ref="S82" ca="1">IF($R82&lt;&gt;"",
SUBSTITUTE(SUBSTITUTE(INDIRECT("C"&amp;$R82&amp;"")," 週3ｺｰｽ","")," 週5ｺｰｽ",""),"")</f>
        <v/>
      </c>
      <c r="T82" s="18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81" t="str">
        <f t="array" aca="1" ref="V82" ca="1">IF($R82&lt;&gt;"",
INDIRECT("G"&amp;$R82&amp;""),"")</f>
        <v/>
      </c>
      <c r="W82" s="181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81" t="str">
        <f t="array" aca="1" ref="X82" ca="1">IF($R82&lt;&gt;"",
INDIRECT(""&amp;IF(COLUMN(I82)&lt;=26,CHAR(COLUMN(I82)+64),CHAR(INT((COLUMN(I82)-1)/26)+64)&amp;CHAR(MOD(COLUMN(I82)-1,26)+65))&amp;$R82&amp;""),"")</f>
        <v/>
      </c>
      <c r="Y82" s="181" t="str">
        <f t="array" aca="1" ref="Y82" ca="1">IF($R82&lt;&gt;"",
INDIRECT(""&amp;IF(COLUMN(J82)&lt;=26,CHAR(COLUMN(J82)+64),CHAR(INT((COLUMN(J82)-1)/26)+64)&amp;CHAR(MOD(COLUMN(J82)-1,26)+65))&amp;$R82&amp;""),"")</f>
        <v/>
      </c>
      <c r="Z82" s="181" t="str">
        <f t="shared" ca="1" si="25"/>
        <v/>
      </c>
      <c r="AA82" s="181" t="str">
        <f t="shared" ca="1" si="26"/>
        <v/>
      </c>
      <c r="AB82" s="181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81" t="str">
        <f t="shared" ca="1" si="27"/>
        <v/>
      </c>
      <c r="AD82" s="181" t="str">
        <f t="shared" ca="1" si="28"/>
        <v/>
      </c>
      <c r="AE82" s="181" t="str">
        <f t="shared" ca="1" si="29"/>
        <v/>
      </c>
      <c r="AF82" s="181" t="str">
        <f t="shared" ca="1" si="30"/>
        <v/>
      </c>
      <c r="AG82" s="181" t="str">
        <f t="shared" ca="1" si="31"/>
        <v/>
      </c>
      <c r="AH82" s="185" t="str">
        <f t="shared" ca="1" si="32"/>
        <v/>
      </c>
      <c r="AI82" s="181" t="str">
        <f t="shared" ca="1" si="33"/>
        <v/>
      </c>
      <c r="AJ82" s="181" t="str">
        <f t="shared" ca="1" si="34"/>
        <v/>
      </c>
      <c r="AK82" s="181" t="str">
        <f t="shared" ca="1" si="35"/>
        <v/>
      </c>
      <c r="AL82" s="181" t="str">
        <f t="shared" ca="1" si="36"/>
        <v/>
      </c>
      <c r="AM82" s="181" t="str">
        <f t="shared" ca="1" si="37"/>
        <v/>
      </c>
      <c r="AN82" s="181" t="str">
        <f t="shared" ca="1" si="38"/>
        <v/>
      </c>
      <c r="AO82" s="181" t="str">
        <f t="shared" ca="1" si="39"/>
        <v/>
      </c>
      <c r="AP82" s="181" t="str">
        <f t="shared" ca="1" si="40"/>
        <v/>
      </c>
      <c r="AU82" s="181" t="str">
        <f t="shared" ca="1" si="41"/>
        <v/>
      </c>
    </row>
    <row r="83" spans="1:47" ht="22.2" customHeight="1">
      <c r="A83" s="104">
        <f t="shared" si="45"/>
        <v>31</v>
      </c>
      <c r="B83" s="105" t="str">
        <f t="shared" ca="1" si="43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05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06" t="str">
        <f>IF(C83&lt;&gt;"",
クライアント抽出!C13,"")</f>
        <v/>
      </c>
      <c r="I83" s="105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VLOOKUP("*"&amp;D83&amp;"*",商品マスタ一覧!D:H,5,FALSE)),"")</f>
        <v/>
      </c>
      <c r="O83" s="105">
        <f t="shared" ca="1" si="44"/>
        <v>0</v>
      </c>
      <c r="P83" s="105">
        <f t="shared" si="23"/>
        <v>0</v>
      </c>
      <c r="Q83" s="105" t="b">
        <f t="shared" si="24"/>
        <v>0</v>
      </c>
      <c r="R83" s="181" t="str">
        <f t="array" aca="1" ref="R83" ca="1">IFERROR(SMALL(IF(P$1:P$311&lt;&gt;0,P$1:P$311),ROW(A83)),"")</f>
        <v/>
      </c>
      <c r="S83" s="181" t="str">
        <f t="array" aca="1" ref="S83" ca="1">IF($R83&lt;&gt;"",
SUBSTITUTE(SUBSTITUTE(INDIRECT("C"&amp;$R83&amp;"")," 週3ｺｰｽ","")," 週5ｺｰｽ",""),"")</f>
        <v/>
      </c>
      <c r="T83" s="18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81" t="str">
        <f t="array" aca="1" ref="V83" ca="1">IF($R83&lt;&gt;"",
INDIRECT("G"&amp;$R83&amp;""),"")</f>
        <v/>
      </c>
      <c r="W83" s="181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81" t="str">
        <f t="array" aca="1" ref="X83" ca="1">IF($R83&lt;&gt;"",
INDIRECT(""&amp;IF(COLUMN(I83)&lt;=26,CHAR(COLUMN(I83)+64),CHAR(INT((COLUMN(I83)-1)/26)+64)&amp;CHAR(MOD(COLUMN(I83)-1,26)+65))&amp;$R83&amp;""),"")</f>
        <v/>
      </c>
      <c r="Y83" s="181" t="str">
        <f t="array" aca="1" ref="Y83" ca="1">IF($R83&lt;&gt;"",
INDIRECT(""&amp;IF(COLUMN(J83)&lt;=26,CHAR(COLUMN(J83)+64),CHAR(INT((COLUMN(J83)-1)/26)+64)&amp;CHAR(MOD(COLUMN(J83)-1,26)+65))&amp;$R83&amp;""),"")</f>
        <v/>
      </c>
      <c r="Z83" s="181" t="str">
        <f t="shared" ca="1" si="25"/>
        <v/>
      </c>
      <c r="AA83" s="181" t="str">
        <f t="shared" ca="1" si="26"/>
        <v/>
      </c>
      <c r="AB83" s="181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81" t="str">
        <f t="shared" ca="1" si="27"/>
        <v/>
      </c>
      <c r="AD83" s="181" t="str">
        <f t="shared" ca="1" si="28"/>
        <v/>
      </c>
      <c r="AE83" s="181" t="str">
        <f t="shared" ca="1" si="29"/>
        <v/>
      </c>
      <c r="AF83" s="181" t="str">
        <f t="shared" ca="1" si="30"/>
        <v/>
      </c>
      <c r="AG83" s="181" t="str">
        <f t="shared" ca="1" si="31"/>
        <v/>
      </c>
      <c r="AH83" s="185" t="str">
        <f t="shared" ca="1" si="32"/>
        <v/>
      </c>
      <c r="AI83" s="181" t="str">
        <f t="shared" ca="1" si="33"/>
        <v/>
      </c>
      <c r="AJ83" s="181" t="str">
        <f t="shared" ca="1" si="34"/>
        <v/>
      </c>
      <c r="AK83" s="181" t="str">
        <f t="shared" ca="1" si="35"/>
        <v/>
      </c>
      <c r="AL83" s="181" t="str">
        <f t="shared" ca="1" si="36"/>
        <v/>
      </c>
      <c r="AM83" s="181" t="str">
        <f t="shared" ca="1" si="37"/>
        <v/>
      </c>
      <c r="AN83" s="181" t="str">
        <f t="shared" ca="1" si="38"/>
        <v/>
      </c>
      <c r="AO83" s="181" t="str">
        <f t="shared" ca="1" si="39"/>
        <v/>
      </c>
      <c r="AP83" s="181" t="str">
        <f t="shared" ca="1" si="40"/>
        <v/>
      </c>
      <c r="AU83" s="181" t="str">
        <f t="shared" ca="1" si="41"/>
        <v/>
      </c>
    </row>
    <row r="84" spans="1:47" ht="22.2" customHeight="1">
      <c r="A84" s="104">
        <f t="shared" si="45"/>
        <v>33</v>
      </c>
      <c r="B84" s="105" t="str">
        <f t="shared" ca="1" si="43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05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06" t="str">
        <f>IF(C84&lt;&gt;"",
クライアント抽出!C14,"")</f>
        <v/>
      </c>
      <c r="I84" s="105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VLOOKUP("*"&amp;D84&amp;"*",商品マスタ一覧!D:H,5,FALSE)),"")</f>
        <v/>
      </c>
      <c r="O84" s="105">
        <f t="shared" ca="1" si="44"/>
        <v>0</v>
      </c>
      <c r="P84" s="105">
        <f t="shared" si="23"/>
        <v>0</v>
      </c>
      <c r="Q84" s="105" t="b">
        <f t="shared" si="24"/>
        <v>0</v>
      </c>
      <c r="R84" s="181" t="str">
        <f t="array" aca="1" ref="R84" ca="1">IFERROR(SMALL(IF(P$1:P$311&lt;&gt;0,P$1:P$311),ROW(A84)),"")</f>
        <v/>
      </c>
      <c r="S84" s="181" t="str">
        <f t="array" aca="1" ref="S84" ca="1">IF($R84&lt;&gt;"",
SUBSTITUTE(SUBSTITUTE(INDIRECT("C"&amp;$R84&amp;"")," 週3ｺｰｽ","")," 週5ｺｰｽ",""),"")</f>
        <v/>
      </c>
      <c r="T84" s="18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81" t="str">
        <f t="array" aca="1" ref="V84" ca="1">IF($R84&lt;&gt;"",
INDIRECT("G"&amp;$R84&amp;""),"")</f>
        <v/>
      </c>
      <c r="W84" s="181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81" t="str">
        <f t="array" aca="1" ref="X84" ca="1">IF($R84&lt;&gt;"",
INDIRECT(""&amp;IF(COLUMN(I84)&lt;=26,CHAR(COLUMN(I84)+64),CHAR(INT((COLUMN(I84)-1)/26)+64)&amp;CHAR(MOD(COLUMN(I84)-1,26)+65))&amp;$R84&amp;""),"")</f>
        <v/>
      </c>
      <c r="Y84" s="181" t="str">
        <f t="array" aca="1" ref="Y84" ca="1">IF($R84&lt;&gt;"",
INDIRECT(""&amp;IF(COLUMN(J84)&lt;=26,CHAR(COLUMN(J84)+64),CHAR(INT((COLUMN(J84)-1)/26)+64)&amp;CHAR(MOD(COLUMN(J84)-1,26)+65))&amp;$R84&amp;""),"")</f>
        <v/>
      </c>
      <c r="Z84" s="181" t="str">
        <f t="shared" ca="1" si="25"/>
        <v/>
      </c>
      <c r="AA84" s="181" t="str">
        <f t="shared" ca="1" si="26"/>
        <v/>
      </c>
      <c r="AB84" s="181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81" t="str">
        <f t="shared" ca="1" si="27"/>
        <v/>
      </c>
      <c r="AD84" s="181" t="str">
        <f t="shared" ca="1" si="28"/>
        <v/>
      </c>
      <c r="AE84" s="181" t="str">
        <f t="shared" ca="1" si="29"/>
        <v/>
      </c>
      <c r="AF84" s="181" t="str">
        <f t="shared" ca="1" si="30"/>
        <v/>
      </c>
      <c r="AG84" s="181" t="str">
        <f t="shared" ca="1" si="31"/>
        <v/>
      </c>
      <c r="AH84" s="185" t="str">
        <f t="shared" ca="1" si="32"/>
        <v/>
      </c>
      <c r="AI84" s="181" t="str">
        <f t="shared" ca="1" si="33"/>
        <v/>
      </c>
      <c r="AJ84" s="181" t="str">
        <f t="shared" ca="1" si="34"/>
        <v/>
      </c>
      <c r="AK84" s="181" t="str">
        <f t="shared" ca="1" si="35"/>
        <v/>
      </c>
      <c r="AL84" s="181" t="str">
        <f t="shared" ca="1" si="36"/>
        <v/>
      </c>
      <c r="AM84" s="181" t="str">
        <f t="shared" ca="1" si="37"/>
        <v/>
      </c>
      <c r="AN84" s="181" t="str">
        <f t="shared" ca="1" si="38"/>
        <v/>
      </c>
      <c r="AO84" s="181" t="str">
        <f t="shared" ca="1" si="39"/>
        <v/>
      </c>
      <c r="AP84" s="181" t="str">
        <f t="shared" ca="1" si="40"/>
        <v/>
      </c>
      <c r="AU84" s="181" t="str">
        <f t="shared" ca="1" si="41"/>
        <v/>
      </c>
    </row>
    <row r="85" spans="1:47" ht="22.2" customHeight="1">
      <c r="A85" s="104">
        <f t="shared" si="45"/>
        <v>35</v>
      </c>
      <c r="B85" s="105" t="str">
        <f t="shared" ca="1" si="43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05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06" t="str">
        <f>IF(C85&lt;&gt;"",
クライアント抽出!C15,"")</f>
        <v/>
      </c>
      <c r="I85" s="105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VLOOKUP("*"&amp;D85&amp;"*",商品マスタ一覧!D:H,5,FALSE)),"")</f>
        <v/>
      </c>
      <c r="O85" s="105">
        <f t="shared" ca="1" si="44"/>
        <v>0</v>
      </c>
      <c r="P85" s="105">
        <f t="shared" si="23"/>
        <v>0</v>
      </c>
      <c r="Q85" s="105" t="b">
        <f t="shared" si="24"/>
        <v>0</v>
      </c>
      <c r="R85" s="181" t="str">
        <f t="array" aca="1" ref="R85" ca="1">IFERROR(SMALL(IF(P$1:P$311&lt;&gt;0,P$1:P$311),ROW(A85)),"")</f>
        <v/>
      </c>
      <c r="S85" s="181" t="str">
        <f t="array" aca="1" ref="S85" ca="1">IF($R85&lt;&gt;"",
SUBSTITUTE(SUBSTITUTE(INDIRECT("C"&amp;$R85&amp;"")," 週3ｺｰｽ","")," 週5ｺｰｽ",""),"")</f>
        <v/>
      </c>
      <c r="T85" s="18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81" t="str">
        <f t="array" aca="1" ref="V85" ca="1">IF($R85&lt;&gt;"",
INDIRECT("G"&amp;$R85&amp;""),"")</f>
        <v/>
      </c>
      <c r="W85" s="181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81" t="str">
        <f t="array" aca="1" ref="X85" ca="1">IF($R85&lt;&gt;"",
INDIRECT(""&amp;IF(COLUMN(I85)&lt;=26,CHAR(COLUMN(I85)+64),CHAR(INT((COLUMN(I85)-1)/26)+64)&amp;CHAR(MOD(COLUMN(I85)-1,26)+65))&amp;$R85&amp;""),"")</f>
        <v/>
      </c>
      <c r="Y85" s="181" t="str">
        <f t="array" aca="1" ref="Y85" ca="1">IF($R85&lt;&gt;"",
INDIRECT(""&amp;IF(COLUMN(J85)&lt;=26,CHAR(COLUMN(J85)+64),CHAR(INT((COLUMN(J85)-1)/26)+64)&amp;CHAR(MOD(COLUMN(J85)-1,26)+65))&amp;$R85&amp;""),"")</f>
        <v/>
      </c>
      <c r="Z85" s="181" t="str">
        <f t="shared" ca="1" si="25"/>
        <v/>
      </c>
      <c r="AA85" s="181" t="str">
        <f t="shared" ca="1" si="26"/>
        <v/>
      </c>
      <c r="AB85" s="181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81" t="str">
        <f t="shared" ca="1" si="27"/>
        <v/>
      </c>
      <c r="AD85" s="181" t="str">
        <f t="shared" ca="1" si="28"/>
        <v/>
      </c>
      <c r="AE85" s="181" t="str">
        <f t="shared" ca="1" si="29"/>
        <v/>
      </c>
      <c r="AF85" s="181" t="str">
        <f t="shared" ca="1" si="30"/>
        <v/>
      </c>
      <c r="AG85" s="181" t="str">
        <f t="shared" ca="1" si="31"/>
        <v/>
      </c>
      <c r="AH85" s="185" t="str">
        <f t="shared" ca="1" si="32"/>
        <v/>
      </c>
      <c r="AI85" s="181" t="str">
        <f t="shared" ca="1" si="33"/>
        <v/>
      </c>
      <c r="AJ85" s="181" t="str">
        <f t="shared" ca="1" si="34"/>
        <v/>
      </c>
      <c r="AK85" s="181" t="str">
        <f t="shared" ca="1" si="35"/>
        <v/>
      </c>
      <c r="AL85" s="181" t="str">
        <f t="shared" ca="1" si="36"/>
        <v/>
      </c>
      <c r="AM85" s="181" t="str">
        <f t="shared" ca="1" si="37"/>
        <v/>
      </c>
      <c r="AN85" s="181" t="str">
        <f t="shared" ca="1" si="38"/>
        <v/>
      </c>
      <c r="AO85" s="181" t="str">
        <f t="shared" ca="1" si="39"/>
        <v/>
      </c>
      <c r="AP85" s="181" t="str">
        <f t="shared" ca="1" si="40"/>
        <v/>
      </c>
      <c r="AU85" s="181" t="str">
        <f t="shared" ca="1" si="41"/>
        <v/>
      </c>
    </row>
    <row r="86" spans="1:47" ht="22.2" customHeight="1">
      <c r="A86" s="104">
        <f t="shared" si="45"/>
        <v>37</v>
      </c>
      <c r="B86" s="105" t="str">
        <f t="shared" ca="1" si="43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05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06" t="str">
        <f>IF(C86&lt;&gt;"",
クライアント抽出!C16,"")</f>
        <v/>
      </c>
      <c r="I86" s="105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VLOOKUP("*"&amp;D86&amp;"*",商品マスタ一覧!D:H,5,FALSE)),"")</f>
        <v/>
      </c>
      <c r="O86" s="105">
        <f t="shared" ca="1" si="44"/>
        <v>0</v>
      </c>
      <c r="P86" s="105">
        <f t="shared" si="23"/>
        <v>0</v>
      </c>
      <c r="Q86" s="105" t="b">
        <f t="shared" si="24"/>
        <v>0</v>
      </c>
      <c r="R86" s="181" t="str">
        <f t="array" aca="1" ref="R86" ca="1">IFERROR(SMALL(IF(P$1:P$311&lt;&gt;0,P$1:P$311),ROW(A86)),"")</f>
        <v/>
      </c>
      <c r="S86" s="181" t="str">
        <f t="array" aca="1" ref="S86" ca="1">IF($R86&lt;&gt;"",
SUBSTITUTE(SUBSTITUTE(INDIRECT("C"&amp;$R86&amp;"")," 週3ｺｰｽ","")," 週5ｺｰｽ",""),"")</f>
        <v/>
      </c>
      <c r="T86" s="18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81" t="str">
        <f t="array" aca="1" ref="V86" ca="1">IF($R86&lt;&gt;"",
INDIRECT("G"&amp;$R86&amp;""),"")</f>
        <v/>
      </c>
      <c r="W86" s="181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81" t="str">
        <f t="array" aca="1" ref="X86" ca="1">IF($R86&lt;&gt;"",
INDIRECT(""&amp;IF(COLUMN(I86)&lt;=26,CHAR(COLUMN(I86)+64),CHAR(INT((COLUMN(I86)-1)/26)+64)&amp;CHAR(MOD(COLUMN(I86)-1,26)+65))&amp;$R86&amp;""),"")</f>
        <v/>
      </c>
      <c r="Y86" s="181" t="str">
        <f t="array" aca="1" ref="Y86" ca="1">IF($R86&lt;&gt;"",
INDIRECT(""&amp;IF(COLUMN(J86)&lt;=26,CHAR(COLUMN(J86)+64),CHAR(INT((COLUMN(J86)-1)/26)+64)&amp;CHAR(MOD(COLUMN(J86)-1,26)+65))&amp;$R86&amp;""),"")</f>
        <v/>
      </c>
      <c r="Z86" s="181" t="str">
        <f t="shared" ca="1" si="25"/>
        <v/>
      </c>
      <c r="AA86" s="181" t="str">
        <f t="shared" ca="1" si="26"/>
        <v/>
      </c>
      <c r="AB86" s="181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81" t="str">
        <f t="shared" ca="1" si="27"/>
        <v/>
      </c>
      <c r="AD86" s="181" t="str">
        <f t="shared" ca="1" si="28"/>
        <v/>
      </c>
      <c r="AE86" s="181" t="str">
        <f t="shared" ca="1" si="29"/>
        <v/>
      </c>
      <c r="AF86" s="181" t="str">
        <f t="shared" ca="1" si="30"/>
        <v/>
      </c>
      <c r="AG86" s="181" t="str">
        <f t="shared" ca="1" si="31"/>
        <v/>
      </c>
      <c r="AH86" s="185" t="str">
        <f t="shared" ca="1" si="32"/>
        <v/>
      </c>
      <c r="AI86" s="181" t="str">
        <f t="shared" ca="1" si="33"/>
        <v/>
      </c>
      <c r="AJ86" s="181" t="str">
        <f t="shared" ca="1" si="34"/>
        <v/>
      </c>
      <c r="AK86" s="181" t="str">
        <f t="shared" ca="1" si="35"/>
        <v/>
      </c>
      <c r="AL86" s="181" t="str">
        <f t="shared" ca="1" si="36"/>
        <v/>
      </c>
      <c r="AM86" s="181" t="str">
        <f t="shared" ca="1" si="37"/>
        <v/>
      </c>
      <c r="AN86" s="181" t="str">
        <f t="shared" ca="1" si="38"/>
        <v/>
      </c>
      <c r="AO86" s="181" t="str">
        <f t="shared" ca="1" si="39"/>
        <v/>
      </c>
      <c r="AP86" s="181" t="str">
        <f t="shared" ca="1" si="40"/>
        <v/>
      </c>
      <c r="AU86" s="181" t="str">
        <f t="shared" ca="1" si="41"/>
        <v/>
      </c>
    </row>
    <row r="87" spans="1:47" ht="22.2" customHeight="1">
      <c r="A87" s="104">
        <f t="shared" si="45"/>
        <v>39</v>
      </c>
      <c r="B87" s="105" t="str">
        <f t="shared" ca="1" si="43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05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06" t="str">
        <f>IF(C87&lt;&gt;"",
クライアント抽出!C17,"")</f>
        <v/>
      </c>
      <c r="I87" s="105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VLOOKUP("*"&amp;D87&amp;"*",商品マスタ一覧!D:H,5,FALSE)),"")</f>
        <v/>
      </c>
      <c r="O87" s="105">
        <f t="shared" ca="1" si="44"/>
        <v>0</v>
      </c>
      <c r="P87" s="105">
        <f t="shared" si="23"/>
        <v>0</v>
      </c>
      <c r="Q87" s="105" t="b">
        <f t="shared" si="24"/>
        <v>0</v>
      </c>
      <c r="R87" s="181" t="str">
        <f t="array" aca="1" ref="R87" ca="1">IFERROR(SMALL(IF(P$1:P$311&lt;&gt;0,P$1:P$311),ROW(A87)),"")</f>
        <v/>
      </c>
      <c r="S87" s="181" t="str">
        <f t="array" aca="1" ref="S87" ca="1">IF($R87&lt;&gt;"",
SUBSTITUTE(SUBSTITUTE(INDIRECT("C"&amp;$R87&amp;"")," 週3ｺｰｽ","")," 週5ｺｰｽ",""),"")</f>
        <v/>
      </c>
      <c r="T87" s="18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81" t="str">
        <f t="array" aca="1" ref="V87" ca="1">IF($R87&lt;&gt;"",
INDIRECT("G"&amp;$R87&amp;""),"")</f>
        <v/>
      </c>
      <c r="W87" s="181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81" t="str">
        <f t="array" aca="1" ref="X87" ca="1">IF($R87&lt;&gt;"",
INDIRECT(""&amp;IF(COLUMN(I87)&lt;=26,CHAR(COLUMN(I87)+64),CHAR(INT((COLUMN(I87)-1)/26)+64)&amp;CHAR(MOD(COLUMN(I87)-1,26)+65))&amp;$R87&amp;""),"")</f>
        <v/>
      </c>
      <c r="Y87" s="181" t="str">
        <f t="array" aca="1" ref="Y87" ca="1">IF($R87&lt;&gt;"",
INDIRECT(""&amp;IF(COLUMN(J87)&lt;=26,CHAR(COLUMN(J87)+64),CHAR(INT((COLUMN(J87)-1)/26)+64)&amp;CHAR(MOD(COLUMN(J87)-1,26)+65))&amp;$R87&amp;""),"")</f>
        <v/>
      </c>
      <c r="Z87" s="181" t="str">
        <f t="shared" ca="1" si="25"/>
        <v/>
      </c>
      <c r="AA87" s="181" t="str">
        <f t="shared" ca="1" si="26"/>
        <v/>
      </c>
      <c r="AB87" s="181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81" t="str">
        <f t="shared" ca="1" si="27"/>
        <v/>
      </c>
      <c r="AD87" s="181" t="str">
        <f t="shared" ca="1" si="28"/>
        <v/>
      </c>
      <c r="AE87" s="181" t="str">
        <f t="shared" ca="1" si="29"/>
        <v/>
      </c>
      <c r="AF87" s="181" t="str">
        <f t="shared" ca="1" si="30"/>
        <v/>
      </c>
      <c r="AG87" s="181" t="str">
        <f t="shared" ca="1" si="31"/>
        <v/>
      </c>
      <c r="AH87" s="185" t="str">
        <f t="shared" ca="1" si="32"/>
        <v/>
      </c>
      <c r="AI87" s="181" t="str">
        <f t="shared" ca="1" si="33"/>
        <v/>
      </c>
      <c r="AJ87" s="181" t="str">
        <f t="shared" ca="1" si="34"/>
        <v/>
      </c>
      <c r="AK87" s="181" t="str">
        <f t="shared" ca="1" si="35"/>
        <v/>
      </c>
      <c r="AL87" s="181" t="str">
        <f t="shared" ca="1" si="36"/>
        <v/>
      </c>
      <c r="AM87" s="181" t="str">
        <f t="shared" ca="1" si="37"/>
        <v/>
      </c>
      <c r="AN87" s="181" t="str">
        <f t="shared" ca="1" si="38"/>
        <v/>
      </c>
      <c r="AO87" s="181" t="str">
        <f t="shared" ca="1" si="39"/>
        <v/>
      </c>
      <c r="AP87" s="181" t="str">
        <f t="shared" ca="1" si="40"/>
        <v/>
      </c>
      <c r="AU87" s="181" t="str">
        <f t="shared" ca="1" si="41"/>
        <v/>
      </c>
    </row>
    <row r="88" spans="1:47" ht="22.2" customHeight="1">
      <c r="A88" s="104">
        <f t="shared" si="45"/>
        <v>41</v>
      </c>
      <c r="B88" s="105" t="str">
        <f t="shared" ca="1" si="43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05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06" t="str">
        <f>IF(C88&lt;&gt;"",
クライアント抽出!C18,"")</f>
        <v/>
      </c>
      <c r="I88" s="105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VLOOKUP("*"&amp;D88&amp;"*",商品マスタ一覧!D:H,5,FALSE)),"")</f>
        <v/>
      </c>
      <c r="O88" s="105">
        <f t="shared" ca="1" si="44"/>
        <v>0</v>
      </c>
      <c r="P88" s="105">
        <f t="shared" si="23"/>
        <v>0</v>
      </c>
      <c r="Q88" s="105" t="b">
        <f t="shared" si="24"/>
        <v>0</v>
      </c>
      <c r="R88" s="181" t="str">
        <f t="array" aca="1" ref="R88" ca="1">IFERROR(SMALL(IF(P$1:P$311&lt;&gt;0,P$1:P$311),ROW(A88)),"")</f>
        <v/>
      </c>
      <c r="S88" s="181" t="str">
        <f t="array" aca="1" ref="S88" ca="1">IF($R88&lt;&gt;"",
SUBSTITUTE(SUBSTITUTE(INDIRECT("C"&amp;$R88&amp;"")," 週3ｺｰｽ","")," 週5ｺｰｽ",""),"")</f>
        <v/>
      </c>
      <c r="T88" s="18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81" t="str">
        <f t="array" aca="1" ref="V88" ca="1">IF($R88&lt;&gt;"",
INDIRECT("G"&amp;$R88&amp;""),"")</f>
        <v/>
      </c>
      <c r="W88" s="181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81" t="str">
        <f t="array" aca="1" ref="X88" ca="1">IF($R88&lt;&gt;"",
INDIRECT(""&amp;IF(COLUMN(I88)&lt;=26,CHAR(COLUMN(I88)+64),CHAR(INT((COLUMN(I88)-1)/26)+64)&amp;CHAR(MOD(COLUMN(I88)-1,26)+65))&amp;$R88&amp;""),"")</f>
        <v/>
      </c>
      <c r="Y88" s="181" t="str">
        <f t="array" aca="1" ref="Y88" ca="1">IF($R88&lt;&gt;"",
INDIRECT(""&amp;IF(COLUMN(J88)&lt;=26,CHAR(COLUMN(J88)+64),CHAR(INT((COLUMN(J88)-1)/26)+64)&amp;CHAR(MOD(COLUMN(J88)-1,26)+65))&amp;$R88&amp;""),"")</f>
        <v/>
      </c>
      <c r="Z88" s="181" t="str">
        <f t="shared" ca="1" si="25"/>
        <v/>
      </c>
      <c r="AA88" s="181" t="str">
        <f t="shared" ca="1" si="26"/>
        <v/>
      </c>
      <c r="AB88" s="181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81" t="str">
        <f t="shared" ca="1" si="27"/>
        <v/>
      </c>
      <c r="AD88" s="181" t="str">
        <f t="shared" ca="1" si="28"/>
        <v/>
      </c>
      <c r="AE88" s="181" t="str">
        <f t="shared" ca="1" si="29"/>
        <v/>
      </c>
      <c r="AF88" s="181" t="str">
        <f t="shared" ca="1" si="30"/>
        <v/>
      </c>
      <c r="AG88" s="181" t="str">
        <f t="shared" ca="1" si="31"/>
        <v/>
      </c>
      <c r="AH88" s="185" t="str">
        <f t="shared" ca="1" si="32"/>
        <v/>
      </c>
      <c r="AI88" s="181" t="str">
        <f t="shared" ca="1" si="33"/>
        <v/>
      </c>
      <c r="AJ88" s="181" t="str">
        <f t="shared" ca="1" si="34"/>
        <v/>
      </c>
      <c r="AK88" s="181" t="str">
        <f t="shared" ca="1" si="35"/>
        <v/>
      </c>
      <c r="AL88" s="181" t="str">
        <f t="shared" ca="1" si="36"/>
        <v/>
      </c>
      <c r="AM88" s="181" t="str">
        <f t="shared" ca="1" si="37"/>
        <v/>
      </c>
      <c r="AN88" s="181" t="str">
        <f t="shared" ca="1" si="38"/>
        <v/>
      </c>
      <c r="AO88" s="181" t="str">
        <f t="shared" ca="1" si="39"/>
        <v/>
      </c>
      <c r="AP88" s="181" t="str">
        <f t="shared" ca="1" si="40"/>
        <v/>
      </c>
      <c r="AU88" s="181" t="str">
        <f t="shared" ca="1" si="41"/>
        <v/>
      </c>
    </row>
    <row r="89" spans="1:47" ht="22.2" customHeight="1">
      <c r="A89" s="104">
        <f t="shared" si="45"/>
        <v>43</v>
      </c>
      <c r="B89" s="105" t="str">
        <f t="shared" ca="1" si="43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05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06" t="str">
        <f>IF(C89&lt;&gt;"",
クライアント抽出!C19,"")</f>
        <v/>
      </c>
      <c r="I89" s="105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VLOOKUP("*"&amp;D89&amp;"*",商品マスタ一覧!D:H,5,FALSE)),"")</f>
        <v/>
      </c>
      <c r="O89" s="105">
        <f t="shared" ca="1" si="44"/>
        <v>0</v>
      </c>
      <c r="P89" s="105">
        <f t="shared" si="23"/>
        <v>0</v>
      </c>
      <c r="Q89" s="105" t="b">
        <f t="shared" si="24"/>
        <v>0</v>
      </c>
      <c r="R89" s="181" t="str">
        <f t="array" aca="1" ref="R89" ca="1">IFERROR(SMALL(IF(P$1:P$311&lt;&gt;0,P$1:P$311),ROW(A89)),"")</f>
        <v/>
      </c>
      <c r="S89" s="181" t="str">
        <f t="array" aca="1" ref="S89" ca="1">IF($R89&lt;&gt;"",
SUBSTITUTE(SUBSTITUTE(INDIRECT("C"&amp;$R89&amp;"")," 週3ｺｰｽ","")," 週5ｺｰｽ",""),"")</f>
        <v/>
      </c>
      <c r="T89" s="18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81" t="str">
        <f t="array" aca="1" ref="V89" ca="1">IF($R89&lt;&gt;"",
INDIRECT("G"&amp;$R89&amp;""),"")</f>
        <v/>
      </c>
      <c r="W89" s="181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81" t="str">
        <f t="array" aca="1" ref="X89" ca="1">IF($R89&lt;&gt;"",
INDIRECT(""&amp;IF(COLUMN(I89)&lt;=26,CHAR(COLUMN(I89)+64),CHAR(INT((COLUMN(I89)-1)/26)+64)&amp;CHAR(MOD(COLUMN(I89)-1,26)+65))&amp;$R89&amp;""),"")</f>
        <v/>
      </c>
      <c r="Y89" s="181" t="str">
        <f t="array" aca="1" ref="Y89" ca="1">IF($R89&lt;&gt;"",
INDIRECT(""&amp;IF(COLUMN(J89)&lt;=26,CHAR(COLUMN(J89)+64),CHAR(INT((COLUMN(J89)-1)/26)+64)&amp;CHAR(MOD(COLUMN(J89)-1,26)+65))&amp;$R89&amp;""),"")</f>
        <v/>
      </c>
      <c r="Z89" s="181" t="str">
        <f t="shared" ca="1" si="25"/>
        <v/>
      </c>
      <c r="AA89" s="181" t="str">
        <f t="shared" ca="1" si="26"/>
        <v/>
      </c>
      <c r="AB89" s="181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81" t="str">
        <f t="shared" ca="1" si="27"/>
        <v/>
      </c>
      <c r="AD89" s="181" t="str">
        <f t="shared" ca="1" si="28"/>
        <v/>
      </c>
      <c r="AE89" s="181" t="str">
        <f t="shared" ca="1" si="29"/>
        <v/>
      </c>
      <c r="AF89" s="181" t="str">
        <f t="shared" ca="1" si="30"/>
        <v/>
      </c>
      <c r="AG89" s="181" t="str">
        <f t="shared" ca="1" si="31"/>
        <v/>
      </c>
      <c r="AH89" s="185" t="str">
        <f t="shared" ca="1" si="32"/>
        <v/>
      </c>
      <c r="AI89" s="181" t="str">
        <f t="shared" ca="1" si="33"/>
        <v/>
      </c>
      <c r="AJ89" s="181" t="str">
        <f t="shared" ca="1" si="34"/>
        <v/>
      </c>
      <c r="AK89" s="181" t="str">
        <f t="shared" ca="1" si="35"/>
        <v/>
      </c>
      <c r="AL89" s="181" t="str">
        <f t="shared" ca="1" si="36"/>
        <v/>
      </c>
      <c r="AM89" s="181" t="str">
        <f t="shared" ca="1" si="37"/>
        <v/>
      </c>
      <c r="AN89" s="181" t="str">
        <f t="shared" ca="1" si="38"/>
        <v/>
      </c>
      <c r="AO89" s="181" t="str">
        <f t="shared" ca="1" si="39"/>
        <v/>
      </c>
      <c r="AP89" s="181" t="str">
        <f t="shared" ca="1" si="40"/>
        <v/>
      </c>
      <c r="AU89" s="181" t="str">
        <f t="shared" ca="1" si="41"/>
        <v/>
      </c>
    </row>
    <row r="90" spans="1:47" ht="22.2" customHeight="1">
      <c r="A90" s="104">
        <f t="shared" si="45"/>
        <v>45</v>
      </c>
      <c r="B90" s="105" t="str">
        <f t="shared" ca="1" si="43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05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06" t="str">
        <f>IF(C90&lt;&gt;"",
クライアント抽出!C20,"")</f>
        <v/>
      </c>
      <c r="I90" s="105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VLOOKUP("*"&amp;D90&amp;"*",商品マスタ一覧!D:H,5,FALSE)),"")</f>
        <v/>
      </c>
      <c r="O90" s="105">
        <f t="shared" ca="1" si="44"/>
        <v>0</v>
      </c>
      <c r="P90" s="105">
        <f t="shared" si="23"/>
        <v>0</v>
      </c>
      <c r="Q90" s="105" t="b">
        <f t="shared" si="24"/>
        <v>0</v>
      </c>
      <c r="R90" s="181" t="str">
        <f t="array" aca="1" ref="R90" ca="1">IFERROR(SMALL(IF(P$1:P$311&lt;&gt;0,P$1:P$311),ROW(A90)),"")</f>
        <v/>
      </c>
      <c r="S90" s="181" t="str">
        <f t="array" aca="1" ref="S90" ca="1">IF($R90&lt;&gt;"",
SUBSTITUTE(SUBSTITUTE(INDIRECT("C"&amp;$R90&amp;"")," 週3ｺｰｽ","")," 週5ｺｰｽ",""),"")</f>
        <v/>
      </c>
      <c r="T90" s="18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81" t="str">
        <f t="array" aca="1" ref="V90" ca="1">IF($R90&lt;&gt;"",
INDIRECT("G"&amp;$R90&amp;""),"")</f>
        <v/>
      </c>
      <c r="W90" s="181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81" t="str">
        <f t="array" aca="1" ref="X90" ca="1">IF($R90&lt;&gt;"",
INDIRECT(""&amp;IF(COLUMN(I90)&lt;=26,CHAR(COLUMN(I90)+64),CHAR(INT((COLUMN(I90)-1)/26)+64)&amp;CHAR(MOD(COLUMN(I90)-1,26)+65))&amp;$R90&amp;""),"")</f>
        <v/>
      </c>
      <c r="Y90" s="181" t="str">
        <f t="array" aca="1" ref="Y90" ca="1">IF($R90&lt;&gt;"",
INDIRECT(""&amp;IF(COLUMN(J90)&lt;=26,CHAR(COLUMN(J90)+64),CHAR(INT((COLUMN(J90)-1)/26)+64)&amp;CHAR(MOD(COLUMN(J90)-1,26)+65))&amp;$R90&amp;""),"")</f>
        <v/>
      </c>
      <c r="Z90" s="181" t="str">
        <f t="shared" ca="1" si="25"/>
        <v/>
      </c>
      <c r="AA90" s="181" t="str">
        <f t="shared" ca="1" si="26"/>
        <v/>
      </c>
      <c r="AB90" s="181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81" t="str">
        <f t="shared" ca="1" si="27"/>
        <v/>
      </c>
      <c r="AD90" s="181" t="str">
        <f t="shared" ca="1" si="28"/>
        <v/>
      </c>
      <c r="AE90" s="181" t="str">
        <f t="shared" ca="1" si="29"/>
        <v/>
      </c>
      <c r="AF90" s="181" t="str">
        <f t="shared" ca="1" si="30"/>
        <v/>
      </c>
      <c r="AG90" s="181" t="str">
        <f t="shared" ca="1" si="31"/>
        <v/>
      </c>
      <c r="AH90" s="185" t="str">
        <f t="shared" ca="1" si="32"/>
        <v/>
      </c>
      <c r="AI90" s="181" t="str">
        <f t="shared" ca="1" si="33"/>
        <v/>
      </c>
      <c r="AJ90" s="181" t="str">
        <f t="shared" ca="1" si="34"/>
        <v/>
      </c>
      <c r="AK90" s="181" t="str">
        <f t="shared" ca="1" si="35"/>
        <v/>
      </c>
      <c r="AL90" s="181" t="str">
        <f t="shared" ca="1" si="36"/>
        <v/>
      </c>
      <c r="AM90" s="181" t="str">
        <f t="shared" ca="1" si="37"/>
        <v/>
      </c>
      <c r="AN90" s="181" t="str">
        <f t="shared" ca="1" si="38"/>
        <v/>
      </c>
      <c r="AO90" s="181" t="str">
        <f t="shared" ca="1" si="39"/>
        <v/>
      </c>
      <c r="AP90" s="181" t="str">
        <f t="shared" ca="1" si="40"/>
        <v/>
      </c>
      <c r="AU90" s="181" t="str">
        <f t="shared" ca="1" si="41"/>
        <v/>
      </c>
    </row>
    <row r="91" spans="1:47" ht="22.2" customHeight="1">
      <c r="A91" s="104">
        <f t="shared" si="45"/>
        <v>47</v>
      </c>
      <c r="B91" s="105" t="str">
        <f t="shared" ca="1" si="43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05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06" t="str">
        <f>IF(C91&lt;&gt;"",
クライアント抽出!C21,"")</f>
        <v/>
      </c>
      <c r="I91" s="105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VLOOKUP("*"&amp;D91&amp;"*",商品マスタ一覧!D:H,5,FALSE)),"")</f>
        <v/>
      </c>
      <c r="O91" s="105">
        <f t="shared" ca="1" si="44"/>
        <v>0</v>
      </c>
      <c r="P91" s="105">
        <f t="shared" si="23"/>
        <v>0</v>
      </c>
      <c r="Q91" s="105" t="b">
        <f t="shared" si="24"/>
        <v>0</v>
      </c>
      <c r="R91" s="181" t="str">
        <f t="array" aca="1" ref="R91" ca="1">IFERROR(SMALL(IF(P$1:P$311&lt;&gt;0,P$1:P$311),ROW(A91)),"")</f>
        <v/>
      </c>
      <c r="S91" s="181" t="str">
        <f t="array" aca="1" ref="S91" ca="1">IF($R91&lt;&gt;"",
SUBSTITUTE(SUBSTITUTE(INDIRECT("C"&amp;$R91&amp;"")," 週3ｺｰｽ","")," 週5ｺｰｽ",""),"")</f>
        <v/>
      </c>
      <c r="T91" s="18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81" t="str">
        <f t="array" aca="1" ref="V91" ca="1">IF($R91&lt;&gt;"",
INDIRECT("G"&amp;$R91&amp;""),"")</f>
        <v/>
      </c>
      <c r="W91" s="181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81" t="str">
        <f t="array" aca="1" ref="X91" ca="1">IF($R91&lt;&gt;"",
INDIRECT(""&amp;IF(COLUMN(I91)&lt;=26,CHAR(COLUMN(I91)+64),CHAR(INT((COLUMN(I91)-1)/26)+64)&amp;CHAR(MOD(COLUMN(I91)-1,26)+65))&amp;$R91&amp;""),"")</f>
        <v/>
      </c>
      <c r="Y91" s="181" t="str">
        <f t="array" aca="1" ref="Y91" ca="1">IF($R91&lt;&gt;"",
INDIRECT(""&amp;IF(COLUMN(J91)&lt;=26,CHAR(COLUMN(J91)+64),CHAR(INT((COLUMN(J91)-1)/26)+64)&amp;CHAR(MOD(COLUMN(J91)-1,26)+65))&amp;$R91&amp;""),"")</f>
        <v/>
      </c>
      <c r="Z91" s="181" t="str">
        <f t="shared" ca="1" si="25"/>
        <v/>
      </c>
      <c r="AA91" s="181" t="str">
        <f t="shared" ca="1" si="26"/>
        <v/>
      </c>
      <c r="AB91" s="181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81" t="str">
        <f t="shared" ca="1" si="27"/>
        <v/>
      </c>
      <c r="AD91" s="181" t="str">
        <f t="shared" ca="1" si="28"/>
        <v/>
      </c>
      <c r="AE91" s="181" t="str">
        <f t="shared" ca="1" si="29"/>
        <v/>
      </c>
      <c r="AF91" s="181" t="str">
        <f t="shared" ca="1" si="30"/>
        <v/>
      </c>
      <c r="AG91" s="181" t="str">
        <f t="shared" ca="1" si="31"/>
        <v/>
      </c>
      <c r="AH91" s="185" t="str">
        <f t="shared" ca="1" si="32"/>
        <v/>
      </c>
      <c r="AI91" s="181" t="str">
        <f t="shared" ca="1" si="33"/>
        <v/>
      </c>
      <c r="AJ91" s="181" t="str">
        <f t="shared" ca="1" si="34"/>
        <v/>
      </c>
      <c r="AK91" s="181" t="str">
        <f t="shared" ca="1" si="35"/>
        <v/>
      </c>
      <c r="AL91" s="181" t="str">
        <f t="shared" ca="1" si="36"/>
        <v/>
      </c>
      <c r="AM91" s="181" t="str">
        <f t="shared" ca="1" si="37"/>
        <v/>
      </c>
      <c r="AN91" s="181" t="str">
        <f t="shared" ca="1" si="38"/>
        <v/>
      </c>
      <c r="AO91" s="181" t="str">
        <f t="shared" ca="1" si="39"/>
        <v/>
      </c>
      <c r="AP91" s="181" t="str">
        <f t="shared" ca="1" si="40"/>
        <v/>
      </c>
      <c r="AU91" s="181" t="str">
        <f t="shared" ca="1" si="41"/>
        <v/>
      </c>
    </row>
    <row r="92" spans="1:47" ht="22.2" customHeight="1">
      <c r="A92" s="104">
        <f t="shared" si="45"/>
        <v>49</v>
      </c>
      <c r="B92" s="105" t="str">
        <f t="shared" ca="1" si="43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05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06" t="str">
        <f>IF(C92&lt;&gt;"",
クライアント抽出!C22,"")</f>
        <v/>
      </c>
      <c r="I92" s="105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VLOOKUP("*"&amp;D92&amp;"*",商品マスタ一覧!D:H,5,FALSE)),"")</f>
        <v/>
      </c>
      <c r="O92" s="105">
        <f t="shared" ca="1" si="44"/>
        <v>0</v>
      </c>
      <c r="P92" s="105">
        <f t="shared" si="23"/>
        <v>0</v>
      </c>
      <c r="Q92" s="105" t="b">
        <f t="shared" si="24"/>
        <v>0</v>
      </c>
      <c r="R92" s="181" t="str">
        <f t="array" aca="1" ref="R92" ca="1">IFERROR(SMALL(IF(P$1:P$311&lt;&gt;0,P$1:P$311),ROW(A92)),"")</f>
        <v/>
      </c>
      <c r="S92" s="181" t="str">
        <f t="array" aca="1" ref="S92" ca="1">IF($R92&lt;&gt;"",
SUBSTITUTE(SUBSTITUTE(INDIRECT("C"&amp;$R92&amp;"")," 週3ｺｰｽ","")," 週5ｺｰｽ",""),"")</f>
        <v/>
      </c>
      <c r="T92" s="18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81" t="str">
        <f t="array" aca="1" ref="V92" ca="1">IF($R92&lt;&gt;"",
INDIRECT("G"&amp;$R92&amp;""),"")</f>
        <v/>
      </c>
      <c r="W92" s="181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81" t="str">
        <f t="array" aca="1" ref="X92" ca="1">IF($R92&lt;&gt;"",
INDIRECT(""&amp;IF(COLUMN(I92)&lt;=26,CHAR(COLUMN(I92)+64),CHAR(INT((COLUMN(I92)-1)/26)+64)&amp;CHAR(MOD(COLUMN(I92)-1,26)+65))&amp;$R92&amp;""),"")</f>
        <v/>
      </c>
      <c r="Y92" s="181" t="str">
        <f t="array" aca="1" ref="Y92" ca="1">IF($R92&lt;&gt;"",
INDIRECT(""&amp;IF(COLUMN(J92)&lt;=26,CHAR(COLUMN(J92)+64),CHAR(INT((COLUMN(J92)-1)/26)+64)&amp;CHAR(MOD(COLUMN(J92)-1,26)+65))&amp;$R92&amp;""),"")</f>
        <v/>
      </c>
      <c r="Z92" s="181" t="str">
        <f t="shared" ca="1" si="25"/>
        <v/>
      </c>
      <c r="AA92" s="181" t="str">
        <f t="shared" ca="1" si="26"/>
        <v/>
      </c>
      <c r="AB92" s="181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81" t="str">
        <f t="shared" ca="1" si="27"/>
        <v/>
      </c>
      <c r="AD92" s="181" t="str">
        <f t="shared" ca="1" si="28"/>
        <v/>
      </c>
      <c r="AE92" s="181" t="str">
        <f t="shared" ca="1" si="29"/>
        <v/>
      </c>
      <c r="AF92" s="181" t="str">
        <f t="shared" ca="1" si="30"/>
        <v/>
      </c>
      <c r="AG92" s="181" t="str">
        <f t="shared" ca="1" si="31"/>
        <v/>
      </c>
      <c r="AH92" s="185" t="str">
        <f t="shared" ca="1" si="32"/>
        <v/>
      </c>
      <c r="AI92" s="181" t="str">
        <f t="shared" ca="1" si="33"/>
        <v/>
      </c>
      <c r="AJ92" s="181" t="str">
        <f t="shared" ca="1" si="34"/>
        <v/>
      </c>
      <c r="AK92" s="181" t="str">
        <f t="shared" ca="1" si="35"/>
        <v/>
      </c>
      <c r="AL92" s="181" t="str">
        <f t="shared" ca="1" si="36"/>
        <v/>
      </c>
      <c r="AM92" s="181" t="str">
        <f t="shared" ca="1" si="37"/>
        <v/>
      </c>
      <c r="AN92" s="181" t="str">
        <f t="shared" ca="1" si="38"/>
        <v/>
      </c>
      <c r="AO92" s="181" t="str">
        <f t="shared" ca="1" si="39"/>
        <v/>
      </c>
      <c r="AP92" s="181" t="str">
        <f t="shared" ca="1" si="40"/>
        <v/>
      </c>
      <c r="AU92" s="181" t="str">
        <f t="shared" ca="1" si="41"/>
        <v/>
      </c>
    </row>
    <row r="93" spans="1:47" ht="22.2" customHeight="1">
      <c r="A93" s="104">
        <f t="shared" si="45"/>
        <v>51</v>
      </c>
      <c r="B93" s="105" t="str">
        <f t="shared" ca="1" si="43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05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06" t="str">
        <f>IF(C93&lt;&gt;"",
クライアント抽出!C23,"")</f>
        <v/>
      </c>
      <c r="I93" s="105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VLOOKUP("*"&amp;D93&amp;"*",商品マスタ一覧!D:H,5,FALSE)),"")</f>
        <v/>
      </c>
      <c r="O93" s="105">
        <f t="shared" ca="1" si="44"/>
        <v>0</v>
      </c>
      <c r="P93" s="105">
        <f t="shared" si="23"/>
        <v>0</v>
      </c>
      <c r="Q93" s="105" t="b">
        <f t="shared" si="24"/>
        <v>0</v>
      </c>
      <c r="R93" s="181" t="str">
        <f t="array" aca="1" ref="R93" ca="1">IFERROR(SMALL(IF(P$1:P$311&lt;&gt;0,P$1:P$311),ROW(A93)),"")</f>
        <v/>
      </c>
      <c r="S93" s="181" t="str">
        <f t="array" aca="1" ref="S93" ca="1">IF($R93&lt;&gt;"",
SUBSTITUTE(SUBSTITUTE(INDIRECT("C"&amp;$R93&amp;"")," 週3ｺｰｽ","")," 週5ｺｰｽ",""),"")</f>
        <v/>
      </c>
      <c r="T93" s="18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81" t="str">
        <f t="array" aca="1" ref="V93" ca="1">IF($R93&lt;&gt;"",
INDIRECT("G"&amp;$R93&amp;""),"")</f>
        <v/>
      </c>
      <c r="W93" s="181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81" t="str">
        <f t="array" aca="1" ref="X93" ca="1">IF($R93&lt;&gt;"",
INDIRECT(""&amp;IF(COLUMN(I93)&lt;=26,CHAR(COLUMN(I93)+64),CHAR(INT((COLUMN(I93)-1)/26)+64)&amp;CHAR(MOD(COLUMN(I93)-1,26)+65))&amp;$R93&amp;""),"")</f>
        <v/>
      </c>
      <c r="Y93" s="181" t="str">
        <f t="array" aca="1" ref="Y93" ca="1">IF($R93&lt;&gt;"",
INDIRECT(""&amp;IF(COLUMN(J93)&lt;=26,CHAR(COLUMN(J93)+64),CHAR(INT((COLUMN(J93)-1)/26)+64)&amp;CHAR(MOD(COLUMN(J93)-1,26)+65))&amp;$R93&amp;""),"")</f>
        <v/>
      </c>
      <c r="Z93" s="181" t="str">
        <f t="shared" ca="1" si="25"/>
        <v/>
      </c>
      <c r="AA93" s="181" t="str">
        <f t="shared" ca="1" si="26"/>
        <v/>
      </c>
      <c r="AB93" s="181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81" t="str">
        <f t="shared" ca="1" si="27"/>
        <v/>
      </c>
      <c r="AD93" s="181" t="str">
        <f t="shared" ca="1" si="28"/>
        <v/>
      </c>
      <c r="AE93" s="181" t="str">
        <f t="shared" ca="1" si="29"/>
        <v/>
      </c>
      <c r="AF93" s="181" t="str">
        <f t="shared" ca="1" si="30"/>
        <v/>
      </c>
      <c r="AG93" s="181" t="str">
        <f t="shared" ca="1" si="31"/>
        <v/>
      </c>
      <c r="AH93" s="185" t="str">
        <f t="shared" ca="1" si="32"/>
        <v/>
      </c>
      <c r="AI93" s="181" t="str">
        <f t="shared" ca="1" si="33"/>
        <v/>
      </c>
      <c r="AJ93" s="181" t="str">
        <f t="shared" ca="1" si="34"/>
        <v/>
      </c>
      <c r="AK93" s="181" t="str">
        <f t="shared" ca="1" si="35"/>
        <v/>
      </c>
      <c r="AL93" s="181" t="str">
        <f t="shared" ca="1" si="36"/>
        <v/>
      </c>
      <c r="AM93" s="181" t="str">
        <f t="shared" ca="1" si="37"/>
        <v/>
      </c>
      <c r="AN93" s="181" t="str">
        <f t="shared" ca="1" si="38"/>
        <v/>
      </c>
      <c r="AO93" s="181" t="str">
        <f t="shared" ca="1" si="39"/>
        <v/>
      </c>
      <c r="AP93" s="181" t="str">
        <f t="shared" ca="1" si="40"/>
        <v/>
      </c>
      <c r="AU93" s="181" t="str">
        <f t="shared" ca="1" si="41"/>
        <v/>
      </c>
    </row>
    <row r="94" spans="1:47" ht="22.2" customHeight="1">
      <c r="A94" s="104">
        <f t="shared" si="45"/>
        <v>53</v>
      </c>
      <c r="B94" s="105" t="str">
        <f t="shared" ca="1" si="43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05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06" t="str">
        <f>IF(C94&lt;&gt;"",
クライアント抽出!C24,"")</f>
        <v/>
      </c>
      <c r="I94" s="105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VLOOKUP("*"&amp;D94&amp;"*",商品マスタ一覧!D:H,5,FALSE)),"")</f>
        <v/>
      </c>
      <c r="O94" s="105">
        <f t="shared" ca="1" si="44"/>
        <v>0</v>
      </c>
      <c r="P94" s="105">
        <f t="shared" si="23"/>
        <v>0</v>
      </c>
      <c r="Q94" s="105" t="b">
        <f t="shared" si="24"/>
        <v>0</v>
      </c>
      <c r="R94" s="181" t="str">
        <f t="array" aca="1" ref="R94" ca="1">IFERROR(SMALL(IF(P$1:P$311&lt;&gt;0,P$1:P$311),ROW(A94)),"")</f>
        <v/>
      </c>
      <c r="S94" s="181" t="str">
        <f t="array" aca="1" ref="S94" ca="1">IF($R94&lt;&gt;"",
SUBSTITUTE(SUBSTITUTE(INDIRECT("C"&amp;$R94&amp;"")," 週3ｺｰｽ","")," 週5ｺｰｽ",""),"")</f>
        <v/>
      </c>
      <c r="T94" s="18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81" t="str">
        <f t="array" aca="1" ref="V94" ca="1">IF($R94&lt;&gt;"",
INDIRECT("G"&amp;$R94&amp;""),"")</f>
        <v/>
      </c>
      <c r="W94" s="181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81" t="str">
        <f t="array" aca="1" ref="X94" ca="1">IF($R94&lt;&gt;"",
INDIRECT(""&amp;IF(COLUMN(I94)&lt;=26,CHAR(COLUMN(I94)+64),CHAR(INT((COLUMN(I94)-1)/26)+64)&amp;CHAR(MOD(COLUMN(I94)-1,26)+65))&amp;$R94&amp;""),"")</f>
        <v/>
      </c>
      <c r="Y94" s="181" t="str">
        <f t="array" aca="1" ref="Y94" ca="1">IF($R94&lt;&gt;"",
INDIRECT(""&amp;IF(COLUMN(J94)&lt;=26,CHAR(COLUMN(J94)+64),CHAR(INT((COLUMN(J94)-1)/26)+64)&amp;CHAR(MOD(COLUMN(J94)-1,26)+65))&amp;$R94&amp;""),"")</f>
        <v/>
      </c>
      <c r="Z94" s="181" t="str">
        <f t="shared" ca="1" si="25"/>
        <v/>
      </c>
      <c r="AA94" s="181" t="str">
        <f t="shared" ca="1" si="26"/>
        <v/>
      </c>
      <c r="AB94" s="181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81" t="str">
        <f t="shared" ca="1" si="27"/>
        <v/>
      </c>
      <c r="AD94" s="181" t="str">
        <f t="shared" ca="1" si="28"/>
        <v/>
      </c>
      <c r="AE94" s="181" t="str">
        <f t="shared" ca="1" si="29"/>
        <v/>
      </c>
      <c r="AF94" s="181" t="str">
        <f t="shared" ca="1" si="30"/>
        <v/>
      </c>
      <c r="AG94" s="181" t="str">
        <f t="shared" ca="1" si="31"/>
        <v/>
      </c>
      <c r="AH94" s="185" t="str">
        <f t="shared" ca="1" si="32"/>
        <v/>
      </c>
      <c r="AI94" s="181" t="str">
        <f t="shared" ca="1" si="33"/>
        <v/>
      </c>
      <c r="AJ94" s="181" t="str">
        <f t="shared" ca="1" si="34"/>
        <v/>
      </c>
      <c r="AK94" s="181" t="str">
        <f t="shared" ca="1" si="35"/>
        <v/>
      </c>
      <c r="AL94" s="181" t="str">
        <f t="shared" ca="1" si="36"/>
        <v/>
      </c>
      <c r="AM94" s="181" t="str">
        <f t="shared" ca="1" si="37"/>
        <v/>
      </c>
      <c r="AN94" s="181" t="str">
        <f t="shared" ca="1" si="38"/>
        <v/>
      </c>
      <c r="AO94" s="181" t="str">
        <f t="shared" ca="1" si="39"/>
        <v/>
      </c>
      <c r="AP94" s="181" t="str">
        <f t="shared" ca="1" si="40"/>
        <v/>
      </c>
      <c r="AU94" s="181" t="str">
        <f t="shared" ca="1" si="41"/>
        <v/>
      </c>
    </row>
    <row r="95" spans="1:47" ht="22.2" customHeight="1">
      <c r="A95" s="104">
        <f t="shared" si="45"/>
        <v>55</v>
      </c>
      <c r="B95" s="105" t="str">
        <f t="shared" ca="1" si="43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05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06" t="str">
        <f>IF(C95&lt;&gt;"",
クライアント抽出!C25,"")</f>
        <v/>
      </c>
      <c r="I95" s="105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VLOOKUP("*"&amp;D95&amp;"*",商品マスタ一覧!D:H,5,FALSE)),"")</f>
        <v/>
      </c>
      <c r="O95" s="105">
        <f t="shared" ca="1" si="44"/>
        <v>0</v>
      </c>
      <c r="P95" s="105">
        <f t="shared" si="23"/>
        <v>0</v>
      </c>
      <c r="Q95" s="105" t="b">
        <f t="shared" si="24"/>
        <v>0</v>
      </c>
      <c r="R95" s="181" t="str">
        <f t="array" aca="1" ref="R95" ca="1">IFERROR(SMALL(IF(P$1:P$311&lt;&gt;0,P$1:P$311),ROW(A95)),"")</f>
        <v/>
      </c>
      <c r="S95" s="181" t="str">
        <f t="array" aca="1" ref="S95" ca="1">IF($R95&lt;&gt;"",
SUBSTITUTE(SUBSTITUTE(INDIRECT("C"&amp;$R95&amp;"")," 週3ｺｰｽ","")," 週5ｺｰｽ",""),"")</f>
        <v/>
      </c>
      <c r="T95" s="18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81" t="str">
        <f t="array" aca="1" ref="V95" ca="1">IF($R95&lt;&gt;"",
INDIRECT("G"&amp;$R95&amp;""),"")</f>
        <v/>
      </c>
      <c r="W95" s="181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81" t="str">
        <f t="array" aca="1" ref="X95" ca="1">IF($R95&lt;&gt;"",
INDIRECT(""&amp;IF(COLUMN(I95)&lt;=26,CHAR(COLUMN(I95)+64),CHAR(INT((COLUMN(I95)-1)/26)+64)&amp;CHAR(MOD(COLUMN(I95)-1,26)+65))&amp;$R95&amp;""),"")</f>
        <v/>
      </c>
      <c r="Y95" s="181" t="str">
        <f t="array" aca="1" ref="Y95" ca="1">IF($R95&lt;&gt;"",
INDIRECT(""&amp;IF(COLUMN(J95)&lt;=26,CHAR(COLUMN(J95)+64),CHAR(INT((COLUMN(J95)-1)/26)+64)&amp;CHAR(MOD(COLUMN(J95)-1,26)+65))&amp;$R95&amp;""),"")</f>
        <v/>
      </c>
      <c r="Z95" s="181" t="str">
        <f t="shared" ca="1" si="25"/>
        <v/>
      </c>
      <c r="AA95" s="181" t="str">
        <f t="shared" ca="1" si="26"/>
        <v/>
      </c>
      <c r="AB95" s="181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81" t="str">
        <f t="shared" ca="1" si="27"/>
        <v/>
      </c>
      <c r="AD95" s="181" t="str">
        <f t="shared" ca="1" si="28"/>
        <v/>
      </c>
      <c r="AE95" s="181" t="str">
        <f t="shared" ca="1" si="29"/>
        <v/>
      </c>
      <c r="AF95" s="181" t="str">
        <f t="shared" ca="1" si="30"/>
        <v/>
      </c>
      <c r="AG95" s="181" t="str">
        <f t="shared" ca="1" si="31"/>
        <v/>
      </c>
      <c r="AH95" s="185" t="str">
        <f t="shared" ca="1" si="32"/>
        <v/>
      </c>
      <c r="AI95" s="181" t="str">
        <f t="shared" ca="1" si="33"/>
        <v/>
      </c>
      <c r="AJ95" s="181" t="str">
        <f t="shared" ca="1" si="34"/>
        <v/>
      </c>
      <c r="AK95" s="181" t="str">
        <f t="shared" ca="1" si="35"/>
        <v/>
      </c>
      <c r="AL95" s="181" t="str">
        <f t="shared" ca="1" si="36"/>
        <v/>
      </c>
      <c r="AM95" s="181" t="str">
        <f t="shared" ca="1" si="37"/>
        <v/>
      </c>
      <c r="AN95" s="181" t="str">
        <f t="shared" ca="1" si="38"/>
        <v/>
      </c>
      <c r="AO95" s="181" t="str">
        <f t="shared" ca="1" si="39"/>
        <v/>
      </c>
      <c r="AP95" s="181" t="str">
        <f t="shared" ca="1" si="40"/>
        <v/>
      </c>
      <c r="AU95" s="181" t="str">
        <f t="shared" ca="1" si="41"/>
        <v/>
      </c>
    </row>
    <row r="96" spans="1:47" ht="22.2" customHeight="1">
      <c r="A96" s="104">
        <f t="shared" si="45"/>
        <v>57</v>
      </c>
      <c r="B96" s="105" t="str">
        <f t="shared" ca="1" si="43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05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06" t="str">
        <f>IF(C96&lt;&gt;"",
クライアント抽出!C26,"")</f>
        <v/>
      </c>
      <c r="I96" s="105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VLOOKUP("*"&amp;D96&amp;"*",商品マスタ一覧!D:H,5,FALSE)),"")</f>
        <v/>
      </c>
      <c r="O96" s="105">
        <f t="shared" ca="1" si="44"/>
        <v>0</v>
      </c>
      <c r="P96" s="105">
        <f t="shared" si="23"/>
        <v>0</v>
      </c>
      <c r="Q96" s="105" t="b">
        <f t="shared" si="24"/>
        <v>0</v>
      </c>
      <c r="R96" s="181" t="str">
        <f t="array" aca="1" ref="R96" ca="1">IFERROR(SMALL(IF(P$1:P$311&lt;&gt;0,P$1:P$311),ROW(A96)),"")</f>
        <v/>
      </c>
      <c r="S96" s="181" t="str">
        <f t="array" aca="1" ref="S96" ca="1">IF($R96&lt;&gt;"",
SUBSTITUTE(SUBSTITUTE(INDIRECT("C"&amp;$R96&amp;"")," 週3ｺｰｽ","")," 週5ｺｰｽ",""),"")</f>
        <v/>
      </c>
      <c r="T96" s="18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81" t="str">
        <f t="array" aca="1" ref="V96" ca="1">IF($R96&lt;&gt;"",
INDIRECT("G"&amp;$R96&amp;""),"")</f>
        <v/>
      </c>
      <c r="W96" s="181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81" t="str">
        <f t="array" aca="1" ref="X96" ca="1">IF($R96&lt;&gt;"",
INDIRECT(""&amp;IF(COLUMN(I96)&lt;=26,CHAR(COLUMN(I96)+64),CHAR(INT((COLUMN(I96)-1)/26)+64)&amp;CHAR(MOD(COLUMN(I96)-1,26)+65))&amp;$R96&amp;""),"")</f>
        <v/>
      </c>
      <c r="Y96" s="181" t="str">
        <f t="array" aca="1" ref="Y96" ca="1">IF($R96&lt;&gt;"",
INDIRECT(""&amp;IF(COLUMN(J96)&lt;=26,CHAR(COLUMN(J96)+64),CHAR(INT((COLUMN(J96)-1)/26)+64)&amp;CHAR(MOD(COLUMN(J96)-1,26)+65))&amp;$R96&amp;""),"")</f>
        <v/>
      </c>
      <c r="Z96" s="181" t="str">
        <f t="shared" ca="1" si="25"/>
        <v/>
      </c>
      <c r="AA96" s="181" t="str">
        <f t="shared" ca="1" si="26"/>
        <v/>
      </c>
      <c r="AB96" s="181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81" t="str">
        <f t="shared" ca="1" si="27"/>
        <v/>
      </c>
      <c r="AD96" s="181" t="str">
        <f t="shared" ca="1" si="28"/>
        <v/>
      </c>
      <c r="AE96" s="181" t="str">
        <f t="shared" ca="1" si="29"/>
        <v/>
      </c>
      <c r="AF96" s="181" t="str">
        <f t="shared" ca="1" si="30"/>
        <v/>
      </c>
      <c r="AG96" s="181" t="str">
        <f t="shared" ca="1" si="31"/>
        <v/>
      </c>
      <c r="AH96" s="185" t="str">
        <f t="shared" ca="1" si="32"/>
        <v/>
      </c>
      <c r="AI96" s="181" t="str">
        <f t="shared" ca="1" si="33"/>
        <v/>
      </c>
      <c r="AJ96" s="181" t="str">
        <f t="shared" ca="1" si="34"/>
        <v/>
      </c>
      <c r="AK96" s="181" t="str">
        <f t="shared" ca="1" si="35"/>
        <v/>
      </c>
      <c r="AL96" s="181" t="str">
        <f t="shared" ca="1" si="36"/>
        <v/>
      </c>
      <c r="AM96" s="181" t="str">
        <f t="shared" ca="1" si="37"/>
        <v/>
      </c>
      <c r="AN96" s="181" t="str">
        <f t="shared" ca="1" si="38"/>
        <v/>
      </c>
      <c r="AO96" s="181" t="str">
        <f t="shared" ca="1" si="39"/>
        <v/>
      </c>
      <c r="AP96" s="181" t="str">
        <f t="shared" ca="1" si="40"/>
        <v/>
      </c>
      <c r="AU96" s="181" t="str">
        <f t="shared" ca="1" si="41"/>
        <v/>
      </c>
    </row>
    <row r="97" spans="1:47" ht="22.2" customHeight="1">
      <c r="A97" s="104">
        <f t="shared" si="45"/>
        <v>59</v>
      </c>
      <c r="B97" s="105" t="str">
        <f t="shared" ca="1" si="43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05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06" t="str">
        <f>IF(C97&lt;&gt;"",
クライアント抽出!C27,"")</f>
        <v/>
      </c>
      <c r="I97" s="105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VLOOKUP("*"&amp;D97&amp;"*",商品マスタ一覧!D:H,5,FALSE)),"")</f>
        <v/>
      </c>
      <c r="O97" s="105">
        <f t="shared" ca="1" si="44"/>
        <v>0</v>
      </c>
      <c r="P97" s="105">
        <f t="shared" si="23"/>
        <v>0</v>
      </c>
      <c r="Q97" s="105" t="b">
        <f t="shared" si="24"/>
        <v>0</v>
      </c>
      <c r="R97" s="181" t="str">
        <f t="array" aca="1" ref="R97" ca="1">IFERROR(SMALL(IF(P$1:P$311&lt;&gt;0,P$1:P$311),ROW(A97)),"")</f>
        <v/>
      </c>
      <c r="S97" s="181" t="str">
        <f t="array" aca="1" ref="S97" ca="1">IF($R97&lt;&gt;"",
SUBSTITUTE(SUBSTITUTE(INDIRECT("C"&amp;$R97&amp;"")," 週3ｺｰｽ","")," 週5ｺｰｽ",""),"")</f>
        <v/>
      </c>
      <c r="T97" s="18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81" t="str">
        <f t="array" aca="1" ref="V97" ca="1">IF($R97&lt;&gt;"",
INDIRECT("G"&amp;$R97&amp;""),"")</f>
        <v/>
      </c>
      <c r="W97" s="181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81" t="str">
        <f t="array" aca="1" ref="X97" ca="1">IF($R97&lt;&gt;"",
INDIRECT(""&amp;IF(COLUMN(I97)&lt;=26,CHAR(COLUMN(I97)+64),CHAR(INT((COLUMN(I97)-1)/26)+64)&amp;CHAR(MOD(COLUMN(I97)-1,26)+65))&amp;$R97&amp;""),"")</f>
        <v/>
      </c>
      <c r="Y97" s="181" t="str">
        <f t="array" aca="1" ref="Y97" ca="1">IF($R97&lt;&gt;"",
INDIRECT(""&amp;IF(COLUMN(J97)&lt;=26,CHAR(COLUMN(J97)+64),CHAR(INT((COLUMN(J97)-1)/26)+64)&amp;CHAR(MOD(COLUMN(J97)-1,26)+65))&amp;$R97&amp;""),"")</f>
        <v/>
      </c>
      <c r="Z97" s="181" t="str">
        <f t="shared" ca="1" si="25"/>
        <v/>
      </c>
      <c r="AA97" s="181" t="str">
        <f t="shared" ca="1" si="26"/>
        <v/>
      </c>
      <c r="AB97" s="181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81" t="str">
        <f t="shared" ca="1" si="27"/>
        <v/>
      </c>
      <c r="AD97" s="181" t="str">
        <f t="shared" ca="1" si="28"/>
        <v/>
      </c>
      <c r="AE97" s="181" t="str">
        <f t="shared" ca="1" si="29"/>
        <v/>
      </c>
      <c r="AF97" s="181" t="str">
        <f t="shared" ca="1" si="30"/>
        <v/>
      </c>
      <c r="AG97" s="181" t="str">
        <f t="shared" ca="1" si="31"/>
        <v/>
      </c>
      <c r="AH97" s="185" t="str">
        <f t="shared" ca="1" si="32"/>
        <v/>
      </c>
      <c r="AI97" s="181" t="str">
        <f t="shared" ca="1" si="33"/>
        <v/>
      </c>
      <c r="AJ97" s="181" t="str">
        <f t="shared" ca="1" si="34"/>
        <v/>
      </c>
      <c r="AK97" s="181" t="str">
        <f t="shared" ca="1" si="35"/>
        <v/>
      </c>
      <c r="AL97" s="181" t="str">
        <f t="shared" ca="1" si="36"/>
        <v/>
      </c>
      <c r="AM97" s="181" t="str">
        <f t="shared" ca="1" si="37"/>
        <v/>
      </c>
      <c r="AN97" s="181" t="str">
        <f t="shared" ca="1" si="38"/>
        <v/>
      </c>
      <c r="AO97" s="181" t="str">
        <f t="shared" ca="1" si="39"/>
        <v/>
      </c>
      <c r="AP97" s="181" t="str">
        <f t="shared" ca="1" si="40"/>
        <v/>
      </c>
      <c r="AU97" s="181" t="str">
        <f t="shared" ca="1" si="41"/>
        <v/>
      </c>
    </row>
    <row r="98" spans="1:47" ht="22.2" customHeight="1">
      <c r="A98" s="104">
        <f t="shared" si="45"/>
        <v>61</v>
      </c>
      <c r="B98" s="105" t="str">
        <f t="shared" ca="1" si="43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05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06" t="str">
        <f>IF(C98&lt;&gt;"",
クライアント抽出!C28,"")</f>
        <v/>
      </c>
      <c r="I98" s="105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VLOOKUP("*"&amp;D98&amp;"*",商品マスタ一覧!D:H,5,FALSE)),"")</f>
        <v/>
      </c>
      <c r="O98" s="105">
        <f t="shared" ca="1" si="44"/>
        <v>0</v>
      </c>
      <c r="P98" s="105">
        <f t="shared" si="23"/>
        <v>0</v>
      </c>
      <c r="Q98" s="105" t="b">
        <f t="shared" si="24"/>
        <v>0</v>
      </c>
      <c r="R98" s="181" t="str">
        <f t="array" aca="1" ref="R98" ca="1">IFERROR(SMALL(IF(P$1:P$311&lt;&gt;0,P$1:P$311),ROW(A98)),"")</f>
        <v/>
      </c>
      <c r="S98" s="181" t="str">
        <f t="array" aca="1" ref="S98" ca="1">IF($R98&lt;&gt;"",
SUBSTITUTE(SUBSTITUTE(INDIRECT("C"&amp;$R98&amp;"")," 週3ｺｰｽ","")," 週5ｺｰｽ",""),"")</f>
        <v/>
      </c>
      <c r="T98" s="18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81" t="str">
        <f t="array" aca="1" ref="V98" ca="1">IF($R98&lt;&gt;"",
INDIRECT("G"&amp;$R98&amp;""),"")</f>
        <v/>
      </c>
      <c r="W98" s="181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81" t="str">
        <f t="array" aca="1" ref="X98" ca="1">IF($R98&lt;&gt;"",
INDIRECT(""&amp;IF(COLUMN(I98)&lt;=26,CHAR(COLUMN(I98)+64),CHAR(INT((COLUMN(I98)-1)/26)+64)&amp;CHAR(MOD(COLUMN(I98)-1,26)+65))&amp;$R98&amp;""),"")</f>
        <v/>
      </c>
      <c r="Y98" s="181" t="str">
        <f t="array" aca="1" ref="Y98" ca="1">IF($R98&lt;&gt;"",
INDIRECT(""&amp;IF(COLUMN(J98)&lt;=26,CHAR(COLUMN(J98)+64),CHAR(INT((COLUMN(J98)-1)/26)+64)&amp;CHAR(MOD(COLUMN(J98)-1,26)+65))&amp;$R98&amp;""),"")</f>
        <v/>
      </c>
      <c r="Z98" s="181" t="str">
        <f t="shared" ca="1" si="25"/>
        <v/>
      </c>
      <c r="AA98" s="181" t="str">
        <f t="shared" ca="1" si="26"/>
        <v/>
      </c>
      <c r="AB98" s="181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81" t="str">
        <f t="shared" ca="1" si="27"/>
        <v/>
      </c>
      <c r="AD98" s="181" t="str">
        <f t="shared" ca="1" si="28"/>
        <v/>
      </c>
      <c r="AE98" s="181" t="str">
        <f t="shared" ca="1" si="29"/>
        <v/>
      </c>
      <c r="AF98" s="181" t="str">
        <f t="shared" ca="1" si="30"/>
        <v/>
      </c>
      <c r="AG98" s="181" t="str">
        <f t="shared" ca="1" si="31"/>
        <v/>
      </c>
      <c r="AH98" s="185" t="str">
        <f t="shared" ca="1" si="32"/>
        <v/>
      </c>
      <c r="AI98" s="181" t="str">
        <f t="shared" ca="1" si="33"/>
        <v/>
      </c>
      <c r="AJ98" s="181" t="str">
        <f t="shared" ca="1" si="34"/>
        <v/>
      </c>
      <c r="AK98" s="181" t="str">
        <f t="shared" ca="1" si="35"/>
        <v/>
      </c>
      <c r="AL98" s="181" t="str">
        <f t="shared" ca="1" si="36"/>
        <v/>
      </c>
      <c r="AM98" s="181" t="str">
        <f t="shared" ca="1" si="37"/>
        <v/>
      </c>
      <c r="AN98" s="181" t="str">
        <f t="shared" ca="1" si="38"/>
        <v/>
      </c>
      <c r="AO98" s="181" t="str">
        <f t="shared" ca="1" si="39"/>
        <v/>
      </c>
      <c r="AP98" s="181" t="str">
        <f t="shared" ca="1" si="40"/>
        <v/>
      </c>
      <c r="AU98" s="181" t="str">
        <f t="shared" ca="1" si="41"/>
        <v/>
      </c>
    </row>
    <row r="99" spans="1:47" ht="22.2" customHeight="1">
      <c r="A99" s="104">
        <f t="shared" si="45"/>
        <v>63</v>
      </c>
      <c r="B99" s="105" t="str">
        <f t="shared" ca="1" si="43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05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06" t="str">
        <f>IF(C99&lt;&gt;"",
クライアント抽出!C29,"")</f>
        <v/>
      </c>
      <c r="I99" s="105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VLOOKUP("*"&amp;D99&amp;"*",商品マスタ一覧!D:H,5,FALSE)),"")</f>
        <v/>
      </c>
      <c r="O99" s="105">
        <f t="shared" ca="1" si="44"/>
        <v>0</v>
      </c>
      <c r="P99" s="105">
        <f t="shared" si="23"/>
        <v>0</v>
      </c>
      <c r="Q99" s="105" t="b">
        <f t="shared" si="24"/>
        <v>0</v>
      </c>
      <c r="R99" s="181" t="str">
        <f t="array" aca="1" ref="R99" ca="1">IFERROR(SMALL(IF(P$1:P$311&lt;&gt;0,P$1:P$311),ROW(A99)),"")</f>
        <v/>
      </c>
      <c r="S99" s="181" t="str">
        <f t="array" aca="1" ref="S99" ca="1">IF($R99&lt;&gt;"",
SUBSTITUTE(SUBSTITUTE(INDIRECT("C"&amp;$R99&amp;"")," 週3ｺｰｽ","")," 週5ｺｰｽ",""),"")</f>
        <v/>
      </c>
      <c r="T99" s="18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81" t="str">
        <f t="array" aca="1" ref="V99" ca="1">IF($R99&lt;&gt;"",
INDIRECT("G"&amp;$R99&amp;""),"")</f>
        <v/>
      </c>
      <c r="W99" s="181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81" t="str">
        <f t="array" aca="1" ref="X99" ca="1">IF($R99&lt;&gt;"",
INDIRECT(""&amp;IF(COLUMN(I99)&lt;=26,CHAR(COLUMN(I99)+64),CHAR(INT((COLUMN(I99)-1)/26)+64)&amp;CHAR(MOD(COLUMN(I99)-1,26)+65))&amp;$R99&amp;""),"")</f>
        <v/>
      </c>
      <c r="Y99" s="181" t="str">
        <f t="array" aca="1" ref="Y99" ca="1">IF($R99&lt;&gt;"",
INDIRECT(""&amp;IF(COLUMN(J99)&lt;=26,CHAR(COLUMN(J99)+64),CHAR(INT((COLUMN(J99)-1)/26)+64)&amp;CHAR(MOD(COLUMN(J99)-1,26)+65))&amp;$R99&amp;""),"")</f>
        <v/>
      </c>
      <c r="Z99" s="181" t="str">
        <f t="shared" ca="1" si="25"/>
        <v/>
      </c>
      <c r="AA99" s="181" t="str">
        <f t="shared" ca="1" si="26"/>
        <v/>
      </c>
      <c r="AB99" s="181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81" t="str">
        <f t="shared" ca="1" si="27"/>
        <v/>
      </c>
      <c r="AD99" s="181" t="str">
        <f t="shared" ca="1" si="28"/>
        <v/>
      </c>
      <c r="AE99" s="181" t="str">
        <f t="shared" ca="1" si="29"/>
        <v/>
      </c>
      <c r="AF99" s="181" t="str">
        <f t="shared" ca="1" si="30"/>
        <v/>
      </c>
      <c r="AG99" s="181" t="str">
        <f t="shared" ca="1" si="31"/>
        <v/>
      </c>
      <c r="AH99" s="185" t="str">
        <f t="shared" ca="1" si="32"/>
        <v/>
      </c>
      <c r="AI99" s="181" t="str">
        <f t="shared" ca="1" si="33"/>
        <v/>
      </c>
      <c r="AJ99" s="181" t="str">
        <f t="shared" ca="1" si="34"/>
        <v/>
      </c>
      <c r="AK99" s="181" t="str">
        <f t="shared" ca="1" si="35"/>
        <v/>
      </c>
      <c r="AL99" s="181" t="str">
        <f t="shared" ca="1" si="36"/>
        <v/>
      </c>
      <c r="AM99" s="181" t="str">
        <f t="shared" ca="1" si="37"/>
        <v/>
      </c>
      <c r="AN99" s="181" t="str">
        <f t="shared" ca="1" si="38"/>
        <v/>
      </c>
      <c r="AO99" s="181" t="str">
        <f t="shared" ca="1" si="39"/>
        <v/>
      </c>
      <c r="AP99" s="181" t="str">
        <f t="shared" ca="1" si="40"/>
        <v/>
      </c>
      <c r="AU99" s="181" t="str">
        <f t="shared" ca="1" si="41"/>
        <v/>
      </c>
    </row>
    <row r="100" spans="1:47" ht="22.2" customHeight="1">
      <c r="A100" s="104">
        <f t="shared" si="45"/>
        <v>65</v>
      </c>
      <c r="B100" s="105" t="str">
        <f t="shared" ca="1" si="43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05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06" t="str">
        <f>IF(C100&lt;&gt;"",
クライアント抽出!C30,"")</f>
        <v/>
      </c>
      <c r="I100" s="105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VLOOKUP("*"&amp;D100&amp;"*",商品マスタ一覧!D:H,5,FALSE)),"")</f>
        <v/>
      </c>
      <c r="O100" s="105">
        <f t="shared" ca="1" si="44"/>
        <v>0</v>
      </c>
      <c r="P100" s="105">
        <f t="shared" si="23"/>
        <v>0</v>
      </c>
      <c r="Q100" s="105" t="b">
        <f t="shared" si="24"/>
        <v>0</v>
      </c>
      <c r="R100" s="181" t="str">
        <f t="array" aca="1" ref="R100" ca="1">IFERROR(SMALL(IF(P$1:P$311&lt;&gt;0,P$1:P$311),ROW(A100)),"")</f>
        <v/>
      </c>
      <c r="S100" s="181" t="str">
        <f t="array" aca="1" ref="S100" ca="1">IF($R100&lt;&gt;"",
SUBSTITUTE(SUBSTITUTE(INDIRECT("C"&amp;$R100&amp;"")," 週3ｺｰｽ","")," 週5ｺｰｽ",""),"")</f>
        <v/>
      </c>
      <c r="T100" s="18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81" t="str">
        <f t="array" aca="1" ref="V100" ca="1">IF($R100&lt;&gt;"",
INDIRECT("G"&amp;$R100&amp;""),"")</f>
        <v/>
      </c>
      <c r="W100" s="181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8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8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81" t="str">
        <f t="shared" ca="1" si="25"/>
        <v/>
      </c>
      <c r="AA100" s="181" t="str">
        <f t="shared" ca="1" si="26"/>
        <v/>
      </c>
      <c r="AB100" s="181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81" t="str">
        <f t="shared" ca="1" si="27"/>
        <v/>
      </c>
      <c r="AD100" s="181" t="str">
        <f t="shared" ca="1" si="28"/>
        <v/>
      </c>
      <c r="AE100" s="181" t="str">
        <f t="shared" ca="1" si="29"/>
        <v/>
      </c>
      <c r="AF100" s="181" t="str">
        <f t="shared" ca="1" si="30"/>
        <v/>
      </c>
      <c r="AG100" s="181" t="str">
        <f t="shared" ca="1" si="31"/>
        <v/>
      </c>
      <c r="AH100" s="185" t="str">
        <f t="shared" ca="1" si="32"/>
        <v/>
      </c>
      <c r="AI100" s="181" t="str">
        <f t="shared" ca="1" si="33"/>
        <v/>
      </c>
      <c r="AJ100" s="181" t="str">
        <f t="shared" ca="1" si="34"/>
        <v/>
      </c>
      <c r="AK100" s="181" t="str">
        <f t="shared" ca="1" si="35"/>
        <v/>
      </c>
      <c r="AL100" s="181" t="str">
        <f t="shared" ca="1" si="36"/>
        <v/>
      </c>
      <c r="AM100" s="181" t="str">
        <f t="shared" ca="1" si="37"/>
        <v/>
      </c>
      <c r="AN100" s="181" t="str">
        <f t="shared" ca="1" si="38"/>
        <v/>
      </c>
      <c r="AO100" s="181" t="str">
        <f t="shared" ca="1" si="39"/>
        <v/>
      </c>
      <c r="AP100" s="181" t="str">
        <f t="shared" ca="1" si="40"/>
        <v/>
      </c>
      <c r="AU100" s="181" t="str">
        <f t="shared" ca="1" si="41"/>
        <v/>
      </c>
    </row>
    <row r="101" spans="1:47" ht="22.2" customHeight="1">
      <c r="A101" s="104">
        <f t="shared" si="45"/>
        <v>67</v>
      </c>
      <c r="B101" s="105" t="str">
        <f t="shared" ca="1" si="43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05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06" t="str">
        <f>IF(C101&lt;&gt;"",
クライアント抽出!C31,"")</f>
        <v/>
      </c>
      <c r="I101" s="105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VLOOKUP("*"&amp;D101&amp;"*",商品マスタ一覧!D:H,5,FALSE)),"")</f>
        <v/>
      </c>
      <c r="O101" s="105">
        <f t="shared" ca="1" si="44"/>
        <v>0</v>
      </c>
      <c r="P101" s="105">
        <f t="shared" si="23"/>
        <v>0</v>
      </c>
      <c r="Q101" s="105" t="b">
        <f t="shared" si="24"/>
        <v>0</v>
      </c>
      <c r="R101" s="181" t="str">
        <f t="array" aca="1" ref="R101" ca="1">IFERROR(SMALL(IF(P$1:P$311&lt;&gt;0,P$1:P$311),ROW(A101)),"")</f>
        <v/>
      </c>
      <c r="S101" s="181" t="str">
        <f t="array" aca="1" ref="S101" ca="1">IF($R101&lt;&gt;"",
SUBSTITUTE(SUBSTITUTE(INDIRECT("C"&amp;$R101&amp;"")," 週3ｺｰｽ","")," 週5ｺｰｽ",""),"")</f>
        <v/>
      </c>
      <c r="T101" s="18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81" t="str">
        <f t="array" aca="1" ref="V101" ca="1">IF($R101&lt;&gt;"",
INDIRECT("G"&amp;$R101&amp;""),"")</f>
        <v/>
      </c>
      <c r="W101" s="181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8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8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81" t="str">
        <f t="shared" ca="1" si="25"/>
        <v/>
      </c>
      <c r="AA101" s="181" t="str">
        <f t="shared" ca="1" si="26"/>
        <v/>
      </c>
      <c r="AB101" s="181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81" t="str">
        <f t="shared" ca="1" si="27"/>
        <v/>
      </c>
      <c r="AD101" s="181" t="str">
        <f t="shared" ca="1" si="28"/>
        <v/>
      </c>
      <c r="AE101" s="181" t="str">
        <f t="shared" ca="1" si="29"/>
        <v/>
      </c>
      <c r="AF101" s="181" t="str">
        <f t="shared" ca="1" si="30"/>
        <v/>
      </c>
      <c r="AG101" s="181" t="str">
        <f t="shared" ca="1" si="31"/>
        <v/>
      </c>
      <c r="AH101" s="185" t="str">
        <f t="shared" ca="1" si="32"/>
        <v/>
      </c>
      <c r="AI101" s="181" t="str">
        <f t="shared" ca="1" si="33"/>
        <v/>
      </c>
      <c r="AJ101" s="181" t="str">
        <f t="shared" ca="1" si="34"/>
        <v/>
      </c>
      <c r="AK101" s="181" t="str">
        <f t="shared" ca="1" si="35"/>
        <v/>
      </c>
      <c r="AL101" s="181" t="str">
        <f t="shared" ca="1" si="36"/>
        <v/>
      </c>
      <c r="AM101" s="181" t="str">
        <f t="shared" ca="1" si="37"/>
        <v/>
      </c>
      <c r="AN101" s="181" t="str">
        <f t="shared" ca="1" si="38"/>
        <v/>
      </c>
      <c r="AO101" s="181" t="str">
        <f t="shared" ca="1" si="39"/>
        <v/>
      </c>
      <c r="AP101" s="181" t="str">
        <f t="shared" ca="1" si="40"/>
        <v/>
      </c>
      <c r="AU101" s="181" t="str">
        <f t="shared" ca="1" si="41"/>
        <v/>
      </c>
    </row>
    <row r="102" spans="1:47" ht="22.2" customHeight="1">
      <c r="A102" s="104">
        <f t="shared" si="45"/>
        <v>69</v>
      </c>
      <c r="B102" s="105" t="str">
        <f t="shared" ca="1" si="43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05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06" t="str">
        <f>IF(C102&lt;&gt;"",
クライアント抽出!C32,"")</f>
        <v/>
      </c>
      <c r="I102" s="105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VLOOKUP("*"&amp;D102&amp;"*",商品マスタ一覧!D:H,5,FALSE)),"")</f>
        <v/>
      </c>
      <c r="O102" s="105">
        <f t="shared" ca="1" si="44"/>
        <v>0</v>
      </c>
      <c r="P102" s="105">
        <f t="shared" si="23"/>
        <v>0</v>
      </c>
      <c r="Q102" s="105" t="b">
        <f t="shared" si="24"/>
        <v>0</v>
      </c>
      <c r="R102" s="181" t="str">
        <f t="array" aca="1" ref="R102" ca="1">IFERROR(SMALL(IF(P$1:P$311&lt;&gt;0,P$1:P$311),ROW(A102)),"")</f>
        <v/>
      </c>
      <c r="S102" s="181" t="str">
        <f t="array" aca="1" ref="S102" ca="1">IF($R102&lt;&gt;"",
SUBSTITUTE(SUBSTITUTE(INDIRECT("C"&amp;$R102&amp;"")," 週3ｺｰｽ","")," 週5ｺｰｽ",""),"")</f>
        <v/>
      </c>
      <c r="T102" s="18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81" t="str">
        <f t="array" aca="1" ref="V102" ca="1">IF($R102&lt;&gt;"",
INDIRECT("G"&amp;$R102&amp;""),"")</f>
        <v/>
      </c>
      <c r="W102" s="181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8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8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81" t="str">
        <f t="shared" ca="1" si="25"/>
        <v/>
      </c>
      <c r="AA102" s="181" t="str">
        <f t="shared" ca="1" si="26"/>
        <v/>
      </c>
      <c r="AB102" s="181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81" t="str">
        <f t="shared" ca="1" si="27"/>
        <v/>
      </c>
      <c r="AD102" s="181" t="str">
        <f t="shared" ca="1" si="28"/>
        <v/>
      </c>
      <c r="AE102" s="181" t="str">
        <f t="shared" ca="1" si="29"/>
        <v/>
      </c>
      <c r="AF102" s="181" t="str">
        <f t="shared" ca="1" si="30"/>
        <v/>
      </c>
      <c r="AG102" s="181" t="str">
        <f t="shared" ca="1" si="31"/>
        <v/>
      </c>
      <c r="AH102" s="185" t="str">
        <f t="shared" ca="1" si="32"/>
        <v/>
      </c>
      <c r="AI102" s="181" t="str">
        <f t="shared" ca="1" si="33"/>
        <v/>
      </c>
      <c r="AJ102" s="181" t="str">
        <f t="shared" ca="1" si="34"/>
        <v/>
      </c>
      <c r="AK102" s="181" t="str">
        <f t="shared" ca="1" si="35"/>
        <v/>
      </c>
      <c r="AL102" s="181" t="str">
        <f t="shared" ca="1" si="36"/>
        <v/>
      </c>
      <c r="AM102" s="181" t="str">
        <f t="shared" ca="1" si="37"/>
        <v/>
      </c>
      <c r="AN102" s="181" t="str">
        <f t="shared" ca="1" si="38"/>
        <v/>
      </c>
      <c r="AO102" s="181" t="str">
        <f t="shared" ca="1" si="39"/>
        <v/>
      </c>
      <c r="AP102" s="181" t="str">
        <f t="shared" ca="1" si="40"/>
        <v/>
      </c>
      <c r="AU102" s="181" t="str">
        <f t="shared" ca="1" si="41"/>
        <v/>
      </c>
    </row>
    <row r="103" spans="1:47" ht="22.2" customHeight="1">
      <c r="A103" s="104">
        <f t="shared" si="45"/>
        <v>71</v>
      </c>
      <c r="B103" s="105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05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06" t="str">
        <f>IF(C103&lt;&gt;"",
クライアント抽出!C33,"")</f>
        <v/>
      </c>
      <c r="I103" s="105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VLOOKUP("*"&amp;D103&amp;"*",商品マスタ一覧!D:H,5,FALSE)),"")</f>
        <v/>
      </c>
      <c r="O103" s="105">
        <f t="shared" ref="O103:O134" ca="1" si="47">O33</f>
        <v>0</v>
      </c>
      <c r="P103" s="105">
        <f t="shared" si="23"/>
        <v>0</v>
      </c>
      <c r="Q103" s="105" t="b">
        <f t="shared" si="24"/>
        <v>0</v>
      </c>
      <c r="R103" s="181" t="str">
        <f t="array" aca="1" ref="R103" ca="1">IFERROR(SMALL(IF(P$1:P$311&lt;&gt;0,P$1:P$311),ROW(A103)),"")</f>
        <v/>
      </c>
      <c r="S103" s="181" t="str">
        <f t="array" aca="1" ref="S103" ca="1">IF($R103&lt;&gt;"",
SUBSTITUTE(SUBSTITUTE(INDIRECT("C"&amp;$R103&amp;"")," 週3ｺｰｽ","")," 週5ｺｰｽ",""),"")</f>
        <v/>
      </c>
      <c r="T103" s="18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81" t="str">
        <f t="array" aca="1" ref="V103" ca="1">IF($R103&lt;&gt;"",
INDIRECT("G"&amp;$R103&amp;""),"")</f>
        <v/>
      </c>
      <c r="W103" s="181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8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8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81" t="str">
        <f t="shared" ca="1" si="25"/>
        <v/>
      </c>
      <c r="AA103" s="181" t="str">
        <f t="shared" ca="1" si="26"/>
        <v/>
      </c>
      <c r="AB103" s="181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81" t="str">
        <f t="shared" ca="1" si="27"/>
        <v/>
      </c>
      <c r="AD103" s="181" t="str">
        <f t="shared" ca="1" si="28"/>
        <v/>
      </c>
      <c r="AE103" s="181" t="str">
        <f t="shared" ca="1" si="29"/>
        <v/>
      </c>
      <c r="AF103" s="181" t="str">
        <f t="shared" ca="1" si="30"/>
        <v/>
      </c>
      <c r="AG103" s="181" t="str">
        <f t="shared" ca="1" si="31"/>
        <v/>
      </c>
      <c r="AH103" s="185" t="str">
        <f t="shared" ca="1" si="32"/>
        <v/>
      </c>
      <c r="AI103" s="181" t="str">
        <f t="shared" ca="1" si="33"/>
        <v/>
      </c>
      <c r="AJ103" s="181" t="str">
        <f t="shared" ca="1" si="34"/>
        <v/>
      </c>
      <c r="AK103" s="181" t="str">
        <f t="shared" ca="1" si="35"/>
        <v/>
      </c>
      <c r="AL103" s="181" t="str">
        <f t="shared" ca="1" si="36"/>
        <v/>
      </c>
      <c r="AM103" s="181" t="str">
        <f t="shared" ca="1" si="37"/>
        <v/>
      </c>
      <c r="AN103" s="181" t="str">
        <f t="shared" ca="1" si="38"/>
        <v/>
      </c>
      <c r="AO103" s="181" t="str">
        <f t="shared" ca="1" si="39"/>
        <v/>
      </c>
      <c r="AP103" s="181" t="str">
        <f t="shared" ca="1" si="40"/>
        <v/>
      </c>
      <c r="AU103" s="181" t="str">
        <f t="shared" ca="1" si="41"/>
        <v/>
      </c>
    </row>
    <row r="104" spans="1:47" ht="22.2" customHeight="1">
      <c r="A104" s="104">
        <f t="shared" ref="A104:A140" si="48">A103+2</f>
        <v>73</v>
      </c>
      <c r="B104" s="105" t="str">
        <f t="shared" ca="1" si="46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05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06" t="str">
        <f>IF(C104&lt;&gt;"",
クライアント抽出!C34,"")</f>
        <v/>
      </c>
      <c r="I104" s="105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VLOOKUP("*"&amp;D104&amp;"*",商品マスタ一覧!D:H,5,FALSE)),"")</f>
        <v/>
      </c>
      <c r="O104" s="105">
        <f t="shared" ca="1" si="47"/>
        <v>0</v>
      </c>
      <c r="P104" s="105">
        <f t="shared" si="23"/>
        <v>0</v>
      </c>
      <c r="Q104" s="105" t="b">
        <f t="shared" si="24"/>
        <v>0</v>
      </c>
      <c r="R104" s="181" t="str">
        <f t="array" aca="1" ref="R104" ca="1">IFERROR(SMALL(IF(P$1:P$311&lt;&gt;0,P$1:P$311),ROW(A104)),"")</f>
        <v/>
      </c>
      <c r="S104" s="181" t="str">
        <f t="array" aca="1" ref="S104" ca="1">IF($R104&lt;&gt;"",
SUBSTITUTE(SUBSTITUTE(INDIRECT("C"&amp;$R104&amp;"")," 週3ｺｰｽ","")," 週5ｺｰｽ",""),"")</f>
        <v/>
      </c>
      <c r="T104" s="18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81" t="str">
        <f t="array" aca="1" ref="V104" ca="1">IF($R104&lt;&gt;"",
INDIRECT("G"&amp;$R104&amp;""),"")</f>
        <v/>
      </c>
      <c r="W104" s="181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8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8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81" t="str">
        <f t="shared" ca="1" si="25"/>
        <v/>
      </c>
      <c r="AA104" s="181" t="str">
        <f t="shared" ca="1" si="26"/>
        <v/>
      </c>
      <c r="AB104" s="181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81" t="str">
        <f t="shared" ca="1" si="27"/>
        <v/>
      </c>
      <c r="AD104" s="181" t="str">
        <f t="shared" ca="1" si="28"/>
        <v/>
      </c>
      <c r="AE104" s="181" t="str">
        <f t="shared" ca="1" si="29"/>
        <v/>
      </c>
      <c r="AF104" s="181" t="str">
        <f t="shared" ca="1" si="30"/>
        <v/>
      </c>
      <c r="AG104" s="181" t="str">
        <f t="shared" ca="1" si="31"/>
        <v/>
      </c>
      <c r="AH104" s="185" t="str">
        <f t="shared" ca="1" si="32"/>
        <v/>
      </c>
      <c r="AI104" s="181" t="str">
        <f t="shared" ca="1" si="33"/>
        <v/>
      </c>
      <c r="AJ104" s="181" t="str">
        <f t="shared" ca="1" si="34"/>
        <v/>
      </c>
      <c r="AK104" s="181" t="str">
        <f t="shared" ca="1" si="35"/>
        <v/>
      </c>
      <c r="AL104" s="181" t="str">
        <f t="shared" ca="1" si="36"/>
        <v/>
      </c>
      <c r="AM104" s="181" t="str">
        <f t="shared" ca="1" si="37"/>
        <v/>
      </c>
      <c r="AN104" s="181" t="str">
        <f t="shared" ca="1" si="38"/>
        <v/>
      </c>
      <c r="AO104" s="181" t="str">
        <f t="shared" ca="1" si="39"/>
        <v/>
      </c>
      <c r="AP104" s="181" t="str">
        <f t="shared" ca="1" si="40"/>
        <v/>
      </c>
      <c r="AU104" s="181" t="str">
        <f t="shared" ca="1" si="41"/>
        <v/>
      </c>
    </row>
    <row r="105" spans="1:47" ht="22.2" customHeight="1">
      <c r="A105" s="104">
        <f t="shared" si="48"/>
        <v>75</v>
      </c>
      <c r="B105" s="105" t="str">
        <f t="shared" ca="1" si="46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05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06" t="str">
        <f>IF(C105&lt;&gt;"",
クライアント抽出!C35,"")</f>
        <v/>
      </c>
      <c r="I105" s="105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VLOOKUP("*"&amp;D105&amp;"*",商品マスタ一覧!D:H,5,FALSE)),"")</f>
        <v/>
      </c>
      <c r="O105" s="105">
        <f t="shared" ca="1" si="47"/>
        <v>0</v>
      </c>
      <c r="P105" s="105">
        <f t="shared" si="23"/>
        <v>0</v>
      </c>
      <c r="Q105" s="105" t="b">
        <f t="shared" si="24"/>
        <v>0</v>
      </c>
      <c r="R105" s="181" t="str">
        <f t="array" aca="1" ref="R105" ca="1">IFERROR(SMALL(IF(P$1:P$311&lt;&gt;0,P$1:P$311),ROW(A105)),"")</f>
        <v/>
      </c>
      <c r="S105" s="181" t="str">
        <f t="array" aca="1" ref="S105" ca="1">IF($R105&lt;&gt;"",
SUBSTITUTE(SUBSTITUTE(INDIRECT("C"&amp;$R105&amp;"")," 週3ｺｰｽ","")," 週5ｺｰｽ",""),"")</f>
        <v/>
      </c>
      <c r="T105" s="18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81" t="str">
        <f t="array" aca="1" ref="V105" ca="1">IF($R105&lt;&gt;"",
INDIRECT("G"&amp;$R105&amp;""),"")</f>
        <v/>
      </c>
      <c r="W105" s="181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8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8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81" t="str">
        <f t="shared" ca="1" si="25"/>
        <v/>
      </c>
      <c r="AA105" s="181" t="str">
        <f t="shared" ca="1" si="26"/>
        <v/>
      </c>
      <c r="AB105" s="181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81" t="str">
        <f t="shared" ca="1" si="27"/>
        <v/>
      </c>
      <c r="AD105" s="181" t="str">
        <f t="shared" ca="1" si="28"/>
        <v/>
      </c>
      <c r="AE105" s="181" t="str">
        <f t="shared" ca="1" si="29"/>
        <v/>
      </c>
      <c r="AF105" s="181" t="str">
        <f t="shared" ca="1" si="30"/>
        <v/>
      </c>
      <c r="AG105" s="181" t="str">
        <f t="shared" ca="1" si="31"/>
        <v/>
      </c>
      <c r="AH105" s="185" t="str">
        <f t="shared" ca="1" si="32"/>
        <v/>
      </c>
      <c r="AI105" s="181" t="str">
        <f t="shared" ca="1" si="33"/>
        <v/>
      </c>
      <c r="AJ105" s="181" t="str">
        <f t="shared" ca="1" si="34"/>
        <v/>
      </c>
      <c r="AK105" s="181" t="str">
        <f t="shared" ca="1" si="35"/>
        <v/>
      </c>
      <c r="AL105" s="181" t="str">
        <f t="shared" ca="1" si="36"/>
        <v/>
      </c>
      <c r="AM105" s="181" t="str">
        <f t="shared" ca="1" si="37"/>
        <v/>
      </c>
      <c r="AN105" s="181" t="str">
        <f t="shared" ca="1" si="38"/>
        <v/>
      </c>
      <c r="AO105" s="181" t="str">
        <f t="shared" ca="1" si="39"/>
        <v/>
      </c>
      <c r="AP105" s="181" t="str">
        <f t="shared" ca="1" si="40"/>
        <v/>
      </c>
      <c r="AU105" s="181" t="str">
        <f t="shared" ca="1" si="41"/>
        <v/>
      </c>
    </row>
    <row r="106" spans="1:47" ht="22.2" customHeight="1">
      <c r="A106" s="104">
        <f t="shared" si="48"/>
        <v>77</v>
      </c>
      <c r="B106" s="105" t="str">
        <f t="shared" ca="1" si="46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05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06" t="str">
        <f>IF(C106&lt;&gt;"",
クライアント抽出!C36,"")</f>
        <v/>
      </c>
      <c r="I106" s="105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VLOOKUP("*"&amp;D106&amp;"*",商品マスタ一覧!D:H,5,FALSE)),"")</f>
        <v/>
      </c>
      <c r="O106" s="105">
        <f t="shared" ca="1" si="47"/>
        <v>0</v>
      </c>
      <c r="P106" s="105">
        <f t="shared" si="23"/>
        <v>0</v>
      </c>
      <c r="Q106" s="105" t="b">
        <f t="shared" si="24"/>
        <v>0</v>
      </c>
      <c r="R106" s="181" t="str">
        <f t="array" aca="1" ref="R106" ca="1">IFERROR(SMALL(IF(P$1:P$311&lt;&gt;0,P$1:P$311),ROW(A106)),"")</f>
        <v/>
      </c>
      <c r="S106" s="181" t="str">
        <f t="array" aca="1" ref="S106" ca="1">IF($R106&lt;&gt;"",
SUBSTITUTE(SUBSTITUTE(INDIRECT("C"&amp;$R106&amp;"")," 週3ｺｰｽ","")," 週5ｺｰｽ",""),"")</f>
        <v/>
      </c>
      <c r="T106" s="18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81" t="str">
        <f t="array" aca="1" ref="V106" ca="1">IF($R106&lt;&gt;"",
INDIRECT("G"&amp;$R106&amp;""),"")</f>
        <v/>
      </c>
      <c r="W106" s="181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8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8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81" t="str">
        <f t="shared" ca="1" si="25"/>
        <v/>
      </c>
      <c r="AA106" s="181" t="str">
        <f t="shared" ca="1" si="26"/>
        <v/>
      </c>
      <c r="AB106" s="181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81" t="str">
        <f t="shared" ca="1" si="27"/>
        <v/>
      </c>
      <c r="AD106" s="181" t="str">
        <f t="shared" ca="1" si="28"/>
        <v/>
      </c>
      <c r="AE106" s="181" t="str">
        <f t="shared" ca="1" si="29"/>
        <v/>
      </c>
      <c r="AF106" s="181" t="str">
        <f t="shared" ca="1" si="30"/>
        <v/>
      </c>
      <c r="AG106" s="181" t="str">
        <f t="shared" ca="1" si="31"/>
        <v/>
      </c>
      <c r="AH106" s="185" t="str">
        <f t="shared" ca="1" si="32"/>
        <v/>
      </c>
      <c r="AI106" s="181" t="str">
        <f t="shared" ca="1" si="33"/>
        <v/>
      </c>
      <c r="AJ106" s="181" t="str">
        <f t="shared" ca="1" si="34"/>
        <v/>
      </c>
      <c r="AK106" s="181" t="str">
        <f t="shared" ca="1" si="35"/>
        <v/>
      </c>
      <c r="AL106" s="181" t="str">
        <f t="shared" ca="1" si="36"/>
        <v/>
      </c>
      <c r="AM106" s="181" t="str">
        <f t="shared" ca="1" si="37"/>
        <v/>
      </c>
      <c r="AN106" s="181" t="str">
        <f t="shared" ca="1" si="38"/>
        <v/>
      </c>
      <c r="AO106" s="181" t="str">
        <f t="shared" ca="1" si="39"/>
        <v/>
      </c>
      <c r="AP106" s="181" t="str">
        <f t="shared" ca="1" si="40"/>
        <v/>
      </c>
      <c r="AU106" s="181" t="str">
        <f t="shared" ca="1" si="41"/>
        <v/>
      </c>
    </row>
    <row r="107" spans="1:47" ht="22.2" customHeight="1">
      <c r="A107" s="104">
        <f t="shared" si="48"/>
        <v>79</v>
      </c>
      <c r="B107" s="105" t="str">
        <f t="shared" ca="1" si="46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05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06" t="str">
        <f>IF(C107&lt;&gt;"",
クライアント抽出!C37,"")</f>
        <v/>
      </c>
      <c r="I107" s="105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VLOOKUP("*"&amp;D107&amp;"*",商品マスタ一覧!D:H,5,FALSE)),"")</f>
        <v/>
      </c>
      <c r="O107" s="105">
        <f t="shared" ca="1" si="47"/>
        <v>0</v>
      </c>
      <c r="P107" s="105">
        <f t="shared" si="23"/>
        <v>0</v>
      </c>
      <c r="Q107" s="105" t="b">
        <f t="shared" si="24"/>
        <v>0</v>
      </c>
      <c r="R107" s="181" t="str">
        <f t="array" aca="1" ref="R107" ca="1">IFERROR(SMALL(IF(P$1:P$311&lt;&gt;0,P$1:P$311),ROW(A107)),"")</f>
        <v/>
      </c>
      <c r="S107" s="181" t="str">
        <f t="array" aca="1" ref="S107" ca="1">IF($R107&lt;&gt;"",
SUBSTITUTE(SUBSTITUTE(INDIRECT("C"&amp;$R107&amp;"")," 週3ｺｰｽ","")," 週5ｺｰｽ",""),"")</f>
        <v/>
      </c>
      <c r="T107" s="18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81" t="str">
        <f t="array" aca="1" ref="V107" ca="1">IF($R107&lt;&gt;"",
INDIRECT("G"&amp;$R107&amp;""),"")</f>
        <v/>
      </c>
      <c r="W107" s="181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8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8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81" t="str">
        <f t="shared" ca="1" si="25"/>
        <v/>
      </c>
      <c r="AA107" s="181" t="str">
        <f t="shared" ca="1" si="26"/>
        <v/>
      </c>
      <c r="AB107" s="181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81" t="str">
        <f t="shared" ca="1" si="27"/>
        <v/>
      </c>
      <c r="AD107" s="181" t="str">
        <f t="shared" ca="1" si="28"/>
        <v/>
      </c>
      <c r="AE107" s="181" t="str">
        <f t="shared" ca="1" si="29"/>
        <v/>
      </c>
      <c r="AF107" s="181" t="str">
        <f t="shared" ca="1" si="30"/>
        <v/>
      </c>
      <c r="AG107" s="181" t="str">
        <f t="shared" ca="1" si="31"/>
        <v/>
      </c>
      <c r="AH107" s="185" t="str">
        <f t="shared" ca="1" si="32"/>
        <v/>
      </c>
      <c r="AI107" s="181" t="str">
        <f t="shared" ca="1" si="33"/>
        <v/>
      </c>
      <c r="AJ107" s="181" t="str">
        <f t="shared" ca="1" si="34"/>
        <v/>
      </c>
      <c r="AK107" s="181" t="str">
        <f t="shared" ca="1" si="35"/>
        <v/>
      </c>
      <c r="AL107" s="181" t="str">
        <f t="shared" ca="1" si="36"/>
        <v/>
      </c>
      <c r="AM107" s="181" t="str">
        <f t="shared" ca="1" si="37"/>
        <v/>
      </c>
      <c r="AN107" s="181" t="str">
        <f t="shared" ca="1" si="38"/>
        <v/>
      </c>
      <c r="AO107" s="181" t="str">
        <f t="shared" ca="1" si="39"/>
        <v/>
      </c>
      <c r="AP107" s="181" t="str">
        <f t="shared" ca="1" si="40"/>
        <v/>
      </c>
      <c r="AU107" s="181" t="str">
        <f t="shared" ca="1" si="41"/>
        <v/>
      </c>
    </row>
    <row r="108" spans="1:47" ht="22.2" customHeight="1">
      <c r="A108" s="104">
        <f t="shared" si="48"/>
        <v>81</v>
      </c>
      <c r="B108" s="105" t="str">
        <f t="shared" ca="1" si="46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05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06" t="str">
        <f>IF(C108&lt;&gt;"",
クライアント抽出!C38,"")</f>
        <v/>
      </c>
      <c r="I108" s="105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VLOOKUP("*"&amp;D108&amp;"*",商品マスタ一覧!D:H,5,FALSE)),"")</f>
        <v/>
      </c>
      <c r="O108" s="105">
        <f t="shared" ca="1" si="47"/>
        <v>0</v>
      </c>
      <c r="P108" s="105">
        <f t="shared" si="23"/>
        <v>0</v>
      </c>
      <c r="Q108" s="105" t="b">
        <f t="shared" si="24"/>
        <v>0</v>
      </c>
      <c r="R108" s="181" t="str">
        <f t="array" aca="1" ref="R108" ca="1">IFERROR(SMALL(IF(P$1:P$311&lt;&gt;0,P$1:P$311),ROW(A108)),"")</f>
        <v/>
      </c>
      <c r="S108" s="181" t="str">
        <f t="array" aca="1" ref="S108" ca="1">IF($R108&lt;&gt;"",
SUBSTITUTE(SUBSTITUTE(INDIRECT("C"&amp;$R108&amp;"")," 週3ｺｰｽ","")," 週5ｺｰｽ",""),"")</f>
        <v/>
      </c>
      <c r="T108" s="18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81" t="str">
        <f t="array" aca="1" ref="V108" ca="1">IF($R108&lt;&gt;"",
INDIRECT("G"&amp;$R108&amp;""),"")</f>
        <v/>
      </c>
      <c r="W108" s="181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8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8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81" t="str">
        <f t="shared" ca="1" si="25"/>
        <v/>
      </c>
      <c r="AA108" s="181" t="str">
        <f t="shared" ca="1" si="26"/>
        <v/>
      </c>
      <c r="AB108" s="181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81" t="str">
        <f t="shared" ca="1" si="27"/>
        <v/>
      </c>
      <c r="AD108" s="181" t="str">
        <f t="shared" ca="1" si="28"/>
        <v/>
      </c>
      <c r="AE108" s="181" t="str">
        <f t="shared" ca="1" si="29"/>
        <v/>
      </c>
      <c r="AF108" s="181" t="str">
        <f t="shared" ca="1" si="30"/>
        <v/>
      </c>
      <c r="AG108" s="181" t="str">
        <f t="shared" ca="1" si="31"/>
        <v/>
      </c>
      <c r="AH108" s="185" t="str">
        <f t="shared" ca="1" si="32"/>
        <v/>
      </c>
      <c r="AI108" s="181" t="str">
        <f t="shared" ca="1" si="33"/>
        <v/>
      </c>
      <c r="AJ108" s="181" t="str">
        <f t="shared" ca="1" si="34"/>
        <v/>
      </c>
      <c r="AK108" s="181" t="str">
        <f t="shared" ca="1" si="35"/>
        <v/>
      </c>
      <c r="AL108" s="181" t="str">
        <f t="shared" ca="1" si="36"/>
        <v/>
      </c>
      <c r="AM108" s="181" t="str">
        <f t="shared" ca="1" si="37"/>
        <v/>
      </c>
      <c r="AN108" s="181" t="str">
        <f t="shared" ca="1" si="38"/>
        <v/>
      </c>
      <c r="AO108" s="181" t="str">
        <f t="shared" ca="1" si="39"/>
        <v/>
      </c>
      <c r="AP108" s="181" t="str">
        <f t="shared" ca="1" si="40"/>
        <v/>
      </c>
      <c r="AU108" s="181" t="str">
        <f t="shared" ca="1" si="41"/>
        <v/>
      </c>
    </row>
    <row r="109" spans="1:47" ht="22.2" customHeight="1">
      <c r="A109" s="104">
        <f t="shared" si="48"/>
        <v>83</v>
      </c>
      <c r="B109" s="105" t="str">
        <f t="shared" ca="1" si="46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05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06" t="str">
        <f ca="1">IF(C109&lt;&gt;"",
クライアント抽出!C39,"")</f>
        <v/>
      </c>
      <c r="I109" s="105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VLOOKUP("*"&amp;D109&amp;"*",商品マスタ一覧!D:H,5,FALSE)),"")</f>
        <v/>
      </c>
      <c r="O109" s="105">
        <f t="shared" ca="1" si="47"/>
        <v>0</v>
      </c>
      <c r="P109" s="105">
        <f t="shared" ca="1" si="23"/>
        <v>0</v>
      </c>
      <c r="Q109" s="105" t="b">
        <f t="shared" ca="1" si="24"/>
        <v>0</v>
      </c>
      <c r="R109" s="181" t="str">
        <f t="array" aca="1" ref="R109" ca="1">IFERROR(SMALL(IF(P$1:P$311&lt;&gt;0,P$1:P$311),ROW(A109)),"")</f>
        <v/>
      </c>
      <c r="S109" s="181" t="str">
        <f t="array" aca="1" ref="S109" ca="1">IF($R109&lt;&gt;"",
SUBSTITUTE(SUBSTITUTE(INDIRECT("C"&amp;$R109&amp;"")," 週3ｺｰｽ","")," 週5ｺｰｽ",""),"")</f>
        <v/>
      </c>
      <c r="T109" s="18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81" t="str">
        <f t="array" aca="1" ref="V109" ca="1">IF($R109&lt;&gt;"",
INDIRECT("G"&amp;$R109&amp;""),"")</f>
        <v/>
      </c>
      <c r="W109" s="181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8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8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81" t="str">
        <f t="shared" ca="1" si="25"/>
        <v/>
      </c>
      <c r="AA109" s="181" t="str">
        <f t="shared" ca="1" si="26"/>
        <v/>
      </c>
      <c r="AB109" s="181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81" t="str">
        <f t="shared" ca="1" si="27"/>
        <v/>
      </c>
      <c r="AD109" s="181" t="str">
        <f t="shared" ca="1" si="28"/>
        <v/>
      </c>
      <c r="AE109" s="181" t="str">
        <f t="shared" ca="1" si="29"/>
        <v/>
      </c>
      <c r="AF109" s="181" t="str">
        <f t="shared" ca="1" si="30"/>
        <v/>
      </c>
      <c r="AG109" s="181" t="str">
        <f t="shared" ca="1" si="31"/>
        <v/>
      </c>
      <c r="AH109" s="185" t="str">
        <f t="shared" ca="1" si="32"/>
        <v/>
      </c>
      <c r="AI109" s="181" t="str">
        <f t="shared" ca="1" si="33"/>
        <v/>
      </c>
      <c r="AJ109" s="181" t="str">
        <f t="shared" ca="1" si="34"/>
        <v/>
      </c>
      <c r="AK109" s="181" t="str">
        <f t="shared" ca="1" si="35"/>
        <v/>
      </c>
      <c r="AL109" s="181" t="str">
        <f t="shared" ca="1" si="36"/>
        <v/>
      </c>
      <c r="AM109" s="181" t="str">
        <f t="shared" ca="1" si="37"/>
        <v/>
      </c>
      <c r="AN109" s="181" t="str">
        <f t="shared" ca="1" si="38"/>
        <v/>
      </c>
      <c r="AO109" s="181" t="str">
        <f t="shared" ca="1" si="39"/>
        <v/>
      </c>
      <c r="AP109" s="181" t="str">
        <f t="shared" ca="1" si="40"/>
        <v/>
      </c>
      <c r="AU109" s="181" t="str">
        <f t="shared" ca="1" si="41"/>
        <v/>
      </c>
    </row>
    <row r="110" spans="1:47" ht="22.2" customHeight="1">
      <c r="A110" s="104">
        <f t="shared" si="48"/>
        <v>85</v>
      </c>
      <c r="B110" s="105" t="str">
        <f t="shared" ca="1" si="46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05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06" t="str">
        <f>IF(C110&lt;&gt;"",
クライアント抽出!C40,"")</f>
        <v/>
      </c>
      <c r="I110" s="105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VLOOKUP("*"&amp;D110&amp;"*",商品マスタ一覧!D:H,5,FALSE)),"")</f>
        <v/>
      </c>
      <c r="O110" s="105">
        <f t="shared" ca="1" si="47"/>
        <v>0</v>
      </c>
      <c r="P110" s="105">
        <f t="shared" si="23"/>
        <v>0</v>
      </c>
      <c r="Q110" s="105" t="b">
        <f t="shared" si="24"/>
        <v>0</v>
      </c>
      <c r="R110" s="181" t="str">
        <f t="array" aca="1" ref="R110" ca="1">IFERROR(SMALL(IF(P$1:P$311&lt;&gt;0,P$1:P$311),ROW(A110)),"")</f>
        <v/>
      </c>
      <c r="S110" s="181" t="str">
        <f t="array" aca="1" ref="S110" ca="1">IF($R110&lt;&gt;"",
SUBSTITUTE(SUBSTITUTE(INDIRECT("C"&amp;$R110&amp;"")," 週3ｺｰｽ","")," 週5ｺｰｽ",""),"")</f>
        <v/>
      </c>
      <c r="T110" s="18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81" t="str">
        <f t="array" aca="1" ref="V110" ca="1">IF($R110&lt;&gt;"",
INDIRECT("G"&amp;$R110&amp;""),"")</f>
        <v/>
      </c>
      <c r="W110" s="181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8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8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81" t="str">
        <f t="shared" ca="1" si="25"/>
        <v/>
      </c>
      <c r="AA110" s="181" t="str">
        <f t="shared" ca="1" si="26"/>
        <v/>
      </c>
      <c r="AB110" s="181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81" t="str">
        <f t="shared" ca="1" si="27"/>
        <v/>
      </c>
      <c r="AD110" s="181" t="str">
        <f t="shared" ca="1" si="28"/>
        <v/>
      </c>
      <c r="AE110" s="181" t="str">
        <f t="shared" ca="1" si="29"/>
        <v/>
      </c>
      <c r="AF110" s="181" t="str">
        <f t="shared" ca="1" si="30"/>
        <v/>
      </c>
      <c r="AG110" s="181" t="str">
        <f t="shared" ca="1" si="31"/>
        <v/>
      </c>
      <c r="AH110" s="185" t="str">
        <f t="shared" ca="1" si="32"/>
        <v/>
      </c>
      <c r="AI110" s="181" t="str">
        <f t="shared" ca="1" si="33"/>
        <v/>
      </c>
      <c r="AJ110" s="181" t="str">
        <f t="shared" ca="1" si="34"/>
        <v/>
      </c>
      <c r="AK110" s="181" t="str">
        <f t="shared" ca="1" si="35"/>
        <v/>
      </c>
      <c r="AL110" s="181" t="str">
        <f t="shared" ca="1" si="36"/>
        <v/>
      </c>
      <c r="AM110" s="181" t="str">
        <f t="shared" ca="1" si="37"/>
        <v/>
      </c>
      <c r="AN110" s="181" t="str">
        <f t="shared" ca="1" si="38"/>
        <v/>
      </c>
      <c r="AO110" s="181" t="str">
        <f t="shared" ca="1" si="39"/>
        <v/>
      </c>
      <c r="AP110" s="181" t="str">
        <f t="shared" ca="1" si="40"/>
        <v/>
      </c>
      <c r="AU110" s="181" t="str">
        <f t="shared" ca="1" si="41"/>
        <v/>
      </c>
    </row>
    <row r="111" spans="1:47" ht="22.2" customHeight="1">
      <c r="A111" s="104">
        <f t="shared" si="48"/>
        <v>87</v>
      </c>
      <c r="B111" s="105" t="str">
        <f t="shared" ca="1" si="46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05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06" t="str">
        <f>IF(C111&lt;&gt;"",
クライアント抽出!C41,"")</f>
        <v/>
      </c>
      <c r="I111" s="105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VLOOKUP("*"&amp;D111&amp;"*",商品マスタ一覧!D:H,5,FALSE)),"")</f>
        <v/>
      </c>
      <c r="O111" s="105">
        <f t="shared" ca="1" si="47"/>
        <v>0</v>
      </c>
      <c r="P111" s="105">
        <f t="shared" si="23"/>
        <v>0</v>
      </c>
      <c r="Q111" s="105" t="b">
        <f t="shared" si="24"/>
        <v>0</v>
      </c>
      <c r="R111" s="181" t="str">
        <f t="array" aca="1" ref="R111" ca="1">IFERROR(SMALL(IF(P$1:P$311&lt;&gt;0,P$1:P$311),ROW(A111)),"")</f>
        <v/>
      </c>
      <c r="S111" s="181" t="str">
        <f t="array" aca="1" ref="S111" ca="1">IF($R111&lt;&gt;"",
SUBSTITUTE(SUBSTITUTE(INDIRECT("C"&amp;$R111&amp;"")," 週3ｺｰｽ","")," 週5ｺｰｽ",""),"")</f>
        <v/>
      </c>
      <c r="T111" s="18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81" t="str">
        <f t="array" aca="1" ref="V111" ca="1">IF($R111&lt;&gt;"",
INDIRECT("G"&amp;$R111&amp;""),"")</f>
        <v/>
      </c>
      <c r="W111" s="181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8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8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81" t="str">
        <f t="shared" ca="1" si="25"/>
        <v/>
      </c>
      <c r="AA111" s="181" t="str">
        <f t="shared" ca="1" si="26"/>
        <v/>
      </c>
      <c r="AB111" s="181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81" t="str">
        <f t="shared" ca="1" si="27"/>
        <v/>
      </c>
      <c r="AD111" s="181" t="str">
        <f t="shared" ca="1" si="28"/>
        <v/>
      </c>
      <c r="AE111" s="181" t="str">
        <f t="shared" ca="1" si="29"/>
        <v/>
      </c>
      <c r="AF111" s="181" t="str">
        <f t="shared" ca="1" si="30"/>
        <v/>
      </c>
      <c r="AG111" s="181" t="str">
        <f t="shared" ca="1" si="31"/>
        <v/>
      </c>
      <c r="AH111" s="185" t="str">
        <f t="shared" ca="1" si="32"/>
        <v/>
      </c>
      <c r="AI111" s="181" t="str">
        <f t="shared" ca="1" si="33"/>
        <v/>
      </c>
      <c r="AJ111" s="181" t="str">
        <f t="shared" ca="1" si="34"/>
        <v/>
      </c>
      <c r="AK111" s="181" t="str">
        <f t="shared" ca="1" si="35"/>
        <v/>
      </c>
      <c r="AL111" s="181" t="str">
        <f t="shared" ca="1" si="36"/>
        <v/>
      </c>
      <c r="AM111" s="181" t="str">
        <f t="shared" ca="1" si="37"/>
        <v/>
      </c>
      <c r="AN111" s="181" t="str">
        <f t="shared" ca="1" si="38"/>
        <v/>
      </c>
      <c r="AO111" s="181" t="str">
        <f t="shared" ca="1" si="39"/>
        <v/>
      </c>
      <c r="AP111" s="181" t="str">
        <f t="shared" ca="1" si="40"/>
        <v/>
      </c>
      <c r="AU111" s="181" t="str">
        <f t="shared" ca="1" si="41"/>
        <v/>
      </c>
    </row>
    <row r="112" spans="1:47" ht="22.2" customHeight="1">
      <c r="A112" s="104">
        <f t="shared" si="48"/>
        <v>89</v>
      </c>
      <c r="B112" s="105" t="str">
        <f t="shared" ca="1" si="46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05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06" t="str">
        <f>IF(C112&lt;&gt;"",
クライアント抽出!C42,"")</f>
        <v/>
      </c>
      <c r="I112" s="105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VLOOKUP("*"&amp;D112&amp;"*",商品マスタ一覧!D:H,5,FALSE)),"")</f>
        <v/>
      </c>
      <c r="O112" s="105">
        <f t="shared" ca="1" si="47"/>
        <v>0</v>
      </c>
      <c r="P112" s="105">
        <f t="shared" si="23"/>
        <v>0</v>
      </c>
      <c r="Q112" s="105" t="b">
        <f t="shared" si="24"/>
        <v>0</v>
      </c>
      <c r="R112" s="181" t="str">
        <f t="array" aca="1" ref="R112" ca="1">IFERROR(SMALL(IF(P$1:P$311&lt;&gt;0,P$1:P$311),ROW(A112)),"")</f>
        <v/>
      </c>
      <c r="S112" s="181" t="str">
        <f t="array" aca="1" ref="S112" ca="1">IF($R112&lt;&gt;"",
SUBSTITUTE(SUBSTITUTE(INDIRECT("C"&amp;$R112&amp;"")," 週3ｺｰｽ","")," 週5ｺｰｽ",""),"")</f>
        <v/>
      </c>
      <c r="T112" s="18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81" t="str">
        <f t="array" aca="1" ref="V112" ca="1">IF($R112&lt;&gt;"",
INDIRECT("G"&amp;$R112&amp;""),"")</f>
        <v/>
      </c>
      <c r="W112" s="181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8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8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81" t="str">
        <f t="shared" ca="1" si="25"/>
        <v/>
      </c>
      <c r="AA112" s="181" t="str">
        <f t="shared" ca="1" si="26"/>
        <v/>
      </c>
      <c r="AB112" s="181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81" t="str">
        <f t="shared" ca="1" si="27"/>
        <v/>
      </c>
      <c r="AD112" s="181" t="str">
        <f t="shared" ca="1" si="28"/>
        <v/>
      </c>
      <c r="AE112" s="181" t="str">
        <f t="shared" ca="1" si="29"/>
        <v/>
      </c>
      <c r="AF112" s="181" t="str">
        <f t="shared" ca="1" si="30"/>
        <v/>
      </c>
      <c r="AG112" s="181" t="str">
        <f t="shared" ca="1" si="31"/>
        <v/>
      </c>
      <c r="AH112" s="185" t="str">
        <f t="shared" ca="1" si="32"/>
        <v/>
      </c>
      <c r="AI112" s="181" t="str">
        <f t="shared" ca="1" si="33"/>
        <v/>
      </c>
      <c r="AJ112" s="181" t="str">
        <f t="shared" ca="1" si="34"/>
        <v/>
      </c>
      <c r="AK112" s="181" t="str">
        <f t="shared" ca="1" si="35"/>
        <v/>
      </c>
      <c r="AL112" s="181" t="str">
        <f t="shared" ca="1" si="36"/>
        <v/>
      </c>
      <c r="AM112" s="181" t="str">
        <f t="shared" ca="1" si="37"/>
        <v/>
      </c>
      <c r="AN112" s="181" t="str">
        <f t="shared" ca="1" si="38"/>
        <v/>
      </c>
      <c r="AO112" s="181" t="str">
        <f t="shared" ca="1" si="39"/>
        <v/>
      </c>
      <c r="AP112" s="181" t="str">
        <f t="shared" ca="1" si="40"/>
        <v/>
      </c>
      <c r="AU112" s="181" t="str">
        <f t="shared" ca="1" si="41"/>
        <v/>
      </c>
    </row>
    <row r="113" spans="1:47" ht="22.2" customHeight="1">
      <c r="A113" s="104">
        <f t="shared" si="48"/>
        <v>91</v>
      </c>
      <c r="B113" s="105" t="str">
        <f t="shared" ca="1" si="46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05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06" t="str">
        <f>IF(C113&lt;&gt;"",
クライアント抽出!C43,"")</f>
        <v/>
      </c>
      <c r="I113" s="105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VLOOKUP("*"&amp;D113&amp;"*",商品マスタ一覧!D:H,5,FALSE)),"")</f>
        <v/>
      </c>
      <c r="O113" s="105">
        <f t="shared" ca="1" si="47"/>
        <v>0</v>
      </c>
      <c r="P113" s="105">
        <f t="shared" si="23"/>
        <v>0</v>
      </c>
      <c r="Q113" s="105" t="b">
        <f t="shared" si="24"/>
        <v>0</v>
      </c>
      <c r="R113" s="181" t="str">
        <f t="array" aca="1" ref="R113" ca="1">IFERROR(SMALL(IF(P$1:P$311&lt;&gt;0,P$1:P$311),ROW(A113)),"")</f>
        <v/>
      </c>
      <c r="S113" s="181" t="str">
        <f t="array" aca="1" ref="S113" ca="1">IF($R113&lt;&gt;"",
SUBSTITUTE(SUBSTITUTE(INDIRECT("C"&amp;$R113&amp;"")," 週3ｺｰｽ","")," 週5ｺｰｽ",""),"")</f>
        <v/>
      </c>
      <c r="T113" s="18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81" t="str">
        <f t="array" aca="1" ref="V113" ca="1">IF($R113&lt;&gt;"",
INDIRECT("G"&amp;$R113&amp;""),"")</f>
        <v/>
      </c>
      <c r="W113" s="181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8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8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81" t="str">
        <f t="shared" ca="1" si="25"/>
        <v/>
      </c>
      <c r="AA113" s="181" t="str">
        <f t="shared" ca="1" si="26"/>
        <v/>
      </c>
      <c r="AB113" s="181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81" t="str">
        <f t="shared" ca="1" si="27"/>
        <v/>
      </c>
      <c r="AD113" s="181" t="str">
        <f t="shared" ca="1" si="28"/>
        <v/>
      </c>
      <c r="AE113" s="181" t="str">
        <f t="shared" ca="1" si="29"/>
        <v/>
      </c>
      <c r="AF113" s="181" t="str">
        <f t="shared" ca="1" si="30"/>
        <v/>
      </c>
      <c r="AG113" s="181" t="str">
        <f t="shared" ca="1" si="31"/>
        <v/>
      </c>
      <c r="AH113" s="185" t="str">
        <f t="shared" ca="1" si="32"/>
        <v/>
      </c>
      <c r="AI113" s="181" t="str">
        <f t="shared" ca="1" si="33"/>
        <v/>
      </c>
      <c r="AJ113" s="181" t="str">
        <f t="shared" ca="1" si="34"/>
        <v/>
      </c>
      <c r="AK113" s="181" t="str">
        <f t="shared" ca="1" si="35"/>
        <v/>
      </c>
      <c r="AL113" s="181" t="str">
        <f t="shared" ca="1" si="36"/>
        <v/>
      </c>
      <c r="AM113" s="181" t="str">
        <f t="shared" ca="1" si="37"/>
        <v/>
      </c>
      <c r="AN113" s="181" t="str">
        <f t="shared" ca="1" si="38"/>
        <v/>
      </c>
      <c r="AO113" s="181" t="str">
        <f t="shared" ca="1" si="39"/>
        <v/>
      </c>
      <c r="AP113" s="181" t="str">
        <f t="shared" ca="1" si="40"/>
        <v/>
      </c>
      <c r="AU113" s="181" t="str">
        <f t="shared" ca="1" si="41"/>
        <v/>
      </c>
    </row>
    <row r="114" spans="1:47" ht="22.2" customHeight="1">
      <c r="A114" s="104">
        <f t="shared" si="48"/>
        <v>93</v>
      </c>
      <c r="B114" s="105" t="str">
        <f t="shared" ca="1" si="46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05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06" t="str">
        <f>IF(C114&lt;&gt;"",
クライアント抽出!C44,"")</f>
        <v/>
      </c>
      <c r="I114" s="105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VLOOKUP("*"&amp;D114&amp;"*",商品マスタ一覧!D:H,5,FALSE)),"")</f>
        <v/>
      </c>
      <c r="O114" s="105">
        <f t="shared" ca="1" si="47"/>
        <v>0</v>
      </c>
      <c r="P114" s="105">
        <f t="shared" si="23"/>
        <v>0</v>
      </c>
      <c r="Q114" s="105" t="b">
        <f t="shared" si="24"/>
        <v>0</v>
      </c>
      <c r="R114" s="181" t="str">
        <f t="array" aca="1" ref="R114" ca="1">IFERROR(SMALL(IF(P$1:P$311&lt;&gt;0,P$1:P$311),ROW(A114)),"")</f>
        <v/>
      </c>
      <c r="S114" s="181" t="str">
        <f t="array" aca="1" ref="S114" ca="1">IF($R114&lt;&gt;"",
SUBSTITUTE(SUBSTITUTE(INDIRECT("C"&amp;$R114&amp;"")," 週3ｺｰｽ","")," 週5ｺｰｽ",""),"")</f>
        <v/>
      </c>
      <c r="T114" s="18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81" t="str">
        <f t="array" aca="1" ref="V114" ca="1">IF($R114&lt;&gt;"",
INDIRECT("G"&amp;$R114&amp;""),"")</f>
        <v/>
      </c>
      <c r="W114" s="181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8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8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81" t="str">
        <f t="shared" ca="1" si="25"/>
        <v/>
      </c>
      <c r="AA114" s="181" t="str">
        <f t="shared" ca="1" si="26"/>
        <v/>
      </c>
      <c r="AB114" s="181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81" t="str">
        <f t="shared" ca="1" si="27"/>
        <v/>
      </c>
      <c r="AD114" s="181" t="str">
        <f t="shared" ca="1" si="28"/>
        <v/>
      </c>
      <c r="AE114" s="181" t="str">
        <f t="shared" ca="1" si="29"/>
        <v/>
      </c>
      <c r="AF114" s="181" t="str">
        <f t="shared" ca="1" si="30"/>
        <v/>
      </c>
      <c r="AG114" s="181" t="str">
        <f t="shared" ca="1" si="31"/>
        <v/>
      </c>
      <c r="AH114" s="185" t="str">
        <f t="shared" ca="1" si="32"/>
        <v/>
      </c>
      <c r="AI114" s="181" t="str">
        <f t="shared" ca="1" si="33"/>
        <v/>
      </c>
      <c r="AJ114" s="181" t="str">
        <f t="shared" ca="1" si="34"/>
        <v/>
      </c>
      <c r="AK114" s="181" t="str">
        <f t="shared" ca="1" si="35"/>
        <v/>
      </c>
      <c r="AL114" s="181" t="str">
        <f t="shared" ca="1" si="36"/>
        <v/>
      </c>
      <c r="AM114" s="181" t="str">
        <f t="shared" ca="1" si="37"/>
        <v/>
      </c>
      <c r="AN114" s="181" t="str">
        <f t="shared" ca="1" si="38"/>
        <v/>
      </c>
      <c r="AO114" s="181" t="str">
        <f t="shared" ca="1" si="39"/>
        <v/>
      </c>
      <c r="AP114" s="181" t="str">
        <f t="shared" ca="1" si="40"/>
        <v/>
      </c>
      <c r="AU114" s="181" t="str">
        <f t="shared" ca="1" si="41"/>
        <v/>
      </c>
    </row>
    <row r="115" spans="1:47" ht="22.2" customHeight="1">
      <c r="A115" s="104">
        <f t="shared" si="48"/>
        <v>95</v>
      </c>
      <c r="B115" s="105" t="str">
        <f t="shared" ca="1" si="46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05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06" t="str">
        <f>IF(C115&lt;&gt;"",
クライアント抽出!C45,"")</f>
        <v/>
      </c>
      <c r="I115" s="105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VLOOKUP("*"&amp;D115&amp;"*",商品マスタ一覧!D:H,5,FALSE)),"")</f>
        <v/>
      </c>
      <c r="O115" s="105">
        <f t="shared" ca="1" si="47"/>
        <v>0</v>
      </c>
      <c r="P115" s="105">
        <f t="shared" si="23"/>
        <v>0</v>
      </c>
      <c r="Q115" s="105" t="b">
        <f t="shared" si="24"/>
        <v>0</v>
      </c>
      <c r="R115" s="181" t="str">
        <f t="array" aca="1" ref="R115" ca="1">IFERROR(SMALL(IF(P$1:P$311&lt;&gt;0,P$1:P$311),ROW(A115)),"")</f>
        <v/>
      </c>
      <c r="S115" s="181" t="str">
        <f t="array" aca="1" ref="S115" ca="1">IF($R115&lt;&gt;"",
SUBSTITUTE(SUBSTITUTE(INDIRECT("C"&amp;$R115&amp;"")," 週3ｺｰｽ","")," 週5ｺｰｽ",""),"")</f>
        <v/>
      </c>
      <c r="T115" s="18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81" t="str">
        <f t="array" aca="1" ref="V115" ca="1">IF($R115&lt;&gt;"",
INDIRECT("G"&amp;$R115&amp;""),"")</f>
        <v/>
      </c>
      <c r="W115" s="181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8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8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81" t="str">
        <f t="shared" ca="1" si="25"/>
        <v/>
      </c>
      <c r="AA115" s="181" t="str">
        <f t="shared" ca="1" si="26"/>
        <v/>
      </c>
      <c r="AB115" s="181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81" t="str">
        <f t="shared" ca="1" si="27"/>
        <v/>
      </c>
      <c r="AD115" s="181" t="str">
        <f t="shared" ca="1" si="28"/>
        <v/>
      </c>
      <c r="AE115" s="181" t="str">
        <f t="shared" ca="1" si="29"/>
        <v/>
      </c>
      <c r="AF115" s="181" t="str">
        <f t="shared" ca="1" si="30"/>
        <v/>
      </c>
      <c r="AG115" s="181" t="str">
        <f t="shared" ca="1" si="31"/>
        <v/>
      </c>
      <c r="AH115" s="185" t="str">
        <f t="shared" ca="1" si="32"/>
        <v/>
      </c>
      <c r="AI115" s="181" t="str">
        <f t="shared" ca="1" si="33"/>
        <v/>
      </c>
      <c r="AJ115" s="181" t="str">
        <f t="shared" ca="1" si="34"/>
        <v/>
      </c>
      <c r="AK115" s="181" t="str">
        <f t="shared" ca="1" si="35"/>
        <v/>
      </c>
      <c r="AL115" s="181" t="str">
        <f t="shared" ca="1" si="36"/>
        <v/>
      </c>
      <c r="AM115" s="181" t="str">
        <f t="shared" ca="1" si="37"/>
        <v/>
      </c>
      <c r="AN115" s="181" t="str">
        <f t="shared" ca="1" si="38"/>
        <v/>
      </c>
      <c r="AO115" s="181" t="str">
        <f t="shared" ca="1" si="39"/>
        <v/>
      </c>
      <c r="AP115" s="181" t="str">
        <f t="shared" ca="1" si="40"/>
        <v/>
      </c>
      <c r="AU115" s="181" t="str">
        <f t="shared" ca="1" si="41"/>
        <v/>
      </c>
    </row>
    <row r="116" spans="1:47" ht="22.2" customHeight="1">
      <c r="A116" s="104">
        <f t="shared" si="48"/>
        <v>97</v>
      </c>
      <c r="B116" s="105" t="str">
        <f t="shared" ca="1" si="46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05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06" t="str">
        <f>IF(C116&lt;&gt;"",
クライアント抽出!C46,"")</f>
        <v/>
      </c>
      <c r="I116" s="105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VLOOKUP("*"&amp;D116&amp;"*",商品マスタ一覧!D:H,5,FALSE)),"")</f>
        <v/>
      </c>
      <c r="O116" s="105">
        <f t="shared" ca="1" si="47"/>
        <v>0</v>
      </c>
      <c r="P116" s="105">
        <f t="shared" si="23"/>
        <v>0</v>
      </c>
      <c r="Q116" s="105" t="b">
        <f t="shared" si="24"/>
        <v>0</v>
      </c>
      <c r="R116" s="181" t="str">
        <f t="array" aca="1" ref="R116" ca="1">IFERROR(SMALL(IF(P$1:P$311&lt;&gt;0,P$1:P$311),ROW(A116)),"")</f>
        <v/>
      </c>
      <c r="S116" s="181" t="str">
        <f t="array" aca="1" ref="S116" ca="1">IF($R116&lt;&gt;"",
SUBSTITUTE(SUBSTITUTE(INDIRECT("C"&amp;$R116&amp;"")," 週3ｺｰｽ","")," 週5ｺｰｽ",""),"")</f>
        <v/>
      </c>
      <c r="T116" s="18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81" t="str">
        <f t="array" aca="1" ref="V116" ca="1">IF($R116&lt;&gt;"",
INDIRECT("G"&amp;$R116&amp;""),"")</f>
        <v/>
      </c>
      <c r="W116" s="181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8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8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81" t="str">
        <f t="shared" ca="1" si="25"/>
        <v/>
      </c>
      <c r="AA116" s="181" t="str">
        <f t="shared" ca="1" si="26"/>
        <v/>
      </c>
      <c r="AB116" s="181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81" t="str">
        <f t="shared" ca="1" si="27"/>
        <v/>
      </c>
      <c r="AD116" s="181" t="str">
        <f t="shared" ca="1" si="28"/>
        <v/>
      </c>
      <c r="AE116" s="181" t="str">
        <f t="shared" ca="1" si="29"/>
        <v/>
      </c>
      <c r="AF116" s="181" t="str">
        <f t="shared" ca="1" si="30"/>
        <v/>
      </c>
      <c r="AG116" s="181" t="str">
        <f t="shared" ca="1" si="31"/>
        <v/>
      </c>
      <c r="AH116" s="185" t="str">
        <f t="shared" ca="1" si="32"/>
        <v/>
      </c>
      <c r="AI116" s="181" t="str">
        <f t="shared" ca="1" si="33"/>
        <v/>
      </c>
      <c r="AJ116" s="181" t="str">
        <f t="shared" ca="1" si="34"/>
        <v/>
      </c>
      <c r="AK116" s="181" t="str">
        <f t="shared" ca="1" si="35"/>
        <v/>
      </c>
      <c r="AL116" s="181" t="str">
        <f t="shared" ca="1" si="36"/>
        <v/>
      </c>
      <c r="AM116" s="181" t="str">
        <f t="shared" ca="1" si="37"/>
        <v/>
      </c>
      <c r="AN116" s="181" t="str">
        <f t="shared" ca="1" si="38"/>
        <v/>
      </c>
      <c r="AO116" s="181" t="str">
        <f t="shared" ca="1" si="39"/>
        <v/>
      </c>
      <c r="AP116" s="181" t="str">
        <f t="shared" ca="1" si="40"/>
        <v/>
      </c>
      <c r="AU116" s="181" t="str">
        <f t="shared" ca="1" si="41"/>
        <v/>
      </c>
    </row>
    <row r="117" spans="1:47" ht="22.2" customHeight="1">
      <c r="A117" s="104">
        <f t="shared" si="48"/>
        <v>99</v>
      </c>
      <c r="B117" s="105" t="str">
        <f t="shared" ca="1" si="46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05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06" t="str">
        <f>IF(C117&lt;&gt;"",
クライアント抽出!C47,"")</f>
        <v/>
      </c>
      <c r="I117" s="105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VLOOKUP("*"&amp;D117&amp;"*",商品マスタ一覧!D:H,5,FALSE)),"")</f>
        <v/>
      </c>
      <c r="O117" s="105">
        <f t="shared" ca="1" si="47"/>
        <v>0</v>
      </c>
      <c r="P117" s="105">
        <f t="shared" si="23"/>
        <v>0</v>
      </c>
      <c r="Q117" s="105" t="b">
        <f t="shared" si="24"/>
        <v>0</v>
      </c>
      <c r="R117" s="181" t="str">
        <f t="array" aca="1" ref="R117" ca="1">IFERROR(SMALL(IF(P$1:P$311&lt;&gt;0,P$1:P$311),ROW(A117)),"")</f>
        <v/>
      </c>
      <c r="S117" s="181" t="str">
        <f t="array" aca="1" ref="S117" ca="1">IF($R117&lt;&gt;"",
SUBSTITUTE(SUBSTITUTE(INDIRECT("C"&amp;$R117&amp;"")," 週3ｺｰｽ","")," 週5ｺｰｽ",""),"")</f>
        <v/>
      </c>
      <c r="T117" s="18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81" t="str">
        <f t="array" aca="1" ref="V117" ca="1">IF($R117&lt;&gt;"",
INDIRECT("G"&amp;$R117&amp;""),"")</f>
        <v/>
      </c>
      <c r="W117" s="181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8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8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81" t="str">
        <f t="shared" ca="1" si="25"/>
        <v/>
      </c>
      <c r="AA117" s="181" t="str">
        <f t="shared" ca="1" si="26"/>
        <v/>
      </c>
      <c r="AB117" s="181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81" t="str">
        <f t="shared" ca="1" si="27"/>
        <v/>
      </c>
      <c r="AD117" s="181" t="str">
        <f t="shared" ca="1" si="28"/>
        <v/>
      </c>
      <c r="AE117" s="181" t="str">
        <f t="shared" ca="1" si="29"/>
        <v/>
      </c>
      <c r="AF117" s="181" t="str">
        <f t="shared" ca="1" si="30"/>
        <v/>
      </c>
      <c r="AG117" s="181" t="str">
        <f t="shared" ca="1" si="31"/>
        <v/>
      </c>
      <c r="AH117" s="185" t="str">
        <f t="shared" ca="1" si="32"/>
        <v/>
      </c>
      <c r="AI117" s="181" t="str">
        <f t="shared" ca="1" si="33"/>
        <v/>
      </c>
      <c r="AJ117" s="181" t="str">
        <f t="shared" ca="1" si="34"/>
        <v/>
      </c>
      <c r="AK117" s="181" t="str">
        <f t="shared" ca="1" si="35"/>
        <v/>
      </c>
      <c r="AL117" s="181" t="str">
        <f t="shared" ca="1" si="36"/>
        <v/>
      </c>
      <c r="AM117" s="181" t="str">
        <f t="shared" ca="1" si="37"/>
        <v/>
      </c>
      <c r="AN117" s="181" t="str">
        <f t="shared" ca="1" si="38"/>
        <v/>
      </c>
      <c r="AO117" s="181" t="str">
        <f t="shared" ca="1" si="39"/>
        <v/>
      </c>
      <c r="AP117" s="181" t="str">
        <f t="shared" ca="1" si="40"/>
        <v/>
      </c>
      <c r="AU117" s="181" t="str">
        <f t="shared" ca="1" si="41"/>
        <v/>
      </c>
    </row>
    <row r="118" spans="1:47" ht="22.2" customHeight="1">
      <c r="A118" s="104">
        <f t="shared" si="48"/>
        <v>101</v>
      </c>
      <c r="B118" s="105" t="str">
        <f t="shared" ca="1" si="46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05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06" t="str">
        <f>IF(C118&lt;&gt;"",
クライアント抽出!C48,"")</f>
        <v/>
      </c>
      <c r="I118" s="105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VLOOKUP("*"&amp;D118&amp;"*",商品マスタ一覧!D:H,5,FALSE)),"")</f>
        <v/>
      </c>
      <c r="O118" s="105">
        <f t="shared" ca="1" si="47"/>
        <v>0</v>
      </c>
      <c r="P118" s="105">
        <f t="shared" si="23"/>
        <v>0</v>
      </c>
      <c r="Q118" s="105" t="b">
        <f t="shared" si="24"/>
        <v>0</v>
      </c>
      <c r="R118" s="181" t="str">
        <f t="array" aca="1" ref="R118" ca="1">IFERROR(SMALL(IF(P$1:P$311&lt;&gt;0,P$1:P$311),ROW(A118)),"")</f>
        <v/>
      </c>
      <c r="S118" s="181" t="str">
        <f t="array" aca="1" ref="S118" ca="1">IF($R118&lt;&gt;"",
SUBSTITUTE(SUBSTITUTE(INDIRECT("C"&amp;$R118&amp;"")," 週3ｺｰｽ","")," 週5ｺｰｽ",""),"")</f>
        <v/>
      </c>
      <c r="T118" s="18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81" t="str">
        <f t="array" aca="1" ref="V118" ca="1">IF($R118&lt;&gt;"",
INDIRECT("G"&amp;$R118&amp;""),"")</f>
        <v/>
      </c>
      <c r="W118" s="181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8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8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81" t="str">
        <f t="shared" ca="1" si="25"/>
        <v/>
      </c>
      <c r="AA118" s="181" t="str">
        <f t="shared" ca="1" si="26"/>
        <v/>
      </c>
      <c r="AB118" s="181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81" t="str">
        <f t="shared" ca="1" si="27"/>
        <v/>
      </c>
      <c r="AD118" s="181" t="str">
        <f t="shared" ca="1" si="28"/>
        <v/>
      </c>
      <c r="AE118" s="181" t="str">
        <f t="shared" ca="1" si="29"/>
        <v/>
      </c>
      <c r="AF118" s="181" t="str">
        <f t="shared" ca="1" si="30"/>
        <v/>
      </c>
      <c r="AG118" s="181" t="str">
        <f t="shared" ca="1" si="31"/>
        <v/>
      </c>
      <c r="AH118" s="185" t="str">
        <f t="shared" ca="1" si="32"/>
        <v/>
      </c>
      <c r="AI118" s="181" t="str">
        <f t="shared" ca="1" si="33"/>
        <v/>
      </c>
      <c r="AJ118" s="181" t="str">
        <f t="shared" ca="1" si="34"/>
        <v/>
      </c>
      <c r="AK118" s="181" t="str">
        <f t="shared" ca="1" si="35"/>
        <v/>
      </c>
      <c r="AL118" s="181" t="str">
        <f t="shared" ca="1" si="36"/>
        <v/>
      </c>
      <c r="AM118" s="181" t="str">
        <f t="shared" ca="1" si="37"/>
        <v/>
      </c>
      <c r="AN118" s="181" t="str">
        <f t="shared" ca="1" si="38"/>
        <v/>
      </c>
      <c r="AO118" s="181" t="str">
        <f t="shared" ca="1" si="39"/>
        <v/>
      </c>
      <c r="AP118" s="181" t="str">
        <f t="shared" ca="1" si="40"/>
        <v/>
      </c>
      <c r="AU118" s="181" t="str">
        <f t="shared" ca="1" si="41"/>
        <v/>
      </c>
    </row>
    <row r="119" spans="1:47" ht="22.2" customHeight="1">
      <c r="A119" s="104">
        <f t="shared" si="48"/>
        <v>103</v>
      </c>
      <c r="B119" s="105" t="str">
        <f t="shared" ca="1" si="46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05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06" t="str">
        <f>IF(C119&lt;&gt;"",
クライアント抽出!C49,"")</f>
        <v/>
      </c>
      <c r="I119" s="105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VLOOKUP("*"&amp;D119&amp;"*",商品マスタ一覧!D:H,5,FALSE)),"")</f>
        <v/>
      </c>
      <c r="O119" s="105">
        <f t="shared" ca="1" si="47"/>
        <v>0</v>
      </c>
      <c r="P119" s="105">
        <f t="shared" si="23"/>
        <v>0</v>
      </c>
      <c r="Q119" s="105" t="b">
        <f t="shared" si="24"/>
        <v>0</v>
      </c>
      <c r="R119" s="181" t="str">
        <f t="array" aca="1" ref="R119" ca="1">IFERROR(SMALL(IF(P$1:P$311&lt;&gt;0,P$1:P$311),ROW(A119)),"")</f>
        <v/>
      </c>
      <c r="S119" s="181" t="str">
        <f t="array" aca="1" ref="S119" ca="1">IF($R119&lt;&gt;"",
SUBSTITUTE(SUBSTITUTE(INDIRECT("C"&amp;$R119&amp;"")," 週3ｺｰｽ","")," 週5ｺｰｽ",""),"")</f>
        <v/>
      </c>
      <c r="T119" s="18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81" t="str">
        <f t="array" aca="1" ref="V119" ca="1">IF($R119&lt;&gt;"",
INDIRECT("G"&amp;$R119&amp;""),"")</f>
        <v/>
      </c>
      <c r="W119" s="181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8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8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81" t="str">
        <f t="shared" ca="1" si="25"/>
        <v/>
      </c>
      <c r="AA119" s="181" t="str">
        <f t="shared" ca="1" si="26"/>
        <v/>
      </c>
      <c r="AB119" s="181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81" t="str">
        <f t="shared" ca="1" si="27"/>
        <v/>
      </c>
      <c r="AD119" s="181" t="str">
        <f t="shared" ca="1" si="28"/>
        <v/>
      </c>
      <c r="AE119" s="181" t="str">
        <f t="shared" ca="1" si="29"/>
        <v/>
      </c>
      <c r="AF119" s="181" t="str">
        <f t="shared" ca="1" si="30"/>
        <v/>
      </c>
      <c r="AG119" s="181" t="str">
        <f t="shared" ca="1" si="31"/>
        <v/>
      </c>
      <c r="AH119" s="185" t="str">
        <f t="shared" ca="1" si="32"/>
        <v/>
      </c>
      <c r="AI119" s="181" t="str">
        <f t="shared" ca="1" si="33"/>
        <v/>
      </c>
      <c r="AJ119" s="181" t="str">
        <f t="shared" ca="1" si="34"/>
        <v/>
      </c>
      <c r="AK119" s="181" t="str">
        <f t="shared" ca="1" si="35"/>
        <v/>
      </c>
      <c r="AL119" s="181" t="str">
        <f t="shared" ca="1" si="36"/>
        <v/>
      </c>
      <c r="AM119" s="181" t="str">
        <f t="shared" ca="1" si="37"/>
        <v/>
      </c>
      <c r="AN119" s="181" t="str">
        <f t="shared" ca="1" si="38"/>
        <v/>
      </c>
      <c r="AO119" s="181" t="str">
        <f t="shared" ca="1" si="39"/>
        <v/>
      </c>
      <c r="AP119" s="181" t="str">
        <f t="shared" ca="1" si="40"/>
        <v/>
      </c>
      <c r="AU119" s="181" t="str">
        <f t="shared" ca="1" si="41"/>
        <v/>
      </c>
    </row>
    <row r="120" spans="1:47" ht="22.2" customHeight="1">
      <c r="A120" s="104">
        <f t="shared" si="48"/>
        <v>105</v>
      </c>
      <c r="B120" s="105" t="str">
        <f t="shared" ca="1" si="46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05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06" t="str">
        <f>IF(C120&lt;&gt;"",
クライアント抽出!C50,"")</f>
        <v/>
      </c>
      <c r="I120" s="105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VLOOKUP("*"&amp;D120&amp;"*",商品マスタ一覧!D:H,5,FALSE)),"")</f>
        <v/>
      </c>
      <c r="O120" s="105">
        <f t="shared" ca="1" si="47"/>
        <v>0</v>
      </c>
      <c r="P120" s="105">
        <f t="shared" si="23"/>
        <v>0</v>
      </c>
      <c r="Q120" s="105" t="b">
        <f t="shared" si="24"/>
        <v>0</v>
      </c>
      <c r="R120" s="181" t="str">
        <f t="array" aca="1" ref="R120" ca="1">IFERROR(SMALL(IF(P$1:P$311&lt;&gt;0,P$1:P$311),ROW(A120)),"")</f>
        <v/>
      </c>
      <c r="S120" s="181" t="str">
        <f t="array" aca="1" ref="S120" ca="1">IF($R120&lt;&gt;"",
SUBSTITUTE(SUBSTITUTE(INDIRECT("C"&amp;$R120&amp;"")," 週3ｺｰｽ","")," 週5ｺｰｽ",""),"")</f>
        <v/>
      </c>
      <c r="T120" s="18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81" t="str">
        <f t="array" aca="1" ref="V120" ca="1">IF($R120&lt;&gt;"",
INDIRECT("G"&amp;$R120&amp;""),"")</f>
        <v/>
      </c>
      <c r="W120" s="181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8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8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81" t="str">
        <f t="shared" ca="1" si="25"/>
        <v/>
      </c>
      <c r="AA120" s="181" t="str">
        <f t="shared" ca="1" si="26"/>
        <v/>
      </c>
      <c r="AB120" s="181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81" t="str">
        <f t="shared" ca="1" si="27"/>
        <v/>
      </c>
      <c r="AD120" s="181" t="str">
        <f t="shared" ca="1" si="28"/>
        <v/>
      </c>
      <c r="AE120" s="181" t="str">
        <f t="shared" ca="1" si="29"/>
        <v/>
      </c>
      <c r="AF120" s="181" t="str">
        <f t="shared" ca="1" si="30"/>
        <v/>
      </c>
      <c r="AG120" s="181" t="str">
        <f t="shared" ca="1" si="31"/>
        <v/>
      </c>
      <c r="AH120" s="185" t="str">
        <f t="shared" ca="1" si="32"/>
        <v/>
      </c>
      <c r="AI120" s="181" t="str">
        <f t="shared" ca="1" si="33"/>
        <v/>
      </c>
      <c r="AJ120" s="181" t="str">
        <f t="shared" ca="1" si="34"/>
        <v/>
      </c>
      <c r="AK120" s="181" t="str">
        <f t="shared" ca="1" si="35"/>
        <v/>
      </c>
      <c r="AL120" s="181" t="str">
        <f t="shared" ca="1" si="36"/>
        <v/>
      </c>
      <c r="AM120" s="181" t="str">
        <f t="shared" ca="1" si="37"/>
        <v/>
      </c>
      <c r="AN120" s="181" t="str">
        <f t="shared" ca="1" si="38"/>
        <v/>
      </c>
      <c r="AO120" s="181" t="str">
        <f t="shared" ca="1" si="39"/>
        <v/>
      </c>
      <c r="AP120" s="181" t="str">
        <f t="shared" ca="1" si="40"/>
        <v/>
      </c>
      <c r="AU120" s="181" t="str">
        <f t="shared" ca="1" si="41"/>
        <v/>
      </c>
    </row>
    <row r="121" spans="1:47" ht="27.6" customHeight="1">
      <c r="A121" s="104">
        <f t="shared" si="48"/>
        <v>107</v>
      </c>
      <c r="B121" s="105" t="str">
        <f t="shared" ca="1" si="46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05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06" t="str">
        <f>IF(C121&lt;&gt;"",
クライアント抽出!C51,"")</f>
        <v/>
      </c>
      <c r="I121" s="105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VLOOKUP("*"&amp;D121&amp;"*",商品マスタ一覧!D:H,5,FALSE)),"")</f>
        <v/>
      </c>
      <c r="O121" s="105">
        <f t="shared" ca="1" si="47"/>
        <v>0</v>
      </c>
      <c r="P121" s="105">
        <f t="shared" si="23"/>
        <v>0</v>
      </c>
      <c r="Q121" s="105" t="b">
        <f t="shared" si="24"/>
        <v>0</v>
      </c>
      <c r="R121" s="181" t="str">
        <f t="array" aca="1" ref="R121" ca="1">IFERROR(SMALL(IF(P$1:P$311&lt;&gt;0,P$1:P$311),ROW(A121)),"")</f>
        <v/>
      </c>
      <c r="S121" s="181" t="str">
        <f t="array" aca="1" ref="S121" ca="1">IF($R121&lt;&gt;"",
SUBSTITUTE(SUBSTITUTE(INDIRECT("C"&amp;$R121&amp;"")," 週3ｺｰｽ","")," 週5ｺｰｽ",""),"")</f>
        <v/>
      </c>
      <c r="T121" s="18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81" t="str">
        <f t="array" aca="1" ref="V121" ca="1">IF($R121&lt;&gt;"",
INDIRECT("G"&amp;$R121&amp;""),"")</f>
        <v/>
      </c>
      <c r="W121" s="181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8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8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81" t="str">
        <f t="shared" ca="1" si="25"/>
        <v/>
      </c>
      <c r="AA121" s="181" t="str">
        <f t="shared" ca="1" si="26"/>
        <v/>
      </c>
      <c r="AB121" s="181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81" t="str">
        <f t="shared" ca="1" si="27"/>
        <v/>
      </c>
      <c r="AD121" s="181" t="str">
        <f t="shared" ca="1" si="28"/>
        <v/>
      </c>
      <c r="AE121" s="181" t="str">
        <f t="shared" ca="1" si="29"/>
        <v/>
      </c>
      <c r="AF121" s="181" t="str">
        <f t="shared" ca="1" si="30"/>
        <v/>
      </c>
      <c r="AG121" s="181" t="str">
        <f t="shared" ca="1" si="31"/>
        <v/>
      </c>
      <c r="AH121" s="185" t="str">
        <f t="shared" ca="1" si="32"/>
        <v/>
      </c>
      <c r="AI121" s="181" t="str">
        <f t="shared" ca="1" si="33"/>
        <v/>
      </c>
      <c r="AJ121" s="181" t="str">
        <f t="shared" ca="1" si="34"/>
        <v/>
      </c>
      <c r="AK121" s="181" t="str">
        <f t="shared" ca="1" si="35"/>
        <v/>
      </c>
      <c r="AL121" s="181" t="str">
        <f t="shared" ca="1" si="36"/>
        <v/>
      </c>
      <c r="AM121" s="181" t="str">
        <f t="shared" ca="1" si="37"/>
        <v/>
      </c>
      <c r="AN121" s="181" t="str">
        <f t="shared" ca="1" si="38"/>
        <v/>
      </c>
      <c r="AO121" s="181" t="str">
        <f t="shared" ca="1" si="39"/>
        <v/>
      </c>
      <c r="AP121" s="181" t="str">
        <f t="shared" ca="1" si="40"/>
        <v/>
      </c>
      <c r="AU121" s="181" t="str">
        <f t="shared" ca="1" si="41"/>
        <v/>
      </c>
    </row>
    <row r="122" spans="1:47" ht="22.2" customHeight="1">
      <c r="A122" s="104">
        <f t="shared" si="48"/>
        <v>109</v>
      </c>
      <c r="B122" s="105" t="str">
        <f t="shared" ca="1" si="46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05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06" t="str">
        <f>IF(C122&lt;&gt;"",
クライアント抽出!C52,"")</f>
        <v/>
      </c>
      <c r="I122" s="105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VLOOKUP("*"&amp;D122&amp;"*",商品マスタ一覧!D:H,5,FALSE)),"")</f>
        <v/>
      </c>
      <c r="O122" s="105">
        <f t="shared" ca="1" si="47"/>
        <v>0</v>
      </c>
      <c r="P122" s="105">
        <f t="shared" si="23"/>
        <v>0</v>
      </c>
      <c r="Q122" s="105" t="b">
        <f t="shared" si="24"/>
        <v>0</v>
      </c>
      <c r="R122" s="181" t="str">
        <f t="array" aca="1" ref="R122" ca="1">IFERROR(SMALL(IF(P$1:P$311&lt;&gt;0,P$1:P$311),ROW(A122)),"")</f>
        <v/>
      </c>
      <c r="S122" s="181" t="str">
        <f t="array" aca="1" ref="S122" ca="1">IF($R122&lt;&gt;"",
SUBSTITUTE(SUBSTITUTE(INDIRECT("C"&amp;$R122&amp;"")," 週3ｺｰｽ","")," 週5ｺｰｽ",""),"")</f>
        <v/>
      </c>
      <c r="T122" s="18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81" t="str">
        <f t="array" aca="1" ref="V122" ca="1">IF($R122&lt;&gt;"",
INDIRECT("G"&amp;$R122&amp;""),"")</f>
        <v/>
      </c>
      <c r="W122" s="181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8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8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81" t="str">
        <f t="shared" ca="1" si="25"/>
        <v/>
      </c>
      <c r="AA122" s="181" t="str">
        <f t="shared" ca="1" si="26"/>
        <v/>
      </c>
      <c r="AB122" s="181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81" t="str">
        <f t="shared" ca="1" si="27"/>
        <v/>
      </c>
      <c r="AD122" s="181" t="str">
        <f t="shared" ca="1" si="28"/>
        <v/>
      </c>
      <c r="AE122" s="181" t="str">
        <f t="shared" ca="1" si="29"/>
        <v/>
      </c>
      <c r="AF122" s="181" t="str">
        <f t="shared" ca="1" si="30"/>
        <v/>
      </c>
      <c r="AG122" s="181" t="str">
        <f t="shared" ca="1" si="31"/>
        <v/>
      </c>
      <c r="AH122" s="185" t="str">
        <f t="shared" ca="1" si="32"/>
        <v/>
      </c>
      <c r="AI122" s="181" t="str">
        <f t="shared" ca="1" si="33"/>
        <v/>
      </c>
      <c r="AJ122" s="181" t="str">
        <f t="shared" ca="1" si="34"/>
        <v/>
      </c>
      <c r="AK122" s="181" t="str">
        <f t="shared" ca="1" si="35"/>
        <v/>
      </c>
      <c r="AL122" s="181" t="str">
        <f t="shared" ca="1" si="36"/>
        <v/>
      </c>
      <c r="AM122" s="181" t="str">
        <f t="shared" ca="1" si="37"/>
        <v/>
      </c>
      <c r="AN122" s="181" t="str">
        <f t="shared" ca="1" si="38"/>
        <v/>
      </c>
      <c r="AO122" s="181" t="str">
        <f t="shared" ca="1" si="39"/>
        <v/>
      </c>
      <c r="AP122" s="181" t="str">
        <f t="shared" ca="1" si="40"/>
        <v/>
      </c>
      <c r="AU122" s="181" t="str">
        <f t="shared" ca="1" si="41"/>
        <v/>
      </c>
    </row>
    <row r="123" spans="1:47" ht="22.2" customHeight="1">
      <c r="A123" s="104">
        <f t="shared" si="48"/>
        <v>111</v>
      </c>
      <c r="B123" s="105" t="str">
        <f t="shared" ca="1" si="46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05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06" t="str">
        <f>IF(C123&lt;&gt;"",
クライアント抽出!C53,"")</f>
        <v/>
      </c>
      <c r="I123" s="105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VLOOKUP("*"&amp;D123&amp;"*",商品マスタ一覧!D:H,5,FALSE)),"")</f>
        <v/>
      </c>
      <c r="O123" s="105">
        <f t="shared" ca="1" si="47"/>
        <v>0</v>
      </c>
      <c r="P123" s="105">
        <f t="shared" si="23"/>
        <v>0</v>
      </c>
      <c r="Q123" s="105" t="b">
        <f t="shared" si="24"/>
        <v>0</v>
      </c>
      <c r="R123" s="181" t="str">
        <f t="array" aca="1" ref="R123" ca="1">IFERROR(SMALL(IF(P$1:P$311&lt;&gt;0,P$1:P$311),ROW(A123)),"")</f>
        <v/>
      </c>
      <c r="S123" s="181" t="str">
        <f t="array" aca="1" ref="S123" ca="1">IF($R123&lt;&gt;"",
SUBSTITUTE(SUBSTITUTE(INDIRECT("C"&amp;$R123&amp;"")," 週3ｺｰｽ","")," 週5ｺｰｽ",""),"")</f>
        <v/>
      </c>
      <c r="T123" s="18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81" t="str">
        <f t="array" aca="1" ref="V123" ca="1">IF($R123&lt;&gt;"",
INDIRECT("G"&amp;$R123&amp;""),"")</f>
        <v/>
      </c>
      <c r="W123" s="181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8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8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81" t="str">
        <f t="shared" ca="1" si="25"/>
        <v/>
      </c>
      <c r="AA123" s="181" t="str">
        <f t="shared" ca="1" si="26"/>
        <v/>
      </c>
      <c r="AB123" s="181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81" t="str">
        <f t="shared" ca="1" si="27"/>
        <v/>
      </c>
      <c r="AD123" s="181" t="str">
        <f t="shared" ca="1" si="28"/>
        <v/>
      </c>
      <c r="AE123" s="181" t="str">
        <f t="shared" ca="1" si="29"/>
        <v/>
      </c>
      <c r="AF123" s="181" t="str">
        <f t="shared" ca="1" si="30"/>
        <v/>
      </c>
      <c r="AG123" s="181" t="str">
        <f t="shared" ca="1" si="31"/>
        <v/>
      </c>
      <c r="AH123" s="185" t="str">
        <f t="shared" ca="1" si="32"/>
        <v/>
      </c>
      <c r="AI123" s="181" t="str">
        <f t="shared" ca="1" si="33"/>
        <v/>
      </c>
      <c r="AJ123" s="181" t="str">
        <f t="shared" ca="1" si="34"/>
        <v/>
      </c>
      <c r="AK123" s="181" t="str">
        <f t="shared" ca="1" si="35"/>
        <v/>
      </c>
      <c r="AL123" s="181" t="str">
        <f t="shared" ca="1" si="36"/>
        <v/>
      </c>
      <c r="AM123" s="181" t="str">
        <f t="shared" ca="1" si="37"/>
        <v/>
      </c>
      <c r="AN123" s="181" t="str">
        <f t="shared" ca="1" si="38"/>
        <v/>
      </c>
      <c r="AO123" s="181" t="str">
        <f t="shared" ca="1" si="39"/>
        <v/>
      </c>
      <c r="AP123" s="181" t="str">
        <f t="shared" ca="1" si="40"/>
        <v/>
      </c>
      <c r="AU123" s="181" t="str">
        <f t="shared" ca="1" si="41"/>
        <v/>
      </c>
    </row>
    <row r="124" spans="1:47" ht="22.2" customHeight="1">
      <c r="A124" s="104">
        <f t="shared" si="48"/>
        <v>113</v>
      </c>
      <c r="B124" s="105" t="str">
        <f t="shared" ca="1" si="46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05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06" t="str">
        <f>IF(C124&lt;&gt;"",
クライアント抽出!C54,"")</f>
        <v/>
      </c>
      <c r="I124" s="105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VLOOKUP("*"&amp;D124&amp;"*",商品マスタ一覧!D:H,5,FALSE)),"")</f>
        <v/>
      </c>
      <c r="O124" s="105">
        <f t="shared" ca="1" si="47"/>
        <v>0</v>
      </c>
      <c r="P124" s="105">
        <f t="shared" si="23"/>
        <v>0</v>
      </c>
      <c r="Q124" s="105" t="b">
        <f t="shared" si="24"/>
        <v>0</v>
      </c>
      <c r="R124" s="181" t="str">
        <f t="array" aca="1" ref="R124" ca="1">IFERROR(SMALL(IF(P$1:P$311&lt;&gt;0,P$1:P$311),ROW(A124)),"")</f>
        <v/>
      </c>
      <c r="S124" s="181" t="str">
        <f t="array" aca="1" ref="S124" ca="1">IF($R124&lt;&gt;"",
SUBSTITUTE(SUBSTITUTE(INDIRECT("C"&amp;$R124&amp;"")," 週3ｺｰｽ","")," 週5ｺｰｽ",""),"")</f>
        <v/>
      </c>
      <c r="T124" s="18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81" t="str">
        <f t="array" aca="1" ref="V124" ca="1">IF($R124&lt;&gt;"",
INDIRECT("G"&amp;$R124&amp;""),"")</f>
        <v/>
      </c>
      <c r="W124" s="181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8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8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81" t="str">
        <f t="shared" ca="1" si="25"/>
        <v/>
      </c>
      <c r="AA124" s="181" t="str">
        <f t="shared" ca="1" si="26"/>
        <v/>
      </c>
      <c r="AB124" s="181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81" t="str">
        <f t="shared" ca="1" si="27"/>
        <v/>
      </c>
      <c r="AD124" s="181" t="str">
        <f t="shared" ca="1" si="28"/>
        <v/>
      </c>
      <c r="AE124" s="181" t="str">
        <f t="shared" ca="1" si="29"/>
        <v/>
      </c>
      <c r="AF124" s="181" t="str">
        <f t="shared" ca="1" si="30"/>
        <v/>
      </c>
      <c r="AG124" s="181" t="str">
        <f t="shared" ca="1" si="31"/>
        <v/>
      </c>
      <c r="AH124" s="185" t="str">
        <f t="shared" ca="1" si="32"/>
        <v/>
      </c>
      <c r="AI124" s="181" t="str">
        <f t="shared" ca="1" si="33"/>
        <v/>
      </c>
      <c r="AJ124" s="181" t="str">
        <f t="shared" ca="1" si="34"/>
        <v/>
      </c>
      <c r="AK124" s="181" t="str">
        <f t="shared" ca="1" si="35"/>
        <v/>
      </c>
      <c r="AL124" s="181" t="str">
        <f t="shared" ca="1" si="36"/>
        <v/>
      </c>
      <c r="AM124" s="181" t="str">
        <f t="shared" ca="1" si="37"/>
        <v/>
      </c>
      <c r="AN124" s="181" t="str">
        <f t="shared" ca="1" si="38"/>
        <v/>
      </c>
      <c r="AO124" s="181" t="str">
        <f t="shared" ca="1" si="39"/>
        <v/>
      </c>
      <c r="AP124" s="181" t="str">
        <f t="shared" ca="1" si="40"/>
        <v/>
      </c>
      <c r="AU124" s="181" t="str">
        <f t="shared" ca="1" si="41"/>
        <v/>
      </c>
    </row>
    <row r="125" spans="1:47" ht="22.2" customHeight="1">
      <c r="A125" s="104">
        <f t="shared" si="48"/>
        <v>115</v>
      </c>
      <c r="B125" s="105" t="str">
        <f t="shared" ca="1" si="46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05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06" t="str">
        <f>IF(C125&lt;&gt;"",
クライアント抽出!C55,"")</f>
        <v/>
      </c>
      <c r="I125" s="105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VLOOKUP("*"&amp;D125&amp;"*",商品マスタ一覧!D:H,5,FALSE)),"")</f>
        <v/>
      </c>
      <c r="O125" s="105">
        <f t="shared" ca="1" si="47"/>
        <v>0</v>
      </c>
      <c r="P125" s="105">
        <f t="shared" si="23"/>
        <v>0</v>
      </c>
      <c r="Q125" s="105" t="b">
        <f t="shared" si="24"/>
        <v>0</v>
      </c>
      <c r="R125" s="181" t="str">
        <f t="array" aca="1" ref="R125" ca="1">IFERROR(SMALL(IF(P$1:P$311&lt;&gt;0,P$1:P$311),ROW(A125)),"")</f>
        <v/>
      </c>
      <c r="S125" s="181" t="str">
        <f t="array" aca="1" ref="S125" ca="1">IF($R125&lt;&gt;"",
SUBSTITUTE(SUBSTITUTE(INDIRECT("C"&amp;$R125&amp;"")," 週3ｺｰｽ","")," 週5ｺｰｽ",""),"")</f>
        <v/>
      </c>
      <c r="T125" s="18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81" t="str">
        <f t="array" aca="1" ref="V125" ca="1">IF($R125&lt;&gt;"",
INDIRECT("G"&amp;$R125&amp;""),"")</f>
        <v/>
      </c>
      <c r="W125" s="181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8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8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81" t="str">
        <f t="shared" ca="1" si="25"/>
        <v/>
      </c>
      <c r="AA125" s="181" t="str">
        <f t="shared" ca="1" si="26"/>
        <v/>
      </c>
      <c r="AB125" s="181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81" t="str">
        <f t="shared" ca="1" si="27"/>
        <v/>
      </c>
      <c r="AD125" s="181" t="str">
        <f t="shared" ca="1" si="28"/>
        <v/>
      </c>
      <c r="AE125" s="181" t="str">
        <f t="shared" ca="1" si="29"/>
        <v/>
      </c>
      <c r="AF125" s="181" t="str">
        <f t="shared" ca="1" si="30"/>
        <v/>
      </c>
      <c r="AG125" s="181" t="str">
        <f t="shared" ca="1" si="31"/>
        <v/>
      </c>
      <c r="AH125" s="185" t="str">
        <f t="shared" ca="1" si="32"/>
        <v/>
      </c>
      <c r="AI125" s="181" t="str">
        <f t="shared" ca="1" si="33"/>
        <v/>
      </c>
      <c r="AJ125" s="181" t="str">
        <f t="shared" ca="1" si="34"/>
        <v/>
      </c>
      <c r="AK125" s="181" t="str">
        <f t="shared" ca="1" si="35"/>
        <v/>
      </c>
      <c r="AL125" s="181" t="str">
        <f t="shared" ca="1" si="36"/>
        <v/>
      </c>
      <c r="AM125" s="181" t="str">
        <f t="shared" ca="1" si="37"/>
        <v/>
      </c>
      <c r="AN125" s="181" t="str">
        <f t="shared" ca="1" si="38"/>
        <v/>
      </c>
      <c r="AO125" s="181" t="str">
        <f t="shared" ca="1" si="39"/>
        <v/>
      </c>
      <c r="AP125" s="181" t="str">
        <f t="shared" ca="1" si="40"/>
        <v/>
      </c>
      <c r="AU125" s="181" t="str">
        <f t="shared" ca="1" si="41"/>
        <v/>
      </c>
    </row>
    <row r="126" spans="1:47" ht="22.2" customHeight="1">
      <c r="A126" s="104">
        <f t="shared" si="48"/>
        <v>117</v>
      </c>
      <c r="B126" s="105" t="str">
        <f t="shared" ca="1" si="46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05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06" t="str">
        <f>IF(C126&lt;&gt;"",
クライアント抽出!C56,"")</f>
        <v/>
      </c>
      <c r="I126" s="105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VLOOKUP("*"&amp;D126&amp;"*",商品マスタ一覧!D:H,5,FALSE)),"")</f>
        <v/>
      </c>
      <c r="O126" s="105">
        <f t="shared" ca="1" si="47"/>
        <v>0</v>
      </c>
      <c r="P126" s="105">
        <f t="shared" si="23"/>
        <v>0</v>
      </c>
      <c r="Q126" s="105" t="b">
        <f t="shared" si="24"/>
        <v>0</v>
      </c>
      <c r="R126" s="181" t="str">
        <f t="array" aca="1" ref="R126" ca="1">IFERROR(SMALL(IF(P$1:P$311&lt;&gt;0,P$1:P$311),ROW(A126)),"")</f>
        <v/>
      </c>
      <c r="S126" s="181" t="str">
        <f t="array" aca="1" ref="S126" ca="1">IF($R126&lt;&gt;"",
SUBSTITUTE(SUBSTITUTE(INDIRECT("C"&amp;$R126&amp;"")," 週3ｺｰｽ","")," 週5ｺｰｽ",""),"")</f>
        <v/>
      </c>
      <c r="T126" s="18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81" t="str">
        <f t="array" aca="1" ref="V126" ca="1">IF($R126&lt;&gt;"",
INDIRECT("G"&amp;$R126&amp;""),"")</f>
        <v/>
      </c>
      <c r="W126" s="181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8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8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81" t="str">
        <f t="shared" ca="1" si="25"/>
        <v/>
      </c>
      <c r="AA126" s="181" t="str">
        <f t="shared" ca="1" si="26"/>
        <v/>
      </c>
      <c r="AB126" s="181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81" t="str">
        <f t="shared" ca="1" si="27"/>
        <v/>
      </c>
      <c r="AD126" s="181" t="str">
        <f t="shared" ca="1" si="28"/>
        <v/>
      </c>
      <c r="AE126" s="181" t="str">
        <f t="shared" ca="1" si="29"/>
        <v/>
      </c>
      <c r="AF126" s="181" t="str">
        <f t="shared" ca="1" si="30"/>
        <v/>
      </c>
      <c r="AG126" s="181" t="str">
        <f t="shared" ca="1" si="31"/>
        <v/>
      </c>
      <c r="AH126" s="185" t="str">
        <f t="shared" ca="1" si="32"/>
        <v/>
      </c>
      <c r="AI126" s="181" t="str">
        <f t="shared" ca="1" si="33"/>
        <v/>
      </c>
      <c r="AJ126" s="181" t="str">
        <f t="shared" ca="1" si="34"/>
        <v/>
      </c>
      <c r="AK126" s="181" t="str">
        <f t="shared" ca="1" si="35"/>
        <v/>
      </c>
      <c r="AL126" s="181" t="str">
        <f t="shared" ca="1" si="36"/>
        <v/>
      </c>
      <c r="AM126" s="181" t="str">
        <f t="shared" ca="1" si="37"/>
        <v/>
      </c>
      <c r="AN126" s="181" t="str">
        <f t="shared" ca="1" si="38"/>
        <v/>
      </c>
      <c r="AO126" s="181" t="str">
        <f t="shared" ca="1" si="39"/>
        <v/>
      </c>
      <c r="AP126" s="181" t="str">
        <f t="shared" ca="1" si="40"/>
        <v/>
      </c>
      <c r="AU126" s="181" t="str">
        <f t="shared" ca="1" si="41"/>
        <v/>
      </c>
    </row>
    <row r="127" spans="1:47" ht="22.2" customHeight="1">
      <c r="A127" s="104">
        <f t="shared" si="48"/>
        <v>119</v>
      </c>
      <c r="B127" s="105" t="str">
        <f t="shared" ca="1" si="46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05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06" t="str">
        <f>IF(C127&lt;&gt;"",
クライアント抽出!C57,"")</f>
        <v/>
      </c>
      <c r="I127" s="105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VLOOKUP("*"&amp;D127&amp;"*",商品マスタ一覧!D:H,5,FALSE)),"")</f>
        <v/>
      </c>
      <c r="O127" s="105">
        <f t="shared" ca="1" si="47"/>
        <v>0</v>
      </c>
      <c r="P127" s="105">
        <f t="shared" si="23"/>
        <v>0</v>
      </c>
      <c r="Q127" s="105" t="b">
        <f t="shared" si="24"/>
        <v>0</v>
      </c>
      <c r="R127" s="181" t="str">
        <f t="array" aca="1" ref="R127" ca="1">IFERROR(SMALL(IF(P$1:P$311&lt;&gt;0,P$1:P$311),ROW(A127)),"")</f>
        <v/>
      </c>
      <c r="S127" s="181" t="str">
        <f t="array" aca="1" ref="S127" ca="1">IF($R127&lt;&gt;"",
SUBSTITUTE(SUBSTITUTE(INDIRECT("C"&amp;$R127&amp;"")," 週3ｺｰｽ","")," 週5ｺｰｽ",""),"")</f>
        <v/>
      </c>
      <c r="T127" s="18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81" t="str">
        <f t="array" aca="1" ref="V127" ca="1">IF($R127&lt;&gt;"",
INDIRECT("G"&amp;$R127&amp;""),"")</f>
        <v/>
      </c>
      <c r="W127" s="181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8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8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81" t="str">
        <f t="shared" ca="1" si="25"/>
        <v/>
      </c>
      <c r="AA127" s="181" t="str">
        <f t="shared" ca="1" si="26"/>
        <v/>
      </c>
      <c r="AB127" s="181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81" t="str">
        <f t="shared" ca="1" si="27"/>
        <v/>
      </c>
      <c r="AD127" s="181" t="str">
        <f t="shared" ca="1" si="28"/>
        <v/>
      </c>
      <c r="AE127" s="181" t="str">
        <f t="shared" ca="1" si="29"/>
        <v/>
      </c>
      <c r="AF127" s="181" t="str">
        <f t="shared" ca="1" si="30"/>
        <v/>
      </c>
      <c r="AG127" s="181" t="str">
        <f t="shared" ca="1" si="31"/>
        <v/>
      </c>
      <c r="AH127" s="185" t="str">
        <f t="shared" ca="1" si="32"/>
        <v/>
      </c>
      <c r="AI127" s="181" t="str">
        <f t="shared" ca="1" si="33"/>
        <v/>
      </c>
      <c r="AJ127" s="181" t="str">
        <f t="shared" ca="1" si="34"/>
        <v/>
      </c>
      <c r="AK127" s="181" t="str">
        <f t="shared" ca="1" si="35"/>
        <v/>
      </c>
      <c r="AL127" s="181" t="str">
        <f t="shared" ca="1" si="36"/>
        <v/>
      </c>
      <c r="AM127" s="181" t="str">
        <f t="shared" ca="1" si="37"/>
        <v/>
      </c>
      <c r="AN127" s="181" t="str">
        <f t="shared" ca="1" si="38"/>
        <v/>
      </c>
      <c r="AO127" s="181" t="str">
        <f t="shared" ca="1" si="39"/>
        <v/>
      </c>
      <c r="AP127" s="181" t="str">
        <f t="shared" ca="1" si="40"/>
        <v/>
      </c>
      <c r="AU127" s="181" t="str">
        <f t="shared" ca="1" si="41"/>
        <v/>
      </c>
    </row>
    <row r="128" spans="1:47" ht="22.2" customHeight="1">
      <c r="A128" s="104">
        <f t="shared" si="48"/>
        <v>121</v>
      </c>
      <c r="B128" s="105" t="str">
        <f t="shared" ca="1" si="46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05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06" t="str">
        <f>IF(C128&lt;&gt;"",
クライアント抽出!C58,"")</f>
        <v/>
      </c>
      <c r="I128" s="105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VLOOKUP("*"&amp;D128&amp;"*",商品マスタ一覧!D:H,5,FALSE)),"")</f>
        <v/>
      </c>
      <c r="O128" s="105">
        <f t="shared" ca="1" si="47"/>
        <v>0</v>
      </c>
      <c r="P128" s="105">
        <f t="shared" si="23"/>
        <v>0</v>
      </c>
      <c r="Q128" s="105" t="b">
        <f t="shared" si="24"/>
        <v>0</v>
      </c>
      <c r="R128" s="181" t="str">
        <f t="array" aca="1" ref="R128" ca="1">IFERROR(SMALL(IF(P$1:P$311&lt;&gt;0,P$1:P$311),ROW(A128)),"")</f>
        <v/>
      </c>
      <c r="S128" s="181" t="str">
        <f t="array" aca="1" ref="S128" ca="1">IF($R128&lt;&gt;"",
SUBSTITUTE(SUBSTITUTE(INDIRECT("C"&amp;$R128&amp;"")," 週3ｺｰｽ","")," 週5ｺｰｽ",""),"")</f>
        <v/>
      </c>
      <c r="T128" s="18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81" t="str">
        <f t="array" aca="1" ref="V128" ca="1">IF($R128&lt;&gt;"",
INDIRECT("G"&amp;$R128&amp;""),"")</f>
        <v/>
      </c>
      <c r="W128" s="181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8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8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81" t="str">
        <f t="shared" ca="1" si="25"/>
        <v/>
      </c>
      <c r="AA128" s="181" t="str">
        <f t="shared" ca="1" si="26"/>
        <v/>
      </c>
      <c r="AB128" s="181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81" t="str">
        <f t="shared" ca="1" si="27"/>
        <v/>
      </c>
      <c r="AD128" s="181" t="str">
        <f t="shared" ca="1" si="28"/>
        <v/>
      </c>
      <c r="AE128" s="181" t="str">
        <f t="shared" ca="1" si="29"/>
        <v/>
      </c>
      <c r="AF128" s="181" t="str">
        <f t="shared" ca="1" si="30"/>
        <v/>
      </c>
      <c r="AG128" s="181" t="str">
        <f t="shared" ca="1" si="31"/>
        <v/>
      </c>
      <c r="AH128" s="185" t="str">
        <f t="shared" ca="1" si="32"/>
        <v/>
      </c>
      <c r="AI128" s="181" t="str">
        <f t="shared" ca="1" si="33"/>
        <v/>
      </c>
      <c r="AJ128" s="181" t="str">
        <f t="shared" ca="1" si="34"/>
        <v/>
      </c>
      <c r="AK128" s="181" t="str">
        <f t="shared" ca="1" si="35"/>
        <v/>
      </c>
      <c r="AL128" s="181" t="str">
        <f t="shared" ca="1" si="36"/>
        <v/>
      </c>
      <c r="AM128" s="181" t="str">
        <f t="shared" ca="1" si="37"/>
        <v/>
      </c>
      <c r="AN128" s="181" t="str">
        <f t="shared" ca="1" si="38"/>
        <v/>
      </c>
      <c r="AO128" s="181" t="str">
        <f t="shared" ca="1" si="39"/>
        <v/>
      </c>
      <c r="AP128" s="181" t="str">
        <f t="shared" ca="1" si="40"/>
        <v/>
      </c>
      <c r="AU128" s="181" t="str">
        <f t="shared" ca="1" si="41"/>
        <v/>
      </c>
    </row>
    <row r="129" spans="1:47" ht="22.2" customHeight="1">
      <c r="A129" s="104">
        <f t="shared" si="48"/>
        <v>123</v>
      </c>
      <c r="B129" s="105" t="str">
        <f t="shared" ca="1" si="46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05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06" t="str">
        <f>IF(C129&lt;&gt;"",
クライアント抽出!C59,"")</f>
        <v/>
      </c>
      <c r="I129" s="105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VLOOKUP("*"&amp;D129&amp;"*",商品マスタ一覧!D:H,5,FALSE)),"")</f>
        <v/>
      </c>
      <c r="O129" s="105">
        <f t="shared" ca="1" si="47"/>
        <v>0</v>
      </c>
      <c r="P129" s="105">
        <f t="shared" ref="P129:P192" si="49">IF(COUNTIF(Q129,"TRUE"),
IF(OR(COUNTIF(B129,"*'*"),H129=0),0,ROW()),0)</f>
        <v>0</v>
      </c>
      <c r="Q129" s="105" t="b">
        <f t="shared" ref="Q129:Q192" si="50">IF(C129&lt;&gt;"",
IF(OR(N129=1,COUNTIF(D129,"*朝食*"),COUNTIF(D129,"*夕食*")),TRUE,FALSE),FALSE)</f>
        <v>0</v>
      </c>
      <c r="R129" s="181" t="str">
        <f t="array" aca="1" ref="R129" ca="1">IFERROR(SMALL(IF(P$1:P$311&lt;&gt;0,P$1:P$311),ROW(A129)),"")</f>
        <v/>
      </c>
      <c r="S129" s="181" t="str">
        <f t="array" aca="1" ref="S129" ca="1">IF($R129&lt;&gt;"",
SUBSTITUTE(SUBSTITUTE(INDIRECT("C"&amp;$R129&amp;"")," 週3ｺｰｽ","")," 週5ｺｰｽ",""),"")</f>
        <v/>
      </c>
      <c r="T129" s="18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81" t="str">
        <f t="array" aca="1" ref="V129" ca="1">IF($R129&lt;&gt;"",
INDIRECT("G"&amp;$R129&amp;""),"")</f>
        <v/>
      </c>
      <c r="W129" s="181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8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8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81" t="str">
        <f t="shared" ref="Z129:Z192" ca="1" si="51">IF(R129&lt;&gt;"",
IFERROR(INT(W129/Y129),""),"")</f>
        <v/>
      </c>
      <c r="AA129" s="181" t="str">
        <f t="shared" ref="AA129:AA192" ca="1" si="52">IFERROR(MOD(W129,Y129),"")</f>
        <v/>
      </c>
      <c r="AB129" s="181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81" t="str">
        <f t="shared" ref="AC129:AC192" ca="1" si="53">IF(S129&lt;&gt;"",INDEX(A:A, MATCH("*"&amp;LEFT(S129,4)&amp;"*", C:C, 0)),"")</f>
        <v/>
      </c>
      <c r="AD129" s="181" t="str">
        <f t="shared" ref="AD129:AD192" ca="1" si="54">IFERROR(INDEX(AC:AC,MATCH(SMALL($AU:$AU,ROW()),$AU:$AU,0)),"")</f>
        <v/>
      </c>
      <c r="AE129" s="181" t="str">
        <f t="shared" ref="AE129:AE192" ca="1" si="55">IFERROR(INDEX(R:R,MATCH(SMALL($AU:$AU,ROW()),$AU:$AU,0)),"")</f>
        <v/>
      </c>
      <c r="AF129" s="181" t="str">
        <f t="shared" ref="AF129:AF192" ca="1" si="56">IFERROR(INDEX(S:S,MATCH(SMALL($AU:$AU,ROW()),$AU:$AU,0)),"")</f>
        <v/>
      </c>
      <c r="AG129" s="181" t="str">
        <f t="shared" ref="AG129:AG192" ca="1" si="57">IFERROR(INDEX(T:T,MATCH(SMALL($AU:$AU,ROW()),$AU:$AU,0)),"")</f>
        <v/>
      </c>
      <c r="AH129" s="185" t="str">
        <f t="shared" ref="AH129:AH192" ca="1" si="58">IFERROR(INDEX(U:U,MATCH(SMALL($AU:$AU,ROW()),$AU:$AU,0)),"")</f>
        <v/>
      </c>
      <c r="AI129" s="181" t="str">
        <f t="shared" ref="AI129:AI192" ca="1" si="59">IFERROR(INDEX(V:V,MATCH(SMALL($AU:$AU,ROW()),$AU:$AU,0)),"")</f>
        <v/>
      </c>
      <c r="AJ129" s="181" t="str">
        <f t="shared" ref="AJ129:AJ192" ca="1" si="60">IFERROR(INDEX(W:W,MATCH(SMALL($AU:$AU,ROW()),$AU:$AU,0)),"")</f>
        <v/>
      </c>
      <c r="AK129" s="181" t="str">
        <f t="shared" ref="AK129:AK192" ca="1" si="61">IFERROR(INDEX(X:X,MATCH(SMALL($AU:$AU,ROW()),$AU:$AU,0)),"")</f>
        <v/>
      </c>
      <c r="AL129" s="181" t="str">
        <f t="shared" ref="AL129:AL192" ca="1" si="62">IFERROR(INDEX(Y:Y,MATCH(SMALL($AU:$AU,ROW()),$AU:$AU,0)),"")</f>
        <v/>
      </c>
      <c r="AM129" s="181" t="str">
        <f t="shared" ref="AM129:AM192" ca="1" si="63">IFERROR(INDEX(Z:Z,MATCH(SMALL($AU:$AU,ROW()),$AU:$AU,0)),"")</f>
        <v/>
      </c>
      <c r="AN129" s="181" t="str">
        <f t="shared" ref="AN129:AN192" ca="1" si="64">IFERROR(INDEX(AA:AA,MATCH(SMALL($AU:$AU,ROW()),$AU:$AU,0)),"")</f>
        <v/>
      </c>
      <c r="AO129" s="181" t="str">
        <f t="shared" ref="AO129:AO192" ca="1" si="65">IFERROR(INDEX(AB:AB,MATCH(SMALL($AU:$AU,ROW()),$AU:$AU,0)),"")</f>
        <v/>
      </c>
      <c r="AP129" s="181" t="str">
        <f t="shared" ref="AP129:AP192" ca="1" si="66">IFERROR(INDEX(AC:AC,MATCH(SMALL($AU:$AU,ROW()),$AU:$AU,0)),"")</f>
        <v/>
      </c>
      <c r="AU129" s="181" t="str">
        <f t="shared" ref="AU129:AU192" ca="1" si="67">IFERROR(IF(R129&gt;=219, 1000000+R129, AC129*1000+R129),"")</f>
        <v/>
      </c>
    </row>
    <row r="130" spans="1:47" ht="22.2" customHeight="1">
      <c r="A130" s="104">
        <f t="shared" si="48"/>
        <v>125</v>
      </c>
      <c r="B130" s="105" t="str">
        <f t="shared" ca="1" si="46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05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06" t="str">
        <f>IF(C130&lt;&gt;"",
クライアント抽出!C60,"")</f>
        <v/>
      </c>
      <c r="I130" s="105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VLOOKUP("*"&amp;D130&amp;"*",商品マスタ一覧!D:H,5,FALSE)),"")</f>
        <v/>
      </c>
      <c r="O130" s="105">
        <f t="shared" ca="1" si="47"/>
        <v>0</v>
      </c>
      <c r="P130" s="105">
        <f t="shared" si="49"/>
        <v>0</v>
      </c>
      <c r="Q130" s="105" t="b">
        <f t="shared" si="50"/>
        <v>0</v>
      </c>
      <c r="R130" s="181" t="str">
        <f t="array" aca="1" ref="R130" ca="1">IFERROR(SMALL(IF(P$1:P$311&lt;&gt;0,P$1:P$311),ROW(A130)),"")</f>
        <v/>
      </c>
      <c r="S130" s="181" t="str">
        <f t="array" aca="1" ref="S130" ca="1">IF($R130&lt;&gt;"",
SUBSTITUTE(SUBSTITUTE(INDIRECT("C"&amp;$R130&amp;"")," 週3ｺｰｽ","")," 週5ｺｰｽ",""),"")</f>
        <v/>
      </c>
      <c r="T130" s="18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81" t="str">
        <f t="array" aca="1" ref="V130" ca="1">IF($R130&lt;&gt;"",
INDIRECT("G"&amp;$R130&amp;""),"")</f>
        <v/>
      </c>
      <c r="W130" s="181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8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8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81" t="str">
        <f t="shared" ca="1" si="51"/>
        <v/>
      </c>
      <c r="AA130" s="181" t="str">
        <f t="shared" ca="1" si="52"/>
        <v/>
      </c>
      <c r="AB130" s="181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81" t="str">
        <f t="shared" ca="1" si="53"/>
        <v/>
      </c>
      <c r="AD130" s="181" t="str">
        <f t="shared" ca="1" si="54"/>
        <v/>
      </c>
      <c r="AE130" s="181" t="str">
        <f t="shared" ca="1" si="55"/>
        <v/>
      </c>
      <c r="AF130" s="181" t="str">
        <f t="shared" ca="1" si="56"/>
        <v/>
      </c>
      <c r="AG130" s="181" t="str">
        <f t="shared" ca="1" si="57"/>
        <v/>
      </c>
      <c r="AH130" s="185" t="str">
        <f t="shared" ca="1" si="58"/>
        <v/>
      </c>
      <c r="AI130" s="181" t="str">
        <f t="shared" ca="1" si="59"/>
        <v/>
      </c>
      <c r="AJ130" s="181" t="str">
        <f t="shared" ca="1" si="60"/>
        <v/>
      </c>
      <c r="AK130" s="181" t="str">
        <f t="shared" ca="1" si="61"/>
        <v/>
      </c>
      <c r="AL130" s="181" t="str">
        <f t="shared" ca="1" si="62"/>
        <v/>
      </c>
      <c r="AM130" s="181" t="str">
        <f t="shared" ca="1" si="63"/>
        <v/>
      </c>
      <c r="AN130" s="181" t="str">
        <f t="shared" ca="1" si="64"/>
        <v/>
      </c>
      <c r="AO130" s="181" t="str">
        <f t="shared" ca="1" si="65"/>
        <v/>
      </c>
      <c r="AP130" s="181" t="str">
        <f t="shared" ca="1" si="66"/>
        <v/>
      </c>
      <c r="AU130" s="181" t="str">
        <f t="shared" ca="1" si="67"/>
        <v/>
      </c>
    </row>
    <row r="131" spans="1:47" ht="22.2" customHeight="1">
      <c r="A131" s="104">
        <f t="shared" si="48"/>
        <v>127</v>
      </c>
      <c r="B131" s="105" t="str">
        <f t="shared" ca="1" si="46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05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06" t="str">
        <f>IF(C131&lt;&gt;"",
クライアント抽出!C61,"")</f>
        <v/>
      </c>
      <c r="I131" s="105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VLOOKUP("*"&amp;D131&amp;"*",商品マスタ一覧!D:H,5,FALSE)),"")</f>
        <v/>
      </c>
      <c r="O131" s="105">
        <f t="shared" ca="1" si="47"/>
        <v>0</v>
      </c>
      <c r="P131" s="105">
        <f t="shared" si="49"/>
        <v>0</v>
      </c>
      <c r="Q131" s="105" t="b">
        <f t="shared" si="50"/>
        <v>0</v>
      </c>
      <c r="R131" s="181" t="str">
        <f t="array" aca="1" ref="R131" ca="1">IFERROR(SMALL(IF(P$1:P$311&lt;&gt;0,P$1:P$311),ROW(A131)),"")</f>
        <v/>
      </c>
      <c r="S131" s="181" t="str">
        <f t="array" aca="1" ref="S131" ca="1">IF($R131&lt;&gt;"",
SUBSTITUTE(SUBSTITUTE(INDIRECT("C"&amp;$R131&amp;"")," 週3ｺｰｽ","")," 週5ｺｰｽ",""),"")</f>
        <v/>
      </c>
      <c r="T131" s="18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81" t="str">
        <f t="array" aca="1" ref="V131" ca="1">IF($R131&lt;&gt;"",
INDIRECT("G"&amp;$R131&amp;""),"")</f>
        <v/>
      </c>
      <c r="W131" s="181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8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8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81" t="str">
        <f t="shared" ca="1" si="51"/>
        <v/>
      </c>
      <c r="AA131" s="181" t="str">
        <f t="shared" ca="1" si="52"/>
        <v/>
      </c>
      <c r="AB131" s="181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81" t="str">
        <f t="shared" ca="1" si="53"/>
        <v/>
      </c>
      <c r="AD131" s="181" t="str">
        <f t="shared" ca="1" si="54"/>
        <v/>
      </c>
      <c r="AE131" s="181" t="str">
        <f t="shared" ca="1" si="55"/>
        <v/>
      </c>
      <c r="AF131" s="181" t="str">
        <f t="shared" ca="1" si="56"/>
        <v/>
      </c>
      <c r="AG131" s="181" t="str">
        <f t="shared" ca="1" si="57"/>
        <v/>
      </c>
      <c r="AH131" s="185" t="str">
        <f t="shared" ca="1" si="58"/>
        <v/>
      </c>
      <c r="AI131" s="181" t="str">
        <f t="shared" ca="1" si="59"/>
        <v/>
      </c>
      <c r="AJ131" s="181" t="str">
        <f t="shared" ca="1" si="60"/>
        <v/>
      </c>
      <c r="AK131" s="181" t="str">
        <f t="shared" ca="1" si="61"/>
        <v/>
      </c>
      <c r="AL131" s="181" t="str">
        <f t="shared" ca="1" si="62"/>
        <v/>
      </c>
      <c r="AM131" s="181" t="str">
        <f t="shared" ca="1" si="63"/>
        <v/>
      </c>
      <c r="AN131" s="181" t="str">
        <f t="shared" ca="1" si="64"/>
        <v/>
      </c>
      <c r="AO131" s="181" t="str">
        <f t="shared" ca="1" si="65"/>
        <v/>
      </c>
      <c r="AP131" s="181" t="str">
        <f t="shared" ca="1" si="66"/>
        <v/>
      </c>
      <c r="AU131" s="181" t="str">
        <f t="shared" ca="1" si="67"/>
        <v/>
      </c>
    </row>
    <row r="132" spans="1:47" ht="22.2" customHeight="1">
      <c r="A132" s="104">
        <f t="shared" si="48"/>
        <v>129</v>
      </c>
      <c r="B132" s="105" t="str">
        <f t="shared" ca="1" si="46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05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06" t="str">
        <f>IF(C132&lt;&gt;"",
クライアント抽出!C62,"")</f>
        <v/>
      </c>
      <c r="I132" s="105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VLOOKUP("*"&amp;D132&amp;"*",商品マスタ一覧!D:H,5,FALSE)),"")</f>
        <v/>
      </c>
      <c r="O132" s="105">
        <f t="shared" ca="1" si="47"/>
        <v>0</v>
      </c>
      <c r="P132" s="105">
        <f t="shared" si="49"/>
        <v>0</v>
      </c>
      <c r="Q132" s="105" t="b">
        <f t="shared" si="50"/>
        <v>0</v>
      </c>
      <c r="R132" s="181" t="str">
        <f t="array" aca="1" ref="R132" ca="1">IFERROR(SMALL(IF(P$1:P$311&lt;&gt;0,P$1:P$311),ROW(A132)),"")</f>
        <v/>
      </c>
      <c r="S132" s="181" t="str">
        <f t="array" aca="1" ref="S132" ca="1">IF($R132&lt;&gt;"",
SUBSTITUTE(SUBSTITUTE(INDIRECT("C"&amp;$R132&amp;"")," 週3ｺｰｽ","")," 週5ｺｰｽ",""),"")</f>
        <v/>
      </c>
      <c r="T132" s="18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81" t="str">
        <f t="array" aca="1" ref="V132" ca="1">IF($R132&lt;&gt;"",
INDIRECT("G"&amp;$R132&amp;""),"")</f>
        <v/>
      </c>
      <c r="W132" s="181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8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8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81" t="str">
        <f t="shared" ca="1" si="51"/>
        <v/>
      </c>
      <c r="AA132" s="181" t="str">
        <f t="shared" ca="1" si="52"/>
        <v/>
      </c>
      <c r="AB132" s="181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81" t="str">
        <f t="shared" ca="1" si="53"/>
        <v/>
      </c>
      <c r="AD132" s="181" t="str">
        <f t="shared" ca="1" si="54"/>
        <v/>
      </c>
      <c r="AE132" s="181" t="str">
        <f t="shared" ca="1" si="55"/>
        <v/>
      </c>
      <c r="AF132" s="181" t="str">
        <f t="shared" ca="1" si="56"/>
        <v/>
      </c>
      <c r="AG132" s="181" t="str">
        <f t="shared" ca="1" si="57"/>
        <v/>
      </c>
      <c r="AH132" s="185" t="str">
        <f t="shared" ca="1" si="58"/>
        <v/>
      </c>
      <c r="AI132" s="181" t="str">
        <f t="shared" ca="1" si="59"/>
        <v/>
      </c>
      <c r="AJ132" s="181" t="str">
        <f t="shared" ca="1" si="60"/>
        <v/>
      </c>
      <c r="AK132" s="181" t="str">
        <f t="shared" ca="1" si="61"/>
        <v/>
      </c>
      <c r="AL132" s="181" t="str">
        <f t="shared" ca="1" si="62"/>
        <v/>
      </c>
      <c r="AM132" s="181" t="str">
        <f t="shared" ca="1" si="63"/>
        <v/>
      </c>
      <c r="AN132" s="181" t="str">
        <f t="shared" ca="1" si="64"/>
        <v/>
      </c>
      <c r="AO132" s="181" t="str">
        <f t="shared" ca="1" si="65"/>
        <v/>
      </c>
      <c r="AP132" s="181" t="str">
        <f t="shared" ca="1" si="66"/>
        <v/>
      </c>
      <c r="AU132" s="181" t="str">
        <f t="shared" ca="1" si="67"/>
        <v/>
      </c>
    </row>
    <row r="133" spans="1:47" ht="22.2" customHeight="1">
      <c r="A133" s="104">
        <f t="shared" si="48"/>
        <v>131</v>
      </c>
      <c r="B133" s="105" t="str">
        <f t="shared" ca="1" si="46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05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06" t="str">
        <f>IF(C133&lt;&gt;"",
クライアント抽出!C63,"")</f>
        <v/>
      </c>
      <c r="I133" s="105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VLOOKUP("*"&amp;D133&amp;"*",商品マスタ一覧!D:H,5,FALSE)),"")</f>
        <v/>
      </c>
      <c r="O133" s="105">
        <f t="shared" ca="1" si="47"/>
        <v>0</v>
      </c>
      <c r="P133" s="105">
        <f t="shared" si="49"/>
        <v>0</v>
      </c>
      <c r="Q133" s="105" t="b">
        <f t="shared" si="50"/>
        <v>0</v>
      </c>
      <c r="R133" s="181" t="str">
        <f t="array" aca="1" ref="R133" ca="1">IFERROR(SMALL(IF(P$1:P$311&lt;&gt;0,P$1:P$311),ROW(A133)),"")</f>
        <v/>
      </c>
      <c r="S133" s="181" t="str">
        <f t="array" aca="1" ref="S133" ca="1">IF($R133&lt;&gt;"",
SUBSTITUTE(SUBSTITUTE(INDIRECT("C"&amp;$R133&amp;"")," 週3ｺｰｽ","")," 週5ｺｰｽ",""),"")</f>
        <v/>
      </c>
      <c r="T133" s="18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81" t="str">
        <f t="array" aca="1" ref="V133" ca="1">IF($R133&lt;&gt;"",
INDIRECT("G"&amp;$R133&amp;""),"")</f>
        <v/>
      </c>
      <c r="W133" s="181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8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8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81" t="str">
        <f t="shared" ca="1" si="51"/>
        <v/>
      </c>
      <c r="AA133" s="181" t="str">
        <f t="shared" ca="1" si="52"/>
        <v/>
      </c>
      <c r="AB133" s="181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81" t="str">
        <f t="shared" ca="1" si="53"/>
        <v/>
      </c>
      <c r="AD133" s="181" t="str">
        <f t="shared" ca="1" si="54"/>
        <v/>
      </c>
      <c r="AE133" s="181" t="str">
        <f t="shared" ca="1" si="55"/>
        <v/>
      </c>
      <c r="AF133" s="181" t="str">
        <f t="shared" ca="1" si="56"/>
        <v/>
      </c>
      <c r="AG133" s="181" t="str">
        <f t="shared" ca="1" si="57"/>
        <v/>
      </c>
      <c r="AH133" s="185" t="str">
        <f t="shared" ca="1" si="58"/>
        <v/>
      </c>
      <c r="AI133" s="181" t="str">
        <f t="shared" ca="1" si="59"/>
        <v/>
      </c>
      <c r="AJ133" s="181" t="str">
        <f t="shared" ca="1" si="60"/>
        <v/>
      </c>
      <c r="AK133" s="181" t="str">
        <f t="shared" ca="1" si="61"/>
        <v/>
      </c>
      <c r="AL133" s="181" t="str">
        <f t="shared" ca="1" si="62"/>
        <v/>
      </c>
      <c r="AM133" s="181" t="str">
        <f t="shared" ca="1" si="63"/>
        <v/>
      </c>
      <c r="AN133" s="181" t="str">
        <f t="shared" ca="1" si="64"/>
        <v/>
      </c>
      <c r="AO133" s="181" t="str">
        <f t="shared" ca="1" si="65"/>
        <v/>
      </c>
      <c r="AP133" s="181" t="str">
        <f t="shared" ca="1" si="66"/>
        <v/>
      </c>
      <c r="AU133" s="181" t="str">
        <f t="shared" ca="1" si="67"/>
        <v/>
      </c>
    </row>
    <row r="134" spans="1:47" ht="22.2" customHeight="1">
      <c r="A134" s="104">
        <f t="shared" si="48"/>
        <v>133</v>
      </c>
      <c r="B134" s="105" t="str">
        <f t="shared" ca="1" si="46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05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06" t="str">
        <f>IF(C134&lt;&gt;"",
クライアント抽出!C64,"")</f>
        <v/>
      </c>
      <c r="I134" s="105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VLOOKUP("*"&amp;D134&amp;"*",商品マスタ一覧!D:H,5,FALSE)),"")</f>
        <v/>
      </c>
      <c r="O134" s="105">
        <f t="shared" ca="1" si="47"/>
        <v>0</v>
      </c>
      <c r="P134" s="105">
        <f t="shared" si="49"/>
        <v>0</v>
      </c>
      <c r="Q134" s="105" t="b">
        <f t="shared" si="50"/>
        <v>0</v>
      </c>
      <c r="R134" s="181" t="str">
        <f t="array" aca="1" ref="R134" ca="1">IFERROR(SMALL(IF(P$1:P$311&lt;&gt;0,P$1:P$311),ROW(A134)),"")</f>
        <v/>
      </c>
      <c r="S134" s="181" t="str">
        <f t="array" aca="1" ref="S134" ca="1">IF($R134&lt;&gt;"",
SUBSTITUTE(SUBSTITUTE(INDIRECT("C"&amp;$R134&amp;"")," 週3ｺｰｽ","")," 週5ｺｰｽ",""),"")</f>
        <v/>
      </c>
      <c r="T134" s="18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81" t="str">
        <f t="array" aca="1" ref="V134" ca="1">IF($R134&lt;&gt;"",
INDIRECT("G"&amp;$R134&amp;""),"")</f>
        <v/>
      </c>
      <c r="W134" s="181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8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8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81" t="str">
        <f t="shared" ca="1" si="51"/>
        <v/>
      </c>
      <c r="AA134" s="181" t="str">
        <f t="shared" ca="1" si="52"/>
        <v/>
      </c>
      <c r="AB134" s="181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81" t="str">
        <f t="shared" ca="1" si="53"/>
        <v/>
      </c>
      <c r="AD134" s="181" t="str">
        <f t="shared" ca="1" si="54"/>
        <v/>
      </c>
      <c r="AE134" s="181" t="str">
        <f t="shared" ca="1" si="55"/>
        <v/>
      </c>
      <c r="AF134" s="181" t="str">
        <f t="shared" ca="1" si="56"/>
        <v/>
      </c>
      <c r="AG134" s="181" t="str">
        <f t="shared" ca="1" si="57"/>
        <v/>
      </c>
      <c r="AH134" s="185" t="str">
        <f t="shared" ca="1" si="58"/>
        <v/>
      </c>
      <c r="AI134" s="181" t="str">
        <f t="shared" ca="1" si="59"/>
        <v/>
      </c>
      <c r="AJ134" s="181" t="str">
        <f t="shared" ca="1" si="60"/>
        <v/>
      </c>
      <c r="AK134" s="181" t="str">
        <f t="shared" ca="1" si="61"/>
        <v/>
      </c>
      <c r="AL134" s="181" t="str">
        <f t="shared" ca="1" si="62"/>
        <v/>
      </c>
      <c r="AM134" s="181" t="str">
        <f t="shared" ca="1" si="63"/>
        <v/>
      </c>
      <c r="AN134" s="181" t="str">
        <f t="shared" ca="1" si="64"/>
        <v/>
      </c>
      <c r="AO134" s="181" t="str">
        <f t="shared" ca="1" si="65"/>
        <v/>
      </c>
      <c r="AP134" s="181" t="str">
        <f t="shared" ca="1" si="66"/>
        <v/>
      </c>
      <c r="AU134" s="181" t="str">
        <f t="shared" ca="1" si="67"/>
        <v/>
      </c>
    </row>
    <row r="135" spans="1:47" ht="22.2" customHeight="1">
      <c r="A135" s="104">
        <f t="shared" si="48"/>
        <v>135</v>
      </c>
      <c r="B135" s="105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05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06" t="str">
        <f>IF(C135&lt;&gt;"",
クライアント抽出!C65,"")</f>
        <v/>
      </c>
      <c r="I135" s="105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VLOOKUP("*"&amp;D135&amp;"*",商品マスタ一覧!D:H,5,FALSE)),"")</f>
        <v/>
      </c>
      <c r="O135" s="105">
        <f t="shared" ref="O135:O166" ca="1" si="69">O65</f>
        <v>0</v>
      </c>
      <c r="P135" s="105">
        <f t="shared" si="49"/>
        <v>0</v>
      </c>
      <c r="Q135" s="105" t="b">
        <f t="shared" si="50"/>
        <v>0</v>
      </c>
      <c r="R135" s="181" t="str">
        <f t="array" aca="1" ref="R135" ca="1">IFERROR(SMALL(IF(P$1:P$311&lt;&gt;0,P$1:P$311),ROW(A135)),"")</f>
        <v/>
      </c>
      <c r="S135" s="181" t="str">
        <f t="array" aca="1" ref="S135" ca="1">IF($R135&lt;&gt;"",
SUBSTITUTE(SUBSTITUTE(INDIRECT("C"&amp;$R135&amp;"")," 週3ｺｰｽ","")," 週5ｺｰｽ",""),"")</f>
        <v/>
      </c>
      <c r="T135" s="18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81" t="str">
        <f t="array" aca="1" ref="V135" ca="1">IF($R135&lt;&gt;"",
INDIRECT("G"&amp;$R135&amp;""),"")</f>
        <v/>
      </c>
      <c r="W135" s="181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8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8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81" t="str">
        <f t="shared" ca="1" si="51"/>
        <v/>
      </c>
      <c r="AA135" s="181" t="str">
        <f t="shared" ca="1" si="52"/>
        <v/>
      </c>
      <c r="AB135" s="181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81" t="str">
        <f t="shared" ca="1" si="53"/>
        <v/>
      </c>
      <c r="AD135" s="181" t="str">
        <f t="shared" ca="1" si="54"/>
        <v/>
      </c>
      <c r="AE135" s="181" t="str">
        <f t="shared" ca="1" si="55"/>
        <v/>
      </c>
      <c r="AF135" s="181" t="str">
        <f t="shared" ca="1" si="56"/>
        <v/>
      </c>
      <c r="AG135" s="181" t="str">
        <f t="shared" ca="1" si="57"/>
        <v/>
      </c>
      <c r="AH135" s="185" t="str">
        <f t="shared" ca="1" si="58"/>
        <v/>
      </c>
      <c r="AI135" s="181" t="str">
        <f t="shared" ca="1" si="59"/>
        <v/>
      </c>
      <c r="AJ135" s="181" t="str">
        <f t="shared" ca="1" si="60"/>
        <v/>
      </c>
      <c r="AK135" s="181" t="str">
        <f t="shared" ca="1" si="61"/>
        <v/>
      </c>
      <c r="AL135" s="181" t="str">
        <f t="shared" ca="1" si="62"/>
        <v/>
      </c>
      <c r="AM135" s="181" t="str">
        <f t="shared" ca="1" si="63"/>
        <v/>
      </c>
      <c r="AN135" s="181" t="str">
        <f t="shared" ca="1" si="64"/>
        <v/>
      </c>
      <c r="AO135" s="181" t="str">
        <f t="shared" ca="1" si="65"/>
        <v/>
      </c>
      <c r="AP135" s="181" t="str">
        <f t="shared" ca="1" si="66"/>
        <v/>
      </c>
      <c r="AU135" s="181" t="str">
        <f t="shared" ca="1" si="67"/>
        <v/>
      </c>
    </row>
    <row r="136" spans="1:47" ht="22.2" customHeight="1">
      <c r="A136" s="104">
        <f t="shared" si="48"/>
        <v>137</v>
      </c>
      <c r="B136" s="105" t="str">
        <f t="shared" ca="1" si="68"/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05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06" t="str">
        <f>IF(C136&lt;&gt;"",
クライアント抽出!C66,"")</f>
        <v/>
      </c>
      <c r="I136" s="105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VLOOKUP("*"&amp;D136&amp;"*",商品マスタ一覧!D:H,5,FALSE)),"")</f>
        <v/>
      </c>
      <c r="O136" s="105">
        <f t="shared" ca="1" si="69"/>
        <v>0</v>
      </c>
      <c r="P136" s="105">
        <f t="shared" si="49"/>
        <v>0</v>
      </c>
      <c r="Q136" s="105" t="b">
        <f t="shared" si="50"/>
        <v>0</v>
      </c>
      <c r="R136" s="181" t="str">
        <f t="array" aca="1" ref="R136" ca="1">IFERROR(SMALL(IF(P$1:P$311&lt;&gt;0,P$1:P$311),ROW(A136)),"")</f>
        <v/>
      </c>
      <c r="S136" s="181" t="str">
        <f t="array" aca="1" ref="S136" ca="1">IF($R136&lt;&gt;"",
SUBSTITUTE(SUBSTITUTE(INDIRECT("C"&amp;$R136&amp;"")," 週3ｺｰｽ","")," 週5ｺｰｽ",""),"")</f>
        <v/>
      </c>
      <c r="T136" s="18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81" t="str">
        <f t="array" aca="1" ref="V136" ca="1">IF($R136&lt;&gt;"",
INDIRECT("G"&amp;$R136&amp;""),"")</f>
        <v/>
      </c>
      <c r="W136" s="181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8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8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81" t="str">
        <f t="shared" ca="1" si="51"/>
        <v/>
      </c>
      <c r="AA136" s="181" t="str">
        <f t="shared" ca="1" si="52"/>
        <v/>
      </c>
      <c r="AB136" s="181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81" t="str">
        <f t="shared" ca="1" si="53"/>
        <v/>
      </c>
      <c r="AD136" s="181" t="str">
        <f t="shared" ca="1" si="54"/>
        <v/>
      </c>
      <c r="AE136" s="181" t="str">
        <f t="shared" ca="1" si="55"/>
        <v/>
      </c>
      <c r="AF136" s="181" t="str">
        <f t="shared" ca="1" si="56"/>
        <v/>
      </c>
      <c r="AG136" s="181" t="str">
        <f t="shared" ca="1" si="57"/>
        <v/>
      </c>
      <c r="AH136" s="185" t="str">
        <f t="shared" ca="1" si="58"/>
        <v/>
      </c>
      <c r="AI136" s="181" t="str">
        <f t="shared" ca="1" si="59"/>
        <v/>
      </c>
      <c r="AJ136" s="181" t="str">
        <f t="shared" ca="1" si="60"/>
        <v/>
      </c>
      <c r="AK136" s="181" t="str">
        <f t="shared" ca="1" si="61"/>
        <v/>
      </c>
      <c r="AL136" s="181" t="str">
        <f t="shared" ca="1" si="62"/>
        <v/>
      </c>
      <c r="AM136" s="181" t="str">
        <f t="shared" ca="1" si="63"/>
        <v/>
      </c>
      <c r="AN136" s="181" t="str">
        <f t="shared" ca="1" si="64"/>
        <v/>
      </c>
      <c r="AO136" s="181" t="str">
        <f t="shared" ca="1" si="65"/>
        <v/>
      </c>
      <c r="AP136" s="181" t="str">
        <f t="shared" ca="1" si="66"/>
        <v/>
      </c>
      <c r="AU136" s="181" t="str">
        <f t="shared" ca="1" si="67"/>
        <v/>
      </c>
    </row>
    <row r="137" spans="1:47" ht="22.2" customHeight="1">
      <c r="A137" s="104">
        <f t="shared" si="48"/>
        <v>139</v>
      </c>
      <c r="B137" s="105" t="str">
        <f t="shared" ca="1" si="68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05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06" t="str">
        <f>IF(C137&lt;&gt;"",
クライアント抽出!C67,"")</f>
        <v/>
      </c>
      <c r="I137" s="105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VLOOKUP("*"&amp;D137&amp;"*",商品マスタ一覧!D:H,5,FALSE)),"")</f>
        <v/>
      </c>
      <c r="O137" s="105">
        <f t="shared" ca="1" si="69"/>
        <v>0</v>
      </c>
      <c r="P137" s="105">
        <f t="shared" si="49"/>
        <v>0</v>
      </c>
      <c r="Q137" s="105" t="b">
        <f t="shared" si="50"/>
        <v>0</v>
      </c>
      <c r="R137" s="181" t="str">
        <f t="array" aca="1" ref="R137" ca="1">IFERROR(SMALL(IF(P$1:P$311&lt;&gt;0,P$1:P$311),ROW(A137)),"")</f>
        <v/>
      </c>
      <c r="S137" s="181" t="str">
        <f t="array" aca="1" ref="S137" ca="1">IF($R137&lt;&gt;"",
SUBSTITUTE(SUBSTITUTE(INDIRECT("C"&amp;$R137&amp;"")," 週3ｺｰｽ","")," 週5ｺｰｽ",""),"")</f>
        <v/>
      </c>
      <c r="T137" s="18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81" t="str">
        <f t="array" aca="1" ref="V137" ca="1">IF($R137&lt;&gt;"",
INDIRECT("G"&amp;$R137&amp;""),"")</f>
        <v/>
      </c>
      <c r="W137" s="181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8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8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81" t="str">
        <f t="shared" ca="1" si="51"/>
        <v/>
      </c>
      <c r="AA137" s="181" t="str">
        <f t="shared" ca="1" si="52"/>
        <v/>
      </c>
      <c r="AB137" s="181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81" t="str">
        <f t="shared" ca="1" si="53"/>
        <v/>
      </c>
      <c r="AD137" s="181" t="str">
        <f t="shared" ca="1" si="54"/>
        <v/>
      </c>
      <c r="AE137" s="181" t="str">
        <f t="shared" ca="1" si="55"/>
        <v/>
      </c>
      <c r="AF137" s="181" t="str">
        <f t="shared" ca="1" si="56"/>
        <v/>
      </c>
      <c r="AG137" s="181" t="str">
        <f t="shared" ca="1" si="57"/>
        <v/>
      </c>
      <c r="AH137" s="185" t="str">
        <f t="shared" ca="1" si="58"/>
        <v/>
      </c>
      <c r="AI137" s="181" t="str">
        <f t="shared" ca="1" si="59"/>
        <v/>
      </c>
      <c r="AJ137" s="181" t="str">
        <f t="shared" ca="1" si="60"/>
        <v/>
      </c>
      <c r="AK137" s="181" t="str">
        <f t="shared" ca="1" si="61"/>
        <v/>
      </c>
      <c r="AL137" s="181" t="str">
        <f t="shared" ca="1" si="62"/>
        <v/>
      </c>
      <c r="AM137" s="181" t="str">
        <f t="shared" ca="1" si="63"/>
        <v/>
      </c>
      <c r="AN137" s="181" t="str">
        <f t="shared" ca="1" si="64"/>
        <v/>
      </c>
      <c r="AO137" s="181" t="str">
        <f t="shared" ca="1" si="65"/>
        <v/>
      </c>
      <c r="AP137" s="181" t="str">
        <f t="shared" ca="1" si="66"/>
        <v/>
      </c>
      <c r="AU137" s="181" t="str">
        <f t="shared" ca="1" si="67"/>
        <v/>
      </c>
    </row>
    <row r="138" spans="1:47" ht="22.2" customHeight="1">
      <c r="A138" s="104">
        <f t="shared" si="48"/>
        <v>141</v>
      </c>
      <c r="B138" s="105" t="str">
        <f t="shared" ca="1" si="68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05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06" t="str">
        <f>IF(C138&lt;&gt;"",
クライアント抽出!C68,"")</f>
        <v/>
      </c>
      <c r="I138" s="105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VLOOKUP("*"&amp;D138&amp;"*",商品マスタ一覧!D:H,5,FALSE)),"")</f>
        <v/>
      </c>
      <c r="O138" s="105">
        <f t="shared" ca="1" si="69"/>
        <v>0</v>
      </c>
      <c r="P138" s="105">
        <f t="shared" si="49"/>
        <v>0</v>
      </c>
      <c r="Q138" s="105" t="b">
        <f t="shared" si="50"/>
        <v>0</v>
      </c>
      <c r="R138" s="181" t="str">
        <f t="array" aca="1" ref="R138" ca="1">IFERROR(SMALL(IF(P$1:P$311&lt;&gt;0,P$1:P$311),ROW(A138)),"")</f>
        <v/>
      </c>
      <c r="S138" s="181" t="str">
        <f t="array" aca="1" ref="S138" ca="1">IF($R138&lt;&gt;"",
SUBSTITUTE(SUBSTITUTE(INDIRECT("C"&amp;$R138&amp;"")," 週3ｺｰｽ","")," 週5ｺｰｽ",""),"")</f>
        <v/>
      </c>
      <c r="T138" s="18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81" t="str">
        <f t="array" aca="1" ref="V138" ca="1">IF($R138&lt;&gt;"",
INDIRECT("G"&amp;$R138&amp;""),"")</f>
        <v/>
      </c>
      <c r="W138" s="181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8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8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81" t="str">
        <f t="shared" ca="1" si="51"/>
        <v/>
      </c>
      <c r="AA138" s="181" t="str">
        <f t="shared" ca="1" si="52"/>
        <v/>
      </c>
      <c r="AB138" s="181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81" t="str">
        <f t="shared" ca="1" si="53"/>
        <v/>
      </c>
      <c r="AD138" s="181" t="str">
        <f t="shared" ca="1" si="54"/>
        <v/>
      </c>
      <c r="AE138" s="181" t="str">
        <f t="shared" ca="1" si="55"/>
        <v/>
      </c>
      <c r="AF138" s="181" t="str">
        <f t="shared" ca="1" si="56"/>
        <v/>
      </c>
      <c r="AG138" s="181" t="str">
        <f t="shared" ca="1" si="57"/>
        <v/>
      </c>
      <c r="AH138" s="185" t="str">
        <f t="shared" ca="1" si="58"/>
        <v/>
      </c>
      <c r="AI138" s="181" t="str">
        <f t="shared" ca="1" si="59"/>
        <v/>
      </c>
      <c r="AJ138" s="181" t="str">
        <f t="shared" ca="1" si="60"/>
        <v/>
      </c>
      <c r="AK138" s="181" t="str">
        <f t="shared" ca="1" si="61"/>
        <v/>
      </c>
      <c r="AL138" s="181" t="str">
        <f t="shared" ca="1" si="62"/>
        <v/>
      </c>
      <c r="AM138" s="181" t="str">
        <f t="shared" ca="1" si="63"/>
        <v/>
      </c>
      <c r="AN138" s="181" t="str">
        <f t="shared" ca="1" si="64"/>
        <v/>
      </c>
      <c r="AO138" s="181" t="str">
        <f t="shared" ca="1" si="65"/>
        <v/>
      </c>
      <c r="AP138" s="181" t="str">
        <f t="shared" ca="1" si="66"/>
        <v/>
      </c>
      <c r="AU138" s="181" t="str">
        <f t="shared" ca="1" si="67"/>
        <v/>
      </c>
    </row>
    <row r="139" spans="1:47" ht="22.2" customHeight="1">
      <c r="A139" s="104">
        <f t="shared" si="48"/>
        <v>143</v>
      </c>
      <c r="B139" s="105" t="str">
        <f t="shared" ca="1" si="68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05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06" t="str">
        <f>IF(C139&lt;&gt;"",
クライアント抽出!C69,"")</f>
        <v/>
      </c>
      <c r="I139" s="105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VLOOKUP("*"&amp;D139&amp;"*",商品マスタ一覧!D:H,5,FALSE)),"")</f>
        <v/>
      </c>
      <c r="O139" s="105">
        <f t="shared" ca="1" si="69"/>
        <v>0</v>
      </c>
      <c r="P139" s="105">
        <f t="shared" si="49"/>
        <v>0</v>
      </c>
      <c r="Q139" s="105" t="b">
        <f t="shared" si="50"/>
        <v>0</v>
      </c>
      <c r="R139" s="181" t="str">
        <f t="array" aca="1" ref="R139" ca="1">IFERROR(SMALL(IF(P$1:P$311&lt;&gt;0,P$1:P$311),ROW(A139)),"")</f>
        <v/>
      </c>
      <c r="S139" s="181" t="str">
        <f t="array" aca="1" ref="S139" ca="1">IF($R139&lt;&gt;"",
SUBSTITUTE(SUBSTITUTE(INDIRECT("C"&amp;$R139&amp;"")," 週3ｺｰｽ","")," 週5ｺｰｽ",""),"")</f>
        <v/>
      </c>
      <c r="T139" s="18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81" t="str">
        <f t="array" aca="1" ref="V139" ca="1">IF($R139&lt;&gt;"",
INDIRECT("G"&amp;$R139&amp;""),"")</f>
        <v/>
      </c>
      <c r="W139" s="181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8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8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81" t="str">
        <f t="shared" ca="1" si="51"/>
        <v/>
      </c>
      <c r="AA139" s="181" t="str">
        <f t="shared" ca="1" si="52"/>
        <v/>
      </c>
      <c r="AB139" s="181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81" t="str">
        <f t="shared" ca="1" si="53"/>
        <v/>
      </c>
      <c r="AD139" s="181" t="str">
        <f t="shared" ca="1" si="54"/>
        <v/>
      </c>
      <c r="AE139" s="181" t="str">
        <f t="shared" ca="1" si="55"/>
        <v/>
      </c>
      <c r="AF139" s="181" t="str">
        <f t="shared" ca="1" si="56"/>
        <v/>
      </c>
      <c r="AG139" s="181" t="str">
        <f t="shared" ca="1" si="57"/>
        <v/>
      </c>
      <c r="AH139" s="185" t="str">
        <f t="shared" ca="1" si="58"/>
        <v/>
      </c>
      <c r="AI139" s="181" t="str">
        <f t="shared" ca="1" si="59"/>
        <v/>
      </c>
      <c r="AJ139" s="181" t="str">
        <f t="shared" ca="1" si="60"/>
        <v/>
      </c>
      <c r="AK139" s="181" t="str">
        <f t="shared" ca="1" si="61"/>
        <v/>
      </c>
      <c r="AL139" s="181" t="str">
        <f t="shared" ca="1" si="62"/>
        <v/>
      </c>
      <c r="AM139" s="181" t="str">
        <f t="shared" ca="1" si="63"/>
        <v/>
      </c>
      <c r="AN139" s="181" t="str">
        <f t="shared" ca="1" si="64"/>
        <v/>
      </c>
      <c r="AO139" s="181" t="str">
        <f t="shared" ca="1" si="65"/>
        <v/>
      </c>
      <c r="AP139" s="181" t="str">
        <f t="shared" ca="1" si="66"/>
        <v/>
      </c>
      <c r="AU139" s="181" t="str">
        <f t="shared" ca="1" si="67"/>
        <v/>
      </c>
    </row>
    <row r="140" spans="1:47" ht="22.2" customHeight="1">
      <c r="A140" s="104">
        <f t="shared" si="48"/>
        <v>145</v>
      </c>
      <c r="B140" s="105" t="str">
        <f t="shared" ca="1" si="68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05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06" t="str">
        <f>IF(C140&lt;&gt;"",
クライアント抽出!C70,"")</f>
        <v/>
      </c>
      <c r="I140" s="105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VLOOKUP("*"&amp;D140&amp;"*",商品マスタ一覧!D:H,5,FALSE)),"")</f>
        <v/>
      </c>
      <c r="O140" s="105">
        <f t="shared" ca="1" si="69"/>
        <v>0</v>
      </c>
      <c r="P140" s="105">
        <f t="shared" si="49"/>
        <v>0</v>
      </c>
      <c r="Q140" s="105" t="b">
        <f t="shared" si="50"/>
        <v>0</v>
      </c>
      <c r="R140" s="181" t="str">
        <f t="array" aca="1" ref="R140" ca="1">IFERROR(SMALL(IF(P$1:P$311&lt;&gt;0,P$1:P$311),ROW(A140)),"")</f>
        <v/>
      </c>
      <c r="S140" s="181" t="str">
        <f t="array" aca="1" ref="S140" ca="1">IF($R140&lt;&gt;"",
SUBSTITUTE(SUBSTITUTE(INDIRECT("C"&amp;$R140&amp;"")," 週3ｺｰｽ","")," 週5ｺｰｽ",""),"")</f>
        <v/>
      </c>
      <c r="T140" s="18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81" t="str">
        <f t="array" aca="1" ref="V140" ca="1">IF($R140&lt;&gt;"",
INDIRECT("G"&amp;$R140&amp;""),"")</f>
        <v/>
      </c>
      <c r="W140" s="181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8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8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81" t="str">
        <f t="shared" ca="1" si="51"/>
        <v/>
      </c>
      <c r="AA140" s="181" t="str">
        <f t="shared" ca="1" si="52"/>
        <v/>
      </c>
      <c r="AB140" s="181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81" t="str">
        <f t="shared" ca="1" si="53"/>
        <v/>
      </c>
      <c r="AD140" s="181" t="str">
        <f t="shared" ca="1" si="54"/>
        <v/>
      </c>
      <c r="AE140" s="181" t="str">
        <f t="shared" ca="1" si="55"/>
        <v/>
      </c>
      <c r="AF140" s="181" t="str">
        <f t="shared" ca="1" si="56"/>
        <v/>
      </c>
      <c r="AG140" s="181" t="str">
        <f t="shared" ca="1" si="57"/>
        <v/>
      </c>
      <c r="AH140" s="185" t="str">
        <f t="shared" ca="1" si="58"/>
        <v/>
      </c>
      <c r="AI140" s="181" t="str">
        <f t="shared" ca="1" si="59"/>
        <v/>
      </c>
      <c r="AJ140" s="181" t="str">
        <f t="shared" ca="1" si="60"/>
        <v/>
      </c>
      <c r="AK140" s="181" t="str">
        <f t="shared" ca="1" si="61"/>
        <v/>
      </c>
      <c r="AL140" s="181" t="str">
        <f t="shared" ca="1" si="62"/>
        <v/>
      </c>
      <c r="AM140" s="181" t="str">
        <f t="shared" ca="1" si="63"/>
        <v/>
      </c>
      <c r="AN140" s="181" t="str">
        <f t="shared" ca="1" si="64"/>
        <v/>
      </c>
      <c r="AO140" s="181" t="str">
        <f t="shared" ca="1" si="65"/>
        <v/>
      </c>
      <c r="AP140" s="181" t="str">
        <f t="shared" ca="1" si="66"/>
        <v/>
      </c>
      <c r="AU140" s="181" t="str">
        <f t="shared" ca="1" si="67"/>
        <v/>
      </c>
    </row>
    <row r="141" spans="1:47" ht="22.2" customHeight="1">
      <c r="A141" s="107">
        <v>7</v>
      </c>
      <c r="B141" s="107" t="str">
        <f t="shared" ca="1" si="68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07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VLOOKUP("*"&amp;D141&amp;"*",商品マスタ一覧!D:H,5,FALSE)),"")</f>
        <v/>
      </c>
      <c r="O141" s="107">
        <f t="shared" ref="O141:O172" ca="1" si="70">O1</f>
        <v>0</v>
      </c>
      <c r="P141" s="107">
        <f t="shared" si="49"/>
        <v>0</v>
      </c>
      <c r="Q141" s="107" t="b">
        <f t="shared" si="50"/>
        <v>0</v>
      </c>
      <c r="R141" s="181" t="str">
        <f t="array" aca="1" ref="R141" ca="1">IFERROR(SMALL(IF(P$1:P$311&lt;&gt;0,P$1:P$311),ROW(A141)),"")</f>
        <v/>
      </c>
      <c r="S141" s="181" t="str">
        <f t="array" aca="1" ref="S141" ca="1">IF($R141&lt;&gt;"",
SUBSTITUTE(SUBSTITUTE(INDIRECT("C"&amp;$R141&amp;"")," 週3ｺｰｽ","")," 週5ｺｰｽ",""),"")</f>
        <v/>
      </c>
      <c r="T141" s="18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81" t="str">
        <f t="array" aca="1" ref="V141" ca="1">IF($R141&lt;&gt;"",
INDIRECT("G"&amp;$R141&amp;""),"")</f>
        <v/>
      </c>
      <c r="W141" s="181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8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8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81" t="str">
        <f t="shared" ca="1" si="51"/>
        <v/>
      </c>
      <c r="AA141" s="181" t="str">
        <f t="shared" ca="1" si="52"/>
        <v/>
      </c>
      <c r="AB141" s="181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81" t="str">
        <f t="shared" ca="1" si="53"/>
        <v/>
      </c>
      <c r="AD141" s="181" t="str">
        <f t="shared" ca="1" si="54"/>
        <v/>
      </c>
      <c r="AE141" s="181" t="str">
        <f t="shared" ca="1" si="55"/>
        <v/>
      </c>
      <c r="AF141" s="181" t="str">
        <f t="shared" ca="1" si="56"/>
        <v/>
      </c>
      <c r="AG141" s="181" t="str">
        <f t="shared" ca="1" si="57"/>
        <v/>
      </c>
      <c r="AH141" s="185" t="str">
        <f t="shared" ca="1" si="58"/>
        <v/>
      </c>
      <c r="AI141" s="181" t="str">
        <f t="shared" ca="1" si="59"/>
        <v/>
      </c>
      <c r="AJ141" s="181" t="str">
        <f t="shared" ca="1" si="60"/>
        <v/>
      </c>
      <c r="AK141" s="181" t="str">
        <f t="shared" ca="1" si="61"/>
        <v/>
      </c>
      <c r="AL141" s="181" t="str">
        <f t="shared" ca="1" si="62"/>
        <v/>
      </c>
      <c r="AM141" s="181" t="str">
        <f t="shared" ca="1" si="63"/>
        <v/>
      </c>
      <c r="AN141" s="181" t="str">
        <f t="shared" ca="1" si="64"/>
        <v/>
      </c>
      <c r="AO141" s="181" t="str">
        <f t="shared" ca="1" si="65"/>
        <v/>
      </c>
      <c r="AP141" s="181" t="str">
        <f t="shared" ca="1" si="66"/>
        <v/>
      </c>
      <c r="AU141" s="181" t="str">
        <f t="shared" ca="1" si="67"/>
        <v/>
      </c>
    </row>
    <row r="142" spans="1:47" ht="22.2" customHeight="1">
      <c r="A142" s="108">
        <f t="shared" ref="A142:A173" si="71">A141+2</f>
        <v>9</v>
      </c>
      <c r="B142" s="107" t="str">
        <f t="shared" ca="1" si="68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07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VLOOKUP("*"&amp;D142&amp;"*",商品マスタ一覧!D:H,5,FALSE)),"")</f>
        <v/>
      </c>
      <c r="O142" s="107">
        <f t="shared" ca="1" si="70"/>
        <v>0</v>
      </c>
      <c r="P142" s="107">
        <f t="shared" si="49"/>
        <v>0</v>
      </c>
      <c r="Q142" s="107" t="b">
        <f t="shared" si="50"/>
        <v>0</v>
      </c>
      <c r="R142" s="181" t="str">
        <f t="array" aca="1" ref="R142" ca="1">IFERROR(SMALL(IF(P$1:P$311&lt;&gt;0,P$1:P$311),ROW(A142)),"")</f>
        <v/>
      </c>
      <c r="S142" s="181" t="str">
        <f t="array" aca="1" ref="S142" ca="1">IF($R142&lt;&gt;"",
SUBSTITUTE(SUBSTITUTE(INDIRECT("C"&amp;$R142&amp;"")," 週3ｺｰｽ","")," 週5ｺｰｽ",""),"")</f>
        <v/>
      </c>
      <c r="T142" s="18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81" t="str">
        <f t="array" aca="1" ref="V142" ca="1">IF($R142&lt;&gt;"",
INDIRECT("G"&amp;$R142&amp;""),"")</f>
        <v/>
      </c>
      <c r="W142" s="181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8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8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81" t="str">
        <f t="shared" ca="1" si="51"/>
        <v/>
      </c>
      <c r="AA142" s="181" t="str">
        <f t="shared" ca="1" si="52"/>
        <v/>
      </c>
      <c r="AB142" s="181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81" t="str">
        <f t="shared" ca="1" si="53"/>
        <v/>
      </c>
      <c r="AD142" s="181" t="str">
        <f t="shared" ca="1" si="54"/>
        <v/>
      </c>
      <c r="AE142" s="181" t="str">
        <f t="shared" ca="1" si="55"/>
        <v/>
      </c>
      <c r="AF142" s="181" t="str">
        <f t="shared" ca="1" si="56"/>
        <v/>
      </c>
      <c r="AG142" s="181" t="str">
        <f t="shared" ca="1" si="57"/>
        <v/>
      </c>
      <c r="AH142" s="185" t="str">
        <f t="shared" ca="1" si="58"/>
        <v/>
      </c>
      <c r="AI142" s="181" t="str">
        <f t="shared" ca="1" si="59"/>
        <v/>
      </c>
      <c r="AJ142" s="181" t="str">
        <f t="shared" ca="1" si="60"/>
        <v/>
      </c>
      <c r="AK142" s="181" t="str">
        <f t="shared" ca="1" si="61"/>
        <v/>
      </c>
      <c r="AL142" s="181" t="str">
        <f t="shared" ca="1" si="62"/>
        <v/>
      </c>
      <c r="AM142" s="181" t="str">
        <f t="shared" ca="1" si="63"/>
        <v/>
      </c>
      <c r="AN142" s="181" t="str">
        <f t="shared" ca="1" si="64"/>
        <v/>
      </c>
      <c r="AO142" s="181" t="str">
        <f t="shared" ca="1" si="65"/>
        <v/>
      </c>
      <c r="AP142" s="181" t="str">
        <f t="shared" ca="1" si="66"/>
        <v/>
      </c>
      <c r="AU142" s="181" t="str">
        <f t="shared" ca="1" si="67"/>
        <v/>
      </c>
    </row>
    <row r="143" spans="1:47" ht="22.2" customHeight="1">
      <c r="A143" s="108">
        <f t="shared" si="71"/>
        <v>11</v>
      </c>
      <c r="B143" s="107" t="str">
        <f t="shared" ca="1" si="68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07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VLOOKUP("*"&amp;D143&amp;"*",商品マスタ一覧!D:H,5,FALSE)),"")</f>
        <v/>
      </c>
      <c r="O143" s="107">
        <f t="shared" ca="1" si="70"/>
        <v>0</v>
      </c>
      <c r="P143" s="107">
        <f t="shared" si="49"/>
        <v>0</v>
      </c>
      <c r="Q143" s="107" t="b">
        <f t="shared" si="50"/>
        <v>0</v>
      </c>
      <c r="R143" s="181" t="str">
        <f t="array" aca="1" ref="R143" ca="1">IFERROR(SMALL(IF(P$1:P$311&lt;&gt;0,P$1:P$311),ROW(A143)),"")</f>
        <v/>
      </c>
      <c r="S143" s="181" t="str">
        <f t="array" aca="1" ref="S143" ca="1">IF($R143&lt;&gt;"",
SUBSTITUTE(SUBSTITUTE(INDIRECT("C"&amp;$R143&amp;"")," 週3ｺｰｽ","")," 週5ｺｰｽ",""),"")</f>
        <v/>
      </c>
      <c r="T143" s="18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81" t="str">
        <f t="array" aca="1" ref="V143" ca="1">IF($R143&lt;&gt;"",
INDIRECT("G"&amp;$R143&amp;""),"")</f>
        <v/>
      </c>
      <c r="W143" s="181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8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8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81" t="str">
        <f t="shared" ca="1" si="51"/>
        <v/>
      </c>
      <c r="AA143" s="181" t="str">
        <f t="shared" ca="1" si="52"/>
        <v/>
      </c>
      <c r="AB143" s="181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81" t="str">
        <f t="shared" ca="1" si="53"/>
        <v/>
      </c>
      <c r="AD143" s="181" t="str">
        <f t="shared" ca="1" si="54"/>
        <v/>
      </c>
      <c r="AE143" s="181" t="str">
        <f t="shared" ca="1" si="55"/>
        <v/>
      </c>
      <c r="AF143" s="181" t="str">
        <f t="shared" ca="1" si="56"/>
        <v/>
      </c>
      <c r="AG143" s="181" t="str">
        <f t="shared" ca="1" si="57"/>
        <v/>
      </c>
      <c r="AH143" s="185" t="str">
        <f t="shared" ca="1" si="58"/>
        <v/>
      </c>
      <c r="AI143" s="181" t="str">
        <f t="shared" ca="1" si="59"/>
        <v/>
      </c>
      <c r="AJ143" s="181" t="str">
        <f t="shared" ca="1" si="60"/>
        <v/>
      </c>
      <c r="AK143" s="181" t="str">
        <f t="shared" ca="1" si="61"/>
        <v/>
      </c>
      <c r="AL143" s="181" t="str">
        <f t="shared" ca="1" si="62"/>
        <v/>
      </c>
      <c r="AM143" s="181" t="str">
        <f t="shared" ca="1" si="63"/>
        <v/>
      </c>
      <c r="AN143" s="181" t="str">
        <f t="shared" ca="1" si="64"/>
        <v/>
      </c>
      <c r="AO143" s="181" t="str">
        <f t="shared" ca="1" si="65"/>
        <v/>
      </c>
      <c r="AP143" s="181" t="str">
        <f t="shared" ca="1" si="66"/>
        <v/>
      </c>
      <c r="AU143" s="181" t="str">
        <f t="shared" ca="1" si="67"/>
        <v/>
      </c>
    </row>
    <row r="144" spans="1:47" ht="22.2" customHeight="1">
      <c r="A144" s="108">
        <f t="shared" si="71"/>
        <v>13</v>
      </c>
      <c r="B144" s="107" t="str">
        <f t="shared" ca="1" si="68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07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VLOOKUP("*"&amp;D144&amp;"*",商品マスタ一覧!D:H,5,FALSE)),"")</f>
        <v/>
      </c>
      <c r="O144" s="107">
        <f t="shared" ca="1" si="70"/>
        <v>0</v>
      </c>
      <c r="P144" s="107">
        <f t="shared" si="49"/>
        <v>0</v>
      </c>
      <c r="Q144" s="107" t="b">
        <f t="shared" si="50"/>
        <v>0</v>
      </c>
      <c r="R144" s="181" t="str">
        <f t="array" aca="1" ref="R144" ca="1">IFERROR(SMALL(IF(P$1:P$311&lt;&gt;0,P$1:P$311),ROW(A144)),"")</f>
        <v/>
      </c>
      <c r="S144" s="181" t="str">
        <f t="array" aca="1" ref="S144" ca="1">IF($R144&lt;&gt;"",
SUBSTITUTE(SUBSTITUTE(INDIRECT("C"&amp;$R144&amp;"")," 週3ｺｰｽ","")," 週5ｺｰｽ",""),"")</f>
        <v/>
      </c>
      <c r="T144" s="18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81" t="str">
        <f t="array" aca="1" ref="V144" ca="1">IF($R144&lt;&gt;"",
INDIRECT("G"&amp;$R144&amp;""),"")</f>
        <v/>
      </c>
      <c r="W144" s="181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8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8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81" t="str">
        <f t="shared" ca="1" si="51"/>
        <v/>
      </c>
      <c r="AA144" s="181" t="str">
        <f t="shared" ca="1" si="52"/>
        <v/>
      </c>
      <c r="AB144" s="181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81" t="str">
        <f t="shared" ca="1" si="53"/>
        <v/>
      </c>
      <c r="AD144" s="181" t="str">
        <f t="shared" ca="1" si="54"/>
        <v/>
      </c>
      <c r="AE144" s="181" t="str">
        <f t="shared" ca="1" si="55"/>
        <v/>
      </c>
      <c r="AF144" s="181" t="str">
        <f t="shared" ca="1" si="56"/>
        <v/>
      </c>
      <c r="AG144" s="181" t="str">
        <f t="shared" ca="1" si="57"/>
        <v/>
      </c>
      <c r="AH144" s="185" t="str">
        <f t="shared" ca="1" si="58"/>
        <v/>
      </c>
      <c r="AI144" s="181" t="str">
        <f t="shared" ca="1" si="59"/>
        <v/>
      </c>
      <c r="AJ144" s="181" t="str">
        <f t="shared" ca="1" si="60"/>
        <v/>
      </c>
      <c r="AK144" s="181" t="str">
        <f t="shared" ca="1" si="61"/>
        <v/>
      </c>
      <c r="AL144" s="181" t="str">
        <f t="shared" ca="1" si="62"/>
        <v/>
      </c>
      <c r="AM144" s="181" t="str">
        <f t="shared" ca="1" si="63"/>
        <v/>
      </c>
      <c r="AN144" s="181" t="str">
        <f t="shared" ca="1" si="64"/>
        <v/>
      </c>
      <c r="AO144" s="181" t="str">
        <f t="shared" ca="1" si="65"/>
        <v/>
      </c>
      <c r="AP144" s="181" t="str">
        <f t="shared" ca="1" si="66"/>
        <v/>
      </c>
      <c r="AU144" s="181" t="str">
        <f t="shared" ca="1" si="67"/>
        <v/>
      </c>
    </row>
    <row r="145" spans="1:47" ht="22.2" customHeight="1">
      <c r="A145" s="108">
        <f t="shared" si="71"/>
        <v>15</v>
      </c>
      <c r="B145" s="107" t="str">
        <f t="shared" ca="1" si="68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07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VLOOKUP("*"&amp;D145&amp;"*",商品マスタ一覧!D:H,5,FALSE)),"")</f>
        <v/>
      </c>
      <c r="O145" s="107">
        <f t="shared" ca="1" si="70"/>
        <v>0</v>
      </c>
      <c r="P145" s="107">
        <f t="shared" si="49"/>
        <v>0</v>
      </c>
      <c r="Q145" s="107" t="b">
        <f t="shared" si="50"/>
        <v>0</v>
      </c>
      <c r="R145" s="181" t="str">
        <f t="array" aca="1" ref="R145" ca="1">IFERROR(SMALL(IF(P$1:P$311&lt;&gt;0,P$1:P$311),ROW(A145)),"")</f>
        <v/>
      </c>
      <c r="S145" s="181" t="str">
        <f t="array" aca="1" ref="S145" ca="1">IF($R145&lt;&gt;"",
SUBSTITUTE(SUBSTITUTE(INDIRECT("C"&amp;$R145&amp;"")," 週3ｺｰｽ","")," 週5ｺｰｽ",""),"")</f>
        <v/>
      </c>
      <c r="T145" s="18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81" t="str">
        <f t="array" aca="1" ref="V145" ca="1">IF($R145&lt;&gt;"",
INDIRECT("G"&amp;$R145&amp;""),"")</f>
        <v/>
      </c>
      <c r="W145" s="181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8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8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81" t="str">
        <f t="shared" ca="1" si="51"/>
        <v/>
      </c>
      <c r="AA145" s="181" t="str">
        <f t="shared" ca="1" si="52"/>
        <v/>
      </c>
      <c r="AB145" s="181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81" t="str">
        <f t="shared" ca="1" si="53"/>
        <v/>
      </c>
      <c r="AD145" s="181" t="str">
        <f t="shared" ca="1" si="54"/>
        <v/>
      </c>
      <c r="AE145" s="181" t="str">
        <f t="shared" ca="1" si="55"/>
        <v/>
      </c>
      <c r="AF145" s="181" t="str">
        <f t="shared" ca="1" si="56"/>
        <v/>
      </c>
      <c r="AG145" s="181" t="str">
        <f t="shared" ca="1" si="57"/>
        <v/>
      </c>
      <c r="AH145" s="185" t="str">
        <f t="shared" ca="1" si="58"/>
        <v/>
      </c>
      <c r="AI145" s="181" t="str">
        <f t="shared" ca="1" si="59"/>
        <v/>
      </c>
      <c r="AJ145" s="181" t="str">
        <f t="shared" ca="1" si="60"/>
        <v/>
      </c>
      <c r="AK145" s="181" t="str">
        <f t="shared" ca="1" si="61"/>
        <v/>
      </c>
      <c r="AL145" s="181" t="str">
        <f t="shared" ca="1" si="62"/>
        <v/>
      </c>
      <c r="AM145" s="181" t="str">
        <f t="shared" ca="1" si="63"/>
        <v/>
      </c>
      <c r="AN145" s="181" t="str">
        <f t="shared" ca="1" si="64"/>
        <v/>
      </c>
      <c r="AO145" s="181" t="str">
        <f t="shared" ca="1" si="65"/>
        <v/>
      </c>
      <c r="AP145" s="181" t="str">
        <f t="shared" ca="1" si="66"/>
        <v/>
      </c>
      <c r="AU145" s="181" t="str">
        <f t="shared" ca="1" si="67"/>
        <v/>
      </c>
    </row>
    <row r="146" spans="1:47" ht="22.2" customHeight="1">
      <c r="A146" s="108">
        <f t="shared" si="71"/>
        <v>17</v>
      </c>
      <c r="B146" s="107" t="str">
        <f t="shared" ca="1" si="68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07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VLOOKUP("*"&amp;D146&amp;"*",商品マスタ一覧!D:H,5,FALSE)),"")</f>
        <v/>
      </c>
      <c r="O146" s="107">
        <f t="shared" ca="1" si="70"/>
        <v>0</v>
      </c>
      <c r="P146" s="107">
        <f t="shared" si="49"/>
        <v>0</v>
      </c>
      <c r="Q146" s="107" t="b">
        <f t="shared" si="50"/>
        <v>0</v>
      </c>
      <c r="R146" s="181" t="str">
        <f t="array" aca="1" ref="R146" ca="1">IFERROR(SMALL(IF(P$1:P$311&lt;&gt;0,P$1:P$311),ROW(A146)),"")</f>
        <v/>
      </c>
      <c r="S146" s="181" t="str">
        <f t="array" aca="1" ref="S146" ca="1">IF($R146&lt;&gt;"",
SUBSTITUTE(SUBSTITUTE(INDIRECT("C"&amp;$R146&amp;"")," 週3ｺｰｽ","")," 週5ｺｰｽ",""),"")</f>
        <v/>
      </c>
      <c r="T146" s="18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81" t="str">
        <f t="array" aca="1" ref="V146" ca="1">IF($R146&lt;&gt;"",
INDIRECT("G"&amp;$R146&amp;""),"")</f>
        <v/>
      </c>
      <c r="W146" s="181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8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8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81" t="str">
        <f t="shared" ca="1" si="51"/>
        <v/>
      </c>
      <c r="AA146" s="181" t="str">
        <f t="shared" ca="1" si="52"/>
        <v/>
      </c>
      <c r="AB146" s="181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81" t="str">
        <f t="shared" ca="1" si="53"/>
        <v/>
      </c>
      <c r="AD146" s="181" t="str">
        <f t="shared" ca="1" si="54"/>
        <v/>
      </c>
      <c r="AE146" s="181" t="str">
        <f t="shared" ca="1" si="55"/>
        <v/>
      </c>
      <c r="AF146" s="181" t="str">
        <f t="shared" ca="1" si="56"/>
        <v/>
      </c>
      <c r="AG146" s="181" t="str">
        <f t="shared" ca="1" si="57"/>
        <v/>
      </c>
      <c r="AH146" s="185" t="str">
        <f t="shared" ca="1" si="58"/>
        <v/>
      </c>
      <c r="AI146" s="181" t="str">
        <f t="shared" ca="1" si="59"/>
        <v/>
      </c>
      <c r="AJ146" s="181" t="str">
        <f t="shared" ca="1" si="60"/>
        <v/>
      </c>
      <c r="AK146" s="181" t="str">
        <f t="shared" ca="1" si="61"/>
        <v/>
      </c>
      <c r="AL146" s="181" t="str">
        <f t="shared" ca="1" si="62"/>
        <v/>
      </c>
      <c r="AM146" s="181" t="str">
        <f t="shared" ca="1" si="63"/>
        <v/>
      </c>
      <c r="AN146" s="181" t="str">
        <f t="shared" ca="1" si="64"/>
        <v/>
      </c>
      <c r="AO146" s="181" t="str">
        <f t="shared" ca="1" si="65"/>
        <v/>
      </c>
      <c r="AP146" s="181" t="str">
        <f t="shared" ca="1" si="66"/>
        <v/>
      </c>
      <c r="AU146" s="181" t="str">
        <f t="shared" ca="1" si="67"/>
        <v/>
      </c>
    </row>
    <row r="147" spans="1:47" ht="22.2" customHeight="1">
      <c r="A147" s="108">
        <f t="shared" si="71"/>
        <v>19</v>
      </c>
      <c r="B147" s="107" t="str">
        <f t="shared" ca="1" si="68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07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VLOOKUP("*"&amp;D147&amp;"*",商品マスタ一覧!D:H,5,FALSE)),"")</f>
        <v/>
      </c>
      <c r="O147" s="107">
        <f t="shared" ca="1" si="70"/>
        <v>0</v>
      </c>
      <c r="P147" s="107">
        <f t="shared" si="49"/>
        <v>0</v>
      </c>
      <c r="Q147" s="107" t="b">
        <f t="shared" si="50"/>
        <v>0</v>
      </c>
      <c r="R147" s="181" t="str">
        <f t="array" aca="1" ref="R147" ca="1">IFERROR(SMALL(IF(P$1:P$311&lt;&gt;0,P$1:P$311),ROW(A147)),"")</f>
        <v/>
      </c>
      <c r="S147" s="181" t="str">
        <f t="array" aca="1" ref="S147" ca="1">IF($R147&lt;&gt;"",
SUBSTITUTE(SUBSTITUTE(INDIRECT("C"&amp;$R147&amp;"")," 週3ｺｰｽ","")," 週5ｺｰｽ",""),"")</f>
        <v/>
      </c>
      <c r="T147" s="18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81" t="str">
        <f t="array" aca="1" ref="V147" ca="1">IF($R147&lt;&gt;"",
INDIRECT("G"&amp;$R147&amp;""),"")</f>
        <v/>
      </c>
      <c r="W147" s="181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8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8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81" t="str">
        <f t="shared" ca="1" si="51"/>
        <v/>
      </c>
      <c r="AA147" s="181" t="str">
        <f t="shared" ca="1" si="52"/>
        <v/>
      </c>
      <c r="AB147" s="181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81" t="str">
        <f t="shared" ca="1" si="53"/>
        <v/>
      </c>
      <c r="AD147" s="181" t="str">
        <f t="shared" ca="1" si="54"/>
        <v/>
      </c>
      <c r="AE147" s="181" t="str">
        <f t="shared" ca="1" si="55"/>
        <v/>
      </c>
      <c r="AF147" s="181" t="str">
        <f t="shared" ca="1" si="56"/>
        <v/>
      </c>
      <c r="AG147" s="181" t="str">
        <f t="shared" ca="1" si="57"/>
        <v/>
      </c>
      <c r="AH147" s="185" t="str">
        <f t="shared" ca="1" si="58"/>
        <v/>
      </c>
      <c r="AI147" s="181" t="str">
        <f t="shared" ca="1" si="59"/>
        <v/>
      </c>
      <c r="AJ147" s="181" t="str">
        <f t="shared" ca="1" si="60"/>
        <v/>
      </c>
      <c r="AK147" s="181" t="str">
        <f t="shared" ca="1" si="61"/>
        <v/>
      </c>
      <c r="AL147" s="181" t="str">
        <f t="shared" ca="1" si="62"/>
        <v/>
      </c>
      <c r="AM147" s="181" t="str">
        <f t="shared" ca="1" si="63"/>
        <v/>
      </c>
      <c r="AN147" s="181" t="str">
        <f t="shared" ca="1" si="64"/>
        <v/>
      </c>
      <c r="AO147" s="181" t="str">
        <f t="shared" ca="1" si="65"/>
        <v/>
      </c>
      <c r="AP147" s="181" t="str">
        <f t="shared" ca="1" si="66"/>
        <v/>
      </c>
      <c r="AU147" s="181" t="str">
        <f t="shared" ca="1" si="67"/>
        <v/>
      </c>
    </row>
    <row r="148" spans="1:47" ht="22.2" customHeight="1">
      <c r="A148" s="108">
        <f t="shared" si="71"/>
        <v>21</v>
      </c>
      <c r="B148" s="107" t="str">
        <f t="shared" ca="1" si="68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07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VLOOKUP("*"&amp;D148&amp;"*",商品マスタ一覧!D:H,5,FALSE)),"")</f>
        <v/>
      </c>
      <c r="O148" s="107">
        <f t="shared" ca="1" si="70"/>
        <v>0</v>
      </c>
      <c r="P148" s="107">
        <f t="shared" si="49"/>
        <v>0</v>
      </c>
      <c r="Q148" s="107" t="b">
        <f t="shared" si="50"/>
        <v>0</v>
      </c>
      <c r="R148" s="181" t="str">
        <f t="array" aca="1" ref="R148" ca="1">IFERROR(SMALL(IF(P$1:P$311&lt;&gt;0,P$1:P$311),ROW(A148)),"")</f>
        <v/>
      </c>
      <c r="S148" s="181" t="str">
        <f t="array" aca="1" ref="S148" ca="1">IF($R148&lt;&gt;"",
SUBSTITUTE(SUBSTITUTE(INDIRECT("C"&amp;$R148&amp;"")," 週3ｺｰｽ","")," 週5ｺｰｽ",""),"")</f>
        <v/>
      </c>
      <c r="T148" s="18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81" t="str">
        <f t="array" aca="1" ref="V148" ca="1">IF($R148&lt;&gt;"",
INDIRECT("G"&amp;$R148&amp;""),"")</f>
        <v/>
      </c>
      <c r="W148" s="181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8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8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81" t="str">
        <f t="shared" ca="1" si="51"/>
        <v/>
      </c>
      <c r="AA148" s="181" t="str">
        <f t="shared" ca="1" si="52"/>
        <v/>
      </c>
      <c r="AB148" s="181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81" t="str">
        <f t="shared" ca="1" si="53"/>
        <v/>
      </c>
      <c r="AD148" s="181" t="str">
        <f t="shared" ca="1" si="54"/>
        <v/>
      </c>
      <c r="AE148" s="181" t="str">
        <f t="shared" ca="1" si="55"/>
        <v/>
      </c>
      <c r="AF148" s="181" t="str">
        <f t="shared" ca="1" si="56"/>
        <v/>
      </c>
      <c r="AG148" s="181" t="str">
        <f t="shared" ca="1" si="57"/>
        <v/>
      </c>
      <c r="AH148" s="185" t="str">
        <f t="shared" ca="1" si="58"/>
        <v/>
      </c>
      <c r="AI148" s="181" t="str">
        <f t="shared" ca="1" si="59"/>
        <v/>
      </c>
      <c r="AJ148" s="181" t="str">
        <f t="shared" ca="1" si="60"/>
        <v/>
      </c>
      <c r="AK148" s="181" t="str">
        <f t="shared" ca="1" si="61"/>
        <v/>
      </c>
      <c r="AL148" s="181" t="str">
        <f t="shared" ca="1" si="62"/>
        <v/>
      </c>
      <c r="AM148" s="181" t="str">
        <f t="shared" ca="1" si="63"/>
        <v/>
      </c>
      <c r="AN148" s="181" t="str">
        <f t="shared" ca="1" si="64"/>
        <v/>
      </c>
      <c r="AO148" s="181" t="str">
        <f t="shared" ca="1" si="65"/>
        <v/>
      </c>
      <c r="AP148" s="181" t="str">
        <f t="shared" ca="1" si="66"/>
        <v/>
      </c>
      <c r="AU148" s="181" t="str">
        <f t="shared" ca="1" si="67"/>
        <v/>
      </c>
    </row>
    <row r="149" spans="1:47" ht="22.2" customHeight="1">
      <c r="A149" s="108">
        <f t="shared" si="71"/>
        <v>23</v>
      </c>
      <c r="B149" s="107" t="str">
        <f t="shared" ca="1" si="68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07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VLOOKUP("*"&amp;D149&amp;"*",商品マスタ一覧!D:H,5,FALSE)),"")</f>
        <v/>
      </c>
      <c r="O149" s="107">
        <f t="shared" ca="1" si="70"/>
        <v>0</v>
      </c>
      <c r="P149" s="107">
        <f t="shared" si="49"/>
        <v>0</v>
      </c>
      <c r="Q149" s="107" t="b">
        <f t="shared" si="50"/>
        <v>0</v>
      </c>
      <c r="R149" s="181" t="str">
        <f t="array" aca="1" ref="R149" ca="1">IFERROR(SMALL(IF(P$1:P$311&lt;&gt;0,P$1:P$311),ROW(A149)),"")</f>
        <v/>
      </c>
      <c r="S149" s="181" t="str">
        <f t="array" aca="1" ref="S149" ca="1">IF($R149&lt;&gt;"",
SUBSTITUTE(SUBSTITUTE(INDIRECT("C"&amp;$R149&amp;"")," 週3ｺｰｽ","")," 週5ｺｰｽ",""),"")</f>
        <v/>
      </c>
      <c r="T149" s="18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81" t="str">
        <f t="array" aca="1" ref="V149" ca="1">IF($R149&lt;&gt;"",
INDIRECT("G"&amp;$R149&amp;""),"")</f>
        <v/>
      </c>
      <c r="W149" s="181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8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8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81" t="str">
        <f t="shared" ca="1" si="51"/>
        <v/>
      </c>
      <c r="AA149" s="181" t="str">
        <f t="shared" ca="1" si="52"/>
        <v/>
      </c>
      <c r="AB149" s="181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81" t="str">
        <f t="shared" ca="1" si="53"/>
        <v/>
      </c>
      <c r="AD149" s="181" t="str">
        <f t="shared" ca="1" si="54"/>
        <v/>
      </c>
      <c r="AE149" s="181" t="str">
        <f t="shared" ca="1" si="55"/>
        <v/>
      </c>
      <c r="AF149" s="181" t="str">
        <f t="shared" ca="1" si="56"/>
        <v/>
      </c>
      <c r="AG149" s="181" t="str">
        <f t="shared" ca="1" si="57"/>
        <v/>
      </c>
      <c r="AH149" s="185" t="str">
        <f t="shared" ca="1" si="58"/>
        <v/>
      </c>
      <c r="AI149" s="181" t="str">
        <f t="shared" ca="1" si="59"/>
        <v/>
      </c>
      <c r="AJ149" s="181" t="str">
        <f t="shared" ca="1" si="60"/>
        <v/>
      </c>
      <c r="AK149" s="181" t="str">
        <f t="shared" ca="1" si="61"/>
        <v/>
      </c>
      <c r="AL149" s="181" t="str">
        <f t="shared" ca="1" si="62"/>
        <v/>
      </c>
      <c r="AM149" s="181" t="str">
        <f t="shared" ca="1" si="63"/>
        <v/>
      </c>
      <c r="AN149" s="181" t="str">
        <f t="shared" ca="1" si="64"/>
        <v/>
      </c>
      <c r="AO149" s="181" t="str">
        <f t="shared" ca="1" si="65"/>
        <v/>
      </c>
      <c r="AP149" s="181" t="str">
        <f t="shared" ca="1" si="66"/>
        <v/>
      </c>
      <c r="AU149" s="181" t="str">
        <f t="shared" ca="1" si="67"/>
        <v/>
      </c>
    </row>
    <row r="150" spans="1:47" ht="22.2" customHeight="1">
      <c r="A150" s="108">
        <f t="shared" si="71"/>
        <v>25</v>
      </c>
      <c r="B150" s="107" t="str">
        <f t="shared" ca="1" si="68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07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VLOOKUP("*"&amp;D150&amp;"*",商品マスタ一覧!D:H,5,FALSE)),"")</f>
        <v/>
      </c>
      <c r="O150" s="107">
        <f t="shared" ca="1" si="70"/>
        <v>0</v>
      </c>
      <c r="P150" s="107">
        <f t="shared" si="49"/>
        <v>0</v>
      </c>
      <c r="Q150" s="107" t="b">
        <f t="shared" si="50"/>
        <v>0</v>
      </c>
      <c r="R150" s="181" t="str">
        <f t="array" aca="1" ref="R150" ca="1">IFERROR(SMALL(IF(P$1:P$311&lt;&gt;0,P$1:P$311),ROW(A150)),"")</f>
        <v/>
      </c>
      <c r="S150" s="181" t="str">
        <f t="array" aca="1" ref="S150" ca="1">IF($R150&lt;&gt;"",
SUBSTITUTE(SUBSTITUTE(INDIRECT("C"&amp;$R150&amp;"")," 週3ｺｰｽ","")," 週5ｺｰｽ",""),"")</f>
        <v/>
      </c>
      <c r="T150" s="18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81" t="str">
        <f t="array" aca="1" ref="V150" ca="1">IF($R150&lt;&gt;"",
INDIRECT("G"&amp;$R150&amp;""),"")</f>
        <v/>
      </c>
      <c r="W150" s="181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8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8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81" t="str">
        <f t="shared" ca="1" si="51"/>
        <v/>
      </c>
      <c r="AA150" s="181" t="str">
        <f t="shared" ca="1" si="52"/>
        <v/>
      </c>
      <c r="AB150" s="181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81" t="str">
        <f t="shared" ca="1" si="53"/>
        <v/>
      </c>
      <c r="AD150" s="181" t="str">
        <f t="shared" ca="1" si="54"/>
        <v/>
      </c>
      <c r="AE150" s="181" t="str">
        <f t="shared" ca="1" si="55"/>
        <v/>
      </c>
      <c r="AF150" s="181" t="str">
        <f t="shared" ca="1" si="56"/>
        <v/>
      </c>
      <c r="AG150" s="181" t="str">
        <f t="shared" ca="1" si="57"/>
        <v/>
      </c>
      <c r="AH150" s="185" t="str">
        <f t="shared" ca="1" si="58"/>
        <v/>
      </c>
      <c r="AI150" s="181" t="str">
        <f t="shared" ca="1" si="59"/>
        <v/>
      </c>
      <c r="AJ150" s="181" t="str">
        <f t="shared" ca="1" si="60"/>
        <v/>
      </c>
      <c r="AK150" s="181" t="str">
        <f t="shared" ca="1" si="61"/>
        <v/>
      </c>
      <c r="AL150" s="181" t="str">
        <f t="shared" ca="1" si="62"/>
        <v/>
      </c>
      <c r="AM150" s="181" t="str">
        <f t="shared" ca="1" si="63"/>
        <v/>
      </c>
      <c r="AN150" s="181" t="str">
        <f t="shared" ca="1" si="64"/>
        <v/>
      </c>
      <c r="AO150" s="181" t="str">
        <f t="shared" ca="1" si="65"/>
        <v/>
      </c>
      <c r="AP150" s="181" t="str">
        <f t="shared" ca="1" si="66"/>
        <v/>
      </c>
      <c r="AU150" s="181" t="str">
        <f t="shared" ca="1" si="67"/>
        <v/>
      </c>
    </row>
    <row r="151" spans="1:47" ht="22.2" customHeight="1">
      <c r="A151" s="108">
        <f t="shared" si="71"/>
        <v>27</v>
      </c>
      <c r="B151" s="107" t="str">
        <f t="shared" ca="1" si="68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07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VLOOKUP("*"&amp;D151&amp;"*",商品マスタ一覧!D:H,5,FALSE)),"")</f>
        <v/>
      </c>
      <c r="O151" s="107">
        <f t="shared" ca="1" si="70"/>
        <v>0</v>
      </c>
      <c r="P151" s="107">
        <f t="shared" si="49"/>
        <v>0</v>
      </c>
      <c r="Q151" s="107" t="b">
        <f t="shared" si="50"/>
        <v>0</v>
      </c>
      <c r="R151" s="181" t="str">
        <f t="array" aca="1" ref="R151" ca="1">IFERROR(SMALL(IF(P$1:P$311&lt;&gt;0,P$1:P$311),ROW(A151)),"")</f>
        <v/>
      </c>
      <c r="S151" s="181" t="str">
        <f t="array" aca="1" ref="S151" ca="1">IF($R151&lt;&gt;"",
SUBSTITUTE(SUBSTITUTE(INDIRECT("C"&amp;$R151&amp;"")," 週3ｺｰｽ","")," 週5ｺｰｽ",""),"")</f>
        <v/>
      </c>
      <c r="T151" s="18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81" t="str">
        <f t="array" aca="1" ref="V151" ca="1">IF($R151&lt;&gt;"",
INDIRECT("G"&amp;$R151&amp;""),"")</f>
        <v/>
      </c>
      <c r="W151" s="181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8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8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81" t="str">
        <f t="shared" ca="1" si="51"/>
        <v/>
      </c>
      <c r="AA151" s="181" t="str">
        <f t="shared" ca="1" si="52"/>
        <v/>
      </c>
      <c r="AB151" s="181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81" t="str">
        <f t="shared" ca="1" si="53"/>
        <v/>
      </c>
      <c r="AD151" s="181" t="str">
        <f t="shared" ca="1" si="54"/>
        <v/>
      </c>
      <c r="AE151" s="181" t="str">
        <f t="shared" ca="1" si="55"/>
        <v/>
      </c>
      <c r="AF151" s="181" t="str">
        <f t="shared" ca="1" si="56"/>
        <v/>
      </c>
      <c r="AG151" s="181" t="str">
        <f t="shared" ca="1" si="57"/>
        <v/>
      </c>
      <c r="AH151" s="185" t="str">
        <f t="shared" ca="1" si="58"/>
        <v/>
      </c>
      <c r="AI151" s="181" t="str">
        <f t="shared" ca="1" si="59"/>
        <v/>
      </c>
      <c r="AJ151" s="181" t="str">
        <f t="shared" ca="1" si="60"/>
        <v/>
      </c>
      <c r="AK151" s="181" t="str">
        <f t="shared" ca="1" si="61"/>
        <v/>
      </c>
      <c r="AL151" s="181" t="str">
        <f t="shared" ca="1" si="62"/>
        <v/>
      </c>
      <c r="AM151" s="181" t="str">
        <f t="shared" ca="1" si="63"/>
        <v/>
      </c>
      <c r="AN151" s="181" t="str">
        <f t="shared" ca="1" si="64"/>
        <v/>
      </c>
      <c r="AO151" s="181" t="str">
        <f t="shared" ca="1" si="65"/>
        <v/>
      </c>
      <c r="AP151" s="181" t="str">
        <f t="shared" ca="1" si="66"/>
        <v/>
      </c>
      <c r="AU151" s="181" t="str">
        <f t="shared" ca="1" si="67"/>
        <v/>
      </c>
    </row>
    <row r="152" spans="1:47" ht="22.2" customHeight="1">
      <c r="A152" s="108">
        <f t="shared" si="71"/>
        <v>29</v>
      </c>
      <c r="B152" s="107" t="str">
        <f t="shared" ca="1" si="68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07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VLOOKUP("*"&amp;D152&amp;"*",商品マスタ一覧!D:H,5,FALSE)),"")</f>
        <v/>
      </c>
      <c r="O152" s="107">
        <f t="shared" ca="1" si="70"/>
        <v>0</v>
      </c>
      <c r="P152" s="107">
        <f t="shared" si="49"/>
        <v>0</v>
      </c>
      <c r="Q152" s="107" t="b">
        <f t="shared" si="50"/>
        <v>0</v>
      </c>
      <c r="R152" s="181" t="str">
        <f t="array" aca="1" ref="R152" ca="1">IFERROR(SMALL(IF(P$1:P$311&lt;&gt;0,P$1:P$311),ROW(A152)),"")</f>
        <v/>
      </c>
      <c r="S152" s="181" t="str">
        <f t="array" aca="1" ref="S152" ca="1">IF($R152&lt;&gt;"",
SUBSTITUTE(SUBSTITUTE(INDIRECT("C"&amp;$R152&amp;"")," 週3ｺｰｽ","")," 週5ｺｰｽ",""),"")</f>
        <v/>
      </c>
      <c r="T152" s="18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81" t="str">
        <f t="array" aca="1" ref="V152" ca="1">IF($R152&lt;&gt;"",
INDIRECT("G"&amp;$R152&amp;""),"")</f>
        <v/>
      </c>
      <c r="W152" s="181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8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8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81" t="str">
        <f t="shared" ca="1" si="51"/>
        <v/>
      </c>
      <c r="AA152" s="181" t="str">
        <f t="shared" ca="1" si="52"/>
        <v/>
      </c>
      <c r="AB152" s="181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81" t="str">
        <f t="shared" ca="1" si="53"/>
        <v/>
      </c>
      <c r="AD152" s="181" t="str">
        <f t="shared" ca="1" si="54"/>
        <v/>
      </c>
      <c r="AE152" s="181" t="str">
        <f t="shared" ca="1" si="55"/>
        <v/>
      </c>
      <c r="AF152" s="181" t="str">
        <f t="shared" ca="1" si="56"/>
        <v/>
      </c>
      <c r="AG152" s="181" t="str">
        <f t="shared" ca="1" si="57"/>
        <v/>
      </c>
      <c r="AH152" s="185" t="str">
        <f t="shared" ca="1" si="58"/>
        <v/>
      </c>
      <c r="AI152" s="181" t="str">
        <f t="shared" ca="1" si="59"/>
        <v/>
      </c>
      <c r="AJ152" s="181" t="str">
        <f t="shared" ca="1" si="60"/>
        <v/>
      </c>
      <c r="AK152" s="181" t="str">
        <f t="shared" ca="1" si="61"/>
        <v/>
      </c>
      <c r="AL152" s="181" t="str">
        <f t="shared" ca="1" si="62"/>
        <v/>
      </c>
      <c r="AM152" s="181" t="str">
        <f t="shared" ca="1" si="63"/>
        <v/>
      </c>
      <c r="AN152" s="181" t="str">
        <f t="shared" ca="1" si="64"/>
        <v/>
      </c>
      <c r="AO152" s="181" t="str">
        <f t="shared" ca="1" si="65"/>
        <v/>
      </c>
      <c r="AP152" s="181" t="str">
        <f t="shared" ca="1" si="66"/>
        <v/>
      </c>
      <c r="AU152" s="181" t="str">
        <f t="shared" ca="1" si="67"/>
        <v/>
      </c>
    </row>
    <row r="153" spans="1:47" ht="22.2" customHeight="1">
      <c r="A153" s="108">
        <f t="shared" si="71"/>
        <v>31</v>
      </c>
      <c r="B153" s="107" t="str">
        <f t="shared" ca="1" si="68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07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VLOOKUP("*"&amp;D153&amp;"*",商品マスタ一覧!D:H,5,FALSE)),"")</f>
        <v/>
      </c>
      <c r="O153" s="107">
        <f t="shared" ca="1" si="70"/>
        <v>0</v>
      </c>
      <c r="P153" s="107">
        <f t="shared" si="49"/>
        <v>0</v>
      </c>
      <c r="Q153" s="107" t="b">
        <f t="shared" si="50"/>
        <v>0</v>
      </c>
      <c r="R153" s="181" t="str">
        <f t="array" aca="1" ref="R153" ca="1">IFERROR(SMALL(IF(P$1:P$311&lt;&gt;0,P$1:P$311),ROW(A153)),"")</f>
        <v/>
      </c>
      <c r="S153" s="181" t="str">
        <f t="array" aca="1" ref="S153" ca="1">IF($R153&lt;&gt;"",
SUBSTITUTE(SUBSTITUTE(INDIRECT("C"&amp;$R153&amp;"")," 週3ｺｰｽ","")," 週5ｺｰｽ",""),"")</f>
        <v/>
      </c>
      <c r="T153" s="18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81" t="str">
        <f t="array" aca="1" ref="V153" ca="1">IF($R153&lt;&gt;"",
INDIRECT("G"&amp;$R153&amp;""),"")</f>
        <v/>
      </c>
      <c r="W153" s="181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8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8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81" t="str">
        <f t="shared" ca="1" si="51"/>
        <v/>
      </c>
      <c r="AA153" s="181" t="str">
        <f t="shared" ca="1" si="52"/>
        <v/>
      </c>
      <c r="AB153" s="181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81" t="str">
        <f t="shared" ca="1" si="53"/>
        <v/>
      </c>
      <c r="AD153" s="181" t="str">
        <f t="shared" ca="1" si="54"/>
        <v/>
      </c>
      <c r="AE153" s="181" t="str">
        <f t="shared" ca="1" si="55"/>
        <v/>
      </c>
      <c r="AF153" s="181" t="str">
        <f t="shared" ca="1" si="56"/>
        <v/>
      </c>
      <c r="AG153" s="181" t="str">
        <f t="shared" ca="1" si="57"/>
        <v/>
      </c>
      <c r="AH153" s="185" t="str">
        <f t="shared" ca="1" si="58"/>
        <v/>
      </c>
      <c r="AI153" s="181" t="str">
        <f t="shared" ca="1" si="59"/>
        <v/>
      </c>
      <c r="AJ153" s="181" t="str">
        <f t="shared" ca="1" si="60"/>
        <v/>
      </c>
      <c r="AK153" s="181" t="str">
        <f t="shared" ca="1" si="61"/>
        <v/>
      </c>
      <c r="AL153" s="181" t="str">
        <f t="shared" ca="1" si="62"/>
        <v/>
      </c>
      <c r="AM153" s="181" t="str">
        <f t="shared" ca="1" si="63"/>
        <v/>
      </c>
      <c r="AN153" s="181" t="str">
        <f t="shared" ca="1" si="64"/>
        <v/>
      </c>
      <c r="AO153" s="181" t="str">
        <f t="shared" ca="1" si="65"/>
        <v/>
      </c>
      <c r="AP153" s="181" t="str">
        <f t="shared" ca="1" si="66"/>
        <v/>
      </c>
      <c r="AU153" s="181" t="str">
        <f t="shared" ca="1" si="67"/>
        <v/>
      </c>
    </row>
    <row r="154" spans="1:47" ht="22.2" customHeight="1">
      <c r="A154" s="108">
        <f t="shared" si="71"/>
        <v>33</v>
      </c>
      <c r="B154" s="107" t="str">
        <f t="shared" ca="1" si="68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07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VLOOKUP("*"&amp;D154&amp;"*",商品マスタ一覧!D:H,5,FALSE)),"")</f>
        <v/>
      </c>
      <c r="O154" s="107">
        <f t="shared" ca="1" si="70"/>
        <v>0</v>
      </c>
      <c r="P154" s="107">
        <f t="shared" si="49"/>
        <v>0</v>
      </c>
      <c r="Q154" s="107" t="b">
        <f t="shared" si="50"/>
        <v>0</v>
      </c>
      <c r="R154" s="181" t="str">
        <f t="array" aca="1" ref="R154" ca="1">IFERROR(SMALL(IF(P$1:P$311&lt;&gt;0,P$1:P$311),ROW(A154)),"")</f>
        <v/>
      </c>
      <c r="S154" s="181" t="str">
        <f t="array" aca="1" ref="S154" ca="1">IF($R154&lt;&gt;"",
SUBSTITUTE(SUBSTITUTE(INDIRECT("C"&amp;$R154&amp;"")," 週3ｺｰｽ","")," 週5ｺｰｽ",""),"")</f>
        <v/>
      </c>
      <c r="T154" s="18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81" t="str">
        <f t="array" aca="1" ref="V154" ca="1">IF($R154&lt;&gt;"",
INDIRECT("G"&amp;$R154&amp;""),"")</f>
        <v/>
      </c>
      <c r="W154" s="181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8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8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81" t="str">
        <f t="shared" ca="1" si="51"/>
        <v/>
      </c>
      <c r="AA154" s="181" t="str">
        <f t="shared" ca="1" si="52"/>
        <v/>
      </c>
      <c r="AB154" s="181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81" t="str">
        <f t="shared" ca="1" si="53"/>
        <v/>
      </c>
      <c r="AD154" s="181" t="str">
        <f t="shared" ca="1" si="54"/>
        <v/>
      </c>
      <c r="AE154" s="181" t="str">
        <f t="shared" ca="1" si="55"/>
        <v/>
      </c>
      <c r="AF154" s="181" t="str">
        <f t="shared" ca="1" si="56"/>
        <v/>
      </c>
      <c r="AG154" s="181" t="str">
        <f t="shared" ca="1" si="57"/>
        <v/>
      </c>
      <c r="AH154" s="185" t="str">
        <f t="shared" ca="1" si="58"/>
        <v/>
      </c>
      <c r="AI154" s="181" t="str">
        <f t="shared" ca="1" si="59"/>
        <v/>
      </c>
      <c r="AJ154" s="181" t="str">
        <f t="shared" ca="1" si="60"/>
        <v/>
      </c>
      <c r="AK154" s="181" t="str">
        <f t="shared" ca="1" si="61"/>
        <v/>
      </c>
      <c r="AL154" s="181" t="str">
        <f t="shared" ca="1" si="62"/>
        <v/>
      </c>
      <c r="AM154" s="181" t="str">
        <f t="shared" ca="1" si="63"/>
        <v/>
      </c>
      <c r="AN154" s="181" t="str">
        <f t="shared" ca="1" si="64"/>
        <v/>
      </c>
      <c r="AO154" s="181" t="str">
        <f t="shared" ca="1" si="65"/>
        <v/>
      </c>
      <c r="AP154" s="181" t="str">
        <f t="shared" ca="1" si="66"/>
        <v/>
      </c>
      <c r="AU154" s="181" t="str">
        <f t="shared" ca="1" si="67"/>
        <v/>
      </c>
    </row>
    <row r="155" spans="1:47" ht="22.2" customHeight="1">
      <c r="A155" s="108">
        <f t="shared" si="71"/>
        <v>35</v>
      </c>
      <c r="B155" s="107" t="str">
        <f t="shared" ca="1" si="68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07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VLOOKUP("*"&amp;D155&amp;"*",商品マスタ一覧!D:H,5,FALSE)),"")</f>
        <v/>
      </c>
      <c r="O155" s="107">
        <f t="shared" ca="1" si="70"/>
        <v>0</v>
      </c>
      <c r="P155" s="107">
        <f t="shared" si="49"/>
        <v>0</v>
      </c>
      <c r="Q155" s="107" t="b">
        <f t="shared" si="50"/>
        <v>0</v>
      </c>
      <c r="R155" s="181" t="str">
        <f t="array" aca="1" ref="R155" ca="1">IFERROR(SMALL(IF(P$1:P$311&lt;&gt;0,P$1:P$311),ROW(A155)),"")</f>
        <v/>
      </c>
      <c r="S155" s="181" t="str">
        <f t="array" aca="1" ref="S155" ca="1">IF($R155&lt;&gt;"",
SUBSTITUTE(SUBSTITUTE(INDIRECT("C"&amp;$R155&amp;"")," 週3ｺｰｽ","")," 週5ｺｰｽ",""),"")</f>
        <v/>
      </c>
      <c r="T155" s="18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81" t="str">
        <f t="array" aca="1" ref="V155" ca="1">IF($R155&lt;&gt;"",
INDIRECT("G"&amp;$R155&amp;""),"")</f>
        <v/>
      </c>
      <c r="W155" s="181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8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8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81" t="str">
        <f t="shared" ca="1" si="51"/>
        <v/>
      </c>
      <c r="AA155" s="181" t="str">
        <f t="shared" ca="1" si="52"/>
        <v/>
      </c>
      <c r="AB155" s="181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81" t="str">
        <f t="shared" ca="1" si="53"/>
        <v/>
      </c>
      <c r="AD155" s="181" t="str">
        <f t="shared" ca="1" si="54"/>
        <v/>
      </c>
      <c r="AE155" s="181" t="str">
        <f t="shared" ca="1" si="55"/>
        <v/>
      </c>
      <c r="AF155" s="181" t="str">
        <f t="shared" ca="1" si="56"/>
        <v/>
      </c>
      <c r="AG155" s="181" t="str">
        <f t="shared" ca="1" si="57"/>
        <v/>
      </c>
      <c r="AH155" s="185" t="str">
        <f t="shared" ca="1" si="58"/>
        <v/>
      </c>
      <c r="AI155" s="181" t="str">
        <f t="shared" ca="1" si="59"/>
        <v/>
      </c>
      <c r="AJ155" s="181" t="str">
        <f t="shared" ca="1" si="60"/>
        <v/>
      </c>
      <c r="AK155" s="181" t="str">
        <f t="shared" ca="1" si="61"/>
        <v/>
      </c>
      <c r="AL155" s="181" t="str">
        <f t="shared" ca="1" si="62"/>
        <v/>
      </c>
      <c r="AM155" s="181" t="str">
        <f t="shared" ca="1" si="63"/>
        <v/>
      </c>
      <c r="AN155" s="181" t="str">
        <f t="shared" ca="1" si="64"/>
        <v/>
      </c>
      <c r="AO155" s="181" t="str">
        <f t="shared" ca="1" si="65"/>
        <v/>
      </c>
      <c r="AP155" s="181" t="str">
        <f t="shared" ca="1" si="66"/>
        <v/>
      </c>
      <c r="AU155" s="181" t="str">
        <f t="shared" ca="1" si="67"/>
        <v/>
      </c>
    </row>
    <row r="156" spans="1:47" ht="22.2" customHeight="1">
      <c r="A156" s="108">
        <f t="shared" si="71"/>
        <v>37</v>
      </c>
      <c r="B156" s="107" t="str">
        <f t="shared" ca="1" si="68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07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VLOOKUP("*"&amp;D156&amp;"*",商品マスタ一覧!D:H,5,FALSE)),"")</f>
        <v/>
      </c>
      <c r="O156" s="107">
        <f t="shared" ca="1" si="70"/>
        <v>0</v>
      </c>
      <c r="P156" s="107">
        <f t="shared" si="49"/>
        <v>0</v>
      </c>
      <c r="Q156" s="107" t="b">
        <f t="shared" si="50"/>
        <v>0</v>
      </c>
      <c r="R156" s="181" t="str">
        <f t="array" aca="1" ref="R156" ca="1">IFERROR(SMALL(IF(P$1:P$311&lt;&gt;0,P$1:P$311),ROW(A156)),"")</f>
        <v/>
      </c>
      <c r="S156" s="181" t="str">
        <f t="array" aca="1" ref="S156" ca="1">IF($R156&lt;&gt;"",
SUBSTITUTE(SUBSTITUTE(INDIRECT("C"&amp;$R156&amp;"")," 週3ｺｰｽ","")," 週5ｺｰｽ",""),"")</f>
        <v/>
      </c>
      <c r="T156" s="18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81" t="str">
        <f t="array" aca="1" ref="V156" ca="1">IF($R156&lt;&gt;"",
INDIRECT("G"&amp;$R156&amp;""),"")</f>
        <v/>
      </c>
      <c r="W156" s="181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8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8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81" t="str">
        <f t="shared" ca="1" si="51"/>
        <v/>
      </c>
      <c r="AA156" s="181" t="str">
        <f t="shared" ca="1" si="52"/>
        <v/>
      </c>
      <c r="AB156" s="181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81" t="str">
        <f t="shared" ca="1" si="53"/>
        <v/>
      </c>
      <c r="AD156" s="181" t="str">
        <f t="shared" ca="1" si="54"/>
        <v/>
      </c>
      <c r="AE156" s="181" t="str">
        <f t="shared" ca="1" si="55"/>
        <v/>
      </c>
      <c r="AF156" s="181" t="str">
        <f t="shared" ca="1" si="56"/>
        <v/>
      </c>
      <c r="AG156" s="181" t="str">
        <f t="shared" ca="1" si="57"/>
        <v/>
      </c>
      <c r="AH156" s="185" t="str">
        <f t="shared" ca="1" si="58"/>
        <v/>
      </c>
      <c r="AI156" s="181" t="str">
        <f t="shared" ca="1" si="59"/>
        <v/>
      </c>
      <c r="AJ156" s="181" t="str">
        <f t="shared" ca="1" si="60"/>
        <v/>
      </c>
      <c r="AK156" s="181" t="str">
        <f t="shared" ca="1" si="61"/>
        <v/>
      </c>
      <c r="AL156" s="181" t="str">
        <f t="shared" ca="1" si="62"/>
        <v/>
      </c>
      <c r="AM156" s="181" t="str">
        <f t="shared" ca="1" si="63"/>
        <v/>
      </c>
      <c r="AN156" s="181" t="str">
        <f t="shared" ca="1" si="64"/>
        <v/>
      </c>
      <c r="AO156" s="181" t="str">
        <f t="shared" ca="1" si="65"/>
        <v/>
      </c>
      <c r="AP156" s="181" t="str">
        <f t="shared" ca="1" si="66"/>
        <v/>
      </c>
      <c r="AU156" s="181" t="str">
        <f t="shared" ca="1" si="67"/>
        <v/>
      </c>
    </row>
    <row r="157" spans="1:47" ht="22.2" customHeight="1">
      <c r="A157" s="108">
        <f t="shared" si="71"/>
        <v>39</v>
      </c>
      <c r="B157" s="107" t="str">
        <f t="shared" ca="1" si="68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07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VLOOKUP("*"&amp;D157&amp;"*",商品マスタ一覧!D:H,5,FALSE)),"")</f>
        <v/>
      </c>
      <c r="O157" s="107">
        <f t="shared" ca="1" si="70"/>
        <v>0</v>
      </c>
      <c r="P157" s="107">
        <f t="shared" si="49"/>
        <v>0</v>
      </c>
      <c r="Q157" s="107" t="b">
        <f t="shared" si="50"/>
        <v>0</v>
      </c>
      <c r="R157" s="181" t="str">
        <f t="array" aca="1" ref="R157" ca="1">IFERROR(SMALL(IF(P$1:P$311&lt;&gt;0,P$1:P$311),ROW(A157)),"")</f>
        <v/>
      </c>
      <c r="S157" s="181" t="str">
        <f t="array" aca="1" ref="S157" ca="1">IF($R157&lt;&gt;"",
SUBSTITUTE(SUBSTITUTE(INDIRECT("C"&amp;$R157&amp;"")," 週3ｺｰｽ","")," 週5ｺｰｽ",""),"")</f>
        <v/>
      </c>
      <c r="T157" s="18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81" t="str">
        <f t="array" aca="1" ref="V157" ca="1">IF($R157&lt;&gt;"",
INDIRECT("G"&amp;$R157&amp;""),"")</f>
        <v/>
      </c>
      <c r="W157" s="181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8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8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81" t="str">
        <f t="shared" ca="1" si="51"/>
        <v/>
      </c>
      <c r="AA157" s="181" t="str">
        <f t="shared" ca="1" si="52"/>
        <v/>
      </c>
      <c r="AB157" s="181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81" t="str">
        <f t="shared" ca="1" si="53"/>
        <v/>
      </c>
      <c r="AD157" s="181" t="str">
        <f t="shared" ca="1" si="54"/>
        <v/>
      </c>
      <c r="AE157" s="181" t="str">
        <f t="shared" ca="1" si="55"/>
        <v/>
      </c>
      <c r="AF157" s="181" t="str">
        <f t="shared" ca="1" si="56"/>
        <v/>
      </c>
      <c r="AG157" s="181" t="str">
        <f t="shared" ca="1" si="57"/>
        <v/>
      </c>
      <c r="AH157" s="185" t="str">
        <f t="shared" ca="1" si="58"/>
        <v/>
      </c>
      <c r="AI157" s="181" t="str">
        <f t="shared" ca="1" si="59"/>
        <v/>
      </c>
      <c r="AJ157" s="181" t="str">
        <f t="shared" ca="1" si="60"/>
        <v/>
      </c>
      <c r="AK157" s="181" t="str">
        <f t="shared" ca="1" si="61"/>
        <v/>
      </c>
      <c r="AL157" s="181" t="str">
        <f t="shared" ca="1" si="62"/>
        <v/>
      </c>
      <c r="AM157" s="181" t="str">
        <f t="shared" ca="1" si="63"/>
        <v/>
      </c>
      <c r="AN157" s="181" t="str">
        <f t="shared" ca="1" si="64"/>
        <v/>
      </c>
      <c r="AO157" s="181" t="str">
        <f t="shared" ca="1" si="65"/>
        <v/>
      </c>
      <c r="AP157" s="181" t="str">
        <f t="shared" ca="1" si="66"/>
        <v/>
      </c>
      <c r="AU157" s="181" t="str">
        <f t="shared" ca="1" si="67"/>
        <v/>
      </c>
    </row>
    <row r="158" spans="1:47" ht="22.2" customHeight="1">
      <c r="A158" s="108">
        <f t="shared" si="71"/>
        <v>41</v>
      </c>
      <c r="B158" s="107" t="str">
        <f t="shared" ca="1" si="68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07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VLOOKUP("*"&amp;D158&amp;"*",商品マスタ一覧!D:H,5,FALSE)),"")</f>
        <v/>
      </c>
      <c r="O158" s="107">
        <f t="shared" ca="1" si="70"/>
        <v>0</v>
      </c>
      <c r="P158" s="107">
        <f t="shared" si="49"/>
        <v>0</v>
      </c>
      <c r="Q158" s="107" t="b">
        <f t="shared" si="50"/>
        <v>0</v>
      </c>
      <c r="R158" s="181" t="str">
        <f t="array" aca="1" ref="R158" ca="1">IFERROR(SMALL(IF(P$1:P$311&lt;&gt;0,P$1:P$311),ROW(A158)),"")</f>
        <v/>
      </c>
      <c r="S158" s="181" t="str">
        <f t="array" aca="1" ref="S158" ca="1">IF($R158&lt;&gt;"",
SUBSTITUTE(SUBSTITUTE(INDIRECT("C"&amp;$R158&amp;"")," 週3ｺｰｽ","")," 週5ｺｰｽ",""),"")</f>
        <v/>
      </c>
      <c r="T158" s="18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81" t="str">
        <f t="array" aca="1" ref="V158" ca="1">IF($R158&lt;&gt;"",
INDIRECT("G"&amp;$R158&amp;""),"")</f>
        <v/>
      </c>
      <c r="W158" s="181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8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8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81" t="str">
        <f t="shared" ca="1" si="51"/>
        <v/>
      </c>
      <c r="AA158" s="181" t="str">
        <f t="shared" ca="1" si="52"/>
        <v/>
      </c>
      <c r="AB158" s="181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81" t="str">
        <f t="shared" ca="1" si="53"/>
        <v/>
      </c>
      <c r="AD158" s="181" t="str">
        <f t="shared" ca="1" si="54"/>
        <v/>
      </c>
      <c r="AE158" s="181" t="str">
        <f t="shared" ca="1" si="55"/>
        <v/>
      </c>
      <c r="AF158" s="181" t="str">
        <f t="shared" ca="1" si="56"/>
        <v/>
      </c>
      <c r="AG158" s="181" t="str">
        <f t="shared" ca="1" si="57"/>
        <v/>
      </c>
      <c r="AH158" s="185" t="str">
        <f t="shared" ca="1" si="58"/>
        <v/>
      </c>
      <c r="AI158" s="181" t="str">
        <f t="shared" ca="1" si="59"/>
        <v/>
      </c>
      <c r="AJ158" s="181" t="str">
        <f t="shared" ca="1" si="60"/>
        <v/>
      </c>
      <c r="AK158" s="181" t="str">
        <f t="shared" ca="1" si="61"/>
        <v/>
      </c>
      <c r="AL158" s="181" t="str">
        <f t="shared" ca="1" si="62"/>
        <v/>
      </c>
      <c r="AM158" s="181" t="str">
        <f t="shared" ca="1" si="63"/>
        <v/>
      </c>
      <c r="AN158" s="181" t="str">
        <f t="shared" ca="1" si="64"/>
        <v/>
      </c>
      <c r="AO158" s="181" t="str">
        <f t="shared" ca="1" si="65"/>
        <v/>
      </c>
      <c r="AP158" s="181" t="str">
        <f t="shared" ca="1" si="66"/>
        <v/>
      </c>
      <c r="AU158" s="181" t="str">
        <f t="shared" ca="1" si="67"/>
        <v/>
      </c>
    </row>
    <row r="159" spans="1:47" ht="22.2" customHeight="1">
      <c r="A159" s="108">
        <f t="shared" si="71"/>
        <v>43</v>
      </c>
      <c r="B159" s="107" t="str">
        <f t="shared" ca="1" si="68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07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VLOOKUP("*"&amp;D159&amp;"*",商品マスタ一覧!D:H,5,FALSE)),"")</f>
        <v/>
      </c>
      <c r="O159" s="107">
        <f t="shared" ca="1" si="70"/>
        <v>0</v>
      </c>
      <c r="P159" s="107">
        <f t="shared" si="49"/>
        <v>0</v>
      </c>
      <c r="Q159" s="107" t="b">
        <f t="shared" si="50"/>
        <v>0</v>
      </c>
      <c r="R159" s="181" t="str">
        <f t="array" aca="1" ref="R159" ca="1">IFERROR(SMALL(IF(P$1:P$311&lt;&gt;0,P$1:P$311),ROW(A159)),"")</f>
        <v/>
      </c>
      <c r="S159" s="181" t="str">
        <f t="array" aca="1" ref="S159" ca="1">IF($R159&lt;&gt;"",
SUBSTITUTE(SUBSTITUTE(INDIRECT("C"&amp;$R159&amp;"")," 週3ｺｰｽ","")," 週5ｺｰｽ",""),"")</f>
        <v/>
      </c>
      <c r="T159" s="18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81" t="str">
        <f t="array" aca="1" ref="V159" ca="1">IF($R159&lt;&gt;"",
INDIRECT("G"&amp;$R159&amp;""),"")</f>
        <v/>
      </c>
      <c r="W159" s="181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8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8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81" t="str">
        <f t="shared" ca="1" si="51"/>
        <v/>
      </c>
      <c r="AA159" s="181" t="str">
        <f t="shared" ca="1" si="52"/>
        <v/>
      </c>
      <c r="AB159" s="181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81" t="str">
        <f t="shared" ca="1" si="53"/>
        <v/>
      </c>
      <c r="AD159" s="181" t="str">
        <f t="shared" ca="1" si="54"/>
        <v/>
      </c>
      <c r="AE159" s="181" t="str">
        <f t="shared" ca="1" si="55"/>
        <v/>
      </c>
      <c r="AF159" s="181" t="str">
        <f t="shared" ca="1" si="56"/>
        <v/>
      </c>
      <c r="AG159" s="181" t="str">
        <f t="shared" ca="1" si="57"/>
        <v/>
      </c>
      <c r="AH159" s="185" t="str">
        <f t="shared" ca="1" si="58"/>
        <v/>
      </c>
      <c r="AI159" s="181" t="str">
        <f t="shared" ca="1" si="59"/>
        <v/>
      </c>
      <c r="AJ159" s="181" t="str">
        <f t="shared" ca="1" si="60"/>
        <v/>
      </c>
      <c r="AK159" s="181" t="str">
        <f t="shared" ca="1" si="61"/>
        <v/>
      </c>
      <c r="AL159" s="181" t="str">
        <f t="shared" ca="1" si="62"/>
        <v/>
      </c>
      <c r="AM159" s="181" t="str">
        <f t="shared" ca="1" si="63"/>
        <v/>
      </c>
      <c r="AN159" s="181" t="str">
        <f t="shared" ca="1" si="64"/>
        <v/>
      </c>
      <c r="AO159" s="181" t="str">
        <f t="shared" ca="1" si="65"/>
        <v/>
      </c>
      <c r="AP159" s="181" t="str">
        <f t="shared" ca="1" si="66"/>
        <v/>
      </c>
      <c r="AU159" s="181" t="str">
        <f t="shared" ca="1" si="67"/>
        <v/>
      </c>
    </row>
    <row r="160" spans="1:47" ht="22.2" customHeight="1">
      <c r="A160" s="108">
        <f t="shared" si="71"/>
        <v>45</v>
      </c>
      <c r="B160" s="107" t="str">
        <f t="shared" ca="1" si="68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07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VLOOKUP("*"&amp;D160&amp;"*",商品マスタ一覧!D:H,5,FALSE)),"")</f>
        <v/>
      </c>
      <c r="O160" s="107">
        <f t="shared" ca="1" si="70"/>
        <v>0</v>
      </c>
      <c r="P160" s="107">
        <f t="shared" si="49"/>
        <v>0</v>
      </c>
      <c r="Q160" s="107" t="b">
        <f t="shared" si="50"/>
        <v>0</v>
      </c>
      <c r="R160" s="181" t="str">
        <f t="array" aca="1" ref="R160" ca="1">IFERROR(SMALL(IF(P$1:P$311&lt;&gt;0,P$1:P$311),ROW(A160)),"")</f>
        <v/>
      </c>
      <c r="S160" s="181" t="str">
        <f t="array" aca="1" ref="S160" ca="1">IF($R160&lt;&gt;"",
SUBSTITUTE(SUBSTITUTE(INDIRECT("C"&amp;$R160&amp;"")," 週3ｺｰｽ","")," 週5ｺｰｽ",""),"")</f>
        <v/>
      </c>
      <c r="T160" s="18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81" t="str">
        <f t="array" aca="1" ref="V160" ca="1">IF($R160&lt;&gt;"",
INDIRECT("G"&amp;$R160&amp;""),"")</f>
        <v/>
      </c>
      <c r="W160" s="181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8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8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81" t="str">
        <f t="shared" ca="1" si="51"/>
        <v/>
      </c>
      <c r="AA160" s="181" t="str">
        <f t="shared" ca="1" si="52"/>
        <v/>
      </c>
      <c r="AB160" s="181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81" t="str">
        <f t="shared" ca="1" si="53"/>
        <v/>
      </c>
      <c r="AD160" s="181" t="str">
        <f t="shared" ca="1" si="54"/>
        <v/>
      </c>
      <c r="AE160" s="181" t="str">
        <f t="shared" ca="1" si="55"/>
        <v/>
      </c>
      <c r="AF160" s="181" t="str">
        <f t="shared" ca="1" si="56"/>
        <v/>
      </c>
      <c r="AG160" s="181" t="str">
        <f t="shared" ca="1" si="57"/>
        <v/>
      </c>
      <c r="AH160" s="185" t="str">
        <f t="shared" ca="1" si="58"/>
        <v/>
      </c>
      <c r="AI160" s="181" t="str">
        <f t="shared" ca="1" si="59"/>
        <v/>
      </c>
      <c r="AJ160" s="181" t="str">
        <f t="shared" ca="1" si="60"/>
        <v/>
      </c>
      <c r="AK160" s="181" t="str">
        <f t="shared" ca="1" si="61"/>
        <v/>
      </c>
      <c r="AL160" s="181" t="str">
        <f t="shared" ca="1" si="62"/>
        <v/>
      </c>
      <c r="AM160" s="181" t="str">
        <f t="shared" ca="1" si="63"/>
        <v/>
      </c>
      <c r="AN160" s="181" t="str">
        <f t="shared" ca="1" si="64"/>
        <v/>
      </c>
      <c r="AO160" s="181" t="str">
        <f t="shared" ca="1" si="65"/>
        <v/>
      </c>
      <c r="AP160" s="181" t="str">
        <f t="shared" ca="1" si="66"/>
        <v/>
      </c>
      <c r="AU160" s="181" t="str">
        <f t="shared" ca="1" si="67"/>
        <v/>
      </c>
    </row>
    <row r="161" spans="1:47" ht="22.2" customHeight="1">
      <c r="A161" s="108">
        <f t="shared" si="71"/>
        <v>47</v>
      </c>
      <c r="B161" s="107" t="str">
        <f t="shared" ca="1" si="68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07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VLOOKUP("*"&amp;D161&amp;"*",商品マスタ一覧!D:H,5,FALSE)),"")</f>
        <v/>
      </c>
      <c r="O161" s="107">
        <f t="shared" ca="1" si="70"/>
        <v>0</v>
      </c>
      <c r="P161" s="107">
        <f t="shared" si="49"/>
        <v>0</v>
      </c>
      <c r="Q161" s="107" t="b">
        <f t="shared" si="50"/>
        <v>0</v>
      </c>
      <c r="R161" s="181" t="str">
        <f t="array" aca="1" ref="R161" ca="1">IFERROR(SMALL(IF(P$1:P$311&lt;&gt;0,P$1:P$311),ROW(A161)),"")</f>
        <v/>
      </c>
      <c r="S161" s="181" t="str">
        <f t="array" aca="1" ref="S161" ca="1">IF($R161&lt;&gt;"",
SUBSTITUTE(SUBSTITUTE(INDIRECT("C"&amp;$R161&amp;"")," 週3ｺｰｽ","")," 週5ｺｰｽ",""),"")</f>
        <v/>
      </c>
      <c r="T161" s="18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81" t="str">
        <f t="array" aca="1" ref="V161" ca="1">IF($R161&lt;&gt;"",
INDIRECT("G"&amp;$R161&amp;""),"")</f>
        <v/>
      </c>
      <c r="W161" s="181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8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8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81" t="str">
        <f t="shared" ca="1" si="51"/>
        <v/>
      </c>
      <c r="AA161" s="181" t="str">
        <f t="shared" ca="1" si="52"/>
        <v/>
      </c>
      <c r="AB161" s="181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81" t="str">
        <f t="shared" ca="1" si="53"/>
        <v/>
      </c>
      <c r="AD161" s="181" t="str">
        <f t="shared" ca="1" si="54"/>
        <v/>
      </c>
      <c r="AE161" s="181" t="str">
        <f t="shared" ca="1" si="55"/>
        <v/>
      </c>
      <c r="AF161" s="181" t="str">
        <f t="shared" ca="1" si="56"/>
        <v/>
      </c>
      <c r="AG161" s="181" t="str">
        <f t="shared" ca="1" si="57"/>
        <v/>
      </c>
      <c r="AH161" s="185" t="str">
        <f t="shared" ca="1" si="58"/>
        <v/>
      </c>
      <c r="AI161" s="181" t="str">
        <f t="shared" ca="1" si="59"/>
        <v/>
      </c>
      <c r="AJ161" s="181" t="str">
        <f t="shared" ca="1" si="60"/>
        <v/>
      </c>
      <c r="AK161" s="181" t="str">
        <f t="shared" ca="1" si="61"/>
        <v/>
      </c>
      <c r="AL161" s="181" t="str">
        <f t="shared" ca="1" si="62"/>
        <v/>
      </c>
      <c r="AM161" s="181" t="str">
        <f t="shared" ca="1" si="63"/>
        <v/>
      </c>
      <c r="AN161" s="181" t="str">
        <f t="shared" ca="1" si="64"/>
        <v/>
      </c>
      <c r="AO161" s="181" t="str">
        <f t="shared" ca="1" si="65"/>
        <v/>
      </c>
      <c r="AP161" s="181" t="str">
        <f t="shared" ca="1" si="66"/>
        <v/>
      </c>
      <c r="AU161" s="181" t="str">
        <f t="shared" ca="1" si="67"/>
        <v/>
      </c>
    </row>
    <row r="162" spans="1:47" ht="22.2" customHeight="1">
      <c r="A162" s="108">
        <f t="shared" si="71"/>
        <v>49</v>
      </c>
      <c r="B162" s="107" t="str">
        <f t="shared" ca="1" si="68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07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VLOOKUP("*"&amp;D162&amp;"*",商品マスタ一覧!D:H,5,FALSE)),"")</f>
        <v/>
      </c>
      <c r="O162" s="107">
        <f t="shared" ca="1" si="70"/>
        <v>0</v>
      </c>
      <c r="P162" s="107">
        <f t="shared" si="49"/>
        <v>0</v>
      </c>
      <c r="Q162" s="107" t="b">
        <f t="shared" si="50"/>
        <v>0</v>
      </c>
      <c r="R162" s="181" t="str">
        <f t="array" aca="1" ref="R162" ca="1">IFERROR(SMALL(IF(P$1:P$311&lt;&gt;0,P$1:P$311),ROW(A162)),"")</f>
        <v/>
      </c>
      <c r="S162" s="181" t="str">
        <f t="array" aca="1" ref="S162" ca="1">IF($R162&lt;&gt;"",
SUBSTITUTE(SUBSTITUTE(INDIRECT("C"&amp;$R162&amp;"")," 週3ｺｰｽ","")," 週5ｺｰｽ",""),"")</f>
        <v/>
      </c>
      <c r="T162" s="18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81" t="str">
        <f t="array" aca="1" ref="V162" ca="1">IF($R162&lt;&gt;"",
INDIRECT("G"&amp;$R162&amp;""),"")</f>
        <v/>
      </c>
      <c r="W162" s="181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8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8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81" t="str">
        <f t="shared" ca="1" si="51"/>
        <v/>
      </c>
      <c r="AA162" s="181" t="str">
        <f t="shared" ca="1" si="52"/>
        <v/>
      </c>
      <c r="AB162" s="181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81" t="str">
        <f t="shared" ca="1" si="53"/>
        <v/>
      </c>
      <c r="AD162" s="181" t="str">
        <f t="shared" ca="1" si="54"/>
        <v/>
      </c>
      <c r="AE162" s="181" t="str">
        <f t="shared" ca="1" si="55"/>
        <v/>
      </c>
      <c r="AF162" s="181" t="str">
        <f t="shared" ca="1" si="56"/>
        <v/>
      </c>
      <c r="AG162" s="181" t="str">
        <f t="shared" ca="1" si="57"/>
        <v/>
      </c>
      <c r="AH162" s="185" t="str">
        <f t="shared" ca="1" si="58"/>
        <v/>
      </c>
      <c r="AI162" s="181" t="str">
        <f t="shared" ca="1" si="59"/>
        <v/>
      </c>
      <c r="AJ162" s="181" t="str">
        <f t="shared" ca="1" si="60"/>
        <v/>
      </c>
      <c r="AK162" s="181" t="str">
        <f t="shared" ca="1" si="61"/>
        <v/>
      </c>
      <c r="AL162" s="181" t="str">
        <f t="shared" ca="1" si="62"/>
        <v/>
      </c>
      <c r="AM162" s="181" t="str">
        <f t="shared" ca="1" si="63"/>
        <v/>
      </c>
      <c r="AN162" s="181" t="str">
        <f t="shared" ca="1" si="64"/>
        <v/>
      </c>
      <c r="AO162" s="181" t="str">
        <f t="shared" ca="1" si="65"/>
        <v/>
      </c>
      <c r="AP162" s="181" t="str">
        <f t="shared" ca="1" si="66"/>
        <v/>
      </c>
      <c r="AU162" s="181" t="str">
        <f t="shared" ca="1" si="67"/>
        <v/>
      </c>
    </row>
    <row r="163" spans="1:47" ht="22.2" customHeight="1">
      <c r="A163" s="108">
        <f t="shared" si="71"/>
        <v>51</v>
      </c>
      <c r="B163" s="107" t="str">
        <f t="shared" ca="1" si="68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07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VLOOKUP("*"&amp;D163&amp;"*",商品マスタ一覧!D:H,5,FALSE)),"")</f>
        <v/>
      </c>
      <c r="O163" s="107">
        <f t="shared" ca="1" si="70"/>
        <v>0</v>
      </c>
      <c r="P163" s="107">
        <f t="shared" si="49"/>
        <v>0</v>
      </c>
      <c r="Q163" s="107" t="b">
        <f t="shared" si="50"/>
        <v>0</v>
      </c>
      <c r="R163" s="181" t="str">
        <f t="array" aca="1" ref="R163" ca="1">IFERROR(SMALL(IF(P$1:P$311&lt;&gt;0,P$1:P$311),ROW(A163)),"")</f>
        <v/>
      </c>
      <c r="S163" s="181" t="str">
        <f t="array" aca="1" ref="S163" ca="1">IF($R163&lt;&gt;"",
SUBSTITUTE(SUBSTITUTE(INDIRECT("C"&amp;$R163&amp;"")," 週3ｺｰｽ","")," 週5ｺｰｽ",""),"")</f>
        <v/>
      </c>
      <c r="T163" s="18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81" t="str">
        <f t="array" aca="1" ref="V163" ca="1">IF($R163&lt;&gt;"",
INDIRECT("G"&amp;$R163&amp;""),"")</f>
        <v/>
      </c>
      <c r="W163" s="181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8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8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81" t="str">
        <f t="shared" ca="1" si="51"/>
        <v/>
      </c>
      <c r="AA163" s="181" t="str">
        <f t="shared" ca="1" si="52"/>
        <v/>
      </c>
      <c r="AB163" s="181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81" t="str">
        <f t="shared" ca="1" si="53"/>
        <v/>
      </c>
      <c r="AD163" s="181" t="str">
        <f t="shared" ca="1" si="54"/>
        <v/>
      </c>
      <c r="AE163" s="181" t="str">
        <f t="shared" ca="1" si="55"/>
        <v/>
      </c>
      <c r="AF163" s="181" t="str">
        <f t="shared" ca="1" si="56"/>
        <v/>
      </c>
      <c r="AG163" s="181" t="str">
        <f t="shared" ca="1" si="57"/>
        <v/>
      </c>
      <c r="AH163" s="185" t="str">
        <f t="shared" ca="1" si="58"/>
        <v/>
      </c>
      <c r="AI163" s="181" t="str">
        <f t="shared" ca="1" si="59"/>
        <v/>
      </c>
      <c r="AJ163" s="181" t="str">
        <f t="shared" ca="1" si="60"/>
        <v/>
      </c>
      <c r="AK163" s="181" t="str">
        <f t="shared" ca="1" si="61"/>
        <v/>
      </c>
      <c r="AL163" s="181" t="str">
        <f t="shared" ca="1" si="62"/>
        <v/>
      </c>
      <c r="AM163" s="181" t="str">
        <f t="shared" ca="1" si="63"/>
        <v/>
      </c>
      <c r="AN163" s="181" t="str">
        <f t="shared" ca="1" si="64"/>
        <v/>
      </c>
      <c r="AO163" s="181" t="str">
        <f t="shared" ca="1" si="65"/>
        <v/>
      </c>
      <c r="AP163" s="181" t="str">
        <f t="shared" ca="1" si="66"/>
        <v/>
      </c>
      <c r="AU163" s="181" t="str">
        <f t="shared" ca="1" si="67"/>
        <v/>
      </c>
    </row>
    <row r="164" spans="1:47" ht="22.2" customHeight="1">
      <c r="A164" s="108">
        <f t="shared" si="71"/>
        <v>53</v>
      </c>
      <c r="B164" s="107" t="str">
        <f t="shared" ca="1" si="68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07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VLOOKUP("*"&amp;D164&amp;"*",商品マスタ一覧!D:H,5,FALSE)),"")</f>
        <v/>
      </c>
      <c r="O164" s="107">
        <f t="shared" ca="1" si="70"/>
        <v>0</v>
      </c>
      <c r="P164" s="107">
        <f t="shared" si="49"/>
        <v>0</v>
      </c>
      <c r="Q164" s="107" t="b">
        <f t="shared" si="50"/>
        <v>0</v>
      </c>
      <c r="R164" s="181" t="str">
        <f t="array" aca="1" ref="R164" ca="1">IFERROR(SMALL(IF(P$1:P$311&lt;&gt;0,P$1:P$311),ROW(A164)),"")</f>
        <v/>
      </c>
      <c r="S164" s="181" t="str">
        <f t="array" aca="1" ref="S164" ca="1">IF($R164&lt;&gt;"",
SUBSTITUTE(SUBSTITUTE(INDIRECT("C"&amp;$R164&amp;"")," 週3ｺｰｽ","")," 週5ｺｰｽ",""),"")</f>
        <v/>
      </c>
      <c r="T164" s="18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81" t="str">
        <f t="array" aca="1" ref="V164" ca="1">IF($R164&lt;&gt;"",
INDIRECT("G"&amp;$R164&amp;""),"")</f>
        <v/>
      </c>
      <c r="W164" s="181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8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8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81" t="str">
        <f t="shared" ca="1" si="51"/>
        <v/>
      </c>
      <c r="AA164" s="181" t="str">
        <f t="shared" ca="1" si="52"/>
        <v/>
      </c>
      <c r="AB164" s="181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81" t="str">
        <f t="shared" ca="1" si="53"/>
        <v/>
      </c>
      <c r="AD164" s="181" t="str">
        <f t="shared" ca="1" si="54"/>
        <v/>
      </c>
      <c r="AE164" s="181" t="str">
        <f t="shared" ca="1" si="55"/>
        <v/>
      </c>
      <c r="AF164" s="181" t="str">
        <f t="shared" ca="1" si="56"/>
        <v/>
      </c>
      <c r="AG164" s="181" t="str">
        <f t="shared" ca="1" si="57"/>
        <v/>
      </c>
      <c r="AH164" s="185" t="str">
        <f t="shared" ca="1" si="58"/>
        <v/>
      </c>
      <c r="AI164" s="181" t="str">
        <f t="shared" ca="1" si="59"/>
        <v/>
      </c>
      <c r="AJ164" s="181" t="str">
        <f t="shared" ca="1" si="60"/>
        <v/>
      </c>
      <c r="AK164" s="181" t="str">
        <f t="shared" ca="1" si="61"/>
        <v/>
      </c>
      <c r="AL164" s="181" t="str">
        <f t="shared" ca="1" si="62"/>
        <v/>
      </c>
      <c r="AM164" s="181" t="str">
        <f t="shared" ca="1" si="63"/>
        <v/>
      </c>
      <c r="AN164" s="181" t="str">
        <f t="shared" ca="1" si="64"/>
        <v/>
      </c>
      <c r="AO164" s="181" t="str">
        <f t="shared" ca="1" si="65"/>
        <v/>
      </c>
      <c r="AP164" s="181" t="str">
        <f t="shared" ca="1" si="66"/>
        <v/>
      </c>
      <c r="AU164" s="181" t="str">
        <f t="shared" ca="1" si="67"/>
        <v/>
      </c>
    </row>
    <row r="165" spans="1:47" ht="22.2" customHeight="1">
      <c r="A165" s="108">
        <f t="shared" si="71"/>
        <v>55</v>
      </c>
      <c r="B165" s="107" t="str">
        <f t="shared" ca="1" si="68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07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VLOOKUP("*"&amp;D165&amp;"*",商品マスタ一覧!D:H,5,FALSE)),"")</f>
        <v/>
      </c>
      <c r="O165" s="107">
        <f t="shared" ca="1" si="70"/>
        <v>0</v>
      </c>
      <c r="P165" s="107">
        <f t="shared" si="49"/>
        <v>0</v>
      </c>
      <c r="Q165" s="107" t="b">
        <f t="shared" si="50"/>
        <v>0</v>
      </c>
      <c r="R165" s="181" t="str">
        <f t="array" aca="1" ref="R165" ca="1">IFERROR(SMALL(IF(P$1:P$311&lt;&gt;0,P$1:P$311),ROW(A165)),"")</f>
        <v/>
      </c>
      <c r="S165" s="181" t="str">
        <f t="array" aca="1" ref="S165" ca="1">IF($R165&lt;&gt;"",
SUBSTITUTE(SUBSTITUTE(INDIRECT("C"&amp;$R165&amp;"")," 週3ｺｰｽ","")," 週5ｺｰｽ",""),"")</f>
        <v/>
      </c>
      <c r="T165" s="18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81" t="str">
        <f t="array" aca="1" ref="V165" ca="1">IF($R165&lt;&gt;"",
INDIRECT("G"&amp;$R165&amp;""),"")</f>
        <v/>
      </c>
      <c r="W165" s="181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8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8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81" t="str">
        <f t="shared" ca="1" si="51"/>
        <v/>
      </c>
      <c r="AA165" s="181" t="str">
        <f t="shared" ca="1" si="52"/>
        <v/>
      </c>
      <c r="AB165" s="181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81" t="str">
        <f t="shared" ca="1" si="53"/>
        <v/>
      </c>
      <c r="AD165" s="181" t="str">
        <f t="shared" ca="1" si="54"/>
        <v/>
      </c>
      <c r="AE165" s="181" t="str">
        <f t="shared" ca="1" si="55"/>
        <v/>
      </c>
      <c r="AF165" s="181" t="str">
        <f t="shared" ca="1" si="56"/>
        <v/>
      </c>
      <c r="AG165" s="181" t="str">
        <f t="shared" ca="1" si="57"/>
        <v/>
      </c>
      <c r="AH165" s="185" t="str">
        <f t="shared" ca="1" si="58"/>
        <v/>
      </c>
      <c r="AI165" s="181" t="str">
        <f t="shared" ca="1" si="59"/>
        <v/>
      </c>
      <c r="AJ165" s="181" t="str">
        <f t="shared" ca="1" si="60"/>
        <v/>
      </c>
      <c r="AK165" s="181" t="str">
        <f t="shared" ca="1" si="61"/>
        <v/>
      </c>
      <c r="AL165" s="181" t="str">
        <f t="shared" ca="1" si="62"/>
        <v/>
      </c>
      <c r="AM165" s="181" t="str">
        <f t="shared" ca="1" si="63"/>
        <v/>
      </c>
      <c r="AN165" s="181" t="str">
        <f t="shared" ca="1" si="64"/>
        <v/>
      </c>
      <c r="AO165" s="181" t="str">
        <f t="shared" ca="1" si="65"/>
        <v/>
      </c>
      <c r="AP165" s="181" t="str">
        <f t="shared" ca="1" si="66"/>
        <v/>
      </c>
      <c r="AU165" s="181" t="str">
        <f t="shared" ca="1" si="67"/>
        <v/>
      </c>
    </row>
    <row r="166" spans="1:47" ht="22.2" customHeight="1">
      <c r="A166" s="108">
        <f t="shared" si="71"/>
        <v>57</v>
      </c>
      <c r="B166" s="107" t="str">
        <f t="shared" ca="1" si="68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07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VLOOKUP("*"&amp;D166&amp;"*",商品マスタ一覧!D:H,5,FALSE)),"")</f>
        <v/>
      </c>
      <c r="O166" s="107">
        <f t="shared" ca="1" si="70"/>
        <v>0</v>
      </c>
      <c r="P166" s="107">
        <f t="shared" si="49"/>
        <v>0</v>
      </c>
      <c r="Q166" s="107" t="b">
        <f t="shared" si="50"/>
        <v>0</v>
      </c>
      <c r="R166" s="181" t="str">
        <f t="array" aca="1" ref="R166" ca="1">IFERROR(SMALL(IF(P$1:P$311&lt;&gt;0,P$1:P$311),ROW(A166)),"")</f>
        <v/>
      </c>
      <c r="S166" s="181" t="str">
        <f t="array" aca="1" ref="S166" ca="1">IF($R166&lt;&gt;"",
SUBSTITUTE(SUBSTITUTE(INDIRECT("C"&amp;$R166&amp;"")," 週3ｺｰｽ","")," 週5ｺｰｽ",""),"")</f>
        <v/>
      </c>
      <c r="T166" s="18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81" t="str">
        <f t="array" aca="1" ref="V166" ca="1">IF($R166&lt;&gt;"",
INDIRECT("G"&amp;$R166&amp;""),"")</f>
        <v/>
      </c>
      <c r="W166" s="181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8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8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81" t="str">
        <f t="shared" ca="1" si="51"/>
        <v/>
      </c>
      <c r="AA166" s="181" t="str">
        <f t="shared" ca="1" si="52"/>
        <v/>
      </c>
      <c r="AB166" s="181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81" t="str">
        <f t="shared" ca="1" si="53"/>
        <v/>
      </c>
      <c r="AD166" s="181" t="str">
        <f t="shared" ca="1" si="54"/>
        <v/>
      </c>
      <c r="AE166" s="181" t="str">
        <f t="shared" ca="1" si="55"/>
        <v/>
      </c>
      <c r="AF166" s="181" t="str">
        <f t="shared" ca="1" si="56"/>
        <v/>
      </c>
      <c r="AG166" s="181" t="str">
        <f t="shared" ca="1" si="57"/>
        <v/>
      </c>
      <c r="AH166" s="185" t="str">
        <f t="shared" ca="1" si="58"/>
        <v/>
      </c>
      <c r="AI166" s="181" t="str">
        <f t="shared" ca="1" si="59"/>
        <v/>
      </c>
      <c r="AJ166" s="181" t="str">
        <f t="shared" ca="1" si="60"/>
        <v/>
      </c>
      <c r="AK166" s="181" t="str">
        <f t="shared" ca="1" si="61"/>
        <v/>
      </c>
      <c r="AL166" s="181" t="str">
        <f t="shared" ca="1" si="62"/>
        <v/>
      </c>
      <c r="AM166" s="181" t="str">
        <f t="shared" ca="1" si="63"/>
        <v/>
      </c>
      <c r="AN166" s="181" t="str">
        <f t="shared" ca="1" si="64"/>
        <v/>
      </c>
      <c r="AO166" s="181" t="str">
        <f t="shared" ca="1" si="65"/>
        <v/>
      </c>
      <c r="AP166" s="181" t="str">
        <f t="shared" ca="1" si="66"/>
        <v/>
      </c>
      <c r="AU166" s="181" t="str">
        <f t="shared" ca="1" si="67"/>
        <v/>
      </c>
    </row>
    <row r="167" spans="1:47" ht="22.2" customHeight="1">
      <c r="A167" s="108">
        <f t="shared" si="71"/>
        <v>59</v>
      </c>
      <c r="B167" s="107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07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VLOOKUP("*"&amp;D167&amp;"*",商品マスタ一覧!D:H,5,FALSE)),"")</f>
        <v/>
      </c>
      <c r="O167" s="107">
        <f t="shared" ca="1" si="70"/>
        <v>0</v>
      </c>
      <c r="P167" s="107">
        <f t="shared" si="49"/>
        <v>0</v>
      </c>
      <c r="Q167" s="107" t="b">
        <f t="shared" si="50"/>
        <v>0</v>
      </c>
      <c r="R167" s="181" t="str">
        <f t="array" aca="1" ref="R167" ca="1">IFERROR(SMALL(IF(P$1:P$311&lt;&gt;0,P$1:P$311),ROW(A167)),"")</f>
        <v/>
      </c>
      <c r="S167" s="181" t="str">
        <f t="array" aca="1" ref="S167" ca="1">IF($R167&lt;&gt;"",
SUBSTITUTE(SUBSTITUTE(INDIRECT("C"&amp;$R167&amp;"")," 週3ｺｰｽ","")," 週5ｺｰｽ",""),"")</f>
        <v/>
      </c>
      <c r="T167" s="18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81" t="str">
        <f t="array" aca="1" ref="V167" ca="1">IF($R167&lt;&gt;"",
INDIRECT("G"&amp;$R167&amp;""),"")</f>
        <v/>
      </c>
      <c r="W167" s="181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8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8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81" t="str">
        <f t="shared" ca="1" si="51"/>
        <v/>
      </c>
      <c r="AA167" s="181" t="str">
        <f t="shared" ca="1" si="52"/>
        <v/>
      </c>
      <c r="AB167" s="181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81" t="str">
        <f t="shared" ca="1" si="53"/>
        <v/>
      </c>
      <c r="AD167" s="181" t="str">
        <f t="shared" ca="1" si="54"/>
        <v/>
      </c>
      <c r="AE167" s="181" t="str">
        <f t="shared" ca="1" si="55"/>
        <v/>
      </c>
      <c r="AF167" s="181" t="str">
        <f t="shared" ca="1" si="56"/>
        <v/>
      </c>
      <c r="AG167" s="181" t="str">
        <f t="shared" ca="1" si="57"/>
        <v/>
      </c>
      <c r="AH167" s="185" t="str">
        <f t="shared" ca="1" si="58"/>
        <v/>
      </c>
      <c r="AI167" s="181" t="str">
        <f t="shared" ca="1" si="59"/>
        <v/>
      </c>
      <c r="AJ167" s="181" t="str">
        <f t="shared" ca="1" si="60"/>
        <v/>
      </c>
      <c r="AK167" s="181" t="str">
        <f t="shared" ca="1" si="61"/>
        <v/>
      </c>
      <c r="AL167" s="181" t="str">
        <f t="shared" ca="1" si="62"/>
        <v/>
      </c>
      <c r="AM167" s="181" t="str">
        <f t="shared" ca="1" si="63"/>
        <v/>
      </c>
      <c r="AN167" s="181" t="str">
        <f t="shared" ca="1" si="64"/>
        <v/>
      </c>
      <c r="AO167" s="181" t="str">
        <f t="shared" ca="1" si="65"/>
        <v/>
      </c>
      <c r="AP167" s="181" t="str">
        <f t="shared" ca="1" si="66"/>
        <v/>
      </c>
      <c r="AU167" s="181" t="str">
        <f t="shared" ca="1" si="67"/>
        <v/>
      </c>
    </row>
    <row r="168" spans="1:47" ht="22.2" customHeight="1">
      <c r="A168" s="108">
        <f t="shared" si="71"/>
        <v>61</v>
      </c>
      <c r="B168" s="107" t="str">
        <f t="shared" ca="1" si="72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07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VLOOKUP("*"&amp;D168&amp;"*",商品マスタ一覧!D:H,5,FALSE)),"")</f>
        <v/>
      </c>
      <c r="O168" s="107">
        <f t="shared" ca="1" si="70"/>
        <v>0</v>
      </c>
      <c r="P168" s="107">
        <f t="shared" si="49"/>
        <v>0</v>
      </c>
      <c r="Q168" s="107" t="b">
        <f t="shared" si="50"/>
        <v>0</v>
      </c>
      <c r="R168" s="181" t="str">
        <f t="array" aca="1" ref="R168" ca="1">IFERROR(SMALL(IF(P$1:P$311&lt;&gt;0,P$1:P$311),ROW(A168)),"")</f>
        <v/>
      </c>
      <c r="S168" s="181" t="str">
        <f t="array" aca="1" ref="S168" ca="1">IF($R168&lt;&gt;"",
SUBSTITUTE(SUBSTITUTE(INDIRECT("C"&amp;$R168&amp;"")," 週3ｺｰｽ","")," 週5ｺｰｽ",""),"")</f>
        <v/>
      </c>
      <c r="T168" s="18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81" t="str">
        <f t="array" aca="1" ref="V168" ca="1">IF($R168&lt;&gt;"",
INDIRECT("G"&amp;$R168&amp;""),"")</f>
        <v/>
      </c>
      <c r="W168" s="181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8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8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81" t="str">
        <f t="shared" ca="1" si="51"/>
        <v/>
      </c>
      <c r="AA168" s="181" t="str">
        <f t="shared" ca="1" si="52"/>
        <v/>
      </c>
      <c r="AB168" s="181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81" t="str">
        <f t="shared" ca="1" si="53"/>
        <v/>
      </c>
      <c r="AD168" s="181" t="str">
        <f t="shared" ca="1" si="54"/>
        <v/>
      </c>
      <c r="AE168" s="181" t="str">
        <f t="shared" ca="1" si="55"/>
        <v/>
      </c>
      <c r="AF168" s="181" t="str">
        <f t="shared" ca="1" si="56"/>
        <v/>
      </c>
      <c r="AG168" s="181" t="str">
        <f t="shared" ca="1" si="57"/>
        <v/>
      </c>
      <c r="AH168" s="185" t="str">
        <f t="shared" ca="1" si="58"/>
        <v/>
      </c>
      <c r="AI168" s="181" t="str">
        <f t="shared" ca="1" si="59"/>
        <v/>
      </c>
      <c r="AJ168" s="181" t="str">
        <f t="shared" ca="1" si="60"/>
        <v/>
      </c>
      <c r="AK168" s="181" t="str">
        <f t="shared" ca="1" si="61"/>
        <v/>
      </c>
      <c r="AL168" s="181" t="str">
        <f t="shared" ca="1" si="62"/>
        <v/>
      </c>
      <c r="AM168" s="181" t="str">
        <f t="shared" ca="1" si="63"/>
        <v/>
      </c>
      <c r="AN168" s="181" t="str">
        <f t="shared" ca="1" si="64"/>
        <v/>
      </c>
      <c r="AO168" s="181" t="str">
        <f t="shared" ca="1" si="65"/>
        <v/>
      </c>
      <c r="AP168" s="181" t="str">
        <f t="shared" ca="1" si="66"/>
        <v/>
      </c>
      <c r="AU168" s="181" t="str">
        <f t="shared" ca="1" si="67"/>
        <v/>
      </c>
    </row>
    <row r="169" spans="1:47" ht="22.2" customHeight="1">
      <c r="A169" s="108">
        <f t="shared" si="71"/>
        <v>63</v>
      </c>
      <c r="B169" s="107" t="str">
        <f t="shared" ca="1" si="72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07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VLOOKUP("*"&amp;D169&amp;"*",商品マスタ一覧!D:H,5,FALSE)),"")</f>
        <v/>
      </c>
      <c r="O169" s="107">
        <f t="shared" ca="1" si="70"/>
        <v>0</v>
      </c>
      <c r="P169" s="107">
        <f t="shared" si="49"/>
        <v>0</v>
      </c>
      <c r="Q169" s="107" t="b">
        <f t="shared" si="50"/>
        <v>0</v>
      </c>
      <c r="R169" s="181" t="str">
        <f t="array" aca="1" ref="R169" ca="1">IFERROR(SMALL(IF(P$1:P$311&lt;&gt;0,P$1:P$311),ROW(A169)),"")</f>
        <v/>
      </c>
      <c r="S169" s="181" t="str">
        <f t="array" aca="1" ref="S169" ca="1">IF($R169&lt;&gt;"",
SUBSTITUTE(SUBSTITUTE(INDIRECT("C"&amp;$R169&amp;"")," 週3ｺｰｽ","")," 週5ｺｰｽ",""),"")</f>
        <v/>
      </c>
      <c r="T169" s="18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81" t="str">
        <f t="array" aca="1" ref="V169" ca="1">IF($R169&lt;&gt;"",
INDIRECT("G"&amp;$R169&amp;""),"")</f>
        <v/>
      </c>
      <c r="W169" s="181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8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8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81" t="str">
        <f t="shared" ca="1" si="51"/>
        <v/>
      </c>
      <c r="AA169" s="181" t="str">
        <f t="shared" ca="1" si="52"/>
        <v/>
      </c>
      <c r="AB169" s="181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81" t="str">
        <f t="shared" ca="1" si="53"/>
        <v/>
      </c>
      <c r="AD169" s="181" t="str">
        <f t="shared" ca="1" si="54"/>
        <v/>
      </c>
      <c r="AE169" s="181" t="str">
        <f t="shared" ca="1" si="55"/>
        <v/>
      </c>
      <c r="AF169" s="181" t="str">
        <f t="shared" ca="1" si="56"/>
        <v/>
      </c>
      <c r="AG169" s="181" t="str">
        <f t="shared" ca="1" si="57"/>
        <v/>
      </c>
      <c r="AH169" s="185" t="str">
        <f t="shared" ca="1" si="58"/>
        <v/>
      </c>
      <c r="AI169" s="181" t="str">
        <f t="shared" ca="1" si="59"/>
        <v/>
      </c>
      <c r="AJ169" s="181" t="str">
        <f t="shared" ca="1" si="60"/>
        <v/>
      </c>
      <c r="AK169" s="181" t="str">
        <f t="shared" ca="1" si="61"/>
        <v/>
      </c>
      <c r="AL169" s="181" t="str">
        <f t="shared" ca="1" si="62"/>
        <v/>
      </c>
      <c r="AM169" s="181" t="str">
        <f t="shared" ca="1" si="63"/>
        <v/>
      </c>
      <c r="AN169" s="181" t="str">
        <f t="shared" ca="1" si="64"/>
        <v/>
      </c>
      <c r="AO169" s="181" t="str">
        <f t="shared" ca="1" si="65"/>
        <v/>
      </c>
      <c r="AP169" s="181" t="str">
        <f t="shared" ca="1" si="66"/>
        <v/>
      </c>
      <c r="AU169" s="181" t="str">
        <f t="shared" ca="1" si="67"/>
        <v/>
      </c>
    </row>
    <row r="170" spans="1:47" ht="22.2" customHeight="1">
      <c r="A170" s="108">
        <f t="shared" si="71"/>
        <v>65</v>
      </c>
      <c r="B170" s="107" t="str">
        <f t="shared" ca="1" si="72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07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VLOOKUP("*"&amp;D170&amp;"*",商品マスタ一覧!D:H,5,FALSE)),"")</f>
        <v/>
      </c>
      <c r="O170" s="107">
        <f t="shared" ca="1" si="70"/>
        <v>0</v>
      </c>
      <c r="P170" s="107">
        <f t="shared" si="49"/>
        <v>0</v>
      </c>
      <c r="Q170" s="107" t="b">
        <f t="shared" si="50"/>
        <v>0</v>
      </c>
      <c r="R170" s="181" t="str">
        <f t="array" aca="1" ref="R170" ca="1">IFERROR(SMALL(IF(P$1:P$311&lt;&gt;0,P$1:P$311),ROW(A170)),"")</f>
        <v/>
      </c>
      <c r="S170" s="181" t="str">
        <f t="array" aca="1" ref="S170" ca="1">IF($R170&lt;&gt;"",
SUBSTITUTE(SUBSTITUTE(INDIRECT("C"&amp;$R170&amp;"")," 週3ｺｰｽ","")," 週5ｺｰｽ",""),"")</f>
        <v/>
      </c>
      <c r="T170" s="18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81" t="str">
        <f t="array" aca="1" ref="V170" ca="1">IF($R170&lt;&gt;"",
INDIRECT("G"&amp;$R170&amp;""),"")</f>
        <v/>
      </c>
      <c r="W170" s="181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8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8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81" t="str">
        <f t="shared" ca="1" si="51"/>
        <v/>
      </c>
      <c r="AA170" s="181" t="str">
        <f t="shared" ca="1" si="52"/>
        <v/>
      </c>
      <c r="AB170" s="181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81" t="str">
        <f t="shared" ca="1" si="53"/>
        <v/>
      </c>
      <c r="AD170" s="181" t="str">
        <f t="shared" ca="1" si="54"/>
        <v/>
      </c>
      <c r="AE170" s="181" t="str">
        <f t="shared" ca="1" si="55"/>
        <v/>
      </c>
      <c r="AF170" s="181" t="str">
        <f t="shared" ca="1" si="56"/>
        <v/>
      </c>
      <c r="AG170" s="181" t="str">
        <f t="shared" ca="1" si="57"/>
        <v/>
      </c>
      <c r="AH170" s="185" t="str">
        <f t="shared" ca="1" si="58"/>
        <v/>
      </c>
      <c r="AI170" s="181" t="str">
        <f t="shared" ca="1" si="59"/>
        <v/>
      </c>
      <c r="AJ170" s="181" t="str">
        <f t="shared" ca="1" si="60"/>
        <v/>
      </c>
      <c r="AK170" s="181" t="str">
        <f t="shared" ca="1" si="61"/>
        <v/>
      </c>
      <c r="AL170" s="181" t="str">
        <f t="shared" ca="1" si="62"/>
        <v/>
      </c>
      <c r="AM170" s="181" t="str">
        <f t="shared" ca="1" si="63"/>
        <v/>
      </c>
      <c r="AN170" s="181" t="str">
        <f t="shared" ca="1" si="64"/>
        <v/>
      </c>
      <c r="AO170" s="181" t="str">
        <f t="shared" ca="1" si="65"/>
        <v/>
      </c>
      <c r="AP170" s="181" t="str">
        <f t="shared" ca="1" si="66"/>
        <v/>
      </c>
      <c r="AU170" s="181" t="str">
        <f t="shared" ca="1" si="67"/>
        <v/>
      </c>
    </row>
    <row r="171" spans="1:47" ht="22.2" customHeight="1">
      <c r="A171" s="108">
        <f t="shared" si="71"/>
        <v>67</v>
      </c>
      <c r="B171" s="107" t="str">
        <f t="shared" ca="1" si="72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07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VLOOKUP("*"&amp;D171&amp;"*",商品マスタ一覧!D:H,5,FALSE)),"")</f>
        <v/>
      </c>
      <c r="O171" s="107">
        <f t="shared" ca="1" si="70"/>
        <v>0</v>
      </c>
      <c r="P171" s="107">
        <f t="shared" si="49"/>
        <v>0</v>
      </c>
      <c r="Q171" s="107" t="b">
        <f t="shared" si="50"/>
        <v>0</v>
      </c>
      <c r="R171" s="181" t="str">
        <f t="array" aca="1" ref="R171" ca="1">IFERROR(SMALL(IF(P$1:P$311&lt;&gt;0,P$1:P$311),ROW(A171)),"")</f>
        <v/>
      </c>
      <c r="S171" s="181" t="str">
        <f t="array" aca="1" ref="S171" ca="1">IF($R171&lt;&gt;"",
SUBSTITUTE(SUBSTITUTE(INDIRECT("C"&amp;$R171&amp;"")," 週3ｺｰｽ","")," 週5ｺｰｽ",""),"")</f>
        <v/>
      </c>
      <c r="T171" s="18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81" t="str">
        <f t="array" aca="1" ref="V171" ca="1">IF($R171&lt;&gt;"",
INDIRECT("G"&amp;$R171&amp;""),"")</f>
        <v/>
      </c>
      <c r="W171" s="181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8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8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81" t="str">
        <f t="shared" ca="1" si="51"/>
        <v/>
      </c>
      <c r="AA171" s="181" t="str">
        <f t="shared" ca="1" si="52"/>
        <v/>
      </c>
      <c r="AB171" s="181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81" t="str">
        <f t="shared" ca="1" si="53"/>
        <v/>
      </c>
      <c r="AD171" s="181" t="str">
        <f t="shared" ca="1" si="54"/>
        <v/>
      </c>
      <c r="AE171" s="181" t="str">
        <f t="shared" ca="1" si="55"/>
        <v/>
      </c>
      <c r="AF171" s="181" t="str">
        <f t="shared" ca="1" si="56"/>
        <v/>
      </c>
      <c r="AG171" s="181" t="str">
        <f t="shared" ca="1" si="57"/>
        <v/>
      </c>
      <c r="AH171" s="185" t="str">
        <f t="shared" ca="1" si="58"/>
        <v/>
      </c>
      <c r="AI171" s="181" t="str">
        <f t="shared" ca="1" si="59"/>
        <v/>
      </c>
      <c r="AJ171" s="181" t="str">
        <f t="shared" ca="1" si="60"/>
        <v/>
      </c>
      <c r="AK171" s="181" t="str">
        <f t="shared" ca="1" si="61"/>
        <v/>
      </c>
      <c r="AL171" s="181" t="str">
        <f t="shared" ca="1" si="62"/>
        <v/>
      </c>
      <c r="AM171" s="181" t="str">
        <f t="shared" ca="1" si="63"/>
        <v/>
      </c>
      <c r="AN171" s="181" t="str">
        <f t="shared" ca="1" si="64"/>
        <v/>
      </c>
      <c r="AO171" s="181" t="str">
        <f t="shared" ca="1" si="65"/>
        <v/>
      </c>
      <c r="AP171" s="181" t="str">
        <f t="shared" ca="1" si="66"/>
        <v/>
      </c>
      <c r="AU171" s="181" t="str">
        <f t="shared" ca="1" si="67"/>
        <v/>
      </c>
    </row>
    <row r="172" spans="1:47" ht="22.2" customHeight="1">
      <c r="A172" s="108">
        <f t="shared" si="71"/>
        <v>69</v>
      </c>
      <c r="B172" s="107" t="str">
        <f t="shared" ca="1" si="72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07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VLOOKUP("*"&amp;D172&amp;"*",商品マスタ一覧!D:H,5,FALSE)),"")</f>
        <v/>
      </c>
      <c r="O172" s="107">
        <f t="shared" ca="1" si="70"/>
        <v>0</v>
      </c>
      <c r="P172" s="107">
        <f t="shared" si="49"/>
        <v>0</v>
      </c>
      <c r="Q172" s="107" t="b">
        <f t="shared" si="50"/>
        <v>0</v>
      </c>
      <c r="R172" s="181" t="str">
        <f t="array" aca="1" ref="R172" ca="1">IFERROR(SMALL(IF(P$1:P$311&lt;&gt;0,P$1:P$311),ROW(A172)),"")</f>
        <v/>
      </c>
      <c r="S172" s="181" t="str">
        <f t="array" aca="1" ref="S172" ca="1">IF($R172&lt;&gt;"",
SUBSTITUTE(SUBSTITUTE(INDIRECT("C"&amp;$R172&amp;"")," 週3ｺｰｽ","")," 週5ｺｰｽ",""),"")</f>
        <v/>
      </c>
      <c r="T172" s="18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81" t="str">
        <f t="array" aca="1" ref="V172" ca="1">IF($R172&lt;&gt;"",
INDIRECT("G"&amp;$R172&amp;""),"")</f>
        <v/>
      </c>
      <c r="W172" s="181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8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8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81" t="str">
        <f t="shared" ca="1" si="51"/>
        <v/>
      </c>
      <c r="AA172" s="181" t="str">
        <f t="shared" ca="1" si="52"/>
        <v/>
      </c>
      <c r="AB172" s="181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81" t="str">
        <f t="shared" ca="1" si="53"/>
        <v/>
      </c>
      <c r="AD172" s="181" t="str">
        <f t="shared" ca="1" si="54"/>
        <v/>
      </c>
      <c r="AE172" s="181" t="str">
        <f t="shared" ca="1" si="55"/>
        <v/>
      </c>
      <c r="AF172" s="181" t="str">
        <f t="shared" ca="1" si="56"/>
        <v/>
      </c>
      <c r="AG172" s="181" t="str">
        <f t="shared" ca="1" si="57"/>
        <v/>
      </c>
      <c r="AH172" s="185" t="str">
        <f t="shared" ca="1" si="58"/>
        <v/>
      </c>
      <c r="AI172" s="181" t="str">
        <f t="shared" ca="1" si="59"/>
        <v/>
      </c>
      <c r="AJ172" s="181" t="str">
        <f t="shared" ca="1" si="60"/>
        <v/>
      </c>
      <c r="AK172" s="181" t="str">
        <f t="shared" ca="1" si="61"/>
        <v/>
      </c>
      <c r="AL172" s="181" t="str">
        <f t="shared" ca="1" si="62"/>
        <v/>
      </c>
      <c r="AM172" s="181" t="str">
        <f t="shared" ca="1" si="63"/>
        <v/>
      </c>
      <c r="AN172" s="181" t="str">
        <f t="shared" ca="1" si="64"/>
        <v/>
      </c>
      <c r="AO172" s="181" t="str">
        <f t="shared" ca="1" si="65"/>
        <v/>
      </c>
      <c r="AP172" s="181" t="str">
        <f t="shared" ca="1" si="66"/>
        <v/>
      </c>
      <c r="AU172" s="181" t="str">
        <f t="shared" ca="1" si="67"/>
        <v/>
      </c>
    </row>
    <row r="173" spans="1:47" ht="22.2" customHeight="1">
      <c r="A173" s="108">
        <f t="shared" si="71"/>
        <v>71</v>
      </c>
      <c r="B173" s="107" t="str">
        <f t="shared" ca="1" si="72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07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VLOOKUP("*"&amp;D173&amp;"*",商品マスタ一覧!D:H,5,FALSE)),"")</f>
        <v/>
      </c>
      <c r="O173" s="107">
        <f t="shared" ref="O173:O204" ca="1" si="73">O33</f>
        <v>0</v>
      </c>
      <c r="P173" s="107">
        <f t="shared" si="49"/>
        <v>0</v>
      </c>
      <c r="Q173" s="107" t="b">
        <f t="shared" si="50"/>
        <v>0</v>
      </c>
      <c r="R173" s="181" t="str">
        <f t="array" aca="1" ref="R173" ca="1">IFERROR(SMALL(IF(P$1:P$311&lt;&gt;0,P$1:P$311),ROW(A173)),"")</f>
        <v/>
      </c>
      <c r="S173" s="181" t="str">
        <f t="array" aca="1" ref="S173" ca="1">IF($R173&lt;&gt;"",
SUBSTITUTE(SUBSTITUTE(INDIRECT("C"&amp;$R173&amp;"")," 週3ｺｰｽ","")," 週5ｺｰｽ",""),"")</f>
        <v/>
      </c>
      <c r="T173" s="18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81" t="str">
        <f t="array" aca="1" ref="V173" ca="1">IF($R173&lt;&gt;"",
INDIRECT("G"&amp;$R173&amp;""),"")</f>
        <v/>
      </c>
      <c r="W173" s="181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8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8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81" t="str">
        <f t="shared" ca="1" si="51"/>
        <v/>
      </c>
      <c r="AA173" s="181" t="str">
        <f t="shared" ca="1" si="52"/>
        <v/>
      </c>
      <c r="AB173" s="181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81" t="str">
        <f t="shared" ca="1" si="53"/>
        <v/>
      </c>
      <c r="AD173" s="181" t="str">
        <f t="shared" ca="1" si="54"/>
        <v/>
      </c>
      <c r="AE173" s="181" t="str">
        <f t="shared" ca="1" si="55"/>
        <v/>
      </c>
      <c r="AF173" s="181" t="str">
        <f t="shared" ca="1" si="56"/>
        <v/>
      </c>
      <c r="AG173" s="181" t="str">
        <f t="shared" ca="1" si="57"/>
        <v/>
      </c>
      <c r="AH173" s="185" t="str">
        <f t="shared" ca="1" si="58"/>
        <v/>
      </c>
      <c r="AI173" s="181" t="str">
        <f t="shared" ca="1" si="59"/>
        <v/>
      </c>
      <c r="AJ173" s="181" t="str">
        <f t="shared" ca="1" si="60"/>
        <v/>
      </c>
      <c r="AK173" s="181" t="str">
        <f t="shared" ca="1" si="61"/>
        <v/>
      </c>
      <c r="AL173" s="181" t="str">
        <f t="shared" ca="1" si="62"/>
        <v/>
      </c>
      <c r="AM173" s="181" t="str">
        <f t="shared" ca="1" si="63"/>
        <v/>
      </c>
      <c r="AN173" s="181" t="str">
        <f t="shared" ca="1" si="64"/>
        <v/>
      </c>
      <c r="AO173" s="181" t="str">
        <f t="shared" ca="1" si="65"/>
        <v/>
      </c>
      <c r="AP173" s="181" t="str">
        <f t="shared" ca="1" si="66"/>
        <v/>
      </c>
      <c r="AU173" s="181" t="str">
        <f t="shared" ca="1" si="67"/>
        <v/>
      </c>
    </row>
    <row r="174" spans="1:47" ht="22.2" customHeight="1">
      <c r="A174" s="108">
        <f t="shared" ref="A174:A210" si="74">A173+2</f>
        <v>73</v>
      </c>
      <c r="B174" s="107" t="str">
        <f t="shared" ca="1" si="72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07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VLOOKUP("*"&amp;D174&amp;"*",商品マスタ一覧!D:H,5,FALSE)),"")</f>
        <v/>
      </c>
      <c r="O174" s="107">
        <f t="shared" ca="1" si="73"/>
        <v>0</v>
      </c>
      <c r="P174" s="107">
        <f t="shared" si="49"/>
        <v>0</v>
      </c>
      <c r="Q174" s="107" t="b">
        <f t="shared" si="50"/>
        <v>0</v>
      </c>
      <c r="R174" s="181" t="str">
        <f t="array" aca="1" ref="R174" ca="1">IFERROR(SMALL(IF(P$1:P$311&lt;&gt;0,P$1:P$311),ROW(A174)),"")</f>
        <v/>
      </c>
      <c r="S174" s="181" t="str">
        <f t="array" aca="1" ref="S174" ca="1">IF($R174&lt;&gt;"",
SUBSTITUTE(SUBSTITUTE(INDIRECT("C"&amp;$R174&amp;"")," 週3ｺｰｽ","")," 週5ｺｰｽ",""),"")</f>
        <v/>
      </c>
      <c r="T174" s="18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81" t="str">
        <f t="array" aca="1" ref="V174" ca="1">IF($R174&lt;&gt;"",
INDIRECT("G"&amp;$R174&amp;""),"")</f>
        <v/>
      </c>
      <c r="W174" s="181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8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8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81" t="str">
        <f t="shared" ca="1" si="51"/>
        <v/>
      </c>
      <c r="AA174" s="181" t="str">
        <f t="shared" ca="1" si="52"/>
        <v/>
      </c>
      <c r="AB174" s="181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81" t="str">
        <f t="shared" ca="1" si="53"/>
        <v/>
      </c>
      <c r="AD174" s="181" t="str">
        <f t="shared" ca="1" si="54"/>
        <v/>
      </c>
      <c r="AE174" s="181" t="str">
        <f t="shared" ca="1" si="55"/>
        <v/>
      </c>
      <c r="AF174" s="181" t="str">
        <f t="shared" ca="1" si="56"/>
        <v/>
      </c>
      <c r="AG174" s="181" t="str">
        <f t="shared" ca="1" si="57"/>
        <v/>
      </c>
      <c r="AH174" s="185" t="str">
        <f t="shared" ca="1" si="58"/>
        <v/>
      </c>
      <c r="AI174" s="181" t="str">
        <f t="shared" ca="1" si="59"/>
        <v/>
      </c>
      <c r="AJ174" s="181" t="str">
        <f t="shared" ca="1" si="60"/>
        <v/>
      </c>
      <c r="AK174" s="181" t="str">
        <f t="shared" ca="1" si="61"/>
        <v/>
      </c>
      <c r="AL174" s="181" t="str">
        <f t="shared" ca="1" si="62"/>
        <v/>
      </c>
      <c r="AM174" s="181" t="str">
        <f t="shared" ca="1" si="63"/>
        <v/>
      </c>
      <c r="AN174" s="181" t="str">
        <f t="shared" ca="1" si="64"/>
        <v/>
      </c>
      <c r="AO174" s="181" t="str">
        <f t="shared" ca="1" si="65"/>
        <v/>
      </c>
      <c r="AP174" s="181" t="str">
        <f t="shared" ca="1" si="66"/>
        <v/>
      </c>
      <c r="AU174" s="181" t="str">
        <f t="shared" ca="1" si="67"/>
        <v/>
      </c>
    </row>
    <row r="175" spans="1:47" ht="22.2" customHeight="1">
      <c r="A175" s="108">
        <f t="shared" si="74"/>
        <v>75</v>
      </c>
      <c r="B175" s="107" t="str">
        <f t="shared" ca="1" si="72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07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VLOOKUP("*"&amp;D175&amp;"*",商品マスタ一覧!D:H,5,FALSE)),"")</f>
        <v/>
      </c>
      <c r="O175" s="107">
        <f t="shared" ca="1" si="73"/>
        <v>0</v>
      </c>
      <c r="P175" s="107">
        <f t="shared" si="49"/>
        <v>0</v>
      </c>
      <c r="Q175" s="107" t="b">
        <f t="shared" si="50"/>
        <v>0</v>
      </c>
      <c r="R175" s="181" t="str">
        <f t="array" aca="1" ref="R175" ca="1">IFERROR(SMALL(IF(P$1:P$311&lt;&gt;0,P$1:P$311),ROW(A175)),"")</f>
        <v/>
      </c>
      <c r="S175" s="181" t="str">
        <f t="array" aca="1" ref="S175" ca="1">IF($R175&lt;&gt;"",
SUBSTITUTE(SUBSTITUTE(INDIRECT("C"&amp;$R175&amp;"")," 週3ｺｰｽ","")," 週5ｺｰｽ",""),"")</f>
        <v/>
      </c>
      <c r="T175" s="18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81" t="str">
        <f t="array" aca="1" ref="V175" ca="1">IF($R175&lt;&gt;"",
INDIRECT("G"&amp;$R175&amp;""),"")</f>
        <v/>
      </c>
      <c r="W175" s="181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8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8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81" t="str">
        <f t="shared" ca="1" si="51"/>
        <v/>
      </c>
      <c r="AA175" s="181" t="str">
        <f t="shared" ca="1" si="52"/>
        <v/>
      </c>
      <c r="AB175" s="181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81" t="str">
        <f t="shared" ca="1" si="53"/>
        <v/>
      </c>
      <c r="AD175" s="181" t="str">
        <f t="shared" ca="1" si="54"/>
        <v/>
      </c>
      <c r="AE175" s="181" t="str">
        <f t="shared" ca="1" si="55"/>
        <v/>
      </c>
      <c r="AF175" s="181" t="str">
        <f t="shared" ca="1" si="56"/>
        <v/>
      </c>
      <c r="AG175" s="181" t="str">
        <f t="shared" ca="1" si="57"/>
        <v/>
      </c>
      <c r="AH175" s="185" t="str">
        <f t="shared" ca="1" si="58"/>
        <v/>
      </c>
      <c r="AI175" s="181" t="str">
        <f t="shared" ca="1" si="59"/>
        <v/>
      </c>
      <c r="AJ175" s="181" t="str">
        <f t="shared" ca="1" si="60"/>
        <v/>
      </c>
      <c r="AK175" s="181" t="str">
        <f t="shared" ca="1" si="61"/>
        <v/>
      </c>
      <c r="AL175" s="181" t="str">
        <f t="shared" ca="1" si="62"/>
        <v/>
      </c>
      <c r="AM175" s="181" t="str">
        <f t="shared" ca="1" si="63"/>
        <v/>
      </c>
      <c r="AN175" s="181" t="str">
        <f t="shared" ca="1" si="64"/>
        <v/>
      </c>
      <c r="AO175" s="181" t="str">
        <f t="shared" ca="1" si="65"/>
        <v/>
      </c>
      <c r="AP175" s="181" t="str">
        <f t="shared" ca="1" si="66"/>
        <v/>
      </c>
      <c r="AU175" s="181" t="str">
        <f t="shared" ca="1" si="67"/>
        <v/>
      </c>
    </row>
    <row r="176" spans="1:47" ht="22.2" customHeight="1">
      <c r="A176" s="108">
        <f t="shared" si="74"/>
        <v>77</v>
      </c>
      <c r="B176" s="107" t="str">
        <f t="shared" ca="1" si="72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07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VLOOKUP("*"&amp;D176&amp;"*",商品マスタ一覧!D:H,5,FALSE)),"")</f>
        <v/>
      </c>
      <c r="O176" s="107">
        <f t="shared" ca="1" si="73"/>
        <v>0</v>
      </c>
      <c r="P176" s="107">
        <f t="shared" si="49"/>
        <v>0</v>
      </c>
      <c r="Q176" s="107" t="b">
        <f t="shared" si="50"/>
        <v>0</v>
      </c>
      <c r="R176" s="181" t="str">
        <f t="array" aca="1" ref="R176" ca="1">IFERROR(SMALL(IF(P$1:P$311&lt;&gt;0,P$1:P$311),ROW(A176)),"")</f>
        <v/>
      </c>
      <c r="S176" s="181" t="str">
        <f t="array" aca="1" ref="S176" ca="1">IF($R176&lt;&gt;"",
SUBSTITUTE(SUBSTITUTE(INDIRECT("C"&amp;$R176&amp;"")," 週3ｺｰｽ","")," 週5ｺｰｽ",""),"")</f>
        <v/>
      </c>
      <c r="T176" s="18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81" t="str">
        <f t="array" aca="1" ref="V176" ca="1">IF($R176&lt;&gt;"",
INDIRECT("G"&amp;$R176&amp;""),"")</f>
        <v/>
      </c>
      <c r="W176" s="181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8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8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81" t="str">
        <f t="shared" ca="1" si="51"/>
        <v/>
      </c>
      <c r="AA176" s="181" t="str">
        <f t="shared" ca="1" si="52"/>
        <v/>
      </c>
      <c r="AB176" s="181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81" t="str">
        <f t="shared" ca="1" si="53"/>
        <v/>
      </c>
      <c r="AD176" s="181" t="str">
        <f t="shared" ca="1" si="54"/>
        <v/>
      </c>
      <c r="AE176" s="181" t="str">
        <f t="shared" ca="1" si="55"/>
        <v/>
      </c>
      <c r="AF176" s="181" t="str">
        <f t="shared" ca="1" si="56"/>
        <v/>
      </c>
      <c r="AG176" s="181" t="str">
        <f t="shared" ca="1" si="57"/>
        <v/>
      </c>
      <c r="AH176" s="185" t="str">
        <f t="shared" ca="1" si="58"/>
        <v/>
      </c>
      <c r="AI176" s="181" t="str">
        <f t="shared" ca="1" si="59"/>
        <v/>
      </c>
      <c r="AJ176" s="181" t="str">
        <f t="shared" ca="1" si="60"/>
        <v/>
      </c>
      <c r="AK176" s="181" t="str">
        <f t="shared" ca="1" si="61"/>
        <v/>
      </c>
      <c r="AL176" s="181" t="str">
        <f t="shared" ca="1" si="62"/>
        <v/>
      </c>
      <c r="AM176" s="181" t="str">
        <f t="shared" ca="1" si="63"/>
        <v/>
      </c>
      <c r="AN176" s="181" t="str">
        <f t="shared" ca="1" si="64"/>
        <v/>
      </c>
      <c r="AO176" s="181" t="str">
        <f t="shared" ca="1" si="65"/>
        <v/>
      </c>
      <c r="AP176" s="181" t="str">
        <f t="shared" ca="1" si="66"/>
        <v/>
      </c>
      <c r="AU176" s="181" t="str">
        <f t="shared" ca="1" si="67"/>
        <v/>
      </c>
    </row>
    <row r="177" spans="1:47" ht="22.2" customHeight="1">
      <c r="A177" s="108">
        <f t="shared" si="74"/>
        <v>79</v>
      </c>
      <c r="B177" s="107" t="str">
        <f t="shared" ca="1" si="72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07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VLOOKUP("*"&amp;D177&amp;"*",商品マスタ一覧!D:H,5,FALSE)),"")</f>
        <v/>
      </c>
      <c r="O177" s="107">
        <f t="shared" ca="1" si="73"/>
        <v>0</v>
      </c>
      <c r="P177" s="107">
        <f t="shared" si="49"/>
        <v>0</v>
      </c>
      <c r="Q177" s="107" t="b">
        <f t="shared" si="50"/>
        <v>0</v>
      </c>
      <c r="R177" s="181" t="str">
        <f t="array" aca="1" ref="R177" ca="1">IFERROR(SMALL(IF(P$1:P$311&lt;&gt;0,P$1:P$311),ROW(A177)),"")</f>
        <v/>
      </c>
      <c r="S177" s="181" t="str">
        <f t="array" aca="1" ref="S177" ca="1">IF($R177&lt;&gt;"",
SUBSTITUTE(SUBSTITUTE(INDIRECT("C"&amp;$R177&amp;"")," 週3ｺｰｽ","")," 週5ｺｰｽ",""),"")</f>
        <v/>
      </c>
      <c r="T177" s="18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81" t="str">
        <f t="array" aca="1" ref="V177" ca="1">IF($R177&lt;&gt;"",
INDIRECT("G"&amp;$R177&amp;""),"")</f>
        <v/>
      </c>
      <c r="W177" s="181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8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8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81" t="str">
        <f t="shared" ca="1" si="51"/>
        <v/>
      </c>
      <c r="AA177" s="181" t="str">
        <f t="shared" ca="1" si="52"/>
        <v/>
      </c>
      <c r="AB177" s="181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81" t="str">
        <f t="shared" ca="1" si="53"/>
        <v/>
      </c>
      <c r="AD177" s="181" t="str">
        <f t="shared" ca="1" si="54"/>
        <v/>
      </c>
      <c r="AE177" s="181" t="str">
        <f t="shared" ca="1" si="55"/>
        <v/>
      </c>
      <c r="AF177" s="181" t="str">
        <f t="shared" ca="1" si="56"/>
        <v/>
      </c>
      <c r="AG177" s="181" t="str">
        <f t="shared" ca="1" si="57"/>
        <v/>
      </c>
      <c r="AH177" s="185" t="str">
        <f t="shared" ca="1" si="58"/>
        <v/>
      </c>
      <c r="AI177" s="181" t="str">
        <f t="shared" ca="1" si="59"/>
        <v/>
      </c>
      <c r="AJ177" s="181" t="str">
        <f t="shared" ca="1" si="60"/>
        <v/>
      </c>
      <c r="AK177" s="181" t="str">
        <f t="shared" ca="1" si="61"/>
        <v/>
      </c>
      <c r="AL177" s="181" t="str">
        <f t="shared" ca="1" si="62"/>
        <v/>
      </c>
      <c r="AM177" s="181" t="str">
        <f t="shared" ca="1" si="63"/>
        <v/>
      </c>
      <c r="AN177" s="181" t="str">
        <f t="shared" ca="1" si="64"/>
        <v/>
      </c>
      <c r="AO177" s="181" t="str">
        <f t="shared" ca="1" si="65"/>
        <v/>
      </c>
      <c r="AP177" s="181" t="str">
        <f t="shared" ca="1" si="66"/>
        <v/>
      </c>
      <c r="AU177" s="181" t="str">
        <f t="shared" ca="1" si="67"/>
        <v/>
      </c>
    </row>
    <row r="178" spans="1:47" ht="22.2" customHeight="1">
      <c r="A178" s="108">
        <f t="shared" si="74"/>
        <v>81</v>
      </c>
      <c r="B178" s="107" t="str">
        <f t="shared" ca="1" si="72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07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VLOOKUP("*"&amp;D178&amp;"*",商品マスタ一覧!D:H,5,FALSE)),"")</f>
        <v/>
      </c>
      <c r="O178" s="107">
        <f t="shared" ca="1" si="73"/>
        <v>0</v>
      </c>
      <c r="P178" s="107">
        <f t="shared" si="49"/>
        <v>0</v>
      </c>
      <c r="Q178" s="107" t="b">
        <f t="shared" si="50"/>
        <v>0</v>
      </c>
      <c r="R178" s="181" t="str">
        <f t="array" aca="1" ref="R178" ca="1">IFERROR(SMALL(IF(P$1:P$311&lt;&gt;0,P$1:P$311),ROW(A178)),"")</f>
        <v/>
      </c>
      <c r="S178" s="181" t="str">
        <f t="array" aca="1" ref="S178" ca="1">IF($R178&lt;&gt;"",
SUBSTITUTE(SUBSTITUTE(INDIRECT("C"&amp;$R178&amp;"")," 週3ｺｰｽ","")," 週5ｺｰｽ",""),"")</f>
        <v/>
      </c>
      <c r="T178" s="18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81" t="str">
        <f t="array" aca="1" ref="V178" ca="1">IF($R178&lt;&gt;"",
INDIRECT("G"&amp;$R178&amp;""),"")</f>
        <v/>
      </c>
      <c r="W178" s="181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8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8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81" t="str">
        <f t="shared" ca="1" si="51"/>
        <v/>
      </c>
      <c r="AA178" s="181" t="str">
        <f t="shared" ca="1" si="52"/>
        <v/>
      </c>
      <c r="AB178" s="181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81" t="str">
        <f t="shared" ca="1" si="53"/>
        <v/>
      </c>
      <c r="AD178" s="181" t="str">
        <f t="shared" ca="1" si="54"/>
        <v/>
      </c>
      <c r="AE178" s="181" t="str">
        <f t="shared" ca="1" si="55"/>
        <v/>
      </c>
      <c r="AF178" s="181" t="str">
        <f t="shared" ca="1" si="56"/>
        <v/>
      </c>
      <c r="AG178" s="181" t="str">
        <f t="shared" ca="1" si="57"/>
        <v/>
      </c>
      <c r="AH178" s="185" t="str">
        <f t="shared" ca="1" si="58"/>
        <v/>
      </c>
      <c r="AI178" s="181" t="str">
        <f t="shared" ca="1" si="59"/>
        <v/>
      </c>
      <c r="AJ178" s="181" t="str">
        <f t="shared" ca="1" si="60"/>
        <v/>
      </c>
      <c r="AK178" s="181" t="str">
        <f t="shared" ca="1" si="61"/>
        <v/>
      </c>
      <c r="AL178" s="181" t="str">
        <f t="shared" ca="1" si="62"/>
        <v/>
      </c>
      <c r="AM178" s="181" t="str">
        <f t="shared" ca="1" si="63"/>
        <v/>
      </c>
      <c r="AN178" s="181" t="str">
        <f t="shared" ca="1" si="64"/>
        <v/>
      </c>
      <c r="AO178" s="181" t="str">
        <f t="shared" ca="1" si="65"/>
        <v/>
      </c>
      <c r="AP178" s="181" t="str">
        <f t="shared" ca="1" si="66"/>
        <v/>
      </c>
      <c r="AU178" s="181" t="str">
        <f t="shared" ca="1" si="67"/>
        <v/>
      </c>
    </row>
    <row r="179" spans="1:47" ht="22.2" customHeight="1">
      <c r="A179" s="108">
        <f t="shared" si="74"/>
        <v>83</v>
      </c>
      <c r="B179" s="107" t="str">
        <f t="shared" ca="1" si="72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07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VLOOKUP("*"&amp;D179&amp;"*",商品マスタ一覧!D:H,5,FALSE)),"")</f>
        <v/>
      </c>
      <c r="O179" s="107">
        <f t="shared" ca="1" si="73"/>
        <v>0</v>
      </c>
      <c r="P179" s="107">
        <f t="shared" si="49"/>
        <v>0</v>
      </c>
      <c r="Q179" s="107" t="b">
        <f t="shared" si="50"/>
        <v>0</v>
      </c>
      <c r="R179" s="181" t="str">
        <f t="array" aca="1" ref="R179" ca="1">IFERROR(SMALL(IF(P$1:P$311&lt;&gt;0,P$1:P$311),ROW(A179)),"")</f>
        <v/>
      </c>
      <c r="S179" s="181" t="str">
        <f t="array" aca="1" ref="S179" ca="1">IF($R179&lt;&gt;"",
SUBSTITUTE(SUBSTITUTE(INDIRECT("C"&amp;$R179&amp;"")," 週3ｺｰｽ","")," 週5ｺｰｽ",""),"")</f>
        <v/>
      </c>
      <c r="T179" s="18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81" t="str">
        <f t="array" aca="1" ref="V179" ca="1">IF($R179&lt;&gt;"",
INDIRECT("G"&amp;$R179&amp;""),"")</f>
        <v/>
      </c>
      <c r="W179" s="181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8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8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81" t="str">
        <f t="shared" ca="1" si="51"/>
        <v/>
      </c>
      <c r="AA179" s="181" t="str">
        <f t="shared" ca="1" si="52"/>
        <v/>
      </c>
      <c r="AB179" s="181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81" t="str">
        <f t="shared" ca="1" si="53"/>
        <v/>
      </c>
      <c r="AD179" s="181" t="str">
        <f t="shared" ca="1" si="54"/>
        <v/>
      </c>
      <c r="AE179" s="181" t="str">
        <f t="shared" ca="1" si="55"/>
        <v/>
      </c>
      <c r="AF179" s="181" t="str">
        <f t="shared" ca="1" si="56"/>
        <v/>
      </c>
      <c r="AG179" s="181" t="str">
        <f t="shared" ca="1" si="57"/>
        <v/>
      </c>
      <c r="AH179" s="185" t="str">
        <f t="shared" ca="1" si="58"/>
        <v/>
      </c>
      <c r="AI179" s="181" t="str">
        <f t="shared" ca="1" si="59"/>
        <v/>
      </c>
      <c r="AJ179" s="181" t="str">
        <f t="shared" ca="1" si="60"/>
        <v/>
      </c>
      <c r="AK179" s="181" t="str">
        <f t="shared" ca="1" si="61"/>
        <v/>
      </c>
      <c r="AL179" s="181" t="str">
        <f t="shared" ca="1" si="62"/>
        <v/>
      </c>
      <c r="AM179" s="181" t="str">
        <f t="shared" ca="1" si="63"/>
        <v/>
      </c>
      <c r="AN179" s="181" t="str">
        <f t="shared" ca="1" si="64"/>
        <v/>
      </c>
      <c r="AO179" s="181" t="str">
        <f t="shared" ca="1" si="65"/>
        <v/>
      </c>
      <c r="AP179" s="181" t="str">
        <f t="shared" ca="1" si="66"/>
        <v/>
      </c>
      <c r="AU179" s="181" t="str">
        <f t="shared" ca="1" si="67"/>
        <v/>
      </c>
    </row>
    <row r="180" spans="1:47" ht="22.2" customHeight="1">
      <c r="A180" s="108">
        <f t="shared" si="74"/>
        <v>85</v>
      </c>
      <c r="B180" s="107" t="str">
        <f t="shared" ca="1" si="72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07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VLOOKUP("*"&amp;D180&amp;"*",商品マスタ一覧!D:H,5,FALSE)),"")</f>
        <v/>
      </c>
      <c r="O180" s="107">
        <f t="shared" ca="1" si="73"/>
        <v>0</v>
      </c>
      <c r="P180" s="107">
        <f t="shared" si="49"/>
        <v>0</v>
      </c>
      <c r="Q180" s="107" t="b">
        <f t="shared" si="50"/>
        <v>0</v>
      </c>
      <c r="R180" s="181" t="str">
        <f t="array" aca="1" ref="R180" ca="1">IFERROR(SMALL(IF(P$1:P$311&lt;&gt;0,P$1:P$311),ROW(A180)),"")</f>
        <v/>
      </c>
      <c r="S180" s="181" t="str">
        <f t="array" aca="1" ref="S180" ca="1">IF($R180&lt;&gt;"",
SUBSTITUTE(SUBSTITUTE(INDIRECT("C"&amp;$R180&amp;"")," 週3ｺｰｽ","")," 週5ｺｰｽ",""),"")</f>
        <v/>
      </c>
      <c r="T180" s="18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81" t="str">
        <f t="array" aca="1" ref="V180" ca="1">IF($R180&lt;&gt;"",
INDIRECT("G"&amp;$R180&amp;""),"")</f>
        <v/>
      </c>
      <c r="W180" s="181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8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8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81" t="str">
        <f t="shared" ca="1" si="51"/>
        <v/>
      </c>
      <c r="AA180" s="181" t="str">
        <f t="shared" ca="1" si="52"/>
        <v/>
      </c>
      <c r="AB180" s="181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81" t="str">
        <f t="shared" ca="1" si="53"/>
        <v/>
      </c>
      <c r="AD180" s="181" t="str">
        <f t="shared" ca="1" si="54"/>
        <v/>
      </c>
      <c r="AE180" s="181" t="str">
        <f t="shared" ca="1" si="55"/>
        <v/>
      </c>
      <c r="AF180" s="181" t="str">
        <f t="shared" ca="1" si="56"/>
        <v/>
      </c>
      <c r="AG180" s="181" t="str">
        <f t="shared" ca="1" si="57"/>
        <v/>
      </c>
      <c r="AH180" s="185" t="str">
        <f t="shared" ca="1" si="58"/>
        <v/>
      </c>
      <c r="AI180" s="181" t="str">
        <f t="shared" ca="1" si="59"/>
        <v/>
      </c>
      <c r="AJ180" s="181" t="str">
        <f t="shared" ca="1" si="60"/>
        <v/>
      </c>
      <c r="AK180" s="181" t="str">
        <f t="shared" ca="1" si="61"/>
        <v/>
      </c>
      <c r="AL180" s="181" t="str">
        <f t="shared" ca="1" si="62"/>
        <v/>
      </c>
      <c r="AM180" s="181" t="str">
        <f t="shared" ca="1" si="63"/>
        <v/>
      </c>
      <c r="AN180" s="181" t="str">
        <f t="shared" ca="1" si="64"/>
        <v/>
      </c>
      <c r="AO180" s="181" t="str">
        <f t="shared" ca="1" si="65"/>
        <v/>
      </c>
      <c r="AP180" s="181" t="str">
        <f t="shared" ca="1" si="66"/>
        <v/>
      </c>
      <c r="AU180" s="181" t="str">
        <f t="shared" ca="1" si="67"/>
        <v/>
      </c>
    </row>
    <row r="181" spans="1:47" ht="22.2" customHeight="1">
      <c r="A181" s="108">
        <f t="shared" si="74"/>
        <v>87</v>
      </c>
      <c r="B181" s="107" t="str">
        <f t="shared" ca="1" si="72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07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VLOOKUP("*"&amp;D181&amp;"*",商品マスタ一覧!D:H,5,FALSE)),"")</f>
        <v/>
      </c>
      <c r="O181" s="107">
        <f t="shared" ca="1" si="73"/>
        <v>0</v>
      </c>
      <c r="P181" s="107">
        <f t="shared" si="49"/>
        <v>0</v>
      </c>
      <c r="Q181" s="107" t="b">
        <f t="shared" si="50"/>
        <v>0</v>
      </c>
      <c r="R181" s="181" t="str">
        <f t="array" aca="1" ref="R181" ca="1">IFERROR(SMALL(IF(P$1:P$311&lt;&gt;0,P$1:P$311),ROW(A181)),"")</f>
        <v/>
      </c>
      <c r="S181" s="181" t="str">
        <f t="array" aca="1" ref="S181" ca="1">IF($R181&lt;&gt;"",
SUBSTITUTE(SUBSTITUTE(INDIRECT("C"&amp;$R181&amp;"")," 週3ｺｰｽ","")," 週5ｺｰｽ",""),"")</f>
        <v/>
      </c>
      <c r="T181" s="18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81" t="str">
        <f t="array" aca="1" ref="V181" ca="1">IF($R181&lt;&gt;"",
INDIRECT("G"&amp;$R181&amp;""),"")</f>
        <v/>
      </c>
      <c r="W181" s="181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8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8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81" t="str">
        <f t="shared" ca="1" si="51"/>
        <v/>
      </c>
      <c r="AA181" s="181" t="str">
        <f t="shared" ca="1" si="52"/>
        <v/>
      </c>
      <c r="AB181" s="181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81" t="str">
        <f t="shared" ca="1" si="53"/>
        <v/>
      </c>
      <c r="AD181" s="181" t="str">
        <f t="shared" ca="1" si="54"/>
        <v/>
      </c>
      <c r="AE181" s="181" t="str">
        <f t="shared" ca="1" si="55"/>
        <v/>
      </c>
      <c r="AF181" s="181" t="str">
        <f t="shared" ca="1" si="56"/>
        <v/>
      </c>
      <c r="AG181" s="181" t="str">
        <f t="shared" ca="1" si="57"/>
        <v/>
      </c>
      <c r="AH181" s="185" t="str">
        <f t="shared" ca="1" si="58"/>
        <v/>
      </c>
      <c r="AI181" s="181" t="str">
        <f t="shared" ca="1" si="59"/>
        <v/>
      </c>
      <c r="AJ181" s="181" t="str">
        <f t="shared" ca="1" si="60"/>
        <v/>
      </c>
      <c r="AK181" s="181" t="str">
        <f t="shared" ca="1" si="61"/>
        <v/>
      </c>
      <c r="AL181" s="181" t="str">
        <f t="shared" ca="1" si="62"/>
        <v/>
      </c>
      <c r="AM181" s="181" t="str">
        <f t="shared" ca="1" si="63"/>
        <v/>
      </c>
      <c r="AN181" s="181" t="str">
        <f t="shared" ca="1" si="64"/>
        <v/>
      </c>
      <c r="AO181" s="181" t="str">
        <f t="shared" ca="1" si="65"/>
        <v/>
      </c>
      <c r="AP181" s="181" t="str">
        <f t="shared" ca="1" si="66"/>
        <v/>
      </c>
      <c r="AU181" s="181" t="str">
        <f t="shared" ca="1" si="67"/>
        <v/>
      </c>
    </row>
    <row r="182" spans="1:47" ht="22.2" customHeight="1">
      <c r="A182" s="108">
        <f t="shared" si="74"/>
        <v>89</v>
      </c>
      <c r="B182" s="107" t="str">
        <f t="shared" ca="1" si="72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07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VLOOKUP("*"&amp;D182&amp;"*",商品マスタ一覧!D:H,5,FALSE)),"")</f>
        <v/>
      </c>
      <c r="O182" s="107">
        <f t="shared" ca="1" si="73"/>
        <v>0</v>
      </c>
      <c r="P182" s="107">
        <f t="shared" si="49"/>
        <v>0</v>
      </c>
      <c r="Q182" s="107" t="b">
        <f t="shared" si="50"/>
        <v>0</v>
      </c>
      <c r="R182" s="181" t="str">
        <f t="array" aca="1" ref="R182" ca="1">IFERROR(SMALL(IF(P$1:P$311&lt;&gt;0,P$1:P$311),ROW(A182)),"")</f>
        <v/>
      </c>
      <c r="S182" s="181" t="str">
        <f t="array" aca="1" ref="S182" ca="1">IF($R182&lt;&gt;"",
SUBSTITUTE(SUBSTITUTE(INDIRECT("C"&amp;$R182&amp;"")," 週3ｺｰｽ","")," 週5ｺｰｽ",""),"")</f>
        <v/>
      </c>
      <c r="T182" s="18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81" t="str">
        <f t="array" aca="1" ref="V182" ca="1">IF($R182&lt;&gt;"",
INDIRECT("G"&amp;$R182&amp;""),"")</f>
        <v/>
      </c>
      <c r="W182" s="181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8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8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81" t="str">
        <f t="shared" ca="1" si="51"/>
        <v/>
      </c>
      <c r="AA182" s="181" t="str">
        <f t="shared" ca="1" si="52"/>
        <v/>
      </c>
      <c r="AB182" s="181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81" t="str">
        <f t="shared" ca="1" si="53"/>
        <v/>
      </c>
      <c r="AD182" s="181" t="str">
        <f t="shared" ca="1" si="54"/>
        <v/>
      </c>
      <c r="AE182" s="181" t="str">
        <f t="shared" ca="1" si="55"/>
        <v/>
      </c>
      <c r="AF182" s="181" t="str">
        <f t="shared" ca="1" si="56"/>
        <v/>
      </c>
      <c r="AG182" s="181" t="str">
        <f t="shared" ca="1" si="57"/>
        <v/>
      </c>
      <c r="AH182" s="185" t="str">
        <f t="shared" ca="1" si="58"/>
        <v/>
      </c>
      <c r="AI182" s="181" t="str">
        <f t="shared" ca="1" si="59"/>
        <v/>
      </c>
      <c r="AJ182" s="181" t="str">
        <f t="shared" ca="1" si="60"/>
        <v/>
      </c>
      <c r="AK182" s="181" t="str">
        <f t="shared" ca="1" si="61"/>
        <v/>
      </c>
      <c r="AL182" s="181" t="str">
        <f t="shared" ca="1" si="62"/>
        <v/>
      </c>
      <c r="AM182" s="181" t="str">
        <f t="shared" ca="1" si="63"/>
        <v/>
      </c>
      <c r="AN182" s="181" t="str">
        <f t="shared" ca="1" si="64"/>
        <v/>
      </c>
      <c r="AO182" s="181" t="str">
        <f t="shared" ca="1" si="65"/>
        <v/>
      </c>
      <c r="AP182" s="181" t="str">
        <f t="shared" ca="1" si="66"/>
        <v/>
      </c>
      <c r="AU182" s="181" t="str">
        <f t="shared" ca="1" si="67"/>
        <v/>
      </c>
    </row>
    <row r="183" spans="1:47" ht="22.2" customHeight="1">
      <c r="A183" s="108">
        <f t="shared" si="74"/>
        <v>91</v>
      </c>
      <c r="B183" s="107" t="str">
        <f t="shared" ca="1" si="72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07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VLOOKUP("*"&amp;D183&amp;"*",商品マスタ一覧!D:H,5,FALSE)),"")</f>
        <v/>
      </c>
      <c r="O183" s="107">
        <f t="shared" ca="1" si="73"/>
        <v>0</v>
      </c>
      <c r="P183" s="107">
        <f t="shared" si="49"/>
        <v>0</v>
      </c>
      <c r="Q183" s="107" t="b">
        <f t="shared" si="50"/>
        <v>0</v>
      </c>
      <c r="R183" s="181" t="str">
        <f t="array" aca="1" ref="R183" ca="1">IFERROR(SMALL(IF(P$1:P$311&lt;&gt;0,P$1:P$311),ROW(A183)),"")</f>
        <v/>
      </c>
      <c r="S183" s="181" t="str">
        <f t="array" aca="1" ref="S183" ca="1">IF($R183&lt;&gt;"",
SUBSTITUTE(SUBSTITUTE(INDIRECT("C"&amp;$R183&amp;"")," 週3ｺｰｽ","")," 週5ｺｰｽ",""),"")</f>
        <v/>
      </c>
      <c r="T183" s="18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81" t="str">
        <f t="array" aca="1" ref="V183" ca="1">IF($R183&lt;&gt;"",
INDIRECT("G"&amp;$R183&amp;""),"")</f>
        <v/>
      </c>
      <c r="W183" s="181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8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8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81" t="str">
        <f t="shared" ca="1" si="51"/>
        <v/>
      </c>
      <c r="AA183" s="181" t="str">
        <f t="shared" ca="1" si="52"/>
        <v/>
      </c>
      <c r="AB183" s="181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81" t="str">
        <f t="shared" ca="1" si="53"/>
        <v/>
      </c>
      <c r="AD183" s="181" t="str">
        <f t="shared" ca="1" si="54"/>
        <v/>
      </c>
      <c r="AE183" s="181" t="str">
        <f t="shared" ca="1" si="55"/>
        <v/>
      </c>
      <c r="AF183" s="181" t="str">
        <f t="shared" ca="1" si="56"/>
        <v/>
      </c>
      <c r="AG183" s="181" t="str">
        <f t="shared" ca="1" si="57"/>
        <v/>
      </c>
      <c r="AH183" s="185" t="str">
        <f t="shared" ca="1" si="58"/>
        <v/>
      </c>
      <c r="AI183" s="181" t="str">
        <f t="shared" ca="1" si="59"/>
        <v/>
      </c>
      <c r="AJ183" s="181" t="str">
        <f t="shared" ca="1" si="60"/>
        <v/>
      </c>
      <c r="AK183" s="181" t="str">
        <f t="shared" ca="1" si="61"/>
        <v/>
      </c>
      <c r="AL183" s="181" t="str">
        <f t="shared" ca="1" si="62"/>
        <v/>
      </c>
      <c r="AM183" s="181" t="str">
        <f t="shared" ca="1" si="63"/>
        <v/>
      </c>
      <c r="AN183" s="181" t="str">
        <f t="shared" ca="1" si="64"/>
        <v/>
      </c>
      <c r="AO183" s="181" t="str">
        <f t="shared" ca="1" si="65"/>
        <v/>
      </c>
      <c r="AP183" s="181" t="str">
        <f t="shared" ca="1" si="66"/>
        <v/>
      </c>
      <c r="AU183" s="181" t="str">
        <f t="shared" ca="1" si="67"/>
        <v/>
      </c>
    </row>
    <row r="184" spans="1:47" ht="22.2" customHeight="1">
      <c r="A184" s="108">
        <f t="shared" si="74"/>
        <v>93</v>
      </c>
      <c r="B184" s="107" t="str">
        <f t="shared" ca="1" si="72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07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VLOOKUP("*"&amp;D184&amp;"*",商品マスタ一覧!D:H,5,FALSE)),"")</f>
        <v/>
      </c>
      <c r="O184" s="107">
        <f t="shared" ca="1" si="73"/>
        <v>0</v>
      </c>
      <c r="P184" s="107">
        <f t="shared" si="49"/>
        <v>0</v>
      </c>
      <c r="Q184" s="107" t="b">
        <f t="shared" si="50"/>
        <v>0</v>
      </c>
      <c r="R184" s="181" t="str">
        <f t="array" aca="1" ref="R184" ca="1">IFERROR(SMALL(IF(P$1:P$311&lt;&gt;0,P$1:P$311),ROW(A184)),"")</f>
        <v/>
      </c>
      <c r="S184" s="181" t="str">
        <f t="array" aca="1" ref="S184" ca="1">IF($R184&lt;&gt;"",
SUBSTITUTE(SUBSTITUTE(INDIRECT("C"&amp;$R184&amp;"")," 週3ｺｰｽ","")," 週5ｺｰｽ",""),"")</f>
        <v/>
      </c>
      <c r="T184" s="18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81" t="str">
        <f t="array" aca="1" ref="V184" ca="1">IF($R184&lt;&gt;"",
INDIRECT("G"&amp;$R184&amp;""),"")</f>
        <v/>
      </c>
      <c r="W184" s="181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8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8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81" t="str">
        <f t="shared" ca="1" si="51"/>
        <v/>
      </c>
      <c r="AA184" s="181" t="str">
        <f t="shared" ca="1" si="52"/>
        <v/>
      </c>
      <c r="AB184" s="181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81" t="str">
        <f t="shared" ca="1" si="53"/>
        <v/>
      </c>
      <c r="AD184" s="181" t="str">
        <f t="shared" ca="1" si="54"/>
        <v/>
      </c>
      <c r="AE184" s="181" t="str">
        <f t="shared" ca="1" si="55"/>
        <v/>
      </c>
      <c r="AF184" s="181" t="str">
        <f t="shared" ca="1" si="56"/>
        <v/>
      </c>
      <c r="AG184" s="181" t="str">
        <f t="shared" ca="1" si="57"/>
        <v/>
      </c>
      <c r="AH184" s="185" t="str">
        <f t="shared" ca="1" si="58"/>
        <v/>
      </c>
      <c r="AI184" s="181" t="str">
        <f t="shared" ca="1" si="59"/>
        <v/>
      </c>
      <c r="AJ184" s="181" t="str">
        <f t="shared" ca="1" si="60"/>
        <v/>
      </c>
      <c r="AK184" s="181" t="str">
        <f t="shared" ca="1" si="61"/>
        <v/>
      </c>
      <c r="AL184" s="181" t="str">
        <f t="shared" ca="1" si="62"/>
        <v/>
      </c>
      <c r="AM184" s="181" t="str">
        <f t="shared" ca="1" si="63"/>
        <v/>
      </c>
      <c r="AN184" s="181" t="str">
        <f t="shared" ca="1" si="64"/>
        <v/>
      </c>
      <c r="AO184" s="181" t="str">
        <f t="shared" ca="1" si="65"/>
        <v/>
      </c>
      <c r="AP184" s="181" t="str">
        <f t="shared" ca="1" si="66"/>
        <v/>
      </c>
      <c r="AU184" s="181" t="str">
        <f t="shared" ca="1" si="67"/>
        <v/>
      </c>
    </row>
    <row r="185" spans="1:47" ht="22.2" customHeight="1">
      <c r="A185" s="108">
        <f t="shared" si="74"/>
        <v>95</v>
      </c>
      <c r="B185" s="107" t="str">
        <f t="shared" ca="1" si="72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07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VLOOKUP("*"&amp;D185&amp;"*",商品マスタ一覧!D:H,5,FALSE)),"")</f>
        <v/>
      </c>
      <c r="O185" s="107">
        <f t="shared" ca="1" si="73"/>
        <v>0</v>
      </c>
      <c r="P185" s="107">
        <f t="shared" si="49"/>
        <v>0</v>
      </c>
      <c r="Q185" s="107" t="b">
        <f t="shared" si="50"/>
        <v>0</v>
      </c>
      <c r="R185" s="181" t="str">
        <f t="array" aca="1" ref="R185" ca="1">IFERROR(SMALL(IF(P$1:P$311&lt;&gt;0,P$1:P$311),ROW(A185)),"")</f>
        <v/>
      </c>
      <c r="S185" s="181" t="str">
        <f t="array" aca="1" ref="S185" ca="1">IF($R185&lt;&gt;"",
SUBSTITUTE(SUBSTITUTE(INDIRECT("C"&amp;$R185&amp;"")," 週3ｺｰｽ","")," 週5ｺｰｽ",""),"")</f>
        <v/>
      </c>
      <c r="T185" s="18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81" t="str">
        <f t="array" aca="1" ref="V185" ca="1">IF($R185&lt;&gt;"",
INDIRECT("G"&amp;$R185&amp;""),"")</f>
        <v/>
      </c>
      <c r="W185" s="181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8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8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81" t="str">
        <f t="shared" ca="1" si="51"/>
        <v/>
      </c>
      <c r="AA185" s="181" t="str">
        <f t="shared" ca="1" si="52"/>
        <v/>
      </c>
      <c r="AB185" s="181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81" t="str">
        <f t="shared" ca="1" si="53"/>
        <v/>
      </c>
      <c r="AD185" s="181" t="str">
        <f t="shared" ca="1" si="54"/>
        <v/>
      </c>
      <c r="AE185" s="181" t="str">
        <f t="shared" ca="1" si="55"/>
        <v/>
      </c>
      <c r="AF185" s="181" t="str">
        <f t="shared" ca="1" si="56"/>
        <v/>
      </c>
      <c r="AG185" s="181" t="str">
        <f t="shared" ca="1" si="57"/>
        <v/>
      </c>
      <c r="AH185" s="185" t="str">
        <f t="shared" ca="1" si="58"/>
        <v/>
      </c>
      <c r="AI185" s="181" t="str">
        <f t="shared" ca="1" si="59"/>
        <v/>
      </c>
      <c r="AJ185" s="181" t="str">
        <f t="shared" ca="1" si="60"/>
        <v/>
      </c>
      <c r="AK185" s="181" t="str">
        <f t="shared" ca="1" si="61"/>
        <v/>
      </c>
      <c r="AL185" s="181" t="str">
        <f t="shared" ca="1" si="62"/>
        <v/>
      </c>
      <c r="AM185" s="181" t="str">
        <f t="shared" ca="1" si="63"/>
        <v/>
      </c>
      <c r="AN185" s="181" t="str">
        <f t="shared" ca="1" si="64"/>
        <v/>
      </c>
      <c r="AO185" s="181" t="str">
        <f t="shared" ca="1" si="65"/>
        <v/>
      </c>
      <c r="AP185" s="181" t="str">
        <f t="shared" ca="1" si="66"/>
        <v/>
      </c>
      <c r="AU185" s="181" t="str">
        <f t="shared" ca="1" si="67"/>
        <v/>
      </c>
    </row>
    <row r="186" spans="1:47" ht="22.2" customHeight="1">
      <c r="A186" s="108">
        <f t="shared" si="74"/>
        <v>97</v>
      </c>
      <c r="B186" s="107" t="str">
        <f t="shared" ca="1" si="72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07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VLOOKUP("*"&amp;D186&amp;"*",商品マスタ一覧!D:H,5,FALSE)),"")</f>
        <v/>
      </c>
      <c r="O186" s="107">
        <f t="shared" ca="1" si="73"/>
        <v>0</v>
      </c>
      <c r="P186" s="107">
        <f t="shared" si="49"/>
        <v>0</v>
      </c>
      <c r="Q186" s="107" t="b">
        <f t="shared" si="50"/>
        <v>0</v>
      </c>
      <c r="R186" s="181" t="str">
        <f t="array" aca="1" ref="R186" ca="1">IFERROR(SMALL(IF(P$1:P$311&lt;&gt;0,P$1:P$311),ROW(A186)),"")</f>
        <v/>
      </c>
      <c r="S186" s="181" t="str">
        <f t="array" aca="1" ref="S186" ca="1">IF($R186&lt;&gt;"",
SUBSTITUTE(SUBSTITUTE(INDIRECT("C"&amp;$R186&amp;"")," 週3ｺｰｽ","")," 週5ｺｰｽ",""),"")</f>
        <v/>
      </c>
      <c r="T186" s="18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81" t="str">
        <f t="array" aca="1" ref="V186" ca="1">IF($R186&lt;&gt;"",
INDIRECT("G"&amp;$R186&amp;""),"")</f>
        <v/>
      </c>
      <c r="W186" s="181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8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8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81" t="str">
        <f t="shared" ca="1" si="51"/>
        <v/>
      </c>
      <c r="AA186" s="181" t="str">
        <f t="shared" ca="1" si="52"/>
        <v/>
      </c>
      <c r="AB186" s="181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81" t="str">
        <f t="shared" ca="1" si="53"/>
        <v/>
      </c>
      <c r="AD186" s="181" t="str">
        <f t="shared" ca="1" si="54"/>
        <v/>
      </c>
      <c r="AE186" s="181" t="str">
        <f t="shared" ca="1" si="55"/>
        <v/>
      </c>
      <c r="AF186" s="181" t="str">
        <f t="shared" ca="1" si="56"/>
        <v/>
      </c>
      <c r="AG186" s="181" t="str">
        <f t="shared" ca="1" si="57"/>
        <v/>
      </c>
      <c r="AH186" s="185" t="str">
        <f t="shared" ca="1" si="58"/>
        <v/>
      </c>
      <c r="AI186" s="181" t="str">
        <f t="shared" ca="1" si="59"/>
        <v/>
      </c>
      <c r="AJ186" s="181" t="str">
        <f t="shared" ca="1" si="60"/>
        <v/>
      </c>
      <c r="AK186" s="181" t="str">
        <f t="shared" ca="1" si="61"/>
        <v/>
      </c>
      <c r="AL186" s="181" t="str">
        <f t="shared" ca="1" si="62"/>
        <v/>
      </c>
      <c r="AM186" s="181" t="str">
        <f t="shared" ca="1" si="63"/>
        <v/>
      </c>
      <c r="AN186" s="181" t="str">
        <f t="shared" ca="1" si="64"/>
        <v/>
      </c>
      <c r="AO186" s="181" t="str">
        <f t="shared" ca="1" si="65"/>
        <v/>
      </c>
      <c r="AP186" s="181" t="str">
        <f t="shared" ca="1" si="66"/>
        <v/>
      </c>
      <c r="AU186" s="181" t="str">
        <f t="shared" ca="1" si="67"/>
        <v/>
      </c>
    </row>
    <row r="187" spans="1:47" ht="22.2" customHeight="1">
      <c r="A187" s="108">
        <f t="shared" si="74"/>
        <v>99</v>
      </c>
      <c r="B187" s="107" t="str">
        <f t="shared" ca="1" si="72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07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VLOOKUP("*"&amp;D187&amp;"*",商品マスタ一覧!D:H,5,FALSE)),"")</f>
        <v/>
      </c>
      <c r="O187" s="107">
        <f t="shared" ca="1" si="73"/>
        <v>0</v>
      </c>
      <c r="P187" s="107">
        <f t="shared" si="49"/>
        <v>0</v>
      </c>
      <c r="Q187" s="107" t="b">
        <f t="shared" si="50"/>
        <v>0</v>
      </c>
      <c r="R187" s="181" t="str">
        <f t="array" aca="1" ref="R187" ca="1">IFERROR(SMALL(IF(P$1:P$311&lt;&gt;0,P$1:P$311),ROW(A187)),"")</f>
        <v/>
      </c>
      <c r="S187" s="181" t="str">
        <f t="array" aca="1" ref="S187" ca="1">IF($R187&lt;&gt;"",
SUBSTITUTE(SUBSTITUTE(INDIRECT("C"&amp;$R187&amp;"")," 週3ｺｰｽ","")," 週5ｺｰｽ",""),"")</f>
        <v/>
      </c>
      <c r="T187" s="18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81" t="str">
        <f t="array" aca="1" ref="V187" ca="1">IF($R187&lt;&gt;"",
INDIRECT("G"&amp;$R187&amp;""),"")</f>
        <v/>
      </c>
      <c r="W187" s="181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8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8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81" t="str">
        <f t="shared" ca="1" si="51"/>
        <v/>
      </c>
      <c r="AA187" s="181" t="str">
        <f t="shared" ca="1" si="52"/>
        <v/>
      </c>
      <c r="AB187" s="181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81" t="str">
        <f t="shared" ca="1" si="53"/>
        <v/>
      </c>
      <c r="AD187" s="181" t="str">
        <f t="shared" ca="1" si="54"/>
        <v/>
      </c>
      <c r="AE187" s="181" t="str">
        <f t="shared" ca="1" si="55"/>
        <v/>
      </c>
      <c r="AF187" s="181" t="str">
        <f t="shared" ca="1" si="56"/>
        <v/>
      </c>
      <c r="AG187" s="181" t="str">
        <f t="shared" ca="1" si="57"/>
        <v/>
      </c>
      <c r="AH187" s="185" t="str">
        <f t="shared" ca="1" si="58"/>
        <v/>
      </c>
      <c r="AI187" s="181" t="str">
        <f t="shared" ca="1" si="59"/>
        <v/>
      </c>
      <c r="AJ187" s="181" t="str">
        <f t="shared" ca="1" si="60"/>
        <v/>
      </c>
      <c r="AK187" s="181" t="str">
        <f t="shared" ca="1" si="61"/>
        <v/>
      </c>
      <c r="AL187" s="181" t="str">
        <f t="shared" ca="1" si="62"/>
        <v/>
      </c>
      <c r="AM187" s="181" t="str">
        <f t="shared" ca="1" si="63"/>
        <v/>
      </c>
      <c r="AN187" s="181" t="str">
        <f t="shared" ca="1" si="64"/>
        <v/>
      </c>
      <c r="AO187" s="181" t="str">
        <f t="shared" ca="1" si="65"/>
        <v/>
      </c>
      <c r="AP187" s="181" t="str">
        <f t="shared" ca="1" si="66"/>
        <v/>
      </c>
      <c r="AU187" s="181" t="str">
        <f t="shared" ca="1" si="67"/>
        <v/>
      </c>
    </row>
    <row r="188" spans="1:47" ht="22.2" customHeight="1">
      <c r="A188" s="108">
        <f t="shared" si="74"/>
        <v>101</v>
      </c>
      <c r="B188" s="107" t="str">
        <f t="shared" ca="1" si="72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07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VLOOKUP("*"&amp;D188&amp;"*",商品マスタ一覧!D:H,5,FALSE)),"")</f>
        <v/>
      </c>
      <c r="O188" s="107">
        <f t="shared" ca="1" si="73"/>
        <v>0</v>
      </c>
      <c r="P188" s="107">
        <f t="shared" si="49"/>
        <v>0</v>
      </c>
      <c r="Q188" s="107" t="b">
        <f t="shared" si="50"/>
        <v>0</v>
      </c>
      <c r="R188" s="181" t="str">
        <f t="array" aca="1" ref="R188" ca="1">IFERROR(SMALL(IF(P$1:P$311&lt;&gt;0,P$1:P$311),ROW(A188)),"")</f>
        <v/>
      </c>
      <c r="S188" s="181" t="str">
        <f t="array" aca="1" ref="S188" ca="1">IF($R188&lt;&gt;"",
SUBSTITUTE(SUBSTITUTE(INDIRECT("C"&amp;$R188&amp;"")," 週3ｺｰｽ","")," 週5ｺｰｽ",""),"")</f>
        <v/>
      </c>
      <c r="T188" s="18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81" t="str">
        <f t="array" aca="1" ref="V188" ca="1">IF($R188&lt;&gt;"",
INDIRECT("G"&amp;$R188&amp;""),"")</f>
        <v/>
      </c>
      <c r="W188" s="181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8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8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81" t="str">
        <f t="shared" ca="1" si="51"/>
        <v/>
      </c>
      <c r="AA188" s="181" t="str">
        <f t="shared" ca="1" si="52"/>
        <v/>
      </c>
      <c r="AB188" s="181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81" t="str">
        <f t="shared" ca="1" si="53"/>
        <v/>
      </c>
      <c r="AD188" s="181" t="str">
        <f t="shared" ca="1" si="54"/>
        <v/>
      </c>
      <c r="AE188" s="181" t="str">
        <f t="shared" ca="1" si="55"/>
        <v/>
      </c>
      <c r="AF188" s="181" t="str">
        <f t="shared" ca="1" si="56"/>
        <v/>
      </c>
      <c r="AG188" s="181" t="str">
        <f t="shared" ca="1" si="57"/>
        <v/>
      </c>
      <c r="AH188" s="185" t="str">
        <f t="shared" ca="1" si="58"/>
        <v/>
      </c>
      <c r="AI188" s="181" t="str">
        <f t="shared" ca="1" si="59"/>
        <v/>
      </c>
      <c r="AJ188" s="181" t="str">
        <f t="shared" ca="1" si="60"/>
        <v/>
      </c>
      <c r="AK188" s="181" t="str">
        <f t="shared" ca="1" si="61"/>
        <v/>
      </c>
      <c r="AL188" s="181" t="str">
        <f t="shared" ca="1" si="62"/>
        <v/>
      </c>
      <c r="AM188" s="181" t="str">
        <f t="shared" ca="1" si="63"/>
        <v/>
      </c>
      <c r="AN188" s="181" t="str">
        <f t="shared" ca="1" si="64"/>
        <v/>
      </c>
      <c r="AO188" s="181" t="str">
        <f t="shared" ca="1" si="65"/>
        <v/>
      </c>
      <c r="AP188" s="181" t="str">
        <f t="shared" ca="1" si="66"/>
        <v/>
      </c>
      <c r="AU188" s="181" t="str">
        <f t="shared" ca="1" si="67"/>
        <v/>
      </c>
    </row>
    <row r="189" spans="1:47" ht="22.2" customHeight="1">
      <c r="A189" s="108">
        <f t="shared" si="74"/>
        <v>103</v>
      </c>
      <c r="B189" s="107" t="str">
        <f t="shared" ca="1" si="72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07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VLOOKUP("*"&amp;D189&amp;"*",商品マスタ一覧!D:H,5,FALSE)),"")</f>
        <v/>
      </c>
      <c r="O189" s="107">
        <f t="shared" ca="1" si="73"/>
        <v>0</v>
      </c>
      <c r="P189" s="107">
        <f t="shared" si="49"/>
        <v>0</v>
      </c>
      <c r="Q189" s="107" t="b">
        <f t="shared" si="50"/>
        <v>0</v>
      </c>
      <c r="R189" s="181" t="str">
        <f t="array" aca="1" ref="R189" ca="1">IFERROR(SMALL(IF(P$1:P$311&lt;&gt;0,P$1:P$311),ROW(A189)),"")</f>
        <v/>
      </c>
      <c r="S189" s="181" t="str">
        <f t="array" aca="1" ref="S189" ca="1">IF($R189&lt;&gt;"",
SUBSTITUTE(SUBSTITUTE(INDIRECT("C"&amp;$R189&amp;"")," 週3ｺｰｽ","")," 週5ｺｰｽ",""),"")</f>
        <v/>
      </c>
      <c r="T189" s="18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81" t="str">
        <f t="array" aca="1" ref="V189" ca="1">IF($R189&lt;&gt;"",
INDIRECT("G"&amp;$R189&amp;""),"")</f>
        <v/>
      </c>
      <c r="W189" s="181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8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8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81" t="str">
        <f t="shared" ca="1" si="51"/>
        <v/>
      </c>
      <c r="AA189" s="181" t="str">
        <f t="shared" ca="1" si="52"/>
        <v/>
      </c>
      <c r="AB189" s="181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81" t="str">
        <f t="shared" ca="1" si="53"/>
        <v/>
      </c>
      <c r="AD189" s="181" t="str">
        <f t="shared" ca="1" si="54"/>
        <v/>
      </c>
      <c r="AE189" s="181" t="str">
        <f t="shared" ca="1" si="55"/>
        <v/>
      </c>
      <c r="AF189" s="181" t="str">
        <f t="shared" ca="1" si="56"/>
        <v/>
      </c>
      <c r="AG189" s="181" t="str">
        <f t="shared" ca="1" si="57"/>
        <v/>
      </c>
      <c r="AH189" s="185" t="str">
        <f t="shared" ca="1" si="58"/>
        <v/>
      </c>
      <c r="AI189" s="181" t="str">
        <f t="shared" ca="1" si="59"/>
        <v/>
      </c>
      <c r="AJ189" s="181" t="str">
        <f t="shared" ca="1" si="60"/>
        <v/>
      </c>
      <c r="AK189" s="181" t="str">
        <f t="shared" ca="1" si="61"/>
        <v/>
      </c>
      <c r="AL189" s="181" t="str">
        <f t="shared" ca="1" si="62"/>
        <v/>
      </c>
      <c r="AM189" s="181" t="str">
        <f t="shared" ca="1" si="63"/>
        <v/>
      </c>
      <c r="AN189" s="181" t="str">
        <f t="shared" ca="1" si="64"/>
        <v/>
      </c>
      <c r="AO189" s="181" t="str">
        <f t="shared" ca="1" si="65"/>
        <v/>
      </c>
      <c r="AP189" s="181" t="str">
        <f t="shared" ca="1" si="66"/>
        <v/>
      </c>
      <c r="AU189" s="181" t="str">
        <f t="shared" ca="1" si="67"/>
        <v/>
      </c>
    </row>
    <row r="190" spans="1:47" ht="22.2" customHeight="1">
      <c r="A190" s="108">
        <f t="shared" si="74"/>
        <v>105</v>
      </c>
      <c r="B190" s="107" t="str">
        <f t="shared" ca="1" si="72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07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VLOOKUP("*"&amp;D190&amp;"*",商品マスタ一覧!D:H,5,FALSE)),"")</f>
        <v/>
      </c>
      <c r="O190" s="107">
        <f t="shared" ca="1" si="73"/>
        <v>0</v>
      </c>
      <c r="P190" s="107">
        <f t="shared" si="49"/>
        <v>0</v>
      </c>
      <c r="Q190" s="107" t="b">
        <f t="shared" si="50"/>
        <v>0</v>
      </c>
      <c r="R190" s="181" t="str">
        <f t="array" aca="1" ref="R190" ca="1">IFERROR(SMALL(IF(P$1:P$311&lt;&gt;0,P$1:P$311),ROW(A190)),"")</f>
        <v/>
      </c>
      <c r="S190" s="181" t="str">
        <f t="array" aca="1" ref="S190" ca="1">IF($R190&lt;&gt;"",
SUBSTITUTE(SUBSTITUTE(INDIRECT("C"&amp;$R190&amp;"")," 週3ｺｰｽ","")," 週5ｺｰｽ",""),"")</f>
        <v/>
      </c>
      <c r="T190" s="18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81" t="str">
        <f t="array" aca="1" ref="V190" ca="1">IF($R190&lt;&gt;"",
INDIRECT("G"&amp;$R190&amp;""),"")</f>
        <v/>
      </c>
      <c r="W190" s="181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8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8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81" t="str">
        <f t="shared" ca="1" si="51"/>
        <v/>
      </c>
      <c r="AA190" s="181" t="str">
        <f t="shared" ca="1" si="52"/>
        <v/>
      </c>
      <c r="AB190" s="181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81" t="str">
        <f t="shared" ca="1" si="53"/>
        <v/>
      </c>
      <c r="AD190" s="181" t="str">
        <f t="shared" ca="1" si="54"/>
        <v/>
      </c>
      <c r="AE190" s="181" t="str">
        <f t="shared" ca="1" si="55"/>
        <v/>
      </c>
      <c r="AF190" s="181" t="str">
        <f t="shared" ca="1" si="56"/>
        <v/>
      </c>
      <c r="AG190" s="181" t="str">
        <f t="shared" ca="1" si="57"/>
        <v/>
      </c>
      <c r="AH190" s="185" t="str">
        <f t="shared" ca="1" si="58"/>
        <v/>
      </c>
      <c r="AI190" s="181" t="str">
        <f t="shared" ca="1" si="59"/>
        <v/>
      </c>
      <c r="AJ190" s="181" t="str">
        <f t="shared" ca="1" si="60"/>
        <v/>
      </c>
      <c r="AK190" s="181" t="str">
        <f t="shared" ca="1" si="61"/>
        <v/>
      </c>
      <c r="AL190" s="181" t="str">
        <f t="shared" ca="1" si="62"/>
        <v/>
      </c>
      <c r="AM190" s="181" t="str">
        <f t="shared" ca="1" si="63"/>
        <v/>
      </c>
      <c r="AN190" s="181" t="str">
        <f t="shared" ca="1" si="64"/>
        <v/>
      </c>
      <c r="AO190" s="181" t="str">
        <f t="shared" ca="1" si="65"/>
        <v/>
      </c>
      <c r="AP190" s="181" t="str">
        <f t="shared" ca="1" si="66"/>
        <v/>
      </c>
      <c r="AU190" s="181" t="str">
        <f t="shared" ca="1" si="67"/>
        <v/>
      </c>
    </row>
    <row r="191" spans="1:47" ht="22.2" customHeight="1">
      <c r="A191" s="108">
        <f t="shared" si="74"/>
        <v>107</v>
      </c>
      <c r="B191" s="107" t="str">
        <f t="shared" ca="1" si="72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07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VLOOKUP("*"&amp;D191&amp;"*",商品マスタ一覧!D:H,5,FALSE)),"")</f>
        <v/>
      </c>
      <c r="O191" s="107">
        <f t="shared" ca="1" si="73"/>
        <v>0</v>
      </c>
      <c r="P191" s="107">
        <f t="shared" si="49"/>
        <v>0</v>
      </c>
      <c r="Q191" s="107" t="b">
        <f t="shared" si="50"/>
        <v>0</v>
      </c>
      <c r="R191" s="181" t="str">
        <f t="array" aca="1" ref="R191" ca="1">IFERROR(SMALL(IF(P$1:P$311&lt;&gt;0,P$1:P$311),ROW(A191)),"")</f>
        <v/>
      </c>
      <c r="S191" s="181" t="str">
        <f t="array" aca="1" ref="S191" ca="1">IF($R191&lt;&gt;"",
SUBSTITUTE(SUBSTITUTE(INDIRECT("C"&amp;$R191&amp;"")," 週3ｺｰｽ","")," 週5ｺｰｽ",""),"")</f>
        <v/>
      </c>
      <c r="T191" s="18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81" t="str">
        <f t="array" aca="1" ref="V191" ca="1">IF($R191&lt;&gt;"",
INDIRECT("G"&amp;$R191&amp;""),"")</f>
        <v/>
      </c>
      <c r="W191" s="181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8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8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81" t="str">
        <f t="shared" ca="1" si="51"/>
        <v/>
      </c>
      <c r="AA191" s="181" t="str">
        <f t="shared" ca="1" si="52"/>
        <v/>
      </c>
      <c r="AB191" s="181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81" t="str">
        <f t="shared" ca="1" si="53"/>
        <v/>
      </c>
      <c r="AD191" s="181" t="str">
        <f t="shared" ca="1" si="54"/>
        <v/>
      </c>
      <c r="AE191" s="181" t="str">
        <f t="shared" ca="1" si="55"/>
        <v/>
      </c>
      <c r="AF191" s="181" t="str">
        <f t="shared" ca="1" si="56"/>
        <v/>
      </c>
      <c r="AG191" s="181" t="str">
        <f t="shared" ca="1" si="57"/>
        <v/>
      </c>
      <c r="AH191" s="185" t="str">
        <f t="shared" ca="1" si="58"/>
        <v/>
      </c>
      <c r="AI191" s="181" t="str">
        <f t="shared" ca="1" si="59"/>
        <v/>
      </c>
      <c r="AJ191" s="181" t="str">
        <f t="shared" ca="1" si="60"/>
        <v/>
      </c>
      <c r="AK191" s="181" t="str">
        <f t="shared" ca="1" si="61"/>
        <v/>
      </c>
      <c r="AL191" s="181" t="str">
        <f t="shared" ca="1" si="62"/>
        <v/>
      </c>
      <c r="AM191" s="181" t="str">
        <f t="shared" ca="1" si="63"/>
        <v/>
      </c>
      <c r="AN191" s="181" t="str">
        <f t="shared" ca="1" si="64"/>
        <v/>
      </c>
      <c r="AO191" s="181" t="str">
        <f t="shared" ca="1" si="65"/>
        <v/>
      </c>
      <c r="AP191" s="181" t="str">
        <f t="shared" ca="1" si="66"/>
        <v/>
      </c>
      <c r="AU191" s="181" t="str">
        <f t="shared" ca="1" si="67"/>
        <v/>
      </c>
    </row>
    <row r="192" spans="1:47" ht="22.2" customHeight="1">
      <c r="A192" s="108">
        <f t="shared" si="74"/>
        <v>109</v>
      </c>
      <c r="B192" s="107" t="str">
        <f t="shared" ca="1" si="72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07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VLOOKUP("*"&amp;D192&amp;"*",商品マスタ一覧!D:H,5,FALSE)),"")</f>
        <v/>
      </c>
      <c r="O192" s="107">
        <f t="shared" ca="1" si="73"/>
        <v>0</v>
      </c>
      <c r="P192" s="107">
        <f t="shared" si="49"/>
        <v>0</v>
      </c>
      <c r="Q192" s="107" t="b">
        <f t="shared" si="50"/>
        <v>0</v>
      </c>
      <c r="R192" s="181" t="str">
        <f t="array" aca="1" ref="R192" ca="1">IFERROR(SMALL(IF(P$1:P$311&lt;&gt;0,P$1:P$311),ROW(A192)),"")</f>
        <v/>
      </c>
      <c r="S192" s="181" t="str">
        <f t="array" aca="1" ref="S192" ca="1">IF($R192&lt;&gt;"",
SUBSTITUTE(SUBSTITUTE(INDIRECT("C"&amp;$R192&amp;"")," 週3ｺｰｽ","")," 週5ｺｰｽ",""),"")</f>
        <v/>
      </c>
      <c r="T192" s="18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81" t="str">
        <f t="array" aca="1" ref="V192" ca="1">IF($R192&lt;&gt;"",
INDIRECT("G"&amp;$R192&amp;""),"")</f>
        <v/>
      </c>
      <c r="W192" s="181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8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8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81" t="str">
        <f t="shared" ca="1" si="51"/>
        <v/>
      </c>
      <c r="AA192" s="181" t="str">
        <f t="shared" ca="1" si="52"/>
        <v/>
      </c>
      <c r="AB192" s="181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81" t="str">
        <f t="shared" ca="1" si="53"/>
        <v/>
      </c>
      <c r="AD192" s="181" t="str">
        <f t="shared" ca="1" si="54"/>
        <v/>
      </c>
      <c r="AE192" s="181" t="str">
        <f t="shared" ca="1" si="55"/>
        <v/>
      </c>
      <c r="AF192" s="181" t="str">
        <f t="shared" ca="1" si="56"/>
        <v/>
      </c>
      <c r="AG192" s="181" t="str">
        <f t="shared" ca="1" si="57"/>
        <v/>
      </c>
      <c r="AH192" s="185" t="str">
        <f t="shared" ca="1" si="58"/>
        <v/>
      </c>
      <c r="AI192" s="181" t="str">
        <f t="shared" ca="1" si="59"/>
        <v/>
      </c>
      <c r="AJ192" s="181" t="str">
        <f t="shared" ca="1" si="60"/>
        <v/>
      </c>
      <c r="AK192" s="181" t="str">
        <f t="shared" ca="1" si="61"/>
        <v/>
      </c>
      <c r="AL192" s="181" t="str">
        <f t="shared" ca="1" si="62"/>
        <v/>
      </c>
      <c r="AM192" s="181" t="str">
        <f t="shared" ca="1" si="63"/>
        <v/>
      </c>
      <c r="AN192" s="181" t="str">
        <f t="shared" ca="1" si="64"/>
        <v/>
      </c>
      <c r="AO192" s="181" t="str">
        <f t="shared" ca="1" si="65"/>
        <v/>
      </c>
      <c r="AP192" s="181" t="str">
        <f t="shared" ca="1" si="66"/>
        <v/>
      </c>
      <c r="AU192" s="181" t="str">
        <f t="shared" ca="1" si="67"/>
        <v/>
      </c>
    </row>
    <row r="193" spans="1:47" ht="22.2" customHeight="1">
      <c r="A193" s="108">
        <f t="shared" si="74"/>
        <v>111</v>
      </c>
      <c r="B193" s="107" t="str">
        <f t="shared" ca="1" si="72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07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VLOOKUP("*"&amp;D193&amp;"*",商品マスタ一覧!D:H,5,FALSE)),"")</f>
        <v/>
      </c>
      <c r="O193" s="107">
        <f t="shared" ca="1" si="73"/>
        <v>0</v>
      </c>
      <c r="P193" s="107">
        <f t="shared" ref="P193:P256" si="75">IF(COUNTIF(Q193,"TRUE"),
IF(OR(COUNTIF(B193,"*'*"),H193=0),0,ROW()),0)</f>
        <v>0</v>
      </c>
      <c r="Q193" s="107" t="b">
        <f t="shared" ref="Q193:Q210" si="76">IF(C193&lt;&gt;"",
IF(OR(N193=1,COUNTIF(D193,"*朝食*"),COUNTIF(D193,"*夕食*")),TRUE,FALSE),FALSE)</f>
        <v>0</v>
      </c>
      <c r="R193" s="181" t="str">
        <f t="array" aca="1" ref="R193" ca="1">IFERROR(SMALL(IF(P$1:P$311&lt;&gt;0,P$1:P$311),ROW(A193)),"")</f>
        <v/>
      </c>
      <c r="S193" s="181" t="str">
        <f t="array" aca="1" ref="S193" ca="1">IF($R193&lt;&gt;"",
SUBSTITUTE(SUBSTITUTE(INDIRECT("C"&amp;$R193&amp;"")," 週3ｺｰｽ","")," 週5ｺｰｽ",""),"")</f>
        <v/>
      </c>
      <c r="T193" s="18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81" t="str">
        <f t="array" aca="1" ref="V193" ca="1">IF($R193&lt;&gt;"",
INDIRECT("G"&amp;$R193&amp;""),"")</f>
        <v/>
      </c>
      <c r="W193" s="181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8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8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81" t="str">
        <f t="shared" ref="Z193:Z256" ca="1" si="77">IF(R193&lt;&gt;"",
IFERROR(INT(W193/Y193),""),"")</f>
        <v/>
      </c>
      <c r="AA193" s="181" t="str">
        <f t="shared" ref="AA193:AA254" ca="1" si="78">IFERROR(MOD(W193,Y193),"")</f>
        <v/>
      </c>
      <c r="AB193" s="181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81" t="str">
        <f t="shared" ref="AC193:AC254" ca="1" si="79">IF(S193&lt;&gt;"",INDEX(A:A, MATCH("*"&amp;LEFT(S193,4)&amp;"*", C:C, 0)),"")</f>
        <v/>
      </c>
      <c r="AD193" s="181" t="str">
        <f t="shared" ref="AD193:AD256" ca="1" si="80">IFERROR(INDEX(AC:AC,MATCH(SMALL($AU:$AU,ROW()),$AU:$AU,0)),"")</f>
        <v/>
      </c>
      <c r="AE193" s="181" t="str">
        <f t="shared" ref="AE193:AE256" ca="1" si="81">IFERROR(INDEX(R:R,MATCH(SMALL($AU:$AU,ROW()),$AU:$AU,0)),"")</f>
        <v/>
      </c>
      <c r="AF193" s="181" t="str">
        <f t="shared" ref="AF193:AF256" ca="1" si="82">IFERROR(INDEX(S:S,MATCH(SMALL($AU:$AU,ROW()),$AU:$AU,0)),"")</f>
        <v/>
      </c>
      <c r="AG193" s="181" t="str">
        <f t="shared" ref="AG193:AG256" ca="1" si="83">IFERROR(INDEX(T:T,MATCH(SMALL($AU:$AU,ROW()),$AU:$AU,0)),"")</f>
        <v/>
      </c>
      <c r="AH193" s="185" t="str">
        <f t="shared" ref="AH193:AH256" ca="1" si="84">IFERROR(INDEX(U:U,MATCH(SMALL($AU:$AU,ROW()),$AU:$AU,0)),"")</f>
        <v/>
      </c>
      <c r="AI193" s="181" t="str">
        <f t="shared" ref="AI193:AI256" ca="1" si="85">IFERROR(INDEX(V:V,MATCH(SMALL($AU:$AU,ROW()),$AU:$AU,0)),"")</f>
        <v/>
      </c>
      <c r="AJ193" s="181" t="str">
        <f t="shared" ref="AJ193:AJ256" ca="1" si="86">IFERROR(INDEX(W:W,MATCH(SMALL($AU:$AU,ROW()),$AU:$AU,0)),"")</f>
        <v/>
      </c>
      <c r="AK193" s="181" t="str">
        <f t="shared" ref="AK193:AK256" ca="1" si="87">IFERROR(INDEX(X:X,MATCH(SMALL($AU:$AU,ROW()),$AU:$AU,0)),"")</f>
        <v/>
      </c>
      <c r="AL193" s="181" t="str">
        <f t="shared" ref="AL193:AL256" ca="1" si="88">IFERROR(INDEX(Y:Y,MATCH(SMALL($AU:$AU,ROW()),$AU:$AU,0)),"")</f>
        <v/>
      </c>
      <c r="AM193" s="181" t="str">
        <f t="shared" ref="AM193:AM256" ca="1" si="89">IFERROR(INDEX(Z:Z,MATCH(SMALL($AU:$AU,ROW()),$AU:$AU,0)),"")</f>
        <v/>
      </c>
      <c r="AN193" s="181" t="str">
        <f t="shared" ref="AN193:AN256" ca="1" si="90">IFERROR(INDEX(AA:AA,MATCH(SMALL($AU:$AU,ROW()),$AU:$AU,0)),"")</f>
        <v/>
      </c>
      <c r="AO193" s="181" t="str">
        <f t="shared" ref="AO193:AO256" ca="1" si="91">IFERROR(INDEX(AB:AB,MATCH(SMALL($AU:$AU,ROW()),$AU:$AU,0)),"")</f>
        <v/>
      </c>
      <c r="AP193" s="181" t="str">
        <f t="shared" ref="AP193:AP256" ca="1" si="92">IFERROR(INDEX(AC:AC,MATCH(SMALL($AU:$AU,ROW()),$AU:$AU,0)),"")</f>
        <v/>
      </c>
      <c r="AU193" s="181" t="str">
        <f t="shared" ref="AU193:AU254" ca="1" si="93">IFERROR(IF(R193&gt;=219, 1000000+R193, AC193*1000+R193),"")</f>
        <v/>
      </c>
    </row>
    <row r="194" spans="1:47" ht="22.2" customHeight="1">
      <c r="A194" s="108">
        <f t="shared" si="74"/>
        <v>113</v>
      </c>
      <c r="B194" s="107" t="str">
        <f t="shared" ca="1" si="72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07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VLOOKUP("*"&amp;D194&amp;"*",商品マスタ一覧!D:H,5,FALSE)),"")</f>
        <v/>
      </c>
      <c r="O194" s="107">
        <f t="shared" ca="1" si="73"/>
        <v>0</v>
      </c>
      <c r="P194" s="107">
        <f t="shared" si="75"/>
        <v>0</v>
      </c>
      <c r="Q194" s="107" t="b">
        <f t="shared" si="76"/>
        <v>0</v>
      </c>
      <c r="R194" s="181" t="str">
        <f t="array" aca="1" ref="R194" ca="1">IFERROR(SMALL(IF(P$1:P$311&lt;&gt;0,P$1:P$311),ROW(A194)),"")</f>
        <v/>
      </c>
      <c r="S194" s="181" t="str">
        <f t="array" aca="1" ref="S194" ca="1">IF($R194&lt;&gt;"",
SUBSTITUTE(SUBSTITUTE(INDIRECT("C"&amp;$R194&amp;"")," 週3ｺｰｽ","")," 週5ｺｰｽ",""),"")</f>
        <v/>
      </c>
      <c r="T194" s="18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81" t="str">
        <f t="array" aca="1" ref="V194" ca="1">IF($R194&lt;&gt;"",
INDIRECT("G"&amp;$R194&amp;""),"")</f>
        <v/>
      </c>
      <c r="W194" s="181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8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8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81" t="str">
        <f t="shared" ca="1" si="77"/>
        <v/>
      </c>
      <c r="AA194" s="181" t="str">
        <f t="shared" ca="1" si="78"/>
        <v/>
      </c>
      <c r="AB194" s="181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81" t="str">
        <f t="shared" ca="1" si="79"/>
        <v/>
      </c>
      <c r="AD194" s="181" t="str">
        <f t="shared" ca="1" si="80"/>
        <v/>
      </c>
      <c r="AE194" s="181" t="str">
        <f t="shared" ca="1" si="81"/>
        <v/>
      </c>
      <c r="AF194" s="181" t="str">
        <f t="shared" ca="1" si="82"/>
        <v/>
      </c>
      <c r="AG194" s="181" t="str">
        <f t="shared" ca="1" si="83"/>
        <v/>
      </c>
      <c r="AH194" s="185" t="str">
        <f t="shared" ca="1" si="84"/>
        <v/>
      </c>
      <c r="AI194" s="181" t="str">
        <f t="shared" ca="1" si="85"/>
        <v/>
      </c>
      <c r="AJ194" s="181" t="str">
        <f t="shared" ca="1" si="86"/>
        <v/>
      </c>
      <c r="AK194" s="181" t="str">
        <f t="shared" ca="1" si="87"/>
        <v/>
      </c>
      <c r="AL194" s="181" t="str">
        <f t="shared" ca="1" si="88"/>
        <v/>
      </c>
      <c r="AM194" s="181" t="str">
        <f t="shared" ca="1" si="89"/>
        <v/>
      </c>
      <c r="AN194" s="181" t="str">
        <f t="shared" ca="1" si="90"/>
        <v/>
      </c>
      <c r="AO194" s="181" t="str">
        <f t="shared" ca="1" si="91"/>
        <v/>
      </c>
      <c r="AP194" s="181" t="str">
        <f t="shared" ca="1" si="92"/>
        <v/>
      </c>
      <c r="AU194" s="181" t="str">
        <f t="shared" ca="1" si="93"/>
        <v/>
      </c>
    </row>
    <row r="195" spans="1:47" ht="22.2" customHeight="1">
      <c r="A195" s="108">
        <f t="shared" si="74"/>
        <v>115</v>
      </c>
      <c r="B195" s="107" t="str">
        <f t="shared" ca="1" si="72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07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VLOOKUP("*"&amp;D195&amp;"*",商品マスタ一覧!D:H,5,FALSE)),"")</f>
        <v/>
      </c>
      <c r="O195" s="107">
        <f t="shared" ca="1" si="73"/>
        <v>0</v>
      </c>
      <c r="P195" s="107">
        <f t="shared" si="75"/>
        <v>0</v>
      </c>
      <c r="Q195" s="107" t="b">
        <f t="shared" si="76"/>
        <v>0</v>
      </c>
      <c r="R195" s="181" t="str">
        <f t="array" aca="1" ref="R195" ca="1">IFERROR(SMALL(IF(P$1:P$311&lt;&gt;0,P$1:P$311),ROW(A195)),"")</f>
        <v/>
      </c>
      <c r="S195" s="181" t="str">
        <f t="array" aca="1" ref="S195" ca="1">IF($R195&lt;&gt;"",
SUBSTITUTE(SUBSTITUTE(INDIRECT("C"&amp;$R195&amp;"")," 週3ｺｰｽ","")," 週5ｺｰｽ",""),"")</f>
        <v/>
      </c>
      <c r="T195" s="18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81" t="str">
        <f t="array" aca="1" ref="V195" ca="1">IF($R195&lt;&gt;"",
INDIRECT("G"&amp;$R195&amp;""),"")</f>
        <v/>
      </c>
      <c r="W195" s="181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8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8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81" t="str">
        <f t="shared" ca="1" si="77"/>
        <v/>
      </c>
      <c r="AA195" s="181" t="str">
        <f t="shared" ca="1" si="78"/>
        <v/>
      </c>
      <c r="AB195" s="181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81" t="str">
        <f t="shared" ca="1" si="79"/>
        <v/>
      </c>
      <c r="AD195" s="181" t="str">
        <f t="shared" ca="1" si="80"/>
        <v/>
      </c>
      <c r="AE195" s="181" t="str">
        <f t="shared" ca="1" si="81"/>
        <v/>
      </c>
      <c r="AF195" s="181" t="str">
        <f t="shared" ca="1" si="82"/>
        <v/>
      </c>
      <c r="AG195" s="181" t="str">
        <f t="shared" ca="1" si="83"/>
        <v/>
      </c>
      <c r="AH195" s="185" t="str">
        <f t="shared" ca="1" si="84"/>
        <v/>
      </c>
      <c r="AI195" s="181" t="str">
        <f t="shared" ca="1" si="85"/>
        <v/>
      </c>
      <c r="AJ195" s="181" t="str">
        <f t="shared" ca="1" si="86"/>
        <v/>
      </c>
      <c r="AK195" s="181" t="str">
        <f t="shared" ca="1" si="87"/>
        <v/>
      </c>
      <c r="AL195" s="181" t="str">
        <f t="shared" ca="1" si="88"/>
        <v/>
      </c>
      <c r="AM195" s="181" t="str">
        <f t="shared" ca="1" si="89"/>
        <v/>
      </c>
      <c r="AN195" s="181" t="str">
        <f t="shared" ca="1" si="90"/>
        <v/>
      </c>
      <c r="AO195" s="181" t="str">
        <f t="shared" ca="1" si="91"/>
        <v/>
      </c>
      <c r="AP195" s="181" t="str">
        <f t="shared" ca="1" si="92"/>
        <v/>
      </c>
      <c r="AU195" s="181" t="str">
        <f t="shared" ca="1" si="93"/>
        <v/>
      </c>
    </row>
    <row r="196" spans="1:47" ht="22.2" customHeight="1">
      <c r="A196" s="108">
        <f t="shared" si="74"/>
        <v>117</v>
      </c>
      <c r="B196" s="107" t="str">
        <f t="shared" ca="1" si="72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07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VLOOKUP("*"&amp;D196&amp;"*",商品マスタ一覧!D:H,5,FALSE)),"")</f>
        <v/>
      </c>
      <c r="O196" s="107">
        <f t="shared" ca="1" si="73"/>
        <v>0</v>
      </c>
      <c r="P196" s="107">
        <f t="shared" si="75"/>
        <v>0</v>
      </c>
      <c r="Q196" s="107" t="b">
        <f t="shared" si="76"/>
        <v>0</v>
      </c>
      <c r="R196" s="181" t="str">
        <f t="array" aca="1" ref="R196" ca="1">IFERROR(SMALL(IF(P$1:P$311&lt;&gt;0,P$1:P$311),ROW(A196)),"")</f>
        <v/>
      </c>
      <c r="S196" s="181" t="str">
        <f t="array" aca="1" ref="S196" ca="1">IF($R196&lt;&gt;"",
SUBSTITUTE(SUBSTITUTE(INDIRECT("C"&amp;$R196&amp;"")," 週3ｺｰｽ","")," 週5ｺｰｽ",""),"")</f>
        <v/>
      </c>
      <c r="T196" s="18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81" t="str">
        <f t="array" aca="1" ref="V196" ca="1">IF($R196&lt;&gt;"",
INDIRECT("G"&amp;$R196&amp;""),"")</f>
        <v/>
      </c>
      <c r="W196" s="181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8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8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81" t="str">
        <f t="shared" ca="1" si="77"/>
        <v/>
      </c>
      <c r="AA196" s="181" t="str">
        <f t="shared" ca="1" si="78"/>
        <v/>
      </c>
      <c r="AB196" s="181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81" t="str">
        <f t="shared" ca="1" si="79"/>
        <v/>
      </c>
      <c r="AD196" s="181" t="str">
        <f t="shared" ca="1" si="80"/>
        <v/>
      </c>
      <c r="AE196" s="181" t="str">
        <f t="shared" ca="1" si="81"/>
        <v/>
      </c>
      <c r="AF196" s="181" t="str">
        <f t="shared" ca="1" si="82"/>
        <v/>
      </c>
      <c r="AG196" s="181" t="str">
        <f t="shared" ca="1" si="83"/>
        <v/>
      </c>
      <c r="AH196" s="185" t="str">
        <f t="shared" ca="1" si="84"/>
        <v/>
      </c>
      <c r="AI196" s="181" t="str">
        <f t="shared" ca="1" si="85"/>
        <v/>
      </c>
      <c r="AJ196" s="181" t="str">
        <f t="shared" ca="1" si="86"/>
        <v/>
      </c>
      <c r="AK196" s="181" t="str">
        <f t="shared" ca="1" si="87"/>
        <v/>
      </c>
      <c r="AL196" s="181" t="str">
        <f t="shared" ca="1" si="88"/>
        <v/>
      </c>
      <c r="AM196" s="181" t="str">
        <f t="shared" ca="1" si="89"/>
        <v/>
      </c>
      <c r="AN196" s="181" t="str">
        <f t="shared" ca="1" si="90"/>
        <v/>
      </c>
      <c r="AO196" s="181" t="str">
        <f t="shared" ca="1" si="91"/>
        <v/>
      </c>
      <c r="AP196" s="181" t="str">
        <f t="shared" ca="1" si="92"/>
        <v/>
      </c>
      <c r="AU196" s="181" t="str">
        <f t="shared" ca="1" si="93"/>
        <v/>
      </c>
    </row>
    <row r="197" spans="1:47" ht="22.2" customHeight="1">
      <c r="A197" s="108">
        <f t="shared" si="74"/>
        <v>119</v>
      </c>
      <c r="B197" s="107" t="str">
        <f t="shared" ca="1" si="72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07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VLOOKUP("*"&amp;D197&amp;"*",商品マスタ一覧!D:H,5,FALSE)),"")</f>
        <v/>
      </c>
      <c r="O197" s="107">
        <f t="shared" ca="1" si="73"/>
        <v>0</v>
      </c>
      <c r="P197" s="107">
        <f t="shared" si="75"/>
        <v>0</v>
      </c>
      <c r="Q197" s="107" t="b">
        <f t="shared" si="76"/>
        <v>0</v>
      </c>
      <c r="R197" s="181" t="str">
        <f t="array" aca="1" ref="R197" ca="1">IFERROR(SMALL(IF(P$1:P$311&lt;&gt;0,P$1:P$311),ROW(A197)),"")</f>
        <v/>
      </c>
      <c r="S197" s="181" t="str">
        <f t="array" aca="1" ref="S197" ca="1">IF($R197&lt;&gt;"",
SUBSTITUTE(SUBSTITUTE(INDIRECT("C"&amp;$R197&amp;"")," 週3ｺｰｽ","")," 週5ｺｰｽ",""),"")</f>
        <v/>
      </c>
      <c r="T197" s="18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81" t="str">
        <f t="array" aca="1" ref="V197" ca="1">IF($R197&lt;&gt;"",
INDIRECT("G"&amp;$R197&amp;""),"")</f>
        <v/>
      </c>
      <c r="W197" s="181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8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8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81" t="str">
        <f t="shared" ca="1" si="77"/>
        <v/>
      </c>
      <c r="AA197" s="181" t="str">
        <f t="shared" ca="1" si="78"/>
        <v/>
      </c>
      <c r="AB197" s="181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81" t="str">
        <f t="shared" ca="1" si="79"/>
        <v/>
      </c>
      <c r="AD197" s="181" t="str">
        <f t="shared" ca="1" si="80"/>
        <v/>
      </c>
      <c r="AE197" s="181" t="str">
        <f t="shared" ca="1" si="81"/>
        <v/>
      </c>
      <c r="AF197" s="181" t="str">
        <f t="shared" ca="1" si="82"/>
        <v/>
      </c>
      <c r="AG197" s="181" t="str">
        <f t="shared" ca="1" si="83"/>
        <v/>
      </c>
      <c r="AH197" s="185" t="str">
        <f t="shared" ca="1" si="84"/>
        <v/>
      </c>
      <c r="AI197" s="181" t="str">
        <f t="shared" ca="1" si="85"/>
        <v/>
      </c>
      <c r="AJ197" s="181" t="str">
        <f t="shared" ca="1" si="86"/>
        <v/>
      </c>
      <c r="AK197" s="181" t="str">
        <f t="shared" ca="1" si="87"/>
        <v/>
      </c>
      <c r="AL197" s="181" t="str">
        <f t="shared" ca="1" si="88"/>
        <v/>
      </c>
      <c r="AM197" s="181" t="str">
        <f t="shared" ca="1" si="89"/>
        <v/>
      </c>
      <c r="AN197" s="181" t="str">
        <f t="shared" ca="1" si="90"/>
        <v/>
      </c>
      <c r="AO197" s="181" t="str">
        <f t="shared" ca="1" si="91"/>
        <v/>
      </c>
      <c r="AP197" s="181" t="str">
        <f t="shared" ca="1" si="92"/>
        <v/>
      </c>
      <c r="AU197" s="181" t="str">
        <f t="shared" ca="1" si="93"/>
        <v/>
      </c>
    </row>
    <row r="198" spans="1:47" ht="22.2" customHeight="1">
      <c r="A198" s="108">
        <f t="shared" si="74"/>
        <v>121</v>
      </c>
      <c r="B198" s="107" t="str">
        <f t="shared" ca="1" si="72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07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VLOOKUP("*"&amp;D198&amp;"*",商品マスタ一覧!D:H,5,FALSE)),"")</f>
        <v/>
      </c>
      <c r="O198" s="107">
        <f t="shared" ca="1" si="73"/>
        <v>0</v>
      </c>
      <c r="P198" s="107">
        <f t="shared" si="75"/>
        <v>0</v>
      </c>
      <c r="Q198" s="107" t="b">
        <f t="shared" si="76"/>
        <v>0</v>
      </c>
      <c r="R198" s="181" t="str">
        <f t="array" aca="1" ref="R198" ca="1">IFERROR(SMALL(IF(P$1:P$311&lt;&gt;0,P$1:P$311),ROW(A198)),"")</f>
        <v/>
      </c>
      <c r="S198" s="181" t="str">
        <f t="array" aca="1" ref="S198" ca="1">IF($R198&lt;&gt;"",
SUBSTITUTE(SUBSTITUTE(INDIRECT("C"&amp;$R198&amp;"")," 週3ｺｰｽ","")," 週5ｺｰｽ",""),"")</f>
        <v/>
      </c>
      <c r="T198" s="18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81" t="str">
        <f t="array" aca="1" ref="V198" ca="1">IF($R198&lt;&gt;"",
INDIRECT("G"&amp;$R198&amp;""),"")</f>
        <v/>
      </c>
      <c r="W198" s="181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8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8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81" t="str">
        <f t="shared" ca="1" si="77"/>
        <v/>
      </c>
      <c r="AA198" s="181" t="str">
        <f t="shared" ca="1" si="78"/>
        <v/>
      </c>
      <c r="AB198" s="181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81" t="str">
        <f t="shared" ca="1" si="79"/>
        <v/>
      </c>
      <c r="AD198" s="181" t="str">
        <f t="shared" ca="1" si="80"/>
        <v/>
      </c>
      <c r="AE198" s="181" t="str">
        <f t="shared" ca="1" si="81"/>
        <v/>
      </c>
      <c r="AF198" s="181" t="str">
        <f t="shared" ca="1" si="82"/>
        <v/>
      </c>
      <c r="AG198" s="181" t="str">
        <f t="shared" ca="1" si="83"/>
        <v/>
      </c>
      <c r="AH198" s="185" t="str">
        <f t="shared" ca="1" si="84"/>
        <v/>
      </c>
      <c r="AI198" s="181" t="str">
        <f t="shared" ca="1" si="85"/>
        <v/>
      </c>
      <c r="AJ198" s="181" t="str">
        <f t="shared" ca="1" si="86"/>
        <v/>
      </c>
      <c r="AK198" s="181" t="str">
        <f t="shared" ca="1" si="87"/>
        <v/>
      </c>
      <c r="AL198" s="181" t="str">
        <f t="shared" ca="1" si="88"/>
        <v/>
      </c>
      <c r="AM198" s="181" t="str">
        <f t="shared" ca="1" si="89"/>
        <v/>
      </c>
      <c r="AN198" s="181" t="str">
        <f t="shared" ca="1" si="90"/>
        <v/>
      </c>
      <c r="AO198" s="181" t="str">
        <f t="shared" ca="1" si="91"/>
        <v/>
      </c>
      <c r="AP198" s="181" t="str">
        <f t="shared" ca="1" si="92"/>
        <v/>
      </c>
      <c r="AU198" s="181" t="str">
        <f t="shared" ca="1" si="93"/>
        <v/>
      </c>
    </row>
    <row r="199" spans="1:47" ht="22.2" customHeight="1">
      <c r="A199" s="108">
        <f t="shared" si="74"/>
        <v>123</v>
      </c>
      <c r="B199" s="107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07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VLOOKUP("*"&amp;D199&amp;"*",商品マスタ一覧!D:H,5,FALSE)),"")</f>
        <v/>
      </c>
      <c r="O199" s="107">
        <f t="shared" ca="1" si="73"/>
        <v>0</v>
      </c>
      <c r="P199" s="107">
        <f t="shared" si="75"/>
        <v>0</v>
      </c>
      <c r="Q199" s="107" t="b">
        <f t="shared" si="76"/>
        <v>0</v>
      </c>
      <c r="R199" s="181" t="str">
        <f t="array" aca="1" ref="R199" ca="1">IFERROR(SMALL(IF(P$1:P$311&lt;&gt;0,P$1:P$311),ROW(A199)),"")</f>
        <v/>
      </c>
      <c r="S199" s="181" t="str">
        <f t="array" aca="1" ref="S199" ca="1">IF($R199&lt;&gt;"",
SUBSTITUTE(SUBSTITUTE(INDIRECT("C"&amp;$R199&amp;"")," 週3ｺｰｽ","")," 週5ｺｰｽ",""),"")</f>
        <v/>
      </c>
      <c r="T199" s="18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81" t="str">
        <f t="array" aca="1" ref="V199" ca="1">IF($R199&lt;&gt;"",
INDIRECT("G"&amp;$R199&amp;""),"")</f>
        <v/>
      </c>
      <c r="W199" s="181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8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8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81" t="str">
        <f t="shared" ca="1" si="77"/>
        <v/>
      </c>
      <c r="AA199" s="181" t="str">
        <f t="shared" ca="1" si="78"/>
        <v/>
      </c>
      <c r="AB199" s="181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81" t="str">
        <f t="shared" ca="1" si="79"/>
        <v/>
      </c>
      <c r="AD199" s="181" t="str">
        <f t="shared" ca="1" si="80"/>
        <v/>
      </c>
      <c r="AE199" s="181" t="str">
        <f t="shared" ca="1" si="81"/>
        <v/>
      </c>
      <c r="AF199" s="181" t="str">
        <f t="shared" ca="1" si="82"/>
        <v/>
      </c>
      <c r="AG199" s="181" t="str">
        <f t="shared" ca="1" si="83"/>
        <v/>
      </c>
      <c r="AH199" s="185" t="str">
        <f t="shared" ca="1" si="84"/>
        <v/>
      </c>
      <c r="AI199" s="181" t="str">
        <f t="shared" ca="1" si="85"/>
        <v/>
      </c>
      <c r="AJ199" s="181" t="str">
        <f t="shared" ca="1" si="86"/>
        <v/>
      </c>
      <c r="AK199" s="181" t="str">
        <f t="shared" ca="1" si="87"/>
        <v/>
      </c>
      <c r="AL199" s="181" t="str">
        <f t="shared" ca="1" si="88"/>
        <v/>
      </c>
      <c r="AM199" s="181" t="str">
        <f t="shared" ca="1" si="89"/>
        <v/>
      </c>
      <c r="AN199" s="181" t="str">
        <f t="shared" ca="1" si="90"/>
        <v/>
      </c>
      <c r="AO199" s="181" t="str">
        <f t="shared" ca="1" si="91"/>
        <v/>
      </c>
      <c r="AP199" s="181" t="str">
        <f t="shared" ca="1" si="92"/>
        <v/>
      </c>
      <c r="AU199" s="181" t="str">
        <f t="shared" ca="1" si="93"/>
        <v/>
      </c>
    </row>
    <row r="200" spans="1:47" ht="22.2" customHeight="1">
      <c r="A200" s="108">
        <f t="shared" si="74"/>
        <v>125</v>
      </c>
      <c r="B200" s="107" t="str">
        <f t="shared" ca="1" si="94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07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VLOOKUP("*"&amp;D200&amp;"*",商品マスタ一覧!D:H,5,FALSE)),"")</f>
        <v/>
      </c>
      <c r="O200" s="107">
        <f t="shared" ca="1" si="73"/>
        <v>0</v>
      </c>
      <c r="P200" s="107">
        <f t="shared" si="75"/>
        <v>0</v>
      </c>
      <c r="Q200" s="107" t="b">
        <f t="shared" si="76"/>
        <v>0</v>
      </c>
      <c r="R200" s="181" t="str">
        <f t="array" aca="1" ref="R200" ca="1">IFERROR(SMALL(IF(P$1:P$311&lt;&gt;0,P$1:P$311),ROW(A200)),"")</f>
        <v/>
      </c>
      <c r="S200" s="181" t="str">
        <f t="array" aca="1" ref="S200" ca="1">IF($R200&lt;&gt;"",
SUBSTITUTE(SUBSTITUTE(INDIRECT("C"&amp;$R200&amp;"")," 週3ｺｰｽ","")," 週5ｺｰｽ",""),"")</f>
        <v/>
      </c>
      <c r="T200" s="18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81" t="str">
        <f t="array" aca="1" ref="V200" ca="1">IF($R200&lt;&gt;"",
INDIRECT("G"&amp;$R200&amp;""),"")</f>
        <v/>
      </c>
      <c r="W200" s="181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8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8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81" t="str">
        <f t="shared" ca="1" si="77"/>
        <v/>
      </c>
      <c r="AA200" s="181" t="str">
        <f t="shared" ca="1" si="78"/>
        <v/>
      </c>
      <c r="AB200" s="181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81" t="str">
        <f t="shared" ca="1" si="79"/>
        <v/>
      </c>
      <c r="AD200" s="181" t="str">
        <f t="shared" ca="1" si="80"/>
        <v/>
      </c>
      <c r="AE200" s="181" t="str">
        <f t="shared" ca="1" si="81"/>
        <v/>
      </c>
      <c r="AF200" s="181" t="str">
        <f t="shared" ca="1" si="82"/>
        <v/>
      </c>
      <c r="AG200" s="181" t="str">
        <f t="shared" ca="1" si="83"/>
        <v/>
      </c>
      <c r="AH200" s="185" t="str">
        <f t="shared" ca="1" si="84"/>
        <v/>
      </c>
      <c r="AI200" s="181" t="str">
        <f t="shared" ca="1" si="85"/>
        <v/>
      </c>
      <c r="AJ200" s="181" t="str">
        <f t="shared" ca="1" si="86"/>
        <v/>
      </c>
      <c r="AK200" s="181" t="str">
        <f t="shared" ca="1" si="87"/>
        <v/>
      </c>
      <c r="AL200" s="181" t="str">
        <f t="shared" ca="1" si="88"/>
        <v/>
      </c>
      <c r="AM200" s="181" t="str">
        <f t="shared" ca="1" si="89"/>
        <v/>
      </c>
      <c r="AN200" s="181" t="str">
        <f t="shared" ca="1" si="90"/>
        <v/>
      </c>
      <c r="AO200" s="181" t="str">
        <f t="shared" ca="1" si="91"/>
        <v/>
      </c>
      <c r="AP200" s="181" t="str">
        <f t="shared" ca="1" si="92"/>
        <v/>
      </c>
      <c r="AU200" s="181" t="str">
        <f t="shared" ca="1" si="93"/>
        <v/>
      </c>
    </row>
    <row r="201" spans="1:47" ht="22.2" customHeight="1">
      <c r="A201" s="108">
        <f t="shared" si="74"/>
        <v>127</v>
      </c>
      <c r="B201" s="107" t="str">
        <f t="shared" ca="1" si="94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07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VLOOKUP("*"&amp;D201&amp;"*",商品マスタ一覧!D:H,5,FALSE)),"")</f>
        <v/>
      </c>
      <c r="O201" s="107">
        <f t="shared" ca="1" si="73"/>
        <v>0</v>
      </c>
      <c r="P201" s="107">
        <f t="shared" si="75"/>
        <v>0</v>
      </c>
      <c r="Q201" s="107" t="b">
        <f t="shared" si="76"/>
        <v>0</v>
      </c>
      <c r="R201" s="181" t="str">
        <f t="array" aca="1" ref="R201" ca="1">IFERROR(SMALL(IF(P$1:P$311&lt;&gt;0,P$1:P$311),ROW(A201)),"")</f>
        <v/>
      </c>
      <c r="S201" s="181" t="str">
        <f t="array" aca="1" ref="S201" ca="1">IF($R201&lt;&gt;"",
SUBSTITUTE(SUBSTITUTE(INDIRECT("C"&amp;$R201&amp;"")," 週3ｺｰｽ","")," 週5ｺｰｽ",""),"")</f>
        <v/>
      </c>
      <c r="T201" s="18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81" t="str">
        <f t="array" aca="1" ref="V201" ca="1">IF($R201&lt;&gt;"",
INDIRECT("G"&amp;$R201&amp;""),"")</f>
        <v/>
      </c>
      <c r="W201" s="181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8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8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81" t="str">
        <f t="shared" ca="1" si="77"/>
        <v/>
      </c>
      <c r="AA201" s="181" t="str">
        <f t="shared" ca="1" si="78"/>
        <v/>
      </c>
      <c r="AB201" s="181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81" t="str">
        <f t="shared" ca="1" si="79"/>
        <v/>
      </c>
      <c r="AD201" s="181" t="str">
        <f t="shared" ca="1" si="80"/>
        <v/>
      </c>
      <c r="AE201" s="181" t="str">
        <f t="shared" ca="1" si="81"/>
        <v/>
      </c>
      <c r="AF201" s="181" t="str">
        <f t="shared" ca="1" si="82"/>
        <v/>
      </c>
      <c r="AG201" s="181" t="str">
        <f t="shared" ca="1" si="83"/>
        <v/>
      </c>
      <c r="AH201" s="185" t="str">
        <f t="shared" ca="1" si="84"/>
        <v/>
      </c>
      <c r="AI201" s="181" t="str">
        <f t="shared" ca="1" si="85"/>
        <v/>
      </c>
      <c r="AJ201" s="181" t="str">
        <f t="shared" ca="1" si="86"/>
        <v/>
      </c>
      <c r="AK201" s="181" t="str">
        <f t="shared" ca="1" si="87"/>
        <v/>
      </c>
      <c r="AL201" s="181" t="str">
        <f t="shared" ca="1" si="88"/>
        <v/>
      </c>
      <c r="AM201" s="181" t="str">
        <f t="shared" ca="1" si="89"/>
        <v/>
      </c>
      <c r="AN201" s="181" t="str">
        <f t="shared" ca="1" si="90"/>
        <v/>
      </c>
      <c r="AO201" s="181" t="str">
        <f t="shared" ca="1" si="91"/>
        <v/>
      </c>
      <c r="AP201" s="181" t="str">
        <f t="shared" ca="1" si="92"/>
        <v/>
      </c>
      <c r="AU201" s="181" t="str">
        <f t="shared" ca="1" si="93"/>
        <v/>
      </c>
    </row>
    <row r="202" spans="1:47" ht="22.2" customHeight="1">
      <c r="A202" s="108">
        <f t="shared" si="74"/>
        <v>129</v>
      </c>
      <c r="B202" s="107" t="str">
        <f t="shared" ca="1" si="94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07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VLOOKUP("*"&amp;D202&amp;"*",商品マスタ一覧!D:H,5,FALSE)),"")</f>
        <v/>
      </c>
      <c r="O202" s="107">
        <f t="shared" ca="1" si="73"/>
        <v>0</v>
      </c>
      <c r="P202" s="107">
        <f t="shared" si="75"/>
        <v>0</v>
      </c>
      <c r="Q202" s="107" t="b">
        <f t="shared" si="76"/>
        <v>0</v>
      </c>
      <c r="R202" s="181" t="str">
        <f t="array" aca="1" ref="R202" ca="1">IFERROR(SMALL(IF(P$1:P$311&lt;&gt;0,P$1:P$311),ROW(A202)),"")</f>
        <v/>
      </c>
      <c r="S202" s="181" t="str">
        <f t="array" aca="1" ref="S202" ca="1">IF($R202&lt;&gt;"",
SUBSTITUTE(SUBSTITUTE(INDIRECT("C"&amp;$R202&amp;"")," 週3ｺｰｽ","")," 週5ｺｰｽ",""),"")</f>
        <v/>
      </c>
      <c r="T202" s="18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81" t="str">
        <f t="array" aca="1" ref="V202" ca="1">IF($R202&lt;&gt;"",
INDIRECT("G"&amp;$R202&amp;""),"")</f>
        <v/>
      </c>
      <c r="W202" s="181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8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8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81" t="str">
        <f t="shared" ca="1" si="77"/>
        <v/>
      </c>
      <c r="AA202" s="181" t="str">
        <f t="shared" ca="1" si="78"/>
        <v/>
      </c>
      <c r="AB202" s="181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81" t="str">
        <f t="shared" ca="1" si="79"/>
        <v/>
      </c>
      <c r="AD202" s="181" t="str">
        <f t="shared" ca="1" si="80"/>
        <v/>
      </c>
      <c r="AE202" s="181" t="str">
        <f t="shared" ca="1" si="81"/>
        <v/>
      </c>
      <c r="AF202" s="181" t="str">
        <f t="shared" ca="1" si="82"/>
        <v/>
      </c>
      <c r="AG202" s="181" t="str">
        <f t="shared" ca="1" si="83"/>
        <v/>
      </c>
      <c r="AH202" s="185" t="str">
        <f t="shared" ca="1" si="84"/>
        <v/>
      </c>
      <c r="AI202" s="181" t="str">
        <f t="shared" ca="1" si="85"/>
        <v/>
      </c>
      <c r="AJ202" s="181" t="str">
        <f t="shared" ca="1" si="86"/>
        <v/>
      </c>
      <c r="AK202" s="181" t="str">
        <f t="shared" ca="1" si="87"/>
        <v/>
      </c>
      <c r="AL202" s="181" t="str">
        <f t="shared" ca="1" si="88"/>
        <v/>
      </c>
      <c r="AM202" s="181" t="str">
        <f t="shared" ca="1" si="89"/>
        <v/>
      </c>
      <c r="AN202" s="181" t="str">
        <f t="shared" ca="1" si="90"/>
        <v/>
      </c>
      <c r="AO202" s="181" t="str">
        <f t="shared" ca="1" si="91"/>
        <v/>
      </c>
      <c r="AP202" s="181" t="str">
        <f t="shared" ca="1" si="92"/>
        <v/>
      </c>
      <c r="AU202" s="181" t="str">
        <f t="shared" ca="1" si="93"/>
        <v/>
      </c>
    </row>
    <row r="203" spans="1:47" ht="22.2" customHeight="1">
      <c r="A203" s="108">
        <f t="shared" si="74"/>
        <v>131</v>
      </c>
      <c r="B203" s="107" t="str">
        <f t="shared" ca="1" si="94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07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VLOOKUP("*"&amp;D203&amp;"*",商品マスタ一覧!D:H,5,FALSE)),"")</f>
        <v/>
      </c>
      <c r="O203" s="107">
        <f t="shared" ca="1" si="73"/>
        <v>0</v>
      </c>
      <c r="P203" s="107">
        <f t="shared" si="75"/>
        <v>0</v>
      </c>
      <c r="Q203" s="107" t="b">
        <f t="shared" si="76"/>
        <v>0</v>
      </c>
      <c r="R203" s="181" t="str">
        <f t="array" aca="1" ref="R203" ca="1">IFERROR(SMALL(IF(P$1:P$311&lt;&gt;0,P$1:P$311),ROW(A203)),"")</f>
        <v/>
      </c>
      <c r="S203" s="181" t="str">
        <f t="array" aca="1" ref="S203" ca="1">IF($R203&lt;&gt;"",
SUBSTITUTE(SUBSTITUTE(INDIRECT("C"&amp;$R203&amp;"")," 週3ｺｰｽ","")," 週5ｺｰｽ",""),"")</f>
        <v/>
      </c>
      <c r="T203" s="18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81" t="str">
        <f t="array" aca="1" ref="V203" ca="1">IF($R203&lt;&gt;"",
INDIRECT("G"&amp;$R203&amp;""),"")</f>
        <v/>
      </c>
      <c r="W203" s="181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8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8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81" t="str">
        <f t="shared" ca="1" si="77"/>
        <v/>
      </c>
      <c r="AA203" s="181" t="str">
        <f t="shared" ca="1" si="78"/>
        <v/>
      </c>
      <c r="AB203" s="181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81" t="str">
        <f t="shared" ca="1" si="79"/>
        <v/>
      </c>
      <c r="AD203" s="181" t="str">
        <f t="shared" ca="1" si="80"/>
        <v/>
      </c>
      <c r="AE203" s="181" t="str">
        <f t="shared" ca="1" si="81"/>
        <v/>
      </c>
      <c r="AF203" s="181" t="str">
        <f t="shared" ca="1" si="82"/>
        <v/>
      </c>
      <c r="AG203" s="181" t="str">
        <f t="shared" ca="1" si="83"/>
        <v/>
      </c>
      <c r="AH203" s="185" t="str">
        <f t="shared" ca="1" si="84"/>
        <v/>
      </c>
      <c r="AI203" s="181" t="str">
        <f t="shared" ca="1" si="85"/>
        <v/>
      </c>
      <c r="AJ203" s="181" t="str">
        <f t="shared" ca="1" si="86"/>
        <v/>
      </c>
      <c r="AK203" s="181" t="str">
        <f t="shared" ca="1" si="87"/>
        <v/>
      </c>
      <c r="AL203" s="181" t="str">
        <f t="shared" ca="1" si="88"/>
        <v/>
      </c>
      <c r="AM203" s="181" t="str">
        <f t="shared" ca="1" si="89"/>
        <v/>
      </c>
      <c r="AN203" s="181" t="str">
        <f t="shared" ca="1" si="90"/>
        <v/>
      </c>
      <c r="AO203" s="181" t="str">
        <f t="shared" ca="1" si="91"/>
        <v/>
      </c>
      <c r="AP203" s="181" t="str">
        <f t="shared" ca="1" si="92"/>
        <v/>
      </c>
      <c r="AU203" s="181" t="str">
        <f t="shared" ca="1" si="93"/>
        <v/>
      </c>
    </row>
    <row r="204" spans="1:47" ht="22.2" customHeight="1">
      <c r="A204" s="108">
        <f t="shared" si="74"/>
        <v>133</v>
      </c>
      <c r="B204" s="107" t="str">
        <f t="shared" ca="1" si="94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07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VLOOKUP("*"&amp;D204&amp;"*",商品マスタ一覧!D:H,5,FALSE)),"")</f>
        <v/>
      </c>
      <c r="O204" s="107">
        <f t="shared" ca="1" si="73"/>
        <v>0</v>
      </c>
      <c r="P204" s="107">
        <f t="shared" si="75"/>
        <v>0</v>
      </c>
      <c r="Q204" s="107" t="b">
        <f t="shared" si="76"/>
        <v>0</v>
      </c>
      <c r="R204" s="181" t="str">
        <f t="array" aca="1" ref="R204" ca="1">IFERROR(SMALL(IF(P$1:P$311&lt;&gt;0,P$1:P$311),ROW(A204)),"")</f>
        <v/>
      </c>
      <c r="S204" s="181" t="str">
        <f t="array" aca="1" ref="S204" ca="1">IF($R204&lt;&gt;"",
SUBSTITUTE(SUBSTITUTE(INDIRECT("C"&amp;$R204&amp;"")," 週3ｺｰｽ","")," 週5ｺｰｽ",""),"")</f>
        <v/>
      </c>
      <c r="T204" s="18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81" t="str">
        <f t="array" aca="1" ref="V204" ca="1">IF($R204&lt;&gt;"",
INDIRECT("G"&amp;$R204&amp;""),"")</f>
        <v/>
      </c>
      <c r="W204" s="181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8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8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81" t="str">
        <f t="shared" ca="1" si="77"/>
        <v/>
      </c>
      <c r="AA204" s="181" t="str">
        <f t="shared" ca="1" si="78"/>
        <v/>
      </c>
      <c r="AB204" s="181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81" t="str">
        <f t="shared" ca="1" si="79"/>
        <v/>
      </c>
      <c r="AD204" s="181" t="str">
        <f t="shared" ca="1" si="80"/>
        <v/>
      </c>
      <c r="AE204" s="181" t="str">
        <f t="shared" ca="1" si="81"/>
        <v/>
      </c>
      <c r="AF204" s="181" t="str">
        <f t="shared" ca="1" si="82"/>
        <v/>
      </c>
      <c r="AG204" s="181" t="str">
        <f t="shared" ca="1" si="83"/>
        <v/>
      </c>
      <c r="AH204" s="185" t="str">
        <f t="shared" ca="1" si="84"/>
        <v/>
      </c>
      <c r="AI204" s="181" t="str">
        <f t="shared" ca="1" si="85"/>
        <v/>
      </c>
      <c r="AJ204" s="181" t="str">
        <f t="shared" ca="1" si="86"/>
        <v/>
      </c>
      <c r="AK204" s="181" t="str">
        <f t="shared" ca="1" si="87"/>
        <v/>
      </c>
      <c r="AL204" s="181" t="str">
        <f t="shared" ca="1" si="88"/>
        <v/>
      </c>
      <c r="AM204" s="181" t="str">
        <f t="shared" ca="1" si="89"/>
        <v/>
      </c>
      <c r="AN204" s="181" t="str">
        <f t="shared" ca="1" si="90"/>
        <v/>
      </c>
      <c r="AO204" s="181" t="str">
        <f t="shared" ca="1" si="91"/>
        <v/>
      </c>
      <c r="AP204" s="181" t="str">
        <f t="shared" ca="1" si="92"/>
        <v/>
      </c>
      <c r="AU204" s="181" t="str">
        <f t="shared" ca="1" si="93"/>
        <v/>
      </c>
    </row>
    <row r="205" spans="1:47" ht="22.2" customHeight="1">
      <c r="A205" s="108">
        <f t="shared" si="74"/>
        <v>135</v>
      </c>
      <c r="B205" s="107" t="str">
        <f t="shared" ca="1" si="94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07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VLOOKUP("*"&amp;D205&amp;"*",商品マスタ一覧!D:H,5,FALSE)),"")</f>
        <v/>
      </c>
      <c r="O205" s="107">
        <f t="shared" ref="O205:O236" ca="1" si="95">O65</f>
        <v>0</v>
      </c>
      <c r="P205" s="107">
        <f t="shared" si="75"/>
        <v>0</v>
      </c>
      <c r="Q205" s="107" t="b">
        <f t="shared" si="76"/>
        <v>0</v>
      </c>
      <c r="R205" s="181" t="str">
        <f t="array" aca="1" ref="R205" ca="1">IFERROR(SMALL(IF(P$1:P$311&lt;&gt;0,P$1:P$311),ROW(A205)),"")</f>
        <v/>
      </c>
      <c r="S205" s="181" t="str">
        <f t="array" aca="1" ref="S205" ca="1">IF($R205&lt;&gt;"",
SUBSTITUTE(SUBSTITUTE(INDIRECT("C"&amp;$R205&amp;"")," 週3ｺｰｽ","")," 週5ｺｰｽ",""),"")</f>
        <v/>
      </c>
      <c r="T205" s="18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81" t="str">
        <f t="array" aca="1" ref="V205" ca="1">IF($R205&lt;&gt;"",
INDIRECT("G"&amp;$R205&amp;""),"")</f>
        <v/>
      </c>
      <c r="W205" s="181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8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8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81" t="str">
        <f t="shared" ca="1" si="77"/>
        <v/>
      </c>
      <c r="AA205" s="181" t="str">
        <f t="shared" ca="1" si="78"/>
        <v/>
      </c>
      <c r="AB205" s="181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81" t="str">
        <f t="shared" ca="1" si="79"/>
        <v/>
      </c>
      <c r="AD205" s="181" t="str">
        <f t="shared" ca="1" si="80"/>
        <v/>
      </c>
      <c r="AE205" s="181" t="str">
        <f t="shared" ca="1" si="81"/>
        <v/>
      </c>
      <c r="AF205" s="181" t="str">
        <f t="shared" ca="1" si="82"/>
        <v/>
      </c>
      <c r="AG205" s="181" t="str">
        <f t="shared" ca="1" si="83"/>
        <v/>
      </c>
      <c r="AH205" s="185" t="str">
        <f t="shared" ca="1" si="84"/>
        <v/>
      </c>
      <c r="AI205" s="181" t="str">
        <f t="shared" ca="1" si="85"/>
        <v/>
      </c>
      <c r="AJ205" s="181" t="str">
        <f t="shared" ca="1" si="86"/>
        <v/>
      </c>
      <c r="AK205" s="181" t="str">
        <f t="shared" ca="1" si="87"/>
        <v/>
      </c>
      <c r="AL205" s="181" t="str">
        <f t="shared" ca="1" si="88"/>
        <v/>
      </c>
      <c r="AM205" s="181" t="str">
        <f t="shared" ca="1" si="89"/>
        <v/>
      </c>
      <c r="AN205" s="181" t="str">
        <f t="shared" ca="1" si="90"/>
        <v/>
      </c>
      <c r="AO205" s="181" t="str">
        <f t="shared" ca="1" si="91"/>
        <v/>
      </c>
      <c r="AP205" s="181" t="str">
        <f t="shared" ca="1" si="92"/>
        <v/>
      </c>
      <c r="AU205" s="181" t="str">
        <f t="shared" ca="1" si="93"/>
        <v/>
      </c>
    </row>
    <row r="206" spans="1:47" ht="22.2" customHeight="1">
      <c r="A206" s="108">
        <f t="shared" si="74"/>
        <v>137</v>
      </c>
      <c r="B206" s="107" t="str">
        <f t="shared" ca="1" si="94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07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VLOOKUP("*"&amp;D206&amp;"*",商品マスタ一覧!D:H,5,FALSE)),"")</f>
        <v/>
      </c>
      <c r="O206" s="107">
        <f t="shared" ca="1" si="95"/>
        <v>0</v>
      </c>
      <c r="P206" s="107">
        <f t="shared" si="75"/>
        <v>0</v>
      </c>
      <c r="Q206" s="107" t="b">
        <f t="shared" si="76"/>
        <v>0</v>
      </c>
      <c r="R206" s="181" t="str">
        <f t="array" aca="1" ref="R206" ca="1">IFERROR(SMALL(IF(P$1:P$311&lt;&gt;0,P$1:P$311),ROW(A206)),"")</f>
        <v/>
      </c>
      <c r="S206" s="181" t="str">
        <f t="array" aca="1" ref="S206" ca="1">IF($R206&lt;&gt;"",
SUBSTITUTE(SUBSTITUTE(INDIRECT("C"&amp;$R206&amp;"")," 週3ｺｰｽ","")," 週5ｺｰｽ",""),"")</f>
        <v/>
      </c>
      <c r="T206" s="18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81" t="str">
        <f t="array" aca="1" ref="V206" ca="1">IF($R206&lt;&gt;"",
INDIRECT("G"&amp;$R206&amp;""),"")</f>
        <v/>
      </c>
      <c r="W206" s="181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8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8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81" t="str">
        <f t="shared" ca="1" si="77"/>
        <v/>
      </c>
      <c r="AA206" s="181" t="str">
        <f t="shared" ca="1" si="78"/>
        <v/>
      </c>
      <c r="AB206" s="181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81" t="str">
        <f t="shared" ca="1" si="79"/>
        <v/>
      </c>
      <c r="AD206" s="181" t="str">
        <f t="shared" ca="1" si="80"/>
        <v/>
      </c>
      <c r="AE206" s="181" t="str">
        <f t="shared" ca="1" si="81"/>
        <v/>
      </c>
      <c r="AF206" s="181" t="str">
        <f t="shared" ca="1" si="82"/>
        <v/>
      </c>
      <c r="AG206" s="181" t="str">
        <f t="shared" ca="1" si="83"/>
        <v/>
      </c>
      <c r="AH206" s="185" t="str">
        <f t="shared" ca="1" si="84"/>
        <v/>
      </c>
      <c r="AI206" s="181" t="str">
        <f t="shared" ca="1" si="85"/>
        <v/>
      </c>
      <c r="AJ206" s="181" t="str">
        <f t="shared" ca="1" si="86"/>
        <v/>
      </c>
      <c r="AK206" s="181" t="str">
        <f t="shared" ca="1" si="87"/>
        <v/>
      </c>
      <c r="AL206" s="181" t="str">
        <f t="shared" ca="1" si="88"/>
        <v/>
      </c>
      <c r="AM206" s="181" t="str">
        <f t="shared" ca="1" si="89"/>
        <v/>
      </c>
      <c r="AN206" s="181" t="str">
        <f t="shared" ca="1" si="90"/>
        <v/>
      </c>
      <c r="AO206" s="181" t="str">
        <f t="shared" ca="1" si="91"/>
        <v/>
      </c>
      <c r="AP206" s="181" t="str">
        <f t="shared" ca="1" si="92"/>
        <v/>
      </c>
      <c r="AU206" s="181" t="str">
        <f t="shared" ca="1" si="93"/>
        <v/>
      </c>
    </row>
    <row r="207" spans="1:47" ht="22.2" customHeight="1">
      <c r="A207" s="108">
        <f t="shared" si="74"/>
        <v>139</v>
      </c>
      <c r="B207" s="107" t="str">
        <f t="shared" ca="1" si="94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07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VLOOKUP("*"&amp;D207&amp;"*",商品マスタ一覧!D:H,5,FALSE)),"")</f>
        <v/>
      </c>
      <c r="O207" s="107">
        <f t="shared" ca="1" si="95"/>
        <v>0</v>
      </c>
      <c r="P207" s="107">
        <f t="shared" si="75"/>
        <v>0</v>
      </c>
      <c r="Q207" s="107" t="b">
        <f t="shared" si="76"/>
        <v>0</v>
      </c>
      <c r="R207" s="181" t="str">
        <f t="array" aca="1" ref="R207" ca="1">IFERROR(SMALL(IF(P$1:P$311&lt;&gt;0,P$1:P$311),ROW(A207)),"")</f>
        <v/>
      </c>
      <c r="S207" s="181" t="str">
        <f t="array" aca="1" ref="S207" ca="1">IF($R207&lt;&gt;"",
SUBSTITUTE(SUBSTITUTE(INDIRECT("C"&amp;$R207&amp;"")," 週3ｺｰｽ","")," 週5ｺｰｽ",""),"")</f>
        <v/>
      </c>
      <c r="T207" s="18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81" t="str">
        <f t="array" aca="1" ref="V207" ca="1">IF($R207&lt;&gt;"",
INDIRECT("G"&amp;$R207&amp;""),"")</f>
        <v/>
      </c>
      <c r="W207" s="181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8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8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81" t="str">
        <f t="shared" ca="1" si="77"/>
        <v/>
      </c>
      <c r="AA207" s="181" t="str">
        <f t="shared" ca="1" si="78"/>
        <v/>
      </c>
      <c r="AB207" s="181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81" t="str">
        <f t="shared" ca="1" si="79"/>
        <v/>
      </c>
      <c r="AD207" s="181" t="str">
        <f t="shared" ca="1" si="80"/>
        <v/>
      </c>
      <c r="AE207" s="181" t="str">
        <f t="shared" ca="1" si="81"/>
        <v/>
      </c>
      <c r="AF207" s="181" t="str">
        <f t="shared" ca="1" si="82"/>
        <v/>
      </c>
      <c r="AG207" s="181" t="str">
        <f t="shared" ca="1" si="83"/>
        <v/>
      </c>
      <c r="AH207" s="185" t="str">
        <f t="shared" ca="1" si="84"/>
        <v/>
      </c>
      <c r="AI207" s="181" t="str">
        <f t="shared" ca="1" si="85"/>
        <v/>
      </c>
      <c r="AJ207" s="181" t="str">
        <f t="shared" ca="1" si="86"/>
        <v/>
      </c>
      <c r="AK207" s="181" t="str">
        <f t="shared" ca="1" si="87"/>
        <v/>
      </c>
      <c r="AL207" s="181" t="str">
        <f t="shared" ca="1" si="88"/>
        <v/>
      </c>
      <c r="AM207" s="181" t="str">
        <f t="shared" ca="1" si="89"/>
        <v/>
      </c>
      <c r="AN207" s="181" t="str">
        <f t="shared" ca="1" si="90"/>
        <v/>
      </c>
      <c r="AO207" s="181" t="str">
        <f t="shared" ca="1" si="91"/>
        <v/>
      </c>
      <c r="AP207" s="181" t="str">
        <f t="shared" ca="1" si="92"/>
        <v/>
      </c>
      <c r="AU207" s="181" t="str">
        <f t="shared" ca="1" si="93"/>
        <v/>
      </c>
    </row>
    <row r="208" spans="1:47" ht="22.2" customHeight="1">
      <c r="A208" s="108">
        <f t="shared" si="74"/>
        <v>141</v>
      </c>
      <c r="B208" s="107" t="str">
        <f t="shared" ca="1" si="94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07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VLOOKUP("*"&amp;D208&amp;"*",商品マスタ一覧!D:H,5,FALSE)),"")</f>
        <v/>
      </c>
      <c r="O208" s="107">
        <f t="shared" ca="1" si="95"/>
        <v>0</v>
      </c>
      <c r="P208" s="107">
        <f t="shared" si="75"/>
        <v>0</v>
      </c>
      <c r="Q208" s="107" t="b">
        <f t="shared" si="76"/>
        <v>0</v>
      </c>
      <c r="R208" s="181" t="str">
        <f t="array" aca="1" ref="R208" ca="1">IFERROR(SMALL(IF(P$1:P$311&lt;&gt;0,P$1:P$311),ROW(A208)),"")</f>
        <v/>
      </c>
      <c r="S208" s="181" t="str">
        <f t="array" aca="1" ref="S208" ca="1">IF($R208&lt;&gt;"",
SUBSTITUTE(SUBSTITUTE(INDIRECT("C"&amp;$R208&amp;"")," 週3ｺｰｽ","")," 週5ｺｰｽ",""),"")</f>
        <v/>
      </c>
      <c r="T208" s="18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81" t="str">
        <f t="array" aca="1" ref="V208" ca="1">IF($R208&lt;&gt;"",
INDIRECT("G"&amp;$R208&amp;""),"")</f>
        <v/>
      </c>
      <c r="W208" s="181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8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8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81" t="str">
        <f t="shared" ca="1" si="77"/>
        <v/>
      </c>
      <c r="AA208" s="181" t="str">
        <f t="shared" ca="1" si="78"/>
        <v/>
      </c>
      <c r="AB208" s="181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81" t="str">
        <f t="shared" ca="1" si="79"/>
        <v/>
      </c>
      <c r="AD208" s="181" t="str">
        <f t="shared" ca="1" si="80"/>
        <v/>
      </c>
      <c r="AE208" s="181" t="str">
        <f t="shared" ca="1" si="81"/>
        <v/>
      </c>
      <c r="AF208" s="181" t="str">
        <f t="shared" ca="1" si="82"/>
        <v/>
      </c>
      <c r="AG208" s="181" t="str">
        <f t="shared" ca="1" si="83"/>
        <v/>
      </c>
      <c r="AH208" s="185" t="str">
        <f t="shared" ca="1" si="84"/>
        <v/>
      </c>
      <c r="AI208" s="181" t="str">
        <f t="shared" ca="1" si="85"/>
        <v/>
      </c>
      <c r="AJ208" s="181" t="str">
        <f t="shared" ca="1" si="86"/>
        <v/>
      </c>
      <c r="AK208" s="181" t="str">
        <f t="shared" ca="1" si="87"/>
        <v/>
      </c>
      <c r="AL208" s="181" t="str">
        <f t="shared" ca="1" si="88"/>
        <v/>
      </c>
      <c r="AM208" s="181" t="str">
        <f t="shared" ca="1" si="89"/>
        <v/>
      </c>
      <c r="AN208" s="181" t="str">
        <f t="shared" ca="1" si="90"/>
        <v/>
      </c>
      <c r="AO208" s="181" t="str">
        <f t="shared" ca="1" si="91"/>
        <v/>
      </c>
      <c r="AP208" s="181" t="str">
        <f t="shared" ca="1" si="92"/>
        <v/>
      </c>
      <c r="AU208" s="181" t="str">
        <f t="shared" ca="1" si="93"/>
        <v/>
      </c>
    </row>
    <row r="209" spans="1:47" ht="22.2" customHeight="1">
      <c r="A209" s="108">
        <f t="shared" si="74"/>
        <v>143</v>
      </c>
      <c r="B209" s="107" t="str">
        <f t="shared" ca="1" si="94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07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VLOOKUP("*"&amp;D209&amp;"*",商品マスタ一覧!D:H,5,FALSE)),"")</f>
        <v/>
      </c>
      <c r="O209" s="107">
        <f t="shared" ca="1" si="95"/>
        <v>0</v>
      </c>
      <c r="P209" s="107">
        <f t="shared" si="75"/>
        <v>0</v>
      </c>
      <c r="Q209" s="107" t="b">
        <f t="shared" si="76"/>
        <v>0</v>
      </c>
      <c r="R209" s="181" t="str">
        <f t="array" aca="1" ref="R209" ca="1">IFERROR(SMALL(IF(P$1:P$311&lt;&gt;0,P$1:P$311),ROW(A209)),"")</f>
        <v/>
      </c>
      <c r="S209" s="181" t="str">
        <f t="array" aca="1" ref="S209" ca="1">IF($R209&lt;&gt;"",
SUBSTITUTE(SUBSTITUTE(INDIRECT("C"&amp;$R209&amp;"")," 週3ｺｰｽ","")," 週5ｺｰｽ",""),"")</f>
        <v/>
      </c>
      <c r="T209" s="18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81" t="str">
        <f t="array" aca="1" ref="V209" ca="1">IF($R209&lt;&gt;"",
INDIRECT("G"&amp;$R209&amp;""),"")</f>
        <v/>
      </c>
      <c r="W209" s="181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8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8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81" t="str">
        <f t="shared" ca="1" si="77"/>
        <v/>
      </c>
      <c r="AA209" s="181" t="str">
        <f t="shared" ca="1" si="78"/>
        <v/>
      </c>
      <c r="AB209" s="181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81" t="str">
        <f t="shared" ca="1" si="79"/>
        <v/>
      </c>
      <c r="AD209" s="181" t="str">
        <f t="shared" ca="1" si="80"/>
        <v/>
      </c>
      <c r="AE209" s="181" t="str">
        <f t="shared" ca="1" si="81"/>
        <v/>
      </c>
      <c r="AF209" s="181" t="str">
        <f t="shared" ca="1" si="82"/>
        <v/>
      </c>
      <c r="AG209" s="181" t="str">
        <f t="shared" ca="1" si="83"/>
        <v/>
      </c>
      <c r="AH209" s="185" t="str">
        <f t="shared" ca="1" si="84"/>
        <v/>
      </c>
      <c r="AI209" s="181" t="str">
        <f t="shared" ca="1" si="85"/>
        <v/>
      </c>
      <c r="AJ209" s="181" t="str">
        <f t="shared" ca="1" si="86"/>
        <v/>
      </c>
      <c r="AK209" s="181" t="str">
        <f t="shared" ca="1" si="87"/>
        <v/>
      </c>
      <c r="AL209" s="181" t="str">
        <f t="shared" ca="1" si="88"/>
        <v/>
      </c>
      <c r="AM209" s="181" t="str">
        <f t="shared" ca="1" si="89"/>
        <v/>
      </c>
      <c r="AN209" s="181" t="str">
        <f t="shared" ca="1" si="90"/>
        <v/>
      </c>
      <c r="AO209" s="181" t="str">
        <f t="shared" ca="1" si="91"/>
        <v/>
      </c>
      <c r="AP209" s="181" t="str">
        <f t="shared" ca="1" si="92"/>
        <v/>
      </c>
      <c r="AU209" s="181" t="str">
        <f t="shared" ca="1" si="93"/>
        <v/>
      </c>
    </row>
    <row r="210" spans="1:47" ht="22.2" customHeight="1">
      <c r="A210" s="108">
        <f t="shared" si="74"/>
        <v>145</v>
      </c>
      <c r="B210" s="107" t="str">
        <f t="shared" ca="1" si="94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07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VLOOKUP("*"&amp;D210&amp;"*",商品マスタ一覧!D:H,5,FALSE)),"")</f>
        <v/>
      </c>
      <c r="O210" s="107">
        <f t="shared" ca="1" si="95"/>
        <v>0</v>
      </c>
      <c r="P210" s="107">
        <f t="shared" si="75"/>
        <v>0</v>
      </c>
      <c r="Q210" s="107" t="b">
        <f t="shared" si="76"/>
        <v>0</v>
      </c>
      <c r="R210" s="181" t="str">
        <f t="array" aca="1" ref="R210" ca="1">IFERROR(SMALL(IF(P$1:P$311&lt;&gt;0,P$1:P$311),ROW(A210)),"")</f>
        <v/>
      </c>
      <c r="S210" s="181" t="str">
        <f t="array" aca="1" ref="S210" ca="1">IF($R210&lt;&gt;"",
SUBSTITUTE(SUBSTITUTE(INDIRECT("C"&amp;$R210&amp;"")," 週3ｺｰｽ","")," 週5ｺｰｽ",""),"")</f>
        <v/>
      </c>
      <c r="T210" s="18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81" t="str">
        <f t="array" aca="1" ref="V210" ca="1">IF($R210&lt;&gt;"",
INDIRECT("G"&amp;$R210&amp;""),"")</f>
        <v/>
      </c>
      <c r="W210" s="181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8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8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81" t="str">
        <f t="shared" ca="1" si="77"/>
        <v/>
      </c>
      <c r="AA210" s="181" t="str">
        <f t="shared" ca="1" si="78"/>
        <v/>
      </c>
      <c r="AB210" s="181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81" t="str">
        <f t="shared" ca="1" si="79"/>
        <v/>
      </c>
      <c r="AD210" s="181" t="str">
        <f t="shared" ca="1" si="80"/>
        <v/>
      </c>
      <c r="AE210" s="181" t="str">
        <f t="shared" ca="1" si="81"/>
        <v/>
      </c>
      <c r="AF210" s="181" t="str">
        <f t="shared" ca="1" si="82"/>
        <v/>
      </c>
      <c r="AG210" s="181" t="str">
        <f t="shared" ca="1" si="83"/>
        <v/>
      </c>
      <c r="AH210" s="185" t="str">
        <f t="shared" ca="1" si="84"/>
        <v/>
      </c>
      <c r="AI210" s="181" t="str">
        <f t="shared" ca="1" si="85"/>
        <v/>
      </c>
      <c r="AJ210" s="181" t="str">
        <f t="shared" ca="1" si="86"/>
        <v/>
      </c>
      <c r="AK210" s="181" t="str">
        <f t="shared" ca="1" si="87"/>
        <v/>
      </c>
      <c r="AL210" s="181" t="str">
        <f t="shared" ca="1" si="88"/>
        <v/>
      </c>
      <c r="AM210" s="181" t="str">
        <f t="shared" ca="1" si="89"/>
        <v/>
      </c>
      <c r="AN210" s="181" t="str">
        <f t="shared" ca="1" si="90"/>
        <v/>
      </c>
      <c r="AO210" s="181" t="str">
        <f t="shared" ca="1" si="91"/>
        <v/>
      </c>
      <c r="AP210" s="181" t="str">
        <f t="shared" ca="1" si="92"/>
        <v/>
      </c>
      <c r="AU210" s="181" t="str">
        <f t="shared" ca="1" si="93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81" t="str">
        <f t="array" aca="1" ref="R211" ca="1">IFERROR(SMALL(IF(P$1:P$311&lt;&gt;0,P$1:P$311),ROW(A211)),"")</f>
        <v/>
      </c>
      <c r="S211" s="181" t="str">
        <f t="array" aca="1" ref="S211" ca="1">IF($R211&lt;&gt;"",
SUBSTITUTE(SUBSTITUTE(INDIRECT("C"&amp;$R211&amp;"")," 週3ｺｰｽ","")," 週5ｺｰｽ",""),"")</f>
        <v/>
      </c>
      <c r="T211" s="18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81" t="str">
        <f t="array" aca="1" ref="V211" ca="1">IF($R211&lt;&gt;"",
INDIRECT("G"&amp;$R211&amp;""),"")</f>
        <v/>
      </c>
      <c r="W211" s="181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8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8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81" t="str">
        <f t="shared" ca="1" si="77"/>
        <v/>
      </c>
      <c r="AA211" s="181" t="str">
        <f t="shared" ca="1" si="78"/>
        <v/>
      </c>
      <c r="AB211" s="181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81" t="str">
        <f t="shared" ca="1" si="79"/>
        <v/>
      </c>
      <c r="AD211" s="181" t="str">
        <f t="shared" ca="1" si="80"/>
        <v/>
      </c>
      <c r="AE211" s="181" t="str">
        <f t="shared" ca="1" si="81"/>
        <v/>
      </c>
      <c r="AF211" s="181" t="str">
        <f t="shared" ca="1" si="82"/>
        <v/>
      </c>
      <c r="AG211" s="181" t="str">
        <f t="shared" ca="1" si="83"/>
        <v/>
      </c>
      <c r="AH211" s="185" t="str">
        <f t="shared" ca="1" si="84"/>
        <v/>
      </c>
      <c r="AI211" s="181" t="str">
        <f t="shared" ca="1" si="85"/>
        <v/>
      </c>
      <c r="AJ211" s="181" t="str">
        <f t="shared" ca="1" si="86"/>
        <v/>
      </c>
      <c r="AK211" s="181" t="str">
        <f t="shared" ca="1" si="87"/>
        <v/>
      </c>
      <c r="AL211" s="181" t="str">
        <f t="shared" ca="1" si="88"/>
        <v/>
      </c>
      <c r="AM211" s="181" t="str">
        <f t="shared" ca="1" si="89"/>
        <v/>
      </c>
      <c r="AN211" s="181" t="str">
        <f t="shared" ca="1" si="90"/>
        <v/>
      </c>
      <c r="AO211" s="181" t="str">
        <f t="shared" ca="1" si="91"/>
        <v/>
      </c>
      <c r="AP211" s="181" t="str">
        <f t="shared" ca="1" si="92"/>
        <v/>
      </c>
      <c r="AU211" s="181" t="str">
        <f t="shared" ca="1" si="93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81" t="str">
        <f t="array" aca="1" ref="R212" ca="1">IFERROR(SMALL(IF(P$1:P$311&lt;&gt;0,P$1:P$311),ROW(A212)),"")</f>
        <v/>
      </c>
      <c r="S212" s="181" t="str">
        <f t="array" aca="1" ref="S212" ca="1">IF($R212&lt;&gt;"",
SUBSTITUTE(SUBSTITUTE(INDIRECT("C"&amp;$R212&amp;"")," 週3ｺｰｽ","")," 週5ｺｰｽ",""),"")</f>
        <v/>
      </c>
      <c r="T212" s="18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81" t="str">
        <f t="array" aca="1" ref="V212" ca="1">IF($R212&lt;&gt;"",
INDIRECT("G"&amp;$R212&amp;""),"")</f>
        <v/>
      </c>
      <c r="W212" s="181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8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8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81" t="str">
        <f t="shared" ca="1" si="77"/>
        <v/>
      </c>
      <c r="AA212" s="181" t="str">
        <f t="shared" ca="1" si="78"/>
        <v/>
      </c>
      <c r="AB212" s="181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81" t="str">
        <f t="shared" ca="1" si="79"/>
        <v/>
      </c>
      <c r="AD212" s="181" t="str">
        <f t="shared" ca="1" si="80"/>
        <v/>
      </c>
      <c r="AE212" s="181" t="str">
        <f t="shared" ca="1" si="81"/>
        <v/>
      </c>
      <c r="AF212" s="181" t="str">
        <f t="shared" ca="1" si="82"/>
        <v/>
      </c>
      <c r="AG212" s="181" t="str">
        <f t="shared" ca="1" si="83"/>
        <v/>
      </c>
      <c r="AH212" s="185" t="str">
        <f t="shared" ca="1" si="84"/>
        <v/>
      </c>
      <c r="AI212" s="181" t="str">
        <f t="shared" ca="1" si="85"/>
        <v/>
      </c>
      <c r="AJ212" s="181" t="str">
        <f t="shared" ca="1" si="86"/>
        <v/>
      </c>
      <c r="AK212" s="181" t="str">
        <f t="shared" ca="1" si="87"/>
        <v/>
      </c>
      <c r="AL212" s="181" t="str">
        <f t="shared" ca="1" si="88"/>
        <v/>
      </c>
      <c r="AM212" s="181" t="str">
        <f t="shared" ca="1" si="89"/>
        <v/>
      </c>
      <c r="AN212" s="181" t="str">
        <f t="shared" ca="1" si="90"/>
        <v/>
      </c>
      <c r="AO212" s="181" t="str">
        <f t="shared" ca="1" si="91"/>
        <v/>
      </c>
      <c r="AP212" s="181" t="str">
        <f t="shared" ca="1" si="92"/>
        <v/>
      </c>
      <c r="AU212" s="181" t="str">
        <f t="shared" ca="1" si="93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81" t="str">
        <f t="array" aca="1" ref="R213" ca="1">IFERROR(SMALL(IF(P$1:P$311&lt;&gt;0,P$1:P$311),ROW(A213)),"")</f>
        <v/>
      </c>
      <c r="S213" s="181" t="str">
        <f t="array" aca="1" ref="S213" ca="1">IF($R213&lt;&gt;"",
SUBSTITUTE(SUBSTITUTE(INDIRECT("C"&amp;$R213&amp;"")," 週3ｺｰｽ","")," 週5ｺｰｽ",""),"")</f>
        <v/>
      </c>
      <c r="T213" s="18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81" t="str">
        <f t="array" aca="1" ref="V213" ca="1">IF($R213&lt;&gt;"",
INDIRECT("G"&amp;$R213&amp;""),"")</f>
        <v/>
      </c>
      <c r="W213" s="181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8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8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81" t="str">
        <f t="shared" ca="1" si="77"/>
        <v/>
      </c>
      <c r="AA213" s="181" t="str">
        <f t="shared" ca="1" si="78"/>
        <v/>
      </c>
      <c r="AB213" s="181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81" t="str">
        <f t="shared" ca="1" si="79"/>
        <v/>
      </c>
      <c r="AD213" s="181" t="str">
        <f t="shared" ca="1" si="80"/>
        <v/>
      </c>
      <c r="AE213" s="181" t="str">
        <f t="shared" ca="1" si="81"/>
        <v/>
      </c>
      <c r="AF213" s="181" t="str">
        <f t="shared" ca="1" si="82"/>
        <v/>
      </c>
      <c r="AG213" s="181" t="str">
        <f t="shared" ca="1" si="83"/>
        <v/>
      </c>
      <c r="AH213" s="185" t="str">
        <f t="shared" ca="1" si="84"/>
        <v/>
      </c>
      <c r="AI213" s="181" t="str">
        <f t="shared" ca="1" si="85"/>
        <v/>
      </c>
      <c r="AJ213" s="181" t="str">
        <f t="shared" ca="1" si="86"/>
        <v/>
      </c>
      <c r="AK213" s="181" t="str">
        <f t="shared" ca="1" si="87"/>
        <v/>
      </c>
      <c r="AL213" s="181" t="str">
        <f t="shared" ca="1" si="88"/>
        <v/>
      </c>
      <c r="AM213" s="181" t="str">
        <f t="shared" ca="1" si="89"/>
        <v/>
      </c>
      <c r="AN213" s="181" t="str">
        <f t="shared" ca="1" si="90"/>
        <v/>
      </c>
      <c r="AO213" s="181" t="str">
        <f t="shared" ca="1" si="91"/>
        <v/>
      </c>
      <c r="AP213" s="181" t="str">
        <f t="shared" ca="1" si="92"/>
        <v/>
      </c>
      <c r="AU213" s="181" t="str">
        <f t="shared" ca="1" si="93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81" t="str">
        <f t="array" aca="1" ref="R214" ca="1">IFERROR(SMALL(IF(P$1:P$311&lt;&gt;0,P$1:P$311),ROW(A214)),"")</f>
        <v/>
      </c>
      <c r="S214" s="181" t="str">
        <f t="array" aca="1" ref="S214" ca="1">IF($R214&lt;&gt;"",
SUBSTITUTE(SUBSTITUTE(INDIRECT("C"&amp;$R214&amp;"")," 週3ｺｰｽ","")," 週5ｺｰｽ",""),"")</f>
        <v/>
      </c>
      <c r="T214" s="18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81" t="str">
        <f t="array" aca="1" ref="V214" ca="1">IF($R214&lt;&gt;"",
INDIRECT("G"&amp;$R214&amp;""),"")</f>
        <v/>
      </c>
      <c r="W214" s="181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8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8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81" t="str">
        <f t="shared" ca="1" si="77"/>
        <v/>
      </c>
      <c r="AA214" s="181" t="str">
        <f t="shared" ca="1" si="78"/>
        <v/>
      </c>
      <c r="AB214" s="181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81" t="str">
        <f t="shared" ca="1" si="79"/>
        <v/>
      </c>
      <c r="AD214" s="181" t="str">
        <f t="shared" ca="1" si="80"/>
        <v/>
      </c>
      <c r="AE214" s="181" t="str">
        <f t="shared" ca="1" si="81"/>
        <v/>
      </c>
      <c r="AF214" s="181" t="str">
        <f t="shared" ca="1" si="82"/>
        <v/>
      </c>
      <c r="AG214" s="181" t="str">
        <f t="shared" ca="1" si="83"/>
        <v/>
      </c>
      <c r="AH214" s="185" t="str">
        <f t="shared" ca="1" si="84"/>
        <v/>
      </c>
      <c r="AI214" s="181" t="str">
        <f t="shared" ca="1" si="85"/>
        <v/>
      </c>
      <c r="AJ214" s="181" t="str">
        <f t="shared" ca="1" si="86"/>
        <v/>
      </c>
      <c r="AK214" s="181" t="str">
        <f t="shared" ca="1" si="87"/>
        <v/>
      </c>
      <c r="AL214" s="181" t="str">
        <f t="shared" ca="1" si="88"/>
        <v/>
      </c>
      <c r="AM214" s="181" t="str">
        <f t="shared" ca="1" si="89"/>
        <v/>
      </c>
      <c r="AN214" s="181" t="str">
        <f t="shared" ca="1" si="90"/>
        <v/>
      </c>
      <c r="AO214" s="181" t="str">
        <f t="shared" ca="1" si="91"/>
        <v/>
      </c>
      <c r="AP214" s="181" t="str">
        <f t="shared" ca="1" si="92"/>
        <v/>
      </c>
      <c r="AU214" s="181" t="str">
        <f t="shared" ca="1" si="93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40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6">IF(Q215&lt;&gt;"",ROW(),"")</f>
        <v>215</v>
      </c>
      <c r="Q215" s="121" t="str">
        <f>IF(C215&lt;&gt;"","TRUE","")</f>
        <v>TRUE</v>
      </c>
      <c r="R215" s="181" t="str">
        <f t="array" aca="1" ref="R215" ca="1">IFERROR(SMALL(IF(P$1:P$311&lt;&gt;0,P$1:P$311),ROW(A215)),"")</f>
        <v/>
      </c>
      <c r="S215" s="181" t="str">
        <f t="array" aca="1" ref="S215" ca="1">IF($R215&lt;&gt;"",
SUBSTITUTE(SUBSTITUTE(INDIRECT("C"&amp;$R215&amp;"")," 週3ｺｰｽ","")," 週5ｺｰｽ",""),"")</f>
        <v/>
      </c>
      <c r="T215" s="18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81" t="str">
        <f t="array" aca="1" ref="V215" ca="1">IF($R215&lt;&gt;"",
INDIRECT("G"&amp;$R215&amp;""),"")</f>
        <v/>
      </c>
      <c r="W215" s="181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8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8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81" t="str">
        <f t="shared" ca="1" si="77"/>
        <v/>
      </c>
      <c r="AA215" s="181" t="str">
        <f t="shared" ca="1" si="78"/>
        <v/>
      </c>
      <c r="AB215" s="181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81" t="str">
        <f t="shared" ca="1" si="79"/>
        <v/>
      </c>
      <c r="AD215" s="181" t="str">
        <f t="shared" ca="1" si="80"/>
        <v/>
      </c>
      <c r="AE215" s="181" t="str">
        <f t="shared" ca="1" si="81"/>
        <v/>
      </c>
      <c r="AF215" s="181" t="str">
        <f t="shared" ca="1" si="82"/>
        <v/>
      </c>
      <c r="AG215" s="181" t="str">
        <f t="shared" ca="1" si="83"/>
        <v/>
      </c>
      <c r="AH215" s="185" t="str">
        <f t="shared" ca="1" si="84"/>
        <v/>
      </c>
      <c r="AI215" s="181" t="str">
        <f t="shared" ca="1" si="85"/>
        <v/>
      </c>
      <c r="AJ215" s="181" t="str">
        <f t="shared" ca="1" si="86"/>
        <v/>
      </c>
      <c r="AK215" s="181" t="str">
        <f t="shared" ca="1" si="87"/>
        <v/>
      </c>
      <c r="AL215" s="181" t="str">
        <f t="shared" ca="1" si="88"/>
        <v/>
      </c>
      <c r="AM215" s="181" t="str">
        <f t="shared" ca="1" si="89"/>
        <v/>
      </c>
      <c r="AN215" s="181" t="str">
        <f t="shared" ca="1" si="90"/>
        <v/>
      </c>
      <c r="AO215" s="181" t="str">
        <f t="shared" ca="1" si="91"/>
        <v/>
      </c>
      <c r="AP215" s="181" t="str">
        <f t="shared" ca="1" si="92"/>
        <v/>
      </c>
      <c r="AU215" s="181" t="str">
        <f t="shared" ca="1" si="93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39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6"/>
        <v>216</v>
      </c>
      <c r="Q216" s="121" t="str">
        <f>IF(C216&lt;&gt;"","TRUE","")</f>
        <v>TRUE</v>
      </c>
      <c r="R216" s="181" t="str">
        <f t="array" aca="1" ref="R216" ca="1">IFERROR(SMALL(IF(P$1:P$311&lt;&gt;0,P$1:P$311),ROW(A216)),"")</f>
        <v/>
      </c>
      <c r="S216" s="181" t="str">
        <f t="array" aca="1" ref="S216" ca="1">IF($R216&lt;&gt;"",
SUBSTITUTE(SUBSTITUTE(INDIRECT("C"&amp;$R216&amp;"")," 週3ｺｰｽ","")," 週5ｺｰｽ",""),"")</f>
        <v/>
      </c>
      <c r="T216" s="18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81" t="str">
        <f t="array" aca="1" ref="V216" ca="1">IF($R216&lt;&gt;"",
INDIRECT("G"&amp;$R216&amp;""),"")</f>
        <v/>
      </c>
      <c r="W216" s="181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8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8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81" t="str">
        <f t="shared" ca="1" si="77"/>
        <v/>
      </c>
      <c r="AA216" s="181" t="str">
        <f t="shared" ca="1" si="78"/>
        <v/>
      </c>
      <c r="AB216" s="181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81" t="str">
        <f t="shared" ca="1" si="79"/>
        <v/>
      </c>
      <c r="AD216" s="181" t="str">
        <f t="shared" ca="1" si="80"/>
        <v/>
      </c>
      <c r="AE216" s="181" t="str">
        <f t="shared" ca="1" si="81"/>
        <v/>
      </c>
      <c r="AF216" s="181" t="str">
        <f t="shared" ca="1" si="82"/>
        <v/>
      </c>
      <c r="AG216" s="181" t="str">
        <f t="shared" ca="1" si="83"/>
        <v/>
      </c>
      <c r="AH216" s="185" t="str">
        <f t="shared" ca="1" si="84"/>
        <v/>
      </c>
      <c r="AI216" s="181" t="str">
        <f t="shared" ca="1" si="85"/>
        <v/>
      </c>
      <c r="AJ216" s="181" t="str">
        <f t="shared" ca="1" si="86"/>
        <v/>
      </c>
      <c r="AK216" s="181" t="str">
        <f t="shared" ca="1" si="87"/>
        <v/>
      </c>
      <c r="AL216" s="181" t="str">
        <f t="shared" ca="1" si="88"/>
        <v/>
      </c>
      <c r="AM216" s="181" t="str">
        <f t="shared" ca="1" si="89"/>
        <v/>
      </c>
      <c r="AN216" s="181" t="str">
        <f t="shared" ca="1" si="90"/>
        <v/>
      </c>
      <c r="AO216" s="181" t="str">
        <f t="shared" ca="1" si="91"/>
        <v/>
      </c>
      <c r="AP216" s="181" t="str">
        <f t="shared" ca="1" si="92"/>
        <v/>
      </c>
      <c r="AU216" s="181" t="str">
        <f t="shared" ca="1" si="93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6"/>
        <v/>
      </c>
      <c r="Q217" s="121" t="str">
        <f ca="1">IF(C217&lt;&gt;"","TRUE","")</f>
        <v/>
      </c>
      <c r="R217" s="181" t="str">
        <f t="array" aca="1" ref="R217" ca="1">IFERROR(SMALL(IF(P$1:P$311&lt;&gt;0,P$1:P$311),ROW(A217)),"")</f>
        <v/>
      </c>
      <c r="S217" s="181" t="str">
        <f t="array" aca="1" ref="S217" ca="1">IF($R217&lt;&gt;"",
SUBSTITUTE(SUBSTITUTE(INDIRECT("C"&amp;$R217&amp;"")," 週3ｺｰｽ","")," 週5ｺｰｽ",""),"")</f>
        <v/>
      </c>
      <c r="T217" s="18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81" t="str">
        <f t="array" aca="1" ref="V217" ca="1">IF($R217&lt;&gt;"",
INDIRECT("G"&amp;$R217&amp;""),"")</f>
        <v/>
      </c>
      <c r="W217" s="181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8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8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81" t="str">
        <f t="shared" ca="1" si="77"/>
        <v/>
      </c>
      <c r="AA217" s="181" t="str">
        <f t="shared" ca="1" si="78"/>
        <v/>
      </c>
      <c r="AB217" s="181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81" t="str">
        <f t="shared" ca="1" si="79"/>
        <v/>
      </c>
      <c r="AD217" s="181" t="str">
        <f t="shared" ca="1" si="80"/>
        <v/>
      </c>
      <c r="AE217" s="181" t="str">
        <f t="shared" ca="1" si="81"/>
        <v/>
      </c>
      <c r="AF217" s="181" t="str">
        <f t="shared" ca="1" si="82"/>
        <v/>
      </c>
      <c r="AG217" s="181" t="str">
        <f t="shared" ca="1" si="83"/>
        <v/>
      </c>
      <c r="AH217" s="185" t="str">
        <f t="shared" ca="1" si="84"/>
        <v/>
      </c>
      <c r="AI217" s="181" t="str">
        <f t="shared" ca="1" si="85"/>
        <v/>
      </c>
      <c r="AJ217" s="181" t="str">
        <f t="shared" ca="1" si="86"/>
        <v/>
      </c>
      <c r="AK217" s="181" t="str">
        <f t="shared" ca="1" si="87"/>
        <v/>
      </c>
      <c r="AL217" s="181" t="str">
        <f t="shared" ca="1" si="88"/>
        <v/>
      </c>
      <c r="AM217" s="181" t="str">
        <f t="shared" ca="1" si="89"/>
        <v/>
      </c>
      <c r="AN217" s="181" t="str">
        <f t="shared" ca="1" si="90"/>
        <v/>
      </c>
      <c r="AO217" s="181" t="str">
        <f t="shared" ca="1" si="91"/>
        <v/>
      </c>
      <c r="AP217" s="181" t="str">
        <f t="shared" ca="1" si="92"/>
        <v/>
      </c>
      <c r="AU217" s="181" t="str">
        <f t="shared" ca="1" si="93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6"/>
        <v/>
      </c>
      <c r="Q218" s="121" t="str">
        <f ca="1">IF(C218&lt;&gt;"","TRUE","")</f>
        <v/>
      </c>
      <c r="R218" s="181" t="str">
        <f t="array" aca="1" ref="R218" ca="1">IFERROR(SMALL(IF(P$1:P$311&lt;&gt;0,P$1:P$311),ROW(A218)),"")</f>
        <v/>
      </c>
      <c r="S218" s="181" t="str">
        <f t="array" aca="1" ref="S218" ca="1">IF($R218&lt;&gt;"",
SUBSTITUTE(SUBSTITUTE(INDIRECT("C"&amp;$R218&amp;"")," 週3ｺｰｽ","")," 週5ｺｰｽ",""),"")</f>
        <v/>
      </c>
      <c r="T218" s="18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81" t="str">
        <f t="array" aca="1" ref="V218" ca="1">IF($R218&lt;&gt;"",
INDIRECT("G"&amp;$R218&amp;""),"")</f>
        <v/>
      </c>
      <c r="W218" s="181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8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8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81" t="str">
        <f t="shared" ca="1" si="77"/>
        <v/>
      </c>
      <c r="AA218" s="181" t="str">
        <f t="shared" ca="1" si="78"/>
        <v/>
      </c>
      <c r="AB218" s="181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81" t="str">
        <f t="shared" ca="1" si="79"/>
        <v/>
      </c>
      <c r="AD218" s="181" t="str">
        <f t="shared" ca="1" si="80"/>
        <v/>
      </c>
      <c r="AE218" s="181" t="str">
        <f t="shared" ca="1" si="81"/>
        <v/>
      </c>
      <c r="AF218" s="181" t="str">
        <f t="shared" ca="1" si="82"/>
        <v/>
      </c>
      <c r="AG218" s="181" t="str">
        <f t="shared" ca="1" si="83"/>
        <v/>
      </c>
      <c r="AH218" s="185" t="str">
        <f t="shared" ca="1" si="84"/>
        <v/>
      </c>
      <c r="AI218" s="181" t="str">
        <f t="shared" ca="1" si="85"/>
        <v/>
      </c>
      <c r="AJ218" s="181" t="str">
        <f t="shared" ca="1" si="86"/>
        <v/>
      </c>
      <c r="AK218" s="181" t="str">
        <f t="shared" ca="1" si="87"/>
        <v/>
      </c>
      <c r="AL218" s="181" t="str">
        <f t="shared" ca="1" si="88"/>
        <v/>
      </c>
      <c r="AM218" s="181" t="str">
        <f t="shared" ca="1" si="89"/>
        <v/>
      </c>
      <c r="AN218" s="181" t="str">
        <f t="shared" ca="1" si="90"/>
        <v/>
      </c>
      <c r="AO218" s="181" t="str">
        <f t="shared" ca="1" si="91"/>
        <v/>
      </c>
      <c r="AP218" s="181" t="str">
        <f t="shared" ca="1" si="92"/>
        <v/>
      </c>
      <c r="AU218" s="181" t="str">
        <f t="shared" ca="1" si="93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1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6"/>
        <v/>
      </c>
      <c r="Q219" s="117" t="str">
        <f t="shared" ref="Q219:Q265" ca="1" si="97">IF(H219&lt;&gt;"","TRUE","")</f>
        <v/>
      </c>
      <c r="R219" s="181" t="str">
        <f t="array" aca="1" ref="R219" ca="1">IFERROR(SMALL(IF(P$1:P$311&lt;&gt;0,P$1:P$311),ROW(A219)),"")</f>
        <v/>
      </c>
      <c r="S219" s="181" t="str">
        <f t="array" aca="1" ref="S219" ca="1">IF($R219&lt;&gt;"",
SUBSTITUTE(SUBSTITUTE(INDIRECT("C"&amp;$R219&amp;"")," 週3ｺｰｽ","")," 週5ｺｰｽ",""),"")</f>
        <v/>
      </c>
      <c r="T219" s="18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81" t="str">
        <f t="array" aca="1" ref="V219" ca="1">IF($R219&lt;&gt;"",
INDIRECT("G"&amp;$R219&amp;""),"")</f>
        <v/>
      </c>
      <c r="W219" s="181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8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8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81" t="str">
        <f t="shared" ca="1" si="77"/>
        <v/>
      </c>
      <c r="AA219" s="181" t="str">
        <f t="shared" ca="1" si="78"/>
        <v/>
      </c>
      <c r="AB219" s="181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81" t="str">
        <f t="shared" ca="1" si="79"/>
        <v/>
      </c>
      <c r="AD219" s="181" t="str">
        <f t="shared" ca="1" si="80"/>
        <v/>
      </c>
      <c r="AE219" s="181" t="str">
        <f t="shared" ca="1" si="81"/>
        <v/>
      </c>
      <c r="AF219" s="181" t="str">
        <f t="shared" ca="1" si="82"/>
        <v/>
      </c>
      <c r="AG219" s="181" t="str">
        <f t="shared" ca="1" si="83"/>
        <v/>
      </c>
      <c r="AH219" s="185" t="str">
        <f t="shared" ca="1" si="84"/>
        <v/>
      </c>
      <c r="AI219" s="181" t="str">
        <f t="shared" ca="1" si="85"/>
        <v/>
      </c>
      <c r="AJ219" s="181" t="str">
        <f t="shared" ca="1" si="86"/>
        <v/>
      </c>
      <c r="AK219" s="181" t="str">
        <f t="shared" ca="1" si="87"/>
        <v/>
      </c>
      <c r="AL219" s="181" t="str">
        <f t="shared" ca="1" si="88"/>
        <v/>
      </c>
      <c r="AM219" s="181" t="str">
        <f t="shared" ca="1" si="89"/>
        <v/>
      </c>
      <c r="AN219" s="181" t="str">
        <f t="shared" ca="1" si="90"/>
        <v/>
      </c>
      <c r="AO219" s="181" t="str">
        <f t="shared" ca="1" si="91"/>
        <v/>
      </c>
      <c r="AP219" s="181" t="str">
        <f t="shared" ca="1" si="92"/>
        <v/>
      </c>
      <c r="AU219" s="181" t="str">
        <f t="shared" ca="1" si="93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1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6"/>
        <v/>
      </c>
      <c r="Q220" s="117" t="str">
        <f t="shared" ca="1" si="97"/>
        <v/>
      </c>
      <c r="R220" s="181" t="str">
        <f t="array" aca="1" ref="R220" ca="1">IFERROR(SMALL(IF(P$1:P$311&lt;&gt;0,P$1:P$311),ROW(A220)),"")</f>
        <v/>
      </c>
      <c r="S220" s="181" t="str">
        <f t="array" aca="1" ref="S220" ca="1">IF($R220&lt;&gt;"",
SUBSTITUTE(SUBSTITUTE(INDIRECT("C"&amp;$R220&amp;"")," 週3ｺｰｽ","")," 週5ｺｰｽ",""),"")</f>
        <v/>
      </c>
      <c r="T220" s="18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81" t="str">
        <f t="array" aca="1" ref="V220" ca="1">IF($R220&lt;&gt;"",
INDIRECT("G"&amp;$R220&amp;""),"")</f>
        <v/>
      </c>
      <c r="W220" s="181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8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8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81" t="str">
        <f t="shared" ca="1" si="77"/>
        <v/>
      </c>
      <c r="AA220" s="181" t="str">
        <f t="shared" ca="1" si="78"/>
        <v/>
      </c>
      <c r="AB220" s="181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81" t="str">
        <f t="shared" ca="1" si="79"/>
        <v/>
      </c>
      <c r="AD220" s="181" t="str">
        <f t="shared" ca="1" si="80"/>
        <v/>
      </c>
      <c r="AE220" s="181" t="str">
        <f t="shared" ca="1" si="81"/>
        <v/>
      </c>
      <c r="AF220" s="181" t="str">
        <f t="shared" ca="1" si="82"/>
        <v/>
      </c>
      <c r="AG220" s="181" t="str">
        <f t="shared" ca="1" si="83"/>
        <v/>
      </c>
      <c r="AH220" s="185" t="str">
        <f t="shared" ca="1" si="84"/>
        <v/>
      </c>
      <c r="AI220" s="181" t="str">
        <f t="shared" ca="1" si="85"/>
        <v/>
      </c>
      <c r="AJ220" s="181" t="str">
        <f t="shared" ca="1" si="86"/>
        <v/>
      </c>
      <c r="AK220" s="181" t="str">
        <f t="shared" ca="1" si="87"/>
        <v/>
      </c>
      <c r="AL220" s="181" t="str">
        <f t="shared" ca="1" si="88"/>
        <v/>
      </c>
      <c r="AM220" s="181" t="str">
        <f t="shared" ca="1" si="89"/>
        <v/>
      </c>
      <c r="AN220" s="181" t="str">
        <f t="shared" ca="1" si="90"/>
        <v/>
      </c>
      <c r="AO220" s="181" t="str">
        <f t="shared" ca="1" si="91"/>
        <v/>
      </c>
      <c r="AP220" s="181" t="str">
        <f t="shared" ca="1" si="92"/>
        <v/>
      </c>
      <c r="AU220" s="181" t="str">
        <f t="shared" ca="1" si="93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1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6"/>
        <v/>
      </c>
      <c r="Q221" s="117" t="str">
        <f t="shared" ca="1" si="97"/>
        <v/>
      </c>
      <c r="R221" s="181" t="str">
        <f t="array" aca="1" ref="R221" ca="1">IFERROR(SMALL(IF(P$1:P$311&lt;&gt;0,P$1:P$311),ROW(A221)),"")</f>
        <v/>
      </c>
      <c r="S221" s="181" t="str">
        <f t="array" aca="1" ref="S221" ca="1">IF($R221&lt;&gt;"",
SUBSTITUTE(SUBSTITUTE(INDIRECT("C"&amp;$R221&amp;"")," 週3ｺｰｽ","")," 週5ｺｰｽ",""),"")</f>
        <v/>
      </c>
      <c r="T221" s="18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81" t="str">
        <f t="array" aca="1" ref="V221" ca="1">IF($R221&lt;&gt;"",
INDIRECT("G"&amp;$R221&amp;""),"")</f>
        <v/>
      </c>
      <c r="W221" s="181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8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8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81" t="str">
        <f t="shared" ca="1" si="77"/>
        <v/>
      </c>
      <c r="AA221" s="181" t="str">
        <f t="shared" ca="1" si="78"/>
        <v/>
      </c>
      <c r="AB221" s="181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81" t="str">
        <f t="shared" ca="1" si="79"/>
        <v/>
      </c>
      <c r="AD221" s="181" t="str">
        <f t="shared" ca="1" si="80"/>
        <v/>
      </c>
      <c r="AE221" s="181" t="str">
        <f t="shared" ca="1" si="81"/>
        <v/>
      </c>
      <c r="AF221" s="181" t="str">
        <f t="shared" ca="1" si="82"/>
        <v/>
      </c>
      <c r="AG221" s="181" t="str">
        <f t="shared" ca="1" si="83"/>
        <v/>
      </c>
      <c r="AH221" s="185" t="str">
        <f t="shared" ca="1" si="84"/>
        <v/>
      </c>
      <c r="AI221" s="181" t="str">
        <f t="shared" ca="1" si="85"/>
        <v/>
      </c>
      <c r="AJ221" s="181" t="str">
        <f t="shared" ca="1" si="86"/>
        <v/>
      </c>
      <c r="AK221" s="181" t="str">
        <f t="shared" ca="1" si="87"/>
        <v/>
      </c>
      <c r="AL221" s="181" t="str">
        <f t="shared" ca="1" si="88"/>
        <v/>
      </c>
      <c r="AM221" s="181" t="str">
        <f t="shared" ca="1" si="89"/>
        <v/>
      </c>
      <c r="AN221" s="181" t="str">
        <f t="shared" ca="1" si="90"/>
        <v/>
      </c>
      <c r="AO221" s="181" t="str">
        <f t="shared" ca="1" si="91"/>
        <v/>
      </c>
      <c r="AP221" s="181" t="str">
        <f t="shared" ca="1" si="92"/>
        <v/>
      </c>
      <c r="AU221" s="181" t="str">
        <f t="shared" ca="1" si="93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1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6"/>
        <v/>
      </c>
      <c r="Q222" s="117" t="str">
        <f t="shared" ca="1" si="97"/>
        <v/>
      </c>
      <c r="R222" s="181" t="str">
        <f t="array" aca="1" ref="R222" ca="1">IFERROR(SMALL(IF(P$1:P$311&lt;&gt;0,P$1:P$311),ROW(A222)),"")</f>
        <v/>
      </c>
      <c r="S222" s="181" t="str">
        <f t="array" aca="1" ref="S222" ca="1">IF($R222&lt;&gt;"",
SUBSTITUTE(SUBSTITUTE(INDIRECT("C"&amp;$R222&amp;"")," 週3ｺｰｽ","")," 週5ｺｰｽ",""),"")</f>
        <v/>
      </c>
      <c r="T222" s="18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81" t="str">
        <f t="array" aca="1" ref="V222" ca="1">IF($R222&lt;&gt;"",
INDIRECT("G"&amp;$R222&amp;""),"")</f>
        <v/>
      </c>
      <c r="W222" s="181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8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8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81" t="str">
        <f t="shared" ca="1" si="77"/>
        <v/>
      </c>
      <c r="AA222" s="181" t="str">
        <f t="shared" ca="1" si="78"/>
        <v/>
      </c>
      <c r="AB222" s="181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81" t="str">
        <f t="shared" ca="1" si="79"/>
        <v/>
      </c>
      <c r="AD222" s="181" t="str">
        <f t="shared" ca="1" si="80"/>
        <v/>
      </c>
      <c r="AE222" s="181" t="str">
        <f t="shared" ca="1" si="81"/>
        <v/>
      </c>
      <c r="AF222" s="181" t="str">
        <f t="shared" ca="1" si="82"/>
        <v/>
      </c>
      <c r="AG222" s="181" t="str">
        <f t="shared" ca="1" si="83"/>
        <v/>
      </c>
      <c r="AH222" s="185" t="str">
        <f t="shared" ca="1" si="84"/>
        <v/>
      </c>
      <c r="AI222" s="181" t="str">
        <f t="shared" ca="1" si="85"/>
        <v/>
      </c>
      <c r="AJ222" s="181" t="str">
        <f t="shared" ca="1" si="86"/>
        <v/>
      </c>
      <c r="AK222" s="181" t="str">
        <f t="shared" ca="1" si="87"/>
        <v/>
      </c>
      <c r="AL222" s="181" t="str">
        <f t="shared" ca="1" si="88"/>
        <v/>
      </c>
      <c r="AM222" s="181" t="str">
        <f t="shared" ca="1" si="89"/>
        <v/>
      </c>
      <c r="AN222" s="181" t="str">
        <f t="shared" ca="1" si="90"/>
        <v/>
      </c>
      <c r="AO222" s="181" t="str">
        <f t="shared" ca="1" si="91"/>
        <v/>
      </c>
      <c r="AP222" s="181" t="str">
        <f t="shared" ca="1" si="92"/>
        <v/>
      </c>
      <c r="AU222" s="181" t="str">
        <f t="shared" ca="1" si="93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1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6"/>
        <v/>
      </c>
      <c r="Q223" s="117" t="str">
        <f t="shared" ca="1" si="97"/>
        <v/>
      </c>
      <c r="R223" s="181" t="str">
        <f t="array" aca="1" ref="R223" ca="1">IFERROR(SMALL(IF(P$1:P$311&lt;&gt;0,P$1:P$311),ROW(A223)),"")</f>
        <v/>
      </c>
      <c r="S223" s="181" t="str">
        <f t="array" aca="1" ref="S223" ca="1">IF($R223&lt;&gt;"",
SUBSTITUTE(SUBSTITUTE(INDIRECT("C"&amp;$R223&amp;"")," 週3ｺｰｽ","")," 週5ｺｰｽ",""),"")</f>
        <v/>
      </c>
      <c r="T223" s="18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81" t="str">
        <f t="array" aca="1" ref="V223" ca="1">IF($R223&lt;&gt;"",
INDIRECT("G"&amp;$R223&amp;""),"")</f>
        <v/>
      </c>
      <c r="W223" s="181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8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8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81" t="str">
        <f t="shared" ca="1" si="77"/>
        <v/>
      </c>
      <c r="AA223" s="181" t="str">
        <f t="shared" ca="1" si="78"/>
        <v/>
      </c>
      <c r="AB223" s="181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81" t="str">
        <f t="shared" ca="1" si="79"/>
        <v/>
      </c>
      <c r="AD223" s="181" t="str">
        <f t="shared" ca="1" si="80"/>
        <v/>
      </c>
      <c r="AE223" s="181" t="str">
        <f t="shared" ca="1" si="81"/>
        <v/>
      </c>
      <c r="AF223" s="181" t="str">
        <f t="shared" ca="1" si="82"/>
        <v/>
      </c>
      <c r="AG223" s="181" t="str">
        <f t="shared" ca="1" si="83"/>
        <v/>
      </c>
      <c r="AH223" s="185" t="str">
        <f t="shared" ca="1" si="84"/>
        <v/>
      </c>
      <c r="AI223" s="181" t="str">
        <f t="shared" ca="1" si="85"/>
        <v/>
      </c>
      <c r="AJ223" s="181" t="str">
        <f t="shared" ca="1" si="86"/>
        <v/>
      </c>
      <c r="AK223" s="181" t="str">
        <f t="shared" ca="1" si="87"/>
        <v/>
      </c>
      <c r="AL223" s="181" t="str">
        <f t="shared" ca="1" si="88"/>
        <v/>
      </c>
      <c r="AM223" s="181" t="str">
        <f t="shared" ca="1" si="89"/>
        <v/>
      </c>
      <c r="AN223" s="181" t="str">
        <f t="shared" ca="1" si="90"/>
        <v/>
      </c>
      <c r="AO223" s="181" t="str">
        <f t="shared" ca="1" si="91"/>
        <v/>
      </c>
      <c r="AP223" s="181" t="str">
        <f t="shared" ca="1" si="92"/>
        <v/>
      </c>
      <c r="AU223" s="181" t="str">
        <f t="shared" ca="1" si="93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1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6"/>
        <v/>
      </c>
      <c r="Q224" s="117" t="str">
        <f t="shared" ca="1" si="97"/>
        <v/>
      </c>
      <c r="R224" s="181" t="str">
        <f t="array" aca="1" ref="R224" ca="1">IFERROR(SMALL(IF(P$1:P$311&lt;&gt;0,P$1:P$311),ROW(A224)),"")</f>
        <v/>
      </c>
      <c r="S224" s="181" t="str">
        <f t="array" aca="1" ref="S224" ca="1">IF($R224&lt;&gt;"",
SUBSTITUTE(SUBSTITUTE(INDIRECT("C"&amp;$R224&amp;"")," 週3ｺｰｽ","")," 週5ｺｰｽ",""),"")</f>
        <v/>
      </c>
      <c r="T224" s="18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81" t="str">
        <f t="array" aca="1" ref="V224" ca="1">IF($R224&lt;&gt;"",
INDIRECT("G"&amp;$R224&amp;""),"")</f>
        <v/>
      </c>
      <c r="W224" s="181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8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8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81" t="str">
        <f t="shared" ca="1" si="77"/>
        <v/>
      </c>
      <c r="AA224" s="181" t="str">
        <f t="shared" ca="1" si="78"/>
        <v/>
      </c>
      <c r="AB224" s="181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81" t="str">
        <f t="shared" ca="1" si="79"/>
        <v/>
      </c>
      <c r="AD224" s="181" t="str">
        <f t="shared" ca="1" si="80"/>
        <v/>
      </c>
      <c r="AE224" s="181" t="str">
        <f t="shared" ca="1" si="81"/>
        <v/>
      </c>
      <c r="AF224" s="181" t="str">
        <f t="shared" ca="1" si="82"/>
        <v/>
      </c>
      <c r="AG224" s="181" t="str">
        <f t="shared" ca="1" si="83"/>
        <v/>
      </c>
      <c r="AH224" s="185" t="str">
        <f t="shared" ca="1" si="84"/>
        <v/>
      </c>
      <c r="AI224" s="181" t="str">
        <f t="shared" ca="1" si="85"/>
        <v/>
      </c>
      <c r="AJ224" s="181" t="str">
        <f t="shared" ca="1" si="86"/>
        <v/>
      </c>
      <c r="AK224" s="181" t="str">
        <f t="shared" ca="1" si="87"/>
        <v/>
      </c>
      <c r="AL224" s="181" t="str">
        <f t="shared" ca="1" si="88"/>
        <v/>
      </c>
      <c r="AM224" s="181" t="str">
        <f t="shared" ca="1" si="89"/>
        <v/>
      </c>
      <c r="AN224" s="181" t="str">
        <f t="shared" ca="1" si="90"/>
        <v/>
      </c>
      <c r="AO224" s="181" t="str">
        <f t="shared" ca="1" si="91"/>
        <v/>
      </c>
      <c r="AP224" s="181" t="str">
        <f t="shared" ca="1" si="92"/>
        <v/>
      </c>
      <c r="AU224" s="181" t="str">
        <f t="shared" ca="1" si="93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1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6"/>
        <v/>
      </c>
      <c r="Q225" s="117" t="str">
        <f t="shared" ca="1" si="97"/>
        <v/>
      </c>
      <c r="R225" s="181" t="str">
        <f t="array" aca="1" ref="R225" ca="1">IFERROR(SMALL(IF(P$1:P$311&lt;&gt;0,P$1:P$311),ROW(A225)),"")</f>
        <v/>
      </c>
      <c r="S225" s="181" t="str">
        <f t="array" aca="1" ref="S225" ca="1">IF($R225&lt;&gt;"",
SUBSTITUTE(SUBSTITUTE(INDIRECT("C"&amp;$R225&amp;"")," 週3ｺｰｽ","")," 週5ｺｰｽ",""),"")</f>
        <v/>
      </c>
      <c r="T225" s="18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81" t="str">
        <f t="array" aca="1" ref="V225" ca="1">IF($R225&lt;&gt;"",
INDIRECT("G"&amp;$R225&amp;""),"")</f>
        <v/>
      </c>
      <c r="W225" s="181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8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8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81" t="str">
        <f t="shared" ca="1" si="77"/>
        <v/>
      </c>
      <c r="AA225" s="181" t="str">
        <f t="shared" ca="1" si="78"/>
        <v/>
      </c>
      <c r="AB225" s="181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81" t="str">
        <f t="shared" ca="1" si="79"/>
        <v/>
      </c>
      <c r="AD225" s="181" t="str">
        <f t="shared" ca="1" si="80"/>
        <v/>
      </c>
      <c r="AE225" s="181" t="str">
        <f t="shared" ca="1" si="81"/>
        <v/>
      </c>
      <c r="AF225" s="181" t="str">
        <f t="shared" ca="1" si="82"/>
        <v/>
      </c>
      <c r="AG225" s="181" t="str">
        <f t="shared" ca="1" si="83"/>
        <v/>
      </c>
      <c r="AH225" s="185" t="str">
        <f t="shared" ca="1" si="84"/>
        <v/>
      </c>
      <c r="AI225" s="181" t="str">
        <f t="shared" ca="1" si="85"/>
        <v/>
      </c>
      <c r="AJ225" s="181" t="str">
        <f t="shared" ca="1" si="86"/>
        <v/>
      </c>
      <c r="AK225" s="181" t="str">
        <f t="shared" ca="1" si="87"/>
        <v/>
      </c>
      <c r="AL225" s="181" t="str">
        <f t="shared" ca="1" si="88"/>
        <v/>
      </c>
      <c r="AM225" s="181" t="str">
        <f t="shared" ca="1" si="89"/>
        <v/>
      </c>
      <c r="AN225" s="181" t="str">
        <f t="shared" ca="1" si="90"/>
        <v/>
      </c>
      <c r="AO225" s="181" t="str">
        <f t="shared" ca="1" si="91"/>
        <v/>
      </c>
      <c r="AP225" s="181" t="str">
        <f t="shared" ca="1" si="92"/>
        <v/>
      </c>
      <c r="AU225" s="181" t="str">
        <f t="shared" ca="1" si="93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1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6"/>
        <v/>
      </c>
      <c r="Q226" s="117" t="str">
        <f t="shared" ca="1" si="97"/>
        <v/>
      </c>
      <c r="R226" s="181" t="str">
        <f t="array" aca="1" ref="R226" ca="1">IFERROR(SMALL(IF(P$1:P$311&lt;&gt;0,P$1:P$311),ROW(A226)),"")</f>
        <v/>
      </c>
      <c r="S226" s="181" t="str">
        <f t="array" aca="1" ref="S226" ca="1">IF($R226&lt;&gt;"",
SUBSTITUTE(SUBSTITUTE(INDIRECT("C"&amp;$R226&amp;"")," 週3ｺｰｽ","")," 週5ｺｰｽ",""),"")</f>
        <v/>
      </c>
      <c r="T226" s="18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81" t="str">
        <f t="array" aca="1" ref="V226" ca="1">IF($R226&lt;&gt;"",
INDIRECT("G"&amp;$R226&amp;""),"")</f>
        <v/>
      </c>
      <c r="W226" s="181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8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8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81" t="str">
        <f t="shared" ca="1" si="77"/>
        <v/>
      </c>
      <c r="AA226" s="181" t="str">
        <f t="shared" ca="1" si="78"/>
        <v/>
      </c>
      <c r="AB226" s="181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81" t="str">
        <f t="shared" ca="1" si="79"/>
        <v/>
      </c>
      <c r="AD226" s="181" t="str">
        <f t="shared" ca="1" si="80"/>
        <v/>
      </c>
      <c r="AE226" s="181" t="str">
        <f t="shared" ca="1" si="81"/>
        <v/>
      </c>
      <c r="AF226" s="181" t="str">
        <f t="shared" ca="1" si="82"/>
        <v/>
      </c>
      <c r="AG226" s="181" t="str">
        <f t="shared" ca="1" si="83"/>
        <v/>
      </c>
      <c r="AH226" s="185" t="str">
        <f t="shared" ca="1" si="84"/>
        <v/>
      </c>
      <c r="AI226" s="181" t="str">
        <f t="shared" ca="1" si="85"/>
        <v/>
      </c>
      <c r="AJ226" s="181" t="str">
        <f t="shared" ca="1" si="86"/>
        <v/>
      </c>
      <c r="AK226" s="181" t="str">
        <f t="shared" ca="1" si="87"/>
        <v/>
      </c>
      <c r="AL226" s="181" t="str">
        <f t="shared" ca="1" si="88"/>
        <v/>
      </c>
      <c r="AM226" s="181" t="str">
        <f t="shared" ca="1" si="89"/>
        <v/>
      </c>
      <c r="AN226" s="181" t="str">
        <f t="shared" ca="1" si="90"/>
        <v/>
      </c>
      <c r="AO226" s="181" t="str">
        <f t="shared" ca="1" si="91"/>
        <v/>
      </c>
      <c r="AP226" s="181" t="str">
        <f t="shared" ca="1" si="92"/>
        <v/>
      </c>
      <c r="AU226" s="181" t="str">
        <f t="shared" ca="1" si="93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19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6"/>
        <v/>
      </c>
      <c r="Q227" s="117" t="str">
        <f t="shared" ca="1" si="97"/>
        <v/>
      </c>
      <c r="R227" s="181" t="str">
        <f t="array" aca="1" ref="R227" ca="1">IFERROR(SMALL(IF(P$1:P$311&lt;&gt;0,P$1:P$311),ROW(A227)),"")</f>
        <v/>
      </c>
      <c r="S227" s="181" t="str">
        <f t="array" aca="1" ref="S227" ca="1">IF($R227&lt;&gt;"",
SUBSTITUTE(SUBSTITUTE(INDIRECT("C"&amp;$R227&amp;"")," 週3ｺｰｽ","")," 週5ｺｰｽ",""),"")</f>
        <v/>
      </c>
      <c r="T227" s="18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81" t="str">
        <f t="array" aca="1" ref="V227" ca="1">IF($R227&lt;&gt;"",
INDIRECT("G"&amp;$R227&amp;""),"")</f>
        <v/>
      </c>
      <c r="W227" s="181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8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8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81" t="str">
        <f t="shared" ca="1" si="77"/>
        <v/>
      </c>
      <c r="AA227" s="181" t="str">
        <f t="shared" ca="1" si="78"/>
        <v/>
      </c>
      <c r="AB227" s="181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81" t="str">
        <f t="shared" ca="1" si="79"/>
        <v/>
      </c>
      <c r="AD227" s="181" t="str">
        <f t="shared" ca="1" si="80"/>
        <v/>
      </c>
      <c r="AE227" s="181" t="str">
        <f t="shared" ca="1" si="81"/>
        <v/>
      </c>
      <c r="AF227" s="181" t="str">
        <f t="shared" ca="1" si="82"/>
        <v/>
      </c>
      <c r="AG227" s="181" t="str">
        <f t="shared" ca="1" si="83"/>
        <v/>
      </c>
      <c r="AH227" s="185" t="str">
        <f t="shared" ca="1" si="84"/>
        <v/>
      </c>
      <c r="AI227" s="181" t="str">
        <f t="shared" ca="1" si="85"/>
        <v/>
      </c>
      <c r="AJ227" s="181" t="str">
        <f t="shared" ca="1" si="86"/>
        <v/>
      </c>
      <c r="AK227" s="181" t="str">
        <f t="shared" ca="1" si="87"/>
        <v/>
      </c>
      <c r="AL227" s="181" t="str">
        <f t="shared" ca="1" si="88"/>
        <v/>
      </c>
      <c r="AM227" s="181" t="str">
        <f t="shared" ca="1" si="89"/>
        <v/>
      </c>
      <c r="AN227" s="181" t="str">
        <f t="shared" ca="1" si="90"/>
        <v/>
      </c>
      <c r="AO227" s="181" t="str">
        <f t="shared" ca="1" si="91"/>
        <v/>
      </c>
      <c r="AP227" s="181" t="str">
        <f t="shared" ca="1" si="92"/>
        <v/>
      </c>
      <c r="AU227" s="181" t="str">
        <f t="shared" ca="1" si="93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1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6"/>
        <v/>
      </c>
      <c r="Q228" s="117" t="str">
        <f t="shared" ca="1" si="97"/>
        <v/>
      </c>
      <c r="R228" s="181" t="str">
        <f t="array" aca="1" ref="R228" ca="1">IFERROR(SMALL(IF(P$1:P$311&lt;&gt;0,P$1:P$311),ROW(A228)),"")</f>
        <v/>
      </c>
      <c r="S228" s="181" t="str">
        <f t="array" aca="1" ref="S228" ca="1">IF($R228&lt;&gt;"",
SUBSTITUTE(SUBSTITUTE(INDIRECT("C"&amp;$R228&amp;"")," 週3ｺｰｽ","")," 週5ｺｰｽ",""),"")</f>
        <v/>
      </c>
      <c r="T228" s="18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81" t="str">
        <f t="array" aca="1" ref="V228" ca="1">IF($R228&lt;&gt;"",
INDIRECT("G"&amp;$R228&amp;""),"")</f>
        <v/>
      </c>
      <c r="W228" s="181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8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8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81" t="str">
        <f t="shared" ca="1" si="77"/>
        <v/>
      </c>
      <c r="AA228" s="181" t="str">
        <f t="shared" ca="1" si="78"/>
        <v/>
      </c>
      <c r="AB228" s="181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81" t="str">
        <f t="shared" ca="1" si="79"/>
        <v/>
      </c>
      <c r="AD228" s="181" t="str">
        <f t="shared" ca="1" si="80"/>
        <v/>
      </c>
      <c r="AE228" s="181" t="str">
        <f t="shared" ca="1" si="81"/>
        <v/>
      </c>
      <c r="AF228" s="181" t="str">
        <f t="shared" ca="1" si="82"/>
        <v/>
      </c>
      <c r="AG228" s="181" t="str">
        <f t="shared" ca="1" si="83"/>
        <v/>
      </c>
      <c r="AH228" s="185" t="str">
        <f t="shared" ca="1" si="84"/>
        <v/>
      </c>
      <c r="AI228" s="181" t="str">
        <f t="shared" ca="1" si="85"/>
        <v/>
      </c>
      <c r="AJ228" s="181" t="str">
        <f t="shared" ca="1" si="86"/>
        <v/>
      </c>
      <c r="AK228" s="181" t="str">
        <f t="shared" ca="1" si="87"/>
        <v/>
      </c>
      <c r="AL228" s="181" t="str">
        <f t="shared" ca="1" si="88"/>
        <v/>
      </c>
      <c r="AM228" s="181" t="str">
        <f t="shared" ca="1" si="89"/>
        <v/>
      </c>
      <c r="AN228" s="181" t="str">
        <f t="shared" ca="1" si="90"/>
        <v/>
      </c>
      <c r="AO228" s="181" t="str">
        <f t="shared" ca="1" si="91"/>
        <v/>
      </c>
      <c r="AP228" s="181" t="str">
        <f t="shared" ca="1" si="92"/>
        <v/>
      </c>
      <c r="AU228" s="181" t="str">
        <f t="shared" ca="1" si="93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1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6"/>
        <v/>
      </c>
      <c r="Q229" s="117" t="str">
        <f t="shared" ca="1" si="97"/>
        <v/>
      </c>
      <c r="R229" s="181" t="str">
        <f t="array" aca="1" ref="R229" ca="1">IFERROR(SMALL(IF(P$1:P$311&lt;&gt;0,P$1:P$311),ROW(A229)),"")</f>
        <v/>
      </c>
      <c r="S229" s="181" t="str">
        <f t="array" aca="1" ref="S229" ca="1">IF($R229&lt;&gt;"",
SUBSTITUTE(SUBSTITUTE(INDIRECT("C"&amp;$R229&amp;"")," 週3ｺｰｽ","")," 週5ｺｰｽ",""),"")</f>
        <v/>
      </c>
      <c r="T229" s="18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81" t="str">
        <f t="array" aca="1" ref="V229" ca="1">IF($R229&lt;&gt;"",
INDIRECT("G"&amp;$R229&amp;""),"")</f>
        <v/>
      </c>
      <c r="W229" s="181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8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8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81" t="str">
        <f t="shared" ca="1" si="77"/>
        <v/>
      </c>
      <c r="AA229" s="181" t="str">
        <f t="shared" ca="1" si="78"/>
        <v/>
      </c>
      <c r="AB229" s="181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81" t="str">
        <f t="shared" ca="1" si="79"/>
        <v/>
      </c>
      <c r="AD229" s="181" t="str">
        <f t="shared" ca="1" si="80"/>
        <v/>
      </c>
      <c r="AE229" s="181" t="str">
        <f t="shared" ca="1" si="81"/>
        <v/>
      </c>
      <c r="AF229" s="181" t="str">
        <f t="shared" ca="1" si="82"/>
        <v/>
      </c>
      <c r="AG229" s="181" t="str">
        <f t="shared" ca="1" si="83"/>
        <v/>
      </c>
      <c r="AH229" s="185" t="str">
        <f t="shared" ca="1" si="84"/>
        <v/>
      </c>
      <c r="AI229" s="181" t="str">
        <f t="shared" ca="1" si="85"/>
        <v/>
      </c>
      <c r="AJ229" s="181" t="str">
        <f t="shared" ca="1" si="86"/>
        <v/>
      </c>
      <c r="AK229" s="181" t="str">
        <f t="shared" ca="1" si="87"/>
        <v/>
      </c>
      <c r="AL229" s="181" t="str">
        <f t="shared" ca="1" si="88"/>
        <v/>
      </c>
      <c r="AM229" s="181" t="str">
        <f t="shared" ca="1" si="89"/>
        <v/>
      </c>
      <c r="AN229" s="181" t="str">
        <f t="shared" ca="1" si="90"/>
        <v/>
      </c>
      <c r="AO229" s="181" t="str">
        <f t="shared" ca="1" si="91"/>
        <v/>
      </c>
      <c r="AP229" s="181" t="str">
        <f t="shared" ca="1" si="92"/>
        <v/>
      </c>
      <c r="AU229" s="181" t="str">
        <f t="shared" ca="1" si="93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1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6"/>
        <v/>
      </c>
      <c r="Q230" s="117" t="str">
        <f t="shared" ca="1" si="97"/>
        <v/>
      </c>
      <c r="R230" s="181" t="str">
        <f t="array" aca="1" ref="R230" ca="1">IFERROR(SMALL(IF(P$1:P$311&lt;&gt;0,P$1:P$311),ROW(A230)),"")</f>
        <v/>
      </c>
      <c r="S230" s="181" t="str">
        <f t="array" aca="1" ref="S230" ca="1">IF($R230&lt;&gt;"",
SUBSTITUTE(SUBSTITUTE(INDIRECT("C"&amp;$R230&amp;"")," 週3ｺｰｽ","")," 週5ｺｰｽ",""),"")</f>
        <v/>
      </c>
      <c r="T230" s="18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81" t="str">
        <f t="array" aca="1" ref="V230" ca="1">IF($R230&lt;&gt;"",
INDIRECT("G"&amp;$R230&amp;""),"")</f>
        <v/>
      </c>
      <c r="W230" s="181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8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8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81" t="str">
        <f t="shared" ca="1" si="77"/>
        <v/>
      </c>
      <c r="AA230" s="181" t="str">
        <f t="shared" ca="1" si="78"/>
        <v/>
      </c>
      <c r="AB230" s="181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81" t="str">
        <f t="shared" ca="1" si="79"/>
        <v/>
      </c>
      <c r="AD230" s="181" t="str">
        <f t="shared" ca="1" si="80"/>
        <v/>
      </c>
      <c r="AE230" s="181" t="str">
        <f t="shared" ca="1" si="81"/>
        <v/>
      </c>
      <c r="AF230" s="181" t="str">
        <f t="shared" ca="1" si="82"/>
        <v/>
      </c>
      <c r="AG230" s="181" t="str">
        <f t="shared" ca="1" si="83"/>
        <v/>
      </c>
      <c r="AH230" s="185" t="str">
        <f t="shared" ca="1" si="84"/>
        <v/>
      </c>
      <c r="AI230" s="181" t="str">
        <f t="shared" ca="1" si="85"/>
        <v/>
      </c>
      <c r="AJ230" s="181" t="str">
        <f t="shared" ca="1" si="86"/>
        <v/>
      </c>
      <c r="AK230" s="181" t="str">
        <f t="shared" ca="1" si="87"/>
        <v/>
      </c>
      <c r="AL230" s="181" t="str">
        <f t="shared" ca="1" si="88"/>
        <v/>
      </c>
      <c r="AM230" s="181" t="str">
        <f t="shared" ca="1" si="89"/>
        <v/>
      </c>
      <c r="AN230" s="181" t="str">
        <f t="shared" ca="1" si="90"/>
        <v/>
      </c>
      <c r="AO230" s="181" t="str">
        <f t="shared" ca="1" si="91"/>
        <v/>
      </c>
      <c r="AP230" s="181" t="str">
        <f t="shared" ca="1" si="92"/>
        <v/>
      </c>
      <c r="AU230" s="181" t="str">
        <f t="shared" ca="1" si="93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1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6"/>
        <v/>
      </c>
      <c r="Q231" s="117" t="str">
        <f t="shared" ca="1" si="97"/>
        <v/>
      </c>
      <c r="R231" s="181" t="str">
        <f t="array" aca="1" ref="R231" ca="1">IFERROR(SMALL(IF(P$1:P$311&lt;&gt;0,P$1:P$311),ROW(A231)),"")</f>
        <v/>
      </c>
      <c r="S231" s="181" t="str">
        <f t="array" aca="1" ref="S231" ca="1">IF($R231&lt;&gt;"",
SUBSTITUTE(SUBSTITUTE(INDIRECT("C"&amp;$R231&amp;"")," 週3ｺｰｽ","")," 週5ｺｰｽ",""),"")</f>
        <v/>
      </c>
      <c r="T231" s="18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81" t="str">
        <f t="array" aca="1" ref="V231" ca="1">IF($R231&lt;&gt;"",
INDIRECT("G"&amp;$R231&amp;""),"")</f>
        <v/>
      </c>
      <c r="W231" s="181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8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8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81" t="str">
        <f t="shared" ca="1" si="77"/>
        <v/>
      </c>
      <c r="AA231" s="181" t="str">
        <f t="shared" ca="1" si="78"/>
        <v/>
      </c>
      <c r="AB231" s="181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81" t="str">
        <f t="shared" ca="1" si="79"/>
        <v/>
      </c>
      <c r="AD231" s="181" t="str">
        <f t="shared" ca="1" si="80"/>
        <v/>
      </c>
      <c r="AE231" s="181" t="str">
        <f t="shared" ca="1" si="81"/>
        <v/>
      </c>
      <c r="AF231" s="181" t="str">
        <f t="shared" ca="1" si="82"/>
        <v/>
      </c>
      <c r="AG231" s="181" t="str">
        <f t="shared" ca="1" si="83"/>
        <v/>
      </c>
      <c r="AH231" s="185" t="str">
        <f t="shared" ca="1" si="84"/>
        <v/>
      </c>
      <c r="AI231" s="181" t="str">
        <f t="shared" ca="1" si="85"/>
        <v/>
      </c>
      <c r="AJ231" s="181" t="str">
        <f t="shared" ca="1" si="86"/>
        <v/>
      </c>
      <c r="AK231" s="181" t="str">
        <f t="shared" ca="1" si="87"/>
        <v/>
      </c>
      <c r="AL231" s="181" t="str">
        <f t="shared" ca="1" si="88"/>
        <v/>
      </c>
      <c r="AM231" s="181" t="str">
        <f t="shared" ca="1" si="89"/>
        <v/>
      </c>
      <c r="AN231" s="181" t="str">
        <f t="shared" ca="1" si="90"/>
        <v/>
      </c>
      <c r="AO231" s="181" t="str">
        <f t="shared" ca="1" si="91"/>
        <v/>
      </c>
      <c r="AP231" s="181" t="str">
        <f t="shared" ca="1" si="92"/>
        <v/>
      </c>
      <c r="AU231" s="181" t="str">
        <f t="shared" ca="1" si="93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1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1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6"/>
        <v/>
      </c>
      <c r="Q232" s="117" t="str">
        <f t="shared" ca="1" si="97"/>
        <v/>
      </c>
      <c r="R232" s="181" t="str">
        <f t="array" aca="1" ref="R232" ca="1">IFERROR(SMALL(IF(P$1:P$311&lt;&gt;0,P$1:P$311),ROW(A232)),"")</f>
        <v/>
      </c>
      <c r="S232" s="181" t="str">
        <f t="array" aca="1" ref="S232" ca="1">IF($R232&lt;&gt;"",
SUBSTITUTE(SUBSTITUTE(INDIRECT("C"&amp;$R232&amp;"")," 週3ｺｰｽ","")," 週5ｺｰｽ",""),"")</f>
        <v/>
      </c>
      <c r="T232" s="18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81" t="str">
        <f t="array" aca="1" ref="V232" ca="1">IF($R232&lt;&gt;"",
INDIRECT("G"&amp;$R232&amp;""),"")</f>
        <v/>
      </c>
      <c r="W232" s="181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8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8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81" t="str">
        <f t="shared" ca="1" si="77"/>
        <v/>
      </c>
      <c r="AA232" s="181" t="str">
        <f t="shared" ca="1" si="78"/>
        <v/>
      </c>
      <c r="AB232" s="181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81" t="str">
        <f t="shared" ca="1" si="79"/>
        <v/>
      </c>
      <c r="AD232" s="181" t="str">
        <f t="shared" ca="1" si="80"/>
        <v/>
      </c>
      <c r="AE232" s="181" t="str">
        <f t="shared" ca="1" si="81"/>
        <v/>
      </c>
      <c r="AF232" s="181" t="str">
        <f t="shared" ca="1" si="82"/>
        <v/>
      </c>
      <c r="AG232" s="181" t="str">
        <f t="shared" ca="1" si="83"/>
        <v/>
      </c>
      <c r="AH232" s="185" t="str">
        <f t="shared" ca="1" si="84"/>
        <v/>
      </c>
      <c r="AI232" s="181" t="str">
        <f t="shared" ca="1" si="85"/>
        <v/>
      </c>
      <c r="AJ232" s="181" t="str">
        <f t="shared" ca="1" si="86"/>
        <v/>
      </c>
      <c r="AK232" s="181" t="str">
        <f t="shared" ca="1" si="87"/>
        <v/>
      </c>
      <c r="AL232" s="181" t="str">
        <f t="shared" ca="1" si="88"/>
        <v/>
      </c>
      <c r="AM232" s="181" t="str">
        <f t="shared" ca="1" si="89"/>
        <v/>
      </c>
      <c r="AN232" s="181" t="str">
        <f t="shared" ca="1" si="90"/>
        <v/>
      </c>
      <c r="AO232" s="181" t="str">
        <f t="shared" ca="1" si="91"/>
        <v/>
      </c>
      <c r="AP232" s="181" t="str">
        <f t="shared" ca="1" si="92"/>
        <v/>
      </c>
      <c r="AU232" s="181" t="str">
        <f t="shared" ca="1" si="93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1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6"/>
        <v/>
      </c>
      <c r="Q233" s="117" t="str">
        <f t="shared" ca="1" si="97"/>
        <v/>
      </c>
      <c r="R233" s="181" t="str">
        <f t="array" aca="1" ref="R233" ca="1">IFERROR(SMALL(IF(P$1:P$311&lt;&gt;0,P$1:P$311),ROW(A233)),"")</f>
        <v/>
      </c>
      <c r="S233" s="181" t="str">
        <f t="array" aca="1" ref="S233" ca="1">IF($R233&lt;&gt;"",
SUBSTITUTE(SUBSTITUTE(INDIRECT("C"&amp;$R233&amp;"")," 週3ｺｰｽ","")," 週5ｺｰｽ",""),"")</f>
        <v/>
      </c>
      <c r="T233" s="18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81" t="str">
        <f t="array" aca="1" ref="V233" ca="1">IF($R233&lt;&gt;"",
INDIRECT("G"&amp;$R233&amp;""),"")</f>
        <v/>
      </c>
      <c r="W233" s="181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8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8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81" t="str">
        <f t="shared" ca="1" si="77"/>
        <v/>
      </c>
      <c r="AA233" s="181" t="str">
        <f t="shared" ca="1" si="78"/>
        <v/>
      </c>
      <c r="AB233" s="181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81" t="str">
        <f t="shared" ca="1" si="79"/>
        <v/>
      </c>
      <c r="AD233" s="181" t="str">
        <f t="shared" ca="1" si="80"/>
        <v/>
      </c>
      <c r="AE233" s="181" t="str">
        <f t="shared" ca="1" si="81"/>
        <v/>
      </c>
      <c r="AF233" s="181" t="str">
        <f t="shared" ca="1" si="82"/>
        <v/>
      </c>
      <c r="AG233" s="181" t="str">
        <f t="shared" ca="1" si="83"/>
        <v/>
      </c>
      <c r="AH233" s="185" t="str">
        <f t="shared" ca="1" si="84"/>
        <v/>
      </c>
      <c r="AI233" s="181" t="str">
        <f t="shared" ca="1" si="85"/>
        <v/>
      </c>
      <c r="AJ233" s="181" t="str">
        <f t="shared" ca="1" si="86"/>
        <v/>
      </c>
      <c r="AK233" s="181" t="str">
        <f t="shared" ca="1" si="87"/>
        <v/>
      </c>
      <c r="AL233" s="181" t="str">
        <f t="shared" ca="1" si="88"/>
        <v/>
      </c>
      <c r="AM233" s="181" t="str">
        <f t="shared" ca="1" si="89"/>
        <v/>
      </c>
      <c r="AN233" s="181" t="str">
        <f t="shared" ca="1" si="90"/>
        <v/>
      </c>
      <c r="AO233" s="181" t="str">
        <f t="shared" ca="1" si="91"/>
        <v/>
      </c>
      <c r="AP233" s="181" t="str">
        <f t="shared" ca="1" si="92"/>
        <v/>
      </c>
      <c r="AU233" s="181" t="str">
        <f t="shared" ca="1" si="93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1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6"/>
        <v/>
      </c>
      <c r="Q234" s="117" t="str">
        <f t="shared" ca="1" si="97"/>
        <v/>
      </c>
      <c r="R234" s="181" t="str">
        <f t="array" aca="1" ref="R234" ca="1">IFERROR(SMALL(IF(P$1:P$311&lt;&gt;0,P$1:P$311),ROW(A234)),"")</f>
        <v/>
      </c>
      <c r="S234" s="181" t="str">
        <f t="array" aca="1" ref="S234" ca="1">IF($R234&lt;&gt;"",
SUBSTITUTE(SUBSTITUTE(INDIRECT("C"&amp;$R234&amp;"")," 週3ｺｰｽ","")," 週5ｺｰｽ",""),"")</f>
        <v/>
      </c>
      <c r="T234" s="18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81" t="str">
        <f t="array" aca="1" ref="V234" ca="1">IF($R234&lt;&gt;"",
INDIRECT("G"&amp;$R234&amp;""),"")</f>
        <v/>
      </c>
      <c r="W234" s="181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8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8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81" t="str">
        <f t="shared" ca="1" si="77"/>
        <v/>
      </c>
      <c r="AA234" s="181" t="str">
        <f t="shared" ca="1" si="78"/>
        <v/>
      </c>
      <c r="AB234" s="181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81" t="str">
        <f t="shared" ca="1" si="79"/>
        <v/>
      </c>
      <c r="AD234" s="181" t="str">
        <f t="shared" ca="1" si="80"/>
        <v/>
      </c>
      <c r="AE234" s="181" t="str">
        <f t="shared" ca="1" si="81"/>
        <v/>
      </c>
      <c r="AF234" s="181" t="str">
        <f t="shared" ca="1" si="82"/>
        <v/>
      </c>
      <c r="AG234" s="181" t="str">
        <f t="shared" ca="1" si="83"/>
        <v/>
      </c>
      <c r="AH234" s="185" t="str">
        <f t="shared" ca="1" si="84"/>
        <v/>
      </c>
      <c r="AI234" s="181" t="str">
        <f t="shared" ca="1" si="85"/>
        <v/>
      </c>
      <c r="AJ234" s="181" t="str">
        <f t="shared" ca="1" si="86"/>
        <v/>
      </c>
      <c r="AK234" s="181" t="str">
        <f t="shared" ca="1" si="87"/>
        <v/>
      </c>
      <c r="AL234" s="181" t="str">
        <f t="shared" ca="1" si="88"/>
        <v/>
      </c>
      <c r="AM234" s="181" t="str">
        <f t="shared" ca="1" si="89"/>
        <v/>
      </c>
      <c r="AN234" s="181" t="str">
        <f t="shared" ca="1" si="90"/>
        <v/>
      </c>
      <c r="AO234" s="181" t="str">
        <f t="shared" ca="1" si="91"/>
        <v/>
      </c>
      <c r="AP234" s="181" t="str">
        <f t="shared" ca="1" si="92"/>
        <v/>
      </c>
      <c r="AU234" s="181" t="str">
        <f t="shared" ca="1" si="93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1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6"/>
        <v/>
      </c>
      <c r="Q235" s="117" t="str">
        <f t="shared" ca="1" si="97"/>
        <v/>
      </c>
      <c r="R235" s="181" t="str">
        <f t="array" aca="1" ref="R235" ca="1">IFERROR(SMALL(IF(P$1:P$311&lt;&gt;0,P$1:P$311),ROW(A235)),"")</f>
        <v/>
      </c>
      <c r="S235" s="181" t="str">
        <f t="array" aca="1" ref="S235" ca="1">IF($R235&lt;&gt;"",
SUBSTITUTE(SUBSTITUTE(INDIRECT("C"&amp;$R235&amp;"")," 週3ｺｰｽ","")," 週5ｺｰｽ",""),"")</f>
        <v/>
      </c>
      <c r="T235" s="18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81" t="str">
        <f t="array" aca="1" ref="V235" ca="1">IF($R235&lt;&gt;"",
INDIRECT("G"&amp;$R235&amp;""),"")</f>
        <v/>
      </c>
      <c r="W235" s="181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8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8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81" t="str">
        <f t="shared" ca="1" si="77"/>
        <v/>
      </c>
      <c r="AA235" s="181" t="str">
        <f t="shared" ca="1" si="78"/>
        <v/>
      </c>
      <c r="AB235" s="181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81" t="str">
        <f t="shared" ca="1" si="79"/>
        <v/>
      </c>
      <c r="AD235" s="181" t="str">
        <f t="shared" ca="1" si="80"/>
        <v/>
      </c>
      <c r="AE235" s="181" t="str">
        <f t="shared" ca="1" si="81"/>
        <v/>
      </c>
      <c r="AF235" s="181" t="str">
        <f t="shared" ca="1" si="82"/>
        <v/>
      </c>
      <c r="AG235" s="181" t="str">
        <f t="shared" ca="1" si="83"/>
        <v/>
      </c>
      <c r="AH235" s="185" t="str">
        <f t="shared" ca="1" si="84"/>
        <v/>
      </c>
      <c r="AI235" s="181" t="str">
        <f t="shared" ca="1" si="85"/>
        <v/>
      </c>
      <c r="AJ235" s="181" t="str">
        <f t="shared" ca="1" si="86"/>
        <v/>
      </c>
      <c r="AK235" s="181" t="str">
        <f t="shared" ca="1" si="87"/>
        <v/>
      </c>
      <c r="AL235" s="181" t="str">
        <f t="shared" ca="1" si="88"/>
        <v/>
      </c>
      <c r="AM235" s="181" t="str">
        <f t="shared" ca="1" si="89"/>
        <v/>
      </c>
      <c r="AN235" s="181" t="str">
        <f t="shared" ca="1" si="90"/>
        <v/>
      </c>
      <c r="AO235" s="181" t="str">
        <f t="shared" ca="1" si="91"/>
        <v/>
      </c>
      <c r="AP235" s="181" t="str">
        <f t="shared" ca="1" si="92"/>
        <v/>
      </c>
      <c r="AU235" s="181" t="str">
        <f t="shared" ca="1" si="93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1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6"/>
        <v/>
      </c>
      <c r="Q236" s="117" t="str">
        <f t="shared" ca="1" si="97"/>
        <v/>
      </c>
      <c r="R236" s="181" t="str">
        <f t="array" aca="1" ref="R236" ca="1">IFERROR(SMALL(IF(P$1:P$311&lt;&gt;0,P$1:P$311),ROW(A236)),"")</f>
        <v/>
      </c>
      <c r="S236" s="181" t="str">
        <f t="array" aca="1" ref="S236" ca="1">IF($R236&lt;&gt;"",
SUBSTITUTE(SUBSTITUTE(INDIRECT("C"&amp;$R236&amp;"")," 週3ｺｰｽ","")," 週5ｺｰｽ",""),"")</f>
        <v/>
      </c>
      <c r="T236" s="18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81" t="str">
        <f t="array" aca="1" ref="V236" ca="1">IF($R236&lt;&gt;"",
INDIRECT("G"&amp;$R236&amp;""),"")</f>
        <v/>
      </c>
      <c r="W236" s="181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8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8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81" t="str">
        <f t="shared" ca="1" si="77"/>
        <v/>
      </c>
      <c r="AA236" s="181" t="str">
        <f t="shared" ca="1" si="78"/>
        <v/>
      </c>
      <c r="AB236" s="181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81" t="str">
        <f t="shared" ca="1" si="79"/>
        <v/>
      </c>
      <c r="AD236" s="181" t="str">
        <f t="shared" ca="1" si="80"/>
        <v/>
      </c>
      <c r="AE236" s="181" t="str">
        <f t="shared" ca="1" si="81"/>
        <v/>
      </c>
      <c r="AF236" s="181" t="str">
        <f t="shared" ca="1" si="82"/>
        <v/>
      </c>
      <c r="AG236" s="181" t="str">
        <f t="shared" ca="1" si="83"/>
        <v/>
      </c>
      <c r="AH236" s="185" t="str">
        <f t="shared" ca="1" si="84"/>
        <v/>
      </c>
      <c r="AI236" s="181" t="str">
        <f t="shared" ca="1" si="85"/>
        <v/>
      </c>
      <c r="AJ236" s="181" t="str">
        <f t="shared" ca="1" si="86"/>
        <v/>
      </c>
      <c r="AK236" s="181" t="str">
        <f t="shared" ca="1" si="87"/>
        <v/>
      </c>
      <c r="AL236" s="181" t="str">
        <f t="shared" ca="1" si="88"/>
        <v/>
      </c>
      <c r="AM236" s="181" t="str">
        <f t="shared" ca="1" si="89"/>
        <v/>
      </c>
      <c r="AN236" s="181" t="str">
        <f t="shared" ca="1" si="90"/>
        <v/>
      </c>
      <c r="AO236" s="181" t="str">
        <f t="shared" ca="1" si="91"/>
        <v/>
      </c>
      <c r="AP236" s="181" t="str">
        <f t="shared" ca="1" si="92"/>
        <v/>
      </c>
      <c r="AU236" s="181" t="str">
        <f t="shared" ca="1" si="93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1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6"/>
        <v/>
      </c>
      <c r="Q237" s="117" t="str">
        <f t="shared" ca="1" si="97"/>
        <v/>
      </c>
      <c r="R237" s="181" t="str">
        <f t="array" aca="1" ref="R237" ca="1">IFERROR(SMALL(IF(P$1:P$311&lt;&gt;0,P$1:P$311),ROW(A237)),"")</f>
        <v/>
      </c>
      <c r="S237" s="181" t="str">
        <f t="array" aca="1" ref="S237" ca="1">IF($R237&lt;&gt;"",
SUBSTITUTE(SUBSTITUTE(INDIRECT("C"&amp;$R237&amp;"")," 週3ｺｰｽ","")," 週5ｺｰｽ",""),"")</f>
        <v/>
      </c>
      <c r="T237" s="18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81" t="str">
        <f t="array" aca="1" ref="V237" ca="1">IF($R237&lt;&gt;"",
INDIRECT("G"&amp;$R237&amp;""),"")</f>
        <v/>
      </c>
      <c r="W237" s="181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8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8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81" t="str">
        <f t="shared" ca="1" si="77"/>
        <v/>
      </c>
      <c r="AA237" s="181" t="str">
        <f t="shared" ca="1" si="78"/>
        <v/>
      </c>
      <c r="AB237" s="181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81" t="str">
        <f t="shared" ca="1" si="79"/>
        <v/>
      </c>
      <c r="AD237" s="181" t="str">
        <f t="shared" ca="1" si="80"/>
        <v/>
      </c>
      <c r="AE237" s="181" t="str">
        <f t="shared" ca="1" si="81"/>
        <v/>
      </c>
      <c r="AF237" s="181" t="str">
        <f t="shared" ca="1" si="82"/>
        <v/>
      </c>
      <c r="AG237" s="181" t="str">
        <f t="shared" ca="1" si="83"/>
        <v/>
      </c>
      <c r="AH237" s="185" t="str">
        <f t="shared" ca="1" si="84"/>
        <v/>
      </c>
      <c r="AI237" s="181" t="str">
        <f t="shared" ca="1" si="85"/>
        <v/>
      </c>
      <c r="AJ237" s="181" t="str">
        <f t="shared" ca="1" si="86"/>
        <v/>
      </c>
      <c r="AK237" s="181" t="str">
        <f t="shared" ca="1" si="87"/>
        <v/>
      </c>
      <c r="AL237" s="181" t="str">
        <f t="shared" ca="1" si="88"/>
        <v/>
      </c>
      <c r="AM237" s="181" t="str">
        <f t="shared" ca="1" si="89"/>
        <v/>
      </c>
      <c r="AN237" s="181" t="str">
        <f t="shared" ca="1" si="90"/>
        <v/>
      </c>
      <c r="AO237" s="181" t="str">
        <f t="shared" ca="1" si="91"/>
        <v/>
      </c>
      <c r="AP237" s="181" t="str">
        <f t="shared" ca="1" si="92"/>
        <v/>
      </c>
      <c r="AU237" s="181" t="str">
        <f t="shared" ca="1" si="93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1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6"/>
        <v/>
      </c>
      <c r="Q238" s="117" t="str">
        <f t="shared" ca="1" si="97"/>
        <v/>
      </c>
      <c r="R238" s="181" t="str">
        <f t="array" aca="1" ref="R238" ca="1">IFERROR(SMALL(IF(P$1:P$311&lt;&gt;0,P$1:P$311),ROW(A238)),"")</f>
        <v/>
      </c>
      <c r="S238" s="181" t="str">
        <f t="array" aca="1" ref="S238" ca="1">IF($R238&lt;&gt;"",
SUBSTITUTE(SUBSTITUTE(INDIRECT("C"&amp;$R238&amp;"")," 週3ｺｰｽ","")," 週5ｺｰｽ",""),"")</f>
        <v/>
      </c>
      <c r="T238" s="18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81" t="str">
        <f t="array" aca="1" ref="V238" ca="1">IF($R238&lt;&gt;"",
INDIRECT("G"&amp;$R238&amp;""),"")</f>
        <v/>
      </c>
      <c r="W238" s="181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8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8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81" t="str">
        <f t="shared" ca="1" si="77"/>
        <v/>
      </c>
      <c r="AA238" s="181" t="str">
        <f t="shared" ca="1" si="78"/>
        <v/>
      </c>
      <c r="AB238" s="181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81" t="str">
        <f t="shared" ca="1" si="79"/>
        <v/>
      </c>
      <c r="AD238" s="181" t="str">
        <f t="shared" ca="1" si="80"/>
        <v/>
      </c>
      <c r="AE238" s="181" t="str">
        <f t="shared" ca="1" si="81"/>
        <v/>
      </c>
      <c r="AF238" s="181" t="str">
        <f t="shared" ca="1" si="82"/>
        <v/>
      </c>
      <c r="AG238" s="181" t="str">
        <f t="shared" ca="1" si="83"/>
        <v/>
      </c>
      <c r="AH238" s="185" t="str">
        <f t="shared" ca="1" si="84"/>
        <v/>
      </c>
      <c r="AI238" s="181" t="str">
        <f t="shared" ca="1" si="85"/>
        <v/>
      </c>
      <c r="AJ238" s="181" t="str">
        <f t="shared" ca="1" si="86"/>
        <v/>
      </c>
      <c r="AK238" s="181" t="str">
        <f t="shared" ca="1" si="87"/>
        <v/>
      </c>
      <c r="AL238" s="181" t="str">
        <f t="shared" ca="1" si="88"/>
        <v/>
      </c>
      <c r="AM238" s="181" t="str">
        <f t="shared" ca="1" si="89"/>
        <v/>
      </c>
      <c r="AN238" s="181" t="str">
        <f t="shared" ca="1" si="90"/>
        <v/>
      </c>
      <c r="AO238" s="181" t="str">
        <f t="shared" ca="1" si="91"/>
        <v/>
      </c>
      <c r="AP238" s="181" t="str">
        <f t="shared" ca="1" si="92"/>
        <v/>
      </c>
      <c r="AU238" s="181" t="str">
        <f t="shared" ca="1" si="93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1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6"/>
        <v/>
      </c>
      <c r="Q239" s="117" t="str">
        <f t="shared" ca="1" si="97"/>
        <v/>
      </c>
      <c r="R239" s="181" t="str">
        <f t="array" aca="1" ref="R239" ca="1">IFERROR(SMALL(IF(P$1:P$311&lt;&gt;0,P$1:P$311),ROW(A239)),"")</f>
        <v/>
      </c>
      <c r="S239" s="181" t="str">
        <f t="array" aca="1" ref="S239" ca="1">IF($R239&lt;&gt;"",
SUBSTITUTE(SUBSTITUTE(INDIRECT("C"&amp;$R239&amp;"")," 週3ｺｰｽ","")," 週5ｺｰｽ",""),"")</f>
        <v/>
      </c>
      <c r="T239" s="18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81" t="str">
        <f t="array" aca="1" ref="V239" ca="1">IF($R239&lt;&gt;"",
INDIRECT("G"&amp;$R239&amp;""),"")</f>
        <v/>
      </c>
      <c r="W239" s="181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8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8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81" t="str">
        <f t="shared" ca="1" si="77"/>
        <v/>
      </c>
      <c r="AA239" s="181" t="str">
        <f t="shared" ca="1" si="78"/>
        <v/>
      </c>
      <c r="AB239" s="181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81" t="str">
        <f t="shared" ca="1" si="79"/>
        <v/>
      </c>
      <c r="AD239" s="181" t="str">
        <f t="shared" ca="1" si="80"/>
        <v/>
      </c>
      <c r="AE239" s="181" t="str">
        <f t="shared" ca="1" si="81"/>
        <v/>
      </c>
      <c r="AF239" s="181" t="str">
        <f t="shared" ca="1" si="82"/>
        <v/>
      </c>
      <c r="AG239" s="181" t="str">
        <f t="shared" ca="1" si="83"/>
        <v/>
      </c>
      <c r="AH239" s="185" t="str">
        <f t="shared" ca="1" si="84"/>
        <v/>
      </c>
      <c r="AI239" s="181" t="str">
        <f t="shared" ca="1" si="85"/>
        <v/>
      </c>
      <c r="AJ239" s="181" t="str">
        <f t="shared" ca="1" si="86"/>
        <v/>
      </c>
      <c r="AK239" s="181" t="str">
        <f t="shared" ca="1" si="87"/>
        <v/>
      </c>
      <c r="AL239" s="181" t="str">
        <f t="shared" ca="1" si="88"/>
        <v/>
      </c>
      <c r="AM239" s="181" t="str">
        <f t="shared" ca="1" si="89"/>
        <v/>
      </c>
      <c r="AN239" s="181" t="str">
        <f t="shared" ca="1" si="90"/>
        <v/>
      </c>
      <c r="AO239" s="181" t="str">
        <f t="shared" ca="1" si="91"/>
        <v/>
      </c>
      <c r="AP239" s="181" t="str">
        <f t="shared" ca="1" si="92"/>
        <v/>
      </c>
      <c r="AU239" s="181" t="str">
        <f t="shared" ca="1" si="93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1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6"/>
        <v/>
      </c>
      <c r="Q240" s="117" t="str">
        <f t="shared" ca="1" si="97"/>
        <v/>
      </c>
      <c r="R240" s="181" t="str">
        <f t="array" aca="1" ref="R240" ca="1">IFERROR(SMALL(IF(P$1:P$311&lt;&gt;0,P$1:P$311),ROW(A240)),"")</f>
        <v/>
      </c>
      <c r="S240" s="181" t="str">
        <f t="array" aca="1" ref="S240" ca="1">IF($R240&lt;&gt;"",
SUBSTITUTE(SUBSTITUTE(INDIRECT("C"&amp;$R240&amp;"")," 週3ｺｰｽ","")," 週5ｺｰｽ",""),"")</f>
        <v/>
      </c>
      <c r="T240" s="18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81" t="str">
        <f t="array" aca="1" ref="V240" ca="1">IF($R240&lt;&gt;"",
INDIRECT("G"&amp;$R240&amp;""),"")</f>
        <v/>
      </c>
      <c r="W240" s="181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8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8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81" t="str">
        <f t="shared" ca="1" si="77"/>
        <v/>
      </c>
      <c r="AA240" s="181" t="str">
        <f t="shared" ca="1" si="78"/>
        <v/>
      </c>
      <c r="AB240" s="181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81" t="str">
        <f t="shared" ca="1" si="79"/>
        <v/>
      </c>
      <c r="AD240" s="181" t="str">
        <f t="shared" ca="1" si="80"/>
        <v/>
      </c>
      <c r="AE240" s="181" t="str">
        <f t="shared" ca="1" si="81"/>
        <v/>
      </c>
      <c r="AF240" s="181" t="str">
        <f t="shared" ca="1" si="82"/>
        <v/>
      </c>
      <c r="AG240" s="181" t="str">
        <f t="shared" ca="1" si="83"/>
        <v/>
      </c>
      <c r="AH240" s="185" t="str">
        <f t="shared" ca="1" si="84"/>
        <v/>
      </c>
      <c r="AI240" s="181" t="str">
        <f t="shared" ca="1" si="85"/>
        <v/>
      </c>
      <c r="AJ240" s="181" t="str">
        <f t="shared" ca="1" si="86"/>
        <v/>
      </c>
      <c r="AK240" s="181" t="str">
        <f t="shared" ca="1" si="87"/>
        <v/>
      </c>
      <c r="AL240" s="181" t="str">
        <f t="shared" ca="1" si="88"/>
        <v/>
      </c>
      <c r="AM240" s="181" t="str">
        <f t="shared" ca="1" si="89"/>
        <v/>
      </c>
      <c r="AN240" s="181" t="str">
        <f t="shared" ca="1" si="90"/>
        <v/>
      </c>
      <c r="AO240" s="181" t="str">
        <f t="shared" ca="1" si="91"/>
        <v/>
      </c>
      <c r="AP240" s="181" t="str">
        <f t="shared" ca="1" si="92"/>
        <v/>
      </c>
      <c r="AU240" s="181" t="str">
        <f t="shared" ca="1" si="93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1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6"/>
        <v/>
      </c>
      <c r="Q241" s="117" t="str">
        <f t="shared" ca="1" si="97"/>
        <v/>
      </c>
      <c r="R241" s="181" t="str">
        <f t="array" aca="1" ref="R241" ca="1">IFERROR(SMALL(IF(P$1:P$311&lt;&gt;0,P$1:P$311),ROW(A241)),"")</f>
        <v/>
      </c>
      <c r="S241" s="181" t="str">
        <f t="array" aca="1" ref="S241" ca="1">IF($R241&lt;&gt;"",
SUBSTITUTE(SUBSTITUTE(INDIRECT("C"&amp;$R241&amp;"")," 週3ｺｰｽ","")," 週5ｺｰｽ",""),"")</f>
        <v/>
      </c>
      <c r="T241" s="18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81" t="str">
        <f t="array" aca="1" ref="V241" ca="1">IF($R241&lt;&gt;"",
INDIRECT("G"&amp;$R241&amp;""),"")</f>
        <v/>
      </c>
      <c r="W241" s="181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8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8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81" t="str">
        <f t="shared" ca="1" si="77"/>
        <v/>
      </c>
      <c r="AA241" s="181" t="str">
        <f t="shared" ca="1" si="78"/>
        <v/>
      </c>
      <c r="AB241" s="181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81" t="str">
        <f t="shared" ca="1" si="79"/>
        <v/>
      </c>
      <c r="AD241" s="181" t="str">
        <f t="shared" ca="1" si="80"/>
        <v/>
      </c>
      <c r="AE241" s="181" t="str">
        <f t="shared" ca="1" si="81"/>
        <v/>
      </c>
      <c r="AF241" s="181" t="str">
        <f t="shared" ca="1" si="82"/>
        <v/>
      </c>
      <c r="AG241" s="181" t="str">
        <f t="shared" ca="1" si="83"/>
        <v/>
      </c>
      <c r="AH241" s="185" t="str">
        <f t="shared" ca="1" si="84"/>
        <v/>
      </c>
      <c r="AI241" s="181" t="str">
        <f t="shared" ca="1" si="85"/>
        <v/>
      </c>
      <c r="AJ241" s="181" t="str">
        <f t="shared" ca="1" si="86"/>
        <v/>
      </c>
      <c r="AK241" s="181" t="str">
        <f t="shared" ca="1" si="87"/>
        <v/>
      </c>
      <c r="AL241" s="181" t="str">
        <f t="shared" ca="1" si="88"/>
        <v/>
      </c>
      <c r="AM241" s="181" t="str">
        <f t="shared" ca="1" si="89"/>
        <v/>
      </c>
      <c r="AN241" s="181" t="str">
        <f t="shared" ca="1" si="90"/>
        <v/>
      </c>
      <c r="AO241" s="181" t="str">
        <f t="shared" ca="1" si="91"/>
        <v/>
      </c>
      <c r="AP241" s="181" t="str">
        <f t="shared" ca="1" si="92"/>
        <v/>
      </c>
      <c r="AU241" s="181" t="str">
        <f t="shared" ca="1" si="93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1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6"/>
        <v/>
      </c>
      <c r="Q242" s="117" t="str">
        <f t="shared" ca="1" si="97"/>
        <v/>
      </c>
      <c r="R242" s="181" t="str">
        <f t="array" aca="1" ref="R242" ca="1">IFERROR(SMALL(IF(P$1:P$311&lt;&gt;0,P$1:P$311),ROW(A242)),"")</f>
        <v/>
      </c>
      <c r="S242" s="181" t="str">
        <f t="array" aca="1" ref="S242" ca="1">IF($R242&lt;&gt;"",
SUBSTITUTE(SUBSTITUTE(INDIRECT("C"&amp;$R242&amp;"")," 週3ｺｰｽ","")," 週5ｺｰｽ",""),"")</f>
        <v/>
      </c>
      <c r="T242" s="18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81" t="str">
        <f t="array" aca="1" ref="V242" ca="1">IF($R242&lt;&gt;"",
INDIRECT("G"&amp;$R242&amp;""),"")</f>
        <v/>
      </c>
      <c r="W242" s="181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8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8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81" t="str">
        <f t="shared" ca="1" si="77"/>
        <v/>
      </c>
      <c r="AA242" s="181" t="str">
        <f t="shared" ca="1" si="78"/>
        <v/>
      </c>
      <c r="AB242" s="181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81" t="str">
        <f t="shared" ca="1" si="79"/>
        <v/>
      </c>
      <c r="AD242" s="181" t="str">
        <f t="shared" ca="1" si="80"/>
        <v/>
      </c>
      <c r="AE242" s="181" t="str">
        <f t="shared" ca="1" si="81"/>
        <v/>
      </c>
      <c r="AF242" s="181" t="str">
        <f t="shared" ca="1" si="82"/>
        <v/>
      </c>
      <c r="AG242" s="181" t="str">
        <f t="shared" ca="1" si="83"/>
        <v/>
      </c>
      <c r="AH242" s="185" t="str">
        <f t="shared" ca="1" si="84"/>
        <v/>
      </c>
      <c r="AI242" s="181" t="str">
        <f t="shared" ca="1" si="85"/>
        <v/>
      </c>
      <c r="AJ242" s="181" t="str">
        <f t="shared" ca="1" si="86"/>
        <v/>
      </c>
      <c r="AK242" s="181" t="str">
        <f t="shared" ca="1" si="87"/>
        <v/>
      </c>
      <c r="AL242" s="181" t="str">
        <f t="shared" ca="1" si="88"/>
        <v/>
      </c>
      <c r="AM242" s="181" t="str">
        <f t="shared" ca="1" si="89"/>
        <v/>
      </c>
      <c r="AN242" s="181" t="str">
        <f t="shared" ca="1" si="90"/>
        <v/>
      </c>
      <c r="AO242" s="181" t="str">
        <f t="shared" ca="1" si="91"/>
        <v/>
      </c>
      <c r="AP242" s="181" t="str">
        <f t="shared" ca="1" si="92"/>
        <v/>
      </c>
      <c r="AU242" s="181" t="str">
        <f t="shared" ca="1" si="93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1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6"/>
        <v/>
      </c>
      <c r="Q243" s="117" t="str">
        <f t="shared" ca="1" si="97"/>
        <v/>
      </c>
      <c r="R243" s="181" t="str">
        <f t="array" aca="1" ref="R243" ca="1">IFERROR(SMALL(IF(P$1:P$311&lt;&gt;0,P$1:P$311),ROW(A243)),"")</f>
        <v/>
      </c>
      <c r="S243" s="181" t="str">
        <f t="array" aca="1" ref="S243" ca="1">IF($R243&lt;&gt;"",
SUBSTITUTE(SUBSTITUTE(INDIRECT("C"&amp;$R243&amp;"")," 週3ｺｰｽ","")," 週5ｺｰｽ",""),"")</f>
        <v/>
      </c>
      <c r="T243" s="18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81" t="str">
        <f t="array" aca="1" ref="V243" ca="1">IF($R243&lt;&gt;"",
INDIRECT("G"&amp;$R243&amp;""),"")</f>
        <v/>
      </c>
      <c r="W243" s="181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8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8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81" t="str">
        <f t="shared" ca="1" si="77"/>
        <v/>
      </c>
      <c r="AA243" s="181" t="str">
        <f t="shared" ca="1" si="78"/>
        <v/>
      </c>
      <c r="AB243" s="181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81" t="str">
        <f t="shared" ca="1" si="79"/>
        <v/>
      </c>
      <c r="AD243" s="181" t="str">
        <f t="shared" ca="1" si="80"/>
        <v/>
      </c>
      <c r="AE243" s="181" t="str">
        <f t="shared" ca="1" si="81"/>
        <v/>
      </c>
      <c r="AF243" s="181" t="str">
        <f t="shared" ca="1" si="82"/>
        <v/>
      </c>
      <c r="AG243" s="181" t="str">
        <f t="shared" ca="1" si="83"/>
        <v/>
      </c>
      <c r="AH243" s="185" t="str">
        <f t="shared" ca="1" si="84"/>
        <v/>
      </c>
      <c r="AI243" s="181" t="str">
        <f t="shared" ca="1" si="85"/>
        <v/>
      </c>
      <c r="AJ243" s="181" t="str">
        <f t="shared" ca="1" si="86"/>
        <v/>
      </c>
      <c r="AK243" s="181" t="str">
        <f t="shared" ca="1" si="87"/>
        <v/>
      </c>
      <c r="AL243" s="181" t="str">
        <f t="shared" ca="1" si="88"/>
        <v/>
      </c>
      <c r="AM243" s="181" t="str">
        <f t="shared" ca="1" si="89"/>
        <v/>
      </c>
      <c r="AN243" s="181" t="str">
        <f t="shared" ca="1" si="90"/>
        <v/>
      </c>
      <c r="AO243" s="181" t="str">
        <f t="shared" ca="1" si="91"/>
        <v/>
      </c>
      <c r="AP243" s="181" t="str">
        <f t="shared" ca="1" si="92"/>
        <v/>
      </c>
      <c r="AU243" s="181" t="str">
        <f t="shared" ca="1" si="93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1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6"/>
        <v/>
      </c>
      <c r="Q244" s="117" t="str">
        <f t="shared" ca="1" si="97"/>
        <v/>
      </c>
      <c r="R244" s="181" t="str">
        <f t="array" aca="1" ref="R244" ca="1">IFERROR(SMALL(IF(P$1:P$311&lt;&gt;0,P$1:P$311),ROW(A244)),"")</f>
        <v/>
      </c>
      <c r="S244" s="181" t="str">
        <f t="array" aca="1" ref="S244" ca="1">IF($R244&lt;&gt;"",
SUBSTITUTE(SUBSTITUTE(INDIRECT("C"&amp;$R244&amp;"")," 週3ｺｰｽ","")," 週5ｺｰｽ",""),"")</f>
        <v/>
      </c>
      <c r="T244" s="18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81" t="str">
        <f t="array" aca="1" ref="V244" ca="1">IF($R244&lt;&gt;"",
INDIRECT("G"&amp;$R244&amp;""),"")</f>
        <v/>
      </c>
      <c r="W244" s="181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8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8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81" t="str">
        <f t="shared" ca="1" si="77"/>
        <v/>
      </c>
      <c r="AA244" s="181" t="str">
        <f t="shared" ca="1" si="78"/>
        <v/>
      </c>
      <c r="AB244" s="181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81" t="str">
        <f t="shared" ca="1" si="79"/>
        <v/>
      </c>
      <c r="AD244" s="181" t="str">
        <f t="shared" ca="1" si="80"/>
        <v/>
      </c>
      <c r="AE244" s="181" t="str">
        <f t="shared" ca="1" si="81"/>
        <v/>
      </c>
      <c r="AF244" s="181" t="str">
        <f t="shared" ca="1" si="82"/>
        <v/>
      </c>
      <c r="AG244" s="181" t="str">
        <f t="shared" ca="1" si="83"/>
        <v/>
      </c>
      <c r="AH244" s="185" t="str">
        <f t="shared" ca="1" si="84"/>
        <v/>
      </c>
      <c r="AI244" s="181" t="str">
        <f t="shared" ca="1" si="85"/>
        <v/>
      </c>
      <c r="AJ244" s="181" t="str">
        <f t="shared" ca="1" si="86"/>
        <v/>
      </c>
      <c r="AK244" s="181" t="str">
        <f t="shared" ca="1" si="87"/>
        <v/>
      </c>
      <c r="AL244" s="181" t="str">
        <f t="shared" ca="1" si="88"/>
        <v/>
      </c>
      <c r="AM244" s="181" t="str">
        <f t="shared" ca="1" si="89"/>
        <v/>
      </c>
      <c r="AN244" s="181" t="str">
        <f t="shared" ca="1" si="90"/>
        <v/>
      </c>
      <c r="AO244" s="181" t="str">
        <f t="shared" ca="1" si="91"/>
        <v/>
      </c>
      <c r="AP244" s="181" t="str">
        <f t="shared" ca="1" si="92"/>
        <v/>
      </c>
      <c r="AU244" s="181" t="str">
        <f t="shared" ca="1" si="93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1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6"/>
        <v/>
      </c>
      <c r="Q245" s="117" t="str">
        <f t="shared" ca="1" si="97"/>
        <v/>
      </c>
      <c r="R245" s="181" t="str">
        <f t="array" aca="1" ref="R245" ca="1">IFERROR(SMALL(IF(P$1:P$311&lt;&gt;0,P$1:P$311),ROW(A245)),"")</f>
        <v/>
      </c>
      <c r="S245" s="181" t="str">
        <f t="array" aca="1" ref="S245" ca="1">IF($R245&lt;&gt;"",
SUBSTITUTE(SUBSTITUTE(INDIRECT("C"&amp;$R245&amp;"")," 週3ｺｰｽ","")," 週5ｺｰｽ",""),"")</f>
        <v/>
      </c>
      <c r="T245" s="18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81" t="str">
        <f t="array" aca="1" ref="V245" ca="1">IF($R245&lt;&gt;"",
INDIRECT("G"&amp;$R245&amp;""),"")</f>
        <v/>
      </c>
      <c r="W245" s="181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8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8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81" t="str">
        <f t="shared" ca="1" si="77"/>
        <v/>
      </c>
      <c r="AA245" s="181" t="str">
        <f t="shared" ca="1" si="78"/>
        <v/>
      </c>
      <c r="AB245" s="181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81" t="str">
        <f t="shared" ca="1" si="79"/>
        <v/>
      </c>
      <c r="AD245" s="181" t="str">
        <f t="shared" ca="1" si="80"/>
        <v/>
      </c>
      <c r="AE245" s="181" t="str">
        <f t="shared" ca="1" si="81"/>
        <v/>
      </c>
      <c r="AF245" s="181" t="str">
        <f t="shared" ca="1" si="82"/>
        <v/>
      </c>
      <c r="AG245" s="181" t="str">
        <f t="shared" ca="1" si="83"/>
        <v/>
      </c>
      <c r="AH245" s="185" t="str">
        <f t="shared" ca="1" si="84"/>
        <v/>
      </c>
      <c r="AI245" s="181" t="str">
        <f t="shared" ca="1" si="85"/>
        <v/>
      </c>
      <c r="AJ245" s="181" t="str">
        <f t="shared" ca="1" si="86"/>
        <v/>
      </c>
      <c r="AK245" s="181" t="str">
        <f t="shared" ca="1" si="87"/>
        <v/>
      </c>
      <c r="AL245" s="181" t="str">
        <f t="shared" ca="1" si="88"/>
        <v/>
      </c>
      <c r="AM245" s="181" t="str">
        <f t="shared" ca="1" si="89"/>
        <v/>
      </c>
      <c r="AN245" s="181" t="str">
        <f t="shared" ca="1" si="90"/>
        <v/>
      </c>
      <c r="AO245" s="181" t="str">
        <f t="shared" ca="1" si="91"/>
        <v/>
      </c>
      <c r="AP245" s="181" t="str">
        <f t="shared" ca="1" si="92"/>
        <v/>
      </c>
      <c r="AU245" s="181" t="str">
        <f t="shared" ca="1" si="93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1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6"/>
        <v/>
      </c>
      <c r="Q246" s="117" t="str">
        <f t="shared" ca="1" si="97"/>
        <v/>
      </c>
      <c r="R246" s="181" t="str">
        <f t="array" aca="1" ref="R246" ca="1">IFERROR(SMALL(IF(P$1:P$311&lt;&gt;0,P$1:P$311),ROW(A246)),"")</f>
        <v/>
      </c>
      <c r="S246" s="181" t="str">
        <f t="array" aca="1" ref="S246" ca="1">IF($R246&lt;&gt;"",
SUBSTITUTE(SUBSTITUTE(INDIRECT("C"&amp;$R246&amp;"")," 週3ｺｰｽ","")," 週5ｺｰｽ",""),"")</f>
        <v/>
      </c>
      <c r="T246" s="18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81" t="str">
        <f t="array" aca="1" ref="V246" ca="1">IF($R246&lt;&gt;"",
INDIRECT("G"&amp;$R246&amp;""),"")</f>
        <v/>
      </c>
      <c r="W246" s="181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8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8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81" t="str">
        <f t="shared" ca="1" si="77"/>
        <v/>
      </c>
      <c r="AA246" s="181" t="str">
        <f t="shared" ca="1" si="78"/>
        <v/>
      </c>
      <c r="AB246" s="181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81" t="str">
        <f t="shared" ca="1" si="79"/>
        <v/>
      </c>
      <c r="AD246" s="181" t="str">
        <f t="shared" ca="1" si="80"/>
        <v/>
      </c>
      <c r="AE246" s="181" t="str">
        <f t="shared" ca="1" si="81"/>
        <v/>
      </c>
      <c r="AF246" s="181" t="str">
        <f t="shared" ca="1" si="82"/>
        <v/>
      </c>
      <c r="AG246" s="181" t="str">
        <f t="shared" ca="1" si="83"/>
        <v/>
      </c>
      <c r="AH246" s="185" t="str">
        <f t="shared" ca="1" si="84"/>
        <v/>
      </c>
      <c r="AI246" s="181" t="str">
        <f t="shared" ca="1" si="85"/>
        <v/>
      </c>
      <c r="AJ246" s="181" t="str">
        <f t="shared" ca="1" si="86"/>
        <v/>
      </c>
      <c r="AK246" s="181" t="str">
        <f t="shared" ca="1" si="87"/>
        <v/>
      </c>
      <c r="AL246" s="181" t="str">
        <f t="shared" ca="1" si="88"/>
        <v/>
      </c>
      <c r="AM246" s="181" t="str">
        <f t="shared" ca="1" si="89"/>
        <v/>
      </c>
      <c r="AN246" s="181" t="str">
        <f t="shared" ca="1" si="90"/>
        <v/>
      </c>
      <c r="AO246" s="181" t="str">
        <f t="shared" ca="1" si="91"/>
        <v/>
      </c>
      <c r="AP246" s="181" t="str">
        <f t="shared" ca="1" si="92"/>
        <v/>
      </c>
      <c r="AU246" s="181" t="str">
        <f t="shared" ca="1" si="93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19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78" ca="1" si="98">IF(Q247&lt;&gt;"",ROW(),"")</f>
        <v/>
      </c>
      <c r="Q247" s="117" t="str">
        <f t="shared" ca="1" si="97"/>
        <v/>
      </c>
      <c r="R247" s="181" t="str">
        <f t="array" aca="1" ref="R247" ca="1">IFERROR(SMALL(IF(P$1:P$311&lt;&gt;0,P$1:P$311),ROW(A247)),"")</f>
        <v/>
      </c>
      <c r="S247" s="181" t="str">
        <f t="array" aca="1" ref="S247" ca="1">IF($R247&lt;&gt;"",
SUBSTITUTE(SUBSTITUTE(INDIRECT("C"&amp;$R247&amp;"")," 週3ｺｰｽ","")," 週5ｺｰｽ",""),"")</f>
        <v/>
      </c>
      <c r="T247" s="18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81" t="str">
        <f t="array" aca="1" ref="V247" ca="1">IF($R247&lt;&gt;"",
INDIRECT("G"&amp;$R247&amp;""),"")</f>
        <v/>
      </c>
      <c r="W247" s="181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8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8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81" t="str">
        <f t="shared" ca="1" si="77"/>
        <v/>
      </c>
      <c r="AA247" s="181" t="str">
        <f t="shared" ca="1" si="78"/>
        <v/>
      </c>
      <c r="AB247" s="181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81" t="str">
        <f t="shared" ca="1" si="79"/>
        <v/>
      </c>
      <c r="AD247" s="181" t="str">
        <f t="shared" ca="1" si="80"/>
        <v/>
      </c>
      <c r="AE247" s="181" t="str">
        <f t="shared" ca="1" si="81"/>
        <v/>
      </c>
      <c r="AF247" s="181" t="str">
        <f t="shared" ca="1" si="82"/>
        <v/>
      </c>
      <c r="AG247" s="181" t="str">
        <f t="shared" ca="1" si="83"/>
        <v/>
      </c>
      <c r="AH247" s="185" t="str">
        <f t="shared" ca="1" si="84"/>
        <v/>
      </c>
      <c r="AI247" s="181" t="str">
        <f t="shared" ca="1" si="85"/>
        <v/>
      </c>
      <c r="AJ247" s="181" t="str">
        <f t="shared" ca="1" si="86"/>
        <v/>
      </c>
      <c r="AK247" s="181" t="str">
        <f t="shared" ca="1" si="87"/>
        <v/>
      </c>
      <c r="AL247" s="181" t="str">
        <f t="shared" ca="1" si="88"/>
        <v/>
      </c>
      <c r="AM247" s="181" t="str">
        <f t="shared" ca="1" si="89"/>
        <v/>
      </c>
      <c r="AN247" s="181" t="str">
        <f t="shared" ca="1" si="90"/>
        <v/>
      </c>
      <c r="AO247" s="181" t="str">
        <f t="shared" ca="1" si="91"/>
        <v/>
      </c>
      <c r="AP247" s="181" t="str">
        <f t="shared" ca="1" si="92"/>
        <v/>
      </c>
      <c r="AU247" s="181" t="str">
        <f t="shared" ca="1" si="93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19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8"/>
        <v/>
      </c>
      <c r="Q248" s="117" t="str">
        <f t="shared" ca="1" si="97"/>
        <v/>
      </c>
      <c r="R248" s="181" t="str">
        <f t="array" aca="1" ref="R248" ca="1">IFERROR(SMALL(IF(P$1:P$311&lt;&gt;0,P$1:P$311),ROW(A248)),"")</f>
        <v/>
      </c>
      <c r="S248" s="181" t="str">
        <f t="array" aca="1" ref="S248" ca="1">IF($R248&lt;&gt;"",
SUBSTITUTE(SUBSTITUTE(INDIRECT("C"&amp;$R248&amp;"")," 週3ｺｰｽ","")," 週5ｺｰｽ",""),"")</f>
        <v/>
      </c>
      <c r="T248" s="18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81" t="str">
        <f t="array" aca="1" ref="V248" ca="1">IF($R248&lt;&gt;"",
INDIRECT("G"&amp;$R248&amp;""),"")</f>
        <v/>
      </c>
      <c r="W248" s="181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8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8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81" t="str">
        <f t="shared" ca="1" si="77"/>
        <v/>
      </c>
      <c r="AA248" s="181" t="str">
        <f t="shared" ca="1" si="78"/>
        <v/>
      </c>
      <c r="AB248" s="181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81" t="str">
        <f t="shared" ca="1" si="79"/>
        <v/>
      </c>
      <c r="AD248" s="181" t="str">
        <f t="shared" ca="1" si="80"/>
        <v/>
      </c>
      <c r="AE248" s="181" t="str">
        <f t="shared" ca="1" si="81"/>
        <v/>
      </c>
      <c r="AF248" s="181" t="str">
        <f t="shared" ca="1" si="82"/>
        <v/>
      </c>
      <c r="AG248" s="181" t="str">
        <f t="shared" ca="1" si="83"/>
        <v/>
      </c>
      <c r="AH248" s="185" t="str">
        <f t="shared" ca="1" si="84"/>
        <v/>
      </c>
      <c r="AI248" s="181" t="str">
        <f t="shared" ca="1" si="85"/>
        <v/>
      </c>
      <c r="AJ248" s="181" t="str">
        <f t="shared" ca="1" si="86"/>
        <v/>
      </c>
      <c r="AK248" s="181" t="str">
        <f t="shared" ca="1" si="87"/>
        <v/>
      </c>
      <c r="AL248" s="181" t="str">
        <f t="shared" ca="1" si="88"/>
        <v/>
      </c>
      <c r="AM248" s="181" t="str">
        <f t="shared" ca="1" si="89"/>
        <v/>
      </c>
      <c r="AN248" s="181" t="str">
        <f t="shared" ca="1" si="90"/>
        <v/>
      </c>
      <c r="AO248" s="181" t="str">
        <f t="shared" ca="1" si="91"/>
        <v/>
      </c>
      <c r="AP248" s="181" t="str">
        <f t="shared" ca="1" si="92"/>
        <v/>
      </c>
      <c r="AU248" s="181" t="str">
        <f t="shared" ca="1" si="93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19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8"/>
        <v/>
      </c>
      <c r="Q249" s="117" t="str">
        <f t="shared" ca="1" si="97"/>
        <v/>
      </c>
      <c r="R249" s="181" t="str">
        <f t="array" aca="1" ref="R249" ca="1">IFERROR(SMALL(IF(P$1:P$311&lt;&gt;0,P$1:P$311),ROW(A249)),"")</f>
        <v/>
      </c>
      <c r="S249" s="181" t="str">
        <f t="array" aca="1" ref="S249" ca="1">IF($R249&lt;&gt;"",
SUBSTITUTE(SUBSTITUTE(INDIRECT("C"&amp;$R249&amp;"")," 週3ｺｰｽ","")," 週5ｺｰｽ",""),"")</f>
        <v/>
      </c>
      <c r="T249" s="18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81" t="str">
        <f t="array" aca="1" ref="V249" ca="1">IF($R249&lt;&gt;"",
INDIRECT("G"&amp;$R249&amp;""),"")</f>
        <v/>
      </c>
      <c r="W249" s="181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8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8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81" t="str">
        <f t="shared" ca="1" si="77"/>
        <v/>
      </c>
      <c r="AA249" s="181" t="str">
        <f t="shared" ca="1" si="78"/>
        <v/>
      </c>
      <c r="AB249" s="181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81" t="str">
        <f t="shared" ca="1" si="79"/>
        <v/>
      </c>
      <c r="AD249" s="181" t="str">
        <f t="shared" ca="1" si="80"/>
        <v/>
      </c>
      <c r="AE249" s="181" t="str">
        <f t="shared" ca="1" si="81"/>
        <v/>
      </c>
      <c r="AF249" s="181" t="str">
        <f t="shared" ca="1" si="82"/>
        <v/>
      </c>
      <c r="AG249" s="181" t="str">
        <f t="shared" ca="1" si="83"/>
        <v/>
      </c>
      <c r="AH249" s="185" t="str">
        <f t="shared" ca="1" si="84"/>
        <v/>
      </c>
      <c r="AI249" s="181" t="str">
        <f t="shared" ca="1" si="85"/>
        <v/>
      </c>
      <c r="AJ249" s="181" t="str">
        <f t="shared" ca="1" si="86"/>
        <v/>
      </c>
      <c r="AK249" s="181" t="str">
        <f t="shared" ca="1" si="87"/>
        <v/>
      </c>
      <c r="AL249" s="181" t="str">
        <f t="shared" ca="1" si="88"/>
        <v/>
      </c>
      <c r="AM249" s="181" t="str">
        <f t="shared" ca="1" si="89"/>
        <v/>
      </c>
      <c r="AN249" s="181" t="str">
        <f t="shared" ca="1" si="90"/>
        <v/>
      </c>
      <c r="AO249" s="181" t="str">
        <f t="shared" ca="1" si="91"/>
        <v/>
      </c>
      <c r="AP249" s="181" t="str">
        <f t="shared" ca="1" si="92"/>
        <v/>
      </c>
      <c r="AU249" s="181" t="str">
        <f t="shared" ca="1" si="93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19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8"/>
        <v/>
      </c>
      <c r="Q250" s="117" t="str">
        <f t="shared" ca="1" si="97"/>
        <v/>
      </c>
      <c r="R250" s="181" t="str">
        <f t="array" aca="1" ref="R250" ca="1">IFERROR(SMALL(IF(P$1:P$311&lt;&gt;0,P$1:P$311),ROW(A250)),"")</f>
        <v/>
      </c>
      <c r="S250" s="181" t="str">
        <f t="array" aca="1" ref="S250" ca="1">IF($R250&lt;&gt;"",
SUBSTITUTE(SUBSTITUTE(INDIRECT("C"&amp;$R250&amp;"")," 週3ｺｰｽ","")," 週5ｺｰｽ",""),"")</f>
        <v/>
      </c>
      <c r="T250" s="18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81" t="str">
        <f t="array" aca="1" ref="V250" ca="1">IF($R250&lt;&gt;"",
INDIRECT("G"&amp;$R250&amp;""),"")</f>
        <v/>
      </c>
      <c r="W250" s="181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8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8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81" t="str">
        <f t="shared" ca="1" si="77"/>
        <v/>
      </c>
      <c r="AA250" s="181" t="str">
        <f t="shared" ca="1" si="78"/>
        <v/>
      </c>
      <c r="AB250" s="181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81" t="str">
        <f t="shared" ca="1" si="79"/>
        <v/>
      </c>
      <c r="AD250" s="181" t="str">
        <f t="shared" ca="1" si="80"/>
        <v/>
      </c>
      <c r="AE250" s="181" t="str">
        <f t="shared" ca="1" si="81"/>
        <v/>
      </c>
      <c r="AF250" s="181" t="str">
        <f t="shared" ca="1" si="82"/>
        <v/>
      </c>
      <c r="AG250" s="181" t="str">
        <f t="shared" ca="1" si="83"/>
        <v/>
      </c>
      <c r="AH250" s="185" t="str">
        <f t="shared" ca="1" si="84"/>
        <v/>
      </c>
      <c r="AI250" s="181" t="str">
        <f t="shared" ca="1" si="85"/>
        <v/>
      </c>
      <c r="AJ250" s="181" t="str">
        <f t="shared" ca="1" si="86"/>
        <v/>
      </c>
      <c r="AK250" s="181" t="str">
        <f t="shared" ca="1" si="87"/>
        <v/>
      </c>
      <c r="AL250" s="181" t="str">
        <f t="shared" ca="1" si="88"/>
        <v/>
      </c>
      <c r="AM250" s="181" t="str">
        <f t="shared" ca="1" si="89"/>
        <v/>
      </c>
      <c r="AN250" s="181" t="str">
        <f t="shared" ca="1" si="90"/>
        <v/>
      </c>
      <c r="AO250" s="181" t="str">
        <f t="shared" ca="1" si="91"/>
        <v/>
      </c>
      <c r="AP250" s="181" t="str">
        <f t="shared" ca="1" si="92"/>
        <v/>
      </c>
      <c r="AU250" s="181" t="str">
        <f t="shared" ca="1" si="93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82" t="str">
        <f ca="1">IF(C251&lt;&gt;"",
VLOOKUP(
"*"&amp;LEFT(IF(COUNTIF(D251,"*学食*"),"キャラ弁（学食）",
IF(COUNTIF(D251,"*赤*"),"赤",
IF(COUNTIF(D251,"*キャラ弁当*"),"キャラ弁当",D251))),4)&amp;"*",注文弁当の抽出!$E$1:$F$15,2,FALSE),"")</f>
        <v/>
      </c>
      <c r="M251" s="107"/>
      <c r="P251" s="107" t="str">
        <f t="shared" ca="1" si="98"/>
        <v/>
      </c>
      <c r="Q251" s="107" t="str">
        <f t="shared" ca="1" si="97"/>
        <v/>
      </c>
      <c r="R251" s="181" t="str">
        <f t="array" aca="1" ref="R251" ca="1">IFERROR(SMALL(IF(P$1:P$311&lt;&gt;0,P$1:P$311),ROW(A251)),"")</f>
        <v/>
      </c>
      <c r="S251" s="181" t="str">
        <f t="array" aca="1" ref="S251" ca="1">IF($R251&lt;&gt;"",
SUBSTITUTE(SUBSTITUTE(INDIRECT("C"&amp;$R251&amp;"")," 週3ｺｰｽ","")," 週5ｺｰｽ",""),"")</f>
        <v/>
      </c>
      <c r="T251" s="18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81" t="str">
        <f t="array" aca="1" ref="V251" ca="1">IF($R251&lt;&gt;"",
INDIRECT("G"&amp;$R251&amp;""),"")</f>
        <v/>
      </c>
      <c r="W251" s="181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8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8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81" t="str">
        <f t="shared" ca="1" si="77"/>
        <v/>
      </c>
      <c r="AA251" s="181" t="str">
        <f t="shared" ca="1" si="78"/>
        <v/>
      </c>
      <c r="AB251" s="181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81" t="str">
        <f t="shared" ca="1" si="79"/>
        <v/>
      </c>
      <c r="AD251" s="181" t="str">
        <f t="shared" ca="1" si="80"/>
        <v/>
      </c>
      <c r="AE251" s="181" t="str">
        <f t="shared" ca="1" si="81"/>
        <v/>
      </c>
      <c r="AF251" s="181" t="str">
        <f t="shared" ca="1" si="82"/>
        <v/>
      </c>
      <c r="AG251" s="181" t="str">
        <f t="shared" ca="1" si="83"/>
        <v/>
      </c>
      <c r="AH251" s="185" t="str">
        <f t="shared" ca="1" si="84"/>
        <v/>
      </c>
      <c r="AI251" s="181" t="str">
        <f t="shared" ca="1" si="85"/>
        <v/>
      </c>
      <c r="AJ251" s="181" t="str">
        <f t="shared" ca="1" si="86"/>
        <v/>
      </c>
      <c r="AK251" s="181" t="str">
        <f t="shared" ca="1" si="87"/>
        <v/>
      </c>
      <c r="AL251" s="181" t="str">
        <f t="shared" ca="1" si="88"/>
        <v/>
      </c>
      <c r="AM251" s="181" t="str">
        <f t="shared" ca="1" si="89"/>
        <v/>
      </c>
      <c r="AN251" s="181" t="str">
        <f t="shared" ca="1" si="90"/>
        <v/>
      </c>
      <c r="AO251" s="181" t="str">
        <f t="shared" ca="1" si="91"/>
        <v/>
      </c>
      <c r="AP251" s="181" t="str">
        <f t="shared" ca="1" si="92"/>
        <v/>
      </c>
      <c r="AU251" s="181" t="str">
        <f t="shared" ca="1" si="93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82" t="str">
        <f ca="1">IF(C252&lt;&gt;"",
VLOOKUP(
"*"&amp;LEFT(IF(COUNTIF(D252,"*学食*"),"キャラ弁（学食）",
IF(COUNTIF(D252,"*赤*"),"赤",
IF(COUNTIF(D252,"*キャラ弁当*"),"キャラ弁当",D252))),4)&amp;"*",注文弁当の抽出!$E$1:$F$15,2,FALSE),"")</f>
        <v/>
      </c>
      <c r="M252" s="107"/>
      <c r="P252" s="107" t="str">
        <f t="shared" ca="1" si="98"/>
        <v/>
      </c>
      <c r="Q252" s="107" t="str">
        <f t="shared" ca="1" si="97"/>
        <v/>
      </c>
      <c r="R252" s="181" t="str">
        <f t="array" aca="1" ref="R252" ca="1">IFERROR(SMALL(IF(P$1:P$311&lt;&gt;0,P$1:P$311),ROW(A252)),"")</f>
        <v/>
      </c>
      <c r="S252" s="181" t="str">
        <f t="array" aca="1" ref="S252" ca="1">IF($R252&lt;&gt;"",
SUBSTITUTE(SUBSTITUTE(INDIRECT("C"&amp;$R252&amp;"")," 週3ｺｰｽ","")," 週5ｺｰｽ",""),"")</f>
        <v/>
      </c>
      <c r="T252" s="18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81" t="str">
        <f t="array" aca="1" ref="V252" ca="1">IF($R252&lt;&gt;"",
INDIRECT("G"&amp;$R252&amp;""),"")</f>
        <v/>
      </c>
      <c r="W252" s="181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8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8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81" t="str">
        <f t="shared" ca="1" si="77"/>
        <v/>
      </c>
      <c r="AA252" s="181" t="str">
        <f t="shared" ca="1" si="78"/>
        <v/>
      </c>
      <c r="AB252" s="181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81" t="str">
        <f t="shared" ca="1" si="79"/>
        <v/>
      </c>
      <c r="AD252" s="181" t="str">
        <f t="shared" ca="1" si="80"/>
        <v/>
      </c>
      <c r="AE252" s="181" t="str">
        <f t="shared" ca="1" si="81"/>
        <v/>
      </c>
      <c r="AF252" s="181" t="str">
        <f t="shared" ca="1" si="82"/>
        <v/>
      </c>
      <c r="AG252" s="181" t="str">
        <f t="shared" ca="1" si="83"/>
        <v/>
      </c>
      <c r="AH252" s="185" t="str">
        <f t="shared" ca="1" si="84"/>
        <v/>
      </c>
      <c r="AI252" s="181" t="str">
        <f t="shared" ca="1" si="85"/>
        <v/>
      </c>
      <c r="AJ252" s="181" t="str">
        <f t="shared" ca="1" si="86"/>
        <v/>
      </c>
      <c r="AK252" s="181" t="str">
        <f t="shared" ca="1" si="87"/>
        <v/>
      </c>
      <c r="AL252" s="181" t="str">
        <f t="shared" ca="1" si="88"/>
        <v/>
      </c>
      <c r="AM252" s="181" t="str">
        <f t="shared" ca="1" si="89"/>
        <v/>
      </c>
      <c r="AN252" s="181" t="str">
        <f t="shared" ca="1" si="90"/>
        <v/>
      </c>
      <c r="AO252" s="181" t="str">
        <f t="shared" ca="1" si="91"/>
        <v/>
      </c>
      <c r="AP252" s="181" t="str">
        <f t="shared" ca="1" si="92"/>
        <v/>
      </c>
      <c r="AU252" s="181" t="str">
        <f t="shared" ca="1" si="93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82" t="str">
        <f ca="1">IF(C253&lt;&gt;"",
VLOOKUP(
"*"&amp;LEFT(IF(COUNTIF(D253,"*学食*"),"キャラ弁（学食）",
IF(COUNTIF(D253,"*赤*"),"赤",
IF(COUNTIF(D253,"*キャラ弁当*"),"キャラ弁当",D253))),4)&amp;"*",注文弁当の抽出!$E$1:$F$15,2,FALSE),"")</f>
        <v/>
      </c>
      <c r="M253" s="107"/>
      <c r="P253" s="107" t="str">
        <f t="shared" ca="1" si="98"/>
        <v/>
      </c>
      <c r="Q253" s="107" t="str">
        <f t="shared" ca="1" si="97"/>
        <v/>
      </c>
      <c r="R253" s="181" t="str">
        <f t="array" aca="1" ref="R253" ca="1">IFERROR(SMALL(IF(P$1:P$311&lt;&gt;0,P$1:P$311),ROW(A253)),"")</f>
        <v/>
      </c>
      <c r="S253" s="181" t="str">
        <f t="array" aca="1" ref="S253" ca="1">IF($R253&lt;&gt;"",
SUBSTITUTE(SUBSTITUTE(INDIRECT("C"&amp;$R253&amp;"")," 週3ｺｰｽ","")," 週5ｺｰｽ",""),"")</f>
        <v/>
      </c>
      <c r="T253" s="18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81" t="str">
        <f t="array" aca="1" ref="V253" ca="1">IF($R253&lt;&gt;"",
INDIRECT("G"&amp;$R253&amp;""),"")</f>
        <v/>
      </c>
      <c r="W253" s="181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8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8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81" t="str">
        <f t="shared" ca="1" si="77"/>
        <v/>
      </c>
      <c r="AA253" s="181" t="str">
        <f t="shared" ca="1" si="78"/>
        <v/>
      </c>
      <c r="AB253" s="181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81" t="str">
        <f t="shared" ca="1" si="79"/>
        <v/>
      </c>
      <c r="AD253" s="181" t="str">
        <f t="shared" ca="1" si="80"/>
        <v/>
      </c>
      <c r="AE253" s="181" t="str">
        <f t="shared" ca="1" si="81"/>
        <v/>
      </c>
      <c r="AF253" s="181" t="str">
        <f t="shared" ca="1" si="82"/>
        <v/>
      </c>
      <c r="AG253" s="181" t="str">
        <f t="shared" ca="1" si="83"/>
        <v/>
      </c>
      <c r="AH253" s="185" t="str">
        <f t="shared" ca="1" si="84"/>
        <v/>
      </c>
      <c r="AI253" s="181" t="str">
        <f t="shared" ca="1" si="85"/>
        <v/>
      </c>
      <c r="AJ253" s="181" t="str">
        <f t="shared" ca="1" si="86"/>
        <v/>
      </c>
      <c r="AK253" s="181" t="str">
        <f t="shared" ca="1" si="87"/>
        <v/>
      </c>
      <c r="AL253" s="181" t="str">
        <f t="shared" ca="1" si="88"/>
        <v/>
      </c>
      <c r="AM253" s="181" t="str">
        <f t="shared" ca="1" si="89"/>
        <v/>
      </c>
      <c r="AN253" s="181" t="str">
        <f t="shared" ca="1" si="90"/>
        <v/>
      </c>
      <c r="AO253" s="181" t="str">
        <f t="shared" ca="1" si="91"/>
        <v/>
      </c>
      <c r="AP253" s="181" t="str">
        <f t="shared" ca="1" si="92"/>
        <v/>
      </c>
      <c r="AU253" s="181" t="str">
        <f t="shared" ca="1" si="93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82" t="str">
        <f ca="1">IF(C254&lt;&gt;"",
VLOOKUP(
"*"&amp;LEFT(IF(COUNTIF(D254,"*学食*"),"キャラ弁（学食）",
IF(COUNTIF(D254,"*赤*"),"赤",
IF(COUNTIF(D254,"*キャラ弁当*"),"キャラ弁当",D254))),4)&amp;"*",注文弁当の抽出!$E$1:$F$15,2,FALSE),"")</f>
        <v/>
      </c>
      <c r="M254" s="107"/>
      <c r="P254" s="107" t="str">
        <f t="shared" ca="1" si="98"/>
        <v/>
      </c>
      <c r="Q254" s="107" t="str">
        <f t="shared" ca="1" si="97"/>
        <v/>
      </c>
      <c r="R254" s="181" t="str">
        <f t="array" aca="1" ref="R254" ca="1">IFERROR(SMALL(IF(P$1:P$311&lt;&gt;0,P$1:P$311),ROW(A254)),"")</f>
        <v/>
      </c>
      <c r="S254" s="181" t="str">
        <f t="array" aca="1" ref="S254" ca="1">IF($R254&lt;&gt;"",
SUBSTITUTE(SUBSTITUTE(INDIRECT("C"&amp;$R254&amp;"")," 週3ｺｰｽ","")," 週5ｺｰｽ",""),"")</f>
        <v/>
      </c>
      <c r="T254" s="18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81" t="str">
        <f t="array" aca="1" ref="V254" ca="1">IF($R254&lt;&gt;"",
INDIRECT("G"&amp;$R254&amp;""),"")</f>
        <v/>
      </c>
      <c r="W254" s="181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8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8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81" t="str">
        <f t="shared" ca="1" si="77"/>
        <v/>
      </c>
      <c r="AA254" s="181" t="str">
        <f t="shared" ca="1" si="78"/>
        <v/>
      </c>
      <c r="AB254" s="181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81" t="str">
        <f t="shared" ca="1" si="79"/>
        <v/>
      </c>
      <c r="AD254" s="181" t="str">
        <f t="shared" ca="1" si="80"/>
        <v/>
      </c>
      <c r="AE254" s="181" t="str">
        <f t="shared" ca="1" si="81"/>
        <v/>
      </c>
      <c r="AF254" s="181" t="str">
        <f t="shared" ca="1" si="82"/>
        <v/>
      </c>
      <c r="AG254" s="181" t="str">
        <f t="shared" ca="1" si="83"/>
        <v/>
      </c>
      <c r="AH254" s="185" t="str">
        <f t="shared" ca="1" si="84"/>
        <v/>
      </c>
      <c r="AI254" s="181" t="str">
        <f t="shared" ca="1" si="85"/>
        <v/>
      </c>
      <c r="AJ254" s="181" t="str">
        <f t="shared" ca="1" si="86"/>
        <v/>
      </c>
      <c r="AK254" s="181" t="str">
        <f t="shared" ca="1" si="87"/>
        <v/>
      </c>
      <c r="AL254" s="181" t="str">
        <f t="shared" ca="1" si="88"/>
        <v/>
      </c>
      <c r="AM254" s="181" t="str">
        <f t="shared" ca="1" si="89"/>
        <v/>
      </c>
      <c r="AN254" s="181" t="str">
        <f t="shared" ca="1" si="90"/>
        <v/>
      </c>
      <c r="AO254" s="181" t="str">
        <f t="shared" ca="1" si="91"/>
        <v/>
      </c>
      <c r="AP254" s="181" t="str">
        <f t="shared" ca="1" si="92"/>
        <v/>
      </c>
      <c r="AU254" s="181" t="str">
        <f t="shared" ca="1" si="93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82" t="str">
        <f ca="1">IF(C255&lt;&gt;"",
VLOOKUP(
"*"&amp;LEFT(IF(COUNTIF(D255,"*学食*"),"キャラ弁（学食）",
IF(COUNTIF(D255,"*赤*"),"赤",
IF(COUNTIF(D255,"*キャラ弁当*"),"キャラ弁当",D255))),4)&amp;"*",注文弁当の抽出!$E$1:$F$15,2,FALSE),"")</f>
        <v/>
      </c>
      <c r="M255" s="107"/>
      <c r="P255" s="107" t="str">
        <f t="shared" ca="1" si="98"/>
        <v/>
      </c>
      <c r="Q255" s="107" t="str">
        <f t="shared" ca="1" si="97"/>
        <v/>
      </c>
      <c r="S255" s="181"/>
      <c r="W255" s="181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81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81" t="str">
        <f t="shared" ca="1" si="80"/>
        <v/>
      </c>
      <c r="AE255" s="181" t="str">
        <f t="shared" ca="1" si="81"/>
        <v/>
      </c>
      <c r="AF255" s="181" t="str">
        <f t="shared" ca="1" si="82"/>
        <v/>
      </c>
      <c r="AG255" s="181" t="str">
        <f t="shared" ca="1" si="83"/>
        <v/>
      </c>
      <c r="AH255" s="185" t="str">
        <f t="shared" ca="1" si="84"/>
        <v/>
      </c>
      <c r="AI255" s="181" t="str">
        <f t="shared" ca="1" si="85"/>
        <v/>
      </c>
      <c r="AJ255" s="181" t="str">
        <f t="shared" ca="1" si="86"/>
        <v/>
      </c>
      <c r="AK255" s="181" t="str">
        <f t="shared" ca="1" si="87"/>
        <v/>
      </c>
      <c r="AL255" s="181" t="str">
        <f t="shared" ca="1" si="88"/>
        <v/>
      </c>
      <c r="AM255" s="181" t="str">
        <f t="shared" ca="1" si="89"/>
        <v/>
      </c>
      <c r="AN255" s="181" t="str">
        <f t="shared" ca="1" si="90"/>
        <v/>
      </c>
      <c r="AO255" s="181" t="str">
        <f t="shared" ca="1" si="91"/>
        <v/>
      </c>
      <c r="AP255" s="181" t="str">
        <f t="shared" ca="1" si="92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82" t="str">
        <f ca="1">IF(C256&lt;&gt;"",
VLOOKUP(
"*"&amp;LEFT(IF(COUNTIF(D256,"*学食*"),"キャラ弁（学食）",
IF(COUNTIF(D256,"*赤*"),"赤",
IF(COUNTIF(D256,"*キャラ弁当*"),"キャラ弁当",D256))),4)&amp;"*",注文弁当の抽出!$E$1:$F$15,2,FALSE),"")</f>
        <v/>
      </c>
      <c r="M256" s="107"/>
      <c r="P256" s="107" t="str">
        <f t="shared" ca="1" si="98"/>
        <v/>
      </c>
      <c r="Q256" s="107" t="str">
        <f t="shared" ca="1" si="97"/>
        <v/>
      </c>
      <c r="S256" s="181"/>
      <c r="W256" s="181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81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81" t="str">
        <f t="shared" ca="1" si="80"/>
        <v/>
      </c>
      <c r="AE256" s="181" t="str">
        <f t="shared" ca="1" si="81"/>
        <v/>
      </c>
      <c r="AF256" s="181" t="str">
        <f t="shared" ca="1" si="82"/>
        <v/>
      </c>
      <c r="AG256" s="181" t="str">
        <f t="shared" ca="1" si="83"/>
        <v/>
      </c>
      <c r="AH256" s="185" t="str">
        <f t="shared" ca="1" si="84"/>
        <v/>
      </c>
      <c r="AI256" s="181" t="str">
        <f t="shared" ca="1" si="85"/>
        <v/>
      </c>
      <c r="AJ256" s="181" t="str">
        <f t="shared" ca="1" si="86"/>
        <v/>
      </c>
      <c r="AK256" s="181" t="str">
        <f t="shared" ca="1" si="87"/>
        <v/>
      </c>
      <c r="AL256" s="181" t="str">
        <f t="shared" ca="1" si="88"/>
        <v/>
      </c>
      <c r="AM256" s="181" t="str">
        <f t="shared" ca="1" si="89"/>
        <v/>
      </c>
      <c r="AN256" s="181" t="str">
        <f t="shared" ca="1" si="90"/>
        <v/>
      </c>
      <c r="AO256" s="181" t="str">
        <f t="shared" ca="1" si="91"/>
        <v/>
      </c>
      <c r="AP256" s="181" t="str">
        <f t="shared" ca="1" si="92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82" t="str">
        <f ca="1">IF(C257&lt;&gt;"",
VLOOKUP(
"*"&amp;LEFT(IF(COUNTIF(D257,"*学食*"),"キャラ弁（学食）",
IF(COUNTIF(D257,"*赤*"),"赤",
IF(COUNTIF(D257,"*キャラ弁当*"),"キャラ弁当",D257))),4)&amp;"*",注文弁当の抽出!$E$1:$F$15,2,FALSE),"")</f>
        <v/>
      </c>
      <c r="M257" s="107"/>
      <c r="P257" s="107" t="str">
        <f t="shared" ca="1" si="98"/>
        <v/>
      </c>
      <c r="Q257" s="107" t="str">
        <f t="shared" ca="1" si="97"/>
        <v/>
      </c>
      <c r="S257" s="181"/>
      <c r="W257" s="181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81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81" t="str">
        <f t="shared" ref="AD257:AD320" ca="1" si="99">IFERROR(INDEX(AC:AC,MATCH(SMALL($AU:$AU,ROW()),$AU:$AU,0)),"")</f>
        <v/>
      </c>
      <c r="AE257" s="181" t="str">
        <f t="shared" ref="AE257:AE265" ca="1" si="100">IFERROR(INDEX(R:R,MATCH(SMALL($AU:$AU,ROW()),$AU:$AU,0)),"")</f>
        <v/>
      </c>
      <c r="AF257" s="181" t="str">
        <f t="shared" ref="AF257:AF265" ca="1" si="101">IFERROR(INDEX(S:S,MATCH(SMALL($AU:$AU,ROW()),$AU:$AU,0)),"")</f>
        <v/>
      </c>
      <c r="AG257" s="181" t="str">
        <f t="shared" ref="AG257:AG265" ca="1" si="102">IFERROR(INDEX(T:T,MATCH(SMALL($AU:$AU,ROW()),$AU:$AU,0)),"")</f>
        <v/>
      </c>
      <c r="AH257" s="185" t="str">
        <f t="shared" ref="AH257:AH265" ca="1" si="103">IFERROR(INDEX(U:U,MATCH(SMALL($AU:$AU,ROW()),$AU:$AU,0)),"")</f>
        <v/>
      </c>
      <c r="AI257" s="181" t="str">
        <f t="shared" ref="AI257:AI265" ca="1" si="104">IFERROR(INDEX(V:V,MATCH(SMALL($AU:$AU,ROW()),$AU:$AU,0)),"")</f>
        <v/>
      </c>
      <c r="AJ257" s="181" t="str">
        <f t="shared" ref="AJ257:AJ265" ca="1" si="105">IFERROR(INDEX(W:W,MATCH(SMALL($AU:$AU,ROW()),$AU:$AU,0)),"")</f>
        <v/>
      </c>
      <c r="AK257" s="181" t="str">
        <f t="shared" ref="AK257:AK265" ca="1" si="106">IFERROR(INDEX(X:X,MATCH(SMALL($AU:$AU,ROW()),$AU:$AU,0)),"")</f>
        <v/>
      </c>
      <c r="AL257" s="181" t="str">
        <f t="shared" ref="AL257:AL265" ca="1" si="107">IFERROR(INDEX(Y:Y,MATCH(SMALL($AU:$AU,ROW()),$AU:$AU,0)),"")</f>
        <v/>
      </c>
      <c r="AM257" s="181" t="str">
        <f t="shared" ref="AM257:AM265" ca="1" si="108">IFERROR(INDEX(Z:Z,MATCH(SMALL($AU:$AU,ROW()),$AU:$AU,0)),"")</f>
        <v/>
      </c>
      <c r="AN257" s="181" t="str">
        <f t="shared" ref="AN257:AN265" ca="1" si="109">IFERROR(INDEX(AA:AA,MATCH(SMALL($AU:$AU,ROW()),$AU:$AU,0)),"")</f>
        <v/>
      </c>
      <c r="AO257" s="181" t="str">
        <f t="shared" ref="AO257:AO265" ca="1" si="110">IFERROR(INDEX(AB:AB,MATCH(SMALL($AU:$AU,ROW()),$AU:$AU,0)),"")</f>
        <v/>
      </c>
      <c r="AP257" s="181" t="str">
        <f t="shared" ref="AP257:AP265" ca="1" si="111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82" t="str">
        <f ca="1">IF(C258&lt;&gt;"",
VLOOKUP(
"*"&amp;LEFT(IF(COUNTIF(D258,"*学食*"),"キャラ弁（学食）",
IF(COUNTIF(D258,"*赤*"),"赤",
IF(COUNTIF(D258,"*キャラ弁当*"),"キャラ弁当",D258))),4)&amp;"*",注文弁当の抽出!$E$1:$F$15,2,FALSE),"")</f>
        <v/>
      </c>
      <c r="M258" s="107"/>
      <c r="P258" s="107" t="str">
        <f t="shared" ca="1" si="98"/>
        <v/>
      </c>
      <c r="Q258" s="107" t="str">
        <f t="shared" ca="1" si="97"/>
        <v/>
      </c>
      <c r="S258" s="181"/>
      <c r="W258" s="181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81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81" t="str">
        <f t="shared" ca="1" si="99"/>
        <v/>
      </c>
      <c r="AE258" s="181" t="str">
        <f t="shared" ca="1" si="100"/>
        <v/>
      </c>
      <c r="AF258" s="181" t="str">
        <f t="shared" ca="1" si="101"/>
        <v/>
      </c>
      <c r="AG258" s="181" t="str">
        <f t="shared" ca="1" si="102"/>
        <v/>
      </c>
      <c r="AH258" s="185" t="str">
        <f t="shared" ca="1" si="103"/>
        <v/>
      </c>
      <c r="AI258" s="181" t="str">
        <f t="shared" ca="1" si="104"/>
        <v/>
      </c>
      <c r="AJ258" s="181" t="str">
        <f t="shared" ca="1" si="105"/>
        <v/>
      </c>
      <c r="AK258" s="181" t="str">
        <f t="shared" ca="1" si="106"/>
        <v/>
      </c>
      <c r="AL258" s="181" t="str">
        <f t="shared" ca="1" si="107"/>
        <v/>
      </c>
      <c r="AM258" s="181" t="str">
        <f t="shared" ca="1" si="108"/>
        <v/>
      </c>
      <c r="AN258" s="181" t="str">
        <f t="shared" ca="1" si="109"/>
        <v/>
      </c>
      <c r="AO258" s="181" t="str">
        <f t="shared" ca="1" si="110"/>
        <v/>
      </c>
      <c r="AP258" s="181" t="str">
        <f t="shared" ca="1" si="111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82" t="str">
        <f ca="1">IF(C259&lt;&gt;"",
VLOOKUP(
"*"&amp;LEFT(IF(COUNTIF(D259,"*学食*"),"キャラ弁（学食）",
IF(COUNTIF(D259,"*赤*"),"赤",
IF(COUNTIF(D259,"*キャラ弁当*"),"キャラ弁当",D259))),4)&amp;"*",注文弁当の抽出!$E$1:$F$15,2,FALSE),"")</f>
        <v/>
      </c>
      <c r="M259" s="107"/>
      <c r="P259" s="107" t="str">
        <f t="shared" ca="1" si="98"/>
        <v/>
      </c>
      <c r="Q259" s="107" t="str">
        <f t="shared" ca="1" si="97"/>
        <v/>
      </c>
      <c r="S259" s="181"/>
      <c r="W259" s="181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81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81" t="str">
        <f t="shared" ca="1" si="99"/>
        <v/>
      </c>
      <c r="AE259" s="181" t="str">
        <f t="shared" ca="1" si="100"/>
        <v/>
      </c>
      <c r="AF259" s="181" t="str">
        <f t="shared" ca="1" si="101"/>
        <v/>
      </c>
      <c r="AG259" s="181" t="str">
        <f t="shared" ca="1" si="102"/>
        <v/>
      </c>
      <c r="AH259" s="185" t="str">
        <f t="shared" ca="1" si="103"/>
        <v/>
      </c>
      <c r="AI259" s="181" t="str">
        <f t="shared" ca="1" si="104"/>
        <v/>
      </c>
      <c r="AJ259" s="181" t="str">
        <f t="shared" ca="1" si="105"/>
        <v/>
      </c>
      <c r="AK259" s="181" t="str">
        <f t="shared" ca="1" si="106"/>
        <v/>
      </c>
      <c r="AL259" s="181" t="str">
        <f t="shared" ca="1" si="107"/>
        <v/>
      </c>
      <c r="AM259" s="181" t="str">
        <f t="shared" ca="1" si="108"/>
        <v/>
      </c>
      <c r="AN259" s="181" t="str">
        <f t="shared" ca="1" si="109"/>
        <v/>
      </c>
      <c r="AO259" s="181" t="str">
        <f t="shared" ca="1" si="110"/>
        <v/>
      </c>
      <c r="AP259" s="181" t="str">
        <f t="shared" ca="1" si="111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82" t="str">
        <f ca="1">IF(C260&lt;&gt;"",
VLOOKUP(
"*"&amp;LEFT(IF(COUNTIF(D260,"*学食*"),"キャラ弁（学食）",
IF(COUNTIF(D260,"*赤*"),"赤",
IF(COUNTIF(D260,"*キャラ弁当*"),"キャラ弁当",D260))),4)&amp;"*",注文弁当の抽出!$E$1:$F$15,2,FALSE),"")</f>
        <v/>
      </c>
      <c r="M260" s="107"/>
      <c r="P260" s="107" t="str">
        <f t="shared" ca="1" si="98"/>
        <v/>
      </c>
      <c r="Q260" s="107" t="str">
        <f t="shared" ca="1" si="97"/>
        <v/>
      </c>
      <c r="S260" s="181"/>
      <c r="W260" s="181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81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81" t="str">
        <f t="shared" ca="1" si="99"/>
        <v/>
      </c>
      <c r="AE260" s="181" t="str">
        <f t="shared" ca="1" si="100"/>
        <v/>
      </c>
      <c r="AF260" s="181" t="str">
        <f t="shared" ca="1" si="101"/>
        <v/>
      </c>
      <c r="AG260" s="181" t="str">
        <f t="shared" ca="1" si="102"/>
        <v/>
      </c>
      <c r="AH260" s="185" t="str">
        <f t="shared" ca="1" si="103"/>
        <v/>
      </c>
      <c r="AI260" s="181" t="str">
        <f t="shared" ca="1" si="104"/>
        <v/>
      </c>
      <c r="AJ260" s="181" t="str">
        <f t="shared" ca="1" si="105"/>
        <v/>
      </c>
      <c r="AK260" s="181" t="str">
        <f t="shared" ca="1" si="106"/>
        <v/>
      </c>
      <c r="AL260" s="181" t="str">
        <f t="shared" ca="1" si="107"/>
        <v/>
      </c>
      <c r="AM260" s="181" t="str">
        <f t="shared" ca="1" si="108"/>
        <v/>
      </c>
      <c r="AN260" s="181" t="str">
        <f t="shared" ca="1" si="109"/>
        <v/>
      </c>
      <c r="AO260" s="181" t="str">
        <f t="shared" ca="1" si="110"/>
        <v/>
      </c>
      <c r="AP260" s="181" t="str">
        <f t="shared" ca="1" si="111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82" t="str">
        <f ca="1">IF(C261&lt;&gt;"",
VLOOKUP(
"*"&amp;LEFT(IF(COUNTIF(D261,"*学食*"),"キャラ弁（学食）",
IF(COUNTIF(D261,"*赤*"),"赤",
IF(COUNTIF(D261,"*キャラ弁当*"),"キャラ弁当",D261))),4)&amp;"*",注文弁当の抽出!$E$1:$F$15,2,FALSE),"")</f>
        <v/>
      </c>
      <c r="M261" s="107"/>
      <c r="P261" s="107" t="str">
        <f t="shared" ca="1" si="98"/>
        <v/>
      </c>
      <c r="Q261" s="107" t="str">
        <f t="shared" ca="1" si="97"/>
        <v/>
      </c>
      <c r="S261" s="181"/>
      <c r="W261" s="181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81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81" t="str">
        <f t="shared" ca="1" si="99"/>
        <v/>
      </c>
      <c r="AE261" s="181" t="str">
        <f t="shared" ca="1" si="100"/>
        <v/>
      </c>
      <c r="AF261" s="181" t="str">
        <f t="shared" ca="1" si="101"/>
        <v/>
      </c>
      <c r="AG261" s="181" t="str">
        <f t="shared" ca="1" si="102"/>
        <v/>
      </c>
      <c r="AH261" s="185" t="str">
        <f t="shared" ca="1" si="103"/>
        <v/>
      </c>
      <c r="AI261" s="181" t="str">
        <f t="shared" ca="1" si="104"/>
        <v/>
      </c>
      <c r="AJ261" s="181" t="str">
        <f t="shared" ca="1" si="105"/>
        <v/>
      </c>
      <c r="AK261" s="181" t="str">
        <f t="shared" ca="1" si="106"/>
        <v/>
      </c>
      <c r="AL261" s="181" t="str">
        <f t="shared" ca="1" si="107"/>
        <v/>
      </c>
      <c r="AM261" s="181" t="str">
        <f t="shared" ca="1" si="108"/>
        <v/>
      </c>
      <c r="AN261" s="181" t="str">
        <f t="shared" ca="1" si="109"/>
        <v/>
      </c>
      <c r="AO261" s="181" t="str">
        <f t="shared" ca="1" si="110"/>
        <v/>
      </c>
      <c r="AP261" s="181" t="str">
        <f t="shared" ca="1" si="111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82" t="str">
        <f ca="1">IF(C262&lt;&gt;"",
VLOOKUP(
"*"&amp;LEFT(IF(COUNTIF(D262,"*学食*"),"キャラ弁（学食）",
IF(COUNTIF(D262,"*赤*"),"赤",
IF(COUNTIF(D262,"*キャラ弁当*"),"キャラ弁当",D262))),4)&amp;"*",注文弁当の抽出!$E$1:$F$15,2,FALSE),"")</f>
        <v/>
      </c>
      <c r="M262" s="107"/>
      <c r="P262" s="107" t="str">
        <f t="shared" ca="1" si="98"/>
        <v/>
      </c>
      <c r="Q262" s="107" t="str">
        <f t="shared" ca="1" si="97"/>
        <v/>
      </c>
      <c r="S262" s="181"/>
      <c r="W262" s="181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81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81" t="str">
        <f t="shared" ca="1" si="99"/>
        <v/>
      </c>
      <c r="AE262" s="181" t="str">
        <f t="shared" ca="1" si="100"/>
        <v/>
      </c>
      <c r="AF262" s="181" t="str">
        <f t="shared" ca="1" si="101"/>
        <v/>
      </c>
      <c r="AG262" s="181" t="str">
        <f t="shared" ca="1" si="102"/>
        <v/>
      </c>
      <c r="AH262" s="185" t="str">
        <f t="shared" ca="1" si="103"/>
        <v/>
      </c>
      <c r="AI262" s="181" t="str">
        <f t="shared" ca="1" si="104"/>
        <v/>
      </c>
      <c r="AJ262" s="181" t="str">
        <f t="shared" ca="1" si="105"/>
        <v/>
      </c>
      <c r="AK262" s="181" t="str">
        <f t="shared" ca="1" si="106"/>
        <v/>
      </c>
      <c r="AL262" s="181" t="str">
        <f t="shared" ca="1" si="107"/>
        <v/>
      </c>
      <c r="AM262" s="181" t="str">
        <f t="shared" ca="1" si="108"/>
        <v/>
      </c>
      <c r="AN262" s="181" t="str">
        <f t="shared" ca="1" si="109"/>
        <v/>
      </c>
      <c r="AO262" s="181" t="str">
        <f t="shared" ca="1" si="110"/>
        <v/>
      </c>
      <c r="AP262" s="181" t="str">
        <f t="shared" ca="1" si="111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82" t="str">
        <f ca="1">IF(C263&lt;&gt;"",
VLOOKUP(
"*"&amp;LEFT(IF(COUNTIF(D263,"*学食*"),"キャラ弁（学食）",
IF(COUNTIF(D263,"*赤*"),"赤",
IF(COUNTIF(D263,"*キャラ弁当*"),"キャラ弁当",D263))),4)&amp;"*",注文弁当の抽出!$E$1:$F$15,2,FALSE),"")</f>
        <v/>
      </c>
      <c r="M263" s="107"/>
      <c r="P263" s="107" t="str">
        <f t="shared" ca="1" si="98"/>
        <v/>
      </c>
      <c r="Q263" s="107" t="str">
        <f t="shared" ca="1" si="97"/>
        <v/>
      </c>
      <c r="R263" s="181" t="str">
        <f t="array" aca="1" ref="R263" ca="1">IFERROR(SMALL(IF(P$1:P$311&lt;&gt;0,P$1:P$311),ROW(A263)),"")</f>
        <v/>
      </c>
      <c r="S263" s="181" t="str">
        <f t="array" aca="1" ref="S263" ca="1">IF($R263&lt;&gt;"",
SUBSTITUTE(SUBSTITUTE(INDIRECT("C"&amp;$R263&amp;"")," 週3ｺｰｽ","")," 週5ｺｰｽ",""),"")</f>
        <v/>
      </c>
      <c r="T263" s="181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81" t="str">
        <f t="array" aca="1" ref="V263" ca="1">IF($R263&lt;&gt;"",
INDIRECT("G"&amp;$R263&amp;""),"")</f>
        <v/>
      </c>
      <c r="W263" s="181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81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81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81" t="str">
        <f ca="1">IF(R263&lt;&gt;"",
IFERROR(INT(W263/Y263),""),"")</f>
        <v/>
      </c>
      <c r="AA263" s="181" t="str">
        <f ca="1">IFERROR(MOD(W263,Y263),"")</f>
        <v/>
      </c>
      <c r="AB263" s="181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81" t="str">
        <f ca="1">IF(S263&lt;&gt;"",INDEX(A:A, MATCH("*"&amp;LEFT(S263,4)&amp;"*", C:C, 0)),"")</f>
        <v/>
      </c>
      <c r="AD263" s="181" t="str">
        <f t="shared" ca="1" si="99"/>
        <v/>
      </c>
      <c r="AE263" s="181" t="str">
        <f t="shared" ca="1" si="100"/>
        <v/>
      </c>
      <c r="AF263" s="181" t="str">
        <f t="shared" ca="1" si="101"/>
        <v/>
      </c>
      <c r="AG263" s="181" t="str">
        <f t="shared" ca="1" si="102"/>
        <v/>
      </c>
      <c r="AH263" s="185" t="str">
        <f t="shared" ca="1" si="103"/>
        <v/>
      </c>
      <c r="AI263" s="181" t="str">
        <f t="shared" ca="1" si="104"/>
        <v/>
      </c>
      <c r="AJ263" s="181" t="str">
        <f t="shared" ca="1" si="105"/>
        <v/>
      </c>
      <c r="AK263" s="181" t="str">
        <f t="shared" ca="1" si="106"/>
        <v/>
      </c>
      <c r="AL263" s="181" t="str">
        <f t="shared" ca="1" si="107"/>
        <v/>
      </c>
      <c r="AM263" s="181" t="str">
        <f t="shared" ca="1" si="108"/>
        <v/>
      </c>
      <c r="AN263" s="181" t="str">
        <f t="shared" ca="1" si="109"/>
        <v/>
      </c>
      <c r="AO263" s="181" t="str">
        <f t="shared" ca="1" si="110"/>
        <v/>
      </c>
      <c r="AP263" s="181" t="str">
        <f t="shared" ca="1" si="111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82" t="str">
        <f ca="1">IF(C264&lt;&gt;"",
VLOOKUP(
"*"&amp;LEFT(IF(COUNTIF(D264,"*学食*"),"キャラ弁（学食）",
IF(COUNTIF(D264,"*赤*"),"赤",
IF(COUNTIF(D264,"*キャラ弁当*"),"キャラ弁当",D264))),4)&amp;"*",注文弁当の抽出!$E$1:$F$15,2,FALSE),"")</f>
        <v/>
      </c>
      <c r="M264" s="107"/>
      <c r="P264" s="107" t="str">
        <f t="shared" ca="1" si="98"/>
        <v/>
      </c>
      <c r="Q264" s="107" t="str">
        <f t="shared" ca="1" si="97"/>
        <v/>
      </c>
      <c r="R264" s="181" t="str">
        <f t="array" aca="1" ref="R264" ca="1">IFERROR(SMALL(IF(P$1:P$311&lt;&gt;0,P$1:P$311),ROW(A264)),"")</f>
        <v/>
      </c>
      <c r="S264" s="181" t="str">
        <f t="array" aca="1" ref="S264" ca="1">IF($R264&lt;&gt;"",
SUBSTITUTE(SUBSTITUTE(INDIRECT("C"&amp;$R264&amp;"")," 週3ｺｰｽ","")," 週5ｺｰｽ",""),"")</f>
        <v/>
      </c>
      <c r="T264" s="181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81" t="str">
        <f t="array" aca="1" ref="V264" ca="1">IF($R264&lt;&gt;"",
INDIRECT("G"&amp;$R264&amp;""),"")</f>
        <v/>
      </c>
      <c r="W264" s="181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81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81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81" t="str">
        <f ca="1">IF(R264&lt;&gt;"",
IFERROR(INT(W264/Y264),""),"")</f>
        <v/>
      </c>
      <c r="AA264" s="181" t="str">
        <f ca="1">IFERROR(MOD(W264,Y264),"")</f>
        <v/>
      </c>
      <c r="AB264" s="181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81" t="str">
        <f ca="1">IF(S264&lt;&gt;"",INDEX(A:A, MATCH("*"&amp;LEFT(S264,4)&amp;"*", C:C, 0)),"")</f>
        <v/>
      </c>
      <c r="AD264" s="181" t="str">
        <f t="shared" ca="1" si="99"/>
        <v/>
      </c>
      <c r="AE264" s="181" t="str">
        <f t="shared" ca="1" si="100"/>
        <v/>
      </c>
      <c r="AF264" s="181" t="str">
        <f t="shared" ca="1" si="101"/>
        <v/>
      </c>
      <c r="AG264" s="181" t="str">
        <f t="shared" ca="1" si="102"/>
        <v/>
      </c>
      <c r="AH264" s="185" t="str">
        <f t="shared" ca="1" si="103"/>
        <v/>
      </c>
      <c r="AI264" s="181" t="str">
        <f t="shared" ca="1" si="104"/>
        <v/>
      </c>
      <c r="AJ264" s="181" t="str">
        <f t="shared" ca="1" si="105"/>
        <v/>
      </c>
      <c r="AK264" s="181" t="str">
        <f t="shared" ca="1" si="106"/>
        <v/>
      </c>
      <c r="AL264" s="181" t="str">
        <f t="shared" ca="1" si="107"/>
        <v/>
      </c>
      <c r="AM264" s="181" t="str">
        <f t="shared" ca="1" si="108"/>
        <v/>
      </c>
      <c r="AN264" s="181" t="str">
        <f t="shared" ca="1" si="109"/>
        <v/>
      </c>
      <c r="AO264" s="181" t="str">
        <f t="shared" ca="1" si="110"/>
        <v/>
      </c>
      <c r="AP264" s="181" t="str">
        <f t="shared" ca="1" si="111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82" t="str">
        <f ca="1">IF(C265&lt;&gt;"",
VLOOKUP(
"*"&amp;LEFT(IF(COUNTIF(D265,"*学食*"),"キャラ弁（学食）",
IF(COUNTIF(D265,"*赤*"),"赤",
IF(COUNTIF(D265,"*キャラ弁当*"),"キャラ弁当",D265))),4)&amp;"*",注文弁当の抽出!$E$1:$F$15,2,FALSE),"")</f>
        <v/>
      </c>
      <c r="M265" s="107"/>
      <c r="P265" s="107" t="str">
        <f t="shared" ca="1" si="98"/>
        <v/>
      </c>
      <c r="Q265" s="107" t="str">
        <f t="shared" ca="1" si="97"/>
        <v/>
      </c>
      <c r="R265" s="181" t="str">
        <f t="array" aca="1" ref="R265" ca="1">IFERROR(SMALL(IF(P$1:P$311&lt;&gt;0,P$1:P$311),ROW(A265)),"")</f>
        <v/>
      </c>
      <c r="S265" s="181" t="str">
        <f t="array" aca="1" ref="S265" ca="1">IF($R265&lt;&gt;"",
SUBSTITUTE(SUBSTITUTE(INDIRECT("C"&amp;$R265&amp;"")," 週3ｺｰｽ","")," 週5ｺｰｽ",""),"")</f>
        <v/>
      </c>
      <c r="T265" s="181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81" t="str">
        <f t="array" aca="1" ref="V265" ca="1">IF($R265&lt;&gt;"",
INDIRECT("G"&amp;$R265&amp;""),"")</f>
        <v/>
      </c>
      <c r="W265" s="181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81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81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81" t="str">
        <f ca="1">IF(R265&lt;&gt;"",
IFERROR(INT(W265/Y265),""),"")</f>
        <v/>
      </c>
      <c r="AA265" s="181" t="str">
        <f ca="1">IFERROR(MOD(W265,Y265),"")</f>
        <v/>
      </c>
      <c r="AB265" s="181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81" t="str">
        <f ca="1">IF(S265&lt;&gt;"",INDEX(A:A, MATCH("*"&amp;LEFT(S265,4)&amp;"*", C:C, 0)),"")</f>
        <v/>
      </c>
      <c r="AD265" s="181" t="str">
        <f t="shared" ca="1" si="99"/>
        <v/>
      </c>
      <c r="AE265" s="181" t="str">
        <f t="shared" ca="1" si="100"/>
        <v/>
      </c>
      <c r="AF265" s="181" t="str">
        <f t="shared" ca="1" si="101"/>
        <v/>
      </c>
      <c r="AG265" s="181" t="str">
        <f t="shared" ca="1" si="102"/>
        <v/>
      </c>
      <c r="AH265" s="185" t="str">
        <f t="shared" ca="1" si="103"/>
        <v/>
      </c>
      <c r="AI265" s="181" t="str">
        <f t="shared" ca="1" si="104"/>
        <v/>
      </c>
      <c r="AJ265" s="181" t="str">
        <f t="shared" ca="1" si="105"/>
        <v/>
      </c>
      <c r="AK265" s="181" t="str">
        <f t="shared" ca="1" si="106"/>
        <v/>
      </c>
      <c r="AL265" s="181" t="str">
        <f t="shared" ca="1" si="107"/>
        <v/>
      </c>
      <c r="AM265" s="181" t="str">
        <f t="shared" ca="1" si="108"/>
        <v/>
      </c>
      <c r="AN265" s="181" t="str">
        <f t="shared" ca="1" si="109"/>
        <v/>
      </c>
      <c r="AO265" s="181" t="str">
        <f t="shared" ca="1" si="110"/>
        <v/>
      </c>
      <c r="AP265" s="181" t="str">
        <f t="shared" ca="1" si="111"/>
        <v/>
      </c>
    </row>
    <row r="266" spans="1:42">
      <c r="AB266" s="181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81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81" t="str">
        <f>IF(S270&lt;&gt;"",INDEX(A:A, MATCH("*"&amp;LEFT(S270,4)&amp;"*", C:C, 0)),"")</f>
        <v/>
      </c>
      <c r="AD270" s="181" t="str">
        <f t="shared" ref="AD270:AD301" ca="1" si="112">IFERROR(INDEX(AC:AC,MATCH(SMALL($AU:$AU,ROW()+3),$AU:$AU,0)),"")</f>
        <v/>
      </c>
      <c r="AE270" s="181" t="str">
        <f t="shared" ref="AE270:AE301" ca="1" si="113">IFERROR(INDEX(R:R,MATCH(SMALL($AU:$AU,ROW()+3),$AU:$AU,0)),"")</f>
        <v/>
      </c>
      <c r="AF270" s="181" t="str">
        <f t="shared" ref="AF270:AF301" ca="1" si="114">IFERROR(INDEX(S:S,MATCH(SMALL($AU:$AU,ROW()+3),$AU:$AU,0)),"")</f>
        <v/>
      </c>
      <c r="AG270" s="181" t="str">
        <f t="shared" ref="AG270:AG301" ca="1" si="115">IFERROR(INDEX(T:T,MATCH(SMALL($AU:$AU,ROW()+3),$AU:$AU,0)),"")</f>
        <v/>
      </c>
      <c r="AH270" s="185" t="str">
        <f t="shared" ref="AH270:AH301" ca="1" si="116">IFERROR(INDEX(U:U,MATCH(SMALL($AU:$AU,ROW()+3),$AU:$AU,0)),"")</f>
        <v/>
      </c>
      <c r="AI270" s="181" t="str">
        <f t="shared" ref="AI270:AI301" ca="1" si="117">IFERROR(INDEX(V:V,MATCH(SMALL($AU:$AU,ROW()+3),$AU:$AU,0)),"")</f>
        <v/>
      </c>
      <c r="AJ270" s="181" t="str">
        <f t="shared" ref="AJ270:AJ301" ca="1" si="118">IFERROR(INDEX(W:W,MATCH(SMALL($AU:$AU,ROW()+3),$AU:$AU,0)),"")</f>
        <v/>
      </c>
      <c r="AK270" s="181" t="str">
        <f t="shared" ref="AK270:AK301" ca="1" si="119">IFERROR(INDEX(X:X,MATCH(SMALL($AU:$AU,ROW()+3),$AU:$AU,0)),"")</f>
        <v/>
      </c>
      <c r="AL270" s="181" t="str">
        <f t="shared" ref="AL270:AL301" ca="1" si="120">IFERROR(INDEX(Y:Y,MATCH(SMALL($AU:$AU,ROW()+3),$AU:$AU,0)),"")</f>
        <v/>
      </c>
      <c r="AM270" s="181" t="str">
        <f t="shared" ref="AM270:AM301" ca="1" si="121">IFERROR(INDEX(Z:Z,MATCH(SMALL($AU:$AU,ROW()+3),$AU:$AU,0)),"")</f>
        <v/>
      </c>
      <c r="AN270" s="181" t="str">
        <f t="shared" ref="AN270:AN301" ca="1" si="122">IFERROR(INDEX(AA:AA,MATCH(SMALL($AU:$AU,ROW()+3),$AU:$AU,0)),"")</f>
        <v/>
      </c>
      <c r="AO270" s="181" t="str">
        <f t="shared" ref="AO270:AO301" ca="1" si="123">IFERROR(INDEX(AB:AB,MATCH(SMALL($AU:$AU,ROW()+3),$AU:$AU,0)),"")</f>
        <v/>
      </c>
      <c r="AP270" s="181" t="str">
        <f t="shared" ref="AP270:AP301" ca="1" si="124">IFERROR(INDEX(AC:AC,MATCH(SMALL($AU:$AU,ROW()+3),$AU:$AU,0)),"")</f>
        <v/>
      </c>
    </row>
    <row r="271" spans="1:42">
      <c r="AD271" s="181" t="str">
        <f t="shared" ca="1" si="112"/>
        <v/>
      </c>
      <c r="AE271" s="181" t="str">
        <f t="shared" ca="1" si="113"/>
        <v/>
      </c>
      <c r="AF271" s="181" t="str">
        <f t="shared" ca="1" si="114"/>
        <v/>
      </c>
      <c r="AG271" s="181" t="str">
        <f t="shared" ca="1" si="115"/>
        <v/>
      </c>
      <c r="AH271" s="185" t="str">
        <f t="shared" ca="1" si="116"/>
        <v/>
      </c>
      <c r="AI271" s="181" t="str">
        <f t="shared" ca="1" si="117"/>
        <v/>
      </c>
      <c r="AJ271" s="181" t="str">
        <f t="shared" ca="1" si="118"/>
        <v/>
      </c>
      <c r="AK271" s="181" t="str">
        <f t="shared" ca="1" si="119"/>
        <v/>
      </c>
      <c r="AL271" s="181" t="str">
        <f t="shared" ca="1" si="120"/>
        <v/>
      </c>
      <c r="AM271" s="181" t="str">
        <f t="shared" ca="1" si="121"/>
        <v/>
      </c>
      <c r="AN271" s="181" t="str">
        <f t="shared" ca="1" si="122"/>
        <v/>
      </c>
      <c r="AO271" s="181" t="str">
        <f t="shared" ca="1" si="123"/>
        <v/>
      </c>
      <c r="AP271" s="181" t="str">
        <f t="shared" ca="1" si="124"/>
        <v/>
      </c>
    </row>
    <row r="272" spans="1:42">
      <c r="AD272" s="181" t="str">
        <f t="shared" ca="1" si="112"/>
        <v/>
      </c>
      <c r="AE272" s="181" t="str">
        <f t="shared" ca="1" si="113"/>
        <v/>
      </c>
      <c r="AF272" s="181" t="str">
        <f t="shared" ca="1" si="114"/>
        <v/>
      </c>
      <c r="AG272" s="181" t="str">
        <f t="shared" ca="1" si="115"/>
        <v/>
      </c>
      <c r="AH272" s="185" t="str">
        <f t="shared" ca="1" si="116"/>
        <v/>
      </c>
      <c r="AI272" s="181" t="str">
        <f t="shared" ca="1" si="117"/>
        <v/>
      </c>
      <c r="AJ272" s="181" t="str">
        <f t="shared" ca="1" si="118"/>
        <v/>
      </c>
      <c r="AK272" s="181" t="str">
        <f t="shared" ca="1" si="119"/>
        <v/>
      </c>
      <c r="AL272" s="181" t="str">
        <f t="shared" ca="1" si="120"/>
        <v/>
      </c>
      <c r="AM272" s="181" t="str">
        <f t="shared" ca="1" si="121"/>
        <v/>
      </c>
      <c r="AN272" s="181" t="str">
        <f t="shared" ca="1" si="122"/>
        <v/>
      </c>
      <c r="AO272" s="181" t="str">
        <f t="shared" ca="1" si="123"/>
        <v/>
      </c>
      <c r="AP272" s="181" t="str">
        <f t="shared" ca="1" si="124"/>
        <v/>
      </c>
    </row>
    <row r="273" spans="30:42">
      <c r="AD273" s="181" t="str">
        <f t="shared" ca="1" si="112"/>
        <v/>
      </c>
      <c r="AE273" s="181" t="str">
        <f t="shared" ca="1" si="113"/>
        <v/>
      </c>
      <c r="AF273" s="181" t="str">
        <f t="shared" ca="1" si="114"/>
        <v/>
      </c>
      <c r="AG273" s="181" t="str">
        <f t="shared" ca="1" si="115"/>
        <v/>
      </c>
      <c r="AH273" s="185" t="str">
        <f t="shared" ca="1" si="116"/>
        <v/>
      </c>
      <c r="AI273" s="181" t="str">
        <f t="shared" ca="1" si="117"/>
        <v/>
      </c>
      <c r="AJ273" s="181" t="str">
        <f t="shared" ca="1" si="118"/>
        <v/>
      </c>
      <c r="AK273" s="181" t="str">
        <f t="shared" ca="1" si="119"/>
        <v/>
      </c>
      <c r="AL273" s="181" t="str">
        <f t="shared" ca="1" si="120"/>
        <v/>
      </c>
      <c r="AM273" s="181" t="str">
        <f t="shared" ca="1" si="121"/>
        <v/>
      </c>
      <c r="AN273" s="181" t="str">
        <f t="shared" ca="1" si="122"/>
        <v/>
      </c>
      <c r="AO273" s="181" t="str">
        <f t="shared" ca="1" si="123"/>
        <v/>
      </c>
      <c r="AP273" s="181" t="str">
        <f t="shared" ca="1" si="124"/>
        <v/>
      </c>
    </row>
    <row r="274" spans="30:42">
      <c r="AD274" s="181" t="str">
        <f t="shared" ca="1" si="112"/>
        <v/>
      </c>
      <c r="AE274" s="181" t="str">
        <f t="shared" ca="1" si="113"/>
        <v/>
      </c>
      <c r="AF274" s="181" t="str">
        <f t="shared" ca="1" si="114"/>
        <v/>
      </c>
      <c r="AG274" s="181" t="str">
        <f t="shared" ca="1" si="115"/>
        <v/>
      </c>
      <c r="AH274" s="185" t="str">
        <f t="shared" ca="1" si="116"/>
        <v/>
      </c>
      <c r="AI274" s="181" t="str">
        <f t="shared" ca="1" si="117"/>
        <v/>
      </c>
      <c r="AJ274" s="181" t="str">
        <f t="shared" ca="1" si="118"/>
        <v/>
      </c>
      <c r="AK274" s="181" t="str">
        <f t="shared" ca="1" si="119"/>
        <v/>
      </c>
      <c r="AL274" s="181" t="str">
        <f t="shared" ca="1" si="120"/>
        <v/>
      </c>
      <c r="AM274" s="181" t="str">
        <f t="shared" ca="1" si="121"/>
        <v/>
      </c>
      <c r="AN274" s="181" t="str">
        <f t="shared" ca="1" si="122"/>
        <v/>
      </c>
      <c r="AO274" s="181" t="str">
        <f t="shared" ca="1" si="123"/>
        <v/>
      </c>
      <c r="AP274" s="181" t="str">
        <f t="shared" ca="1" si="124"/>
        <v/>
      </c>
    </row>
    <row r="275" spans="30:42">
      <c r="AD275" s="181" t="str">
        <f t="shared" ca="1" si="112"/>
        <v/>
      </c>
      <c r="AE275" s="181" t="str">
        <f t="shared" ca="1" si="113"/>
        <v/>
      </c>
      <c r="AF275" s="181" t="str">
        <f t="shared" ca="1" si="114"/>
        <v/>
      </c>
      <c r="AG275" s="181" t="str">
        <f t="shared" ca="1" si="115"/>
        <v/>
      </c>
      <c r="AH275" s="185" t="str">
        <f t="shared" ca="1" si="116"/>
        <v/>
      </c>
      <c r="AI275" s="181" t="str">
        <f t="shared" ca="1" si="117"/>
        <v/>
      </c>
      <c r="AJ275" s="181" t="str">
        <f t="shared" ca="1" si="118"/>
        <v/>
      </c>
      <c r="AK275" s="181" t="str">
        <f t="shared" ca="1" si="119"/>
        <v/>
      </c>
      <c r="AL275" s="181" t="str">
        <f t="shared" ca="1" si="120"/>
        <v/>
      </c>
      <c r="AM275" s="181" t="str">
        <f t="shared" ca="1" si="121"/>
        <v/>
      </c>
      <c r="AN275" s="181" t="str">
        <f t="shared" ca="1" si="122"/>
        <v/>
      </c>
      <c r="AO275" s="181" t="str">
        <f t="shared" ca="1" si="123"/>
        <v/>
      </c>
      <c r="AP275" s="181" t="str">
        <f t="shared" ca="1" si="124"/>
        <v/>
      </c>
    </row>
    <row r="276" spans="30:42">
      <c r="AD276" s="181" t="str">
        <f t="shared" ca="1" si="112"/>
        <v/>
      </c>
      <c r="AE276" s="181" t="str">
        <f t="shared" ca="1" si="113"/>
        <v/>
      </c>
      <c r="AF276" s="181" t="str">
        <f t="shared" ca="1" si="114"/>
        <v/>
      </c>
      <c r="AG276" s="181" t="str">
        <f t="shared" ca="1" si="115"/>
        <v/>
      </c>
      <c r="AH276" s="185" t="str">
        <f t="shared" ca="1" si="116"/>
        <v/>
      </c>
      <c r="AI276" s="181" t="str">
        <f t="shared" ca="1" si="117"/>
        <v/>
      </c>
      <c r="AJ276" s="181" t="str">
        <f t="shared" ca="1" si="118"/>
        <v/>
      </c>
      <c r="AK276" s="181" t="str">
        <f t="shared" ca="1" si="119"/>
        <v/>
      </c>
      <c r="AL276" s="181" t="str">
        <f t="shared" ca="1" si="120"/>
        <v/>
      </c>
      <c r="AM276" s="181" t="str">
        <f t="shared" ca="1" si="121"/>
        <v/>
      </c>
      <c r="AN276" s="181" t="str">
        <f t="shared" ca="1" si="122"/>
        <v/>
      </c>
      <c r="AO276" s="181" t="str">
        <f t="shared" ca="1" si="123"/>
        <v/>
      </c>
      <c r="AP276" s="181" t="str">
        <f t="shared" ca="1" si="124"/>
        <v/>
      </c>
    </row>
    <row r="277" spans="30:42">
      <c r="AD277" s="181" t="str">
        <f t="shared" ca="1" si="112"/>
        <v/>
      </c>
      <c r="AE277" s="181" t="str">
        <f t="shared" ca="1" si="113"/>
        <v/>
      </c>
      <c r="AF277" s="181" t="str">
        <f t="shared" ca="1" si="114"/>
        <v/>
      </c>
      <c r="AG277" s="181" t="str">
        <f t="shared" ca="1" si="115"/>
        <v/>
      </c>
      <c r="AH277" s="185" t="str">
        <f t="shared" ca="1" si="116"/>
        <v/>
      </c>
      <c r="AI277" s="181" t="str">
        <f t="shared" ca="1" si="117"/>
        <v/>
      </c>
      <c r="AJ277" s="181" t="str">
        <f t="shared" ca="1" si="118"/>
        <v/>
      </c>
      <c r="AK277" s="181" t="str">
        <f t="shared" ca="1" si="119"/>
        <v/>
      </c>
      <c r="AL277" s="181" t="str">
        <f t="shared" ca="1" si="120"/>
        <v/>
      </c>
      <c r="AM277" s="181" t="str">
        <f t="shared" ca="1" si="121"/>
        <v/>
      </c>
      <c r="AN277" s="181" t="str">
        <f t="shared" ca="1" si="122"/>
        <v/>
      </c>
      <c r="AO277" s="181" t="str">
        <f t="shared" ca="1" si="123"/>
        <v/>
      </c>
      <c r="AP277" s="181" t="str">
        <f t="shared" ca="1" si="124"/>
        <v/>
      </c>
    </row>
    <row r="278" spans="30:42">
      <c r="AD278" s="181" t="str">
        <f t="shared" ca="1" si="112"/>
        <v/>
      </c>
      <c r="AE278" s="181" t="str">
        <f t="shared" ca="1" si="113"/>
        <v/>
      </c>
      <c r="AF278" s="181" t="str">
        <f t="shared" ca="1" si="114"/>
        <v/>
      </c>
      <c r="AG278" s="181" t="str">
        <f t="shared" ca="1" si="115"/>
        <v/>
      </c>
      <c r="AH278" s="185" t="str">
        <f t="shared" ca="1" si="116"/>
        <v/>
      </c>
      <c r="AI278" s="181" t="str">
        <f t="shared" ca="1" si="117"/>
        <v/>
      </c>
      <c r="AJ278" s="181" t="str">
        <f t="shared" ca="1" si="118"/>
        <v/>
      </c>
      <c r="AK278" s="181" t="str">
        <f t="shared" ca="1" si="119"/>
        <v/>
      </c>
      <c r="AL278" s="181" t="str">
        <f t="shared" ca="1" si="120"/>
        <v/>
      </c>
      <c r="AM278" s="181" t="str">
        <f t="shared" ca="1" si="121"/>
        <v/>
      </c>
      <c r="AN278" s="181" t="str">
        <f t="shared" ca="1" si="122"/>
        <v/>
      </c>
      <c r="AO278" s="181" t="str">
        <f t="shared" ca="1" si="123"/>
        <v/>
      </c>
      <c r="AP278" s="181" t="str">
        <f t="shared" ca="1" si="124"/>
        <v/>
      </c>
    </row>
    <row r="279" spans="30:42">
      <c r="AD279" s="181" t="str">
        <f t="shared" ca="1" si="112"/>
        <v/>
      </c>
      <c r="AE279" s="181" t="str">
        <f t="shared" ca="1" si="113"/>
        <v/>
      </c>
      <c r="AF279" s="181" t="str">
        <f t="shared" ca="1" si="114"/>
        <v/>
      </c>
      <c r="AG279" s="181" t="str">
        <f t="shared" ca="1" si="115"/>
        <v/>
      </c>
      <c r="AH279" s="185" t="str">
        <f t="shared" ca="1" si="116"/>
        <v/>
      </c>
      <c r="AI279" s="181" t="str">
        <f t="shared" ca="1" si="117"/>
        <v/>
      </c>
      <c r="AJ279" s="181" t="str">
        <f t="shared" ca="1" si="118"/>
        <v/>
      </c>
      <c r="AK279" s="181" t="str">
        <f t="shared" ca="1" si="119"/>
        <v/>
      </c>
      <c r="AL279" s="181" t="str">
        <f t="shared" ca="1" si="120"/>
        <v/>
      </c>
      <c r="AM279" s="181" t="str">
        <f t="shared" ca="1" si="121"/>
        <v/>
      </c>
      <c r="AN279" s="181" t="str">
        <f t="shared" ca="1" si="122"/>
        <v/>
      </c>
      <c r="AO279" s="181" t="str">
        <f t="shared" ca="1" si="123"/>
        <v/>
      </c>
      <c r="AP279" s="181" t="str">
        <f t="shared" ca="1" si="124"/>
        <v/>
      </c>
    </row>
    <row r="280" spans="30:42">
      <c r="AD280" s="181" t="str">
        <f t="shared" ca="1" si="112"/>
        <v/>
      </c>
      <c r="AE280" s="181" t="str">
        <f t="shared" ca="1" si="113"/>
        <v/>
      </c>
      <c r="AF280" s="181" t="str">
        <f t="shared" ca="1" si="114"/>
        <v/>
      </c>
      <c r="AG280" s="181" t="str">
        <f t="shared" ca="1" si="115"/>
        <v/>
      </c>
      <c r="AH280" s="185" t="str">
        <f t="shared" ca="1" si="116"/>
        <v/>
      </c>
      <c r="AI280" s="181" t="str">
        <f t="shared" ca="1" si="117"/>
        <v/>
      </c>
      <c r="AJ280" s="181" t="str">
        <f t="shared" ca="1" si="118"/>
        <v/>
      </c>
      <c r="AK280" s="181" t="str">
        <f t="shared" ca="1" si="119"/>
        <v/>
      </c>
      <c r="AL280" s="181" t="str">
        <f t="shared" ca="1" si="120"/>
        <v/>
      </c>
      <c r="AM280" s="181" t="str">
        <f t="shared" ca="1" si="121"/>
        <v/>
      </c>
      <c r="AN280" s="181" t="str">
        <f t="shared" ca="1" si="122"/>
        <v/>
      </c>
      <c r="AO280" s="181" t="str">
        <f t="shared" ca="1" si="123"/>
        <v/>
      </c>
      <c r="AP280" s="181" t="str">
        <f t="shared" ca="1" si="124"/>
        <v/>
      </c>
    </row>
    <row r="281" spans="30:42">
      <c r="AD281" s="181" t="str">
        <f t="shared" ca="1" si="112"/>
        <v/>
      </c>
      <c r="AE281" s="181" t="str">
        <f t="shared" ca="1" si="113"/>
        <v/>
      </c>
      <c r="AF281" s="181" t="str">
        <f t="shared" ca="1" si="114"/>
        <v/>
      </c>
      <c r="AG281" s="181" t="str">
        <f t="shared" ca="1" si="115"/>
        <v/>
      </c>
      <c r="AH281" s="185" t="str">
        <f t="shared" ca="1" si="116"/>
        <v/>
      </c>
      <c r="AI281" s="181" t="str">
        <f t="shared" ca="1" si="117"/>
        <v/>
      </c>
      <c r="AJ281" s="181" t="str">
        <f t="shared" ca="1" si="118"/>
        <v/>
      </c>
      <c r="AK281" s="181" t="str">
        <f t="shared" ca="1" si="119"/>
        <v/>
      </c>
      <c r="AL281" s="181" t="str">
        <f t="shared" ca="1" si="120"/>
        <v/>
      </c>
      <c r="AM281" s="181" t="str">
        <f t="shared" ca="1" si="121"/>
        <v/>
      </c>
      <c r="AN281" s="181" t="str">
        <f t="shared" ca="1" si="122"/>
        <v/>
      </c>
      <c r="AO281" s="181" t="str">
        <f t="shared" ca="1" si="123"/>
        <v/>
      </c>
      <c r="AP281" s="181" t="str">
        <f t="shared" ca="1" si="124"/>
        <v/>
      </c>
    </row>
    <row r="282" spans="30:42">
      <c r="AD282" s="181" t="str">
        <f t="shared" ca="1" si="112"/>
        <v/>
      </c>
      <c r="AE282" s="181" t="str">
        <f t="shared" ca="1" si="113"/>
        <v/>
      </c>
      <c r="AF282" s="181" t="str">
        <f t="shared" ca="1" si="114"/>
        <v/>
      </c>
      <c r="AG282" s="181" t="str">
        <f t="shared" ca="1" si="115"/>
        <v/>
      </c>
      <c r="AH282" s="185" t="str">
        <f t="shared" ca="1" si="116"/>
        <v/>
      </c>
      <c r="AI282" s="181" t="str">
        <f t="shared" ca="1" si="117"/>
        <v/>
      </c>
      <c r="AJ282" s="181" t="str">
        <f t="shared" ca="1" si="118"/>
        <v/>
      </c>
      <c r="AK282" s="181" t="str">
        <f t="shared" ca="1" si="119"/>
        <v/>
      </c>
      <c r="AL282" s="181" t="str">
        <f t="shared" ca="1" si="120"/>
        <v/>
      </c>
      <c r="AM282" s="181" t="str">
        <f t="shared" ca="1" si="121"/>
        <v/>
      </c>
      <c r="AN282" s="181" t="str">
        <f t="shared" ca="1" si="122"/>
        <v/>
      </c>
      <c r="AO282" s="181" t="str">
        <f t="shared" ca="1" si="123"/>
        <v/>
      </c>
      <c r="AP282" s="181" t="str">
        <f t="shared" ca="1" si="124"/>
        <v/>
      </c>
    </row>
    <row r="283" spans="30:42">
      <c r="AD283" s="181" t="str">
        <f t="shared" ca="1" si="112"/>
        <v/>
      </c>
      <c r="AE283" s="181" t="str">
        <f t="shared" ca="1" si="113"/>
        <v/>
      </c>
      <c r="AF283" s="181" t="str">
        <f t="shared" ca="1" si="114"/>
        <v/>
      </c>
      <c r="AG283" s="181" t="str">
        <f t="shared" ca="1" si="115"/>
        <v/>
      </c>
      <c r="AH283" s="185" t="str">
        <f t="shared" ca="1" si="116"/>
        <v/>
      </c>
      <c r="AI283" s="181" t="str">
        <f t="shared" ca="1" si="117"/>
        <v/>
      </c>
      <c r="AJ283" s="181" t="str">
        <f t="shared" ca="1" si="118"/>
        <v/>
      </c>
      <c r="AK283" s="181" t="str">
        <f t="shared" ca="1" si="119"/>
        <v/>
      </c>
      <c r="AL283" s="181" t="str">
        <f t="shared" ca="1" si="120"/>
        <v/>
      </c>
      <c r="AM283" s="181" t="str">
        <f t="shared" ca="1" si="121"/>
        <v/>
      </c>
      <c r="AN283" s="181" t="str">
        <f t="shared" ca="1" si="122"/>
        <v/>
      </c>
      <c r="AO283" s="181" t="str">
        <f t="shared" ca="1" si="123"/>
        <v/>
      </c>
      <c r="AP283" s="181" t="str">
        <f t="shared" ca="1" si="124"/>
        <v/>
      </c>
    </row>
    <row r="284" spans="30:42">
      <c r="AD284" s="181" t="str">
        <f t="shared" ca="1" si="112"/>
        <v/>
      </c>
      <c r="AE284" s="181" t="str">
        <f t="shared" ca="1" si="113"/>
        <v/>
      </c>
      <c r="AF284" s="181" t="str">
        <f t="shared" ca="1" si="114"/>
        <v/>
      </c>
      <c r="AG284" s="181" t="str">
        <f t="shared" ca="1" si="115"/>
        <v/>
      </c>
      <c r="AH284" s="185" t="str">
        <f t="shared" ca="1" si="116"/>
        <v/>
      </c>
      <c r="AI284" s="181" t="str">
        <f t="shared" ca="1" si="117"/>
        <v/>
      </c>
      <c r="AJ284" s="181" t="str">
        <f t="shared" ca="1" si="118"/>
        <v/>
      </c>
      <c r="AK284" s="181" t="str">
        <f t="shared" ca="1" si="119"/>
        <v/>
      </c>
      <c r="AL284" s="181" t="str">
        <f t="shared" ca="1" si="120"/>
        <v/>
      </c>
      <c r="AM284" s="181" t="str">
        <f t="shared" ca="1" si="121"/>
        <v/>
      </c>
      <c r="AN284" s="181" t="str">
        <f t="shared" ca="1" si="122"/>
        <v/>
      </c>
      <c r="AO284" s="181" t="str">
        <f t="shared" ca="1" si="123"/>
        <v/>
      </c>
      <c r="AP284" s="181" t="str">
        <f t="shared" ca="1" si="124"/>
        <v/>
      </c>
    </row>
    <row r="285" spans="30:42">
      <c r="AD285" s="181" t="str">
        <f t="shared" ca="1" si="112"/>
        <v/>
      </c>
      <c r="AE285" s="181" t="str">
        <f t="shared" ca="1" si="113"/>
        <v/>
      </c>
      <c r="AF285" s="181" t="str">
        <f t="shared" ca="1" si="114"/>
        <v/>
      </c>
      <c r="AG285" s="181" t="str">
        <f t="shared" ca="1" si="115"/>
        <v/>
      </c>
      <c r="AH285" s="185" t="str">
        <f t="shared" ca="1" si="116"/>
        <v/>
      </c>
      <c r="AI285" s="181" t="str">
        <f t="shared" ca="1" si="117"/>
        <v/>
      </c>
      <c r="AJ285" s="181" t="str">
        <f t="shared" ca="1" si="118"/>
        <v/>
      </c>
      <c r="AK285" s="181" t="str">
        <f t="shared" ca="1" si="119"/>
        <v/>
      </c>
      <c r="AL285" s="181" t="str">
        <f t="shared" ca="1" si="120"/>
        <v/>
      </c>
      <c r="AM285" s="181" t="str">
        <f t="shared" ca="1" si="121"/>
        <v/>
      </c>
      <c r="AN285" s="181" t="str">
        <f t="shared" ca="1" si="122"/>
        <v/>
      </c>
      <c r="AO285" s="181" t="str">
        <f t="shared" ca="1" si="123"/>
        <v/>
      </c>
      <c r="AP285" s="181" t="str">
        <f t="shared" ca="1" si="124"/>
        <v/>
      </c>
    </row>
    <row r="286" spans="30:42">
      <c r="AD286" s="181" t="str">
        <f t="shared" ca="1" si="112"/>
        <v/>
      </c>
      <c r="AE286" s="181" t="str">
        <f t="shared" ca="1" si="113"/>
        <v/>
      </c>
      <c r="AF286" s="181" t="str">
        <f t="shared" ca="1" si="114"/>
        <v/>
      </c>
      <c r="AG286" s="181" t="str">
        <f t="shared" ca="1" si="115"/>
        <v/>
      </c>
      <c r="AH286" s="185" t="str">
        <f t="shared" ca="1" si="116"/>
        <v/>
      </c>
      <c r="AI286" s="181" t="str">
        <f t="shared" ca="1" si="117"/>
        <v/>
      </c>
      <c r="AJ286" s="181" t="str">
        <f t="shared" ca="1" si="118"/>
        <v/>
      </c>
      <c r="AK286" s="181" t="str">
        <f t="shared" ca="1" si="119"/>
        <v/>
      </c>
      <c r="AL286" s="181" t="str">
        <f t="shared" ca="1" si="120"/>
        <v/>
      </c>
      <c r="AM286" s="181" t="str">
        <f t="shared" ca="1" si="121"/>
        <v/>
      </c>
      <c r="AN286" s="181" t="str">
        <f t="shared" ca="1" si="122"/>
        <v/>
      </c>
      <c r="AO286" s="181" t="str">
        <f t="shared" ca="1" si="123"/>
        <v/>
      </c>
      <c r="AP286" s="181" t="str">
        <f t="shared" ca="1" si="124"/>
        <v/>
      </c>
    </row>
    <row r="287" spans="30:42">
      <c r="AD287" s="181" t="str">
        <f t="shared" ca="1" si="112"/>
        <v/>
      </c>
      <c r="AE287" s="181" t="str">
        <f t="shared" ca="1" si="113"/>
        <v/>
      </c>
      <c r="AF287" s="181" t="str">
        <f t="shared" ca="1" si="114"/>
        <v/>
      </c>
      <c r="AG287" s="181" t="str">
        <f t="shared" ca="1" si="115"/>
        <v/>
      </c>
      <c r="AH287" s="185" t="str">
        <f t="shared" ca="1" si="116"/>
        <v/>
      </c>
      <c r="AI287" s="181" t="str">
        <f t="shared" ca="1" si="117"/>
        <v/>
      </c>
      <c r="AJ287" s="181" t="str">
        <f t="shared" ca="1" si="118"/>
        <v/>
      </c>
      <c r="AK287" s="181" t="str">
        <f t="shared" ca="1" si="119"/>
        <v/>
      </c>
      <c r="AL287" s="181" t="str">
        <f t="shared" ca="1" si="120"/>
        <v/>
      </c>
      <c r="AM287" s="181" t="str">
        <f t="shared" ca="1" si="121"/>
        <v/>
      </c>
      <c r="AN287" s="181" t="str">
        <f t="shared" ca="1" si="122"/>
        <v/>
      </c>
      <c r="AO287" s="181" t="str">
        <f t="shared" ca="1" si="123"/>
        <v/>
      </c>
      <c r="AP287" s="181" t="str">
        <f t="shared" ca="1" si="124"/>
        <v/>
      </c>
    </row>
    <row r="288" spans="30:42">
      <c r="AD288" s="181" t="str">
        <f t="shared" ca="1" si="112"/>
        <v/>
      </c>
      <c r="AE288" s="181" t="str">
        <f t="shared" ca="1" si="113"/>
        <v/>
      </c>
      <c r="AF288" s="181" t="str">
        <f t="shared" ca="1" si="114"/>
        <v/>
      </c>
      <c r="AG288" s="181" t="str">
        <f t="shared" ca="1" si="115"/>
        <v/>
      </c>
      <c r="AH288" s="185" t="str">
        <f t="shared" ca="1" si="116"/>
        <v/>
      </c>
      <c r="AI288" s="181" t="str">
        <f t="shared" ca="1" si="117"/>
        <v/>
      </c>
      <c r="AJ288" s="181" t="str">
        <f t="shared" ca="1" si="118"/>
        <v/>
      </c>
      <c r="AK288" s="181" t="str">
        <f t="shared" ca="1" si="119"/>
        <v/>
      </c>
      <c r="AL288" s="181" t="str">
        <f t="shared" ca="1" si="120"/>
        <v/>
      </c>
      <c r="AM288" s="181" t="str">
        <f t="shared" ca="1" si="121"/>
        <v/>
      </c>
      <c r="AN288" s="181" t="str">
        <f t="shared" ca="1" si="122"/>
        <v/>
      </c>
      <c r="AO288" s="181" t="str">
        <f t="shared" ca="1" si="123"/>
        <v/>
      </c>
      <c r="AP288" s="181" t="str">
        <f t="shared" ca="1" si="124"/>
        <v/>
      </c>
    </row>
    <row r="289" spans="30:42">
      <c r="AD289" s="181" t="str">
        <f t="shared" ca="1" si="112"/>
        <v/>
      </c>
      <c r="AE289" s="181" t="str">
        <f t="shared" ca="1" si="113"/>
        <v/>
      </c>
      <c r="AF289" s="181" t="str">
        <f t="shared" ca="1" si="114"/>
        <v/>
      </c>
      <c r="AG289" s="181" t="str">
        <f t="shared" ca="1" si="115"/>
        <v/>
      </c>
      <c r="AH289" s="185" t="str">
        <f t="shared" ca="1" si="116"/>
        <v/>
      </c>
      <c r="AI289" s="181" t="str">
        <f t="shared" ca="1" si="117"/>
        <v/>
      </c>
      <c r="AJ289" s="181" t="str">
        <f t="shared" ca="1" si="118"/>
        <v/>
      </c>
      <c r="AK289" s="181" t="str">
        <f t="shared" ca="1" si="119"/>
        <v/>
      </c>
      <c r="AL289" s="181" t="str">
        <f t="shared" ca="1" si="120"/>
        <v/>
      </c>
      <c r="AM289" s="181" t="str">
        <f t="shared" ca="1" si="121"/>
        <v/>
      </c>
      <c r="AN289" s="181" t="str">
        <f t="shared" ca="1" si="122"/>
        <v/>
      </c>
      <c r="AO289" s="181" t="str">
        <f t="shared" ca="1" si="123"/>
        <v/>
      </c>
      <c r="AP289" s="181" t="str">
        <f t="shared" ca="1" si="124"/>
        <v/>
      </c>
    </row>
    <row r="290" spans="30:42">
      <c r="AD290" s="181" t="str">
        <f t="shared" ca="1" si="112"/>
        <v/>
      </c>
      <c r="AE290" s="181" t="str">
        <f t="shared" ca="1" si="113"/>
        <v/>
      </c>
      <c r="AF290" s="181" t="str">
        <f t="shared" ca="1" si="114"/>
        <v/>
      </c>
      <c r="AG290" s="181" t="str">
        <f t="shared" ca="1" si="115"/>
        <v/>
      </c>
      <c r="AH290" s="185" t="str">
        <f t="shared" ca="1" si="116"/>
        <v/>
      </c>
      <c r="AI290" s="181" t="str">
        <f t="shared" ca="1" si="117"/>
        <v/>
      </c>
      <c r="AJ290" s="181" t="str">
        <f t="shared" ca="1" si="118"/>
        <v/>
      </c>
      <c r="AK290" s="181" t="str">
        <f t="shared" ca="1" si="119"/>
        <v/>
      </c>
      <c r="AL290" s="181" t="str">
        <f t="shared" ca="1" si="120"/>
        <v/>
      </c>
      <c r="AM290" s="181" t="str">
        <f t="shared" ca="1" si="121"/>
        <v/>
      </c>
      <c r="AN290" s="181" t="str">
        <f t="shared" ca="1" si="122"/>
        <v/>
      </c>
      <c r="AO290" s="181" t="str">
        <f t="shared" ca="1" si="123"/>
        <v/>
      </c>
      <c r="AP290" s="181" t="str">
        <f t="shared" ca="1" si="124"/>
        <v/>
      </c>
    </row>
    <row r="291" spans="30:42">
      <c r="AD291" s="181" t="str">
        <f t="shared" ca="1" si="112"/>
        <v/>
      </c>
      <c r="AE291" s="181" t="str">
        <f t="shared" ca="1" si="113"/>
        <v/>
      </c>
      <c r="AF291" s="181" t="str">
        <f t="shared" ca="1" si="114"/>
        <v/>
      </c>
      <c r="AG291" s="181" t="str">
        <f t="shared" ca="1" si="115"/>
        <v/>
      </c>
      <c r="AH291" s="185" t="str">
        <f t="shared" ca="1" si="116"/>
        <v/>
      </c>
      <c r="AI291" s="181" t="str">
        <f t="shared" ca="1" si="117"/>
        <v/>
      </c>
      <c r="AJ291" s="181" t="str">
        <f t="shared" ca="1" si="118"/>
        <v/>
      </c>
      <c r="AK291" s="181" t="str">
        <f t="shared" ca="1" si="119"/>
        <v/>
      </c>
      <c r="AL291" s="181" t="str">
        <f t="shared" ca="1" si="120"/>
        <v/>
      </c>
      <c r="AM291" s="181" t="str">
        <f t="shared" ca="1" si="121"/>
        <v/>
      </c>
      <c r="AN291" s="181" t="str">
        <f t="shared" ca="1" si="122"/>
        <v/>
      </c>
      <c r="AO291" s="181" t="str">
        <f t="shared" ca="1" si="123"/>
        <v/>
      </c>
      <c r="AP291" s="181" t="str">
        <f t="shared" ca="1" si="124"/>
        <v/>
      </c>
    </row>
    <row r="292" spans="30:42">
      <c r="AD292" s="181" t="str">
        <f t="shared" ca="1" si="112"/>
        <v/>
      </c>
      <c r="AE292" s="181" t="str">
        <f t="shared" ca="1" si="113"/>
        <v/>
      </c>
      <c r="AF292" s="181" t="str">
        <f t="shared" ca="1" si="114"/>
        <v/>
      </c>
      <c r="AG292" s="181" t="str">
        <f t="shared" ca="1" si="115"/>
        <v/>
      </c>
      <c r="AH292" s="185" t="str">
        <f t="shared" ca="1" si="116"/>
        <v/>
      </c>
      <c r="AI292" s="181" t="str">
        <f t="shared" ca="1" si="117"/>
        <v/>
      </c>
      <c r="AJ292" s="181" t="str">
        <f t="shared" ca="1" si="118"/>
        <v/>
      </c>
      <c r="AK292" s="181" t="str">
        <f t="shared" ca="1" si="119"/>
        <v/>
      </c>
      <c r="AL292" s="181" t="str">
        <f t="shared" ca="1" si="120"/>
        <v/>
      </c>
      <c r="AM292" s="181" t="str">
        <f t="shared" ca="1" si="121"/>
        <v/>
      </c>
      <c r="AN292" s="181" t="str">
        <f t="shared" ca="1" si="122"/>
        <v/>
      </c>
      <c r="AO292" s="181" t="str">
        <f t="shared" ca="1" si="123"/>
        <v/>
      </c>
      <c r="AP292" s="181" t="str">
        <f t="shared" ca="1" si="124"/>
        <v/>
      </c>
    </row>
    <row r="293" spans="30:42">
      <c r="AD293" s="181" t="str">
        <f t="shared" ca="1" si="112"/>
        <v/>
      </c>
      <c r="AE293" s="181" t="str">
        <f t="shared" ca="1" si="113"/>
        <v/>
      </c>
      <c r="AF293" s="181" t="str">
        <f t="shared" ca="1" si="114"/>
        <v/>
      </c>
      <c r="AG293" s="181" t="str">
        <f t="shared" ca="1" si="115"/>
        <v/>
      </c>
      <c r="AH293" s="185" t="str">
        <f t="shared" ca="1" si="116"/>
        <v/>
      </c>
      <c r="AI293" s="181" t="str">
        <f t="shared" ca="1" si="117"/>
        <v/>
      </c>
      <c r="AJ293" s="181" t="str">
        <f t="shared" ca="1" si="118"/>
        <v/>
      </c>
      <c r="AK293" s="181" t="str">
        <f t="shared" ca="1" si="119"/>
        <v/>
      </c>
      <c r="AL293" s="181" t="str">
        <f t="shared" ca="1" si="120"/>
        <v/>
      </c>
      <c r="AM293" s="181" t="str">
        <f t="shared" ca="1" si="121"/>
        <v/>
      </c>
      <c r="AN293" s="181" t="str">
        <f t="shared" ca="1" si="122"/>
        <v/>
      </c>
      <c r="AO293" s="181" t="str">
        <f t="shared" ca="1" si="123"/>
        <v/>
      </c>
      <c r="AP293" s="181" t="str">
        <f t="shared" ca="1" si="124"/>
        <v/>
      </c>
    </row>
    <row r="294" spans="30:42">
      <c r="AD294" s="181" t="str">
        <f t="shared" ca="1" si="112"/>
        <v/>
      </c>
      <c r="AE294" s="181" t="str">
        <f t="shared" ca="1" si="113"/>
        <v/>
      </c>
      <c r="AF294" s="181" t="str">
        <f t="shared" ca="1" si="114"/>
        <v/>
      </c>
      <c r="AG294" s="181" t="str">
        <f t="shared" ca="1" si="115"/>
        <v/>
      </c>
      <c r="AH294" s="185" t="str">
        <f t="shared" ca="1" si="116"/>
        <v/>
      </c>
      <c r="AI294" s="181" t="str">
        <f t="shared" ca="1" si="117"/>
        <v/>
      </c>
      <c r="AJ294" s="181" t="str">
        <f t="shared" ca="1" si="118"/>
        <v/>
      </c>
      <c r="AK294" s="181" t="str">
        <f t="shared" ca="1" si="119"/>
        <v/>
      </c>
      <c r="AL294" s="181" t="str">
        <f t="shared" ca="1" si="120"/>
        <v/>
      </c>
      <c r="AM294" s="181" t="str">
        <f t="shared" ca="1" si="121"/>
        <v/>
      </c>
      <c r="AN294" s="181" t="str">
        <f t="shared" ca="1" si="122"/>
        <v/>
      </c>
      <c r="AO294" s="181" t="str">
        <f t="shared" ca="1" si="123"/>
        <v/>
      </c>
      <c r="AP294" s="181" t="str">
        <f t="shared" ca="1" si="124"/>
        <v/>
      </c>
    </row>
    <row r="295" spans="30:42">
      <c r="AD295" s="181" t="str">
        <f t="shared" ca="1" si="112"/>
        <v/>
      </c>
      <c r="AE295" s="181" t="str">
        <f t="shared" ca="1" si="113"/>
        <v/>
      </c>
      <c r="AF295" s="181" t="str">
        <f t="shared" ca="1" si="114"/>
        <v/>
      </c>
      <c r="AG295" s="181" t="str">
        <f t="shared" ca="1" si="115"/>
        <v/>
      </c>
      <c r="AH295" s="185" t="str">
        <f t="shared" ca="1" si="116"/>
        <v/>
      </c>
      <c r="AI295" s="181" t="str">
        <f t="shared" ca="1" si="117"/>
        <v/>
      </c>
      <c r="AJ295" s="181" t="str">
        <f t="shared" ca="1" si="118"/>
        <v/>
      </c>
      <c r="AK295" s="181" t="str">
        <f t="shared" ca="1" si="119"/>
        <v/>
      </c>
      <c r="AL295" s="181" t="str">
        <f t="shared" ca="1" si="120"/>
        <v/>
      </c>
      <c r="AM295" s="181" t="str">
        <f t="shared" ca="1" si="121"/>
        <v/>
      </c>
      <c r="AN295" s="181" t="str">
        <f t="shared" ca="1" si="122"/>
        <v/>
      </c>
      <c r="AO295" s="181" t="str">
        <f t="shared" ca="1" si="123"/>
        <v/>
      </c>
      <c r="AP295" s="181" t="str">
        <f t="shared" ca="1" si="124"/>
        <v/>
      </c>
    </row>
    <row r="296" spans="30:42">
      <c r="AD296" s="181" t="str">
        <f t="shared" ca="1" si="112"/>
        <v/>
      </c>
      <c r="AE296" s="181" t="str">
        <f t="shared" ca="1" si="113"/>
        <v/>
      </c>
      <c r="AF296" s="181" t="str">
        <f t="shared" ca="1" si="114"/>
        <v/>
      </c>
      <c r="AG296" s="181" t="str">
        <f t="shared" ca="1" si="115"/>
        <v/>
      </c>
      <c r="AH296" s="185" t="str">
        <f t="shared" ca="1" si="116"/>
        <v/>
      </c>
      <c r="AI296" s="181" t="str">
        <f t="shared" ca="1" si="117"/>
        <v/>
      </c>
      <c r="AJ296" s="181" t="str">
        <f t="shared" ca="1" si="118"/>
        <v/>
      </c>
      <c r="AK296" s="181" t="str">
        <f t="shared" ca="1" si="119"/>
        <v/>
      </c>
      <c r="AL296" s="181" t="str">
        <f t="shared" ca="1" si="120"/>
        <v/>
      </c>
      <c r="AM296" s="181" t="str">
        <f t="shared" ca="1" si="121"/>
        <v/>
      </c>
      <c r="AN296" s="181" t="str">
        <f t="shared" ca="1" si="122"/>
        <v/>
      </c>
      <c r="AO296" s="181" t="str">
        <f t="shared" ca="1" si="123"/>
        <v/>
      </c>
      <c r="AP296" s="181" t="str">
        <f t="shared" ca="1" si="124"/>
        <v/>
      </c>
    </row>
    <row r="297" spans="30:42">
      <c r="AD297" s="181" t="str">
        <f t="shared" ca="1" si="112"/>
        <v/>
      </c>
      <c r="AE297" s="181" t="str">
        <f t="shared" ca="1" si="113"/>
        <v/>
      </c>
      <c r="AF297" s="181" t="str">
        <f t="shared" ca="1" si="114"/>
        <v/>
      </c>
      <c r="AG297" s="181" t="str">
        <f t="shared" ca="1" si="115"/>
        <v/>
      </c>
      <c r="AH297" s="185" t="str">
        <f t="shared" ca="1" si="116"/>
        <v/>
      </c>
      <c r="AI297" s="181" t="str">
        <f t="shared" ca="1" si="117"/>
        <v/>
      </c>
      <c r="AJ297" s="181" t="str">
        <f t="shared" ca="1" si="118"/>
        <v/>
      </c>
      <c r="AK297" s="181" t="str">
        <f t="shared" ca="1" si="119"/>
        <v/>
      </c>
      <c r="AL297" s="181" t="str">
        <f t="shared" ca="1" si="120"/>
        <v/>
      </c>
      <c r="AM297" s="181" t="str">
        <f t="shared" ca="1" si="121"/>
        <v/>
      </c>
      <c r="AN297" s="181" t="str">
        <f t="shared" ca="1" si="122"/>
        <v/>
      </c>
      <c r="AO297" s="181" t="str">
        <f t="shared" ca="1" si="123"/>
        <v/>
      </c>
      <c r="AP297" s="181" t="str">
        <f t="shared" ca="1" si="124"/>
        <v/>
      </c>
    </row>
    <row r="298" spans="30:42">
      <c r="AD298" s="181" t="str">
        <f t="shared" ca="1" si="112"/>
        <v/>
      </c>
      <c r="AE298" s="181" t="str">
        <f t="shared" ca="1" si="113"/>
        <v/>
      </c>
      <c r="AF298" s="181" t="str">
        <f t="shared" ca="1" si="114"/>
        <v/>
      </c>
      <c r="AG298" s="181" t="str">
        <f t="shared" ca="1" si="115"/>
        <v/>
      </c>
      <c r="AH298" s="185" t="str">
        <f t="shared" ca="1" si="116"/>
        <v/>
      </c>
      <c r="AI298" s="181" t="str">
        <f t="shared" ca="1" si="117"/>
        <v/>
      </c>
      <c r="AJ298" s="181" t="str">
        <f t="shared" ca="1" si="118"/>
        <v/>
      </c>
      <c r="AK298" s="181" t="str">
        <f t="shared" ca="1" si="119"/>
        <v/>
      </c>
      <c r="AL298" s="181" t="str">
        <f t="shared" ca="1" si="120"/>
        <v/>
      </c>
      <c r="AM298" s="181" t="str">
        <f t="shared" ca="1" si="121"/>
        <v/>
      </c>
      <c r="AN298" s="181" t="str">
        <f t="shared" ca="1" si="122"/>
        <v/>
      </c>
      <c r="AO298" s="181" t="str">
        <f t="shared" ca="1" si="123"/>
        <v/>
      </c>
      <c r="AP298" s="181" t="str">
        <f t="shared" ca="1" si="124"/>
        <v/>
      </c>
    </row>
    <row r="299" spans="30:42">
      <c r="AD299" s="181" t="str">
        <f t="shared" ca="1" si="112"/>
        <v/>
      </c>
      <c r="AE299" s="181" t="str">
        <f t="shared" ca="1" si="113"/>
        <v/>
      </c>
      <c r="AF299" s="181" t="str">
        <f t="shared" ca="1" si="114"/>
        <v/>
      </c>
      <c r="AG299" s="181" t="str">
        <f t="shared" ca="1" si="115"/>
        <v/>
      </c>
      <c r="AH299" s="185" t="str">
        <f t="shared" ca="1" si="116"/>
        <v/>
      </c>
      <c r="AI299" s="181" t="str">
        <f t="shared" ca="1" si="117"/>
        <v/>
      </c>
      <c r="AJ299" s="181" t="str">
        <f t="shared" ca="1" si="118"/>
        <v/>
      </c>
      <c r="AK299" s="181" t="str">
        <f t="shared" ca="1" si="119"/>
        <v/>
      </c>
      <c r="AL299" s="181" t="str">
        <f t="shared" ca="1" si="120"/>
        <v/>
      </c>
      <c r="AM299" s="181" t="str">
        <f t="shared" ca="1" si="121"/>
        <v/>
      </c>
      <c r="AN299" s="181" t="str">
        <f t="shared" ca="1" si="122"/>
        <v/>
      </c>
      <c r="AO299" s="181" t="str">
        <f t="shared" ca="1" si="123"/>
        <v/>
      </c>
      <c r="AP299" s="181" t="str">
        <f t="shared" ca="1" si="124"/>
        <v/>
      </c>
    </row>
    <row r="300" spans="30:42">
      <c r="AD300" s="181" t="str">
        <f t="shared" ca="1" si="112"/>
        <v/>
      </c>
      <c r="AE300" s="181" t="str">
        <f t="shared" ca="1" si="113"/>
        <v/>
      </c>
      <c r="AF300" s="181" t="str">
        <f t="shared" ca="1" si="114"/>
        <v/>
      </c>
      <c r="AG300" s="181" t="str">
        <f t="shared" ca="1" si="115"/>
        <v/>
      </c>
      <c r="AH300" s="185" t="str">
        <f t="shared" ca="1" si="116"/>
        <v/>
      </c>
      <c r="AI300" s="181" t="str">
        <f t="shared" ca="1" si="117"/>
        <v/>
      </c>
      <c r="AJ300" s="181" t="str">
        <f t="shared" ca="1" si="118"/>
        <v/>
      </c>
      <c r="AK300" s="181" t="str">
        <f t="shared" ca="1" si="119"/>
        <v/>
      </c>
      <c r="AL300" s="181" t="str">
        <f t="shared" ca="1" si="120"/>
        <v/>
      </c>
      <c r="AM300" s="181" t="str">
        <f t="shared" ca="1" si="121"/>
        <v/>
      </c>
      <c r="AN300" s="181" t="str">
        <f t="shared" ca="1" si="122"/>
        <v/>
      </c>
      <c r="AO300" s="181" t="str">
        <f t="shared" ca="1" si="123"/>
        <v/>
      </c>
      <c r="AP300" s="181" t="str">
        <f t="shared" ca="1" si="124"/>
        <v/>
      </c>
    </row>
    <row r="301" spans="30:42">
      <c r="AD301" s="181" t="str">
        <f t="shared" ca="1" si="112"/>
        <v/>
      </c>
      <c r="AE301" s="181" t="str">
        <f t="shared" ca="1" si="113"/>
        <v/>
      </c>
      <c r="AF301" s="181" t="str">
        <f t="shared" ca="1" si="114"/>
        <v/>
      </c>
      <c r="AG301" s="181" t="str">
        <f t="shared" ca="1" si="115"/>
        <v/>
      </c>
      <c r="AH301" s="185" t="str">
        <f t="shared" ca="1" si="116"/>
        <v/>
      </c>
      <c r="AI301" s="181" t="str">
        <f t="shared" ca="1" si="117"/>
        <v/>
      </c>
      <c r="AJ301" s="181" t="str">
        <f t="shared" ca="1" si="118"/>
        <v/>
      </c>
      <c r="AK301" s="181" t="str">
        <f t="shared" ca="1" si="119"/>
        <v/>
      </c>
      <c r="AL301" s="181" t="str">
        <f t="shared" ca="1" si="120"/>
        <v/>
      </c>
      <c r="AM301" s="181" t="str">
        <f t="shared" ca="1" si="121"/>
        <v/>
      </c>
      <c r="AN301" s="181" t="str">
        <f t="shared" ca="1" si="122"/>
        <v/>
      </c>
      <c r="AO301" s="181" t="str">
        <f t="shared" ca="1" si="123"/>
        <v/>
      </c>
      <c r="AP301" s="181" t="str">
        <f t="shared" ca="1" si="124"/>
        <v/>
      </c>
    </row>
    <row r="302" spans="30:42">
      <c r="AD302" s="181" t="str">
        <f t="shared" ref="AD302:AD333" ca="1" si="125">IFERROR(INDEX(AC:AC,MATCH(SMALL($AU:$AU,ROW()+3),$AU:$AU,0)),"")</f>
        <v/>
      </c>
      <c r="AE302" s="181" t="str">
        <f t="shared" ref="AE302:AE333" ca="1" si="126">IFERROR(INDEX(R:R,MATCH(SMALL($AU:$AU,ROW()+3),$AU:$AU,0)),"")</f>
        <v/>
      </c>
      <c r="AF302" s="181" t="str">
        <f t="shared" ref="AF302:AF333" ca="1" si="127">IFERROR(INDEX(S:S,MATCH(SMALL($AU:$AU,ROW()+3),$AU:$AU,0)),"")</f>
        <v/>
      </c>
      <c r="AG302" s="181" t="str">
        <f t="shared" ref="AG302:AG333" ca="1" si="128">IFERROR(INDEX(T:T,MATCH(SMALL($AU:$AU,ROW()+3),$AU:$AU,0)),"")</f>
        <v/>
      </c>
      <c r="AH302" s="185" t="str">
        <f t="shared" ref="AH302:AH333" ca="1" si="129">IFERROR(INDEX(U:U,MATCH(SMALL($AU:$AU,ROW()+3),$AU:$AU,0)),"")</f>
        <v/>
      </c>
      <c r="AI302" s="181" t="str">
        <f t="shared" ref="AI302:AI333" ca="1" si="130">IFERROR(INDEX(V:V,MATCH(SMALL($AU:$AU,ROW()+3),$AU:$AU,0)),"")</f>
        <v/>
      </c>
      <c r="AJ302" s="181" t="str">
        <f t="shared" ref="AJ302:AJ333" ca="1" si="131">IFERROR(INDEX(W:W,MATCH(SMALL($AU:$AU,ROW()+3),$AU:$AU,0)),"")</f>
        <v/>
      </c>
      <c r="AK302" s="181" t="str">
        <f t="shared" ref="AK302:AK333" ca="1" si="132">IFERROR(INDEX(X:X,MATCH(SMALL($AU:$AU,ROW()+3),$AU:$AU,0)),"")</f>
        <v/>
      </c>
      <c r="AL302" s="181" t="str">
        <f t="shared" ref="AL302:AL333" ca="1" si="133">IFERROR(INDEX(Y:Y,MATCH(SMALL($AU:$AU,ROW()+3),$AU:$AU,0)),"")</f>
        <v/>
      </c>
      <c r="AM302" s="181" t="str">
        <f t="shared" ref="AM302:AM333" ca="1" si="134">IFERROR(INDEX(Z:Z,MATCH(SMALL($AU:$AU,ROW()+3),$AU:$AU,0)),"")</f>
        <v/>
      </c>
      <c r="AN302" s="181" t="str">
        <f t="shared" ref="AN302:AN333" ca="1" si="135">IFERROR(INDEX(AA:AA,MATCH(SMALL($AU:$AU,ROW()+3),$AU:$AU,0)),"")</f>
        <v/>
      </c>
      <c r="AO302" s="181" t="str">
        <f t="shared" ref="AO302:AO333" ca="1" si="136">IFERROR(INDEX(AB:AB,MATCH(SMALL($AU:$AU,ROW()+3),$AU:$AU,0)),"")</f>
        <v/>
      </c>
      <c r="AP302" s="181" t="str">
        <f t="shared" ref="AP302:AP333" ca="1" si="137">IFERROR(INDEX(AC:AC,MATCH(SMALL($AU:$AU,ROW()+3),$AU:$AU,0)),"")</f>
        <v/>
      </c>
    </row>
    <row r="303" spans="30:42">
      <c r="AD303" s="181" t="str">
        <f t="shared" ca="1" si="125"/>
        <v/>
      </c>
      <c r="AE303" s="181" t="str">
        <f t="shared" ca="1" si="126"/>
        <v/>
      </c>
      <c r="AF303" s="181" t="str">
        <f t="shared" ca="1" si="127"/>
        <v/>
      </c>
      <c r="AG303" s="181" t="str">
        <f t="shared" ca="1" si="128"/>
        <v/>
      </c>
      <c r="AH303" s="185" t="str">
        <f t="shared" ca="1" si="129"/>
        <v/>
      </c>
      <c r="AI303" s="181" t="str">
        <f t="shared" ca="1" si="130"/>
        <v/>
      </c>
      <c r="AJ303" s="181" t="str">
        <f t="shared" ca="1" si="131"/>
        <v/>
      </c>
      <c r="AK303" s="181" t="str">
        <f t="shared" ca="1" si="132"/>
        <v/>
      </c>
      <c r="AL303" s="181" t="str">
        <f t="shared" ca="1" si="133"/>
        <v/>
      </c>
      <c r="AM303" s="181" t="str">
        <f t="shared" ca="1" si="134"/>
        <v/>
      </c>
      <c r="AN303" s="181" t="str">
        <f t="shared" ca="1" si="135"/>
        <v/>
      </c>
      <c r="AO303" s="181" t="str">
        <f t="shared" ca="1" si="136"/>
        <v/>
      </c>
      <c r="AP303" s="181" t="str">
        <f t="shared" ca="1" si="137"/>
        <v/>
      </c>
    </row>
    <row r="304" spans="30:42">
      <c r="AD304" s="181" t="str">
        <f t="shared" ca="1" si="125"/>
        <v/>
      </c>
      <c r="AE304" s="181" t="str">
        <f t="shared" ca="1" si="126"/>
        <v/>
      </c>
      <c r="AF304" s="181" t="str">
        <f t="shared" ca="1" si="127"/>
        <v/>
      </c>
      <c r="AG304" s="181" t="str">
        <f t="shared" ca="1" si="128"/>
        <v/>
      </c>
      <c r="AH304" s="185" t="str">
        <f t="shared" ca="1" si="129"/>
        <v/>
      </c>
      <c r="AI304" s="181" t="str">
        <f t="shared" ca="1" si="130"/>
        <v/>
      </c>
      <c r="AJ304" s="181" t="str">
        <f t="shared" ca="1" si="131"/>
        <v/>
      </c>
      <c r="AK304" s="181" t="str">
        <f t="shared" ca="1" si="132"/>
        <v/>
      </c>
      <c r="AL304" s="181" t="str">
        <f t="shared" ca="1" si="133"/>
        <v/>
      </c>
      <c r="AM304" s="181" t="str">
        <f t="shared" ca="1" si="134"/>
        <v/>
      </c>
      <c r="AN304" s="181" t="str">
        <f t="shared" ca="1" si="135"/>
        <v/>
      </c>
      <c r="AO304" s="181" t="str">
        <f t="shared" ca="1" si="136"/>
        <v/>
      </c>
      <c r="AP304" s="181" t="str">
        <f t="shared" ca="1" si="137"/>
        <v/>
      </c>
    </row>
    <row r="305" spans="30:42">
      <c r="AD305" s="181" t="str">
        <f t="shared" ca="1" si="125"/>
        <v/>
      </c>
      <c r="AE305" s="181" t="str">
        <f t="shared" ca="1" si="126"/>
        <v/>
      </c>
      <c r="AF305" s="181" t="str">
        <f t="shared" ca="1" si="127"/>
        <v/>
      </c>
      <c r="AG305" s="181" t="str">
        <f t="shared" ca="1" si="128"/>
        <v/>
      </c>
      <c r="AH305" s="185" t="str">
        <f t="shared" ca="1" si="129"/>
        <v/>
      </c>
      <c r="AI305" s="181" t="str">
        <f t="shared" ca="1" si="130"/>
        <v/>
      </c>
      <c r="AJ305" s="181" t="str">
        <f t="shared" ca="1" si="131"/>
        <v/>
      </c>
      <c r="AK305" s="181" t="str">
        <f t="shared" ca="1" si="132"/>
        <v/>
      </c>
      <c r="AL305" s="181" t="str">
        <f t="shared" ca="1" si="133"/>
        <v/>
      </c>
      <c r="AM305" s="181" t="str">
        <f t="shared" ca="1" si="134"/>
        <v/>
      </c>
      <c r="AN305" s="181" t="str">
        <f t="shared" ca="1" si="135"/>
        <v/>
      </c>
      <c r="AO305" s="181" t="str">
        <f t="shared" ca="1" si="136"/>
        <v/>
      </c>
      <c r="AP305" s="181" t="str">
        <f t="shared" ca="1" si="137"/>
        <v/>
      </c>
    </row>
    <row r="306" spans="30:42">
      <c r="AD306" s="181" t="str">
        <f t="shared" ca="1" si="125"/>
        <v/>
      </c>
      <c r="AE306" s="181" t="str">
        <f t="shared" ca="1" si="126"/>
        <v/>
      </c>
      <c r="AF306" s="181" t="str">
        <f t="shared" ca="1" si="127"/>
        <v/>
      </c>
      <c r="AG306" s="181" t="str">
        <f t="shared" ca="1" si="128"/>
        <v/>
      </c>
      <c r="AH306" s="185" t="str">
        <f t="shared" ca="1" si="129"/>
        <v/>
      </c>
      <c r="AI306" s="181" t="str">
        <f t="shared" ca="1" si="130"/>
        <v/>
      </c>
      <c r="AJ306" s="181" t="str">
        <f t="shared" ca="1" si="131"/>
        <v/>
      </c>
      <c r="AK306" s="181" t="str">
        <f t="shared" ca="1" si="132"/>
        <v/>
      </c>
      <c r="AL306" s="181" t="str">
        <f t="shared" ca="1" si="133"/>
        <v/>
      </c>
      <c r="AM306" s="181" t="str">
        <f t="shared" ca="1" si="134"/>
        <v/>
      </c>
      <c r="AN306" s="181" t="str">
        <f t="shared" ca="1" si="135"/>
        <v/>
      </c>
      <c r="AO306" s="181" t="str">
        <f t="shared" ca="1" si="136"/>
        <v/>
      </c>
      <c r="AP306" s="181" t="str">
        <f t="shared" ca="1" si="137"/>
        <v/>
      </c>
    </row>
    <row r="307" spans="30:42">
      <c r="AD307" s="181" t="str">
        <f t="shared" ca="1" si="125"/>
        <v/>
      </c>
      <c r="AE307" s="181" t="str">
        <f t="shared" ca="1" si="126"/>
        <v/>
      </c>
      <c r="AF307" s="181" t="str">
        <f t="shared" ca="1" si="127"/>
        <v/>
      </c>
      <c r="AG307" s="181" t="str">
        <f t="shared" ca="1" si="128"/>
        <v/>
      </c>
      <c r="AH307" s="185" t="str">
        <f t="shared" ca="1" si="129"/>
        <v/>
      </c>
      <c r="AI307" s="181" t="str">
        <f t="shared" ca="1" si="130"/>
        <v/>
      </c>
      <c r="AJ307" s="181" t="str">
        <f t="shared" ca="1" si="131"/>
        <v/>
      </c>
      <c r="AK307" s="181" t="str">
        <f t="shared" ca="1" si="132"/>
        <v/>
      </c>
      <c r="AL307" s="181" t="str">
        <f t="shared" ca="1" si="133"/>
        <v/>
      </c>
      <c r="AM307" s="181" t="str">
        <f t="shared" ca="1" si="134"/>
        <v/>
      </c>
      <c r="AN307" s="181" t="str">
        <f t="shared" ca="1" si="135"/>
        <v/>
      </c>
      <c r="AO307" s="181" t="str">
        <f t="shared" ca="1" si="136"/>
        <v/>
      </c>
      <c r="AP307" s="181" t="str">
        <f t="shared" ca="1" si="137"/>
        <v/>
      </c>
    </row>
    <row r="308" spans="30:42">
      <c r="AD308" s="181" t="str">
        <f t="shared" ca="1" si="125"/>
        <v/>
      </c>
      <c r="AE308" s="181" t="str">
        <f t="shared" ca="1" si="126"/>
        <v/>
      </c>
      <c r="AF308" s="181" t="str">
        <f t="shared" ca="1" si="127"/>
        <v/>
      </c>
      <c r="AG308" s="181" t="str">
        <f t="shared" ca="1" si="128"/>
        <v/>
      </c>
      <c r="AH308" s="185" t="str">
        <f t="shared" ca="1" si="129"/>
        <v/>
      </c>
      <c r="AI308" s="181" t="str">
        <f t="shared" ca="1" si="130"/>
        <v/>
      </c>
      <c r="AJ308" s="181" t="str">
        <f t="shared" ca="1" si="131"/>
        <v/>
      </c>
      <c r="AK308" s="181" t="str">
        <f t="shared" ca="1" si="132"/>
        <v/>
      </c>
      <c r="AL308" s="181" t="str">
        <f t="shared" ca="1" si="133"/>
        <v/>
      </c>
      <c r="AM308" s="181" t="str">
        <f t="shared" ca="1" si="134"/>
        <v/>
      </c>
      <c r="AN308" s="181" t="str">
        <f t="shared" ca="1" si="135"/>
        <v/>
      </c>
      <c r="AO308" s="181" t="str">
        <f t="shared" ca="1" si="136"/>
        <v/>
      </c>
      <c r="AP308" s="181" t="str">
        <f t="shared" ca="1" si="137"/>
        <v/>
      </c>
    </row>
    <row r="309" spans="30:42">
      <c r="AD309" s="181" t="str">
        <f t="shared" ca="1" si="125"/>
        <v/>
      </c>
      <c r="AE309" s="181" t="str">
        <f t="shared" ca="1" si="126"/>
        <v/>
      </c>
      <c r="AF309" s="181" t="str">
        <f t="shared" ca="1" si="127"/>
        <v/>
      </c>
      <c r="AG309" s="181" t="str">
        <f t="shared" ca="1" si="128"/>
        <v/>
      </c>
      <c r="AH309" s="185" t="str">
        <f t="shared" ca="1" si="129"/>
        <v/>
      </c>
      <c r="AI309" s="181" t="str">
        <f t="shared" ca="1" si="130"/>
        <v/>
      </c>
      <c r="AJ309" s="181" t="str">
        <f t="shared" ca="1" si="131"/>
        <v/>
      </c>
      <c r="AK309" s="181" t="str">
        <f t="shared" ca="1" si="132"/>
        <v/>
      </c>
      <c r="AL309" s="181" t="str">
        <f t="shared" ca="1" si="133"/>
        <v/>
      </c>
      <c r="AM309" s="181" t="str">
        <f t="shared" ca="1" si="134"/>
        <v/>
      </c>
      <c r="AN309" s="181" t="str">
        <f t="shared" ca="1" si="135"/>
        <v/>
      </c>
      <c r="AO309" s="181" t="str">
        <f t="shared" ca="1" si="136"/>
        <v/>
      </c>
      <c r="AP309" s="181" t="str">
        <f t="shared" ca="1" si="137"/>
        <v/>
      </c>
    </row>
    <row r="310" spans="30:42">
      <c r="AD310" s="181" t="str">
        <f t="shared" ca="1" si="125"/>
        <v/>
      </c>
      <c r="AE310" s="181" t="str">
        <f t="shared" ca="1" si="126"/>
        <v/>
      </c>
      <c r="AF310" s="181" t="str">
        <f t="shared" ca="1" si="127"/>
        <v/>
      </c>
      <c r="AG310" s="181" t="str">
        <f t="shared" ca="1" si="128"/>
        <v/>
      </c>
      <c r="AH310" s="185" t="str">
        <f t="shared" ca="1" si="129"/>
        <v/>
      </c>
      <c r="AI310" s="181" t="str">
        <f t="shared" ca="1" si="130"/>
        <v/>
      </c>
      <c r="AJ310" s="181" t="str">
        <f t="shared" ca="1" si="131"/>
        <v/>
      </c>
      <c r="AK310" s="181" t="str">
        <f t="shared" ca="1" si="132"/>
        <v/>
      </c>
      <c r="AL310" s="181" t="str">
        <f t="shared" ca="1" si="133"/>
        <v/>
      </c>
      <c r="AM310" s="181" t="str">
        <f t="shared" ca="1" si="134"/>
        <v/>
      </c>
      <c r="AN310" s="181" t="str">
        <f t="shared" ca="1" si="135"/>
        <v/>
      </c>
      <c r="AO310" s="181" t="str">
        <f t="shared" ca="1" si="136"/>
        <v/>
      </c>
      <c r="AP310" s="181" t="str">
        <f t="shared" ca="1" si="137"/>
        <v/>
      </c>
    </row>
    <row r="311" spans="30:42">
      <c r="AD311" s="181" t="str">
        <f t="shared" ca="1" si="125"/>
        <v/>
      </c>
      <c r="AE311" s="181" t="str">
        <f t="shared" ca="1" si="126"/>
        <v/>
      </c>
      <c r="AF311" s="181" t="str">
        <f t="shared" ca="1" si="127"/>
        <v/>
      </c>
      <c r="AG311" s="181" t="str">
        <f t="shared" ca="1" si="128"/>
        <v/>
      </c>
      <c r="AH311" s="185" t="str">
        <f t="shared" ca="1" si="129"/>
        <v/>
      </c>
      <c r="AI311" s="181" t="str">
        <f t="shared" ca="1" si="130"/>
        <v/>
      </c>
      <c r="AJ311" s="181" t="str">
        <f t="shared" ca="1" si="131"/>
        <v/>
      </c>
      <c r="AK311" s="181" t="str">
        <f t="shared" ca="1" si="132"/>
        <v/>
      </c>
      <c r="AL311" s="181" t="str">
        <f t="shared" ca="1" si="133"/>
        <v/>
      </c>
      <c r="AM311" s="181" t="str">
        <f t="shared" ca="1" si="134"/>
        <v/>
      </c>
      <c r="AN311" s="181" t="str">
        <f t="shared" ca="1" si="135"/>
        <v/>
      </c>
      <c r="AO311" s="181" t="str">
        <f t="shared" ca="1" si="136"/>
        <v/>
      </c>
      <c r="AP311" s="181" t="str">
        <f t="shared" ca="1" si="137"/>
        <v/>
      </c>
    </row>
    <row r="312" spans="30:42">
      <c r="AD312" s="181" t="str">
        <f t="shared" ca="1" si="125"/>
        <v/>
      </c>
      <c r="AE312" s="181" t="str">
        <f t="shared" ca="1" si="126"/>
        <v/>
      </c>
      <c r="AF312" s="181" t="str">
        <f t="shared" ca="1" si="127"/>
        <v/>
      </c>
      <c r="AG312" s="181" t="str">
        <f t="shared" ca="1" si="128"/>
        <v/>
      </c>
      <c r="AH312" s="185" t="str">
        <f t="shared" ca="1" si="129"/>
        <v/>
      </c>
      <c r="AI312" s="181" t="str">
        <f t="shared" ca="1" si="130"/>
        <v/>
      </c>
      <c r="AJ312" s="181" t="str">
        <f t="shared" ca="1" si="131"/>
        <v/>
      </c>
      <c r="AK312" s="181" t="str">
        <f t="shared" ca="1" si="132"/>
        <v/>
      </c>
      <c r="AL312" s="181" t="str">
        <f t="shared" ca="1" si="133"/>
        <v/>
      </c>
      <c r="AM312" s="181" t="str">
        <f t="shared" ca="1" si="134"/>
        <v/>
      </c>
      <c r="AN312" s="181" t="str">
        <f t="shared" ca="1" si="135"/>
        <v/>
      </c>
      <c r="AO312" s="181" t="str">
        <f t="shared" ca="1" si="136"/>
        <v/>
      </c>
      <c r="AP312" s="181" t="str">
        <f t="shared" ca="1" si="137"/>
        <v/>
      </c>
    </row>
    <row r="313" spans="30:42">
      <c r="AD313" s="181" t="str">
        <f t="shared" ca="1" si="125"/>
        <v/>
      </c>
      <c r="AE313" s="181" t="str">
        <f t="shared" ca="1" si="126"/>
        <v/>
      </c>
      <c r="AF313" s="181" t="str">
        <f t="shared" ca="1" si="127"/>
        <v/>
      </c>
      <c r="AG313" s="181" t="str">
        <f t="shared" ca="1" si="128"/>
        <v/>
      </c>
      <c r="AH313" s="185" t="str">
        <f t="shared" ca="1" si="129"/>
        <v/>
      </c>
      <c r="AI313" s="181" t="str">
        <f t="shared" ca="1" si="130"/>
        <v/>
      </c>
      <c r="AJ313" s="181" t="str">
        <f t="shared" ca="1" si="131"/>
        <v/>
      </c>
      <c r="AK313" s="181" t="str">
        <f t="shared" ca="1" si="132"/>
        <v/>
      </c>
      <c r="AL313" s="181" t="str">
        <f t="shared" ca="1" si="133"/>
        <v/>
      </c>
      <c r="AM313" s="181" t="str">
        <f t="shared" ca="1" si="134"/>
        <v/>
      </c>
      <c r="AN313" s="181" t="str">
        <f t="shared" ca="1" si="135"/>
        <v/>
      </c>
      <c r="AO313" s="181" t="str">
        <f t="shared" ca="1" si="136"/>
        <v/>
      </c>
      <c r="AP313" s="181" t="str">
        <f t="shared" ca="1" si="137"/>
        <v/>
      </c>
    </row>
    <row r="314" spans="30:42">
      <c r="AD314" s="181" t="str">
        <f t="shared" ca="1" si="125"/>
        <v/>
      </c>
      <c r="AE314" s="181" t="str">
        <f t="shared" ca="1" si="126"/>
        <v/>
      </c>
      <c r="AF314" s="181" t="str">
        <f t="shared" ca="1" si="127"/>
        <v/>
      </c>
      <c r="AG314" s="181" t="str">
        <f t="shared" ca="1" si="128"/>
        <v/>
      </c>
      <c r="AH314" s="185" t="str">
        <f t="shared" ca="1" si="129"/>
        <v/>
      </c>
      <c r="AI314" s="181" t="str">
        <f t="shared" ca="1" si="130"/>
        <v/>
      </c>
      <c r="AJ314" s="181" t="str">
        <f t="shared" ca="1" si="131"/>
        <v/>
      </c>
      <c r="AK314" s="181" t="str">
        <f t="shared" ca="1" si="132"/>
        <v/>
      </c>
      <c r="AL314" s="181" t="str">
        <f t="shared" ca="1" si="133"/>
        <v/>
      </c>
      <c r="AM314" s="181" t="str">
        <f t="shared" ca="1" si="134"/>
        <v/>
      </c>
      <c r="AN314" s="181" t="str">
        <f t="shared" ca="1" si="135"/>
        <v/>
      </c>
      <c r="AO314" s="181" t="str">
        <f t="shared" ca="1" si="136"/>
        <v/>
      </c>
      <c r="AP314" s="181" t="str">
        <f t="shared" ca="1" si="137"/>
        <v/>
      </c>
    </row>
    <row r="315" spans="30:42">
      <c r="AD315" s="181" t="str">
        <f t="shared" ca="1" si="125"/>
        <v/>
      </c>
      <c r="AE315" s="181" t="str">
        <f t="shared" ca="1" si="126"/>
        <v/>
      </c>
      <c r="AF315" s="181" t="str">
        <f t="shared" ca="1" si="127"/>
        <v/>
      </c>
      <c r="AG315" s="181" t="str">
        <f t="shared" ca="1" si="128"/>
        <v/>
      </c>
      <c r="AH315" s="185" t="str">
        <f t="shared" ca="1" si="129"/>
        <v/>
      </c>
      <c r="AI315" s="181" t="str">
        <f t="shared" ca="1" si="130"/>
        <v/>
      </c>
      <c r="AJ315" s="181" t="str">
        <f t="shared" ca="1" si="131"/>
        <v/>
      </c>
      <c r="AK315" s="181" t="str">
        <f t="shared" ca="1" si="132"/>
        <v/>
      </c>
      <c r="AL315" s="181" t="str">
        <f t="shared" ca="1" si="133"/>
        <v/>
      </c>
      <c r="AM315" s="181" t="str">
        <f t="shared" ca="1" si="134"/>
        <v/>
      </c>
      <c r="AN315" s="181" t="str">
        <f t="shared" ca="1" si="135"/>
        <v/>
      </c>
      <c r="AO315" s="181" t="str">
        <f t="shared" ca="1" si="136"/>
        <v/>
      </c>
      <c r="AP315" s="181" t="str">
        <f t="shared" ca="1" si="137"/>
        <v/>
      </c>
    </row>
    <row r="316" spans="30:42">
      <c r="AD316" s="181" t="str">
        <f t="shared" ca="1" si="125"/>
        <v/>
      </c>
      <c r="AE316" s="181" t="str">
        <f t="shared" ca="1" si="126"/>
        <v/>
      </c>
      <c r="AF316" s="181" t="str">
        <f t="shared" ca="1" si="127"/>
        <v/>
      </c>
      <c r="AG316" s="181" t="str">
        <f t="shared" ca="1" si="128"/>
        <v/>
      </c>
      <c r="AH316" s="185" t="str">
        <f t="shared" ca="1" si="129"/>
        <v/>
      </c>
      <c r="AI316" s="181" t="str">
        <f t="shared" ca="1" si="130"/>
        <v/>
      </c>
      <c r="AJ316" s="181" t="str">
        <f t="shared" ca="1" si="131"/>
        <v/>
      </c>
      <c r="AK316" s="181" t="str">
        <f t="shared" ca="1" si="132"/>
        <v/>
      </c>
      <c r="AL316" s="181" t="str">
        <f t="shared" ca="1" si="133"/>
        <v/>
      </c>
      <c r="AM316" s="181" t="str">
        <f t="shared" ca="1" si="134"/>
        <v/>
      </c>
      <c r="AN316" s="181" t="str">
        <f t="shared" ca="1" si="135"/>
        <v/>
      </c>
      <c r="AO316" s="181" t="str">
        <f t="shared" ca="1" si="136"/>
        <v/>
      </c>
      <c r="AP316" s="181" t="str">
        <f t="shared" ca="1" si="137"/>
        <v/>
      </c>
    </row>
    <row r="317" spans="30:42">
      <c r="AD317" s="181" t="str">
        <f t="shared" ca="1" si="125"/>
        <v/>
      </c>
      <c r="AE317" s="181" t="str">
        <f t="shared" ca="1" si="126"/>
        <v/>
      </c>
      <c r="AF317" s="181" t="str">
        <f t="shared" ca="1" si="127"/>
        <v/>
      </c>
      <c r="AG317" s="181" t="str">
        <f t="shared" ca="1" si="128"/>
        <v/>
      </c>
      <c r="AH317" s="185" t="str">
        <f t="shared" ca="1" si="129"/>
        <v/>
      </c>
      <c r="AI317" s="181" t="str">
        <f t="shared" ca="1" si="130"/>
        <v/>
      </c>
      <c r="AJ317" s="181" t="str">
        <f t="shared" ca="1" si="131"/>
        <v/>
      </c>
      <c r="AK317" s="181" t="str">
        <f t="shared" ca="1" si="132"/>
        <v/>
      </c>
      <c r="AL317" s="181" t="str">
        <f t="shared" ca="1" si="133"/>
        <v/>
      </c>
      <c r="AM317" s="181" t="str">
        <f t="shared" ca="1" si="134"/>
        <v/>
      </c>
      <c r="AN317" s="181" t="str">
        <f t="shared" ca="1" si="135"/>
        <v/>
      </c>
      <c r="AO317" s="181" t="str">
        <f t="shared" ca="1" si="136"/>
        <v/>
      </c>
      <c r="AP317" s="181" t="str">
        <f t="shared" ca="1" si="137"/>
        <v/>
      </c>
    </row>
    <row r="318" spans="30:42">
      <c r="AD318" s="181" t="str">
        <f t="shared" ca="1" si="125"/>
        <v/>
      </c>
      <c r="AE318" s="181" t="str">
        <f t="shared" ca="1" si="126"/>
        <v/>
      </c>
      <c r="AF318" s="181" t="str">
        <f t="shared" ca="1" si="127"/>
        <v/>
      </c>
      <c r="AG318" s="181" t="str">
        <f t="shared" ca="1" si="128"/>
        <v/>
      </c>
      <c r="AH318" s="185" t="str">
        <f t="shared" ca="1" si="129"/>
        <v/>
      </c>
      <c r="AI318" s="181" t="str">
        <f t="shared" ca="1" si="130"/>
        <v/>
      </c>
      <c r="AJ318" s="181" t="str">
        <f t="shared" ca="1" si="131"/>
        <v/>
      </c>
      <c r="AK318" s="181" t="str">
        <f t="shared" ca="1" si="132"/>
        <v/>
      </c>
      <c r="AL318" s="181" t="str">
        <f t="shared" ca="1" si="133"/>
        <v/>
      </c>
      <c r="AM318" s="181" t="str">
        <f t="shared" ca="1" si="134"/>
        <v/>
      </c>
      <c r="AN318" s="181" t="str">
        <f t="shared" ca="1" si="135"/>
        <v/>
      </c>
      <c r="AO318" s="181" t="str">
        <f t="shared" ca="1" si="136"/>
        <v/>
      </c>
      <c r="AP318" s="181" t="str">
        <f t="shared" ca="1" si="137"/>
        <v/>
      </c>
    </row>
    <row r="319" spans="30:42">
      <c r="AD319" s="181" t="str">
        <f t="shared" ca="1" si="125"/>
        <v/>
      </c>
      <c r="AE319" s="181" t="str">
        <f t="shared" ca="1" si="126"/>
        <v/>
      </c>
      <c r="AF319" s="181" t="str">
        <f t="shared" ca="1" si="127"/>
        <v/>
      </c>
      <c r="AG319" s="181" t="str">
        <f t="shared" ca="1" si="128"/>
        <v/>
      </c>
      <c r="AH319" s="185" t="str">
        <f t="shared" ca="1" si="129"/>
        <v/>
      </c>
      <c r="AI319" s="181" t="str">
        <f t="shared" ca="1" si="130"/>
        <v/>
      </c>
      <c r="AJ319" s="181" t="str">
        <f t="shared" ca="1" si="131"/>
        <v/>
      </c>
      <c r="AK319" s="181" t="str">
        <f t="shared" ca="1" si="132"/>
        <v/>
      </c>
      <c r="AL319" s="181" t="str">
        <f t="shared" ca="1" si="133"/>
        <v/>
      </c>
      <c r="AM319" s="181" t="str">
        <f t="shared" ca="1" si="134"/>
        <v/>
      </c>
      <c r="AN319" s="181" t="str">
        <f t="shared" ca="1" si="135"/>
        <v/>
      </c>
      <c r="AO319" s="181" t="str">
        <f t="shared" ca="1" si="136"/>
        <v/>
      </c>
      <c r="AP319" s="181" t="str">
        <f t="shared" ca="1" si="137"/>
        <v/>
      </c>
    </row>
    <row r="320" spans="30:42">
      <c r="AD320" s="181" t="str">
        <f t="shared" ca="1" si="125"/>
        <v/>
      </c>
      <c r="AE320" s="181" t="str">
        <f t="shared" ca="1" si="126"/>
        <v/>
      </c>
      <c r="AF320" s="181" t="str">
        <f t="shared" ca="1" si="127"/>
        <v/>
      </c>
      <c r="AG320" s="181" t="str">
        <f t="shared" ca="1" si="128"/>
        <v/>
      </c>
      <c r="AH320" s="185" t="str">
        <f t="shared" ca="1" si="129"/>
        <v/>
      </c>
      <c r="AI320" s="181" t="str">
        <f t="shared" ca="1" si="130"/>
        <v/>
      </c>
      <c r="AJ320" s="181" t="str">
        <f t="shared" ca="1" si="131"/>
        <v/>
      </c>
      <c r="AK320" s="181" t="str">
        <f t="shared" ca="1" si="132"/>
        <v/>
      </c>
      <c r="AL320" s="181" t="str">
        <f t="shared" ca="1" si="133"/>
        <v/>
      </c>
      <c r="AM320" s="181" t="str">
        <f t="shared" ca="1" si="134"/>
        <v/>
      </c>
      <c r="AN320" s="181" t="str">
        <f t="shared" ca="1" si="135"/>
        <v/>
      </c>
      <c r="AO320" s="181" t="str">
        <f t="shared" ca="1" si="136"/>
        <v/>
      </c>
      <c r="AP320" s="181" t="str">
        <f t="shared" ca="1" si="137"/>
        <v/>
      </c>
    </row>
    <row r="321" spans="30:42">
      <c r="AD321" s="181" t="str">
        <f t="shared" ca="1" si="125"/>
        <v/>
      </c>
      <c r="AE321" s="181" t="str">
        <f t="shared" ca="1" si="126"/>
        <v/>
      </c>
      <c r="AF321" s="181" t="str">
        <f t="shared" ca="1" si="127"/>
        <v/>
      </c>
      <c r="AG321" s="181" t="str">
        <f t="shared" ca="1" si="128"/>
        <v/>
      </c>
      <c r="AH321" s="185" t="str">
        <f t="shared" ca="1" si="129"/>
        <v/>
      </c>
      <c r="AI321" s="181" t="str">
        <f t="shared" ca="1" si="130"/>
        <v/>
      </c>
      <c r="AJ321" s="181" t="str">
        <f t="shared" ca="1" si="131"/>
        <v/>
      </c>
      <c r="AK321" s="181" t="str">
        <f t="shared" ca="1" si="132"/>
        <v/>
      </c>
      <c r="AL321" s="181" t="str">
        <f t="shared" ca="1" si="133"/>
        <v/>
      </c>
      <c r="AM321" s="181" t="str">
        <f t="shared" ca="1" si="134"/>
        <v/>
      </c>
      <c r="AN321" s="181" t="str">
        <f t="shared" ca="1" si="135"/>
        <v/>
      </c>
      <c r="AO321" s="181" t="str">
        <f t="shared" ca="1" si="136"/>
        <v/>
      </c>
      <c r="AP321" s="181" t="str">
        <f t="shared" ca="1" si="137"/>
        <v/>
      </c>
    </row>
    <row r="322" spans="30:42">
      <c r="AD322" s="181" t="str">
        <f t="shared" ca="1" si="125"/>
        <v/>
      </c>
      <c r="AE322" s="181" t="str">
        <f t="shared" ca="1" si="126"/>
        <v/>
      </c>
      <c r="AF322" s="181" t="str">
        <f t="shared" ca="1" si="127"/>
        <v/>
      </c>
      <c r="AG322" s="181" t="str">
        <f t="shared" ca="1" si="128"/>
        <v/>
      </c>
      <c r="AH322" s="185" t="str">
        <f t="shared" ca="1" si="129"/>
        <v/>
      </c>
      <c r="AI322" s="181" t="str">
        <f t="shared" ca="1" si="130"/>
        <v/>
      </c>
      <c r="AJ322" s="181" t="str">
        <f t="shared" ca="1" si="131"/>
        <v/>
      </c>
      <c r="AK322" s="181" t="str">
        <f t="shared" ca="1" si="132"/>
        <v/>
      </c>
      <c r="AL322" s="181" t="str">
        <f t="shared" ca="1" si="133"/>
        <v/>
      </c>
      <c r="AM322" s="181" t="str">
        <f t="shared" ca="1" si="134"/>
        <v/>
      </c>
      <c r="AN322" s="181" t="str">
        <f t="shared" ca="1" si="135"/>
        <v/>
      </c>
      <c r="AO322" s="181" t="str">
        <f t="shared" ca="1" si="136"/>
        <v/>
      </c>
      <c r="AP322" s="181" t="str">
        <f t="shared" ca="1" si="137"/>
        <v/>
      </c>
    </row>
    <row r="323" spans="30:42">
      <c r="AD323" s="181" t="str">
        <f t="shared" ca="1" si="125"/>
        <v/>
      </c>
      <c r="AE323" s="181" t="str">
        <f t="shared" ca="1" si="126"/>
        <v/>
      </c>
      <c r="AF323" s="181" t="str">
        <f t="shared" ca="1" si="127"/>
        <v/>
      </c>
      <c r="AG323" s="181" t="str">
        <f t="shared" ca="1" si="128"/>
        <v/>
      </c>
      <c r="AH323" s="185" t="str">
        <f t="shared" ca="1" si="129"/>
        <v/>
      </c>
      <c r="AI323" s="181" t="str">
        <f t="shared" ca="1" si="130"/>
        <v/>
      </c>
      <c r="AJ323" s="181" t="str">
        <f t="shared" ca="1" si="131"/>
        <v/>
      </c>
      <c r="AK323" s="181" t="str">
        <f t="shared" ca="1" si="132"/>
        <v/>
      </c>
      <c r="AL323" s="181" t="str">
        <f t="shared" ca="1" si="133"/>
        <v/>
      </c>
      <c r="AM323" s="181" t="str">
        <f t="shared" ca="1" si="134"/>
        <v/>
      </c>
      <c r="AN323" s="181" t="str">
        <f t="shared" ca="1" si="135"/>
        <v/>
      </c>
      <c r="AO323" s="181" t="str">
        <f t="shared" ca="1" si="136"/>
        <v/>
      </c>
      <c r="AP323" s="181" t="str">
        <f t="shared" ca="1" si="137"/>
        <v/>
      </c>
    </row>
    <row r="324" spans="30:42">
      <c r="AD324" s="181" t="str">
        <f t="shared" ca="1" si="125"/>
        <v/>
      </c>
      <c r="AE324" s="181" t="str">
        <f t="shared" ca="1" si="126"/>
        <v/>
      </c>
      <c r="AF324" s="181" t="str">
        <f t="shared" ca="1" si="127"/>
        <v/>
      </c>
      <c r="AG324" s="181" t="str">
        <f t="shared" ca="1" si="128"/>
        <v/>
      </c>
      <c r="AH324" s="185" t="str">
        <f t="shared" ca="1" si="129"/>
        <v/>
      </c>
      <c r="AI324" s="181" t="str">
        <f t="shared" ca="1" si="130"/>
        <v/>
      </c>
      <c r="AJ324" s="181" t="str">
        <f t="shared" ca="1" si="131"/>
        <v/>
      </c>
      <c r="AK324" s="181" t="str">
        <f t="shared" ca="1" si="132"/>
        <v/>
      </c>
      <c r="AL324" s="181" t="str">
        <f t="shared" ca="1" si="133"/>
        <v/>
      </c>
      <c r="AM324" s="181" t="str">
        <f t="shared" ca="1" si="134"/>
        <v/>
      </c>
      <c r="AN324" s="181" t="str">
        <f t="shared" ca="1" si="135"/>
        <v/>
      </c>
      <c r="AO324" s="181" t="str">
        <f t="shared" ca="1" si="136"/>
        <v/>
      </c>
      <c r="AP324" s="181" t="str">
        <f t="shared" ca="1" si="137"/>
        <v/>
      </c>
    </row>
    <row r="325" spans="30:42">
      <c r="AD325" s="181" t="str">
        <f t="shared" ca="1" si="125"/>
        <v/>
      </c>
      <c r="AE325" s="181" t="str">
        <f t="shared" ca="1" si="126"/>
        <v/>
      </c>
      <c r="AF325" s="181" t="str">
        <f t="shared" ca="1" si="127"/>
        <v/>
      </c>
      <c r="AG325" s="181" t="str">
        <f t="shared" ca="1" si="128"/>
        <v/>
      </c>
      <c r="AH325" s="185" t="str">
        <f t="shared" ca="1" si="129"/>
        <v/>
      </c>
      <c r="AI325" s="181" t="str">
        <f t="shared" ca="1" si="130"/>
        <v/>
      </c>
      <c r="AJ325" s="181" t="str">
        <f t="shared" ca="1" si="131"/>
        <v/>
      </c>
      <c r="AK325" s="181" t="str">
        <f t="shared" ca="1" si="132"/>
        <v/>
      </c>
      <c r="AL325" s="181" t="str">
        <f t="shared" ca="1" si="133"/>
        <v/>
      </c>
      <c r="AM325" s="181" t="str">
        <f t="shared" ca="1" si="134"/>
        <v/>
      </c>
      <c r="AN325" s="181" t="str">
        <f t="shared" ca="1" si="135"/>
        <v/>
      </c>
      <c r="AO325" s="181" t="str">
        <f t="shared" ca="1" si="136"/>
        <v/>
      </c>
      <c r="AP325" s="181" t="str">
        <f t="shared" ca="1" si="137"/>
        <v/>
      </c>
    </row>
    <row r="326" spans="30:42">
      <c r="AD326" s="181" t="str">
        <f t="shared" ca="1" si="125"/>
        <v/>
      </c>
      <c r="AE326" s="181" t="str">
        <f t="shared" ca="1" si="126"/>
        <v/>
      </c>
      <c r="AF326" s="181" t="str">
        <f t="shared" ca="1" si="127"/>
        <v/>
      </c>
      <c r="AG326" s="181" t="str">
        <f t="shared" ca="1" si="128"/>
        <v/>
      </c>
      <c r="AH326" s="185" t="str">
        <f t="shared" ca="1" si="129"/>
        <v/>
      </c>
      <c r="AI326" s="181" t="str">
        <f t="shared" ca="1" si="130"/>
        <v/>
      </c>
      <c r="AJ326" s="181" t="str">
        <f t="shared" ca="1" si="131"/>
        <v/>
      </c>
      <c r="AK326" s="181" t="str">
        <f t="shared" ca="1" si="132"/>
        <v/>
      </c>
      <c r="AL326" s="181" t="str">
        <f t="shared" ca="1" si="133"/>
        <v/>
      </c>
      <c r="AM326" s="181" t="str">
        <f t="shared" ca="1" si="134"/>
        <v/>
      </c>
      <c r="AN326" s="181" t="str">
        <f t="shared" ca="1" si="135"/>
        <v/>
      </c>
      <c r="AO326" s="181" t="str">
        <f t="shared" ca="1" si="136"/>
        <v/>
      </c>
      <c r="AP326" s="181" t="str">
        <f t="shared" ca="1" si="137"/>
        <v/>
      </c>
    </row>
    <row r="327" spans="30:42">
      <c r="AD327" s="181" t="str">
        <f t="shared" ca="1" si="125"/>
        <v/>
      </c>
      <c r="AE327" s="181" t="str">
        <f t="shared" ca="1" si="126"/>
        <v/>
      </c>
      <c r="AF327" s="181" t="str">
        <f t="shared" ca="1" si="127"/>
        <v/>
      </c>
      <c r="AG327" s="181" t="str">
        <f t="shared" ca="1" si="128"/>
        <v/>
      </c>
      <c r="AH327" s="185" t="str">
        <f t="shared" ca="1" si="129"/>
        <v/>
      </c>
      <c r="AI327" s="181" t="str">
        <f t="shared" ca="1" si="130"/>
        <v/>
      </c>
      <c r="AJ327" s="181" t="str">
        <f t="shared" ca="1" si="131"/>
        <v/>
      </c>
      <c r="AK327" s="181" t="str">
        <f t="shared" ca="1" si="132"/>
        <v/>
      </c>
      <c r="AL327" s="181" t="str">
        <f t="shared" ca="1" si="133"/>
        <v/>
      </c>
      <c r="AM327" s="181" t="str">
        <f t="shared" ca="1" si="134"/>
        <v/>
      </c>
      <c r="AN327" s="181" t="str">
        <f t="shared" ca="1" si="135"/>
        <v/>
      </c>
      <c r="AO327" s="181" t="str">
        <f t="shared" ca="1" si="136"/>
        <v/>
      </c>
      <c r="AP327" s="181" t="str">
        <f t="shared" ca="1" si="137"/>
        <v/>
      </c>
    </row>
    <row r="328" spans="30:42">
      <c r="AD328" s="181" t="str">
        <f t="shared" ca="1" si="125"/>
        <v/>
      </c>
      <c r="AE328" s="181" t="str">
        <f t="shared" ca="1" si="126"/>
        <v/>
      </c>
      <c r="AF328" s="181" t="str">
        <f t="shared" ca="1" si="127"/>
        <v/>
      </c>
      <c r="AG328" s="181" t="str">
        <f t="shared" ca="1" si="128"/>
        <v/>
      </c>
      <c r="AH328" s="185" t="str">
        <f t="shared" ca="1" si="129"/>
        <v/>
      </c>
      <c r="AI328" s="181" t="str">
        <f t="shared" ca="1" si="130"/>
        <v/>
      </c>
      <c r="AJ328" s="181" t="str">
        <f t="shared" ca="1" si="131"/>
        <v/>
      </c>
      <c r="AK328" s="181" t="str">
        <f t="shared" ca="1" si="132"/>
        <v/>
      </c>
      <c r="AL328" s="181" t="str">
        <f t="shared" ca="1" si="133"/>
        <v/>
      </c>
      <c r="AM328" s="181" t="str">
        <f t="shared" ca="1" si="134"/>
        <v/>
      </c>
      <c r="AN328" s="181" t="str">
        <f t="shared" ca="1" si="135"/>
        <v/>
      </c>
      <c r="AO328" s="181" t="str">
        <f t="shared" ca="1" si="136"/>
        <v/>
      </c>
      <c r="AP328" s="181" t="str">
        <f t="shared" ca="1" si="137"/>
        <v/>
      </c>
    </row>
    <row r="329" spans="30:42">
      <c r="AD329" s="181" t="str">
        <f t="shared" ca="1" si="125"/>
        <v/>
      </c>
      <c r="AE329" s="181" t="str">
        <f t="shared" ca="1" si="126"/>
        <v/>
      </c>
      <c r="AF329" s="181" t="str">
        <f t="shared" ca="1" si="127"/>
        <v/>
      </c>
      <c r="AG329" s="181" t="str">
        <f t="shared" ca="1" si="128"/>
        <v/>
      </c>
      <c r="AH329" s="185" t="str">
        <f t="shared" ca="1" si="129"/>
        <v/>
      </c>
      <c r="AI329" s="181" t="str">
        <f t="shared" ca="1" si="130"/>
        <v/>
      </c>
      <c r="AJ329" s="181" t="str">
        <f t="shared" ca="1" si="131"/>
        <v/>
      </c>
      <c r="AK329" s="181" t="str">
        <f t="shared" ca="1" si="132"/>
        <v/>
      </c>
      <c r="AL329" s="181" t="str">
        <f t="shared" ca="1" si="133"/>
        <v/>
      </c>
      <c r="AM329" s="181" t="str">
        <f t="shared" ca="1" si="134"/>
        <v/>
      </c>
      <c r="AN329" s="181" t="str">
        <f t="shared" ca="1" si="135"/>
        <v/>
      </c>
      <c r="AO329" s="181" t="str">
        <f t="shared" ca="1" si="136"/>
        <v/>
      </c>
      <c r="AP329" s="181" t="str">
        <f t="shared" ca="1" si="137"/>
        <v/>
      </c>
    </row>
    <row r="330" spans="30:42">
      <c r="AD330" s="181" t="str">
        <f t="shared" ca="1" si="125"/>
        <v/>
      </c>
      <c r="AE330" s="181" t="str">
        <f t="shared" ca="1" si="126"/>
        <v/>
      </c>
      <c r="AF330" s="181" t="str">
        <f t="shared" ca="1" si="127"/>
        <v/>
      </c>
      <c r="AG330" s="181" t="str">
        <f t="shared" ca="1" si="128"/>
        <v/>
      </c>
      <c r="AH330" s="185" t="str">
        <f t="shared" ca="1" si="129"/>
        <v/>
      </c>
      <c r="AI330" s="181" t="str">
        <f t="shared" ca="1" si="130"/>
        <v/>
      </c>
      <c r="AJ330" s="181" t="str">
        <f t="shared" ca="1" si="131"/>
        <v/>
      </c>
      <c r="AK330" s="181" t="str">
        <f t="shared" ca="1" si="132"/>
        <v/>
      </c>
      <c r="AL330" s="181" t="str">
        <f t="shared" ca="1" si="133"/>
        <v/>
      </c>
      <c r="AM330" s="181" t="str">
        <f t="shared" ca="1" si="134"/>
        <v/>
      </c>
      <c r="AN330" s="181" t="str">
        <f t="shared" ca="1" si="135"/>
        <v/>
      </c>
      <c r="AO330" s="181" t="str">
        <f t="shared" ca="1" si="136"/>
        <v/>
      </c>
      <c r="AP330" s="181" t="str">
        <f t="shared" ca="1" si="137"/>
        <v/>
      </c>
    </row>
    <row r="331" spans="30:42">
      <c r="AD331" s="181" t="str">
        <f t="shared" ca="1" si="125"/>
        <v/>
      </c>
      <c r="AE331" s="181" t="str">
        <f t="shared" ca="1" si="126"/>
        <v/>
      </c>
      <c r="AF331" s="181" t="str">
        <f t="shared" ca="1" si="127"/>
        <v/>
      </c>
      <c r="AG331" s="181" t="str">
        <f t="shared" ca="1" si="128"/>
        <v/>
      </c>
      <c r="AH331" s="185" t="str">
        <f t="shared" ca="1" si="129"/>
        <v/>
      </c>
      <c r="AI331" s="181" t="str">
        <f t="shared" ca="1" si="130"/>
        <v/>
      </c>
      <c r="AJ331" s="181" t="str">
        <f t="shared" ca="1" si="131"/>
        <v/>
      </c>
      <c r="AK331" s="181" t="str">
        <f t="shared" ca="1" si="132"/>
        <v/>
      </c>
      <c r="AL331" s="181" t="str">
        <f t="shared" ca="1" si="133"/>
        <v/>
      </c>
      <c r="AM331" s="181" t="str">
        <f t="shared" ca="1" si="134"/>
        <v/>
      </c>
      <c r="AN331" s="181" t="str">
        <f t="shared" ca="1" si="135"/>
        <v/>
      </c>
      <c r="AO331" s="181" t="str">
        <f t="shared" ca="1" si="136"/>
        <v/>
      </c>
      <c r="AP331" s="181" t="str">
        <f t="shared" ca="1" si="137"/>
        <v/>
      </c>
    </row>
    <row r="332" spans="30:42">
      <c r="AD332" s="181" t="str">
        <f t="shared" ca="1" si="125"/>
        <v/>
      </c>
      <c r="AE332" s="181" t="str">
        <f t="shared" ca="1" si="126"/>
        <v/>
      </c>
      <c r="AF332" s="181" t="str">
        <f t="shared" ca="1" si="127"/>
        <v/>
      </c>
      <c r="AG332" s="181" t="str">
        <f t="shared" ca="1" si="128"/>
        <v/>
      </c>
      <c r="AH332" s="185" t="str">
        <f t="shared" ca="1" si="129"/>
        <v/>
      </c>
      <c r="AI332" s="181" t="str">
        <f t="shared" ca="1" si="130"/>
        <v/>
      </c>
      <c r="AJ332" s="181" t="str">
        <f t="shared" ca="1" si="131"/>
        <v/>
      </c>
      <c r="AK332" s="181" t="str">
        <f t="shared" ca="1" si="132"/>
        <v/>
      </c>
      <c r="AL332" s="181" t="str">
        <f t="shared" ca="1" si="133"/>
        <v/>
      </c>
      <c r="AM332" s="181" t="str">
        <f t="shared" ca="1" si="134"/>
        <v/>
      </c>
      <c r="AN332" s="181" t="str">
        <f t="shared" ca="1" si="135"/>
        <v/>
      </c>
      <c r="AO332" s="181" t="str">
        <f t="shared" ca="1" si="136"/>
        <v/>
      </c>
      <c r="AP332" s="181" t="str">
        <f t="shared" ca="1" si="137"/>
        <v/>
      </c>
    </row>
    <row r="333" spans="30:42">
      <c r="AD333" s="181" t="str">
        <f t="shared" ca="1" si="125"/>
        <v/>
      </c>
      <c r="AE333" s="181" t="str">
        <f t="shared" ca="1" si="126"/>
        <v/>
      </c>
      <c r="AF333" s="181" t="str">
        <f t="shared" ca="1" si="127"/>
        <v/>
      </c>
      <c r="AG333" s="181" t="str">
        <f t="shared" ca="1" si="128"/>
        <v/>
      </c>
      <c r="AH333" s="185" t="str">
        <f t="shared" ca="1" si="129"/>
        <v/>
      </c>
      <c r="AI333" s="181" t="str">
        <f t="shared" ca="1" si="130"/>
        <v/>
      </c>
      <c r="AJ333" s="181" t="str">
        <f t="shared" ca="1" si="131"/>
        <v/>
      </c>
      <c r="AK333" s="181" t="str">
        <f t="shared" ca="1" si="132"/>
        <v/>
      </c>
      <c r="AL333" s="181" t="str">
        <f t="shared" ca="1" si="133"/>
        <v/>
      </c>
      <c r="AM333" s="181" t="str">
        <f t="shared" ca="1" si="134"/>
        <v/>
      </c>
      <c r="AN333" s="181" t="str">
        <f t="shared" ca="1" si="135"/>
        <v/>
      </c>
      <c r="AO333" s="181" t="str">
        <f t="shared" ca="1" si="136"/>
        <v/>
      </c>
      <c r="AP333" s="181" t="str">
        <f t="shared" ca="1" si="137"/>
        <v/>
      </c>
    </row>
    <row r="334" spans="30:42">
      <c r="AD334" s="181" t="str">
        <f t="shared" ref="AD334:AD365" ca="1" si="138">IFERROR(INDEX(AC:AC,MATCH(SMALL($AU:$AU,ROW()+3),$AU:$AU,0)),"")</f>
        <v/>
      </c>
      <c r="AE334" s="181" t="str">
        <f t="shared" ref="AE334:AE365" ca="1" si="139">IFERROR(INDEX(R:R,MATCH(SMALL($AU:$AU,ROW()+3),$AU:$AU,0)),"")</f>
        <v/>
      </c>
      <c r="AF334" s="181" t="str">
        <f t="shared" ref="AF334:AF365" ca="1" si="140">IFERROR(INDEX(S:S,MATCH(SMALL($AU:$AU,ROW()+3),$AU:$AU,0)),"")</f>
        <v/>
      </c>
      <c r="AG334" s="181" t="str">
        <f t="shared" ref="AG334:AG365" ca="1" si="141">IFERROR(INDEX(T:T,MATCH(SMALL($AU:$AU,ROW()+3),$AU:$AU,0)),"")</f>
        <v/>
      </c>
      <c r="AH334" s="185" t="str">
        <f t="shared" ref="AH334:AH365" ca="1" si="142">IFERROR(INDEX(U:U,MATCH(SMALL($AU:$AU,ROW()+3),$AU:$AU,0)),"")</f>
        <v/>
      </c>
      <c r="AI334" s="181" t="str">
        <f t="shared" ref="AI334:AI365" ca="1" si="143">IFERROR(INDEX(V:V,MATCH(SMALL($AU:$AU,ROW()+3),$AU:$AU,0)),"")</f>
        <v/>
      </c>
      <c r="AJ334" s="181" t="str">
        <f t="shared" ref="AJ334:AJ365" ca="1" si="144">IFERROR(INDEX(W:W,MATCH(SMALL($AU:$AU,ROW()+3),$AU:$AU,0)),"")</f>
        <v/>
      </c>
      <c r="AK334" s="181" t="str">
        <f t="shared" ref="AK334:AK365" ca="1" si="145">IFERROR(INDEX(X:X,MATCH(SMALL($AU:$AU,ROW()+3),$AU:$AU,0)),"")</f>
        <v/>
      </c>
      <c r="AL334" s="181" t="str">
        <f t="shared" ref="AL334:AL365" ca="1" si="146">IFERROR(INDEX(Y:Y,MATCH(SMALL($AU:$AU,ROW()+3),$AU:$AU,0)),"")</f>
        <v/>
      </c>
      <c r="AM334" s="181" t="str">
        <f t="shared" ref="AM334:AM365" ca="1" si="147">IFERROR(INDEX(Z:Z,MATCH(SMALL($AU:$AU,ROW()+3),$AU:$AU,0)),"")</f>
        <v/>
      </c>
      <c r="AN334" s="181" t="str">
        <f t="shared" ref="AN334:AN365" ca="1" si="148">IFERROR(INDEX(AA:AA,MATCH(SMALL($AU:$AU,ROW()+3),$AU:$AU,0)),"")</f>
        <v/>
      </c>
      <c r="AO334" s="181" t="str">
        <f t="shared" ref="AO334:AO365" ca="1" si="149">IFERROR(INDEX(AB:AB,MATCH(SMALL($AU:$AU,ROW()+3),$AU:$AU,0)),"")</f>
        <v/>
      </c>
      <c r="AP334" s="181" t="str">
        <f t="shared" ref="AP334:AP365" ca="1" si="150">IFERROR(INDEX(AC:AC,MATCH(SMALL($AU:$AU,ROW()+3),$AU:$AU,0)),"")</f>
        <v/>
      </c>
    </row>
    <row r="335" spans="30:42">
      <c r="AD335" s="181" t="str">
        <f t="shared" ca="1" si="138"/>
        <v/>
      </c>
      <c r="AE335" s="181" t="str">
        <f t="shared" ca="1" si="139"/>
        <v/>
      </c>
      <c r="AF335" s="181" t="str">
        <f t="shared" ca="1" si="140"/>
        <v/>
      </c>
      <c r="AG335" s="181" t="str">
        <f t="shared" ca="1" si="141"/>
        <v/>
      </c>
      <c r="AH335" s="185" t="str">
        <f t="shared" ca="1" si="142"/>
        <v/>
      </c>
      <c r="AI335" s="181" t="str">
        <f t="shared" ca="1" si="143"/>
        <v/>
      </c>
      <c r="AJ335" s="181" t="str">
        <f t="shared" ca="1" si="144"/>
        <v/>
      </c>
      <c r="AK335" s="181" t="str">
        <f t="shared" ca="1" si="145"/>
        <v/>
      </c>
      <c r="AL335" s="181" t="str">
        <f t="shared" ca="1" si="146"/>
        <v/>
      </c>
      <c r="AM335" s="181" t="str">
        <f t="shared" ca="1" si="147"/>
        <v/>
      </c>
      <c r="AN335" s="181" t="str">
        <f t="shared" ca="1" si="148"/>
        <v/>
      </c>
      <c r="AO335" s="181" t="str">
        <f t="shared" ca="1" si="149"/>
        <v/>
      </c>
      <c r="AP335" s="181" t="str">
        <f t="shared" ca="1" si="150"/>
        <v/>
      </c>
    </row>
    <row r="336" spans="30:42">
      <c r="AD336" s="181" t="str">
        <f t="shared" ca="1" si="138"/>
        <v/>
      </c>
      <c r="AE336" s="181" t="str">
        <f t="shared" ca="1" si="139"/>
        <v/>
      </c>
      <c r="AF336" s="181" t="str">
        <f t="shared" ca="1" si="140"/>
        <v/>
      </c>
      <c r="AG336" s="181" t="str">
        <f t="shared" ca="1" si="141"/>
        <v/>
      </c>
      <c r="AH336" s="185" t="str">
        <f t="shared" ca="1" si="142"/>
        <v/>
      </c>
      <c r="AI336" s="181" t="str">
        <f t="shared" ca="1" si="143"/>
        <v/>
      </c>
      <c r="AJ336" s="181" t="str">
        <f t="shared" ca="1" si="144"/>
        <v/>
      </c>
      <c r="AK336" s="181" t="str">
        <f t="shared" ca="1" si="145"/>
        <v/>
      </c>
      <c r="AL336" s="181" t="str">
        <f t="shared" ca="1" si="146"/>
        <v/>
      </c>
      <c r="AM336" s="181" t="str">
        <f t="shared" ca="1" si="147"/>
        <v/>
      </c>
      <c r="AN336" s="181" t="str">
        <f t="shared" ca="1" si="148"/>
        <v/>
      </c>
      <c r="AO336" s="181" t="str">
        <f t="shared" ca="1" si="149"/>
        <v/>
      </c>
      <c r="AP336" s="181" t="str">
        <f t="shared" ca="1" si="150"/>
        <v/>
      </c>
    </row>
    <row r="337" spans="30:42">
      <c r="AD337" s="181" t="str">
        <f t="shared" ca="1" si="138"/>
        <v/>
      </c>
      <c r="AE337" s="181" t="str">
        <f t="shared" ca="1" si="139"/>
        <v/>
      </c>
      <c r="AF337" s="181" t="str">
        <f t="shared" ca="1" si="140"/>
        <v/>
      </c>
      <c r="AG337" s="181" t="str">
        <f t="shared" ca="1" si="141"/>
        <v/>
      </c>
      <c r="AH337" s="185" t="str">
        <f t="shared" ca="1" si="142"/>
        <v/>
      </c>
      <c r="AI337" s="181" t="str">
        <f t="shared" ca="1" si="143"/>
        <v/>
      </c>
      <c r="AJ337" s="181" t="str">
        <f t="shared" ca="1" si="144"/>
        <v/>
      </c>
      <c r="AK337" s="181" t="str">
        <f t="shared" ca="1" si="145"/>
        <v/>
      </c>
      <c r="AL337" s="181" t="str">
        <f t="shared" ca="1" si="146"/>
        <v/>
      </c>
      <c r="AM337" s="181" t="str">
        <f t="shared" ca="1" si="147"/>
        <v/>
      </c>
      <c r="AN337" s="181" t="str">
        <f t="shared" ca="1" si="148"/>
        <v/>
      </c>
      <c r="AO337" s="181" t="str">
        <f t="shared" ca="1" si="149"/>
        <v/>
      </c>
      <c r="AP337" s="181" t="str">
        <f t="shared" ca="1" si="150"/>
        <v/>
      </c>
    </row>
    <row r="338" spans="30:42">
      <c r="AD338" s="181" t="str">
        <f t="shared" ca="1" si="138"/>
        <v/>
      </c>
      <c r="AE338" s="181" t="str">
        <f t="shared" ca="1" si="139"/>
        <v/>
      </c>
      <c r="AF338" s="181" t="str">
        <f t="shared" ca="1" si="140"/>
        <v/>
      </c>
      <c r="AG338" s="181" t="str">
        <f t="shared" ca="1" si="141"/>
        <v/>
      </c>
      <c r="AH338" s="185" t="str">
        <f t="shared" ca="1" si="142"/>
        <v/>
      </c>
      <c r="AI338" s="181" t="str">
        <f t="shared" ca="1" si="143"/>
        <v/>
      </c>
      <c r="AJ338" s="181" t="str">
        <f t="shared" ca="1" si="144"/>
        <v/>
      </c>
      <c r="AK338" s="181" t="str">
        <f t="shared" ca="1" si="145"/>
        <v/>
      </c>
      <c r="AL338" s="181" t="str">
        <f t="shared" ca="1" si="146"/>
        <v/>
      </c>
      <c r="AM338" s="181" t="str">
        <f t="shared" ca="1" si="147"/>
        <v/>
      </c>
      <c r="AN338" s="181" t="str">
        <f t="shared" ca="1" si="148"/>
        <v/>
      </c>
      <c r="AO338" s="181" t="str">
        <f t="shared" ca="1" si="149"/>
        <v/>
      </c>
      <c r="AP338" s="181" t="str">
        <f t="shared" ca="1" si="150"/>
        <v/>
      </c>
    </row>
    <row r="339" spans="30:42">
      <c r="AD339" s="181" t="str">
        <f t="shared" ca="1" si="138"/>
        <v/>
      </c>
      <c r="AE339" s="181" t="str">
        <f t="shared" ca="1" si="139"/>
        <v/>
      </c>
      <c r="AF339" s="181" t="str">
        <f t="shared" ca="1" si="140"/>
        <v/>
      </c>
      <c r="AG339" s="181" t="str">
        <f t="shared" ca="1" si="141"/>
        <v/>
      </c>
      <c r="AH339" s="185" t="str">
        <f t="shared" ca="1" si="142"/>
        <v/>
      </c>
      <c r="AI339" s="181" t="str">
        <f t="shared" ca="1" si="143"/>
        <v/>
      </c>
      <c r="AJ339" s="181" t="str">
        <f t="shared" ca="1" si="144"/>
        <v/>
      </c>
      <c r="AK339" s="181" t="str">
        <f t="shared" ca="1" si="145"/>
        <v/>
      </c>
      <c r="AL339" s="181" t="str">
        <f t="shared" ca="1" si="146"/>
        <v/>
      </c>
      <c r="AM339" s="181" t="str">
        <f t="shared" ca="1" si="147"/>
        <v/>
      </c>
      <c r="AN339" s="181" t="str">
        <f t="shared" ca="1" si="148"/>
        <v/>
      </c>
      <c r="AO339" s="181" t="str">
        <f t="shared" ca="1" si="149"/>
        <v/>
      </c>
      <c r="AP339" s="181" t="str">
        <f t="shared" ca="1" si="150"/>
        <v/>
      </c>
    </row>
    <row r="340" spans="30:42">
      <c r="AD340" s="181" t="str">
        <f t="shared" ca="1" si="138"/>
        <v/>
      </c>
      <c r="AE340" s="181" t="str">
        <f t="shared" ca="1" si="139"/>
        <v/>
      </c>
      <c r="AF340" s="181" t="str">
        <f t="shared" ca="1" si="140"/>
        <v/>
      </c>
      <c r="AG340" s="181" t="str">
        <f t="shared" ca="1" si="141"/>
        <v/>
      </c>
      <c r="AH340" s="185" t="str">
        <f t="shared" ca="1" si="142"/>
        <v/>
      </c>
      <c r="AI340" s="181" t="str">
        <f t="shared" ca="1" si="143"/>
        <v/>
      </c>
      <c r="AJ340" s="181" t="str">
        <f t="shared" ca="1" si="144"/>
        <v/>
      </c>
      <c r="AK340" s="181" t="str">
        <f t="shared" ca="1" si="145"/>
        <v/>
      </c>
      <c r="AL340" s="181" t="str">
        <f t="shared" ca="1" si="146"/>
        <v/>
      </c>
      <c r="AM340" s="181" t="str">
        <f t="shared" ca="1" si="147"/>
        <v/>
      </c>
      <c r="AN340" s="181" t="str">
        <f t="shared" ca="1" si="148"/>
        <v/>
      </c>
      <c r="AO340" s="181" t="str">
        <f t="shared" ca="1" si="149"/>
        <v/>
      </c>
      <c r="AP340" s="181" t="str">
        <f t="shared" ca="1" si="150"/>
        <v/>
      </c>
    </row>
    <row r="341" spans="30:42">
      <c r="AD341" s="181" t="str">
        <f t="shared" ca="1" si="138"/>
        <v/>
      </c>
      <c r="AE341" s="181" t="str">
        <f t="shared" ca="1" si="139"/>
        <v/>
      </c>
      <c r="AF341" s="181" t="str">
        <f t="shared" ca="1" si="140"/>
        <v/>
      </c>
      <c r="AG341" s="181" t="str">
        <f t="shared" ca="1" si="141"/>
        <v/>
      </c>
      <c r="AH341" s="185" t="str">
        <f t="shared" ca="1" si="142"/>
        <v/>
      </c>
      <c r="AI341" s="181" t="str">
        <f t="shared" ca="1" si="143"/>
        <v/>
      </c>
      <c r="AJ341" s="181" t="str">
        <f t="shared" ca="1" si="144"/>
        <v/>
      </c>
      <c r="AK341" s="181" t="str">
        <f t="shared" ca="1" si="145"/>
        <v/>
      </c>
      <c r="AL341" s="181" t="str">
        <f t="shared" ca="1" si="146"/>
        <v/>
      </c>
      <c r="AM341" s="181" t="str">
        <f t="shared" ca="1" si="147"/>
        <v/>
      </c>
      <c r="AN341" s="181" t="str">
        <f t="shared" ca="1" si="148"/>
        <v/>
      </c>
      <c r="AO341" s="181" t="str">
        <f t="shared" ca="1" si="149"/>
        <v/>
      </c>
      <c r="AP341" s="181" t="str">
        <f t="shared" ca="1" si="150"/>
        <v/>
      </c>
    </row>
    <row r="342" spans="30:42">
      <c r="AD342" s="181" t="str">
        <f t="shared" ca="1" si="138"/>
        <v/>
      </c>
      <c r="AE342" s="181" t="str">
        <f t="shared" ca="1" si="139"/>
        <v/>
      </c>
      <c r="AF342" s="181" t="str">
        <f t="shared" ca="1" si="140"/>
        <v/>
      </c>
      <c r="AG342" s="181" t="str">
        <f t="shared" ca="1" si="141"/>
        <v/>
      </c>
      <c r="AH342" s="185" t="str">
        <f t="shared" ca="1" si="142"/>
        <v/>
      </c>
      <c r="AI342" s="181" t="str">
        <f t="shared" ca="1" si="143"/>
        <v/>
      </c>
      <c r="AJ342" s="181" t="str">
        <f t="shared" ca="1" si="144"/>
        <v/>
      </c>
      <c r="AK342" s="181" t="str">
        <f t="shared" ca="1" si="145"/>
        <v/>
      </c>
      <c r="AL342" s="181" t="str">
        <f t="shared" ca="1" si="146"/>
        <v/>
      </c>
      <c r="AM342" s="181" t="str">
        <f t="shared" ca="1" si="147"/>
        <v/>
      </c>
      <c r="AN342" s="181" t="str">
        <f t="shared" ca="1" si="148"/>
        <v/>
      </c>
      <c r="AO342" s="181" t="str">
        <f t="shared" ca="1" si="149"/>
        <v/>
      </c>
      <c r="AP342" s="181" t="str">
        <f t="shared" ca="1" si="150"/>
        <v/>
      </c>
    </row>
    <row r="343" spans="30:42">
      <c r="AD343" s="181" t="str">
        <f t="shared" ca="1" si="138"/>
        <v/>
      </c>
      <c r="AE343" s="181" t="str">
        <f t="shared" ca="1" si="139"/>
        <v/>
      </c>
      <c r="AF343" s="181" t="str">
        <f t="shared" ca="1" si="140"/>
        <v/>
      </c>
      <c r="AG343" s="181" t="str">
        <f t="shared" ca="1" si="141"/>
        <v/>
      </c>
      <c r="AH343" s="185" t="str">
        <f t="shared" ca="1" si="142"/>
        <v/>
      </c>
      <c r="AI343" s="181" t="str">
        <f t="shared" ca="1" si="143"/>
        <v/>
      </c>
      <c r="AJ343" s="181" t="str">
        <f t="shared" ca="1" si="144"/>
        <v/>
      </c>
      <c r="AK343" s="181" t="str">
        <f t="shared" ca="1" si="145"/>
        <v/>
      </c>
      <c r="AL343" s="181" t="str">
        <f t="shared" ca="1" si="146"/>
        <v/>
      </c>
      <c r="AM343" s="181" t="str">
        <f t="shared" ca="1" si="147"/>
        <v/>
      </c>
      <c r="AN343" s="181" t="str">
        <f t="shared" ca="1" si="148"/>
        <v/>
      </c>
      <c r="AO343" s="181" t="str">
        <f t="shared" ca="1" si="149"/>
        <v/>
      </c>
      <c r="AP343" s="181" t="str">
        <f t="shared" ca="1" si="150"/>
        <v/>
      </c>
    </row>
    <row r="344" spans="30:42">
      <c r="AD344" s="181" t="str">
        <f t="shared" ca="1" si="138"/>
        <v/>
      </c>
      <c r="AE344" s="181" t="str">
        <f t="shared" ca="1" si="139"/>
        <v/>
      </c>
      <c r="AF344" s="181" t="str">
        <f t="shared" ca="1" si="140"/>
        <v/>
      </c>
      <c r="AG344" s="181" t="str">
        <f t="shared" ca="1" si="141"/>
        <v/>
      </c>
      <c r="AH344" s="185" t="str">
        <f t="shared" ca="1" si="142"/>
        <v/>
      </c>
      <c r="AI344" s="181" t="str">
        <f t="shared" ca="1" si="143"/>
        <v/>
      </c>
      <c r="AJ344" s="181" t="str">
        <f t="shared" ca="1" si="144"/>
        <v/>
      </c>
      <c r="AK344" s="181" t="str">
        <f t="shared" ca="1" si="145"/>
        <v/>
      </c>
      <c r="AL344" s="181" t="str">
        <f t="shared" ca="1" si="146"/>
        <v/>
      </c>
      <c r="AM344" s="181" t="str">
        <f t="shared" ca="1" si="147"/>
        <v/>
      </c>
      <c r="AN344" s="181" t="str">
        <f t="shared" ca="1" si="148"/>
        <v/>
      </c>
      <c r="AO344" s="181" t="str">
        <f t="shared" ca="1" si="149"/>
        <v/>
      </c>
      <c r="AP344" s="181" t="str">
        <f t="shared" ca="1" si="150"/>
        <v/>
      </c>
    </row>
    <row r="345" spans="30:42">
      <c r="AD345" s="181" t="str">
        <f t="shared" ca="1" si="138"/>
        <v/>
      </c>
      <c r="AE345" s="181" t="str">
        <f t="shared" ca="1" si="139"/>
        <v/>
      </c>
      <c r="AF345" s="181" t="str">
        <f t="shared" ca="1" si="140"/>
        <v/>
      </c>
      <c r="AG345" s="181" t="str">
        <f t="shared" ca="1" si="141"/>
        <v/>
      </c>
      <c r="AH345" s="185" t="str">
        <f t="shared" ca="1" si="142"/>
        <v/>
      </c>
      <c r="AI345" s="181" t="str">
        <f t="shared" ca="1" si="143"/>
        <v/>
      </c>
      <c r="AJ345" s="181" t="str">
        <f t="shared" ca="1" si="144"/>
        <v/>
      </c>
      <c r="AK345" s="181" t="str">
        <f t="shared" ca="1" si="145"/>
        <v/>
      </c>
      <c r="AL345" s="181" t="str">
        <f t="shared" ca="1" si="146"/>
        <v/>
      </c>
      <c r="AM345" s="181" t="str">
        <f t="shared" ca="1" si="147"/>
        <v/>
      </c>
      <c r="AN345" s="181" t="str">
        <f t="shared" ca="1" si="148"/>
        <v/>
      </c>
      <c r="AO345" s="181" t="str">
        <f t="shared" ca="1" si="149"/>
        <v/>
      </c>
      <c r="AP345" s="181" t="str">
        <f t="shared" ca="1" si="150"/>
        <v/>
      </c>
    </row>
    <row r="346" spans="30:42">
      <c r="AD346" s="181" t="str">
        <f t="shared" ca="1" si="138"/>
        <v/>
      </c>
      <c r="AE346" s="181" t="str">
        <f t="shared" ca="1" si="139"/>
        <v/>
      </c>
      <c r="AF346" s="181" t="str">
        <f t="shared" ca="1" si="140"/>
        <v/>
      </c>
      <c r="AG346" s="181" t="str">
        <f t="shared" ca="1" si="141"/>
        <v/>
      </c>
      <c r="AH346" s="185" t="str">
        <f t="shared" ca="1" si="142"/>
        <v/>
      </c>
      <c r="AI346" s="181" t="str">
        <f t="shared" ca="1" si="143"/>
        <v/>
      </c>
      <c r="AJ346" s="181" t="str">
        <f t="shared" ca="1" si="144"/>
        <v/>
      </c>
      <c r="AK346" s="181" t="str">
        <f t="shared" ca="1" si="145"/>
        <v/>
      </c>
      <c r="AL346" s="181" t="str">
        <f t="shared" ca="1" si="146"/>
        <v/>
      </c>
      <c r="AM346" s="181" t="str">
        <f t="shared" ca="1" si="147"/>
        <v/>
      </c>
      <c r="AN346" s="181" t="str">
        <f t="shared" ca="1" si="148"/>
        <v/>
      </c>
      <c r="AO346" s="181" t="str">
        <f t="shared" ca="1" si="149"/>
        <v/>
      </c>
      <c r="AP346" s="181" t="str">
        <f t="shared" ca="1" si="150"/>
        <v/>
      </c>
    </row>
    <row r="347" spans="30:42">
      <c r="AD347" s="181" t="str">
        <f t="shared" ca="1" si="138"/>
        <v/>
      </c>
      <c r="AE347" s="181" t="str">
        <f t="shared" ca="1" si="139"/>
        <v/>
      </c>
      <c r="AF347" s="181" t="str">
        <f t="shared" ca="1" si="140"/>
        <v/>
      </c>
      <c r="AG347" s="181" t="str">
        <f t="shared" ca="1" si="141"/>
        <v/>
      </c>
      <c r="AH347" s="185" t="str">
        <f t="shared" ca="1" si="142"/>
        <v/>
      </c>
      <c r="AI347" s="181" t="str">
        <f t="shared" ca="1" si="143"/>
        <v/>
      </c>
      <c r="AJ347" s="181" t="str">
        <f t="shared" ca="1" si="144"/>
        <v/>
      </c>
      <c r="AK347" s="181" t="str">
        <f t="shared" ca="1" si="145"/>
        <v/>
      </c>
      <c r="AL347" s="181" t="str">
        <f t="shared" ca="1" si="146"/>
        <v/>
      </c>
      <c r="AM347" s="181" t="str">
        <f t="shared" ca="1" si="147"/>
        <v/>
      </c>
      <c r="AN347" s="181" t="str">
        <f t="shared" ca="1" si="148"/>
        <v/>
      </c>
      <c r="AO347" s="181" t="str">
        <f t="shared" ca="1" si="149"/>
        <v/>
      </c>
      <c r="AP347" s="181" t="str">
        <f t="shared" ca="1" si="150"/>
        <v/>
      </c>
    </row>
    <row r="348" spans="30:42">
      <c r="AD348" s="181" t="str">
        <f t="shared" ca="1" si="138"/>
        <v/>
      </c>
      <c r="AE348" s="181" t="str">
        <f t="shared" ca="1" si="139"/>
        <v/>
      </c>
      <c r="AF348" s="181" t="str">
        <f t="shared" ca="1" si="140"/>
        <v/>
      </c>
      <c r="AG348" s="181" t="str">
        <f t="shared" ca="1" si="141"/>
        <v/>
      </c>
      <c r="AH348" s="185" t="str">
        <f t="shared" ca="1" si="142"/>
        <v/>
      </c>
      <c r="AI348" s="181" t="str">
        <f t="shared" ca="1" si="143"/>
        <v/>
      </c>
      <c r="AJ348" s="181" t="str">
        <f t="shared" ca="1" si="144"/>
        <v/>
      </c>
      <c r="AK348" s="181" t="str">
        <f t="shared" ca="1" si="145"/>
        <v/>
      </c>
      <c r="AL348" s="181" t="str">
        <f t="shared" ca="1" si="146"/>
        <v/>
      </c>
      <c r="AM348" s="181" t="str">
        <f t="shared" ca="1" si="147"/>
        <v/>
      </c>
      <c r="AN348" s="181" t="str">
        <f t="shared" ca="1" si="148"/>
        <v/>
      </c>
      <c r="AO348" s="181" t="str">
        <f t="shared" ca="1" si="149"/>
        <v/>
      </c>
      <c r="AP348" s="181" t="str">
        <f t="shared" ca="1" si="150"/>
        <v/>
      </c>
    </row>
    <row r="349" spans="30:42">
      <c r="AD349" s="181" t="str">
        <f t="shared" ca="1" si="138"/>
        <v/>
      </c>
      <c r="AE349" s="181" t="str">
        <f t="shared" ca="1" si="139"/>
        <v/>
      </c>
      <c r="AF349" s="181" t="str">
        <f t="shared" ca="1" si="140"/>
        <v/>
      </c>
      <c r="AG349" s="181" t="str">
        <f t="shared" ca="1" si="141"/>
        <v/>
      </c>
      <c r="AH349" s="185" t="str">
        <f t="shared" ca="1" si="142"/>
        <v/>
      </c>
      <c r="AI349" s="181" t="str">
        <f t="shared" ca="1" si="143"/>
        <v/>
      </c>
      <c r="AJ349" s="181" t="str">
        <f t="shared" ca="1" si="144"/>
        <v/>
      </c>
      <c r="AK349" s="181" t="str">
        <f t="shared" ca="1" si="145"/>
        <v/>
      </c>
      <c r="AL349" s="181" t="str">
        <f t="shared" ca="1" si="146"/>
        <v/>
      </c>
      <c r="AM349" s="181" t="str">
        <f t="shared" ca="1" si="147"/>
        <v/>
      </c>
      <c r="AN349" s="181" t="str">
        <f t="shared" ca="1" si="148"/>
        <v/>
      </c>
      <c r="AO349" s="181" t="str">
        <f t="shared" ca="1" si="149"/>
        <v/>
      </c>
      <c r="AP349" s="181" t="str">
        <f t="shared" ca="1" si="150"/>
        <v/>
      </c>
    </row>
    <row r="350" spans="30:42">
      <c r="AD350" s="181" t="str">
        <f t="shared" ca="1" si="138"/>
        <v/>
      </c>
      <c r="AE350" s="181" t="str">
        <f t="shared" ca="1" si="139"/>
        <v/>
      </c>
      <c r="AF350" s="181" t="str">
        <f t="shared" ca="1" si="140"/>
        <v/>
      </c>
      <c r="AG350" s="181" t="str">
        <f t="shared" ca="1" si="141"/>
        <v/>
      </c>
      <c r="AH350" s="185" t="str">
        <f t="shared" ca="1" si="142"/>
        <v/>
      </c>
      <c r="AI350" s="181" t="str">
        <f t="shared" ca="1" si="143"/>
        <v/>
      </c>
      <c r="AJ350" s="181" t="str">
        <f t="shared" ca="1" si="144"/>
        <v/>
      </c>
      <c r="AK350" s="181" t="str">
        <f t="shared" ca="1" si="145"/>
        <v/>
      </c>
      <c r="AL350" s="181" t="str">
        <f t="shared" ca="1" si="146"/>
        <v/>
      </c>
      <c r="AM350" s="181" t="str">
        <f t="shared" ca="1" si="147"/>
        <v/>
      </c>
      <c r="AN350" s="181" t="str">
        <f t="shared" ca="1" si="148"/>
        <v/>
      </c>
      <c r="AO350" s="181" t="str">
        <f t="shared" ca="1" si="149"/>
        <v/>
      </c>
      <c r="AP350" s="181" t="str">
        <f t="shared" ca="1" si="150"/>
        <v/>
      </c>
    </row>
    <row r="351" spans="30:42">
      <c r="AD351" s="181" t="str">
        <f t="shared" ca="1" si="138"/>
        <v/>
      </c>
      <c r="AE351" s="181" t="str">
        <f t="shared" ca="1" si="139"/>
        <v/>
      </c>
      <c r="AF351" s="181" t="str">
        <f t="shared" ca="1" si="140"/>
        <v/>
      </c>
      <c r="AG351" s="181" t="str">
        <f t="shared" ca="1" si="141"/>
        <v/>
      </c>
      <c r="AH351" s="185" t="str">
        <f t="shared" ca="1" si="142"/>
        <v/>
      </c>
      <c r="AI351" s="181" t="str">
        <f t="shared" ca="1" si="143"/>
        <v/>
      </c>
      <c r="AJ351" s="181" t="str">
        <f t="shared" ca="1" si="144"/>
        <v/>
      </c>
      <c r="AK351" s="181" t="str">
        <f t="shared" ca="1" si="145"/>
        <v/>
      </c>
      <c r="AL351" s="181" t="str">
        <f t="shared" ca="1" si="146"/>
        <v/>
      </c>
      <c r="AM351" s="181" t="str">
        <f t="shared" ca="1" si="147"/>
        <v/>
      </c>
      <c r="AN351" s="181" t="str">
        <f t="shared" ca="1" si="148"/>
        <v/>
      </c>
      <c r="AO351" s="181" t="str">
        <f t="shared" ca="1" si="149"/>
        <v/>
      </c>
      <c r="AP351" s="181" t="str">
        <f t="shared" ca="1" si="150"/>
        <v/>
      </c>
    </row>
    <row r="352" spans="30:42">
      <c r="AD352" s="181" t="str">
        <f t="shared" ca="1" si="138"/>
        <v/>
      </c>
      <c r="AE352" s="181" t="str">
        <f t="shared" ca="1" si="139"/>
        <v/>
      </c>
      <c r="AF352" s="181" t="str">
        <f t="shared" ca="1" si="140"/>
        <v/>
      </c>
      <c r="AG352" s="181" t="str">
        <f t="shared" ca="1" si="141"/>
        <v/>
      </c>
      <c r="AH352" s="185" t="str">
        <f t="shared" ca="1" si="142"/>
        <v/>
      </c>
      <c r="AI352" s="181" t="str">
        <f t="shared" ca="1" si="143"/>
        <v/>
      </c>
      <c r="AJ352" s="181" t="str">
        <f t="shared" ca="1" si="144"/>
        <v/>
      </c>
      <c r="AK352" s="181" t="str">
        <f t="shared" ca="1" si="145"/>
        <v/>
      </c>
      <c r="AL352" s="181" t="str">
        <f t="shared" ca="1" si="146"/>
        <v/>
      </c>
      <c r="AM352" s="181" t="str">
        <f t="shared" ca="1" si="147"/>
        <v/>
      </c>
      <c r="AN352" s="181" t="str">
        <f t="shared" ca="1" si="148"/>
        <v/>
      </c>
      <c r="AO352" s="181" t="str">
        <f t="shared" ca="1" si="149"/>
        <v/>
      </c>
      <c r="AP352" s="181" t="str">
        <f t="shared" ca="1" si="150"/>
        <v/>
      </c>
    </row>
    <row r="353" spans="30:42">
      <c r="AD353" s="181" t="str">
        <f t="shared" ca="1" si="138"/>
        <v/>
      </c>
      <c r="AE353" s="181" t="str">
        <f t="shared" ca="1" si="139"/>
        <v/>
      </c>
      <c r="AF353" s="181" t="str">
        <f t="shared" ca="1" si="140"/>
        <v/>
      </c>
      <c r="AG353" s="181" t="str">
        <f t="shared" ca="1" si="141"/>
        <v/>
      </c>
      <c r="AH353" s="185" t="str">
        <f t="shared" ca="1" si="142"/>
        <v/>
      </c>
      <c r="AI353" s="181" t="str">
        <f t="shared" ca="1" si="143"/>
        <v/>
      </c>
      <c r="AJ353" s="181" t="str">
        <f t="shared" ca="1" si="144"/>
        <v/>
      </c>
      <c r="AK353" s="181" t="str">
        <f t="shared" ca="1" si="145"/>
        <v/>
      </c>
      <c r="AL353" s="181" t="str">
        <f t="shared" ca="1" si="146"/>
        <v/>
      </c>
      <c r="AM353" s="181" t="str">
        <f t="shared" ca="1" si="147"/>
        <v/>
      </c>
      <c r="AN353" s="181" t="str">
        <f t="shared" ca="1" si="148"/>
        <v/>
      </c>
      <c r="AO353" s="181" t="str">
        <f t="shared" ca="1" si="149"/>
        <v/>
      </c>
      <c r="AP353" s="181" t="str">
        <f t="shared" ca="1" si="150"/>
        <v/>
      </c>
    </row>
    <row r="354" spans="30:42">
      <c r="AD354" s="181" t="str">
        <f t="shared" ca="1" si="138"/>
        <v/>
      </c>
      <c r="AE354" s="181" t="str">
        <f t="shared" ca="1" si="139"/>
        <v/>
      </c>
      <c r="AF354" s="181" t="str">
        <f t="shared" ca="1" si="140"/>
        <v/>
      </c>
      <c r="AG354" s="181" t="str">
        <f t="shared" ca="1" si="141"/>
        <v/>
      </c>
      <c r="AH354" s="185" t="str">
        <f t="shared" ca="1" si="142"/>
        <v/>
      </c>
      <c r="AI354" s="181" t="str">
        <f t="shared" ca="1" si="143"/>
        <v/>
      </c>
      <c r="AJ354" s="181" t="str">
        <f t="shared" ca="1" si="144"/>
        <v/>
      </c>
      <c r="AK354" s="181" t="str">
        <f t="shared" ca="1" si="145"/>
        <v/>
      </c>
      <c r="AL354" s="181" t="str">
        <f t="shared" ca="1" si="146"/>
        <v/>
      </c>
      <c r="AM354" s="181" t="str">
        <f t="shared" ca="1" si="147"/>
        <v/>
      </c>
      <c r="AN354" s="181" t="str">
        <f t="shared" ca="1" si="148"/>
        <v/>
      </c>
      <c r="AO354" s="181" t="str">
        <f t="shared" ca="1" si="149"/>
        <v/>
      </c>
      <c r="AP354" s="181" t="str">
        <f t="shared" ca="1" si="150"/>
        <v/>
      </c>
    </row>
    <row r="355" spans="30:42">
      <c r="AD355" s="181" t="str">
        <f t="shared" ca="1" si="138"/>
        <v/>
      </c>
      <c r="AE355" s="181" t="str">
        <f t="shared" ca="1" si="139"/>
        <v/>
      </c>
      <c r="AF355" s="181" t="str">
        <f t="shared" ca="1" si="140"/>
        <v/>
      </c>
      <c r="AG355" s="181" t="str">
        <f t="shared" ca="1" si="141"/>
        <v/>
      </c>
      <c r="AH355" s="185" t="str">
        <f t="shared" ca="1" si="142"/>
        <v/>
      </c>
      <c r="AI355" s="181" t="str">
        <f t="shared" ca="1" si="143"/>
        <v/>
      </c>
      <c r="AJ355" s="181" t="str">
        <f t="shared" ca="1" si="144"/>
        <v/>
      </c>
      <c r="AK355" s="181" t="str">
        <f t="shared" ca="1" si="145"/>
        <v/>
      </c>
      <c r="AL355" s="181" t="str">
        <f t="shared" ca="1" si="146"/>
        <v/>
      </c>
      <c r="AM355" s="181" t="str">
        <f t="shared" ca="1" si="147"/>
        <v/>
      </c>
      <c r="AN355" s="181" t="str">
        <f t="shared" ca="1" si="148"/>
        <v/>
      </c>
      <c r="AO355" s="181" t="str">
        <f t="shared" ca="1" si="149"/>
        <v/>
      </c>
      <c r="AP355" s="181" t="str">
        <f t="shared" ca="1" si="150"/>
        <v/>
      </c>
    </row>
    <row r="356" spans="30:42">
      <c r="AD356" s="181" t="str">
        <f t="shared" ca="1" si="138"/>
        <v/>
      </c>
      <c r="AE356" s="181" t="str">
        <f t="shared" ca="1" si="139"/>
        <v/>
      </c>
      <c r="AF356" s="181" t="str">
        <f t="shared" ca="1" si="140"/>
        <v/>
      </c>
      <c r="AG356" s="181" t="str">
        <f t="shared" ca="1" si="141"/>
        <v/>
      </c>
      <c r="AH356" s="185" t="str">
        <f t="shared" ca="1" si="142"/>
        <v/>
      </c>
      <c r="AI356" s="181" t="str">
        <f t="shared" ca="1" si="143"/>
        <v/>
      </c>
      <c r="AJ356" s="181" t="str">
        <f t="shared" ca="1" si="144"/>
        <v/>
      </c>
      <c r="AK356" s="181" t="str">
        <f t="shared" ca="1" si="145"/>
        <v/>
      </c>
      <c r="AL356" s="181" t="str">
        <f t="shared" ca="1" si="146"/>
        <v/>
      </c>
      <c r="AM356" s="181" t="str">
        <f t="shared" ca="1" si="147"/>
        <v/>
      </c>
      <c r="AN356" s="181" t="str">
        <f t="shared" ca="1" si="148"/>
        <v/>
      </c>
      <c r="AO356" s="181" t="str">
        <f t="shared" ca="1" si="149"/>
        <v/>
      </c>
      <c r="AP356" s="181" t="str">
        <f t="shared" ca="1" si="150"/>
        <v/>
      </c>
    </row>
    <row r="357" spans="30:42">
      <c r="AD357" s="181" t="str">
        <f t="shared" ca="1" si="138"/>
        <v/>
      </c>
      <c r="AE357" s="181" t="str">
        <f t="shared" ca="1" si="139"/>
        <v/>
      </c>
      <c r="AF357" s="181" t="str">
        <f t="shared" ca="1" si="140"/>
        <v/>
      </c>
      <c r="AG357" s="181" t="str">
        <f t="shared" ca="1" si="141"/>
        <v/>
      </c>
      <c r="AH357" s="185" t="str">
        <f t="shared" ca="1" si="142"/>
        <v/>
      </c>
      <c r="AI357" s="181" t="str">
        <f t="shared" ca="1" si="143"/>
        <v/>
      </c>
      <c r="AJ357" s="181" t="str">
        <f t="shared" ca="1" si="144"/>
        <v/>
      </c>
      <c r="AK357" s="181" t="str">
        <f t="shared" ca="1" si="145"/>
        <v/>
      </c>
      <c r="AL357" s="181" t="str">
        <f t="shared" ca="1" si="146"/>
        <v/>
      </c>
      <c r="AM357" s="181" t="str">
        <f t="shared" ca="1" si="147"/>
        <v/>
      </c>
      <c r="AN357" s="181" t="str">
        <f t="shared" ca="1" si="148"/>
        <v/>
      </c>
      <c r="AO357" s="181" t="str">
        <f t="shared" ca="1" si="149"/>
        <v/>
      </c>
      <c r="AP357" s="181" t="str">
        <f t="shared" ca="1" si="150"/>
        <v/>
      </c>
    </row>
    <row r="358" spans="30:42">
      <c r="AD358" s="181" t="str">
        <f t="shared" ca="1" si="138"/>
        <v/>
      </c>
      <c r="AE358" s="181" t="str">
        <f t="shared" ca="1" si="139"/>
        <v/>
      </c>
      <c r="AF358" s="181" t="str">
        <f t="shared" ca="1" si="140"/>
        <v/>
      </c>
      <c r="AG358" s="181" t="str">
        <f t="shared" ca="1" si="141"/>
        <v/>
      </c>
      <c r="AH358" s="185" t="str">
        <f t="shared" ca="1" si="142"/>
        <v/>
      </c>
      <c r="AI358" s="181" t="str">
        <f t="shared" ca="1" si="143"/>
        <v/>
      </c>
      <c r="AJ358" s="181" t="str">
        <f t="shared" ca="1" si="144"/>
        <v/>
      </c>
      <c r="AK358" s="181" t="str">
        <f t="shared" ca="1" si="145"/>
        <v/>
      </c>
      <c r="AL358" s="181" t="str">
        <f t="shared" ca="1" si="146"/>
        <v/>
      </c>
      <c r="AM358" s="181" t="str">
        <f t="shared" ca="1" si="147"/>
        <v/>
      </c>
      <c r="AN358" s="181" t="str">
        <f t="shared" ca="1" si="148"/>
        <v/>
      </c>
      <c r="AO358" s="181" t="str">
        <f t="shared" ca="1" si="149"/>
        <v/>
      </c>
      <c r="AP358" s="181" t="str">
        <f t="shared" ca="1" si="150"/>
        <v/>
      </c>
    </row>
    <row r="359" spans="30:42">
      <c r="AD359" s="181" t="str">
        <f t="shared" ca="1" si="138"/>
        <v/>
      </c>
      <c r="AE359" s="181" t="str">
        <f t="shared" ca="1" si="139"/>
        <v/>
      </c>
      <c r="AF359" s="181" t="str">
        <f t="shared" ca="1" si="140"/>
        <v/>
      </c>
      <c r="AG359" s="181" t="str">
        <f t="shared" ca="1" si="141"/>
        <v/>
      </c>
      <c r="AH359" s="185" t="str">
        <f t="shared" ca="1" si="142"/>
        <v/>
      </c>
      <c r="AI359" s="181" t="str">
        <f t="shared" ca="1" si="143"/>
        <v/>
      </c>
      <c r="AJ359" s="181" t="str">
        <f t="shared" ca="1" si="144"/>
        <v/>
      </c>
      <c r="AK359" s="181" t="str">
        <f t="shared" ca="1" si="145"/>
        <v/>
      </c>
      <c r="AL359" s="181" t="str">
        <f t="shared" ca="1" si="146"/>
        <v/>
      </c>
      <c r="AM359" s="181" t="str">
        <f t="shared" ca="1" si="147"/>
        <v/>
      </c>
      <c r="AN359" s="181" t="str">
        <f t="shared" ca="1" si="148"/>
        <v/>
      </c>
      <c r="AO359" s="181" t="str">
        <f t="shared" ca="1" si="149"/>
        <v/>
      </c>
      <c r="AP359" s="181" t="str">
        <f t="shared" ca="1" si="150"/>
        <v/>
      </c>
    </row>
    <row r="360" spans="30:42">
      <c r="AD360" s="181" t="str">
        <f t="shared" ca="1" si="138"/>
        <v/>
      </c>
      <c r="AE360" s="181" t="str">
        <f t="shared" ca="1" si="139"/>
        <v/>
      </c>
      <c r="AF360" s="181" t="str">
        <f t="shared" ca="1" si="140"/>
        <v/>
      </c>
      <c r="AG360" s="181" t="str">
        <f t="shared" ca="1" si="141"/>
        <v/>
      </c>
      <c r="AH360" s="185" t="str">
        <f t="shared" ca="1" si="142"/>
        <v/>
      </c>
      <c r="AI360" s="181" t="str">
        <f t="shared" ca="1" si="143"/>
        <v/>
      </c>
      <c r="AJ360" s="181" t="str">
        <f t="shared" ca="1" si="144"/>
        <v/>
      </c>
      <c r="AK360" s="181" t="str">
        <f t="shared" ca="1" si="145"/>
        <v/>
      </c>
      <c r="AL360" s="181" t="str">
        <f t="shared" ca="1" si="146"/>
        <v/>
      </c>
      <c r="AM360" s="181" t="str">
        <f t="shared" ca="1" si="147"/>
        <v/>
      </c>
      <c r="AN360" s="181" t="str">
        <f t="shared" ca="1" si="148"/>
        <v/>
      </c>
      <c r="AO360" s="181" t="str">
        <f t="shared" ca="1" si="149"/>
        <v/>
      </c>
      <c r="AP360" s="181" t="str">
        <f t="shared" ca="1" si="150"/>
        <v/>
      </c>
    </row>
    <row r="361" spans="30:42">
      <c r="AD361" s="181" t="str">
        <f t="shared" ca="1" si="138"/>
        <v/>
      </c>
      <c r="AE361" s="181" t="str">
        <f t="shared" ca="1" si="139"/>
        <v/>
      </c>
      <c r="AF361" s="181" t="str">
        <f t="shared" ca="1" si="140"/>
        <v/>
      </c>
      <c r="AG361" s="181" t="str">
        <f t="shared" ca="1" si="141"/>
        <v/>
      </c>
      <c r="AH361" s="185" t="str">
        <f t="shared" ca="1" si="142"/>
        <v/>
      </c>
      <c r="AI361" s="181" t="str">
        <f t="shared" ca="1" si="143"/>
        <v/>
      </c>
      <c r="AJ361" s="181" t="str">
        <f t="shared" ca="1" si="144"/>
        <v/>
      </c>
      <c r="AK361" s="181" t="str">
        <f t="shared" ca="1" si="145"/>
        <v/>
      </c>
      <c r="AL361" s="181" t="str">
        <f t="shared" ca="1" si="146"/>
        <v/>
      </c>
      <c r="AM361" s="181" t="str">
        <f t="shared" ca="1" si="147"/>
        <v/>
      </c>
      <c r="AN361" s="181" t="str">
        <f t="shared" ca="1" si="148"/>
        <v/>
      </c>
      <c r="AO361" s="181" t="str">
        <f t="shared" ca="1" si="149"/>
        <v/>
      </c>
      <c r="AP361" s="181" t="str">
        <f t="shared" ca="1" si="150"/>
        <v/>
      </c>
    </row>
    <row r="362" spans="30:42">
      <c r="AD362" s="181" t="str">
        <f t="shared" ca="1" si="138"/>
        <v/>
      </c>
      <c r="AE362" s="181" t="str">
        <f t="shared" ca="1" si="139"/>
        <v/>
      </c>
      <c r="AF362" s="181" t="str">
        <f t="shared" ca="1" si="140"/>
        <v/>
      </c>
      <c r="AG362" s="181" t="str">
        <f t="shared" ca="1" si="141"/>
        <v/>
      </c>
      <c r="AH362" s="185" t="str">
        <f t="shared" ca="1" si="142"/>
        <v/>
      </c>
      <c r="AI362" s="181" t="str">
        <f t="shared" ca="1" si="143"/>
        <v/>
      </c>
      <c r="AJ362" s="181" t="str">
        <f t="shared" ca="1" si="144"/>
        <v/>
      </c>
      <c r="AK362" s="181" t="str">
        <f t="shared" ca="1" si="145"/>
        <v/>
      </c>
      <c r="AL362" s="181" t="str">
        <f t="shared" ca="1" si="146"/>
        <v/>
      </c>
      <c r="AM362" s="181" t="str">
        <f t="shared" ca="1" si="147"/>
        <v/>
      </c>
      <c r="AN362" s="181" t="str">
        <f t="shared" ca="1" si="148"/>
        <v/>
      </c>
      <c r="AO362" s="181" t="str">
        <f t="shared" ca="1" si="149"/>
        <v/>
      </c>
      <c r="AP362" s="181" t="str">
        <f t="shared" ca="1" si="150"/>
        <v/>
      </c>
    </row>
    <row r="363" spans="30:42">
      <c r="AD363" s="181" t="str">
        <f t="shared" ca="1" si="138"/>
        <v/>
      </c>
      <c r="AE363" s="181" t="str">
        <f t="shared" ca="1" si="139"/>
        <v/>
      </c>
      <c r="AF363" s="181" t="str">
        <f t="shared" ca="1" si="140"/>
        <v/>
      </c>
      <c r="AG363" s="181" t="str">
        <f t="shared" ca="1" si="141"/>
        <v/>
      </c>
      <c r="AH363" s="185" t="str">
        <f t="shared" ca="1" si="142"/>
        <v/>
      </c>
      <c r="AI363" s="181" t="str">
        <f t="shared" ca="1" si="143"/>
        <v/>
      </c>
      <c r="AJ363" s="181" t="str">
        <f t="shared" ca="1" si="144"/>
        <v/>
      </c>
      <c r="AK363" s="181" t="str">
        <f t="shared" ca="1" si="145"/>
        <v/>
      </c>
      <c r="AL363" s="181" t="str">
        <f t="shared" ca="1" si="146"/>
        <v/>
      </c>
      <c r="AM363" s="181" t="str">
        <f t="shared" ca="1" si="147"/>
        <v/>
      </c>
      <c r="AN363" s="181" t="str">
        <f t="shared" ca="1" si="148"/>
        <v/>
      </c>
      <c r="AO363" s="181" t="str">
        <f t="shared" ca="1" si="149"/>
        <v/>
      </c>
      <c r="AP363" s="181" t="str">
        <f t="shared" ca="1" si="150"/>
        <v/>
      </c>
    </row>
    <row r="364" spans="30:42">
      <c r="AD364" s="181" t="str">
        <f t="shared" ca="1" si="138"/>
        <v/>
      </c>
      <c r="AE364" s="181" t="str">
        <f t="shared" ca="1" si="139"/>
        <v/>
      </c>
      <c r="AF364" s="181" t="str">
        <f t="shared" ca="1" si="140"/>
        <v/>
      </c>
      <c r="AG364" s="181" t="str">
        <f t="shared" ca="1" si="141"/>
        <v/>
      </c>
      <c r="AH364" s="185" t="str">
        <f t="shared" ca="1" si="142"/>
        <v/>
      </c>
      <c r="AI364" s="181" t="str">
        <f t="shared" ca="1" si="143"/>
        <v/>
      </c>
      <c r="AJ364" s="181" t="str">
        <f t="shared" ca="1" si="144"/>
        <v/>
      </c>
      <c r="AK364" s="181" t="str">
        <f t="shared" ca="1" si="145"/>
        <v/>
      </c>
      <c r="AL364" s="181" t="str">
        <f t="shared" ca="1" si="146"/>
        <v/>
      </c>
      <c r="AM364" s="181" t="str">
        <f t="shared" ca="1" si="147"/>
        <v/>
      </c>
      <c r="AN364" s="181" t="str">
        <f t="shared" ca="1" si="148"/>
        <v/>
      </c>
      <c r="AO364" s="181" t="str">
        <f t="shared" ca="1" si="149"/>
        <v/>
      </c>
      <c r="AP364" s="181" t="str">
        <f t="shared" ca="1" si="150"/>
        <v/>
      </c>
    </row>
    <row r="365" spans="30:42">
      <c r="AD365" s="181" t="str">
        <f t="shared" ca="1" si="138"/>
        <v/>
      </c>
      <c r="AE365" s="181" t="str">
        <f t="shared" ca="1" si="139"/>
        <v/>
      </c>
      <c r="AF365" s="181" t="str">
        <f t="shared" ca="1" si="140"/>
        <v/>
      </c>
      <c r="AG365" s="181" t="str">
        <f t="shared" ca="1" si="141"/>
        <v/>
      </c>
      <c r="AH365" s="185" t="str">
        <f t="shared" ca="1" si="142"/>
        <v/>
      </c>
      <c r="AI365" s="181" t="str">
        <f t="shared" ca="1" si="143"/>
        <v/>
      </c>
      <c r="AJ365" s="181" t="str">
        <f t="shared" ca="1" si="144"/>
        <v/>
      </c>
      <c r="AK365" s="181" t="str">
        <f t="shared" ca="1" si="145"/>
        <v/>
      </c>
      <c r="AL365" s="181" t="str">
        <f t="shared" ca="1" si="146"/>
        <v/>
      </c>
      <c r="AM365" s="181" t="str">
        <f t="shared" ca="1" si="147"/>
        <v/>
      </c>
      <c r="AN365" s="181" t="str">
        <f t="shared" ca="1" si="148"/>
        <v/>
      </c>
      <c r="AO365" s="181" t="str">
        <f t="shared" ca="1" si="149"/>
        <v/>
      </c>
      <c r="AP365" s="181" t="str">
        <f t="shared" ca="1" si="150"/>
        <v/>
      </c>
    </row>
    <row r="366" spans="30:42">
      <c r="AD366" s="181" t="str">
        <f t="shared" ref="AD366:AD397" ca="1" si="151">IFERROR(INDEX(AC:AC,MATCH(SMALL($AU:$AU,ROW()+3),$AU:$AU,0)),"")</f>
        <v/>
      </c>
      <c r="AE366" s="181" t="str">
        <f t="shared" ref="AE366:AE374" ca="1" si="152">IFERROR(INDEX(R:R,MATCH(SMALL($AU:$AU,ROW()+3),$AU:$AU,0)),"")</f>
        <v/>
      </c>
      <c r="AF366" s="181" t="str">
        <f t="shared" ref="AF366:AF374" ca="1" si="153">IFERROR(INDEX(S:S,MATCH(SMALL($AU:$AU,ROW()+3),$AU:$AU,0)),"")</f>
        <v/>
      </c>
      <c r="AG366" s="181" t="str">
        <f t="shared" ref="AG366:AG374" ca="1" si="154">IFERROR(INDEX(T:T,MATCH(SMALL($AU:$AU,ROW()+3),$AU:$AU,0)),"")</f>
        <v/>
      </c>
      <c r="AH366" s="185" t="str">
        <f t="shared" ref="AH366:AH374" ca="1" si="155">IFERROR(INDEX(U:U,MATCH(SMALL($AU:$AU,ROW()+3),$AU:$AU,0)),"")</f>
        <v/>
      </c>
      <c r="AI366" s="181" t="str">
        <f t="shared" ref="AI366:AI374" ca="1" si="156">IFERROR(INDEX(V:V,MATCH(SMALL($AU:$AU,ROW()+3),$AU:$AU,0)),"")</f>
        <v/>
      </c>
      <c r="AJ366" s="181" t="str">
        <f t="shared" ref="AJ366:AJ374" ca="1" si="157">IFERROR(INDEX(W:W,MATCH(SMALL($AU:$AU,ROW()+3),$AU:$AU,0)),"")</f>
        <v/>
      </c>
      <c r="AK366" s="181" t="str">
        <f t="shared" ref="AK366:AK374" ca="1" si="158">IFERROR(INDEX(X:X,MATCH(SMALL($AU:$AU,ROW()+3),$AU:$AU,0)),"")</f>
        <v/>
      </c>
      <c r="AL366" s="181" t="str">
        <f t="shared" ref="AL366:AL374" ca="1" si="159">IFERROR(INDEX(Y:Y,MATCH(SMALL($AU:$AU,ROW()+3),$AU:$AU,0)),"")</f>
        <v/>
      </c>
      <c r="AM366" s="181" t="str">
        <f t="shared" ref="AM366:AM374" ca="1" si="160">IFERROR(INDEX(Z:Z,MATCH(SMALL($AU:$AU,ROW()+3),$AU:$AU,0)),"")</f>
        <v/>
      </c>
      <c r="AN366" s="181" t="str">
        <f t="shared" ref="AN366:AN374" ca="1" si="161">IFERROR(INDEX(AA:AA,MATCH(SMALL($AU:$AU,ROW()+3),$AU:$AU,0)),"")</f>
        <v/>
      </c>
      <c r="AO366" s="181" t="str">
        <f t="shared" ref="AO366:AO374" ca="1" si="162">IFERROR(INDEX(AB:AB,MATCH(SMALL($AU:$AU,ROW()+3),$AU:$AU,0)),"")</f>
        <v/>
      </c>
      <c r="AP366" s="181" t="str">
        <f t="shared" ref="AP366:AP374" ca="1" si="163">IFERROR(INDEX(AC:AC,MATCH(SMALL($AU:$AU,ROW()+3),$AU:$AU,0)),"")</f>
        <v/>
      </c>
    </row>
    <row r="367" spans="30:42">
      <c r="AD367" s="181" t="str">
        <f t="shared" ca="1" si="151"/>
        <v/>
      </c>
      <c r="AE367" s="181" t="str">
        <f t="shared" ca="1" si="152"/>
        <v/>
      </c>
      <c r="AF367" s="181" t="str">
        <f t="shared" ca="1" si="153"/>
        <v/>
      </c>
      <c r="AG367" s="181" t="str">
        <f t="shared" ca="1" si="154"/>
        <v/>
      </c>
      <c r="AH367" s="185" t="str">
        <f t="shared" ca="1" si="155"/>
        <v/>
      </c>
      <c r="AI367" s="181" t="str">
        <f t="shared" ca="1" si="156"/>
        <v/>
      </c>
      <c r="AJ367" s="181" t="str">
        <f t="shared" ca="1" si="157"/>
        <v/>
      </c>
      <c r="AK367" s="181" t="str">
        <f t="shared" ca="1" si="158"/>
        <v/>
      </c>
      <c r="AL367" s="181" t="str">
        <f t="shared" ca="1" si="159"/>
        <v/>
      </c>
      <c r="AM367" s="181" t="str">
        <f t="shared" ca="1" si="160"/>
        <v/>
      </c>
      <c r="AN367" s="181" t="str">
        <f t="shared" ca="1" si="161"/>
        <v/>
      </c>
      <c r="AO367" s="181" t="str">
        <f t="shared" ca="1" si="162"/>
        <v/>
      </c>
      <c r="AP367" s="181" t="str">
        <f t="shared" ca="1" si="163"/>
        <v/>
      </c>
    </row>
    <row r="368" spans="30:42">
      <c r="AD368" s="181" t="str">
        <f t="shared" ca="1" si="151"/>
        <v/>
      </c>
      <c r="AE368" s="181" t="str">
        <f t="shared" ca="1" si="152"/>
        <v/>
      </c>
      <c r="AF368" s="181" t="str">
        <f t="shared" ca="1" si="153"/>
        <v/>
      </c>
      <c r="AG368" s="181" t="str">
        <f t="shared" ca="1" si="154"/>
        <v/>
      </c>
      <c r="AH368" s="185" t="str">
        <f t="shared" ca="1" si="155"/>
        <v/>
      </c>
      <c r="AI368" s="181" t="str">
        <f t="shared" ca="1" si="156"/>
        <v/>
      </c>
      <c r="AJ368" s="181" t="str">
        <f t="shared" ca="1" si="157"/>
        <v/>
      </c>
      <c r="AK368" s="181" t="str">
        <f t="shared" ca="1" si="158"/>
        <v/>
      </c>
      <c r="AL368" s="181" t="str">
        <f t="shared" ca="1" si="159"/>
        <v/>
      </c>
      <c r="AM368" s="181" t="str">
        <f t="shared" ca="1" si="160"/>
        <v/>
      </c>
      <c r="AN368" s="181" t="str">
        <f t="shared" ca="1" si="161"/>
        <v/>
      </c>
      <c r="AO368" s="181" t="str">
        <f t="shared" ca="1" si="162"/>
        <v/>
      </c>
      <c r="AP368" s="181" t="str">
        <f t="shared" ca="1" si="163"/>
        <v/>
      </c>
    </row>
    <row r="369" spans="30:42">
      <c r="AD369" s="181" t="str">
        <f t="shared" ca="1" si="151"/>
        <v/>
      </c>
      <c r="AE369" s="181" t="str">
        <f t="shared" ca="1" si="152"/>
        <v/>
      </c>
      <c r="AF369" s="181" t="str">
        <f t="shared" ca="1" si="153"/>
        <v/>
      </c>
      <c r="AG369" s="181" t="str">
        <f t="shared" ca="1" si="154"/>
        <v/>
      </c>
      <c r="AH369" s="185" t="str">
        <f t="shared" ca="1" si="155"/>
        <v/>
      </c>
      <c r="AI369" s="181" t="str">
        <f t="shared" ca="1" si="156"/>
        <v/>
      </c>
      <c r="AJ369" s="181" t="str">
        <f t="shared" ca="1" si="157"/>
        <v/>
      </c>
      <c r="AK369" s="181" t="str">
        <f t="shared" ca="1" si="158"/>
        <v/>
      </c>
      <c r="AL369" s="181" t="str">
        <f t="shared" ca="1" si="159"/>
        <v/>
      </c>
      <c r="AM369" s="181" t="str">
        <f t="shared" ca="1" si="160"/>
        <v/>
      </c>
      <c r="AN369" s="181" t="str">
        <f t="shared" ca="1" si="161"/>
        <v/>
      </c>
      <c r="AO369" s="181" t="str">
        <f t="shared" ca="1" si="162"/>
        <v/>
      </c>
      <c r="AP369" s="181" t="str">
        <f t="shared" ca="1" si="163"/>
        <v/>
      </c>
    </row>
    <row r="370" spans="30:42">
      <c r="AD370" s="181" t="str">
        <f t="shared" ca="1" si="151"/>
        <v/>
      </c>
      <c r="AE370" s="181" t="str">
        <f t="shared" ca="1" si="152"/>
        <v/>
      </c>
      <c r="AF370" s="181" t="str">
        <f t="shared" ca="1" si="153"/>
        <v/>
      </c>
      <c r="AG370" s="181" t="str">
        <f t="shared" ca="1" si="154"/>
        <v/>
      </c>
      <c r="AH370" s="185" t="str">
        <f t="shared" ca="1" si="155"/>
        <v/>
      </c>
      <c r="AI370" s="181" t="str">
        <f t="shared" ca="1" si="156"/>
        <v/>
      </c>
      <c r="AJ370" s="181" t="str">
        <f t="shared" ca="1" si="157"/>
        <v/>
      </c>
      <c r="AK370" s="181" t="str">
        <f t="shared" ca="1" si="158"/>
        <v/>
      </c>
      <c r="AL370" s="181" t="str">
        <f t="shared" ca="1" si="159"/>
        <v/>
      </c>
      <c r="AM370" s="181" t="str">
        <f t="shared" ca="1" si="160"/>
        <v/>
      </c>
      <c r="AN370" s="181" t="str">
        <f t="shared" ca="1" si="161"/>
        <v/>
      </c>
      <c r="AO370" s="181" t="str">
        <f t="shared" ca="1" si="162"/>
        <v/>
      </c>
      <c r="AP370" s="181" t="str">
        <f t="shared" ca="1" si="163"/>
        <v/>
      </c>
    </row>
    <row r="371" spans="30:42">
      <c r="AD371" s="181" t="str">
        <f t="shared" ca="1" si="151"/>
        <v/>
      </c>
      <c r="AE371" s="181" t="str">
        <f t="shared" ca="1" si="152"/>
        <v/>
      </c>
      <c r="AF371" s="181" t="str">
        <f t="shared" ca="1" si="153"/>
        <v/>
      </c>
      <c r="AG371" s="181" t="str">
        <f t="shared" ca="1" si="154"/>
        <v/>
      </c>
      <c r="AH371" s="185" t="str">
        <f t="shared" ca="1" si="155"/>
        <v/>
      </c>
      <c r="AI371" s="181" t="str">
        <f t="shared" ca="1" si="156"/>
        <v/>
      </c>
      <c r="AJ371" s="181" t="str">
        <f t="shared" ca="1" si="157"/>
        <v/>
      </c>
      <c r="AK371" s="181" t="str">
        <f t="shared" ca="1" si="158"/>
        <v/>
      </c>
      <c r="AL371" s="181" t="str">
        <f t="shared" ca="1" si="159"/>
        <v/>
      </c>
      <c r="AM371" s="181" t="str">
        <f t="shared" ca="1" si="160"/>
        <v/>
      </c>
      <c r="AN371" s="181" t="str">
        <f t="shared" ca="1" si="161"/>
        <v/>
      </c>
      <c r="AO371" s="181" t="str">
        <f t="shared" ca="1" si="162"/>
        <v/>
      </c>
      <c r="AP371" s="181" t="str">
        <f t="shared" ca="1" si="163"/>
        <v/>
      </c>
    </row>
    <row r="372" spans="30:42">
      <c r="AD372" s="181" t="str">
        <f t="shared" ca="1" si="151"/>
        <v/>
      </c>
      <c r="AE372" s="181" t="str">
        <f t="shared" ca="1" si="152"/>
        <v/>
      </c>
      <c r="AF372" s="181" t="str">
        <f t="shared" ca="1" si="153"/>
        <v/>
      </c>
      <c r="AG372" s="181" t="str">
        <f t="shared" ca="1" si="154"/>
        <v/>
      </c>
      <c r="AH372" s="185" t="str">
        <f t="shared" ca="1" si="155"/>
        <v/>
      </c>
      <c r="AI372" s="181" t="str">
        <f t="shared" ca="1" si="156"/>
        <v/>
      </c>
      <c r="AJ372" s="181" t="str">
        <f t="shared" ca="1" si="157"/>
        <v/>
      </c>
      <c r="AK372" s="181" t="str">
        <f t="shared" ca="1" si="158"/>
        <v/>
      </c>
      <c r="AL372" s="181" t="str">
        <f t="shared" ca="1" si="159"/>
        <v/>
      </c>
      <c r="AM372" s="181" t="str">
        <f t="shared" ca="1" si="160"/>
        <v/>
      </c>
      <c r="AN372" s="181" t="str">
        <f t="shared" ca="1" si="161"/>
        <v/>
      </c>
      <c r="AO372" s="181" t="str">
        <f t="shared" ca="1" si="162"/>
        <v/>
      </c>
      <c r="AP372" s="181" t="str">
        <f t="shared" ca="1" si="163"/>
        <v/>
      </c>
    </row>
    <row r="373" spans="30:42">
      <c r="AD373" s="181" t="str">
        <f t="shared" ca="1" si="151"/>
        <v/>
      </c>
      <c r="AE373" s="181" t="str">
        <f t="shared" ca="1" si="152"/>
        <v/>
      </c>
      <c r="AF373" s="181" t="str">
        <f t="shared" ca="1" si="153"/>
        <v/>
      </c>
      <c r="AG373" s="181" t="str">
        <f t="shared" ca="1" si="154"/>
        <v/>
      </c>
      <c r="AH373" s="185" t="str">
        <f t="shared" ca="1" si="155"/>
        <v/>
      </c>
      <c r="AI373" s="181" t="str">
        <f t="shared" ca="1" si="156"/>
        <v/>
      </c>
      <c r="AJ373" s="181" t="str">
        <f t="shared" ca="1" si="157"/>
        <v/>
      </c>
      <c r="AK373" s="181" t="str">
        <f t="shared" ca="1" si="158"/>
        <v/>
      </c>
      <c r="AL373" s="181" t="str">
        <f t="shared" ca="1" si="159"/>
        <v/>
      </c>
      <c r="AM373" s="181" t="str">
        <f t="shared" ca="1" si="160"/>
        <v/>
      </c>
      <c r="AN373" s="181" t="str">
        <f t="shared" ca="1" si="161"/>
        <v/>
      </c>
      <c r="AO373" s="181" t="str">
        <f t="shared" ca="1" si="162"/>
        <v/>
      </c>
      <c r="AP373" s="181" t="str">
        <f t="shared" ca="1" si="163"/>
        <v/>
      </c>
    </row>
    <row r="374" spans="30:42">
      <c r="AD374" s="181" t="str">
        <f t="shared" ca="1" si="151"/>
        <v/>
      </c>
      <c r="AE374" s="181" t="str">
        <f t="shared" ca="1" si="152"/>
        <v/>
      </c>
      <c r="AF374" s="181" t="str">
        <f t="shared" ca="1" si="153"/>
        <v/>
      </c>
      <c r="AG374" s="181" t="str">
        <f t="shared" ca="1" si="154"/>
        <v/>
      </c>
      <c r="AH374" s="185" t="str">
        <f t="shared" ca="1" si="155"/>
        <v/>
      </c>
      <c r="AI374" s="181" t="str">
        <f t="shared" ca="1" si="156"/>
        <v/>
      </c>
      <c r="AJ374" s="181" t="str">
        <f t="shared" ca="1" si="157"/>
        <v/>
      </c>
      <c r="AK374" s="181" t="str">
        <f t="shared" ca="1" si="158"/>
        <v/>
      </c>
      <c r="AL374" s="181" t="str">
        <f t="shared" ca="1" si="159"/>
        <v/>
      </c>
      <c r="AM374" s="181" t="str">
        <f t="shared" ca="1" si="160"/>
        <v/>
      </c>
      <c r="AN374" s="181" t="str">
        <f t="shared" ca="1" si="161"/>
        <v/>
      </c>
      <c r="AO374" s="181" t="str">
        <f t="shared" ca="1" si="162"/>
        <v/>
      </c>
      <c r="AP374" s="181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6" zoomScale="70" zoomScaleNormal="70" zoomScalePageLayoutView="55" workbookViewId="0">
      <selection activeCell="K38" sqref="K38"/>
    </sheetView>
  </sheetViews>
  <sheetFormatPr defaultRowHeight="22.2"/>
  <cols>
    <col min="1" max="1" width="2.8984375" style="46" customWidth="1"/>
    <col min="2" max="2" width="8.09765625" style="179" customWidth="1"/>
    <col min="3" max="5" width="7.59765625" style="179" customWidth="1"/>
    <col min="6" max="6" width="12.19921875" style="179" customWidth="1"/>
    <col min="7" max="7" width="4.19921875" style="38" customWidth="1"/>
    <col min="8" max="8" width="8.5" style="179" hidden="1" customWidth="1"/>
    <col min="9" max="9" width="8.5" style="179" customWidth="1"/>
    <col min="10" max="12" width="7.59765625" style="179" customWidth="1"/>
    <col min="13" max="13" width="12.19921875" style="179" customWidth="1"/>
    <col min="14" max="14" width="4.19921875" style="35" customWidth="1"/>
    <col min="15" max="15" width="2.796875" style="179" customWidth="1"/>
    <col min="16" max="16" width="2.796875" style="46" customWidth="1"/>
    <col min="17" max="17" width="8.09765625" style="179" customWidth="1"/>
    <col min="18" max="20" width="7.59765625" style="179" customWidth="1"/>
    <col min="21" max="21" width="12.19921875" style="179" customWidth="1"/>
    <col min="22" max="22" width="4.19921875" style="38" customWidth="1"/>
    <col min="23" max="23" width="8.5" style="179" hidden="1" customWidth="1"/>
    <col min="24" max="24" width="8.5" style="179" customWidth="1"/>
    <col min="25" max="27" width="7.59765625" style="179" customWidth="1"/>
    <col min="28" max="28" width="12.19921875" style="179" customWidth="1"/>
    <col min="29" max="29" width="4.19921875" style="35" customWidth="1"/>
    <col min="30" max="30" width="2.796875" style="179" customWidth="1"/>
    <col min="31" max="31" width="2.796875" style="46" customWidth="1"/>
    <col min="32" max="32" width="8.09765625" style="179" customWidth="1"/>
    <col min="33" max="35" width="7.59765625" style="179" customWidth="1"/>
    <col min="36" max="36" width="12.19921875" style="179" customWidth="1"/>
    <col min="37" max="37" width="4.19921875" style="38" customWidth="1"/>
    <col min="38" max="38" width="8.5" style="179" hidden="1" customWidth="1"/>
    <col min="39" max="39" width="8.5" style="179" customWidth="1"/>
    <col min="40" max="42" width="7.59765625" style="179" customWidth="1"/>
    <col min="43" max="43" width="12.19921875" style="179" customWidth="1"/>
    <col min="44" max="44" width="4.19921875" style="35" customWidth="1"/>
    <col min="45" max="45" width="2.796875" style="179" customWidth="1"/>
    <col min="46" max="46" width="2.796875" style="46" customWidth="1"/>
    <col min="47" max="47" width="8.09765625" style="179" customWidth="1"/>
    <col min="48" max="50" width="7.59765625" style="179" customWidth="1"/>
    <col min="51" max="51" width="12.19921875" style="179" customWidth="1"/>
    <col min="52" max="52" width="4.19921875" style="38" customWidth="1"/>
    <col min="53" max="53" width="8.5" style="179" hidden="1" customWidth="1"/>
    <col min="54" max="54" width="8.5" style="179" customWidth="1"/>
    <col min="55" max="57" width="7.59765625" style="179" customWidth="1"/>
    <col min="58" max="58" width="12.19921875" style="179" customWidth="1"/>
    <col min="59" max="59" width="4.19921875" style="35" customWidth="1"/>
    <col min="60" max="60" width="2.796875" style="179" customWidth="1"/>
    <col min="61" max="61" width="2.8984375" style="46" customWidth="1"/>
    <col min="62" max="62" width="8.09765625" style="179" customWidth="1"/>
    <col min="63" max="65" width="7.59765625" style="179" customWidth="1"/>
    <col min="66" max="66" width="12.19921875" style="179" customWidth="1"/>
    <col min="67" max="67" width="4.19921875" style="38" customWidth="1"/>
    <col min="68" max="68" width="8.5" style="179" hidden="1" customWidth="1"/>
    <col min="69" max="69" width="8.5" style="179" customWidth="1"/>
    <col min="70" max="72" width="7.59765625" style="179" customWidth="1"/>
    <col min="73" max="73" width="12.19921875" style="179" customWidth="1"/>
    <col min="74" max="74" width="4.19921875" style="35" customWidth="1"/>
    <col min="75" max="75" width="2.796875" style="179" customWidth="1"/>
    <col min="76" max="76" width="2.796875" style="46" customWidth="1"/>
    <col min="77" max="77" width="8.09765625" style="179" customWidth="1"/>
    <col min="78" max="80" width="7.59765625" style="179" customWidth="1"/>
    <col min="81" max="81" width="12.19921875" style="179" customWidth="1"/>
    <col min="82" max="82" width="4.19921875" style="38" customWidth="1"/>
    <col min="83" max="83" width="8.5" style="179" hidden="1" customWidth="1"/>
    <col min="84" max="84" width="8.5" style="179" customWidth="1"/>
    <col min="85" max="87" width="7.59765625" style="179" customWidth="1"/>
    <col min="88" max="88" width="12.19921875" style="179" customWidth="1"/>
    <col min="89" max="89" width="4.19921875" style="35" customWidth="1"/>
    <col min="90" max="90" width="2.796875" style="179" customWidth="1"/>
    <col min="91" max="91" width="2.796875" style="46" customWidth="1"/>
    <col min="92" max="92" width="8.09765625" style="179" customWidth="1"/>
    <col min="93" max="95" width="7.59765625" style="179" customWidth="1"/>
    <col min="96" max="96" width="12.19921875" style="179" customWidth="1"/>
    <col min="97" max="97" width="4.19921875" style="38" customWidth="1"/>
    <col min="98" max="98" width="8.5" style="179" hidden="1" customWidth="1"/>
    <col min="99" max="99" width="8.5" style="179" customWidth="1"/>
    <col min="100" max="102" width="7.59765625" style="179" customWidth="1"/>
    <col min="103" max="103" width="12.19921875" style="179" customWidth="1"/>
    <col min="104" max="104" width="4.19921875" style="35" customWidth="1"/>
    <col min="105" max="105" width="2.796875" style="179" customWidth="1"/>
    <col min="106" max="106" width="2.796875" style="46" customWidth="1"/>
    <col min="107" max="107" width="8.09765625" style="179" customWidth="1"/>
    <col min="108" max="110" width="7.59765625" style="179" customWidth="1"/>
    <col min="111" max="111" width="12.19921875" style="179" customWidth="1"/>
    <col min="112" max="112" width="4.19921875" style="38" customWidth="1"/>
    <col min="113" max="113" width="8.5" style="179" hidden="1" customWidth="1"/>
    <col min="114" max="114" width="8.5" style="179" customWidth="1"/>
    <col min="115" max="117" width="7.59765625" style="179" customWidth="1"/>
    <col min="118" max="118" width="12.19921875" style="179" customWidth="1"/>
    <col min="119" max="119" width="4.19921875" style="35" customWidth="1"/>
    <col min="120" max="120" width="2.796875" style="179" customWidth="1"/>
    <col min="121" max="121" width="2.796875" style="46" customWidth="1"/>
    <col min="122" max="122" width="8.09765625" style="179" customWidth="1"/>
    <col min="123" max="125" width="7.59765625" style="179" customWidth="1"/>
    <col min="126" max="126" width="12.19921875" style="179" customWidth="1"/>
    <col min="127" max="127" width="4.19921875" style="38" customWidth="1"/>
    <col min="128" max="128" width="8.5" style="179" hidden="1" customWidth="1"/>
    <col min="129" max="129" width="8.5" style="179" customWidth="1"/>
    <col min="130" max="132" width="7.59765625" style="179" customWidth="1"/>
    <col min="133" max="133" width="12.19921875" style="179" customWidth="1"/>
    <col min="134" max="134" width="4.19921875" style="35" customWidth="1"/>
    <col min="135" max="135" width="2.796875" style="179" customWidth="1"/>
    <col min="136" max="136" width="2.796875" style="46" customWidth="1"/>
    <col min="137" max="137" width="8.09765625" style="179" customWidth="1"/>
    <col min="138" max="140" width="7.59765625" style="179" customWidth="1"/>
    <col min="141" max="141" width="12.19921875" style="179" customWidth="1"/>
    <col min="142" max="142" width="4.19921875" style="38" customWidth="1"/>
    <col min="143" max="143" width="8.5" style="179" hidden="1" customWidth="1"/>
    <col min="144" max="144" width="8.5" style="179" customWidth="1"/>
    <col min="145" max="147" width="7.59765625" style="179" customWidth="1"/>
    <col min="148" max="148" width="12.19921875" style="179" customWidth="1"/>
    <col min="149" max="149" width="4.19921875" style="35" customWidth="1"/>
    <col min="150" max="150" width="2.796875" style="179" customWidth="1"/>
  </cols>
  <sheetData>
    <row r="1" spans="1:150" s="180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07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08"/>
      <c r="E1" s="208"/>
      <c r="F1" s="208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7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8"/>
      <c r="L1" s="208"/>
      <c r="M1" s="208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7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8"/>
      <c r="T1" s="208"/>
      <c r="U1" s="208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7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8"/>
      <c r="AA1" s="208"/>
      <c r="AB1" s="208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7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8"/>
      <c r="AI1" s="208"/>
      <c r="AJ1" s="208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7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8"/>
      <c r="AP1" s="208"/>
      <c r="AQ1" s="208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7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8"/>
      <c r="AX1" s="208"/>
      <c r="AY1" s="208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7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8"/>
      <c r="BE1" s="208"/>
      <c r="BF1" s="208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7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8"/>
      <c r="BM1" s="208"/>
      <c r="BN1" s="208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7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8"/>
      <c r="BT1" s="208"/>
      <c r="BU1" s="208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7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8"/>
      <c r="CB1" s="208"/>
      <c r="CC1" s="208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7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8"/>
      <c r="CI1" s="208"/>
      <c r="CJ1" s="208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7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8"/>
      <c r="CQ1" s="208"/>
      <c r="CR1" s="208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7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8"/>
      <c r="CX1" s="208"/>
      <c r="CY1" s="208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7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8"/>
      <c r="DF1" s="208"/>
      <c r="DG1" s="208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7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8"/>
      <c r="DM1" s="208"/>
      <c r="DN1" s="208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7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8"/>
      <c r="DU1" s="208"/>
      <c r="DV1" s="208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7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8"/>
      <c r="EB1" s="208"/>
      <c r="EC1" s="208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7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8"/>
      <c r="EJ1" s="208"/>
      <c r="EK1" s="208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7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8"/>
      <c r="EQ1" s="208"/>
      <c r="ER1" s="208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0" customFormat="1">
      <c r="A2" s="30"/>
      <c r="B2" s="103"/>
      <c r="C2" s="138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8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8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8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8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8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8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8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8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8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8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8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8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8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8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8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8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8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8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8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0" customFormat="1">
      <c r="A3" s="30"/>
      <c r="B3" s="31"/>
      <c r="C3" s="205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6"/>
      <c r="E3" s="22"/>
      <c r="F3" s="137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5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6"/>
      <c r="L3" s="22"/>
      <c r="M3" s="137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5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6"/>
      <c r="T3" s="22"/>
      <c r="U3" s="137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5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6"/>
      <c r="AA3" s="22"/>
      <c r="AB3" s="137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5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6"/>
      <c r="AI3" s="22"/>
      <c r="AJ3" s="137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5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6"/>
      <c r="AP3" s="22"/>
      <c r="AQ3" s="137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5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6"/>
      <c r="AX3" s="22"/>
      <c r="AY3" s="137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5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6"/>
      <c r="BE3" s="22"/>
      <c r="BF3" s="137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5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6"/>
      <c r="BM3" s="22"/>
      <c r="BN3" s="137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5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6"/>
      <c r="BT3" s="22"/>
      <c r="BU3" s="137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5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6"/>
      <c r="CB3" s="22"/>
      <c r="CC3" s="137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5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6"/>
      <c r="CI3" s="22"/>
      <c r="CJ3" s="137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5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6"/>
      <c r="CQ3" s="22"/>
      <c r="CR3" s="137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5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6"/>
      <c r="CX3" s="22"/>
      <c r="CY3" s="137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5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6"/>
      <c r="DF3" s="22"/>
      <c r="DG3" s="137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5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6"/>
      <c r="DM3" s="22"/>
      <c r="DN3" s="137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5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6"/>
      <c r="DU3" s="22"/>
      <c r="DV3" s="137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5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6"/>
      <c r="EB3" s="22"/>
      <c r="EC3" s="137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5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6"/>
      <c r="EJ3" s="22"/>
      <c r="EK3" s="137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5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6"/>
      <c r="EQ3" s="22"/>
      <c r="ER3" s="137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3" t="str">
        <f t="array" aca="1" ref="C4" ca="1">IF(C1&lt;&gt;"",INDIRECT("'盛付札（関数）'!AJ"&amp;A1),"")</f>
        <v/>
      </c>
      <c r="D4" s="204"/>
      <c r="E4" s="44"/>
      <c r="F4" s="199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0"/>
      <c r="H4" s="26"/>
      <c r="I4" s="25"/>
      <c r="J4" s="203" t="str">
        <f t="array" aca="1" ref="J4" ca="1">IF(J1&lt;&gt;"",INDIRECT("'盛付札（関数）'!AJ"&amp;H1),"")</f>
        <v/>
      </c>
      <c r="K4" s="204"/>
      <c r="L4" s="44"/>
      <c r="M4" s="199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0"/>
      <c r="Q4" s="25"/>
      <c r="R4" s="203" t="str">
        <f t="array" aca="1" ref="R4" ca="1">IF(R1&lt;&gt;"",INDIRECT("'盛付札（関数）'!AJ"&amp;P1),"")</f>
        <v/>
      </c>
      <c r="S4" s="204"/>
      <c r="T4" s="44"/>
      <c r="U4" s="199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0"/>
      <c r="W4" s="26"/>
      <c r="X4" s="25"/>
      <c r="Y4" s="203" t="str">
        <f t="array" aca="1" ref="Y4" ca="1">IF(Y1&lt;&gt;"",INDIRECT("'盛付札（関数）'!AJ"&amp;W1),"")</f>
        <v/>
      </c>
      <c r="Z4" s="204"/>
      <c r="AA4" s="44"/>
      <c r="AB4" s="199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0"/>
      <c r="AF4" s="25"/>
      <c r="AG4" s="203" t="str">
        <f t="array" aca="1" ref="AG4" ca="1">IF(AG1&lt;&gt;"",INDIRECT("'盛付札（関数）'!AJ"&amp;AE1),"")</f>
        <v/>
      </c>
      <c r="AH4" s="204"/>
      <c r="AI4" s="44"/>
      <c r="AJ4" s="199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0"/>
      <c r="AL4" s="26"/>
      <c r="AM4" s="25"/>
      <c r="AN4" s="203" t="str">
        <f t="array" aca="1" ref="AN4" ca="1">IF(AN1&lt;&gt;"",INDIRECT("'盛付札（関数）'!AJ"&amp;AL1),"")</f>
        <v/>
      </c>
      <c r="AO4" s="204"/>
      <c r="AP4" s="44"/>
      <c r="AQ4" s="199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0"/>
      <c r="AU4" s="25"/>
      <c r="AV4" s="203" t="str">
        <f t="array" aca="1" ref="AV4" ca="1">IF(AV1&lt;&gt;"",INDIRECT("'盛付札（関数）'!AJ"&amp;AT1),"")</f>
        <v/>
      </c>
      <c r="AW4" s="204"/>
      <c r="AX4" s="44"/>
      <c r="AY4" s="199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0"/>
      <c r="BA4" s="26"/>
      <c r="BB4" s="25"/>
      <c r="BC4" s="203" t="str">
        <f t="array" aca="1" ref="BC4" ca="1">IF(BC1&lt;&gt;"",INDIRECT("'盛付札（関数）'!AJ"&amp;BA1),"")</f>
        <v/>
      </c>
      <c r="BD4" s="204"/>
      <c r="BE4" s="44"/>
      <c r="BF4" s="199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0"/>
      <c r="BJ4" s="25"/>
      <c r="BK4" s="203" t="str">
        <f t="array" aca="1" ref="BK4" ca="1">IF(BK1&lt;&gt;"",INDIRECT("'盛付札（関数）'!AJ"&amp;BI1),"")</f>
        <v/>
      </c>
      <c r="BL4" s="204"/>
      <c r="BM4" s="44"/>
      <c r="BN4" s="199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0"/>
      <c r="BP4" s="26"/>
      <c r="BQ4" s="25"/>
      <c r="BR4" s="203" t="str">
        <f t="array" aca="1" ref="BR4" ca="1">IF(BR1&lt;&gt;"",INDIRECT("'盛付札（関数）'!AJ"&amp;BP1),"")</f>
        <v/>
      </c>
      <c r="BS4" s="204"/>
      <c r="BT4" s="44"/>
      <c r="BU4" s="199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0"/>
      <c r="BY4" s="25"/>
      <c r="BZ4" s="203" t="str">
        <f t="array" aca="1" ref="BZ4" ca="1">IF(BZ1&lt;&gt;"",INDIRECT("'盛付札（関数）'!AJ"&amp;BX1),"")</f>
        <v/>
      </c>
      <c r="CA4" s="204"/>
      <c r="CB4" s="44"/>
      <c r="CC4" s="199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0"/>
      <c r="CE4" s="26"/>
      <c r="CF4" s="25"/>
      <c r="CG4" s="203" t="str">
        <f t="array" aca="1" ref="CG4" ca="1">IF(CG1&lt;&gt;"",INDIRECT("'盛付札（関数）'!AJ"&amp;CE1),"")</f>
        <v/>
      </c>
      <c r="CH4" s="204"/>
      <c r="CI4" s="44"/>
      <c r="CJ4" s="199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0"/>
      <c r="CN4" s="25"/>
      <c r="CO4" s="203" t="str">
        <f t="array" aca="1" ref="CO4" ca="1">IF(CO1&lt;&gt;"",INDIRECT("'盛付札（関数）'!AJ"&amp;CM1),"")</f>
        <v/>
      </c>
      <c r="CP4" s="204"/>
      <c r="CQ4" s="44"/>
      <c r="CR4" s="199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0"/>
      <c r="CT4" s="26"/>
      <c r="CU4" s="25"/>
      <c r="CV4" s="203" t="str">
        <f t="array" aca="1" ref="CV4" ca="1">IF(CV1&lt;&gt;"",INDIRECT("'盛付札（関数）'!AJ"&amp;CT1),"")</f>
        <v/>
      </c>
      <c r="CW4" s="204"/>
      <c r="CX4" s="44"/>
      <c r="CY4" s="199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0"/>
      <c r="DC4" s="25"/>
      <c r="DD4" s="203" t="str">
        <f t="array" aca="1" ref="DD4" ca="1">IF(DD1&lt;&gt;"",INDIRECT("'盛付札（関数）'!AJ"&amp;DB1),"")</f>
        <v/>
      </c>
      <c r="DE4" s="204"/>
      <c r="DF4" s="44"/>
      <c r="DG4" s="199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0"/>
      <c r="DI4" s="26"/>
      <c r="DJ4" s="25"/>
      <c r="DK4" s="203" t="str">
        <f t="array" aca="1" ref="DK4" ca="1">IF(DK1&lt;&gt;"",INDIRECT("'盛付札（関数）'!AJ"&amp;DI1),"")</f>
        <v/>
      </c>
      <c r="DL4" s="204"/>
      <c r="DM4" s="44"/>
      <c r="DN4" s="199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0"/>
      <c r="DR4" s="25"/>
      <c r="DS4" s="203" t="str">
        <f t="array" aca="1" ref="DS4" ca="1">IF(DS1&lt;&gt;"",INDIRECT("'盛付札（関数）'!AJ"&amp;DQ1),"")</f>
        <v/>
      </c>
      <c r="DT4" s="204"/>
      <c r="DU4" s="44"/>
      <c r="DV4" s="199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0"/>
      <c r="DX4" s="26"/>
      <c r="DY4" s="25"/>
      <c r="DZ4" s="203" t="str">
        <f t="array" aca="1" ref="DZ4" ca="1">IF(DZ1&lt;&gt;"",INDIRECT("'盛付札（関数）'!AJ"&amp;DX1),"")</f>
        <v/>
      </c>
      <c r="EA4" s="204"/>
      <c r="EB4" s="44"/>
      <c r="EC4" s="199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0"/>
      <c r="EG4" s="25"/>
      <c r="EH4" s="203" t="str">
        <f t="array" aca="1" ref="EH4" ca="1">IF(EH1&lt;&gt;"",INDIRECT("'盛付札（関数）'!AJ"&amp;EF1),"")</f>
        <v/>
      </c>
      <c r="EI4" s="204"/>
      <c r="EJ4" s="44"/>
      <c r="EK4" s="199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0"/>
      <c r="EM4" s="26"/>
      <c r="EN4" s="25"/>
      <c r="EO4" s="203" t="str">
        <f t="array" aca="1" ref="EO4" ca="1">IF(EO1&lt;&gt;"",INDIRECT("'盛付札（関数）'!AJ"&amp;EM1),"")</f>
        <v/>
      </c>
      <c r="EP4" s="204"/>
      <c r="EQ4" s="44"/>
      <c r="ER4" s="199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0"/>
    </row>
    <row r="5" spans="1:150" ht="15.6" customHeight="1">
      <c r="B5" s="27"/>
      <c r="C5" s="201"/>
      <c r="D5" s="201"/>
      <c r="E5" s="178"/>
      <c r="F5" s="201"/>
      <c r="G5" s="202"/>
      <c r="H5" s="26"/>
      <c r="I5" s="27"/>
      <c r="J5" s="201"/>
      <c r="K5" s="201"/>
      <c r="L5" s="178"/>
      <c r="M5" s="201"/>
      <c r="N5" s="202"/>
      <c r="Q5" s="27"/>
      <c r="R5" s="201"/>
      <c r="S5" s="201"/>
      <c r="T5" s="178"/>
      <c r="U5" s="201"/>
      <c r="V5" s="202"/>
      <c r="W5" s="26"/>
      <c r="X5" s="27"/>
      <c r="Y5" s="201"/>
      <c r="Z5" s="201"/>
      <c r="AA5" s="178"/>
      <c r="AB5" s="201"/>
      <c r="AC5" s="202"/>
      <c r="AF5" s="27"/>
      <c r="AG5" s="201"/>
      <c r="AH5" s="201"/>
      <c r="AI5" s="178"/>
      <c r="AJ5" s="201"/>
      <c r="AK5" s="202"/>
      <c r="AL5" s="26"/>
      <c r="AM5" s="27"/>
      <c r="AN5" s="201"/>
      <c r="AO5" s="201"/>
      <c r="AP5" s="178"/>
      <c r="AQ5" s="201"/>
      <c r="AR5" s="202"/>
      <c r="AU5" s="27"/>
      <c r="AV5" s="201"/>
      <c r="AW5" s="201"/>
      <c r="AX5" s="178"/>
      <c r="AY5" s="201"/>
      <c r="AZ5" s="202"/>
      <c r="BA5" s="26"/>
      <c r="BB5" s="27"/>
      <c r="BC5" s="201"/>
      <c r="BD5" s="201"/>
      <c r="BE5" s="178"/>
      <c r="BF5" s="201"/>
      <c r="BG5" s="202"/>
      <c r="BJ5" s="27"/>
      <c r="BK5" s="201"/>
      <c r="BL5" s="201"/>
      <c r="BM5" s="178"/>
      <c r="BN5" s="201"/>
      <c r="BO5" s="202"/>
      <c r="BP5" s="26"/>
      <c r="BQ5" s="27"/>
      <c r="BR5" s="201"/>
      <c r="BS5" s="201"/>
      <c r="BT5" s="178"/>
      <c r="BU5" s="201"/>
      <c r="BV5" s="202"/>
      <c r="BY5" s="27"/>
      <c r="BZ5" s="201"/>
      <c r="CA5" s="201"/>
      <c r="CB5" s="178"/>
      <c r="CC5" s="201"/>
      <c r="CD5" s="202"/>
      <c r="CE5" s="26"/>
      <c r="CF5" s="27"/>
      <c r="CG5" s="201"/>
      <c r="CH5" s="201"/>
      <c r="CI5" s="178"/>
      <c r="CJ5" s="201"/>
      <c r="CK5" s="202"/>
      <c r="CN5" s="27"/>
      <c r="CO5" s="201"/>
      <c r="CP5" s="201"/>
      <c r="CQ5" s="178"/>
      <c r="CR5" s="201"/>
      <c r="CS5" s="202"/>
      <c r="CT5" s="26"/>
      <c r="CU5" s="27"/>
      <c r="CV5" s="201"/>
      <c r="CW5" s="201"/>
      <c r="CX5" s="178"/>
      <c r="CY5" s="201"/>
      <c r="CZ5" s="202"/>
      <c r="DC5" s="27"/>
      <c r="DD5" s="201"/>
      <c r="DE5" s="201"/>
      <c r="DF5" s="178"/>
      <c r="DG5" s="201"/>
      <c r="DH5" s="202"/>
      <c r="DI5" s="26"/>
      <c r="DJ5" s="27"/>
      <c r="DK5" s="201"/>
      <c r="DL5" s="201"/>
      <c r="DM5" s="178"/>
      <c r="DN5" s="201"/>
      <c r="DO5" s="202"/>
      <c r="DR5" s="27"/>
      <c r="DS5" s="201"/>
      <c r="DT5" s="201"/>
      <c r="DU5" s="178"/>
      <c r="DV5" s="201"/>
      <c r="DW5" s="202"/>
      <c r="DX5" s="26"/>
      <c r="DY5" s="27"/>
      <c r="DZ5" s="201"/>
      <c r="EA5" s="201"/>
      <c r="EB5" s="178"/>
      <c r="EC5" s="201"/>
      <c r="ED5" s="202"/>
      <c r="EG5" s="27"/>
      <c r="EH5" s="201"/>
      <c r="EI5" s="201"/>
      <c r="EJ5" s="178"/>
      <c r="EK5" s="201"/>
      <c r="EL5" s="202"/>
      <c r="EM5" s="26"/>
      <c r="EN5" s="27"/>
      <c r="EO5" s="201"/>
      <c r="EP5" s="201"/>
      <c r="EQ5" s="178"/>
      <c r="ER5" s="201"/>
      <c r="ES5" s="202"/>
    </row>
    <row r="6" spans="1:150" s="18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09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2"/>
      <c r="D7" s="209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2"/>
      <c r="F7" s="210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2"/>
      <c r="I7" s="209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2"/>
      <c r="K7" s="209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2"/>
      <c r="M7" s="210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2"/>
      <c r="Q7" s="209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2"/>
      <c r="S7" s="209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2"/>
      <c r="U7" s="210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2"/>
      <c r="X7" s="209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2"/>
      <c r="Z7" s="209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2"/>
      <c r="AB7" s="210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2"/>
      <c r="AF7" s="209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2"/>
      <c r="AH7" s="209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2"/>
      <c r="AJ7" s="210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2"/>
      <c r="AM7" s="209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2"/>
      <c r="AO7" s="209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2"/>
      <c r="AQ7" s="210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2"/>
      <c r="AU7" s="209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2"/>
      <c r="AW7" s="209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2"/>
      <c r="AY7" s="210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2"/>
      <c r="BB7" s="209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2"/>
      <c r="BD7" s="209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2"/>
      <c r="BF7" s="210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2"/>
      <c r="BJ7" s="209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2"/>
      <c r="BL7" s="209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2"/>
      <c r="BN7" s="210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2"/>
      <c r="BQ7" s="209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2"/>
      <c r="BS7" s="209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2"/>
      <c r="BU7" s="210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2"/>
      <c r="BY7" s="209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2"/>
      <c r="CA7" s="209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2"/>
      <c r="CC7" s="210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2"/>
      <c r="CF7" s="209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2"/>
      <c r="CH7" s="209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2"/>
      <c r="CJ7" s="210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2"/>
      <c r="CN7" s="209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2"/>
      <c r="CP7" s="209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2"/>
      <c r="CR7" s="210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2"/>
      <c r="CU7" s="209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2"/>
      <c r="CW7" s="209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2"/>
      <c r="CY7" s="210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2"/>
      <c r="DC7" s="209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2"/>
      <c r="DE7" s="209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2"/>
      <c r="DG7" s="210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2"/>
      <c r="DJ7" s="209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2"/>
      <c r="DL7" s="209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2"/>
      <c r="DN7" s="210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2"/>
      <c r="DR7" s="209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2"/>
      <c r="DT7" s="209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2"/>
      <c r="DV7" s="210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2"/>
      <c r="DY7" s="209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2"/>
      <c r="EA7" s="209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2"/>
      <c r="EC7" s="210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2"/>
      <c r="EG7" s="209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2"/>
      <c r="EI7" s="209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2"/>
      <c r="EK7" s="210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2"/>
      <c r="EN7" s="209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2"/>
      <c r="EP7" s="209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2"/>
      <c r="ER7" s="210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2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0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7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8"/>
      <c r="E9" s="208"/>
      <c r="F9" s="208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7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8"/>
      <c r="L9" s="208"/>
      <c r="M9" s="208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7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8"/>
      <c r="T9" s="208"/>
      <c r="U9" s="208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7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8"/>
      <c r="AA9" s="208"/>
      <c r="AB9" s="208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7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8"/>
      <c r="AI9" s="208"/>
      <c r="AJ9" s="208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7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8"/>
      <c r="AP9" s="208"/>
      <c r="AQ9" s="208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7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8"/>
      <c r="AX9" s="208"/>
      <c r="AY9" s="208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7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8"/>
      <c r="BE9" s="208"/>
      <c r="BF9" s="208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7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8"/>
      <c r="BM9" s="208"/>
      <c r="BN9" s="208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7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8"/>
      <c r="BT9" s="208"/>
      <c r="BU9" s="208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7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8"/>
      <c r="CB9" s="208"/>
      <c r="CC9" s="208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7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8"/>
      <c r="CI9" s="208"/>
      <c r="CJ9" s="208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7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8"/>
      <c r="CQ9" s="208"/>
      <c r="CR9" s="208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7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8"/>
      <c r="CX9" s="208"/>
      <c r="CY9" s="208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7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8"/>
      <c r="DF9" s="208"/>
      <c r="DG9" s="208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7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8"/>
      <c r="DM9" s="208"/>
      <c r="DN9" s="208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7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8"/>
      <c r="DU9" s="208"/>
      <c r="DV9" s="208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7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8"/>
      <c r="EB9" s="208"/>
      <c r="EC9" s="208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7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8"/>
      <c r="EJ9" s="208"/>
      <c r="EK9" s="208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7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8"/>
      <c r="EQ9" s="208"/>
      <c r="ER9" s="208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0" customFormat="1">
      <c r="A10" s="30"/>
      <c r="B10" s="103"/>
      <c r="C10" s="138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8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8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8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8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8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8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8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8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8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8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8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8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8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8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8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8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8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8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8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0" customFormat="1">
      <c r="A11" s="30"/>
      <c r="B11" s="31"/>
      <c r="C11" s="205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6"/>
      <c r="E11" s="22"/>
      <c r="F11" s="137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5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6"/>
      <c r="L11" s="22"/>
      <c r="M11" s="137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5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6"/>
      <c r="T11" s="22"/>
      <c r="U11" s="137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5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6"/>
      <c r="AA11" s="22"/>
      <c r="AB11" s="137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5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6"/>
      <c r="AI11" s="22"/>
      <c r="AJ11" s="137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5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6"/>
      <c r="AP11" s="22"/>
      <c r="AQ11" s="137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5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6"/>
      <c r="AX11" s="22"/>
      <c r="AY11" s="137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5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6"/>
      <c r="BE11" s="22"/>
      <c r="BF11" s="137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5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6"/>
      <c r="BM11" s="22"/>
      <c r="BN11" s="137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5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6"/>
      <c r="BT11" s="22"/>
      <c r="BU11" s="137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5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6"/>
      <c r="CB11" s="22"/>
      <c r="CC11" s="137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5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6"/>
      <c r="CI11" s="22"/>
      <c r="CJ11" s="137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5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6"/>
      <c r="CQ11" s="22"/>
      <c r="CR11" s="137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5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6"/>
      <c r="CX11" s="22"/>
      <c r="CY11" s="137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5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6"/>
      <c r="DF11" s="22"/>
      <c r="DG11" s="137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5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6"/>
      <c r="DM11" s="22"/>
      <c r="DN11" s="137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5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6"/>
      <c r="DU11" s="22"/>
      <c r="DV11" s="137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5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6"/>
      <c r="EB11" s="22"/>
      <c r="EC11" s="137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5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6"/>
      <c r="EJ11" s="22"/>
      <c r="EK11" s="137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5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6"/>
      <c r="EQ11" s="22"/>
      <c r="ER11" s="137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3" t="str">
        <f t="array" aca="1" ref="C12" ca="1">IF(C9&lt;&gt;"",INDIRECT("'盛付札（関数）'!AJ"&amp;A9),"")</f>
        <v/>
      </c>
      <c r="D12" s="204"/>
      <c r="E12" s="44"/>
      <c r="F12" s="199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0"/>
      <c r="H12" s="26"/>
      <c r="I12" s="25"/>
      <c r="J12" s="203" t="str">
        <f t="array" aca="1" ref="J12" ca="1">IF(J9&lt;&gt;"",INDIRECT("'盛付札（関数）'!AJ"&amp;H9),"")</f>
        <v/>
      </c>
      <c r="K12" s="204"/>
      <c r="L12" s="44"/>
      <c r="M12" s="199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0"/>
      <c r="Q12" s="25"/>
      <c r="R12" s="203" t="str">
        <f t="array" aca="1" ref="R12" ca="1">IF(R9&lt;&gt;"",INDIRECT("'盛付札（関数）'!AJ"&amp;P9),"")</f>
        <v/>
      </c>
      <c r="S12" s="204"/>
      <c r="T12" s="44"/>
      <c r="U12" s="199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0"/>
      <c r="W12" s="26"/>
      <c r="X12" s="25"/>
      <c r="Y12" s="203" t="str">
        <f t="array" aca="1" ref="Y12" ca="1">IF(Y9&lt;&gt;"",INDIRECT("'盛付札（関数）'!AJ"&amp;W9),"")</f>
        <v/>
      </c>
      <c r="Z12" s="204"/>
      <c r="AA12" s="44"/>
      <c r="AB12" s="199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0"/>
      <c r="AF12" s="25"/>
      <c r="AG12" s="203" t="str">
        <f t="array" aca="1" ref="AG12" ca="1">IF(AG9&lt;&gt;"",INDIRECT("'盛付札（関数）'!AJ"&amp;AE9),"")</f>
        <v/>
      </c>
      <c r="AH12" s="204"/>
      <c r="AI12" s="44"/>
      <c r="AJ12" s="199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0"/>
      <c r="AL12" s="26"/>
      <c r="AM12" s="25"/>
      <c r="AN12" s="203" t="str">
        <f t="array" aca="1" ref="AN12" ca="1">IF(AN9&lt;&gt;"",INDIRECT("'盛付札（関数）'!AJ"&amp;AL9),"")</f>
        <v/>
      </c>
      <c r="AO12" s="204"/>
      <c r="AP12" s="44"/>
      <c r="AQ12" s="199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0"/>
      <c r="AU12" s="25"/>
      <c r="AV12" s="203" t="str">
        <f t="array" aca="1" ref="AV12" ca="1">IF(AV9&lt;&gt;"",INDIRECT("'盛付札（関数）'!AJ"&amp;AT9),"")</f>
        <v/>
      </c>
      <c r="AW12" s="204"/>
      <c r="AX12" s="44"/>
      <c r="AY12" s="199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0"/>
      <c r="BA12" s="26"/>
      <c r="BB12" s="25"/>
      <c r="BC12" s="203" t="str">
        <f t="array" aca="1" ref="BC12" ca="1">IF(BC9&lt;&gt;"",INDIRECT("'盛付札（関数）'!AJ"&amp;BA9),"")</f>
        <v/>
      </c>
      <c r="BD12" s="204"/>
      <c r="BE12" s="44"/>
      <c r="BF12" s="199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0"/>
      <c r="BJ12" s="25"/>
      <c r="BK12" s="203" t="str">
        <f t="array" aca="1" ref="BK12" ca="1">IF(BK9&lt;&gt;"",INDIRECT("'盛付札（関数）'!AJ"&amp;BI9),"")</f>
        <v/>
      </c>
      <c r="BL12" s="204"/>
      <c r="BM12" s="44"/>
      <c r="BN12" s="199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0"/>
      <c r="BP12" s="26"/>
      <c r="BQ12" s="25"/>
      <c r="BR12" s="203" t="str">
        <f t="array" aca="1" ref="BR12" ca="1">IF(BR9&lt;&gt;"",INDIRECT("'盛付札（関数）'!AJ"&amp;BP9),"")</f>
        <v/>
      </c>
      <c r="BS12" s="204"/>
      <c r="BT12" s="44"/>
      <c r="BU12" s="199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0"/>
      <c r="BY12" s="25"/>
      <c r="BZ12" s="203" t="str">
        <f t="array" aca="1" ref="BZ12" ca="1">IF(BZ9&lt;&gt;"",INDIRECT("'盛付札（関数）'!AJ"&amp;BX9),"")</f>
        <v/>
      </c>
      <c r="CA12" s="204"/>
      <c r="CB12" s="44"/>
      <c r="CC12" s="199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0"/>
      <c r="CE12" s="26"/>
      <c r="CF12" s="25"/>
      <c r="CG12" s="203" t="str">
        <f t="array" aca="1" ref="CG12" ca="1">IF(CG9&lt;&gt;"",INDIRECT("'盛付札（関数）'!AJ"&amp;CE9),"")</f>
        <v/>
      </c>
      <c r="CH12" s="204"/>
      <c r="CI12" s="44"/>
      <c r="CJ12" s="199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0"/>
      <c r="CN12" s="25"/>
      <c r="CO12" s="203" t="str">
        <f t="array" aca="1" ref="CO12" ca="1">IF(CO9&lt;&gt;"",INDIRECT("'盛付札（関数）'!AJ"&amp;CM9),"")</f>
        <v/>
      </c>
      <c r="CP12" s="204"/>
      <c r="CQ12" s="44"/>
      <c r="CR12" s="199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0"/>
      <c r="CT12" s="26"/>
      <c r="CU12" s="25"/>
      <c r="CV12" s="203" t="str">
        <f t="array" aca="1" ref="CV12" ca="1">IF(CV9&lt;&gt;"",INDIRECT("'盛付札（関数）'!AJ"&amp;CT9),"")</f>
        <v/>
      </c>
      <c r="CW12" s="204"/>
      <c r="CX12" s="44"/>
      <c r="CY12" s="199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0"/>
      <c r="DC12" s="25"/>
      <c r="DD12" s="203" t="str">
        <f t="array" aca="1" ref="DD12" ca="1">IF(DD9&lt;&gt;"",INDIRECT("'盛付札（関数）'!AJ"&amp;DB9),"")</f>
        <v/>
      </c>
      <c r="DE12" s="204"/>
      <c r="DF12" s="44"/>
      <c r="DG12" s="199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0"/>
      <c r="DI12" s="26"/>
      <c r="DJ12" s="25"/>
      <c r="DK12" s="203" t="str">
        <f t="array" aca="1" ref="DK12" ca="1">IF(DK9&lt;&gt;"",INDIRECT("'盛付札（関数）'!AJ"&amp;DI9),"")</f>
        <v/>
      </c>
      <c r="DL12" s="204"/>
      <c r="DM12" s="44"/>
      <c r="DN12" s="199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0"/>
      <c r="DR12" s="25"/>
      <c r="DS12" s="203" t="str">
        <f t="array" aca="1" ref="DS12" ca="1">IF(DS9&lt;&gt;"",INDIRECT("'盛付札（関数）'!AJ"&amp;DQ9),"")</f>
        <v/>
      </c>
      <c r="DT12" s="204"/>
      <c r="DU12" s="44"/>
      <c r="DV12" s="199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0"/>
      <c r="DX12" s="26"/>
      <c r="DY12" s="25"/>
      <c r="DZ12" s="203" t="str">
        <f t="array" aca="1" ref="DZ12" ca="1">IF(DZ9&lt;&gt;"",INDIRECT("'盛付札（関数）'!AJ"&amp;DX9),"")</f>
        <v/>
      </c>
      <c r="EA12" s="204"/>
      <c r="EB12" s="44"/>
      <c r="EC12" s="199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0"/>
      <c r="EG12" s="25"/>
      <c r="EH12" s="203" t="str">
        <f t="array" aca="1" ref="EH12" ca="1">IF(EH9&lt;&gt;"",INDIRECT("'盛付札（関数）'!AJ"&amp;EF9),"")</f>
        <v/>
      </c>
      <c r="EI12" s="204"/>
      <c r="EJ12" s="44"/>
      <c r="EK12" s="199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0"/>
      <c r="EM12" s="26"/>
      <c r="EN12" s="25"/>
      <c r="EO12" s="203" t="str">
        <f t="array" aca="1" ref="EO12" ca="1">IF(EO9&lt;&gt;"",INDIRECT("'盛付札（関数）'!AJ"&amp;EM9),"")</f>
        <v/>
      </c>
      <c r="EP12" s="204"/>
      <c r="EQ12" s="44"/>
      <c r="ER12" s="199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0"/>
    </row>
    <row r="13" spans="1:150" ht="15.6" customHeight="1">
      <c r="B13" s="27"/>
      <c r="C13" s="201"/>
      <c r="D13" s="201"/>
      <c r="E13" s="178"/>
      <c r="F13" s="201"/>
      <c r="G13" s="202"/>
      <c r="H13" s="26"/>
      <c r="I13" s="27"/>
      <c r="J13" s="201"/>
      <c r="K13" s="201"/>
      <c r="L13" s="178"/>
      <c r="M13" s="201"/>
      <c r="N13" s="202"/>
      <c r="Q13" s="27"/>
      <c r="R13" s="201"/>
      <c r="S13" s="201"/>
      <c r="T13" s="178"/>
      <c r="U13" s="201"/>
      <c r="V13" s="202"/>
      <c r="W13" s="26"/>
      <c r="X13" s="27"/>
      <c r="Y13" s="201"/>
      <c r="Z13" s="201"/>
      <c r="AA13" s="178"/>
      <c r="AB13" s="201"/>
      <c r="AC13" s="202"/>
      <c r="AF13" s="27"/>
      <c r="AG13" s="201"/>
      <c r="AH13" s="201"/>
      <c r="AI13" s="178"/>
      <c r="AJ13" s="201"/>
      <c r="AK13" s="202"/>
      <c r="AL13" s="26"/>
      <c r="AM13" s="27"/>
      <c r="AN13" s="201"/>
      <c r="AO13" s="201"/>
      <c r="AP13" s="178"/>
      <c r="AQ13" s="201"/>
      <c r="AR13" s="202"/>
      <c r="AU13" s="27"/>
      <c r="AV13" s="201"/>
      <c r="AW13" s="201"/>
      <c r="AX13" s="178"/>
      <c r="AY13" s="201"/>
      <c r="AZ13" s="202"/>
      <c r="BA13" s="26"/>
      <c r="BB13" s="27"/>
      <c r="BC13" s="201"/>
      <c r="BD13" s="201"/>
      <c r="BE13" s="178"/>
      <c r="BF13" s="201"/>
      <c r="BG13" s="202"/>
      <c r="BJ13" s="27"/>
      <c r="BK13" s="201"/>
      <c r="BL13" s="201"/>
      <c r="BM13" s="178"/>
      <c r="BN13" s="201"/>
      <c r="BO13" s="202"/>
      <c r="BP13" s="26"/>
      <c r="BQ13" s="27"/>
      <c r="BR13" s="201"/>
      <c r="BS13" s="201"/>
      <c r="BT13" s="178"/>
      <c r="BU13" s="201"/>
      <c r="BV13" s="202"/>
      <c r="BY13" s="27"/>
      <c r="BZ13" s="201"/>
      <c r="CA13" s="201"/>
      <c r="CB13" s="178"/>
      <c r="CC13" s="201"/>
      <c r="CD13" s="202"/>
      <c r="CE13" s="26"/>
      <c r="CF13" s="27"/>
      <c r="CG13" s="201"/>
      <c r="CH13" s="201"/>
      <c r="CI13" s="178"/>
      <c r="CJ13" s="201"/>
      <c r="CK13" s="202"/>
      <c r="CN13" s="27"/>
      <c r="CO13" s="201"/>
      <c r="CP13" s="201"/>
      <c r="CQ13" s="178"/>
      <c r="CR13" s="201"/>
      <c r="CS13" s="202"/>
      <c r="CT13" s="26"/>
      <c r="CU13" s="27"/>
      <c r="CV13" s="201"/>
      <c r="CW13" s="201"/>
      <c r="CX13" s="178"/>
      <c r="CY13" s="201"/>
      <c r="CZ13" s="202"/>
      <c r="DC13" s="27"/>
      <c r="DD13" s="201"/>
      <c r="DE13" s="201"/>
      <c r="DF13" s="178"/>
      <c r="DG13" s="201"/>
      <c r="DH13" s="202"/>
      <c r="DI13" s="26"/>
      <c r="DJ13" s="27"/>
      <c r="DK13" s="201"/>
      <c r="DL13" s="201"/>
      <c r="DM13" s="178"/>
      <c r="DN13" s="201"/>
      <c r="DO13" s="202"/>
      <c r="DR13" s="27"/>
      <c r="DS13" s="201"/>
      <c r="DT13" s="201"/>
      <c r="DU13" s="178"/>
      <c r="DV13" s="201"/>
      <c r="DW13" s="202"/>
      <c r="DX13" s="26"/>
      <c r="DY13" s="27"/>
      <c r="DZ13" s="201"/>
      <c r="EA13" s="201"/>
      <c r="EB13" s="178"/>
      <c r="EC13" s="201"/>
      <c r="ED13" s="202"/>
      <c r="EG13" s="27"/>
      <c r="EH13" s="201"/>
      <c r="EI13" s="201"/>
      <c r="EJ13" s="178"/>
      <c r="EK13" s="201"/>
      <c r="EL13" s="202"/>
      <c r="EM13" s="26"/>
      <c r="EN13" s="27"/>
      <c r="EO13" s="201"/>
      <c r="EP13" s="201"/>
      <c r="EQ13" s="178"/>
      <c r="ER13" s="201"/>
      <c r="ES13" s="202"/>
    </row>
    <row r="14" spans="1:150" s="18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09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2"/>
      <c r="D15" s="209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2"/>
      <c r="F15" s="210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2"/>
      <c r="I15" s="209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2"/>
      <c r="K15" s="209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2"/>
      <c r="M15" s="210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2"/>
      <c r="Q15" s="209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2"/>
      <c r="S15" s="209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2"/>
      <c r="U15" s="210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2"/>
      <c r="X15" s="209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2"/>
      <c r="Z15" s="209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2"/>
      <c r="AB15" s="210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2"/>
      <c r="AF15" s="209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2"/>
      <c r="AH15" s="209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2"/>
      <c r="AJ15" s="210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2"/>
      <c r="AM15" s="209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2"/>
      <c r="AO15" s="209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2"/>
      <c r="AQ15" s="210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2"/>
      <c r="AU15" s="209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2"/>
      <c r="AW15" s="209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2"/>
      <c r="AY15" s="210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2"/>
      <c r="BB15" s="209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2"/>
      <c r="BD15" s="209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2"/>
      <c r="BF15" s="210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2"/>
      <c r="BJ15" s="209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2"/>
      <c r="BL15" s="209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2"/>
      <c r="BN15" s="210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2"/>
      <c r="BQ15" s="209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2"/>
      <c r="BS15" s="209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2"/>
      <c r="BU15" s="210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2"/>
      <c r="BY15" s="209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2"/>
      <c r="CA15" s="209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2"/>
      <c r="CC15" s="210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2"/>
      <c r="CF15" s="209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2"/>
      <c r="CH15" s="209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2"/>
      <c r="CJ15" s="210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2"/>
      <c r="CN15" s="209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2"/>
      <c r="CP15" s="209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2"/>
      <c r="CR15" s="210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2"/>
      <c r="CU15" s="209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2"/>
      <c r="CW15" s="209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2"/>
      <c r="CY15" s="210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2"/>
      <c r="DC15" s="209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2"/>
      <c r="DE15" s="209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2"/>
      <c r="DG15" s="210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2"/>
      <c r="DJ15" s="209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2"/>
      <c r="DL15" s="209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2"/>
      <c r="DN15" s="210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2"/>
      <c r="DR15" s="209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2"/>
      <c r="DT15" s="209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2"/>
      <c r="DV15" s="210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2"/>
      <c r="DY15" s="209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2"/>
      <c r="EA15" s="209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2"/>
      <c r="EC15" s="210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2"/>
      <c r="EG15" s="209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2"/>
      <c r="EI15" s="209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2"/>
      <c r="EK15" s="210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2"/>
      <c r="EN15" s="209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2"/>
      <c r="EP15" s="209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2"/>
      <c r="ER15" s="210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2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0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7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8"/>
      <c r="E17" s="208"/>
      <c r="F17" s="208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7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8"/>
      <c r="L17" s="208"/>
      <c r="M17" s="208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7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8"/>
      <c r="T17" s="208"/>
      <c r="U17" s="208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7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8"/>
      <c r="AA17" s="208"/>
      <c r="AB17" s="208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7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8"/>
      <c r="AI17" s="208"/>
      <c r="AJ17" s="208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7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8"/>
      <c r="AP17" s="208"/>
      <c r="AQ17" s="208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7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8"/>
      <c r="AX17" s="208"/>
      <c r="AY17" s="208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7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8"/>
      <c r="BE17" s="208"/>
      <c r="BF17" s="208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7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8"/>
      <c r="BM17" s="208"/>
      <c r="BN17" s="208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7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8"/>
      <c r="BT17" s="208"/>
      <c r="BU17" s="208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7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8"/>
      <c r="CB17" s="208"/>
      <c r="CC17" s="208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7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8"/>
      <c r="CI17" s="208"/>
      <c r="CJ17" s="208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7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8"/>
      <c r="CQ17" s="208"/>
      <c r="CR17" s="208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7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8"/>
      <c r="CX17" s="208"/>
      <c r="CY17" s="208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7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8"/>
      <c r="DF17" s="208"/>
      <c r="DG17" s="208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7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8"/>
      <c r="DM17" s="208"/>
      <c r="DN17" s="208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7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8"/>
      <c r="DU17" s="208"/>
      <c r="DV17" s="208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7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8"/>
      <c r="EB17" s="208"/>
      <c r="EC17" s="208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7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8"/>
      <c r="EJ17" s="208"/>
      <c r="EK17" s="208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7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8"/>
      <c r="EQ17" s="208"/>
      <c r="ER17" s="208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0" customFormat="1">
      <c r="A18" s="30"/>
      <c r="B18" s="103"/>
      <c r="C18" s="138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8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8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8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8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8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8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8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8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8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8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8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8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8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8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8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8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8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8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8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0" customFormat="1">
      <c r="A19" s="30"/>
      <c r="B19" s="31"/>
      <c r="C19" s="205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6"/>
      <c r="E19" s="22"/>
      <c r="F19" s="137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5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6"/>
      <c r="L19" s="22"/>
      <c r="M19" s="137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5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6"/>
      <c r="T19" s="22"/>
      <c r="U19" s="137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5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6"/>
      <c r="AA19" s="22"/>
      <c r="AB19" s="137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5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6"/>
      <c r="AI19" s="22"/>
      <c r="AJ19" s="137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5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6"/>
      <c r="AP19" s="22"/>
      <c r="AQ19" s="137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5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6"/>
      <c r="AX19" s="22"/>
      <c r="AY19" s="137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5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6"/>
      <c r="BE19" s="22"/>
      <c r="BF19" s="137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5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6"/>
      <c r="BM19" s="22"/>
      <c r="BN19" s="137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5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6"/>
      <c r="BT19" s="22"/>
      <c r="BU19" s="137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5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6"/>
      <c r="CB19" s="22"/>
      <c r="CC19" s="137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5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6"/>
      <c r="CI19" s="22"/>
      <c r="CJ19" s="137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5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6"/>
      <c r="CQ19" s="22"/>
      <c r="CR19" s="137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5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6"/>
      <c r="CX19" s="22"/>
      <c r="CY19" s="137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5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6"/>
      <c r="DF19" s="22"/>
      <c r="DG19" s="137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5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6"/>
      <c r="DM19" s="22"/>
      <c r="DN19" s="137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5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6"/>
      <c r="DU19" s="22"/>
      <c r="DV19" s="137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5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6"/>
      <c r="EB19" s="22"/>
      <c r="EC19" s="137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5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6"/>
      <c r="EJ19" s="22"/>
      <c r="EK19" s="137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5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6"/>
      <c r="EQ19" s="22"/>
      <c r="ER19" s="137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3" t="str">
        <f t="array" aca="1" ref="C20" ca="1">IF(C17&lt;&gt;"",INDIRECT("'盛付札（関数）'!AJ"&amp;A17),"")</f>
        <v/>
      </c>
      <c r="D20" s="204"/>
      <c r="E20" s="44"/>
      <c r="F20" s="199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0"/>
      <c r="H20" s="26"/>
      <c r="I20" s="25"/>
      <c r="J20" s="203" t="str">
        <f t="array" aca="1" ref="J20" ca="1">IF(J17&lt;&gt;"",INDIRECT("'盛付札（関数）'!AJ"&amp;H17),"")</f>
        <v/>
      </c>
      <c r="K20" s="204"/>
      <c r="L20" s="44"/>
      <c r="M20" s="199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0"/>
      <c r="Q20" s="25"/>
      <c r="R20" s="203" t="str">
        <f t="array" aca="1" ref="R20" ca="1">IF(R17&lt;&gt;"",INDIRECT("'盛付札（関数）'!AJ"&amp;P17),"")</f>
        <v/>
      </c>
      <c r="S20" s="204"/>
      <c r="T20" s="44"/>
      <c r="U20" s="199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0"/>
      <c r="W20" s="26"/>
      <c r="X20" s="25"/>
      <c r="Y20" s="203" t="str">
        <f t="array" aca="1" ref="Y20" ca="1">IF(Y17&lt;&gt;"",INDIRECT("'盛付札（関数）'!AJ"&amp;W17),"")</f>
        <v/>
      </c>
      <c r="Z20" s="204"/>
      <c r="AA20" s="44"/>
      <c r="AB20" s="199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0"/>
      <c r="AF20" s="25"/>
      <c r="AG20" s="203" t="str">
        <f t="array" aca="1" ref="AG20" ca="1">IF(AG17&lt;&gt;"",INDIRECT("'盛付札（関数）'!AJ"&amp;AE17),"")</f>
        <v/>
      </c>
      <c r="AH20" s="204"/>
      <c r="AI20" s="44"/>
      <c r="AJ20" s="199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0"/>
      <c r="AL20" s="26"/>
      <c r="AM20" s="25"/>
      <c r="AN20" s="203" t="str">
        <f t="array" aca="1" ref="AN20" ca="1">IF(AN17&lt;&gt;"",INDIRECT("'盛付札（関数）'!AJ"&amp;AL17),"")</f>
        <v/>
      </c>
      <c r="AO20" s="204"/>
      <c r="AP20" s="44"/>
      <c r="AQ20" s="199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0"/>
      <c r="AU20" s="25"/>
      <c r="AV20" s="203" t="str">
        <f t="array" aca="1" ref="AV20" ca="1">IF(AV17&lt;&gt;"",INDIRECT("'盛付札（関数）'!AJ"&amp;AT17),"")</f>
        <v/>
      </c>
      <c r="AW20" s="204"/>
      <c r="AX20" s="44"/>
      <c r="AY20" s="199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0"/>
      <c r="BA20" s="26"/>
      <c r="BB20" s="25"/>
      <c r="BC20" s="203" t="str">
        <f t="array" aca="1" ref="BC20" ca="1">IF(BC17&lt;&gt;"",INDIRECT("'盛付札（関数）'!AJ"&amp;BA17),"")</f>
        <v/>
      </c>
      <c r="BD20" s="204"/>
      <c r="BE20" s="44"/>
      <c r="BF20" s="199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0"/>
      <c r="BJ20" s="25"/>
      <c r="BK20" s="203" t="str">
        <f t="array" aca="1" ref="BK20" ca="1">IF(BK17&lt;&gt;"",INDIRECT("'盛付札（関数）'!AJ"&amp;BI17),"")</f>
        <v/>
      </c>
      <c r="BL20" s="204"/>
      <c r="BM20" s="44"/>
      <c r="BN20" s="199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0"/>
      <c r="BP20" s="26"/>
      <c r="BQ20" s="25"/>
      <c r="BR20" s="203" t="str">
        <f t="array" aca="1" ref="BR20" ca="1">IF(BR17&lt;&gt;"",INDIRECT("'盛付札（関数）'!AJ"&amp;BP17),"")</f>
        <v/>
      </c>
      <c r="BS20" s="204"/>
      <c r="BT20" s="44"/>
      <c r="BU20" s="199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0"/>
      <c r="BY20" s="25"/>
      <c r="BZ20" s="203" t="str">
        <f t="array" aca="1" ref="BZ20" ca="1">IF(BZ17&lt;&gt;"",INDIRECT("'盛付札（関数）'!AJ"&amp;BX17),"")</f>
        <v/>
      </c>
      <c r="CA20" s="204"/>
      <c r="CB20" s="44"/>
      <c r="CC20" s="199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0"/>
      <c r="CE20" s="26"/>
      <c r="CF20" s="25"/>
      <c r="CG20" s="203" t="str">
        <f t="array" aca="1" ref="CG20" ca="1">IF(CG17&lt;&gt;"",INDIRECT("'盛付札（関数）'!AJ"&amp;CE17),"")</f>
        <v/>
      </c>
      <c r="CH20" s="204"/>
      <c r="CI20" s="44"/>
      <c r="CJ20" s="199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0"/>
      <c r="CN20" s="25"/>
      <c r="CO20" s="203" t="str">
        <f t="array" aca="1" ref="CO20" ca="1">IF(CO17&lt;&gt;"",INDIRECT("'盛付札（関数）'!AJ"&amp;CM17),"")</f>
        <v/>
      </c>
      <c r="CP20" s="204"/>
      <c r="CQ20" s="44"/>
      <c r="CR20" s="199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0"/>
      <c r="CT20" s="26"/>
      <c r="CU20" s="25"/>
      <c r="CV20" s="203" t="str">
        <f t="array" aca="1" ref="CV20" ca="1">IF(CV17&lt;&gt;"",INDIRECT("'盛付札（関数）'!AJ"&amp;CT17),"")</f>
        <v/>
      </c>
      <c r="CW20" s="204"/>
      <c r="CX20" s="44"/>
      <c r="CY20" s="199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0"/>
      <c r="DC20" s="25"/>
      <c r="DD20" s="203" t="str">
        <f t="array" aca="1" ref="DD20" ca="1">IF(DD17&lt;&gt;"",INDIRECT("'盛付札（関数）'!AJ"&amp;DB17),"")</f>
        <v/>
      </c>
      <c r="DE20" s="204"/>
      <c r="DF20" s="44"/>
      <c r="DG20" s="199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0"/>
      <c r="DI20" s="26"/>
      <c r="DJ20" s="25"/>
      <c r="DK20" s="203" t="str">
        <f t="array" aca="1" ref="DK20" ca="1">IF(DK17&lt;&gt;"",INDIRECT("'盛付札（関数）'!AJ"&amp;DI17),"")</f>
        <v/>
      </c>
      <c r="DL20" s="204"/>
      <c r="DM20" s="44"/>
      <c r="DN20" s="199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0"/>
      <c r="DR20" s="25"/>
      <c r="DS20" s="203" t="str">
        <f t="array" aca="1" ref="DS20" ca="1">IF(DS17&lt;&gt;"",INDIRECT("'盛付札（関数）'!AJ"&amp;DQ17),"")</f>
        <v/>
      </c>
      <c r="DT20" s="204"/>
      <c r="DU20" s="44"/>
      <c r="DV20" s="199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0"/>
      <c r="DX20" s="26"/>
      <c r="DY20" s="25"/>
      <c r="DZ20" s="203" t="str">
        <f t="array" aca="1" ref="DZ20" ca="1">IF(DZ17&lt;&gt;"",INDIRECT("'盛付札（関数）'!AJ"&amp;DX17),"")</f>
        <v/>
      </c>
      <c r="EA20" s="204"/>
      <c r="EB20" s="44"/>
      <c r="EC20" s="199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0"/>
      <c r="EG20" s="25"/>
      <c r="EH20" s="203" t="str">
        <f t="array" aca="1" ref="EH20" ca="1">IF(EH17&lt;&gt;"",INDIRECT("'盛付札（関数）'!AJ"&amp;EF17),"")</f>
        <v/>
      </c>
      <c r="EI20" s="204"/>
      <c r="EJ20" s="44"/>
      <c r="EK20" s="199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0"/>
      <c r="EM20" s="26"/>
      <c r="EN20" s="25"/>
      <c r="EO20" s="203" t="str">
        <f t="array" aca="1" ref="EO20" ca="1">IF(EO17&lt;&gt;"",INDIRECT("'盛付札（関数）'!AJ"&amp;EM17),"")</f>
        <v/>
      </c>
      <c r="EP20" s="204"/>
      <c r="EQ20" s="44"/>
      <c r="ER20" s="199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0"/>
    </row>
    <row r="21" spans="1:150" ht="15.6" customHeight="1">
      <c r="B21" s="27"/>
      <c r="C21" s="201"/>
      <c r="D21" s="201"/>
      <c r="E21" s="178"/>
      <c r="F21" s="201"/>
      <c r="G21" s="202"/>
      <c r="H21" s="26"/>
      <c r="I21" s="27"/>
      <c r="J21" s="201"/>
      <c r="K21" s="201"/>
      <c r="L21" s="178"/>
      <c r="M21" s="201"/>
      <c r="N21" s="202"/>
      <c r="Q21" s="27"/>
      <c r="R21" s="201"/>
      <c r="S21" s="201"/>
      <c r="T21" s="178"/>
      <c r="U21" s="201"/>
      <c r="V21" s="202"/>
      <c r="W21" s="26"/>
      <c r="X21" s="27"/>
      <c r="Y21" s="201"/>
      <c r="Z21" s="201"/>
      <c r="AA21" s="178"/>
      <c r="AB21" s="201"/>
      <c r="AC21" s="202"/>
      <c r="AF21" s="27"/>
      <c r="AG21" s="201"/>
      <c r="AH21" s="201"/>
      <c r="AI21" s="178"/>
      <c r="AJ21" s="201"/>
      <c r="AK21" s="202"/>
      <c r="AL21" s="26"/>
      <c r="AM21" s="27"/>
      <c r="AN21" s="201"/>
      <c r="AO21" s="201"/>
      <c r="AP21" s="178"/>
      <c r="AQ21" s="201"/>
      <c r="AR21" s="202"/>
      <c r="AU21" s="27"/>
      <c r="AV21" s="201"/>
      <c r="AW21" s="201"/>
      <c r="AX21" s="178"/>
      <c r="AY21" s="201"/>
      <c r="AZ21" s="202"/>
      <c r="BA21" s="26"/>
      <c r="BB21" s="27"/>
      <c r="BC21" s="201"/>
      <c r="BD21" s="201"/>
      <c r="BE21" s="178"/>
      <c r="BF21" s="201"/>
      <c r="BG21" s="202"/>
      <c r="BJ21" s="27"/>
      <c r="BK21" s="201"/>
      <c r="BL21" s="201"/>
      <c r="BM21" s="178"/>
      <c r="BN21" s="201"/>
      <c r="BO21" s="202"/>
      <c r="BP21" s="26"/>
      <c r="BQ21" s="27"/>
      <c r="BR21" s="201"/>
      <c r="BS21" s="201"/>
      <c r="BT21" s="178"/>
      <c r="BU21" s="201"/>
      <c r="BV21" s="202"/>
      <c r="BY21" s="27"/>
      <c r="BZ21" s="201"/>
      <c r="CA21" s="201"/>
      <c r="CB21" s="178"/>
      <c r="CC21" s="201"/>
      <c r="CD21" s="202"/>
      <c r="CE21" s="26"/>
      <c r="CF21" s="27"/>
      <c r="CG21" s="201"/>
      <c r="CH21" s="201"/>
      <c r="CI21" s="178"/>
      <c r="CJ21" s="201"/>
      <c r="CK21" s="202"/>
      <c r="CN21" s="27"/>
      <c r="CO21" s="201"/>
      <c r="CP21" s="201"/>
      <c r="CQ21" s="178"/>
      <c r="CR21" s="201"/>
      <c r="CS21" s="202"/>
      <c r="CT21" s="26"/>
      <c r="CU21" s="27"/>
      <c r="CV21" s="201"/>
      <c r="CW21" s="201"/>
      <c r="CX21" s="178"/>
      <c r="CY21" s="201"/>
      <c r="CZ21" s="202"/>
      <c r="DC21" s="27"/>
      <c r="DD21" s="201"/>
      <c r="DE21" s="201"/>
      <c r="DF21" s="178"/>
      <c r="DG21" s="201"/>
      <c r="DH21" s="202"/>
      <c r="DI21" s="26"/>
      <c r="DJ21" s="27"/>
      <c r="DK21" s="201"/>
      <c r="DL21" s="201"/>
      <c r="DM21" s="178"/>
      <c r="DN21" s="201"/>
      <c r="DO21" s="202"/>
      <c r="DR21" s="27"/>
      <c r="DS21" s="201"/>
      <c r="DT21" s="201"/>
      <c r="DU21" s="178"/>
      <c r="DV21" s="201"/>
      <c r="DW21" s="202"/>
      <c r="DX21" s="26"/>
      <c r="DY21" s="27"/>
      <c r="DZ21" s="201"/>
      <c r="EA21" s="201"/>
      <c r="EB21" s="178"/>
      <c r="EC21" s="201"/>
      <c r="ED21" s="202"/>
      <c r="EG21" s="27"/>
      <c r="EH21" s="201"/>
      <c r="EI21" s="201"/>
      <c r="EJ21" s="178"/>
      <c r="EK21" s="201"/>
      <c r="EL21" s="202"/>
      <c r="EM21" s="26"/>
      <c r="EN21" s="27"/>
      <c r="EO21" s="201"/>
      <c r="EP21" s="201"/>
      <c r="EQ21" s="178"/>
      <c r="ER21" s="201"/>
      <c r="ES21" s="202"/>
    </row>
    <row r="22" spans="1:150" s="18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09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2"/>
      <c r="D23" s="209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2"/>
      <c r="F23" s="210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2"/>
      <c r="I23" s="209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2"/>
      <c r="K23" s="209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2"/>
      <c r="M23" s="210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2"/>
      <c r="Q23" s="209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2"/>
      <c r="S23" s="209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2"/>
      <c r="U23" s="210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2"/>
      <c r="X23" s="209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2"/>
      <c r="Z23" s="209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2"/>
      <c r="AB23" s="210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2"/>
      <c r="AF23" s="209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2"/>
      <c r="AH23" s="209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2"/>
      <c r="AJ23" s="210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2"/>
      <c r="AM23" s="209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2"/>
      <c r="AO23" s="209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2"/>
      <c r="AQ23" s="210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2"/>
      <c r="AU23" s="209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2"/>
      <c r="AW23" s="209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2"/>
      <c r="AY23" s="210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2"/>
      <c r="BB23" s="209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2"/>
      <c r="BD23" s="209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2"/>
      <c r="BF23" s="210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2"/>
      <c r="BJ23" s="209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2"/>
      <c r="BL23" s="209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2"/>
      <c r="BN23" s="210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2"/>
      <c r="BQ23" s="209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2"/>
      <c r="BS23" s="209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2"/>
      <c r="BU23" s="210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2"/>
      <c r="BY23" s="209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2"/>
      <c r="CA23" s="209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2"/>
      <c r="CC23" s="210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2"/>
      <c r="CF23" s="209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2"/>
      <c r="CH23" s="209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2"/>
      <c r="CJ23" s="210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2"/>
      <c r="CN23" s="209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2"/>
      <c r="CP23" s="209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2"/>
      <c r="CR23" s="210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2"/>
      <c r="CU23" s="209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2"/>
      <c r="CW23" s="209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2"/>
      <c r="CY23" s="210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2"/>
      <c r="DC23" s="209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2"/>
      <c r="DE23" s="209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2"/>
      <c r="DG23" s="210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2"/>
      <c r="DJ23" s="209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2"/>
      <c r="DL23" s="209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2"/>
      <c r="DN23" s="210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2"/>
      <c r="DR23" s="209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2"/>
      <c r="DT23" s="209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2"/>
      <c r="DV23" s="210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2"/>
      <c r="DY23" s="209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2"/>
      <c r="EA23" s="209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2"/>
      <c r="EC23" s="210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2"/>
      <c r="EG23" s="209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2"/>
      <c r="EI23" s="209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2"/>
      <c r="EK23" s="210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2"/>
      <c r="EN23" s="209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2"/>
      <c r="EP23" s="209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2"/>
      <c r="ER23" s="210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2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0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7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8"/>
      <c r="E25" s="208"/>
      <c r="F25" s="208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7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8"/>
      <c r="L25" s="208"/>
      <c r="M25" s="208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7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8"/>
      <c r="T25" s="208"/>
      <c r="U25" s="208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7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8"/>
      <c r="AA25" s="208"/>
      <c r="AB25" s="208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7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8"/>
      <c r="AI25" s="208"/>
      <c r="AJ25" s="208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7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8"/>
      <c r="AP25" s="208"/>
      <c r="AQ25" s="208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7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8"/>
      <c r="AX25" s="208"/>
      <c r="AY25" s="208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7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8"/>
      <c r="BE25" s="208"/>
      <c r="BF25" s="208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7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8"/>
      <c r="BM25" s="208"/>
      <c r="BN25" s="208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7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8"/>
      <c r="BT25" s="208"/>
      <c r="BU25" s="208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7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8"/>
      <c r="CB25" s="208"/>
      <c r="CC25" s="208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7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8"/>
      <c r="CI25" s="208"/>
      <c r="CJ25" s="208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7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8"/>
      <c r="CQ25" s="208"/>
      <c r="CR25" s="208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7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8"/>
      <c r="CX25" s="208"/>
      <c r="CY25" s="208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7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8"/>
      <c r="DF25" s="208"/>
      <c r="DG25" s="208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7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8"/>
      <c r="DM25" s="208"/>
      <c r="DN25" s="208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7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8"/>
      <c r="DU25" s="208"/>
      <c r="DV25" s="208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7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8"/>
      <c r="EB25" s="208"/>
      <c r="EC25" s="208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7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8"/>
      <c r="EJ25" s="208"/>
      <c r="EK25" s="208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7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8"/>
      <c r="EQ25" s="208"/>
      <c r="ER25" s="208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0" customFormat="1">
      <c r="A26" s="30"/>
      <c r="B26" s="103"/>
      <c r="C26" s="138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8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8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8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8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8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8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8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8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8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8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8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8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8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8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8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8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8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8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8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0" customFormat="1">
      <c r="A27" s="30"/>
      <c r="B27" s="31"/>
      <c r="C27" s="205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6"/>
      <c r="E27" s="22"/>
      <c r="F27" s="137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5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6"/>
      <c r="L27" s="22"/>
      <c r="M27" s="137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5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6"/>
      <c r="T27" s="22"/>
      <c r="U27" s="137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5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6"/>
      <c r="AA27" s="22"/>
      <c r="AB27" s="137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5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6"/>
      <c r="AI27" s="22"/>
      <c r="AJ27" s="137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5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6"/>
      <c r="AP27" s="22"/>
      <c r="AQ27" s="137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5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6"/>
      <c r="AX27" s="22"/>
      <c r="AY27" s="137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5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6"/>
      <c r="BE27" s="22"/>
      <c r="BF27" s="137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5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6"/>
      <c r="BM27" s="22"/>
      <c r="BN27" s="137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5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6"/>
      <c r="BT27" s="22"/>
      <c r="BU27" s="137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5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6"/>
      <c r="CB27" s="22"/>
      <c r="CC27" s="137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5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6"/>
      <c r="CI27" s="22"/>
      <c r="CJ27" s="137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5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6"/>
      <c r="CQ27" s="22"/>
      <c r="CR27" s="137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5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6"/>
      <c r="CX27" s="22"/>
      <c r="CY27" s="137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5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6"/>
      <c r="DF27" s="22"/>
      <c r="DG27" s="137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5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6"/>
      <c r="DM27" s="22"/>
      <c r="DN27" s="137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5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6"/>
      <c r="DU27" s="22"/>
      <c r="DV27" s="137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5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6"/>
      <c r="EB27" s="22"/>
      <c r="EC27" s="137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5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6"/>
      <c r="EJ27" s="22"/>
      <c r="EK27" s="137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5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6"/>
      <c r="EQ27" s="22"/>
      <c r="ER27" s="137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3" t="str">
        <f t="array" aca="1" ref="C28" ca="1">IF(C25&lt;&gt;"",INDIRECT("'盛付札（関数）'!AJ"&amp;A25),"")</f>
        <v/>
      </c>
      <c r="D28" s="204"/>
      <c r="E28" s="44"/>
      <c r="F28" s="199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0"/>
      <c r="H28" s="26"/>
      <c r="I28" s="25"/>
      <c r="J28" s="203" t="str">
        <f t="array" aca="1" ref="J28" ca="1">IF(J25&lt;&gt;"",INDIRECT("'盛付札（関数）'!AJ"&amp;H25),"")</f>
        <v/>
      </c>
      <c r="K28" s="204"/>
      <c r="L28" s="44"/>
      <c r="M28" s="199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0"/>
      <c r="Q28" s="25"/>
      <c r="R28" s="203" t="str">
        <f t="array" aca="1" ref="R28" ca="1">IF(R25&lt;&gt;"",INDIRECT("'盛付札（関数）'!AJ"&amp;P25),"")</f>
        <v/>
      </c>
      <c r="S28" s="204"/>
      <c r="T28" s="44"/>
      <c r="U28" s="199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0"/>
      <c r="W28" s="26"/>
      <c r="X28" s="25"/>
      <c r="Y28" s="203" t="str">
        <f t="array" aca="1" ref="Y28" ca="1">IF(Y25&lt;&gt;"",INDIRECT("'盛付札（関数）'!AJ"&amp;W25),"")</f>
        <v/>
      </c>
      <c r="Z28" s="204"/>
      <c r="AA28" s="44"/>
      <c r="AB28" s="199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0"/>
      <c r="AF28" s="25"/>
      <c r="AG28" s="203" t="str">
        <f t="array" aca="1" ref="AG28" ca="1">IF(AG25&lt;&gt;"",INDIRECT("'盛付札（関数）'!AJ"&amp;AE25),"")</f>
        <v/>
      </c>
      <c r="AH28" s="204"/>
      <c r="AI28" s="44"/>
      <c r="AJ28" s="199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0"/>
      <c r="AL28" s="26"/>
      <c r="AM28" s="25"/>
      <c r="AN28" s="203" t="str">
        <f t="array" aca="1" ref="AN28" ca="1">IF(AN25&lt;&gt;"",INDIRECT("'盛付札（関数）'!AJ"&amp;AL25),"")</f>
        <v/>
      </c>
      <c r="AO28" s="204"/>
      <c r="AP28" s="44"/>
      <c r="AQ28" s="199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0"/>
      <c r="AU28" s="25"/>
      <c r="AV28" s="203" t="str">
        <f t="array" aca="1" ref="AV28" ca="1">IF(AV25&lt;&gt;"",INDIRECT("'盛付札（関数）'!AJ"&amp;AT25),"")</f>
        <v/>
      </c>
      <c r="AW28" s="204"/>
      <c r="AX28" s="44"/>
      <c r="AY28" s="199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0"/>
      <c r="BA28" s="26"/>
      <c r="BB28" s="25"/>
      <c r="BC28" s="203" t="str">
        <f t="array" aca="1" ref="BC28" ca="1">IF(BC25&lt;&gt;"",INDIRECT("'盛付札（関数）'!AJ"&amp;BA25),"")</f>
        <v/>
      </c>
      <c r="BD28" s="204"/>
      <c r="BE28" s="44"/>
      <c r="BF28" s="199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0"/>
      <c r="BJ28" s="25"/>
      <c r="BK28" s="203" t="str">
        <f t="array" aca="1" ref="BK28" ca="1">IF(BK25&lt;&gt;"",INDIRECT("'盛付札（関数）'!AJ"&amp;BI25),"")</f>
        <v/>
      </c>
      <c r="BL28" s="204"/>
      <c r="BM28" s="44"/>
      <c r="BN28" s="199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0"/>
      <c r="BP28" s="26"/>
      <c r="BQ28" s="25"/>
      <c r="BR28" s="203" t="str">
        <f t="array" aca="1" ref="BR28" ca="1">IF(BR25&lt;&gt;"",INDIRECT("'盛付札（関数）'!AJ"&amp;BP25),"")</f>
        <v/>
      </c>
      <c r="BS28" s="204"/>
      <c r="BT28" s="44"/>
      <c r="BU28" s="199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0"/>
      <c r="BY28" s="25"/>
      <c r="BZ28" s="203" t="str">
        <f t="array" aca="1" ref="BZ28" ca="1">IF(BZ25&lt;&gt;"",INDIRECT("'盛付札（関数）'!AJ"&amp;BX25),"")</f>
        <v/>
      </c>
      <c r="CA28" s="204"/>
      <c r="CB28" s="44"/>
      <c r="CC28" s="199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0"/>
      <c r="CE28" s="26"/>
      <c r="CF28" s="25"/>
      <c r="CG28" s="203" t="str">
        <f t="array" aca="1" ref="CG28" ca="1">IF(CG25&lt;&gt;"",INDIRECT("'盛付札（関数）'!AJ"&amp;CE25),"")</f>
        <v/>
      </c>
      <c r="CH28" s="204"/>
      <c r="CI28" s="44"/>
      <c r="CJ28" s="199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0"/>
      <c r="CN28" s="25"/>
      <c r="CO28" s="203" t="str">
        <f t="array" aca="1" ref="CO28" ca="1">IF(CO25&lt;&gt;"",INDIRECT("'盛付札（関数）'!AJ"&amp;CM25),"")</f>
        <v/>
      </c>
      <c r="CP28" s="204"/>
      <c r="CQ28" s="44"/>
      <c r="CR28" s="199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0"/>
      <c r="CT28" s="26"/>
      <c r="CU28" s="25"/>
      <c r="CV28" s="203" t="str">
        <f t="array" aca="1" ref="CV28" ca="1">IF(CV25&lt;&gt;"",INDIRECT("'盛付札（関数）'!AJ"&amp;CT25),"")</f>
        <v/>
      </c>
      <c r="CW28" s="204"/>
      <c r="CX28" s="44"/>
      <c r="CY28" s="199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0"/>
      <c r="DC28" s="25"/>
      <c r="DD28" s="203" t="str">
        <f t="array" aca="1" ref="DD28" ca="1">IF(DD25&lt;&gt;"",INDIRECT("'盛付札（関数）'!AJ"&amp;DB25),"")</f>
        <v/>
      </c>
      <c r="DE28" s="204"/>
      <c r="DF28" s="44"/>
      <c r="DG28" s="199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0"/>
      <c r="DI28" s="26"/>
      <c r="DJ28" s="25"/>
      <c r="DK28" s="203" t="str">
        <f t="array" aca="1" ref="DK28" ca="1">IF(DK25&lt;&gt;"",INDIRECT("'盛付札（関数）'!AJ"&amp;DI25),"")</f>
        <v/>
      </c>
      <c r="DL28" s="204"/>
      <c r="DM28" s="44"/>
      <c r="DN28" s="199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0"/>
      <c r="DR28" s="25"/>
      <c r="DS28" s="203" t="str">
        <f t="array" aca="1" ref="DS28" ca="1">IF(DS25&lt;&gt;"",INDIRECT("'盛付札（関数）'!AJ"&amp;DQ25),"")</f>
        <v/>
      </c>
      <c r="DT28" s="204"/>
      <c r="DU28" s="44"/>
      <c r="DV28" s="199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0"/>
      <c r="DX28" s="26"/>
      <c r="DY28" s="25"/>
      <c r="DZ28" s="203" t="str">
        <f t="array" aca="1" ref="DZ28" ca="1">IF(DZ25&lt;&gt;"",INDIRECT("'盛付札（関数）'!AJ"&amp;DX25),"")</f>
        <v/>
      </c>
      <c r="EA28" s="204"/>
      <c r="EB28" s="44"/>
      <c r="EC28" s="199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0"/>
      <c r="EG28" s="25"/>
      <c r="EH28" s="203" t="str">
        <f t="array" aca="1" ref="EH28" ca="1">IF(EH25&lt;&gt;"",INDIRECT("'盛付札（関数）'!AJ"&amp;EF25),"")</f>
        <v/>
      </c>
      <c r="EI28" s="204"/>
      <c r="EJ28" s="44"/>
      <c r="EK28" s="199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0"/>
      <c r="EM28" s="26"/>
      <c r="EN28" s="25"/>
      <c r="EO28" s="203" t="str">
        <f t="array" aca="1" ref="EO28" ca="1">IF(EO25&lt;&gt;"",INDIRECT("'盛付札（関数）'!AJ"&amp;EM25),"")</f>
        <v/>
      </c>
      <c r="EP28" s="204"/>
      <c r="EQ28" s="44"/>
      <c r="ER28" s="199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0"/>
    </row>
    <row r="29" spans="1:150" ht="15.6" customHeight="1">
      <c r="B29" s="27"/>
      <c r="C29" s="201"/>
      <c r="D29" s="201"/>
      <c r="E29" s="178"/>
      <c r="F29" s="201"/>
      <c r="G29" s="202"/>
      <c r="H29" s="26"/>
      <c r="I29" s="27"/>
      <c r="J29" s="201"/>
      <c r="K29" s="201"/>
      <c r="L29" s="178"/>
      <c r="M29" s="201"/>
      <c r="N29" s="202"/>
      <c r="Q29" s="27"/>
      <c r="R29" s="201"/>
      <c r="S29" s="201"/>
      <c r="T29" s="178"/>
      <c r="U29" s="201"/>
      <c r="V29" s="202"/>
      <c r="W29" s="26"/>
      <c r="X29" s="27"/>
      <c r="Y29" s="201"/>
      <c r="Z29" s="201"/>
      <c r="AA29" s="178"/>
      <c r="AB29" s="201"/>
      <c r="AC29" s="202"/>
      <c r="AF29" s="27"/>
      <c r="AG29" s="201"/>
      <c r="AH29" s="201"/>
      <c r="AI29" s="178"/>
      <c r="AJ29" s="201"/>
      <c r="AK29" s="202"/>
      <c r="AL29" s="26"/>
      <c r="AM29" s="27"/>
      <c r="AN29" s="201"/>
      <c r="AO29" s="201"/>
      <c r="AP29" s="178"/>
      <c r="AQ29" s="201"/>
      <c r="AR29" s="202"/>
      <c r="AU29" s="27"/>
      <c r="AV29" s="201"/>
      <c r="AW29" s="201"/>
      <c r="AX29" s="178"/>
      <c r="AY29" s="201"/>
      <c r="AZ29" s="202"/>
      <c r="BA29" s="26"/>
      <c r="BB29" s="27"/>
      <c r="BC29" s="201"/>
      <c r="BD29" s="201"/>
      <c r="BE29" s="178"/>
      <c r="BF29" s="201"/>
      <c r="BG29" s="202"/>
      <c r="BJ29" s="27"/>
      <c r="BK29" s="201"/>
      <c r="BL29" s="201"/>
      <c r="BM29" s="178"/>
      <c r="BN29" s="201"/>
      <c r="BO29" s="202"/>
      <c r="BP29" s="26"/>
      <c r="BQ29" s="27"/>
      <c r="BR29" s="201"/>
      <c r="BS29" s="201"/>
      <c r="BT29" s="178"/>
      <c r="BU29" s="201"/>
      <c r="BV29" s="202"/>
      <c r="BY29" s="27"/>
      <c r="BZ29" s="201"/>
      <c r="CA29" s="201"/>
      <c r="CB29" s="178"/>
      <c r="CC29" s="201"/>
      <c r="CD29" s="202"/>
      <c r="CE29" s="26"/>
      <c r="CF29" s="27"/>
      <c r="CG29" s="201"/>
      <c r="CH29" s="201"/>
      <c r="CI29" s="178"/>
      <c r="CJ29" s="201"/>
      <c r="CK29" s="202"/>
      <c r="CN29" s="27"/>
      <c r="CO29" s="201"/>
      <c r="CP29" s="201"/>
      <c r="CQ29" s="178"/>
      <c r="CR29" s="201"/>
      <c r="CS29" s="202"/>
      <c r="CT29" s="26"/>
      <c r="CU29" s="27"/>
      <c r="CV29" s="201"/>
      <c r="CW29" s="201"/>
      <c r="CX29" s="178"/>
      <c r="CY29" s="201"/>
      <c r="CZ29" s="202"/>
      <c r="DC29" s="27"/>
      <c r="DD29" s="201"/>
      <c r="DE29" s="201"/>
      <c r="DF29" s="178"/>
      <c r="DG29" s="201"/>
      <c r="DH29" s="202"/>
      <c r="DI29" s="26"/>
      <c r="DJ29" s="27"/>
      <c r="DK29" s="201"/>
      <c r="DL29" s="201"/>
      <c r="DM29" s="178"/>
      <c r="DN29" s="201"/>
      <c r="DO29" s="202"/>
      <c r="DR29" s="27"/>
      <c r="DS29" s="201"/>
      <c r="DT29" s="201"/>
      <c r="DU29" s="178"/>
      <c r="DV29" s="201"/>
      <c r="DW29" s="202"/>
      <c r="DX29" s="26"/>
      <c r="DY29" s="27"/>
      <c r="DZ29" s="201"/>
      <c r="EA29" s="201"/>
      <c r="EB29" s="178"/>
      <c r="EC29" s="201"/>
      <c r="ED29" s="202"/>
      <c r="EG29" s="27"/>
      <c r="EH29" s="201"/>
      <c r="EI29" s="201"/>
      <c r="EJ29" s="178"/>
      <c r="EK29" s="201"/>
      <c r="EL29" s="202"/>
      <c r="EM29" s="26"/>
      <c r="EN29" s="27"/>
      <c r="EO29" s="201"/>
      <c r="EP29" s="201"/>
      <c r="EQ29" s="178"/>
      <c r="ER29" s="201"/>
      <c r="ES29" s="202"/>
    </row>
    <row r="30" spans="1:150" s="18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09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2"/>
      <c r="D31" s="209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2"/>
      <c r="F31" s="210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2"/>
      <c r="I31" s="209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2"/>
      <c r="K31" s="209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2"/>
      <c r="M31" s="210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2"/>
      <c r="Q31" s="209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2"/>
      <c r="S31" s="209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2"/>
      <c r="U31" s="210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2"/>
      <c r="X31" s="209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2"/>
      <c r="Z31" s="209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2"/>
      <c r="AB31" s="210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2"/>
      <c r="AF31" s="209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2"/>
      <c r="AH31" s="209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2"/>
      <c r="AJ31" s="210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2"/>
      <c r="AM31" s="209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2"/>
      <c r="AO31" s="209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2"/>
      <c r="AQ31" s="210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2"/>
      <c r="AU31" s="209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2"/>
      <c r="AW31" s="209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2"/>
      <c r="AY31" s="210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2"/>
      <c r="BB31" s="209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2"/>
      <c r="BD31" s="209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2"/>
      <c r="BF31" s="210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2"/>
      <c r="BJ31" s="209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2"/>
      <c r="BL31" s="209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2"/>
      <c r="BN31" s="210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2"/>
      <c r="BQ31" s="209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2"/>
      <c r="BS31" s="209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2"/>
      <c r="BU31" s="210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2"/>
      <c r="BY31" s="209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2"/>
      <c r="CA31" s="209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2"/>
      <c r="CC31" s="210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2"/>
      <c r="CF31" s="209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2"/>
      <c r="CH31" s="209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2"/>
      <c r="CJ31" s="210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2"/>
      <c r="CN31" s="209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2"/>
      <c r="CP31" s="209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2"/>
      <c r="CR31" s="210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2"/>
      <c r="CU31" s="209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2"/>
      <c r="CW31" s="209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2"/>
      <c r="CY31" s="210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2"/>
      <c r="DC31" s="209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2"/>
      <c r="DE31" s="209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2"/>
      <c r="DG31" s="210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2"/>
      <c r="DJ31" s="209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2"/>
      <c r="DL31" s="209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2"/>
      <c r="DN31" s="210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2"/>
      <c r="DR31" s="209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2"/>
      <c r="DT31" s="209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2"/>
      <c r="DV31" s="210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2"/>
      <c r="DY31" s="209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2"/>
      <c r="EA31" s="209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2"/>
      <c r="EC31" s="210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2"/>
      <c r="EG31" s="209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2"/>
      <c r="EI31" s="209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2"/>
      <c r="EK31" s="210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2"/>
      <c r="EN31" s="209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2"/>
      <c r="EP31" s="209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2"/>
      <c r="ER31" s="210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2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0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7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8"/>
      <c r="E33" s="208"/>
      <c r="F33" s="208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7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8"/>
      <c r="L33" s="208"/>
      <c r="M33" s="208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7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8"/>
      <c r="T33" s="208"/>
      <c r="U33" s="208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7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8"/>
      <c r="AA33" s="208"/>
      <c r="AB33" s="208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7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8"/>
      <c r="AI33" s="208"/>
      <c r="AJ33" s="208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7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8"/>
      <c r="AP33" s="208"/>
      <c r="AQ33" s="208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7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8"/>
      <c r="AX33" s="208"/>
      <c r="AY33" s="208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7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8"/>
      <c r="BE33" s="208"/>
      <c r="BF33" s="208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7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8"/>
      <c r="BM33" s="208"/>
      <c r="BN33" s="208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7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8"/>
      <c r="BT33" s="208"/>
      <c r="BU33" s="208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7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8"/>
      <c r="CB33" s="208"/>
      <c r="CC33" s="208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7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8"/>
      <c r="CI33" s="208"/>
      <c r="CJ33" s="208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7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8"/>
      <c r="CQ33" s="208"/>
      <c r="CR33" s="208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7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8"/>
      <c r="CX33" s="208"/>
      <c r="CY33" s="208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7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8"/>
      <c r="DF33" s="208"/>
      <c r="DG33" s="208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7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8"/>
      <c r="DM33" s="208"/>
      <c r="DN33" s="208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7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8"/>
      <c r="DU33" s="208"/>
      <c r="DV33" s="208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7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8"/>
      <c r="EB33" s="208"/>
      <c r="EC33" s="208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7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8"/>
      <c r="EJ33" s="208"/>
      <c r="EK33" s="208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7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8"/>
      <c r="EQ33" s="208"/>
      <c r="ER33" s="208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0" customFormat="1">
      <c r="A34" s="30"/>
      <c r="B34" s="103"/>
      <c r="C34" s="138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8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8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8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8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8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8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8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8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8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8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8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8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8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8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8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8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8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8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8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0" customFormat="1">
      <c r="A35" s="30"/>
      <c r="B35" s="31"/>
      <c r="C35" s="205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6"/>
      <c r="E35" s="22"/>
      <c r="F35" s="137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5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6"/>
      <c r="L35" s="22"/>
      <c r="M35" s="137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5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6"/>
      <c r="T35" s="22"/>
      <c r="U35" s="137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5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6"/>
      <c r="AA35" s="22"/>
      <c r="AB35" s="137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5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6"/>
      <c r="AI35" s="22"/>
      <c r="AJ35" s="137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5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6"/>
      <c r="AP35" s="22"/>
      <c r="AQ35" s="137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5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6"/>
      <c r="AX35" s="22"/>
      <c r="AY35" s="137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5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6"/>
      <c r="BE35" s="22"/>
      <c r="BF35" s="137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5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6"/>
      <c r="BM35" s="22"/>
      <c r="BN35" s="137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5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6"/>
      <c r="BT35" s="22"/>
      <c r="BU35" s="137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5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6"/>
      <c r="CB35" s="22"/>
      <c r="CC35" s="137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5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6"/>
      <c r="CI35" s="22"/>
      <c r="CJ35" s="137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5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6"/>
      <c r="CQ35" s="22"/>
      <c r="CR35" s="137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5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6"/>
      <c r="CX35" s="22"/>
      <c r="CY35" s="137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5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6"/>
      <c r="DF35" s="22"/>
      <c r="DG35" s="137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5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6"/>
      <c r="DM35" s="22"/>
      <c r="DN35" s="137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5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6"/>
      <c r="DU35" s="22"/>
      <c r="DV35" s="137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5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6"/>
      <c r="EB35" s="22"/>
      <c r="EC35" s="137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5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6"/>
      <c r="EJ35" s="22"/>
      <c r="EK35" s="137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5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6"/>
      <c r="EQ35" s="22"/>
      <c r="ER35" s="137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3" t="str">
        <f t="array" aca="1" ref="C36" ca="1">IF(C33&lt;&gt;"",INDIRECT("'盛付札（関数）'!AJ"&amp;A33),"")</f>
        <v/>
      </c>
      <c r="D36" s="204"/>
      <c r="E36" s="44"/>
      <c r="F36" s="199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0"/>
      <c r="H36" s="26"/>
      <c r="I36" s="25"/>
      <c r="J36" s="203" t="str">
        <f t="array" aca="1" ref="J36" ca="1">IF(J33&lt;&gt;"",INDIRECT("'盛付札（関数）'!AJ"&amp;H33),"")</f>
        <v/>
      </c>
      <c r="K36" s="204"/>
      <c r="L36" s="44"/>
      <c r="M36" s="199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0"/>
      <c r="Q36" s="25"/>
      <c r="R36" s="203" t="str">
        <f t="array" aca="1" ref="R36" ca="1">IF(R33&lt;&gt;"",INDIRECT("'盛付札（関数）'!AJ"&amp;P33),"")</f>
        <v/>
      </c>
      <c r="S36" s="204"/>
      <c r="T36" s="44"/>
      <c r="U36" s="199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0"/>
      <c r="W36" s="26"/>
      <c r="X36" s="25"/>
      <c r="Y36" s="203" t="str">
        <f t="array" aca="1" ref="Y36" ca="1">IF(Y33&lt;&gt;"",INDIRECT("'盛付札（関数）'!AJ"&amp;W33),"")</f>
        <v/>
      </c>
      <c r="Z36" s="204"/>
      <c r="AA36" s="44"/>
      <c r="AB36" s="199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0"/>
      <c r="AF36" s="25"/>
      <c r="AG36" s="203" t="str">
        <f t="array" aca="1" ref="AG36" ca="1">IF(AG33&lt;&gt;"",INDIRECT("'盛付札（関数）'!AJ"&amp;AE33),"")</f>
        <v/>
      </c>
      <c r="AH36" s="204"/>
      <c r="AI36" s="44"/>
      <c r="AJ36" s="199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0"/>
      <c r="AL36" s="26"/>
      <c r="AM36" s="25"/>
      <c r="AN36" s="203" t="str">
        <f t="array" aca="1" ref="AN36" ca="1">IF(AN33&lt;&gt;"",INDIRECT("'盛付札（関数）'!AJ"&amp;AL33),"")</f>
        <v/>
      </c>
      <c r="AO36" s="204"/>
      <c r="AP36" s="44"/>
      <c r="AQ36" s="199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0"/>
      <c r="AU36" s="25"/>
      <c r="AV36" s="203" t="str">
        <f t="array" aca="1" ref="AV36" ca="1">IF(AV33&lt;&gt;"",INDIRECT("'盛付札（関数）'!AJ"&amp;AT33),"")</f>
        <v/>
      </c>
      <c r="AW36" s="204"/>
      <c r="AX36" s="44"/>
      <c r="AY36" s="199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0"/>
      <c r="BA36" s="26"/>
      <c r="BB36" s="25"/>
      <c r="BC36" s="203" t="str">
        <f t="array" aca="1" ref="BC36" ca="1">IF(BC33&lt;&gt;"",INDIRECT("'盛付札（関数）'!AJ"&amp;BA33),"")</f>
        <v/>
      </c>
      <c r="BD36" s="204"/>
      <c r="BE36" s="44"/>
      <c r="BF36" s="199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0"/>
      <c r="BJ36" s="25"/>
      <c r="BK36" s="203" t="str">
        <f t="array" aca="1" ref="BK36" ca="1">IF(BK33&lt;&gt;"",INDIRECT("'盛付札（関数）'!AJ"&amp;BI33),"")</f>
        <v/>
      </c>
      <c r="BL36" s="204"/>
      <c r="BM36" s="44"/>
      <c r="BN36" s="199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0"/>
      <c r="BP36" s="26"/>
      <c r="BQ36" s="25"/>
      <c r="BR36" s="203" t="str">
        <f t="array" aca="1" ref="BR36" ca="1">IF(BR33&lt;&gt;"",INDIRECT("'盛付札（関数）'!AJ"&amp;BP33),"")</f>
        <v/>
      </c>
      <c r="BS36" s="204"/>
      <c r="BT36" s="44"/>
      <c r="BU36" s="199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0"/>
      <c r="BY36" s="25"/>
      <c r="BZ36" s="203" t="str">
        <f t="array" aca="1" ref="BZ36" ca="1">IF(BZ33&lt;&gt;"",INDIRECT("'盛付札（関数）'!AJ"&amp;BX33),"")</f>
        <v/>
      </c>
      <c r="CA36" s="204"/>
      <c r="CB36" s="44"/>
      <c r="CC36" s="199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0"/>
      <c r="CE36" s="26"/>
      <c r="CF36" s="25"/>
      <c r="CG36" s="203" t="str">
        <f t="array" aca="1" ref="CG36" ca="1">IF(CG33&lt;&gt;"",INDIRECT("'盛付札（関数）'!AJ"&amp;CE33),"")</f>
        <v/>
      </c>
      <c r="CH36" s="204"/>
      <c r="CI36" s="44"/>
      <c r="CJ36" s="199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0"/>
      <c r="CN36" s="25"/>
      <c r="CO36" s="203" t="str">
        <f t="array" aca="1" ref="CO36" ca="1">IF(CO33&lt;&gt;"",INDIRECT("'盛付札（関数）'!AJ"&amp;CM33),"")</f>
        <v/>
      </c>
      <c r="CP36" s="204"/>
      <c r="CQ36" s="44"/>
      <c r="CR36" s="199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0"/>
      <c r="CT36" s="26"/>
      <c r="CU36" s="25"/>
      <c r="CV36" s="203" t="str">
        <f t="array" aca="1" ref="CV36" ca="1">IF(CV33&lt;&gt;"",INDIRECT("'盛付札（関数）'!AJ"&amp;CT33),"")</f>
        <v/>
      </c>
      <c r="CW36" s="204"/>
      <c r="CX36" s="44"/>
      <c r="CY36" s="199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0"/>
      <c r="DC36" s="25"/>
      <c r="DD36" s="203" t="str">
        <f t="array" aca="1" ref="DD36" ca="1">IF(DD33&lt;&gt;"",INDIRECT("'盛付札（関数）'!AJ"&amp;DB33),"")</f>
        <v/>
      </c>
      <c r="DE36" s="204"/>
      <c r="DF36" s="44"/>
      <c r="DG36" s="199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0"/>
      <c r="DI36" s="26"/>
      <c r="DJ36" s="25"/>
      <c r="DK36" s="203" t="str">
        <f t="array" aca="1" ref="DK36" ca="1">IF(DK33&lt;&gt;"",INDIRECT("'盛付札（関数）'!AJ"&amp;DI33),"")</f>
        <v/>
      </c>
      <c r="DL36" s="204"/>
      <c r="DM36" s="44"/>
      <c r="DN36" s="199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0"/>
      <c r="DR36" s="25"/>
      <c r="DS36" s="203" t="str">
        <f t="array" aca="1" ref="DS36" ca="1">IF(DS33&lt;&gt;"",INDIRECT("'盛付札（関数）'!AJ"&amp;DQ33),"")</f>
        <v/>
      </c>
      <c r="DT36" s="204"/>
      <c r="DU36" s="44"/>
      <c r="DV36" s="199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0"/>
      <c r="DX36" s="26"/>
      <c r="DY36" s="25"/>
      <c r="DZ36" s="203" t="str">
        <f t="array" aca="1" ref="DZ36" ca="1">IF(DZ33&lt;&gt;"",INDIRECT("'盛付札（関数）'!AJ"&amp;DX33),"")</f>
        <v/>
      </c>
      <c r="EA36" s="204"/>
      <c r="EB36" s="44"/>
      <c r="EC36" s="199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0"/>
      <c r="EG36" s="25"/>
      <c r="EH36" s="203" t="str">
        <f t="array" aca="1" ref="EH36" ca="1">IF(EH33&lt;&gt;"",INDIRECT("'盛付札（関数）'!AJ"&amp;EF33),"")</f>
        <v/>
      </c>
      <c r="EI36" s="204"/>
      <c r="EJ36" s="44"/>
      <c r="EK36" s="199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0"/>
      <c r="EM36" s="26"/>
      <c r="EN36" s="25"/>
      <c r="EO36" s="203" t="str">
        <f t="array" aca="1" ref="EO36" ca="1">IF(EO33&lt;&gt;"",INDIRECT("'盛付札（関数）'!AJ"&amp;EM33),"")</f>
        <v/>
      </c>
      <c r="EP36" s="204"/>
      <c r="EQ36" s="44"/>
      <c r="ER36" s="199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0"/>
    </row>
    <row r="37" spans="1:150" ht="15.6" customHeight="1">
      <c r="B37" s="27"/>
      <c r="C37" s="201"/>
      <c r="D37" s="201"/>
      <c r="E37" s="178"/>
      <c r="F37" s="201"/>
      <c r="G37" s="202"/>
      <c r="H37" s="26"/>
      <c r="I37" s="27"/>
      <c r="J37" s="201"/>
      <c r="K37" s="201"/>
      <c r="L37" s="178"/>
      <c r="M37" s="201"/>
      <c r="N37" s="202"/>
      <c r="Q37" s="27"/>
      <c r="R37" s="201"/>
      <c r="S37" s="201"/>
      <c r="T37" s="178"/>
      <c r="U37" s="201"/>
      <c r="V37" s="202"/>
      <c r="W37" s="26"/>
      <c r="X37" s="27"/>
      <c r="Y37" s="201"/>
      <c r="Z37" s="201"/>
      <c r="AA37" s="178"/>
      <c r="AB37" s="201"/>
      <c r="AC37" s="202"/>
      <c r="AF37" s="27"/>
      <c r="AG37" s="201"/>
      <c r="AH37" s="201"/>
      <c r="AI37" s="178"/>
      <c r="AJ37" s="201"/>
      <c r="AK37" s="202"/>
      <c r="AL37" s="26"/>
      <c r="AM37" s="27"/>
      <c r="AN37" s="201"/>
      <c r="AO37" s="201"/>
      <c r="AP37" s="178"/>
      <c r="AQ37" s="201"/>
      <c r="AR37" s="202"/>
      <c r="AU37" s="27"/>
      <c r="AV37" s="201"/>
      <c r="AW37" s="201"/>
      <c r="AX37" s="178"/>
      <c r="AY37" s="201"/>
      <c r="AZ37" s="202"/>
      <c r="BA37" s="26"/>
      <c r="BB37" s="27"/>
      <c r="BC37" s="201"/>
      <c r="BD37" s="201"/>
      <c r="BE37" s="178"/>
      <c r="BF37" s="201"/>
      <c r="BG37" s="202"/>
      <c r="BJ37" s="27"/>
      <c r="BK37" s="201"/>
      <c r="BL37" s="201"/>
      <c r="BM37" s="178"/>
      <c r="BN37" s="201"/>
      <c r="BO37" s="202"/>
      <c r="BP37" s="26"/>
      <c r="BQ37" s="27"/>
      <c r="BR37" s="201"/>
      <c r="BS37" s="201"/>
      <c r="BT37" s="178"/>
      <c r="BU37" s="201"/>
      <c r="BV37" s="202"/>
      <c r="BY37" s="27"/>
      <c r="BZ37" s="201"/>
      <c r="CA37" s="201"/>
      <c r="CB37" s="178"/>
      <c r="CC37" s="201"/>
      <c r="CD37" s="202"/>
      <c r="CE37" s="26"/>
      <c r="CF37" s="27"/>
      <c r="CG37" s="201"/>
      <c r="CH37" s="201"/>
      <c r="CI37" s="178"/>
      <c r="CJ37" s="201"/>
      <c r="CK37" s="202"/>
      <c r="CN37" s="27"/>
      <c r="CO37" s="201"/>
      <c r="CP37" s="201"/>
      <c r="CQ37" s="178"/>
      <c r="CR37" s="201"/>
      <c r="CS37" s="202"/>
      <c r="CT37" s="26"/>
      <c r="CU37" s="27"/>
      <c r="CV37" s="201"/>
      <c r="CW37" s="201"/>
      <c r="CX37" s="178"/>
      <c r="CY37" s="201"/>
      <c r="CZ37" s="202"/>
      <c r="DC37" s="27"/>
      <c r="DD37" s="201"/>
      <c r="DE37" s="201"/>
      <c r="DF37" s="178"/>
      <c r="DG37" s="201"/>
      <c r="DH37" s="202"/>
      <c r="DI37" s="26"/>
      <c r="DJ37" s="27"/>
      <c r="DK37" s="201"/>
      <c r="DL37" s="201"/>
      <c r="DM37" s="178"/>
      <c r="DN37" s="201"/>
      <c r="DO37" s="202"/>
      <c r="DR37" s="27"/>
      <c r="DS37" s="201"/>
      <c r="DT37" s="201"/>
      <c r="DU37" s="178"/>
      <c r="DV37" s="201"/>
      <c r="DW37" s="202"/>
      <c r="DX37" s="26"/>
      <c r="DY37" s="27"/>
      <c r="DZ37" s="201"/>
      <c r="EA37" s="201"/>
      <c r="EB37" s="178"/>
      <c r="EC37" s="201"/>
      <c r="ED37" s="202"/>
      <c r="EG37" s="27"/>
      <c r="EH37" s="201"/>
      <c r="EI37" s="201"/>
      <c r="EJ37" s="178"/>
      <c r="EK37" s="201"/>
      <c r="EL37" s="202"/>
      <c r="EM37" s="26"/>
      <c r="EN37" s="27"/>
      <c r="EO37" s="201"/>
      <c r="EP37" s="201"/>
      <c r="EQ37" s="178"/>
      <c r="ER37" s="201"/>
      <c r="ES37" s="202"/>
    </row>
    <row r="38" spans="1:150" s="18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09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2"/>
      <c r="D39" s="209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2"/>
      <c r="F39" s="210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2"/>
      <c r="I39" s="209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2"/>
      <c r="K39" s="209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2"/>
      <c r="M39" s="210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2"/>
      <c r="Q39" s="209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2"/>
      <c r="S39" s="209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2"/>
      <c r="U39" s="210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2"/>
      <c r="X39" s="209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2"/>
      <c r="Z39" s="209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2"/>
      <c r="AB39" s="210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2"/>
      <c r="AF39" s="209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2"/>
      <c r="AH39" s="209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2"/>
      <c r="AJ39" s="210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2"/>
      <c r="AM39" s="209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2"/>
      <c r="AO39" s="209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2"/>
      <c r="AQ39" s="210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2"/>
      <c r="AU39" s="209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2"/>
      <c r="AW39" s="209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2"/>
      <c r="AY39" s="210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2"/>
      <c r="BB39" s="209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2"/>
      <c r="BD39" s="209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2"/>
      <c r="BF39" s="210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2"/>
      <c r="BJ39" s="209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2"/>
      <c r="BL39" s="209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2"/>
      <c r="BN39" s="210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2"/>
      <c r="BQ39" s="209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2"/>
      <c r="BS39" s="209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2"/>
      <c r="BU39" s="210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2"/>
      <c r="BY39" s="209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2"/>
      <c r="CA39" s="209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2"/>
      <c r="CC39" s="210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2"/>
      <c r="CF39" s="209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2"/>
      <c r="CH39" s="209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2"/>
      <c r="CJ39" s="210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2"/>
      <c r="CN39" s="209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2"/>
      <c r="CP39" s="209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2"/>
      <c r="CR39" s="210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2"/>
      <c r="CU39" s="209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2"/>
      <c r="CW39" s="209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2"/>
      <c r="CY39" s="210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2"/>
      <c r="DC39" s="209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2"/>
      <c r="DE39" s="209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2"/>
      <c r="DG39" s="210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2"/>
      <c r="DJ39" s="209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2"/>
      <c r="DL39" s="209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2"/>
      <c r="DN39" s="210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2"/>
      <c r="DR39" s="209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2"/>
      <c r="DT39" s="209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2"/>
      <c r="DV39" s="210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2"/>
      <c r="DY39" s="209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2"/>
      <c r="EA39" s="209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2"/>
      <c r="EC39" s="210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2"/>
      <c r="EG39" s="209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2"/>
      <c r="EI39" s="209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2"/>
      <c r="EK39" s="210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2"/>
      <c r="EN39" s="209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2"/>
      <c r="EP39" s="209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2"/>
      <c r="ER39" s="210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2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0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7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8"/>
      <c r="E41" s="208"/>
      <c r="F41" s="208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7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8"/>
      <c r="L41" s="208"/>
      <c r="M41" s="208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7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8"/>
      <c r="T41" s="208"/>
      <c r="U41" s="208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7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8"/>
      <c r="AA41" s="208"/>
      <c r="AB41" s="208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7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8"/>
      <c r="AI41" s="208"/>
      <c r="AJ41" s="208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7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8"/>
      <c r="AP41" s="208"/>
      <c r="AQ41" s="208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7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8"/>
      <c r="AX41" s="208"/>
      <c r="AY41" s="208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7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8"/>
      <c r="BE41" s="208"/>
      <c r="BF41" s="208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7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8"/>
      <c r="BM41" s="208"/>
      <c r="BN41" s="208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7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8"/>
      <c r="BT41" s="208"/>
      <c r="BU41" s="208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7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8"/>
      <c r="CB41" s="208"/>
      <c r="CC41" s="208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7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8"/>
      <c r="CI41" s="208"/>
      <c r="CJ41" s="208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7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8"/>
      <c r="CQ41" s="208"/>
      <c r="CR41" s="208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7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8"/>
      <c r="CX41" s="208"/>
      <c r="CY41" s="208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7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8"/>
      <c r="DF41" s="208"/>
      <c r="DG41" s="208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7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8"/>
      <c r="DM41" s="208"/>
      <c r="DN41" s="208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7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8"/>
      <c r="DU41" s="208"/>
      <c r="DV41" s="208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7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8"/>
      <c r="EB41" s="208"/>
      <c r="EC41" s="208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7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8"/>
      <c r="EJ41" s="208"/>
      <c r="EK41" s="208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7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8"/>
      <c r="EQ41" s="208"/>
      <c r="ER41" s="208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0" customFormat="1">
      <c r="A42" s="30"/>
      <c r="B42" s="103"/>
      <c r="C42" s="138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8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8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8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8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8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8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8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8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8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8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8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8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8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8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8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8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8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8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8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0" customFormat="1">
      <c r="A43" s="30"/>
      <c r="B43" s="31"/>
      <c r="C43" s="205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6"/>
      <c r="E43" s="22"/>
      <c r="F43" s="137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5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6"/>
      <c r="L43" s="22"/>
      <c r="M43" s="137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5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6"/>
      <c r="T43" s="22"/>
      <c r="U43" s="137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5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6"/>
      <c r="AA43" s="22"/>
      <c r="AB43" s="137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5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6"/>
      <c r="AI43" s="22"/>
      <c r="AJ43" s="137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5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6"/>
      <c r="AP43" s="22"/>
      <c r="AQ43" s="137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5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6"/>
      <c r="AX43" s="22"/>
      <c r="AY43" s="137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5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6"/>
      <c r="BE43" s="22"/>
      <c r="BF43" s="137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5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6"/>
      <c r="BM43" s="22"/>
      <c r="BN43" s="137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5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6"/>
      <c r="BT43" s="22"/>
      <c r="BU43" s="137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5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6"/>
      <c r="CB43" s="22"/>
      <c r="CC43" s="137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5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6"/>
      <c r="CI43" s="22"/>
      <c r="CJ43" s="137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5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6"/>
      <c r="CQ43" s="22"/>
      <c r="CR43" s="137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5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6"/>
      <c r="CX43" s="22"/>
      <c r="CY43" s="137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5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6"/>
      <c r="DF43" s="22"/>
      <c r="DG43" s="137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5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6"/>
      <c r="DM43" s="22"/>
      <c r="DN43" s="137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5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6"/>
      <c r="DU43" s="22"/>
      <c r="DV43" s="137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5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6"/>
      <c r="EB43" s="22"/>
      <c r="EC43" s="137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5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6"/>
      <c r="EJ43" s="22"/>
      <c r="EK43" s="137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5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6"/>
      <c r="EQ43" s="22"/>
      <c r="ER43" s="137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3" t="str">
        <f t="array" aca="1" ref="C44" ca="1">IF(C41&lt;&gt;"",INDIRECT("'盛付札（関数）'!AJ"&amp;A41),"")</f>
        <v/>
      </c>
      <c r="D44" s="204"/>
      <c r="E44" s="44"/>
      <c r="F44" s="199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0"/>
      <c r="H44" s="26"/>
      <c r="I44" s="25"/>
      <c r="J44" s="203" t="str">
        <f t="array" aca="1" ref="J44" ca="1">IF(J41&lt;&gt;"",INDIRECT("'盛付札（関数）'!AJ"&amp;H41),"")</f>
        <v/>
      </c>
      <c r="K44" s="204"/>
      <c r="L44" s="44"/>
      <c r="M44" s="199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0"/>
      <c r="Q44" s="25"/>
      <c r="R44" s="203" t="str">
        <f t="array" aca="1" ref="R44" ca="1">IF(R41&lt;&gt;"",INDIRECT("'盛付札（関数）'!AJ"&amp;P41),"")</f>
        <v/>
      </c>
      <c r="S44" s="204"/>
      <c r="T44" s="44"/>
      <c r="U44" s="199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0"/>
      <c r="W44" s="26"/>
      <c r="X44" s="25"/>
      <c r="Y44" s="203" t="str">
        <f t="array" aca="1" ref="Y44" ca="1">IF(Y41&lt;&gt;"",INDIRECT("'盛付札（関数）'!AJ"&amp;W41),"")</f>
        <v/>
      </c>
      <c r="Z44" s="204"/>
      <c r="AA44" s="44"/>
      <c r="AB44" s="199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0"/>
      <c r="AF44" s="25"/>
      <c r="AG44" s="203" t="str">
        <f t="array" aca="1" ref="AG44" ca="1">IF(AG41&lt;&gt;"",INDIRECT("'盛付札（関数）'!AJ"&amp;AE41),"")</f>
        <v/>
      </c>
      <c r="AH44" s="204"/>
      <c r="AI44" s="44"/>
      <c r="AJ44" s="199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0"/>
      <c r="AL44" s="26"/>
      <c r="AM44" s="25"/>
      <c r="AN44" s="203" t="str">
        <f t="array" aca="1" ref="AN44" ca="1">IF(AN41&lt;&gt;"",INDIRECT("'盛付札（関数）'!AJ"&amp;AL41),"")</f>
        <v/>
      </c>
      <c r="AO44" s="204"/>
      <c r="AP44" s="44"/>
      <c r="AQ44" s="199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0"/>
      <c r="AU44" s="25"/>
      <c r="AV44" s="203" t="str">
        <f t="array" aca="1" ref="AV44" ca="1">IF(AV41&lt;&gt;"",INDIRECT("'盛付札（関数）'!AJ"&amp;AT41),"")</f>
        <v/>
      </c>
      <c r="AW44" s="204"/>
      <c r="AX44" s="44"/>
      <c r="AY44" s="199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0"/>
      <c r="BA44" s="26"/>
      <c r="BB44" s="25"/>
      <c r="BC44" s="203" t="str">
        <f t="array" aca="1" ref="BC44" ca="1">IF(BC41&lt;&gt;"",INDIRECT("'盛付札（関数）'!AJ"&amp;BA41),"")</f>
        <v/>
      </c>
      <c r="BD44" s="204"/>
      <c r="BE44" s="44"/>
      <c r="BF44" s="199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0"/>
      <c r="BJ44" s="25"/>
      <c r="BK44" s="203" t="str">
        <f t="array" aca="1" ref="BK44" ca="1">IF(BK41&lt;&gt;"",INDIRECT("'盛付札（関数）'!AJ"&amp;BI41),"")</f>
        <v/>
      </c>
      <c r="BL44" s="204"/>
      <c r="BM44" s="44"/>
      <c r="BN44" s="199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0"/>
      <c r="BP44" s="26"/>
      <c r="BQ44" s="25"/>
      <c r="BR44" s="203" t="str">
        <f t="array" aca="1" ref="BR44" ca="1">IF(BR41&lt;&gt;"",INDIRECT("'盛付札（関数）'!AJ"&amp;BP41),"")</f>
        <v/>
      </c>
      <c r="BS44" s="204"/>
      <c r="BT44" s="44"/>
      <c r="BU44" s="199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0"/>
      <c r="BY44" s="25"/>
      <c r="BZ44" s="203" t="str">
        <f t="array" aca="1" ref="BZ44" ca="1">IF(BZ41&lt;&gt;"",INDIRECT("'盛付札（関数）'!AJ"&amp;BX41),"")</f>
        <v/>
      </c>
      <c r="CA44" s="204"/>
      <c r="CB44" s="44"/>
      <c r="CC44" s="199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0"/>
      <c r="CE44" s="26"/>
      <c r="CF44" s="25"/>
      <c r="CG44" s="203" t="str">
        <f t="array" aca="1" ref="CG44" ca="1">IF(CG41&lt;&gt;"",INDIRECT("'盛付札（関数）'!AJ"&amp;CE41),"")</f>
        <v/>
      </c>
      <c r="CH44" s="204"/>
      <c r="CI44" s="44"/>
      <c r="CJ44" s="199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0"/>
      <c r="CN44" s="25"/>
      <c r="CO44" s="203" t="str">
        <f t="array" aca="1" ref="CO44" ca="1">IF(CO41&lt;&gt;"",INDIRECT("'盛付札（関数）'!AJ"&amp;CM41),"")</f>
        <v/>
      </c>
      <c r="CP44" s="204"/>
      <c r="CQ44" s="44"/>
      <c r="CR44" s="199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0"/>
      <c r="CT44" s="26"/>
      <c r="CU44" s="25"/>
      <c r="CV44" s="203" t="str">
        <f t="array" aca="1" ref="CV44" ca="1">IF(CV41&lt;&gt;"",INDIRECT("'盛付札（関数）'!AJ"&amp;CT41),"")</f>
        <v/>
      </c>
      <c r="CW44" s="204"/>
      <c r="CX44" s="44"/>
      <c r="CY44" s="199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0"/>
      <c r="DC44" s="25"/>
      <c r="DD44" s="203" t="str">
        <f t="array" aca="1" ref="DD44" ca="1">IF(DD41&lt;&gt;"",INDIRECT("'盛付札（関数）'!AJ"&amp;DB41),"")</f>
        <v/>
      </c>
      <c r="DE44" s="204"/>
      <c r="DF44" s="44"/>
      <c r="DG44" s="199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0"/>
      <c r="DI44" s="26"/>
      <c r="DJ44" s="25"/>
      <c r="DK44" s="203" t="str">
        <f t="array" aca="1" ref="DK44" ca="1">IF(DK41&lt;&gt;"",INDIRECT("'盛付札（関数）'!AJ"&amp;DI41),"")</f>
        <v/>
      </c>
      <c r="DL44" s="204"/>
      <c r="DM44" s="44"/>
      <c r="DN44" s="199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0"/>
      <c r="DR44" s="25"/>
      <c r="DS44" s="203" t="str">
        <f t="array" aca="1" ref="DS44" ca="1">IF(DS41&lt;&gt;"",INDIRECT("'盛付札（関数）'!AJ"&amp;DQ41),"")</f>
        <v/>
      </c>
      <c r="DT44" s="204"/>
      <c r="DU44" s="44"/>
      <c r="DV44" s="199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0"/>
      <c r="DX44" s="26"/>
      <c r="DY44" s="25"/>
      <c r="DZ44" s="203" t="str">
        <f t="array" aca="1" ref="DZ44" ca="1">IF(DZ41&lt;&gt;"",INDIRECT("'盛付札（関数）'!AJ"&amp;DX41),"")</f>
        <v/>
      </c>
      <c r="EA44" s="204"/>
      <c r="EB44" s="44"/>
      <c r="EC44" s="199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0"/>
      <c r="EG44" s="25"/>
      <c r="EH44" s="203" t="str">
        <f t="array" aca="1" ref="EH44" ca="1">IF(EH41&lt;&gt;"",INDIRECT("'盛付札（関数）'!AJ"&amp;EF41),"")</f>
        <v/>
      </c>
      <c r="EI44" s="204"/>
      <c r="EJ44" s="44"/>
      <c r="EK44" s="199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0"/>
      <c r="EM44" s="26"/>
      <c r="EN44" s="25"/>
      <c r="EO44" s="203" t="str">
        <f t="array" aca="1" ref="EO44" ca="1">IF(EO41&lt;&gt;"",INDIRECT("'盛付札（関数）'!AJ"&amp;EM41),"")</f>
        <v/>
      </c>
      <c r="EP44" s="204"/>
      <c r="EQ44" s="44"/>
      <c r="ER44" s="199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0"/>
    </row>
    <row r="45" spans="1:150" ht="15.6" customHeight="1">
      <c r="B45" s="27"/>
      <c r="C45" s="201"/>
      <c r="D45" s="201"/>
      <c r="E45" s="178"/>
      <c r="F45" s="201"/>
      <c r="G45" s="202"/>
      <c r="H45" s="26"/>
      <c r="I45" s="27"/>
      <c r="J45" s="201"/>
      <c r="K45" s="201"/>
      <c r="L45" s="178"/>
      <c r="M45" s="201"/>
      <c r="N45" s="202"/>
      <c r="Q45" s="27"/>
      <c r="R45" s="201"/>
      <c r="S45" s="201"/>
      <c r="T45" s="178"/>
      <c r="U45" s="201"/>
      <c r="V45" s="202"/>
      <c r="W45" s="26"/>
      <c r="X45" s="27"/>
      <c r="Y45" s="201"/>
      <c r="Z45" s="201"/>
      <c r="AA45" s="178"/>
      <c r="AB45" s="201"/>
      <c r="AC45" s="202"/>
      <c r="AF45" s="27"/>
      <c r="AG45" s="201"/>
      <c r="AH45" s="201"/>
      <c r="AI45" s="178"/>
      <c r="AJ45" s="201"/>
      <c r="AK45" s="202"/>
      <c r="AL45" s="26"/>
      <c r="AM45" s="27"/>
      <c r="AN45" s="201"/>
      <c r="AO45" s="201"/>
      <c r="AP45" s="178"/>
      <c r="AQ45" s="201"/>
      <c r="AR45" s="202"/>
      <c r="AU45" s="27"/>
      <c r="AV45" s="201"/>
      <c r="AW45" s="201"/>
      <c r="AX45" s="178"/>
      <c r="AY45" s="201"/>
      <c r="AZ45" s="202"/>
      <c r="BA45" s="26"/>
      <c r="BB45" s="27"/>
      <c r="BC45" s="201"/>
      <c r="BD45" s="201"/>
      <c r="BE45" s="178"/>
      <c r="BF45" s="201"/>
      <c r="BG45" s="202"/>
      <c r="BJ45" s="27"/>
      <c r="BK45" s="201"/>
      <c r="BL45" s="201"/>
      <c r="BM45" s="178"/>
      <c r="BN45" s="201"/>
      <c r="BO45" s="202"/>
      <c r="BP45" s="26"/>
      <c r="BQ45" s="27"/>
      <c r="BR45" s="201"/>
      <c r="BS45" s="201"/>
      <c r="BT45" s="178"/>
      <c r="BU45" s="201"/>
      <c r="BV45" s="202"/>
      <c r="BY45" s="27"/>
      <c r="BZ45" s="201"/>
      <c r="CA45" s="201"/>
      <c r="CB45" s="178"/>
      <c r="CC45" s="201"/>
      <c r="CD45" s="202"/>
      <c r="CE45" s="26"/>
      <c r="CF45" s="27"/>
      <c r="CG45" s="201"/>
      <c r="CH45" s="201"/>
      <c r="CI45" s="178"/>
      <c r="CJ45" s="201"/>
      <c r="CK45" s="202"/>
      <c r="CN45" s="27"/>
      <c r="CO45" s="201"/>
      <c r="CP45" s="201"/>
      <c r="CQ45" s="178"/>
      <c r="CR45" s="201"/>
      <c r="CS45" s="202"/>
      <c r="CT45" s="26"/>
      <c r="CU45" s="27"/>
      <c r="CV45" s="201"/>
      <c r="CW45" s="201"/>
      <c r="CX45" s="178"/>
      <c r="CY45" s="201"/>
      <c r="CZ45" s="202"/>
      <c r="DC45" s="27"/>
      <c r="DD45" s="201"/>
      <c r="DE45" s="201"/>
      <c r="DF45" s="178"/>
      <c r="DG45" s="201"/>
      <c r="DH45" s="202"/>
      <c r="DI45" s="26"/>
      <c r="DJ45" s="27"/>
      <c r="DK45" s="201"/>
      <c r="DL45" s="201"/>
      <c r="DM45" s="178"/>
      <c r="DN45" s="201"/>
      <c r="DO45" s="202"/>
      <c r="DR45" s="27"/>
      <c r="DS45" s="201"/>
      <c r="DT45" s="201"/>
      <c r="DU45" s="178"/>
      <c r="DV45" s="201"/>
      <c r="DW45" s="202"/>
      <c r="DX45" s="26"/>
      <c r="DY45" s="27"/>
      <c r="DZ45" s="201"/>
      <c r="EA45" s="201"/>
      <c r="EB45" s="178"/>
      <c r="EC45" s="201"/>
      <c r="ED45" s="202"/>
      <c r="EG45" s="27"/>
      <c r="EH45" s="201"/>
      <c r="EI45" s="201"/>
      <c r="EJ45" s="178"/>
      <c r="EK45" s="201"/>
      <c r="EL45" s="202"/>
      <c r="EM45" s="26"/>
      <c r="EN45" s="27"/>
      <c r="EO45" s="201"/>
      <c r="EP45" s="201"/>
      <c r="EQ45" s="178"/>
      <c r="ER45" s="201"/>
      <c r="ES45" s="202"/>
    </row>
    <row r="46" spans="1:150" s="18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09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2"/>
      <c r="D47" s="209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2"/>
      <c r="F47" s="210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2"/>
      <c r="I47" s="209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2"/>
      <c r="K47" s="209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2"/>
      <c r="M47" s="210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2"/>
      <c r="Q47" s="209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2"/>
      <c r="S47" s="209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2"/>
      <c r="U47" s="210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2"/>
      <c r="X47" s="209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2"/>
      <c r="Z47" s="209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2"/>
      <c r="AB47" s="210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2"/>
      <c r="AF47" s="209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2"/>
      <c r="AH47" s="209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2"/>
      <c r="AJ47" s="210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2"/>
      <c r="AM47" s="209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2"/>
      <c r="AO47" s="209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2"/>
      <c r="AQ47" s="210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2"/>
      <c r="AU47" s="209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2"/>
      <c r="AW47" s="209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2"/>
      <c r="AY47" s="210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2"/>
      <c r="BB47" s="209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2"/>
      <c r="BD47" s="209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2"/>
      <c r="BF47" s="210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2"/>
      <c r="BJ47" s="209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2"/>
      <c r="BL47" s="209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2"/>
      <c r="BN47" s="210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2"/>
      <c r="BQ47" s="209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2"/>
      <c r="BS47" s="209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2"/>
      <c r="BU47" s="210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2"/>
      <c r="BY47" s="209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2"/>
      <c r="CA47" s="209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2"/>
      <c r="CC47" s="210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2"/>
      <c r="CF47" s="209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2"/>
      <c r="CH47" s="209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2"/>
      <c r="CJ47" s="210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2"/>
      <c r="CN47" s="209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2"/>
      <c r="CP47" s="209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2"/>
      <c r="CR47" s="210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2"/>
      <c r="CU47" s="209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2"/>
      <c r="CW47" s="209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2"/>
      <c r="CY47" s="210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2"/>
      <c r="DC47" s="209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2"/>
      <c r="DE47" s="209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2"/>
      <c r="DG47" s="210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2"/>
      <c r="DJ47" s="209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2"/>
      <c r="DL47" s="209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2"/>
      <c r="DN47" s="210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2"/>
      <c r="DR47" s="209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2"/>
      <c r="DT47" s="209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2"/>
      <c r="DV47" s="210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2"/>
      <c r="DY47" s="209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2"/>
      <c r="EA47" s="209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2"/>
      <c r="EC47" s="210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2"/>
      <c r="EG47" s="209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2"/>
      <c r="EI47" s="209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2"/>
      <c r="EK47" s="210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2"/>
      <c r="EN47" s="209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2"/>
      <c r="EP47" s="209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2"/>
      <c r="ER47" s="210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2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V35:AW35"/>
    <mergeCell ref="EO12:EP13"/>
    <mergeCell ref="AO7:AP7"/>
    <mergeCell ref="BN4:BO5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A20"/>
  <sheetViews>
    <sheetView topLeftCell="C1" workbookViewId="0">
      <selection activeCell="W1" sqref="Q1:W1048576"/>
    </sheetView>
  </sheetViews>
  <sheetFormatPr defaultRowHeight="18"/>
  <cols>
    <col min="1" max="1" width="4.59765625" style="179" bestFit="1" customWidth="1"/>
    <col min="2" max="2" width="2.59765625" style="179" bestFit="1" customWidth="1"/>
    <col min="3" max="3" width="3.3984375" style="179" bestFit="1" customWidth="1"/>
    <col min="4" max="4" width="3.3984375" style="179" customWidth="1"/>
    <col min="5" max="5" width="6.3984375" style="179" bestFit="1" customWidth="1"/>
    <col min="6" max="6" width="20.19921875" style="179" bestFit="1" customWidth="1"/>
    <col min="7" max="9" width="1.5" style="179" customWidth="1"/>
    <col min="10" max="10" width="14.796875" style="179" customWidth="1"/>
    <col min="11" max="13" width="6" style="179" customWidth="1"/>
    <col min="14" max="14" width="2.3984375" style="179" bestFit="1" customWidth="1"/>
    <col min="15" max="16" width="8.796875" style="179" customWidth="1"/>
    <col min="17" max="19" width="8.796875" style="128" customWidth="1"/>
    <col min="20" max="20" width="4.3984375" style="128" bestFit="1" customWidth="1"/>
    <col min="21" max="21" width="3.3984375" style="128" bestFit="1" customWidth="1"/>
    <col min="22" max="22" width="3.3984375" style="128" customWidth="1"/>
    <col min="23" max="23" width="3.3984375" style="128" bestFit="1" customWidth="1"/>
    <col min="24" max="24" width="3.3984375" style="179" customWidth="1"/>
    <col min="25" max="25" width="8.796875" style="179" customWidth="1"/>
  </cols>
  <sheetData>
    <row r="1" spans="1:27">
      <c r="A1" t="str">
        <f>IF('数出表_Excel（アレルギー入力）'!AO1&lt;&gt;"",'数出表_Excel（アレルギー入力）'!AO1,"")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5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IF(A1&lt;&gt;"",VLOOKUP(G1,注文弁当の抽出!E:F,2,FALSE),"")</f>
        <v/>
      </c>
      <c r="P1" t="str">
        <f ca="1">IF(AND(N1=0, COUNTIFS($E$1:E1,E1)=1), E1, "")</f>
        <v/>
      </c>
      <c r="Q1" s="128" t="str">
        <f t="array" aca="1" ref="Q1" ca="1">IFERROR(INDEX(P:P, SMALL(IF(P:P&lt;&gt;"", ROW(P:P)), ROW(Q1))), "")</f>
        <v/>
      </c>
      <c r="R1" s="128" t="str">
        <f t="shared" ref="R1:R10" ca="1" si="2">IF($Q1&lt;&gt;"",VLOOKUP($Q1,$E:$O,COLUMN()-16,FALSE),"")</f>
        <v/>
      </c>
      <c r="S1" s="128" t="str">
        <f t="shared" ref="S1:V6" ca="1" si="3">IF($Q1&lt;&gt;"",VLOOKUP($Q1,$E:$O,COLUMN()-13,FALSE),"")</f>
        <v/>
      </c>
      <c r="T1" s="128" t="str">
        <f t="shared" ca="1" si="3"/>
        <v/>
      </c>
      <c r="U1" s="128" t="str">
        <f t="shared" ca="1" si="3"/>
        <v/>
      </c>
      <c r="V1" s="128" t="str">
        <f t="shared" ca="1" si="3"/>
        <v/>
      </c>
      <c r="W1" s="128" t="str">
        <f t="shared" ref="W1:W9" ca="1" si="4">IF($Q1&lt;&gt;"",VLOOKUP($Q1,$E:$O,COLUMN()-12,FALSE),"")</f>
        <v/>
      </c>
      <c r="Y1" t="str">
        <f ca="1">IF(E1&lt;&gt;"",
IF(COUNTIF(J1,"*キャラ*"),
VLOOKUP("*キャラ*",商品マスタ一覧!$D:$E,2,FALSE),
IF(COUNTIF(J1,"*赤*"),
VLOOKUP("*赤*",商品マスタ一覧!$D:$E,2,FALSE),
VLOOKUP("*"&amp;J1&amp;"*",商品マスタ一覧!$D:$E,2,FALSE))),"")</f>
        <v/>
      </c>
      <c r="Z1" t="str">
        <f t="shared" ref="Z1:Z9" ca="1" si="5">IF(E1&lt;&gt;"",
IF(COUNTIF(F1,"*雙葉*"),
IF(ROUND((K1-M1)/Y1,0)&lt;=0,1,
ROUND((K1-M1)/Y1,0)),
IF(OR(COUNTIF(J1,"*キャラ*"),COUNTIF(J1,"*赤*")),"",
IF(Y1=0,"",
IF(ROUND((K1-M1)/Y1,0)&lt;=0,1,
ROUND((K1-M1)/Y1,0))))),"")</f>
        <v/>
      </c>
      <c r="AA1" t="str">
        <f t="shared" ref="AA1:AA14" ca="1" si="6">IF(Z1&lt;&gt;"",
IF(VALUE(K1-M1)&gt;VALUE(Y1*Z1),
"+"&amp;(K1-M1)-Y1*Z1,
(K1-M1)-Y1*Z1),"")</f>
        <v/>
      </c>
    </row>
    <row r="2" spans="1:27">
      <c r="A2" t="str">
        <f>IF('数出表_Excel（アレルギー入力）'!AO2&lt;&gt;"",'数出表_Excel（アレルギー入力）'!AO2,"")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IF(A2&lt;&gt;"",VLOOKUP(G2,注文弁当の抽出!E:F,2,FALSE),"")</f>
        <v/>
      </c>
      <c r="P2" t="str">
        <f ca="1">IF(AND(N2=0, COUNTIFS($E$1:E2,E2)=1), E2, "")</f>
        <v/>
      </c>
      <c r="Q2" s="128" t="str">
        <f t="array" aca="1" ref="Q2" ca="1">IFERROR(INDEX(P:P, SMALL(IF(P:P&lt;&gt;"", ROW(P:P)), ROW(Q2))), "")</f>
        <v/>
      </c>
      <c r="R2" s="128" t="str">
        <f t="shared" ca="1" si="2"/>
        <v/>
      </c>
      <c r="S2" s="128" t="str">
        <f t="shared" ca="1" si="3"/>
        <v/>
      </c>
      <c r="T2" s="128" t="str">
        <f t="shared" ca="1" si="3"/>
        <v/>
      </c>
      <c r="U2" s="128" t="str">
        <f t="shared" ca="1" si="3"/>
        <v/>
      </c>
      <c r="V2" s="128" t="str">
        <f t="shared" ca="1" si="3"/>
        <v/>
      </c>
      <c r="W2" s="128" t="str">
        <f t="shared" ca="1" si="4"/>
        <v/>
      </c>
      <c r="Y2" t="str">
        <f ca="1">IF(E2&lt;&gt;"",
IF(COUNTIF(J2,"*キャラ*"),
VLOOKUP("*キャラ*",商品マスタ一覧!$D:$E,2,FALSE),
IF(COUNTIF(J2,"*赤*"),
VLOOKUP("*赤*",商品マスタ一覧!$D:$E,2,FALSE),
VLOOKUP("*"&amp;J2&amp;"*",商品マスタ一覧!$D:$E,2,FALSE))),"")</f>
        <v/>
      </c>
      <c r="Z2" t="str">
        <f t="shared" ca="1" si="5"/>
        <v/>
      </c>
      <c r="AA2" t="str">
        <f t="shared" ca="1" si="6"/>
        <v/>
      </c>
    </row>
    <row r="3" spans="1:27">
      <c r="A3" t="str">
        <f>IF('数出表_Excel（アレルギー入力）'!AO3&lt;&gt;"",'数出表_Excel（アレルギー入力）'!AO3,"")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IF(A3&lt;&gt;"",VLOOKUP(G3,注文弁当の抽出!E:F,2,FALSE),"")</f>
        <v/>
      </c>
      <c r="P3" t="str">
        <f ca="1">IF(AND(N3=0, COUNTIFS($E$1:E3,E3)=1), E3, "")</f>
        <v/>
      </c>
      <c r="Q3" s="128" t="str">
        <f t="array" aca="1" ref="Q3" ca="1">IFERROR(INDEX(P:P, SMALL(IF(P:P&lt;&gt;"", ROW(P:P)), ROW(Q3))), "")</f>
        <v/>
      </c>
      <c r="R3" s="128" t="str">
        <f t="shared" ca="1" si="2"/>
        <v/>
      </c>
      <c r="S3" s="128" t="str">
        <f t="shared" ca="1" si="3"/>
        <v/>
      </c>
      <c r="T3" s="128" t="str">
        <f t="shared" ca="1" si="3"/>
        <v/>
      </c>
      <c r="U3" s="128" t="str">
        <f t="shared" ca="1" si="3"/>
        <v/>
      </c>
      <c r="V3" s="128" t="str">
        <f t="shared" ca="1" si="3"/>
        <v/>
      </c>
      <c r="W3" s="128" t="str">
        <f t="shared" ca="1" si="4"/>
        <v/>
      </c>
      <c r="Y3" t="str">
        <f ca="1">IF(E3&lt;&gt;"",
IF(COUNTIF(J3,"*キャラ*"),
VLOOKUP("*キャラ*",商品マスタ一覧!$D:$E,2,FALSE),
IF(COUNTIF(J3,"*赤*"),
VLOOKUP("*赤*",商品マスタ一覧!$D:$E,2,FALSE),
VLOOKUP("*"&amp;J3&amp;"*",商品マスタ一覧!$D:$E,2,FALSE))),"")</f>
        <v/>
      </c>
      <c r="Z3" t="str">
        <f t="shared" ca="1" si="5"/>
        <v/>
      </c>
      <c r="AA3" t="str">
        <f t="shared" ca="1" si="6"/>
        <v/>
      </c>
    </row>
    <row r="4" spans="1:27">
      <c r="A4" t="str">
        <f>IF('数出表_Excel（アレルギー入力）'!AO4&lt;&gt;"",'数出表_Excel（アレルギー入力）'!AO4,"")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IF(A4&lt;&gt;"",VLOOKUP(G4,注文弁当の抽出!E:F,2,FALSE),"")</f>
        <v/>
      </c>
      <c r="P4" t="str">
        <f ca="1">IF(AND(N4=0, COUNTIFS($E$1:E4,E4)=1), E4, "")</f>
        <v/>
      </c>
      <c r="Q4" s="128" t="str">
        <f t="array" aca="1" ref="Q4" ca="1">IFERROR(INDEX(P:P, SMALL(IF(P:P&lt;&gt;"", ROW(P:P)), ROW(Q4))), "")</f>
        <v/>
      </c>
      <c r="R4" s="128" t="str">
        <f t="shared" ca="1" si="2"/>
        <v/>
      </c>
      <c r="S4" s="128" t="str">
        <f t="shared" ca="1" si="3"/>
        <v/>
      </c>
      <c r="T4" s="128" t="str">
        <f t="shared" ca="1" si="3"/>
        <v/>
      </c>
      <c r="U4" s="128" t="str">
        <f t="shared" ca="1" si="3"/>
        <v/>
      </c>
      <c r="V4" s="128" t="str">
        <f t="shared" ca="1" si="3"/>
        <v/>
      </c>
      <c r="W4" s="128" t="str">
        <f t="shared" ca="1" si="4"/>
        <v/>
      </c>
      <c r="Y4" t="str">
        <f ca="1">IF(E4&lt;&gt;"",
IF(COUNTIF(J4,"*キャラ*"),
VLOOKUP("*キャラ*",商品マスタ一覧!$D:$E,2,FALSE),
IF(COUNTIF(J4,"*赤*"),
VLOOKUP("*赤*",商品マスタ一覧!$D:$E,2,FALSE),
VLOOKUP("*"&amp;J4&amp;"*",商品マスタ一覧!$D:$E,2,FALSE))),"")</f>
        <v/>
      </c>
      <c r="Z4" t="str">
        <f t="shared" ca="1" si="5"/>
        <v/>
      </c>
      <c r="AA4" t="str">
        <f t="shared" ca="1" si="6"/>
        <v/>
      </c>
    </row>
    <row r="5" spans="1:27">
      <c r="A5" t="str">
        <f>IF('数出表_Excel（アレルギー入力）'!AO5&lt;&gt;"",'数出表_Excel（アレルギー入力）'!AO5,"")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IF(A5&lt;&gt;"",VLOOKUP(G5,注文弁当の抽出!E:F,2,FALSE),"")</f>
        <v/>
      </c>
      <c r="P5" t="str">
        <f ca="1">IF(AND(N5=0, COUNTIFS($E$1:E5,E5)=1), E5, "")</f>
        <v/>
      </c>
      <c r="Q5" s="128" t="str">
        <f t="array" aca="1" ref="Q5" ca="1">IFERROR(INDEX(P:P, SMALL(IF(P:P&lt;&gt;"", ROW(P:P)), ROW(Q5))), "")</f>
        <v/>
      </c>
      <c r="R5" s="128" t="str">
        <f t="shared" ca="1" si="2"/>
        <v/>
      </c>
      <c r="S5" s="128" t="str">
        <f t="shared" ca="1" si="3"/>
        <v/>
      </c>
      <c r="T5" s="128" t="str">
        <f t="shared" ca="1" si="3"/>
        <v/>
      </c>
      <c r="U5" s="128" t="str">
        <f t="shared" ca="1" si="3"/>
        <v/>
      </c>
      <c r="V5" s="128" t="str">
        <f t="shared" ca="1" si="3"/>
        <v/>
      </c>
      <c r="W5" s="128" t="str">
        <f t="shared" ca="1" si="4"/>
        <v/>
      </c>
      <c r="Y5" t="str">
        <f ca="1">IF(E5&lt;&gt;"",
IF(COUNTIF(J5,"*キャラ*"),
VLOOKUP("*キャラ*",商品マスタ一覧!$D:$E,2,FALSE),
IF(COUNTIF(J5,"*赤*"),
VLOOKUP("*赤*",商品マスタ一覧!$D:$E,2,FALSE),
VLOOKUP("*"&amp;J5&amp;"*",商品マスタ一覧!$D:$E,2,FALSE))),"")</f>
        <v/>
      </c>
      <c r="Z5" t="str">
        <f t="shared" ca="1" si="5"/>
        <v/>
      </c>
      <c r="AA5" t="str">
        <f t="shared" ca="1" si="6"/>
        <v/>
      </c>
    </row>
    <row r="6" spans="1:27">
      <c r="A6" t="str">
        <f>IF('数出表_Excel（アレルギー入力）'!AO6&lt;&gt;"",'数出表_Excel（アレルギー入力）'!AO6,"")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IF(A6&lt;&gt;"",VLOOKUP(G6,注文弁当の抽出!E:F,2,FALSE),"")</f>
        <v/>
      </c>
      <c r="P6" t="str">
        <f ca="1">IF(AND(N6=0, COUNTIFS($E$1:E6,E6)=1), E6, "")</f>
        <v/>
      </c>
      <c r="Q6" s="128" t="str">
        <f t="array" aca="1" ref="Q6" ca="1">IFERROR(INDEX(P:P, SMALL(IF(P:P&lt;&gt;"", ROW(P:P)), ROW(Q6))), "")</f>
        <v/>
      </c>
      <c r="R6" s="128" t="str">
        <f t="shared" ca="1" si="2"/>
        <v/>
      </c>
      <c r="S6" s="128" t="str">
        <f t="shared" ca="1" si="3"/>
        <v/>
      </c>
      <c r="T6" s="128" t="str">
        <f t="shared" ca="1" si="3"/>
        <v/>
      </c>
      <c r="U6" s="128" t="str">
        <f t="shared" ca="1" si="3"/>
        <v/>
      </c>
      <c r="V6" s="128" t="str">
        <f t="shared" ca="1" si="3"/>
        <v/>
      </c>
      <c r="W6" s="128" t="str">
        <f t="shared" ca="1" si="4"/>
        <v/>
      </c>
      <c r="Y6" t="str">
        <f ca="1">IF(E6&lt;&gt;"",
IF(COUNTIF(J6,"*キャラ*"),
VLOOKUP("*キャラ*",商品マスタ一覧!$D:$E,2,FALSE),
IF(COUNTIF(J6,"*赤*"),
VLOOKUP("*赤*",商品マスタ一覧!$D:$E,2,FALSE),
VLOOKUP("*"&amp;J6&amp;"*",商品マスタ一覧!$D:$E,2,FALSE))),"")</f>
        <v/>
      </c>
      <c r="Z6" t="str">
        <f t="shared" ca="1" si="5"/>
        <v/>
      </c>
      <c r="AA6" t="str">
        <f t="shared" ca="1" si="6"/>
        <v/>
      </c>
    </row>
    <row r="7" spans="1:27">
      <c r="A7" t="str">
        <f>IF('数出表_Excel（アレルギー入力）'!AO7&lt;&gt;"",'数出表_Excel（アレルギー入力）'!AO7,"")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IF(A7&lt;&gt;"",VLOOKUP(G7,注文弁当の抽出!E:F,2,FALSE),"")</f>
        <v/>
      </c>
      <c r="P7" t="str">
        <f ca="1">IF(AND(N7=0, COUNTIFS($E$1:E7,E7)=1), E7, "")</f>
        <v/>
      </c>
      <c r="Q7" s="128" t="str">
        <f t="array" aca="1" ref="Q7" ca="1">IFERROR(INDEX(P:P, SMALL(IF(P:P&lt;&gt;"", ROW(P:P)), ROW(Q7))), "")</f>
        <v/>
      </c>
      <c r="R7" s="128" t="str">
        <f t="shared" ca="1" si="2"/>
        <v/>
      </c>
      <c r="S7" s="128" t="str">
        <f t="shared" ref="S7:U10" ca="1" si="7">IF($Q7&lt;&gt;"",VLOOKUP($Q7,$E:$O,COLUMN()-13,FALSE),"")</f>
        <v/>
      </c>
      <c r="T7" s="128" t="str">
        <f t="shared" ca="1" si="7"/>
        <v/>
      </c>
      <c r="U7" s="128" t="str">
        <f t="shared" ca="1" si="7"/>
        <v/>
      </c>
      <c r="W7" s="128" t="str">
        <f t="shared" ca="1" si="4"/>
        <v/>
      </c>
      <c r="Y7" t="str">
        <f ca="1">IF(E7&lt;&gt;"",
IF(COUNTIF(J7,"*キャラ*"),
VLOOKUP("*キャラ*",商品マスタ一覧!$D:$E,2,FALSE),
IF(COUNTIF(J7,"*赤*"),
VLOOKUP("*赤*",商品マスタ一覧!$D:$E,2,FALSE),
VLOOKUP("*"&amp;J7&amp;"*",商品マスタ一覧!$D:$E,2,FALSE))),"")</f>
        <v/>
      </c>
      <c r="Z7" t="str">
        <f t="shared" ca="1" si="5"/>
        <v/>
      </c>
      <c r="AA7" t="str">
        <f t="shared" ca="1" si="6"/>
        <v/>
      </c>
    </row>
    <row r="8" spans="1:27">
      <c r="A8" t="str">
        <f>IF('数出表_Excel（アレルギー入力）'!AO8&lt;&gt;"",'数出表_Excel（アレルギー入力）'!AO8,"")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IF(A8&lt;&gt;"",VLOOKUP(G8,注文弁当の抽出!E:F,2,FALSE),"")</f>
        <v/>
      </c>
      <c r="P8" t="str">
        <f ca="1">IF(AND(N8=0, COUNTIFS($E$1:E8,E8)=1), E8, "")</f>
        <v/>
      </c>
      <c r="Q8" s="128" t="str">
        <f t="array" aca="1" ref="Q8" ca="1">IFERROR(INDEX(P:P, SMALL(IF(P:P&lt;&gt;"", ROW(P:P)), ROW(Q8))), "")</f>
        <v/>
      </c>
      <c r="R8" s="128" t="str">
        <f t="shared" ca="1" si="2"/>
        <v/>
      </c>
      <c r="S8" s="128" t="str">
        <f t="shared" ca="1" si="7"/>
        <v/>
      </c>
      <c r="T8" s="128" t="str">
        <f t="shared" ca="1" si="7"/>
        <v/>
      </c>
      <c r="U8" s="128" t="str">
        <f t="shared" ca="1" si="7"/>
        <v/>
      </c>
      <c r="W8" s="128" t="str">
        <f t="shared" ca="1" si="4"/>
        <v/>
      </c>
      <c r="Y8" t="str">
        <f ca="1">IF(E8&lt;&gt;"",
IF(COUNTIF(J8,"*キャラ*"),
VLOOKUP("*キャラ*",商品マスタ一覧!$D:$E,2,FALSE),
IF(COUNTIF(J8,"*赤*"),
VLOOKUP("*赤*",商品マスタ一覧!$D:$E,2,FALSE),
VLOOKUP("*"&amp;J8&amp;"*",商品マスタ一覧!$D:$E,2,FALSE))),"")</f>
        <v/>
      </c>
      <c r="Z8" t="str">
        <f t="shared" ca="1" si="5"/>
        <v/>
      </c>
      <c r="AA8" t="str">
        <f t="shared" ca="1" si="6"/>
        <v/>
      </c>
    </row>
    <row r="9" spans="1:27">
      <c r="A9" t="str">
        <f>IF('数出表_Excel（アレルギー入力）'!AO9&lt;&gt;"",'数出表_Excel（アレルギー入力）'!AO9,"")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IF(A9&lt;&gt;"",VLOOKUP(G9,注文弁当の抽出!E:F,2,FALSE),"")</f>
        <v/>
      </c>
      <c r="P9" t="str">
        <f ca="1">IF(AND(N9=0, COUNTIFS($E$1:E9,E9)=1), E9, "")</f>
        <v/>
      </c>
      <c r="Q9" s="128" t="str">
        <f t="array" aca="1" ref="Q9" ca="1">IFERROR(INDEX(P:P, SMALL(IF(P:P&lt;&gt;"", ROW(P:P)), ROW(Q9))), "")</f>
        <v/>
      </c>
      <c r="R9" s="128" t="str">
        <f t="shared" ca="1" si="2"/>
        <v/>
      </c>
      <c r="S9" s="128" t="str">
        <f t="shared" ca="1" si="7"/>
        <v/>
      </c>
      <c r="T9" s="128" t="str">
        <f t="shared" ca="1" si="7"/>
        <v/>
      </c>
      <c r="U9" s="128" t="str">
        <f t="shared" ca="1" si="7"/>
        <v/>
      </c>
      <c r="W9" s="128" t="str">
        <f t="shared" ca="1" si="4"/>
        <v/>
      </c>
      <c r="Y9" t="str">
        <f ca="1">IF(E9&lt;&gt;"",
IF(COUNTIF(J9,"*キャラ*"),
VLOOKUP("*キャラ*",商品マスタ一覧!$D:$E,2,FALSE),
IF(COUNTIF(J9,"*赤*"),
VLOOKUP("*赤*",商品マスタ一覧!$D:$E,2,FALSE),
VLOOKUP("*"&amp;J9&amp;"*",商品マスタ一覧!$D:$E,2,FALSE))),"")</f>
        <v/>
      </c>
      <c r="Z9" t="str">
        <f t="shared" ca="1" si="5"/>
        <v/>
      </c>
      <c r="AA9" t="str">
        <f t="shared" ca="1" si="6"/>
        <v/>
      </c>
    </row>
    <row r="10" spans="1:27">
      <c r="A10" t="str">
        <f>IF('数出表_Excel（アレルギー入力）'!AO10&lt;&gt;"",'数出表_Excel（アレルギー入力）'!AO10,"")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IF(A10&lt;&gt;"",VLOOKUP(G10,注文弁当の抽出!E:F,2,FALSE),"")</f>
        <v/>
      </c>
      <c r="P10" t="str">
        <f ca="1">IF(AND(N10=0, COUNTIFS($E$1:E10,E10)=1), E10, "")</f>
        <v/>
      </c>
      <c r="Q10" s="128" t="str">
        <f t="array" aca="1" ref="Q10" ca="1">IFERROR(INDEX(P:P, SMALL(IF(P:P&lt;&gt;"", ROW(P:P)), ROW(Q10))), "")</f>
        <v/>
      </c>
      <c r="R10" s="128" t="str">
        <f t="shared" ca="1" si="2"/>
        <v/>
      </c>
      <c r="S10" s="128" t="str">
        <f t="shared" ca="1" si="7"/>
        <v/>
      </c>
      <c r="T10" s="128" t="str">
        <f t="shared" ca="1" si="7"/>
        <v/>
      </c>
      <c r="U10" s="128" t="str">
        <f t="shared" ca="1" si="7"/>
        <v/>
      </c>
      <c r="W10" s="128" t="str">
        <f ca="1">IF($Q10&lt;&gt;"",VLOOKUP($Q10,$E:$O,COLUMN()-11,FALSE),"")</f>
        <v/>
      </c>
      <c r="Y10" t="str">
        <f ca="1">IF(E10&lt;&gt;"",
IF(COUNTIF(J10,"*キャラ*"),
VLOOKUP("*キャラ*",商品マスタ一覧!$D:$E,2,FALSE),
IF(COUNTIF(J10,"*赤*"),
VLOOKUP("*赤*",商品マスタ一覧!$D:$E,2,FALSE),
VLOOKUP("*"&amp;J10&amp;"*",商品マスタ一覧!$D:$E,2,FALSE))),"")</f>
        <v/>
      </c>
      <c r="AA10" t="str">
        <f t="shared" si="6"/>
        <v/>
      </c>
    </row>
    <row r="11" spans="1:27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IF(A11&lt;&gt;"",VLOOKUP(G11,注文弁当の抽出!E:F,2,FALSE),"")</f>
        <v/>
      </c>
      <c r="P11" t="str">
        <f ca="1">IF(AND(N11=0, COUNTIFS($E$1:E11,E11,$N$1:N11,0)=1), E11, "")</f>
        <v/>
      </c>
      <c r="Q11" s="128" t="str">
        <f t="array" aca="1" ref="Q11" ca="1">IFERROR(INDEX(P:P, SMALL(IF(P:P&lt;&gt;"", ROW(P:P)), ROW(Q11))), "")</f>
        <v/>
      </c>
      <c r="AA11" t="str">
        <f t="shared" si="6"/>
        <v/>
      </c>
    </row>
    <row r="12" spans="1:27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IF(A12&lt;&gt;"",VLOOKUP(G12,注文弁当の抽出!E:F,2,FALSE),"")</f>
        <v/>
      </c>
      <c r="AA12" t="str">
        <f t="shared" si="6"/>
        <v/>
      </c>
    </row>
    <row r="13" spans="1:27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IF(A13&lt;&gt;"",VLOOKUP(G13,注文弁当の抽出!E:F,2,FALSE),"")</f>
        <v/>
      </c>
      <c r="AA13" t="str">
        <f t="shared" si="6"/>
        <v/>
      </c>
    </row>
    <row r="14" spans="1:27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IF(A14&lt;&gt;"",VLOOKUP(G14,注文弁当の抽出!E:F,2,FALSE),"")</f>
        <v/>
      </c>
      <c r="AA14" t="str">
        <f t="shared" si="6"/>
        <v/>
      </c>
    </row>
    <row r="15" spans="1:27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IF(A15&lt;&gt;"",VLOOKUP(G15,注文弁当の抽出!E:F,2,FALSE),"")</f>
        <v/>
      </c>
    </row>
    <row r="16" spans="1:27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IF(A16&lt;&gt;"",VLOOKUP(G16,注文弁当の抽出!E:F,2,FALSE),"")</f>
        <v/>
      </c>
    </row>
    <row r="17" spans="12:15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IF(A17&lt;&gt;"",VLOOKUP(G17,注文弁当の抽出!E:F,2,FALSE),"")</f>
        <v/>
      </c>
    </row>
    <row r="18" spans="12:15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IF(A18&lt;&gt;"",VLOOKUP(G18,注文弁当の抽出!E:F,2,FALSE),"")</f>
        <v/>
      </c>
    </row>
    <row r="19" spans="12:15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</row>
    <row r="20" spans="12:15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46" customWidth="1"/>
    <col min="2" max="2" width="8.09765625" style="179" customWidth="1"/>
    <col min="3" max="5" width="7.59765625" style="179" customWidth="1"/>
    <col min="6" max="6" width="12.19921875" style="179" customWidth="1"/>
    <col min="7" max="7" width="4.19921875" style="38" customWidth="1"/>
    <col min="8" max="8" width="8.8984375" style="179" hidden="1" customWidth="1"/>
    <col min="9" max="9" width="8.19921875" style="179" customWidth="1"/>
    <col min="10" max="12" width="7.59765625" style="179" customWidth="1"/>
    <col min="13" max="13" width="12.19921875" style="179" customWidth="1"/>
    <col min="14" max="14" width="4.19921875" style="35" customWidth="1"/>
    <col min="15" max="15" width="2.796875" style="179" customWidth="1"/>
    <col min="16" max="16" width="2.796875" style="46" customWidth="1"/>
    <col min="17" max="17" width="8.09765625" style="179" customWidth="1"/>
    <col min="18" max="20" width="7.59765625" style="179" customWidth="1"/>
    <col min="21" max="21" width="12.19921875" style="179" customWidth="1"/>
    <col min="22" max="22" width="4.19921875" style="38" customWidth="1"/>
    <col min="23" max="23" width="8.8984375" style="179" hidden="1" customWidth="1"/>
    <col min="24" max="24" width="8.19921875" style="179" customWidth="1"/>
    <col min="25" max="27" width="7.59765625" style="179" customWidth="1"/>
    <col min="28" max="28" width="12.19921875" style="179" customWidth="1"/>
    <col min="29" max="29" width="4.19921875" style="35" customWidth="1"/>
    <col min="30" max="30" width="2.796875" style="179" customWidth="1"/>
    <col min="31" max="31" width="2.796875" style="46" customWidth="1"/>
    <col min="32" max="32" width="8.09765625" style="179" customWidth="1"/>
    <col min="33" max="35" width="7.59765625" style="179" customWidth="1"/>
    <col min="36" max="36" width="12.19921875" style="179" customWidth="1"/>
    <col min="37" max="37" width="4.19921875" style="38" customWidth="1"/>
    <col min="38" max="38" width="8.8984375" style="179" hidden="1" customWidth="1"/>
    <col min="39" max="39" width="8.19921875" style="179" customWidth="1"/>
    <col min="40" max="42" width="7.59765625" style="179" customWidth="1"/>
    <col min="43" max="43" width="12.19921875" style="179" customWidth="1"/>
    <col min="44" max="44" width="4.19921875" style="35" customWidth="1"/>
    <col min="45" max="45" width="2.796875" style="179" customWidth="1"/>
    <col min="46" max="46" width="2.796875" style="46" customWidth="1"/>
    <col min="47" max="47" width="8.09765625" style="179" customWidth="1"/>
    <col min="48" max="50" width="7.59765625" style="179" customWidth="1"/>
    <col min="51" max="51" width="12.19921875" style="179" customWidth="1"/>
    <col min="52" max="52" width="4.19921875" style="38" customWidth="1"/>
    <col min="53" max="53" width="8.8984375" style="179" hidden="1" customWidth="1"/>
    <col min="54" max="54" width="8.19921875" style="179" customWidth="1"/>
    <col min="55" max="57" width="7.59765625" style="179" customWidth="1"/>
    <col min="58" max="58" width="12.19921875" style="179" customWidth="1"/>
    <col min="59" max="59" width="4.19921875" style="35" customWidth="1"/>
    <col min="60" max="60" width="2.796875" style="179" customWidth="1"/>
    <col min="61" max="61" width="2.796875" style="46" customWidth="1"/>
    <col min="62" max="62" width="8.09765625" style="179" customWidth="1"/>
    <col min="63" max="65" width="7.59765625" style="179" customWidth="1"/>
    <col min="66" max="66" width="12.19921875" style="179" customWidth="1"/>
    <col min="67" max="67" width="4.19921875" style="38" customWidth="1"/>
    <col min="68" max="68" width="8.8984375" style="179" hidden="1" customWidth="1"/>
    <col min="69" max="69" width="8.19921875" style="179" customWidth="1"/>
    <col min="70" max="72" width="7.59765625" style="179" customWidth="1"/>
    <col min="73" max="73" width="12.19921875" style="179" customWidth="1"/>
    <col min="74" max="74" width="4.19921875" style="35" customWidth="1"/>
    <col min="75" max="75" width="2.796875" style="179" customWidth="1"/>
    <col min="76" max="76" width="2.796875" style="46" customWidth="1"/>
    <col min="77" max="77" width="8.09765625" style="179" customWidth="1"/>
    <col min="78" max="80" width="7.59765625" style="179" customWidth="1"/>
    <col min="81" max="81" width="12.19921875" style="179" customWidth="1"/>
    <col min="82" max="82" width="4.19921875" style="38" customWidth="1"/>
    <col min="83" max="83" width="8.8984375" style="179" hidden="1" customWidth="1"/>
    <col min="84" max="84" width="8.19921875" style="179" customWidth="1"/>
    <col min="85" max="87" width="7.59765625" style="179" customWidth="1"/>
    <col min="88" max="88" width="12.19921875" style="179" customWidth="1"/>
    <col min="89" max="89" width="4.19921875" style="35" customWidth="1"/>
    <col min="90" max="90" width="2.796875" style="179" customWidth="1"/>
    <col min="91" max="91" width="2.796875" style="46" customWidth="1"/>
    <col min="92" max="92" width="8.09765625" style="179" customWidth="1"/>
    <col min="93" max="95" width="7.59765625" style="179" customWidth="1"/>
    <col min="96" max="96" width="12.19921875" style="179" customWidth="1"/>
    <col min="97" max="97" width="4.19921875" style="38" customWidth="1"/>
    <col min="98" max="98" width="8.8984375" style="179" hidden="1" customWidth="1"/>
    <col min="99" max="99" width="8.19921875" style="179" customWidth="1"/>
    <col min="100" max="102" width="7.59765625" style="179" customWidth="1"/>
    <col min="103" max="103" width="12.19921875" style="179" customWidth="1"/>
    <col min="104" max="104" width="4.19921875" style="35" customWidth="1"/>
    <col min="105" max="105" width="2.796875" style="179" customWidth="1"/>
    <col min="106" max="106" width="2.796875" style="46" customWidth="1"/>
    <col min="107" max="107" width="8.09765625" style="179" customWidth="1"/>
    <col min="108" max="110" width="7.59765625" style="179" customWidth="1"/>
    <col min="111" max="111" width="12.19921875" style="179" customWidth="1"/>
    <col min="112" max="112" width="4.19921875" style="38" customWidth="1"/>
    <col min="113" max="113" width="8.8984375" style="179" hidden="1" customWidth="1"/>
    <col min="114" max="114" width="8.19921875" style="179" customWidth="1"/>
    <col min="115" max="117" width="7.59765625" style="179" customWidth="1"/>
    <col min="118" max="118" width="12.19921875" style="179" customWidth="1"/>
    <col min="119" max="119" width="4.19921875" style="35" customWidth="1"/>
    <col min="120" max="120" width="2.796875" style="179" customWidth="1"/>
    <col min="121" max="121" width="2.796875" style="46" customWidth="1"/>
    <col min="122" max="122" width="8.09765625" style="179" customWidth="1"/>
    <col min="123" max="125" width="7.59765625" style="179" customWidth="1"/>
    <col min="126" max="126" width="12.19921875" style="179" customWidth="1"/>
    <col min="127" max="127" width="4.19921875" style="38" customWidth="1"/>
    <col min="128" max="128" width="8.8984375" style="179" hidden="1" customWidth="1"/>
    <col min="129" max="129" width="8.19921875" style="179" customWidth="1"/>
    <col min="130" max="132" width="7.59765625" style="179" customWidth="1"/>
    <col min="133" max="133" width="12.19921875" style="179" customWidth="1"/>
    <col min="134" max="134" width="4.19921875" style="35" customWidth="1"/>
    <col min="135" max="135" width="2.796875" style="179" customWidth="1"/>
    <col min="136" max="136" width="2.796875" style="46" customWidth="1"/>
    <col min="137" max="137" width="8.09765625" style="179" customWidth="1"/>
    <col min="138" max="140" width="7.59765625" style="179" customWidth="1"/>
    <col min="141" max="141" width="12.19921875" style="179" customWidth="1"/>
    <col min="142" max="142" width="4.19921875" style="38" customWidth="1"/>
    <col min="143" max="143" width="8.8984375" style="179" hidden="1" customWidth="1"/>
    <col min="144" max="144" width="8.19921875" style="179" customWidth="1"/>
    <col min="145" max="147" width="7.59765625" style="179" customWidth="1"/>
    <col min="148" max="148" width="12.19921875" style="179" customWidth="1"/>
    <col min="149" max="149" width="4.19921875" style="35" customWidth="1"/>
    <col min="150" max="150" width="2.796875" style="179" customWidth="1"/>
  </cols>
  <sheetData>
    <row r="1" spans="1:150" s="180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7" t="str">
        <f ca="1">IF(OFFSET(変更先抽出【15時】!$A$1,A1-1,16)&lt;&gt;"",OFFSET(変更先抽出【15時】!$A$1,A1-1,17),"")</f>
        <v/>
      </c>
      <c r="D1" s="208"/>
      <c r="E1" s="208"/>
      <c r="F1" s="208"/>
      <c r="G1" s="39" t="str">
        <f ca="1">IF(C1&lt;&gt;"","様","")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7" t="str">
        <f ca="1">IF(OFFSET(変更先抽出【15時】!$A$1,H1-1,16)&lt;&gt;"",OFFSET(変更先抽出【15時】!$A$1,H1-1,17),"")</f>
        <v/>
      </c>
      <c r="K1" s="208"/>
      <c r="L1" s="208"/>
      <c r="M1" s="208"/>
      <c r="N1" s="39" t="str">
        <f ca="1">IF(J1&lt;&gt;"","様","")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7" t="str">
        <f ca="1">IF(OFFSET(変更先抽出【15時】!$A$1,P1-1,16)&lt;&gt;"",OFFSET(変更先抽出【15時】!$A$1,P1-1,17),"")</f>
        <v/>
      </c>
      <c r="S1" s="208"/>
      <c r="T1" s="208"/>
      <c r="U1" s="208"/>
      <c r="V1" s="39" t="str">
        <f ca="1">IF(R1&lt;&gt;"","様","")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7" t="str">
        <f ca="1">IF(OFFSET(変更先抽出【15時】!$A$1,W1-1,16)&lt;&gt;"",OFFSET(変更先抽出【15時】!$A$1,W1-1,17),"")</f>
        <v/>
      </c>
      <c r="Z1" s="208"/>
      <c r="AA1" s="208"/>
      <c r="AB1" s="208"/>
      <c r="AC1" s="39" t="str">
        <f ca="1">IF(Y1&lt;&gt;"","様","")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7" t="str">
        <f ca="1">IF(OFFSET(変更先抽出【15時】!$A$1,AE1-1,16)&lt;&gt;"",OFFSET(変更先抽出【15時】!$A$1,AE1-1,17),"")</f>
        <v/>
      </c>
      <c r="AH1" s="208"/>
      <c r="AI1" s="208"/>
      <c r="AJ1" s="208"/>
      <c r="AK1" s="39" t="str">
        <f ca="1">IF(AG1&lt;&gt;"","様","")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7" t="str">
        <f ca="1">IF(OFFSET(変更先抽出【15時】!$A$1,AL1-1,16)&lt;&gt;"",OFFSET(変更先抽出【15時】!$A$1,AL1-1,17),"")</f>
        <v/>
      </c>
      <c r="AO1" s="208"/>
      <c r="AP1" s="208"/>
      <c r="AQ1" s="208"/>
      <c r="AR1" s="39" t="str">
        <f ca="1">IF(AN1&lt;&gt;"","様","")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7" t="str">
        <f ca="1">IF(OFFSET(変更先抽出【15時】!$A$1,AT1-1,16)&lt;&gt;"",OFFSET(変更先抽出【15時】!$A$1,AT1-1,17),"")</f>
        <v/>
      </c>
      <c r="AW1" s="208"/>
      <c r="AX1" s="208"/>
      <c r="AY1" s="208"/>
      <c r="AZ1" s="39" t="str">
        <f ca="1">IF(AV1&lt;&gt;"","様","")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7" t="str">
        <f ca="1">IF(OFFSET(変更先抽出【15時】!$A$1,BA1-1,16)&lt;&gt;"",OFFSET(変更先抽出【15時】!$A$1,BA1-1,17),"")</f>
        <v/>
      </c>
      <c r="BD1" s="208"/>
      <c r="BE1" s="208"/>
      <c r="BF1" s="208"/>
      <c r="BG1" s="39" t="str">
        <f ca="1">IF(BC1&lt;&gt;"","様","")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7" t="str">
        <f ca="1">IF(OFFSET(変更先抽出【15時】!$A$1,BI1-1,16)&lt;&gt;"",OFFSET(変更先抽出【15時】!$A$1,BI1-1,17),"")</f>
        <v/>
      </c>
      <c r="BL1" s="208"/>
      <c r="BM1" s="208"/>
      <c r="BN1" s="208"/>
      <c r="BO1" s="39" t="str">
        <f ca="1">IF(BK1&lt;&gt;"","様","")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7" t="str">
        <f ca="1">IF(OFFSET(変更先抽出【15時】!$A$1,BP1-1,16)&lt;&gt;"",OFFSET(変更先抽出【15時】!$A$1,BP1-1,17),"")</f>
        <v/>
      </c>
      <c r="BS1" s="208"/>
      <c r="BT1" s="208"/>
      <c r="BU1" s="208"/>
      <c r="BV1" s="39" t="str">
        <f ca="1">IF(BR1&lt;&gt;"","様","")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7" t="str">
        <f ca="1">IF(OFFSET(変更先抽出【15時】!$A$1,BX1-1,16)&lt;&gt;"",OFFSET(変更先抽出【15時】!$A$1,BX1-1,17),"")</f>
        <v/>
      </c>
      <c r="CA1" s="208"/>
      <c r="CB1" s="208"/>
      <c r="CC1" s="208"/>
      <c r="CD1" s="39" t="str">
        <f ca="1">IF(BZ1&lt;&gt;"","様","")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7" t="str">
        <f ca="1">IF(OFFSET(変更先抽出【15時】!$A$1,CE1-1,16)&lt;&gt;"",OFFSET(変更先抽出【15時】!$A$1,CE1-1,17),"")</f>
        <v/>
      </c>
      <c r="CH1" s="208"/>
      <c r="CI1" s="208"/>
      <c r="CJ1" s="208"/>
      <c r="CK1" s="39" t="str">
        <f ca="1">IF(CG1&lt;&gt;"","様","")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7" t="str">
        <f ca="1">IF(OFFSET(変更先抽出【15時】!$A$1,CM1-1,16)&lt;&gt;"",OFFSET(変更先抽出【15時】!$A$1,CM1-1,17),"")</f>
        <v/>
      </c>
      <c r="CP1" s="208"/>
      <c r="CQ1" s="208"/>
      <c r="CR1" s="208"/>
      <c r="CS1" s="39" t="str">
        <f ca="1">IF(CO1&lt;&gt;"","様","")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7" t="str">
        <f ca="1">IF(OFFSET(変更先抽出【15時】!$A$1,CT1-1,16)&lt;&gt;"",OFFSET(変更先抽出【15時】!$A$1,CT1-1,17),"")</f>
        <v/>
      </c>
      <c r="CW1" s="208"/>
      <c r="CX1" s="208"/>
      <c r="CY1" s="208"/>
      <c r="CZ1" s="39" t="str">
        <f ca="1">IF(CV1&lt;&gt;"","様","")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7" t="str">
        <f ca="1">IF(OFFSET(変更先抽出【15時】!$A$1,DB1-1,16)&lt;&gt;"",OFFSET(変更先抽出【15時】!$A$1,DB1-1,17),"")</f>
        <v/>
      </c>
      <c r="DE1" s="208"/>
      <c r="DF1" s="208"/>
      <c r="DG1" s="208"/>
      <c r="DH1" s="39" t="str">
        <f ca="1">IF(DD1&lt;&gt;"","様","")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7" t="str">
        <f ca="1">IF(OFFSET(変更先抽出【15時】!$A$1,DI1-1,16)&lt;&gt;"",OFFSET(変更先抽出【15時】!$A$1,DI1-1,17),"")</f>
        <v/>
      </c>
      <c r="DL1" s="208"/>
      <c r="DM1" s="208"/>
      <c r="DN1" s="208"/>
      <c r="DO1" s="39" t="str">
        <f ca="1">IF(DK1&lt;&gt;"","様","")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7" t="str">
        <f ca="1">IF(OFFSET(変更先抽出【15時】!$A$1,DQ1-1,16)&lt;&gt;"",OFFSET(変更先抽出【15時】!$A$1,DQ1-1,17),"")</f>
        <v/>
      </c>
      <c r="DT1" s="208"/>
      <c r="DU1" s="208"/>
      <c r="DV1" s="208"/>
      <c r="DW1" s="39" t="str">
        <f ca="1">IF(DS1&lt;&gt;"","様","")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7" t="str">
        <f ca="1">IF(OFFSET(変更先抽出【15時】!$A$1,DX1-1,16)&lt;&gt;"",OFFSET(変更先抽出【15時】!$A$1,DX1-1,17),"")</f>
        <v/>
      </c>
      <c r="EA1" s="208"/>
      <c r="EB1" s="208"/>
      <c r="EC1" s="208"/>
      <c r="ED1" s="39" t="str">
        <f ca="1">IF(DZ1&lt;&gt;"","様","")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7" t="str">
        <f ca="1">IF(OFFSET(変更先抽出【15時】!$A$1,EF1-1,16)&lt;&gt;"",OFFSET(変更先抽出【15時】!$A$1,EF1-1,17),"")</f>
        <v/>
      </c>
      <c r="EI1" s="208"/>
      <c r="EJ1" s="208"/>
      <c r="EK1" s="208"/>
      <c r="EL1" s="39" t="str">
        <f ca="1">IF(EH1&lt;&gt;"","様","")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7" t="str">
        <f ca="1">IF(OFFSET(変更先抽出【15時】!$A$1,EM1-1,16)&lt;&gt;"",OFFSET(変更先抽出【15時】!$A$1,EM1-1,17),"")</f>
        <v/>
      </c>
      <c r="EP1" s="208"/>
      <c r="EQ1" s="208"/>
      <c r="ER1" s="208"/>
      <c r="ES1" s="39" t="str">
        <f ca="1">IF(EO1&lt;&gt;"","様","")</f>
        <v/>
      </c>
      <c r="ET1" s="22"/>
    </row>
    <row r="2" spans="1:150" s="180" customFormat="1">
      <c r="A2" s="30"/>
      <c r="B2" s="103"/>
      <c r="C2" s="138" t="str">
        <f ca="1">IF(C1&lt;&gt;"",OFFSET(変更先抽出【15時】!$A$1,A1-1,18),"")</f>
        <v/>
      </c>
      <c r="D2" s="38"/>
      <c r="E2" s="38"/>
      <c r="F2" s="192" t="str">
        <f ca="1">IF(OFFSET(変更先抽出【15時】!$A$1,A1-1,25)&lt;&gt;"",OFFSET(変更先抽出【15時】!$A$1,A1-1,25)&amp;"箱"&amp;OFFSET(変更先抽出【15時】!$A$1,A1-1,26),"")</f>
        <v/>
      </c>
      <c r="G2" s="36"/>
      <c r="H2" s="43"/>
      <c r="I2" s="103"/>
      <c r="J2" s="138" t="str">
        <f ca="1">IF(J1&lt;&gt;"",OFFSET(変更先抽出【15時】!$A$1,H1-1,18),"")</f>
        <v/>
      </c>
      <c r="K2" s="38"/>
      <c r="L2" s="38"/>
      <c r="M2" s="192" t="str">
        <f ca="1">IF(OFFSET(変更先抽出【15時】!$A$1,H1-1,25)&lt;&gt;"",OFFSET(変更先抽出【15時】!$A$1,H1-1,25)&amp;"箱"&amp;OFFSET(変更先抽出【15時】!$A$1,H1-1,26),"")</f>
        <v/>
      </c>
      <c r="N2" s="36"/>
      <c r="O2" s="22"/>
      <c r="P2" s="30"/>
      <c r="Q2" s="103"/>
      <c r="R2" s="138" t="str">
        <f ca="1">IF(R1&lt;&gt;"",OFFSET(変更先抽出【15時】!$A$1,P1-1,18),"")</f>
        <v/>
      </c>
      <c r="S2" s="38"/>
      <c r="T2" s="38"/>
      <c r="U2" s="192" t="str">
        <f ca="1">IF(OFFSET(変更先抽出【15時】!$A$1,P1-1,25)&lt;&gt;"",OFFSET(変更先抽出【15時】!$A$1,P1-1,25)&amp;"箱"&amp;OFFSET(変更先抽出【15時】!$A$1,P1-1,26),"")</f>
        <v/>
      </c>
      <c r="V2" s="36"/>
      <c r="W2" s="43"/>
      <c r="X2" s="103"/>
      <c r="Y2" s="138" t="str">
        <f ca="1">IF(Y1&lt;&gt;"",OFFSET(変更先抽出【15時】!$A$1,W1-1,18),"")</f>
        <v/>
      </c>
      <c r="Z2" s="38"/>
      <c r="AA2" s="38"/>
      <c r="AB2" s="192" t="str">
        <f ca="1">IF(OFFSET(変更先抽出【15時】!$A$1,W1-1,25)&lt;&gt;"",OFFSET(変更先抽出【15時】!$A$1,W1-1,25)&amp;"箱"&amp;OFFSET(変更先抽出【15時】!$A$1,W1-1,26),"")</f>
        <v/>
      </c>
      <c r="AC2" s="36"/>
      <c r="AD2" s="22"/>
      <c r="AE2" s="30"/>
      <c r="AF2" s="103"/>
      <c r="AG2" s="138" t="str">
        <f ca="1">IF(AG1&lt;&gt;"",OFFSET(変更先抽出【15時】!$A$1,AE1-1,18),"")</f>
        <v/>
      </c>
      <c r="AH2" s="38"/>
      <c r="AI2" s="38"/>
      <c r="AJ2" s="192" t="str">
        <f ca="1">IF(OFFSET(変更先抽出【15時】!$A$1,AE1-1,25)&lt;&gt;"",OFFSET(変更先抽出【15時】!$A$1,AE1-1,25)&amp;"箱"&amp;OFFSET(変更先抽出【15時】!$A$1,AE1-1,26),"")</f>
        <v/>
      </c>
      <c r="AK2" s="36"/>
      <c r="AL2" s="43"/>
      <c r="AM2" s="103"/>
      <c r="AN2" s="138" t="str">
        <f ca="1">IF(AN1&lt;&gt;"",OFFSET(変更先抽出【15時】!$A$1,AL1-1,18),"")</f>
        <v/>
      </c>
      <c r="AO2" s="38"/>
      <c r="AP2" s="38"/>
      <c r="AQ2" s="192" t="str">
        <f ca="1">IF(OFFSET(変更先抽出【15時】!$A$1,AL1-1,25)&lt;&gt;"",OFFSET(変更先抽出【15時】!$A$1,AL1-1,25)&amp;"箱"&amp;OFFSET(変更先抽出【15時】!$A$1,AL1-1,26),"")</f>
        <v/>
      </c>
      <c r="AR2" s="36"/>
      <c r="AS2" s="22"/>
      <c r="AT2" s="30"/>
      <c r="AU2" s="103"/>
      <c r="AV2" s="138" t="str">
        <f ca="1">IF(AV1&lt;&gt;"",OFFSET(変更先抽出【15時】!$A$1,AT1-1,18),"")</f>
        <v/>
      </c>
      <c r="AW2" s="38"/>
      <c r="AX2" s="38"/>
      <c r="AY2" s="192" t="str">
        <f ca="1">IF(OFFSET(変更先抽出【15時】!$A$1,AT1-1,25)&lt;&gt;"",OFFSET(変更先抽出【15時】!$A$1,AT1-1,25)&amp;"箱"&amp;OFFSET(変更先抽出【15時】!$A$1,AT1-1,26),"")</f>
        <v/>
      </c>
      <c r="AZ2" s="36"/>
      <c r="BA2" s="43"/>
      <c r="BB2" s="103"/>
      <c r="BC2" s="138" t="str">
        <f ca="1">IF(BC1&lt;&gt;"",OFFSET(変更先抽出【15時】!$A$1,BA1-1,18),"")</f>
        <v/>
      </c>
      <c r="BD2" s="38"/>
      <c r="BE2" s="38"/>
      <c r="BF2" s="192" t="str">
        <f ca="1">IF(OFFSET(変更先抽出【15時】!$A$1,BA1-1,25)&lt;&gt;"",OFFSET(変更先抽出【15時】!$A$1,BA1-1,25)&amp;"箱"&amp;OFFSET(変更先抽出【15時】!$A$1,BA1-1,26),"")</f>
        <v/>
      </c>
      <c r="BG2" s="36"/>
      <c r="BH2" s="22"/>
      <c r="BI2" s="30"/>
      <c r="BJ2" s="103"/>
      <c r="BK2" s="138" t="str">
        <f ca="1">IF(BK1&lt;&gt;"",OFFSET(変更先抽出【15時】!$A$1,BI1-1,18),"")</f>
        <v/>
      </c>
      <c r="BL2" s="38"/>
      <c r="BM2" s="38"/>
      <c r="BN2" s="192" t="str">
        <f ca="1">IF(OFFSET(変更先抽出【15時】!$A$1,BI1-1,25)&lt;&gt;"",OFFSET(変更先抽出【15時】!$A$1,BI1-1,25)&amp;"箱"&amp;OFFSET(変更先抽出【15時】!$A$1,BI1-1,26),"")</f>
        <v/>
      </c>
      <c r="BO2" s="36"/>
      <c r="BP2" s="43"/>
      <c r="BQ2" s="103"/>
      <c r="BR2" s="138" t="str">
        <f ca="1">IF(BR1&lt;&gt;"",OFFSET(変更先抽出【15時】!$A$1,BP1-1,18),"")</f>
        <v/>
      </c>
      <c r="BS2" s="38"/>
      <c r="BT2" s="38"/>
      <c r="BU2" s="192" t="str">
        <f ca="1">IF(OFFSET(変更先抽出【15時】!$A$1,BP1-1,25)&lt;&gt;"",OFFSET(変更先抽出【15時】!$A$1,BP1-1,25)&amp;"箱"&amp;OFFSET(変更先抽出【15時】!$A$1,BP1-1,26),"")</f>
        <v/>
      </c>
      <c r="BV2" s="36"/>
      <c r="BW2" s="22"/>
      <c r="BX2" s="30"/>
      <c r="BY2" s="103"/>
      <c r="BZ2" s="138" t="str">
        <f ca="1">IF(BZ1&lt;&gt;"",OFFSET(変更先抽出【15時】!$A$1,BX1-1,18),"")</f>
        <v/>
      </c>
      <c r="CA2" s="38"/>
      <c r="CB2" s="38"/>
      <c r="CC2" s="192" t="str">
        <f ca="1">IF(OFFSET(変更先抽出【15時】!$A$1,BX1-1,25)&lt;&gt;"",OFFSET(変更先抽出【15時】!$A$1,BX1-1,25)&amp;"箱"&amp;OFFSET(変更先抽出【15時】!$A$1,BX1-1,26),"")</f>
        <v/>
      </c>
      <c r="CD2" s="36"/>
      <c r="CE2" s="43"/>
      <c r="CF2" s="103"/>
      <c r="CG2" s="138" t="str">
        <f ca="1">IF(CG1&lt;&gt;"",OFFSET(変更先抽出【15時】!$A$1,CE1-1,18),"")</f>
        <v/>
      </c>
      <c r="CH2" s="38"/>
      <c r="CI2" s="38"/>
      <c r="CJ2" s="192" t="str">
        <f ca="1">IF(OFFSET(変更先抽出【15時】!$A$1,CE1-1,25)&lt;&gt;"",OFFSET(変更先抽出【15時】!$A$1,CE1-1,25)&amp;"箱"&amp;OFFSET(変更先抽出【15時】!$A$1,CE1-1,26),"")</f>
        <v/>
      </c>
      <c r="CK2" s="36"/>
      <c r="CL2" s="22"/>
      <c r="CM2" s="30"/>
      <c r="CN2" s="103"/>
      <c r="CO2" s="138" t="str">
        <f ca="1">IF(CO1&lt;&gt;"",OFFSET(変更先抽出【15時】!$A$1,CM1-1,18),"")</f>
        <v/>
      </c>
      <c r="CP2" s="38"/>
      <c r="CQ2" s="38"/>
      <c r="CR2" s="192" t="str">
        <f ca="1">IF(OFFSET(変更先抽出【15時】!$A$1,CM1-1,25)&lt;&gt;"",OFFSET(変更先抽出【15時】!$A$1,CM1-1,25)&amp;"箱"&amp;OFFSET(変更先抽出【15時】!$A$1,CM1-1,26),"")</f>
        <v/>
      </c>
      <c r="CS2" s="36"/>
      <c r="CT2" s="43"/>
      <c r="CU2" s="103"/>
      <c r="CV2" s="138" t="str">
        <f ca="1">IF(CV1&lt;&gt;"",OFFSET(変更先抽出【15時】!$A$1,CT1-1,18),"")</f>
        <v/>
      </c>
      <c r="CW2" s="38"/>
      <c r="CX2" s="38"/>
      <c r="CY2" s="192" t="str">
        <f ca="1">IF(OFFSET(変更先抽出【15時】!$A$1,CT1-1,25)&lt;&gt;"",OFFSET(変更先抽出【15時】!$A$1,CT1-1,25)&amp;"箱"&amp;OFFSET(変更先抽出【15時】!$A$1,CT1-1,26),"")</f>
        <v/>
      </c>
      <c r="CZ2" s="36"/>
      <c r="DA2" s="22"/>
      <c r="DB2" s="30"/>
      <c r="DC2" s="103"/>
      <c r="DD2" s="138" t="str">
        <f ca="1">IF(DD1&lt;&gt;"",OFFSET(変更先抽出【15時】!$A$1,DB1-1,18),"")</f>
        <v/>
      </c>
      <c r="DE2" s="38"/>
      <c r="DF2" s="38"/>
      <c r="DG2" s="192" t="str">
        <f ca="1">IF(OFFSET(変更先抽出【15時】!$A$1,DB1-1,25)&lt;&gt;"",OFFSET(変更先抽出【15時】!$A$1,DB1-1,25)&amp;"箱"&amp;OFFSET(変更先抽出【15時】!$A$1,DB1-1,26),"")</f>
        <v/>
      </c>
      <c r="DH2" s="36"/>
      <c r="DI2" s="43"/>
      <c r="DJ2" s="103"/>
      <c r="DK2" s="138" t="str">
        <f ca="1">IF(DK1&lt;&gt;"",OFFSET(変更先抽出【15時】!$A$1,DI1-1,18),"")</f>
        <v/>
      </c>
      <c r="DL2" s="38"/>
      <c r="DM2" s="38"/>
      <c r="DN2" s="192" t="str">
        <f ca="1">IF(OFFSET(変更先抽出【15時】!$A$1,DI1-1,25)&lt;&gt;"",OFFSET(変更先抽出【15時】!$A$1,DI1-1,25)&amp;"箱"&amp;OFFSET(変更先抽出【15時】!$A$1,DI1-1,26),"")</f>
        <v/>
      </c>
      <c r="DO2" s="36"/>
      <c r="DP2" s="22"/>
      <c r="DQ2" s="30"/>
      <c r="DR2" s="103"/>
      <c r="DS2" s="138" t="str">
        <f ca="1">IF(DS1&lt;&gt;"",OFFSET(変更先抽出【15時】!$A$1,DQ1-1,18),"")</f>
        <v/>
      </c>
      <c r="DT2" s="38"/>
      <c r="DU2" s="38"/>
      <c r="DV2" s="192" t="str">
        <f ca="1">IF(OFFSET(変更先抽出【15時】!$A$1,DQ1-1,25)&lt;&gt;"",OFFSET(変更先抽出【15時】!$A$1,DQ1-1,25)&amp;"箱"&amp;OFFSET(変更先抽出【15時】!$A$1,DQ1-1,26),"")</f>
        <v/>
      </c>
      <c r="DW2" s="36"/>
      <c r="DX2" s="43"/>
      <c r="DY2" s="103"/>
      <c r="DZ2" s="138" t="str">
        <f ca="1">IF(DZ1&lt;&gt;"",OFFSET(変更先抽出【15時】!$A$1,DX1-1,18),"")</f>
        <v/>
      </c>
      <c r="EA2" s="38"/>
      <c r="EB2" s="38"/>
      <c r="EC2" s="192" t="str">
        <f ca="1">IF(OFFSET(変更先抽出【15時】!$A$1,DX1-1,25)&lt;&gt;"",OFFSET(変更先抽出【15時】!$A$1,DX1-1,25)&amp;"箱"&amp;OFFSET(変更先抽出【15時】!$A$1,DX1-1,26),"")</f>
        <v/>
      </c>
      <c r="ED2" s="36"/>
      <c r="EE2" s="22"/>
      <c r="EF2" s="30"/>
      <c r="EG2" s="103"/>
      <c r="EH2" s="138" t="str">
        <f ca="1">IF(EH1&lt;&gt;"",OFFSET(変更先抽出【15時】!$A$1,EF1-1,18),"")</f>
        <v/>
      </c>
      <c r="EI2" s="38"/>
      <c r="EJ2" s="38"/>
      <c r="EK2" s="192" t="str">
        <f ca="1">IF(OFFSET(変更先抽出【15時】!$A$1,EF1-1,25)&lt;&gt;"",OFFSET(変更先抽出【15時】!$A$1,EF1-1,25)&amp;"箱"&amp;OFFSET(変更先抽出【15時】!$A$1,EF1-1,26),"")</f>
        <v/>
      </c>
      <c r="EL2" s="36"/>
      <c r="EM2" s="43"/>
      <c r="EN2" s="103"/>
      <c r="EO2" s="138" t="str">
        <f ca="1">IF(EO1&lt;&gt;"",OFFSET(変更先抽出【15時】!$A$1,EM1-1,18),"")</f>
        <v/>
      </c>
      <c r="EP2" s="38"/>
      <c r="EQ2" s="38"/>
      <c r="ER2" s="192" t="str">
        <f ca="1">IF(OFFSET(変更先抽出【15時】!$A$1,EM1-1,25)&lt;&gt;"",OFFSET(変更先抽出【15時】!$A$1,EM1-1,25)&amp;"箱"&amp;OFFSET(変更先抽出【15時】!$A$1,EM1-1,26),"")</f>
        <v/>
      </c>
      <c r="ES2" s="36"/>
      <c r="ET2" s="22"/>
    </row>
    <row r="3" spans="1:150" s="180" customFormat="1">
      <c r="A3" s="30"/>
      <c r="B3" s="31"/>
      <c r="C3" s="205" t="str">
        <f ca="1">IF(C1&lt;&gt;"","園児","")</f>
        <v/>
      </c>
      <c r="D3" s="206"/>
      <c r="E3" s="22"/>
      <c r="F3" s="137" t="str">
        <f ca="1">IF(C1&lt;&gt;"","先生","")</f>
        <v/>
      </c>
      <c r="G3" s="37"/>
      <c r="H3" s="33"/>
      <c r="I3" s="31"/>
      <c r="J3" s="205" t="str">
        <f ca="1">IF(J1&lt;&gt;"","園児","")</f>
        <v/>
      </c>
      <c r="K3" s="206"/>
      <c r="L3" s="22"/>
      <c r="M3" s="137" t="str">
        <f ca="1">IF(J1&lt;&gt;"","先生","")</f>
        <v/>
      </c>
      <c r="N3" s="37"/>
      <c r="O3" s="22"/>
      <c r="P3" s="30"/>
      <c r="Q3" s="31"/>
      <c r="R3" s="205" t="str">
        <f ca="1">IF(R1&lt;&gt;"","園児","")</f>
        <v/>
      </c>
      <c r="S3" s="206"/>
      <c r="T3" s="22"/>
      <c r="U3" s="137" t="str">
        <f ca="1">IF(R1&lt;&gt;"","先生","")</f>
        <v/>
      </c>
      <c r="V3" s="37"/>
      <c r="W3" s="33"/>
      <c r="X3" s="31"/>
      <c r="Y3" s="205" t="str">
        <f ca="1">IF(Y1&lt;&gt;"","園児","")</f>
        <v/>
      </c>
      <c r="Z3" s="206"/>
      <c r="AA3" s="22"/>
      <c r="AB3" s="137" t="str">
        <f ca="1">IF(Y1&lt;&gt;"","先生","")</f>
        <v/>
      </c>
      <c r="AC3" s="37"/>
      <c r="AD3" s="22"/>
      <c r="AE3" s="30"/>
      <c r="AF3" s="31"/>
      <c r="AG3" s="205" t="str">
        <f ca="1">IF(AG1&lt;&gt;"","園児","")</f>
        <v/>
      </c>
      <c r="AH3" s="206"/>
      <c r="AI3" s="22"/>
      <c r="AJ3" s="137" t="str">
        <f ca="1">IF(AG1&lt;&gt;"","先生","")</f>
        <v/>
      </c>
      <c r="AK3" s="37"/>
      <c r="AL3" s="33"/>
      <c r="AM3" s="31"/>
      <c r="AN3" s="205" t="str">
        <f ca="1">IF(AN1&lt;&gt;"","園児","")</f>
        <v/>
      </c>
      <c r="AO3" s="206"/>
      <c r="AP3" s="22"/>
      <c r="AQ3" s="137" t="str">
        <f ca="1">IF(AN1&lt;&gt;"","先生","")</f>
        <v/>
      </c>
      <c r="AR3" s="37"/>
      <c r="AS3" s="22"/>
      <c r="AT3" s="30"/>
      <c r="AU3" s="31"/>
      <c r="AV3" s="205" t="str">
        <f ca="1">IF(AV1&lt;&gt;"","園児","")</f>
        <v/>
      </c>
      <c r="AW3" s="206"/>
      <c r="AX3" s="22"/>
      <c r="AY3" s="137" t="str">
        <f ca="1">IF(AV1&lt;&gt;"","先生","")</f>
        <v/>
      </c>
      <c r="AZ3" s="37"/>
      <c r="BA3" s="33"/>
      <c r="BB3" s="31"/>
      <c r="BC3" s="205" t="str">
        <f ca="1">IF(BC1&lt;&gt;"","園児","")</f>
        <v/>
      </c>
      <c r="BD3" s="206"/>
      <c r="BE3" s="22"/>
      <c r="BF3" s="137" t="str">
        <f ca="1">IF(BC1&lt;&gt;"","先生","")</f>
        <v/>
      </c>
      <c r="BG3" s="37"/>
      <c r="BH3" s="22"/>
      <c r="BI3" s="30"/>
      <c r="BJ3" s="31"/>
      <c r="BK3" s="205" t="str">
        <f ca="1">IF(BK1&lt;&gt;"","園児","")</f>
        <v/>
      </c>
      <c r="BL3" s="206"/>
      <c r="BM3" s="22"/>
      <c r="BN3" s="137" t="str">
        <f ca="1">IF(BK1&lt;&gt;"","先生","")</f>
        <v/>
      </c>
      <c r="BO3" s="37"/>
      <c r="BP3" s="33"/>
      <c r="BQ3" s="31"/>
      <c r="BR3" s="205" t="str">
        <f ca="1">IF(BR1&lt;&gt;"","園児","")</f>
        <v/>
      </c>
      <c r="BS3" s="206"/>
      <c r="BT3" s="22"/>
      <c r="BU3" s="137" t="str">
        <f ca="1">IF(BR1&lt;&gt;"","先生","")</f>
        <v/>
      </c>
      <c r="BV3" s="37"/>
      <c r="BW3" s="22"/>
      <c r="BX3" s="30"/>
      <c r="BY3" s="31"/>
      <c r="BZ3" s="205" t="str">
        <f ca="1">IF(BZ1&lt;&gt;"","園児","")</f>
        <v/>
      </c>
      <c r="CA3" s="206"/>
      <c r="CB3" s="22"/>
      <c r="CC3" s="137" t="str">
        <f ca="1">IF(BZ1&lt;&gt;"","先生","")</f>
        <v/>
      </c>
      <c r="CD3" s="37"/>
      <c r="CE3" s="33"/>
      <c r="CF3" s="31"/>
      <c r="CG3" s="205" t="str">
        <f ca="1">IF(CG1&lt;&gt;"","園児","")</f>
        <v/>
      </c>
      <c r="CH3" s="206"/>
      <c r="CI3" s="22"/>
      <c r="CJ3" s="137" t="str">
        <f ca="1">IF(CG1&lt;&gt;"","先生","")</f>
        <v/>
      </c>
      <c r="CK3" s="37"/>
      <c r="CL3" s="22"/>
      <c r="CM3" s="30"/>
      <c r="CN3" s="31"/>
      <c r="CO3" s="205" t="str">
        <f ca="1">IF(CO1&lt;&gt;"","園児","")</f>
        <v/>
      </c>
      <c r="CP3" s="206"/>
      <c r="CQ3" s="22"/>
      <c r="CR3" s="137" t="str">
        <f ca="1">IF(CO1&lt;&gt;"","先生","")</f>
        <v/>
      </c>
      <c r="CS3" s="37"/>
      <c r="CT3" s="33"/>
      <c r="CU3" s="31"/>
      <c r="CV3" s="205" t="str">
        <f ca="1">IF(CV1&lt;&gt;"","園児","")</f>
        <v/>
      </c>
      <c r="CW3" s="206"/>
      <c r="CX3" s="22"/>
      <c r="CY3" s="137" t="str">
        <f ca="1">IF(CV1&lt;&gt;"","先生","")</f>
        <v/>
      </c>
      <c r="CZ3" s="37"/>
      <c r="DA3" s="22"/>
      <c r="DB3" s="30"/>
      <c r="DC3" s="31"/>
      <c r="DD3" s="205" t="str">
        <f ca="1">IF(DD1&lt;&gt;"","園児","")</f>
        <v/>
      </c>
      <c r="DE3" s="206"/>
      <c r="DF3" s="22"/>
      <c r="DG3" s="137" t="str">
        <f ca="1">IF(DD1&lt;&gt;"","先生","")</f>
        <v/>
      </c>
      <c r="DH3" s="37"/>
      <c r="DI3" s="33"/>
      <c r="DJ3" s="31"/>
      <c r="DK3" s="205" t="str">
        <f ca="1">IF(DK1&lt;&gt;"","園児","")</f>
        <v/>
      </c>
      <c r="DL3" s="206"/>
      <c r="DM3" s="22"/>
      <c r="DN3" s="137" t="str">
        <f ca="1">IF(DK1&lt;&gt;"","先生","")</f>
        <v/>
      </c>
      <c r="DO3" s="37"/>
      <c r="DP3" s="22"/>
      <c r="DQ3" s="30"/>
      <c r="DR3" s="31"/>
      <c r="DS3" s="205" t="str">
        <f ca="1">IF(DS1&lt;&gt;"","園児","")</f>
        <v/>
      </c>
      <c r="DT3" s="206"/>
      <c r="DU3" s="22"/>
      <c r="DV3" s="137" t="str">
        <f ca="1">IF(DS1&lt;&gt;"","先生","")</f>
        <v/>
      </c>
      <c r="DW3" s="37"/>
      <c r="DX3" s="33"/>
      <c r="DY3" s="31"/>
      <c r="DZ3" s="205" t="str">
        <f ca="1">IF(DZ1&lt;&gt;"","園児","")</f>
        <v/>
      </c>
      <c r="EA3" s="206"/>
      <c r="EB3" s="22"/>
      <c r="EC3" s="137" t="str">
        <f ca="1">IF(DZ1&lt;&gt;"","先生","")</f>
        <v/>
      </c>
      <c r="ED3" s="37"/>
      <c r="EE3" s="22"/>
      <c r="EF3" s="30"/>
      <c r="EG3" s="31"/>
      <c r="EH3" s="205" t="str">
        <f ca="1">IF(EH1&lt;&gt;"","園児","")</f>
        <v/>
      </c>
      <c r="EI3" s="206"/>
      <c r="EJ3" s="22"/>
      <c r="EK3" s="137" t="str">
        <f ca="1">IF(EH1&lt;&gt;"","先生","")</f>
        <v/>
      </c>
      <c r="EL3" s="37"/>
      <c r="EM3" s="33"/>
      <c r="EN3" s="31"/>
      <c r="EO3" s="205" t="str">
        <f ca="1">IF(EO1&lt;&gt;"","園児","")</f>
        <v/>
      </c>
      <c r="EP3" s="206"/>
      <c r="EQ3" s="22"/>
      <c r="ER3" s="137" t="str">
        <f ca="1">IF(EO1&lt;&gt;"","先生","")</f>
        <v/>
      </c>
      <c r="ES3" s="37"/>
      <c r="ET3" s="22"/>
    </row>
    <row r="4" spans="1:150" ht="15.6" customHeight="1">
      <c r="B4" s="25"/>
      <c r="C4" s="203" t="str">
        <f ca="1">IF(C1&lt;&gt;"",OFFSET(変更先抽出【15時】!$A$1,A1-1,19),"")</f>
        <v/>
      </c>
      <c r="D4" s="204"/>
      <c r="E4" s="44"/>
      <c r="F4" s="199" t="str">
        <f ca="1">IF(C1&lt;&gt;"",OFFSET(変更先抽出【15時】!$A$1,A1-1,20),"")</f>
        <v/>
      </c>
      <c r="G4" s="200"/>
      <c r="H4" s="26"/>
      <c r="I4" s="25"/>
      <c r="J4" s="203" t="str">
        <f ca="1">IF(J1&lt;&gt;"",OFFSET(変更先抽出【15時】!$A$1,H1-1,19),"")</f>
        <v/>
      </c>
      <c r="K4" s="204"/>
      <c r="L4" s="44"/>
      <c r="M4" s="199" t="str">
        <f ca="1">IF(J1&lt;&gt;"",OFFSET(変更先抽出【15時】!$A$1,H1-1,20),"")</f>
        <v/>
      </c>
      <c r="N4" s="200"/>
      <c r="Q4" s="25"/>
      <c r="R4" s="203" t="str">
        <f ca="1">IF(R1&lt;&gt;"",OFFSET(変更先抽出【15時】!$A$1,P1-1,19),"")</f>
        <v/>
      </c>
      <c r="S4" s="204"/>
      <c r="T4" s="44"/>
      <c r="U4" s="199" t="str">
        <f ca="1">IF(R1&lt;&gt;"",OFFSET(変更先抽出【15時】!$A$1,P1-1,20),"")</f>
        <v/>
      </c>
      <c r="V4" s="200"/>
      <c r="W4" s="26"/>
      <c r="X4" s="25"/>
      <c r="Y4" s="203" t="str">
        <f ca="1">IF(Y1&lt;&gt;"",OFFSET(変更先抽出【15時】!$A$1,W1-1,19),"")</f>
        <v/>
      </c>
      <c r="Z4" s="204"/>
      <c r="AA4" s="44"/>
      <c r="AB4" s="199" t="str">
        <f ca="1">IF(Y1&lt;&gt;"",OFFSET(変更先抽出【15時】!$A$1,W1-1,20),"")</f>
        <v/>
      </c>
      <c r="AC4" s="200"/>
      <c r="AF4" s="25"/>
      <c r="AG4" s="203" t="str">
        <f ca="1">IF(AG1&lt;&gt;"",OFFSET(変更先抽出【15時】!$A$1,AE1-1,19),"")</f>
        <v/>
      </c>
      <c r="AH4" s="204"/>
      <c r="AI4" s="44"/>
      <c r="AJ4" s="199" t="str">
        <f ca="1">IF(AG1&lt;&gt;"",OFFSET(変更先抽出【15時】!$A$1,AE1-1,20),"")</f>
        <v/>
      </c>
      <c r="AK4" s="200"/>
      <c r="AL4" s="26"/>
      <c r="AM4" s="25"/>
      <c r="AN4" s="203" t="str">
        <f ca="1">IF(AN1&lt;&gt;"",OFFSET(変更先抽出【15時】!$A$1,AL1-1,19),"")</f>
        <v/>
      </c>
      <c r="AO4" s="204"/>
      <c r="AP4" s="44"/>
      <c r="AQ4" s="199" t="str">
        <f ca="1">IF(AN1&lt;&gt;"",OFFSET(変更先抽出【15時】!$A$1,AL1-1,20),"")</f>
        <v/>
      </c>
      <c r="AR4" s="200"/>
      <c r="AU4" s="25"/>
      <c r="AV4" s="203" t="str">
        <f ca="1">IF(AV1&lt;&gt;"",OFFSET(変更先抽出【15時】!$A$1,AT1-1,19),"")</f>
        <v/>
      </c>
      <c r="AW4" s="204"/>
      <c r="AX4" s="44"/>
      <c r="AY4" s="199" t="str">
        <f ca="1">IF(AV1&lt;&gt;"",OFFSET(変更先抽出【15時】!$A$1,AT1-1,20),"")</f>
        <v/>
      </c>
      <c r="AZ4" s="200"/>
      <c r="BA4" s="26"/>
      <c r="BB4" s="25"/>
      <c r="BC4" s="203" t="str">
        <f ca="1">IF(BC1&lt;&gt;"",OFFSET(変更先抽出【15時】!$A$1,BA1-1,19),"")</f>
        <v/>
      </c>
      <c r="BD4" s="204"/>
      <c r="BE4" s="44"/>
      <c r="BF4" s="199" t="str">
        <f ca="1">IF(BC1&lt;&gt;"",OFFSET(変更先抽出【15時】!$A$1,BA1-1,20),"")</f>
        <v/>
      </c>
      <c r="BG4" s="200"/>
      <c r="BJ4" s="25"/>
      <c r="BK4" s="203" t="str">
        <f ca="1">IF(BK1&lt;&gt;"",OFFSET(変更先抽出【15時】!$A$1,BI1-1,19),"")</f>
        <v/>
      </c>
      <c r="BL4" s="204"/>
      <c r="BM4" s="44"/>
      <c r="BN4" s="199" t="str">
        <f ca="1">IF(BK1&lt;&gt;"",OFFSET(変更先抽出【15時】!$A$1,BI1-1,20),"")</f>
        <v/>
      </c>
      <c r="BO4" s="200"/>
      <c r="BP4" s="26"/>
      <c r="BQ4" s="25"/>
      <c r="BR4" s="203" t="str">
        <f ca="1">IF(BR1&lt;&gt;"",OFFSET(変更先抽出【15時】!$A$1,BP1-1,19),"")</f>
        <v/>
      </c>
      <c r="BS4" s="204"/>
      <c r="BT4" s="44"/>
      <c r="BU4" s="199" t="str">
        <f ca="1">IF(BR1&lt;&gt;"",OFFSET(変更先抽出【15時】!$A$1,BP1-1,20),"")</f>
        <v/>
      </c>
      <c r="BV4" s="200"/>
      <c r="BY4" s="25"/>
      <c r="BZ4" s="203" t="str">
        <f ca="1">IF(BZ1&lt;&gt;"",OFFSET(変更先抽出【15時】!$A$1,BX1-1,19),"")</f>
        <v/>
      </c>
      <c r="CA4" s="204"/>
      <c r="CB4" s="44"/>
      <c r="CC4" s="199" t="str">
        <f ca="1">IF(BZ1&lt;&gt;"",OFFSET(変更先抽出【15時】!$A$1,BX1-1,20),"")</f>
        <v/>
      </c>
      <c r="CD4" s="200"/>
      <c r="CE4" s="26"/>
      <c r="CF4" s="25"/>
      <c r="CG4" s="203" t="str">
        <f ca="1">IF(CG1&lt;&gt;"",OFFSET(変更先抽出【15時】!$A$1,CE1-1,19),"")</f>
        <v/>
      </c>
      <c r="CH4" s="204"/>
      <c r="CI4" s="44"/>
      <c r="CJ4" s="199" t="str">
        <f ca="1">IF(CG1&lt;&gt;"",OFFSET(変更先抽出【15時】!$A$1,CE1-1,20),"")</f>
        <v/>
      </c>
      <c r="CK4" s="200"/>
      <c r="CN4" s="25"/>
      <c r="CO4" s="203" t="str">
        <f ca="1">IF(CO1&lt;&gt;"",OFFSET(変更先抽出【15時】!$A$1,CM1-1,19),"")</f>
        <v/>
      </c>
      <c r="CP4" s="204"/>
      <c r="CQ4" s="44"/>
      <c r="CR4" s="199" t="str">
        <f ca="1">IF(CO1&lt;&gt;"",OFFSET(変更先抽出【15時】!$A$1,CM1-1,20),"")</f>
        <v/>
      </c>
      <c r="CS4" s="200"/>
      <c r="CT4" s="26"/>
      <c r="CU4" s="25"/>
      <c r="CV4" s="203" t="str">
        <f ca="1">IF(CV1&lt;&gt;"",OFFSET(変更先抽出【15時】!$A$1,CT1-1,19),"")</f>
        <v/>
      </c>
      <c r="CW4" s="204"/>
      <c r="CX4" s="44"/>
      <c r="CY4" s="199" t="str">
        <f ca="1">IF(CV1&lt;&gt;"",OFFSET(変更先抽出【15時】!$A$1,CT1-1,20),"")</f>
        <v/>
      </c>
      <c r="CZ4" s="200"/>
      <c r="DC4" s="25"/>
      <c r="DD4" s="203" t="str">
        <f ca="1">IF(DD1&lt;&gt;"",OFFSET(変更先抽出【15時】!$A$1,DB1-1,19),"")</f>
        <v/>
      </c>
      <c r="DE4" s="204"/>
      <c r="DF4" s="44"/>
      <c r="DG4" s="199" t="str">
        <f ca="1">IF(DD1&lt;&gt;"",OFFSET(変更先抽出【15時】!$A$1,DB1-1,20),"")</f>
        <v/>
      </c>
      <c r="DH4" s="200"/>
      <c r="DI4" s="26"/>
      <c r="DJ4" s="25"/>
      <c r="DK4" s="203" t="str">
        <f ca="1">IF(DK1&lt;&gt;"",OFFSET(変更先抽出【15時】!$A$1,DI1-1,19),"")</f>
        <v/>
      </c>
      <c r="DL4" s="204"/>
      <c r="DM4" s="44"/>
      <c r="DN4" s="199" t="str">
        <f ca="1">IF(DK1&lt;&gt;"",OFFSET(変更先抽出【15時】!$A$1,DI1-1,20),"")</f>
        <v/>
      </c>
      <c r="DO4" s="200"/>
      <c r="DR4" s="25"/>
      <c r="DS4" s="203" t="str">
        <f ca="1">IF(DS1&lt;&gt;"",OFFSET(変更先抽出【15時】!$A$1,DQ1-1,19),"")</f>
        <v/>
      </c>
      <c r="DT4" s="204"/>
      <c r="DU4" s="44"/>
      <c r="DV4" s="199" t="str">
        <f ca="1">IF(DS1&lt;&gt;"",OFFSET(変更先抽出【15時】!$A$1,DQ1-1,20),"")</f>
        <v/>
      </c>
      <c r="DW4" s="200"/>
      <c r="DX4" s="26"/>
      <c r="DY4" s="25"/>
      <c r="DZ4" s="203" t="str">
        <f ca="1">IF(DZ1&lt;&gt;"",OFFSET(変更先抽出【15時】!$A$1,DX1-1,19),"")</f>
        <v/>
      </c>
      <c r="EA4" s="204"/>
      <c r="EB4" s="44"/>
      <c r="EC4" s="199" t="str">
        <f ca="1">IF(DZ1&lt;&gt;"",OFFSET(変更先抽出【15時】!$A$1,DX1-1,20),"")</f>
        <v/>
      </c>
      <c r="ED4" s="200"/>
      <c r="EG4" s="25"/>
      <c r="EH4" s="203" t="str">
        <f ca="1">IF(EH1&lt;&gt;"",OFFSET(変更先抽出【15時】!$A$1,EF1-1,19),"")</f>
        <v/>
      </c>
      <c r="EI4" s="204"/>
      <c r="EJ4" s="44"/>
      <c r="EK4" s="199" t="str">
        <f ca="1">IF(EH1&lt;&gt;"",OFFSET(変更先抽出【15時】!$A$1,EF1-1,20),"")</f>
        <v/>
      </c>
      <c r="EL4" s="200"/>
      <c r="EM4" s="26"/>
      <c r="EN4" s="25"/>
      <c r="EO4" s="203" t="str">
        <f ca="1">IF(EO1&lt;&gt;"",OFFSET(変更先抽出【15時】!$A$1,EM1-1,19),"")</f>
        <v/>
      </c>
      <c r="EP4" s="204"/>
      <c r="EQ4" s="44"/>
      <c r="ER4" s="199" t="str">
        <f ca="1">IF(EO1&lt;&gt;"",OFFSET(変更先抽出【15時】!$A$1,EM1-1,20),"")</f>
        <v/>
      </c>
      <c r="ES4" s="200"/>
    </row>
    <row r="5" spans="1:150" ht="15.6" customHeight="1">
      <c r="B5" s="27"/>
      <c r="C5" s="201"/>
      <c r="D5" s="201"/>
      <c r="E5" s="178"/>
      <c r="F5" s="201"/>
      <c r="G5" s="202"/>
      <c r="H5" s="26"/>
      <c r="I5" s="27"/>
      <c r="J5" s="201"/>
      <c r="K5" s="201"/>
      <c r="L5" s="178"/>
      <c r="M5" s="201"/>
      <c r="N5" s="202"/>
      <c r="Q5" s="27"/>
      <c r="R5" s="201"/>
      <c r="S5" s="201"/>
      <c r="T5" s="178"/>
      <c r="U5" s="201"/>
      <c r="V5" s="202"/>
      <c r="W5" s="26"/>
      <c r="X5" s="27"/>
      <c r="Y5" s="201"/>
      <c r="Z5" s="201"/>
      <c r="AA5" s="178"/>
      <c r="AB5" s="201"/>
      <c r="AC5" s="202"/>
      <c r="AF5" s="27"/>
      <c r="AG5" s="201"/>
      <c r="AH5" s="201"/>
      <c r="AI5" s="178"/>
      <c r="AJ5" s="201"/>
      <c r="AK5" s="202"/>
      <c r="AL5" s="26"/>
      <c r="AM5" s="27"/>
      <c r="AN5" s="201"/>
      <c r="AO5" s="201"/>
      <c r="AP5" s="178"/>
      <c r="AQ5" s="201"/>
      <c r="AR5" s="202"/>
      <c r="AU5" s="27"/>
      <c r="AV5" s="201"/>
      <c r="AW5" s="201"/>
      <c r="AX5" s="178"/>
      <c r="AY5" s="201"/>
      <c r="AZ5" s="202"/>
      <c r="BA5" s="26"/>
      <c r="BB5" s="27"/>
      <c r="BC5" s="201"/>
      <c r="BD5" s="201"/>
      <c r="BE5" s="178"/>
      <c r="BF5" s="201"/>
      <c r="BG5" s="202"/>
      <c r="BJ5" s="27"/>
      <c r="BK5" s="201"/>
      <c r="BL5" s="201"/>
      <c r="BM5" s="178"/>
      <c r="BN5" s="201"/>
      <c r="BO5" s="202"/>
      <c r="BP5" s="26"/>
      <c r="BQ5" s="27"/>
      <c r="BR5" s="201"/>
      <c r="BS5" s="201"/>
      <c r="BT5" s="178"/>
      <c r="BU5" s="201"/>
      <c r="BV5" s="202"/>
      <c r="BY5" s="27"/>
      <c r="BZ5" s="201"/>
      <c r="CA5" s="201"/>
      <c r="CB5" s="178"/>
      <c r="CC5" s="201"/>
      <c r="CD5" s="202"/>
      <c r="CE5" s="26"/>
      <c r="CF5" s="27"/>
      <c r="CG5" s="201"/>
      <c r="CH5" s="201"/>
      <c r="CI5" s="178"/>
      <c r="CJ5" s="201"/>
      <c r="CK5" s="202"/>
      <c r="CN5" s="27"/>
      <c r="CO5" s="201"/>
      <c r="CP5" s="201"/>
      <c r="CQ5" s="178"/>
      <c r="CR5" s="201"/>
      <c r="CS5" s="202"/>
      <c r="CT5" s="26"/>
      <c r="CU5" s="27"/>
      <c r="CV5" s="201"/>
      <c r="CW5" s="201"/>
      <c r="CX5" s="178"/>
      <c r="CY5" s="201"/>
      <c r="CZ5" s="202"/>
      <c r="DC5" s="27"/>
      <c r="DD5" s="201"/>
      <c r="DE5" s="201"/>
      <c r="DF5" s="178"/>
      <c r="DG5" s="201"/>
      <c r="DH5" s="202"/>
      <c r="DI5" s="26"/>
      <c r="DJ5" s="27"/>
      <c r="DK5" s="201"/>
      <c r="DL5" s="201"/>
      <c r="DM5" s="178"/>
      <c r="DN5" s="201"/>
      <c r="DO5" s="202"/>
      <c r="DR5" s="27"/>
      <c r="DS5" s="201"/>
      <c r="DT5" s="201"/>
      <c r="DU5" s="178"/>
      <c r="DV5" s="201"/>
      <c r="DW5" s="202"/>
      <c r="DX5" s="26"/>
      <c r="DY5" s="27"/>
      <c r="DZ5" s="201"/>
      <c r="EA5" s="201"/>
      <c r="EB5" s="178"/>
      <c r="EC5" s="201"/>
      <c r="ED5" s="202"/>
      <c r="EG5" s="27"/>
      <c r="EH5" s="201"/>
      <c r="EI5" s="201"/>
      <c r="EJ5" s="178"/>
      <c r="EK5" s="201"/>
      <c r="EL5" s="202"/>
      <c r="EM5" s="26"/>
      <c r="EN5" s="27"/>
      <c r="EO5" s="201"/>
      <c r="EP5" s="201"/>
      <c r="EQ5" s="178"/>
      <c r="ER5" s="201"/>
      <c r="ES5" s="202"/>
    </row>
    <row r="6" spans="1:150" s="180" customFormat="1">
      <c r="A6" s="30"/>
      <c r="B6" s="34" t="str">
        <f ca="1">IF(C1&lt;&gt;"","パン箱","")</f>
        <v/>
      </c>
      <c r="C6" s="32" t="str">
        <f ca="1">IF(C1&lt;&gt;"",OFFSET(変更先抽出【15時】!$A$1,A1-1,22),"")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IF(J1&lt;&gt;"",OFFSET(変更先抽出【15時】!$A$1,H1-1,22),"")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IF(R1&lt;&gt;"",OFFSET(変更先抽出【15時】!$A$1,P1-1,22),"")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IF(Y1&lt;&gt;"",OFFSET(変更先抽出【15時】!$A$1,W1-1,22),"")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IF(AG1&lt;&gt;"",OFFSET(変更先抽出【15時】!$A$1,AE1-1,22),"")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IF(AN1&lt;&gt;"",OFFSET(変更先抽出【15時】!$A$1,AL1-1,22),"")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IF(AV1&lt;&gt;"",OFFSET(変更先抽出【15時】!$A$1,AT1-1,22),"")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IF(BC1&lt;&gt;"",OFFSET(変更先抽出【15時】!$A$1,BA1-1,22),"")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IF(BK1&lt;&gt;"",OFFSET(変更先抽出【15時】!$A$1,BI1-1,22),"")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IF(BR1&lt;&gt;"",OFFSET(変更先抽出【15時】!$A$1,BP1-1,22),"")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IF(BZ1&lt;&gt;"",OFFSET(変更先抽出【15時】!$A$1,BX1-1,22),"")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IF(CG1&lt;&gt;"",OFFSET(変更先抽出【15時】!$A$1,CE1-1,22),"")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IF(CO1&lt;&gt;"",OFFSET(変更先抽出【15時】!$A$1,CM1-1,22),"")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IF(CV1&lt;&gt;"",OFFSET(変更先抽出【15時】!$A$1,CT1-1,22),"")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IF(DD1&lt;&gt;"",OFFSET(変更先抽出【15時】!$A$1,DB1-1,22),"")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IF(DK1&lt;&gt;"",OFFSET(変更先抽出【15時】!$A$1,DI1-1,22),"")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IF(DS1&lt;&gt;"",OFFSET(変更先抽出【15時】!$A$1,DQ1-1,22),"")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IF(DZ1&lt;&gt;"",OFFSET(変更先抽出【15時】!$A$1,DX1-1,22),"")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IF(EH1&lt;&gt;"",OFFSET(変更先抽出【15時】!$A$1,EF1-1,22),"")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IF(EO1&lt;&gt;"",OFFSET(変更先抽出【15時】!$A$1,EM1-1,22),"")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09" t="str">
        <f ca="1">IF(C1&lt;&gt;"",IFERROR(INT(C4/C6),""),"")</f>
        <v/>
      </c>
      <c r="C7" s="202"/>
      <c r="D7" s="209" t="str">
        <f ca="1">IF(C1&lt;&gt;"",IFERROR(MOD(C4,C6),""),"")</f>
        <v/>
      </c>
      <c r="E7" s="202"/>
      <c r="F7" s="210" t="str">
        <f ca="1">IF(C1&lt;&gt;"",OFFSET(変更先抽出【15時】!$A$1,A1-1,21),"")</f>
        <v/>
      </c>
      <c r="G7" s="202"/>
      <c r="I7" s="209" t="str">
        <f ca="1">IF(J1&lt;&gt;"",IFERROR(INT(J4/J6),""),"")</f>
        <v/>
      </c>
      <c r="J7" s="202"/>
      <c r="K7" s="209" t="str">
        <f ca="1">IF(J1&lt;&gt;"",IFERROR(MOD(J4,J6),""),"")</f>
        <v/>
      </c>
      <c r="L7" s="202"/>
      <c r="M7" s="210" t="str">
        <f ca="1">IF(J1&lt;&gt;"",OFFSET(変更先抽出【15時】!$A$1,H1-1,21),"")</f>
        <v/>
      </c>
      <c r="N7" s="202"/>
      <c r="Q7" s="209" t="str">
        <f ca="1">IF(R1&lt;&gt;"",IFERROR(INT(R4/R6),""),"")</f>
        <v/>
      </c>
      <c r="R7" s="202"/>
      <c r="S7" s="209" t="str">
        <f ca="1">IF(R1&lt;&gt;"",IFERROR(MOD(R4,R6),""),"")</f>
        <v/>
      </c>
      <c r="T7" s="202"/>
      <c r="U7" s="210" t="str">
        <f ca="1">IF(R1&lt;&gt;"",OFFSET(変更先抽出【15時】!$A$1,P1-1,21),"")</f>
        <v/>
      </c>
      <c r="V7" s="202"/>
      <c r="X7" s="209" t="str">
        <f ca="1">IF(Y1&lt;&gt;"",IFERROR(INT(Y4/Y6),""),"")</f>
        <v/>
      </c>
      <c r="Y7" s="202"/>
      <c r="Z7" s="209" t="str">
        <f ca="1">IF(Y1&lt;&gt;"",IFERROR(MOD(Y4,Y6),""),"")</f>
        <v/>
      </c>
      <c r="AA7" s="202"/>
      <c r="AB7" s="210" t="str">
        <f ca="1">IF(Y1&lt;&gt;"",OFFSET(変更先抽出【15時】!$A$1,W1-1,21),"")</f>
        <v/>
      </c>
      <c r="AC7" s="202"/>
      <c r="AF7" s="209" t="str">
        <f ca="1">IF(AG1&lt;&gt;"",IFERROR(INT(AG4/AG6),""),"")</f>
        <v/>
      </c>
      <c r="AG7" s="202"/>
      <c r="AH7" s="209" t="str">
        <f ca="1">IF(AG1&lt;&gt;"",IFERROR(MOD(AG4,AG6),""),"")</f>
        <v/>
      </c>
      <c r="AI7" s="202"/>
      <c r="AJ7" s="210" t="str">
        <f ca="1">IF(AG1&lt;&gt;"",OFFSET(変更先抽出【15時】!$A$1,AE1-1,21),"")</f>
        <v/>
      </c>
      <c r="AK7" s="202"/>
      <c r="AM7" s="209" t="str">
        <f ca="1">IF(AN1&lt;&gt;"",IFERROR(INT(AN4/AN6),""),"")</f>
        <v/>
      </c>
      <c r="AN7" s="202"/>
      <c r="AO7" s="209" t="str">
        <f ca="1">IF(AN1&lt;&gt;"",IFERROR(MOD(AN4,AN6),""),"")</f>
        <v/>
      </c>
      <c r="AP7" s="202"/>
      <c r="AQ7" s="210" t="str">
        <f ca="1">IF(AN1&lt;&gt;"",OFFSET(変更先抽出【15時】!$A$1,AL1-1,21),"")</f>
        <v/>
      </c>
      <c r="AR7" s="202"/>
      <c r="AU7" s="209" t="str">
        <f ca="1">IF(AV1&lt;&gt;"",IFERROR(INT(AV4/AV6),""),"")</f>
        <v/>
      </c>
      <c r="AV7" s="202"/>
      <c r="AW7" s="209" t="str">
        <f ca="1">IF(AV1&lt;&gt;"",IFERROR(MOD(AV4,AV6),""),"")</f>
        <v/>
      </c>
      <c r="AX7" s="202"/>
      <c r="AY7" s="210" t="str">
        <f ca="1">IF(AV1&lt;&gt;"",OFFSET(変更先抽出【15時】!$A$1,AT1-1,21),"")</f>
        <v/>
      </c>
      <c r="AZ7" s="202"/>
      <c r="BB7" s="209" t="str">
        <f ca="1">IF(BC1&lt;&gt;"",IFERROR(INT(BC4/BC6),""),"")</f>
        <v/>
      </c>
      <c r="BC7" s="202"/>
      <c r="BD7" s="209" t="str">
        <f ca="1">IF(BC1&lt;&gt;"",IFERROR(MOD(BC4,BC6),""),"")</f>
        <v/>
      </c>
      <c r="BE7" s="202"/>
      <c r="BF7" s="210" t="str">
        <f ca="1">IF(BC1&lt;&gt;"",OFFSET(変更先抽出【15時】!$A$1,BA1-1,21),"")</f>
        <v/>
      </c>
      <c r="BG7" s="202"/>
      <c r="BJ7" s="209" t="str">
        <f ca="1">IF(BK1&lt;&gt;"",IFERROR(INT(BK4/BK6),""),"")</f>
        <v/>
      </c>
      <c r="BK7" s="202"/>
      <c r="BL7" s="209" t="str">
        <f ca="1">IF(BK1&lt;&gt;"",IFERROR(MOD(BK4,BK6),""),"")</f>
        <v/>
      </c>
      <c r="BM7" s="202"/>
      <c r="BN7" s="210" t="str">
        <f ca="1">IF(BK1&lt;&gt;"",OFFSET(変更先抽出【15時】!$A$1,BI1-1,21),"")</f>
        <v/>
      </c>
      <c r="BO7" s="202"/>
      <c r="BQ7" s="209" t="str">
        <f ca="1">IF(BR1&lt;&gt;"",IFERROR(INT(BR4/BR6),""),"")</f>
        <v/>
      </c>
      <c r="BR7" s="202"/>
      <c r="BS7" s="209" t="str">
        <f ca="1">IF(BR1&lt;&gt;"",IFERROR(MOD(BR4,BR6),""),"")</f>
        <v/>
      </c>
      <c r="BT7" s="202"/>
      <c r="BU7" s="210" t="str">
        <f ca="1">IF(BR1&lt;&gt;"",OFFSET(変更先抽出【15時】!$A$1,BP1-1,21),"")</f>
        <v/>
      </c>
      <c r="BV7" s="202"/>
      <c r="BY7" s="209" t="str">
        <f ca="1">IF(BZ1&lt;&gt;"",IFERROR(INT(BZ4/BZ6),""),"")</f>
        <v/>
      </c>
      <c r="BZ7" s="202"/>
      <c r="CA7" s="209" t="str">
        <f ca="1">IF(BZ1&lt;&gt;"",IFERROR(MOD(BZ4,BZ6),""),"")</f>
        <v/>
      </c>
      <c r="CB7" s="202"/>
      <c r="CC7" s="210" t="str">
        <f ca="1">IF(BZ1&lt;&gt;"",OFFSET(変更先抽出【15時】!$A$1,BX1-1,21),"")</f>
        <v/>
      </c>
      <c r="CD7" s="202"/>
      <c r="CF7" s="209" t="str">
        <f ca="1">IF(CG1&lt;&gt;"",IFERROR(INT(CG4/CG6),""),"")</f>
        <v/>
      </c>
      <c r="CG7" s="202"/>
      <c r="CH7" s="209" t="str">
        <f ca="1">IF(CG1&lt;&gt;"",IFERROR(MOD(CG4,CG6),""),"")</f>
        <v/>
      </c>
      <c r="CI7" s="202"/>
      <c r="CJ7" s="210" t="str">
        <f ca="1">IF(CG1&lt;&gt;"",OFFSET(変更先抽出【15時】!$A$1,CE1-1,21),"")</f>
        <v/>
      </c>
      <c r="CK7" s="202"/>
      <c r="CN7" s="209" t="str">
        <f ca="1">IF(CO1&lt;&gt;"",IFERROR(INT(CO4/CO6),""),"")</f>
        <v/>
      </c>
      <c r="CO7" s="202"/>
      <c r="CP7" s="209" t="str">
        <f ca="1">IF(CO1&lt;&gt;"",IFERROR(MOD(CO4,CO6),""),"")</f>
        <v/>
      </c>
      <c r="CQ7" s="202"/>
      <c r="CR7" s="210" t="str">
        <f ca="1">IF(CO1&lt;&gt;"",OFFSET(変更先抽出【15時】!$A$1,CM1-1,21),"")</f>
        <v/>
      </c>
      <c r="CS7" s="202"/>
      <c r="CU7" s="209" t="str">
        <f ca="1">IF(CV1&lt;&gt;"",IFERROR(INT(CV4/CV6),""),"")</f>
        <v/>
      </c>
      <c r="CV7" s="202"/>
      <c r="CW7" s="209" t="str">
        <f ca="1">IF(CV1&lt;&gt;"",IFERROR(MOD(CV4,CV6),""),"")</f>
        <v/>
      </c>
      <c r="CX7" s="202"/>
      <c r="CY7" s="210" t="str">
        <f ca="1">IF(CV1&lt;&gt;"",OFFSET(変更先抽出【15時】!$A$1,CT1-1,21),"")</f>
        <v/>
      </c>
      <c r="CZ7" s="202"/>
      <c r="DC7" s="209" t="str">
        <f ca="1">IF(DD1&lt;&gt;"",IFERROR(INT(DD4/DD6),""),"")</f>
        <v/>
      </c>
      <c r="DD7" s="202"/>
      <c r="DE7" s="209" t="str">
        <f ca="1">IF(DD1&lt;&gt;"",IFERROR(MOD(DD4,DD6),""),"")</f>
        <v/>
      </c>
      <c r="DF7" s="202"/>
      <c r="DG7" s="210" t="str">
        <f ca="1">IF(DD1&lt;&gt;"",OFFSET(変更先抽出【15時】!$A$1,DB1-1,21),"")</f>
        <v/>
      </c>
      <c r="DH7" s="202"/>
      <c r="DJ7" s="209" t="str">
        <f ca="1">IF(DK1&lt;&gt;"",IFERROR(INT(DK4/DK6),""),"")</f>
        <v/>
      </c>
      <c r="DK7" s="202"/>
      <c r="DL7" s="209" t="str">
        <f ca="1">IF(DK1&lt;&gt;"",IFERROR(MOD(DK4,DK6),""),"")</f>
        <v/>
      </c>
      <c r="DM7" s="202"/>
      <c r="DN7" s="210" t="str">
        <f ca="1">IF(DK1&lt;&gt;"",OFFSET(変更先抽出【15時】!$A$1,DI1-1,21),"")</f>
        <v/>
      </c>
      <c r="DO7" s="202"/>
      <c r="DR7" s="209" t="str">
        <f ca="1">IF(DS1&lt;&gt;"",IFERROR(INT(DS4/DS6),""),"")</f>
        <v/>
      </c>
      <c r="DS7" s="202"/>
      <c r="DT7" s="209" t="str">
        <f ca="1">IF(DS1&lt;&gt;"",IFERROR(MOD(DS4,DS6),""),"")</f>
        <v/>
      </c>
      <c r="DU7" s="202"/>
      <c r="DV7" s="210" t="str">
        <f ca="1">IF(DS1&lt;&gt;"",OFFSET(変更先抽出【15時】!$A$1,DQ1-1,21),"")</f>
        <v/>
      </c>
      <c r="DW7" s="202"/>
      <c r="DY7" s="209" t="str">
        <f ca="1">IF(DZ1&lt;&gt;"",IFERROR(INT(DZ4/DZ6),""),"")</f>
        <v/>
      </c>
      <c r="DZ7" s="202"/>
      <c r="EA7" s="209" t="str">
        <f ca="1">IF(DZ1&lt;&gt;"",IFERROR(MOD(DZ4,DZ6),""),"")</f>
        <v/>
      </c>
      <c r="EB7" s="202"/>
      <c r="EC7" s="210" t="str">
        <f ca="1">IF(DZ1&lt;&gt;"",OFFSET(変更先抽出【15時】!$A$1,DX1-1,21),"")</f>
        <v/>
      </c>
      <c r="ED7" s="202"/>
      <c r="EG7" s="209" t="str">
        <f ca="1">IF(EH1&lt;&gt;"",IFERROR(INT(EH4/EH6),""),"")</f>
        <v/>
      </c>
      <c r="EH7" s="202"/>
      <c r="EI7" s="209" t="str">
        <f ca="1">IF(EH1&lt;&gt;"",IFERROR(MOD(EH4,EH6),""),"")</f>
        <v/>
      </c>
      <c r="EJ7" s="202"/>
      <c r="EK7" s="210" t="str">
        <f ca="1">IF(EH1&lt;&gt;"",OFFSET(変更先抽出【15時】!$A$1,EF1-1,21),"")</f>
        <v/>
      </c>
      <c r="EL7" s="202"/>
      <c r="EN7" s="209" t="str">
        <f ca="1">IF(EO1&lt;&gt;"",IFERROR(INT(EO4/EO6),""),"")</f>
        <v/>
      </c>
      <c r="EO7" s="202"/>
      <c r="EP7" s="209" t="str">
        <f ca="1">IF(EO1&lt;&gt;"",IFERROR(MOD(EO4,EO6),""),"")</f>
        <v/>
      </c>
      <c r="EQ7" s="202"/>
      <c r="ER7" s="210" t="str">
        <f ca="1">IF(EO1&lt;&gt;"",OFFSET(変更先抽出【15時】!$A$1,EM1-1,21),"")</f>
        <v/>
      </c>
      <c r="ES7" s="202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0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7" t="str">
        <f ca="1">IF(OFFSET(変更先抽出【15時】!$A$1,A9-1,16)&lt;&gt;"",OFFSET(変更先抽出【15時】!$A$1,A9-1,17),"")</f>
        <v/>
      </c>
      <c r="D9" s="208"/>
      <c r="E9" s="208"/>
      <c r="F9" s="208"/>
      <c r="G9" s="39" t="str">
        <f ca="1">IF(C9&lt;&gt;"","様","")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7" t="str">
        <f ca="1">IF(OFFSET(変更先抽出【15時】!$A$1,H9-1,16)&lt;&gt;"",OFFSET(変更先抽出【15時】!$A$1,H9-1,17),"")</f>
        <v/>
      </c>
      <c r="K9" s="208"/>
      <c r="L9" s="208"/>
      <c r="M9" s="208"/>
      <c r="N9" s="39" t="str">
        <f ca="1">IF(J9&lt;&gt;"","様","")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7" t="str">
        <f ca="1">IF(OFFSET(変更先抽出【15時】!$A$1,P9-1,16)&lt;&gt;"",OFFSET(変更先抽出【15時】!$A$1,P9-1,17),"")</f>
        <v/>
      </c>
      <c r="S9" s="208"/>
      <c r="T9" s="208"/>
      <c r="U9" s="208"/>
      <c r="V9" s="39" t="str">
        <f ca="1">IF(R9&lt;&gt;"","様","")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7" t="str">
        <f ca="1">IF(OFFSET(変更先抽出【15時】!$A$1,W9-1,16)&lt;&gt;"",OFFSET(変更先抽出【15時】!$A$1,W9-1,17),"")</f>
        <v/>
      </c>
      <c r="Z9" s="208"/>
      <c r="AA9" s="208"/>
      <c r="AB9" s="208"/>
      <c r="AC9" s="39" t="str">
        <f ca="1">IF(Y9&lt;&gt;"","様","")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7" t="str">
        <f ca="1">IF(OFFSET(変更先抽出【15時】!$A$1,AE9-1,16)&lt;&gt;"",OFFSET(変更先抽出【15時】!$A$1,AE9-1,17),"")</f>
        <v/>
      </c>
      <c r="AH9" s="208"/>
      <c r="AI9" s="208"/>
      <c r="AJ9" s="208"/>
      <c r="AK9" s="39" t="str">
        <f ca="1">IF(AG9&lt;&gt;"","様","")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7" t="str">
        <f ca="1">IF(OFFSET(変更先抽出【15時】!$A$1,AL9-1,16)&lt;&gt;"",OFFSET(変更先抽出【15時】!$A$1,AL9-1,17),"")</f>
        <v/>
      </c>
      <c r="AO9" s="208"/>
      <c r="AP9" s="208"/>
      <c r="AQ9" s="208"/>
      <c r="AR9" s="39" t="str">
        <f ca="1">IF(AN9&lt;&gt;"","様","")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7" t="str">
        <f ca="1">IF(OFFSET(変更先抽出【15時】!$A$1,AT9-1,16)&lt;&gt;"",OFFSET(変更先抽出【15時】!$A$1,AT9-1,17),"")</f>
        <v/>
      </c>
      <c r="AW9" s="208"/>
      <c r="AX9" s="208"/>
      <c r="AY9" s="208"/>
      <c r="AZ9" s="39" t="str">
        <f ca="1">IF(AV9&lt;&gt;"","様","")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7" t="str">
        <f ca="1">IF(OFFSET(変更先抽出【15時】!$A$1,BA9-1,16)&lt;&gt;"",OFFSET(変更先抽出【15時】!$A$1,BA9-1,17),"")</f>
        <v/>
      </c>
      <c r="BD9" s="208"/>
      <c r="BE9" s="208"/>
      <c r="BF9" s="208"/>
      <c r="BG9" s="39" t="str">
        <f ca="1">IF(BC9&lt;&gt;"","様","")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7" t="str">
        <f ca="1">IF(OFFSET(変更先抽出【15時】!$A$1,BI9-1,16)&lt;&gt;"",OFFSET(変更先抽出【15時】!$A$1,BI9-1,17),"")</f>
        <v/>
      </c>
      <c r="BL9" s="208"/>
      <c r="BM9" s="208"/>
      <c r="BN9" s="208"/>
      <c r="BO9" s="39" t="str">
        <f ca="1">IF(BK9&lt;&gt;"","様","")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7" t="str">
        <f ca="1">IF(OFFSET(変更先抽出【15時】!$A$1,BP9-1,16)&lt;&gt;"",OFFSET(変更先抽出【15時】!$A$1,BP9-1,17),"")</f>
        <v/>
      </c>
      <c r="BS9" s="208"/>
      <c r="BT9" s="208"/>
      <c r="BU9" s="208"/>
      <c r="BV9" s="39" t="str">
        <f ca="1">IF(BR9&lt;&gt;"","様","")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7" t="str">
        <f ca="1">IF(OFFSET(変更先抽出【15時】!$A$1,BX9-1,16)&lt;&gt;"",OFFSET(変更先抽出【15時】!$A$1,BX9-1,17),"")</f>
        <v/>
      </c>
      <c r="CA9" s="208"/>
      <c r="CB9" s="208"/>
      <c r="CC9" s="208"/>
      <c r="CD9" s="39" t="str">
        <f ca="1">IF(BZ9&lt;&gt;"","様","")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7" t="str">
        <f ca="1">IF(OFFSET(変更先抽出【15時】!$A$1,CE9-1,16)&lt;&gt;"",OFFSET(変更先抽出【15時】!$A$1,CE9-1,17),"")</f>
        <v/>
      </c>
      <c r="CH9" s="208"/>
      <c r="CI9" s="208"/>
      <c r="CJ9" s="208"/>
      <c r="CK9" s="39" t="str">
        <f ca="1">IF(CG9&lt;&gt;"","様","")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7" t="str">
        <f ca="1">IF(OFFSET(変更先抽出【15時】!$A$1,CM9-1,16)&lt;&gt;"",OFFSET(変更先抽出【15時】!$A$1,CM9-1,17),"")</f>
        <v/>
      </c>
      <c r="CP9" s="208"/>
      <c r="CQ9" s="208"/>
      <c r="CR9" s="208"/>
      <c r="CS9" s="39" t="str">
        <f ca="1">IF(CO9&lt;&gt;"","様","")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7" t="str">
        <f ca="1">IF(OFFSET(変更先抽出【15時】!$A$1,CT9-1,16)&lt;&gt;"",OFFSET(変更先抽出【15時】!$A$1,CT9-1,17),"")</f>
        <v/>
      </c>
      <c r="CW9" s="208"/>
      <c r="CX9" s="208"/>
      <c r="CY9" s="208"/>
      <c r="CZ9" s="39" t="str">
        <f ca="1">IF(CV9&lt;&gt;"","様","")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7" t="str">
        <f ca="1">IF(OFFSET(変更先抽出【15時】!$A$1,DB9-1,16)&lt;&gt;"",OFFSET(変更先抽出【15時】!$A$1,DB9-1,17),"")</f>
        <v/>
      </c>
      <c r="DE9" s="208"/>
      <c r="DF9" s="208"/>
      <c r="DG9" s="208"/>
      <c r="DH9" s="39" t="str">
        <f ca="1">IF(DD9&lt;&gt;"","様","")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7" t="str">
        <f ca="1">IF(OFFSET(変更先抽出【15時】!$A$1,DI9-1,16)&lt;&gt;"",OFFSET(変更先抽出【15時】!$A$1,DI9-1,17),"")</f>
        <v/>
      </c>
      <c r="DL9" s="208"/>
      <c r="DM9" s="208"/>
      <c r="DN9" s="208"/>
      <c r="DO9" s="39" t="str">
        <f ca="1">IF(DK9&lt;&gt;"","様","")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7" t="str">
        <f ca="1">IF(OFFSET(変更先抽出【15時】!$A$1,DQ9-1,16)&lt;&gt;"",OFFSET(変更先抽出【15時】!$A$1,DQ9-1,17),"")</f>
        <v/>
      </c>
      <c r="DT9" s="208"/>
      <c r="DU9" s="208"/>
      <c r="DV9" s="208"/>
      <c r="DW9" s="39" t="str">
        <f ca="1">IF(DS9&lt;&gt;"","様","")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7" t="str">
        <f ca="1">IF(OFFSET(変更先抽出【15時】!$A$1,DX9-1,16)&lt;&gt;"",OFFSET(変更先抽出【15時】!$A$1,DX9-1,17),"")</f>
        <v/>
      </c>
      <c r="EA9" s="208"/>
      <c r="EB9" s="208"/>
      <c r="EC9" s="208"/>
      <c r="ED9" s="39" t="str">
        <f ca="1">IF(DZ9&lt;&gt;"","様","")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7" t="str">
        <f ca="1">IF(OFFSET(変更先抽出【15時】!$A$1,EF9-1,16)&lt;&gt;"",OFFSET(変更先抽出【15時】!$A$1,EF9-1,17),"")</f>
        <v/>
      </c>
      <c r="EI9" s="208"/>
      <c r="EJ9" s="208"/>
      <c r="EK9" s="208"/>
      <c r="EL9" s="39" t="str">
        <f ca="1">IF(EH9&lt;&gt;"","様","")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7" t="str">
        <f ca="1">IF(OFFSET(変更先抽出【15時】!$A$1,EM9-1,16)&lt;&gt;"",OFFSET(変更先抽出【15時】!$A$1,EM9-1,17),"")</f>
        <v/>
      </c>
      <c r="EP9" s="208"/>
      <c r="EQ9" s="208"/>
      <c r="ER9" s="208"/>
      <c r="ES9" s="39" t="str">
        <f ca="1">IF(EO9&lt;&gt;"","様","")</f>
        <v/>
      </c>
      <c r="ET9" s="22"/>
    </row>
    <row r="10" spans="1:150" s="180" customFormat="1">
      <c r="A10" s="30"/>
      <c r="B10" s="103"/>
      <c r="C10" s="138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8" t="str">
        <f ca="1">IF(J9&lt;&gt;"",OFFSET(変更先抽出【15時】!$A$1,H9-1,18),"")</f>
        <v/>
      </c>
      <c r="K10" s="38"/>
      <c r="L10" s="38"/>
      <c r="M10" s="192" t="str">
        <f ca="1">IF(OFFSET(変更先抽出【15時】!$A$1,H9-1,25)&lt;&gt;"",OFFSET(変更先抽出【15時】!$A$1,H9-1,25)&amp;"箱"&amp;OFFSET(変更先抽出【15時】!$A$1,H9-1,26),"")</f>
        <v/>
      </c>
      <c r="N10" s="36"/>
      <c r="O10" s="22"/>
      <c r="P10" s="30"/>
      <c r="Q10" s="103"/>
      <c r="R10" s="138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8" t="str">
        <f ca="1">IF(Y9&lt;&gt;"",OFFSET(変更先抽出【15時】!$A$1,W9-1,18),"")</f>
        <v/>
      </c>
      <c r="Z10" s="38"/>
      <c r="AA10" s="38"/>
      <c r="AB10" s="192" t="str">
        <f ca="1">IF(OFFSET(変更先抽出【15時】!$A$1,W9-1,25)&lt;&gt;"",OFFSET(変更先抽出【15時】!$A$1,W9-1,25)&amp;"箱"&amp;OFFSET(変更先抽出【15時】!$A$1,W9-1,26),"")</f>
        <v/>
      </c>
      <c r="AC10" s="36"/>
      <c r="AD10" s="22"/>
      <c r="AE10" s="30"/>
      <c r="AF10" s="103"/>
      <c r="AG10" s="138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8" t="str">
        <f ca="1">IF(AN9&lt;&gt;"",OFFSET(変更先抽出【15時】!$A$1,AL9-1,18),"")</f>
        <v/>
      </c>
      <c r="AO10" s="38"/>
      <c r="AP10" s="38"/>
      <c r="AQ10" s="192" t="str">
        <f ca="1">IF(OFFSET(変更先抽出【15時】!$A$1,AL9-1,25)&lt;&gt;"",OFFSET(変更先抽出【15時】!$A$1,AL9-1,25)&amp;"箱"&amp;OFFSET(変更先抽出【15時】!$A$1,AL9-1,26),"")</f>
        <v/>
      </c>
      <c r="AR10" s="36"/>
      <c r="AS10" s="22"/>
      <c r="AT10" s="30"/>
      <c r="AU10" s="103"/>
      <c r="AV10" s="138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8" t="str">
        <f ca="1">IF(BC9&lt;&gt;"",OFFSET(変更先抽出【15時】!$A$1,BA9-1,18),"")</f>
        <v/>
      </c>
      <c r="BD10" s="38"/>
      <c r="BE10" s="38"/>
      <c r="BF10" s="192" t="str">
        <f ca="1">IF(OFFSET(変更先抽出【15時】!$A$1,BA9-1,25)&lt;&gt;"",OFFSET(変更先抽出【15時】!$A$1,BA9-1,25)&amp;"箱"&amp;OFFSET(変更先抽出【15時】!$A$1,BA9-1,26),"")</f>
        <v/>
      </c>
      <c r="BG10" s="36"/>
      <c r="BH10" s="22"/>
      <c r="BI10" s="30"/>
      <c r="BJ10" s="103"/>
      <c r="BK10" s="138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8" t="str">
        <f ca="1">IF(BR9&lt;&gt;"",OFFSET(変更先抽出【15時】!$A$1,BP9-1,18),"")</f>
        <v/>
      </c>
      <c r="BS10" s="38"/>
      <c r="BT10" s="38"/>
      <c r="BU10" s="192" t="str">
        <f ca="1">IF(OFFSET(変更先抽出【15時】!$A$1,BP9-1,25)&lt;&gt;"",OFFSET(変更先抽出【15時】!$A$1,BP9-1,25)&amp;"箱"&amp;OFFSET(変更先抽出【15時】!$A$1,BP9-1,26),"")</f>
        <v/>
      </c>
      <c r="BV10" s="36"/>
      <c r="BW10" s="22"/>
      <c r="BX10" s="30"/>
      <c r="BY10" s="103"/>
      <c r="BZ10" s="138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8" t="str">
        <f ca="1">IF(CG9&lt;&gt;"",OFFSET(変更先抽出【15時】!$A$1,CE9-1,18),"")</f>
        <v/>
      </c>
      <c r="CH10" s="38"/>
      <c r="CI10" s="38"/>
      <c r="CJ10" s="192" t="str">
        <f ca="1">IF(OFFSET(変更先抽出【15時】!$A$1,CE9-1,25)&lt;&gt;"",OFFSET(変更先抽出【15時】!$A$1,CE9-1,25)&amp;"箱"&amp;OFFSET(変更先抽出【15時】!$A$1,CE9-1,26),"")</f>
        <v/>
      </c>
      <c r="CK10" s="36"/>
      <c r="CL10" s="22"/>
      <c r="CM10" s="30"/>
      <c r="CN10" s="103"/>
      <c r="CO10" s="138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8" t="str">
        <f ca="1">IF(CV9&lt;&gt;"",OFFSET(変更先抽出【15時】!$A$1,CT9-1,18),"")</f>
        <v/>
      </c>
      <c r="CW10" s="38"/>
      <c r="CX10" s="38"/>
      <c r="CY10" s="192" t="str">
        <f ca="1">IF(OFFSET(変更先抽出【15時】!$A$1,CT9-1,25)&lt;&gt;"",OFFSET(変更先抽出【15時】!$A$1,CT9-1,25)&amp;"箱"&amp;OFFSET(変更先抽出【15時】!$A$1,CT9-1,26),"")</f>
        <v/>
      </c>
      <c r="CZ10" s="36"/>
      <c r="DA10" s="22"/>
      <c r="DB10" s="30"/>
      <c r="DC10" s="103"/>
      <c r="DD10" s="138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8" t="str">
        <f ca="1">IF(DK9&lt;&gt;"",OFFSET(変更先抽出【15時】!$A$1,DI9-1,18),"")</f>
        <v/>
      </c>
      <c r="DL10" s="38"/>
      <c r="DM10" s="38"/>
      <c r="DN10" s="192" t="str">
        <f ca="1">IF(OFFSET(変更先抽出【15時】!$A$1,DI9-1,25)&lt;&gt;"",OFFSET(変更先抽出【15時】!$A$1,DI9-1,25)&amp;"箱"&amp;OFFSET(変更先抽出【15時】!$A$1,DI9-1,26),"")</f>
        <v/>
      </c>
      <c r="DO10" s="36"/>
      <c r="DP10" s="22"/>
      <c r="DQ10" s="30"/>
      <c r="DR10" s="103"/>
      <c r="DS10" s="138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8" t="str">
        <f ca="1">IF(DZ9&lt;&gt;"",OFFSET(変更先抽出【15時】!$A$1,DX9-1,18),"")</f>
        <v/>
      </c>
      <c r="EA10" s="38"/>
      <c r="EB10" s="38"/>
      <c r="EC10" s="192" t="str">
        <f ca="1">IF(OFFSET(変更先抽出【15時】!$A$1,DX9-1,25)&lt;&gt;"",OFFSET(変更先抽出【15時】!$A$1,DX9-1,25)&amp;"箱"&amp;OFFSET(変更先抽出【15時】!$A$1,DX9-1,26),"")</f>
        <v/>
      </c>
      <c r="ED10" s="36"/>
      <c r="EE10" s="22"/>
      <c r="EF10" s="30"/>
      <c r="EG10" s="103"/>
      <c r="EH10" s="138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8" t="str">
        <f ca="1">IF(EO9&lt;&gt;"",OFFSET(変更先抽出【15時】!$A$1,EM9-1,18),"")</f>
        <v/>
      </c>
      <c r="EP10" s="38"/>
      <c r="EQ10" s="38"/>
      <c r="ER10" s="192" t="str">
        <f ca="1">IF(OFFSET(変更先抽出【15時】!$A$1,EM9-1,25)&lt;&gt;"",OFFSET(変更先抽出【15時】!$A$1,EM9-1,25)&amp;"箱"&amp;OFFSET(変更先抽出【15時】!$A$1,EM9-1,26),"")</f>
        <v/>
      </c>
      <c r="ES10" s="36"/>
      <c r="ET10" s="22"/>
    </row>
    <row r="11" spans="1:150" s="180" customFormat="1">
      <c r="A11" s="30"/>
      <c r="B11" s="31"/>
      <c r="C11" s="205" t="str">
        <f ca="1">IF(C9&lt;&gt;"","園児","")</f>
        <v/>
      </c>
      <c r="D11" s="206"/>
      <c r="E11" s="22"/>
      <c r="F11" s="137" t="str">
        <f ca="1">IF(C9&lt;&gt;"","先生","")</f>
        <v/>
      </c>
      <c r="G11" s="37"/>
      <c r="H11" s="33"/>
      <c r="I11" s="31"/>
      <c r="J11" s="205" t="str">
        <f ca="1">IF(J9&lt;&gt;"","園児","")</f>
        <v/>
      </c>
      <c r="K11" s="206"/>
      <c r="L11" s="22"/>
      <c r="M11" s="137" t="str">
        <f ca="1">IF(J9&lt;&gt;"","先生","")</f>
        <v/>
      </c>
      <c r="N11" s="37"/>
      <c r="O11" s="22"/>
      <c r="P11" s="30"/>
      <c r="Q11" s="31"/>
      <c r="R11" s="205" t="str">
        <f ca="1">IF(R9&lt;&gt;"","園児","")</f>
        <v/>
      </c>
      <c r="S11" s="206"/>
      <c r="T11" s="22"/>
      <c r="U11" s="137" t="str">
        <f ca="1">IF(R9&lt;&gt;"","先生","")</f>
        <v/>
      </c>
      <c r="V11" s="37"/>
      <c r="W11" s="33"/>
      <c r="X11" s="31"/>
      <c r="Y11" s="205" t="str">
        <f ca="1">IF(Y9&lt;&gt;"","園児","")</f>
        <v/>
      </c>
      <c r="Z11" s="206"/>
      <c r="AA11" s="22"/>
      <c r="AB11" s="137" t="str">
        <f ca="1">IF(Y9&lt;&gt;"","先生","")</f>
        <v/>
      </c>
      <c r="AC11" s="37"/>
      <c r="AD11" s="22"/>
      <c r="AE11" s="30"/>
      <c r="AF11" s="31"/>
      <c r="AG11" s="205" t="str">
        <f ca="1">IF(AG9&lt;&gt;"","園児","")</f>
        <v/>
      </c>
      <c r="AH11" s="206"/>
      <c r="AI11" s="22"/>
      <c r="AJ11" s="137" t="str">
        <f ca="1">IF(AG9&lt;&gt;"","先生","")</f>
        <v/>
      </c>
      <c r="AK11" s="37"/>
      <c r="AL11" s="33"/>
      <c r="AM11" s="31"/>
      <c r="AN11" s="205" t="str">
        <f ca="1">IF(AN9&lt;&gt;"","園児","")</f>
        <v/>
      </c>
      <c r="AO11" s="206"/>
      <c r="AP11" s="22"/>
      <c r="AQ11" s="137" t="str">
        <f ca="1">IF(AN9&lt;&gt;"","先生","")</f>
        <v/>
      </c>
      <c r="AR11" s="37"/>
      <c r="AS11" s="22"/>
      <c r="AT11" s="30"/>
      <c r="AU11" s="31"/>
      <c r="AV11" s="205" t="str">
        <f ca="1">IF(AV9&lt;&gt;"","園児","")</f>
        <v/>
      </c>
      <c r="AW11" s="206"/>
      <c r="AX11" s="22"/>
      <c r="AY11" s="137" t="str">
        <f ca="1">IF(AV9&lt;&gt;"","先生","")</f>
        <v/>
      </c>
      <c r="AZ11" s="37"/>
      <c r="BA11" s="33"/>
      <c r="BB11" s="31"/>
      <c r="BC11" s="205" t="str">
        <f ca="1">IF(BC9&lt;&gt;"","園児","")</f>
        <v/>
      </c>
      <c r="BD11" s="206"/>
      <c r="BE11" s="22"/>
      <c r="BF11" s="137" t="str">
        <f ca="1">IF(BC9&lt;&gt;"","先生","")</f>
        <v/>
      </c>
      <c r="BG11" s="37"/>
      <c r="BH11" s="22"/>
      <c r="BI11" s="30"/>
      <c r="BJ11" s="31"/>
      <c r="BK11" s="205" t="str">
        <f ca="1">IF(BK9&lt;&gt;"","園児","")</f>
        <v/>
      </c>
      <c r="BL11" s="206"/>
      <c r="BM11" s="22"/>
      <c r="BN11" s="137" t="str">
        <f ca="1">IF(BK9&lt;&gt;"","先生","")</f>
        <v/>
      </c>
      <c r="BO11" s="37"/>
      <c r="BP11" s="33"/>
      <c r="BQ11" s="31"/>
      <c r="BR11" s="205" t="str">
        <f ca="1">IF(BR9&lt;&gt;"","園児","")</f>
        <v/>
      </c>
      <c r="BS11" s="206"/>
      <c r="BT11" s="22"/>
      <c r="BU11" s="137" t="str">
        <f ca="1">IF(BR9&lt;&gt;"","先生","")</f>
        <v/>
      </c>
      <c r="BV11" s="37"/>
      <c r="BW11" s="22"/>
      <c r="BX11" s="30"/>
      <c r="BY11" s="31"/>
      <c r="BZ11" s="205" t="str">
        <f ca="1">IF(BZ9&lt;&gt;"","園児","")</f>
        <v/>
      </c>
      <c r="CA11" s="206"/>
      <c r="CB11" s="22"/>
      <c r="CC11" s="137" t="str">
        <f ca="1">IF(BZ9&lt;&gt;"","先生","")</f>
        <v/>
      </c>
      <c r="CD11" s="37"/>
      <c r="CE11" s="33"/>
      <c r="CF11" s="31"/>
      <c r="CG11" s="205" t="str">
        <f ca="1">IF(CG9&lt;&gt;"","園児","")</f>
        <v/>
      </c>
      <c r="CH11" s="206"/>
      <c r="CI11" s="22"/>
      <c r="CJ11" s="137" t="str">
        <f ca="1">IF(CG9&lt;&gt;"","先生","")</f>
        <v/>
      </c>
      <c r="CK11" s="37"/>
      <c r="CL11" s="22"/>
      <c r="CM11" s="30"/>
      <c r="CN11" s="31"/>
      <c r="CO11" s="205" t="str">
        <f ca="1">IF(CO9&lt;&gt;"","園児","")</f>
        <v/>
      </c>
      <c r="CP11" s="206"/>
      <c r="CQ11" s="22"/>
      <c r="CR11" s="137" t="str">
        <f ca="1">IF(CO9&lt;&gt;"","先生","")</f>
        <v/>
      </c>
      <c r="CS11" s="37"/>
      <c r="CT11" s="33"/>
      <c r="CU11" s="31"/>
      <c r="CV11" s="205" t="str">
        <f ca="1">IF(CV9&lt;&gt;"","園児","")</f>
        <v/>
      </c>
      <c r="CW11" s="206"/>
      <c r="CX11" s="22"/>
      <c r="CY11" s="137" t="str">
        <f ca="1">IF(CV9&lt;&gt;"","先生","")</f>
        <v/>
      </c>
      <c r="CZ11" s="37"/>
      <c r="DA11" s="22"/>
      <c r="DB11" s="30"/>
      <c r="DC11" s="31"/>
      <c r="DD11" s="205" t="str">
        <f ca="1">IF(DD9&lt;&gt;"","園児","")</f>
        <v/>
      </c>
      <c r="DE11" s="206"/>
      <c r="DF11" s="22"/>
      <c r="DG11" s="137" t="str">
        <f ca="1">IF(DD9&lt;&gt;"","先生","")</f>
        <v/>
      </c>
      <c r="DH11" s="37"/>
      <c r="DI11" s="33"/>
      <c r="DJ11" s="31"/>
      <c r="DK11" s="205" t="str">
        <f ca="1">IF(DK9&lt;&gt;"","園児","")</f>
        <v/>
      </c>
      <c r="DL11" s="206"/>
      <c r="DM11" s="22"/>
      <c r="DN11" s="137" t="str">
        <f ca="1">IF(DK9&lt;&gt;"","先生","")</f>
        <v/>
      </c>
      <c r="DO11" s="37"/>
      <c r="DP11" s="22"/>
      <c r="DQ11" s="30"/>
      <c r="DR11" s="31"/>
      <c r="DS11" s="205" t="str">
        <f ca="1">IF(DS9&lt;&gt;"","園児","")</f>
        <v/>
      </c>
      <c r="DT11" s="206"/>
      <c r="DU11" s="22"/>
      <c r="DV11" s="137" t="str">
        <f ca="1">IF(DS9&lt;&gt;"","先生","")</f>
        <v/>
      </c>
      <c r="DW11" s="37"/>
      <c r="DX11" s="33"/>
      <c r="DY11" s="31"/>
      <c r="DZ11" s="205" t="str">
        <f ca="1">IF(DZ9&lt;&gt;"","園児","")</f>
        <v/>
      </c>
      <c r="EA11" s="206"/>
      <c r="EB11" s="22"/>
      <c r="EC11" s="137" t="str">
        <f ca="1">IF(DZ9&lt;&gt;"","先生","")</f>
        <v/>
      </c>
      <c r="ED11" s="37"/>
      <c r="EE11" s="22"/>
      <c r="EF11" s="30"/>
      <c r="EG11" s="31"/>
      <c r="EH11" s="205" t="str">
        <f ca="1">IF(EH9&lt;&gt;"","園児","")</f>
        <v/>
      </c>
      <c r="EI11" s="206"/>
      <c r="EJ11" s="22"/>
      <c r="EK11" s="137" t="str">
        <f ca="1">IF(EH9&lt;&gt;"","先生","")</f>
        <v/>
      </c>
      <c r="EL11" s="37"/>
      <c r="EM11" s="33"/>
      <c r="EN11" s="31"/>
      <c r="EO11" s="205" t="str">
        <f ca="1">IF(EO9&lt;&gt;"","園児","")</f>
        <v/>
      </c>
      <c r="EP11" s="206"/>
      <c r="EQ11" s="22"/>
      <c r="ER11" s="137" t="str">
        <f ca="1">IF(EO9&lt;&gt;"","先生","")</f>
        <v/>
      </c>
      <c r="ES11" s="37"/>
      <c r="ET11" s="22"/>
    </row>
    <row r="12" spans="1:150" ht="15.6" customHeight="1">
      <c r="B12" s="25"/>
      <c r="C12" s="203" t="str">
        <f ca="1">IF(C9&lt;&gt;"",OFFSET(変更先抽出【15時】!$A$1,A9-1,19),"")</f>
        <v/>
      </c>
      <c r="D12" s="204"/>
      <c r="E12" s="44"/>
      <c r="F12" s="199" t="str">
        <f ca="1">IF(C9&lt;&gt;"",OFFSET(変更先抽出【15時】!$A$1,A9-1,20),"")</f>
        <v/>
      </c>
      <c r="G12" s="200"/>
      <c r="H12" s="26"/>
      <c r="I12" s="25"/>
      <c r="J12" s="203" t="str">
        <f ca="1">IF(J9&lt;&gt;"",OFFSET(変更先抽出【15時】!$A$1,H9-1,19),"")</f>
        <v/>
      </c>
      <c r="K12" s="204"/>
      <c r="L12" s="44"/>
      <c r="M12" s="199" t="str">
        <f ca="1">IF(J9&lt;&gt;"",OFFSET(変更先抽出【15時】!$A$1,H9-1,20),"")</f>
        <v/>
      </c>
      <c r="N12" s="200"/>
      <c r="Q12" s="25"/>
      <c r="R12" s="203" t="str">
        <f ca="1">IF(R9&lt;&gt;"",OFFSET(変更先抽出【15時】!$A$1,P9-1,19),"")</f>
        <v/>
      </c>
      <c r="S12" s="204"/>
      <c r="T12" s="44"/>
      <c r="U12" s="199" t="str">
        <f ca="1">IF(R9&lt;&gt;"",OFFSET(変更先抽出【15時】!$A$1,P9-1,20),"")</f>
        <v/>
      </c>
      <c r="V12" s="200"/>
      <c r="W12" s="26"/>
      <c r="X12" s="25"/>
      <c r="Y12" s="203" t="str">
        <f ca="1">IF(Y9&lt;&gt;"",OFFSET(変更先抽出【15時】!$A$1,W9-1,19),"")</f>
        <v/>
      </c>
      <c r="Z12" s="204"/>
      <c r="AA12" s="44"/>
      <c r="AB12" s="199" t="str">
        <f ca="1">IF(Y9&lt;&gt;"",OFFSET(変更先抽出【15時】!$A$1,W9-1,20),"")</f>
        <v/>
      </c>
      <c r="AC12" s="200"/>
      <c r="AF12" s="25"/>
      <c r="AG12" s="203" t="str">
        <f ca="1">IF(AG9&lt;&gt;"",OFFSET(変更先抽出【15時】!$A$1,AE9-1,19),"")</f>
        <v/>
      </c>
      <c r="AH12" s="204"/>
      <c r="AI12" s="44"/>
      <c r="AJ12" s="199" t="str">
        <f ca="1">IF(AG9&lt;&gt;"",OFFSET(変更先抽出【15時】!$A$1,AE9-1,20),"")</f>
        <v/>
      </c>
      <c r="AK12" s="200"/>
      <c r="AL12" s="26"/>
      <c r="AM12" s="25"/>
      <c r="AN12" s="203" t="str">
        <f ca="1">IF(AN9&lt;&gt;"",OFFSET(変更先抽出【15時】!$A$1,AL9-1,19),"")</f>
        <v/>
      </c>
      <c r="AO12" s="204"/>
      <c r="AP12" s="44"/>
      <c r="AQ12" s="199" t="str">
        <f ca="1">IF(AN9&lt;&gt;"",OFFSET(変更先抽出【15時】!$A$1,AL9-1,20),"")</f>
        <v/>
      </c>
      <c r="AR12" s="200"/>
      <c r="AU12" s="25"/>
      <c r="AV12" s="203" t="str">
        <f ca="1">IF(AV9&lt;&gt;"",OFFSET(変更先抽出【15時】!$A$1,AT9-1,19),"")</f>
        <v/>
      </c>
      <c r="AW12" s="204"/>
      <c r="AX12" s="44"/>
      <c r="AY12" s="199" t="str">
        <f ca="1">IF(AV9&lt;&gt;"",OFFSET(変更先抽出【15時】!$A$1,AT9-1,20),"")</f>
        <v/>
      </c>
      <c r="AZ12" s="200"/>
      <c r="BA12" s="26"/>
      <c r="BB12" s="25"/>
      <c r="BC12" s="203" t="str">
        <f ca="1">IF(BC9&lt;&gt;"",OFFSET(変更先抽出【15時】!$A$1,BA9-1,19),"")</f>
        <v/>
      </c>
      <c r="BD12" s="204"/>
      <c r="BE12" s="44"/>
      <c r="BF12" s="199" t="str">
        <f ca="1">IF(BC9&lt;&gt;"",OFFSET(変更先抽出【15時】!$A$1,BA9-1,20),"")</f>
        <v/>
      </c>
      <c r="BG12" s="200"/>
      <c r="BJ12" s="25"/>
      <c r="BK12" s="203" t="str">
        <f ca="1">IF(BK9&lt;&gt;"",OFFSET(変更先抽出【15時】!$A$1,BI9-1,19),"")</f>
        <v/>
      </c>
      <c r="BL12" s="204"/>
      <c r="BM12" s="44"/>
      <c r="BN12" s="199" t="str">
        <f ca="1">IF(BK9&lt;&gt;"",OFFSET(変更先抽出【15時】!$A$1,BI9-1,20),"")</f>
        <v/>
      </c>
      <c r="BO12" s="200"/>
      <c r="BP12" s="26"/>
      <c r="BQ12" s="25"/>
      <c r="BR12" s="203" t="str">
        <f ca="1">IF(BR9&lt;&gt;"",OFFSET(変更先抽出【15時】!$A$1,BP9-1,19),"")</f>
        <v/>
      </c>
      <c r="BS12" s="204"/>
      <c r="BT12" s="44"/>
      <c r="BU12" s="199" t="str">
        <f ca="1">IF(BR9&lt;&gt;"",OFFSET(変更先抽出【15時】!$A$1,BP9-1,20),"")</f>
        <v/>
      </c>
      <c r="BV12" s="200"/>
      <c r="BY12" s="25"/>
      <c r="BZ12" s="203" t="str">
        <f ca="1">IF(BZ9&lt;&gt;"",OFFSET(変更先抽出【15時】!$A$1,BX9-1,19),"")</f>
        <v/>
      </c>
      <c r="CA12" s="204"/>
      <c r="CB12" s="44"/>
      <c r="CC12" s="199" t="str">
        <f ca="1">IF(BZ9&lt;&gt;"",OFFSET(変更先抽出【15時】!$A$1,BX9-1,20),"")</f>
        <v/>
      </c>
      <c r="CD12" s="200"/>
      <c r="CE12" s="26"/>
      <c r="CF12" s="25"/>
      <c r="CG12" s="203" t="str">
        <f ca="1">IF(CG9&lt;&gt;"",OFFSET(変更先抽出【15時】!$A$1,CE9-1,19),"")</f>
        <v/>
      </c>
      <c r="CH12" s="204"/>
      <c r="CI12" s="44"/>
      <c r="CJ12" s="199" t="str">
        <f ca="1">IF(CG9&lt;&gt;"",OFFSET(変更先抽出【15時】!$A$1,CE9-1,20),"")</f>
        <v/>
      </c>
      <c r="CK12" s="200"/>
      <c r="CN12" s="25"/>
      <c r="CO12" s="203" t="str">
        <f ca="1">IF(CO9&lt;&gt;"",OFFSET(変更先抽出【15時】!$A$1,CM9-1,19),"")</f>
        <v/>
      </c>
      <c r="CP12" s="204"/>
      <c r="CQ12" s="44"/>
      <c r="CR12" s="199" t="str">
        <f ca="1">IF(CO9&lt;&gt;"",OFFSET(変更先抽出【15時】!$A$1,CM9-1,20),"")</f>
        <v/>
      </c>
      <c r="CS12" s="200"/>
      <c r="CT12" s="26"/>
      <c r="CU12" s="25"/>
      <c r="CV12" s="203" t="str">
        <f ca="1">IF(CV9&lt;&gt;"",OFFSET(変更先抽出【15時】!$A$1,CT9-1,19),"")</f>
        <v/>
      </c>
      <c r="CW12" s="204"/>
      <c r="CX12" s="44"/>
      <c r="CY12" s="199" t="str">
        <f ca="1">IF(CV9&lt;&gt;"",OFFSET(変更先抽出【15時】!$A$1,CT9-1,20),"")</f>
        <v/>
      </c>
      <c r="CZ12" s="200"/>
      <c r="DC12" s="25"/>
      <c r="DD12" s="203" t="str">
        <f ca="1">IF(DD9&lt;&gt;"",OFFSET(変更先抽出【15時】!$A$1,DB9-1,19),"")</f>
        <v/>
      </c>
      <c r="DE12" s="204"/>
      <c r="DF12" s="44"/>
      <c r="DG12" s="199" t="str">
        <f ca="1">IF(DD9&lt;&gt;"",OFFSET(変更先抽出【15時】!$A$1,DB9-1,20),"")</f>
        <v/>
      </c>
      <c r="DH12" s="200"/>
      <c r="DI12" s="26"/>
      <c r="DJ12" s="25"/>
      <c r="DK12" s="203" t="str">
        <f ca="1">IF(DK9&lt;&gt;"",OFFSET(変更先抽出【15時】!$A$1,DI9-1,19),"")</f>
        <v/>
      </c>
      <c r="DL12" s="204"/>
      <c r="DM12" s="44"/>
      <c r="DN12" s="199" t="str">
        <f ca="1">IF(DK9&lt;&gt;"",OFFSET(変更先抽出【15時】!$A$1,DI9-1,20),"")</f>
        <v/>
      </c>
      <c r="DO12" s="200"/>
      <c r="DR12" s="25"/>
      <c r="DS12" s="203" t="str">
        <f ca="1">IF(DS9&lt;&gt;"",OFFSET(変更先抽出【15時】!$A$1,DQ9-1,19),"")</f>
        <v/>
      </c>
      <c r="DT12" s="204"/>
      <c r="DU12" s="44"/>
      <c r="DV12" s="199" t="str">
        <f ca="1">IF(DS9&lt;&gt;"",OFFSET(変更先抽出【15時】!$A$1,DQ9-1,20),"")</f>
        <v/>
      </c>
      <c r="DW12" s="200"/>
      <c r="DX12" s="26"/>
      <c r="DY12" s="25"/>
      <c r="DZ12" s="203" t="str">
        <f ca="1">IF(DZ9&lt;&gt;"",OFFSET(変更先抽出【15時】!$A$1,DX9-1,19),"")</f>
        <v/>
      </c>
      <c r="EA12" s="204"/>
      <c r="EB12" s="44"/>
      <c r="EC12" s="199" t="str">
        <f ca="1">IF(DZ9&lt;&gt;"",OFFSET(変更先抽出【15時】!$A$1,DX9-1,20),"")</f>
        <v/>
      </c>
      <c r="ED12" s="200"/>
      <c r="EG12" s="25"/>
      <c r="EH12" s="203" t="str">
        <f ca="1">IF(EH9&lt;&gt;"",OFFSET(変更先抽出【15時】!$A$1,EF9-1,19),"")</f>
        <v/>
      </c>
      <c r="EI12" s="204"/>
      <c r="EJ12" s="44"/>
      <c r="EK12" s="199" t="str">
        <f ca="1">IF(EH9&lt;&gt;"",OFFSET(変更先抽出【15時】!$A$1,EF9-1,20),"")</f>
        <v/>
      </c>
      <c r="EL12" s="200"/>
      <c r="EM12" s="26"/>
      <c r="EN12" s="25"/>
      <c r="EO12" s="203" t="str">
        <f ca="1">IF(EO9&lt;&gt;"",OFFSET(変更先抽出【15時】!$A$1,EM9-1,19),"")</f>
        <v/>
      </c>
      <c r="EP12" s="204"/>
      <c r="EQ12" s="44"/>
      <c r="ER12" s="199" t="str">
        <f ca="1">IF(EO9&lt;&gt;"",OFFSET(変更先抽出【15時】!$A$1,EM9-1,20),"")</f>
        <v/>
      </c>
      <c r="ES12" s="200"/>
    </row>
    <row r="13" spans="1:150" ht="15.6" customHeight="1">
      <c r="B13" s="27"/>
      <c r="C13" s="201"/>
      <c r="D13" s="201"/>
      <c r="E13" s="178"/>
      <c r="F13" s="201"/>
      <c r="G13" s="202"/>
      <c r="H13" s="26"/>
      <c r="I13" s="27"/>
      <c r="J13" s="201"/>
      <c r="K13" s="201"/>
      <c r="L13" s="178"/>
      <c r="M13" s="201"/>
      <c r="N13" s="202"/>
      <c r="Q13" s="27"/>
      <c r="R13" s="201"/>
      <c r="S13" s="201"/>
      <c r="T13" s="178"/>
      <c r="U13" s="201"/>
      <c r="V13" s="202"/>
      <c r="W13" s="26"/>
      <c r="X13" s="27"/>
      <c r="Y13" s="201"/>
      <c r="Z13" s="201"/>
      <c r="AA13" s="178"/>
      <c r="AB13" s="201"/>
      <c r="AC13" s="202"/>
      <c r="AF13" s="27"/>
      <c r="AG13" s="201"/>
      <c r="AH13" s="201"/>
      <c r="AI13" s="178"/>
      <c r="AJ13" s="201"/>
      <c r="AK13" s="202"/>
      <c r="AL13" s="26"/>
      <c r="AM13" s="27"/>
      <c r="AN13" s="201"/>
      <c r="AO13" s="201"/>
      <c r="AP13" s="178"/>
      <c r="AQ13" s="201"/>
      <c r="AR13" s="202"/>
      <c r="AU13" s="27"/>
      <c r="AV13" s="201"/>
      <c r="AW13" s="201"/>
      <c r="AX13" s="178"/>
      <c r="AY13" s="201"/>
      <c r="AZ13" s="202"/>
      <c r="BA13" s="26"/>
      <c r="BB13" s="27"/>
      <c r="BC13" s="201"/>
      <c r="BD13" s="201"/>
      <c r="BE13" s="178"/>
      <c r="BF13" s="201"/>
      <c r="BG13" s="202"/>
      <c r="BJ13" s="27"/>
      <c r="BK13" s="201"/>
      <c r="BL13" s="201"/>
      <c r="BM13" s="178"/>
      <c r="BN13" s="201"/>
      <c r="BO13" s="202"/>
      <c r="BP13" s="26"/>
      <c r="BQ13" s="27"/>
      <c r="BR13" s="201"/>
      <c r="BS13" s="201"/>
      <c r="BT13" s="178"/>
      <c r="BU13" s="201"/>
      <c r="BV13" s="202"/>
      <c r="BY13" s="27"/>
      <c r="BZ13" s="201"/>
      <c r="CA13" s="201"/>
      <c r="CB13" s="178"/>
      <c r="CC13" s="201"/>
      <c r="CD13" s="202"/>
      <c r="CE13" s="26"/>
      <c r="CF13" s="27"/>
      <c r="CG13" s="201"/>
      <c r="CH13" s="201"/>
      <c r="CI13" s="178"/>
      <c r="CJ13" s="201"/>
      <c r="CK13" s="202"/>
      <c r="CN13" s="27"/>
      <c r="CO13" s="201"/>
      <c r="CP13" s="201"/>
      <c r="CQ13" s="178"/>
      <c r="CR13" s="201"/>
      <c r="CS13" s="202"/>
      <c r="CT13" s="26"/>
      <c r="CU13" s="27"/>
      <c r="CV13" s="201"/>
      <c r="CW13" s="201"/>
      <c r="CX13" s="178"/>
      <c r="CY13" s="201"/>
      <c r="CZ13" s="202"/>
      <c r="DC13" s="27"/>
      <c r="DD13" s="201"/>
      <c r="DE13" s="201"/>
      <c r="DF13" s="178"/>
      <c r="DG13" s="201"/>
      <c r="DH13" s="202"/>
      <c r="DI13" s="26"/>
      <c r="DJ13" s="27"/>
      <c r="DK13" s="201"/>
      <c r="DL13" s="201"/>
      <c r="DM13" s="178"/>
      <c r="DN13" s="201"/>
      <c r="DO13" s="202"/>
      <c r="DR13" s="27"/>
      <c r="DS13" s="201"/>
      <c r="DT13" s="201"/>
      <c r="DU13" s="178"/>
      <c r="DV13" s="201"/>
      <c r="DW13" s="202"/>
      <c r="DX13" s="26"/>
      <c r="DY13" s="27"/>
      <c r="DZ13" s="201"/>
      <c r="EA13" s="201"/>
      <c r="EB13" s="178"/>
      <c r="EC13" s="201"/>
      <c r="ED13" s="202"/>
      <c r="EG13" s="27"/>
      <c r="EH13" s="201"/>
      <c r="EI13" s="201"/>
      <c r="EJ13" s="178"/>
      <c r="EK13" s="201"/>
      <c r="EL13" s="202"/>
      <c r="EM13" s="26"/>
      <c r="EN13" s="27"/>
      <c r="EO13" s="201"/>
      <c r="EP13" s="201"/>
      <c r="EQ13" s="178"/>
      <c r="ER13" s="201"/>
      <c r="ES13" s="202"/>
    </row>
    <row r="14" spans="1:150" s="180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IF(J9&lt;&gt;"",OFFSET(変更先抽出【15時】!$A$1,H9-1,22),"")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IF(Y9&lt;&gt;"",OFFSET(変更先抽出【15時】!$A$1,W9-1,22),"")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IF(AN9&lt;&gt;"",OFFSET(変更先抽出【15時】!$A$1,AL9-1,22),"")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IF(BC9&lt;&gt;"",OFFSET(変更先抽出【15時】!$A$1,BA9-1,22),"")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IF(BR9&lt;&gt;"",OFFSET(変更先抽出【15時】!$A$1,BP9-1,22),"")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IF(CG9&lt;&gt;"",OFFSET(変更先抽出【15時】!$A$1,CE9-1,22),"")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IF(CV9&lt;&gt;"",OFFSET(変更先抽出【15時】!$A$1,CT9-1,22),"")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IF(DK9&lt;&gt;"",OFFSET(変更先抽出【15時】!$A$1,DI9-1,22),"")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IF(DZ9&lt;&gt;"",OFFSET(変更先抽出【15時】!$A$1,DX9-1,22),"")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IF(EO9&lt;&gt;"",OFFSET(変更先抽出【15時】!$A$1,EM9-1,22),"")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09" t="str">
        <f ca="1">IF(C9&lt;&gt;"",IFERROR(INT(C12/C14),""),"")</f>
        <v/>
      </c>
      <c r="C15" s="202"/>
      <c r="D15" s="209" t="str">
        <f ca="1">IF(C9&lt;&gt;"",IFERROR(MOD(C12,C14),""),"")</f>
        <v/>
      </c>
      <c r="E15" s="202"/>
      <c r="F15" s="210" t="str">
        <f ca="1">IF(C9&lt;&gt;"",OFFSET(変更先抽出【15時】!$A$1,A9-1,21),"")</f>
        <v/>
      </c>
      <c r="G15" s="202"/>
      <c r="I15" s="209" t="str">
        <f ca="1">IF(J9&lt;&gt;"",IFERROR(INT(J12/J14),""),"")</f>
        <v/>
      </c>
      <c r="J15" s="202"/>
      <c r="K15" s="209" t="str">
        <f ca="1">IF(J9&lt;&gt;"",IFERROR(MOD(J12,J14),""),"")</f>
        <v/>
      </c>
      <c r="L15" s="202"/>
      <c r="M15" s="210" t="str">
        <f ca="1">IF(J9&lt;&gt;"",OFFSET(変更先抽出【15時】!$A$1,H9-1,21),"")</f>
        <v/>
      </c>
      <c r="N15" s="202"/>
      <c r="Q15" s="209" t="str">
        <f ca="1">IF(R9&lt;&gt;"",IFERROR(INT(R12/R14),""),"")</f>
        <v/>
      </c>
      <c r="R15" s="202"/>
      <c r="S15" s="209" t="str">
        <f ca="1">IF(R9&lt;&gt;"",IFERROR(MOD(R12,R14),""),"")</f>
        <v/>
      </c>
      <c r="T15" s="202"/>
      <c r="U15" s="210" t="str">
        <f ca="1">IF(R9&lt;&gt;"",OFFSET(変更先抽出【15時】!$A$1,P9-1,21),"")</f>
        <v/>
      </c>
      <c r="V15" s="202"/>
      <c r="X15" s="209" t="str">
        <f ca="1">IF(Y9&lt;&gt;"",IFERROR(INT(Y12/Y14),""),"")</f>
        <v/>
      </c>
      <c r="Y15" s="202"/>
      <c r="Z15" s="209" t="str">
        <f ca="1">IF(Y9&lt;&gt;"",IFERROR(MOD(Y12,Y14),""),"")</f>
        <v/>
      </c>
      <c r="AA15" s="202"/>
      <c r="AB15" s="210" t="str">
        <f ca="1">IF(Y9&lt;&gt;"",OFFSET(変更先抽出【15時】!$A$1,W9-1,21),"")</f>
        <v/>
      </c>
      <c r="AC15" s="202"/>
      <c r="AF15" s="209" t="str">
        <f ca="1">IF(AG9&lt;&gt;"",IFERROR(INT(AG12/AG14),""),"")</f>
        <v/>
      </c>
      <c r="AG15" s="202"/>
      <c r="AH15" s="209" t="str">
        <f ca="1">IF(AG9&lt;&gt;"",IFERROR(MOD(AG12,AG14),""),"")</f>
        <v/>
      </c>
      <c r="AI15" s="202"/>
      <c r="AJ15" s="210" t="str">
        <f ca="1">IF(AG9&lt;&gt;"",OFFSET(変更先抽出【15時】!$A$1,AE9-1,21),"")</f>
        <v/>
      </c>
      <c r="AK15" s="202"/>
      <c r="AM15" s="209" t="str">
        <f ca="1">IF(AN9&lt;&gt;"",IFERROR(INT(AN12/AN14),""),"")</f>
        <v/>
      </c>
      <c r="AN15" s="202"/>
      <c r="AO15" s="209" t="str">
        <f ca="1">IF(AN9&lt;&gt;"",IFERROR(MOD(AN12,AN14),""),"")</f>
        <v/>
      </c>
      <c r="AP15" s="202"/>
      <c r="AQ15" s="210" t="str">
        <f ca="1">IF(AN9&lt;&gt;"",OFFSET(変更先抽出【15時】!$A$1,AL9-1,21),"")</f>
        <v/>
      </c>
      <c r="AR15" s="202"/>
      <c r="AU15" s="209" t="str">
        <f ca="1">IF(AV9&lt;&gt;"",IFERROR(INT(AV12/AV14),""),"")</f>
        <v/>
      </c>
      <c r="AV15" s="202"/>
      <c r="AW15" s="209" t="str">
        <f ca="1">IF(AV9&lt;&gt;"",IFERROR(MOD(AV12,AV14),""),"")</f>
        <v/>
      </c>
      <c r="AX15" s="202"/>
      <c r="AY15" s="210" t="str">
        <f ca="1">IF(AV9&lt;&gt;"",OFFSET(変更先抽出【15時】!$A$1,AT9-1,21),"")</f>
        <v/>
      </c>
      <c r="AZ15" s="202"/>
      <c r="BB15" s="209" t="str">
        <f ca="1">IF(BC9&lt;&gt;"",IFERROR(INT(BC12/BC14),""),"")</f>
        <v/>
      </c>
      <c r="BC15" s="202"/>
      <c r="BD15" s="209" t="str">
        <f ca="1">IF(BC9&lt;&gt;"",IFERROR(MOD(BC12,BC14),""),"")</f>
        <v/>
      </c>
      <c r="BE15" s="202"/>
      <c r="BF15" s="210" t="str">
        <f ca="1">IF(BC9&lt;&gt;"",OFFSET(変更先抽出【15時】!$A$1,BA9-1,21),"")</f>
        <v/>
      </c>
      <c r="BG15" s="202"/>
      <c r="BJ15" s="209" t="str">
        <f ca="1">IF(BK9&lt;&gt;"",IFERROR(INT(BK12/BK14),""),"")</f>
        <v/>
      </c>
      <c r="BK15" s="202"/>
      <c r="BL15" s="209" t="str">
        <f ca="1">IF(BK9&lt;&gt;"",IFERROR(MOD(BK12,BK14),""),"")</f>
        <v/>
      </c>
      <c r="BM15" s="202"/>
      <c r="BN15" s="210" t="str">
        <f ca="1">IF(BK9&lt;&gt;"",OFFSET(変更先抽出【15時】!$A$1,BI9-1,21),"")</f>
        <v/>
      </c>
      <c r="BO15" s="202"/>
      <c r="BQ15" s="209" t="str">
        <f ca="1">IF(BR9&lt;&gt;"",IFERROR(INT(BR12/BR14),""),"")</f>
        <v/>
      </c>
      <c r="BR15" s="202"/>
      <c r="BS15" s="209" t="str">
        <f ca="1">IF(BR9&lt;&gt;"",IFERROR(MOD(BR12,BR14),""),"")</f>
        <v/>
      </c>
      <c r="BT15" s="202"/>
      <c r="BU15" s="210" t="str">
        <f ca="1">IF(BR9&lt;&gt;"",OFFSET(変更先抽出【15時】!$A$1,BP9-1,21),"")</f>
        <v/>
      </c>
      <c r="BV15" s="202"/>
      <c r="BY15" s="209" t="str">
        <f ca="1">IF(BZ9&lt;&gt;"",IFERROR(INT(BZ12/BZ14),""),"")</f>
        <v/>
      </c>
      <c r="BZ15" s="202"/>
      <c r="CA15" s="209" t="str">
        <f ca="1">IF(BZ9&lt;&gt;"",IFERROR(MOD(BZ12,BZ14),""),"")</f>
        <v/>
      </c>
      <c r="CB15" s="202"/>
      <c r="CC15" s="210" t="str">
        <f ca="1">IF(BZ9&lt;&gt;"",OFFSET(変更先抽出【15時】!$A$1,BX9-1,21),"")</f>
        <v/>
      </c>
      <c r="CD15" s="202"/>
      <c r="CF15" s="209" t="str">
        <f ca="1">IF(CG9&lt;&gt;"",IFERROR(INT(CG12/CG14),""),"")</f>
        <v/>
      </c>
      <c r="CG15" s="202"/>
      <c r="CH15" s="209" t="str">
        <f ca="1">IF(CG9&lt;&gt;"",IFERROR(MOD(CG12,CG14),""),"")</f>
        <v/>
      </c>
      <c r="CI15" s="202"/>
      <c r="CJ15" s="210" t="str">
        <f ca="1">IF(CG9&lt;&gt;"",OFFSET(変更先抽出【15時】!$A$1,CE9-1,21),"")</f>
        <v/>
      </c>
      <c r="CK15" s="202"/>
      <c r="CN15" s="209" t="str">
        <f ca="1">IF(CO9&lt;&gt;"",IFERROR(INT(CO12/CO14),""),"")</f>
        <v/>
      </c>
      <c r="CO15" s="202"/>
      <c r="CP15" s="209" t="str">
        <f ca="1">IF(CO9&lt;&gt;"",IFERROR(MOD(CO12,CO14),""),"")</f>
        <v/>
      </c>
      <c r="CQ15" s="202"/>
      <c r="CR15" s="210" t="str">
        <f ca="1">IF(CO9&lt;&gt;"",OFFSET(変更先抽出【15時】!$A$1,CM9-1,21),"")</f>
        <v/>
      </c>
      <c r="CS15" s="202"/>
      <c r="CU15" s="209" t="str">
        <f ca="1">IF(CV9&lt;&gt;"",IFERROR(INT(CV12/CV14),""),"")</f>
        <v/>
      </c>
      <c r="CV15" s="202"/>
      <c r="CW15" s="209" t="str">
        <f ca="1">IF(CV9&lt;&gt;"",IFERROR(MOD(CV12,CV14),""),"")</f>
        <v/>
      </c>
      <c r="CX15" s="202"/>
      <c r="CY15" s="210" t="str">
        <f ca="1">IF(CV9&lt;&gt;"",OFFSET(変更先抽出【15時】!$A$1,CT9-1,21),"")</f>
        <v/>
      </c>
      <c r="CZ15" s="202"/>
      <c r="DC15" s="209" t="str">
        <f ca="1">IF(DD9&lt;&gt;"",IFERROR(INT(DD12/DD14),""),"")</f>
        <v/>
      </c>
      <c r="DD15" s="202"/>
      <c r="DE15" s="209" t="str">
        <f ca="1">IF(DD9&lt;&gt;"",IFERROR(MOD(DD12,DD14),""),"")</f>
        <v/>
      </c>
      <c r="DF15" s="202"/>
      <c r="DG15" s="210" t="str">
        <f ca="1">IF(DD9&lt;&gt;"",OFFSET(変更先抽出【15時】!$A$1,DB9-1,21),"")</f>
        <v/>
      </c>
      <c r="DH15" s="202"/>
      <c r="DJ15" s="209" t="str">
        <f ca="1">IF(DK9&lt;&gt;"",IFERROR(INT(DK12/DK14),""),"")</f>
        <v/>
      </c>
      <c r="DK15" s="202"/>
      <c r="DL15" s="209" t="str">
        <f ca="1">IF(DK9&lt;&gt;"",IFERROR(MOD(DK12,DK14),""),"")</f>
        <v/>
      </c>
      <c r="DM15" s="202"/>
      <c r="DN15" s="210" t="str">
        <f ca="1">IF(DK9&lt;&gt;"",OFFSET(変更先抽出【15時】!$A$1,DI9-1,21),"")</f>
        <v/>
      </c>
      <c r="DO15" s="202"/>
      <c r="DR15" s="209" t="str">
        <f ca="1">IF(DS9&lt;&gt;"",IFERROR(INT(DS12/DS14),""),"")</f>
        <v/>
      </c>
      <c r="DS15" s="202"/>
      <c r="DT15" s="209" t="str">
        <f ca="1">IF(DS9&lt;&gt;"",IFERROR(MOD(DS12,DS14),""),"")</f>
        <v/>
      </c>
      <c r="DU15" s="202"/>
      <c r="DV15" s="210" t="str">
        <f ca="1">IF(DS9&lt;&gt;"",OFFSET(変更先抽出【15時】!$A$1,DQ9-1,21),"")</f>
        <v/>
      </c>
      <c r="DW15" s="202"/>
      <c r="DY15" s="209" t="str">
        <f ca="1">IF(DZ9&lt;&gt;"",IFERROR(INT(DZ12/DZ14),""),"")</f>
        <v/>
      </c>
      <c r="DZ15" s="202"/>
      <c r="EA15" s="209" t="str">
        <f ca="1">IF(DZ9&lt;&gt;"",IFERROR(MOD(DZ12,DZ14),""),"")</f>
        <v/>
      </c>
      <c r="EB15" s="202"/>
      <c r="EC15" s="210" t="str">
        <f ca="1">IF(DZ9&lt;&gt;"",OFFSET(変更先抽出【15時】!$A$1,DX9-1,21),"")</f>
        <v/>
      </c>
      <c r="ED15" s="202"/>
      <c r="EG15" s="209" t="str">
        <f ca="1">IF(EH9&lt;&gt;"",IFERROR(INT(EH12/EH14),""),"")</f>
        <v/>
      </c>
      <c r="EH15" s="202"/>
      <c r="EI15" s="209" t="str">
        <f ca="1">IF(EH9&lt;&gt;"",IFERROR(MOD(EH12,EH14),""),"")</f>
        <v/>
      </c>
      <c r="EJ15" s="202"/>
      <c r="EK15" s="210" t="str">
        <f ca="1">IF(EH9&lt;&gt;"",OFFSET(変更先抽出【15時】!$A$1,EF9-1,21),"")</f>
        <v/>
      </c>
      <c r="EL15" s="202"/>
      <c r="EN15" s="209" t="str">
        <f ca="1">IF(EO9&lt;&gt;"",IFERROR(INT(EO12/EO14),""),"")</f>
        <v/>
      </c>
      <c r="EO15" s="202"/>
      <c r="EP15" s="209" t="str">
        <f ca="1">IF(EO9&lt;&gt;"",IFERROR(MOD(EO12,EO14),""),"")</f>
        <v/>
      </c>
      <c r="EQ15" s="202"/>
      <c r="ER15" s="210" t="str">
        <f ca="1">IF(EO9&lt;&gt;"",OFFSET(変更先抽出【15時】!$A$1,EM9-1,21),"")</f>
        <v/>
      </c>
      <c r="ES15" s="202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0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7" t="str">
        <f ca="1">IF(OFFSET(変更先抽出【15時】!$A$1,A17-1,16)&lt;&gt;"",OFFSET(変更先抽出【15時】!$A$1,A17-1,17),"")</f>
        <v/>
      </c>
      <c r="D17" s="208"/>
      <c r="E17" s="208"/>
      <c r="F17" s="208"/>
      <c r="G17" s="39" t="str">
        <f ca="1">IF(C17&lt;&gt;"","様","")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7" t="str">
        <f ca="1">IF(OFFSET(変更先抽出【15時】!$A$1,H17-1,16)&lt;&gt;"",OFFSET(変更先抽出【15時】!$A$1,H17-1,17),"")</f>
        <v/>
      </c>
      <c r="K17" s="208"/>
      <c r="L17" s="208"/>
      <c r="M17" s="208"/>
      <c r="N17" s="39" t="str">
        <f ca="1">IF(J17&lt;&gt;"","様","")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7" t="str">
        <f ca="1">IF(OFFSET(変更先抽出【15時】!$A$1,P17-1,16)&lt;&gt;"",OFFSET(変更先抽出【15時】!$A$1,P17-1,17),"")</f>
        <v/>
      </c>
      <c r="S17" s="208"/>
      <c r="T17" s="208"/>
      <c r="U17" s="208"/>
      <c r="V17" s="39" t="str">
        <f ca="1">IF(R17&lt;&gt;"","様","")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7" t="str">
        <f ca="1">IF(OFFSET(変更先抽出【15時】!$A$1,W17-1,16)&lt;&gt;"",OFFSET(変更先抽出【15時】!$A$1,W17-1,17),"")</f>
        <v/>
      </c>
      <c r="Z17" s="208"/>
      <c r="AA17" s="208"/>
      <c r="AB17" s="208"/>
      <c r="AC17" s="39" t="str">
        <f ca="1">IF(Y17&lt;&gt;"","様","")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7" t="str">
        <f ca="1">IF(OFFSET(変更先抽出【15時】!$A$1,AE17-1,16)&lt;&gt;"",OFFSET(変更先抽出【15時】!$A$1,AE17-1,17),"")</f>
        <v/>
      </c>
      <c r="AH17" s="208"/>
      <c r="AI17" s="208"/>
      <c r="AJ17" s="208"/>
      <c r="AK17" s="39" t="str">
        <f ca="1">IF(AG17&lt;&gt;"","様","")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7" t="str">
        <f ca="1">IF(OFFSET(変更先抽出【15時】!$A$1,AL17-1,16)&lt;&gt;"",OFFSET(変更先抽出【15時】!$A$1,AL17-1,17),"")</f>
        <v/>
      </c>
      <c r="AO17" s="208"/>
      <c r="AP17" s="208"/>
      <c r="AQ17" s="208"/>
      <c r="AR17" s="39" t="str">
        <f ca="1">IF(AN17&lt;&gt;"","様","")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7" t="str">
        <f ca="1">IF(OFFSET(変更先抽出【15時】!$A$1,AT17-1,16)&lt;&gt;"",OFFSET(変更先抽出【15時】!$A$1,AT17-1,17),"")</f>
        <v/>
      </c>
      <c r="AW17" s="208"/>
      <c r="AX17" s="208"/>
      <c r="AY17" s="208"/>
      <c r="AZ17" s="39" t="str">
        <f ca="1">IF(AV17&lt;&gt;"","様","")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7" t="str">
        <f ca="1">IF(OFFSET(変更先抽出【15時】!$A$1,BA17-1,16)&lt;&gt;"",OFFSET(変更先抽出【15時】!$A$1,BA17-1,17),"")</f>
        <v/>
      </c>
      <c r="BD17" s="208"/>
      <c r="BE17" s="208"/>
      <c r="BF17" s="208"/>
      <c r="BG17" s="39" t="str">
        <f ca="1">IF(BC17&lt;&gt;"","様","")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7" t="str">
        <f ca="1">IF(OFFSET(変更先抽出【15時】!$A$1,BI17-1,16)&lt;&gt;"",OFFSET(変更先抽出【15時】!$A$1,BI17-1,17),"")</f>
        <v/>
      </c>
      <c r="BL17" s="208"/>
      <c r="BM17" s="208"/>
      <c r="BN17" s="208"/>
      <c r="BO17" s="39" t="str">
        <f ca="1">IF(BK17&lt;&gt;"","様","")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7" t="str">
        <f ca="1">IF(OFFSET(変更先抽出【15時】!$A$1,BP17-1,16)&lt;&gt;"",OFFSET(変更先抽出【15時】!$A$1,BP17-1,17),"")</f>
        <v/>
      </c>
      <c r="BS17" s="208"/>
      <c r="BT17" s="208"/>
      <c r="BU17" s="208"/>
      <c r="BV17" s="39" t="str">
        <f ca="1">IF(BR17&lt;&gt;"","様","")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7" t="str">
        <f ca="1">IF(OFFSET(変更先抽出【15時】!$A$1,BX17-1,16)&lt;&gt;"",OFFSET(変更先抽出【15時】!$A$1,BX17-1,17),"")</f>
        <v/>
      </c>
      <c r="CA17" s="208"/>
      <c r="CB17" s="208"/>
      <c r="CC17" s="208"/>
      <c r="CD17" s="39" t="str">
        <f ca="1">IF(BZ17&lt;&gt;"","様","")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7" t="str">
        <f ca="1">IF(OFFSET(変更先抽出【15時】!$A$1,CE17-1,16)&lt;&gt;"",OFFSET(変更先抽出【15時】!$A$1,CE17-1,17),"")</f>
        <v/>
      </c>
      <c r="CH17" s="208"/>
      <c r="CI17" s="208"/>
      <c r="CJ17" s="208"/>
      <c r="CK17" s="39" t="str">
        <f ca="1">IF(CG17&lt;&gt;"","様","")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7" t="str">
        <f ca="1">IF(OFFSET(変更先抽出【15時】!$A$1,CM17-1,16)&lt;&gt;"",OFFSET(変更先抽出【15時】!$A$1,CM17-1,17),"")</f>
        <v/>
      </c>
      <c r="CP17" s="208"/>
      <c r="CQ17" s="208"/>
      <c r="CR17" s="208"/>
      <c r="CS17" s="39" t="str">
        <f ca="1">IF(CO17&lt;&gt;"","様","")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7" t="str">
        <f ca="1">IF(OFFSET(変更先抽出【15時】!$A$1,CT17-1,16)&lt;&gt;"",OFFSET(変更先抽出【15時】!$A$1,CT17-1,17),"")</f>
        <v/>
      </c>
      <c r="CW17" s="208"/>
      <c r="CX17" s="208"/>
      <c r="CY17" s="208"/>
      <c r="CZ17" s="39" t="str">
        <f ca="1">IF(CV17&lt;&gt;"","様","")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7" t="str">
        <f ca="1">IF(OFFSET(変更先抽出【15時】!$A$1,DB17-1,16)&lt;&gt;"",OFFSET(変更先抽出【15時】!$A$1,DB17-1,17),"")</f>
        <v/>
      </c>
      <c r="DE17" s="208"/>
      <c r="DF17" s="208"/>
      <c r="DG17" s="208"/>
      <c r="DH17" s="39" t="str">
        <f ca="1">IF(DD17&lt;&gt;"","様","")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7" t="str">
        <f ca="1">IF(OFFSET(変更先抽出【15時】!$A$1,DI17-1,16)&lt;&gt;"",OFFSET(変更先抽出【15時】!$A$1,DI17-1,17),"")</f>
        <v/>
      </c>
      <c r="DL17" s="208"/>
      <c r="DM17" s="208"/>
      <c r="DN17" s="208"/>
      <c r="DO17" s="39" t="str">
        <f ca="1">IF(DK17&lt;&gt;"","様","")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7" t="str">
        <f ca="1">IF(OFFSET(変更先抽出【15時】!$A$1,DQ17-1,16)&lt;&gt;"",OFFSET(変更先抽出【15時】!$A$1,DQ17-1,17),"")</f>
        <v/>
      </c>
      <c r="DT17" s="208"/>
      <c r="DU17" s="208"/>
      <c r="DV17" s="208"/>
      <c r="DW17" s="39" t="str">
        <f ca="1">IF(DS17&lt;&gt;"","様","")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7" t="str">
        <f ca="1">IF(OFFSET(変更先抽出【15時】!$A$1,DX17-1,16)&lt;&gt;"",OFFSET(変更先抽出【15時】!$A$1,DX17-1,17),"")</f>
        <v/>
      </c>
      <c r="EA17" s="208"/>
      <c r="EB17" s="208"/>
      <c r="EC17" s="208"/>
      <c r="ED17" s="39" t="str">
        <f ca="1">IF(DZ17&lt;&gt;"","様","")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7" t="str">
        <f ca="1">IF(OFFSET(変更先抽出【15時】!$A$1,EF17-1,16)&lt;&gt;"",OFFSET(変更先抽出【15時】!$A$1,EF17-1,17),"")</f>
        <v/>
      </c>
      <c r="EI17" s="208"/>
      <c r="EJ17" s="208"/>
      <c r="EK17" s="208"/>
      <c r="EL17" s="39" t="str">
        <f ca="1">IF(EH17&lt;&gt;"","様","")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7" t="str">
        <f ca="1">IF(OFFSET(変更先抽出【15時】!$A$1,EM17-1,16)&lt;&gt;"",OFFSET(変更先抽出【15時】!$A$1,EM17-1,17),"")</f>
        <v/>
      </c>
      <c r="EP17" s="208"/>
      <c r="EQ17" s="208"/>
      <c r="ER17" s="208"/>
      <c r="ES17" s="39" t="str">
        <f ca="1">IF(EO17&lt;&gt;"","様","")</f>
        <v/>
      </c>
      <c r="ET17" s="22"/>
    </row>
    <row r="18" spans="1:150" s="180" customFormat="1">
      <c r="A18" s="30"/>
      <c r="B18" s="103"/>
      <c r="C18" s="138" t="str">
        <f ca="1">IF(C17&lt;&gt;"",OFFSET(変更先抽出【15時】!$A$1,A17-1,18),"")</f>
        <v/>
      </c>
      <c r="D18" s="38"/>
      <c r="E18" s="38"/>
      <c r="F18" s="192" t="str">
        <f ca="1">IF(OFFSET(変更先抽出【15時】!$A$1,A17-1,25)&lt;&gt;"",OFFSET(変更先抽出【15時】!$A$1,A17-1,25)&amp;"箱"&amp;OFFSET(変更先抽出【15時】!$A$1,A17-1,26),"")</f>
        <v/>
      </c>
      <c r="G18" s="36"/>
      <c r="H18" s="43"/>
      <c r="I18" s="103"/>
      <c r="J18" s="138" t="str">
        <f ca="1">IF(J17&lt;&gt;"",OFFSET(変更先抽出【15時】!$A$1,H17-1,18),"")</f>
        <v/>
      </c>
      <c r="K18" s="38"/>
      <c r="L18" s="38"/>
      <c r="M18" s="192" t="str">
        <f ca="1">IF(OFFSET(変更先抽出【15時】!$A$1,H17-1,25)&lt;&gt;"",OFFSET(変更先抽出【15時】!$A$1,H17-1,25)&amp;"箱"&amp;OFFSET(変更先抽出【15時】!$A$1,H17-1,26),"")</f>
        <v/>
      </c>
      <c r="N18" s="36"/>
      <c r="O18" s="22"/>
      <c r="P18" s="30"/>
      <c r="Q18" s="103"/>
      <c r="R18" s="138" t="str">
        <f ca="1">IF(R17&lt;&gt;"",OFFSET(変更先抽出【15時】!$A$1,P17-1,18),"")</f>
        <v/>
      </c>
      <c r="S18" s="38"/>
      <c r="T18" s="38"/>
      <c r="U18" s="192" t="str">
        <f ca="1">IF(OFFSET(変更先抽出【15時】!$A$1,P17-1,25)&lt;&gt;"",OFFSET(変更先抽出【15時】!$A$1,P17-1,25)&amp;"箱"&amp;OFFSET(変更先抽出【15時】!$A$1,P17-1,26),"")</f>
        <v/>
      </c>
      <c r="V18" s="36"/>
      <c r="W18" s="43"/>
      <c r="X18" s="103"/>
      <c r="Y18" s="138" t="str">
        <f ca="1">IF(Y17&lt;&gt;"",OFFSET(変更先抽出【15時】!$A$1,W17-1,18),"")</f>
        <v/>
      </c>
      <c r="Z18" s="38"/>
      <c r="AA18" s="38"/>
      <c r="AB18" s="192" t="str">
        <f ca="1">IF(OFFSET(変更先抽出【15時】!$A$1,W17-1,25)&lt;&gt;"",OFFSET(変更先抽出【15時】!$A$1,W17-1,25)&amp;"箱"&amp;OFFSET(変更先抽出【15時】!$A$1,W17-1,26),"")</f>
        <v/>
      </c>
      <c r="AC18" s="36"/>
      <c r="AD18" s="22"/>
      <c r="AE18" s="30"/>
      <c r="AF18" s="103"/>
      <c r="AG18" s="138" t="str">
        <f ca="1">IF(AG17&lt;&gt;"",OFFSET(変更先抽出【15時】!$A$1,AE17-1,18),"")</f>
        <v/>
      </c>
      <c r="AH18" s="38"/>
      <c r="AI18" s="38"/>
      <c r="AJ18" s="192" t="str">
        <f ca="1">IF(OFFSET(変更先抽出【15時】!$A$1,AE17-1,25)&lt;&gt;"",OFFSET(変更先抽出【15時】!$A$1,AE17-1,25)&amp;"箱"&amp;OFFSET(変更先抽出【15時】!$A$1,AE17-1,26),"")</f>
        <v/>
      </c>
      <c r="AK18" s="36"/>
      <c r="AL18" s="43"/>
      <c r="AM18" s="103"/>
      <c r="AN18" s="138" t="str">
        <f ca="1">IF(AN17&lt;&gt;"",OFFSET(変更先抽出【15時】!$A$1,AL17-1,18),"")</f>
        <v/>
      </c>
      <c r="AO18" s="38"/>
      <c r="AP18" s="38"/>
      <c r="AQ18" s="192" t="str">
        <f ca="1">IF(OFFSET(変更先抽出【15時】!$A$1,AL17-1,25)&lt;&gt;"",OFFSET(変更先抽出【15時】!$A$1,AL17-1,25)&amp;"箱"&amp;OFFSET(変更先抽出【15時】!$A$1,AL17-1,26),"")</f>
        <v/>
      </c>
      <c r="AR18" s="36"/>
      <c r="AS18" s="22"/>
      <c r="AT18" s="30"/>
      <c r="AU18" s="103"/>
      <c r="AV18" s="138" t="str">
        <f ca="1">IF(AV17&lt;&gt;"",OFFSET(変更先抽出【15時】!$A$1,AT17-1,18),"")</f>
        <v/>
      </c>
      <c r="AW18" s="38"/>
      <c r="AX18" s="38"/>
      <c r="AY18" s="192" t="str">
        <f ca="1">IF(OFFSET(変更先抽出【15時】!$A$1,AT17-1,25)&lt;&gt;"",OFFSET(変更先抽出【15時】!$A$1,AT17-1,25)&amp;"箱"&amp;OFFSET(変更先抽出【15時】!$A$1,AT17-1,26),"")</f>
        <v/>
      </c>
      <c r="AZ18" s="36"/>
      <c r="BA18" s="43"/>
      <c r="BB18" s="103"/>
      <c r="BC18" s="138" t="str">
        <f ca="1">IF(BC17&lt;&gt;"",OFFSET(変更先抽出【15時】!$A$1,BA17-1,18),"")</f>
        <v/>
      </c>
      <c r="BD18" s="38"/>
      <c r="BE18" s="38"/>
      <c r="BF18" s="192" t="str">
        <f ca="1">IF(OFFSET(変更先抽出【15時】!$A$1,BA17-1,25)&lt;&gt;"",OFFSET(変更先抽出【15時】!$A$1,BA17-1,25)&amp;"箱"&amp;OFFSET(変更先抽出【15時】!$A$1,BA17-1,26),"")</f>
        <v/>
      </c>
      <c r="BG18" s="36"/>
      <c r="BH18" s="22"/>
      <c r="BI18" s="30"/>
      <c r="BJ18" s="103"/>
      <c r="BK18" s="138" t="str">
        <f ca="1">IF(BK17&lt;&gt;"",OFFSET(変更先抽出【15時】!$A$1,BI17-1,18),"")</f>
        <v/>
      </c>
      <c r="BL18" s="38"/>
      <c r="BM18" s="38"/>
      <c r="BN18" s="192" t="str">
        <f ca="1">IF(OFFSET(変更先抽出【15時】!$A$1,BI17-1,25)&lt;&gt;"",OFFSET(変更先抽出【15時】!$A$1,BI17-1,25)&amp;"箱"&amp;OFFSET(変更先抽出【15時】!$A$1,BI17-1,26),"")</f>
        <v/>
      </c>
      <c r="BO18" s="36"/>
      <c r="BP18" s="43"/>
      <c r="BQ18" s="103"/>
      <c r="BR18" s="138" t="str">
        <f ca="1">IF(BR17&lt;&gt;"",OFFSET(変更先抽出【15時】!$A$1,BP17-1,18),"")</f>
        <v/>
      </c>
      <c r="BS18" s="38"/>
      <c r="BT18" s="38"/>
      <c r="BU18" s="192" t="str">
        <f ca="1">IF(OFFSET(変更先抽出【15時】!$A$1,BP17-1,25)&lt;&gt;"",OFFSET(変更先抽出【15時】!$A$1,BP17-1,25)&amp;"箱"&amp;OFFSET(変更先抽出【15時】!$A$1,BP17-1,26),"")</f>
        <v/>
      </c>
      <c r="BV18" s="36"/>
      <c r="BW18" s="22"/>
      <c r="BX18" s="30"/>
      <c r="BY18" s="103"/>
      <c r="BZ18" s="138" t="str">
        <f ca="1">IF(BZ17&lt;&gt;"",OFFSET(変更先抽出【15時】!$A$1,BX17-1,18),"")</f>
        <v/>
      </c>
      <c r="CA18" s="38"/>
      <c r="CB18" s="38"/>
      <c r="CC18" s="192" t="str">
        <f ca="1">IF(OFFSET(変更先抽出【15時】!$A$1,BX17-1,25)&lt;&gt;"",OFFSET(変更先抽出【15時】!$A$1,BX17-1,25)&amp;"箱"&amp;OFFSET(変更先抽出【15時】!$A$1,BX17-1,26),"")</f>
        <v/>
      </c>
      <c r="CD18" s="36"/>
      <c r="CE18" s="43"/>
      <c r="CF18" s="103"/>
      <c r="CG18" s="138" t="str">
        <f ca="1">IF(CG17&lt;&gt;"",OFFSET(変更先抽出【15時】!$A$1,CE17-1,18),"")</f>
        <v/>
      </c>
      <c r="CH18" s="38"/>
      <c r="CI18" s="38"/>
      <c r="CJ18" s="192" t="str">
        <f ca="1">IF(OFFSET(変更先抽出【15時】!$A$1,CE17-1,25)&lt;&gt;"",OFFSET(変更先抽出【15時】!$A$1,CE17-1,25)&amp;"箱"&amp;OFFSET(変更先抽出【15時】!$A$1,CE17-1,26),"")</f>
        <v/>
      </c>
      <c r="CK18" s="36"/>
      <c r="CL18" s="22"/>
      <c r="CM18" s="30"/>
      <c r="CN18" s="103"/>
      <c r="CO18" s="138" t="str">
        <f ca="1">IF(CO17&lt;&gt;"",OFFSET(変更先抽出【15時】!$A$1,CM17-1,18),"")</f>
        <v/>
      </c>
      <c r="CP18" s="38"/>
      <c r="CQ18" s="38"/>
      <c r="CR18" s="192" t="str">
        <f ca="1">IF(OFFSET(変更先抽出【15時】!$A$1,CM17-1,25)&lt;&gt;"",OFFSET(変更先抽出【15時】!$A$1,CM17-1,25)&amp;"箱"&amp;OFFSET(変更先抽出【15時】!$A$1,CM17-1,26),"")</f>
        <v/>
      </c>
      <c r="CS18" s="36"/>
      <c r="CT18" s="43"/>
      <c r="CU18" s="103"/>
      <c r="CV18" s="138" t="str">
        <f ca="1">IF(CV17&lt;&gt;"",OFFSET(変更先抽出【15時】!$A$1,CT17-1,18),"")</f>
        <v/>
      </c>
      <c r="CW18" s="38"/>
      <c r="CX18" s="38"/>
      <c r="CY18" s="192" t="str">
        <f ca="1">IF(OFFSET(変更先抽出【15時】!$A$1,CT17-1,25)&lt;&gt;"",OFFSET(変更先抽出【15時】!$A$1,CT17-1,25)&amp;"箱"&amp;OFFSET(変更先抽出【15時】!$A$1,CT17-1,26),"")</f>
        <v/>
      </c>
      <c r="CZ18" s="36"/>
      <c r="DA18" s="22"/>
      <c r="DB18" s="30"/>
      <c r="DC18" s="103"/>
      <c r="DD18" s="138" t="str">
        <f ca="1">IF(DD17&lt;&gt;"",OFFSET(変更先抽出【15時】!$A$1,DB17-1,18),"")</f>
        <v/>
      </c>
      <c r="DE18" s="38"/>
      <c r="DF18" s="38"/>
      <c r="DG18" s="192" t="str">
        <f ca="1">IF(OFFSET(変更先抽出【15時】!$A$1,DB17-1,25)&lt;&gt;"",OFFSET(変更先抽出【15時】!$A$1,DB17-1,25)&amp;"箱"&amp;OFFSET(変更先抽出【15時】!$A$1,DB17-1,26),"")</f>
        <v/>
      </c>
      <c r="DH18" s="36"/>
      <c r="DI18" s="43"/>
      <c r="DJ18" s="103"/>
      <c r="DK18" s="138" t="str">
        <f ca="1">IF(DK17&lt;&gt;"",OFFSET(変更先抽出【15時】!$A$1,DI17-1,18),"")</f>
        <v/>
      </c>
      <c r="DL18" s="38"/>
      <c r="DM18" s="38"/>
      <c r="DN18" s="192" t="str">
        <f ca="1">IF(OFFSET(変更先抽出【15時】!$A$1,DI17-1,25)&lt;&gt;"",OFFSET(変更先抽出【15時】!$A$1,DI17-1,25)&amp;"箱"&amp;OFFSET(変更先抽出【15時】!$A$1,DI17-1,26),"")</f>
        <v/>
      </c>
      <c r="DO18" s="36"/>
      <c r="DP18" s="22"/>
      <c r="DQ18" s="30"/>
      <c r="DR18" s="103"/>
      <c r="DS18" s="138" t="str">
        <f ca="1">IF(DS17&lt;&gt;"",OFFSET(変更先抽出【15時】!$A$1,DQ17-1,18),"")</f>
        <v/>
      </c>
      <c r="DT18" s="38"/>
      <c r="DU18" s="38"/>
      <c r="DV18" s="192" t="str">
        <f ca="1">IF(OFFSET(変更先抽出【15時】!$A$1,DQ17-1,25)&lt;&gt;"",OFFSET(変更先抽出【15時】!$A$1,DQ17-1,25)&amp;"箱"&amp;OFFSET(変更先抽出【15時】!$A$1,DQ17-1,26),"")</f>
        <v/>
      </c>
      <c r="DW18" s="36"/>
      <c r="DX18" s="43"/>
      <c r="DY18" s="103"/>
      <c r="DZ18" s="138" t="str">
        <f ca="1">IF(DZ17&lt;&gt;"",OFFSET(変更先抽出【15時】!$A$1,DX17-1,18),"")</f>
        <v/>
      </c>
      <c r="EA18" s="38"/>
      <c r="EB18" s="38"/>
      <c r="EC18" s="192" t="str">
        <f ca="1">IF(OFFSET(変更先抽出【15時】!$A$1,DX17-1,25)&lt;&gt;"",OFFSET(変更先抽出【15時】!$A$1,DX17-1,25)&amp;"箱"&amp;OFFSET(変更先抽出【15時】!$A$1,DX17-1,26),"")</f>
        <v/>
      </c>
      <c r="ED18" s="36"/>
      <c r="EE18" s="22"/>
      <c r="EF18" s="30"/>
      <c r="EG18" s="103"/>
      <c r="EH18" s="138" t="str">
        <f ca="1">IF(EH17&lt;&gt;"",OFFSET(変更先抽出【15時】!$A$1,EF17-1,18),"")</f>
        <v/>
      </c>
      <c r="EI18" s="38"/>
      <c r="EJ18" s="38"/>
      <c r="EK18" s="192" t="str">
        <f ca="1">IF(OFFSET(変更先抽出【15時】!$A$1,EF17-1,25)&lt;&gt;"",OFFSET(変更先抽出【15時】!$A$1,EF17-1,25)&amp;"箱"&amp;OFFSET(変更先抽出【15時】!$A$1,EF17-1,26),"")</f>
        <v/>
      </c>
      <c r="EL18" s="36"/>
      <c r="EM18" s="43"/>
      <c r="EN18" s="103"/>
      <c r="EO18" s="138" t="str">
        <f ca="1">IF(EO17&lt;&gt;"",OFFSET(変更先抽出【15時】!$A$1,EM17-1,18),"")</f>
        <v/>
      </c>
      <c r="EP18" s="38"/>
      <c r="EQ18" s="38"/>
      <c r="ER18" s="192" t="str">
        <f ca="1">IF(OFFSET(変更先抽出【15時】!$A$1,EM17-1,25)&lt;&gt;"",OFFSET(変更先抽出【15時】!$A$1,EM17-1,25)&amp;"箱"&amp;OFFSET(変更先抽出【15時】!$A$1,EM17-1,26),"")</f>
        <v/>
      </c>
      <c r="ES18" s="36"/>
      <c r="ET18" s="22"/>
    </row>
    <row r="19" spans="1:150" s="180" customFormat="1">
      <c r="A19" s="30"/>
      <c r="B19" s="31"/>
      <c r="C19" s="205" t="str">
        <f ca="1">IF(C17&lt;&gt;"","園児","")</f>
        <v/>
      </c>
      <c r="D19" s="206"/>
      <c r="E19" s="22"/>
      <c r="F19" s="137" t="str">
        <f ca="1">IF(C17&lt;&gt;"","先生","")</f>
        <v/>
      </c>
      <c r="G19" s="37"/>
      <c r="H19" s="33"/>
      <c r="I19" s="31"/>
      <c r="J19" s="205" t="str">
        <f ca="1">IF(J17&lt;&gt;"","園児","")</f>
        <v/>
      </c>
      <c r="K19" s="206"/>
      <c r="L19" s="22"/>
      <c r="M19" s="137" t="str">
        <f ca="1">IF(J17&lt;&gt;"","先生","")</f>
        <v/>
      </c>
      <c r="N19" s="37"/>
      <c r="O19" s="22"/>
      <c r="P19" s="30"/>
      <c r="Q19" s="31"/>
      <c r="R19" s="205" t="str">
        <f ca="1">IF(R17&lt;&gt;"","園児","")</f>
        <v/>
      </c>
      <c r="S19" s="206"/>
      <c r="T19" s="22"/>
      <c r="U19" s="137" t="str">
        <f ca="1">IF(R17&lt;&gt;"","先生","")</f>
        <v/>
      </c>
      <c r="V19" s="37"/>
      <c r="W19" s="33"/>
      <c r="X19" s="31"/>
      <c r="Y19" s="205" t="str">
        <f ca="1">IF(Y17&lt;&gt;"","園児","")</f>
        <v/>
      </c>
      <c r="Z19" s="206"/>
      <c r="AA19" s="22"/>
      <c r="AB19" s="137" t="str">
        <f ca="1">IF(Y17&lt;&gt;"","先生","")</f>
        <v/>
      </c>
      <c r="AC19" s="37"/>
      <c r="AD19" s="22"/>
      <c r="AE19" s="30"/>
      <c r="AF19" s="31"/>
      <c r="AG19" s="205" t="str">
        <f ca="1">IF(AG17&lt;&gt;"","園児","")</f>
        <v/>
      </c>
      <c r="AH19" s="206"/>
      <c r="AI19" s="22"/>
      <c r="AJ19" s="137" t="str">
        <f ca="1">IF(AG17&lt;&gt;"","先生","")</f>
        <v/>
      </c>
      <c r="AK19" s="37"/>
      <c r="AL19" s="33"/>
      <c r="AM19" s="31"/>
      <c r="AN19" s="205" t="str">
        <f ca="1">IF(AN17&lt;&gt;"","園児","")</f>
        <v/>
      </c>
      <c r="AO19" s="206"/>
      <c r="AP19" s="22"/>
      <c r="AQ19" s="137" t="str">
        <f ca="1">IF(AN17&lt;&gt;"","先生","")</f>
        <v/>
      </c>
      <c r="AR19" s="37"/>
      <c r="AS19" s="22"/>
      <c r="AT19" s="30"/>
      <c r="AU19" s="31"/>
      <c r="AV19" s="205" t="str">
        <f ca="1">IF(AV17&lt;&gt;"","園児","")</f>
        <v/>
      </c>
      <c r="AW19" s="206"/>
      <c r="AX19" s="22"/>
      <c r="AY19" s="137" t="str">
        <f ca="1">IF(AV17&lt;&gt;"","先生","")</f>
        <v/>
      </c>
      <c r="AZ19" s="37"/>
      <c r="BA19" s="33"/>
      <c r="BB19" s="31"/>
      <c r="BC19" s="205" t="str">
        <f ca="1">IF(BC17&lt;&gt;"","園児","")</f>
        <v/>
      </c>
      <c r="BD19" s="206"/>
      <c r="BE19" s="22"/>
      <c r="BF19" s="137" t="str">
        <f ca="1">IF(BC17&lt;&gt;"","先生","")</f>
        <v/>
      </c>
      <c r="BG19" s="37"/>
      <c r="BH19" s="22"/>
      <c r="BI19" s="30"/>
      <c r="BJ19" s="31"/>
      <c r="BK19" s="205" t="str">
        <f ca="1">IF(BK17&lt;&gt;"","園児","")</f>
        <v/>
      </c>
      <c r="BL19" s="206"/>
      <c r="BM19" s="22"/>
      <c r="BN19" s="137" t="str">
        <f ca="1">IF(BK17&lt;&gt;"","先生","")</f>
        <v/>
      </c>
      <c r="BO19" s="37"/>
      <c r="BP19" s="33"/>
      <c r="BQ19" s="31"/>
      <c r="BR19" s="205" t="str">
        <f ca="1">IF(BR17&lt;&gt;"","園児","")</f>
        <v/>
      </c>
      <c r="BS19" s="206"/>
      <c r="BT19" s="22"/>
      <c r="BU19" s="137" t="str">
        <f ca="1">IF(BR17&lt;&gt;"","先生","")</f>
        <v/>
      </c>
      <c r="BV19" s="37"/>
      <c r="BW19" s="22"/>
      <c r="BX19" s="30"/>
      <c r="BY19" s="31"/>
      <c r="BZ19" s="205" t="str">
        <f ca="1">IF(BZ17&lt;&gt;"","園児","")</f>
        <v/>
      </c>
      <c r="CA19" s="206"/>
      <c r="CB19" s="22"/>
      <c r="CC19" s="137" t="str">
        <f ca="1">IF(BZ17&lt;&gt;"","先生","")</f>
        <v/>
      </c>
      <c r="CD19" s="37"/>
      <c r="CE19" s="33"/>
      <c r="CF19" s="31"/>
      <c r="CG19" s="205" t="str">
        <f ca="1">IF(CG17&lt;&gt;"","園児","")</f>
        <v/>
      </c>
      <c r="CH19" s="206"/>
      <c r="CI19" s="22"/>
      <c r="CJ19" s="137" t="str">
        <f ca="1">IF(CG17&lt;&gt;"","先生","")</f>
        <v/>
      </c>
      <c r="CK19" s="37"/>
      <c r="CL19" s="22"/>
      <c r="CM19" s="30"/>
      <c r="CN19" s="31"/>
      <c r="CO19" s="205" t="str">
        <f ca="1">IF(CO17&lt;&gt;"","園児","")</f>
        <v/>
      </c>
      <c r="CP19" s="206"/>
      <c r="CQ19" s="22"/>
      <c r="CR19" s="137" t="str">
        <f ca="1">IF(CO17&lt;&gt;"","先生","")</f>
        <v/>
      </c>
      <c r="CS19" s="37"/>
      <c r="CT19" s="33"/>
      <c r="CU19" s="31"/>
      <c r="CV19" s="205" t="str">
        <f ca="1">IF(CV17&lt;&gt;"","園児","")</f>
        <v/>
      </c>
      <c r="CW19" s="206"/>
      <c r="CX19" s="22"/>
      <c r="CY19" s="137" t="str">
        <f ca="1">IF(CV17&lt;&gt;"","先生","")</f>
        <v/>
      </c>
      <c r="CZ19" s="37"/>
      <c r="DA19" s="22"/>
      <c r="DB19" s="30"/>
      <c r="DC19" s="31"/>
      <c r="DD19" s="205" t="str">
        <f ca="1">IF(DD17&lt;&gt;"","園児","")</f>
        <v/>
      </c>
      <c r="DE19" s="206"/>
      <c r="DF19" s="22"/>
      <c r="DG19" s="137" t="str">
        <f ca="1">IF(DD17&lt;&gt;"","先生","")</f>
        <v/>
      </c>
      <c r="DH19" s="37"/>
      <c r="DI19" s="33"/>
      <c r="DJ19" s="31"/>
      <c r="DK19" s="205" t="str">
        <f ca="1">IF(DK17&lt;&gt;"","園児","")</f>
        <v/>
      </c>
      <c r="DL19" s="206"/>
      <c r="DM19" s="22"/>
      <c r="DN19" s="137" t="str">
        <f ca="1">IF(DK17&lt;&gt;"","先生","")</f>
        <v/>
      </c>
      <c r="DO19" s="37"/>
      <c r="DP19" s="22"/>
      <c r="DQ19" s="30"/>
      <c r="DR19" s="31"/>
      <c r="DS19" s="205" t="str">
        <f ca="1">IF(DS17&lt;&gt;"","園児","")</f>
        <v/>
      </c>
      <c r="DT19" s="206"/>
      <c r="DU19" s="22"/>
      <c r="DV19" s="137" t="str">
        <f ca="1">IF(DS17&lt;&gt;"","先生","")</f>
        <v/>
      </c>
      <c r="DW19" s="37"/>
      <c r="DX19" s="33"/>
      <c r="DY19" s="31"/>
      <c r="DZ19" s="205" t="str">
        <f ca="1">IF(DZ17&lt;&gt;"","園児","")</f>
        <v/>
      </c>
      <c r="EA19" s="206"/>
      <c r="EB19" s="22"/>
      <c r="EC19" s="137" t="str">
        <f ca="1">IF(DZ17&lt;&gt;"","先生","")</f>
        <v/>
      </c>
      <c r="ED19" s="37"/>
      <c r="EE19" s="22"/>
      <c r="EF19" s="30"/>
      <c r="EG19" s="31"/>
      <c r="EH19" s="205" t="str">
        <f ca="1">IF(EH17&lt;&gt;"","園児","")</f>
        <v/>
      </c>
      <c r="EI19" s="206"/>
      <c r="EJ19" s="22"/>
      <c r="EK19" s="137" t="str">
        <f ca="1">IF(EH17&lt;&gt;"","先生","")</f>
        <v/>
      </c>
      <c r="EL19" s="37"/>
      <c r="EM19" s="33"/>
      <c r="EN19" s="31"/>
      <c r="EO19" s="205" t="str">
        <f ca="1">IF(EO17&lt;&gt;"","園児","")</f>
        <v/>
      </c>
      <c r="EP19" s="206"/>
      <c r="EQ19" s="22"/>
      <c r="ER19" s="137" t="str">
        <f ca="1">IF(EO17&lt;&gt;"","先生","")</f>
        <v/>
      </c>
      <c r="ES19" s="37"/>
      <c r="ET19" s="22"/>
    </row>
    <row r="20" spans="1:150" ht="15.6" customHeight="1">
      <c r="B20" s="25"/>
      <c r="C20" s="203" t="str">
        <f ca="1">IF(C17&lt;&gt;"",OFFSET(変更先抽出【15時】!$A$1,A17-1,19),"")</f>
        <v/>
      </c>
      <c r="D20" s="204"/>
      <c r="E20" s="44"/>
      <c r="F20" s="199" t="str">
        <f ca="1">IF(C17&lt;&gt;"",OFFSET(変更先抽出【15時】!$A$1,A17-1,20),"")</f>
        <v/>
      </c>
      <c r="G20" s="200"/>
      <c r="H20" s="26"/>
      <c r="I20" s="25"/>
      <c r="J20" s="203" t="str">
        <f ca="1">IF(J17&lt;&gt;"",OFFSET(変更先抽出【15時】!$A$1,H17-1,19),"")</f>
        <v/>
      </c>
      <c r="K20" s="204"/>
      <c r="L20" s="44"/>
      <c r="M20" s="199" t="str">
        <f ca="1">IF(J17&lt;&gt;"",OFFSET(変更先抽出【15時】!$A$1,H17-1,20),"")</f>
        <v/>
      </c>
      <c r="N20" s="200"/>
      <c r="Q20" s="25"/>
      <c r="R20" s="203" t="str">
        <f ca="1">IF(R17&lt;&gt;"",OFFSET(変更先抽出【15時】!$A$1,P17-1,19),"")</f>
        <v/>
      </c>
      <c r="S20" s="204"/>
      <c r="T20" s="44"/>
      <c r="U20" s="199" t="str">
        <f ca="1">IF(R17&lt;&gt;"",OFFSET(変更先抽出【15時】!$A$1,P17-1,20),"")</f>
        <v/>
      </c>
      <c r="V20" s="200"/>
      <c r="W20" s="26"/>
      <c r="X20" s="25"/>
      <c r="Y20" s="203" t="str">
        <f ca="1">IF(Y17&lt;&gt;"",OFFSET(変更先抽出【15時】!$A$1,W17-1,19),"")</f>
        <v/>
      </c>
      <c r="Z20" s="204"/>
      <c r="AA20" s="44"/>
      <c r="AB20" s="199" t="str">
        <f ca="1">IF(Y17&lt;&gt;"",OFFSET(変更先抽出【15時】!$A$1,W17-1,20),"")</f>
        <v/>
      </c>
      <c r="AC20" s="200"/>
      <c r="AF20" s="25"/>
      <c r="AG20" s="203" t="str">
        <f ca="1">IF(AG17&lt;&gt;"",OFFSET(変更先抽出【15時】!$A$1,AE17-1,19),"")</f>
        <v/>
      </c>
      <c r="AH20" s="204"/>
      <c r="AI20" s="44"/>
      <c r="AJ20" s="199" t="str">
        <f ca="1">IF(AG17&lt;&gt;"",OFFSET(変更先抽出【15時】!$A$1,AE17-1,20),"")</f>
        <v/>
      </c>
      <c r="AK20" s="200"/>
      <c r="AL20" s="26"/>
      <c r="AM20" s="25"/>
      <c r="AN20" s="203" t="str">
        <f ca="1">IF(AN17&lt;&gt;"",OFFSET(変更先抽出【15時】!$A$1,AL17-1,19),"")</f>
        <v/>
      </c>
      <c r="AO20" s="204"/>
      <c r="AP20" s="44"/>
      <c r="AQ20" s="199" t="str">
        <f ca="1">IF(AN17&lt;&gt;"",OFFSET(変更先抽出【15時】!$A$1,AL17-1,20),"")</f>
        <v/>
      </c>
      <c r="AR20" s="200"/>
      <c r="AU20" s="25"/>
      <c r="AV20" s="203" t="str">
        <f ca="1">IF(AV17&lt;&gt;"",OFFSET(変更先抽出【15時】!$A$1,AT17-1,19),"")</f>
        <v/>
      </c>
      <c r="AW20" s="204"/>
      <c r="AX20" s="44"/>
      <c r="AY20" s="199" t="str">
        <f ca="1">IF(AV17&lt;&gt;"",OFFSET(変更先抽出【15時】!$A$1,AT17-1,20),"")</f>
        <v/>
      </c>
      <c r="AZ20" s="200"/>
      <c r="BA20" s="26"/>
      <c r="BB20" s="25"/>
      <c r="BC20" s="203" t="str">
        <f ca="1">IF(BC17&lt;&gt;"",OFFSET(変更先抽出【15時】!$A$1,BA17-1,19),"")</f>
        <v/>
      </c>
      <c r="BD20" s="204"/>
      <c r="BE20" s="44"/>
      <c r="BF20" s="199" t="str">
        <f ca="1">IF(BC17&lt;&gt;"",OFFSET(変更先抽出【15時】!$A$1,BA17-1,20),"")</f>
        <v/>
      </c>
      <c r="BG20" s="200"/>
      <c r="BJ20" s="25"/>
      <c r="BK20" s="203" t="str">
        <f ca="1">IF(BK17&lt;&gt;"",OFFSET(変更先抽出【15時】!$A$1,BI17-1,19),"")</f>
        <v/>
      </c>
      <c r="BL20" s="204"/>
      <c r="BM20" s="44"/>
      <c r="BN20" s="199" t="str">
        <f ca="1">IF(BK17&lt;&gt;"",OFFSET(変更先抽出【15時】!$A$1,BI17-1,20),"")</f>
        <v/>
      </c>
      <c r="BO20" s="200"/>
      <c r="BP20" s="26"/>
      <c r="BQ20" s="25"/>
      <c r="BR20" s="203" t="str">
        <f ca="1">IF(BR17&lt;&gt;"",OFFSET(変更先抽出【15時】!$A$1,BP17-1,19),"")</f>
        <v/>
      </c>
      <c r="BS20" s="204"/>
      <c r="BT20" s="44"/>
      <c r="BU20" s="199" t="str">
        <f ca="1">IF(BR17&lt;&gt;"",OFFSET(変更先抽出【15時】!$A$1,BP17-1,20),"")</f>
        <v/>
      </c>
      <c r="BV20" s="200"/>
      <c r="BY20" s="25"/>
      <c r="BZ20" s="203" t="str">
        <f ca="1">IF(BZ17&lt;&gt;"",OFFSET(変更先抽出【15時】!$A$1,BX17-1,19),"")</f>
        <v/>
      </c>
      <c r="CA20" s="204"/>
      <c r="CB20" s="44"/>
      <c r="CC20" s="199" t="str">
        <f ca="1">IF(BZ17&lt;&gt;"",OFFSET(変更先抽出【15時】!$A$1,BX17-1,20),"")</f>
        <v/>
      </c>
      <c r="CD20" s="200"/>
      <c r="CE20" s="26"/>
      <c r="CF20" s="25"/>
      <c r="CG20" s="203" t="str">
        <f ca="1">IF(CG17&lt;&gt;"",OFFSET(変更先抽出【15時】!$A$1,CE17-1,19),"")</f>
        <v/>
      </c>
      <c r="CH20" s="204"/>
      <c r="CI20" s="44"/>
      <c r="CJ20" s="199" t="str">
        <f ca="1">IF(CG17&lt;&gt;"",OFFSET(変更先抽出【15時】!$A$1,CE17-1,20),"")</f>
        <v/>
      </c>
      <c r="CK20" s="200"/>
      <c r="CN20" s="25"/>
      <c r="CO20" s="203" t="str">
        <f ca="1">IF(CO17&lt;&gt;"",OFFSET(変更先抽出【15時】!$A$1,CM17-1,19),"")</f>
        <v/>
      </c>
      <c r="CP20" s="204"/>
      <c r="CQ20" s="44"/>
      <c r="CR20" s="199" t="str">
        <f ca="1">IF(CO17&lt;&gt;"",OFFSET(変更先抽出【15時】!$A$1,CM17-1,20),"")</f>
        <v/>
      </c>
      <c r="CS20" s="200"/>
      <c r="CT20" s="26"/>
      <c r="CU20" s="25"/>
      <c r="CV20" s="203" t="str">
        <f ca="1">IF(CV17&lt;&gt;"",OFFSET(変更先抽出【15時】!$A$1,CT17-1,19),"")</f>
        <v/>
      </c>
      <c r="CW20" s="204"/>
      <c r="CX20" s="44"/>
      <c r="CY20" s="199" t="str">
        <f ca="1">IF(CV17&lt;&gt;"",OFFSET(変更先抽出【15時】!$A$1,CT17-1,20),"")</f>
        <v/>
      </c>
      <c r="CZ20" s="200"/>
      <c r="DC20" s="25"/>
      <c r="DD20" s="203" t="str">
        <f ca="1">IF(DD17&lt;&gt;"",OFFSET(変更先抽出【15時】!$A$1,DB17-1,19),"")</f>
        <v/>
      </c>
      <c r="DE20" s="204"/>
      <c r="DF20" s="44"/>
      <c r="DG20" s="199" t="str">
        <f ca="1">IF(DD17&lt;&gt;"",OFFSET(変更先抽出【15時】!$A$1,DB17-1,20),"")</f>
        <v/>
      </c>
      <c r="DH20" s="200"/>
      <c r="DI20" s="26"/>
      <c r="DJ20" s="25"/>
      <c r="DK20" s="203" t="str">
        <f ca="1">IF(DK17&lt;&gt;"",OFFSET(変更先抽出【15時】!$A$1,DI17-1,19),"")</f>
        <v/>
      </c>
      <c r="DL20" s="204"/>
      <c r="DM20" s="44"/>
      <c r="DN20" s="199" t="str">
        <f ca="1">IF(DK17&lt;&gt;"",OFFSET(変更先抽出【15時】!$A$1,DI17-1,20),"")</f>
        <v/>
      </c>
      <c r="DO20" s="200"/>
      <c r="DR20" s="25"/>
      <c r="DS20" s="203" t="str">
        <f ca="1">IF(DS17&lt;&gt;"",OFFSET(変更先抽出【15時】!$A$1,DQ17-1,19),"")</f>
        <v/>
      </c>
      <c r="DT20" s="204"/>
      <c r="DU20" s="44"/>
      <c r="DV20" s="199" t="str">
        <f ca="1">IF(DS17&lt;&gt;"",OFFSET(変更先抽出【15時】!$A$1,DQ17-1,20),"")</f>
        <v/>
      </c>
      <c r="DW20" s="200"/>
      <c r="DX20" s="26"/>
      <c r="DY20" s="25"/>
      <c r="DZ20" s="203" t="str">
        <f ca="1">IF(DZ17&lt;&gt;"",OFFSET(変更先抽出【15時】!$A$1,DX17-1,19),"")</f>
        <v/>
      </c>
      <c r="EA20" s="204"/>
      <c r="EB20" s="44"/>
      <c r="EC20" s="199" t="str">
        <f ca="1">IF(DZ17&lt;&gt;"",OFFSET(変更先抽出【15時】!$A$1,DX17-1,20),"")</f>
        <v/>
      </c>
      <c r="ED20" s="200"/>
      <c r="EG20" s="25"/>
      <c r="EH20" s="203" t="str">
        <f ca="1">IF(EH17&lt;&gt;"",OFFSET(変更先抽出【15時】!$A$1,EF17-1,19),"")</f>
        <v/>
      </c>
      <c r="EI20" s="204"/>
      <c r="EJ20" s="44"/>
      <c r="EK20" s="199" t="str">
        <f ca="1">IF(EH17&lt;&gt;"",OFFSET(変更先抽出【15時】!$A$1,EF17-1,20),"")</f>
        <v/>
      </c>
      <c r="EL20" s="200"/>
      <c r="EM20" s="26"/>
      <c r="EN20" s="25"/>
      <c r="EO20" s="203" t="str">
        <f ca="1">IF(EO17&lt;&gt;"",OFFSET(変更先抽出【15時】!$A$1,EM17-1,19),"")</f>
        <v/>
      </c>
      <c r="EP20" s="204"/>
      <c r="EQ20" s="44"/>
      <c r="ER20" s="199" t="str">
        <f ca="1">IF(EO17&lt;&gt;"",OFFSET(変更先抽出【15時】!$A$1,EM17-1,20),"")</f>
        <v/>
      </c>
      <c r="ES20" s="200"/>
    </row>
    <row r="21" spans="1:150" ht="15.6" customHeight="1">
      <c r="B21" s="27"/>
      <c r="C21" s="201"/>
      <c r="D21" s="201"/>
      <c r="E21" s="178"/>
      <c r="F21" s="201"/>
      <c r="G21" s="202"/>
      <c r="H21" s="26"/>
      <c r="I21" s="27"/>
      <c r="J21" s="201"/>
      <c r="K21" s="201"/>
      <c r="L21" s="178"/>
      <c r="M21" s="201"/>
      <c r="N21" s="202"/>
      <c r="Q21" s="27"/>
      <c r="R21" s="201"/>
      <c r="S21" s="201"/>
      <c r="T21" s="178"/>
      <c r="U21" s="201"/>
      <c r="V21" s="202"/>
      <c r="W21" s="26"/>
      <c r="X21" s="27"/>
      <c r="Y21" s="201"/>
      <c r="Z21" s="201"/>
      <c r="AA21" s="178"/>
      <c r="AB21" s="201"/>
      <c r="AC21" s="202"/>
      <c r="AF21" s="27"/>
      <c r="AG21" s="201"/>
      <c r="AH21" s="201"/>
      <c r="AI21" s="178"/>
      <c r="AJ21" s="201"/>
      <c r="AK21" s="202"/>
      <c r="AL21" s="26"/>
      <c r="AM21" s="27"/>
      <c r="AN21" s="201"/>
      <c r="AO21" s="201"/>
      <c r="AP21" s="178"/>
      <c r="AQ21" s="201"/>
      <c r="AR21" s="202"/>
      <c r="AU21" s="27"/>
      <c r="AV21" s="201"/>
      <c r="AW21" s="201"/>
      <c r="AX21" s="178"/>
      <c r="AY21" s="201"/>
      <c r="AZ21" s="202"/>
      <c r="BA21" s="26"/>
      <c r="BB21" s="27"/>
      <c r="BC21" s="201"/>
      <c r="BD21" s="201"/>
      <c r="BE21" s="178"/>
      <c r="BF21" s="201"/>
      <c r="BG21" s="202"/>
      <c r="BJ21" s="27"/>
      <c r="BK21" s="201"/>
      <c r="BL21" s="201"/>
      <c r="BM21" s="178"/>
      <c r="BN21" s="201"/>
      <c r="BO21" s="202"/>
      <c r="BP21" s="26"/>
      <c r="BQ21" s="27"/>
      <c r="BR21" s="201"/>
      <c r="BS21" s="201"/>
      <c r="BT21" s="178"/>
      <c r="BU21" s="201"/>
      <c r="BV21" s="202"/>
      <c r="BY21" s="27"/>
      <c r="BZ21" s="201"/>
      <c r="CA21" s="201"/>
      <c r="CB21" s="178"/>
      <c r="CC21" s="201"/>
      <c r="CD21" s="202"/>
      <c r="CE21" s="26"/>
      <c r="CF21" s="27"/>
      <c r="CG21" s="201"/>
      <c r="CH21" s="201"/>
      <c r="CI21" s="178"/>
      <c r="CJ21" s="201"/>
      <c r="CK21" s="202"/>
      <c r="CN21" s="27"/>
      <c r="CO21" s="201"/>
      <c r="CP21" s="201"/>
      <c r="CQ21" s="178"/>
      <c r="CR21" s="201"/>
      <c r="CS21" s="202"/>
      <c r="CT21" s="26"/>
      <c r="CU21" s="27"/>
      <c r="CV21" s="201"/>
      <c r="CW21" s="201"/>
      <c r="CX21" s="178"/>
      <c r="CY21" s="201"/>
      <c r="CZ21" s="202"/>
      <c r="DC21" s="27"/>
      <c r="DD21" s="201"/>
      <c r="DE21" s="201"/>
      <c r="DF21" s="178"/>
      <c r="DG21" s="201"/>
      <c r="DH21" s="202"/>
      <c r="DI21" s="26"/>
      <c r="DJ21" s="27"/>
      <c r="DK21" s="201"/>
      <c r="DL21" s="201"/>
      <c r="DM21" s="178"/>
      <c r="DN21" s="201"/>
      <c r="DO21" s="202"/>
      <c r="DR21" s="27"/>
      <c r="DS21" s="201"/>
      <c r="DT21" s="201"/>
      <c r="DU21" s="178"/>
      <c r="DV21" s="201"/>
      <c r="DW21" s="202"/>
      <c r="DX21" s="26"/>
      <c r="DY21" s="27"/>
      <c r="DZ21" s="201"/>
      <c r="EA21" s="201"/>
      <c r="EB21" s="178"/>
      <c r="EC21" s="201"/>
      <c r="ED21" s="202"/>
      <c r="EG21" s="27"/>
      <c r="EH21" s="201"/>
      <c r="EI21" s="201"/>
      <c r="EJ21" s="178"/>
      <c r="EK21" s="201"/>
      <c r="EL21" s="202"/>
      <c r="EM21" s="26"/>
      <c r="EN21" s="27"/>
      <c r="EO21" s="201"/>
      <c r="EP21" s="201"/>
      <c r="EQ21" s="178"/>
      <c r="ER21" s="201"/>
      <c r="ES21" s="202"/>
    </row>
    <row r="22" spans="1:150" s="180" customFormat="1">
      <c r="A22" s="30"/>
      <c r="B22" s="34" t="str">
        <f ca="1">IF(C17&lt;&gt;"","パン箱","")</f>
        <v/>
      </c>
      <c r="C22" s="32" t="str">
        <f ca="1">IF(C17&lt;&gt;"",OFFSET(変更先抽出【15時】!$A$1,A17-1,22),"")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IF(J17&lt;&gt;"",OFFSET(変更先抽出【15時】!$A$1,H17-1,22),"")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IF(R17&lt;&gt;"",OFFSET(変更先抽出【15時】!$A$1,P17-1,22),"")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IF(Y17&lt;&gt;"",OFFSET(変更先抽出【15時】!$A$1,W17-1,22),"")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IF(AG17&lt;&gt;"",OFFSET(変更先抽出【15時】!$A$1,AE17-1,22),"")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IF(AN17&lt;&gt;"",OFFSET(変更先抽出【15時】!$A$1,AL17-1,22),"")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IF(AV17&lt;&gt;"",OFFSET(変更先抽出【15時】!$A$1,AT17-1,22),"")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IF(BC17&lt;&gt;"",OFFSET(変更先抽出【15時】!$A$1,BA17-1,22),"")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IF(BK17&lt;&gt;"",OFFSET(変更先抽出【15時】!$A$1,BI17-1,22),"")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IF(BR17&lt;&gt;"",OFFSET(変更先抽出【15時】!$A$1,BP17-1,22),"")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IF(BZ17&lt;&gt;"",OFFSET(変更先抽出【15時】!$A$1,BX17-1,22),"")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IF(CG17&lt;&gt;"",OFFSET(変更先抽出【15時】!$A$1,CE17-1,22),"")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IF(CO17&lt;&gt;"",OFFSET(変更先抽出【15時】!$A$1,CM17-1,22),"")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IF(CV17&lt;&gt;"",OFFSET(変更先抽出【15時】!$A$1,CT17-1,22),"")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IF(DD17&lt;&gt;"",OFFSET(変更先抽出【15時】!$A$1,DB17-1,22),"")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IF(DK17&lt;&gt;"",OFFSET(変更先抽出【15時】!$A$1,DI17-1,22),"")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IF(DS17&lt;&gt;"",OFFSET(変更先抽出【15時】!$A$1,DQ17-1,22),"")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IF(DZ17&lt;&gt;"",OFFSET(変更先抽出【15時】!$A$1,DX17-1,22),"")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IF(EH17&lt;&gt;"",OFFSET(変更先抽出【15時】!$A$1,EF17-1,22),"")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IF(EO17&lt;&gt;"",OFFSET(変更先抽出【15時】!$A$1,EM17-1,22),"")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09" t="str">
        <f ca="1">IF(C17&lt;&gt;"",IFERROR(INT(C20/C22),""),"")</f>
        <v/>
      </c>
      <c r="C23" s="202"/>
      <c r="D23" s="209" t="str">
        <f ca="1">IF(C17&lt;&gt;"",IFERROR(MOD(C20,C22),""),"")</f>
        <v/>
      </c>
      <c r="E23" s="202"/>
      <c r="F23" s="210" t="str">
        <f ca="1">IF(C17&lt;&gt;"",OFFSET(変更先抽出【15時】!$A$1,A17-1,21),"")</f>
        <v/>
      </c>
      <c r="G23" s="202"/>
      <c r="I23" s="209" t="str">
        <f ca="1">IF(J17&lt;&gt;"",IFERROR(INT(J20/J22),""),"")</f>
        <v/>
      </c>
      <c r="J23" s="202"/>
      <c r="K23" s="209" t="str">
        <f ca="1">IF(J17&lt;&gt;"",IFERROR(MOD(J20,J22),""),"")</f>
        <v/>
      </c>
      <c r="L23" s="202"/>
      <c r="M23" s="210" t="str">
        <f ca="1">IF(J17&lt;&gt;"",OFFSET(変更先抽出【15時】!$A$1,H17-1,21),"")</f>
        <v/>
      </c>
      <c r="N23" s="202"/>
      <c r="Q23" s="209" t="str">
        <f ca="1">IF(R17&lt;&gt;"",IFERROR(INT(R20/R22),""),"")</f>
        <v/>
      </c>
      <c r="R23" s="202"/>
      <c r="S23" s="209" t="str">
        <f ca="1">IF(R17&lt;&gt;"",IFERROR(MOD(R20,R22),""),"")</f>
        <v/>
      </c>
      <c r="T23" s="202"/>
      <c r="U23" s="210" t="str">
        <f ca="1">IF(R17&lt;&gt;"",OFFSET(変更先抽出【15時】!$A$1,P17-1,21),"")</f>
        <v/>
      </c>
      <c r="V23" s="202"/>
      <c r="X23" s="209" t="str">
        <f ca="1">IF(Y17&lt;&gt;"",IFERROR(INT(Y20/Y22),""),"")</f>
        <v/>
      </c>
      <c r="Y23" s="202"/>
      <c r="Z23" s="209" t="str">
        <f ca="1">IF(Y17&lt;&gt;"",IFERROR(MOD(Y20,Y22),""),"")</f>
        <v/>
      </c>
      <c r="AA23" s="202"/>
      <c r="AB23" s="210" t="str">
        <f ca="1">IF(Y17&lt;&gt;"",OFFSET(変更先抽出【15時】!$A$1,W17-1,21),"")</f>
        <v/>
      </c>
      <c r="AC23" s="202"/>
      <c r="AF23" s="209" t="str">
        <f ca="1">IF(AG17&lt;&gt;"",IFERROR(INT(AG20/AG22),""),"")</f>
        <v/>
      </c>
      <c r="AG23" s="202"/>
      <c r="AH23" s="209" t="str">
        <f ca="1">IF(AG17&lt;&gt;"",IFERROR(MOD(AG20,AG22),""),"")</f>
        <v/>
      </c>
      <c r="AI23" s="202"/>
      <c r="AJ23" s="210" t="str">
        <f ca="1">IF(AG17&lt;&gt;"",OFFSET(変更先抽出【15時】!$A$1,AE17-1,21),"")</f>
        <v/>
      </c>
      <c r="AK23" s="202"/>
      <c r="AM23" s="209" t="str">
        <f ca="1">IF(AN17&lt;&gt;"",IFERROR(INT(AN20/AN22),""),"")</f>
        <v/>
      </c>
      <c r="AN23" s="202"/>
      <c r="AO23" s="209" t="str">
        <f ca="1">IF(AN17&lt;&gt;"",IFERROR(MOD(AN20,AN22),""),"")</f>
        <v/>
      </c>
      <c r="AP23" s="202"/>
      <c r="AQ23" s="210" t="str">
        <f ca="1">IF(AN17&lt;&gt;"",OFFSET(変更先抽出【15時】!$A$1,AL17-1,21),"")</f>
        <v/>
      </c>
      <c r="AR23" s="202"/>
      <c r="AU23" s="209" t="str">
        <f ca="1">IF(AV17&lt;&gt;"",IFERROR(INT(AV20/AV22),""),"")</f>
        <v/>
      </c>
      <c r="AV23" s="202"/>
      <c r="AW23" s="209" t="str">
        <f ca="1">IF(AV17&lt;&gt;"",IFERROR(MOD(AV20,AV22),""),"")</f>
        <v/>
      </c>
      <c r="AX23" s="202"/>
      <c r="AY23" s="210" t="str">
        <f ca="1">IF(AV17&lt;&gt;"",OFFSET(変更先抽出【15時】!$A$1,AT17-1,21),"")</f>
        <v/>
      </c>
      <c r="AZ23" s="202"/>
      <c r="BB23" s="209" t="str">
        <f ca="1">IF(BC17&lt;&gt;"",IFERROR(INT(BC20/BC22),""),"")</f>
        <v/>
      </c>
      <c r="BC23" s="202"/>
      <c r="BD23" s="209" t="str">
        <f ca="1">IF(BC17&lt;&gt;"",IFERROR(MOD(BC20,BC22),""),"")</f>
        <v/>
      </c>
      <c r="BE23" s="202"/>
      <c r="BF23" s="210" t="str">
        <f ca="1">IF(BC17&lt;&gt;"",OFFSET(変更先抽出【15時】!$A$1,BA17-1,21),"")</f>
        <v/>
      </c>
      <c r="BG23" s="202"/>
      <c r="BJ23" s="209" t="str">
        <f ca="1">IF(BK17&lt;&gt;"",IFERROR(INT(BK20/BK22),""),"")</f>
        <v/>
      </c>
      <c r="BK23" s="202"/>
      <c r="BL23" s="209" t="str">
        <f ca="1">IF(BK17&lt;&gt;"",IFERROR(MOD(BK20,BK22),""),"")</f>
        <v/>
      </c>
      <c r="BM23" s="202"/>
      <c r="BN23" s="210" t="str">
        <f ca="1">IF(BK17&lt;&gt;"",OFFSET(変更先抽出【15時】!$A$1,BI17-1,21),"")</f>
        <v/>
      </c>
      <c r="BO23" s="202"/>
      <c r="BQ23" s="209" t="str">
        <f ca="1">IF(BR17&lt;&gt;"",IFERROR(INT(BR20/BR22),""),"")</f>
        <v/>
      </c>
      <c r="BR23" s="202"/>
      <c r="BS23" s="209" t="str">
        <f ca="1">IF(BR17&lt;&gt;"",IFERROR(MOD(BR20,BR22),""),"")</f>
        <v/>
      </c>
      <c r="BT23" s="202"/>
      <c r="BU23" s="210" t="str">
        <f ca="1">IF(BR17&lt;&gt;"",OFFSET(変更先抽出【15時】!$A$1,BP17-1,21),"")</f>
        <v/>
      </c>
      <c r="BV23" s="202"/>
      <c r="BY23" s="209" t="str">
        <f ca="1">IF(BZ17&lt;&gt;"",IFERROR(INT(BZ20/BZ22),""),"")</f>
        <v/>
      </c>
      <c r="BZ23" s="202"/>
      <c r="CA23" s="209" t="str">
        <f ca="1">IF(BZ17&lt;&gt;"",IFERROR(MOD(BZ20,BZ22),""),"")</f>
        <v/>
      </c>
      <c r="CB23" s="202"/>
      <c r="CC23" s="210" t="str">
        <f ca="1">IF(BZ17&lt;&gt;"",OFFSET(変更先抽出【15時】!$A$1,BX17-1,21),"")</f>
        <v/>
      </c>
      <c r="CD23" s="202"/>
      <c r="CF23" s="209" t="str">
        <f ca="1">IF(CG17&lt;&gt;"",IFERROR(INT(CG20/CG22),""),"")</f>
        <v/>
      </c>
      <c r="CG23" s="202"/>
      <c r="CH23" s="209" t="str">
        <f ca="1">IF(CG17&lt;&gt;"",IFERROR(MOD(CG20,CG22),""),"")</f>
        <v/>
      </c>
      <c r="CI23" s="202"/>
      <c r="CJ23" s="210" t="str">
        <f ca="1">IF(CG17&lt;&gt;"",OFFSET(変更先抽出【15時】!$A$1,CE17-1,21),"")</f>
        <v/>
      </c>
      <c r="CK23" s="202"/>
      <c r="CN23" s="209" t="str">
        <f ca="1">IF(CO17&lt;&gt;"",IFERROR(INT(CO20/CO22),""),"")</f>
        <v/>
      </c>
      <c r="CO23" s="202"/>
      <c r="CP23" s="209" t="str">
        <f ca="1">IF(CO17&lt;&gt;"",IFERROR(MOD(CO20,CO22),""),"")</f>
        <v/>
      </c>
      <c r="CQ23" s="202"/>
      <c r="CR23" s="210" t="str">
        <f ca="1">IF(CO17&lt;&gt;"",OFFSET(変更先抽出【15時】!$A$1,CM17-1,21),"")</f>
        <v/>
      </c>
      <c r="CS23" s="202"/>
      <c r="CU23" s="209" t="str">
        <f ca="1">IF(CV17&lt;&gt;"",IFERROR(INT(CV20/CV22),""),"")</f>
        <v/>
      </c>
      <c r="CV23" s="202"/>
      <c r="CW23" s="209" t="str">
        <f ca="1">IF(CV17&lt;&gt;"",IFERROR(MOD(CV20,CV22),""),"")</f>
        <v/>
      </c>
      <c r="CX23" s="202"/>
      <c r="CY23" s="210" t="str">
        <f ca="1">IF(CV17&lt;&gt;"",OFFSET(変更先抽出【15時】!$A$1,CT17-1,21),"")</f>
        <v/>
      </c>
      <c r="CZ23" s="202"/>
      <c r="DC23" s="209" t="str">
        <f ca="1">IF(DD17&lt;&gt;"",IFERROR(INT(DD20/DD22),""),"")</f>
        <v/>
      </c>
      <c r="DD23" s="202"/>
      <c r="DE23" s="209" t="str">
        <f ca="1">IF(DD17&lt;&gt;"",IFERROR(MOD(DD20,DD22),""),"")</f>
        <v/>
      </c>
      <c r="DF23" s="202"/>
      <c r="DG23" s="210" t="str">
        <f ca="1">IF(DD17&lt;&gt;"",OFFSET(変更先抽出【15時】!$A$1,DB17-1,21),"")</f>
        <v/>
      </c>
      <c r="DH23" s="202"/>
      <c r="DJ23" s="209" t="str">
        <f ca="1">IF(DK17&lt;&gt;"",IFERROR(INT(DK20/DK22),""),"")</f>
        <v/>
      </c>
      <c r="DK23" s="202"/>
      <c r="DL23" s="209" t="str">
        <f ca="1">IF(DK17&lt;&gt;"",IFERROR(MOD(DK20,DK22),""),"")</f>
        <v/>
      </c>
      <c r="DM23" s="202"/>
      <c r="DN23" s="210" t="str">
        <f ca="1">IF(DK17&lt;&gt;"",OFFSET(変更先抽出【15時】!$A$1,DI17-1,21),"")</f>
        <v/>
      </c>
      <c r="DO23" s="202"/>
      <c r="DR23" s="209" t="str">
        <f ca="1">IF(DS17&lt;&gt;"",IFERROR(INT(DS20/DS22),""),"")</f>
        <v/>
      </c>
      <c r="DS23" s="202"/>
      <c r="DT23" s="209" t="str">
        <f ca="1">IF(DS17&lt;&gt;"",IFERROR(MOD(DS20,DS22),""),"")</f>
        <v/>
      </c>
      <c r="DU23" s="202"/>
      <c r="DV23" s="210" t="str">
        <f ca="1">IF(DS17&lt;&gt;"",OFFSET(変更先抽出【15時】!$A$1,DQ17-1,21),"")</f>
        <v/>
      </c>
      <c r="DW23" s="202"/>
      <c r="DY23" s="209" t="str">
        <f ca="1">IF(DZ17&lt;&gt;"",IFERROR(INT(DZ20/DZ22),""),"")</f>
        <v/>
      </c>
      <c r="DZ23" s="202"/>
      <c r="EA23" s="209" t="str">
        <f ca="1">IF(DZ17&lt;&gt;"",IFERROR(MOD(DZ20,DZ22),""),"")</f>
        <v/>
      </c>
      <c r="EB23" s="202"/>
      <c r="EC23" s="210" t="str">
        <f ca="1">IF(DZ17&lt;&gt;"",OFFSET(変更先抽出【15時】!$A$1,DX17-1,21),"")</f>
        <v/>
      </c>
      <c r="ED23" s="202"/>
      <c r="EG23" s="209" t="str">
        <f ca="1">IF(EH17&lt;&gt;"",IFERROR(INT(EH20/EH22),""),"")</f>
        <v/>
      </c>
      <c r="EH23" s="202"/>
      <c r="EI23" s="209" t="str">
        <f ca="1">IF(EH17&lt;&gt;"",IFERROR(MOD(EH20,EH22),""),"")</f>
        <v/>
      </c>
      <c r="EJ23" s="202"/>
      <c r="EK23" s="210" t="str">
        <f ca="1">IF(EH17&lt;&gt;"",OFFSET(変更先抽出【15時】!$A$1,EF17-1,21),"")</f>
        <v/>
      </c>
      <c r="EL23" s="202"/>
      <c r="EN23" s="209" t="str">
        <f ca="1">IF(EO17&lt;&gt;"",IFERROR(INT(EO20/EO22),""),"")</f>
        <v/>
      </c>
      <c r="EO23" s="202"/>
      <c r="EP23" s="209" t="str">
        <f ca="1">IF(EO17&lt;&gt;"",IFERROR(MOD(EO20,EO22),""),"")</f>
        <v/>
      </c>
      <c r="EQ23" s="202"/>
      <c r="ER23" s="210" t="str">
        <f ca="1">IF(EO17&lt;&gt;"",OFFSET(変更先抽出【15時】!$A$1,EM17-1,21),"")</f>
        <v/>
      </c>
      <c r="ES23" s="202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0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7" t="str">
        <f ca="1">IF(OFFSET(変更先抽出【15時】!$A$1,A25-1,16)&lt;&gt;"",OFFSET(変更先抽出【15時】!$A$1,A25-1,17),"")</f>
        <v/>
      </c>
      <c r="D25" s="208"/>
      <c r="E25" s="208"/>
      <c r="F25" s="208"/>
      <c r="G25" s="39" t="str">
        <f ca="1">IF(C25&lt;&gt;"","様","")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7" t="str">
        <f ca="1">IF(OFFSET(変更先抽出【15時】!$A$1,H25-1,16)&lt;&gt;"",OFFSET(変更先抽出【15時】!$A$1,H25-1,17),"")</f>
        <v/>
      </c>
      <c r="K25" s="208"/>
      <c r="L25" s="208"/>
      <c r="M25" s="208"/>
      <c r="N25" s="39" t="str">
        <f ca="1">IF(J25&lt;&gt;"","様","")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7" t="str">
        <f ca="1">IF(OFFSET(変更先抽出【15時】!$A$1,P25-1,16)&lt;&gt;"",OFFSET(変更先抽出【15時】!$A$1,P25-1,17),"")</f>
        <v/>
      </c>
      <c r="S25" s="208"/>
      <c r="T25" s="208"/>
      <c r="U25" s="208"/>
      <c r="V25" s="39" t="str">
        <f ca="1">IF(R25&lt;&gt;"","様","")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7" t="str">
        <f ca="1">IF(OFFSET(変更先抽出【15時】!$A$1,W25-1,16)&lt;&gt;"",OFFSET(変更先抽出【15時】!$A$1,W25-1,17),"")</f>
        <v/>
      </c>
      <c r="Z25" s="208"/>
      <c r="AA25" s="208"/>
      <c r="AB25" s="208"/>
      <c r="AC25" s="39" t="str">
        <f ca="1">IF(Y25&lt;&gt;"","様","")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7" t="str">
        <f ca="1">IF(OFFSET(変更先抽出【15時】!$A$1,AE25-1,16)&lt;&gt;"",OFFSET(変更先抽出【15時】!$A$1,AE25-1,17),"")</f>
        <v/>
      </c>
      <c r="AH25" s="208"/>
      <c r="AI25" s="208"/>
      <c r="AJ25" s="208"/>
      <c r="AK25" s="39" t="str">
        <f ca="1">IF(AG25&lt;&gt;"","様","")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7" t="str">
        <f ca="1">IF(OFFSET(変更先抽出【15時】!$A$1,AL25-1,16)&lt;&gt;"",OFFSET(変更先抽出【15時】!$A$1,AL25-1,17),"")</f>
        <v/>
      </c>
      <c r="AO25" s="208"/>
      <c r="AP25" s="208"/>
      <c r="AQ25" s="208"/>
      <c r="AR25" s="39" t="str">
        <f ca="1">IF(AN25&lt;&gt;"","様","")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7" t="str">
        <f ca="1">IF(OFFSET(変更先抽出【15時】!$A$1,AT25-1,16)&lt;&gt;"",OFFSET(変更先抽出【15時】!$A$1,AT25-1,17),"")</f>
        <v/>
      </c>
      <c r="AW25" s="208"/>
      <c r="AX25" s="208"/>
      <c r="AY25" s="208"/>
      <c r="AZ25" s="39" t="str">
        <f ca="1">IF(AV25&lt;&gt;"","様","")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7" t="str">
        <f ca="1">IF(OFFSET(変更先抽出【15時】!$A$1,BA25-1,16)&lt;&gt;"",OFFSET(変更先抽出【15時】!$A$1,BA25-1,17),"")</f>
        <v/>
      </c>
      <c r="BD25" s="208"/>
      <c r="BE25" s="208"/>
      <c r="BF25" s="208"/>
      <c r="BG25" s="39" t="str">
        <f ca="1">IF(BC25&lt;&gt;"","様","")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7" t="str">
        <f ca="1">IF(OFFSET(変更先抽出【15時】!$A$1,BI25-1,16)&lt;&gt;"",OFFSET(変更先抽出【15時】!$A$1,BI25-1,17),"")</f>
        <v/>
      </c>
      <c r="BL25" s="208"/>
      <c r="BM25" s="208"/>
      <c r="BN25" s="208"/>
      <c r="BO25" s="39" t="str">
        <f ca="1">IF(BK25&lt;&gt;"","様","")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7" t="str">
        <f ca="1">IF(OFFSET(変更先抽出【15時】!$A$1,BP25-1,16)&lt;&gt;"",OFFSET(変更先抽出【15時】!$A$1,BP25-1,17),"")</f>
        <v/>
      </c>
      <c r="BS25" s="208"/>
      <c r="BT25" s="208"/>
      <c r="BU25" s="208"/>
      <c r="BV25" s="39" t="str">
        <f ca="1">IF(BR25&lt;&gt;"","様","")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7" t="str">
        <f ca="1">IF(OFFSET(変更先抽出【15時】!$A$1,BX25-1,16)&lt;&gt;"",OFFSET(変更先抽出【15時】!$A$1,BX25-1,17),"")</f>
        <v/>
      </c>
      <c r="CA25" s="208"/>
      <c r="CB25" s="208"/>
      <c r="CC25" s="208"/>
      <c r="CD25" s="39" t="str">
        <f ca="1">IF(BZ25&lt;&gt;"","様","")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7" t="str">
        <f ca="1">IF(OFFSET(変更先抽出【15時】!$A$1,CE25-1,16)&lt;&gt;"",OFFSET(変更先抽出【15時】!$A$1,CE25-1,17),"")</f>
        <v/>
      </c>
      <c r="CH25" s="208"/>
      <c r="CI25" s="208"/>
      <c r="CJ25" s="208"/>
      <c r="CK25" s="39" t="str">
        <f ca="1">IF(CG25&lt;&gt;"","様","")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7" t="str">
        <f ca="1">IF(OFFSET(変更先抽出【15時】!$A$1,CM25-1,16)&lt;&gt;"",OFFSET(変更先抽出【15時】!$A$1,CM25-1,17),"")</f>
        <v/>
      </c>
      <c r="CP25" s="208"/>
      <c r="CQ25" s="208"/>
      <c r="CR25" s="208"/>
      <c r="CS25" s="39" t="str">
        <f ca="1">IF(CO25&lt;&gt;"","様","")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7" t="str">
        <f ca="1">IF(OFFSET(変更先抽出【15時】!$A$1,CT25-1,16)&lt;&gt;"",OFFSET(変更先抽出【15時】!$A$1,CT25-1,17),"")</f>
        <v/>
      </c>
      <c r="CW25" s="208"/>
      <c r="CX25" s="208"/>
      <c r="CY25" s="208"/>
      <c r="CZ25" s="39" t="str">
        <f ca="1">IF(CV25&lt;&gt;"","様","")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7" t="str">
        <f ca="1">IF(OFFSET(変更先抽出【15時】!$A$1,DB25-1,16)&lt;&gt;"",OFFSET(変更先抽出【15時】!$A$1,DB25-1,17),"")</f>
        <v/>
      </c>
      <c r="DE25" s="208"/>
      <c r="DF25" s="208"/>
      <c r="DG25" s="208"/>
      <c r="DH25" s="39" t="str">
        <f ca="1">IF(DD25&lt;&gt;"","様","")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7" t="str">
        <f ca="1">IF(OFFSET(変更先抽出【15時】!$A$1,DI25-1,16)&lt;&gt;"",OFFSET(変更先抽出【15時】!$A$1,DI25-1,17),"")</f>
        <v/>
      </c>
      <c r="DL25" s="208"/>
      <c r="DM25" s="208"/>
      <c r="DN25" s="208"/>
      <c r="DO25" s="39" t="str">
        <f ca="1">IF(DK25&lt;&gt;"","様","")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7" t="str">
        <f ca="1">IF(OFFSET(変更先抽出【15時】!$A$1,DQ25-1,16)&lt;&gt;"",OFFSET(変更先抽出【15時】!$A$1,DQ25-1,17),"")</f>
        <v/>
      </c>
      <c r="DT25" s="208"/>
      <c r="DU25" s="208"/>
      <c r="DV25" s="208"/>
      <c r="DW25" s="39" t="str">
        <f ca="1">IF(DS25&lt;&gt;"","様","")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7" t="str">
        <f ca="1">IF(OFFSET(変更先抽出【15時】!$A$1,DX25-1,16)&lt;&gt;"",OFFSET(変更先抽出【15時】!$A$1,DX25-1,17),"")</f>
        <v/>
      </c>
      <c r="EA25" s="208"/>
      <c r="EB25" s="208"/>
      <c r="EC25" s="208"/>
      <c r="ED25" s="39" t="str">
        <f ca="1">IF(DZ25&lt;&gt;"","様","")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7" t="str">
        <f ca="1">IF(OFFSET(変更先抽出【15時】!$A$1,EF25-1,16)&lt;&gt;"",OFFSET(変更先抽出【15時】!$A$1,EF25-1,17),"")</f>
        <v/>
      </c>
      <c r="EI25" s="208"/>
      <c r="EJ25" s="208"/>
      <c r="EK25" s="208"/>
      <c r="EL25" s="39" t="str">
        <f ca="1">IF(EH25&lt;&gt;"","様","")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7" t="str">
        <f ca="1">IF(OFFSET(変更先抽出【15時】!$A$1,EM25-1,16)&lt;&gt;"",OFFSET(変更先抽出【15時】!$A$1,EM25-1,17),"")</f>
        <v/>
      </c>
      <c r="EP25" s="208"/>
      <c r="EQ25" s="208"/>
      <c r="ER25" s="208"/>
      <c r="ES25" s="39" t="str">
        <f ca="1">IF(EO25&lt;&gt;"","様","")</f>
        <v/>
      </c>
      <c r="ET25" s="22"/>
    </row>
    <row r="26" spans="1:150" s="180" customFormat="1">
      <c r="A26" s="30"/>
      <c r="B26" s="103"/>
      <c r="C26" s="138" t="str">
        <f ca="1">IF(C25&lt;&gt;"",OFFSET(変更先抽出【15時】!$A$1,A25-1,18),"")</f>
        <v/>
      </c>
      <c r="D26" s="38"/>
      <c r="E26" s="38"/>
      <c r="F26" s="192" t="str">
        <f ca="1">IF(OFFSET(変更先抽出【15時】!$A$1,A25-1,25)&lt;&gt;"",OFFSET(変更先抽出【15時】!$A$1,A25-1,25)&amp;"箱"&amp;OFFSET(変更先抽出【15時】!$A$1,A25-1,26),"")</f>
        <v/>
      </c>
      <c r="G26" s="36"/>
      <c r="H26" s="43"/>
      <c r="I26" s="103"/>
      <c r="J26" s="138" t="str">
        <f ca="1">IF(J25&lt;&gt;"",OFFSET(変更先抽出【15時】!$A$1,H25-1,18),"")</f>
        <v/>
      </c>
      <c r="K26" s="38"/>
      <c r="L26" s="38"/>
      <c r="M26" s="192" t="str">
        <f ca="1">IF(OFFSET(変更先抽出【15時】!$A$1,H25-1,25)&lt;&gt;"",OFFSET(変更先抽出【15時】!$A$1,H25-1,25)&amp;"箱"&amp;OFFSET(変更先抽出【15時】!$A$1,H25-1,26),"")</f>
        <v/>
      </c>
      <c r="N26" s="36"/>
      <c r="O26" s="22"/>
      <c r="P26" s="30"/>
      <c r="Q26" s="103"/>
      <c r="R26" s="138" t="str">
        <f ca="1">IF(R25&lt;&gt;"",OFFSET(変更先抽出【15時】!$A$1,P25-1,18),"")</f>
        <v/>
      </c>
      <c r="S26" s="38"/>
      <c r="T26" s="38"/>
      <c r="U26" s="192" t="str">
        <f ca="1">IF(OFFSET(変更先抽出【15時】!$A$1,P25-1,25)&lt;&gt;"",OFFSET(変更先抽出【15時】!$A$1,P25-1,25)&amp;"箱"&amp;OFFSET(変更先抽出【15時】!$A$1,P25-1,26),"")</f>
        <v/>
      </c>
      <c r="V26" s="36"/>
      <c r="W26" s="43"/>
      <c r="X26" s="103"/>
      <c r="Y26" s="138" t="str">
        <f ca="1">IF(Y25&lt;&gt;"",OFFSET(変更先抽出【15時】!$A$1,W25-1,18),"")</f>
        <v/>
      </c>
      <c r="Z26" s="38"/>
      <c r="AA26" s="38"/>
      <c r="AB26" s="192" t="str">
        <f ca="1">IF(OFFSET(変更先抽出【15時】!$A$1,W25-1,25)&lt;&gt;"",OFFSET(変更先抽出【15時】!$A$1,W25-1,25)&amp;"箱"&amp;OFFSET(変更先抽出【15時】!$A$1,W25-1,26),"")</f>
        <v/>
      </c>
      <c r="AC26" s="36"/>
      <c r="AD26" s="22"/>
      <c r="AE26" s="30"/>
      <c r="AF26" s="103"/>
      <c r="AG26" s="138" t="str">
        <f ca="1">IF(AG25&lt;&gt;"",OFFSET(変更先抽出【15時】!$A$1,AE25-1,18),"")</f>
        <v/>
      </c>
      <c r="AH26" s="38"/>
      <c r="AI26" s="38"/>
      <c r="AJ26" s="192" t="str">
        <f ca="1">IF(OFFSET(変更先抽出【15時】!$A$1,AE25-1,25)&lt;&gt;"",OFFSET(変更先抽出【15時】!$A$1,AE25-1,25)&amp;"箱"&amp;OFFSET(変更先抽出【15時】!$A$1,AE25-1,26),"")</f>
        <v/>
      </c>
      <c r="AK26" s="36"/>
      <c r="AL26" s="43"/>
      <c r="AM26" s="103"/>
      <c r="AN26" s="138" t="str">
        <f ca="1">IF(AN25&lt;&gt;"",OFFSET(変更先抽出【15時】!$A$1,AL25-1,18),"")</f>
        <v/>
      </c>
      <c r="AO26" s="38"/>
      <c r="AP26" s="38"/>
      <c r="AQ26" s="192" t="str">
        <f ca="1">IF(OFFSET(変更先抽出【15時】!$A$1,AL25-1,25)&lt;&gt;"",OFFSET(変更先抽出【15時】!$A$1,AL25-1,25)&amp;"箱"&amp;OFFSET(変更先抽出【15時】!$A$1,AL25-1,26),"")</f>
        <v/>
      </c>
      <c r="AR26" s="36"/>
      <c r="AS26" s="22"/>
      <c r="AT26" s="30"/>
      <c r="AU26" s="103"/>
      <c r="AV26" s="138" t="str">
        <f ca="1">IF(AV25&lt;&gt;"",OFFSET(変更先抽出【15時】!$A$1,AT25-1,18),"")</f>
        <v/>
      </c>
      <c r="AW26" s="38"/>
      <c r="AX26" s="38"/>
      <c r="AY26" s="192" t="str">
        <f ca="1">IF(OFFSET(変更先抽出【15時】!$A$1,AT25-1,25)&lt;&gt;"",OFFSET(変更先抽出【15時】!$A$1,AT25-1,25)&amp;"箱"&amp;OFFSET(変更先抽出【15時】!$A$1,AT25-1,26),"")</f>
        <v/>
      </c>
      <c r="AZ26" s="36"/>
      <c r="BA26" s="43"/>
      <c r="BB26" s="103"/>
      <c r="BC26" s="138" t="str">
        <f ca="1">IF(BC25&lt;&gt;"",OFFSET(変更先抽出【15時】!$A$1,BA25-1,18),"")</f>
        <v/>
      </c>
      <c r="BD26" s="38"/>
      <c r="BE26" s="38"/>
      <c r="BF26" s="192" t="str">
        <f ca="1">IF(OFFSET(変更先抽出【15時】!$A$1,BA25-1,25)&lt;&gt;"",OFFSET(変更先抽出【15時】!$A$1,BA25-1,25)&amp;"箱"&amp;OFFSET(変更先抽出【15時】!$A$1,BA25-1,26),"")</f>
        <v/>
      </c>
      <c r="BG26" s="36"/>
      <c r="BH26" s="22"/>
      <c r="BI26" s="30"/>
      <c r="BJ26" s="103"/>
      <c r="BK26" s="138" t="str">
        <f ca="1">IF(BK25&lt;&gt;"",OFFSET(変更先抽出【15時】!$A$1,BI25-1,18),"")</f>
        <v/>
      </c>
      <c r="BL26" s="38"/>
      <c r="BM26" s="38"/>
      <c r="BN26" s="192" t="str">
        <f ca="1">IF(OFFSET(変更先抽出【15時】!$A$1,BI25-1,25)&lt;&gt;"",OFFSET(変更先抽出【15時】!$A$1,BI25-1,25)&amp;"箱"&amp;OFFSET(変更先抽出【15時】!$A$1,BI25-1,26),"")</f>
        <v/>
      </c>
      <c r="BO26" s="36"/>
      <c r="BP26" s="43"/>
      <c r="BQ26" s="103"/>
      <c r="BR26" s="138" t="str">
        <f ca="1">IF(BR25&lt;&gt;"",OFFSET(変更先抽出【15時】!$A$1,BP25-1,18),"")</f>
        <v/>
      </c>
      <c r="BS26" s="38"/>
      <c r="BT26" s="38"/>
      <c r="BU26" s="192" t="str">
        <f ca="1">IF(OFFSET(変更先抽出【15時】!$A$1,BP25-1,25)&lt;&gt;"",OFFSET(変更先抽出【15時】!$A$1,BP25-1,25)&amp;"箱"&amp;OFFSET(変更先抽出【15時】!$A$1,BP25-1,26),"")</f>
        <v/>
      </c>
      <c r="BV26" s="36"/>
      <c r="BW26" s="22"/>
      <c r="BX26" s="30"/>
      <c r="BY26" s="103"/>
      <c r="BZ26" s="138" t="str">
        <f ca="1">IF(BZ25&lt;&gt;"",OFFSET(変更先抽出【15時】!$A$1,BX25-1,18),"")</f>
        <v/>
      </c>
      <c r="CA26" s="38"/>
      <c r="CB26" s="38"/>
      <c r="CC26" s="192" t="str">
        <f ca="1">IF(OFFSET(変更先抽出【15時】!$A$1,BX25-1,25)&lt;&gt;"",OFFSET(変更先抽出【15時】!$A$1,BX25-1,25)&amp;"箱"&amp;OFFSET(変更先抽出【15時】!$A$1,BX25-1,26),"")</f>
        <v/>
      </c>
      <c r="CD26" s="36"/>
      <c r="CE26" s="43"/>
      <c r="CF26" s="103"/>
      <c r="CG26" s="138" t="str">
        <f ca="1">IF(CG25&lt;&gt;"",OFFSET(変更先抽出【15時】!$A$1,CE25-1,18),"")</f>
        <v/>
      </c>
      <c r="CH26" s="38"/>
      <c r="CI26" s="38"/>
      <c r="CJ26" s="192" t="str">
        <f ca="1">IF(OFFSET(変更先抽出【15時】!$A$1,CE25-1,25)&lt;&gt;"",OFFSET(変更先抽出【15時】!$A$1,CE25-1,25)&amp;"箱"&amp;OFFSET(変更先抽出【15時】!$A$1,CE25-1,26),"")</f>
        <v/>
      </c>
      <c r="CK26" s="36"/>
      <c r="CL26" s="22"/>
      <c r="CM26" s="30"/>
      <c r="CN26" s="103"/>
      <c r="CO26" s="138" t="str">
        <f ca="1">IF(CO25&lt;&gt;"",OFFSET(変更先抽出【15時】!$A$1,CM25-1,18),"")</f>
        <v/>
      </c>
      <c r="CP26" s="38"/>
      <c r="CQ26" s="38"/>
      <c r="CR26" s="192" t="str">
        <f ca="1">IF(OFFSET(変更先抽出【15時】!$A$1,CM25-1,25)&lt;&gt;"",OFFSET(変更先抽出【15時】!$A$1,CM25-1,25)&amp;"箱"&amp;OFFSET(変更先抽出【15時】!$A$1,CM25-1,26),"")</f>
        <v/>
      </c>
      <c r="CS26" s="36"/>
      <c r="CT26" s="43"/>
      <c r="CU26" s="103"/>
      <c r="CV26" s="138" t="str">
        <f ca="1">IF(CV25&lt;&gt;"",OFFSET(変更先抽出【15時】!$A$1,CT25-1,18),"")</f>
        <v/>
      </c>
      <c r="CW26" s="38"/>
      <c r="CX26" s="38"/>
      <c r="CY26" s="192" t="str">
        <f ca="1">IF(OFFSET(変更先抽出【15時】!$A$1,CT25-1,25)&lt;&gt;"",OFFSET(変更先抽出【15時】!$A$1,CT25-1,25)&amp;"箱"&amp;OFFSET(変更先抽出【15時】!$A$1,CT25-1,26),"")</f>
        <v/>
      </c>
      <c r="CZ26" s="36"/>
      <c r="DA26" s="22"/>
      <c r="DB26" s="30"/>
      <c r="DC26" s="103"/>
      <c r="DD26" s="138" t="str">
        <f ca="1">IF(DD25&lt;&gt;"",OFFSET(変更先抽出【15時】!$A$1,DB25-1,18),"")</f>
        <v/>
      </c>
      <c r="DE26" s="38"/>
      <c r="DF26" s="38"/>
      <c r="DG26" s="192" t="str">
        <f ca="1">IF(OFFSET(変更先抽出【15時】!$A$1,DB25-1,25)&lt;&gt;"",OFFSET(変更先抽出【15時】!$A$1,DB25-1,25)&amp;"箱"&amp;OFFSET(変更先抽出【15時】!$A$1,DB25-1,26),"")</f>
        <v/>
      </c>
      <c r="DH26" s="36"/>
      <c r="DI26" s="43"/>
      <c r="DJ26" s="103"/>
      <c r="DK26" s="138" t="str">
        <f ca="1">IF(DK25&lt;&gt;"",OFFSET(変更先抽出【15時】!$A$1,DI25-1,18),"")</f>
        <v/>
      </c>
      <c r="DL26" s="38"/>
      <c r="DM26" s="38"/>
      <c r="DN26" s="192" t="str">
        <f ca="1">IF(OFFSET(変更先抽出【15時】!$A$1,DI25-1,25)&lt;&gt;"",OFFSET(変更先抽出【15時】!$A$1,DI25-1,25)&amp;"箱"&amp;OFFSET(変更先抽出【15時】!$A$1,DI25-1,26),"")</f>
        <v/>
      </c>
      <c r="DO26" s="36"/>
      <c r="DP26" s="22"/>
      <c r="DQ26" s="30"/>
      <c r="DR26" s="103"/>
      <c r="DS26" s="138" t="str">
        <f ca="1">IF(DS25&lt;&gt;"",OFFSET(変更先抽出【15時】!$A$1,DQ25-1,18),"")</f>
        <v/>
      </c>
      <c r="DT26" s="38"/>
      <c r="DU26" s="38"/>
      <c r="DV26" s="192" t="str">
        <f ca="1">IF(OFFSET(変更先抽出【15時】!$A$1,DQ25-1,25)&lt;&gt;"",OFFSET(変更先抽出【15時】!$A$1,DQ25-1,25)&amp;"箱"&amp;OFFSET(変更先抽出【15時】!$A$1,DQ25-1,26),"")</f>
        <v/>
      </c>
      <c r="DW26" s="36"/>
      <c r="DX26" s="43"/>
      <c r="DY26" s="103"/>
      <c r="DZ26" s="138" t="str">
        <f ca="1">IF(DZ25&lt;&gt;"",OFFSET(変更先抽出【15時】!$A$1,DX25-1,18),"")</f>
        <v/>
      </c>
      <c r="EA26" s="38"/>
      <c r="EB26" s="38"/>
      <c r="EC26" s="192" t="str">
        <f ca="1">IF(OFFSET(変更先抽出【15時】!$A$1,DX25-1,25)&lt;&gt;"",OFFSET(変更先抽出【15時】!$A$1,DX25-1,25)&amp;"箱"&amp;OFFSET(変更先抽出【15時】!$A$1,DX25-1,26),"")</f>
        <v/>
      </c>
      <c r="ED26" s="36"/>
      <c r="EE26" s="22"/>
      <c r="EF26" s="30"/>
      <c r="EG26" s="103"/>
      <c r="EH26" s="138" t="str">
        <f ca="1">IF(EH25&lt;&gt;"",OFFSET(変更先抽出【15時】!$A$1,EF25-1,18),"")</f>
        <v/>
      </c>
      <c r="EI26" s="38"/>
      <c r="EJ26" s="38"/>
      <c r="EK26" s="192" t="str">
        <f ca="1">IF(OFFSET(変更先抽出【15時】!$A$1,EF25-1,25)&lt;&gt;"",OFFSET(変更先抽出【15時】!$A$1,EF25-1,25)&amp;"箱"&amp;OFFSET(変更先抽出【15時】!$A$1,EF25-1,26),"")</f>
        <v/>
      </c>
      <c r="EL26" s="36"/>
      <c r="EM26" s="43"/>
      <c r="EN26" s="103"/>
      <c r="EO26" s="138" t="str">
        <f ca="1">IF(EO25&lt;&gt;"",OFFSET(変更先抽出【15時】!$A$1,EM25-1,18),"")</f>
        <v/>
      </c>
      <c r="EP26" s="38"/>
      <c r="EQ26" s="38"/>
      <c r="ER26" s="192" t="str">
        <f ca="1">IF(OFFSET(変更先抽出【15時】!$A$1,EM25-1,25)&lt;&gt;"",OFFSET(変更先抽出【15時】!$A$1,EM25-1,25)&amp;"箱"&amp;OFFSET(変更先抽出【15時】!$A$1,EM25-1,26),"")</f>
        <v/>
      </c>
      <c r="ES26" s="36"/>
      <c r="ET26" s="22"/>
    </row>
    <row r="27" spans="1:150" s="180" customFormat="1">
      <c r="A27" s="30"/>
      <c r="B27" s="31"/>
      <c r="C27" s="205" t="str">
        <f ca="1">IF(C25&lt;&gt;"","園児","")</f>
        <v/>
      </c>
      <c r="D27" s="206"/>
      <c r="E27" s="22"/>
      <c r="F27" s="137" t="str">
        <f ca="1">IF(C25&lt;&gt;"","先生","")</f>
        <v/>
      </c>
      <c r="G27" s="37"/>
      <c r="H27" s="33"/>
      <c r="I27" s="31"/>
      <c r="J27" s="205" t="str">
        <f ca="1">IF(J25&lt;&gt;"","園児","")</f>
        <v/>
      </c>
      <c r="K27" s="206"/>
      <c r="L27" s="22"/>
      <c r="M27" s="137" t="str">
        <f ca="1">IF(J25&lt;&gt;"","先生","")</f>
        <v/>
      </c>
      <c r="N27" s="37"/>
      <c r="O27" s="22"/>
      <c r="P27" s="30"/>
      <c r="Q27" s="31"/>
      <c r="R27" s="205" t="str">
        <f ca="1">IF(R25&lt;&gt;"","園児","")</f>
        <v/>
      </c>
      <c r="S27" s="206"/>
      <c r="T27" s="22"/>
      <c r="U27" s="137" t="str">
        <f ca="1">IF(R25&lt;&gt;"","先生","")</f>
        <v/>
      </c>
      <c r="V27" s="37"/>
      <c r="W27" s="33"/>
      <c r="X27" s="31"/>
      <c r="Y27" s="205" t="str">
        <f ca="1">IF(Y25&lt;&gt;"","園児","")</f>
        <v/>
      </c>
      <c r="Z27" s="206"/>
      <c r="AA27" s="22"/>
      <c r="AB27" s="137" t="str">
        <f ca="1">IF(Y25&lt;&gt;"","先生","")</f>
        <v/>
      </c>
      <c r="AC27" s="37"/>
      <c r="AD27" s="22"/>
      <c r="AE27" s="30"/>
      <c r="AF27" s="31"/>
      <c r="AG27" s="205" t="str">
        <f ca="1">IF(AG25&lt;&gt;"","園児","")</f>
        <v/>
      </c>
      <c r="AH27" s="206"/>
      <c r="AI27" s="22"/>
      <c r="AJ27" s="137" t="str">
        <f ca="1">IF(AG25&lt;&gt;"","先生","")</f>
        <v/>
      </c>
      <c r="AK27" s="37"/>
      <c r="AL27" s="33"/>
      <c r="AM27" s="31"/>
      <c r="AN27" s="205" t="str">
        <f ca="1">IF(AN25&lt;&gt;"","園児","")</f>
        <v/>
      </c>
      <c r="AO27" s="206"/>
      <c r="AP27" s="22"/>
      <c r="AQ27" s="137" t="str">
        <f ca="1">IF(AN25&lt;&gt;"","先生","")</f>
        <v/>
      </c>
      <c r="AR27" s="37"/>
      <c r="AS27" s="22"/>
      <c r="AT27" s="30"/>
      <c r="AU27" s="31"/>
      <c r="AV27" s="205" t="str">
        <f ca="1">IF(AV25&lt;&gt;"","園児","")</f>
        <v/>
      </c>
      <c r="AW27" s="206"/>
      <c r="AX27" s="22"/>
      <c r="AY27" s="137" t="str">
        <f ca="1">IF(AV25&lt;&gt;"","先生","")</f>
        <v/>
      </c>
      <c r="AZ27" s="37"/>
      <c r="BA27" s="33"/>
      <c r="BB27" s="31"/>
      <c r="BC27" s="205" t="str">
        <f ca="1">IF(BC25&lt;&gt;"","園児","")</f>
        <v/>
      </c>
      <c r="BD27" s="206"/>
      <c r="BE27" s="22"/>
      <c r="BF27" s="137" t="str">
        <f ca="1">IF(BC25&lt;&gt;"","先生","")</f>
        <v/>
      </c>
      <c r="BG27" s="37"/>
      <c r="BH27" s="22"/>
      <c r="BI27" s="30"/>
      <c r="BJ27" s="31"/>
      <c r="BK27" s="205" t="str">
        <f ca="1">IF(BK25&lt;&gt;"","園児","")</f>
        <v/>
      </c>
      <c r="BL27" s="206"/>
      <c r="BM27" s="22"/>
      <c r="BN27" s="137" t="str">
        <f ca="1">IF(BK25&lt;&gt;"","先生","")</f>
        <v/>
      </c>
      <c r="BO27" s="37"/>
      <c r="BP27" s="33"/>
      <c r="BQ27" s="31"/>
      <c r="BR27" s="205" t="str">
        <f ca="1">IF(BR25&lt;&gt;"","園児","")</f>
        <v/>
      </c>
      <c r="BS27" s="206"/>
      <c r="BT27" s="22"/>
      <c r="BU27" s="137" t="str">
        <f ca="1">IF(BR25&lt;&gt;"","先生","")</f>
        <v/>
      </c>
      <c r="BV27" s="37"/>
      <c r="BW27" s="22"/>
      <c r="BX27" s="30"/>
      <c r="BY27" s="31"/>
      <c r="BZ27" s="205" t="str">
        <f ca="1">IF(BZ25&lt;&gt;"","園児","")</f>
        <v/>
      </c>
      <c r="CA27" s="206"/>
      <c r="CB27" s="22"/>
      <c r="CC27" s="137" t="str">
        <f ca="1">IF(BZ25&lt;&gt;"","先生","")</f>
        <v/>
      </c>
      <c r="CD27" s="37"/>
      <c r="CE27" s="33"/>
      <c r="CF27" s="31"/>
      <c r="CG27" s="205" t="str">
        <f ca="1">IF(CG25&lt;&gt;"","園児","")</f>
        <v/>
      </c>
      <c r="CH27" s="206"/>
      <c r="CI27" s="22"/>
      <c r="CJ27" s="137" t="str">
        <f ca="1">IF(CG25&lt;&gt;"","先生","")</f>
        <v/>
      </c>
      <c r="CK27" s="37"/>
      <c r="CL27" s="22"/>
      <c r="CM27" s="30"/>
      <c r="CN27" s="31"/>
      <c r="CO27" s="205" t="str">
        <f ca="1">IF(CO25&lt;&gt;"","園児","")</f>
        <v/>
      </c>
      <c r="CP27" s="206"/>
      <c r="CQ27" s="22"/>
      <c r="CR27" s="137" t="str">
        <f ca="1">IF(CO25&lt;&gt;"","先生","")</f>
        <v/>
      </c>
      <c r="CS27" s="37"/>
      <c r="CT27" s="33"/>
      <c r="CU27" s="31"/>
      <c r="CV27" s="205" t="str">
        <f ca="1">IF(CV25&lt;&gt;"","園児","")</f>
        <v/>
      </c>
      <c r="CW27" s="206"/>
      <c r="CX27" s="22"/>
      <c r="CY27" s="137" t="str">
        <f ca="1">IF(CV25&lt;&gt;"","先生","")</f>
        <v/>
      </c>
      <c r="CZ27" s="37"/>
      <c r="DA27" s="22"/>
      <c r="DB27" s="30"/>
      <c r="DC27" s="31"/>
      <c r="DD27" s="205" t="str">
        <f ca="1">IF(DD25&lt;&gt;"","園児","")</f>
        <v/>
      </c>
      <c r="DE27" s="206"/>
      <c r="DF27" s="22"/>
      <c r="DG27" s="137" t="str">
        <f ca="1">IF(DD25&lt;&gt;"","先生","")</f>
        <v/>
      </c>
      <c r="DH27" s="37"/>
      <c r="DI27" s="33"/>
      <c r="DJ27" s="31"/>
      <c r="DK27" s="205" t="str">
        <f ca="1">IF(DK25&lt;&gt;"","園児","")</f>
        <v/>
      </c>
      <c r="DL27" s="206"/>
      <c r="DM27" s="22"/>
      <c r="DN27" s="137" t="str">
        <f ca="1">IF(DK25&lt;&gt;"","先生","")</f>
        <v/>
      </c>
      <c r="DO27" s="37"/>
      <c r="DP27" s="22"/>
      <c r="DQ27" s="30"/>
      <c r="DR27" s="31"/>
      <c r="DS27" s="205" t="str">
        <f ca="1">IF(DS25&lt;&gt;"","園児","")</f>
        <v/>
      </c>
      <c r="DT27" s="206"/>
      <c r="DU27" s="22"/>
      <c r="DV27" s="137" t="str">
        <f ca="1">IF(DS25&lt;&gt;"","先生","")</f>
        <v/>
      </c>
      <c r="DW27" s="37"/>
      <c r="DX27" s="33"/>
      <c r="DY27" s="31"/>
      <c r="DZ27" s="205" t="str">
        <f ca="1">IF(DZ25&lt;&gt;"","園児","")</f>
        <v/>
      </c>
      <c r="EA27" s="206"/>
      <c r="EB27" s="22"/>
      <c r="EC27" s="137" t="str">
        <f ca="1">IF(DZ25&lt;&gt;"","先生","")</f>
        <v/>
      </c>
      <c r="ED27" s="37"/>
      <c r="EE27" s="22"/>
      <c r="EF27" s="30"/>
      <c r="EG27" s="31"/>
      <c r="EH27" s="205" t="str">
        <f ca="1">IF(EH25&lt;&gt;"","園児","")</f>
        <v/>
      </c>
      <c r="EI27" s="206"/>
      <c r="EJ27" s="22"/>
      <c r="EK27" s="137" t="str">
        <f ca="1">IF(EH25&lt;&gt;"","先生","")</f>
        <v/>
      </c>
      <c r="EL27" s="37"/>
      <c r="EM27" s="33"/>
      <c r="EN27" s="31"/>
      <c r="EO27" s="205" t="str">
        <f ca="1">IF(EO25&lt;&gt;"","園児","")</f>
        <v/>
      </c>
      <c r="EP27" s="206"/>
      <c r="EQ27" s="22"/>
      <c r="ER27" s="137" t="str">
        <f ca="1">IF(EO25&lt;&gt;"","先生","")</f>
        <v/>
      </c>
      <c r="ES27" s="37"/>
      <c r="ET27" s="22"/>
    </row>
    <row r="28" spans="1:150" ht="15.6" customHeight="1">
      <c r="B28" s="25"/>
      <c r="C28" s="203" t="str">
        <f ca="1">IF(C25&lt;&gt;"",OFFSET(変更先抽出【15時】!$A$1,A25-1,19),"")</f>
        <v/>
      </c>
      <c r="D28" s="204"/>
      <c r="E28" s="44"/>
      <c r="F28" s="199" t="str">
        <f ca="1">IF(C25&lt;&gt;"",OFFSET(変更先抽出【15時】!$A$1,A25-1,20),"")</f>
        <v/>
      </c>
      <c r="G28" s="200"/>
      <c r="H28" s="26"/>
      <c r="I28" s="25"/>
      <c r="J28" s="203" t="str">
        <f ca="1">IF(J25&lt;&gt;"",OFFSET(変更先抽出【15時】!$A$1,H25-1,19),"")</f>
        <v/>
      </c>
      <c r="K28" s="204"/>
      <c r="L28" s="44"/>
      <c r="M28" s="199" t="str">
        <f ca="1">IF(J25&lt;&gt;"",OFFSET(変更先抽出【15時】!$A$1,H25-1,20),"")</f>
        <v/>
      </c>
      <c r="N28" s="200"/>
      <c r="Q28" s="25"/>
      <c r="R28" s="203" t="str">
        <f ca="1">IF(R25&lt;&gt;"",OFFSET(変更先抽出【15時】!$A$1,P25-1,19),"")</f>
        <v/>
      </c>
      <c r="S28" s="204"/>
      <c r="T28" s="44"/>
      <c r="U28" s="199" t="str">
        <f ca="1">IF(R25&lt;&gt;"",OFFSET(変更先抽出【15時】!$A$1,P25-1,20),"")</f>
        <v/>
      </c>
      <c r="V28" s="200"/>
      <c r="W28" s="26"/>
      <c r="X28" s="25"/>
      <c r="Y28" s="203" t="str">
        <f ca="1">IF(Y25&lt;&gt;"",OFFSET(変更先抽出【15時】!$A$1,W25-1,19),"")</f>
        <v/>
      </c>
      <c r="Z28" s="204"/>
      <c r="AA28" s="44"/>
      <c r="AB28" s="199" t="str">
        <f ca="1">IF(Y25&lt;&gt;"",OFFSET(変更先抽出【15時】!$A$1,W25-1,20),"")</f>
        <v/>
      </c>
      <c r="AC28" s="200"/>
      <c r="AF28" s="25"/>
      <c r="AG28" s="203" t="str">
        <f ca="1">IF(AG25&lt;&gt;"",OFFSET(変更先抽出【15時】!$A$1,AE25-1,19),"")</f>
        <v/>
      </c>
      <c r="AH28" s="204"/>
      <c r="AI28" s="44"/>
      <c r="AJ28" s="199" t="str">
        <f ca="1">IF(AG25&lt;&gt;"",OFFSET(変更先抽出【15時】!$A$1,AE25-1,20),"")</f>
        <v/>
      </c>
      <c r="AK28" s="200"/>
      <c r="AL28" s="26"/>
      <c r="AM28" s="25"/>
      <c r="AN28" s="203" t="str">
        <f ca="1">IF(AN25&lt;&gt;"",OFFSET(変更先抽出【15時】!$A$1,AL25-1,19),"")</f>
        <v/>
      </c>
      <c r="AO28" s="204"/>
      <c r="AP28" s="44"/>
      <c r="AQ28" s="199" t="str">
        <f ca="1">IF(AN25&lt;&gt;"",OFFSET(変更先抽出【15時】!$A$1,AL25-1,20),"")</f>
        <v/>
      </c>
      <c r="AR28" s="200"/>
      <c r="AU28" s="25"/>
      <c r="AV28" s="203" t="str">
        <f ca="1">IF(AV25&lt;&gt;"",OFFSET(変更先抽出【15時】!$A$1,AT25-1,19),"")</f>
        <v/>
      </c>
      <c r="AW28" s="204"/>
      <c r="AX28" s="44"/>
      <c r="AY28" s="199" t="str">
        <f ca="1">IF(AV25&lt;&gt;"",OFFSET(変更先抽出【15時】!$A$1,AT25-1,20),"")</f>
        <v/>
      </c>
      <c r="AZ28" s="200"/>
      <c r="BA28" s="26"/>
      <c r="BB28" s="25"/>
      <c r="BC28" s="203" t="str">
        <f ca="1">IF(BC25&lt;&gt;"",OFFSET(変更先抽出【15時】!$A$1,BA25-1,19),"")</f>
        <v/>
      </c>
      <c r="BD28" s="204"/>
      <c r="BE28" s="44"/>
      <c r="BF28" s="199" t="str">
        <f ca="1">IF(BC25&lt;&gt;"",OFFSET(変更先抽出【15時】!$A$1,BA25-1,20),"")</f>
        <v/>
      </c>
      <c r="BG28" s="200"/>
      <c r="BJ28" s="25"/>
      <c r="BK28" s="203" t="str">
        <f ca="1">IF(BK25&lt;&gt;"",OFFSET(変更先抽出【15時】!$A$1,BI25-1,19),"")</f>
        <v/>
      </c>
      <c r="BL28" s="204"/>
      <c r="BM28" s="44"/>
      <c r="BN28" s="199" t="str">
        <f ca="1">IF(BK25&lt;&gt;"",OFFSET(変更先抽出【15時】!$A$1,BI25-1,20),"")</f>
        <v/>
      </c>
      <c r="BO28" s="200"/>
      <c r="BP28" s="26"/>
      <c r="BQ28" s="25"/>
      <c r="BR28" s="203" t="str">
        <f ca="1">IF(BR25&lt;&gt;"",OFFSET(変更先抽出【15時】!$A$1,BP25-1,19),"")</f>
        <v/>
      </c>
      <c r="BS28" s="204"/>
      <c r="BT28" s="44"/>
      <c r="BU28" s="199" t="str">
        <f ca="1">IF(BR25&lt;&gt;"",OFFSET(変更先抽出【15時】!$A$1,BP25-1,20),"")</f>
        <v/>
      </c>
      <c r="BV28" s="200"/>
      <c r="BY28" s="25"/>
      <c r="BZ28" s="203" t="str">
        <f ca="1">IF(BZ25&lt;&gt;"",OFFSET(変更先抽出【15時】!$A$1,BX25-1,19),"")</f>
        <v/>
      </c>
      <c r="CA28" s="204"/>
      <c r="CB28" s="44"/>
      <c r="CC28" s="199" t="str">
        <f ca="1">IF(BZ25&lt;&gt;"",OFFSET(変更先抽出【15時】!$A$1,BX25-1,20),"")</f>
        <v/>
      </c>
      <c r="CD28" s="200"/>
      <c r="CE28" s="26"/>
      <c r="CF28" s="25"/>
      <c r="CG28" s="203" t="str">
        <f ca="1">IF(CG25&lt;&gt;"",OFFSET(変更先抽出【15時】!$A$1,CE25-1,19),"")</f>
        <v/>
      </c>
      <c r="CH28" s="204"/>
      <c r="CI28" s="44"/>
      <c r="CJ28" s="199" t="str">
        <f ca="1">IF(CG25&lt;&gt;"",OFFSET(変更先抽出【15時】!$A$1,CE25-1,20),"")</f>
        <v/>
      </c>
      <c r="CK28" s="200"/>
      <c r="CN28" s="25"/>
      <c r="CO28" s="203" t="str">
        <f ca="1">IF(CO25&lt;&gt;"",OFFSET(変更先抽出【15時】!$A$1,CM25-1,19),"")</f>
        <v/>
      </c>
      <c r="CP28" s="204"/>
      <c r="CQ28" s="44"/>
      <c r="CR28" s="199" t="str">
        <f ca="1">IF(CO25&lt;&gt;"",OFFSET(変更先抽出【15時】!$A$1,CM25-1,20),"")</f>
        <v/>
      </c>
      <c r="CS28" s="200"/>
      <c r="CT28" s="26"/>
      <c r="CU28" s="25"/>
      <c r="CV28" s="203" t="str">
        <f ca="1">IF(CV25&lt;&gt;"",OFFSET(変更先抽出【15時】!$A$1,CT25-1,19),"")</f>
        <v/>
      </c>
      <c r="CW28" s="204"/>
      <c r="CX28" s="44"/>
      <c r="CY28" s="199" t="str">
        <f ca="1">IF(CV25&lt;&gt;"",OFFSET(変更先抽出【15時】!$A$1,CT25-1,20),"")</f>
        <v/>
      </c>
      <c r="CZ28" s="200"/>
      <c r="DC28" s="25"/>
      <c r="DD28" s="203" t="str">
        <f ca="1">IF(DD25&lt;&gt;"",OFFSET(変更先抽出【15時】!$A$1,DB25-1,19),"")</f>
        <v/>
      </c>
      <c r="DE28" s="204"/>
      <c r="DF28" s="44"/>
      <c r="DG28" s="199" t="str">
        <f ca="1">IF(DD25&lt;&gt;"",OFFSET(変更先抽出【15時】!$A$1,DB25-1,20),"")</f>
        <v/>
      </c>
      <c r="DH28" s="200"/>
      <c r="DI28" s="26"/>
      <c r="DJ28" s="25"/>
      <c r="DK28" s="203" t="str">
        <f ca="1">IF(DK25&lt;&gt;"",OFFSET(変更先抽出【15時】!$A$1,DI25-1,19),"")</f>
        <v/>
      </c>
      <c r="DL28" s="204"/>
      <c r="DM28" s="44"/>
      <c r="DN28" s="199" t="str">
        <f ca="1">IF(DK25&lt;&gt;"",OFFSET(変更先抽出【15時】!$A$1,DI25-1,20),"")</f>
        <v/>
      </c>
      <c r="DO28" s="200"/>
      <c r="DR28" s="25"/>
      <c r="DS28" s="203" t="str">
        <f ca="1">IF(DS25&lt;&gt;"",OFFSET(変更先抽出【15時】!$A$1,DQ25-1,19),"")</f>
        <v/>
      </c>
      <c r="DT28" s="204"/>
      <c r="DU28" s="44"/>
      <c r="DV28" s="199" t="str">
        <f ca="1">IF(DS25&lt;&gt;"",OFFSET(変更先抽出【15時】!$A$1,DQ25-1,20),"")</f>
        <v/>
      </c>
      <c r="DW28" s="200"/>
      <c r="DX28" s="26"/>
      <c r="DY28" s="25"/>
      <c r="DZ28" s="203" t="str">
        <f ca="1">IF(DZ25&lt;&gt;"",OFFSET(変更先抽出【15時】!$A$1,DX25-1,19),"")</f>
        <v/>
      </c>
      <c r="EA28" s="204"/>
      <c r="EB28" s="44"/>
      <c r="EC28" s="199" t="str">
        <f ca="1">IF(DZ25&lt;&gt;"",OFFSET(変更先抽出【15時】!$A$1,DX25-1,20),"")</f>
        <v/>
      </c>
      <c r="ED28" s="200"/>
      <c r="EG28" s="25"/>
      <c r="EH28" s="203" t="str">
        <f ca="1">IF(EH25&lt;&gt;"",OFFSET(変更先抽出【15時】!$A$1,EF25-1,19),"")</f>
        <v/>
      </c>
      <c r="EI28" s="204"/>
      <c r="EJ28" s="44"/>
      <c r="EK28" s="199" t="str">
        <f ca="1">IF(EH25&lt;&gt;"",OFFSET(変更先抽出【15時】!$A$1,EF25-1,20),"")</f>
        <v/>
      </c>
      <c r="EL28" s="200"/>
      <c r="EM28" s="26"/>
      <c r="EN28" s="25"/>
      <c r="EO28" s="203" t="str">
        <f ca="1">IF(EO25&lt;&gt;"",OFFSET(変更先抽出【15時】!$A$1,EM25-1,19),"")</f>
        <v/>
      </c>
      <c r="EP28" s="204"/>
      <c r="EQ28" s="44"/>
      <c r="ER28" s="199" t="str">
        <f ca="1">IF(EO25&lt;&gt;"",OFFSET(変更先抽出【15時】!$A$1,EM25-1,20),"")</f>
        <v/>
      </c>
      <c r="ES28" s="200"/>
    </row>
    <row r="29" spans="1:150" ht="15.6" customHeight="1">
      <c r="B29" s="27"/>
      <c r="C29" s="201"/>
      <c r="D29" s="201"/>
      <c r="E29" s="178"/>
      <c r="F29" s="201"/>
      <c r="G29" s="202"/>
      <c r="H29" s="26"/>
      <c r="I29" s="27"/>
      <c r="J29" s="201"/>
      <c r="K29" s="201"/>
      <c r="L29" s="178"/>
      <c r="M29" s="201"/>
      <c r="N29" s="202"/>
      <c r="Q29" s="27"/>
      <c r="R29" s="201"/>
      <c r="S29" s="201"/>
      <c r="T29" s="178"/>
      <c r="U29" s="201"/>
      <c r="V29" s="202"/>
      <c r="W29" s="26"/>
      <c r="X29" s="27"/>
      <c r="Y29" s="201"/>
      <c r="Z29" s="201"/>
      <c r="AA29" s="178"/>
      <c r="AB29" s="201"/>
      <c r="AC29" s="202"/>
      <c r="AF29" s="27"/>
      <c r="AG29" s="201"/>
      <c r="AH29" s="201"/>
      <c r="AI29" s="178"/>
      <c r="AJ29" s="201"/>
      <c r="AK29" s="202"/>
      <c r="AL29" s="26"/>
      <c r="AM29" s="27"/>
      <c r="AN29" s="201"/>
      <c r="AO29" s="201"/>
      <c r="AP29" s="178"/>
      <c r="AQ29" s="201"/>
      <c r="AR29" s="202"/>
      <c r="AU29" s="27"/>
      <c r="AV29" s="201"/>
      <c r="AW29" s="201"/>
      <c r="AX29" s="178"/>
      <c r="AY29" s="201"/>
      <c r="AZ29" s="202"/>
      <c r="BA29" s="26"/>
      <c r="BB29" s="27"/>
      <c r="BC29" s="201"/>
      <c r="BD29" s="201"/>
      <c r="BE29" s="178"/>
      <c r="BF29" s="201"/>
      <c r="BG29" s="202"/>
      <c r="BJ29" s="27"/>
      <c r="BK29" s="201"/>
      <c r="BL29" s="201"/>
      <c r="BM29" s="178"/>
      <c r="BN29" s="201"/>
      <c r="BO29" s="202"/>
      <c r="BP29" s="26"/>
      <c r="BQ29" s="27"/>
      <c r="BR29" s="201"/>
      <c r="BS29" s="201"/>
      <c r="BT29" s="178"/>
      <c r="BU29" s="201"/>
      <c r="BV29" s="202"/>
      <c r="BY29" s="27"/>
      <c r="BZ29" s="201"/>
      <c r="CA29" s="201"/>
      <c r="CB29" s="178"/>
      <c r="CC29" s="201"/>
      <c r="CD29" s="202"/>
      <c r="CE29" s="26"/>
      <c r="CF29" s="27"/>
      <c r="CG29" s="201"/>
      <c r="CH29" s="201"/>
      <c r="CI29" s="178"/>
      <c r="CJ29" s="201"/>
      <c r="CK29" s="202"/>
      <c r="CN29" s="27"/>
      <c r="CO29" s="201"/>
      <c r="CP29" s="201"/>
      <c r="CQ29" s="178"/>
      <c r="CR29" s="201"/>
      <c r="CS29" s="202"/>
      <c r="CT29" s="26"/>
      <c r="CU29" s="27"/>
      <c r="CV29" s="201"/>
      <c r="CW29" s="201"/>
      <c r="CX29" s="178"/>
      <c r="CY29" s="201"/>
      <c r="CZ29" s="202"/>
      <c r="DC29" s="27"/>
      <c r="DD29" s="201"/>
      <c r="DE29" s="201"/>
      <c r="DF29" s="178"/>
      <c r="DG29" s="201"/>
      <c r="DH29" s="202"/>
      <c r="DI29" s="26"/>
      <c r="DJ29" s="27"/>
      <c r="DK29" s="201"/>
      <c r="DL29" s="201"/>
      <c r="DM29" s="178"/>
      <c r="DN29" s="201"/>
      <c r="DO29" s="202"/>
      <c r="DR29" s="27"/>
      <c r="DS29" s="201"/>
      <c r="DT29" s="201"/>
      <c r="DU29" s="178"/>
      <c r="DV29" s="201"/>
      <c r="DW29" s="202"/>
      <c r="DX29" s="26"/>
      <c r="DY29" s="27"/>
      <c r="DZ29" s="201"/>
      <c r="EA29" s="201"/>
      <c r="EB29" s="178"/>
      <c r="EC29" s="201"/>
      <c r="ED29" s="202"/>
      <c r="EG29" s="27"/>
      <c r="EH29" s="201"/>
      <c r="EI29" s="201"/>
      <c r="EJ29" s="178"/>
      <c r="EK29" s="201"/>
      <c r="EL29" s="202"/>
      <c r="EM29" s="26"/>
      <c r="EN29" s="27"/>
      <c r="EO29" s="201"/>
      <c r="EP29" s="201"/>
      <c r="EQ29" s="178"/>
      <c r="ER29" s="201"/>
      <c r="ES29" s="202"/>
    </row>
    <row r="30" spans="1:150" s="180" customFormat="1">
      <c r="A30" s="30"/>
      <c r="B30" s="34" t="str">
        <f ca="1">IF(C25&lt;&gt;"","パン箱","")</f>
        <v/>
      </c>
      <c r="C30" s="32" t="str">
        <f ca="1">IF(C25&lt;&gt;"",OFFSET(変更先抽出【15時】!$A$1,A25-1,22),"")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IF(J25&lt;&gt;"",OFFSET(変更先抽出【15時】!$A$1,H25-1,22),"")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IF(R25&lt;&gt;"",OFFSET(変更先抽出【15時】!$A$1,P25-1,22),"")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IF(Y25&lt;&gt;"",OFFSET(変更先抽出【15時】!$A$1,W25-1,22),"")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IF(AG25&lt;&gt;"",OFFSET(変更先抽出【15時】!$A$1,AE25-1,22),"")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IF(AN25&lt;&gt;"",OFFSET(変更先抽出【15時】!$A$1,AL25-1,22),"")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IF(AV25&lt;&gt;"",OFFSET(変更先抽出【15時】!$A$1,AT25-1,22),"")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IF(BC25&lt;&gt;"",OFFSET(変更先抽出【15時】!$A$1,BA25-1,22),"")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IF(BK25&lt;&gt;"",OFFSET(変更先抽出【15時】!$A$1,BI25-1,22),"")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IF(BR25&lt;&gt;"",OFFSET(変更先抽出【15時】!$A$1,BP25-1,22),"")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IF(BZ25&lt;&gt;"",OFFSET(変更先抽出【15時】!$A$1,BX25-1,22),"")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IF(CG25&lt;&gt;"",OFFSET(変更先抽出【15時】!$A$1,CE25-1,22),"")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IF(CO25&lt;&gt;"",OFFSET(変更先抽出【15時】!$A$1,CM25-1,22),"")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IF(CV25&lt;&gt;"",OFFSET(変更先抽出【15時】!$A$1,CT25-1,22),"")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IF(DD25&lt;&gt;"",OFFSET(変更先抽出【15時】!$A$1,DB25-1,22),"")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IF(DK25&lt;&gt;"",OFFSET(変更先抽出【15時】!$A$1,DI25-1,22),"")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IF(DS25&lt;&gt;"",OFFSET(変更先抽出【15時】!$A$1,DQ25-1,22),"")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IF(DZ25&lt;&gt;"",OFFSET(変更先抽出【15時】!$A$1,DX25-1,22),"")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IF(EH25&lt;&gt;"",OFFSET(変更先抽出【15時】!$A$1,EF25-1,22),"")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IF(EO25&lt;&gt;"",OFFSET(変更先抽出【15時】!$A$1,EM25-1,22),"")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09" t="str">
        <f ca="1">IF(C25&lt;&gt;"",IFERROR(INT(C28/C30),""),"")</f>
        <v/>
      </c>
      <c r="C31" s="202"/>
      <c r="D31" s="209" t="str">
        <f ca="1">IF(C25&lt;&gt;"",IFERROR(MOD(C28,C30),""),"")</f>
        <v/>
      </c>
      <c r="E31" s="202"/>
      <c r="F31" s="210" t="str">
        <f ca="1">IF(C25&lt;&gt;"",OFFSET(変更先抽出【15時】!$A$1,A25-1,21),"")</f>
        <v/>
      </c>
      <c r="G31" s="202"/>
      <c r="I31" s="209" t="str">
        <f ca="1">IF(J25&lt;&gt;"",IFERROR(INT(J28/J30),""),"")</f>
        <v/>
      </c>
      <c r="J31" s="202"/>
      <c r="K31" s="209" t="str">
        <f ca="1">IF(J25&lt;&gt;"",IFERROR(MOD(J28,J30),""),"")</f>
        <v/>
      </c>
      <c r="L31" s="202"/>
      <c r="M31" s="210" t="str">
        <f ca="1">IF(J25&lt;&gt;"",OFFSET(変更先抽出【15時】!$A$1,H25-1,21),"")</f>
        <v/>
      </c>
      <c r="N31" s="202"/>
      <c r="Q31" s="209" t="str">
        <f ca="1">IF(R25&lt;&gt;"",IFERROR(INT(R28/R30),""),"")</f>
        <v/>
      </c>
      <c r="R31" s="202"/>
      <c r="S31" s="209" t="str">
        <f ca="1">IF(R25&lt;&gt;"",IFERROR(MOD(R28,R30),""),"")</f>
        <v/>
      </c>
      <c r="T31" s="202"/>
      <c r="U31" s="210" t="str">
        <f ca="1">IF(R25&lt;&gt;"",OFFSET(変更先抽出【15時】!$A$1,P25-1,21),"")</f>
        <v/>
      </c>
      <c r="V31" s="202"/>
      <c r="X31" s="209" t="str">
        <f ca="1">IF(Y25&lt;&gt;"",IFERROR(INT(Y28/Y30),""),"")</f>
        <v/>
      </c>
      <c r="Y31" s="202"/>
      <c r="Z31" s="209" t="str">
        <f ca="1">IF(Y25&lt;&gt;"",IFERROR(MOD(Y28,Y30),""),"")</f>
        <v/>
      </c>
      <c r="AA31" s="202"/>
      <c r="AB31" s="210" t="str">
        <f ca="1">IF(Y25&lt;&gt;"",OFFSET(変更先抽出【15時】!$A$1,W25-1,21),"")</f>
        <v/>
      </c>
      <c r="AC31" s="202"/>
      <c r="AF31" s="209" t="str">
        <f ca="1">IF(AG25&lt;&gt;"",IFERROR(INT(AG28/AG30),""),"")</f>
        <v/>
      </c>
      <c r="AG31" s="202"/>
      <c r="AH31" s="209" t="str">
        <f ca="1">IF(AG25&lt;&gt;"",IFERROR(MOD(AG28,AG30),""),"")</f>
        <v/>
      </c>
      <c r="AI31" s="202"/>
      <c r="AJ31" s="210" t="str">
        <f ca="1">IF(AG25&lt;&gt;"",OFFSET(変更先抽出【15時】!$A$1,AE25-1,21),"")</f>
        <v/>
      </c>
      <c r="AK31" s="202"/>
      <c r="AM31" s="209" t="str">
        <f ca="1">IF(AN25&lt;&gt;"",IFERROR(INT(AN28/AN30),""),"")</f>
        <v/>
      </c>
      <c r="AN31" s="202"/>
      <c r="AO31" s="209" t="str">
        <f ca="1">IF(AN25&lt;&gt;"",IFERROR(MOD(AN28,AN30),""),"")</f>
        <v/>
      </c>
      <c r="AP31" s="202"/>
      <c r="AQ31" s="210" t="str">
        <f ca="1">IF(AN25&lt;&gt;"",OFFSET(変更先抽出【15時】!$A$1,AL25-1,21),"")</f>
        <v/>
      </c>
      <c r="AR31" s="202"/>
      <c r="AU31" s="209" t="str">
        <f ca="1">IF(AV25&lt;&gt;"",IFERROR(INT(AV28/AV30),""),"")</f>
        <v/>
      </c>
      <c r="AV31" s="202"/>
      <c r="AW31" s="209" t="str">
        <f ca="1">IF(AV25&lt;&gt;"",IFERROR(MOD(AV28,AV30),""),"")</f>
        <v/>
      </c>
      <c r="AX31" s="202"/>
      <c r="AY31" s="210" t="str">
        <f ca="1">IF(AV25&lt;&gt;"",OFFSET(変更先抽出【15時】!$A$1,AT25-1,21),"")</f>
        <v/>
      </c>
      <c r="AZ31" s="202"/>
      <c r="BB31" s="209" t="str">
        <f ca="1">IF(BC25&lt;&gt;"",IFERROR(INT(BC28/BC30),""),"")</f>
        <v/>
      </c>
      <c r="BC31" s="202"/>
      <c r="BD31" s="209" t="str">
        <f ca="1">IF(BC25&lt;&gt;"",IFERROR(MOD(BC28,BC30),""),"")</f>
        <v/>
      </c>
      <c r="BE31" s="202"/>
      <c r="BF31" s="210" t="str">
        <f ca="1">IF(BC25&lt;&gt;"",OFFSET(変更先抽出【15時】!$A$1,BA25-1,21),"")</f>
        <v/>
      </c>
      <c r="BG31" s="202"/>
      <c r="BJ31" s="209" t="str">
        <f ca="1">IF(BK25&lt;&gt;"",IFERROR(INT(BK28/BK30),""),"")</f>
        <v/>
      </c>
      <c r="BK31" s="202"/>
      <c r="BL31" s="209" t="str">
        <f ca="1">IF(BK25&lt;&gt;"",IFERROR(MOD(BK28,BK30),""),"")</f>
        <v/>
      </c>
      <c r="BM31" s="202"/>
      <c r="BN31" s="210" t="str">
        <f ca="1">IF(BK25&lt;&gt;"",OFFSET(変更先抽出【15時】!$A$1,BI25-1,21),"")</f>
        <v/>
      </c>
      <c r="BO31" s="202"/>
      <c r="BQ31" s="209" t="str">
        <f ca="1">IF(BR25&lt;&gt;"",IFERROR(INT(BR28/BR30),""),"")</f>
        <v/>
      </c>
      <c r="BR31" s="202"/>
      <c r="BS31" s="209" t="str">
        <f ca="1">IF(BR25&lt;&gt;"",IFERROR(MOD(BR28,BR30),""),"")</f>
        <v/>
      </c>
      <c r="BT31" s="202"/>
      <c r="BU31" s="210" t="str">
        <f ca="1">IF(BR25&lt;&gt;"",OFFSET(変更先抽出【15時】!$A$1,BP25-1,21),"")</f>
        <v/>
      </c>
      <c r="BV31" s="202"/>
      <c r="BY31" s="209" t="str">
        <f ca="1">IF(BZ25&lt;&gt;"",IFERROR(INT(BZ28/BZ30),""),"")</f>
        <v/>
      </c>
      <c r="BZ31" s="202"/>
      <c r="CA31" s="209" t="str">
        <f ca="1">IF(BZ25&lt;&gt;"",IFERROR(MOD(BZ28,BZ30),""),"")</f>
        <v/>
      </c>
      <c r="CB31" s="202"/>
      <c r="CC31" s="210" t="str">
        <f ca="1">IF(BZ25&lt;&gt;"",OFFSET(変更先抽出【15時】!$A$1,BX25-1,21),"")</f>
        <v/>
      </c>
      <c r="CD31" s="202"/>
      <c r="CF31" s="209" t="str">
        <f ca="1">IF(CG25&lt;&gt;"",IFERROR(INT(CG28/CG30),""),"")</f>
        <v/>
      </c>
      <c r="CG31" s="202"/>
      <c r="CH31" s="209" t="str">
        <f ca="1">IF(CG25&lt;&gt;"",IFERROR(MOD(CG28,CG30),""),"")</f>
        <v/>
      </c>
      <c r="CI31" s="202"/>
      <c r="CJ31" s="210" t="str">
        <f ca="1">IF(CG25&lt;&gt;"",OFFSET(変更先抽出【15時】!$A$1,CE25-1,21),"")</f>
        <v/>
      </c>
      <c r="CK31" s="202"/>
      <c r="CN31" s="209" t="str">
        <f ca="1">IF(CO25&lt;&gt;"",IFERROR(INT(CO28/CO30),""),"")</f>
        <v/>
      </c>
      <c r="CO31" s="202"/>
      <c r="CP31" s="209" t="str">
        <f ca="1">IF(CO25&lt;&gt;"",IFERROR(MOD(CO28,CO30),""),"")</f>
        <v/>
      </c>
      <c r="CQ31" s="202"/>
      <c r="CR31" s="210" t="str">
        <f ca="1">IF(CO25&lt;&gt;"",OFFSET(変更先抽出【15時】!$A$1,CM25-1,21),"")</f>
        <v/>
      </c>
      <c r="CS31" s="202"/>
      <c r="CU31" s="209" t="str">
        <f ca="1">IF(CV25&lt;&gt;"",IFERROR(INT(CV28/CV30),""),"")</f>
        <v/>
      </c>
      <c r="CV31" s="202"/>
      <c r="CW31" s="209" t="str">
        <f ca="1">IF(CV25&lt;&gt;"",IFERROR(MOD(CV28,CV30),""),"")</f>
        <v/>
      </c>
      <c r="CX31" s="202"/>
      <c r="CY31" s="210" t="str">
        <f ca="1">IF(CV25&lt;&gt;"",OFFSET(変更先抽出【15時】!$A$1,CT25-1,21),"")</f>
        <v/>
      </c>
      <c r="CZ31" s="202"/>
      <c r="DC31" s="209" t="str">
        <f ca="1">IF(DD25&lt;&gt;"",IFERROR(INT(DD28/DD30),""),"")</f>
        <v/>
      </c>
      <c r="DD31" s="202"/>
      <c r="DE31" s="209" t="str">
        <f ca="1">IF(DD25&lt;&gt;"",IFERROR(MOD(DD28,DD30),""),"")</f>
        <v/>
      </c>
      <c r="DF31" s="202"/>
      <c r="DG31" s="210" t="str">
        <f ca="1">IF(DD25&lt;&gt;"",OFFSET(変更先抽出【15時】!$A$1,DB25-1,21),"")</f>
        <v/>
      </c>
      <c r="DH31" s="202"/>
      <c r="DJ31" s="209" t="str">
        <f ca="1">IF(DK25&lt;&gt;"",IFERROR(INT(DK28/DK30),""),"")</f>
        <v/>
      </c>
      <c r="DK31" s="202"/>
      <c r="DL31" s="209" t="str">
        <f ca="1">IF(DK25&lt;&gt;"",IFERROR(MOD(DK28,DK30),""),"")</f>
        <v/>
      </c>
      <c r="DM31" s="202"/>
      <c r="DN31" s="210" t="str">
        <f ca="1">IF(DK25&lt;&gt;"",OFFSET(変更先抽出【15時】!$A$1,DI25-1,21),"")</f>
        <v/>
      </c>
      <c r="DO31" s="202"/>
      <c r="DR31" s="209" t="str">
        <f ca="1">IF(DS25&lt;&gt;"",IFERROR(INT(DS28/DS30),""),"")</f>
        <v/>
      </c>
      <c r="DS31" s="202"/>
      <c r="DT31" s="209" t="str">
        <f ca="1">IF(DS25&lt;&gt;"",IFERROR(MOD(DS28,DS30),""),"")</f>
        <v/>
      </c>
      <c r="DU31" s="202"/>
      <c r="DV31" s="210" t="str">
        <f ca="1">IF(DS25&lt;&gt;"",OFFSET(変更先抽出【15時】!$A$1,DQ25-1,21),"")</f>
        <v/>
      </c>
      <c r="DW31" s="202"/>
      <c r="DY31" s="209" t="str">
        <f ca="1">IF(DZ25&lt;&gt;"",IFERROR(INT(DZ28/DZ30),""),"")</f>
        <v/>
      </c>
      <c r="DZ31" s="202"/>
      <c r="EA31" s="209" t="str">
        <f ca="1">IF(DZ25&lt;&gt;"",IFERROR(MOD(DZ28,DZ30),""),"")</f>
        <v/>
      </c>
      <c r="EB31" s="202"/>
      <c r="EC31" s="210" t="str">
        <f ca="1">IF(DZ25&lt;&gt;"",OFFSET(変更先抽出【15時】!$A$1,DX25-1,21),"")</f>
        <v/>
      </c>
      <c r="ED31" s="202"/>
      <c r="EG31" s="209" t="str">
        <f ca="1">IF(EH25&lt;&gt;"",IFERROR(INT(EH28/EH30),""),"")</f>
        <v/>
      </c>
      <c r="EH31" s="202"/>
      <c r="EI31" s="209" t="str">
        <f ca="1">IF(EH25&lt;&gt;"",IFERROR(MOD(EH28,EH30),""),"")</f>
        <v/>
      </c>
      <c r="EJ31" s="202"/>
      <c r="EK31" s="210" t="str">
        <f ca="1">IF(EH25&lt;&gt;"",OFFSET(変更先抽出【15時】!$A$1,EF25-1,21),"")</f>
        <v/>
      </c>
      <c r="EL31" s="202"/>
      <c r="EN31" s="209" t="str">
        <f ca="1">IF(EO25&lt;&gt;"",IFERROR(INT(EO28/EO30),""),"")</f>
        <v/>
      </c>
      <c r="EO31" s="202"/>
      <c r="EP31" s="209" t="str">
        <f ca="1">IF(EO25&lt;&gt;"",IFERROR(MOD(EO28,EO30),""),"")</f>
        <v/>
      </c>
      <c r="EQ31" s="202"/>
      <c r="ER31" s="210" t="str">
        <f ca="1">IF(EO25&lt;&gt;"",OFFSET(変更先抽出【15時】!$A$1,EM25-1,21),"")</f>
        <v/>
      </c>
      <c r="ES31" s="202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0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7" t="str">
        <f ca="1">IF(OFFSET(変更先抽出【15時】!$A$1,A33-1,16)&lt;&gt;"",OFFSET(変更先抽出【15時】!$A$1,A33-1,17),"")</f>
        <v/>
      </c>
      <c r="D33" s="208"/>
      <c r="E33" s="208"/>
      <c r="F33" s="208"/>
      <c r="G33" s="39" t="str">
        <f ca="1">IF(C33&lt;&gt;"","様","")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7" t="str">
        <f ca="1">IF(OFFSET(変更先抽出【15時】!$A$1,H33-1,16)&lt;&gt;"",OFFSET(変更先抽出【15時】!$A$1,H33-1,17),"")</f>
        <v/>
      </c>
      <c r="K33" s="208"/>
      <c r="L33" s="208"/>
      <c r="M33" s="208"/>
      <c r="N33" s="39" t="str">
        <f ca="1">IF(J33&lt;&gt;"","様","")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7" t="str">
        <f ca="1">IF(OFFSET(変更先抽出【15時】!$A$1,P33-1,16)&lt;&gt;"",OFFSET(変更先抽出【15時】!$A$1,P33-1,17),"")</f>
        <v/>
      </c>
      <c r="S33" s="208"/>
      <c r="T33" s="208"/>
      <c r="U33" s="208"/>
      <c r="V33" s="39" t="str">
        <f ca="1">IF(R33&lt;&gt;"","様","")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7" t="str">
        <f ca="1">IF(OFFSET(変更先抽出【15時】!$A$1,W33-1,16)&lt;&gt;"",OFFSET(変更先抽出【15時】!$A$1,W33-1,17),"")</f>
        <v/>
      </c>
      <c r="Z33" s="208"/>
      <c r="AA33" s="208"/>
      <c r="AB33" s="208"/>
      <c r="AC33" s="39" t="str">
        <f ca="1">IF(Y33&lt;&gt;"","様","")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7" t="str">
        <f ca="1">IF(OFFSET(変更先抽出【15時】!$A$1,AE33-1,16)&lt;&gt;"",OFFSET(変更先抽出【15時】!$A$1,AE33-1,17),"")</f>
        <v/>
      </c>
      <c r="AH33" s="208"/>
      <c r="AI33" s="208"/>
      <c r="AJ33" s="208"/>
      <c r="AK33" s="39" t="str">
        <f ca="1">IF(AG33&lt;&gt;"","様","")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7" t="str">
        <f ca="1">IF(OFFSET(変更先抽出【15時】!$A$1,AL33-1,16)&lt;&gt;"",OFFSET(変更先抽出【15時】!$A$1,AL33-1,17),"")</f>
        <v/>
      </c>
      <c r="AO33" s="208"/>
      <c r="AP33" s="208"/>
      <c r="AQ33" s="208"/>
      <c r="AR33" s="39" t="str">
        <f ca="1">IF(AN33&lt;&gt;"","様","")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7" t="str">
        <f ca="1">IF(OFFSET(変更先抽出【15時】!$A$1,AT33-1,16)&lt;&gt;"",OFFSET(変更先抽出【15時】!$A$1,AT33-1,17),"")</f>
        <v/>
      </c>
      <c r="AW33" s="208"/>
      <c r="AX33" s="208"/>
      <c r="AY33" s="208"/>
      <c r="AZ33" s="39" t="str">
        <f ca="1">IF(AV33&lt;&gt;"","様","")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7" t="str">
        <f ca="1">IF(OFFSET(変更先抽出【15時】!$A$1,BA33-1,16)&lt;&gt;"",OFFSET(変更先抽出【15時】!$A$1,BA33-1,17),"")</f>
        <v/>
      </c>
      <c r="BD33" s="208"/>
      <c r="BE33" s="208"/>
      <c r="BF33" s="208"/>
      <c r="BG33" s="39" t="str">
        <f ca="1">IF(BC33&lt;&gt;"","様","")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7" t="str">
        <f ca="1">IF(OFFSET(変更先抽出【15時】!$A$1,BI33-1,16)&lt;&gt;"",OFFSET(変更先抽出【15時】!$A$1,BI33-1,17),"")</f>
        <v/>
      </c>
      <c r="BL33" s="208"/>
      <c r="BM33" s="208"/>
      <c r="BN33" s="208"/>
      <c r="BO33" s="39" t="str">
        <f ca="1">IF(BK33&lt;&gt;"","様","")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7" t="str">
        <f ca="1">IF(OFFSET(変更先抽出【15時】!$A$1,BP33-1,16)&lt;&gt;"",OFFSET(変更先抽出【15時】!$A$1,BP33-1,17),"")</f>
        <v/>
      </c>
      <c r="BS33" s="208"/>
      <c r="BT33" s="208"/>
      <c r="BU33" s="208"/>
      <c r="BV33" s="39" t="str">
        <f ca="1">IF(BR33&lt;&gt;"","様","")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7" t="str">
        <f ca="1">IF(OFFSET(変更先抽出【15時】!$A$1,BX33-1,16)&lt;&gt;"",OFFSET(変更先抽出【15時】!$A$1,BX33-1,17),"")</f>
        <v/>
      </c>
      <c r="CA33" s="208"/>
      <c r="CB33" s="208"/>
      <c r="CC33" s="208"/>
      <c r="CD33" s="39" t="str">
        <f ca="1">IF(BZ33&lt;&gt;"","様","")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7" t="str">
        <f ca="1">IF(OFFSET(変更先抽出【15時】!$A$1,CE33-1,16)&lt;&gt;"",OFFSET(変更先抽出【15時】!$A$1,CE33-1,17),"")</f>
        <v/>
      </c>
      <c r="CH33" s="208"/>
      <c r="CI33" s="208"/>
      <c r="CJ33" s="208"/>
      <c r="CK33" s="39" t="str">
        <f ca="1">IF(CG33&lt;&gt;"","様","")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7" t="str">
        <f ca="1">IF(OFFSET(変更先抽出【15時】!$A$1,CM33-1,16)&lt;&gt;"",OFFSET(変更先抽出【15時】!$A$1,CM33-1,17),"")</f>
        <v/>
      </c>
      <c r="CP33" s="208"/>
      <c r="CQ33" s="208"/>
      <c r="CR33" s="208"/>
      <c r="CS33" s="39" t="str">
        <f ca="1">IF(CO33&lt;&gt;"","様","")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7" t="str">
        <f ca="1">IF(OFFSET(変更先抽出【15時】!$A$1,CT33-1,16)&lt;&gt;"",OFFSET(変更先抽出【15時】!$A$1,CT33-1,17),"")</f>
        <v/>
      </c>
      <c r="CW33" s="208"/>
      <c r="CX33" s="208"/>
      <c r="CY33" s="208"/>
      <c r="CZ33" s="39" t="str">
        <f ca="1">IF(CV33&lt;&gt;"","様","")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7" t="str">
        <f ca="1">IF(OFFSET(変更先抽出【15時】!$A$1,DB33-1,16)&lt;&gt;"",OFFSET(変更先抽出【15時】!$A$1,DB33-1,17),"")</f>
        <v/>
      </c>
      <c r="DE33" s="208"/>
      <c r="DF33" s="208"/>
      <c r="DG33" s="208"/>
      <c r="DH33" s="39" t="str">
        <f ca="1">IF(DD33&lt;&gt;"","様","")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7" t="str">
        <f ca="1">IF(OFFSET(変更先抽出【15時】!$A$1,DI33-1,16)&lt;&gt;"",OFFSET(変更先抽出【15時】!$A$1,DI33-1,17),"")</f>
        <v/>
      </c>
      <c r="DL33" s="208"/>
      <c r="DM33" s="208"/>
      <c r="DN33" s="208"/>
      <c r="DO33" s="39" t="str">
        <f ca="1">IF(DK33&lt;&gt;"","様","")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7" t="str">
        <f ca="1">IF(OFFSET(変更先抽出【15時】!$A$1,DQ33-1,16)&lt;&gt;"",OFFSET(変更先抽出【15時】!$A$1,DQ33-1,17),"")</f>
        <v/>
      </c>
      <c r="DT33" s="208"/>
      <c r="DU33" s="208"/>
      <c r="DV33" s="208"/>
      <c r="DW33" s="39" t="str">
        <f ca="1">IF(DS33&lt;&gt;"","様","")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7" t="str">
        <f ca="1">IF(OFFSET(変更先抽出【15時】!$A$1,DX33-1,16)&lt;&gt;"",OFFSET(変更先抽出【15時】!$A$1,DX33-1,17),"")</f>
        <v/>
      </c>
      <c r="EA33" s="208"/>
      <c r="EB33" s="208"/>
      <c r="EC33" s="208"/>
      <c r="ED33" s="39" t="str">
        <f ca="1">IF(DZ33&lt;&gt;"","様","")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7" t="str">
        <f ca="1">IF(OFFSET(変更先抽出【15時】!$A$1,EF33-1,16)&lt;&gt;"",OFFSET(変更先抽出【15時】!$A$1,EF33-1,17),"")</f>
        <v/>
      </c>
      <c r="EI33" s="208"/>
      <c r="EJ33" s="208"/>
      <c r="EK33" s="208"/>
      <c r="EL33" s="39" t="str">
        <f ca="1">IF(EH33&lt;&gt;"","様","")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7" t="str">
        <f ca="1">IF(OFFSET(変更先抽出【15時】!$A$1,EM33-1,16)&lt;&gt;"",OFFSET(変更先抽出【15時】!$A$1,EM33-1,17),"")</f>
        <v/>
      </c>
      <c r="EP33" s="208"/>
      <c r="EQ33" s="208"/>
      <c r="ER33" s="208"/>
      <c r="ES33" s="39" t="str">
        <f ca="1">IF(EO33&lt;&gt;"","様","")</f>
        <v/>
      </c>
      <c r="ET33" s="22"/>
    </row>
    <row r="34" spans="1:150" s="180" customFormat="1">
      <c r="A34" s="30"/>
      <c r="B34" s="103"/>
      <c r="C34" s="138" t="str">
        <f ca="1">IF(C33&lt;&gt;"",OFFSET(変更先抽出【15時】!$A$1,A33-1,18),"")</f>
        <v/>
      </c>
      <c r="D34" s="38"/>
      <c r="E34" s="38"/>
      <c r="F34" s="192" t="str">
        <f ca="1">IF(OFFSET(変更先抽出【15時】!$A$1,A33-1,25)&lt;&gt;"",OFFSET(変更先抽出【15時】!$A$1,A33-1,25)&amp;"箱"&amp;OFFSET(変更先抽出【15時】!$A$1,A33-1,26),"")</f>
        <v/>
      </c>
      <c r="G34" s="36"/>
      <c r="H34" s="43"/>
      <c r="I34" s="103"/>
      <c r="J34" s="138" t="str">
        <f ca="1">IF(J33&lt;&gt;"",OFFSET(変更先抽出【15時】!$A$1,H33-1,18),"")</f>
        <v/>
      </c>
      <c r="K34" s="38"/>
      <c r="L34" s="38"/>
      <c r="M34" s="192" t="str">
        <f ca="1">IF(OFFSET(変更先抽出【15時】!$A$1,H33-1,25)&lt;&gt;"",OFFSET(変更先抽出【15時】!$A$1,H33-1,25)&amp;"箱"&amp;OFFSET(変更先抽出【15時】!$A$1,H33-1,26),"")</f>
        <v/>
      </c>
      <c r="N34" s="36"/>
      <c r="O34" s="22"/>
      <c r="P34" s="30"/>
      <c r="Q34" s="103"/>
      <c r="R34" s="138" t="str">
        <f ca="1">IF(R33&lt;&gt;"",OFFSET(変更先抽出【15時】!$A$1,P33-1,18),"")</f>
        <v/>
      </c>
      <c r="S34" s="38"/>
      <c r="T34" s="38"/>
      <c r="U34" s="192" t="str">
        <f ca="1">IF(OFFSET(変更先抽出【15時】!$A$1,P33-1,25)&lt;&gt;"",OFFSET(変更先抽出【15時】!$A$1,P33-1,25)&amp;"箱"&amp;OFFSET(変更先抽出【15時】!$A$1,P33-1,26),"")</f>
        <v/>
      </c>
      <c r="V34" s="36"/>
      <c r="W34" s="43"/>
      <c r="X34" s="103"/>
      <c r="Y34" s="138" t="str">
        <f ca="1">IF(Y33&lt;&gt;"",OFFSET(変更先抽出【15時】!$A$1,W33-1,18),"")</f>
        <v/>
      </c>
      <c r="Z34" s="38"/>
      <c r="AA34" s="38"/>
      <c r="AB34" s="192" t="str">
        <f ca="1">IF(OFFSET(変更先抽出【15時】!$A$1,W33-1,25)&lt;&gt;"",OFFSET(変更先抽出【15時】!$A$1,W33-1,25)&amp;"箱"&amp;OFFSET(変更先抽出【15時】!$A$1,W33-1,26),"")</f>
        <v/>
      </c>
      <c r="AC34" s="36"/>
      <c r="AD34" s="22"/>
      <c r="AE34" s="30"/>
      <c r="AF34" s="103"/>
      <c r="AG34" s="138" t="str">
        <f ca="1">IF(AG33&lt;&gt;"",OFFSET(変更先抽出【15時】!$A$1,AE33-1,18),"")</f>
        <v/>
      </c>
      <c r="AH34" s="38"/>
      <c r="AI34" s="38"/>
      <c r="AJ34" s="192" t="str">
        <f ca="1">IF(OFFSET(変更先抽出【15時】!$A$1,AE33-1,25)&lt;&gt;"",OFFSET(変更先抽出【15時】!$A$1,AE33-1,25)&amp;"箱"&amp;OFFSET(変更先抽出【15時】!$A$1,AE33-1,26),"")</f>
        <v/>
      </c>
      <c r="AK34" s="36"/>
      <c r="AL34" s="43"/>
      <c r="AM34" s="103"/>
      <c r="AN34" s="138" t="str">
        <f ca="1">IF(AN33&lt;&gt;"",OFFSET(変更先抽出【15時】!$A$1,AL33-1,18),"")</f>
        <v/>
      </c>
      <c r="AO34" s="38"/>
      <c r="AP34" s="38"/>
      <c r="AQ34" s="192" t="str">
        <f ca="1">IF(OFFSET(変更先抽出【15時】!$A$1,AL33-1,25)&lt;&gt;"",OFFSET(変更先抽出【15時】!$A$1,AL33-1,25)&amp;"箱"&amp;OFFSET(変更先抽出【15時】!$A$1,AL33-1,26),"")</f>
        <v/>
      </c>
      <c r="AR34" s="36"/>
      <c r="AS34" s="22"/>
      <c r="AT34" s="30"/>
      <c r="AU34" s="103"/>
      <c r="AV34" s="138" t="str">
        <f ca="1">IF(AV33&lt;&gt;"",OFFSET(変更先抽出【15時】!$A$1,AT33-1,18),"")</f>
        <v/>
      </c>
      <c r="AW34" s="38"/>
      <c r="AX34" s="38"/>
      <c r="AY34" s="192" t="str">
        <f ca="1">IF(OFFSET(変更先抽出【15時】!$A$1,AT33-1,25)&lt;&gt;"",OFFSET(変更先抽出【15時】!$A$1,AT33-1,25)&amp;"箱"&amp;OFFSET(変更先抽出【15時】!$A$1,AT33-1,26),"")</f>
        <v/>
      </c>
      <c r="AZ34" s="36"/>
      <c r="BA34" s="43"/>
      <c r="BB34" s="103"/>
      <c r="BC34" s="138" t="str">
        <f ca="1">IF(BC33&lt;&gt;"",OFFSET(変更先抽出【15時】!$A$1,BA33-1,18),"")</f>
        <v/>
      </c>
      <c r="BD34" s="38"/>
      <c r="BE34" s="38"/>
      <c r="BF34" s="192" t="str">
        <f ca="1">IF(OFFSET(変更先抽出【15時】!$A$1,BA33-1,25)&lt;&gt;"",OFFSET(変更先抽出【15時】!$A$1,BA33-1,25)&amp;"箱"&amp;OFFSET(変更先抽出【15時】!$A$1,BA33-1,26),"")</f>
        <v/>
      </c>
      <c r="BG34" s="36"/>
      <c r="BH34" s="22"/>
      <c r="BI34" s="30"/>
      <c r="BJ34" s="103"/>
      <c r="BK34" s="138" t="str">
        <f ca="1">IF(BK33&lt;&gt;"",OFFSET(変更先抽出【15時】!$A$1,BI33-1,18),"")</f>
        <v/>
      </c>
      <c r="BL34" s="38"/>
      <c r="BM34" s="38"/>
      <c r="BN34" s="192" t="str">
        <f ca="1">IF(OFFSET(変更先抽出【15時】!$A$1,BI33-1,25)&lt;&gt;"",OFFSET(変更先抽出【15時】!$A$1,BI33-1,25)&amp;"箱"&amp;OFFSET(変更先抽出【15時】!$A$1,BI33-1,26),"")</f>
        <v/>
      </c>
      <c r="BO34" s="36"/>
      <c r="BP34" s="43"/>
      <c r="BQ34" s="103"/>
      <c r="BR34" s="138" t="str">
        <f ca="1">IF(BR33&lt;&gt;"",OFFSET(変更先抽出【15時】!$A$1,BP33-1,18),"")</f>
        <v/>
      </c>
      <c r="BS34" s="38"/>
      <c r="BT34" s="38"/>
      <c r="BU34" s="192" t="str">
        <f ca="1">IF(OFFSET(変更先抽出【15時】!$A$1,BP33-1,25)&lt;&gt;"",OFFSET(変更先抽出【15時】!$A$1,BP33-1,25)&amp;"箱"&amp;OFFSET(変更先抽出【15時】!$A$1,BP33-1,26),"")</f>
        <v/>
      </c>
      <c r="BV34" s="36"/>
      <c r="BW34" s="22"/>
      <c r="BX34" s="30"/>
      <c r="BY34" s="103"/>
      <c r="BZ34" s="138" t="str">
        <f ca="1">IF(BZ33&lt;&gt;"",OFFSET(変更先抽出【15時】!$A$1,BX33-1,18),"")</f>
        <v/>
      </c>
      <c r="CA34" s="38"/>
      <c r="CB34" s="38"/>
      <c r="CC34" s="192" t="str">
        <f ca="1">IF(OFFSET(変更先抽出【15時】!$A$1,BX33-1,25)&lt;&gt;"",OFFSET(変更先抽出【15時】!$A$1,BX33-1,25)&amp;"箱"&amp;OFFSET(変更先抽出【15時】!$A$1,BX33-1,26),"")</f>
        <v/>
      </c>
      <c r="CD34" s="36"/>
      <c r="CE34" s="43"/>
      <c r="CF34" s="103"/>
      <c r="CG34" s="138" t="str">
        <f ca="1">IF(CG33&lt;&gt;"",OFFSET(変更先抽出【15時】!$A$1,CE33-1,18),"")</f>
        <v/>
      </c>
      <c r="CH34" s="38"/>
      <c r="CI34" s="38"/>
      <c r="CJ34" s="192" t="str">
        <f ca="1">IF(OFFSET(変更先抽出【15時】!$A$1,CE33-1,25)&lt;&gt;"",OFFSET(変更先抽出【15時】!$A$1,CE33-1,25)&amp;"箱"&amp;OFFSET(変更先抽出【15時】!$A$1,CE33-1,26),"")</f>
        <v/>
      </c>
      <c r="CK34" s="36"/>
      <c r="CL34" s="22"/>
      <c r="CM34" s="30"/>
      <c r="CN34" s="103"/>
      <c r="CO34" s="138" t="str">
        <f ca="1">IF(CO33&lt;&gt;"",OFFSET(変更先抽出【15時】!$A$1,CM33-1,18),"")</f>
        <v/>
      </c>
      <c r="CP34" s="38"/>
      <c r="CQ34" s="38"/>
      <c r="CR34" s="192" t="str">
        <f ca="1">IF(OFFSET(変更先抽出【15時】!$A$1,CM33-1,25)&lt;&gt;"",OFFSET(変更先抽出【15時】!$A$1,CM33-1,25)&amp;"箱"&amp;OFFSET(変更先抽出【15時】!$A$1,CM33-1,26),"")</f>
        <v/>
      </c>
      <c r="CS34" s="36"/>
      <c r="CT34" s="43"/>
      <c r="CU34" s="103"/>
      <c r="CV34" s="138" t="str">
        <f ca="1">IF(CV33&lt;&gt;"",OFFSET(変更先抽出【15時】!$A$1,CT33-1,18),"")</f>
        <v/>
      </c>
      <c r="CW34" s="38"/>
      <c r="CX34" s="38"/>
      <c r="CY34" s="192" t="str">
        <f ca="1">IF(OFFSET(変更先抽出【15時】!$A$1,CT33-1,25)&lt;&gt;"",OFFSET(変更先抽出【15時】!$A$1,CT33-1,25)&amp;"箱"&amp;OFFSET(変更先抽出【15時】!$A$1,CT33-1,26),"")</f>
        <v/>
      </c>
      <c r="CZ34" s="36"/>
      <c r="DA34" s="22"/>
      <c r="DB34" s="30"/>
      <c r="DC34" s="103"/>
      <c r="DD34" s="138" t="str">
        <f ca="1">IF(DD33&lt;&gt;"",OFFSET(変更先抽出【15時】!$A$1,DB33-1,18),"")</f>
        <v/>
      </c>
      <c r="DE34" s="38"/>
      <c r="DF34" s="38"/>
      <c r="DG34" s="192" t="str">
        <f ca="1">IF(OFFSET(変更先抽出【15時】!$A$1,DB33-1,25)&lt;&gt;"",OFFSET(変更先抽出【15時】!$A$1,DB33-1,25)&amp;"箱"&amp;OFFSET(変更先抽出【15時】!$A$1,DB33-1,26),"")</f>
        <v/>
      </c>
      <c r="DH34" s="36"/>
      <c r="DI34" s="43"/>
      <c r="DJ34" s="103"/>
      <c r="DK34" s="138" t="str">
        <f ca="1">IF(DK33&lt;&gt;"",OFFSET(変更先抽出【15時】!$A$1,DI33-1,18),"")</f>
        <v/>
      </c>
      <c r="DL34" s="38"/>
      <c r="DM34" s="38"/>
      <c r="DN34" s="192" t="str">
        <f ca="1">IF(OFFSET(変更先抽出【15時】!$A$1,DI33-1,25)&lt;&gt;"",OFFSET(変更先抽出【15時】!$A$1,DI33-1,25)&amp;"箱"&amp;OFFSET(変更先抽出【15時】!$A$1,DI33-1,26),"")</f>
        <v/>
      </c>
      <c r="DO34" s="36"/>
      <c r="DP34" s="22"/>
      <c r="DQ34" s="30"/>
      <c r="DR34" s="103"/>
      <c r="DS34" s="138" t="str">
        <f ca="1">IF(DS33&lt;&gt;"",OFFSET(変更先抽出【15時】!$A$1,DQ33-1,18),"")</f>
        <v/>
      </c>
      <c r="DT34" s="38"/>
      <c r="DU34" s="38"/>
      <c r="DV34" s="192" t="str">
        <f ca="1">IF(OFFSET(変更先抽出【15時】!$A$1,DQ33-1,25)&lt;&gt;"",OFFSET(変更先抽出【15時】!$A$1,DQ33-1,25)&amp;"箱"&amp;OFFSET(変更先抽出【15時】!$A$1,DQ33-1,26),"")</f>
        <v/>
      </c>
      <c r="DW34" s="36"/>
      <c r="DX34" s="43"/>
      <c r="DY34" s="103"/>
      <c r="DZ34" s="138" t="str">
        <f ca="1">IF(DZ33&lt;&gt;"",OFFSET(変更先抽出【15時】!$A$1,DX33-1,18),"")</f>
        <v/>
      </c>
      <c r="EA34" s="38"/>
      <c r="EB34" s="38"/>
      <c r="EC34" s="192" t="str">
        <f ca="1">IF(OFFSET(変更先抽出【15時】!$A$1,DX33-1,25)&lt;&gt;"",OFFSET(変更先抽出【15時】!$A$1,DX33-1,25)&amp;"箱"&amp;OFFSET(変更先抽出【15時】!$A$1,DX33-1,26),"")</f>
        <v/>
      </c>
      <c r="ED34" s="36"/>
      <c r="EE34" s="22"/>
      <c r="EF34" s="30"/>
      <c r="EG34" s="103"/>
      <c r="EH34" s="138" t="str">
        <f ca="1">IF(EH33&lt;&gt;"",OFFSET(変更先抽出【15時】!$A$1,EF33-1,18),"")</f>
        <v/>
      </c>
      <c r="EI34" s="38"/>
      <c r="EJ34" s="38"/>
      <c r="EK34" s="192" t="str">
        <f ca="1">IF(OFFSET(変更先抽出【15時】!$A$1,EF33-1,25)&lt;&gt;"",OFFSET(変更先抽出【15時】!$A$1,EF33-1,25)&amp;"箱"&amp;OFFSET(変更先抽出【15時】!$A$1,EF33-1,26),"")</f>
        <v/>
      </c>
      <c r="EL34" s="36"/>
      <c r="EM34" s="43"/>
      <c r="EN34" s="103"/>
      <c r="EO34" s="138" t="str">
        <f ca="1">IF(EO33&lt;&gt;"",OFFSET(変更先抽出【15時】!$A$1,EM33-1,18),"")</f>
        <v/>
      </c>
      <c r="EP34" s="38"/>
      <c r="EQ34" s="38"/>
      <c r="ER34" s="192" t="str">
        <f ca="1">IF(OFFSET(変更先抽出【15時】!$A$1,EM33-1,25)&lt;&gt;"",OFFSET(変更先抽出【15時】!$A$1,EM33-1,25)&amp;"箱"&amp;OFFSET(変更先抽出【15時】!$A$1,EM33-1,26),"")</f>
        <v/>
      </c>
      <c r="ES34" s="36"/>
      <c r="ET34" s="22"/>
    </row>
    <row r="35" spans="1:150" s="180" customFormat="1">
      <c r="A35" s="30"/>
      <c r="B35" s="31"/>
      <c r="C35" s="205" t="str">
        <f ca="1">IF(C33&lt;&gt;"","園児","")</f>
        <v/>
      </c>
      <c r="D35" s="206"/>
      <c r="E35" s="22"/>
      <c r="F35" s="137" t="str">
        <f ca="1">IF(C33&lt;&gt;"","先生","")</f>
        <v/>
      </c>
      <c r="G35" s="37"/>
      <c r="H35" s="33"/>
      <c r="I35" s="31"/>
      <c r="J35" s="205" t="str">
        <f ca="1">IF(J33&lt;&gt;"","園児","")</f>
        <v/>
      </c>
      <c r="K35" s="206"/>
      <c r="L35" s="22"/>
      <c r="M35" s="137" t="str">
        <f ca="1">IF(J33&lt;&gt;"","先生","")</f>
        <v/>
      </c>
      <c r="N35" s="37"/>
      <c r="O35" s="22"/>
      <c r="P35" s="30"/>
      <c r="Q35" s="31"/>
      <c r="R35" s="205" t="str">
        <f ca="1">IF(R33&lt;&gt;"","園児","")</f>
        <v/>
      </c>
      <c r="S35" s="206"/>
      <c r="T35" s="22"/>
      <c r="U35" s="137" t="str">
        <f ca="1">IF(R33&lt;&gt;"","先生","")</f>
        <v/>
      </c>
      <c r="V35" s="37"/>
      <c r="W35" s="33"/>
      <c r="X35" s="31"/>
      <c r="Y35" s="205" t="str">
        <f ca="1">IF(Y33&lt;&gt;"","園児","")</f>
        <v/>
      </c>
      <c r="Z35" s="206"/>
      <c r="AA35" s="22"/>
      <c r="AB35" s="137" t="str">
        <f ca="1">IF(Y33&lt;&gt;"","先生","")</f>
        <v/>
      </c>
      <c r="AC35" s="37"/>
      <c r="AD35" s="22"/>
      <c r="AE35" s="30"/>
      <c r="AF35" s="31"/>
      <c r="AG35" s="205" t="str">
        <f ca="1">IF(AG33&lt;&gt;"","園児","")</f>
        <v/>
      </c>
      <c r="AH35" s="206"/>
      <c r="AI35" s="22"/>
      <c r="AJ35" s="137" t="str">
        <f ca="1">IF(AG33&lt;&gt;"","先生","")</f>
        <v/>
      </c>
      <c r="AK35" s="37"/>
      <c r="AL35" s="33"/>
      <c r="AM35" s="31"/>
      <c r="AN35" s="205" t="str">
        <f ca="1">IF(AN33&lt;&gt;"","園児","")</f>
        <v/>
      </c>
      <c r="AO35" s="206"/>
      <c r="AP35" s="22"/>
      <c r="AQ35" s="137" t="str">
        <f ca="1">IF(AN33&lt;&gt;"","先生","")</f>
        <v/>
      </c>
      <c r="AR35" s="37"/>
      <c r="AS35" s="22"/>
      <c r="AT35" s="30"/>
      <c r="AU35" s="31"/>
      <c r="AV35" s="205" t="str">
        <f ca="1">IF(AV33&lt;&gt;"","園児","")</f>
        <v/>
      </c>
      <c r="AW35" s="206"/>
      <c r="AX35" s="22"/>
      <c r="AY35" s="137" t="str">
        <f ca="1">IF(AV33&lt;&gt;"","先生","")</f>
        <v/>
      </c>
      <c r="AZ35" s="37"/>
      <c r="BA35" s="33"/>
      <c r="BB35" s="31"/>
      <c r="BC35" s="205" t="str">
        <f ca="1">IF(BC33&lt;&gt;"","園児","")</f>
        <v/>
      </c>
      <c r="BD35" s="206"/>
      <c r="BE35" s="22"/>
      <c r="BF35" s="137" t="str">
        <f ca="1">IF(BC33&lt;&gt;"","先生","")</f>
        <v/>
      </c>
      <c r="BG35" s="37"/>
      <c r="BH35" s="22"/>
      <c r="BI35" s="30"/>
      <c r="BJ35" s="31"/>
      <c r="BK35" s="205" t="str">
        <f ca="1">IF(BK33&lt;&gt;"","園児","")</f>
        <v/>
      </c>
      <c r="BL35" s="206"/>
      <c r="BM35" s="22"/>
      <c r="BN35" s="137" t="str">
        <f ca="1">IF(BK33&lt;&gt;"","先生","")</f>
        <v/>
      </c>
      <c r="BO35" s="37"/>
      <c r="BP35" s="33"/>
      <c r="BQ35" s="31"/>
      <c r="BR35" s="205" t="str">
        <f ca="1">IF(BR33&lt;&gt;"","園児","")</f>
        <v/>
      </c>
      <c r="BS35" s="206"/>
      <c r="BT35" s="22"/>
      <c r="BU35" s="137" t="str">
        <f ca="1">IF(BR33&lt;&gt;"","先生","")</f>
        <v/>
      </c>
      <c r="BV35" s="37"/>
      <c r="BW35" s="22"/>
      <c r="BX35" s="30"/>
      <c r="BY35" s="31"/>
      <c r="BZ35" s="205" t="str">
        <f ca="1">IF(BZ33&lt;&gt;"","園児","")</f>
        <v/>
      </c>
      <c r="CA35" s="206"/>
      <c r="CB35" s="22"/>
      <c r="CC35" s="137" t="str">
        <f ca="1">IF(BZ33&lt;&gt;"","先生","")</f>
        <v/>
      </c>
      <c r="CD35" s="37"/>
      <c r="CE35" s="33"/>
      <c r="CF35" s="31"/>
      <c r="CG35" s="205" t="str">
        <f ca="1">IF(CG33&lt;&gt;"","園児","")</f>
        <v/>
      </c>
      <c r="CH35" s="206"/>
      <c r="CI35" s="22"/>
      <c r="CJ35" s="137" t="str">
        <f ca="1">IF(CG33&lt;&gt;"","先生","")</f>
        <v/>
      </c>
      <c r="CK35" s="37"/>
      <c r="CL35" s="22"/>
      <c r="CM35" s="30"/>
      <c r="CN35" s="31"/>
      <c r="CO35" s="205" t="str">
        <f ca="1">IF(CO33&lt;&gt;"","園児","")</f>
        <v/>
      </c>
      <c r="CP35" s="206"/>
      <c r="CQ35" s="22"/>
      <c r="CR35" s="137" t="str">
        <f ca="1">IF(CO33&lt;&gt;"","先生","")</f>
        <v/>
      </c>
      <c r="CS35" s="37"/>
      <c r="CT35" s="33"/>
      <c r="CU35" s="31"/>
      <c r="CV35" s="205" t="str">
        <f ca="1">IF(CV33&lt;&gt;"","園児","")</f>
        <v/>
      </c>
      <c r="CW35" s="206"/>
      <c r="CX35" s="22"/>
      <c r="CY35" s="137" t="str">
        <f ca="1">IF(CV33&lt;&gt;"","先生","")</f>
        <v/>
      </c>
      <c r="CZ35" s="37"/>
      <c r="DA35" s="22"/>
      <c r="DB35" s="30"/>
      <c r="DC35" s="31"/>
      <c r="DD35" s="205" t="str">
        <f ca="1">IF(DD33&lt;&gt;"","園児","")</f>
        <v/>
      </c>
      <c r="DE35" s="206"/>
      <c r="DF35" s="22"/>
      <c r="DG35" s="137" t="str">
        <f ca="1">IF(DD33&lt;&gt;"","先生","")</f>
        <v/>
      </c>
      <c r="DH35" s="37"/>
      <c r="DI35" s="33"/>
      <c r="DJ35" s="31"/>
      <c r="DK35" s="205" t="str">
        <f ca="1">IF(DK33&lt;&gt;"","園児","")</f>
        <v/>
      </c>
      <c r="DL35" s="206"/>
      <c r="DM35" s="22"/>
      <c r="DN35" s="137" t="str">
        <f ca="1">IF(DK33&lt;&gt;"","先生","")</f>
        <v/>
      </c>
      <c r="DO35" s="37"/>
      <c r="DP35" s="22"/>
      <c r="DQ35" s="30"/>
      <c r="DR35" s="31"/>
      <c r="DS35" s="205" t="str">
        <f ca="1">IF(DS33&lt;&gt;"","園児","")</f>
        <v/>
      </c>
      <c r="DT35" s="206"/>
      <c r="DU35" s="22"/>
      <c r="DV35" s="137" t="str">
        <f ca="1">IF(DS33&lt;&gt;"","先生","")</f>
        <v/>
      </c>
      <c r="DW35" s="37"/>
      <c r="DX35" s="33"/>
      <c r="DY35" s="31"/>
      <c r="DZ35" s="205" t="str">
        <f ca="1">IF(DZ33&lt;&gt;"","園児","")</f>
        <v/>
      </c>
      <c r="EA35" s="206"/>
      <c r="EB35" s="22"/>
      <c r="EC35" s="137" t="str">
        <f ca="1">IF(DZ33&lt;&gt;"","先生","")</f>
        <v/>
      </c>
      <c r="ED35" s="37"/>
      <c r="EE35" s="22"/>
      <c r="EF35" s="30"/>
      <c r="EG35" s="31"/>
      <c r="EH35" s="205" t="str">
        <f ca="1">IF(EH33&lt;&gt;"","園児","")</f>
        <v/>
      </c>
      <c r="EI35" s="206"/>
      <c r="EJ35" s="22"/>
      <c r="EK35" s="137" t="str">
        <f ca="1">IF(EH33&lt;&gt;"","先生","")</f>
        <v/>
      </c>
      <c r="EL35" s="37"/>
      <c r="EM35" s="33"/>
      <c r="EN35" s="31"/>
      <c r="EO35" s="205" t="str">
        <f ca="1">IF(EO33&lt;&gt;"","園児","")</f>
        <v/>
      </c>
      <c r="EP35" s="206"/>
      <c r="EQ35" s="22"/>
      <c r="ER35" s="137" t="str">
        <f ca="1">IF(EO33&lt;&gt;"","先生","")</f>
        <v/>
      </c>
      <c r="ES35" s="37"/>
      <c r="ET35" s="22"/>
    </row>
    <row r="36" spans="1:150" ht="15.6" customHeight="1">
      <c r="B36" s="25"/>
      <c r="C36" s="203" t="str">
        <f ca="1">IF(C33&lt;&gt;"",OFFSET(変更先抽出【15時】!$A$1,A33-1,19),"")</f>
        <v/>
      </c>
      <c r="D36" s="204"/>
      <c r="E36" s="44"/>
      <c r="F36" s="199" t="str">
        <f ca="1">IF(C33&lt;&gt;"",OFFSET(変更先抽出【15時】!$A$1,A33-1,20),"")</f>
        <v/>
      </c>
      <c r="G36" s="200"/>
      <c r="H36" s="26"/>
      <c r="I36" s="25"/>
      <c r="J36" s="203" t="str">
        <f ca="1">IF(J33&lt;&gt;"",OFFSET(変更先抽出【15時】!$A$1,H33-1,19),"")</f>
        <v/>
      </c>
      <c r="K36" s="204"/>
      <c r="L36" s="44"/>
      <c r="M36" s="199" t="str">
        <f ca="1">IF(J33&lt;&gt;"",OFFSET(変更先抽出【15時】!$A$1,H33-1,20),"")</f>
        <v/>
      </c>
      <c r="N36" s="200"/>
      <c r="Q36" s="25"/>
      <c r="R36" s="203" t="str">
        <f ca="1">IF(R33&lt;&gt;"",OFFSET(変更先抽出【15時】!$A$1,P33-1,19),"")</f>
        <v/>
      </c>
      <c r="S36" s="204"/>
      <c r="T36" s="44"/>
      <c r="U36" s="199" t="str">
        <f ca="1">IF(R33&lt;&gt;"",OFFSET(変更先抽出【15時】!$A$1,P33-1,20),"")</f>
        <v/>
      </c>
      <c r="V36" s="200"/>
      <c r="W36" s="26"/>
      <c r="X36" s="25"/>
      <c r="Y36" s="203" t="str">
        <f ca="1">IF(Y33&lt;&gt;"",OFFSET(変更先抽出【15時】!$A$1,W33-1,19),"")</f>
        <v/>
      </c>
      <c r="Z36" s="204"/>
      <c r="AA36" s="44"/>
      <c r="AB36" s="199" t="str">
        <f ca="1">IF(Y33&lt;&gt;"",OFFSET(変更先抽出【15時】!$A$1,W33-1,20),"")</f>
        <v/>
      </c>
      <c r="AC36" s="200"/>
      <c r="AF36" s="25"/>
      <c r="AG36" s="203" t="str">
        <f ca="1">IF(AG33&lt;&gt;"",OFFSET(変更先抽出【15時】!$A$1,AE33-1,19),"")</f>
        <v/>
      </c>
      <c r="AH36" s="204"/>
      <c r="AI36" s="44"/>
      <c r="AJ36" s="199" t="str">
        <f ca="1">IF(AG33&lt;&gt;"",OFFSET(変更先抽出【15時】!$A$1,AE33-1,20),"")</f>
        <v/>
      </c>
      <c r="AK36" s="200"/>
      <c r="AL36" s="26"/>
      <c r="AM36" s="25"/>
      <c r="AN36" s="203" t="str">
        <f ca="1">IF(AN33&lt;&gt;"",OFFSET(変更先抽出【15時】!$A$1,AL33-1,19),"")</f>
        <v/>
      </c>
      <c r="AO36" s="204"/>
      <c r="AP36" s="44"/>
      <c r="AQ36" s="199" t="str">
        <f ca="1">IF(AN33&lt;&gt;"",OFFSET(変更先抽出【15時】!$A$1,AL33-1,20),"")</f>
        <v/>
      </c>
      <c r="AR36" s="200"/>
      <c r="AU36" s="25"/>
      <c r="AV36" s="203" t="str">
        <f ca="1">IF(AV33&lt;&gt;"",OFFSET(変更先抽出【15時】!$A$1,AT33-1,19),"")</f>
        <v/>
      </c>
      <c r="AW36" s="204"/>
      <c r="AX36" s="44"/>
      <c r="AY36" s="199" t="str">
        <f ca="1">IF(AV33&lt;&gt;"",OFFSET(変更先抽出【15時】!$A$1,AT33-1,20),"")</f>
        <v/>
      </c>
      <c r="AZ36" s="200"/>
      <c r="BA36" s="26"/>
      <c r="BB36" s="25"/>
      <c r="BC36" s="203" t="str">
        <f ca="1">IF(BC33&lt;&gt;"",OFFSET(変更先抽出【15時】!$A$1,BA33-1,19),"")</f>
        <v/>
      </c>
      <c r="BD36" s="204"/>
      <c r="BE36" s="44"/>
      <c r="BF36" s="199" t="str">
        <f ca="1">IF(BC33&lt;&gt;"",OFFSET(変更先抽出【15時】!$A$1,BA33-1,20),"")</f>
        <v/>
      </c>
      <c r="BG36" s="200"/>
      <c r="BJ36" s="25"/>
      <c r="BK36" s="203" t="str">
        <f ca="1">IF(BK33&lt;&gt;"",OFFSET(変更先抽出【15時】!$A$1,BI33-1,19),"")</f>
        <v/>
      </c>
      <c r="BL36" s="204"/>
      <c r="BM36" s="44"/>
      <c r="BN36" s="199" t="str">
        <f ca="1">IF(BK33&lt;&gt;"",OFFSET(変更先抽出【15時】!$A$1,BI33-1,20),"")</f>
        <v/>
      </c>
      <c r="BO36" s="200"/>
      <c r="BP36" s="26"/>
      <c r="BQ36" s="25"/>
      <c r="BR36" s="203" t="str">
        <f ca="1">IF(BR33&lt;&gt;"",OFFSET(変更先抽出【15時】!$A$1,BP33-1,19),"")</f>
        <v/>
      </c>
      <c r="BS36" s="204"/>
      <c r="BT36" s="44"/>
      <c r="BU36" s="199" t="str">
        <f ca="1">IF(BR33&lt;&gt;"",OFFSET(変更先抽出【15時】!$A$1,BP33-1,20),"")</f>
        <v/>
      </c>
      <c r="BV36" s="200"/>
      <c r="BY36" s="25"/>
      <c r="BZ36" s="203" t="str">
        <f ca="1">IF(BZ33&lt;&gt;"",OFFSET(変更先抽出【15時】!$A$1,BX33-1,19),"")</f>
        <v/>
      </c>
      <c r="CA36" s="204"/>
      <c r="CB36" s="44"/>
      <c r="CC36" s="199" t="str">
        <f ca="1">IF(BZ33&lt;&gt;"",OFFSET(変更先抽出【15時】!$A$1,BX33-1,20),"")</f>
        <v/>
      </c>
      <c r="CD36" s="200"/>
      <c r="CE36" s="26"/>
      <c r="CF36" s="25"/>
      <c r="CG36" s="203" t="str">
        <f ca="1">IF(CG33&lt;&gt;"",OFFSET(変更先抽出【15時】!$A$1,CE33-1,19),"")</f>
        <v/>
      </c>
      <c r="CH36" s="204"/>
      <c r="CI36" s="44"/>
      <c r="CJ36" s="199" t="str">
        <f ca="1">IF(CG33&lt;&gt;"",OFFSET(変更先抽出【15時】!$A$1,CE33-1,20),"")</f>
        <v/>
      </c>
      <c r="CK36" s="200"/>
      <c r="CN36" s="25"/>
      <c r="CO36" s="203" t="str">
        <f ca="1">IF(CO33&lt;&gt;"",OFFSET(変更先抽出【15時】!$A$1,CM33-1,19),"")</f>
        <v/>
      </c>
      <c r="CP36" s="204"/>
      <c r="CQ36" s="44"/>
      <c r="CR36" s="199" t="str">
        <f ca="1">IF(CO33&lt;&gt;"",OFFSET(変更先抽出【15時】!$A$1,CM33-1,20),"")</f>
        <v/>
      </c>
      <c r="CS36" s="200"/>
      <c r="CT36" s="26"/>
      <c r="CU36" s="25"/>
      <c r="CV36" s="203" t="str">
        <f ca="1">IF(CV33&lt;&gt;"",OFFSET(変更先抽出【15時】!$A$1,CT33-1,19),"")</f>
        <v/>
      </c>
      <c r="CW36" s="204"/>
      <c r="CX36" s="44"/>
      <c r="CY36" s="199" t="str">
        <f ca="1">IF(CV33&lt;&gt;"",OFFSET(変更先抽出【15時】!$A$1,CT33-1,20),"")</f>
        <v/>
      </c>
      <c r="CZ36" s="200"/>
      <c r="DC36" s="25"/>
      <c r="DD36" s="203" t="str">
        <f ca="1">IF(DD33&lt;&gt;"",OFFSET(変更先抽出【15時】!$A$1,DB33-1,19),"")</f>
        <v/>
      </c>
      <c r="DE36" s="204"/>
      <c r="DF36" s="44"/>
      <c r="DG36" s="199" t="str">
        <f ca="1">IF(DD33&lt;&gt;"",OFFSET(変更先抽出【15時】!$A$1,DB33-1,20),"")</f>
        <v/>
      </c>
      <c r="DH36" s="200"/>
      <c r="DI36" s="26"/>
      <c r="DJ36" s="25"/>
      <c r="DK36" s="203" t="str">
        <f ca="1">IF(DK33&lt;&gt;"",OFFSET(変更先抽出【15時】!$A$1,DI33-1,19),"")</f>
        <v/>
      </c>
      <c r="DL36" s="204"/>
      <c r="DM36" s="44"/>
      <c r="DN36" s="199" t="str">
        <f ca="1">IF(DK33&lt;&gt;"",OFFSET(変更先抽出【15時】!$A$1,DI33-1,20),"")</f>
        <v/>
      </c>
      <c r="DO36" s="200"/>
      <c r="DR36" s="25"/>
      <c r="DS36" s="203" t="str">
        <f ca="1">IF(DS33&lt;&gt;"",OFFSET(変更先抽出【15時】!$A$1,DQ33-1,19),"")</f>
        <v/>
      </c>
      <c r="DT36" s="204"/>
      <c r="DU36" s="44"/>
      <c r="DV36" s="199" t="str">
        <f ca="1">IF(DS33&lt;&gt;"",OFFSET(変更先抽出【15時】!$A$1,DQ33-1,20),"")</f>
        <v/>
      </c>
      <c r="DW36" s="200"/>
      <c r="DX36" s="26"/>
      <c r="DY36" s="25"/>
      <c r="DZ36" s="203" t="str">
        <f ca="1">IF(DZ33&lt;&gt;"",OFFSET(変更先抽出【15時】!$A$1,DX33-1,19),"")</f>
        <v/>
      </c>
      <c r="EA36" s="204"/>
      <c r="EB36" s="44"/>
      <c r="EC36" s="199" t="str">
        <f ca="1">IF(DZ33&lt;&gt;"",OFFSET(変更先抽出【15時】!$A$1,DX33-1,20),"")</f>
        <v/>
      </c>
      <c r="ED36" s="200"/>
      <c r="EG36" s="25"/>
      <c r="EH36" s="203" t="str">
        <f ca="1">IF(EH33&lt;&gt;"",OFFSET(変更先抽出【15時】!$A$1,EF33-1,19),"")</f>
        <v/>
      </c>
      <c r="EI36" s="204"/>
      <c r="EJ36" s="44"/>
      <c r="EK36" s="199" t="str">
        <f ca="1">IF(EH33&lt;&gt;"",OFFSET(変更先抽出【15時】!$A$1,EF33-1,20),"")</f>
        <v/>
      </c>
      <c r="EL36" s="200"/>
      <c r="EM36" s="26"/>
      <c r="EN36" s="25"/>
      <c r="EO36" s="203" t="str">
        <f ca="1">IF(EO33&lt;&gt;"",OFFSET(変更先抽出【15時】!$A$1,EM33-1,19),"")</f>
        <v/>
      </c>
      <c r="EP36" s="204"/>
      <c r="EQ36" s="44"/>
      <c r="ER36" s="199" t="str">
        <f ca="1">IF(EO33&lt;&gt;"",OFFSET(変更先抽出【15時】!$A$1,EM33-1,20),"")</f>
        <v/>
      </c>
      <c r="ES36" s="200"/>
    </row>
    <row r="37" spans="1:150" ht="15.6" customHeight="1">
      <c r="B37" s="27"/>
      <c r="C37" s="201"/>
      <c r="D37" s="201"/>
      <c r="E37" s="178"/>
      <c r="F37" s="201"/>
      <c r="G37" s="202"/>
      <c r="H37" s="26"/>
      <c r="I37" s="27"/>
      <c r="J37" s="201"/>
      <c r="K37" s="201"/>
      <c r="L37" s="178"/>
      <c r="M37" s="201"/>
      <c r="N37" s="202"/>
      <c r="Q37" s="27"/>
      <c r="R37" s="201"/>
      <c r="S37" s="201"/>
      <c r="T37" s="178"/>
      <c r="U37" s="201"/>
      <c r="V37" s="202"/>
      <c r="W37" s="26"/>
      <c r="X37" s="27"/>
      <c r="Y37" s="201"/>
      <c r="Z37" s="201"/>
      <c r="AA37" s="178"/>
      <c r="AB37" s="201"/>
      <c r="AC37" s="202"/>
      <c r="AF37" s="27"/>
      <c r="AG37" s="201"/>
      <c r="AH37" s="201"/>
      <c r="AI37" s="178"/>
      <c r="AJ37" s="201"/>
      <c r="AK37" s="202"/>
      <c r="AL37" s="26"/>
      <c r="AM37" s="27"/>
      <c r="AN37" s="201"/>
      <c r="AO37" s="201"/>
      <c r="AP37" s="178"/>
      <c r="AQ37" s="201"/>
      <c r="AR37" s="202"/>
      <c r="AU37" s="27"/>
      <c r="AV37" s="201"/>
      <c r="AW37" s="201"/>
      <c r="AX37" s="178"/>
      <c r="AY37" s="201"/>
      <c r="AZ37" s="202"/>
      <c r="BA37" s="26"/>
      <c r="BB37" s="27"/>
      <c r="BC37" s="201"/>
      <c r="BD37" s="201"/>
      <c r="BE37" s="178"/>
      <c r="BF37" s="201"/>
      <c r="BG37" s="202"/>
      <c r="BJ37" s="27"/>
      <c r="BK37" s="201"/>
      <c r="BL37" s="201"/>
      <c r="BM37" s="178"/>
      <c r="BN37" s="201"/>
      <c r="BO37" s="202"/>
      <c r="BP37" s="26"/>
      <c r="BQ37" s="27"/>
      <c r="BR37" s="201"/>
      <c r="BS37" s="201"/>
      <c r="BT37" s="178"/>
      <c r="BU37" s="201"/>
      <c r="BV37" s="202"/>
      <c r="BY37" s="27"/>
      <c r="BZ37" s="201"/>
      <c r="CA37" s="201"/>
      <c r="CB37" s="178"/>
      <c r="CC37" s="201"/>
      <c r="CD37" s="202"/>
      <c r="CE37" s="26"/>
      <c r="CF37" s="27"/>
      <c r="CG37" s="201"/>
      <c r="CH37" s="201"/>
      <c r="CI37" s="178"/>
      <c r="CJ37" s="201"/>
      <c r="CK37" s="202"/>
      <c r="CN37" s="27"/>
      <c r="CO37" s="201"/>
      <c r="CP37" s="201"/>
      <c r="CQ37" s="178"/>
      <c r="CR37" s="201"/>
      <c r="CS37" s="202"/>
      <c r="CT37" s="26"/>
      <c r="CU37" s="27"/>
      <c r="CV37" s="201"/>
      <c r="CW37" s="201"/>
      <c r="CX37" s="178"/>
      <c r="CY37" s="201"/>
      <c r="CZ37" s="202"/>
      <c r="DC37" s="27"/>
      <c r="DD37" s="201"/>
      <c r="DE37" s="201"/>
      <c r="DF37" s="178"/>
      <c r="DG37" s="201"/>
      <c r="DH37" s="202"/>
      <c r="DI37" s="26"/>
      <c r="DJ37" s="27"/>
      <c r="DK37" s="201"/>
      <c r="DL37" s="201"/>
      <c r="DM37" s="178"/>
      <c r="DN37" s="201"/>
      <c r="DO37" s="202"/>
      <c r="DR37" s="27"/>
      <c r="DS37" s="201"/>
      <c r="DT37" s="201"/>
      <c r="DU37" s="178"/>
      <c r="DV37" s="201"/>
      <c r="DW37" s="202"/>
      <c r="DX37" s="26"/>
      <c r="DY37" s="27"/>
      <c r="DZ37" s="201"/>
      <c r="EA37" s="201"/>
      <c r="EB37" s="178"/>
      <c r="EC37" s="201"/>
      <c r="ED37" s="202"/>
      <c r="EG37" s="27"/>
      <c r="EH37" s="201"/>
      <c r="EI37" s="201"/>
      <c r="EJ37" s="178"/>
      <c r="EK37" s="201"/>
      <c r="EL37" s="202"/>
      <c r="EM37" s="26"/>
      <c r="EN37" s="27"/>
      <c r="EO37" s="201"/>
      <c r="EP37" s="201"/>
      <c r="EQ37" s="178"/>
      <c r="ER37" s="201"/>
      <c r="ES37" s="202"/>
    </row>
    <row r="38" spans="1:150" s="180" customFormat="1">
      <c r="A38" s="30"/>
      <c r="B38" s="34" t="str">
        <f ca="1">IF(C33&lt;&gt;"","パン箱","")</f>
        <v/>
      </c>
      <c r="C38" s="32" t="str">
        <f ca="1">IF(C33&lt;&gt;"",OFFSET(変更先抽出【15時】!$A$1,A33-1,22),"")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IF(J33&lt;&gt;"",OFFSET(変更先抽出【15時】!$A$1,H33-1,22),"")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IF(R33&lt;&gt;"",OFFSET(変更先抽出【15時】!$A$1,P33-1,22),"")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IF(Y33&lt;&gt;"",OFFSET(変更先抽出【15時】!$A$1,W33-1,22),"")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IF(AG33&lt;&gt;"",OFFSET(変更先抽出【15時】!$A$1,AE33-1,22),"")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IF(AN33&lt;&gt;"",OFFSET(変更先抽出【15時】!$A$1,AL33-1,22),"")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IF(AV33&lt;&gt;"",OFFSET(変更先抽出【15時】!$A$1,AT33-1,22),"")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IF(BC33&lt;&gt;"",OFFSET(変更先抽出【15時】!$A$1,BA33-1,22),"")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IF(BK33&lt;&gt;"",OFFSET(変更先抽出【15時】!$A$1,BI33-1,22),"")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IF(BR33&lt;&gt;"",OFFSET(変更先抽出【15時】!$A$1,BP33-1,22),"")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IF(BZ33&lt;&gt;"",OFFSET(変更先抽出【15時】!$A$1,BX33-1,22),"")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IF(CG33&lt;&gt;"",OFFSET(変更先抽出【15時】!$A$1,CE33-1,22),"")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IF(CO33&lt;&gt;"",OFFSET(変更先抽出【15時】!$A$1,CM33-1,22),"")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IF(CV33&lt;&gt;"",OFFSET(変更先抽出【15時】!$A$1,CT33-1,22),"")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IF(DD33&lt;&gt;"",OFFSET(変更先抽出【15時】!$A$1,DB33-1,22),"")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IF(DK33&lt;&gt;"",OFFSET(変更先抽出【15時】!$A$1,DI33-1,22),"")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IF(DS33&lt;&gt;"",OFFSET(変更先抽出【15時】!$A$1,DQ33-1,22),"")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IF(DZ33&lt;&gt;"",OFFSET(変更先抽出【15時】!$A$1,DX33-1,22),"")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IF(EH33&lt;&gt;"",OFFSET(変更先抽出【15時】!$A$1,EF33-1,22),"")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IF(EO33&lt;&gt;"",OFFSET(変更先抽出【15時】!$A$1,EM33-1,22),"")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09" t="str">
        <f ca="1">IF(C33&lt;&gt;"",IFERROR(INT(C36/C38),""),"")</f>
        <v/>
      </c>
      <c r="C39" s="202"/>
      <c r="D39" s="209" t="str">
        <f ca="1">IF(C33&lt;&gt;"",IFERROR(MOD(C36,C38),""),"")</f>
        <v/>
      </c>
      <c r="E39" s="202"/>
      <c r="F39" s="210" t="str">
        <f ca="1">IF(C33&lt;&gt;"",OFFSET(変更先抽出【15時】!$A$1,A33-1,21),"")</f>
        <v/>
      </c>
      <c r="G39" s="202"/>
      <c r="I39" s="209" t="str">
        <f ca="1">IF(J33&lt;&gt;"",IFERROR(INT(J36/J38),""),"")</f>
        <v/>
      </c>
      <c r="J39" s="202"/>
      <c r="K39" s="209" t="str">
        <f ca="1">IF(J33&lt;&gt;"",IFERROR(MOD(J36,J38),""),"")</f>
        <v/>
      </c>
      <c r="L39" s="202"/>
      <c r="M39" s="210" t="str">
        <f ca="1">IF(J33&lt;&gt;"",OFFSET(変更先抽出【15時】!$A$1,H33-1,21),"")</f>
        <v/>
      </c>
      <c r="N39" s="202"/>
      <c r="Q39" s="209" t="str">
        <f ca="1">IF(R33&lt;&gt;"",IFERROR(INT(R36/R38),""),"")</f>
        <v/>
      </c>
      <c r="R39" s="202"/>
      <c r="S39" s="209" t="str">
        <f ca="1">IF(R33&lt;&gt;"",IFERROR(MOD(R36,R38),""),"")</f>
        <v/>
      </c>
      <c r="T39" s="202"/>
      <c r="U39" s="210" t="str">
        <f ca="1">IF(R33&lt;&gt;"",OFFSET(変更先抽出【15時】!$A$1,P33-1,21),"")</f>
        <v/>
      </c>
      <c r="V39" s="202"/>
      <c r="X39" s="209" t="str">
        <f ca="1">IF(Y33&lt;&gt;"",IFERROR(INT(Y36/Y38),""),"")</f>
        <v/>
      </c>
      <c r="Y39" s="202"/>
      <c r="Z39" s="209" t="str">
        <f ca="1">IF(Y33&lt;&gt;"",IFERROR(MOD(Y36,Y38),""),"")</f>
        <v/>
      </c>
      <c r="AA39" s="202"/>
      <c r="AB39" s="210" t="str">
        <f ca="1">IF(Y33&lt;&gt;"",OFFSET(変更先抽出【15時】!$A$1,W33-1,21),"")</f>
        <v/>
      </c>
      <c r="AC39" s="202"/>
      <c r="AF39" s="209" t="str">
        <f ca="1">IF(AG33&lt;&gt;"",IFERROR(INT(AG36/AG38),""),"")</f>
        <v/>
      </c>
      <c r="AG39" s="202"/>
      <c r="AH39" s="209" t="str">
        <f ca="1">IF(AG33&lt;&gt;"",IFERROR(MOD(AG36,AG38),""),"")</f>
        <v/>
      </c>
      <c r="AI39" s="202"/>
      <c r="AJ39" s="210" t="str">
        <f ca="1">IF(AG33&lt;&gt;"",OFFSET(変更先抽出【15時】!$A$1,AE33-1,21),"")</f>
        <v/>
      </c>
      <c r="AK39" s="202"/>
      <c r="AM39" s="209" t="str">
        <f ca="1">IF(AN33&lt;&gt;"",IFERROR(INT(AN36/AN38),""),"")</f>
        <v/>
      </c>
      <c r="AN39" s="202"/>
      <c r="AO39" s="209" t="str">
        <f ca="1">IF(AN33&lt;&gt;"",IFERROR(MOD(AN36,AN38),""),"")</f>
        <v/>
      </c>
      <c r="AP39" s="202"/>
      <c r="AQ39" s="210" t="str">
        <f ca="1">IF(AN33&lt;&gt;"",OFFSET(変更先抽出【15時】!$A$1,AL33-1,21),"")</f>
        <v/>
      </c>
      <c r="AR39" s="202"/>
      <c r="AU39" s="209" t="str">
        <f ca="1">IF(AV33&lt;&gt;"",IFERROR(INT(AV36/AV38),""),"")</f>
        <v/>
      </c>
      <c r="AV39" s="202"/>
      <c r="AW39" s="209" t="str">
        <f ca="1">IF(AV33&lt;&gt;"",IFERROR(MOD(AV36,AV38),""),"")</f>
        <v/>
      </c>
      <c r="AX39" s="202"/>
      <c r="AY39" s="210" t="str">
        <f ca="1">IF(AV33&lt;&gt;"",OFFSET(変更先抽出【15時】!$A$1,AT33-1,21),"")</f>
        <v/>
      </c>
      <c r="AZ39" s="202"/>
      <c r="BB39" s="209" t="str">
        <f ca="1">IF(BC33&lt;&gt;"",IFERROR(INT(BC36/BC38),""),"")</f>
        <v/>
      </c>
      <c r="BC39" s="202"/>
      <c r="BD39" s="209" t="str">
        <f ca="1">IF(BC33&lt;&gt;"",IFERROR(MOD(BC36,BC38),""),"")</f>
        <v/>
      </c>
      <c r="BE39" s="202"/>
      <c r="BF39" s="210" t="str">
        <f ca="1">IF(BC33&lt;&gt;"",OFFSET(変更先抽出【15時】!$A$1,BA33-1,21),"")</f>
        <v/>
      </c>
      <c r="BG39" s="202"/>
      <c r="BJ39" s="209" t="str">
        <f ca="1">IF(BK33&lt;&gt;"",IFERROR(INT(BK36/BK38),""),"")</f>
        <v/>
      </c>
      <c r="BK39" s="202"/>
      <c r="BL39" s="209" t="str">
        <f ca="1">IF(BK33&lt;&gt;"",IFERROR(MOD(BK36,BK38),""),"")</f>
        <v/>
      </c>
      <c r="BM39" s="202"/>
      <c r="BN39" s="210" t="str">
        <f ca="1">IF(BK33&lt;&gt;"",OFFSET(変更先抽出【15時】!$A$1,BI33-1,21),"")</f>
        <v/>
      </c>
      <c r="BO39" s="202"/>
      <c r="BQ39" s="209" t="str">
        <f ca="1">IF(BR33&lt;&gt;"",IFERROR(INT(BR36/BR38),""),"")</f>
        <v/>
      </c>
      <c r="BR39" s="202"/>
      <c r="BS39" s="209" t="str">
        <f ca="1">IF(BR33&lt;&gt;"",IFERROR(MOD(BR36,BR38),""),"")</f>
        <v/>
      </c>
      <c r="BT39" s="202"/>
      <c r="BU39" s="210" t="str">
        <f ca="1">IF(BR33&lt;&gt;"",OFFSET(変更先抽出【15時】!$A$1,BP33-1,21),"")</f>
        <v/>
      </c>
      <c r="BV39" s="202"/>
      <c r="BY39" s="209" t="str">
        <f ca="1">IF(BZ33&lt;&gt;"",IFERROR(INT(BZ36/BZ38),""),"")</f>
        <v/>
      </c>
      <c r="BZ39" s="202"/>
      <c r="CA39" s="209" t="str">
        <f ca="1">IF(BZ33&lt;&gt;"",IFERROR(MOD(BZ36,BZ38),""),"")</f>
        <v/>
      </c>
      <c r="CB39" s="202"/>
      <c r="CC39" s="210" t="str">
        <f ca="1">IF(BZ33&lt;&gt;"",OFFSET(変更先抽出【15時】!$A$1,BX33-1,21),"")</f>
        <v/>
      </c>
      <c r="CD39" s="202"/>
      <c r="CF39" s="209" t="str">
        <f ca="1">IF(CG33&lt;&gt;"",IFERROR(INT(CG36/CG38),""),"")</f>
        <v/>
      </c>
      <c r="CG39" s="202"/>
      <c r="CH39" s="209" t="str">
        <f ca="1">IF(CG33&lt;&gt;"",IFERROR(MOD(CG36,CG38),""),"")</f>
        <v/>
      </c>
      <c r="CI39" s="202"/>
      <c r="CJ39" s="210" t="str">
        <f ca="1">IF(CG33&lt;&gt;"",OFFSET(変更先抽出【15時】!$A$1,CE33-1,21),"")</f>
        <v/>
      </c>
      <c r="CK39" s="202"/>
      <c r="CN39" s="209" t="str">
        <f ca="1">IF(CO33&lt;&gt;"",IFERROR(INT(CO36/CO38),""),"")</f>
        <v/>
      </c>
      <c r="CO39" s="202"/>
      <c r="CP39" s="209" t="str">
        <f ca="1">IF(CO33&lt;&gt;"",IFERROR(MOD(CO36,CO38),""),"")</f>
        <v/>
      </c>
      <c r="CQ39" s="202"/>
      <c r="CR39" s="210" t="str">
        <f ca="1">IF(CO33&lt;&gt;"",OFFSET(変更先抽出【15時】!$A$1,CM33-1,21),"")</f>
        <v/>
      </c>
      <c r="CS39" s="202"/>
      <c r="CU39" s="209" t="str">
        <f ca="1">IF(CV33&lt;&gt;"",IFERROR(INT(CV36/CV38),""),"")</f>
        <v/>
      </c>
      <c r="CV39" s="202"/>
      <c r="CW39" s="209" t="str">
        <f ca="1">IF(CV33&lt;&gt;"",IFERROR(MOD(CV36,CV38),""),"")</f>
        <v/>
      </c>
      <c r="CX39" s="202"/>
      <c r="CY39" s="210" t="str">
        <f ca="1">IF(CV33&lt;&gt;"",OFFSET(変更先抽出【15時】!$A$1,CT33-1,21),"")</f>
        <v/>
      </c>
      <c r="CZ39" s="202"/>
      <c r="DC39" s="209" t="str">
        <f ca="1">IF(DD33&lt;&gt;"",IFERROR(INT(DD36/DD38),""),"")</f>
        <v/>
      </c>
      <c r="DD39" s="202"/>
      <c r="DE39" s="209" t="str">
        <f ca="1">IF(DD33&lt;&gt;"",IFERROR(MOD(DD36,DD38),""),"")</f>
        <v/>
      </c>
      <c r="DF39" s="202"/>
      <c r="DG39" s="210" t="str">
        <f ca="1">IF(DD33&lt;&gt;"",OFFSET(変更先抽出【15時】!$A$1,DB33-1,21),"")</f>
        <v/>
      </c>
      <c r="DH39" s="202"/>
      <c r="DJ39" s="209" t="str">
        <f ca="1">IF(DK33&lt;&gt;"",IFERROR(INT(DK36/DK38),""),"")</f>
        <v/>
      </c>
      <c r="DK39" s="202"/>
      <c r="DL39" s="209" t="str">
        <f ca="1">IF(DK33&lt;&gt;"",IFERROR(MOD(DK36,DK38),""),"")</f>
        <v/>
      </c>
      <c r="DM39" s="202"/>
      <c r="DN39" s="210" t="str">
        <f ca="1">IF(DK33&lt;&gt;"",OFFSET(変更先抽出【15時】!$A$1,DI33-1,21),"")</f>
        <v/>
      </c>
      <c r="DO39" s="202"/>
      <c r="DR39" s="209" t="str">
        <f ca="1">IF(DS33&lt;&gt;"",IFERROR(INT(DS36/DS38),""),"")</f>
        <v/>
      </c>
      <c r="DS39" s="202"/>
      <c r="DT39" s="209" t="str">
        <f ca="1">IF(DS33&lt;&gt;"",IFERROR(MOD(DS36,DS38),""),"")</f>
        <v/>
      </c>
      <c r="DU39" s="202"/>
      <c r="DV39" s="210" t="str">
        <f ca="1">IF(DS33&lt;&gt;"",OFFSET(変更先抽出【15時】!$A$1,DQ33-1,21),"")</f>
        <v/>
      </c>
      <c r="DW39" s="202"/>
      <c r="DY39" s="209" t="str">
        <f ca="1">IF(DZ33&lt;&gt;"",IFERROR(INT(DZ36/DZ38),""),"")</f>
        <v/>
      </c>
      <c r="DZ39" s="202"/>
      <c r="EA39" s="209" t="str">
        <f ca="1">IF(DZ33&lt;&gt;"",IFERROR(MOD(DZ36,DZ38),""),"")</f>
        <v/>
      </c>
      <c r="EB39" s="202"/>
      <c r="EC39" s="210" t="str">
        <f ca="1">IF(DZ33&lt;&gt;"",OFFSET(変更先抽出【15時】!$A$1,DX33-1,21),"")</f>
        <v/>
      </c>
      <c r="ED39" s="202"/>
      <c r="EG39" s="209" t="str">
        <f ca="1">IF(EH33&lt;&gt;"",IFERROR(INT(EH36/EH38),""),"")</f>
        <v/>
      </c>
      <c r="EH39" s="202"/>
      <c r="EI39" s="209" t="str">
        <f ca="1">IF(EH33&lt;&gt;"",IFERROR(MOD(EH36,EH38),""),"")</f>
        <v/>
      </c>
      <c r="EJ39" s="202"/>
      <c r="EK39" s="210" t="str">
        <f ca="1">IF(EH33&lt;&gt;"",OFFSET(変更先抽出【15時】!$A$1,EF33-1,21),"")</f>
        <v/>
      </c>
      <c r="EL39" s="202"/>
      <c r="EN39" s="209" t="str">
        <f ca="1">IF(EO33&lt;&gt;"",IFERROR(INT(EO36/EO38),""),"")</f>
        <v/>
      </c>
      <c r="EO39" s="202"/>
      <c r="EP39" s="209" t="str">
        <f ca="1">IF(EO33&lt;&gt;"",IFERROR(MOD(EO36,EO38),""),"")</f>
        <v/>
      </c>
      <c r="EQ39" s="202"/>
      <c r="ER39" s="210" t="str">
        <f ca="1">IF(EO33&lt;&gt;"",OFFSET(変更先抽出【15時】!$A$1,EM33-1,21),"")</f>
        <v/>
      </c>
      <c r="ES39" s="202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0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7" t="str">
        <f ca="1">IF(OFFSET(変更先抽出【15時】!$A$1,A41-1,16)&lt;&gt;"",OFFSET(変更先抽出【15時】!$A$1,A41-1,17),"")</f>
        <v/>
      </c>
      <c r="D41" s="208"/>
      <c r="E41" s="208"/>
      <c r="F41" s="208"/>
      <c r="G41" s="39" t="str">
        <f ca="1">IF(C41&lt;&gt;"","様","")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7" t="str">
        <f ca="1">IF(OFFSET(変更先抽出【15時】!$A$1,H41-1,16)&lt;&gt;"",OFFSET(変更先抽出【15時】!$A$1,H41-1,17),"")</f>
        <v/>
      </c>
      <c r="K41" s="208"/>
      <c r="L41" s="208"/>
      <c r="M41" s="208"/>
      <c r="N41" s="39" t="str">
        <f ca="1">IF(J41&lt;&gt;"","様","")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7" t="str">
        <f ca="1">IF(OFFSET(変更先抽出【15時】!$A$1,P41-1,16)&lt;&gt;"",OFFSET(変更先抽出【15時】!$A$1,P41-1,17),"")</f>
        <v/>
      </c>
      <c r="S41" s="208"/>
      <c r="T41" s="208"/>
      <c r="U41" s="208"/>
      <c r="V41" s="39" t="str">
        <f ca="1">IF(R41&lt;&gt;"","様","")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7" t="str">
        <f ca="1">IF(OFFSET(変更先抽出【15時】!$A$1,W41-1,16)&lt;&gt;"",OFFSET(変更先抽出【15時】!$A$1,W41-1,17),"")</f>
        <v/>
      </c>
      <c r="Z41" s="208"/>
      <c r="AA41" s="208"/>
      <c r="AB41" s="208"/>
      <c r="AC41" s="39" t="str">
        <f ca="1">IF(Y41&lt;&gt;"","様","")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7" t="str">
        <f ca="1">IF(OFFSET(変更先抽出【15時】!$A$1,AE41-1,16)&lt;&gt;"",OFFSET(変更先抽出【15時】!$A$1,AE41-1,17),"")</f>
        <v/>
      </c>
      <c r="AH41" s="208"/>
      <c r="AI41" s="208"/>
      <c r="AJ41" s="208"/>
      <c r="AK41" s="39" t="str">
        <f ca="1">IF(AG41&lt;&gt;"","様","")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7" t="str">
        <f ca="1">IF(OFFSET(変更先抽出【15時】!$A$1,AL41-1,16)&lt;&gt;"",OFFSET(変更先抽出【15時】!$A$1,AL41-1,17),"")</f>
        <v/>
      </c>
      <c r="AO41" s="208"/>
      <c r="AP41" s="208"/>
      <c r="AQ41" s="208"/>
      <c r="AR41" s="39" t="str">
        <f ca="1">IF(AN41&lt;&gt;"","様","")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7" t="str">
        <f ca="1">IF(OFFSET(変更先抽出【15時】!$A$1,AT41-1,16)&lt;&gt;"",OFFSET(変更先抽出【15時】!$A$1,AT41-1,17),"")</f>
        <v/>
      </c>
      <c r="AW41" s="208"/>
      <c r="AX41" s="208"/>
      <c r="AY41" s="208"/>
      <c r="AZ41" s="39" t="str">
        <f ca="1">IF(AV41&lt;&gt;"","様","")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7" t="str">
        <f ca="1">IF(OFFSET(変更先抽出【15時】!$A$1,BA41-1,16)&lt;&gt;"",OFFSET(変更先抽出【15時】!$A$1,BA41-1,17),"")</f>
        <v/>
      </c>
      <c r="BD41" s="208"/>
      <c r="BE41" s="208"/>
      <c r="BF41" s="208"/>
      <c r="BG41" s="39" t="str">
        <f ca="1">IF(BC41&lt;&gt;"","様","")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7" t="str">
        <f ca="1">IF(OFFSET(変更先抽出【15時】!$A$1,BI41-1,16)&lt;&gt;"",OFFSET(変更先抽出【15時】!$A$1,BI41-1,17),"")</f>
        <v/>
      </c>
      <c r="BL41" s="208"/>
      <c r="BM41" s="208"/>
      <c r="BN41" s="208"/>
      <c r="BO41" s="39" t="str">
        <f ca="1">IF(BK41&lt;&gt;"","様","")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7" t="str">
        <f ca="1">IF(OFFSET(変更先抽出【15時】!$A$1,BP41-1,16)&lt;&gt;"",OFFSET(変更先抽出【15時】!$A$1,BP41-1,17),"")</f>
        <v/>
      </c>
      <c r="BS41" s="208"/>
      <c r="BT41" s="208"/>
      <c r="BU41" s="208"/>
      <c r="BV41" s="39" t="str">
        <f ca="1">IF(BR41&lt;&gt;"","様","")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7" t="str">
        <f ca="1">IF(OFFSET(変更先抽出【15時】!$A$1,BX41-1,16)&lt;&gt;"",OFFSET(変更先抽出【15時】!$A$1,BX41-1,17),"")</f>
        <v/>
      </c>
      <c r="CA41" s="208"/>
      <c r="CB41" s="208"/>
      <c r="CC41" s="208"/>
      <c r="CD41" s="39" t="str">
        <f ca="1">IF(BZ41&lt;&gt;"","様","")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7" t="str">
        <f ca="1">IF(OFFSET(変更先抽出【15時】!$A$1,CE41-1,16)&lt;&gt;"",OFFSET(変更先抽出【15時】!$A$1,CE41-1,17),"")</f>
        <v/>
      </c>
      <c r="CH41" s="208"/>
      <c r="CI41" s="208"/>
      <c r="CJ41" s="208"/>
      <c r="CK41" s="39" t="str">
        <f ca="1">IF(CG41&lt;&gt;"","様","")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7" t="str">
        <f ca="1">IF(OFFSET(変更先抽出【15時】!$A$1,CM41-1,16)&lt;&gt;"",OFFSET(変更先抽出【15時】!$A$1,CM41-1,17),"")</f>
        <v/>
      </c>
      <c r="CP41" s="208"/>
      <c r="CQ41" s="208"/>
      <c r="CR41" s="208"/>
      <c r="CS41" s="39" t="str">
        <f ca="1">IF(CO41&lt;&gt;"","様","")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7" t="str">
        <f ca="1">IF(OFFSET(変更先抽出【15時】!$A$1,CT41-1,16)&lt;&gt;"",OFFSET(変更先抽出【15時】!$A$1,CT41-1,17),"")</f>
        <v/>
      </c>
      <c r="CW41" s="208"/>
      <c r="CX41" s="208"/>
      <c r="CY41" s="208"/>
      <c r="CZ41" s="39" t="str">
        <f ca="1">IF(CV41&lt;&gt;"","様","")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7" t="str">
        <f ca="1">IF(OFFSET(変更先抽出【15時】!$A$1,DB41-1,16)&lt;&gt;"",OFFSET(変更先抽出【15時】!$A$1,DB41-1,17),"")</f>
        <v/>
      </c>
      <c r="DE41" s="208"/>
      <c r="DF41" s="208"/>
      <c r="DG41" s="208"/>
      <c r="DH41" s="39" t="str">
        <f ca="1">IF(DD41&lt;&gt;"","様","")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7" t="str">
        <f ca="1">IF(OFFSET(変更先抽出【15時】!$A$1,DI41-1,16)&lt;&gt;"",OFFSET(変更先抽出【15時】!$A$1,DI41-1,17),"")</f>
        <v/>
      </c>
      <c r="DL41" s="208"/>
      <c r="DM41" s="208"/>
      <c r="DN41" s="208"/>
      <c r="DO41" s="39" t="str">
        <f ca="1">IF(DK41&lt;&gt;"","様","")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7" t="str">
        <f ca="1">IF(OFFSET(変更先抽出【15時】!$A$1,DQ41-1,16)&lt;&gt;"",OFFSET(変更先抽出【15時】!$A$1,DQ41-1,17),"")</f>
        <v/>
      </c>
      <c r="DT41" s="208"/>
      <c r="DU41" s="208"/>
      <c r="DV41" s="208"/>
      <c r="DW41" s="39" t="str">
        <f ca="1">IF(DS41&lt;&gt;"","様","")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7" t="str">
        <f ca="1">IF(OFFSET(変更先抽出【15時】!$A$1,DX41-1,16)&lt;&gt;"",OFFSET(変更先抽出【15時】!$A$1,DX41-1,17),"")</f>
        <v/>
      </c>
      <c r="EA41" s="208"/>
      <c r="EB41" s="208"/>
      <c r="EC41" s="208"/>
      <c r="ED41" s="39" t="str">
        <f ca="1">IF(DZ41&lt;&gt;"","様","")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7" t="str">
        <f ca="1">IF(OFFSET(変更先抽出【15時】!$A$1,EF41-1,16)&lt;&gt;"",OFFSET(変更先抽出【15時】!$A$1,EF41-1,17),"")</f>
        <v/>
      </c>
      <c r="EI41" s="208"/>
      <c r="EJ41" s="208"/>
      <c r="EK41" s="208"/>
      <c r="EL41" s="39" t="str">
        <f ca="1">IF(EH41&lt;&gt;"","様","")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7" t="str">
        <f ca="1">IF(OFFSET(変更先抽出【15時】!$A$1,EM41-1,16)&lt;&gt;"",OFFSET(変更先抽出【15時】!$A$1,EM41-1,17),"")</f>
        <v/>
      </c>
      <c r="EP41" s="208"/>
      <c r="EQ41" s="208"/>
      <c r="ER41" s="208"/>
      <c r="ES41" s="39" t="str">
        <f ca="1">IF(EO41&lt;&gt;"","様","")</f>
        <v/>
      </c>
      <c r="ET41" s="22"/>
    </row>
    <row r="42" spans="1:150" s="180" customFormat="1">
      <c r="A42" s="30"/>
      <c r="B42" s="103"/>
      <c r="C42" s="138" t="str">
        <f ca="1">IF(C41&lt;&gt;"",OFFSET(変更先抽出【15時】!$A$1,A41-1,18),"")</f>
        <v/>
      </c>
      <c r="D42" s="38"/>
      <c r="E42" s="38"/>
      <c r="F42" s="192" t="str">
        <f ca="1">IF(OFFSET(変更先抽出【15時】!$A$1,A41-1,25)&lt;&gt;"",OFFSET(変更先抽出【15時】!$A$1,A41-1,25)&amp;"箱"&amp;OFFSET(変更先抽出【15時】!$A$1,A41-1,26),"")</f>
        <v/>
      </c>
      <c r="G42" s="36"/>
      <c r="H42" s="43"/>
      <c r="I42" s="103"/>
      <c r="J42" s="138" t="str">
        <f ca="1">IF(J41&lt;&gt;"",OFFSET(変更先抽出【15時】!$A$1,H41-1,18),"")</f>
        <v/>
      </c>
      <c r="K42" s="38"/>
      <c r="L42" s="38"/>
      <c r="M42" s="192" t="str">
        <f ca="1">IF(OFFSET(変更先抽出【15時】!$A$1,H41-1,25)&lt;&gt;"",OFFSET(変更先抽出【15時】!$A$1,H41-1,25)&amp;"箱"&amp;OFFSET(変更先抽出【15時】!$A$1,H41-1,26),"")</f>
        <v/>
      </c>
      <c r="N42" s="36"/>
      <c r="O42" s="22"/>
      <c r="P42" s="30"/>
      <c r="Q42" s="103"/>
      <c r="R42" s="138" t="str">
        <f ca="1">IF(R41&lt;&gt;"",OFFSET(変更先抽出【15時】!$A$1,P41-1,18),"")</f>
        <v/>
      </c>
      <c r="S42" s="38"/>
      <c r="T42" s="38"/>
      <c r="U42" s="192" t="str">
        <f ca="1">IF(OFFSET(変更先抽出【15時】!$A$1,P41-1,25)&lt;&gt;"",OFFSET(変更先抽出【15時】!$A$1,P41-1,25)&amp;"箱"&amp;OFFSET(変更先抽出【15時】!$A$1,P41-1,26),"")</f>
        <v/>
      </c>
      <c r="V42" s="36"/>
      <c r="W42" s="43"/>
      <c r="X42" s="103"/>
      <c r="Y42" s="138" t="str">
        <f ca="1">IF(Y41&lt;&gt;"",OFFSET(変更先抽出【15時】!$A$1,W41-1,18),"")</f>
        <v/>
      </c>
      <c r="Z42" s="38"/>
      <c r="AA42" s="38"/>
      <c r="AB42" s="192" t="str">
        <f ca="1">IF(OFFSET(変更先抽出【15時】!$A$1,W41-1,25)&lt;&gt;"",OFFSET(変更先抽出【15時】!$A$1,W41-1,25)&amp;"箱"&amp;OFFSET(変更先抽出【15時】!$A$1,W41-1,26),"")</f>
        <v/>
      </c>
      <c r="AC42" s="36"/>
      <c r="AD42" s="22"/>
      <c r="AE42" s="30"/>
      <c r="AF42" s="103"/>
      <c r="AG42" s="138" t="str">
        <f ca="1">IF(AG41&lt;&gt;"",OFFSET(変更先抽出【15時】!$A$1,AE41-1,18),"")</f>
        <v/>
      </c>
      <c r="AH42" s="38"/>
      <c r="AI42" s="38"/>
      <c r="AJ42" s="192" t="str">
        <f ca="1">IF(OFFSET(変更先抽出【15時】!$A$1,AE41-1,25)&lt;&gt;"",OFFSET(変更先抽出【15時】!$A$1,AE41-1,25)&amp;"箱"&amp;OFFSET(変更先抽出【15時】!$A$1,AE41-1,26),"")</f>
        <v/>
      </c>
      <c r="AK42" s="36"/>
      <c r="AL42" s="43"/>
      <c r="AM42" s="103"/>
      <c r="AN42" s="138" t="str">
        <f ca="1">IF(AN41&lt;&gt;"",OFFSET(変更先抽出【15時】!$A$1,AL41-1,18),"")</f>
        <v/>
      </c>
      <c r="AO42" s="38"/>
      <c r="AP42" s="38"/>
      <c r="AQ42" s="192" t="str">
        <f ca="1">IF(OFFSET(変更先抽出【15時】!$A$1,AL41-1,25)&lt;&gt;"",OFFSET(変更先抽出【15時】!$A$1,AL41-1,25)&amp;"箱"&amp;OFFSET(変更先抽出【15時】!$A$1,AL41-1,26),"")</f>
        <v/>
      </c>
      <c r="AR42" s="36"/>
      <c r="AS42" s="22"/>
      <c r="AT42" s="30"/>
      <c r="AU42" s="103"/>
      <c r="AV42" s="138" t="str">
        <f ca="1">IF(AV41&lt;&gt;"",OFFSET(変更先抽出【15時】!$A$1,AT41-1,18),"")</f>
        <v/>
      </c>
      <c r="AW42" s="38"/>
      <c r="AX42" s="38"/>
      <c r="AY42" s="192" t="str">
        <f ca="1">IF(OFFSET(変更先抽出【15時】!$A$1,AT41-1,25)&lt;&gt;"",OFFSET(変更先抽出【15時】!$A$1,AT41-1,25)&amp;"箱"&amp;OFFSET(変更先抽出【15時】!$A$1,AT41-1,26),"")</f>
        <v/>
      </c>
      <c r="AZ42" s="36"/>
      <c r="BA42" s="43"/>
      <c r="BB42" s="103"/>
      <c r="BC42" s="138" t="str">
        <f ca="1">IF(BC41&lt;&gt;"",OFFSET(変更先抽出【15時】!$A$1,BA41-1,18),"")</f>
        <v/>
      </c>
      <c r="BD42" s="38"/>
      <c r="BE42" s="38"/>
      <c r="BF42" s="192" t="str">
        <f ca="1">IF(OFFSET(変更先抽出【15時】!$A$1,BA41-1,25)&lt;&gt;"",OFFSET(変更先抽出【15時】!$A$1,BA41-1,25)&amp;"箱"&amp;OFFSET(変更先抽出【15時】!$A$1,BA41-1,26),"")</f>
        <v/>
      </c>
      <c r="BG42" s="36"/>
      <c r="BH42" s="22"/>
      <c r="BI42" s="30"/>
      <c r="BJ42" s="103"/>
      <c r="BK42" s="138" t="str">
        <f ca="1">IF(BK41&lt;&gt;"",OFFSET(変更先抽出【15時】!$A$1,BI41-1,18),"")</f>
        <v/>
      </c>
      <c r="BL42" s="38"/>
      <c r="BM42" s="38"/>
      <c r="BN42" s="192" t="str">
        <f ca="1">IF(OFFSET(変更先抽出【15時】!$A$1,BI41-1,25)&lt;&gt;"",OFFSET(変更先抽出【15時】!$A$1,BI41-1,25)&amp;"箱"&amp;OFFSET(変更先抽出【15時】!$A$1,BI41-1,26),"")</f>
        <v/>
      </c>
      <c r="BO42" s="36"/>
      <c r="BP42" s="43"/>
      <c r="BQ42" s="103"/>
      <c r="BR42" s="138" t="str">
        <f ca="1">IF(BR41&lt;&gt;"",OFFSET(変更先抽出【15時】!$A$1,BP41-1,18),"")</f>
        <v/>
      </c>
      <c r="BS42" s="38"/>
      <c r="BT42" s="38"/>
      <c r="BU42" s="192" t="str">
        <f ca="1">IF(OFFSET(変更先抽出【15時】!$A$1,BP41-1,25)&lt;&gt;"",OFFSET(変更先抽出【15時】!$A$1,BP41-1,25)&amp;"箱"&amp;OFFSET(変更先抽出【15時】!$A$1,BP41-1,26),"")</f>
        <v/>
      </c>
      <c r="BV42" s="36"/>
      <c r="BW42" s="22"/>
      <c r="BX42" s="30"/>
      <c r="BY42" s="103"/>
      <c r="BZ42" s="138" t="str">
        <f ca="1">IF(BZ41&lt;&gt;"",OFFSET(変更先抽出【15時】!$A$1,BX41-1,18),"")</f>
        <v/>
      </c>
      <c r="CA42" s="38"/>
      <c r="CB42" s="38"/>
      <c r="CC42" s="192" t="str">
        <f ca="1">IF(OFFSET(変更先抽出【15時】!$A$1,BX41-1,25)&lt;&gt;"",OFFSET(変更先抽出【15時】!$A$1,BX41-1,25)&amp;"箱"&amp;OFFSET(変更先抽出【15時】!$A$1,BX41-1,26),"")</f>
        <v/>
      </c>
      <c r="CD42" s="36"/>
      <c r="CE42" s="43"/>
      <c r="CF42" s="103"/>
      <c r="CG42" s="138" t="str">
        <f ca="1">IF(CG41&lt;&gt;"",OFFSET(変更先抽出【15時】!$A$1,CE41-1,18),"")</f>
        <v/>
      </c>
      <c r="CH42" s="38"/>
      <c r="CI42" s="38"/>
      <c r="CJ42" s="192" t="str">
        <f ca="1">IF(OFFSET(変更先抽出【15時】!$A$1,CE41-1,25)&lt;&gt;"",OFFSET(変更先抽出【15時】!$A$1,CE41-1,25)&amp;"箱"&amp;OFFSET(変更先抽出【15時】!$A$1,CE41-1,26),"")</f>
        <v/>
      </c>
      <c r="CK42" s="36"/>
      <c r="CL42" s="22"/>
      <c r="CM42" s="30"/>
      <c r="CN42" s="103"/>
      <c r="CO42" s="138" t="str">
        <f ca="1">IF(CO41&lt;&gt;"",OFFSET(変更先抽出【15時】!$A$1,CM41-1,18),"")</f>
        <v/>
      </c>
      <c r="CP42" s="38"/>
      <c r="CQ42" s="38"/>
      <c r="CR42" s="192" t="str">
        <f ca="1">IF(OFFSET(変更先抽出【15時】!$A$1,CM41-1,25)&lt;&gt;"",OFFSET(変更先抽出【15時】!$A$1,CM41-1,25)&amp;"箱"&amp;OFFSET(変更先抽出【15時】!$A$1,CM41-1,26),"")</f>
        <v/>
      </c>
      <c r="CS42" s="36"/>
      <c r="CT42" s="43"/>
      <c r="CU42" s="103"/>
      <c r="CV42" s="138" t="str">
        <f ca="1">IF(CV41&lt;&gt;"",OFFSET(変更先抽出【15時】!$A$1,CT41-1,18),"")</f>
        <v/>
      </c>
      <c r="CW42" s="38"/>
      <c r="CX42" s="38"/>
      <c r="CY42" s="192" t="str">
        <f ca="1">IF(OFFSET(変更先抽出【15時】!$A$1,CT41-1,25)&lt;&gt;"",OFFSET(変更先抽出【15時】!$A$1,CT41-1,25)&amp;"箱"&amp;OFFSET(変更先抽出【15時】!$A$1,CT41-1,26),"")</f>
        <v/>
      </c>
      <c r="CZ42" s="36"/>
      <c r="DA42" s="22"/>
      <c r="DB42" s="30"/>
      <c r="DC42" s="103"/>
      <c r="DD42" s="138" t="str">
        <f ca="1">IF(DD41&lt;&gt;"",OFFSET(変更先抽出【15時】!$A$1,DB41-1,18),"")</f>
        <v/>
      </c>
      <c r="DE42" s="38"/>
      <c r="DF42" s="38"/>
      <c r="DG42" s="192" t="str">
        <f ca="1">IF(OFFSET(変更先抽出【15時】!$A$1,DB41-1,25)&lt;&gt;"",OFFSET(変更先抽出【15時】!$A$1,DB41-1,25)&amp;"箱"&amp;OFFSET(変更先抽出【15時】!$A$1,DB41-1,26),"")</f>
        <v/>
      </c>
      <c r="DH42" s="36"/>
      <c r="DI42" s="43"/>
      <c r="DJ42" s="103"/>
      <c r="DK42" s="138" t="str">
        <f ca="1">IF(DK41&lt;&gt;"",OFFSET(変更先抽出【15時】!$A$1,DI41-1,18),"")</f>
        <v/>
      </c>
      <c r="DL42" s="38"/>
      <c r="DM42" s="38"/>
      <c r="DN42" s="192" t="str">
        <f ca="1">IF(OFFSET(変更先抽出【15時】!$A$1,DI41-1,25)&lt;&gt;"",OFFSET(変更先抽出【15時】!$A$1,DI41-1,25)&amp;"箱"&amp;OFFSET(変更先抽出【15時】!$A$1,DI41-1,26),"")</f>
        <v/>
      </c>
      <c r="DO42" s="36"/>
      <c r="DP42" s="22"/>
      <c r="DQ42" s="30"/>
      <c r="DR42" s="103"/>
      <c r="DS42" s="138" t="str">
        <f ca="1">IF(DS41&lt;&gt;"",OFFSET(変更先抽出【15時】!$A$1,DQ41-1,18),"")</f>
        <v/>
      </c>
      <c r="DT42" s="38"/>
      <c r="DU42" s="38"/>
      <c r="DV42" s="192" t="str">
        <f ca="1">IF(OFFSET(変更先抽出【15時】!$A$1,DQ41-1,25)&lt;&gt;"",OFFSET(変更先抽出【15時】!$A$1,DQ41-1,25)&amp;"箱"&amp;OFFSET(変更先抽出【15時】!$A$1,DQ41-1,26),"")</f>
        <v/>
      </c>
      <c r="DW42" s="36"/>
      <c r="DX42" s="43"/>
      <c r="DY42" s="103"/>
      <c r="DZ42" s="138" t="str">
        <f ca="1">IF(DZ41&lt;&gt;"",OFFSET(変更先抽出【15時】!$A$1,DX41-1,18),"")</f>
        <v/>
      </c>
      <c r="EA42" s="38"/>
      <c r="EB42" s="38"/>
      <c r="EC42" s="192" t="str">
        <f ca="1">IF(OFFSET(変更先抽出【15時】!$A$1,DX41-1,25)&lt;&gt;"",OFFSET(変更先抽出【15時】!$A$1,DX41-1,25)&amp;"箱"&amp;OFFSET(変更先抽出【15時】!$A$1,DX41-1,26),"")</f>
        <v/>
      </c>
      <c r="ED42" s="36"/>
      <c r="EE42" s="22"/>
      <c r="EF42" s="30"/>
      <c r="EG42" s="103"/>
      <c r="EH42" s="138" t="str">
        <f ca="1">IF(EH41&lt;&gt;"",OFFSET(変更先抽出【15時】!$A$1,EF41-1,18),"")</f>
        <v/>
      </c>
      <c r="EI42" s="38"/>
      <c r="EJ42" s="38"/>
      <c r="EK42" s="192" t="str">
        <f ca="1">IF(OFFSET(変更先抽出【15時】!$A$1,EF41-1,25)&lt;&gt;"",OFFSET(変更先抽出【15時】!$A$1,EF41-1,25)&amp;"箱"&amp;OFFSET(変更先抽出【15時】!$A$1,EF41-1,26),"")</f>
        <v/>
      </c>
      <c r="EL42" s="36"/>
      <c r="EM42" s="43"/>
      <c r="EN42" s="103"/>
      <c r="EO42" s="138" t="str">
        <f ca="1">IF(EO41&lt;&gt;"",OFFSET(変更先抽出【15時】!$A$1,EM41-1,18),"")</f>
        <v/>
      </c>
      <c r="EP42" s="38"/>
      <c r="EQ42" s="38"/>
      <c r="ER42" s="192" t="str">
        <f ca="1">IF(OFFSET(変更先抽出【15時】!$A$1,EM41-1,25)&lt;&gt;"",OFFSET(変更先抽出【15時】!$A$1,EM41-1,25)&amp;"箱"&amp;OFFSET(変更先抽出【15時】!$A$1,EM41-1,26),"")</f>
        <v/>
      </c>
      <c r="ES42" s="36"/>
      <c r="ET42" s="22"/>
    </row>
    <row r="43" spans="1:150" s="180" customFormat="1">
      <c r="A43" s="30"/>
      <c r="B43" s="31"/>
      <c r="C43" s="205" t="str">
        <f ca="1">IF(C41&lt;&gt;"","園児","")</f>
        <v/>
      </c>
      <c r="D43" s="206"/>
      <c r="E43" s="22"/>
      <c r="F43" s="137" t="str">
        <f ca="1">IF(C41&lt;&gt;"","先生","")</f>
        <v/>
      </c>
      <c r="G43" s="37"/>
      <c r="H43" s="33"/>
      <c r="I43" s="31"/>
      <c r="J43" s="205" t="str">
        <f ca="1">IF(J41&lt;&gt;"","園児","")</f>
        <v/>
      </c>
      <c r="K43" s="206"/>
      <c r="L43" s="22"/>
      <c r="M43" s="137" t="str">
        <f ca="1">IF(J41&lt;&gt;"","先生","")</f>
        <v/>
      </c>
      <c r="N43" s="37"/>
      <c r="O43" s="22"/>
      <c r="P43" s="30"/>
      <c r="Q43" s="31"/>
      <c r="R43" s="205" t="str">
        <f ca="1">IF(R41&lt;&gt;"","園児","")</f>
        <v/>
      </c>
      <c r="S43" s="206"/>
      <c r="T43" s="22"/>
      <c r="U43" s="137" t="str">
        <f ca="1">IF(R41&lt;&gt;"","先生","")</f>
        <v/>
      </c>
      <c r="V43" s="37"/>
      <c r="W43" s="33"/>
      <c r="X43" s="31"/>
      <c r="Y43" s="205" t="str">
        <f ca="1">IF(Y41&lt;&gt;"","園児","")</f>
        <v/>
      </c>
      <c r="Z43" s="206"/>
      <c r="AA43" s="22"/>
      <c r="AB43" s="137" t="str">
        <f ca="1">IF(Y41&lt;&gt;"","先生","")</f>
        <v/>
      </c>
      <c r="AC43" s="37"/>
      <c r="AD43" s="22"/>
      <c r="AE43" s="30"/>
      <c r="AF43" s="31"/>
      <c r="AG43" s="205" t="str">
        <f ca="1">IF(AG41&lt;&gt;"","園児","")</f>
        <v/>
      </c>
      <c r="AH43" s="206"/>
      <c r="AI43" s="22"/>
      <c r="AJ43" s="137" t="str">
        <f ca="1">IF(AG41&lt;&gt;"","先生","")</f>
        <v/>
      </c>
      <c r="AK43" s="37"/>
      <c r="AL43" s="33"/>
      <c r="AM43" s="31"/>
      <c r="AN43" s="205" t="str">
        <f ca="1">IF(AN41&lt;&gt;"","園児","")</f>
        <v/>
      </c>
      <c r="AO43" s="206"/>
      <c r="AP43" s="22"/>
      <c r="AQ43" s="137" t="str">
        <f ca="1">IF(AN41&lt;&gt;"","先生","")</f>
        <v/>
      </c>
      <c r="AR43" s="37"/>
      <c r="AS43" s="22"/>
      <c r="AT43" s="30"/>
      <c r="AU43" s="31"/>
      <c r="AV43" s="205" t="str">
        <f ca="1">IF(AV41&lt;&gt;"","園児","")</f>
        <v/>
      </c>
      <c r="AW43" s="206"/>
      <c r="AX43" s="22"/>
      <c r="AY43" s="137" t="str">
        <f ca="1">IF(AV41&lt;&gt;"","先生","")</f>
        <v/>
      </c>
      <c r="AZ43" s="37"/>
      <c r="BA43" s="33"/>
      <c r="BB43" s="31"/>
      <c r="BC43" s="205" t="str">
        <f ca="1">IF(BC41&lt;&gt;"","園児","")</f>
        <v/>
      </c>
      <c r="BD43" s="206"/>
      <c r="BE43" s="22"/>
      <c r="BF43" s="137" t="str">
        <f ca="1">IF(BC41&lt;&gt;"","先生","")</f>
        <v/>
      </c>
      <c r="BG43" s="37"/>
      <c r="BH43" s="22"/>
      <c r="BI43" s="30"/>
      <c r="BJ43" s="31"/>
      <c r="BK43" s="205" t="str">
        <f ca="1">IF(BK41&lt;&gt;"","園児","")</f>
        <v/>
      </c>
      <c r="BL43" s="206"/>
      <c r="BM43" s="22"/>
      <c r="BN43" s="137" t="str">
        <f ca="1">IF(BK41&lt;&gt;"","先生","")</f>
        <v/>
      </c>
      <c r="BO43" s="37"/>
      <c r="BP43" s="33"/>
      <c r="BQ43" s="31"/>
      <c r="BR43" s="205" t="str">
        <f ca="1">IF(BR41&lt;&gt;"","園児","")</f>
        <v/>
      </c>
      <c r="BS43" s="206"/>
      <c r="BT43" s="22"/>
      <c r="BU43" s="137" t="str">
        <f ca="1">IF(BR41&lt;&gt;"","先生","")</f>
        <v/>
      </c>
      <c r="BV43" s="37"/>
      <c r="BW43" s="22"/>
      <c r="BX43" s="30"/>
      <c r="BY43" s="31"/>
      <c r="BZ43" s="205" t="str">
        <f ca="1">IF(BZ41&lt;&gt;"","園児","")</f>
        <v/>
      </c>
      <c r="CA43" s="206"/>
      <c r="CB43" s="22"/>
      <c r="CC43" s="137" t="str">
        <f ca="1">IF(BZ41&lt;&gt;"","先生","")</f>
        <v/>
      </c>
      <c r="CD43" s="37"/>
      <c r="CE43" s="33"/>
      <c r="CF43" s="31"/>
      <c r="CG43" s="205" t="str">
        <f ca="1">IF(CG41&lt;&gt;"","園児","")</f>
        <v/>
      </c>
      <c r="CH43" s="206"/>
      <c r="CI43" s="22"/>
      <c r="CJ43" s="137" t="str">
        <f ca="1">IF(CG41&lt;&gt;"","先生","")</f>
        <v/>
      </c>
      <c r="CK43" s="37"/>
      <c r="CL43" s="22"/>
      <c r="CM43" s="30"/>
      <c r="CN43" s="31"/>
      <c r="CO43" s="205" t="str">
        <f ca="1">IF(CO41&lt;&gt;"","園児","")</f>
        <v/>
      </c>
      <c r="CP43" s="206"/>
      <c r="CQ43" s="22"/>
      <c r="CR43" s="137" t="str">
        <f ca="1">IF(CO41&lt;&gt;"","先生","")</f>
        <v/>
      </c>
      <c r="CS43" s="37"/>
      <c r="CT43" s="33"/>
      <c r="CU43" s="31"/>
      <c r="CV43" s="205" t="str">
        <f ca="1">IF(CV41&lt;&gt;"","園児","")</f>
        <v/>
      </c>
      <c r="CW43" s="206"/>
      <c r="CX43" s="22"/>
      <c r="CY43" s="137" t="str">
        <f ca="1">IF(CV41&lt;&gt;"","先生","")</f>
        <v/>
      </c>
      <c r="CZ43" s="37"/>
      <c r="DA43" s="22"/>
      <c r="DB43" s="30"/>
      <c r="DC43" s="31"/>
      <c r="DD43" s="205" t="str">
        <f ca="1">IF(DD41&lt;&gt;"","園児","")</f>
        <v/>
      </c>
      <c r="DE43" s="206"/>
      <c r="DF43" s="22"/>
      <c r="DG43" s="137" t="str">
        <f ca="1">IF(DD41&lt;&gt;"","先生","")</f>
        <v/>
      </c>
      <c r="DH43" s="37"/>
      <c r="DI43" s="33"/>
      <c r="DJ43" s="31"/>
      <c r="DK43" s="205" t="str">
        <f ca="1">IF(DK41&lt;&gt;"","園児","")</f>
        <v/>
      </c>
      <c r="DL43" s="206"/>
      <c r="DM43" s="22"/>
      <c r="DN43" s="137" t="str">
        <f ca="1">IF(DK41&lt;&gt;"","先生","")</f>
        <v/>
      </c>
      <c r="DO43" s="37"/>
      <c r="DP43" s="22"/>
      <c r="DQ43" s="30"/>
      <c r="DR43" s="31"/>
      <c r="DS43" s="205" t="str">
        <f ca="1">IF(DS41&lt;&gt;"","園児","")</f>
        <v/>
      </c>
      <c r="DT43" s="206"/>
      <c r="DU43" s="22"/>
      <c r="DV43" s="137" t="str">
        <f ca="1">IF(DS41&lt;&gt;"","先生","")</f>
        <v/>
      </c>
      <c r="DW43" s="37"/>
      <c r="DX43" s="33"/>
      <c r="DY43" s="31"/>
      <c r="DZ43" s="205" t="str">
        <f ca="1">IF(DZ41&lt;&gt;"","園児","")</f>
        <v/>
      </c>
      <c r="EA43" s="206"/>
      <c r="EB43" s="22"/>
      <c r="EC43" s="137" t="str">
        <f ca="1">IF(DZ41&lt;&gt;"","先生","")</f>
        <v/>
      </c>
      <c r="ED43" s="37"/>
      <c r="EE43" s="22"/>
      <c r="EF43" s="30"/>
      <c r="EG43" s="31"/>
      <c r="EH43" s="205" t="str">
        <f ca="1">IF(EH41&lt;&gt;"","園児","")</f>
        <v/>
      </c>
      <c r="EI43" s="206"/>
      <c r="EJ43" s="22"/>
      <c r="EK43" s="137" t="str">
        <f ca="1">IF(EH41&lt;&gt;"","先生","")</f>
        <v/>
      </c>
      <c r="EL43" s="37"/>
      <c r="EM43" s="33"/>
      <c r="EN43" s="31"/>
      <c r="EO43" s="205" t="str">
        <f ca="1">IF(EO41&lt;&gt;"","園児","")</f>
        <v/>
      </c>
      <c r="EP43" s="206"/>
      <c r="EQ43" s="22"/>
      <c r="ER43" s="137" t="str">
        <f ca="1">IF(EO41&lt;&gt;"","先生","")</f>
        <v/>
      </c>
      <c r="ES43" s="37"/>
      <c r="ET43" s="22"/>
    </row>
    <row r="44" spans="1:150" ht="15.6" customHeight="1">
      <c r="B44" s="25"/>
      <c r="C44" s="203" t="str">
        <f ca="1">IF(C41&lt;&gt;"",OFFSET(変更先抽出【15時】!$A$1,A41-1,19),"")</f>
        <v/>
      </c>
      <c r="D44" s="204"/>
      <c r="E44" s="44"/>
      <c r="F44" s="199" t="str">
        <f ca="1">IF(C41&lt;&gt;"",OFFSET(変更先抽出【15時】!$A$1,A41-1,20),"")</f>
        <v/>
      </c>
      <c r="G44" s="200"/>
      <c r="H44" s="26"/>
      <c r="I44" s="25"/>
      <c r="J44" s="203" t="str">
        <f ca="1">IF(J41&lt;&gt;"",OFFSET(変更先抽出【15時】!$A$1,H41-1,19),"")</f>
        <v/>
      </c>
      <c r="K44" s="204"/>
      <c r="L44" s="44"/>
      <c r="M44" s="199" t="str">
        <f ca="1">IF(J41&lt;&gt;"",OFFSET(変更先抽出【15時】!$A$1,H41-1,20),"")</f>
        <v/>
      </c>
      <c r="N44" s="200"/>
      <c r="Q44" s="25"/>
      <c r="R44" s="203" t="str">
        <f ca="1">IF(R41&lt;&gt;"",OFFSET(変更先抽出【15時】!$A$1,P41-1,19),"")</f>
        <v/>
      </c>
      <c r="S44" s="204"/>
      <c r="T44" s="44"/>
      <c r="U44" s="199" t="str">
        <f ca="1">IF(R41&lt;&gt;"",OFFSET(変更先抽出【15時】!$A$1,P41-1,20),"")</f>
        <v/>
      </c>
      <c r="V44" s="200"/>
      <c r="W44" s="26"/>
      <c r="X44" s="25"/>
      <c r="Y44" s="203" t="str">
        <f ca="1">IF(Y41&lt;&gt;"",OFFSET(変更先抽出【15時】!$A$1,W41-1,19),"")</f>
        <v/>
      </c>
      <c r="Z44" s="204"/>
      <c r="AA44" s="44"/>
      <c r="AB44" s="199" t="str">
        <f ca="1">IF(Y41&lt;&gt;"",OFFSET(変更先抽出【15時】!$A$1,W41-1,20),"")</f>
        <v/>
      </c>
      <c r="AC44" s="200"/>
      <c r="AF44" s="25"/>
      <c r="AG44" s="203" t="str">
        <f ca="1">IF(AG41&lt;&gt;"",OFFSET(変更先抽出【15時】!$A$1,AE41-1,19),"")</f>
        <v/>
      </c>
      <c r="AH44" s="204"/>
      <c r="AI44" s="44"/>
      <c r="AJ44" s="199" t="str">
        <f ca="1">IF(AG41&lt;&gt;"",OFFSET(変更先抽出【15時】!$A$1,AE41-1,20),"")</f>
        <v/>
      </c>
      <c r="AK44" s="200"/>
      <c r="AL44" s="26"/>
      <c r="AM44" s="25"/>
      <c r="AN44" s="203" t="str">
        <f ca="1">IF(AN41&lt;&gt;"",OFFSET(変更先抽出【15時】!$A$1,AL41-1,19),"")</f>
        <v/>
      </c>
      <c r="AO44" s="204"/>
      <c r="AP44" s="44"/>
      <c r="AQ44" s="199" t="str">
        <f ca="1">IF(AN41&lt;&gt;"",OFFSET(変更先抽出【15時】!$A$1,AL41-1,20),"")</f>
        <v/>
      </c>
      <c r="AR44" s="200"/>
      <c r="AU44" s="25"/>
      <c r="AV44" s="203" t="str">
        <f ca="1">IF(AV41&lt;&gt;"",OFFSET(変更先抽出【15時】!$A$1,AT41-1,19),"")</f>
        <v/>
      </c>
      <c r="AW44" s="204"/>
      <c r="AX44" s="44"/>
      <c r="AY44" s="199" t="str">
        <f ca="1">IF(AV41&lt;&gt;"",OFFSET(変更先抽出【15時】!$A$1,AT41-1,20),"")</f>
        <v/>
      </c>
      <c r="AZ44" s="200"/>
      <c r="BA44" s="26"/>
      <c r="BB44" s="25"/>
      <c r="BC44" s="203" t="str">
        <f ca="1">IF(BC41&lt;&gt;"",OFFSET(変更先抽出【15時】!$A$1,BA41-1,19),"")</f>
        <v/>
      </c>
      <c r="BD44" s="204"/>
      <c r="BE44" s="44"/>
      <c r="BF44" s="199" t="str">
        <f ca="1">IF(BC41&lt;&gt;"",OFFSET(変更先抽出【15時】!$A$1,BA41-1,20),"")</f>
        <v/>
      </c>
      <c r="BG44" s="200"/>
      <c r="BJ44" s="25"/>
      <c r="BK44" s="203" t="str">
        <f ca="1">IF(BK41&lt;&gt;"",OFFSET(変更先抽出【15時】!$A$1,BI41-1,19),"")</f>
        <v/>
      </c>
      <c r="BL44" s="204"/>
      <c r="BM44" s="44"/>
      <c r="BN44" s="199" t="str">
        <f ca="1">IF(BK41&lt;&gt;"",OFFSET(変更先抽出【15時】!$A$1,BI41-1,20),"")</f>
        <v/>
      </c>
      <c r="BO44" s="200"/>
      <c r="BP44" s="26"/>
      <c r="BQ44" s="25"/>
      <c r="BR44" s="203" t="str">
        <f ca="1">IF(BR41&lt;&gt;"",OFFSET(変更先抽出【15時】!$A$1,BP41-1,19),"")</f>
        <v/>
      </c>
      <c r="BS44" s="204"/>
      <c r="BT44" s="44"/>
      <c r="BU44" s="199" t="str">
        <f ca="1">IF(BR41&lt;&gt;"",OFFSET(変更先抽出【15時】!$A$1,BP41-1,20),"")</f>
        <v/>
      </c>
      <c r="BV44" s="200"/>
      <c r="BY44" s="25"/>
      <c r="BZ44" s="203" t="str">
        <f ca="1">IF(BZ41&lt;&gt;"",OFFSET(変更先抽出【15時】!$A$1,BX41-1,19),"")</f>
        <v/>
      </c>
      <c r="CA44" s="204"/>
      <c r="CB44" s="44"/>
      <c r="CC44" s="199" t="str">
        <f ca="1">IF(BZ41&lt;&gt;"",OFFSET(変更先抽出【15時】!$A$1,BX41-1,20),"")</f>
        <v/>
      </c>
      <c r="CD44" s="200"/>
      <c r="CE44" s="26"/>
      <c r="CF44" s="25"/>
      <c r="CG44" s="203" t="str">
        <f ca="1">IF(CG41&lt;&gt;"",OFFSET(変更先抽出【15時】!$A$1,CE41-1,19),"")</f>
        <v/>
      </c>
      <c r="CH44" s="204"/>
      <c r="CI44" s="44"/>
      <c r="CJ44" s="199" t="str">
        <f ca="1">IF(CG41&lt;&gt;"",OFFSET(変更先抽出【15時】!$A$1,CE41-1,20),"")</f>
        <v/>
      </c>
      <c r="CK44" s="200"/>
      <c r="CN44" s="25"/>
      <c r="CO44" s="203" t="str">
        <f ca="1">IF(CO41&lt;&gt;"",OFFSET(変更先抽出【15時】!$A$1,CM41-1,19),"")</f>
        <v/>
      </c>
      <c r="CP44" s="204"/>
      <c r="CQ44" s="44"/>
      <c r="CR44" s="199" t="str">
        <f ca="1">IF(CO41&lt;&gt;"",OFFSET(変更先抽出【15時】!$A$1,CM41-1,20),"")</f>
        <v/>
      </c>
      <c r="CS44" s="200"/>
      <c r="CT44" s="26"/>
      <c r="CU44" s="25"/>
      <c r="CV44" s="203" t="str">
        <f ca="1">IF(CV41&lt;&gt;"",OFFSET(変更先抽出【15時】!$A$1,CT41-1,19),"")</f>
        <v/>
      </c>
      <c r="CW44" s="204"/>
      <c r="CX44" s="44"/>
      <c r="CY44" s="199" t="str">
        <f ca="1">IF(CV41&lt;&gt;"",OFFSET(変更先抽出【15時】!$A$1,CT41-1,20),"")</f>
        <v/>
      </c>
      <c r="CZ44" s="200"/>
      <c r="DC44" s="25"/>
      <c r="DD44" s="203" t="str">
        <f ca="1">IF(DD41&lt;&gt;"",OFFSET(変更先抽出【15時】!$A$1,DB41-1,19),"")</f>
        <v/>
      </c>
      <c r="DE44" s="204"/>
      <c r="DF44" s="44"/>
      <c r="DG44" s="199" t="str">
        <f ca="1">IF(DD41&lt;&gt;"",OFFSET(変更先抽出【15時】!$A$1,DB41-1,20),"")</f>
        <v/>
      </c>
      <c r="DH44" s="200"/>
      <c r="DI44" s="26"/>
      <c r="DJ44" s="25"/>
      <c r="DK44" s="203" t="str">
        <f ca="1">IF(DK41&lt;&gt;"",OFFSET(変更先抽出【15時】!$A$1,DI41-1,19),"")</f>
        <v/>
      </c>
      <c r="DL44" s="204"/>
      <c r="DM44" s="44"/>
      <c r="DN44" s="199" t="str">
        <f ca="1">IF(DK41&lt;&gt;"",OFFSET(変更先抽出【15時】!$A$1,DI41-1,20),"")</f>
        <v/>
      </c>
      <c r="DO44" s="200"/>
      <c r="DR44" s="25"/>
      <c r="DS44" s="203" t="str">
        <f ca="1">IF(DS41&lt;&gt;"",OFFSET(変更先抽出【15時】!$A$1,DQ41-1,19),"")</f>
        <v/>
      </c>
      <c r="DT44" s="204"/>
      <c r="DU44" s="44"/>
      <c r="DV44" s="199" t="str">
        <f ca="1">IF(DS41&lt;&gt;"",OFFSET(変更先抽出【15時】!$A$1,DQ41-1,20),"")</f>
        <v/>
      </c>
      <c r="DW44" s="200"/>
      <c r="DX44" s="26"/>
      <c r="DY44" s="25"/>
      <c r="DZ44" s="203" t="str">
        <f ca="1">IF(DZ41&lt;&gt;"",OFFSET(変更先抽出【15時】!$A$1,DX41-1,19),"")</f>
        <v/>
      </c>
      <c r="EA44" s="204"/>
      <c r="EB44" s="44"/>
      <c r="EC44" s="199" t="str">
        <f ca="1">IF(DZ41&lt;&gt;"",OFFSET(変更先抽出【15時】!$A$1,DX41-1,20),"")</f>
        <v/>
      </c>
      <c r="ED44" s="200"/>
      <c r="EG44" s="25"/>
      <c r="EH44" s="203" t="str">
        <f ca="1">IF(EH41&lt;&gt;"",OFFSET(変更先抽出【15時】!$A$1,EF41-1,19),"")</f>
        <v/>
      </c>
      <c r="EI44" s="204"/>
      <c r="EJ44" s="44"/>
      <c r="EK44" s="199" t="str">
        <f ca="1">IF(EH41&lt;&gt;"",OFFSET(変更先抽出【15時】!$A$1,EF41-1,20),"")</f>
        <v/>
      </c>
      <c r="EL44" s="200"/>
      <c r="EM44" s="26"/>
      <c r="EN44" s="25"/>
      <c r="EO44" s="203" t="str">
        <f ca="1">IF(EO41&lt;&gt;"",OFFSET(変更先抽出【15時】!$A$1,EM41-1,19),"")</f>
        <v/>
      </c>
      <c r="EP44" s="204"/>
      <c r="EQ44" s="44"/>
      <c r="ER44" s="199" t="str">
        <f ca="1">IF(EO41&lt;&gt;"",OFFSET(変更先抽出【15時】!$A$1,EM41-1,20),"")</f>
        <v/>
      </c>
      <c r="ES44" s="200"/>
    </row>
    <row r="45" spans="1:150" ht="15.6" customHeight="1">
      <c r="B45" s="27"/>
      <c r="C45" s="201"/>
      <c r="D45" s="201"/>
      <c r="E45" s="178"/>
      <c r="F45" s="201"/>
      <c r="G45" s="202"/>
      <c r="H45" s="26"/>
      <c r="I45" s="27"/>
      <c r="J45" s="201"/>
      <c r="K45" s="201"/>
      <c r="L45" s="178"/>
      <c r="M45" s="201"/>
      <c r="N45" s="202"/>
      <c r="Q45" s="27"/>
      <c r="R45" s="201"/>
      <c r="S45" s="201"/>
      <c r="T45" s="178"/>
      <c r="U45" s="201"/>
      <c r="V45" s="202"/>
      <c r="W45" s="26"/>
      <c r="X45" s="27"/>
      <c r="Y45" s="201"/>
      <c r="Z45" s="201"/>
      <c r="AA45" s="178"/>
      <c r="AB45" s="201"/>
      <c r="AC45" s="202"/>
      <c r="AF45" s="27"/>
      <c r="AG45" s="201"/>
      <c r="AH45" s="201"/>
      <c r="AI45" s="178"/>
      <c r="AJ45" s="201"/>
      <c r="AK45" s="202"/>
      <c r="AL45" s="26"/>
      <c r="AM45" s="27"/>
      <c r="AN45" s="201"/>
      <c r="AO45" s="201"/>
      <c r="AP45" s="178"/>
      <c r="AQ45" s="201"/>
      <c r="AR45" s="202"/>
      <c r="AU45" s="27"/>
      <c r="AV45" s="201"/>
      <c r="AW45" s="201"/>
      <c r="AX45" s="178"/>
      <c r="AY45" s="201"/>
      <c r="AZ45" s="202"/>
      <c r="BA45" s="26"/>
      <c r="BB45" s="27"/>
      <c r="BC45" s="201"/>
      <c r="BD45" s="201"/>
      <c r="BE45" s="178"/>
      <c r="BF45" s="201"/>
      <c r="BG45" s="202"/>
      <c r="BJ45" s="27"/>
      <c r="BK45" s="201"/>
      <c r="BL45" s="201"/>
      <c r="BM45" s="178"/>
      <c r="BN45" s="201"/>
      <c r="BO45" s="202"/>
      <c r="BP45" s="26"/>
      <c r="BQ45" s="27"/>
      <c r="BR45" s="201"/>
      <c r="BS45" s="201"/>
      <c r="BT45" s="178"/>
      <c r="BU45" s="201"/>
      <c r="BV45" s="202"/>
      <c r="BY45" s="27"/>
      <c r="BZ45" s="201"/>
      <c r="CA45" s="201"/>
      <c r="CB45" s="178"/>
      <c r="CC45" s="201"/>
      <c r="CD45" s="202"/>
      <c r="CE45" s="26"/>
      <c r="CF45" s="27"/>
      <c r="CG45" s="201"/>
      <c r="CH45" s="201"/>
      <c r="CI45" s="178"/>
      <c r="CJ45" s="201"/>
      <c r="CK45" s="202"/>
      <c r="CN45" s="27"/>
      <c r="CO45" s="201"/>
      <c r="CP45" s="201"/>
      <c r="CQ45" s="178"/>
      <c r="CR45" s="201"/>
      <c r="CS45" s="202"/>
      <c r="CT45" s="26"/>
      <c r="CU45" s="27"/>
      <c r="CV45" s="201"/>
      <c r="CW45" s="201"/>
      <c r="CX45" s="178"/>
      <c r="CY45" s="201"/>
      <c r="CZ45" s="202"/>
      <c r="DC45" s="27"/>
      <c r="DD45" s="201"/>
      <c r="DE45" s="201"/>
      <c r="DF45" s="178"/>
      <c r="DG45" s="201"/>
      <c r="DH45" s="202"/>
      <c r="DI45" s="26"/>
      <c r="DJ45" s="27"/>
      <c r="DK45" s="201"/>
      <c r="DL45" s="201"/>
      <c r="DM45" s="178"/>
      <c r="DN45" s="201"/>
      <c r="DO45" s="202"/>
      <c r="DR45" s="27"/>
      <c r="DS45" s="201"/>
      <c r="DT45" s="201"/>
      <c r="DU45" s="178"/>
      <c r="DV45" s="201"/>
      <c r="DW45" s="202"/>
      <c r="DX45" s="26"/>
      <c r="DY45" s="27"/>
      <c r="DZ45" s="201"/>
      <c r="EA45" s="201"/>
      <c r="EB45" s="178"/>
      <c r="EC45" s="201"/>
      <c r="ED45" s="202"/>
      <c r="EG45" s="27"/>
      <c r="EH45" s="201"/>
      <c r="EI45" s="201"/>
      <c r="EJ45" s="178"/>
      <c r="EK45" s="201"/>
      <c r="EL45" s="202"/>
      <c r="EM45" s="26"/>
      <c r="EN45" s="27"/>
      <c r="EO45" s="201"/>
      <c r="EP45" s="201"/>
      <c r="EQ45" s="178"/>
      <c r="ER45" s="201"/>
      <c r="ES45" s="202"/>
    </row>
    <row r="46" spans="1:150" s="180" customFormat="1">
      <c r="A46" s="30"/>
      <c r="B46" s="34" t="str">
        <f ca="1">IF(C41&lt;&gt;"","パン箱","")</f>
        <v/>
      </c>
      <c r="C46" s="32" t="str">
        <f ca="1">IF(C41&lt;&gt;"",OFFSET(変更先抽出【15時】!$A$1,A41-1,22),"")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IF(J41&lt;&gt;"",OFFSET(変更先抽出【15時】!$A$1,H41-1,22),"")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IF(R41&lt;&gt;"",OFFSET(変更先抽出【15時】!$A$1,P41-1,22),"")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IF(Y41&lt;&gt;"",OFFSET(変更先抽出【15時】!$A$1,W41-1,22),"")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IF(AG41&lt;&gt;"",OFFSET(変更先抽出【15時】!$A$1,AE41-1,22),"")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IF(AN41&lt;&gt;"",OFFSET(変更先抽出【15時】!$A$1,AL41-1,22),"")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IF(AV41&lt;&gt;"",OFFSET(変更先抽出【15時】!$A$1,AT41-1,22),"")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IF(BC41&lt;&gt;"",OFFSET(変更先抽出【15時】!$A$1,BA41-1,22),"")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IF(BK41&lt;&gt;"",OFFSET(変更先抽出【15時】!$A$1,BI41-1,22),"")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IF(BR41&lt;&gt;"",OFFSET(変更先抽出【15時】!$A$1,BP41-1,22),"")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IF(BZ41&lt;&gt;"",OFFSET(変更先抽出【15時】!$A$1,BX41-1,22),"")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IF(CG41&lt;&gt;"",OFFSET(変更先抽出【15時】!$A$1,CE41-1,22),"")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IF(CO41&lt;&gt;"",OFFSET(変更先抽出【15時】!$A$1,CM41-1,22),"")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IF(CV41&lt;&gt;"",OFFSET(変更先抽出【15時】!$A$1,CT41-1,22),"")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IF(DD41&lt;&gt;"",OFFSET(変更先抽出【15時】!$A$1,DB41-1,22),"")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IF(DK41&lt;&gt;"",OFFSET(変更先抽出【15時】!$A$1,DI41-1,22),"")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IF(DS41&lt;&gt;"",OFFSET(変更先抽出【15時】!$A$1,DQ41-1,22),"")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IF(DZ41&lt;&gt;"",OFFSET(変更先抽出【15時】!$A$1,DX41-1,22),"")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IF(EH41&lt;&gt;"",OFFSET(変更先抽出【15時】!$A$1,EF41-1,22),"")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IF(EO41&lt;&gt;"",OFFSET(変更先抽出【15時】!$A$1,EM41-1,22),"")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09" t="str">
        <f ca="1">IF(C41&lt;&gt;"",IFERROR(INT(C44/C46),""),"")</f>
        <v/>
      </c>
      <c r="C47" s="202"/>
      <c r="D47" s="209" t="str">
        <f ca="1">IF(C41&lt;&gt;"",IFERROR(MOD(C44,C46),""),"")</f>
        <v/>
      </c>
      <c r="E47" s="202"/>
      <c r="F47" s="210" t="str">
        <f ca="1">IF(C41&lt;&gt;"",OFFSET(変更先抽出【15時】!$A$1,A41-1,21),"")</f>
        <v/>
      </c>
      <c r="G47" s="202"/>
      <c r="I47" s="209" t="str">
        <f ca="1">IF(J41&lt;&gt;"",IFERROR(INT(J44/J46),""),"")</f>
        <v/>
      </c>
      <c r="J47" s="202"/>
      <c r="K47" s="209" t="str">
        <f ca="1">IF(J41&lt;&gt;"",IFERROR(MOD(J44,J46),""),"")</f>
        <v/>
      </c>
      <c r="L47" s="202"/>
      <c r="M47" s="210" t="str">
        <f ca="1">IF(J41&lt;&gt;"",OFFSET(変更先抽出【15時】!$A$1,H41-1,21),"")</f>
        <v/>
      </c>
      <c r="N47" s="202"/>
      <c r="Q47" s="209" t="str">
        <f ca="1">IF(R41&lt;&gt;"",IFERROR(INT(R44/R46),""),"")</f>
        <v/>
      </c>
      <c r="R47" s="202"/>
      <c r="S47" s="209" t="str">
        <f ca="1">IF(R41&lt;&gt;"",IFERROR(MOD(R44,R46),""),"")</f>
        <v/>
      </c>
      <c r="T47" s="202"/>
      <c r="U47" s="210" t="str">
        <f ca="1">IF(R41&lt;&gt;"",OFFSET(変更先抽出【15時】!$A$1,P41-1,21),"")</f>
        <v/>
      </c>
      <c r="V47" s="202"/>
      <c r="X47" s="209" t="str">
        <f ca="1">IF(Y41&lt;&gt;"",IFERROR(INT(Y44/Y46),""),"")</f>
        <v/>
      </c>
      <c r="Y47" s="202"/>
      <c r="Z47" s="209" t="str">
        <f ca="1">IF(Y41&lt;&gt;"",IFERROR(MOD(Y44,Y46),""),"")</f>
        <v/>
      </c>
      <c r="AA47" s="202"/>
      <c r="AB47" s="210" t="str">
        <f ca="1">IF(Y41&lt;&gt;"",OFFSET(変更先抽出【15時】!$A$1,W41-1,21),"")</f>
        <v/>
      </c>
      <c r="AC47" s="202"/>
      <c r="AF47" s="209" t="str">
        <f ca="1">IF(AG41&lt;&gt;"",IFERROR(INT(AG44/AG46),""),"")</f>
        <v/>
      </c>
      <c r="AG47" s="202"/>
      <c r="AH47" s="209" t="str">
        <f ca="1">IF(AG41&lt;&gt;"",IFERROR(MOD(AG44,AG46),""),"")</f>
        <v/>
      </c>
      <c r="AI47" s="202"/>
      <c r="AJ47" s="210" t="str">
        <f ca="1">IF(AG41&lt;&gt;"",OFFSET(変更先抽出【15時】!$A$1,AE41-1,21),"")</f>
        <v/>
      </c>
      <c r="AK47" s="202"/>
      <c r="AM47" s="209" t="str">
        <f ca="1">IF(AN41&lt;&gt;"",IFERROR(INT(AN44/AN46),""),"")</f>
        <v/>
      </c>
      <c r="AN47" s="202"/>
      <c r="AO47" s="209" t="str">
        <f ca="1">IF(AN41&lt;&gt;"",IFERROR(MOD(AN44,AN46),""),"")</f>
        <v/>
      </c>
      <c r="AP47" s="202"/>
      <c r="AQ47" s="210" t="str">
        <f ca="1">IF(AN41&lt;&gt;"",OFFSET(変更先抽出【15時】!$A$1,AL41-1,21),"")</f>
        <v/>
      </c>
      <c r="AR47" s="202"/>
      <c r="AU47" s="209" t="str">
        <f ca="1">IF(AV41&lt;&gt;"",IFERROR(INT(AV44/AV46),""),"")</f>
        <v/>
      </c>
      <c r="AV47" s="202"/>
      <c r="AW47" s="209" t="str">
        <f ca="1">IF(AV41&lt;&gt;"",IFERROR(MOD(AV44,AV46),""),"")</f>
        <v/>
      </c>
      <c r="AX47" s="202"/>
      <c r="AY47" s="210" t="str">
        <f ca="1">IF(AV41&lt;&gt;"",OFFSET(変更先抽出【15時】!$A$1,AT41-1,21),"")</f>
        <v/>
      </c>
      <c r="AZ47" s="202"/>
      <c r="BB47" s="209" t="str">
        <f ca="1">IF(BC41&lt;&gt;"",IFERROR(INT(BC44/BC46),""),"")</f>
        <v/>
      </c>
      <c r="BC47" s="202"/>
      <c r="BD47" s="209" t="str">
        <f ca="1">IF(BC41&lt;&gt;"",IFERROR(MOD(BC44,BC46),""),"")</f>
        <v/>
      </c>
      <c r="BE47" s="202"/>
      <c r="BF47" s="210" t="str">
        <f ca="1">IF(BC41&lt;&gt;"",OFFSET(変更先抽出【15時】!$A$1,BA41-1,21),"")</f>
        <v/>
      </c>
      <c r="BG47" s="202"/>
      <c r="BJ47" s="209" t="str">
        <f ca="1">IF(BK41&lt;&gt;"",IFERROR(INT(BK44/BK46),""),"")</f>
        <v/>
      </c>
      <c r="BK47" s="202"/>
      <c r="BL47" s="209" t="str">
        <f ca="1">IF(BK41&lt;&gt;"",IFERROR(MOD(BK44,BK46),""),"")</f>
        <v/>
      </c>
      <c r="BM47" s="202"/>
      <c r="BN47" s="210" t="str">
        <f ca="1">IF(BK41&lt;&gt;"",OFFSET(変更先抽出【15時】!$A$1,BI41-1,21),"")</f>
        <v/>
      </c>
      <c r="BO47" s="202"/>
      <c r="BQ47" s="209" t="str">
        <f ca="1">IF(BR41&lt;&gt;"",IFERROR(INT(BR44/BR46),""),"")</f>
        <v/>
      </c>
      <c r="BR47" s="202"/>
      <c r="BS47" s="209" t="str">
        <f ca="1">IF(BR41&lt;&gt;"",IFERROR(MOD(BR44,BR46),""),"")</f>
        <v/>
      </c>
      <c r="BT47" s="202"/>
      <c r="BU47" s="210" t="str">
        <f ca="1">IF(BR41&lt;&gt;"",OFFSET(変更先抽出【15時】!$A$1,BP41-1,21),"")</f>
        <v/>
      </c>
      <c r="BV47" s="202"/>
      <c r="BY47" s="209" t="str">
        <f ca="1">IF(BZ41&lt;&gt;"",IFERROR(INT(BZ44/BZ46),""),"")</f>
        <v/>
      </c>
      <c r="BZ47" s="202"/>
      <c r="CA47" s="209" t="str">
        <f ca="1">IF(BZ41&lt;&gt;"",IFERROR(MOD(BZ44,BZ46),""),"")</f>
        <v/>
      </c>
      <c r="CB47" s="202"/>
      <c r="CC47" s="210" t="str">
        <f ca="1">IF(BZ41&lt;&gt;"",OFFSET(変更先抽出【15時】!$A$1,BX41-1,21),"")</f>
        <v/>
      </c>
      <c r="CD47" s="202"/>
      <c r="CF47" s="209" t="str">
        <f ca="1">IF(CG41&lt;&gt;"",IFERROR(INT(CG44/CG46),""),"")</f>
        <v/>
      </c>
      <c r="CG47" s="202"/>
      <c r="CH47" s="209" t="str">
        <f ca="1">IF(CG41&lt;&gt;"",IFERROR(MOD(CG44,CG46),""),"")</f>
        <v/>
      </c>
      <c r="CI47" s="202"/>
      <c r="CJ47" s="210" t="str">
        <f ca="1">IF(CG41&lt;&gt;"",OFFSET(変更先抽出【15時】!$A$1,CE41-1,21),"")</f>
        <v/>
      </c>
      <c r="CK47" s="202"/>
      <c r="CN47" s="209" t="str">
        <f ca="1">IF(CO41&lt;&gt;"",IFERROR(INT(CO44/CO46),""),"")</f>
        <v/>
      </c>
      <c r="CO47" s="202"/>
      <c r="CP47" s="209" t="str">
        <f ca="1">IF(CO41&lt;&gt;"",IFERROR(MOD(CO44,CO46),""),"")</f>
        <v/>
      </c>
      <c r="CQ47" s="202"/>
      <c r="CR47" s="210" t="str">
        <f ca="1">IF(CO41&lt;&gt;"",OFFSET(変更先抽出【15時】!$A$1,CM41-1,21),"")</f>
        <v/>
      </c>
      <c r="CS47" s="202"/>
      <c r="CU47" s="209" t="str">
        <f ca="1">IF(CV41&lt;&gt;"",IFERROR(INT(CV44/CV46),""),"")</f>
        <v/>
      </c>
      <c r="CV47" s="202"/>
      <c r="CW47" s="209" t="str">
        <f ca="1">IF(CV41&lt;&gt;"",IFERROR(MOD(CV44,CV46),""),"")</f>
        <v/>
      </c>
      <c r="CX47" s="202"/>
      <c r="CY47" s="210" t="str">
        <f ca="1">IF(CV41&lt;&gt;"",OFFSET(変更先抽出【15時】!$A$1,CT41-1,21),"")</f>
        <v/>
      </c>
      <c r="CZ47" s="202"/>
      <c r="DC47" s="209" t="str">
        <f ca="1">IF(DD41&lt;&gt;"",IFERROR(INT(DD44/DD46),""),"")</f>
        <v/>
      </c>
      <c r="DD47" s="202"/>
      <c r="DE47" s="209" t="str">
        <f ca="1">IF(DD41&lt;&gt;"",IFERROR(MOD(DD44,DD46),""),"")</f>
        <v/>
      </c>
      <c r="DF47" s="202"/>
      <c r="DG47" s="210" t="str">
        <f ca="1">IF(DD41&lt;&gt;"",OFFSET(変更先抽出【15時】!$A$1,DB41-1,21),"")</f>
        <v/>
      </c>
      <c r="DH47" s="202"/>
      <c r="DJ47" s="209" t="str">
        <f ca="1">IF(DK41&lt;&gt;"",IFERROR(INT(DK44/DK46),""),"")</f>
        <v/>
      </c>
      <c r="DK47" s="202"/>
      <c r="DL47" s="209" t="str">
        <f ca="1">IF(DK41&lt;&gt;"",IFERROR(MOD(DK44,DK46),""),"")</f>
        <v/>
      </c>
      <c r="DM47" s="202"/>
      <c r="DN47" s="210" t="str">
        <f ca="1">IF(DK41&lt;&gt;"",OFFSET(変更先抽出【15時】!$A$1,DI41-1,21),"")</f>
        <v/>
      </c>
      <c r="DO47" s="202"/>
      <c r="DR47" s="209" t="str">
        <f ca="1">IF(DS41&lt;&gt;"",IFERROR(INT(DS44/DS46),""),"")</f>
        <v/>
      </c>
      <c r="DS47" s="202"/>
      <c r="DT47" s="209" t="str">
        <f ca="1">IF(DS41&lt;&gt;"",IFERROR(MOD(DS44,DS46),""),"")</f>
        <v/>
      </c>
      <c r="DU47" s="202"/>
      <c r="DV47" s="210" t="str">
        <f ca="1">IF(DS41&lt;&gt;"",OFFSET(変更先抽出【15時】!$A$1,DQ41-1,21),"")</f>
        <v/>
      </c>
      <c r="DW47" s="202"/>
      <c r="DY47" s="209" t="str">
        <f ca="1">IF(DZ41&lt;&gt;"",IFERROR(INT(DZ44/DZ46),""),"")</f>
        <v/>
      </c>
      <c r="DZ47" s="202"/>
      <c r="EA47" s="209" t="str">
        <f ca="1">IF(DZ41&lt;&gt;"",IFERROR(MOD(DZ44,DZ46),""),"")</f>
        <v/>
      </c>
      <c r="EB47" s="202"/>
      <c r="EC47" s="210" t="str">
        <f ca="1">IF(DZ41&lt;&gt;"",OFFSET(変更先抽出【15時】!$A$1,DX41-1,21),"")</f>
        <v/>
      </c>
      <c r="ED47" s="202"/>
      <c r="EG47" s="209" t="str">
        <f ca="1">IF(EH41&lt;&gt;"",IFERROR(INT(EH44/EH46),""),"")</f>
        <v/>
      </c>
      <c r="EH47" s="202"/>
      <c r="EI47" s="209" t="str">
        <f ca="1">IF(EH41&lt;&gt;"",IFERROR(MOD(EH44,EH46),""),"")</f>
        <v/>
      </c>
      <c r="EJ47" s="202"/>
      <c r="EK47" s="210" t="str">
        <f ca="1">IF(EH41&lt;&gt;"",OFFSET(変更先抽出【15時】!$A$1,EF41-1,21),"")</f>
        <v/>
      </c>
      <c r="EL47" s="202"/>
      <c r="EN47" s="209" t="str">
        <f ca="1">IF(EO41&lt;&gt;"",IFERROR(INT(EO44/EO46),""),"")</f>
        <v/>
      </c>
      <c r="EO47" s="202"/>
      <c r="EP47" s="209" t="str">
        <f ca="1">IF(EO41&lt;&gt;"",IFERROR(MOD(EO44,EO46),""),"")</f>
        <v/>
      </c>
      <c r="EQ47" s="202"/>
      <c r="ER47" s="210" t="str">
        <f ca="1">IF(EO41&lt;&gt;"",OFFSET(変更先抽出【15時】!$A$1,EM41-1,21),"")</f>
        <v/>
      </c>
      <c r="ES47" s="202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CY36:CZ37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CR28:CS29"/>
    <mergeCell ref="BC20:BD21"/>
    <mergeCell ref="AW23:AX23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CU23:CV23"/>
    <mergeCell ref="DG47:DH4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I13" sqref="I13"/>
    </sheetView>
  </sheetViews>
  <sheetFormatPr defaultRowHeight="18"/>
  <cols>
    <col min="3" max="3" width="25.296875" style="179" customWidth="1"/>
    <col min="4" max="4" width="20.296875" style="179" customWidth="1"/>
    <col min="6" max="6" width="12.19921875" style="179" customWidth="1"/>
    <col min="10" max="19" width="6.796875" style="179" customWidth="1"/>
  </cols>
  <sheetData>
    <row r="1" spans="1:21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</row>
    <row r="2" spans="1:21">
      <c r="A2">
        <v>1</v>
      </c>
      <c r="B2">
        <v>1</v>
      </c>
      <c r="C2" t="s">
        <v>62</v>
      </c>
      <c r="D2" t="s">
        <v>0</v>
      </c>
      <c r="E2" s="11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0">
        <v>43999.629166666673</v>
      </c>
    </row>
    <row r="3" spans="1:21">
      <c r="A3">
        <v>2</v>
      </c>
      <c r="B3">
        <v>0</v>
      </c>
      <c r="C3" t="s">
        <v>63</v>
      </c>
      <c r="D3" t="s">
        <v>64</v>
      </c>
      <c r="E3" s="112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0">
        <v>40823.748611111107</v>
      </c>
    </row>
    <row r="4" spans="1:21">
      <c r="A4">
        <v>3</v>
      </c>
      <c r="B4">
        <v>1</v>
      </c>
      <c r="C4" t="s">
        <v>65</v>
      </c>
      <c r="D4" t="s">
        <v>66</v>
      </c>
      <c r="E4" s="112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0">
        <v>41936.67083333333</v>
      </c>
    </row>
    <row r="5" spans="1:21">
      <c r="A5">
        <v>4</v>
      </c>
      <c r="B5">
        <v>0</v>
      </c>
      <c r="C5" t="s">
        <v>63</v>
      </c>
      <c r="D5" t="s">
        <v>67</v>
      </c>
      <c r="E5" s="112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0">
        <v>40800</v>
      </c>
    </row>
    <row r="6" spans="1:21">
      <c r="A6">
        <v>5</v>
      </c>
      <c r="B6">
        <v>0</v>
      </c>
      <c r="C6" t="s">
        <v>63</v>
      </c>
      <c r="D6" t="s">
        <v>68</v>
      </c>
      <c r="E6" s="112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0">
        <v>40800</v>
      </c>
    </row>
    <row r="7" spans="1:21">
      <c r="A7">
        <v>6</v>
      </c>
      <c r="B7">
        <v>1</v>
      </c>
      <c r="C7" t="s">
        <v>69</v>
      </c>
      <c r="D7" t="s">
        <v>70</v>
      </c>
      <c r="E7" s="112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0">
        <v>42202.411805555559</v>
      </c>
    </row>
    <row r="8" spans="1:21">
      <c r="A8">
        <v>7</v>
      </c>
      <c r="B8">
        <v>1</v>
      </c>
      <c r="C8" t="s">
        <v>70</v>
      </c>
      <c r="D8" t="s">
        <v>71</v>
      </c>
      <c r="E8" s="112"/>
      <c r="F8">
        <v>0</v>
      </c>
      <c r="G8">
        <v>0</v>
      </c>
      <c r="H8">
        <v>1</v>
      </c>
      <c r="I8">
        <v>24</v>
      </c>
      <c r="J8" t="s">
        <v>72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0">
        <v>42202.412499999999</v>
      </c>
    </row>
    <row r="9" spans="1:21">
      <c r="A9">
        <v>8</v>
      </c>
      <c r="B9">
        <v>0</v>
      </c>
      <c r="C9" t="s">
        <v>63</v>
      </c>
      <c r="D9" t="s">
        <v>73</v>
      </c>
      <c r="E9" s="112"/>
      <c r="F9">
        <v>0</v>
      </c>
      <c r="G9">
        <v>0</v>
      </c>
      <c r="H9">
        <v>1</v>
      </c>
      <c r="I9">
        <v>24</v>
      </c>
      <c r="T9">
        <v>1</v>
      </c>
      <c r="U9" s="110">
        <v>40766</v>
      </c>
    </row>
    <row r="10" spans="1:21">
      <c r="A10">
        <v>9</v>
      </c>
      <c r="B10">
        <v>0</v>
      </c>
      <c r="C10" t="s">
        <v>63</v>
      </c>
      <c r="D10" t="s">
        <v>74</v>
      </c>
      <c r="E10" s="112"/>
      <c r="F10">
        <v>9</v>
      </c>
      <c r="G10">
        <v>0</v>
      </c>
      <c r="H10">
        <v>1</v>
      </c>
      <c r="I10">
        <v>24</v>
      </c>
      <c r="T10">
        <v>9999</v>
      </c>
      <c r="U10" s="110">
        <v>40800</v>
      </c>
    </row>
    <row r="11" spans="1:21">
      <c r="A11">
        <v>10</v>
      </c>
      <c r="B11">
        <v>0</v>
      </c>
      <c r="C11" t="s">
        <v>63</v>
      </c>
      <c r="D11" t="s">
        <v>75</v>
      </c>
      <c r="E11" s="112"/>
      <c r="F11">
        <v>10</v>
      </c>
      <c r="G11">
        <v>0</v>
      </c>
      <c r="H11">
        <v>1</v>
      </c>
      <c r="I11">
        <v>24</v>
      </c>
      <c r="T11">
        <v>9999</v>
      </c>
      <c r="U11" s="110">
        <v>40800</v>
      </c>
    </row>
    <row r="12" spans="1:21">
      <c r="A12">
        <v>11</v>
      </c>
      <c r="B12">
        <v>0</v>
      </c>
      <c r="C12" t="s">
        <v>76</v>
      </c>
      <c r="D12" t="s">
        <v>77</v>
      </c>
      <c r="E12" s="112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0">
        <v>40857.65625</v>
      </c>
    </row>
    <row r="13" spans="1:21">
      <c r="A13">
        <v>13</v>
      </c>
      <c r="B13">
        <v>1</v>
      </c>
      <c r="C13" t="s">
        <v>62</v>
      </c>
      <c r="D13" t="s">
        <v>78</v>
      </c>
      <c r="E13" s="112">
        <v>71</v>
      </c>
      <c r="F13">
        <v>14</v>
      </c>
      <c r="G13">
        <v>0</v>
      </c>
      <c r="H13">
        <v>1</v>
      </c>
      <c r="I13">
        <v>24</v>
      </c>
      <c r="J13" t="s">
        <v>72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0">
        <v>40987.674305555563</v>
      </c>
    </row>
    <row r="14" spans="1:21">
      <c r="A14">
        <v>14</v>
      </c>
      <c r="B14">
        <v>0</v>
      </c>
      <c r="C14" t="s">
        <v>63</v>
      </c>
      <c r="D14" t="s">
        <v>79</v>
      </c>
      <c r="E14" s="112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0">
        <v>40914.605555555558</v>
      </c>
    </row>
    <row r="15" spans="1:21">
      <c r="A15">
        <v>15</v>
      </c>
      <c r="B15">
        <v>1</v>
      </c>
      <c r="C15" t="s">
        <v>80</v>
      </c>
      <c r="D15" t="s">
        <v>81</v>
      </c>
      <c r="E15" s="112">
        <v>71</v>
      </c>
      <c r="F15">
        <v>16</v>
      </c>
      <c r="G15">
        <v>0</v>
      </c>
      <c r="H15">
        <v>1</v>
      </c>
      <c r="I15">
        <v>24</v>
      </c>
      <c r="J15" t="s">
        <v>82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0">
        <v>40981.67291666667</v>
      </c>
    </row>
    <row r="16" spans="1:21">
      <c r="A16">
        <v>16</v>
      </c>
      <c r="B16">
        <v>0</v>
      </c>
      <c r="C16" t="s">
        <v>63</v>
      </c>
      <c r="D16" t="s">
        <v>83</v>
      </c>
      <c r="E16" s="112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0">
        <v>40914.447916666657</v>
      </c>
    </row>
    <row r="17" spans="1:21">
      <c r="A17">
        <v>17</v>
      </c>
      <c r="B17">
        <v>1</v>
      </c>
      <c r="C17" t="s">
        <v>62</v>
      </c>
      <c r="D17" t="s">
        <v>1</v>
      </c>
      <c r="E17" s="112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0">
        <v>44643.589583333327</v>
      </c>
    </row>
    <row r="18" spans="1:21">
      <c r="A18">
        <v>18</v>
      </c>
      <c r="B18">
        <v>0</v>
      </c>
      <c r="C18" t="s">
        <v>63</v>
      </c>
      <c r="D18" t="s">
        <v>84</v>
      </c>
      <c r="E18" s="112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0">
        <v>44634.582638888889</v>
      </c>
    </row>
    <row r="19" spans="1:21">
      <c r="A19">
        <v>19</v>
      </c>
      <c r="B19">
        <v>1</v>
      </c>
      <c r="C19" t="s">
        <v>62</v>
      </c>
      <c r="D19" t="s">
        <v>85</v>
      </c>
      <c r="E19" s="112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0">
        <v>40823.75</v>
      </c>
    </row>
    <row r="20" spans="1:21">
      <c r="A20">
        <v>20</v>
      </c>
      <c r="B20">
        <v>0</v>
      </c>
      <c r="C20" t="s">
        <v>63</v>
      </c>
      <c r="D20" t="s">
        <v>86</v>
      </c>
      <c r="E20" s="112"/>
      <c r="F20">
        <v>20</v>
      </c>
      <c r="G20">
        <v>0</v>
      </c>
      <c r="H20">
        <v>1</v>
      </c>
      <c r="I20">
        <v>30</v>
      </c>
      <c r="T20">
        <v>9999</v>
      </c>
      <c r="U20" s="110">
        <v>40800</v>
      </c>
    </row>
    <row r="21" spans="1:21">
      <c r="A21">
        <v>21</v>
      </c>
      <c r="B21">
        <v>0</v>
      </c>
      <c r="C21" t="s">
        <v>63</v>
      </c>
      <c r="D21" t="s">
        <v>87</v>
      </c>
      <c r="E21" s="112"/>
      <c r="F21">
        <v>21</v>
      </c>
      <c r="G21">
        <v>0</v>
      </c>
      <c r="H21">
        <v>1</v>
      </c>
      <c r="I21">
        <v>30</v>
      </c>
      <c r="T21">
        <v>9999</v>
      </c>
      <c r="U21" s="110">
        <v>40800</v>
      </c>
    </row>
    <row r="22" spans="1:21">
      <c r="A22">
        <v>22</v>
      </c>
      <c r="B22">
        <v>1</v>
      </c>
      <c r="C22" t="s">
        <v>88</v>
      </c>
      <c r="D22" t="s">
        <v>89</v>
      </c>
      <c r="E22" s="112"/>
      <c r="F22">
        <v>23</v>
      </c>
      <c r="G22">
        <v>1</v>
      </c>
      <c r="H22">
        <v>2</v>
      </c>
      <c r="I22">
        <v>0</v>
      </c>
      <c r="J22" t="s">
        <v>89</v>
      </c>
      <c r="K22">
        <v>0</v>
      </c>
      <c r="L22" t="s">
        <v>90</v>
      </c>
      <c r="M22">
        <v>0</v>
      </c>
      <c r="O22">
        <v>0</v>
      </c>
      <c r="Q22">
        <v>0</v>
      </c>
      <c r="S22">
        <v>0</v>
      </c>
      <c r="T22">
        <v>2</v>
      </c>
      <c r="U22" s="110">
        <v>42048.504861111112</v>
      </c>
    </row>
    <row r="23" spans="1:21">
      <c r="A23">
        <v>23</v>
      </c>
      <c r="B23">
        <v>1</v>
      </c>
      <c r="C23" t="s">
        <v>91</v>
      </c>
      <c r="D23" t="s">
        <v>91</v>
      </c>
      <c r="E23" s="112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0">
        <v>42048.505555555559</v>
      </c>
    </row>
    <row r="24" spans="1:21">
      <c r="A24">
        <v>24</v>
      </c>
      <c r="B24">
        <v>1</v>
      </c>
      <c r="C24" t="s">
        <v>92</v>
      </c>
      <c r="D24" t="s">
        <v>1</v>
      </c>
      <c r="E24" s="112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0">
        <v>45779.536805555559</v>
      </c>
    </row>
    <row r="25" spans="1:21">
      <c r="A25">
        <v>25</v>
      </c>
      <c r="B25">
        <v>1</v>
      </c>
      <c r="C25" t="s">
        <v>93</v>
      </c>
      <c r="D25" t="s">
        <v>1</v>
      </c>
      <c r="E25" s="112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0">
        <v>45779.536805555559</v>
      </c>
    </row>
    <row r="26" spans="1:21">
      <c r="A26">
        <v>26</v>
      </c>
      <c r="B26">
        <v>1</v>
      </c>
      <c r="C26" t="s">
        <v>94</v>
      </c>
      <c r="D26" t="s">
        <v>94</v>
      </c>
      <c r="E26" s="112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0">
        <v>44817.400694444441</v>
      </c>
    </row>
    <row r="27" spans="1:21">
      <c r="A27">
        <v>27</v>
      </c>
      <c r="B27">
        <v>1</v>
      </c>
      <c r="C27" t="s">
        <v>95</v>
      </c>
      <c r="D27" t="s">
        <v>96</v>
      </c>
      <c r="E27" s="112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0">
        <v>44817.400694444441</v>
      </c>
    </row>
    <row r="28" spans="1:21">
      <c r="A28">
        <v>28</v>
      </c>
      <c r="B28">
        <v>0</v>
      </c>
      <c r="C28" t="s">
        <v>97</v>
      </c>
      <c r="D28" t="s">
        <v>97</v>
      </c>
      <c r="E28" s="112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0">
        <v>44679.605555555558</v>
      </c>
    </row>
    <row r="29" spans="1:21">
      <c r="A29">
        <v>29</v>
      </c>
      <c r="B29">
        <v>0</v>
      </c>
      <c r="C29" t="s">
        <v>98</v>
      </c>
      <c r="D29" t="s">
        <v>98</v>
      </c>
      <c r="E29" s="112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0">
        <v>44679.605555555558</v>
      </c>
    </row>
    <row r="30" spans="1:21">
      <c r="A30">
        <v>30</v>
      </c>
      <c r="B30">
        <v>0</v>
      </c>
      <c r="C30" t="s">
        <v>99</v>
      </c>
      <c r="D30" t="s">
        <v>99</v>
      </c>
      <c r="E30" s="112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0">
        <v>44679.605555555558</v>
      </c>
    </row>
    <row r="31" spans="1:21">
      <c r="A31">
        <v>31</v>
      </c>
      <c r="B31">
        <v>0</v>
      </c>
      <c r="C31" t="s">
        <v>100</v>
      </c>
      <c r="D31" t="s">
        <v>100</v>
      </c>
      <c r="E31" s="112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0">
        <v>44679.606249999997</v>
      </c>
    </row>
    <row r="32" spans="1:21">
      <c r="A32">
        <v>33</v>
      </c>
      <c r="B32">
        <v>1</v>
      </c>
      <c r="C32" t="s">
        <v>101</v>
      </c>
      <c r="D32" t="s">
        <v>102</v>
      </c>
      <c r="E32" s="112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0">
        <v>45835.455555555563</v>
      </c>
    </row>
    <row r="33" spans="1:21">
      <c r="A33">
        <v>34</v>
      </c>
      <c r="B33">
        <v>0</v>
      </c>
      <c r="C33" t="s">
        <v>103</v>
      </c>
      <c r="D33" t="s">
        <v>104</v>
      </c>
      <c r="E33" s="112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0">
        <v>45835.455555555563</v>
      </c>
    </row>
    <row r="34" spans="1:21">
      <c r="A34">
        <v>35</v>
      </c>
      <c r="B34">
        <v>1</v>
      </c>
      <c r="C34" t="s">
        <v>101</v>
      </c>
      <c r="D34" t="s">
        <v>105</v>
      </c>
      <c r="E34" s="112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0">
        <v>45835.455555555563</v>
      </c>
    </row>
    <row r="35" spans="1:21">
      <c r="A35">
        <v>36</v>
      </c>
      <c r="B35">
        <v>0</v>
      </c>
      <c r="C35" t="s">
        <v>103</v>
      </c>
      <c r="D35" t="s">
        <v>106</v>
      </c>
      <c r="E35" s="112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0">
        <v>45835.455555555563</v>
      </c>
    </row>
    <row r="36" spans="1:21">
      <c r="A36">
        <v>37</v>
      </c>
      <c r="B36">
        <v>1</v>
      </c>
      <c r="C36" t="s">
        <v>107</v>
      </c>
      <c r="D36" t="s">
        <v>2</v>
      </c>
      <c r="E36" s="112"/>
      <c r="F36">
        <v>38</v>
      </c>
      <c r="G36">
        <v>1</v>
      </c>
      <c r="H36">
        <v>1</v>
      </c>
      <c r="I36">
        <v>69</v>
      </c>
      <c r="J36" t="s">
        <v>90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0">
        <v>45835.455555555563</v>
      </c>
    </row>
    <row r="37" spans="1:21">
      <c r="A37">
        <v>38</v>
      </c>
      <c r="B37">
        <v>0</v>
      </c>
      <c r="C37" t="s">
        <v>108</v>
      </c>
      <c r="D37" t="s">
        <v>109</v>
      </c>
      <c r="E37" s="112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0">
        <v>45835.455555555563</v>
      </c>
    </row>
    <row r="38" spans="1:21">
      <c r="A38">
        <v>39</v>
      </c>
      <c r="B38">
        <v>1</v>
      </c>
      <c r="C38" t="s">
        <v>110</v>
      </c>
      <c r="D38" t="s">
        <v>3</v>
      </c>
      <c r="E38" s="112">
        <v>65</v>
      </c>
      <c r="F38">
        <v>40</v>
      </c>
      <c r="G38">
        <v>1</v>
      </c>
      <c r="H38">
        <v>1</v>
      </c>
      <c r="I38">
        <v>18</v>
      </c>
      <c r="J38" t="s">
        <v>111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0">
        <v>45070.729166666657</v>
      </c>
    </row>
    <row r="39" spans="1:21">
      <c r="A39">
        <v>40</v>
      </c>
      <c r="B39">
        <v>0</v>
      </c>
      <c r="C39" t="s">
        <v>112</v>
      </c>
      <c r="D39" t="s">
        <v>112</v>
      </c>
      <c r="E39" s="112"/>
      <c r="F39">
        <v>0</v>
      </c>
      <c r="G39">
        <v>1</v>
      </c>
      <c r="H39">
        <v>1</v>
      </c>
      <c r="I39">
        <v>0</v>
      </c>
      <c r="T39">
        <v>9999</v>
      </c>
      <c r="U39" s="110">
        <v>40800</v>
      </c>
    </row>
    <row r="40" spans="1:21">
      <c r="A40">
        <v>41</v>
      </c>
      <c r="B40">
        <v>1</v>
      </c>
      <c r="C40" t="s">
        <v>113</v>
      </c>
      <c r="D40" t="s">
        <v>114</v>
      </c>
      <c r="E40" s="112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0">
        <v>44743.711805555547</v>
      </c>
    </row>
    <row r="41" spans="1:21">
      <c r="A41">
        <v>42</v>
      </c>
      <c r="B41">
        <v>0</v>
      </c>
      <c r="C41" t="s">
        <v>115</v>
      </c>
      <c r="D41" t="s">
        <v>115</v>
      </c>
      <c r="E41" s="112"/>
      <c r="F41">
        <v>0</v>
      </c>
      <c r="G41">
        <v>1</v>
      </c>
      <c r="H41">
        <v>1</v>
      </c>
      <c r="I41">
        <v>0</v>
      </c>
      <c r="T41">
        <v>9999</v>
      </c>
      <c r="U41" s="110">
        <v>40800</v>
      </c>
    </row>
    <row r="42" spans="1:21">
      <c r="A42">
        <v>43</v>
      </c>
      <c r="B42">
        <v>1</v>
      </c>
      <c r="C42" t="s">
        <v>116</v>
      </c>
      <c r="D42" t="s">
        <v>117</v>
      </c>
      <c r="E42" s="112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0">
        <v>45266.568055555559</v>
      </c>
    </row>
    <row r="43" spans="1:21">
      <c r="A43">
        <v>44</v>
      </c>
      <c r="B43">
        <v>0</v>
      </c>
      <c r="C43" t="s">
        <v>118</v>
      </c>
      <c r="D43" t="s">
        <v>118</v>
      </c>
      <c r="E43" s="112"/>
      <c r="F43">
        <v>0</v>
      </c>
      <c r="G43">
        <v>1</v>
      </c>
      <c r="H43">
        <v>1</v>
      </c>
      <c r="I43">
        <v>0</v>
      </c>
      <c r="T43">
        <v>9999</v>
      </c>
      <c r="U43" s="110">
        <v>40800</v>
      </c>
    </row>
    <row r="44" spans="1:21">
      <c r="A44">
        <v>45</v>
      </c>
      <c r="B44">
        <v>1</v>
      </c>
      <c r="C44" t="s">
        <v>119</v>
      </c>
      <c r="D44" t="s">
        <v>120</v>
      </c>
      <c r="E44" s="112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0">
        <v>45716.407638888893</v>
      </c>
    </row>
    <row r="45" spans="1:21">
      <c r="A45">
        <v>46</v>
      </c>
      <c r="B45">
        <v>0</v>
      </c>
      <c r="C45" t="s">
        <v>121</v>
      </c>
      <c r="D45" t="s">
        <v>121</v>
      </c>
      <c r="E45" s="112"/>
      <c r="F45">
        <v>0</v>
      </c>
      <c r="G45">
        <v>1</v>
      </c>
      <c r="H45">
        <v>1</v>
      </c>
      <c r="I45">
        <v>0</v>
      </c>
      <c r="T45">
        <v>9999</v>
      </c>
      <c r="U45" s="110">
        <v>40800</v>
      </c>
    </row>
    <row r="46" spans="1:21">
      <c r="A46">
        <v>47</v>
      </c>
      <c r="B46">
        <v>1</v>
      </c>
      <c r="C46" t="s">
        <v>122</v>
      </c>
      <c r="D46" t="s">
        <v>123</v>
      </c>
      <c r="E46" s="112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0">
        <v>40857.586111111108</v>
      </c>
    </row>
    <row r="47" spans="1:21">
      <c r="A47">
        <v>48</v>
      </c>
      <c r="B47">
        <v>0</v>
      </c>
      <c r="C47" t="s">
        <v>124</v>
      </c>
      <c r="D47" t="s">
        <v>124</v>
      </c>
      <c r="E47" s="112"/>
      <c r="F47">
        <v>0</v>
      </c>
      <c r="G47">
        <v>1</v>
      </c>
      <c r="H47">
        <v>1</v>
      </c>
      <c r="I47">
        <v>0</v>
      </c>
      <c r="T47">
        <v>9999</v>
      </c>
      <c r="U47" s="110">
        <v>40800</v>
      </c>
    </row>
    <row r="48" spans="1:21">
      <c r="A48">
        <v>49</v>
      </c>
      <c r="B48">
        <v>1</v>
      </c>
      <c r="C48" t="s">
        <v>125</v>
      </c>
      <c r="D48" t="s">
        <v>126</v>
      </c>
      <c r="E48" s="112"/>
      <c r="F48">
        <v>50</v>
      </c>
      <c r="G48">
        <v>1</v>
      </c>
      <c r="H48">
        <v>2</v>
      </c>
      <c r="I48">
        <v>0</v>
      </c>
      <c r="J48" t="s">
        <v>72</v>
      </c>
      <c r="K48">
        <v>1</v>
      </c>
      <c r="L48" t="s">
        <v>127</v>
      </c>
      <c r="M48">
        <v>0</v>
      </c>
      <c r="N48" t="s">
        <v>90</v>
      </c>
      <c r="O48">
        <v>0</v>
      </c>
      <c r="Q48">
        <v>0</v>
      </c>
      <c r="S48">
        <v>0</v>
      </c>
      <c r="T48">
        <v>2</v>
      </c>
      <c r="U48" s="110">
        <v>42360.588194444441</v>
      </c>
    </row>
    <row r="49" spans="1:21">
      <c r="A49">
        <v>50</v>
      </c>
      <c r="B49">
        <v>0</v>
      </c>
      <c r="C49" t="s">
        <v>128</v>
      </c>
      <c r="D49" t="s">
        <v>128</v>
      </c>
      <c r="E49" s="112"/>
      <c r="F49">
        <v>0</v>
      </c>
      <c r="G49">
        <v>1</v>
      </c>
      <c r="H49">
        <v>2</v>
      </c>
      <c r="I49">
        <v>0</v>
      </c>
      <c r="T49">
        <v>9999</v>
      </c>
      <c r="U49" s="110">
        <v>40800</v>
      </c>
    </row>
    <row r="50" spans="1:21">
      <c r="A50">
        <v>51</v>
      </c>
      <c r="B50">
        <v>0</v>
      </c>
      <c r="C50" t="s">
        <v>128</v>
      </c>
      <c r="D50" t="s">
        <v>129</v>
      </c>
      <c r="E50" s="112"/>
      <c r="F50">
        <v>51</v>
      </c>
      <c r="G50">
        <v>1</v>
      </c>
      <c r="H50">
        <v>2</v>
      </c>
      <c r="I50">
        <v>0</v>
      </c>
      <c r="T50">
        <v>9999</v>
      </c>
      <c r="U50" s="110">
        <v>40800</v>
      </c>
    </row>
    <row r="51" spans="1:21">
      <c r="A51">
        <v>52</v>
      </c>
      <c r="B51">
        <v>1</v>
      </c>
      <c r="C51" t="s">
        <v>130</v>
      </c>
      <c r="D51" t="s">
        <v>131</v>
      </c>
      <c r="E51" s="112"/>
      <c r="F51">
        <v>53</v>
      </c>
      <c r="G51">
        <v>1</v>
      </c>
      <c r="H51">
        <v>2</v>
      </c>
      <c r="I51">
        <v>0</v>
      </c>
      <c r="J51" t="s">
        <v>72</v>
      </c>
      <c r="K51">
        <v>1</v>
      </c>
      <c r="L51" t="s">
        <v>127</v>
      </c>
      <c r="M51">
        <v>0</v>
      </c>
      <c r="N51" t="s">
        <v>90</v>
      </c>
      <c r="O51">
        <v>0</v>
      </c>
      <c r="Q51">
        <v>0</v>
      </c>
      <c r="S51">
        <v>0</v>
      </c>
      <c r="T51">
        <v>2</v>
      </c>
      <c r="U51" s="110">
        <v>40857.595138888893</v>
      </c>
    </row>
    <row r="52" spans="1:21">
      <c r="A52">
        <v>53</v>
      </c>
      <c r="B52">
        <v>0</v>
      </c>
      <c r="C52" t="s">
        <v>132</v>
      </c>
      <c r="D52" t="s">
        <v>132</v>
      </c>
      <c r="E52" s="112"/>
      <c r="F52">
        <v>0</v>
      </c>
      <c r="G52">
        <v>1</v>
      </c>
      <c r="H52">
        <v>2</v>
      </c>
      <c r="I52">
        <v>0</v>
      </c>
      <c r="J52" t="s">
        <v>72</v>
      </c>
      <c r="K52">
        <v>1</v>
      </c>
      <c r="L52" t="s">
        <v>127</v>
      </c>
      <c r="M52">
        <v>0</v>
      </c>
      <c r="N52" t="s">
        <v>90</v>
      </c>
      <c r="O52">
        <v>0</v>
      </c>
      <c r="T52">
        <v>2</v>
      </c>
      <c r="U52" s="110">
        <v>40823.696527777778</v>
      </c>
    </row>
    <row r="53" spans="1:21">
      <c r="A53">
        <v>54</v>
      </c>
      <c r="B53">
        <v>0</v>
      </c>
      <c r="C53" t="s">
        <v>132</v>
      </c>
      <c r="D53" t="s">
        <v>133</v>
      </c>
      <c r="E53" s="112"/>
      <c r="F53">
        <v>54</v>
      </c>
      <c r="G53">
        <v>1</v>
      </c>
      <c r="H53">
        <v>2</v>
      </c>
      <c r="I53">
        <v>0</v>
      </c>
      <c r="J53" t="s">
        <v>72</v>
      </c>
      <c r="K53">
        <v>1</v>
      </c>
      <c r="L53" t="s">
        <v>127</v>
      </c>
      <c r="M53">
        <v>0</v>
      </c>
      <c r="N53" t="s">
        <v>90</v>
      </c>
      <c r="O53">
        <v>0</v>
      </c>
      <c r="T53">
        <v>2</v>
      </c>
      <c r="U53" s="110">
        <v>40823.697222222218</v>
      </c>
    </row>
    <row r="54" spans="1:21">
      <c r="A54">
        <v>55</v>
      </c>
      <c r="B54">
        <v>1</v>
      </c>
      <c r="C54" t="s">
        <v>134</v>
      </c>
      <c r="D54" t="s">
        <v>135</v>
      </c>
      <c r="E54" s="112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90</v>
      </c>
      <c r="M54">
        <v>0</v>
      </c>
      <c r="O54">
        <v>0</v>
      </c>
      <c r="Q54">
        <v>0</v>
      </c>
      <c r="S54">
        <v>0</v>
      </c>
      <c r="T54">
        <v>2</v>
      </c>
      <c r="U54" s="110">
        <v>40863.760416666657</v>
      </c>
    </row>
    <row r="55" spans="1:21">
      <c r="A55">
        <v>56</v>
      </c>
      <c r="B55">
        <v>0</v>
      </c>
      <c r="C55" t="s">
        <v>136</v>
      </c>
      <c r="D55" t="s">
        <v>136</v>
      </c>
      <c r="E55" s="112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90</v>
      </c>
      <c r="M55">
        <v>0</v>
      </c>
      <c r="N55" t="s">
        <v>137</v>
      </c>
      <c r="O55">
        <v>0</v>
      </c>
      <c r="T55">
        <v>2</v>
      </c>
      <c r="U55" s="110">
        <v>40823.697916666657</v>
      </c>
    </row>
    <row r="56" spans="1:21">
      <c r="A56">
        <v>57</v>
      </c>
      <c r="B56">
        <v>0</v>
      </c>
      <c r="C56" t="s">
        <v>136</v>
      </c>
      <c r="D56" t="s">
        <v>138</v>
      </c>
      <c r="E56" s="112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90</v>
      </c>
      <c r="M56">
        <v>0</v>
      </c>
      <c r="N56" t="s">
        <v>137</v>
      </c>
      <c r="O56">
        <v>0</v>
      </c>
      <c r="T56">
        <v>2</v>
      </c>
      <c r="U56" s="110">
        <v>40823.697916666657</v>
      </c>
    </row>
    <row r="57" spans="1:21">
      <c r="A57">
        <v>58</v>
      </c>
      <c r="B57">
        <v>1</v>
      </c>
      <c r="C57" t="s">
        <v>139</v>
      </c>
      <c r="D57" t="s">
        <v>140</v>
      </c>
      <c r="E57" s="112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110">
        <v>45544.602083333331</v>
      </c>
    </row>
    <row r="58" spans="1:21">
      <c r="A58">
        <v>59</v>
      </c>
      <c r="B58">
        <v>0</v>
      </c>
      <c r="C58" t="s">
        <v>142</v>
      </c>
      <c r="D58" t="s">
        <v>142</v>
      </c>
      <c r="E58" s="112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110">
        <v>40823.699305555558</v>
      </c>
    </row>
    <row r="59" spans="1:21">
      <c r="A59">
        <v>60</v>
      </c>
      <c r="B59">
        <v>1</v>
      </c>
      <c r="C59" t="s">
        <v>143</v>
      </c>
      <c r="D59" t="s">
        <v>144</v>
      </c>
      <c r="E59" s="112">
        <v>200</v>
      </c>
      <c r="F59">
        <v>61</v>
      </c>
      <c r="G59">
        <v>1</v>
      </c>
      <c r="H59">
        <v>2</v>
      </c>
      <c r="I59">
        <v>21</v>
      </c>
      <c r="J59" t="s">
        <v>72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110">
        <v>42782.45208333333</v>
      </c>
    </row>
    <row r="60" spans="1:21">
      <c r="A60">
        <v>61</v>
      </c>
      <c r="B60">
        <v>0</v>
      </c>
      <c r="C60" t="s">
        <v>146</v>
      </c>
      <c r="D60" t="s">
        <v>146</v>
      </c>
      <c r="E60" s="112">
        <v>200</v>
      </c>
      <c r="F60">
        <v>0</v>
      </c>
      <c r="G60">
        <v>1</v>
      </c>
      <c r="H60">
        <v>2</v>
      </c>
      <c r="I60">
        <v>0</v>
      </c>
      <c r="J60" t="s">
        <v>72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110">
        <v>40823.700694444437</v>
      </c>
    </row>
    <row r="61" spans="1:21">
      <c r="A61">
        <v>62</v>
      </c>
      <c r="B61">
        <v>1</v>
      </c>
      <c r="C61" t="s">
        <v>147</v>
      </c>
      <c r="D61" t="s">
        <v>148</v>
      </c>
      <c r="E61" s="112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0">
        <v>45404.693749999999</v>
      </c>
    </row>
    <row r="62" spans="1:21">
      <c r="A62">
        <v>63</v>
      </c>
      <c r="B62">
        <v>0</v>
      </c>
      <c r="C62" t="s">
        <v>149</v>
      </c>
      <c r="D62" t="s">
        <v>149</v>
      </c>
      <c r="E62" s="112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0">
        <v>41334.615972222222</v>
      </c>
    </row>
    <row r="63" spans="1:21">
      <c r="A63">
        <v>64</v>
      </c>
      <c r="B63">
        <v>1</v>
      </c>
      <c r="C63" t="s">
        <v>150</v>
      </c>
      <c r="D63" t="s">
        <v>151</v>
      </c>
      <c r="E63" s="112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0">
        <v>42054.589583333327</v>
      </c>
    </row>
    <row r="64" spans="1:21">
      <c r="A64">
        <v>65</v>
      </c>
      <c r="B64">
        <v>0</v>
      </c>
      <c r="C64" t="s">
        <v>152</v>
      </c>
      <c r="D64" t="s">
        <v>152</v>
      </c>
      <c r="E64" s="112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0">
        <v>42054.594444444447</v>
      </c>
    </row>
    <row r="65" spans="1:21">
      <c r="A65">
        <v>66</v>
      </c>
      <c r="B65">
        <v>1</v>
      </c>
      <c r="C65" t="s">
        <v>153</v>
      </c>
      <c r="D65" t="s">
        <v>154</v>
      </c>
      <c r="E65" s="112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110">
        <v>41059.626388888893</v>
      </c>
    </row>
    <row r="66" spans="1:21">
      <c r="A66">
        <v>67</v>
      </c>
      <c r="B66">
        <v>0</v>
      </c>
      <c r="C66" t="s">
        <v>160</v>
      </c>
      <c r="D66" t="s">
        <v>160</v>
      </c>
      <c r="E66" s="112"/>
      <c r="F66">
        <v>0</v>
      </c>
      <c r="G66">
        <v>1</v>
      </c>
      <c r="H66">
        <v>2</v>
      </c>
      <c r="I66">
        <v>0</v>
      </c>
      <c r="J66" t="s">
        <v>90</v>
      </c>
      <c r="K66">
        <v>0</v>
      </c>
      <c r="M66">
        <v>0</v>
      </c>
      <c r="O66">
        <v>0</v>
      </c>
      <c r="T66">
        <v>2</v>
      </c>
      <c r="U66" s="110">
        <v>40823.701388888891</v>
      </c>
    </row>
    <row r="67" spans="1:21">
      <c r="A67">
        <v>68</v>
      </c>
      <c r="B67">
        <v>0</v>
      </c>
      <c r="C67" t="s">
        <v>160</v>
      </c>
      <c r="D67" t="s">
        <v>161</v>
      </c>
      <c r="E67" s="112"/>
      <c r="F67">
        <v>68</v>
      </c>
      <c r="G67">
        <v>1</v>
      </c>
      <c r="H67">
        <v>2</v>
      </c>
      <c r="I67">
        <v>0</v>
      </c>
      <c r="J67" t="s">
        <v>90</v>
      </c>
      <c r="K67">
        <v>0</v>
      </c>
      <c r="M67">
        <v>0</v>
      </c>
      <c r="O67">
        <v>0</v>
      </c>
      <c r="T67">
        <v>2</v>
      </c>
      <c r="U67" s="110">
        <v>40823.701388888891</v>
      </c>
    </row>
    <row r="68" spans="1:21">
      <c r="A68">
        <v>69</v>
      </c>
      <c r="B68">
        <v>1</v>
      </c>
      <c r="C68" t="s">
        <v>162</v>
      </c>
      <c r="D68" t="s">
        <v>163</v>
      </c>
      <c r="E68" s="112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90</v>
      </c>
      <c r="M68">
        <v>0</v>
      </c>
      <c r="O68">
        <v>0</v>
      </c>
      <c r="Q68">
        <v>0</v>
      </c>
      <c r="S68">
        <v>0</v>
      </c>
      <c r="T68">
        <v>2</v>
      </c>
      <c r="U68" s="110">
        <v>44490.711805555547</v>
      </c>
    </row>
    <row r="69" spans="1:21">
      <c r="A69">
        <v>70</v>
      </c>
      <c r="B69">
        <v>0</v>
      </c>
      <c r="C69" t="s">
        <v>164</v>
      </c>
      <c r="D69" t="s">
        <v>164</v>
      </c>
      <c r="E69" s="112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90</v>
      </c>
      <c r="M69">
        <v>0</v>
      </c>
      <c r="O69">
        <v>0</v>
      </c>
      <c r="T69">
        <v>2</v>
      </c>
      <c r="U69" s="110">
        <v>40823.726388888892</v>
      </c>
    </row>
    <row r="70" spans="1:21">
      <c r="A70">
        <v>71</v>
      </c>
      <c r="B70">
        <v>0</v>
      </c>
      <c r="C70" t="s">
        <v>164</v>
      </c>
      <c r="D70" t="s">
        <v>165</v>
      </c>
      <c r="E70" s="112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90</v>
      </c>
      <c r="M70">
        <v>0</v>
      </c>
      <c r="O70">
        <v>0</v>
      </c>
      <c r="T70">
        <v>2</v>
      </c>
      <c r="U70" s="110">
        <v>40823.726388888892</v>
      </c>
    </row>
    <row r="71" spans="1:21">
      <c r="A71">
        <v>72</v>
      </c>
      <c r="B71">
        <v>1</v>
      </c>
      <c r="C71" t="s">
        <v>166</v>
      </c>
      <c r="D71" t="s">
        <v>167</v>
      </c>
      <c r="E71" s="112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90</v>
      </c>
      <c r="M71">
        <v>0</v>
      </c>
      <c r="O71">
        <v>0</v>
      </c>
      <c r="Q71">
        <v>0</v>
      </c>
      <c r="S71">
        <v>0</v>
      </c>
      <c r="T71">
        <v>2</v>
      </c>
      <c r="U71" s="110">
        <v>40857.59652777778</v>
      </c>
    </row>
    <row r="72" spans="1:21">
      <c r="A72">
        <v>73</v>
      </c>
      <c r="B72">
        <v>0</v>
      </c>
      <c r="C72" t="s">
        <v>168</v>
      </c>
      <c r="D72" t="s">
        <v>168</v>
      </c>
      <c r="E72" s="112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90</v>
      </c>
      <c r="M72">
        <v>0</v>
      </c>
      <c r="O72">
        <v>0</v>
      </c>
      <c r="T72">
        <v>2</v>
      </c>
      <c r="U72" s="110">
        <v>40823.725694444453</v>
      </c>
    </row>
    <row r="73" spans="1:21">
      <c r="A73">
        <v>74</v>
      </c>
      <c r="B73">
        <v>0</v>
      </c>
      <c r="C73" t="s">
        <v>168</v>
      </c>
      <c r="D73" t="s">
        <v>169</v>
      </c>
      <c r="E73" s="112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90</v>
      </c>
      <c r="M73">
        <v>0</v>
      </c>
      <c r="O73">
        <v>0</v>
      </c>
      <c r="T73">
        <v>2</v>
      </c>
      <c r="U73" s="110">
        <v>40823.726388888892</v>
      </c>
    </row>
    <row r="74" spans="1:21">
      <c r="A74">
        <v>75</v>
      </c>
      <c r="B74">
        <v>1</v>
      </c>
      <c r="C74" t="s">
        <v>170</v>
      </c>
      <c r="D74" t="s">
        <v>171</v>
      </c>
      <c r="E74" s="112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90</v>
      </c>
      <c r="M74">
        <v>0</v>
      </c>
      <c r="O74">
        <v>0</v>
      </c>
      <c r="Q74">
        <v>0</v>
      </c>
      <c r="S74">
        <v>0</v>
      </c>
      <c r="T74">
        <v>2</v>
      </c>
      <c r="U74" s="110">
        <v>40857.59652777778</v>
      </c>
    </row>
    <row r="75" spans="1:21">
      <c r="A75">
        <v>76</v>
      </c>
      <c r="B75">
        <v>0</v>
      </c>
      <c r="C75" t="s">
        <v>172</v>
      </c>
      <c r="D75" t="s">
        <v>172</v>
      </c>
      <c r="E75" s="112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90</v>
      </c>
      <c r="M75">
        <v>0</v>
      </c>
      <c r="O75">
        <v>0</v>
      </c>
      <c r="T75">
        <v>2</v>
      </c>
      <c r="U75" s="110">
        <v>40823.736805555563</v>
      </c>
    </row>
    <row r="76" spans="1:21">
      <c r="A76">
        <v>77</v>
      </c>
      <c r="B76">
        <v>0</v>
      </c>
      <c r="C76" t="s">
        <v>172</v>
      </c>
      <c r="D76" t="s">
        <v>173</v>
      </c>
      <c r="E76" s="112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90</v>
      </c>
      <c r="M76">
        <v>0</v>
      </c>
      <c r="O76">
        <v>0</v>
      </c>
      <c r="T76">
        <v>2</v>
      </c>
      <c r="U76" s="110">
        <v>40823.736805555563</v>
      </c>
    </row>
    <row r="77" spans="1:21">
      <c r="A77">
        <v>78</v>
      </c>
      <c r="B77">
        <v>1</v>
      </c>
      <c r="C77" t="s">
        <v>174</v>
      </c>
      <c r="D77" t="s">
        <v>175</v>
      </c>
      <c r="E77" s="112"/>
      <c r="F77">
        <v>79</v>
      </c>
      <c r="G77">
        <v>1</v>
      </c>
      <c r="H77">
        <v>2</v>
      </c>
      <c r="I77">
        <v>0</v>
      </c>
      <c r="J77" t="s">
        <v>72</v>
      </c>
      <c r="K77">
        <v>1</v>
      </c>
      <c r="L77" t="s">
        <v>90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110">
        <v>40891.716666666667</v>
      </c>
    </row>
    <row r="78" spans="1:21">
      <c r="A78">
        <v>79</v>
      </c>
      <c r="B78">
        <v>0</v>
      </c>
      <c r="C78" t="s">
        <v>177</v>
      </c>
      <c r="D78" t="s">
        <v>177</v>
      </c>
      <c r="E78" s="112"/>
      <c r="F78">
        <v>0</v>
      </c>
      <c r="G78">
        <v>1</v>
      </c>
      <c r="H78">
        <v>2</v>
      </c>
      <c r="I78">
        <v>0</v>
      </c>
      <c r="J78" t="s">
        <v>72</v>
      </c>
      <c r="K78">
        <v>1</v>
      </c>
      <c r="L78" t="s">
        <v>90</v>
      </c>
      <c r="M78">
        <v>0</v>
      </c>
      <c r="N78" t="s">
        <v>175</v>
      </c>
      <c r="O78">
        <v>0</v>
      </c>
      <c r="T78">
        <v>2</v>
      </c>
      <c r="U78" s="110">
        <v>40823.737500000003</v>
      </c>
    </row>
    <row r="79" spans="1:21">
      <c r="A79">
        <v>80</v>
      </c>
      <c r="B79">
        <v>0</v>
      </c>
      <c r="C79" t="s">
        <v>177</v>
      </c>
      <c r="D79" t="s">
        <v>178</v>
      </c>
      <c r="E79" s="112"/>
      <c r="F79">
        <v>80</v>
      </c>
      <c r="G79">
        <v>1</v>
      </c>
      <c r="H79">
        <v>2</v>
      </c>
      <c r="I79">
        <v>0</v>
      </c>
      <c r="J79" t="s">
        <v>72</v>
      </c>
      <c r="K79">
        <v>1</v>
      </c>
      <c r="L79" t="s">
        <v>90</v>
      </c>
      <c r="M79">
        <v>0</v>
      </c>
      <c r="N79" t="s">
        <v>175</v>
      </c>
      <c r="O79">
        <v>0</v>
      </c>
      <c r="T79">
        <v>2</v>
      </c>
      <c r="U79" s="110">
        <v>40823.737500000003</v>
      </c>
    </row>
    <row r="80" spans="1:21">
      <c r="A80">
        <v>81</v>
      </c>
      <c r="B80">
        <v>1</v>
      </c>
      <c r="C80" t="s">
        <v>179</v>
      </c>
      <c r="D80" t="s">
        <v>180</v>
      </c>
      <c r="E80" s="112"/>
      <c r="F80">
        <v>82</v>
      </c>
      <c r="G80">
        <v>1</v>
      </c>
      <c r="H80">
        <v>2</v>
      </c>
      <c r="I80">
        <v>0</v>
      </c>
      <c r="J80" t="s">
        <v>72</v>
      </c>
      <c r="K80">
        <v>1</v>
      </c>
      <c r="L80" t="s">
        <v>90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110">
        <v>40857.59652777778</v>
      </c>
    </row>
    <row r="81" spans="1:21">
      <c r="A81">
        <v>82</v>
      </c>
      <c r="B81">
        <v>0</v>
      </c>
      <c r="C81" t="s">
        <v>181</v>
      </c>
      <c r="D81" t="s">
        <v>181</v>
      </c>
      <c r="E81" s="112"/>
      <c r="F81">
        <v>0</v>
      </c>
      <c r="G81">
        <v>1</v>
      </c>
      <c r="H81">
        <v>2</v>
      </c>
      <c r="I81">
        <v>0</v>
      </c>
      <c r="J81" t="s">
        <v>72</v>
      </c>
      <c r="K81">
        <v>1</v>
      </c>
      <c r="L81" t="s">
        <v>90</v>
      </c>
      <c r="M81">
        <v>0</v>
      </c>
      <c r="N81" t="s">
        <v>180</v>
      </c>
      <c r="O81">
        <v>0</v>
      </c>
      <c r="T81">
        <v>2</v>
      </c>
      <c r="U81" s="110">
        <v>40823.738194444442</v>
      </c>
    </row>
    <row r="82" spans="1:21">
      <c r="A82">
        <v>83</v>
      </c>
      <c r="B82">
        <v>0</v>
      </c>
      <c r="C82" t="s">
        <v>181</v>
      </c>
      <c r="D82" t="s">
        <v>182</v>
      </c>
      <c r="E82" s="112"/>
      <c r="F82">
        <v>83</v>
      </c>
      <c r="G82">
        <v>1</v>
      </c>
      <c r="H82">
        <v>2</v>
      </c>
      <c r="I82">
        <v>0</v>
      </c>
      <c r="J82" t="s">
        <v>72</v>
      </c>
      <c r="K82">
        <v>1</v>
      </c>
      <c r="L82" t="s">
        <v>90</v>
      </c>
      <c r="M82">
        <v>0</v>
      </c>
      <c r="N82" t="s">
        <v>180</v>
      </c>
      <c r="O82">
        <v>0</v>
      </c>
      <c r="T82">
        <v>2</v>
      </c>
      <c r="U82" s="110">
        <v>40823.738194444442</v>
      </c>
    </row>
    <row r="83" spans="1:21">
      <c r="A83">
        <v>84</v>
      </c>
      <c r="B83">
        <v>1</v>
      </c>
      <c r="C83" t="s">
        <v>183</v>
      </c>
      <c r="D83" t="s">
        <v>184</v>
      </c>
      <c r="E83" s="112"/>
      <c r="F83">
        <v>85</v>
      </c>
      <c r="G83">
        <v>1</v>
      </c>
      <c r="H83">
        <v>2</v>
      </c>
      <c r="I83">
        <v>0</v>
      </c>
      <c r="J83" t="s">
        <v>72</v>
      </c>
      <c r="K83">
        <v>1</v>
      </c>
      <c r="L83" t="s">
        <v>90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110">
        <v>40857.59652777778</v>
      </c>
    </row>
    <row r="84" spans="1:21">
      <c r="A84">
        <v>85</v>
      </c>
      <c r="B84">
        <v>0</v>
      </c>
      <c r="C84" t="s">
        <v>185</v>
      </c>
      <c r="D84" t="s">
        <v>185</v>
      </c>
      <c r="E84" s="112"/>
      <c r="F84">
        <v>0</v>
      </c>
      <c r="G84">
        <v>1</v>
      </c>
      <c r="H84">
        <v>2</v>
      </c>
      <c r="I84">
        <v>0</v>
      </c>
      <c r="J84" t="s">
        <v>72</v>
      </c>
      <c r="K84">
        <v>1</v>
      </c>
      <c r="L84" t="s">
        <v>90</v>
      </c>
      <c r="M84">
        <v>0</v>
      </c>
      <c r="N84" t="s">
        <v>184</v>
      </c>
      <c r="O84">
        <v>0</v>
      </c>
      <c r="T84">
        <v>2</v>
      </c>
      <c r="U84" s="110">
        <v>40823.738194444442</v>
      </c>
    </row>
    <row r="85" spans="1:21">
      <c r="A85">
        <v>86</v>
      </c>
      <c r="B85">
        <v>0</v>
      </c>
      <c r="C85" t="s">
        <v>185</v>
      </c>
      <c r="D85" t="s">
        <v>186</v>
      </c>
      <c r="E85" s="112"/>
      <c r="F85">
        <v>86</v>
      </c>
      <c r="G85">
        <v>1</v>
      </c>
      <c r="H85">
        <v>2</v>
      </c>
      <c r="I85">
        <v>0</v>
      </c>
      <c r="J85" t="s">
        <v>72</v>
      </c>
      <c r="K85">
        <v>1</v>
      </c>
      <c r="L85" t="s">
        <v>90</v>
      </c>
      <c r="M85">
        <v>0</v>
      </c>
      <c r="N85" t="s">
        <v>184</v>
      </c>
      <c r="O85">
        <v>0</v>
      </c>
      <c r="T85">
        <v>2</v>
      </c>
      <c r="U85" s="110">
        <v>40823.738888888889</v>
      </c>
    </row>
    <row r="86" spans="1:21">
      <c r="A86">
        <v>87</v>
      </c>
      <c r="B86">
        <v>1</v>
      </c>
      <c r="C86" t="s">
        <v>187</v>
      </c>
      <c r="D86" t="s">
        <v>188</v>
      </c>
      <c r="E86" s="112"/>
      <c r="F86">
        <v>88</v>
      </c>
      <c r="G86">
        <v>1</v>
      </c>
      <c r="H86">
        <v>2</v>
      </c>
      <c r="I86">
        <v>0</v>
      </c>
      <c r="J86" t="s">
        <v>72</v>
      </c>
      <c r="K86">
        <v>1</v>
      </c>
      <c r="L86" t="s">
        <v>188</v>
      </c>
      <c r="M86">
        <v>0</v>
      </c>
      <c r="N86" t="s">
        <v>90</v>
      </c>
      <c r="O86">
        <v>0</v>
      </c>
      <c r="Q86">
        <v>0</v>
      </c>
      <c r="S86">
        <v>0</v>
      </c>
      <c r="T86">
        <v>2</v>
      </c>
      <c r="U86" s="110">
        <v>40857.59652777778</v>
      </c>
    </row>
    <row r="87" spans="1:21">
      <c r="A87">
        <v>88</v>
      </c>
      <c r="B87">
        <v>0</v>
      </c>
      <c r="C87" t="s">
        <v>189</v>
      </c>
      <c r="D87" t="s">
        <v>189</v>
      </c>
      <c r="E87" s="112"/>
      <c r="F87">
        <v>0</v>
      </c>
      <c r="G87">
        <v>1</v>
      </c>
      <c r="H87">
        <v>2</v>
      </c>
      <c r="I87">
        <v>0</v>
      </c>
      <c r="J87" t="s">
        <v>72</v>
      </c>
      <c r="K87">
        <v>1</v>
      </c>
      <c r="L87" t="s">
        <v>188</v>
      </c>
      <c r="M87">
        <v>0</v>
      </c>
      <c r="N87" t="s">
        <v>90</v>
      </c>
      <c r="O87">
        <v>0</v>
      </c>
      <c r="T87">
        <v>2</v>
      </c>
      <c r="U87" s="110">
        <v>40823.739583333343</v>
      </c>
    </row>
    <row r="88" spans="1:21">
      <c r="A88">
        <v>89</v>
      </c>
      <c r="B88">
        <v>0</v>
      </c>
      <c r="C88" t="s">
        <v>189</v>
      </c>
      <c r="D88" t="s">
        <v>190</v>
      </c>
      <c r="E88" s="112"/>
      <c r="F88">
        <v>89</v>
      </c>
      <c r="G88">
        <v>1</v>
      </c>
      <c r="H88">
        <v>2</v>
      </c>
      <c r="I88">
        <v>0</v>
      </c>
      <c r="J88" t="s">
        <v>72</v>
      </c>
      <c r="K88">
        <v>1</v>
      </c>
      <c r="L88" t="s">
        <v>188</v>
      </c>
      <c r="M88">
        <v>0</v>
      </c>
      <c r="N88" t="s">
        <v>90</v>
      </c>
      <c r="O88">
        <v>0</v>
      </c>
      <c r="T88">
        <v>2</v>
      </c>
      <c r="U88" s="110">
        <v>40823.740277777782</v>
      </c>
    </row>
    <row r="89" spans="1:21">
      <c r="A89">
        <v>90</v>
      </c>
      <c r="B89">
        <v>1</v>
      </c>
      <c r="C89" t="s">
        <v>191</v>
      </c>
      <c r="D89" t="s">
        <v>192</v>
      </c>
      <c r="E89" s="112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110">
        <v>41213.614583333343</v>
      </c>
    </row>
    <row r="90" spans="1:21">
      <c r="A90">
        <v>91</v>
      </c>
      <c r="B90">
        <v>0</v>
      </c>
      <c r="C90" t="s">
        <v>193</v>
      </c>
      <c r="D90" t="s">
        <v>193</v>
      </c>
      <c r="E90" s="112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110">
        <v>40823.740972222222</v>
      </c>
    </row>
    <row r="91" spans="1:21">
      <c r="A91">
        <v>92</v>
      </c>
      <c r="B91">
        <v>0</v>
      </c>
      <c r="C91" t="s">
        <v>193</v>
      </c>
      <c r="D91" t="s">
        <v>194</v>
      </c>
      <c r="E91" s="112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110">
        <v>40823.740972222222</v>
      </c>
    </row>
    <row r="92" spans="1:21">
      <c r="A92">
        <v>93</v>
      </c>
      <c r="B92">
        <v>1</v>
      </c>
      <c r="C92" t="s">
        <v>195</v>
      </c>
      <c r="D92" t="s">
        <v>196</v>
      </c>
      <c r="E92" s="112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0">
        <v>40932.67291666667</v>
      </c>
    </row>
    <row r="93" spans="1:21">
      <c r="A93">
        <v>94</v>
      </c>
      <c r="B93">
        <v>0</v>
      </c>
      <c r="C93" t="s">
        <v>197</v>
      </c>
      <c r="D93" t="s">
        <v>197</v>
      </c>
      <c r="E93" s="112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90</v>
      </c>
      <c r="M93">
        <v>0</v>
      </c>
      <c r="O93">
        <v>0</v>
      </c>
      <c r="T93">
        <v>2</v>
      </c>
      <c r="U93" s="110">
        <v>40823.741666666669</v>
      </c>
    </row>
    <row r="94" spans="1:21">
      <c r="A94">
        <v>95</v>
      </c>
      <c r="B94">
        <v>0</v>
      </c>
      <c r="C94" t="s">
        <v>197</v>
      </c>
      <c r="D94" t="s">
        <v>198</v>
      </c>
      <c r="E94" s="112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90</v>
      </c>
      <c r="M94">
        <v>0</v>
      </c>
      <c r="O94">
        <v>0</v>
      </c>
      <c r="T94">
        <v>2</v>
      </c>
      <c r="U94" s="110">
        <v>40823.741666666669</v>
      </c>
    </row>
    <row r="95" spans="1:21">
      <c r="A95">
        <v>96</v>
      </c>
      <c r="B95">
        <v>1</v>
      </c>
      <c r="C95" t="s">
        <v>199</v>
      </c>
      <c r="D95" t="s">
        <v>72</v>
      </c>
      <c r="E95" s="112"/>
      <c r="F95">
        <v>97</v>
      </c>
      <c r="G95">
        <v>1</v>
      </c>
      <c r="H95">
        <v>2</v>
      </c>
      <c r="I95">
        <v>0</v>
      </c>
      <c r="J95" t="s">
        <v>72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0">
        <v>42191.624305555553</v>
      </c>
    </row>
    <row r="96" spans="1:21">
      <c r="A96">
        <v>97</v>
      </c>
      <c r="B96">
        <v>0</v>
      </c>
      <c r="C96" t="s">
        <v>200</v>
      </c>
      <c r="D96" t="s">
        <v>200</v>
      </c>
      <c r="E96" s="112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0">
        <v>41815.463194444441</v>
      </c>
    </row>
    <row r="97" spans="1:21">
      <c r="A97">
        <v>98</v>
      </c>
      <c r="B97">
        <v>1</v>
      </c>
      <c r="C97" t="s">
        <v>201</v>
      </c>
      <c r="D97" t="s">
        <v>17</v>
      </c>
      <c r="E97" s="112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0">
        <v>40857.597222222219</v>
      </c>
    </row>
    <row r="98" spans="1:21">
      <c r="A98">
        <v>99</v>
      </c>
      <c r="B98">
        <v>0</v>
      </c>
      <c r="C98" t="s">
        <v>202</v>
      </c>
      <c r="D98" t="s">
        <v>202</v>
      </c>
      <c r="E98" s="112"/>
      <c r="F98">
        <v>0</v>
      </c>
      <c r="G98">
        <v>1</v>
      </c>
      <c r="H98">
        <v>1</v>
      </c>
      <c r="I98">
        <v>0</v>
      </c>
      <c r="T98">
        <v>9999</v>
      </c>
      <c r="U98" s="110">
        <v>40800</v>
      </c>
    </row>
    <row r="99" spans="1:21">
      <c r="A99">
        <v>100</v>
      </c>
      <c r="B99">
        <v>1</v>
      </c>
      <c r="C99" t="s">
        <v>203</v>
      </c>
      <c r="D99" t="s">
        <v>203</v>
      </c>
      <c r="E99" s="112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0">
        <v>44831.722916666673</v>
      </c>
    </row>
    <row r="100" spans="1:21">
      <c r="A100">
        <v>101</v>
      </c>
      <c r="B100">
        <v>0</v>
      </c>
      <c r="C100" t="s">
        <v>204</v>
      </c>
      <c r="D100" t="s">
        <v>204</v>
      </c>
      <c r="E100" s="112"/>
      <c r="F100">
        <v>0</v>
      </c>
      <c r="G100">
        <v>1</v>
      </c>
      <c r="H100">
        <v>1</v>
      </c>
      <c r="I100">
        <v>0</v>
      </c>
      <c r="T100">
        <v>9999</v>
      </c>
      <c r="U100" s="110">
        <v>40800</v>
      </c>
    </row>
    <row r="101" spans="1:21">
      <c r="A101">
        <v>102</v>
      </c>
      <c r="B101">
        <v>1</v>
      </c>
      <c r="C101" t="s">
        <v>205</v>
      </c>
      <c r="D101" t="s">
        <v>206</v>
      </c>
      <c r="E101" s="112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0">
        <v>43999.628472222219</v>
      </c>
    </row>
    <row r="102" spans="1:21">
      <c r="A102">
        <v>103</v>
      </c>
      <c r="B102">
        <v>0</v>
      </c>
      <c r="C102" t="s">
        <v>207</v>
      </c>
      <c r="D102" t="s">
        <v>206</v>
      </c>
      <c r="E102" s="112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0">
        <v>43999.628472222219</v>
      </c>
    </row>
    <row r="103" spans="1:21">
      <c r="A103">
        <v>104</v>
      </c>
      <c r="B103">
        <v>1</v>
      </c>
      <c r="C103" t="s">
        <v>208</v>
      </c>
      <c r="D103" t="s">
        <v>209</v>
      </c>
      <c r="E103" s="112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0">
        <v>43999.629166666673</v>
      </c>
    </row>
    <row r="104" spans="1:21">
      <c r="A104">
        <v>105</v>
      </c>
      <c r="B104">
        <v>0</v>
      </c>
      <c r="C104" t="s">
        <v>210</v>
      </c>
      <c r="D104" t="s">
        <v>209</v>
      </c>
      <c r="E104" s="112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0">
        <v>43999.629166666673</v>
      </c>
    </row>
    <row r="105" spans="1:21">
      <c r="A105">
        <v>106</v>
      </c>
      <c r="B105">
        <v>1</v>
      </c>
      <c r="C105" t="s">
        <v>211</v>
      </c>
      <c r="D105" t="s">
        <v>212</v>
      </c>
      <c r="E105" s="112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0">
        <v>43999.629166666673</v>
      </c>
    </row>
    <row r="106" spans="1:21">
      <c r="A106">
        <v>107</v>
      </c>
      <c r="B106">
        <v>0</v>
      </c>
      <c r="C106" t="s">
        <v>213</v>
      </c>
      <c r="D106" t="s">
        <v>212</v>
      </c>
      <c r="E106" s="112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0">
        <v>43999.629166666673</v>
      </c>
    </row>
    <row r="107" spans="1:21">
      <c r="A107">
        <v>108</v>
      </c>
      <c r="B107">
        <v>1</v>
      </c>
      <c r="C107" t="s">
        <v>214</v>
      </c>
      <c r="D107" t="s">
        <v>214</v>
      </c>
      <c r="E107" s="112"/>
      <c r="F107">
        <v>109</v>
      </c>
      <c r="G107">
        <v>3</v>
      </c>
      <c r="H107">
        <v>0</v>
      </c>
      <c r="I107">
        <v>0</v>
      </c>
      <c r="T107">
        <v>9999</v>
      </c>
      <c r="U107" s="110">
        <v>40800</v>
      </c>
    </row>
    <row r="108" spans="1:21">
      <c r="A108">
        <v>109</v>
      </c>
      <c r="B108">
        <v>0</v>
      </c>
      <c r="C108" t="s">
        <v>215</v>
      </c>
      <c r="D108" t="s">
        <v>215</v>
      </c>
      <c r="E108" s="112"/>
      <c r="F108">
        <v>0</v>
      </c>
      <c r="G108">
        <v>3</v>
      </c>
      <c r="H108">
        <v>0</v>
      </c>
      <c r="I108">
        <v>0</v>
      </c>
      <c r="T108">
        <v>9999</v>
      </c>
      <c r="U108" s="110">
        <v>40800</v>
      </c>
    </row>
    <row r="109" spans="1:21">
      <c r="A109">
        <v>110</v>
      </c>
      <c r="B109">
        <v>1</v>
      </c>
      <c r="C109" t="s">
        <v>216</v>
      </c>
      <c r="D109" t="s">
        <v>217</v>
      </c>
      <c r="E109" s="112"/>
      <c r="F109">
        <v>111</v>
      </c>
      <c r="G109">
        <v>1</v>
      </c>
      <c r="H109">
        <v>2</v>
      </c>
      <c r="I109">
        <v>0</v>
      </c>
      <c r="J109" t="s">
        <v>217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110">
        <v>41304.588194444441</v>
      </c>
    </row>
    <row r="110" spans="1:21">
      <c r="A110">
        <v>111</v>
      </c>
      <c r="B110">
        <v>0</v>
      </c>
      <c r="C110" t="s">
        <v>218</v>
      </c>
      <c r="D110" t="s">
        <v>218</v>
      </c>
      <c r="E110" s="112"/>
      <c r="F110">
        <v>0</v>
      </c>
      <c r="G110">
        <v>3</v>
      </c>
      <c r="H110">
        <v>0</v>
      </c>
      <c r="I110">
        <v>0</v>
      </c>
      <c r="T110">
        <v>9999</v>
      </c>
      <c r="U110" s="110">
        <v>40800</v>
      </c>
    </row>
    <row r="111" spans="1:21">
      <c r="A111">
        <v>112</v>
      </c>
      <c r="B111">
        <v>1</v>
      </c>
      <c r="C111" t="s">
        <v>219</v>
      </c>
      <c r="D111" t="s">
        <v>219</v>
      </c>
      <c r="E111" s="112"/>
      <c r="F111">
        <v>113</v>
      </c>
      <c r="G111">
        <v>3</v>
      </c>
      <c r="H111">
        <v>0</v>
      </c>
      <c r="I111">
        <v>0</v>
      </c>
      <c r="T111">
        <v>9999</v>
      </c>
      <c r="U111" s="110">
        <v>40800</v>
      </c>
    </row>
    <row r="112" spans="1:21">
      <c r="A112">
        <v>113</v>
      </c>
      <c r="B112">
        <v>0</v>
      </c>
      <c r="C112" t="s">
        <v>220</v>
      </c>
      <c r="D112" t="s">
        <v>220</v>
      </c>
      <c r="E112" s="112"/>
      <c r="F112">
        <v>0</v>
      </c>
      <c r="G112">
        <v>3</v>
      </c>
      <c r="H112">
        <v>0</v>
      </c>
      <c r="I112">
        <v>0</v>
      </c>
      <c r="T112">
        <v>9999</v>
      </c>
      <c r="U112" s="110">
        <v>40800</v>
      </c>
    </row>
    <row r="113" spans="1:21">
      <c r="A113">
        <v>114</v>
      </c>
      <c r="B113">
        <v>1</v>
      </c>
      <c r="C113" t="s">
        <v>14</v>
      </c>
      <c r="D113" t="s">
        <v>14</v>
      </c>
      <c r="E113" s="112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0">
        <v>42242.440972222219</v>
      </c>
    </row>
    <row r="114" spans="1:21">
      <c r="A114">
        <v>115</v>
      </c>
      <c r="B114">
        <v>1</v>
      </c>
      <c r="C114" t="s">
        <v>221</v>
      </c>
      <c r="D114" t="s">
        <v>221</v>
      </c>
      <c r="E114" s="112"/>
      <c r="F114">
        <v>0</v>
      </c>
      <c r="G114">
        <v>3</v>
      </c>
      <c r="H114">
        <v>0</v>
      </c>
      <c r="I114">
        <v>0</v>
      </c>
      <c r="J114" t="s">
        <v>221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0">
        <v>42636.577777777777</v>
      </c>
    </row>
    <row r="115" spans="1:21">
      <c r="A115">
        <v>116</v>
      </c>
      <c r="B115">
        <v>1</v>
      </c>
      <c r="C115" t="s">
        <v>222</v>
      </c>
      <c r="D115" t="s">
        <v>222</v>
      </c>
      <c r="E115" s="112"/>
      <c r="F115">
        <v>0</v>
      </c>
      <c r="G115">
        <v>3</v>
      </c>
      <c r="H115">
        <v>2</v>
      </c>
      <c r="I115">
        <v>0</v>
      </c>
      <c r="J115" t="s">
        <v>222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0">
        <v>42356.577777777777</v>
      </c>
    </row>
    <row r="116" spans="1:21">
      <c r="A116">
        <v>117</v>
      </c>
      <c r="B116">
        <v>1</v>
      </c>
      <c r="C116" t="s">
        <v>223</v>
      </c>
      <c r="D116" t="s">
        <v>223</v>
      </c>
      <c r="E116" s="112"/>
      <c r="F116">
        <v>0</v>
      </c>
      <c r="G116">
        <v>3</v>
      </c>
      <c r="H116">
        <v>0</v>
      </c>
      <c r="I116">
        <v>0</v>
      </c>
      <c r="T116">
        <v>9999</v>
      </c>
      <c r="U116" s="110">
        <v>40800</v>
      </c>
    </row>
    <row r="117" spans="1:21">
      <c r="A117">
        <v>118</v>
      </c>
      <c r="B117">
        <v>1</v>
      </c>
      <c r="C117" t="s">
        <v>224</v>
      </c>
      <c r="D117" t="s">
        <v>224</v>
      </c>
      <c r="E117" s="112"/>
      <c r="F117">
        <v>0</v>
      </c>
      <c r="G117">
        <v>3</v>
      </c>
      <c r="H117">
        <v>0</v>
      </c>
      <c r="I117">
        <v>0</v>
      </c>
      <c r="T117">
        <v>9999</v>
      </c>
      <c r="U117" s="110">
        <v>40800</v>
      </c>
    </row>
    <row r="118" spans="1:21">
      <c r="A118">
        <v>119</v>
      </c>
      <c r="B118">
        <v>1</v>
      </c>
      <c r="C118" t="s">
        <v>225</v>
      </c>
      <c r="D118" t="s">
        <v>225</v>
      </c>
      <c r="E118" s="112"/>
      <c r="F118">
        <v>0</v>
      </c>
      <c r="G118">
        <v>3</v>
      </c>
      <c r="H118">
        <v>0</v>
      </c>
      <c r="I118">
        <v>0</v>
      </c>
      <c r="T118">
        <v>9999</v>
      </c>
      <c r="U118" s="110">
        <v>40800</v>
      </c>
    </row>
    <row r="119" spans="1:21">
      <c r="A119">
        <v>120</v>
      </c>
      <c r="B119">
        <v>1</v>
      </c>
      <c r="C119" t="s">
        <v>226</v>
      </c>
      <c r="D119" t="s">
        <v>226</v>
      </c>
      <c r="E119" s="112"/>
      <c r="F119">
        <v>0</v>
      </c>
      <c r="G119">
        <v>3</v>
      </c>
      <c r="H119">
        <v>0</v>
      </c>
      <c r="I119">
        <v>0</v>
      </c>
      <c r="T119">
        <v>9999</v>
      </c>
      <c r="U119" s="110">
        <v>40800</v>
      </c>
    </row>
    <row r="120" spans="1:21">
      <c r="A120">
        <v>121</v>
      </c>
      <c r="B120">
        <v>1</v>
      </c>
      <c r="C120" t="s">
        <v>227</v>
      </c>
      <c r="D120" t="s">
        <v>227</v>
      </c>
      <c r="E120" s="112"/>
      <c r="F120">
        <v>0</v>
      </c>
      <c r="G120">
        <v>3</v>
      </c>
      <c r="H120">
        <v>0</v>
      </c>
      <c r="I120">
        <v>0</v>
      </c>
      <c r="T120">
        <v>9999</v>
      </c>
      <c r="U120" s="110">
        <v>40800</v>
      </c>
    </row>
    <row r="121" spans="1:21">
      <c r="A121">
        <v>122</v>
      </c>
      <c r="B121">
        <v>1</v>
      </c>
      <c r="C121" t="s">
        <v>228</v>
      </c>
      <c r="D121" t="s">
        <v>228</v>
      </c>
      <c r="E121" s="112"/>
      <c r="F121">
        <v>0</v>
      </c>
      <c r="G121">
        <v>3</v>
      </c>
      <c r="H121">
        <v>0</v>
      </c>
      <c r="I121">
        <v>0</v>
      </c>
      <c r="T121">
        <v>9999</v>
      </c>
      <c r="U121" s="110">
        <v>40800</v>
      </c>
    </row>
    <row r="122" spans="1:21">
      <c r="A122">
        <v>123</v>
      </c>
      <c r="B122">
        <v>0</v>
      </c>
      <c r="C122" t="s">
        <v>229</v>
      </c>
      <c r="D122" t="s">
        <v>229</v>
      </c>
      <c r="E122" s="112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0">
        <v>45030.580555555563</v>
      </c>
    </row>
    <row r="123" spans="1:21">
      <c r="A123">
        <v>124</v>
      </c>
      <c r="B123">
        <v>1</v>
      </c>
      <c r="C123" t="s">
        <v>230</v>
      </c>
      <c r="D123" t="s">
        <v>230</v>
      </c>
      <c r="E123" s="112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0">
        <v>42356.578472222223</v>
      </c>
    </row>
    <row r="124" spans="1:21">
      <c r="A124">
        <v>125</v>
      </c>
      <c r="B124">
        <v>1</v>
      </c>
      <c r="C124" t="s">
        <v>231</v>
      </c>
      <c r="D124" t="s">
        <v>231</v>
      </c>
      <c r="E124" s="112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0">
        <v>43252.563194444447</v>
      </c>
    </row>
    <row r="125" spans="1:21">
      <c r="A125">
        <v>126</v>
      </c>
      <c r="B125">
        <v>1</v>
      </c>
      <c r="C125" t="s">
        <v>232</v>
      </c>
      <c r="D125" t="s">
        <v>232</v>
      </c>
      <c r="E125" s="112"/>
      <c r="F125">
        <v>0</v>
      </c>
      <c r="G125">
        <v>3</v>
      </c>
      <c r="H125">
        <v>0</v>
      </c>
      <c r="I125">
        <v>0</v>
      </c>
      <c r="T125">
        <v>9999</v>
      </c>
      <c r="U125" s="110">
        <v>40800</v>
      </c>
    </row>
    <row r="126" spans="1:21">
      <c r="A126">
        <v>127</v>
      </c>
      <c r="B126">
        <v>1</v>
      </c>
      <c r="C126" t="s">
        <v>233</v>
      </c>
      <c r="D126" t="s">
        <v>233</v>
      </c>
      <c r="E126" s="112"/>
      <c r="F126">
        <v>0</v>
      </c>
      <c r="G126">
        <v>3</v>
      </c>
      <c r="H126">
        <v>0</v>
      </c>
      <c r="I126">
        <v>0</v>
      </c>
      <c r="T126">
        <v>9999</v>
      </c>
      <c r="U126" s="110">
        <v>40800</v>
      </c>
    </row>
    <row r="127" spans="1:21">
      <c r="A127">
        <v>128</v>
      </c>
      <c r="B127">
        <v>1</v>
      </c>
      <c r="C127" t="s">
        <v>234</v>
      </c>
      <c r="D127" t="s">
        <v>234</v>
      </c>
      <c r="E127" s="112"/>
      <c r="F127">
        <v>0</v>
      </c>
      <c r="G127">
        <v>3</v>
      </c>
      <c r="H127">
        <v>0</v>
      </c>
      <c r="I127">
        <v>0</v>
      </c>
      <c r="T127">
        <v>9999</v>
      </c>
      <c r="U127" s="110">
        <v>40800</v>
      </c>
    </row>
    <row r="128" spans="1:21">
      <c r="A128">
        <v>129</v>
      </c>
      <c r="B128">
        <v>1</v>
      </c>
      <c r="C128" t="s">
        <v>235</v>
      </c>
      <c r="D128" t="s">
        <v>235</v>
      </c>
      <c r="E128" s="112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0">
        <v>43264.604166666657</v>
      </c>
    </row>
    <row r="129" spans="1:21">
      <c r="A129">
        <v>130</v>
      </c>
      <c r="B129">
        <v>1</v>
      </c>
      <c r="C129" t="s">
        <v>236</v>
      </c>
      <c r="D129" t="s">
        <v>236</v>
      </c>
      <c r="E129" s="112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0">
        <v>42535.40902777778</v>
      </c>
    </row>
    <row r="130" spans="1:21">
      <c r="A130">
        <v>131</v>
      </c>
      <c r="B130">
        <v>1</v>
      </c>
      <c r="C130" t="s">
        <v>237</v>
      </c>
      <c r="D130" t="s">
        <v>237</v>
      </c>
      <c r="E130" s="112"/>
      <c r="F130">
        <v>0</v>
      </c>
      <c r="G130">
        <v>3</v>
      </c>
      <c r="H130">
        <v>0</v>
      </c>
      <c r="I130">
        <v>0</v>
      </c>
      <c r="T130">
        <v>9999</v>
      </c>
      <c r="U130" s="110">
        <v>40800</v>
      </c>
    </row>
    <row r="131" spans="1:21">
      <c r="A131">
        <v>132</v>
      </c>
      <c r="B131">
        <v>1</v>
      </c>
      <c r="C131" t="s">
        <v>238</v>
      </c>
      <c r="D131" t="s">
        <v>238</v>
      </c>
      <c r="E131" s="112"/>
      <c r="F131">
        <v>0</v>
      </c>
      <c r="G131">
        <v>2</v>
      </c>
      <c r="H131">
        <v>0</v>
      </c>
      <c r="I131">
        <v>0</v>
      </c>
      <c r="T131">
        <v>9999</v>
      </c>
      <c r="U131" s="110">
        <v>40800</v>
      </c>
    </row>
    <row r="132" spans="1:21">
      <c r="A132">
        <v>133</v>
      </c>
      <c r="B132">
        <v>1</v>
      </c>
      <c r="C132" t="s">
        <v>239</v>
      </c>
      <c r="D132" t="s">
        <v>239</v>
      </c>
      <c r="E132" s="112"/>
      <c r="F132">
        <v>0</v>
      </c>
      <c r="G132">
        <v>2</v>
      </c>
      <c r="H132">
        <v>2</v>
      </c>
      <c r="I132">
        <v>0</v>
      </c>
      <c r="J132" t="s">
        <v>240</v>
      </c>
      <c r="K132">
        <v>0</v>
      </c>
      <c r="M132">
        <v>0</v>
      </c>
      <c r="O132">
        <v>0</v>
      </c>
      <c r="T132">
        <v>2</v>
      </c>
      <c r="U132" s="110">
        <v>40823.75277777778</v>
      </c>
    </row>
    <row r="133" spans="1:21">
      <c r="A133">
        <v>134</v>
      </c>
      <c r="B133">
        <v>1</v>
      </c>
      <c r="C133" t="s">
        <v>241</v>
      </c>
      <c r="D133" t="s">
        <v>241</v>
      </c>
      <c r="E133" s="112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0">
        <v>42711.476388888892</v>
      </c>
    </row>
    <row r="134" spans="1:21">
      <c r="A134">
        <v>135</v>
      </c>
      <c r="B134">
        <v>1</v>
      </c>
      <c r="C134" t="s">
        <v>242</v>
      </c>
      <c r="D134" t="s">
        <v>242</v>
      </c>
      <c r="E134" s="112"/>
      <c r="F134">
        <v>0</v>
      </c>
      <c r="G134">
        <v>2</v>
      </c>
      <c r="H134">
        <v>0</v>
      </c>
      <c r="I134">
        <v>0</v>
      </c>
      <c r="T134">
        <v>9999</v>
      </c>
      <c r="U134" s="110">
        <v>40800</v>
      </c>
    </row>
    <row r="135" spans="1:21">
      <c r="A135">
        <v>136</v>
      </c>
      <c r="B135">
        <v>1</v>
      </c>
      <c r="C135" t="s">
        <v>243</v>
      </c>
      <c r="D135" t="s">
        <v>243</v>
      </c>
      <c r="E135" s="112"/>
      <c r="F135">
        <v>522</v>
      </c>
      <c r="G135">
        <v>1</v>
      </c>
      <c r="H135">
        <v>2</v>
      </c>
      <c r="I135">
        <v>0</v>
      </c>
      <c r="J135" t="s">
        <v>243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0">
        <v>43665.711111111108</v>
      </c>
    </row>
    <row r="136" spans="1:21">
      <c r="A136">
        <v>137</v>
      </c>
      <c r="B136">
        <v>1</v>
      </c>
      <c r="C136" t="s">
        <v>244</v>
      </c>
      <c r="D136" t="s">
        <v>244</v>
      </c>
      <c r="E136" s="112"/>
      <c r="F136">
        <v>492</v>
      </c>
      <c r="G136">
        <v>1</v>
      </c>
      <c r="H136">
        <v>2</v>
      </c>
      <c r="I136">
        <v>0</v>
      </c>
      <c r="J136" t="s">
        <v>72</v>
      </c>
      <c r="K136">
        <v>1</v>
      </c>
      <c r="L136" t="s">
        <v>140</v>
      </c>
      <c r="M136">
        <v>0</v>
      </c>
      <c r="N136" t="s">
        <v>90</v>
      </c>
      <c r="O136">
        <v>0</v>
      </c>
      <c r="P136" t="s">
        <v>137</v>
      </c>
      <c r="Q136">
        <v>0</v>
      </c>
      <c r="R136" t="s">
        <v>245</v>
      </c>
      <c r="S136">
        <v>0</v>
      </c>
      <c r="T136">
        <v>2</v>
      </c>
      <c r="U136" s="110">
        <v>44216.600694444453</v>
      </c>
    </row>
    <row r="137" spans="1:21">
      <c r="A137">
        <v>138</v>
      </c>
      <c r="B137">
        <v>1</v>
      </c>
      <c r="C137" t="s">
        <v>246</v>
      </c>
      <c r="D137" t="s">
        <v>246</v>
      </c>
      <c r="E137" s="112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0">
        <v>42051.667361111111</v>
      </c>
    </row>
    <row r="138" spans="1:21">
      <c r="A138">
        <v>139</v>
      </c>
      <c r="B138">
        <v>1</v>
      </c>
      <c r="C138" t="s">
        <v>247</v>
      </c>
      <c r="D138" t="s">
        <v>247</v>
      </c>
      <c r="E138" s="112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0">
        <v>42060.472222222219</v>
      </c>
    </row>
    <row r="139" spans="1:21">
      <c r="A139">
        <v>140</v>
      </c>
      <c r="B139">
        <v>1</v>
      </c>
      <c r="C139" t="s">
        <v>248</v>
      </c>
      <c r="D139" t="s">
        <v>248</v>
      </c>
      <c r="E139" s="112"/>
      <c r="F139">
        <v>0</v>
      </c>
      <c r="G139">
        <v>2</v>
      </c>
      <c r="H139">
        <v>0</v>
      </c>
      <c r="I139">
        <v>0</v>
      </c>
      <c r="T139">
        <v>9999</v>
      </c>
      <c r="U139" s="110">
        <v>40800</v>
      </c>
    </row>
    <row r="140" spans="1:21">
      <c r="A140">
        <v>141</v>
      </c>
      <c r="B140">
        <v>1</v>
      </c>
      <c r="C140" t="s">
        <v>249</v>
      </c>
      <c r="D140" t="s">
        <v>249</v>
      </c>
      <c r="E140" s="112"/>
      <c r="F140">
        <v>0</v>
      </c>
      <c r="G140">
        <v>0</v>
      </c>
      <c r="H140">
        <v>2</v>
      </c>
      <c r="I140">
        <v>0</v>
      </c>
      <c r="J140" t="s">
        <v>249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0">
        <v>44998.709722222222</v>
      </c>
    </row>
    <row r="141" spans="1:21">
      <c r="A141">
        <v>142</v>
      </c>
      <c r="B141">
        <v>1</v>
      </c>
      <c r="C141" t="s">
        <v>250</v>
      </c>
      <c r="D141" t="s">
        <v>250</v>
      </c>
      <c r="E141" s="112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0">
        <v>40862.552777777782</v>
      </c>
    </row>
    <row r="142" spans="1:21">
      <c r="A142">
        <v>143</v>
      </c>
      <c r="B142">
        <v>1</v>
      </c>
      <c r="C142" t="s">
        <v>251</v>
      </c>
      <c r="D142" t="s">
        <v>252</v>
      </c>
      <c r="E142" s="112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0">
        <v>41718.542361111111</v>
      </c>
    </row>
    <row r="143" spans="1:21">
      <c r="A143">
        <v>148</v>
      </c>
      <c r="B143">
        <v>1</v>
      </c>
      <c r="C143" t="s">
        <v>253</v>
      </c>
      <c r="D143" t="s">
        <v>253</v>
      </c>
      <c r="E143" s="112"/>
      <c r="F143">
        <v>0</v>
      </c>
      <c r="G143">
        <v>2</v>
      </c>
      <c r="H143">
        <v>0</v>
      </c>
      <c r="I143">
        <v>0</v>
      </c>
      <c r="T143">
        <v>9999</v>
      </c>
      <c r="U143" s="110">
        <v>40800</v>
      </c>
    </row>
    <row r="144" spans="1:21">
      <c r="A144">
        <v>149</v>
      </c>
      <c r="B144">
        <v>1</v>
      </c>
      <c r="C144" t="s">
        <v>254</v>
      </c>
      <c r="D144" t="s">
        <v>254</v>
      </c>
      <c r="E144" s="112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0">
        <v>41829.661111111112</v>
      </c>
    </row>
    <row r="145" spans="1:21">
      <c r="A145">
        <v>150</v>
      </c>
      <c r="B145">
        <v>1</v>
      </c>
      <c r="C145" t="s">
        <v>255</v>
      </c>
      <c r="D145" t="s">
        <v>255</v>
      </c>
      <c r="E145" s="112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0">
        <v>42312.499305555553</v>
      </c>
    </row>
    <row r="146" spans="1:21">
      <c r="A146">
        <v>151</v>
      </c>
      <c r="B146">
        <v>0</v>
      </c>
      <c r="C146" t="s">
        <v>256</v>
      </c>
      <c r="D146" t="s">
        <v>255</v>
      </c>
      <c r="E146" s="112"/>
      <c r="F146">
        <v>0</v>
      </c>
      <c r="G146">
        <v>2</v>
      </c>
      <c r="H146">
        <v>0</v>
      </c>
      <c r="I146">
        <v>0</v>
      </c>
      <c r="T146">
        <v>9999</v>
      </c>
      <c r="U146" s="110">
        <v>40800</v>
      </c>
    </row>
    <row r="147" spans="1:21">
      <c r="A147">
        <v>152</v>
      </c>
      <c r="B147">
        <v>1</v>
      </c>
      <c r="C147" t="s">
        <v>70</v>
      </c>
      <c r="D147" t="s">
        <v>70</v>
      </c>
      <c r="E147" s="112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0">
        <v>42571.453472222223</v>
      </c>
    </row>
    <row r="148" spans="1:21">
      <c r="A148">
        <v>153</v>
      </c>
      <c r="B148">
        <v>0</v>
      </c>
      <c r="C148" t="s">
        <v>257</v>
      </c>
      <c r="D148" t="s">
        <v>255</v>
      </c>
      <c r="E148" s="112"/>
      <c r="F148">
        <v>0</v>
      </c>
      <c r="G148">
        <v>2</v>
      </c>
      <c r="H148">
        <v>0</v>
      </c>
      <c r="I148">
        <v>0</v>
      </c>
      <c r="T148">
        <v>9999</v>
      </c>
      <c r="U148" s="110">
        <v>40800</v>
      </c>
    </row>
    <row r="149" spans="1:21">
      <c r="A149">
        <v>154</v>
      </c>
      <c r="B149">
        <v>0</v>
      </c>
      <c r="C149" t="s">
        <v>258</v>
      </c>
      <c r="D149" t="s">
        <v>255</v>
      </c>
      <c r="E149" s="112"/>
      <c r="F149">
        <v>0</v>
      </c>
      <c r="G149">
        <v>2</v>
      </c>
      <c r="H149">
        <v>0</v>
      </c>
      <c r="I149">
        <v>0</v>
      </c>
      <c r="T149">
        <v>9999</v>
      </c>
      <c r="U149" s="110">
        <v>40800</v>
      </c>
    </row>
    <row r="150" spans="1:21">
      <c r="A150">
        <v>155</v>
      </c>
      <c r="B150">
        <v>0</v>
      </c>
      <c r="C150" t="s">
        <v>259</v>
      </c>
      <c r="D150" t="s">
        <v>255</v>
      </c>
      <c r="E150" s="112"/>
      <c r="F150">
        <v>0</v>
      </c>
      <c r="G150">
        <v>2</v>
      </c>
      <c r="H150">
        <v>0</v>
      </c>
      <c r="I150">
        <v>0</v>
      </c>
      <c r="T150">
        <v>9999</v>
      </c>
      <c r="U150" s="110">
        <v>40800</v>
      </c>
    </row>
    <row r="151" spans="1:21">
      <c r="A151">
        <v>156</v>
      </c>
      <c r="B151">
        <v>0</v>
      </c>
      <c r="C151" t="s">
        <v>260</v>
      </c>
      <c r="D151" t="s">
        <v>261</v>
      </c>
      <c r="E151" s="112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0">
        <v>41829.616666666669</v>
      </c>
    </row>
    <row r="152" spans="1:21">
      <c r="A152">
        <v>157</v>
      </c>
      <c r="B152">
        <v>1</v>
      </c>
      <c r="C152" t="s">
        <v>262</v>
      </c>
      <c r="D152" t="s">
        <v>263</v>
      </c>
      <c r="E152" s="112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0">
        <v>43252.563194444447</v>
      </c>
    </row>
    <row r="153" spans="1:21">
      <c r="A153">
        <v>158</v>
      </c>
      <c r="B153">
        <v>1</v>
      </c>
      <c r="C153" t="s">
        <v>264</v>
      </c>
      <c r="D153" t="s">
        <v>264</v>
      </c>
      <c r="E153" s="112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0">
        <v>43882.459722222222</v>
      </c>
    </row>
    <row r="154" spans="1:21">
      <c r="A154">
        <v>159</v>
      </c>
      <c r="B154">
        <v>1</v>
      </c>
      <c r="C154" t="s">
        <v>265</v>
      </c>
      <c r="D154" t="s">
        <v>265</v>
      </c>
      <c r="E154" s="112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0">
        <v>43252.563194444447</v>
      </c>
    </row>
    <row r="155" spans="1:21">
      <c r="A155">
        <v>160</v>
      </c>
      <c r="B155">
        <v>1</v>
      </c>
      <c r="C155" t="s">
        <v>266</v>
      </c>
      <c r="D155" t="s">
        <v>267</v>
      </c>
      <c r="E155" s="112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0">
        <v>42202.553472222222</v>
      </c>
    </row>
    <row r="156" spans="1:21">
      <c r="A156">
        <v>161</v>
      </c>
      <c r="B156">
        <v>0</v>
      </c>
      <c r="C156" t="s">
        <v>268</v>
      </c>
      <c r="D156" t="s">
        <v>269</v>
      </c>
      <c r="E156" s="112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0">
        <v>42202.545138888891</v>
      </c>
    </row>
    <row r="157" spans="1:21">
      <c r="A157">
        <v>162</v>
      </c>
      <c r="B157">
        <v>1</v>
      </c>
      <c r="C157" t="s">
        <v>270</v>
      </c>
      <c r="D157" t="s">
        <v>270</v>
      </c>
      <c r="E157" s="112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0">
        <v>45226.445138888892</v>
      </c>
    </row>
    <row r="158" spans="1:21">
      <c r="A158">
        <v>163</v>
      </c>
      <c r="B158">
        <v>0</v>
      </c>
      <c r="C158" t="s">
        <v>271</v>
      </c>
      <c r="D158" t="s">
        <v>269</v>
      </c>
      <c r="E158" s="112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0">
        <v>42202.545138888891</v>
      </c>
    </row>
    <row r="159" spans="1:21">
      <c r="A159">
        <v>164</v>
      </c>
      <c r="B159">
        <v>1</v>
      </c>
      <c r="C159" t="s">
        <v>272</v>
      </c>
      <c r="D159" t="s">
        <v>272</v>
      </c>
      <c r="E159" s="112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0">
        <v>42202.545138888891</v>
      </c>
    </row>
    <row r="160" spans="1:21">
      <c r="A160">
        <v>165</v>
      </c>
      <c r="B160">
        <v>0</v>
      </c>
      <c r="C160" t="s">
        <v>273</v>
      </c>
      <c r="D160" t="s">
        <v>269</v>
      </c>
      <c r="E160" s="112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0">
        <v>42202.54583333333</v>
      </c>
    </row>
    <row r="161" spans="1:21">
      <c r="A161">
        <v>166</v>
      </c>
      <c r="B161">
        <v>1</v>
      </c>
      <c r="C161" t="s">
        <v>274</v>
      </c>
      <c r="D161" t="s">
        <v>275</v>
      </c>
      <c r="E161" s="112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0">
        <v>42202.54583333333</v>
      </c>
    </row>
    <row r="162" spans="1:21">
      <c r="A162">
        <v>167</v>
      </c>
      <c r="B162">
        <v>1</v>
      </c>
      <c r="C162" t="s">
        <v>17</v>
      </c>
      <c r="D162" t="s">
        <v>17</v>
      </c>
      <c r="E162" s="112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0">
        <v>42291.458333333343</v>
      </c>
    </row>
    <row r="163" spans="1:21">
      <c r="A163">
        <v>168</v>
      </c>
      <c r="B163">
        <v>1</v>
      </c>
      <c r="C163" t="s">
        <v>276</v>
      </c>
      <c r="D163" t="s">
        <v>276</v>
      </c>
      <c r="E163" s="112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0">
        <v>45581.530555555553</v>
      </c>
    </row>
    <row r="164" spans="1:21">
      <c r="A164">
        <v>169</v>
      </c>
      <c r="B164">
        <v>1</v>
      </c>
      <c r="C164" t="s">
        <v>277</v>
      </c>
      <c r="D164" t="s">
        <v>278</v>
      </c>
      <c r="E164" s="112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0">
        <v>43010.552083333343</v>
      </c>
    </row>
    <row r="165" spans="1:21">
      <c r="A165">
        <v>170</v>
      </c>
      <c r="B165">
        <v>0</v>
      </c>
      <c r="C165" t="s">
        <v>279</v>
      </c>
      <c r="D165" t="s">
        <v>269</v>
      </c>
      <c r="E165" s="112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0">
        <v>42202.54583333333</v>
      </c>
    </row>
    <row r="166" spans="1:21">
      <c r="A166">
        <v>171</v>
      </c>
      <c r="B166">
        <v>1</v>
      </c>
      <c r="C166" t="s">
        <v>126</v>
      </c>
      <c r="D166" t="s">
        <v>280</v>
      </c>
      <c r="E166" s="112"/>
      <c r="F166">
        <v>0</v>
      </c>
      <c r="G166">
        <v>1</v>
      </c>
      <c r="H166">
        <v>2</v>
      </c>
      <c r="I166">
        <v>0</v>
      </c>
      <c r="J166" t="s">
        <v>72</v>
      </c>
      <c r="K166">
        <v>1</v>
      </c>
      <c r="L166" t="s">
        <v>127</v>
      </c>
      <c r="M166">
        <v>1</v>
      </c>
      <c r="N166" t="s">
        <v>90</v>
      </c>
      <c r="O166">
        <v>0</v>
      </c>
      <c r="Q166">
        <v>0</v>
      </c>
      <c r="S166">
        <v>0</v>
      </c>
      <c r="T166">
        <v>2</v>
      </c>
      <c r="U166" s="110">
        <v>43269.609027777777</v>
      </c>
    </row>
    <row r="167" spans="1:21">
      <c r="A167">
        <v>172</v>
      </c>
      <c r="B167">
        <v>0</v>
      </c>
      <c r="C167" t="s">
        <v>281</v>
      </c>
      <c r="D167" t="s">
        <v>269</v>
      </c>
      <c r="E167" s="112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0">
        <v>42202.54583333333</v>
      </c>
    </row>
    <row r="168" spans="1:21">
      <c r="A168">
        <v>173</v>
      </c>
      <c r="B168">
        <v>1</v>
      </c>
      <c r="C168" t="s">
        <v>282</v>
      </c>
      <c r="D168" t="s">
        <v>283</v>
      </c>
      <c r="E168" s="112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0">
        <v>42202.54583333333</v>
      </c>
    </row>
    <row r="169" spans="1:21">
      <c r="A169">
        <v>174</v>
      </c>
      <c r="B169">
        <v>0</v>
      </c>
      <c r="C169" t="s">
        <v>284</v>
      </c>
      <c r="D169" t="s">
        <v>269</v>
      </c>
      <c r="E169" s="112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0">
        <v>42202.546527777777</v>
      </c>
    </row>
    <row r="170" spans="1:21">
      <c r="A170">
        <v>175</v>
      </c>
      <c r="B170">
        <v>1</v>
      </c>
      <c r="C170" t="s">
        <v>285</v>
      </c>
      <c r="D170" t="s">
        <v>286</v>
      </c>
      <c r="E170" s="112"/>
      <c r="F170">
        <v>191</v>
      </c>
      <c r="G170">
        <v>1</v>
      </c>
      <c r="H170">
        <v>2</v>
      </c>
      <c r="I170">
        <v>0</v>
      </c>
      <c r="J170" t="s">
        <v>286</v>
      </c>
      <c r="K170">
        <v>0</v>
      </c>
      <c r="L170" t="s">
        <v>90</v>
      </c>
      <c r="M170">
        <v>0</v>
      </c>
      <c r="O170">
        <v>0</v>
      </c>
      <c r="Q170">
        <v>0</v>
      </c>
      <c r="S170">
        <v>0</v>
      </c>
      <c r="T170">
        <v>2</v>
      </c>
      <c r="U170" s="110">
        <v>42634.438888888893</v>
      </c>
    </row>
    <row r="171" spans="1:21">
      <c r="A171">
        <v>176</v>
      </c>
      <c r="B171">
        <v>1</v>
      </c>
      <c r="C171" t="s">
        <v>287</v>
      </c>
      <c r="D171" t="s">
        <v>288</v>
      </c>
      <c r="E171" s="112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0">
        <v>42202.546527777777</v>
      </c>
    </row>
    <row r="172" spans="1:21">
      <c r="A172">
        <v>177</v>
      </c>
      <c r="B172">
        <v>0</v>
      </c>
      <c r="C172" t="s">
        <v>289</v>
      </c>
      <c r="D172" t="s">
        <v>288</v>
      </c>
      <c r="E172" s="112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0">
        <v>42202.546527777777</v>
      </c>
    </row>
    <row r="173" spans="1:21">
      <c r="A173">
        <v>178</v>
      </c>
      <c r="B173">
        <v>0</v>
      </c>
      <c r="C173" t="s">
        <v>290</v>
      </c>
      <c r="D173" t="s">
        <v>288</v>
      </c>
      <c r="E173" s="112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0">
        <v>42202.546527777777</v>
      </c>
    </row>
    <row r="174" spans="1:21">
      <c r="A174">
        <v>179</v>
      </c>
      <c r="B174">
        <v>0</v>
      </c>
      <c r="C174" t="s">
        <v>291</v>
      </c>
      <c r="D174" t="s">
        <v>288</v>
      </c>
      <c r="E174" s="112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0">
        <v>42202.546527777777</v>
      </c>
    </row>
    <row r="175" spans="1:21">
      <c r="A175">
        <v>180</v>
      </c>
      <c r="B175">
        <v>0</v>
      </c>
      <c r="C175" t="s">
        <v>292</v>
      </c>
      <c r="D175" t="s">
        <v>288</v>
      </c>
      <c r="E175" s="112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0">
        <v>42202.546527777777</v>
      </c>
    </row>
    <row r="176" spans="1:21">
      <c r="A176">
        <v>181</v>
      </c>
      <c r="B176">
        <v>0</v>
      </c>
      <c r="C176" t="s">
        <v>293</v>
      </c>
      <c r="D176" t="s">
        <v>288</v>
      </c>
      <c r="E176" s="112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0">
        <v>42202.546527777777</v>
      </c>
    </row>
    <row r="177" spans="1:21">
      <c r="A177">
        <v>182</v>
      </c>
      <c r="B177">
        <v>0</v>
      </c>
      <c r="C177" t="s">
        <v>294</v>
      </c>
      <c r="D177" t="s">
        <v>288</v>
      </c>
      <c r="E177" s="112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0">
        <v>42202.546527777777</v>
      </c>
    </row>
    <row r="178" spans="1:21">
      <c r="A178">
        <v>183</v>
      </c>
      <c r="B178">
        <v>0</v>
      </c>
      <c r="C178" t="s">
        <v>295</v>
      </c>
      <c r="D178" t="s">
        <v>288</v>
      </c>
      <c r="E178" s="112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0">
        <v>42202.546527777777</v>
      </c>
    </row>
    <row r="179" spans="1:21">
      <c r="A179">
        <v>184</v>
      </c>
      <c r="B179">
        <v>0</v>
      </c>
      <c r="C179" t="s">
        <v>296</v>
      </c>
      <c r="D179" t="s">
        <v>288</v>
      </c>
      <c r="E179" s="112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0">
        <v>42298.729861111111</v>
      </c>
    </row>
    <row r="180" spans="1:21">
      <c r="A180">
        <v>185</v>
      </c>
      <c r="B180">
        <v>0</v>
      </c>
      <c r="C180" t="s">
        <v>297</v>
      </c>
      <c r="D180" t="s">
        <v>288</v>
      </c>
      <c r="E180" s="112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0">
        <v>42202.546527777777</v>
      </c>
    </row>
    <row r="181" spans="1:21">
      <c r="A181">
        <v>186</v>
      </c>
      <c r="B181">
        <v>0</v>
      </c>
      <c r="C181" t="s">
        <v>298</v>
      </c>
      <c r="D181" t="s">
        <v>288</v>
      </c>
      <c r="E181" s="112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0">
        <v>42202.546527777777</v>
      </c>
    </row>
    <row r="182" spans="1:21">
      <c r="A182">
        <v>187</v>
      </c>
      <c r="B182">
        <v>1</v>
      </c>
      <c r="C182" t="s">
        <v>299</v>
      </c>
      <c r="D182" t="s">
        <v>300</v>
      </c>
      <c r="E182" s="112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0">
        <v>42570.57708333333</v>
      </c>
    </row>
    <row r="183" spans="1:21">
      <c r="A183">
        <v>188</v>
      </c>
      <c r="B183">
        <v>1</v>
      </c>
      <c r="C183" t="s">
        <v>301</v>
      </c>
      <c r="D183" t="s">
        <v>302</v>
      </c>
      <c r="E183" s="112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0">
        <v>42291.458333333343</v>
      </c>
    </row>
    <row r="184" spans="1:21">
      <c r="A184">
        <v>189</v>
      </c>
      <c r="B184">
        <v>0</v>
      </c>
      <c r="C184" t="s">
        <v>303</v>
      </c>
      <c r="D184" t="s">
        <v>288</v>
      </c>
      <c r="E184" s="112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0">
        <v>42202.547222222223</v>
      </c>
    </row>
    <row r="185" spans="1:21">
      <c r="A185">
        <v>190</v>
      </c>
      <c r="B185">
        <v>0</v>
      </c>
      <c r="C185" t="s">
        <v>304</v>
      </c>
      <c r="D185" t="s">
        <v>288</v>
      </c>
      <c r="E185" s="112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0">
        <v>42202.547222222223</v>
      </c>
    </row>
    <row r="186" spans="1:21">
      <c r="A186">
        <v>191</v>
      </c>
      <c r="B186">
        <v>0</v>
      </c>
      <c r="C186" t="s">
        <v>305</v>
      </c>
      <c r="D186" t="s">
        <v>305</v>
      </c>
      <c r="E186" s="112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0">
        <v>42639.6</v>
      </c>
    </row>
    <row r="187" spans="1:21">
      <c r="A187">
        <v>192</v>
      </c>
      <c r="B187">
        <v>1</v>
      </c>
      <c r="C187" t="s">
        <v>306</v>
      </c>
      <c r="D187" t="s">
        <v>306</v>
      </c>
      <c r="E187" s="112"/>
      <c r="F187">
        <v>0</v>
      </c>
      <c r="G187">
        <v>1</v>
      </c>
      <c r="H187">
        <v>1</v>
      </c>
      <c r="I187">
        <v>0</v>
      </c>
      <c r="J187" t="s">
        <v>307</v>
      </c>
      <c r="K187">
        <v>0</v>
      </c>
      <c r="L187" t="s">
        <v>308</v>
      </c>
      <c r="M187">
        <v>0</v>
      </c>
      <c r="N187" t="s">
        <v>309</v>
      </c>
      <c r="O187">
        <v>0</v>
      </c>
      <c r="Q187">
        <v>0</v>
      </c>
      <c r="S187">
        <v>0</v>
      </c>
      <c r="T187">
        <v>2</v>
      </c>
      <c r="U187" s="110">
        <v>42202.547222222223</v>
      </c>
    </row>
    <row r="188" spans="1:21">
      <c r="A188">
        <v>193</v>
      </c>
      <c r="B188">
        <v>1</v>
      </c>
      <c r="C188" t="s">
        <v>310</v>
      </c>
      <c r="D188" t="s">
        <v>310</v>
      </c>
      <c r="E188" s="112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0">
        <v>42202.547222222223</v>
      </c>
    </row>
    <row r="189" spans="1:21">
      <c r="A189">
        <v>194</v>
      </c>
      <c r="B189">
        <v>1</v>
      </c>
      <c r="C189" t="s">
        <v>311</v>
      </c>
      <c r="D189" t="s">
        <v>311</v>
      </c>
      <c r="E189" s="112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0">
        <v>41936.684027777781</v>
      </c>
    </row>
    <row r="190" spans="1:21">
      <c r="A190">
        <v>195</v>
      </c>
      <c r="B190">
        <v>1</v>
      </c>
      <c r="C190" t="s">
        <v>312</v>
      </c>
      <c r="D190" t="s">
        <v>312</v>
      </c>
      <c r="E190" s="112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0">
        <v>42233.490277777782</v>
      </c>
    </row>
    <row r="191" spans="1:21">
      <c r="A191">
        <v>196</v>
      </c>
      <c r="B191">
        <v>1</v>
      </c>
      <c r="C191" t="s">
        <v>313</v>
      </c>
      <c r="D191" t="s">
        <v>313</v>
      </c>
      <c r="E191" s="112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0">
        <v>40864.594444444447</v>
      </c>
    </row>
    <row r="192" spans="1:21">
      <c r="A192">
        <v>197</v>
      </c>
      <c r="B192">
        <v>1</v>
      </c>
      <c r="C192" t="s">
        <v>314</v>
      </c>
      <c r="D192" t="s">
        <v>314</v>
      </c>
      <c r="E192" s="112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0">
        <v>40876.540277777778</v>
      </c>
    </row>
    <row r="193" spans="1:21">
      <c r="A193">
        <v>198</v>
      </c>
      <c r="B193">
        <v>1</v>
      </c>
      <c r="C193" t="s">
        <v>315</v>
      </c>
      <c r="D193" t="s">
        <v>315</v>
      </c>
      <c r="E193" s="112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0">
        <v>40897.466666666667</v>
      </c>
    </row>
    <row r="194" spans="1:21">
      <c r="A194">
        <v>199</v>
      </c>
      <c r="B194">
        <v>1</v>
      </c>
      <c r="C194" t="s">
        <v>316</v>
      </c>
      <c r="D194" t="s">
        <v>317</v>
      </c>
      <c r="E194" s="113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0">
        <v>43516.615972222222</v>
      </c>
    </row>
    <row r="195" spans="1:21">
      <c r="A195">
        <v>200</v>
      </c>
      <c r="B195">
        <v>1</v>
      </c>
      <c r="C195" t="s">
        <v>82</v>
      </c>
      <c r="D195" t="s">
        <v>82</v>
      </c>
      <c r="E195" s="112"/>
      <c r="F195">
        <v>0</v>
      </c>
      <c r="G195">
        <v>2</v>
      </c>
      <c r="H195">
        <v>2</v>
      </c>
      <c r="I195">
        <v>0</v>
      </c>
      <c r="J195" t="s">
        <v>72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0">
        <v>45397.655555555553</v>
      </c>
    </row>
    <row r="196" spans="1:21">
      <c r="A196">
        <v>201</v>
      </c>
      <c r="B196">
        <v>2</v>
      </c>
      <c r="C196" t="s">
        <v>318</v>
      </c>
      <c r="D196" t="s">
        <v>318</v>
      </c>
      <c r="E196" s="112"/>
      <c r="F196">
        <v>0</v>
      </c>
      <c r="G196">
        <v>2</v>
      </c>
      <c r="H196">
        <v>2</v>
      </c>
      <c r="I196">
        <v>0</v>
      </c>
      <c r="J196" t="s">
        <v>319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0">
        <v>41814.681944444441</v>
      </c>
    </row>
    <row r="197" spans="1:21">
      <c r="A197">
        <v>202</v>
      </c>
      <c r="B197">
        <v>2</v>
      </c>
      <c r="C197" t="s">
        <v>320</v>
      </c>
      <c r="D197" t="s">
        <v>320</v>
      </c>
      <c r="E197" s="112"/>
      <c r="F197">
        <v>0</v>
      </c>
      <c r="G197">
        <v>2</v>
      </c>
      <c r="H197">
        <v>2</v>
      </c>
      <c r="I197">
        <v>0</v>
      </c>
      <c r="J197" t="s">
        <v>321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0">
        <v>45259.643750000003</v>
      </c>
    </row>
    <row r="198" spans="1:21">
      <c r="A198">
        <v>203</v>
      </c>
      <c r="B198">
        <v>2</v>
      </c>
      <c r="C198" t="s">
        <v>322</v>
      </c>
      <c r="D198" t="s">
        <v>322</v>
      </c>
      <c r="E198" s="112"/>
      <c r="F198">
        <v>0</v>
      </c>
      <c r="G198">
        <v>2</v>
      </c>
      <c r="H198">
        <v>2</v>
      </c>
      <c r="I198">
        <v>0</v>
      </c>
      <c r="J198" t="s">
        <v>322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0">
        <v>45259.643055555563</v>
      </c>
    </row>
    <row r="199" spans="1:21">
      <c r="A199">
        <v>204</v>
      </c>
      <c r="B199">
        <v>2</v>
      </c>
      <c r="C199" t="s">
        <v>323</v>
      </c>
      <c r="D199" t="s">
        <v>323</v>
      </c>
      <c r="E199" s="112"/>
      <c r="F199">
        <v>0</v>
      </c>
      <c r="G199">
        <v>2</v>
      </c>
      <c r="H199">
        <v>2</v>
      </c>
      <c r="I199">
        <v>0</v>
      </c>
      <c r="J199" t="s">
        <v>323</v>
      </c>
      <c r="K199">
        <v>0</v>
      </c>
      <c r="M199">
        <v>0</v>
      </c>
      <c r="O199">
        <v>0</v>
      </c>
      <c r="T199">
        <v>2</v>
      </c>
      <c r="U199" s="110">
        <v>40827.634027777778</v>
      </c>
    </row>
    <row r="200" spans="1:21">
      <c r="A200">
        <v>205</v>
      </c>
      <c r="B200">
        <v>2</v>
      </c>
      <c r="C200" t="s">
        <v>324</v>
      </c>
      <c r="D200" t="s">
        <v>324</v>
      </c>
      <c r="E200" s="112"/>
      <c r="F200">
        <v>0</v>
      </c>
      <c r="G200">
        <v>2</v>
      </c>
      <c r="H200">
        <v>2</v>
      </c>
      <c r="I200">
        <v>0</v>
      </c>
      <c r="J200" t="s">
        <v>324</v>
      </c>
      <c r="K200">
        <v>0</v>
      </c>
      <c r="M200">
        <v>0</v>
      </c>
      <c r="O200">
        <v>0</v>
      </c>
      <c r="T200">
        <v>2</v>
      </c>
      <c r="U200" s="110">
        <v>40827.634027777778</v>
      </c>
    </row>
    <row r="201" spans="1:21">
      <c r="A201">
        <v>206</v>
      </c>
      <c r="B201">
        <v>2</v>
      </c>
      <c r="C201" t="s">
        <v>325</v>
      </c>
      <c r="D201" t="s">
        <v>325</v>
      </c>
      <c r="E201" s="112"/>
      <c r="F201">
        <v>0</v>
      </c>
      <c r="G201">
        <v>2</v>
      </c>
      <c r="H201">
        <v>2</v>
      </c>
      <c r="I201">
        <v>0</v>
      </c>
      <c r="J201" t="s">
        <v>326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0">
        <v>40882.493750000001</v>
      </c>
    </row>
    <row r="202" spans="1:21">
      <c r="A202">
        <v>207</v>
      </c>
      <c r="B202">
        <v>2</v>
      </c>
      <c r="C202" t="s">
        <v>327</v>
      </c>
      <c r="D202" t="s">
        <v>327</v>
      </c>
      <c r="E202" s="112"/>
      <c r="F202">
        <v>0</v>
      </c>
      <c r="G202">
        <v>2</v>
      </c>
      <c r="H202">
        <v>2</v>
      </c>
      <c r="I202">
        <v>0</v>
      </c>
      <c r="J202" t="s">
        <v>326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0">
        <v>45628.588194444441</v>
      </c>
    </row>
    <row r="203" spans="1:21">
      <c r="A203">
        <v>208</v>
      </c>
      <c r="B203">
        <v>2</v>
      </c>
      <c r="C203" t="s">
        <v>328</v>
      </c>
      <c r="D203" t="s">
        <v>328</v>
      </c>
      <c r="E203" s="112"/>
      <c r="F203">
        <v>0</v>
      </c>
      <c r="G203">
        <v>2</v>
      </c>
      <c r="H203">
        <v>2</v>
      </c>
      <c r="I203">
        <v>0</v>
      </c>
      <c r="J203" t="s">
        <v>326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0">
        <v>40882.493750000001</v>
      </c>
    </row>
    <row r="204" spans="1:21">
      <c r="A204">
        <v>209</v>
      </c>
      <c r="B204">
        <v>2</v>
      </c>
      <c r="C204" t="s">
        <v>329</v>
      </c>
      <c r="D204" t="s">
        <v>329</v>
      </c>
      <c r="E204" s="112"/>
      <c r="F204">
        <v>0</v>
      </c>
      <c r="G204">
        <v>2</v>
      </c>
      <c r="H204">
        <v>2</v>
      </c>
      <c r="I204">
        <v>0</v>
      </c>
      <c r="J204" t="s">
        <v>326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0">
        <v>40882.493750000001</v>
      </c>
    </row>
    <row r="205" spans="1:21">
      <c r="A205">
        <v>210</v>
      </c>
      <c r="B205">
        <v>2</v>
      </c>
      <c r="C205" t="s">
        <v>330</v>
      </c>
      <c r="D205" t="s">
        <v>330</v>
      </c>
      <c r="E205" s="112"/>
      <c r="F205">
        <v>0</v>
      </c>
      <c r="G205">
        <v>2</v>
      </c>
      <c r="H205">
        <v>2</v>
      </c>
      <c r="I205">
        <v>0</v>
      </c>
      <c r="J205" t="s">
        <v>326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0">
        <v>43265.692361111112</v>
      </c>
    </row>
    <row r="206" spans="1:21">
      <c r="A206">
        <v>211</v>
      </c>
      <c r="B206">
        <v>2</v>
      </c>
      <c r="C206" t="s">
        <v>331</v>
      </c>
      <c r="D206" t="s">
        <v>331</v>
      </c>
      <c r="E206" s="112"/>
      <c r="F206">
        <v>0</v>
      </c>
      <c r="G206">
        <v>2</v>
      </c>
      <c r="H206">
        <v>2</v>
      </c>
      <c r="I206">
        <v>0</v>
      </c>
      <c r="J206" t="s">
        <v>326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0">
        <v>43265.693055555559</v>
      </c>
    </row>
    <row r="207" spans="1:21">
      <c r="A207">
        <v>212</v>
      </c>
      <c r="B207">
        <v>2</v>
      </c>
      <c r="C207" t="s">
        <v>332</v>
      </c>
      <c r="D207" t="s">
        <v>333</v>
      </c>
      <c r="E207" s="112"/>
      <c r="F207">
        <v>0</v>
      </c>
      <c r="G207">
        <v>2</v>
      </c>
      <c r="H207">
        <v>2</v>
      </c>
      <c r="I207">
        <v>0</v>
      </c>
      <c r="J207" t="s">
        <v>326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0">
        <v>43265.693055555559</v>
      </c>
    </row>
    <row r="208" spans="1:21">
      <c r="A208">
        <v>213</v>
      </c>
      <c r="B208">
        <v>2</v>
      </c>
      <c r="C208" t="s">
        <v>334</v>
      </c>
      <c r="D208" t="s">
        <v>334</v>
      </c>
      <c r="E208" s="112"/>
      <c r="F208">
        <v>0</v>
      </c>
      <c r="G208">
        <v>2</v>
      </c>
      <c r="H208">
        <v>2</v>
      </c>
      <c r="I208">
        <v>0</v>
      </c>
      <c r="J208" t="s">
        <v>334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0">
        <v>40833.695138888892</v>
      </c>
    </row>
    <row r="209" spans="1:21">
      <c r="A209">
        <v>214</v>
      </c>
      <c r="B209">
        <v>2</v>
      </c>
      <c r="C209" t="s">
        <v>274</v>
      </c>
      <c r="D209" t="s">
        <v>274</v>
      </c>
      <c r="E209" s="112"/>
      <c r="F209">
        <v>0</v>
      </c>
      <c r="G209">
        <v>2</v>
      </c>
      <c r="H209">
        <v>2</v>
      </c>
      <c r="I209">
        <v>0</v>
      </c>
      <c r="J209" t="s">
        <v>274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0">
        <v>40833.695833333331</v>
      </c>
    </row>
    <row r="210" spans="1:21">
      <c r="A210">
        <v>215</v>
      </c>
      <c r="B210">
        <v>2</v>
      </c>
      <c r="C210" t="s">
        <v>335</v>
      </c>
      <c r="D210" t="s">
        <v>335</v>
      </c>
      <c r="E210" s="112"/>
      <c r="F210">
        <v>0</v>
      </c>
      <c r="G210">
        <v>2</v>
      </c>
      <c r="H210">
        <v>2</v>
      </c>
      <c r="I210">
        <v>0</v>
      </c>
      <c r="J210" t="s">
        <v>335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0">
        <v>40833.695833333331</v>
      </c>
    </row>
    <row r="211" spans="1:21">
      <c r="A211">
        <v>216</v>
      </c>
      <c r="B211">
        <v>2</v>
      </c>
      <c r="C211" t="s">
        <v>336</v>
      </c>
      <c r="D211" t="s">
        <v>336</v>
      </c>
      <c r="E211" s="112"/>
      <c r="F211">
        <v>0</v>
      </c>
      <c r="G211">
        <v>2</v>
      </c>
      <c r="H211">
        <v>2</v>
      </c>
      <c r="I211">
        <v>0</v>
      </c>
      <c r="J211" t="s">
        <v>336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0">
        <v>40844.736805555563</v>
      </c>
    </row>
    <row r="212" spans="1:21">
      <c r="A212">
        <v>217</v>
      </c>
      <c r="B212">
        <v>2</v>
      </c>
      <c r="C212" t="s">
        <v>337</v>
      </c>
      <c r="D212" t="s">
        <v>338</v>
      </c>
      <c r="E212" s="112"/>
      <c r="F212">
        <v>0</v>
      </c>
      <c r="G212">
        <v>2</v>
      </c>
      <c r="H212">
        <v>2</v>
      </c>
      <c r="I212">
        <v>0</v>
      </c>
      <c r="J212" t="s">
        <v>338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0">
        <v>40862.727777777778</v>
      </c>
    </row>
    <row r="213" spans="1:21">
      <c r="A213">
        <v>218</v>
      </c>
      <c r="B213">
        <v>2</v>
      </c>
      <c r="C213" t="s">
        <v>337</v>
      </c>
      <c r="D213" t="s">
        <v>239</v>
      </c>
      <c r="E213" s="112"/>
      <c r="F213">
        <v>0</v>
      </c>
      <c r="G213">
        <v>2</v>
      </c>
      <c r="H213">
        <v>2</v>
      </c>
      <c r="I213">
        <v>0</v>
      </c>
      <c r="J213" t="s">
        <v>239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0">
        <v>40862.728472222218</v>
      </c>
    </row>
    <row r="214" spans="1:21">
      <c r="A214">
        <v>219</v>
      </c>
      <c r="B214">
        <v>2</v>
      </c>
      <c r="C214" t="s">
        <v>249</v>
      </c>
      <c r="D214" t="s">
        <v>339</v>
      </c>
      <c r="E214" s="112"/>
      <c r="F214">
        <v>0</v>
      </c>
      <c r="G214">
        <v>2</v>
      </c>
      <c r="H214">
        <v>2</v>
      </c>
      <c r="I214">
        <v>0</v>
      </c>
      <c r="J214" t="s">
        <v>339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0">
        <v>45692.509027777778</v>
      </c>
    </row>
    <row r="215" spans="1:21">
      <c r="A215">
        <v>220</v>
      </c>
      <c r="B215">
        <v>2</v>
      </c>
      <c r="C215" t="s">
        <v>90</v>
      </c>
      <c r="D215" t="s">
        <v>90</v>
      </c>
      <c r="E215" s="112"/>
      <c r="F215">
        <v>0</v>
      </c>
      <c r="G215">
        <v>2</v>
      </c>
      <c r="H215">
        <v>2</v>
      </c>
      <c r="I215">
        <v>0</v>
      </c>
      <c r="J215" t="s">
        <v>90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0">
        <v>40833.696527777778</v>
      </c>
    </row>
    <row r="216" spans="1:21">
      <c r="A216">
        <v>221</v>
      </c>
      <c r="B216">
        <v>2</v>
      </c>
      <c r="C216" t="s">
        <v>137</v>
      </c>
      <c r="D216" t="s">
        <v>137</v>
      </c>
      <c r="E216" s="112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0">
        <v>42662.68472222222</v>
      </c>
    </row>
    <row r="217" spans="1:21">
      <c r="A217">
        <v>222</v>
      </c>
      <c r="B217">
        <v>2</v>
      </c>
      <c r="C217" t="s">
        <v>340</v>
      </c>
      <c r="D217" t="s">
        <v>341</v>
      </c>
      <c r="E217" s="112"/>
      <c r="F217">
        <v>0</v>
      </c>
      <c r="G217">
        <v>2</v>
      </c>
      <c r="H217">
        <v>2</v>
      </c>
      <c r="I217">
        <v>0</v>
      </c>
      <c r="J217" t="s">
        <v>341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0">
        <v>44533.520833333343</v>
      </c>
    </row>
    <row r="218" spans="1:21">
      <c r="A218">
        <v>223</v>
      </c>
      <c r="B218">
        <v>2</v>
      </c>
      <c r="C218" t="s">
        <v>342</v>
      </c>
      <c r="D218" t="s">
        <v>342</v>
      </c>
      <c r="E218" s="112"/>
      <c r="F218">
        <v>0</v>
      </c>
      <c r="G218">
        <v>2</v>
      </c>
      <c r="H218">
        <v>2</v>
      </c>
      <c r="I218">
        <v>0</v>
      </c>
      <c r="J218" t="s">
        <v>342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0">
        <v>41241.449999999997</v>
      </c>
    </row>
    <row r="219" spans="1:21">
      <c r="A219">
        <v>225</v>
      </c>
      <c r="B219">
        <v>2</v>
      </c>
      <c r="C219" t="s">
        <v>140</v>
      </c>
      <c r="D219" t="s">
        <v>140</v>
      </c>
      <c r="E219" s="112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110">
        <v>45033.597222222219</v>
      </c>
    </row>
    <row r="220" spans="1:21">
      <c r="A220">
        <v>226</v>
      </c>
      <c r="B220">
        <v>2</v>
      </c>
      <c r="D220" t="s">
        <v>343</v>
      </c>
      <c r="E220" s="112"/>
      <c r="F220">
        <v>0</v>
      </c>
      <c r="G220">
        <v>2</v>
      </c>
      <c r="H220">
        <v>2</v>
      </c>
      <c r="I220">
        <v>0</v>
      </c>
      <c r="J220" t="s">
        <v>344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0">
        <v>41059.632638888892</v>
      </c>
    </row>
    <row r="221" spans="1:21">
      <c r="A221">
        <v>227</v>
      </c>
      <c r="B221">
        <v>2</v>
      </c>
      <c r="C221" t="s">
        <v>345</v>
      </c>
      <c r="D221" t="s">
        <v>345</v>
      </c>
      <c r="E221" s="112"/>
      <c r="F221">
        <v>0</v>
      </c>
      <c r="G221">
        <v>2</v>
      </c>
      <c r="H221">
        <v>2</v>
      </c>
      <c r="I221">
        <v>0</v>
      </c>
      <c r="J221" t="s">
        <v>345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0">
        <v>41929.679166666669</v>
      </c>
    </row>
    <row r="222" spans="1:21">
      <c r="A222">
        <v>229</v>
      </c>
      <c r="B222">
        <v>0</v>
      </c>
      <c r="C222" t="s">
        <v>180</v>
      </c>
      <c r="E222" s="112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0">
        <v>41212.490277777782</v>
      </c>
    </row>
    <row r="223" spans="1:21">
      <c r="A223">
        <v>230</v>
      </c>
      <c r="B223">
        <v>1</v>
      </c>
      <c r="C223" t="s">
        <v>346</v>
      </c>
      <c r="D223" t="s">
        <v>346</v>
      </c>
      <c r="E223" s="112"/>
      <c r="F223">
        <v>0</v>
      </c>
      <c r="G223">
        <v>3</v>
      </c>
      <c r="H223">
        <v>2</v>
      </c>
      <c r="I223">
        <v>0</v>
      </c>
      <c r="J223" t="s">
        <v>347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0">
        <v>44943.676388888889</v>
      </c>
    </row>
    <row r="224" spans="1:21">
      <c r="A224">
        <v>231</v>
      </c>
      <c r="B224">
        <v>1</v>
      </c>
      <c r="C224" t="s">
        <v>348</v>
      </c>
      <c r="D224" t="s">
        <v>348</v>
      </c>
      <c r="E224" s="112"/>
      <c r="F224">
        <v>0</v>
      </c>
      <c r="G224">
        <v>3</v>
      </c>
      <c r="H224">
        <v>2</v>
      </c>
      <c r="I224">
        <v>0</v>
      </c>
      <c r="J224" t="s">
        <v>349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0">
        <v>44943.677083333343</v>
      </c>
    </row>
    <row r="225" spans="1:21">
      <c r="A225">
        <v>232</v>
      </c>
      <c r="B225">
        <v>1</v>
      </c>
      <c r="C225" t="s">
        <v>350</v>
      </c>
      <c r="D225" t="s">
        <v>350</v>
      </c>
      <c r="E225" s="112"/>
      <c r="F225">
        <v>0</v>
      </c>
      <c r="G225">
        <v>3</v>
      </c>
      <c r="H225">
        <v>2</v>
      </c>
      <c r="I225">
        <v>0</v>
      </c>
      <c r="J225" t="s">
        <v>351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0">
        <v>44943.675000000003</v>
      </c>
    </row>
    <row r="226" spans="1:21">
      <c r="A226">
        <v>233</v>
      </c>
      <c r="B226">
        <v>1</v>
      </c>
      <c r="C226" t="s">
        <v>352</v>
      </c>
      <c r="D226" t="s">
        <v>352</v>
      </c>
      <c r="E226" s="112"/>
      <c r="F226">
        <v>0</v>
      </c>
      <c r="G226">
        <v>3</v>
      </c>
      <c r="H226">
        <v>2</v>
      </c>
      <c r="I226">
        <v>0</v>
      </c>
      <c r="J226" t="s">
        <v>353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0">
        <v>44943.677777777782</v>
      </c>
    </row>
    <row r="227" spans="1:21">
      <c r="A227">
        <v>234</v>
      </c>
      <c r="B227">
        <v>1</v>
      </c>
      <c r="C227" t="s">
        <v>354</v>
      </c>
      <c r="D227" t="s">
        <v>354</v>
      </c>
      <c r="E227" s="112"/>
      <c r="F227">
        <v>0</v>
      </c>
      <c r="G227">
        <v>3</v>
      </c>
      <c r="H227">
        <v>2</v>
      </c>
      <c r="I227">
        <v>0</v>
      </c>
      <c r="J227" t="s">
        <v>355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0">
        <v>44943.675000000003</v>
      </c>
    </row>
    <row r="228" spans="1:21">
      <c r="A228">
        <v>235</v>
      </c>
      <c r="B228">
        <v>1</v>
      </c>
      <c r="C228" t="s">
        <v>356</v>
      </c>
      <c r="D228" t="s">
        <v>356</v>
      </c>
      <c r="E228" s="112"/>
      <c r="F228">
        <v>0</v>
      </c>
      <c r="G228">
        <v>3</v>
      </c>
      <c r="H228">
        <v>2</v>
      </c>
      <c r="I228">
        <v>0</v>
      </c>
      <c r="J228" t="s">
        <v>357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0">
        <v>44943.675000000003</v>
      </c>
    </row>
    <row r="229" spans="1:21">
      <c r="A229">
        <v>236</v>
      </c>
      <c r="B229">
        <v>1</v>
      </c>
      <c r="C229" t="s">
        <v>358</v>
      </c>
      <c r="D229" t="s">
        <v>358</v>
      </c>
      <c r="E229" s="112"/>
      <c r="F229">
        <v>237</v>
      </c>
      <c r="G229">
        <v>1</v>
      </c>
      <c r="H229">
        <v>2</v>
      </c>
      <c r="I229">
        <v>0</v>
      </c>
      <c r="J229" t="s">
        <v>359</v>
      </c>
      <c r="K229">
        <v>0</v>
      </c>
      <c r="L229" t="s">
        <v>360</v>
      </c>
      <c r="M229">
        <v>0</v>
      </c>
      <c r="N229" t="s">
        <v>90</v>
      </c>
      <c r="O229">
        <v>0</v>
      </c>
      <c r="Q229">
        <v>0</v>
      </c>
      <c r="S229">
        <v>0</v>
      </c>
      <c r="T229">
        <v>2</v>
      </c>
      <c r="U229" s="110">
        <v>41926.456944444442</v>
      </c>
    </row>
    <row r="230" spans="1:21">
      <c r="A230">
        <v>237</v>
      </c>
      <c r="B230">
        <v>1</v>
      </c>
      <c r="C230" t="s">
        <v>358</v>
      </c>
      <c r="D230" t="s">
        <v>358</v>
      </c>
      <c r="E230" s="112"/>
      <c r="F230">
        <v>237</v>
      </c>
      <c r="G230">
        <v>1</v>
      </c>
      <c r="H230">
        <v>2</v>
      </c>
      <c r="I230">
        <v>0</v>
      </c>
      <c r="J230" t="s">
        <v>359</v>
      </c>
      <c r="K230">
        <v>0</v>
      </c>
      <c r="L230" t="s">
        <v>360</v>
      </c>
      <c r="M230">
        <v>0</v>
      </c>
      <c r="N230" t="s">
        <v>90</v>
      </c>
      <c r="O230">
        <v>0</v>
      </c>
      <c r="Q230">
        <v>0</v>
      </c>
      <c r="S230">
        <v>0</v>
      </c>
      <c r="T230">
        <v>2</v>
      </c>
      <c r="U230" s="110">
        <v>42027.56527777778</v>
      </c>
    </row>
    <row r="231" spans="1:21">
      <c r="A231">
        <v>238</v>
      </c>
      <c r="B231">
        <v>2</v>
      </c>
      <c r="C231" t="s">
        <v>361</v>
      </c>
      <c r="D231" t="s">
        <v>361</v>
      </c>
      <c r="E231" s="112"/>
      <c r="F231">
        <v>239</v>
      </c>
      <c r="G231">
        <v>2</v>
      </c>
      <c r="H231">
        <v>0</v>
      </c>
      <c r="I231">
        <v>0</v>
      </c>
      <c r="J231" t="s">
        <v>361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110">
        <v>42283.689583333333</v>
      </c>
    </row>
    <row r="232" spans="1:21">
      <c r="A232">
        <v>240</v>
      </c>
      <c r="B232">
        <v>2</v>
      </c>
      <c r="C232" t="s">
        <v>6</v>
      </c>
      <c r="D232" t="s">
        <v>6</v>
      </c>
      <c r="E232" s="112"/>
      <c r="F232">
        <v>241</v>
      </c>
      <c r="G232">
        <v>2</v>
      </c>
      <c r="H232">
        <v>2</v>
      </c>
      <c r="I232">
        <v>0</v>
      </c>
      <c r="J232" t="s">
        <v>72</v>
      </c>
      <c r="K232">
        <v>1</v>
      </c>
      <c r="L232" t="s">
        <v>362</v>
      </c>
      <c r="M232">
        <v>0</v>
      </c>
      <c r="N232" t="s">
        <v>363</v>
      </c>
      <c r="O232">
        <v>0</v>
      </c>
      <c r="P232" t="s">
        <v>364</v>
      </c>
      <c r="Q232">
        <v>0</v>
      </c>
      <c r="R232" t="s">
        <v>141</v>
      </c>
      <c r="S232">
        <v>0</v>
      </c>
      <c r="T232">
        <v>7</v>
      </c>
      <c r="U232" s="110">
        <v>45824.580555555563</v>
      </c>
    </row>
    <row r="233" spans="1:21">
      <c r="A233">
        <v>241</v>
      </c>
      <c r="B233">
        <v>2</v>
      </c>
      <c r="C233" t="s">
        <v>365</v>
      </c>
      <c r="D233" t="s">
        <v>365</v>
      </c>
      <c r="E233" s="112"/>
      <c r="F233">
        <v>0</v>
      </c>
      <c r="G233">
        <v>2</v>
      </c>
      <c r="H233">
        <v>2</v>
      </c>
      <c r="I233">
        <v>0</v>
      </c>
      <c r="J233" t="s">
        <v>365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0">
        <v>42662.714583333327</v>
      </c>
    </row>
    <row r="234" spans="1:21">
      <c r="A234">
        <v>242</v>
      </c>
      <c r="B234">
        <v>2</v>
      </c>
      <c r="C234" t="s">
        <v>366</v>
      </c>
      <c r="D234" t="s">
        <v>366</v>
      </c>
      <c r="E234" s="112"/>
      <c r="F234">
        <v>0</v>
      </c>
      <c r="G234">
        <v>2</v>
      </c>
      <c r="H234">
        <v>2</v>
      </c>
      <c r="I234">
        <v>0</v>
      </c>
      <c r="J234" t="s">
        <v>366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0">
        <v>42662.715277777781</v>
      </c>
    </row>
    <row r="235" spans="1:21">
      <c r="A235">
        <v>243</v>
      </c>
      <c r="B235">
        <v>2</v>
      </c>
      <c r="C235" t="s">
        <v>367</v>
      </c>
      <c r="D235" t="s">
        <v>367</v>
      </c>
      <c r="E235" s="112"/>
      <c r="F235">
        <v>0</v>
      </c>
      <c r="G235">
        <v>2</v>
      </c>
      <c r="H235">
        <v>2</v>
      </c>
      <c r="I235">
        <v>0</v>
      </c>
      <c r="J235" t="s">
        <v>367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0">
        <v>42997.616666666669</v>
      </c>
    </row>
    <row r="236" spans="1:21">
      <c r="A236">
        <v>244</v>
      </c>
      <c r="B236">
        <v>2</v>
      </c>
      <c r="C236" t="s">
        <v>368</v>
      </c>
      <c r="D236" t="s">
        <v>368</v>
      </c>
      <c r="E236" s="112"/>
      <c r="F236">
        <v>0</v>
      </c>
      <c r="G236">
        <v>2</v>
      </c>
      <c r="H236">
        <v>2</v>
      </c>
      <c r="I236">
        <v>0</v>
      </c>
      <c r="J236" t="s">
        <v>368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0">
        <v>43059.659722222219</v>
      </c>
    </row>
    <row r="237" spans="1:21">
      <c r="A237">
        <v>245</v>
      </c>
      <c r="B237">
        <v>2</v>
      </c>
      <c r="C237" t="s">
        <v>369</v>
      </c>
      <c r="D237" t="s">
        <v>369</v>
      </c>
      <c r="E237" s="112"/>
      <c r="F237">
        <v>0</v>
      </c>
      <c r="G237">
        <v>2</v>
      </c>
      <c r="H237">
        <v>2</v>
      </c>
      <c r="I237">
        <v>0</v>
      </c>
      <c r="J237" t="s">
        <v>369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0">
        <v>43221.536111111112</v>
      </c>
    </row>
    <row r="238" spans="1:21">
      <c r="A238">
        <v>246</v>
      </c>
      <c r="B238">
        <v>2</v>
      </c>
      <c r="C238" t="s">
        <v>370</v>
      </c>
      <c r="D238" t="s">
        <v>370</v>
      </c>
      <c r="E238" s="112"/>
      <c r="F238">
        <v>0</v>
      </c>
      <c r="G238">
        <v>2</v>
      </c>
      <c r="H238">
        <v>2</v>
      </c>
      <c r="I238">
        <v>0</v>
      </c>
      <c r="J238" t="s">
        <v>370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0">
        <v>43462.695833333331</v>
      </c>
    </row>
    <row r="239" spans="1:21">
      <c r="A239">
        <v>247</v>
      </c>
      <c r="B239">
        <v>2</v>
      </c>
      <c r="C239" t="s">
        <v>371</v>
      </c>
      <c r="D239" t="s">
        <v>371</v>
      </c>
      <c r="E239" s="112"/>
      <c r="F239">
        <v>0</v>
      </c>
      <c r="G239">
        <v>2</v>
      </c>
      <c r="H239">
        <v>2</v>
      </c>
      <c r="I239">
        <v>0</v>
      </c>
      <c r="J239" t="s">
        <v>371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0">
        <v>43719.580555555563</v>
      </c>
    </row>
    <row r="240" spans="1:21">
      <c r="A240">
        <v>248</v>
      </c>
      <c r="B240">
        <v>2</v>
      </c>
      <c r="C240" t="s">
        <v>372</v>
      </c>
      <c r="D240" t="s">
        <v>372</v>
      </c>
      <c r="E240" s="112"/>
      <c r="F240">
        <v>0</v>
      </c>
      <c r="G240">
        <v>2</v>
      </c>
      <c r="H240">
        <v>2</v>
      </c>
      <c r="I240">
        <v>0</v>
      </c>
      <c r="J240" t="s">
        <v>372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0">
        <v>44533.520833333343</v>
      </c>
    </row>
    <row r="241" spans="1:21">
      <c r="A241">
        <v>250</v>
      </c>
      <c r="B241">
        <v>2</v>
      </c>
      <c r="C241" t="s">
        <v>373</v>
      </c>
      <c r="D241" t="s">
        <v>373</v>
      </c>
      <c r="E241" s="112"/>
      <c r="F241">
        <v>0</v>
      </c>
      <c r="G241">
        <v>2</v>
      </c>
      <c r="H241">
        <v>2</v>
      </c>
      <c r="I241">
        <v>0</v>
      </c>
      <c r="J241" t="s">
        <v>72</v>
      </c>
      <c r="K241">
        <v>1</v>
      </c>
      <c r="L241" t="s">
        <v>140</v>
      </c>
      <c r="M241">
        <v>0</v>
      </c>
      <c r="N241" t="s">
        <v>374</v>
      </c>
      <c r="O241">
        <v>0</v>
      </c>
      <c r="P241" t="s">
        <v>375</v>
      </c>
      <c r="Q241">
        <v>0</v>
      </c>
      <c r="R241" t="s">
        <v>376</v>
      </c>
      <c r="S241">
        <v>0</v>
      </c>
      <c r="T241">
        <v>2</v>
      </c>
      <c r="U241" s="110">
        <v>44280.711805555547</v>
      </c>
    </row>
    <row r="242" spans="1:21">
      <c r="A242">
        <v>251</v>
      </c>
      <c r="B242">
        <v>2</v>
      </c>
      <c r="C242" t="s">
        <v>377</v>
      </c>
      <c r="D242" t="s">
        <v>377</v>
      </c>
      <c r="E242" s="112"/>
      <c r="F242">
        <v>0</v>
      </c>
      <c r="G242">
        <v>2</v>
      </c>
      <c r="H242">
        <v>2</v>
      </c>
      <c r="I242">
        <v>0</v>
      </c>
      <c r="J242" t="s">
        <v>377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0">
        <v>44538.546527777777</v>
      </c>
    </row>
    <row r="243" spans="1:21">
      <c r="A243">
        <v>252</v>
      </c>
      <c r="B243">
        <v>2</v>
      </c>
      <c r="C243" t="s">
        <v>378</v>
      </c>
      <c r="D243" t="s">
        <v>378</v>
      </c>
      <c r="E243" s="112"/>
      <c r="F243">
        <v>0</v>
      </c>
      <c r="G243">
        <v>2</v>
      </c>
      <c r="H243">
        <v>2</v>
      </c>
      <c r="I243">
        <v>0</v>
      </c>
      <c r="J243" t="s">
        <v>378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0">
        <v>44538.547222222223</v>
      </c>
    </row>
    <row r="244" spans="1:21">
      <c r="A244">
        <v>253</v>
      </c>
      <c r="B244">
        <v>2</v>
      </c>
      <c r="C244" t="s">
        <v>379</v>
      </c>
      <c r="D244" t="s">
        <v>379</v>
      </c>
      <c r="E244" s="112"/>
      <c r="F244">
        <v>0</v>
      </c>
      <c r="G244">
        <v>2</v>
      </c>
      <c r="H244">
        <v>2</v>
      </c>
      <c r="I244">
        <v>0</v>
      </c>
      <c r="J244" t="s">
        <v>379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0">
        <v>44974.582638888889</v>
      </c>
    </row>
    <row r="245" spans="1:21">
      <c r="A245">
        <v>254</v>
      </c>
      <c r="B245">
        <v>2</v>
      </c>
      <c r="C245" t="s">
        <v>380</v>
      </c>
      <c r="D245" t="s">
        <v>380</v>
      </c>
      <c r="E245" s="112"/>
      <c r="F245">
        <v>0</v>
      </c>
      <c r="G245">
        <v>2</v>
      </c>
      <c r="H245">
        <v>2</v>
      </c>
      <c r="I245">
        <v>0</v>
      </c>
      <c r="J245" t="s">
        <v>380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0">
        <v>44974.582638888889</v>
      </c>
    </row>
    <row r="246" spans="1:21">
      <c r="A246">
        <v>255</v>
      </c>
      <c r="B246">
        <v>2</v>
      </c>
      <c r="C246" t="s">
        <v>381</v>
      </c>
      <c r="D246" t="s">
        <v>381</v>
      </c>
      <c r="E246" s="112"/>
      <c r="F246">
        <v>0</v>
      </c>
      <c r="G246">
        <v>2</v>
      </c>
      <c r="H246">
        <v>2</v>
      </c>
      <c r="I246">
        <v>0</v>
      </c>
      <c r="J246" t="s">
        <v>382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0">
        <v>44974.582638888889</v>
      </c>
    </row>
    <row r="247" spans="1:21">
      <c r="A247">
        <v>256</v>
      </c>
      <c r="B247">
        <v>2</v>
      </c>
      <c r="C247" t="s">
        <v>383</v>
      </c>
      <c r="D247" t="s">
        <v>383</v>
      </c>
      <c r="E247" s="112"/>
      <c r="F247">
        <v>0</v>
      </c>
      <c r="G247">
        <v>2</v>
      </c>
      <c r="H247">
        <v>2</v>
      </c>
      <c r="I247">
        <v>0</v>
      </c>
      <c r="J247" t="s">
        <v>383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0">
        <v>45072.6</v>
      </c>
    </row>
    <row r="248" spans="1:21">
      <c r="A248">
        <v>257</v>
      </c>
      <c r="B248">
        <v>2</v>
      </c>
      <c r="C248" t="s">
        <v>384</v>
      </c>
      <c r="D248" t="s">
        <v>384</v>
      </c>
      <c r="E248" s="112"/>
      <c r="F248">
        <v>0</v>
      </c>
      <c r="G248">
        <v>2</v>
      </c>
      <c r="H248">
        <v>2</v>
      </c>
      <c r="I248">
        <v>0</v>
      </c>
      <c r="J248" t="s">
        <v>384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0">
        <v>45072.616666666669</v>
      </c>
    </row>
    <row r="249" spans="1:21">
      <c r="A249">
        <v>258</v>
      </c>
      <c r="B249">
        <v>2</v>
      </c>
      <c r="C249" t="s">
        <v>314</v>
      </c>
      <c r="D249" t="s">
        <v>314</v>
      </c>
      <c r="E249" s="112"/>
      <c r="F249">
        <v>0</v>
      </c>
      <c r="G249">
        <v>2</v>
      </c>
      <c r="H249">
        <v>2</v>
      </c>
      <c r="I249">
        <v>0</v>
      </c>
      <c r="J249" t="s">
        <v>314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0">
        <v>45272.631249999999</v>
      </c>
    </row>
    <row r="250" spans="1:21">
      <c r="A250">
        <v>259</v>
      </c>
      <c r="B250">
        <v>2</v>
      </c>
      <c r="C250" t="s">
        <v>315</v>
      </c>
      <c r="D250" t="s">
        <v>315</v>
      </c>
      <c r="E250" s="112"/>
      <c r="F250">
        <v>0</v>
      </c>
      <c r="G250">
        <v>2</v>
      </c>
      <c r="H250">
        <v>2</v>
      </c>
      <c r="I250">
        <v>0</v>
      </c>
      <c r="J250" t="s">
        <v>315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0">
        <v>45272.631249999999</v>
      </c>
    </row>
    <row r="251" spans="1:21">
      <c r="A251">
        <v>260</v>
      </c>
      <c r="B251">
        <v>2</v>
      </c>
      <c r="C251" t="s">
        <v>375</v>
      </c>
      <c r="D251" t="s">
        <v>375</v>
      </c>
      <c r="E251" s="112"/>
      <c r="F251">
        <v>0</v>
      </c>
      <c r="G251">
        <v>2</v>
      </c>
      <c r="H251">
        <v>2</v>
      </c>
      <c r="I251">
        <v>0</v>
      </c>
      <c r="J251" t="s">
        <v>375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0">
        <v>45390.600694444453</v>
      </c>
    </row>
    <row r="252" spans="1:21">
      <c r="A252">
        <v>261</v>
      </c>
      <c r="B252">
        <v>2</v>
      </c>
      <c r="C252" t="s">
        <v>376</v>
      </c>
      <c r="D252" t="s">
        <v>376</v>
      </c>
      <c r="E252" s="112"/>
      <c r="F252">
        <v>0</v>
      </c>
      <c r="G252">
        <v>2</v>
      </c>
      <c r="H252">
        <v>2</v>
      </c>
      <c r="I252">
        <v>0</v>
      </c>
      <c r="J252" t="s">
        <v>376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0">
        <v>45390.600694444453</v>
      </c>
    </row>
    <row r="253" spans="1:21">
      <c r="A253">
        <v>262</v>
      </c>
      <c r="B253">
        <v>2</v>
      </c>
      <c r="C253" t="s">
        <v>385</v>
      </c>
      <c r="D253" t="s">
        <v>385</v>
      </c>
      <c r="E253" s="113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0">
        <v>45390.602083333331</v>
      </c>
    </row>
    <row r="254" spans="1:21">
      <c r="A254">
        <v>301</v>
      </c>
      <c r="B254">
        <v>2</v>
      </c>
      <c r="C254" t="s">
        <v>386</v>
      </c>
      <c r="D254" t="s">
        <v>386</v>
      </c>
      <c r="E254" s="111"/>
      <c r="F254">
        <v>0</v>
      </c>
      <c r="G254">
        <v>2</v>
      </c>
      <c r="H254">
        <v>2</v>
      </c>
      <c r="I254">
        <v>0</v>
      </c>
      <c r="T254">
        <v>2</v>
      </c>
      <c r="U254" s="110">
        <v>40801.599999999999</v>
      </c>
    </row>
    <row r="255" spans="1:21">
      <c r="A255">
        <v>302</v>
      </c>
      <c r="B255">
        <v>2</v>
      </c>
      <c r="C255" t="s">
        <v>387</v>
      </c>
      <c r="D255" t="s">
        <v>387</v>
      </c>
      <c r="E255" s="112"/>
      <c r="F255">
        <v>0</v>
      </c>
      <c r="G255">
        <v>2</v>
      </c>
      <c r="H255">
        <v>2</v>
      </c>
      <c r="I255">
        <v>0</v>
      </c>
      <c r="T255">
        <v>2</v>
      </c>
      <c r="U255" s="110">
        <v>40801.600694444453</v>
      </c>
    </row>
    <row r="256" spans="1:21">
      <c r="A256">
        <v>303</v>
      </c>
      <c r="B256">
        <v>2</v>
      </c>
      <c r="C256" t="s">
        <v>388</v>
      </c>
      <c r="D256" t="s">
        <v>388</v>
      </c>
      <c r="E256" s="112"/>
      <c r="F256">
        <v>0</v>
      </c>
      <c r="G256">
        <v>2</v>
      </c>
      <c r="H256">
        <v>2</v>
      </c>
      <c r="I256">
        <v>0</v>
      </c>
      <c r="T256">
        <v>2</v>
      </c>
      <c r="U256" s="110">
        <v>40801.601388888892</v>
      </c>
    </row>
    <row r="257" spans="1:21">
      <c r="A257">
        <v>304</v>
      </c>
      <c r="B257">
        <v>2</v>
      </c>
      <c r="C257" t="s">
        <v>389</v>
      </c>
      <c r="D257" t="s">
        <v>389</v>
      </c>
      <c r="E257" s="112"/>
      <c r="F257">
        <v>0</v>
      </c>
      <c r="G257">
        <v>2</v>
      </c>
      <c r="H257">
        <v>2</v>
      </c>
      <c r="I257">
        <v>0</v>
      </c>
      <c r="T257">
        <v>2</v>
      </c>
      <c r="U257" s="110">
        <v>40801.689583333333</v>
      </c>
    </row>
    <row r="258" spans="1:21">
      <c r="A258">
        <v>305</v>
      </c>
      <c r="B258">
        <v>2</v>
      </c>
      <c r="C258" t="s">
        <v>390</v>
      </c>
      <c r="D258" t="s">
        <v>390</v>
      </c>
      <c r="E258" s="112"/>
      <c r="F258">
        <v>0</v>
      </c>
      <c r="G258">
        <v>2</v>
      </c>
      <c r="H258">
        <v>2</v>
      </c>
      <c r="I258">
        <v>0</v>
      </c>
      <c r="T258">
        <v>2</v>
      </c>
      <c r="U258" s="110">
        <v>40801.601388888892</v>
      </c>
    </row>
    <row r="259" spans="1:21">
      <c r="A259">
        <v>306</v>
      </c>
      <c r="B259">
        <v>2</v>
      </c>
      <c r="C259" t="s">
        <v>391</v>
      </c>
      <c r="D259" t="s">
        <v>391</v>
      </c>
      <c r="E259" s="112"/>
      <c r="F259">
        <v>0</v>
      </c>
      <c r="G259">
        <v>2</v>
      </c>
      <c r="H259">
        <v>2</v>
      </c>
      <c r="I259">
        <v>0</v>
      </c>
      <c r="T259">
        <v>2</v>
      </c>
      <c r="U259" s="110">
        <v>40801.602083333331</v>
      </c>
    </row>
    <row r="260" spans="1:21">
      <c r="A260">
        <v>307</v>
      </c>
      <c r="B260">
        <v>2</v>
      </c>
      <c r="C260" t="s">
        <v>345</v>
      </c>
      <c r="D260" t="s">
        <v>345</v>
      </c>
      <c r="E260" s="112"/>
      <c r="F260">
        <v>0</v>
      </c>
      <c r="G260">
        <v>2</v>
      </c>
      <c r="H260">
        <v>2</v>
      </c>
      <c r="I260">
        <v>0</v>
      </c>
      <c r="T260">
        <v>2</v>
      </c>
      <c r="U260" s="110">
        <v>40801.602083333331</v>
      </c>
    </row>
    <row r="261" spans="1:21">
      <c r="A261">
        <v>308</v>
      </c>
      <c r="B261">
        <v>2</v>
      </c>
      <c r="C261" t="s">
        <v>137</v>
      </c>
      <c r="D261" t="s">
        <v>137</v>
      </c>
      <c r="E261" s="112"/>
      <c r="F261">
        <v>0</v>
      </c>
      <c r="G261">
        <v>2</v>
      </c>
      <c r="H261">
        <v>2</v>
      </c>
      <c r="I261">
        <v>0</v>
      </c>
      <c r="T261">
        <v>2</v>
      </c>
      <c r="U261" s="110">
        <v>40801.602083333331</v>
      </c>
    </row>
    <row r="262" spans="1:21">
      <c r="A262">
        <v>309</v>
      </c>
      <c r="B262">
        <v>2</v>
      </c>
      <c r="C262" t="s">
        <v>392</v>
      </c>
      <c r="D262" t="s">
        <v>392</v>
      </c>
      <c r="E262" s="112"/>
      <c r="F262">
        <v>0</v>
      </c>
      <c r="G262">
        <v>2</v>
      </c>
      <c r="H262">
        <v>2</v>
      </c>
      <c r="I262">
        <v>0</v>
      </c>
      <c r="T262">
        <v>2</v>
      </c>
      <c r="U262" s="110">
        <v>40801.602083333331</v>
      </c>
    </row>
    <row r="263" spans="1:21">
      <c r="A263">
        <v>310</v>
      </c>
      <c r="B263">
        <v>2</v>
      </c>
      <c r="C263" t="s">
        <v>393</v>
      </c>
      <c r="D263" t="s">
        <v>393</v>
      </c>
      <c r="E263" s="112"/>
      <c r="F263">
        <v>0</v>
      </c>
      <c r="G263">
        <v>2</v>
      </c>
      <c r="H263">
        <v>2</v>
      </c>
      <c r="I263">
        <v>0</v>
      </c>
      <c r="T263">
        <v>2</v>
      </c>
      <c r="U263" s="110">
        <v>40801.602777777778</v>
      </c>
    </row>
    <row r="264" spans="1:21">
      <c r="A264">
        <v>311</v>
      </c>
      <c r="B264">
        <v>2</v>
      </c>
      <c r="C264" t="s">
        <v>394</v>
      </c>
      <c r="D264" t="s">
        <v>394</v>
      </c>
      <c r="E264" s="112"/>
      <c r="F264">
        <v>0</v>
      </c>
      <c r="G264">
        <v>2</v>
      </c>
      <c r="H264">
        <v>2</v>
      </c>
      <c r="I264">
        <v>0</v>
      </c>
      <c r="T264">
        <v>2</v>
      </c>
      <c r="U264" s="110">
        <v>40801.602777777778</v>
      </c>
    </row>
    <row r="265" spans="1:21">
      <c r="A265">
        <v>312</v>
      </c>
      <c r="B265">
        <v>2</v>
      </c>
      <c r="C265" t="s">
        <v>395</v>
      </c>
      <c r="D265" t="s">
        <v>395</v>
      </c>
      <c r="E265" s="112"/>
      <c r="F265">
        <v>0</v>
      </c>
      <c r="G265">
        <v>2</v>
      </c>
      <c r="H265">
        <v>2</v>
      </c>
      <c r="I265">
        <v>0</v>
      </c>
      <c r="T265">
        <v>2</v>
      </c>
      <c r="U265" s="110">
        <v>40801.602777777778</v>
      </c>
    </row>
    <row r="266" spans="1:21">
      <c r="A266">
        <v>313</v>
      </c>
      <c r="B266">
        <v>2</v>
      </c>
      <c r="C266" t="s">
        <v>396</v>
      </c>
      <c r="D266" t="s">
        <v>396</v>
      </c>
      <c r="E266" s="112"/>
      <c r="F266">
        <v>0</v>
      </c>
      <c r="G266">
        <v>2</v>
      </c>
      <c r="H266">
        <v>2</v>
      </c>
      <c r="I266">
        <v>0</v>
      </c>
      <c r="T266">
        <v>2</v>
      </c>
      <c r="U266" s="110">
        <v>40801.603472222218</v>
      </c>
    </row>
    <row r="267" spans="1:21">
      <c r="A267">
        <v>314</v>
      </c>
      <c r="B267">
        <v>2</v>
      </c>
      <c r="C267" t="s">
        <v>397</v>
      </c>
      <c r="D267" t="s">
        <v>397</v>
      </c>
      <c r="E267" s="112"/>
      <c r="F267">
        <v>0</v>
      </c>
      <c r="G267">
        <v>2</v>
      </c>
      <c r="H267">
        <v>2</v>
      </c>
      <c r="I267">
        <v>0</v>
      </c>
      <c r="T267">
        <v>2</v>
      </c>
      <c r="U267" s="110">
        <v>40801.603472222218</v>
      </c>
    </row>
    <row r="268" spans="1:21">
      <c r="A268">
        <v>315</v>
      </c>
      <c r="B268">
        <v>2</v>
      </c>
      <c r="C268" t="s">
        <v>398</v>
      </c>
      <c r="D268" t="s">
        <v>398</v>
      </c>
      <c r="E268" s="112"/>
      <c r="F268">
        <v>0</v>
      </c>
      <c r="G268">
        <v>2</v>
      </c>
      <c r="H268">
        <v>2</v>
      </c>
      <c r="I268">
        <v>0</v>
      </c>
      <c r="T268">
        <v>2</v>
      </c>
      <c r="U268" s="110">
        <v>40801.603472222218</v>
      </c>
    </row>
    <row r="269" spans="1:21">
      <c r="A269">
        <v>316</v>
      </c>
      <c r="B269">
        <v>2</v>
      </c>
      <c r="C269" t="s">
        <v>399</v>
      </c>
      <c r="D269" t="s">
        <v>399</v>
      </c>
      <c r="E269" s="113"/>
      <c r="F269">
        <v>0</v>
      </c>
      <c r="G269">
        <v>2</v>
      </c>
      <c r="H269">
        <v>2</v>
      </c>
      <c r="I269">
        <v>0</v>
      </c>
      <c r="T269">
        <v>2</v>
      </c>
      <c r="U269" s="110">
        <v>40801.603472222218</v>
      </c>
    </row>
    <row r="270" spans="1:21">
      <c r="A270">
        <v>400</v>
      </c>
      <c r="B270">
        <v>1</v>
      </c>
      <c r="C270" t="s">
        <v>400</v>
      </c>
      <c r="D270" t="s">
        <v>401</v>
      </c>
      <c r="E270" s="112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0">
        <v>42054.595833333333</v>
      </c>
    </row>
    <row r="271" spans="1:21">
      <c r="A271">
        <v>401</v>
      </c>
      <c r="B271">
        <v>0</v>
      </c>
      <c r="C271" t="s">
        <v>402</v>
      </c>
      <c r="D271" t="s">
        <v>401</v>
      </c>
      <c r="E271" s="112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0">
        <v>42054.595833333333</v>
      </c>
    </row>
    <row r="272" spans="1:21">
      <c r="A272">
        <v>402</v>
      </c>
      <c r="B272">
        <v>1</v>
      </c>
      <c r="C272" t="s">
        <v>403</v>
      </c>
      <c r="D272" t="s">
        <v>403</v>
      </c>
      <c r="E272" s="112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0">
        <v>41829.61041666667</v>
      </c>
    </row>
    <row r="273" spans="1:21">
      <c r="A273">
        <v>403</v>
      </c>
      <c r="B273">
        <v>1</v>
      </c>
      <c r="C273" t="s">
        <v>404</v>
      </c>
      <c r="D273" t="s">
        <v>404</v>
      </c>
      <c r="E273" s="112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0">
        <v>43672.388194444437</v>
      </c>
    </row>
    <row r="274" spans="1:21">
      <c r="A274">
        <v>404</v>
      </c>
      <c r="B274">
        <v>1</v>
      </c>
      <c r="C274" t="s">
        <v>405</v>
      </c>
      <c r="D274" t="s">
        <v>406</v>
      </c>
      <c r="E274" s="112"/>
      <c r="F274">
        <v>405</v>
      </c>
      <c r="G274">
        <v>1</v>
      </c>
      <c r="H274">
        <v>2</v>
      </c>
      <c r="I274">
        <v>0</v>
      </c>
      <c r="J274" t="s">
        <v>90</v>
      </c>
      <c r="K274">
        <v>0</v>
      </c>
      <c r="L274" t="s">
        <v>407</v>
      </c>
      <c r="M274">
        <v>0</v>
      </c>
      <c r="O274">
        <v>0</v>
      </c>
      <c r="Q274">
        <v>0</v>
      </c>
      <c r="S274">
        <v>0</v>
      </c>
      <c r="T274">
        <v>3</v>
      </c>
      <c r="U274" s="110">
        <v>43810.755555555559</v>
      </c>
    </row>
    <row r="275" spans="1:21">
      <c r="A275">
        <v>405</v>
      </c>
      <c r="B275">
        <v>0</v>
      </c>
      <c r="C275" t="s">
        <v>408</v>
      </c>
      <c r="D275" t="s">
        <v>406</v>
      </c>
      <c r="E275" s="112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0">
        <v>43782.701388888891</v>
      </c>
    </row>
    <row r="276" spans="1:21">
      <c r="A276">
        <v>410</v>
      </c>
      <c r="B276">
        <v>1</v>
      </c>
      <c r="C276" t="s">
        <v>409</v>
      </c>
      <c r="D276" t="s">
        <v>410</v>
      </c>
      <c r="E276" s="112"/>
      <c r="F276">
        <v>411</v>
      </c>
      <c r="G276">
        <v>1</v>
      </c>
      <c r="H276">
        <v>1</v>
      </c>
      <c r="I276">
        <v>18</v>
      </c>
      <c r="J276" t="s">
        <v>336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0">
        <v>41022.645833333343</v>
      </c>
    </row>
    <row r="277" spans="1:21">
      <c r="A277">
        <v>411</v>
      </c>
      <c r="B277">
        <v>1</v>
      </c>
      <c r="C277" t="s">
        <v>411</v>
      </c>
      <c r="D277" t="s">
        <v>410</v>
      </c>
      <c r="E277" s="112"/>
      <c r="F277">
        <v>411</v>
      </c>
      <c r="G277">
        <v>1</v>
      </c>
      <c r="H277">
        <v>1</v>
      </c>
      <c r="I277">
        <v>18</v>
      </c>
      <c r="J277" t="s">
        <v>336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0">
        <v>42562.600694444453</v>
      </c>
    </row>
    <row r="278" spans="1:21">
      <c r="A278">
        <v>412</v>
      </c>
      <c r="B278">
        <v>0</v>
      </c>
      <c r="C278" t="s">
        <v>412</v>
      </c>
      <c r="D278" t="s">
        <v>412</v>
      </c>
      <c r="E278" s="112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0">
        <v>41067.478472222218</v>
      </c>
    </row>
    <row r="279" spans="1:21">
      <c r="A279">
        <v>413</v>
      </c>
      <c r="B279">
        <v>0</v>
      </c>
      <c r="C279" t="s">
        <v>413</v>
      </c>
      <c r="E279" s="112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0">
        <v>41212.493750000001</v>
      </c>
    </row>
    <row r="280" spans="1:21">
      <c r="A280">
        <v>414</v>
      </c>
      <c r="B280">
        <v>2</v>
      </c>
      <c r="C280" t="s">
        <v>341</v>
      </c>
      <c r="D280" t="s">
        <v>341</v>
      </c>
      <c r="E280" s="112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0">
        <v>45121.540277777778</v>
      </c>
    </row>
    <row r="281" spans="1:21">
      <c r="A281">
        <v>415</v>
      </c>
      <c r="B281">
        <v>0</v>
      </c>
      <c r="C281" t="s">
        <v>414</v>
      </c>
      <c r="E281" s="112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0">
        <v>41212.494444444441</v>
      </c>
    </row>
    <row r="282" spans="1:21">
      <c r="A282">
        <v>416</v>
      </c>
      <c r="B282">
        <v>0</v>
      </c>
      <c r="C282" t="s">
        <v>415</v>
      </c>
      <c r="E282" s="112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0">
        <v>41212.495138888888</v>
      </c>
    </row>
    <row r="283" spans="1:21">
      <c r="A283">
        <v>417</v>
      </c>
      <c r="B283">
        <v>0</v>
      </c>
      <c r="C283" t="s">
        <v>416</v>
      </c>
      <c r="E283" s="112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0">
        <v>41212.495833333327</v>
      </c>
    </row>
    <row r="284" spans="1:21">
      <c r="A284">
        <v>418</v>
      </c>
      <c r="B284">
        <v>0</v>
      </c>
      <c r="C284" t="s">
        <v>417</v>
      </c>
      <c r="E284" s="112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0">
        <v>41225.491666666669</v>
      </c>
    </row>
    <row r="285" spans="1:21">
      <c r="A285">
        <v>419</v>
      </c>
      <c r="B285">
        <v>0</v>
      </c>
      <c r="C285" t="s">
        <v>418</v>
      </c>
      <c r="E285" s="112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0">
        <v>41225.491666666669</v>
      </c>
    </row>
    <row r="286" spans="1:21">
      <c r="A286">
        <v>420</v>
      </c>
      <c r="B286">
        <v>1</v>
      </c>
      <c r="C286" t="s">
        <v>419</v>
      </c>
      <c r="D286" t="s">
        <v>420</v>
      </c>
      <c r="E286" s="112"/>
      <c r="F286">
        <v>421</v>
      </c>
      <c r="G286">
        <v>1</v>
      </c>
      <c r="H286">
        <v>2</v>
      </c>
      <c r="I286">
        <v>0</v>
      </c>
      <c r="J286" t="s">
        <v>420</v>
      </c>
      <c r="K286">
        <v>0</v>
      </c>
      <c r="L286" t="s">
        <v>421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110">
        <v>43410.616666666669</v>
      </c>
    </row>
    <row r="287" spans="1:21">
      <c r="A287">
        <v>421</v>
      </c>
      <c r="B287">
        <v>1</v>
      </c>
      <c r="C287" t="s">
        <v>422</v>
      </c>
      <c r="D287" t="s">
        <v>420</v>
      </c>
      <c r="E287" s="112"/>
      <c r="F287">
        <v>0</v>
      </c>
      <c r="G287">
        <v>1</v>
      </c>
      <c r="H287">
        <v>2</v>
      </c>
      <c r="I287">
        <v>0</v>
      </c>
      <c r="J287" t="s">
        <v>420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110">
        <v>43391.707638888889</v>
      </c>
    </row>
    <row r="288" spans="1:21">
      <c r="A288">
        <v>422</v>
      </c>
      <c r="B288">
        <v>0</v>
      </c>
      <c r="C288" t="s">
        <v>140</v>
      </c>
      <c r="E288" s="112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0">
        <v>41303.448611111111</v>
      </c>
    </row>
    <row r="289" spans="1:21">
      <c r="A289">
        <v>423</v>
      </c>
      <c r="B289">
        <v>0</v>
      </c>
      <c r="C289" t="s">
        <v>423</v>
      </c>
      <c r="E289" s="112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0">
        <v>41330.536111111112</v>
      </c>
    </row>
    <row r="290" spans="1:21">
      <c r="A290">
        <v>424</v>
      </c>
      <c r="B290">
        <v>0</v>
      </c>
      <c r="C290" t="s">
        <v>424</v>
      </c>
      <c r="E290" s="112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0">
        <v>41332.54791666667</v>
      </c>
    </row>
    <row r="291" spans="1:21">
      <c r="A291">
        <v>425</v>
      </c>
      <c r="B291">
        <v>0</v>
      </c>
      <c r="C291" t="s">
        <v>425</v>
      </c>
      <c r="E291" s="112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0">
        <v>41333.504166666673</v>
      </c>
    </row>
    <row r="292" spans="1:21">
      <c r="A292">
        <v>426</v>
      </c>
      <c r="B292">
        <v>0</v>
      </c>
      <c r="C292" t="s">
        <v>426</v>
      </c>
      <c r="E292" s="112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0">
        <v>41333.504166666673</v>
      </c>
    </row>
    <row r="293" spans="1:21">
      <c r="A293">
        <v>427</v>
      </c>
      <c r="B293">
        <v>0</v>
      </c>
      <c r="C293" t="s">
        <v>427</v>
      </c>
      <c r="D293" t="s">
        <v>428</v>
      </c>
      <c r="E293" s="112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0">
        <v>41338.46875</v>
      </c>
    </row>
    <row r="294" spans="1:21">
      <c r="A294">
        <v>430</v>
      </c>
      <c r="B294">
        <v>1</v>
      </c>
      <c r="C294" t="s">
        <v>429</v>
      </c>
      <c r="D294" t="s">
        <v>429</v>
      </c>
      <c r="E294" s="112"/>
      <c r="F294">
        <v>431</v>
      </c>
      <c r="G294">
        <v>1</v>
      </c>
      <c r="H294">
        <v>2</v>
      </c>
      <c r="I294">
        <v>0</v>
      </c>
      <c r="J294" t="s">
        <v>72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0">
        <v>43474.438888888893</v>
      </c>
    </row>
    <row r="295" spans="1:21">
      <c r="A295">
        <v>431</v>
      </c>
      <c r="B295">
        <v>1</v>
      </c>
      <c r="C295" t="s">
        <v>209</v>
      </c>
      <c r="D295" t="s">
        <v>429</v>
      </c>
      <c r="E295" s="112"/>
      <c r="F295">
        <v>431</v>
      </c>
      <c r="G295">
        <v>1</v>
      </c>
      <c r="H295">
        <v>2</v>
      </c>
      <c r="I295">
        <v>0</v>
      </c>
      <c r="J295" t="s">
        <v>72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0">
        <v>41383.786111111112</v>
      </c>
    </row>
    <row r="296" spans="1:21">
      <c r="A296">
        <v>432</v>
      </c>
      <c r="B296">
        <v>1</v>
      </c>
      <c r="C296" t="s">
        <v>430</v>
      </c>
      <c r="D296" t="s">
        <v>431</v>
      </c>
      <c r="E296" s="112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0">
        <v>42178.476388888892</v>
      </c>
    </row>
    <row r="297" spans="1:21">
      <c r="A297">
        <v>433</v>
      </c>
      <c r="B297">
        <v>0</v>
      </c>
      <c r="C297" t="s">
        <v>432</v>
      </c>
      <c r="E297" s="112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0">
        <v>41478.56527777778</v>
      </c>
    </row>
    <row r="298" spans="1:21">
      <c r="A298">
        <v>434</v>
      </c>
      <c r="B298">
        <v>1</v>
      </c>
      <c r="C298" t="s">
        <v>433</v>
      </c>
      <c r="D298" t="s">
        <v>433</v>
      </c>
      <c r="E298" s="112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0">
        <v>45216.575694444437</v>
      </c>
    </row>
    <row r="299" spans="1:21">
      <c r="A299">
        <v>435</v>
      </c>
      <c r="B299">
        <v>0</v>
      </c>
      <c r="C299" t="s">
        <v>434</v>
      </c>
      <c r="E299" s="112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0">
        <v>41512.532638888893</v>
      </c>
    </row>
    <row r="300" spans="1:21">
      <c r="A300">
        <v>436</v>
      </c>
      <c r="B300">
        <v>0</v>
      </c>
      <c r="C300" t="s">
        <v>435</v>
      </c>
      <c r="E300" s="112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0">
        <v>41512.533333333333</v>
      </c>
    </row>
    <row r="301" spans="1:21">
      <c r="A301">
        <v>438</v>
      </c>
      <c r="B301">
        <v>0</v>
      </c>
      <c r="C301" t="s">
        <v>436</v>
      </c>
      <c r="E301" s="112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0">
        <v>41512.534722222219</v>
      </c>
    </row>
    <row r="302" spans="1:21">
      <c r="A302">
        <v>439</v>
      </c>
      <c r="B302">
        <v>0</v>
      </c>
      <c r="C302" t="s">
        <v>437</v>
      </c>
      <c r="E302" s="112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0">
        <v>41522.586805555547</v>
      </c>
    </row>
    <row r="303" spans="1:21">
      <c r="A303">
        <v>440</v>
      </c>
      <c r="B303">
        <v>0</v>
      </c>
      <c r="C303" t="s">
        <v>438</v>
      </c>
      <c r="E303" s="112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0">
        <v>41522.588888888888</v>
      </c>
    </row>
    <row r="304" spans="1:21">
      <c r="A304">
        <v>441</v>
      </c>
      <c r="B304">
        <v>0</v>
      </c>
      <c r="C304" t="s">
        <v>439</v>
      </c>
      <c r="E304" s="112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0">
        <v>41527.534722222219</v>
      </c>
    </row>
    <row r="305" spans="1:21">
      <c r="A305">
        <v>442</v>
      </c>
      <c r="B305">
        <v>0</v>
      </c>
      <c r="C305" t="s">
        <v>440</v>
      </c>
      <c r="E305" s="112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0">
        <v>41527.534722222219</v>
      </c>
    </row>
    <row r="306" spans="1:21">
      <c r="A306">
        <v>443</v>
      </c>
      <c r="B306">
        <v>0</v>
      </c>
      <c r="C306" t="s">
        <v>441</v>
      </c>
      <c r="E306" s="112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0">
        <v>42178.479861111111</v>
      </c>
    </row>
    <row r="307" spans="1:21">
      <c r="A307">
        <v>444</v>
      </c>
      <c r="B307">
        <v>0</v>
      </c>
      <c r="C307" t="s">
        <v>442</v>
      </c>
      <c r="E307" s="112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0">
        <v>41534.566666666673</v>
      </c>
    </row>
    <row r="308" spans="1:21">
      <c r="A308">
        <v>445</v>
      </c>
      <c r="B308">
        <v>0</v>
      </c>
      <c r="C308" t="s">
        <v>443</v>
      </c>
      <c r="E308" s="112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0">
        <v>41535.584027777782</v>
      </c>
    </row>
    <row r="309" spans="1:21">
      <c r="A309">
        <v>446</v>
      </c>
      <c r="B309">
        <v>0</v>
      </c>
      <c r="C309" t="s">
        <v>444</v>
      </c>
      <c r="E309" s="112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0">
        <v>41535.584722222222</v>
      </c>
    </row>
    <row r="310" spans="1:21">
      <c r="A310">
        <v>447</v>
      </c>
      <c r="B310">
        <v>0</v>
      </c>
      <c r="C310" t="s">
        <v>445</v>
      </c>
      <c r="E310" s="112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0">
        <v>41554.56527777778</v>
      </c>
    </row>
    <row r="311" spans="1:21">
      <c r="A311">
        <v>448</v>
      </c>
      <c r="B311">
        <v>0</v>
      </c>
      <c r="C311" t="s">
        <v>446</v>
      </c>
      <c r="E311" s="112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0">
        <v>41554.565972222219</v>
      </c>
    </row>
    <row r="312" spans="1:21">
      <c r="A312">
        <v>451</v>
      </c>
      <c r="B312">
        <v>0</v>
      </c>
      <c r="C312" t="s">
        <v>447</v>
      </c>
      <c r="E312" s="112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0">
        <v>41977.621527777781</v>
      </c>
    </row>
    <row r="313" spans="1:21">
      <c r="A313">
        <v>452</v>
      </c>
      <c r="B313">
        <v>0</v>
      </c>
      <c r="C313" t="s">
        <v>448</v>
      </c>
      <c r="E313" s="112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0">
        <v>41977.621527777781</v>
      </c>
    </row>
    <row r="314" spans="1:21">
      <c r="A314">
        <v>453</v>
      </c>
      <c r="B314">
        <v>0</v>
      </c>
      <c r="C314" t="s">
        <v>449</v>
      </c>
      <c r="E314" s="112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0">
        <v>41977.621527777781</v>
      </c>
    </row>
    <row r="315" spans="1:21">
      <c r="A315">
        <v>454</v>
      </c>
      <c r="B315">
        <v>1</v>
      </c>
      <c r="C315" t="s">
        <v>450</v>
      </c>
      <c r="D315" t="s">
        <v>450</v>
      </c>
      <c r="E315" s="112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0">
        <v>45216.574999999997</v>
      </c>
    </row>
    <row r="316" spans="1:21">
      <c r="A316">
        <v>455</v>
      </c>
      <c r="B316">
        <v>0</v>
      </c>
      <c r="C316" t="s">
        <v>451</v>
      </c>
      <c r="E316" s="112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0">
        <v>41575.570833333331</v>
      </c>
    </row>
    <row r="317" spans="1:21">
      <c r="A317">
        <v>456</v>
      </c>
      <c r="B317">
        <v>0</v>
      </c>
      <c r="C317" t="s">
        <v>452</v>
      </c>
      <c r="E317" s="112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0">
        <v>41575.570833333331</v>
      </c>
    </row>
    <row r="318" spans="1:21">
      <c r="A318">
        <v>457</v>
      </c>
      <c r="B318">
        <v>1</v>
      </c>
      <c r="C318" t="s">
        <v>453</v>
      </c>
      <c r="D318" t="s">
        <v>453</v>
      </c>
      <c r="E318" s="112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0">
        <v>45226.444444444453</v>
      </c>
    </row>
    <row r="319" spans="1:21">
      <c r="A319">
        <v>458</v>
      </c>
      <c r="B319">
        <v>0</v>
      </c>
      <c r="C319" t="s">
        <v>454</v>
      </c>
      <c r="E319" s="112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0">
        <v>41575.572222222218</v>
      </c>
    </row>
    <row r="320" spans="1:21">
      <c r="A320">
        <v>459</v>
      </c>
      <c r="B320">
        <v>0</v>
      </c>
      <c r="C320" t="s">
        <v>455</v>
      </c>
      <c r="E320" s="112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0">
        <v>41834.582638888889</v>
      </c>
    </row>
    <row r="321" spans="1:21">
      <c r="A321">
        <v>460</v>
      </c>
      <c r="B321">
        <v>1</v>
      </c>
      <c r="C321" t="s">
        <v>456</v>
      </c>
      <c r="D321" t="s">
        <v>4</v>
      </c>
      <c r="E321" s="112"/>
      <c r="F321">
        <v>463</v>
      </c>
      <c r="G321">
        <v>1</v>
      </c>
      <c r="H321">
        <v>0</v>
      </c>
      <c r="I321">
        <v>0</v>
      </c>
      <c r="J321" t="s">
        <v>17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110">
        <v>45097.559027777781</v>
      </c>
    </row>
    <row r="322" spans="1:21">
      <c r="A322">
        <v>461</v>
      </c>
      <c r="B322">
        <v>0</v>
      </c>
      <c r="C322" t="s">
        <v>459</v>
      </c>
      <c r="E322" s="112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0">
        <v>41718.425694444442</v>
      </c>
    </row>
    <row r="323" spans="1:21">
      <c r="A323">
        <v>462</v>
      </c>
      <c r="B323">
        <v>0</v>
      </c>
      <c r="C323" t="s">
        <v>460</v>
      </c>
      <c r="E323" s="112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0">
        <v>41718.426388888889</v>
      </c>
    </row>
    <row r="324" spans="1:21">
      <c r="A324">
        <v>463</v>
      </c>
      <c r="B324">
        <v>1</v>
      </c>
      <c r="C324" t="s">
        <v>461</v>
      </c>
      <c r="D324" t="s">
        <v>4</v>
      </c>
      <c r="E324" s="112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0">
        <v>41789.540277777778</v>
      </c>
    </row>
    <row r="325" spans="1:21">
      <c r="A325">
        <v>464</v>
      </c>
      <c r="B325">
        <v>1</v>
      </c>
      <c r="C325" t="s">
        <v>462</v>
      </c>
      <c r="D325" t="s">
        <v>463</v>
      </c>
      <c r="E325" s="112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0">
        <v>45583.434027777781</v>
      </c>
    </row>
    <row r="326" spans="1:21">
      <c r="A326">
        <v>465</v>
      </c>
      <c r="B326">
        <v>1</v>
      </c>
      <c r="C326" t="s">
        <v>462</v>
      </c>
      <c r="D326" t="s">
        <v>464</v>
      </c>
      <c r="E326" s="112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0">
        <v>42286.698611111111</v>
      </c>
    </row>
    <row r="327" spans="1:21">
      <c r="A327">
        <v>466</v>
      </c>
      <c r="B327">
        <v>1</v>
      </c>
      <c r="C327" t="s">
        <v>465</v>
      </c>
      <c r="D327" t="s">
        <v>255</v>
      </c>
      <c r="E327" s="112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0">
        <v>41948.513888888891</v>
      </c>
    </row>
    <row r="328" spans="1:21">
      <c r="A328">
        <v>467</v>
      </c>
      <c r="B328">
        <v>1</v>
      </c>
      <c r="C328" t="s">
        <v>466</v>
      </c>
      <c r="D328" t="s">
        <v>466</v>
      </c>
      <c r="E328" s="112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0">
        <v>41948.597916666673</v>
      </c>
    </row>
    <row r="329" spans="1:21">
      <c r="A329">
        <v>468</v>
      </c>
      <c r="B329">
        <v>1</v>
      </c>
      <c r="C329" t="s">
        <v>467</v>
      </c>
      <c r="D329" t="s">
        <v>467</v>
      </c>
      <c r="E329" s="112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0">
        <v>41948.597916666673</v>
      </c>
    </row>
    <row r="330" spans="1:21">
      <c r="A330">
        <v>469</v>
      </c>
      <c r="B330">
        <v>0</v>
      </c>
      <c r="C330" t="s">
        <v>468</v>
      </c>
      <c r="E330" s="112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0">
        <v>44741.589583333327</v>
      </c>
    </row>
    <row r="331" spans="1:21">
      <c r="A331">
        <v>470</v>
      </c>
      <c r="B331">
        <v>1</v>
      </c>
      <c r="C331" t="s">
        <v>469</v>
      </c>
      <c r="D331" t="s">
        <v>470</v>
      </c>
      <c r="E331" s="112"/>
      <c r="F331">
        <v>471</v>
      </c>
      <c r="G331">
        <v>1</v>
      </c>
      <c r="H331">
        <v>2</v>
      </c>
      <c r="I331">
        <v>0</v>
      </c>
      <c r="J331" t="s">
        <v>407</v>
      </c>
      <c r="K331">
        <v>0</v>
      </c>
      <c r="L331" t="s">
        <v>90</v>
      </c>
      <c r="M331">
        <v>0</v>
      </c>
      <c r="O331">
        <v>0</v>
      </c>
      <c r="Q331">
        <v>0</v>
      </c>
      <c r="S331">
        <v>0</v>
      </c>
      <c r="T331">
        <v>2</v>
      </c>
      <c r="U331" s="110">
        <v>43153.49722222222</v>
      </c>
    </row>
    <row r="332" spans="1:21">
      <c r="A332">
        <v>471</v>
      </c>
      <c r="B332">
        <v>0</v>
      </c>
      <c r="C332" t="s">
        <v>471</v>
      </c>
      <c r="D332" t="s">
        <v>471</v>
      </c>
      <c r="E332" s="112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0">
        <v>43153.49722222222</v>
      </c>
    </row>
    <row r="333" spans="1:21">
      <c r="A333">
        <v>472</v>
      </c>
      <c r="B333">
        <v>0</v>
      </c>
      <c r="C333" t="s">
        <v>472</v>
      </c>
      <c r="E333" s="112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0">
        <v>41977.624305555553</v>
      </c>
    </row>
    <row r="334" spans="1:21">
      <c r="A334">
        <v>473</v>
      </c>
      <c r="B334">
        <v>0</v>
      </c>
      <c r="C334" t="s">
        <v>473</v>
      </c>
      <c r="E334" s="112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0">
        <v>41977.622916666667</v>
      </c>
    </row>
    <row r="335" spans="1:21">
      <c r="A335">
        <v>474</v>
      </c>
      <c r="B335">
        <v>1</v>
      </c>
      <c r="C335" t="s">
        <v>474</v>
      </c>
      <c r="D335" t="s">
        <v>475</v>
      </c>
      <c r="E335" s="112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0">
        <v>44221.486805555563</v>
      </c>
    </row>
    <row r="336" spans="1:21">
      <c r="A336">
        <v>475</v>
      </c>
      <c r="B336">
        <v>1</v>
      </c>
      <c r="C336" t="s">
        <v>476</v>
      </c>
      <c r="D336" t="s">
        <v>477</v>
      </c>
      <c r="E336" s="112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0">
        <v>42026.43472222222</v>
      </c>
    </row>
    <row r="337" spans="1:21">
      <c r="A337">
        <v>476</v>
      </c>
      <c r="B337">
        <v>1</v>
      </c>
      <c r="C337" t="s">
        <v>350</v>
      </c>
      <c r="D337" t="s">
        <v>478</v>
      </c>
      <c r="E337" s="112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0">
        <v>42026.443055555559</v>
      </c>
    </row>
    <row r="338" spans="1:21">
      <c r="A338">
        <v>477</v>
      </c>
      <c r="B338">
        <v>1</v>
      </c>
      <c r="C338" t="s">
        <v>479</v>
      </c>
      <c r="D338" t="s">
        <v>479</v>
      </c>
      <c r="E338" s="112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0">
        <v>42026.443055555559</v>
      </c>
    </row>
    <row r="339" spans="1:21">
      <c r="A339">
        <v>478</v>
      </c>
      <c r="B339">
        <v>1</v>
      </c>
      <c r="C339" t="s">
        <v>480</v>
      </c>
      <c r="D339" t="s">
        <v>480</v>
      </c>
      <c r="E339" s="112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0">
        <v>42026.443749999999</v>
      </c>
    </row>
    <row r="340" spans="1:21">
      <c r="A340">
        <v>479</v>
      </c>
      <c r="B340">
        <v>1</v>
      </c>
      <c r="C340" t="s">
        <v>356</v>
      </c>
      <c r="D340" t="s">
        <v>356</v>
      </c>
      <c r="E340" s="112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0">
        <v>42026.444444444453</v>
      </c>
    </row>
    <row r="341" spans="1:21">
      <c r="A341">
        <v>480</v>
      </c>
      <c r="B341">
        <v>1</v>
      </c>
      <c r="C341" t="s">
        <v>481</v>
      </c>
      <c r="D341" t="s">
        <v>481</v>
      </c>
      <c r="E341" s="112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0">
        <v>42852.626388888893</v>
      </c>
    </row>
    <row r="342" spans="1:21">
      <c r="A342">
        <v>481</v>
      </c>
      <c r="B342">
        <v>1</v>
      </c>
      <c r="C342" t="s">
        <v>233</v>
      </c>
      <c r="D342" t="s">
        <v>233</v>
      </c>
      <c r="E342" s="112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0">
        <v>44979.555555555547</v>
      </c>
    </row>
    <row r="343" spans="1:21">
      <c r="A343">
        <v>482</v>
      </c>
      <c r="B343">
        <v>1</v>
      </c>
      <c r="C343" t="s">
        <v>482</v>
      </c>
      <c r="D343" t="s">
        <v>267</v>
      </c>
      <c r="E343" s="112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0">
        <v>42065.598611111112</v>
      </c>
    </row>
    <row r="344" spans="1:21">
      <c r="A344">
        <v>483</v>
      </c>
      <c r="B344">
        <v>1</v>
      </c>
      <c r="C344" t="s">
        <v>483</v>
      </c>
      <c r="D344" t="s">
        <v>483</v>
      </c>
      <c r="E344" s="112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0">
        <v>42178.481249999997</v>
      </c>
    </row>
    <row r="345" spans="1:21">
      <c r="A345">
        <v>484</v>
      </c>
      <c r="B345">
        <v>0</v>
      </c>
      <c r="C345" t="s">
        <v>484</v>
      </c>
      <c r="D345" t="s">
        <v>484</v>
      </c>
      <c r="E345" s="112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0">
        <v>42242.442361111112</v>
      </c>
    </row>
    <row r="346" spans="1:21">
      <c r="A346">
        <v>485</v>
      </c>
      <c r="B346">
        <v>1</v>
      </c>
      <c r="C346" t="s">
        <v>485</v>
      </c>
      <c r="D346" t="s">
        <v>485</v>
      </c>
      <c r="E346" s="112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0">
        <v>42291.447222222218</v>
      </c>
    </row>
    <row r="347" spans="1:21">
      <c r="A347">
        <v>486</v>
      </c>
      <c r="B347">
        <v>1</v>
      </c>
      <c r="C347" t="s">
        <v>486</v>
      </c>
      <c r="D347" t="s">
        <v>486</v>
      </c>
      <c r="E347" s="112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0">
        <v>42291.447916666657</v>
      </c>
    </row>
    <row r="348" spans="1:21">
      <c r="A348">
        <v>487</v>
      </c>
      <c r="B348">
        <v>1</v>
      </c>
      <c r="C348" t="s">
        <v>487</v>
      </c>
      <c r="D348" t="s">
        <v>487</v>
      </c>
      <c r="E348" s="112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0">
        <v>42291.447916666657</v>
      </c>
    </row>
    <row r="349" spans="1:21">
      <c r="A349">
        <v>488</v>
      </c>
      <c r="B349">
        <v>1</v>
      </c>
      <c r="C349" t="s">
        <v>488</v>
      </c>
      <c r="D349" t="s">
        <v>488</v>
      </c>
      <c r="E349" s="112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0">
        <v>43018.568749999999</v>
      </c>
    </row>
    <row r="350" spans="1:21">
      <c r="A350">
        <v>489</v>
      </c>
      <c r="B350">
        <v>1</v>
      </c>
      <c r="C350" t="s">
        <v>489</v>
      </c>
      <c r="D350" t="s">
        <v>489</v>
      </c>
      <c r="E350" s="112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0">
        <v>43018.568749999999</v>
      </c>
    </row>
    <row r="351" spans="1:21">
      <c r="A351">
        <v>490</v>
      </c>
      <c r="B351">
        <v>1</v>
      </c>
      <c r="C351" t="s">
        <v>490</v>
      </c>
      <c r="D351" t="s">
        <v>490</v>
      </c>
      <c r="E351" s="112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0">
        <v>43437.678472222222</v>
      </c>
    </row>
    <row r="352" spans="1:21">
      <c r="A352">
        <v>491</v>
      </c>
      <c r="B352">
        <v>0</v>
      </c>
      <c r="C352" t="s">
        <v>255</v>
      </c>
      <c r="D352" t="s">
        <v>255</v>
      </c>
      <c r="E352" s="112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0">
        <v>42312.498611111107</v>
      </c>
    </row>
    <row r="353" spans="1:21">
      <c r="A353">
        <v>492</v>
      </c>
      <c r="B353">
        <v>0</v>
      </c>
      <c r="C353" t="s">
        <v>491</v>
      </c>
      <c r="D353" t="s">
        <v>491</v>
      </c>
      <c r="E353" s="112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0">
        <v>42318.472222222219</v>
      </c>
    </row>
    <row r="354" spans="1:21">
      <c r="A354">
        <v>493</v>
      </c>
      <c r="B354">
        <v>0</v>
      </c>
      <c r="C354" t="s">
        <v>492</v>
      </c>
      <c r="D354" t="s">
        <v>492</v>
      </c>
      <c r="E354" s="112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0">
        <v>42390.62777777778</v>
      </c>
    </row>
    <row r="355" spans="1:21">
      <c r="A355">
        <v>494</v>
      </c>
      <c r="B355">
        <v>1</v>
      </c>
      <c r="C355" t="s">
        <v>493</v>
      </c>
      <c r="D355" t="s">
        <v>493</v>
      </c>
      <c r="E355" s="112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0">
        <v>42420.436805555553</v>
      </c>
    </row>
    <row r="356" spans="1:21">
      <c r="A356">
        <v>495</v>
      </c>
      <c r="B356">
        <v>1</v>
      </c>
      <c r="C356" t="s">
        <v>494</v>
      </c>
      <c r="D356" t="s">
        <v>495</v>
      </c>
      <c r="E356" s="112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0">
        <v>42420.436805555553</v>
      </c>
    </row>
    <row r="357" spans="1:21">
      <c r="A357">
        <v>496</v>
      </c>
      <c r="B357">
        <v>1</v>
      </c>
      <c r="C357" t="s">
        <v>496</v>
      </c>
      <c r="D357" t="s">
        <v>496</v>
      </c>
      <c r="E357" s="112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0">
        <v>42779.754166666673</v>
      </c>
    </row>
    <row r="358" spans="1:21">
      <c r="A358">
        <v>497</v>
      </c>
      <c r="B358">
        <v>1</v>
      </c>
      <c r="C358" t="s">
        <v>497</v>
      </c>
      <c r="D358" t="s">
        <v>497</v>
      </c>
      <c r="E358" s="112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0">
        <v>42415.618750000001</v>
      </c>
    </row>
    <row r="359" spans="1:21">
      <c r="A359">
        <v>498</v>
      </c>
      <c r="B359">
        <v>1</v>
      </c>
      <c r="C359" t="s">
        <v>498</v>
      </c>
      <c r="D359" t="s">
        <v>498</v>
      </c>
      <c r="E359" s="112"/>
      <c r="F359">
        <v>499</v>
      </c>
      <c r="G359">
        <v>1</v>
      </c>
      <c r="H359">
        <v>2</v>
      </c>
      <c r="I359">
        <v>0</v>
      </c>
      <c r="J359" t="s">
        <v>498</v>
      </c>
      <c r="K359">
        <v>0</v>
      </c>
      <c r="L359" t="s">
        <v>90</v>
      </c>
      <c r="M359">
        <v>0</v>
      </c>
      <c r="O359">
        <v>0</v>
      </c>
      <c r="Q359">
        <v>0</v>
      </c>
      <c r="S359">
        <v>0</v>
      </c>
      <c r="T359">
        <v>2</v>
      </c>
      <c r="U359" s="110">
        <v>42514.609027777777</v>
      </c>
    </row>
    <row r="360" spans="1:21">
      <c r="A360">
        <v>499</v>
      </c>
      <c r="B360">
        <v>1</v>
      </c>
      <c r="C360" t="s">
        <v>499</v>
      </c>
      <c r="D360" t="s">
        <v>499</v>
      </c>
      <c r="E360" s="112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0">
        <v>42514.609027777777</v>
      </c>
    </row>
    <row r="361" spans="1:21">
      <c r="A361">
        <v>500</v>
      </c>
      <c r="B361">
        <v>1</v>
      </c>
      <c r="C361" t="s">
        <v>500</v>
      </c>
      <c r="D361" t="s">
        <v>500</v>
      </c>
      <c r="E361" s="112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0">
        <v>42566.401388888888</v>
      </c>
    </row>
    <row r="362" spans="1:21">
      <c r="A362">
        <v>501</v>
      </c>
      <c r="B362">
        <v>1</v>
      </c>
      <c r="C362" t="s">
        <v>501</v>
      </c>
      <c r="D362" t="s">
        <v>501</v>
      </c>
      <c r="E362" s="112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0">
        <v>42566.401388888888</v>
      </c>
    </row>
    <row r="363" spans="1:21">
      <c r="A363">
        <v>502</v>
      </c>
      <c r="B363">
        <v>0</v>
      </c>
      <c r="C363" t="s">
        <v>502</v>
      </c>
      <c r="D363" t="s">
        <v>502</v>
      </c>
      <c r="E363" s="112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0">
        <v>41981.550694444442</v>
      </c>
    </row>
    <row r="364" spans="1:21">
      <c r="A364">
        <v>503</v>
      </c>
      <c r="B364">
        <v>0</v>
      </c>
      <c r="C364" t="s">
        <v>70</v>
      </c>
      <c r="D364" t="s">
        <v>70</v>
      </c>
      <c r="E364" s="112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0">
        <v>42571.453472222223</v>
      </c>
    </row>
    <row r="365" spans="1:21">
      <c r="A365">
        <v>504</v>
      </c>
      <c r="B365">
        <v>1</v>
      </c>
      <c r="C365" t="s">
        <v>503</v>
      </c>
      <c r="D365" t="s">
        <v>503</v>
      </c>
      <c r="E365" s="112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0">
        <v>42759.599305555559</v>
      </c>
    </row>
    <row r="366" spans="1:21">
      <c r="A366">
        <v>505</v>
      </c>
      <c r="B366">
        <v>1</v>
      </c>
      <c r="C366" t="s">
        <v>504</v>
      </c>
      <c r="D366" t="s">
        <v>504</v>
      </c>
      <c r="E366" s="112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0">
        <v>42759.598611111112</v>
      </c>
    </row>
    <row r="367" spans="1:21">
      <c r="A367">
        <v>506</v>
      </c>
      <c r="B367">
        <v>0</v>
      </c>
      <c r="C367" t="s">
        <v>505</v>
      </c>
      <c r="D367" t="s">
        <v>505</v>
      </c>
      <c r="E367" s="112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0">
        <v>42793.700694444437</v>
      </c>
    </row>
    <row r="368" spans="1:21">
      <c r="A368">
        <v>507</v>
      </c>
      <c r="B368">
        <v>0</v>
      </c>
      <c r="C368" t="s">
        <v>506</v>
      </c>
      <c r="D368" t="s">
        <v>506</v>
      </c>
      <c r="E368" s="112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0">
        <v>42793.700694444437</v>
      </c>
    </row>
    <row r="369" spans="1:21">
      <c r="A369">
        <v>508</v>
      </c>
      <c r="B369">
        <v>1</v>
      </c>
      <c r="C369" t="s">
        <v>507</v>
      </c>
      <c r="D369" t="s">
        <v>508</v>
      </c>
      <c r="E369" s="112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0">
        <v>42822.540972222218</v>
      </c>
    </row>
    <row r="370" spans="1:21">
      <c r="A370">
        <v>520</v>
      </c>
      <c r="B370">
        <v>1</v>
      </c>
      <c r="C370" t="s">
        <v>509</v>
      </c>
      <c r="D370" t="s">
        <v>510</v>
      </c>
      <c r="E370" s="112"/>
      <c r="F370">
        <v>521</v>
      </c>
      <c r="G370">
        <v>1</v>
      </c>
      <c r="H370">
        <v>2</v>
      </c>
      <c r="I370">
        <v>0</v>
      </c>
      <c r="J370" t="s">
        <v>510</v>
      </c>
      <c r="K370">
        <v>0</v>
      </c>
      <c r="L370" t="s">
        <v>140</v>
      </c>
      <c r="M370">
        <v>0</v>
      </c>
      <c r="N370" t="s">
        <v>90</v>
      </c>
      <c r="O370">
        <v>0</v>
      </c>
      <c r="Q370">
        <v>0</v>
      </c>
      <c r="S370">
        <v>0</v>
      </c>
      <c r="T370">
        <v>2</v>
      </c>
      <c r="U370" s="110">
        <v>43999.712500000001</v>
      </c>
    </row>
    <row r="371" spans="1:21">
      <c r="A371">
        <v>521</v>
      </c>
      <c r="B371">
        <v>1</v>
      </c>
      <c r="C371" t="s">
        <v>511</v>
      </c>
      <c r="D371" t="s">
        <v>510</v>
      </c>
      <c r="E371" s="112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0">
        <v>43364.460416666669</v>
      </c>
    </row>
    <row r="372" spans="1:21">
      <c r="A372">
        <v>522</v>
      </c>
      <c r="B372">
        <v>1</v>
      </c>
      <c r="C372" t="s">
        <v>243</v>
      </c>
      <c r="D372" t="s">
        <v>243</v>
      </c>
      <c r="E372" s="112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0">
        <v>42934.473611111112</v>
      </c>
    </row>
    <row r="373" spans="1:21">
      <c r="A373">
        <v>523</v>
      </c>
      <c r="B373">
        <v>1</v>
      </c>
      <c r="C373" t="s">
        <v>512</v>
      </c>
      <c r="D373" t="s">
        <v>512</v>
      </c>
      <c r="E373" s="112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0">
        <v>42935.651388888888</v>
      </c>
    </row>
    <row r="374" spans="1:21">
      <c r="A374">
        <v>524</v>
      </c>
      <c r="B374">
        <v>1</v>
      </c>
      <c r="C374" t="s">
        <v>513</v>
      </c>
      <c r="D374" t="s">
        <v>514</v>
      </c>
      <c r="E374" s="112"/>
      <c r="F374">
        <v>525</v>
      </c>
      <c r="G374">
        <v>1</v>
      </c>
      <c r="H374">
        <v>2</v>
      </c>
      <c r="I374">
        <v>0</v>
      </c>
      <c r="J374" t="s">
        <v>72</v>
      </c>
      <c r="K374">
        <v>1</v>
      </c>
      <c r="L374" t="s">
        <v>127</v>
      </c>
      <c r="M374">
        <v>1</v>
      </c>
      <c r="N374" t="s">
        <v>90</v>
      </c>
      <c r="O374">
        <v>0</v>
      </c>
      <c r="Q374">
        <v>0</v>
      </c>
      <c r="S374">
        <v>0</v>
      </c>
      <c r="T374">
        <v>2</v>
      </c>
      <c r="U374" s="110">
        <v>42948.600694444453</v>
      </c>
    </row>
    <row r="375" spans="1:21">
      <c r="A375">
        <v>525</v>
      </c>
      <c r="B375">
        <v>1</v>
      </c>
      <c r="C375" t="s">
        <v>515</v>
      </c>
      <c r="D375" t="s">
        <v>516</v>
      </c>
      <c r="E375" s="112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0">
        <v>42948.600694444453</v>
      </c>
    </row>
    <row r="376" spans="1:21">
      <c r="A376">
        <v>526</v>
      </c>
      <c r="B376">
        <v>1</v>
      </c>
      <c r="C376" t="s">
        <v>517</v>
      </c>
      <c r="D376" t="s">
        <v>518</v>
      </c>
      <c r="E376" s="112"/>
      <c r="F376">
        <v>527</v>
      </c>
      <c r="G376">
        <v>1</v>
      </c>
      <c r="H376">
        <v>2</v>
      </c>
      <c r="I376">
        <v>0</v>
      </c>
      <c r="J376" t="s">
        <v>518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110">
        <v>43391.706944444442</v>
      </c>
    </row>
    <row r="377" spans="1:21">
      <c r="A377">
        <v>527</v>
      </c>
      <c r="B377">
        <v>1</v>
      </c>
      <c r="C377" t="s">
        <v>519</v>
      </c>
      <c r="D377" t="s">
        <v>518</v>
      </c>
      <c r="E377" s="112"/>
      <c r="F377">
        <v>0</v>
      </c>
      <c r="G377">
        <v>1</v>
      </c>
      <c r="H377">
        <v>2</v>
      </c>
      <c r="I377">
        <v>0</v>
      </c>
      <c r="J377" t="s">
        <v>518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110">
        <v>43432.397916666669</v>
      </c>
    </row>
    <row r="378" spans="1:21">
      <c r="A378">
        <v>528</v>
      </c>
      <c r="B378">
        <v>1</v>
      </c>
      <c r="C378" t="s">
        <v>520</v>
      </c>
      <c r="D378" t="s">
        <v>521</v>
      </c>
      <c r="E378" s="112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90</v>
      </c>
      <c r="M378">
        <v>0</v>
      </c>
      <c r="N378" t="s">
        <v>522</v>
      </c>
      <c r="O378">
        <v>0</v>
      </c>
      <c r="Q378">
        <v>0</v>
      </c>
      <c r="S378">
        <v>0</v>
      </c>
      <c r="T378">
        <v>2</v>
      </c>
      <c r="U378" s="110">
        <v>43441.709027777782</v>
      </c>
    </row>
    <row r="379" spans="1:21">
      <c r="A379">
        <v>529</v>
      </c>
      <c r="B379">
        <v>0</v>
      </c>
      <c r="C379" t="s">
        <v>523</v>
      </c>
      <c r="D379" t="s">
        <v>523</v>
      </c>
      <c r="E379" s="112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90</v>
      </c>
      <c r="M379">
        <v>0</v>
      </c>
      <c r="N379" t="s">
        <v>522</v>
      </c>
      <c r="O379">
        <v>0</v>
      </c>
      <c r="Q379">
        <v>0</v>
      </c>
      <c r="S379">
        <v>0</v>
      </c>
      <c r="T379">
        <v>2</v>
      </c>
      <c r="U379" s="110">
        <v>43441.709027777782</v>
      </c>
    </row>
    <row r="380" spans="1:21">
      <c r="A380">
        <v>530</v>
      </c>
      <c r="B380">
        <v>1</v>
      </c>
      <c r="C380" t="s">
        <v>524</v>
      </c>
      <c r="D380" t="s">
        <v>525</v>
      </c>
      <c r="E380" s="112"/>
      <c r="F380">
        <v>531</v>
      </c>
      <c r="G380">
        <v>1</v>
      </c>
      <c r="H380">
        <v>2</v>
      </c>
      <c r="I380">
        <v>0</v>
      </c>
      <c r="J380" t="s">
        <v>384</v>
      </c>
      <c r="K380">
        <v>0</v>
      </c>
      <c r="L380" t="s">
        <v>526</v>
      </c>
      <c r="M380">
        <v>0</v>
      </c>
      <c r="N380" t="s">
        <v>90</v>
      </c>
      <c r="O380">
        <v>0</v>
      </c>
      <c r="Q380">
        <v>0</v>
      </c>
      <c r="S380">
        <v>0</v>
      </c>
      <c r="T380">
        <v>2</v>
      </c>
      <c r="U380" s="110">
        <v>43441.71597222222</v>
      </c>
    </row>
    <row r="381" spans="1:21">
      <c r="A381">
        <v>531</v>
      </c>
      <c r="B381">
        <v>1</v>
      </c>
      <c r="C381" t="s">
        <v>527</v>
      </c>
      <c r="D381" t="s">
        <v>527</v>
      </c>
      <c r="E381" s="112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0">
        <v>43441.710416666669</v>
      </c>
    </row>
    <row r="382" spans="1:21">
      <c r="A382">
        <v>532</v>
      </c>
      <c r="B382">
        <v>1</v>
      </c>
      <c r="C382" t="s">
        <v>528</v>
      </c>
      <c r="D382" t="s">
        <v>528</v>
      </c>
      <c r="E382" s="112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457</v>
      </c>
      <c r="S382">
        <v>0</v>
      </c>
      <c r="T382">
        <v>2</v>
      </c>
      <c r="U382" s="110">
        <v>43602.65902777778</v>
      </c>
    </row>
    <row r="383" spans="1:21">
      <c r="A383">
        <v>533</v>
      </c>
      <c r="B383">
        <v>1</v>
      </c>
      <c r="C383" t="s">
        <v>529</v>
      </c>
      <c r="D383" t="s">
        <v>529</v>
      </c>
      <c r="E383" s="112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0">
        <v>43602.65902777778</v>
      </c>
    </row>
    <row r="384" spans="1:21">
      <c r="A384">
        <v>534</v>
      </c>
      <c r="B384">
        <v>1</v>
      </c>
      <c r="C384" t="s">
        <v>530</v>
      </c>
      <c r="D384" t="s">
        <v>5</v>
      </c>
      <c r="E384" s="112"/>
      <c r="F384">
        <v>535</v>
      </c>
      <c r="G384">
        <v>0</v>
      </c>
      <c r="H384">
        <v>2</v>
      </c>
      <c r="I384">
        <v>0</v>
      </c>
      <c r="J384" t="s">
        <v>72</v>
      </c>
      <c r="K384">
        <v>1</v>
      </c>
      <c r="L384" t="s">
        <v>140</v>
      </c>
      <c r="M384">
        <v>0</v>
      </c>
      <c r="N384" t="s">
        <v>90</v>
      </c>
      <c r="O384">
        <v>0</v>
      </c>
      <c r="P384" t="s">
        <v>375</v>
      </c>
      <c r="Q384">
        <v>0</v>
      </c>
      <c r="R384" t="s">
        <v>376</v>
      </c>
      <c r="S384">
        <v>0</v>
      </c>
      <c r="T384">
        <v>2</v>
      </c>
      <c r="U384" s="110">
        <v>45737.613194444442</v>
      </c>
    </row>
    <row r="385" spans="1:21">
      <c r="A385">
        <v>535</v>
      </c>
      <c r="B385">
        <v>1</v>
      </c>
      <c r="C385" t="s">
        <v>531</v>
      </c>
      <c r="D385" t="s">
        <v>532</v>
      </c>
      <c r="E385" s="112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0">
        <v>45370.575694444437</v>
      </c>
    </row>
    <row r="386" spans="1:21">
      <c r="A386">
        <v>536</v>
      </c>
      <c r="B386">
        <v>1</v>
      </c>
      <c r="C386" t="s">
        <v>533</v>
      </c>
      <c r="D386" t="s">
        <v>533</v>
      </c>
      <c r="E386" s="112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0">
        <v>43712.543055555558</v>
      </c>
    </row>
    <row r="387" spans="1:21">
      <c r="A387">
        <v>537</v>
      </c>
      <c r="B387">
        <v>1</v>
      </c>
      <c r="C387" t="s">
        <v>534</v>
      </c>
      <c r="D387" t="s">
        <v>534</v>
      </c>
      <c r="E387" s="112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0">
        <v>43712.543749999997</v>
      </c>
    </row>
    <row r="388" spans="1:21">
      <c r="A388">
        <v>538</v>
      </c>
      <c r="B388">
        <v>1</v>
      </c>
      <c r="C388" t="s">
        <v>535</v>
      </c>
      <c r="D388" t="s">
        <v>535</v>
      </c>
      <c r="E388" s="112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0">
        <v>43712.544444444437</v>
      </c>
    </row>
    <row r="389" spans="1:21">
      <c r="A389">
        <v>539</v>
      </c>
      <c r="B389">
        <v>1</v>
      </c>
      <c r="C389" t="s">
        <v>536</v>
      </c>
      <c r="D389" t="s">
        <v>536</v>
      </c>
      <c r="E389" s="112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0">
        <v>43761.571527777778</v>
      </c>
    </row>
    <row r="390" spans="1:21">
      <c r="A390">
        <v>540</v>
      </c>
      <c r="B390">
        <v>1</v>
      </c>
      <c r="C390" t="s">
        <v>537</v>
      </c>
      <c r="D390" t="s">
        <v>537</v>
      </c>
      <c r="E390" s="112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0">
        <v>43761.571527777778</v>
      </c>
    </row>
    <row r="391" spans="1:21">
      <c r="A391">
        <v>541</v>
      </c>
      <c r="B391">
        <v>1</v>
      </c>
      <c r="C391" t="s">
        <v>538</v>
      </c>
      <c r="D391" t="s">
        <v>538</v>
      </c>
      <c r="E391" s="112"/>
      <c r="F391">
        <v>542</v>
      </c>
      <c r="G391">
        <v>1</v>
      </c>
      <c r="H391">
        <v>2</v>
      </c>
      <c r="I391">
        <v>0</v>
      </c>
      <c r="J391" t="s">
        <v>90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0">
        <v>43880.713194444441</v>
      </c>
    </row>
    <row r="392" spans="1:21">
      <c r="A392">
        <v>542</v>
      </c>
      <c r="B392">
        <v>1</v>
      </c>
      <c r="C392" t="s">
        <v>539</v>
      </c>
      <c r="D392" t="s">
        <v>539</v>
      </c>
      <c r="E392" s="112"/>
      <c r="F392">
        <v>0</v>
      </c>
      <c r="G392">
        <v>1</v>
      </c>
      <c r="H392">
        <v>2</v>
      </c>
      <c r="I392">
        <v>0</v>
      </c>
      <c r="J392" t="s">
        <v>90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0">
        <v>43889.402777777781</v>
      </c>
    </row>
    <row r="393" spans="1:21">
      <c r="A393">
        <v>543</v>
      </c>
      <c r="B393">
        <v>1</v>
      </c>
      <c r="C393" t="s">
        <v>540</v>
      </c>
      <c r="D393" t="s">
        <v>540</v>
      </c>
      <c r="E393" s="112"/>
      <c r="F393">
        <v>0</v>
      </c>
      <c r="G393">
        <v>1</v>
      </c>
      <c r="H393">
        <v>2</v>
      </c>
      <c r="I393">
        <v>0</v>
      </c>
      <c r="J393" t="s">
        <v>336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0">
        <v>44005.700694444437</v>
      </c>
    </row>
    <row r="394" spans="1:21">
      <c r="A394">
        <v>544</v>
      </c>
      <c r="B394">
        <v>1</v>
      </c>
      <c r="C394" t="s">
        <v>541</v>
      </c>
      <c r="D394" t="s">
        <v>542</v>
      </c>
      <c r="E394" s="112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0">
        <v>45244.493750000001</v>
      </c>
    </row>
    <row r="395" spans="1:21">
      <c r="A395">
        <v>545</v>
      </c>
      <c r="B395">
        <v>1</v>
      </c>
      <c r="C395" t="s">
        <v>543</v>
      </c>
      <c r="D395" t="s">
        <v>544</v>
      </c>
      <c r="E395" s="112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0">
        <v>44167.578472222223</v>
      </c>
    </row>
    <row r="396" spans="1:21">
      <c r="A396">
        <v>546</v>
      </c>
      <c r="B396">
        <v>1</v>
      </c>
      <c r="C396" t="s">
        <v>545</v>
      </c>
      <c r="D396" t="s">
        <v>545</v>
      </c>
      <c r="E396" s="112"/>
      <c r="F396">
        <v>547</v>
      </c>
      <c r="G396">
        <v>1</v>
      </c>
      <c r="H396">
        <v>0</v>
      </c>
      <c r="I396">
        <v>0</v>
      </c>
      <c r="J396" t="s">
        <v>546</v>
      </c>
      <c r="K396">
        <v>0</v>
      </c>
      <c r="L396" t="s">
        <v>90</v>
      </c>
      <c r="M396">
        <v>0</v>
      </c>
      <c r="O396">
        <v>0</v>
      </c>
      <c r="Q396">
        <v>0</v>
      </c>
      <c r="S396">
        <v>0</v>
      </c>
      <c r="T396">
        <v>2</v>
      </c>
      <c r="U396" s="110">
        <v>44532.731944444437</v>
      </c>
    </row>
    <row r="397" spans="1:21">
      <c r="A397">
        <v>547</v>
      </c>
      <c r="B397">
        <v>1</v>
      </c>
      <c r="C397" t="s">
        <v>547</v>
      </c>
      <c r="D397" t="s">
        <v>547</v>
      </c>
      <c r="E397" s="112"/>
      <c r="F397">
        <v>0</v>
      </c>
      <c r="G397">
        <v>1</v>
      </c>
      <c r="H397">
        <v>0</v>
      </c>
      <c r="I397">
        <v>0</v>
      </c>
      <c r="J397" t="s">
        <v>546</v>
      </c>
      <c r="K397">
        <v>0</v>
      </c>
      <c r="L397" t="s">
        <v>90</v>
      </c>
      <c r="M397">
        <v>0</v>
      </c>
      <c r="O397">
        <v>0</v>
      </c>
      <c r="Q397">
        <v>0</v>
      </c>
      <c r="S397">
        <v>0</v>
      </c>
      <c r="T397">
        <v>2</v>
      </c>
      <c r="U397" s="110">
        <v>44532.731944444437</v>
      </c>
    </row>
    <row r="398" spans="1:21">
      <c r="A398">
        <v>548</v>
      </c>
      <c r="B398">
        <v>1</v>
      </c>
      <c r="C398" t="s">
        <v>548</v>
      </c>
      <c r="D398" t="s">
        <v>548</v>
      </c>
      <c r="E398" s="112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0">
        <v>45824.486805555563</v>
      </c>
    </row>
    <row r="399" spans="1:21">
      <c r="A399">
        <v>549</v>
      </c>
      <c r="B399">
        <v>1</v>
      </c>
      <c r="C399" t="s">
        <v>549</v>
      </c>
      <c r="D399" t="s">
        <v>549</v>
      </c>
      <c r="E399" s="112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0">
        <v>45064.607638888891</v>
      </c>
    </row>
    <row r="400" spans="1:21">
      <c r="A400">
        <v>550</v>
      </c>
      <c r="B400">
        <v>1</v>
      </c>
      <c r="C400" t="s">
        <v>550</v>
      </c>
      <c r="D400" t="s">
        <v>551</v>
      </c>
      <c r="E400" s="112">
        <v>100</v>
      </c>
      <c r="F400">
        <v>551</v>
      </c>
      <c r="G400">
        <v>1</v>
      </c>
      <c r="H400">
        <v>2</v>
      </c>
      <c r="I400">
        <v>0</v>
      </c>
      <c r="J400" t="s">
        <v>72</v>
      </c>
      <c r="K400">
        <v>1</v>
      </c>
      <c r="L400" t="s">
        <v>90</v>
      </c>
      <c r="M400">
        <v>0</v>
      </c>
      <c r="N400" t="s">
        <v>551</v>
      </c>
      <c r="O400">
        <v>0</v>
      </c>
      <c r="Q400">
        <v>0</v>
      </c>
      <c r="S400">
        <v>0</v>
      </c>
      <c r="T400">
        <v>3</v>
      </c>
      <c r="U400" s="110">
        <v>44937.614583333343</v>
      </c>
    </row>
    <row r="401" spans="1:21">
      <c r="A401">
        <v>551</v>
      </c>
      <c r="B401">
        <v>0</v>
      </c>
      <c r="C401" t="s">
        <v>552</v>
      </c>
      <c r="D401" t="s">
        <v>552</v>
      </c>
      <c r="E401" s="112">
        <v>100</v>
      </c>
      <c r="F401">
        <v>0</v>
      </c>
      <c r="G401">
        <v>1</v>
      </c>
      <c r="H401">
        <v>2</v>
      </c>
      <c r="I401">
        <v>0</v>
      </c>
      <c r="J401" t="s">
        <v>72</v>
      </c>
      <c r="K401">
        <v>1</v>
      </c>
      <c r="L401" t="s">
        <v>90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110">
        <v>44910.572916666657</v>
      </c>
    </row>
    <row r="402" spans="1:21">
      <c r="A402">
        <v>552</v>
      </c>
      <c r="B402">
        <v>1</v>
      </c>
      <c r="C402" t="s">
        <v>553</v>
      </c>
      <c r="D402" t="s">
        <v>553</v>
      </c>
      <c r="E402" s="112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0">
        <v>44973.67083333333</v>
      </c>
    </row>
    <row r="403" spans="1:21">
      <c r="A403">
        <v>553</v>
      </c>
      <c r="B403">
        <v>1</v>
      </c>
      <c r="C403" t="s">
        <v>554</v>
      </c>
      <c r="D403" t="s">
        <v>554</v>
      </c>
      <c r="E403" s="112"/>
      <c r="F403">
        <v>554</v>
      </c>
      <c r="G403">
        <v>1</v>
      </c>
      <c r="H403">
        <v>2</v>
      </c>
      <c r="I403">
        <v>30</v>
      </c>
      <c r="J403" t="s">
        <v>555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110">
        <v>45211.456944444442</v>
      </c>
    </row>
    <row r="404" spans="1:21">
      <c r="A404">
        <v>554</v>
      </c>
      <c r="B404">
        <v>1</v>
      </c>
      <c r="C404" t="s">
        <v>554</v>
      </c>
      <c r="D404" t="s">
        <v>554</v>
      </c>
      <c r="E404" s="112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0">
        <v>44974.561111111107</v>
      </c>
    </row>
    <row r="405" spans="1:21">
      <c r="A405">
        <v>555</v>
      </c>
      <c r="B405">
        <v>1</v>
      </c>
      <c r="C405" t="s">
        <v>556</v>
      </c>
      <c r="D405" t="s">
        <v>556</v>
      </c>
      <c r="E405" s="112"/>
      <c r="F405">
        <v>556</v>
      </c>
      <c r="G405">
        <v>1</v>
      </c>
      <c r="H405">
        <v>2</v>
      </c>
      <c r="I405">
        <v>0</v>
      </c>
      <c r="J405" t="s">
        <v>72</v>
      </c>
      <c r="K405">
        <v>1</v>
      </c>
      <c r="L405" t="s">
        <v>362</v>
      </c>
      <c r="M405">
        <v>0</v>
      </c>
      <c r="N405" t="s">
        <v>363</v>
      </c>
      <c r="O405">
        <v>0</v>
      </c>
      <c r="P405" t="s">
        <v>364</v>
      </c>
      <c r="Q405">
        <v>0</v>
      </c>
      <c r="R405" t="s">
        <v>141</v>
      </c>
      <c r="S405">
        <v>0</v>
      </c>
      <c r="T405">
        <v>2</v>
      </c>
      <c r="U405" s="110">
        <v>45824.481944444437</v>
      </c>
    </row>
    <row r="406" spans="1:21">
      <c r="A406">
        <v>556</v>
      </c>
      <c r="B406">
        <v>1</v>
      </c>
      <c r="C406" t="s">
        <v>557</v>
      </c>
      <c r="D406" t="s">
        <v>557</v>
      </c>
      <c r="E406" s="112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0">
        <v>45824.481944444437</v>
      </c>
    </row>
    <row r="407" spans="1:21">
      <c r="A407">
        <v>557</v>
      </c>
      <c r="B407">
        <v>0</v>
      </c>
      <c r="C407" t="s">
        <v>558</v>
      </c>
      <c r="D407" t="s">
        <v>558</v>
      </c>
      <c r="E407" s="112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0">
        <v>45170.594444444447</v>
      </c>
    </row>
    <row r="408" spans="1:21">
      <c r="A408">
        <v>558</v>
      </c>
      <c r="B408">
        <v>1</v>
      </c>
      <c r="C408" t="s">
        <v>559</v>
      </c>
      <c r="D408" t="s">
        <v>559</v>
      </c>
      <c r="E408" s="112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0">
        <v>45226.445833333331</v>
      </c>
    </row>
    <row r="409" spans="1:21">
      <c r="A409">
        <v>559</v>
      </c>
      <c r="B409">
        <v>1</v>
      </c>
      <c r="C409" t="s">
        <v>560</v>
      </c>
      <c r="D409" t="s">
        <v>560</v>
      </c>
      <c r="E409" s="112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0">
        <v>45226.445833333331</v>
      </c>
    </row>
    <row r="410" spans="1:21">
      <c r="A410">
        <v>560</v>
      </c>
      <c r="B410">
        <v>1</v>
      </c>
      <c r="C410" t="s">
        <v>561</v>
      </c>
      <c r="D410" t="s">
        <v>561</v>
      </c>
      <c r="E410" s="112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0">
        <v>45226.446527777778</v>
      </c>
    </row>
    <row r="411" spans="1:21">
      <c r="A411">
        <v>561</v>
      </c>
      <c r="B411">
        <v>1</v>
      </c>
      <c r="C411" t="s">
        <v>562</v>
      </c>
      <c r="D411" t="s">
        <v>562</v>
      </c>
      <c r="E411" s="112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0">
        <v>45226.446527777778</v>
      </c>
    </row>
    <row r="412" spans="1:21">
      <c r="A412">
        <v>562</v>
      </c>
      <c r="B412">
        <v>1</v>
      </c>
      <c r="C412" t="s">
        <v>563</v>
      </c>
      <c r="D412" t="s">
        <v>563</v>
      </c>
      <c r="E412" s="112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0">
        <v>45216.566666666673</v>
      </c>
    </row>
    <row r="413" spans="1:21">
      <c r="A413">
        <v>563</v>
      </c>
      <c r="B413">
        <v>1</v>
      </c>
      <c r="C413" t="s">
        <v>564</v>
      </c>
      <c r="D413" t="s">
        <v>565</v>
      </c>
      <c r="E413" s="112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0">
        <v>45370.57708333333</v>
      </c>
    </row>
    <row r="414" spans="1:21">
      <c r="A414">
        <v>564</v>
      </c>
      <c r="B414">
        <v>1</v>
      </c>
      <c r="C414" t="s">
        <v>566</v>
      </c>
      <c r="D414" t="s">
        <v>565</v>
      </c>
      <c r="E414" s="112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0">
        <v>45370.578472222223</v>
      </c>
    </row>
    <row r="415" spans="1:21">
      <c r="A415">
        <v>570</v>
      </c>
      <c r="B415">
        <v>1</v>
      </c>
      <c r="C415" t="s">
        <v>567</v>
      </c>
      <c r="D415" t="s">
        <v>567</v>
      </c>
      <c r="E415" s="112"/>
      <c r="F415">
        <v>0</v>
      </c>
      <c r="G415">
        <v>3</v>
      </c>
      <c r="H415">
        <v>2</v>
      </c>
      <c r="I415">
        <v>0</v>
      </c>
      <c r="J415" t="s">
        <v>347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0">
        <v>45279.568055555559</v>
      </c>
    </row>
    <row r="416" spans="1:21">
      <c r="A416">
        <v>571</v>
      </c>
      <c r="B416">
        <v>1</v>
      </c>
      <c r="C416" t="s">
        <v>568</v>
      </c>
      <c r="D416" t="s">
        <v>569</v>
      </c>
      <c r="E416" s="112"/>
      <c r="F416">
        <v>0</v>
      </c>
      <c r="G416">
        <v>3</v>
      </c>
      <c r="H416">
        <v>2</v>
      </c>
      <c r="I416">
        <v>0</v>
      </c>
      <c r="J416" t="s">
        <v>570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0">
        <v>45279.568749999999</v>
      </c>
    </row>
    <row r="417" spans="1:21">
      <c r="A417">
        <v>572</v>
      </c>
      <c r="B417">
        <v>1</v>
      </c>
      <c r="C417" t="s">
        <v>571</v>
      </c>
      <c r="D417" t="s">
        <v>571</v>
      </c>
      <c r="E417" s="112"/>
      <c r="F417">
        <v>0</v>
      </c>
      <c r="G417">
        <v>3</v>
      </c>
      <c r="H417">
        <v>2</v>
      </c>
      <c r="I417">
        <v>0</v>
      </c>
      <c r="J417" t="s">
        <v>572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0">
        <v>45279.571527777778</v>
      </c>
    </row>
    <row r="418" spans="1:21">
      <c r="A418">
        <v>573</v>
      </c>
      <c r="B418">
        <v>1</v>
      </c>
      <c r="C418" t="s">
        <v>573</v>
      </c>
      <c r="D418" t="s">
        <v>573</v>
      </c>
      <c r="E418" s="112"/>
      <c r="F418">
        <v>0</v>
      </c>
      <c r="G418">
        <v>3</v>
      </c>
      <c r="H418">
        <v>2</v>
      </c>
      <c r="I418">
        <v>0</v>
      </c>
      <c r="J418" t="s">
        <v>574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0">
        <v>45306.5625</v>
      </c>
    </row>
    <row r="419" spans="1:21">
      <c r="A419">
        <v>574</v>
      </c>
      <c r="B419">
        <v>1</v>
      </c>
      <c r="C419" t="s">
        <v>575</v>
      </c>
      <c r="D419" t="s">
        <v>575</v>
      </c>
      <c r="E419" s="112"/>
      <c r="F419">
        <v>0</v>
      </c>
      <c r="G419">
        <v>3</v>
      </c>
      <c r="H419">
        <v>2</v>
      </c>
      <c r="I419">
        <v>0</v>
      </c>
      <c r="J419" t="s">
        <v>576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0">
        <v>45279.572916666657</v>
      </c>
    </row>
    <row r="420" spans="1:21">
      <c r="A420">
        <v>575</v>
      </c>
      <c r="B420">
        <v>1</v>
      </c>
      <c r="C420" t="s">
        <v>532</v>
      </c>
      <c r="D420" t="s">
        <v>577</v>
      </c>
      <c r="E420" s="112"/>
      <c r="F420">
        <v>576</v>
      </c>
      <c r="G420">
        <v>0</v>
      </c>
      <c r="H420">
        <v>2</v>
      </c>
      <c r="I420">
        <v>0</v>
      </c>
      <c r="J420" t="s">
        <v>72</v>
      </c>
      <c r="K420">
        <v>1</v>
      </c>
      <c r="L420" t="s">
        <v>140</v>
      </c>
      <c r="M420">
        <v>0</v>
      </c>
      <c r="N420" t="s">
        <v>90</v>
      </c>
      <c r="O420">
        <v>0</v>
      </c>
      <c r="P420" t="s">
        <v>375</v>
      </c>
      <c r="Q420">
        <v>0</v>
      </c>
      <c r="R420" t="s">
        <v>376</v>
      </c>
      <c r="S420">
        <v>0</v>
      </c>
      <c r="T420">
        <v>2</v>
      </c>
      <c r="U420" s="110">
        <v>45737.614583333343</v>
      </c>
    </row>
    <row r="421" spans="1:21">
      <c r="A421">
        <v>576</v>
      </c>
      <c r="B421">
        <v>1</v>
      </c>
      <c r="C421" t="s">
        <v>578</v>
      </c>
      <c r="D421" t="s">
        <v>578</v>
      </c>
      <c r="E421" s="112"/>
      <c r="F421">
        <v>0</v>
      </c>
      <c r="G421">
        <v>1</v>
      </c>
      <c r="H421">
        <v>2</v>
      </c>
      <c r="I421">
        <v>0</v>
      </c>
      <c r="J421" t="s">
        <v>72</v>
      </c>
      <c r="K421">
        <v>1</v>
      </c>
      <c r="L421" t="s">
        <v>579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110">
        <v>45748.4</v>
      </c>
    </row>
    <row r="422" spans="1:21">
      <c r="A422">
        <v>600</v>
      </c>
      <c r="B422">
        <v>1</v>
      </c>
      <c r="C422" t="s">
        <v>580</v>
      </c>
      <c r="D422" t="s">
        <v>580</v>
      </c>
      <c r="E422" s="112"/>
      <c r="F422">
        <v>601</v>
      </c>
      <c r="G422">
        <v>1</v>
      </c>
      <c r="H422">
        <v>2</v>
      </c>
      <c r="I422">
        <v>0</v>
      </c>
      <c r="J422" t="s">
        <v>581</v>
      </c>
      <c r="K422">
        <v>0</v>
      </c>
      <c r="L422" t="s">
        <v>90</v>
      </c>
      <c r="M422">
        <v>0</v>
      </c>
      <c r="O422">
        <v>0</v>
      </c>
      <c r="Q422">
        <v>0</v>
      </c>
      <c r="S422">
        <v>0</v>
      </c>
      <c r="T422">
        <v>6</v>
      </c>
      <c r="U422" s="110">
        <v>43433.401388888888</v>
      </c>
    </row>
    <row r="423" spans="1:21">
      <c r="A423">
        <v>601</v>
      </c>
      <c r="B423">
        <v>1</v>
      </c>
      <c r="C423" t="s">
        <v>582</v>
      </c>
      <c r="D423" t="s">
        <v>582</v>
      </c>
      <c r="E423" s="112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0">
        <v>43433.401388888888</v>
      </c>
    </row>
    <row r="424" spans="1:21">
      <c r="A424">
        <v>602</v>
      </c>
      <c r="B424">
        <v>0</v>
      </c>
      <c r="C424" t="s">
        <v>583</v>
      </c>
      <c r="D424" t="s">
        <v>583</v>
      </c>
      <c r="E424" s="112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0">
        <v>42674.584027777782</v>
      </c>
    </row>
    <row r="425" spans="1:21">
      <c r="A425">
        <v>603</v>
      </c>
      <c r="B425">
        <v>1</v>
      </c>
      <c r="C425" t="s">
        <v>453</v>
      </c>
      <c r="D425" t="s">
        <v>453</v>
      </c>
      <c r="E425" s="112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0">
        <v>42682.54791666667</v>
      </c>
    </row>
    <row r="426" spans="1:21">
      <c r="A426">
        <v>604</v>
      </c>
      <c r="B426">
        <v>1</v>
      </c>
      <c r="C426" t="s">
        <v>584</v>
      </c>
      <c r="D426" t="s">
        <v>584</v>
      </c>
      <c r="E426" s="112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0">
        <v>42711.476388888892</v>
      </c>
    </row>
    <row r="427" spans="1:21">
      <c r="A427">
        <v>605</v>
      </c>
      <c r="B427">
        <v>1</v>
      </c>
      <c r="C427" t="s">
        <v>585</v>
      </c>
      <c r="D427" t="s">
        <v>585</v>
      </c>
      <c r="E427" s="112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0">
        <v>43529.595138888893</v>
      </c>
    </row>
    <row r="428" spans="1:21">
      <c r="A428">
        <v>606</v>
      </c>
      <c r="B428">
        <v>1</v>
      </c>
      <c r="C428" t="s">
        <v>585</v>
      </c>
      <c r="D428" t="s">
        <v>585</v>
      </c>
      <c r="E428" s="112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0">
        <v>43529.595138888893</v>
      </c>
    </row>
    <row r="429" spans="1:21">
      <c r="A429">
        <v>607</v>
      </c>
      <c r="B429">
        <v>1</v>
      </c>
      <c r="C429" t="s">
        <v>586</v>
      </c>
      <c r="D429" t="s">
        <v>586</v>
      </c>
      <c r="E429" s="112"/>
      <c r="F429">
        <v>608</v>
      </c>
      <c r="G429">
        <v>0</v>
      </c>
      <c r="H429">
        <v>1</v>
      </c>
      <c r="I429">
        <v>0</v>
      </c>
      <c r="J429" t="s">
        <v>72</v>
      </c>
      <c r="K429">
        <v>1</v>
      </c>
      <c r="L429" t="s">
        <v>140</v>
      </c>
      <c r="M429">
        <v>0</v>
      </c>
      <c r="N429" t="s">
        <v>90</v>
      </c>
      <c r="O429">
        <v>0</v>
      </c>
      <c r="P429" t="s">
        <v>375</v>
      </c>
      <c r="Q429">
        <v>0</v>
      </c>
      <c r="R429" t="s">
        <v>376</v>
      </c>
      <c r="S429">
        <v>0</v>
      </c>
      <c r="T429">
        <v>7</v>
      </c>
      <c r="U429" s="110">
        <v>45097.661805555559</v>
      </c>
    </row>
    <row r="430" spans="1:21">
      <c r="A430">
        <v>608</v>
      </c>
      <c r="B430">
        <v>1</v>
      </c>
      <c r="C430" t="s">
        <v>586</v>
      </c>
      <c r="D430" t="s">
        <v>586</v>
      </c>
      <c r="E430" s="112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0">
        <v>45097.658333333333</v>
      </c>
    </row>
    <row r="431" spans="1:21">
      <c r="A431">
        <v>609</v>
      </c>
      <c r="B431">
        <v>1</v>
      </c>
      <c r="C431" t="s">
        <v>587</v>
      </c>
      <c r="D431" t="s">
        <v>587</v>
      </c>
      <c r="E431" s="112"/>
      <c r="F431">
        <v>610</v>
      </c>
      <c r="G431">
        <v>0</v>
      </c>
      <c r="H431">
        <v>1</v>
      </c>
      <c r="I431">
        <v>0</v>
      </c>
      <c r="J431" t="s">
        <v>72</v>
      </c>
      <c r="K431">
        <v>1</v>
      </c>
      <c r="L431" t="s">
        <v>140</v>
      </c>
      <c r="M431">
        <v>0</v>
      </c>
      <c r="N431" t="s">
        <v>90</v>
      </c>
      <c r="O431">
        <v>0</v>
      </c>
      <c r="P431" t="s">
        <v>375</v>
      </c>
      <c r="Q431">
        <v>0</v>
      </c>
      <c r="R431" t="s">
        <v>376</v>
      </c>
      <c r="S431">
        <v>0</v>
      </c>
      <c r="T431">
        <v>7</v>
      </c>
      <c r="U431" s="110">
        <v>45097.662499999999</v>
      </c>
    </row>
    <row r="432" spans="1:21">
      <c r="A432">
        <v>610</v>
      </c>
      <c r="B432">
        <v>1</v>
      </c>
      <c r="C432" t="s">
        <v>587</v>
      </c>
      <c r="D432" t="s">
        <v>587</v>
      </c>
      <c r="E432" s="112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0">
        <v>45097.662499999999</v>
      </c>
    </row>
    <row r="433" spans="1:21">
      <c r="A433">
        <v>611</v>
      </c>
      <c r="B433">
        <v>1</v>
      </c>
      <c r="C433" t="s">
        <v>588</v>
      </c>
      <c r="D433" t="s">
        <v>588</v>
      </c>
      <c r="E433" s="112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0">
        <v>45098.629861111112</v>
      </c>
    </row>
    <row r="434" spans="1:21">
      <c r="A434">
        <v>612</v>
      </c>
      <c r="B434">
        <v>1</v>
      </c>
      <c r="C434" t="s">
        <v>588</v>
      </c>
      <c r="D434" t="s">
        <v>588</v>
      </c>
      <c r="E434" s="112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0">
        <v>45098.629861111112</v>
      </c>
    </row>
    <row r="435" spans="1:21">
      <c r="A435">
        <v>613</v>
      </c>
      <c r="B435">
        <v>1</v>
      </c>
      <c r="C435" t="s">
        <v>365</v>
      </c>
      <c r="D435" t="s">
        <v>365</v>
      </c>
      <c r="E435" s="112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0">
        <v>45581.526388888888</v>
      </c>
    </row>
    <row r="436" spans="1:21">
      <c r="A436">
        <v>614</v>
      </c>
      <c r="B436">
        <v>1</v>
      </c>
      <c r="C436" t="s">
        <v>589</v>
      </c>
      <c r="D436" t="s">
        <v>589</v>
      </c>
      <c r="E436" s="112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0">
        <v>45581.526388888888</v>
      </c>
    </row>
    <row r="437" spans="1:21">
      <c r="A437">
        <v>615</v>
      </c>
      <c r="B437">
        <v>0</v>
      </c>
      <c r="C437" t="s">
        <v>590</v>
      </c>
      <c r="D437" t="s">
        <v>590</v>
      </c>
      <c r="E437" s="112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2025-10-05T20:00:26Z</dcterms:modified>
</cp:coreProperties>
</file>