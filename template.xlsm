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AE78DF1A-6FA9-4CC8-98FF-FE3C22A08F1B}" xr6:coauthVersionLast="47" xr6:coauthVersionMax="47" xr10:uidLastSave="{00000000-0000-0000-0000-000000000000}"/>
  <bookViews>
    <workbookView xWindow="-108" yWindow="-108" windowWidth="23256" windowHeight="13896" firstSheet="2" activeTab="2" xr2:uid="{00000000-000D-0000-FFFF-FFFF00000000}"/>
  </bookViews>
  <sheets>
    <sheet name="貼り付け用" sheetId="1" state="hidden" r:id="rId1"/>
    <sheet name="数出表_Excel" sheetId="2" state="hidden" r:id="rId2"/>
    <sheet name="数出表_Excel（アレルギー入力）" sheetId="3" r:id="rId3"/>
    <sheet name="まとめ札" sheetId="4" state="hidden" r:id="rId4"/>
    <sheet name="先生札" sheetId="5" state="hidden" r:id="rId5"/>
    <sheet name="社食等の札" sheetId="6" state="hidden" r:id="rId6"/>
    <sheet name="盛付札（関数）" sheetId="7" state="hidden" r:id="rId7"/>
    <sheet name="札_まとめ（印刷用）" sheetId="8" r:id="rId8"/>
    <sheet name="商品マスタ一覧" sheetId="9" state="hidden" r:id="rId9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N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50" i="3" l="1"/>
  <c r="FA168" i="7" l="1"/>
  <c r="FB167" i="7"/>
  <c r="FH166" i="7"/>
  <c r="FG166" i="7" s="1"/>
  <c r="FA166" i="7"/>
  <c r="EV166" i="7"/>
  <c r="FB165" i="7"/>
  <c r="EV165" i="7"/>
  <c r="FH165" i="7" s="1"/>
  <c r="FG165" i="7" s="1"/>
  <c r="FF164" i="7"/>
  <c r="FE164" i="7"/>
  <c r="FD164" i="7"/>
  <c r="FC164" i="7"/>
  <c r="FA164" i="7"/>
  <c r="EZ164" i="7"/>
  <c r="EY164" i="7"/>
  <c r="FF163" i="7"/>
  <c r="FE163" i="7"/>
  <c r="FD163" i="7"/>
  <c r="FC163" i="7"/>
  <c r="FA163" i="7"/>
  <c r="EZ163" i="7"/>
  <c r="EY163" i="7"/>
  <c r="FF162" i="7"/>
  <c r="FE162" i="7"/>
  <c r="FD162" i="7"/>
  <c r="FC162" i="7"/>
  <c r="FA162" i="7"/>
  <c r="EZ162" i="7"/>
  <c r="EY162" i="7"/>
  <c r="FF161" i="7"/>
  <c r="FE161" i="7"/>
  <c r="FD161" i="7"/>
  <c r="FC161" i="7"/>
  <c r="FA161" i="7"/>
  <c r="EZ161" i="7"/>
  <c r="EY161" i="7"/>
  <c r="FF160" i="7"/>
  <c r="FE160" i="7"/>
  <c r="FD160" i="7"/>
  <c r="FC160" i="7"/>
  <c r="FA160" i="7"/>
  <c r="EZ160" i="7"/>
  <c r="EY160" i="7"/>
  <c r="FF159" i="7"/>
  <c r="FE159" i="7"/>
  <c r="FD159" i="7"/>
  <c r="FC159" i="7"/>
  <c r="FA159" i="7"/>
  <c r="EZ159" i="7"/>
  <c r="EY159" i="7"/>
  <c r="FF158" i="7"/>
  <c r="FE158" i="7"/>
  <c r="FD158" i="7"/>
  <c r="FC158" i="7"/>
  <c r="FA158" i="7"/>
  <c r="EZ158" i="7"/>
  <c r="EY158" i="7"/>
  <c r="FF157" i="7"/>
  <c r="FE157" i="7"/>
  <c r="FD157" i="7"/>
  <c r="FC157" i="7"/>
  <c r="FA157" i="7"/>
  <c r="EZ157" i="7"/>
  <c r="EY157" i="7"/>
  <c r="EX156" i="7"/>
  <c r="EX155" i="7"/>
  <c r="EX154" i="7"/>
  <c r="EX153" i="7"/>
  <c r="EX152" i="7"/>
  <c r="EX151" i="7"/>
  <c r="EX150" i="7"/>
  <c r="EX149" i="7"/>
  <c r="EX148" i="7"/>
  <c r="EX147" i="7"/>
  <c r="EX146" i="7"/>
  <c r="EX145" i="7"/>
  <c r="EX144" i="7"/>
  <c r="EX143" i="7"/>
  <c r="EX142" i="7"/>
  <c r="EX141" i="7"/>
  <c r="EX140" i="7"/>
  <c r="EX139" i="7"/>
  <c r="EX138" i="7"/>
  <c r="EX137" i="7"/>
  <c r="EX136" i="7"/>
  <c r="EX135" i="7"/>
  <c r="EX134" i="7"/>
  <c r="EX133" i="7"/>
  <c r="EX132" i="7"/>
  <c r="EX131" i="7"/>
  <c r="EX130" i="7"/>
  <c r="EX129" i="7"/>
  <c r="EX128" i="7"/>
  <c r="EX127" i="7"/>
  <c r="EX126" i="7"/>
  <c r="EX125" i="7"/>
  <c r="FG124" i="7"/>
  <c r="FD124" i="7"/>
  <c r="FC124" i="7"/>
  <c r="EV124" i="7"/>
  <c r="FG123" i="7"/>
  <c r="FA123" i="7"/>
  <c r="EV123" i="7"/>
  <c r="FG122" i="7"/>
  <c r="EV122" i="7"/>
  <c r="FG121" i="7"/>
  <c r="EV121" i="7"/>
  <c r="EU107" i="7"/>
  <c r="EU111" i="7" s="1"/>
  <c r="EU115" i="7" s="1"/>
  <c r="EU119" i="7" s="1"/>
  <c r="EU106" i="7"/>
  <c r="EU110" i="7" s="1"/>
  <c r="EU114" i="7" s="1"/>
  <c r="EU118" i="7" s="1"/>
  <c r="EU105" i="7"/>
  <c r="EU109" i="7" s="1"/>
  <c r="EU113" i="7" s="1"/>
  <c r="EU117" i="7" s="1"/>
  <c r="EU104" i="7"/>
  <c r="EU108" i="7" s="1"/>
  <c r="EU112" i="7" s="1"/>
  <c r="EU116" i="7" s="1"/>
  <c r="EU120" i="7" s="1"/>
  <c r="EU102" i="7"/>
  <c r="EU83" i="7"/>
  <c r="EU87" i="7" s="1"/>
  <c r="EU91" i="7" s="1"/>
  <c r="EU95" i="7" s="1"/>
  <c r="EU82" i="7"/>
  <c r="EU86" i="7" s="1"/>
  <c r="EU90" i="7" s="1"/>
  <c r="EU94" i="7" s="1"/>
  <c r="EU81" i="7"/>
  <c r="EU85" i="7" s="1"/>
  <c r="EU89" i="7" s="1"/>
  <c r="EU93" i="7" s="1"/>
  <c r="EU80" i="7"/>
  <c r="EU84" i="7" s="1"/>
  <c r="EU88" i="7" s="1"/>
  <c r="EU92" i="7" s="1"/>
  <c r="EU96" i="7" s="1"/>
  <c r="EU78" i="7"/>
  <c r="EU60" i="7"/>
  <c r="EU64" i="7" s="1"/>
  <c r="EU68" i="7" s="1"/>
  <c r="EU72" i="7" s="1"/>
  <c r="EU59" i="7"/>
  <c r="EU63" i="7" s="1"/>
  <c r="EU67" i="7" s="1"/>
  <c r="EU71" i="7" s="1"/>
  <c r="EU57" i="7"/>
  <c r="EU61" i="7" s="1"/>
  <c r="EU65" i="7" s="1"/>
  <c r="EU69" i="7" s="1"/>
  <c r="EU56" i="7"/>
  <c r="EU54" i="7"/>
  <c r="EU58" i="7" s="1"/>
  <c r="EU62" i="7" s="1"/>
  <c r="EU66" i="7" s="1"/>
  <c r="EU70" i="7" s="1"/>
  <c r="EU35" i="7"/>
  <c r="EU39" i="7" s="1"/>
  <c r="EU43" i="7" s="1"/>
  <c r="EU47" i="7" s="1"/>
  <c r="EU34" i="7"/>
  <c r="EU38" i="7" s="1"/>
  <c r="EU42" i="7" s="1"/>
  <c r="EU46" i="7" s="1"/>
  <c r="EU33" i="7"/>
  <c r="EU37" i="7" s="1"/>
  <c r="EU41" i="7" s="1"/>
  <c r="EU45" i="7" s="1"/>
  <c r="EU32" i="7"/>
  <c r="EU36" i="7" s="1"/>
  <c r="EU40" i="7" s="1"/>
  <c r="EU44" i="7" s="1"/>
  <c r="EU48" i="7" s="1"/>
  <c r="EU30" i="7"/>
  <c r="EU24" i="7"/>
  <c r="EU20" i="7"/>
  <c r="EU15" i="7"/>
  <c r="EU19" i="7" s="1"/>
  <c r="EU23" i="7" s="1"/>
  <c r="EU13" i="7"/>
  <c r="EU17" i="7" s="1"/>
  <c r="EU21" i="7" s="1"/>
  <c r="EU12" i="7"/>
  <c r="EU16" i="7" s="1"/>
  <c r="EU11" i="7"/>
  <c r="EU9" i="7"/>
  <c r="EU8" i="7"/>
  <c r="EU6" i="7"/>
  <c r="EU10" i="7" s="1"/>
  <c r="EU14" i="7" s="1"/>
  <c r="EU18" i="7" s="1"/>
  <c r="EU22" i="7" s="1"/>
  <c r="B6" i="6"/>
  <c r="EX124" i="7" s="1"/>
  <c r="M8" i="4"/>
  <c r="N8" i="4" s="1"/>
  <c r="H8" i="4" s="1"/>
  <c r="I8" i="4" s="1"/>
  <c r="L8" i="4"/>
  <c r="E8" i="4"/>
  <c r="A8" i="4"/>
  <c r="M7" i="4"/>
  <c r="L7" i="4"/>
  <c r="E7" i="4"/>
  <c r="A7" i="4"/>
  <c r="M6" i="4"/>
  <c r="N6" i="4" s="1"/>
  <c r="H6" i="4" s="1"/>
  <c r="I6" i="4" s="1"/>
  <c r="L6" i="4"/>
  <c r="E6" i="4"/>
  <c r="A6" i="4"/>
  <c r="L5" i="4"/>
  <c r="E5" i="4"/>
  <c r="A5" i="4"/>
  <c r="M4" i="4"/>
  <c r="N4" i="4" s="1"/>
  <c r="H4" i="4" s="1"/>
  <c r="I4" i="4" s="1"/>
  <c r="L4" i="4"/>
  <c r="G4" i="4" s="1"/>
  <c r="E4" i="4"/>
  <c r="A4" i="4"/>
  <c r="M3" i="4"/>
  <c r="L3" i="4"/>
  <c r="G3" i="4" s="1"/>
  <c r="E3" i="4"/>
  <c r="A3" i="4"/>
  <c r="M2" i="4"/>
  <c r="N2" i="4" s="1"/>
  <c r="H2" i="4" s="1"/>
  <c r="I2" i="4" s="1"/>
  <c r="E2" i="4"/>
  <c r="A2" i="4"/>
  <c r="AK150" i="3"/>
  <c r="AI150" i="3"/>
  <c r="AG150" i="3"/>
  <c r="AE150" i="3"/>
  <c r="AC150" i="3"/>
  <c r="AA150" i="3"/>
  <c r="Y150" i="3"/>
  <c r="W150" i="3"/>
  <c r="U150" i="3"/>
  <c r="D8" i="4" s="1"/>
  <c r="S150" i="3"/>
  <c r="D7" i="4" s="1"/>
  <c r="Q150" i="3"/>
  <c r="D6" i="4" s="1"/>
  <c r="M150" i="3"/>
  <c r="K150" i="3"/>
  <c r="D4" i="4" s="1"/>
  <c r="I150" i="3"/>
  <c r="D3" i="4" s="1"/>
  <c r="G150" i="3"/>
  <c r="D2" i="4" s="1"/>
  <c r="E150" i="3"/>
  <c r="C150" i="3"/>
  <c r="AL149" i="3"/>
  <c r="AJ149" i="3"/>
  <c r="AH149" i="3"/>
  <c r="AF149" i="3"/>
  <c r="AD149" i="3"/>
  <c r="AB149" i="3"/>
  <c r="Z149" i="3"/>
  <c r="X149" i="3"/>
  <c r="V149" i="3"/>
  <c r="R149" i="3"/>
  <c r="P149" i="3"/>
  <c r="N149" i="3"/>
  <c r="J149" i="3"/>
  <c r="H149" i="3"/>
  <c r="AN147" i="3"/>
  <c r="A146" i="3"/>
  <c r="AM135" i="3"/>
  <c r="AM127" i="3"/>
  <c r="AM2" i="3"/>
  <c r="A2" i="3"/>
  <c r="AM147" i="3"/>
  <c r="AL147" i="3"/>
  <c r="A147" i="3"/>
  <c r="AN146" i="3"/>
  <c r="AM146" i="3"/>
  <c r="AN145" i="3"/>
  <c r="AN141" i="3"/>
  <c r="AM141" i="3"/>
  <c r="AN139" i="3"/>
  <c r="AM139" i="3"/>
  <c r="AN137" i="3"/>
  <c r="AM137" i="3"/>
  <c r="AN135" i="3"/>
  <c r="AN133" i="3"/>
  <c r="AM133" i="3"/>
  <c r="AM132" i="3"/>
  <c r="AN131" i="3"/>
  <c r="AM131" i="3"/>
  <c r="AN129" i="3"/>
  <c r="AM129" i="3"/>
  <c r="AN127" i="3"/>
  <c r="AN125" i="3"/>
  <c r="AM125" i="3"/>
  <c r="AN123" i="3"/>
  <c r="AM123" i="3"/>
  <c r="AN121" i="3"/>
  <c r="AM121" i="3"/>
  <c r="AN120" i="3"/>
  <c r="AM120" i="3"/>
  <c r="AN119" i="3"/>
  <c r="AM119" i="3"/>
  <c r="AN117" i="3"/>
  <c r="AM117" i="3"/>
  <c r="AN116" i="3"/>
  <c r="AM116" i="3"/>
  <c r="AN115" i="3"/>
  <c r="AM115" i="3"/>
  <c r="AN111" i="3"/>
  <c r="AM111" i="3"/>
  <c r="AN109" i="3"/>
  <c r="AM109" i="3"/>
  <c r="AM108" i="3"/>
  <c r="AN106" i="3"/>
  <c r="AM106" i="3"/>
  <c r="AN105" i="3"/>
  <c r="AM105" i="3"/>
  <c r="AM104" i="3"/>
  <c r="AN102" i="3"/>
  <c r="AM102" i="3"/>
  <c r="AN101" i="3"/>
  <c r="AM101" i="3"/>
  <c r="AM100" i="3"/>
  <c r="AN98" i="3"/>
  <c r="AM98" i="3"/>
  <c r="AN97" i="3"/>
  <c r="AM97" i="3"/>
  <c r="AM96" i="3"/>
  <c r="AN94" i="3"/>
  <c r="AM94" i="3"/>
  <c r="AN93" i="3"/>
  <c r="AM93" i="3"/>
  <c r="AM92" i="3"/>
  <c r="AN90" i="3"/>
  <c r="AM90" i="3"/>
  <c r="AN89" i="3"/>
  <c r="AM89" i="3"/>
  <c r="AM88" i="3"/>
  <c r="AN86" i="3"/>
  <c r="AM86" i="3"/>
  <c r="AN85" i="3"/>
  <c r="AM85" i="3"/>
  <c r="AN82" i="3"/>
  <c r="AM82" i="3"/>
  <c r="AN81" i="3"/>
  <c r="AM81" i="3"/>
  <c r="AN78" i="3"/>
  <c r="AM78" i="3"/>
  <c r="AN77" i="3"/>
  <c r="AM77" i="3"/>
  <c r="AN74" i="3"/>
  <c r="AM74" i="3"/>
  <c r="AN73" i="3"/>
  <c r="AM73" i="3"/>
  <c r="AN70" i="3"/>
  <c r="AM70" i="3"/>
  <c r="AN69" i="3"/>
  <c r="AM69" i="3"/>
  <c r="AN66" i="3"/>
  <c r="AM66" i="3"/>
  <c r="AN65" i="3"/>
  <c r="AM65" i="3"/>
  <c r="AN63" i="3"/>
  <c r="AN62" i="3"/>
  <c r="AM62" i="3"/>
  <c r="AN61" i="3"/>
  <c r="AM61" i="3"/>
  <c r="AN59" i="3"/>
  <c r="AN58" i="3"/>
  <c r="AM58" i="3"/>
  <c r="AN57" i="3"/>
  <c r="AM57" i="3"/>
  <c r="AN55" i="3"/>
  <c r="AN54" i="3"/>
  <c r="AM54" i="3"/>
  <c r="AN53" i="3"/>
  <c r="AM53" i="3"/>
  <c r="AN51" i="3"/>
  <c r="AN50" i="3"/>
  <c r="AM50" i="3"/>
  <c r="AN49" i="3"/>
  <c r="AM49" i="3"/>
  <c r="AN47" i="3"/>
  <c r="AN46" i="3"/>
  <c r="AM46" i="3"/>
  <c r="AN45" i="3"/>
  <c r="AM45" i="3"/>
  <c r="AN43" i="3"/>
  <c r="AN42" i="3"/>
  <c r="AM42" i="3"/>
  <c r="AN41" i="3"/>
  <c r="AM41" i="3"/>
  <c r="FA155" i="7" a="1"/>
  <c r="FA153" i="7" a="1"/>
  <c r="FA151" i="7" a="1"/>
  <c r="FA143" i="7" a="1"/>
  <c r="FA135" i="7" a="1"/>
  <c r="FA127" i="7" a="1"/>
  <c r="FA156" i="7" a="1"/>
  <c r="FA154" i="7" a="1"/>
  <c r="EV155" i="7" a="1"/>
  <c r="FA152" i="7" a="1"/>
  <c r="FA144" i="7" a="1"/>
  <c r="FA136" i="7" a="1"/>
  <c r="FA134" i="7" a="1"/>
  <c r="FA130" i="7" a="1"/>
  <c r="FA128" i="7" a="1"/>
  <c r="EV156" i="7" a="1"/>
  <c r="EV152" i="7" a="1"/>
  <c r="EV151" i="7" a="1"/>
  <c r="EV149" i="7" a="1"/>
  <c r="EV145" i="7" a="1"/>
  <c r="EV144" i="7" a="1"/>
  <c r="EV143" i="7" a="1"/>
  <c r="EV141" i="7" a="1"/>
  <c r="EV137" i="7" a="1"/>
  <c r="EV136" i="7" a="1"/>
  <c r="EV135" i="7" a="1"/>
  <c r="EV134" i="7" a="1"/>
  <c r="EV133" i="7" a="1"/>
  <c r="EV130" i="7" a="1"/>
  <c r="EV129" i="7" a="1"/>
  <c r="EV128" i="7" a="1"/>
  <c r="EV127" i="7" a="1"/>
  <c r="EV125" i="7" a="1"/>
  <c r="EV154" i="7" a="1"/>
  <c r="A6" i="3" a="1"/>
  <c r="A7" i="3" a="1"/>
  <c r="G7" i="4" l="1"/>
  <c r="G6" i="4"/>
  <c r="G8" i="4"/>
  <c r="D5" i="4"/>
  <c r="K2" i="4"/>
  <c r="A7" i="3"/>
  <c r="A6" i="3"/>
  <c r="EV154" i="7"/>
  <c r="EV125" i="7"/>
  <c r="EV127" i="7"/>
  <c r="EV128" i="7"/>
  <c r="EV129" i="7"/>
  <c r="EV130" i="7"/>
  <c r="EV133" i="7"/>
  <c r="EV134" i="7"/>
  <c r="EV135" i="7"/>
  <c r="EV136" i="7"/>
  <c r="EV137" i="7"/>
  <c r="EV141" i="7"/>
  <c r="EV143" i="7"/>
  <c r="EV144" i="7"/>
  <c r="EV145" i="7"/>
  <c r="EV149" i="7"/>
  <c r="EV151" i="7"/>
  <c r="EV152" i="7"/>
  <c r="EV156" i="7"/>
  <c r="FA128" i="7"/>
  <c r="FA130" i="7"/>
  <c r="FA134" i="7"/>
  <c r="FA136" i="7"/>
  <c r="FA144" i="7"/>
  <c r="FA152" i="7"/>
  <c r="EV155" i="7"/>
  <c r="FA154" i="7"/>
  <c r="FA156" i="7"/>
  <c r="FA127" i="7"/>
  <c r="FA135" i="7"/>
  <c r="FA143" i="7"/>
  <c r="FA151" i="7"/>
  <c r="FA153" i="7"/>
  <c r="FA155" i="7"/>
  <c r="V3" i="3"/>
  <c r="AN114" i="3"/>
  <c r="AN122" i="3"/>
  <c r="AM122" i="3"/>
  <c r="AN134" i="3"/>
  <c r="AM134" i="3"/>
  <c r="AM143" i="3"/>
  <c r="AN110" i="3"/>
  <c r="AN126" i="3"/>
  <c r="AM126" i="3"/>
  <c r="AM40" i="3"/>
  <c r="AM44" i="3"/>
  <c r="AM48" i="3"/>
  <c r="AM52" i="3"/>
  <c r="AM56" i="3"/>
  <c r="AM60" i="3"/>
  <c r="AM64" i="3"/>
  <c r="AM68" i="3"/>
  <c r="AM72" i="3"/>
  <c r="AM76" i="3"/>
  <c r="AM80" i="3"/>
  <c r="AM84" i="3"/>
  <c r="AM114" i="3"/>
  <c r="AN130" i="3"/>
  <c r="AM130" i="3"/>
  <c r="AN40" i="3"/>
  <c r="AN44" i="3"/>
  <c r="AN48" i="3"/>
  <c r="AN56" i="3"/>
  <c r="AN60" i="3"/>
  <c r="AN64" i="3"/>
  <c r="AN68" i="3"/>
  <c r="AN72" i="3"/>
  <c r="AN76" i="3"/>
  <c r="AN80" i="3"/>
  <c r="AN84" i="3"/>
  <c r="AN88" i="3"/>
  <c r="AN92" i="3"/>
  <c r="AN96" i="3"/>
  <c r="AN100" i="3"/>
  <c r="AN104" i="3"/>
  <c r="AN108" i="3"/>
  <c r="AM112" i="3"/>
  <c r="AN52" i="3"/>
  <c r="AM43" i="3"/>
  <c r="AM47" i="3"/>
  <c r="AM51" i="3"/>
  <c r="AM55" i="3"/>
  <c r="AM59" i="3"/>
  <c r="AM63" i="3"/>
  <c r="AM67" i="3"/>
  <c r="AM71" i="3"/>
  <c r="AM75" i="3"/>
  <c r="AM79" i="3"/>
  <c r="AM83" i="3"/>
  <c r="AM87" i="3"/>
  <c r="AM91" i="3"/>
  <c r="AM95" i="3"/>
  <c r="AM99" i="3"/>
  <c r="AM103" i="3"/>
  <c r="AM107" i="3"/>
  <c r="AM110" i="3"/>
  <c r="AN112" i="3"/>
  <c r="AN67" i="3"/>
  <c r="AN71" i="3"/>
  <c r="AN75" i="3"/>
  <c r="AN79" i="3"/>
  <c r="AN83" i="3"/>
  <c r="AN87" i="3"/>
  <c r="AN91" i="3"/>
  <c r="AN95" i="3"/>
  <c r="AN99" i="3"/>
  <c r="AN103" i="3"/>
  <c r="AN107" i="3"/>
  <c r="AM113" i="3"/>
  <c r="AN118" i="3"/>
  <c r="AM118" i="3"/>
  <c r="AN124" i="3"/>
  <c r="AM124" i="3"/>
  <c r="AN113" i="3"/>
  <c r="AN128" i="3"/>
  <c r="AM128" i="3"/>
  <c r="AN143" i="3"/>
  <c r="AM145" i="3"/>
  <c r="AN132" i="3"/>
  <c r="H3" i="4"/>
  <c r="AL146" i="3"/>
  <c r="N3" i="4"/>
  <c r="N7" i="4"/>
  <c r="H7" i="4" s="1"/>
  <c r="B1" i="5" a="1"/>
  <c r="EV146" i="7" a="1"/>
  <c r="FA146" i="7" a="1"/>
  <c r="EV142" i="7" a="1"/>
  <c r="FA142" i="7" a="1"/>
  <c r="EV150" i="7" a="1"/>
  <c r="FA150" i="7" a="1"/>
  <c r="EV131" i="7" a="1"/>
  <c r="FA131" i="7" a="1"/>
  <c r="EV147" i="7" a="1"/>
  <c r="FA147" i="7" a="1"/>
  <c r="B1" i="5" l="1"/>
  <c r="FA146" i="7"/>
  <c r="FH146" i="7" s="1"/>
  <c r="FG146" i="7" s="1"/>
  <c r="EV146" i="7"/>
  <c r="FC146" i="7" s="1"/>
  <c r="FA142" i="7"/>
  <c r="FD142" i="7" s="1"/>
  <c r="FE142" i="7" s="1"/>
  <c r="EV142" i="7"/>
  <c r="FC142" i="7" s="1"/>
  <c r="FA150" i="7"/>
  <c r="FD150" i="7" s="1"/>
  <c r="FE150" i="7" s="1"/>
  <c r="EV150" i="7"/>
  <c r="FC150" i="7" s="1"/>
  <c r="FA147" i="7"/>
  <c r="EV147" i="7"/>
  <c r="FA131" i="7"/>
  <c r="EV131" i="7"/>
  <c r="I7" i="4"/>
  <c r="I3" i="4"/>
  <c r="AF7" i="3"/>
  <c r="P7" i="3"/>
  <c r="AM7" i="3"/>
  <c r="Z7" i="3"/>
  <c r="J7" i="3"/>
  <c r="X7" i="3"/>
  <c r="H7" i="3"/>
  <c r="V7" i="3"/>
  <c r="F7" i="3"/>
  <c r="AJ7" i="3"/>
  <c r="T7" i="3"/>
  <c r="D7" i="3"/>
  <c r="AH7" i="3"/>
  <c r="B7" i="3"/>
  <c r="AD7" i="3"/>
  <c r="N7" i="3"/>
  <c r="AB7" i="3"/>
  <c r="L7" i="3"/>
  <c r="AN7" i="3"/>
  <c r="FH135" i="7"/>
  <c r="FG135" i="7" s="1"/>
  <c r="FD135" i="7"/>
  <c r="FE135" i="7" s="1"/>
  <c r="FD128" i="7"/>
  <c r="FE128" i="7" s="1"/>
  <c r="FH128" i="7"/>
  <c r="FG128" i="7" s="1"/>
  <c r="FC145" i="7"/>
  <c r="EY135" i="7"/>
  <c r="EZ135" i="7" s="1"/>
  <c r="FC135" i="7"/>
  <c r="FC125" i="7"/>
  <c r="FC144" i="7"/>
  <c r="EY144" i="7"/>
  <c r="EZ144" i="7" s="1"/>
  <c r="FC154" i="7"/>
  <c r="EY154" i="7"/>
  <c r="EZ154" i="7" s="1"/>
  <c r="FH127" i="7"/>
  <c r="FG127" i="7" s="1"/>
  <c r="FD127" i="7"/>
  <c r="FE127" i="7" s="1"/>
  <c r="FC156" i="7"/>
  <c r="EY156" i="7"/>
  <c r="EZ156" i="7" s="1"/>
  <c r="A9" i="3" a="1"/>
  <c r="A9" i="3" s="1"/>
  <c r="AL7" i="3"/>
  <c r="FH154" i="7"/>
  <c r="FG154" i="7" s="1"/>
  <c r="FD154" i="7"/>
  <c r="FE154" i="7" s="1"/>
  <c r="FD136" i="7"/>
  <c r="FE136" i="7" s="1"/>
  <c r="FH136" i="7"/>
  <c r="FG136" i="7" s="1"/>
  <c r="FC128" i="7"/>
  <c r="EY128" i="7"/>
  <c r="EZ128" i="7" s="1"/>
  <c r="FH143" i="7"/>
  <c r="FG143" i="7" s="1"/>
  <c r="FD143" i="7"/>
  <c r="FE143" i="7" s="1"/>
  <c r="EY155" i="7"/>
  <c r="EZ155" i="7" s="1"/>
  <c r="FC155" i="7"/>
  <c r="FD134" i="7"/>
  <c r="FE134" i="7" s="1"/>
  <c r="FH134" i="7"/>
  <c r="FG134" i="7" s="1"/>
  <c r="FC149" i="7"/>
  <c r="FC137" i="7"/>
  <c r="EY127" i="7"/>
  <c r="EZ127" i="7" s="1"/>
  <c r="FC127" i="7"/>
  <c r="W3" i="3"/>
  <c r="X4" i="3"/>
  <c r="FD152" i="7"/>
  <c r="FE152" i="7" s="1"/>
  <c r="FH152" i="7"/>
  <c r="FG152" i="7" s="1"/>
  <c r="FD130" i="7"/>
  <c r="FE130" i="7" s="1"/>
  <c r="FH130" i="7"/>
  <c r="FG130" i="7" s="1"/>
  <c r="FC136" i="7"/>
  <c r="EY136" i="7"/>
  <c r="EZ136" i="7" s="1"/>
  <c r="AF6" i="3"/>
  <c r="P6" i="3"/>
  <c r="AM6" i="3"/>
  <c r="Z6" i="3"/>
  <c r="J6" i="3"/>
  <c r="X6" i="3"/>
  <c r="H6" i="3"/>
  <c r="V6" i="3"/>
  <c r="F6" i="3"/>
  <c r="AJ6" i="3"/>
  <c r="T6" i="3"/>
  <c r="D6" i="3"/>
  <c r="AH6" i="3"/>
  <c r="B6" i="3"/>
  <c r="AD6" i="3"/>
  <c r="N6" i="3"/>
  <c r="AB6" i="3"/>
  <c r="L6" i="3"/>
  <c r="AN6" i="3"/>
  <c r="FH155" i="7"/>
  <c r="FG155" i="7" s="1"/>
  <c r="FD155" i="7"/>
  <c r="FE155" i="7" s="1"/>
  <c r="FD146" i="7"/>
  <c r="FE146" i="7" s="1"/>
  <c r="FC134" i="7"/>
  <c r="EY134" i="7"/>
  <c r="EZ134" i="7" s="1"/>
  <c r="FH153" i="7"/>
  <c r="FG153" i="7" s="1"/>
  <c r="FD153" i="7"/>
  <c r="FE153" i="7" s="1"/>
  <c r="FD144" i="7"/>
  <c r="FE144" i="7" s="1"/>
  <c r="FH144" i="7"/>
  <c r="FG144" i="7" s="1"/>
  <c r="EY143" i="7"/>
  <c r="EZ143" i="7" s="1"/>
  <c r="FC143" i="7"/>
  <c r="FC133" i="7"/>
  <c r="AN136" i="3"/>
  <c r="AM136" i="3"/>
  <c r="FH151" i="7"/>
  <c r="FG151" i="7" s="1"/>
  <c r="FD151" i="7"/>
  <c r="FE151" i="7" s="1"/>
  <c r="FC152" i="7"/>
  <c r="EY152" i="7"/>
  <c r="EZ152" i="7" s="1"/>
  <c r="FC130" i="7"/>
  <c r="EY130" i="7"/>
  <c r="EZ130" i="7" s="1"/>
  <c r="FD156" i="7"/>
  <c r="FE156" i="7" s="1"/>
  <c r="FH156" i="7"/>
  <c r="FG156" i="7" s="1"/>
  <c r="EY151" i="7"/>
  <c r="EZ151" i="7" s="1"/>
  <c r="FC151" i="7"/>
  <c r="FC141" i="7"/>
  <c r="FC129" i="7"/>
  <c r="AL6" i="3"/>
  <c r="A8" i="3" a="1"/>
  <c r="A8" i="3" s="1"/>
  <c r="B1" i="7" a="1"/>
  <c r="EV148" i="7" a="1"/>
  <c r="FA148" i="7" a="1"/>
  <c r="EV132" i="7" a="1"/>
  <c r="FA132" i="7" a="1"/>
  <c r="EY146" i="7" l="1"/>
  <c r="EZ146" i="7" s="1"/>
  <c r="R7" i="3"/>
  <c r="R6" i="3"/>
  <c r="EY150" i="7"/>
  <c r="EZ150" i="7" s="1"/>
  <c r="FH142" i="7"/>
  <c r="FG142" i="7" s="1"/>
  <c r="EY142" i="7"/>
  <c r="EZ142" i="7" s="1"/>
  <c r="FH150" i="7"/>
  <c r="FG150" i="7" s="1"/>
  <c r="B1" i="7"/>
  <c r="FA132" i="7"/>
  <c r="EV132" i="7"/>
  <c r="FA148" i="7"/>
  <c r="EV148" i="7"/>
  <c r="AN138" i="3"/>
  <c r="AM138" i="3"/>
  <c r="AH9" i="3"/>
  <c r="R9" i="3"/>
  <c r="B9" i="3"/>
  <c r="AB9" i="3"/>
  <c r="L9" i="3"/>
  <c r="AN9" i="3"/>
  <c r="Z9" i="3"/>
  <c r="J9" i="3"/>
  <c r="AM9" i="3"/>
  <c r="X9" i="3"/>
  <c r="H9" i="3"/>
  <c r="V9" i="3"/>
  <c r="F9" i="3"/>
  <c r="AJ9" i="3"/>
  <c r="T9" i="3"/>
  <c r="D9" i="3"/>
  <c r="AF9" i="3"/>
  <c r="P9" i="3"/>
  <c r="AD9" i="3"/>
  <c r="N9" i="3"/>
  <c r="EY131" i="7"/>
  <c r="EZ131" i="7" s="1"/>
  <c r="FC131" i="7"/>
  <c r="AL9" i="3"/>
  <c r="A11" i="3" a="1"/>
  <c r="A11" i="3" s="1"/>
  <c r="FH131" i="7"/>
  <c r="FG131" i="7" s="1"/>
  <c r="FD131" i="7"/>
  <c r="FE131" i="7" s="1"/>
  <c r="AF8" i="3"/>
  <c r="P8" i="3"/>
  <c r="AN8" i="3"/>
  <c r="Z8" i="3"/>
  <c r="J8" i="3"/>
  <c r="AM8" i="3"/>
  <c r="X8" i="3"/>
  <c r="H8" i="3"/>
  <c r="V8" i="3"/>
  <c r="F8" i="3"/>
  <c r="AJ8" i="3"/>
  <c r="T8" i="3"/>
  <c r="D8" i="3"/>
  <c r="AH8" i="3"/>
  <c r="R8" i="3"/>
  <c r="B8" i="3"/>
  <c r="AD8" i="3"/>
  <c r="N8" i="3"/>
  <c r="AB8" i="3"/>
  <c r="L8" i="3"/>
  <c r="EY147" i="7"/>
  <c r="EZ147" i="7" s="1"/>
  <c r="FC147" i="7"/>
  <c r="A10" i="3" a="1"/>
  <c r="A10" i="3" s="1"/>
  <c r="AL8" i="3"/>
  <c r="FH147" i="7"/>
  <c r="FG147" i="7" s="1"/>
  <c r="FD147" i="7"/>
  <c r="FE147" i="7" s="1"/>
  <c r="G1" i="7" a="1"/>
  <c r="G1" i="7" l="1"/>
  <c r="A12" i="3" a="1"/>
  <c r="A12" i="3" s="1"/>
  <c r="AL10" i="3"/>
  <c r="AM140" i="3"/>
  <c r="AN140" i="3"/>
  <c r="AJ10" i="3"/>
  <c r="T10" i="3"/>
  <c r="D10" i="3"/>
  <c r="B10" i="3"/>
  <c r="AD10" i="3"/>
  <c r="N10" i="3"/>
  <c r="AB10" i="3"/>
  <c r="L10" i="3"/>
  <c r="AN10" i="3"/>
  <c r="Z10" i="3"/>
  <c r="J10" i="3"/>
  <c r="AM10" i="3"/>
  <c r="X10" i="3"/>
  <c r="H10" i="3"/>
  <c r="V10" i="3"/>
  <c r="F10" i="3"/>
  <c r="AH10" i="3"/>
  <c r="R10" i="3"/>
  <c r="AF10" i="3"/>
  <c r="P10" i="3"/>
  <c r="V11" i="3"/>
  <c r="F11" i="3"/>
  <c r="T11" i="3"/>
  <c r="AF11" i="3"/>
  <c r="P11" i="3"/>
  <c r="AD11" i="3"/>
  <c r="N11" i="3"/>
  <c r="AB11" i="3"/>
  <c r="L11" i="3"/>
  <c r="AN11" i="3"/>
  <c r="Z11" i="3"/>
  <c r="J11" i="3"/>
  <c r="AM11" i="3"/>
  <c r="X11" i="3"/>
  <c r="H11" i="3"/>
  <c r="AJ11" i="3"/>
  <c r="D11" i="3"/>
  <c r="AH11" i="3"/>
  <c r="R11" i="3"/>
  <c r="B11" i="3"/>
  <c r="FC148" i="7"/>
  <c r="EY148" i="7"/>
  <c r="EZ148" i="7" s="1"/>
  <c r="FD148" i="7"/>
  <c r="FE148" i="7" s="1"/>
  <c r="FH148" i="7"/>
  <c r="FG148" i="7" s="1"/>
  <c r="X3" i="3"/>
  <c r="FC132" i="7"/>
  <c r="EY132" i="7"/>
  <c r="EZ132" i="7" s="1"/>
  <c r="A13" i="3" a="1"/>
  <c r="A13" i="3" s="1"/>
  <c r="AL11" i="3"/>
  <c r="FD132" i="7"/>
  <c r="FE132" i="7" s="1"/>
  <c r="FH132" i="7"/>
  <c r="FG132" i="7" s="1"/>
  <c r="B2" i="5" a="1"/>
  <c r="H1" i="7" a="1"/>
  <c r="C2" i="7" a="1"/>
  <c r="B3" i="7" a="1"/>
  <c r="B43" i="7" a="1"/>
  <c r="B2" i="5" l="1"/>
  <c r="B43" i="7"/>
  <c r="B3" i="7"/>
  <c r="C2" i="7"/>
  <c r="H1" i="7"/>
  <c r="AM12" i="3"/>
  <c r="X12" i="3"/>
  <c r="H12" i="3"/>
  <c r="V12" i="3"/>
  <c r="AH12" i="3"/>
  <c r="R12" i="3"/>
  <c r="B12" i="3"/>
  <c r="AF12" i="3"/>
  <c r="P12" i="3"/>
  <c r="AD12" i="3"/>
  <c r="N12" i="3"/>
  <c r="AB12" i="3"/>
  <c r="L12" i="3"/>
  <c r="AN12" i="3"/>
  <c r="Z12" i="3"/>
  <c r="J12" i="3"/>
  <c r="F12" i="3"/>
  <c r="T12" i="3"/>
  <c r="D12" i="3"/>
  <c r="AJ12" i="3"/>
  <c r="AN142" i="3"/>
  <c r="AM142" i="3"/>
  <c r="AL13" i="3"/>
  <c r="A15" i="3" a="1"/>
  <c r="A15" i="3" s="1"/>
  <c r="Z4" i="3"/>
  <c r="Y3" i="3"/>
  <c r="AN13" i="3"/>
  <c r="Z13" i="3"/>
  <c r="J13" i="3"/>
  <c r="AM13" i="3"/>
  <c r="X13" i="3"/>
  <c r="AJ13" i="3"/>
  <c r="T13" i="3"/>
  <c r="D13" i="3"/>
  <c r="AH13" i="3"/>
  <c r="R13" i="3"/>
  <c r="B13" i="3"/>
  <c r="AF13" i="3"/>
  <c r="P13" i="3"/>
  <c r="AD13" i="3"/>
  <c r="N13" i="3"/>
  <c r="AB13" i="3"/>
  <c r="L13" i="3"/>
  <c r="H13" i="3"/>
  <c r="F13" i="3"/>
  <c r="V13" i="3"/>
  <c r="AL12" i="3"/>
  <c r="A14" i="3" a="1"/>
  <c r="A14" i="3" s="1"/>
  <c r="H2" i="7" a="1"/>
  <c r="H2" i="7" l="1"/>
  <c r="EW1" i="7"/>
  <c r="C6" i="7"/>
  <c r="FC1" i="7" s="1"/>
  <c r="E3" i="7"/>
  <c r="C3" i="7"/>
  <c r="C1" i="7"/>
  <c r="B6" i="7"/>
  <c r="F6" i="7"/>
  <c r="D6" i="7"/>
  <c r="G46" i="7" a="1"/>
  <c r="G46" i="7" s="1"/>
  <c r="G4" i="7" a="1"/>
  <c r="G4" i="7" s="1"/>
  <c r="AM144" i="3"/>
  <c r="AN144" i="3"/>
  <c r="A17" i="3" a="1"/>
  <c r="A17" i="3" s="1"/>
  <c r="AL15" i="3"/>
  <c r="AB14" i="3"/>
  <c r="L14" i="3"/>
  <c r="J14" i="3"/>
  <c r="AN14" i="3"/>
  <c r="V14" i="3"/>
  <c r="F14" i="3"/>
  <c r="AJ14" i="3"/>
  <c r="T14" i="3"/>
  <c r="D14" i="3"/>
  <c r="AH14" i="3"/>
  <c r="R14" i="3"/>
  <c r="B14" i="3"/>
  <c r="AF14" i="3"/>
  <c r="P14" i="3"/>
  <c r="AD14" i="3"/>
  <c r="N14" i="3"/>
  <c r="Z14" i="3"/>
  <c r="AM14" i="3"/>
  <c r="X14" i="3"/>
  <c r="H14" i="3"/>
  <c r="AL14" i="3"/>
  <c r="A16" i="3" a="1"/>
  <c r="A16" i="3" s="1"/>
  <c r="AD15" i="3"/>
  <c r="N15" i="3"/>
  <c r="AB15" i="3"/>
  <c r="L15" i="3"/>
  <c r="AM15" i="3"/>
  <c r="X15" i="3"/>
  <c r="H15" i="3"/>
  <c r="V15" i="3"/>
  <c r="F15" i="3"/>
  <c r="AJ15" i="3"/>
  <c r="T15" i="3"/>
  <c r="D15" i="3"/>
  <c r="AH15" i="3"/>
  <c r="R15" i="3"/>
  <c r="B15" i="3"/>
  <c r="AF15" i="3"/>
  <c r="P15" i="3"/>
  <c r="AN15" i="3"/>
  <c r="Z15" i="3"/>
  <c r="J15" i="3"/>
  <c r="I1" i="7" a="1"/>
  <c r="C44" i="7" a="1"/>
  <c r="V17" i="3" l="1"/>
  <c r="C44" i="7"/>
  <c r="I1" i="7"/>
  <c r="EV1" i="7"/>
  <c r="AH17" i="3"/>
  <c r="R17" i="3"/>
  <c r="B17" i="3"/>
  <c r="AB17" i="3"/>
  <c r="L17" i="3"/>
  <c r="AN17" i="3"/>
  <c r="Z17" i="3"/>
  <c r="J17" i="3"/>
  <c r="AM17" i="3"/>
  <c r="X17" i="3"/>
  <c r="H17" i="3"/>
  <c r="F17" i="3"/>
  <c r="AJ17" i="3"/>
  <c r="T17" i="3"/>
  <c r="D17" i="3"/>
  <c r="AF17" i="3"/>
  <c r="P17" i="3"/>
  <c r="AD17" i="3"/>
  <c r="N17" i="3"/>
  <c r="AF16" i="3"/>
  <c r="P16" i="3"/>
  <c r="AD16" i="3"/>
  <c r="N16" i="3"/>
  <c r="AN16" i="3"/>
  <c r="Z16" i="3"/>
  <c r="J16" i="3"/>
  <c r="AM16" i="3"/>
  <c r="X16" i="3"/>
  <c r="H16" i="3"/>
  <c r="V16" i="3"/>
  <c r="F16" i="3"/>
  <c r="AJ16" i="3"/>
  <c r="T16" i="3"/>
  <c r="D16" i="3"/>
  <c r="AH16" i="3"/>
  <c r="R16" i="3"/>
  <c r="B16" i="3"/>
  <c r="AB16" i="3"/>
  <c r="L16" i="3"/>
  <c r="Z3" i="3"/>
  <c r="A18" i="3" a="1"/>
  <c r="A18" i="3" s="1"/>
  <c r="AL16" i="3"/>
  <c r="AL17" i="3"/>
  <c r="A19" i="3" a="1"/>
  <c r="A19" i="3" s="1"/>
  <c r="B3" i="5" a="1"/>
  <c r="EW2" i="7" a="1"/>
  <c r="N1" i="7" a="1"/>
  <c r="B3" i="5" l="1"/>
  <c r="N1" i="7"/>
  <c r="EW2" i="7"/>
  <c r="A21" i="3" a="1"/>
  <c r="A21" i="3" s="1"/>
  <c r="AL19" i="3"/>
  <c r="AA3" i="3"/>
  <c r="AB4" i="3"/>
  <c r="V19" i="3"/>
  <c r="F19" i="3"/>
  <c r="AF19" i="3"/>
  <c r="P19" i="3"/>
  <c r="AD19" i="3"/>
  <c r="N19" i="3"/>
  <c r="AB19" i="3"/>
  <c r="L19" i="3"/>
  <c r="AN19" i="3"/>
  <c r="Z19" i="3"/>
  <c r="J19" i="3"/>
  <c r="AM19" i="3"/>
  <c r="X19" i="3"/>
  <c r="H19" i="3"/>
  <c r="AJ19" i="3"/>
  <c r="T19" i="3"/>
  <c r="D19" i="3"/>
  <c r="B19" i="3"/>
  <c r="AH19" i="3"/>
  <c r="R19" i="3"/>
  <c r="AJ18" i="3"/>
  <c r="T18" i="3"/>
  <c r="D18" i="3"/>
  <c r="AD18" i="3"/>
  <c r="N18" i="3"/>
  <c r="AB18" i="3"/>
  <c r="L18" i="3"/>
  <c r="AN18" i="3"/>
  <c r="Z18" i="3"/>
  <c r="J18" i="3"/>
  <c r="AM18" i="3"/>
  <c r="X18" i="3"/>
  <c r="H18" i="3"/>
  <c r="V18" i="3"/>
  <c r="F18" i="3"/>
  <c r="AH18" i="3"/>
  <c r="R18" i="3"/>
  <c r="B18" i="3"/>
  <c r="AF18" i="3"/>
  <c r="P18" i="3"/>
  <c r="AL18" i="3"/>
  <c r="A20" i="3" a="1"/>
  <c r="A20" i="3" s="1"/>
  <c r="J2" i="7" a="1"/>
  <c r="I3" i="7" a="1"/>
  <c r="C46" i="7" a="1"/>
  <c r="C46" i="7" l="1"/>
  <c r="I3" i="7"/>
  <c r="J2" i="7"/>
  <c r="AN21" i="3"/>
  <c r="Z21" i="3"/>
  <c r="J21" i="3"/>
  <c r="AM21" i="3"/>
  <c r="X21" i="3"/>
  <c r="AJ21" i="3"/>
  <c r="T21" i="3"/>
  <c r="D21" i="3"/>
  <c r="AH21" i="3"/>
  <c r="R21" i="3"/>
  <c r="B21" i="3"/>
  <c r="AF21" i="3"/>
  <c r="P21" i="3"/>
  <c r="AD21" i="3"/>
  <c r="N21" i="3"/>
  <c r="AB21" i="3"/>
  <c r="L21" i="3"/>
  <c r="H21" i="3"/>
  <c r="F21" i="3"/>
  <c r="V21" i="3"/>
  <c r="AL20" i="3"/>
  <c r="A22" i="3" a="1"/>
  <c r="A22" i="3" s="1"/>
  <c r="AM20" i="3"/>
  <c r="X20" i="3"/>
  <c r="H20" i="3"/>
  <c r="AH20" i="3"/>
  <c r="R20" i="3"/>
  <c r="B20" i="3"/>
  <c r="AF20" i="3"/>
  <c r="P20" i="3"/>
  <c r="AD20" i="3"/>
  <c r="N20" i="3"/>
  <c r="AB20" i="3"/>
  <c r="L20" i="3"/>
  <c r="AN20" i="3"/>
  <c r="Z20" i="3"/>
  <c r="J20" i="3"/>
  <c r="V20" i="3"/>
  <c r="F20" i="3"/>
  <c r="AJ20" i="3"/>
  <c r="T20" i="3"/>
  <c r="D20" i="3"/>
  <c r="AL21" i="3"/>
  <c r="A23" i="3" a="1"/>
  <c r="A23" i="3" s="1"/>
  <c r="FA2" i="7" a="1"/>
  <c r="A8" i="7" a="1"/>
  <c r="A8" i="7" l="1"/>
  <c r="FA2" i="7"/>
  <c r="L3" i="7"/>
  <c r="J3" i="7"/>
  <c r="K6" i="7"/>
  <c r="J1" i="7"/>
  <c r="M6" i="7"/>
  <c r="EW3" i="7"/>
  <c r="J6" i="7"/>
  <c r="FC3" i="7" s="1"/>
  <c r="I6" i="7"/>
  <c r="N46" i="7" a="1"/>
  <c r="N46" i="7" s="1"/>
  <c r="N4" i="7" a="1"/>
  <c r="N4" i="7" s="1"/>
  <c r="C48" i="7"/>
  <c r="B49" i="7" s="1"/>
  <c r="C45" i="7"/>
  <c r="D48" i="7"/>
  <c r="E45" i="7"/>
  <c r="B48" i="7"/>
  <c r="F48" i="7"/>
  <c r="C43" i="7"/>
  <c r="AL22" i="3"/>
  <c r="A24" i="3" a="1"/>
  <c r="A24" i="3" s="1"/>
  <c r="AD23" i="3"/>
  <c r="N23" i="3"/>
  <c r="AB23" i="3"/>
  <c r="L23" i="3"/>
  <c r="AM23" i="3"/>
  <c r="X23" i="3"/>
  <c r="H23" i="3"/>
  <c r="V23" i="3"/>
  <c r="F23" i="3"/>
  <c r="AJ23" i="3"/>
  <c r="T23" i="3"/>
  <c r="D23" i="3"/>
  <c r="AH23" i="3"/>
  <c r="R23" i="3"/>
  <c r="B23" i="3"/>
  <c r="AF23" i="3"/>
  <c r="P23" i="3"/>
  <c r="Z23" i="3"/>
  <c r="J23" i="3"/>
  <c r="AN23" i="3"/>
  <c r="A25" i="3" a="1"/>
  <c r="A25" i="3" s="1"/>
  <c r="AL23" i="3"/>
  <c r="AB22" i="3"/>
  <c r="L22" i="3"/>
  <c r="AN22" i="3"/>
  <c r="Z22" i="3"/>
  <c r="J22" i="3"/>
  <c r="V22" i="3"/>
  <c r="F22" i="3"/>
  <c r="AJ22" i="3"/>
  <c r="T22" i="3"/>
  <c r="D22" i="3"/>
  <c r="AH22" i="3"/>
  <c r="R22" i="3"/>
  <c r="B22" i="3"/>
  <c r="AF22" i="3"/>
  <c r="P22" i="3"/>
  <c r="AD22" i="3"/>
  <c r="N22" i="3"/>
  <c r="X22" i="3"/>
  <c r="AM22" i="3"/>
  <c r="H22" i="3"/>
  <c r="AB3" i="3"/>
  <c r="B4" i="5" a="1"/>
  <c r="A9" i="7" a="1"/>
  <c r="FC2" i="7" a="1"/>
  <c r="EV2" i="7" a="1"/>
  <c r="I43" i="7" a="1"/>
  <c r="B44" i="7" a="1"/>
  <c r="FD2" i="7" a="1"/>
  <c r="B4" i="5" l="1"/>
  <c r="FD2" i="7"/>
  <c r="B44" i="7"/>
  <c r="I43" i="7"/>
  <c r="EV2" i="7"/>
  <c r="FC2" i="7"/>
  <c r="A9" i="7"/>
  <c r="D49" i="7"/>
  <c r="EV3" i="7"/>
  <c r="AH25" i="3"/>
  <c r="R25" i="3"/>
  <c r="B25" i="3"/>
  <c r="AB25" i="3"/>
  <c r="L25" i="3"/>
  <c r="AN25" i="3"/>
  <c r="Z25" i="3"/>
  <c r="J25" i="3"/>
  <c r="AM25" i="3"/>
  <c r="X25" i="3"/>
  <c r="H25" i="3"/>
  <c r="V25" i="3"/>
  <c r="F25" i="3"/>
  <c r="AJ25" i="3"/>
  <c r="T25" i="3"/>
  <c r="D25" i="3"/>
  <c r="AF25" i="3"/>
  <c r="P25" i="3"/>
  <c r="AD25" i="3"/>
  <c r="N25" i="3"/>
  <c r="AD4" i="3"/>
  <c r="AC3" i="3"/>
  <c r="AF24" i="3"/>
  <c r="P24" i="3"/>
  <c r="AD24" i="3"/>
  <c r="N24" i="3"/>
  <c r="AN24" i="3"/>
  <c r="Z24" i="3"/>
  <c r="J24" i="3"/>
  <c r="AM24" i="3"/>
  <c r="X24" i="3"/>
  <c r="H24" i="3"/>
  <c r="V24" i="3"/>
  <c r="F24" i="3"/>
  <c r="AJ24" i="3"/>
  <c r="T24" i="3"/>
  <c r="D24" i="3"/>
  <c r="AH24" i="3"/>
  <c r="R24" i="3"/>
  <c r="B24" i="3"/>
  <c r="AB24" i="3"/>
  <c r="L24" i="3"/>
  <c r="AL25" i="3"/>
  <c r="A27" i="3" a="1"/>
  <c r="A27" i="3" s="1"/>
  <c r="A26" i="3" a="1"/>
  <c r="A26" i="3" s="1"/>
  <c r="AL24" i="3"/>
  <c r="E46" i="7" a="1"/>
  <c r="B8" i="7" a="1"/>
  <c r="B45" i="7" a="1"/>
  <c r="FE2" i="7" a="1"/>
  <c r="J44" i="7" a="1"/>
  <c r="J44" i="7" l="1"/>
  <c r="FE2" i="7"/>
  <c r="B45" i="7"/>
  <c r="B8" i="7"/>
  <c r="E46" i="7"/>
  <c r="A29" i="3" a="1"/>
  <c r="A29" i="3" s="1"/>
  <c r="AL27" i="3"/>
  <c r="A28" i="3" a="1"/>
  <c r="A28" i="3" s="1"/>
  <c r="AL26" i="3"/>
  <c r="AD3" i="3"/>
  <c r="V27" i="3"/>
  <c r="F27" i="3"/>
  <c r="AF27" i="3"/>
  <c r="P27" i="3"/>
  <c r="AD27" i="3"/>
  <c r="N27" i="3"/>
  <c r="AB27" i="3"/>
  <c r="L27" i="3"/>
  <c r="AN27" i="3"/>
  <c r="Z27" i="3"/>
  <c r="J27" i="3"/>
  <c r="AM27" i="3"/>
  <c r="X27" i="3"/>
  <c r="H27" i="3"/>
  <c r="AJ27" i="3"/>
  <c r="T27" i="3"/>
  <c r="D27" i="3"/>
  <c r="AH27" i="3"/>
  <c r="R27" i="3"/>
  <c r="B27" i="3"/>
  <c r="AJ26" i="3"/>
  <c r="T26" i="3"/>
  <c r="D26" i="3"/>
  <c r="AD26" i="3"/>
  <c r="N26" i="3"/>
  <c r="AB26" i="3"/>
  <c r="L26" i="3"/>
  <c r="AN26" i="3"/>
  <c r="Z26" i="3"/>
  <c r="J26" i="3"/>
  <c r="AM26" i="3"/>
  <c r="X26" i="3"/>
  <c r="H26" i="3"/>
  <c r="V26" i="3"/>
  <c r="F26" i="3"/>
  <c r="AH26" i="3"/>
  <c r="R26" i="3"/>
  <c r="B26" i="3"/>
  <c r="AF26" i="3"/>
  <c r="P26" i="3"/>
  <c r="B5" i="5" a="1"/>
  <c r="EW4" i="7" a="1"/>
  <c r="G8" i="7" a="1"/>
  <c r="FB2" i="7" a="1"/>
  <c r="B5" i="5" l="1"/>
  <c r="FB2" i="7"/>
  <c r="G8" i="7"/>
  <c r="EW4" i="7"/>
  <c r="M44" i="7" a="1"/>
  <c r="M44" i="7" s="1"/>
  <c r="J46" i="7" a="1"/>
  <c r="J46" i="7" s="1"/>
  <c r="AN29" i="3"/>
  <c r="Z29" i="3"/>
  <c r="J29" i="3"/>
  <c r="AJ29" i="3"/>
  <c r="T29" i="3"/>
  <c r="D29" i="3"/>
  <c r="AH29" i="3"/>
  <c r="R29" i="3"/>
  <c r="B29" i="3"/>
  <c r="AF29" i="3"/>
  <c r="P29" i="3"/>
  <c r="AD29" i="3"/>
  <c r="N29" i="3"/>
  <c r="AB29" i="3"/>
  <c r="L29" i="3"/>
  <c r="AM29" i="3"/>
  <c r="X29" i="3"/>
  <c r="H29" i="3"/>
  <c r="V29" i="3"/>
  <c r="F29" i="3"/>
  <c r="AF4" i="3"/>
  <c r="AE3" i="3"/>
  <c r="AM28" i="3"/>
  <c r="X28" i="3"/>
  <c r="H28" i="3"/>
  <c r="AH28" i="3"/>
  <c r="R28" i="3"/>
  <c r="B28" i="3"/>
  <c r="AF28" i="3"/>
  <c r="P28" i="3"/>
  <c r="AD28" i="3"/>
  <c r="N28" i="3"/>
  <c r="AB28" i="3"/>
  <c r="L28" i="3"/>
  <c r="AN28" i="3"/>
  <c r="Z28" i="3"/>
  <c r="J28" i="3"/>
  <c r="V28" i="3"/>
  <c r="F28" i="3"/>
  <c r="T28" i="3"/>
  <c r="D28" i="3"/>
  <c r="AJ28" i="3"/>
  <c r="AL28" i="3"/>
  <c r="A30" i="3" a="1"/>
  <c r="A30" i="3" s="1"/>
  <c r="AL29" i="3"/>
  <c r="A31" i="3" a="1"/>
  <c r="A31" i="3" s="1"/>
  <c r="FA4" i="7" a="1"/>
  <c r="B10" i="7" a="1"/>
  <c r="C9" i="7" a="1"/>
  <c r="EY4" i="7" a="1"/>
  <c r="EY4" i="7" l="1"/>
  <c r="C9" i="7"/>
  <c r="B10" i="7"/>
  <c r="FA4" i="7"/>
  <c r="N44" i="7"/>
  <c r="J43" i="7"/>
  <c r="M48" i="7"/>
  <c r="L45" i="7"/>
  <c r="I48" i="7"/>
  <c r="I44" i="7" a="1"/>
  <c r="I44" i="7" s="1"/>
  <c r="I49" i="7"/>
  <c r="J48" i="7"/>
  <c r="K48" i="7"/>
  <c r="J45" i="7"/>
  <c r="A33" i="3" a="1"/>
  <c r="A33" i="3" s="1"/>
  <c r="AL31" i="3"/>
  <c r="AF3" i="3"/>
  <c r="AD31" i="3"/>
  <c r="N31" i="3"/>
  <c r="AM31" i="3"/>
  <c r="X31" i="3"/>
  <c r="H31" i="3"/>
  <c r="V31" i="3"/>
  <c r="F31" i="3"/>
  <c r="AJ31" i="3"/>
  <c r="T31" i="3"/>
  <c r="D31" i="3"/>
  <c r="AH31" i="3"/>
  <c r="R31" i="3"/>
  <c r="B31" i="3"/>
  <c r="AF31" i="3"/>
  <c r="P31" i="3"/>
  <c r="AB31" i="3"/>
  <c r="L31" i="3"/>
  <c r="AN31" i="3"/>
  <c r="Z31" i="3"/>
  <c r="J31" i="3"/>
  <c r="AB30" i="3"/>
  <c r="L30" i="3"/>
  <c r="V30" i="3"/>
  <c r="F30" i="3"/>
  <c r="AJ30" i="3"/>
  <c r="T30" i="3"/>
  <c r="D30" i="3"/>
  <c r="AH30" i="3"/>
  <c r="R30" i="3"/>
  <c r="B30" i="3"/>
  <c r="AF30" i="3"/>
  <c r="P30" i="3"/>
  <c r="AD30" i="3"/>
  <c r="N30" i="3"/>
  <c r="AN30" i="3"/>
  <c r="Z30" i="3"/>
  <c r="J30" i="3"/>
  <c r="AM30" i="3"/>
  <c r="X30" i="3"/>
  <c r="H30" i="3"/>
  <c r="AL30" i="3"/>
  <c r="A32" i="3" a="1"/>
  <c r="A32" i="3" s="1"/>
  <c r="B6" i="5" a="1"/>
  <c r="L46" i="7" a="1"/>
  <c r="EW5" i="7" a="1"/>
  <c r="FD4" i="7" a="1"/>
  <c r="H8" i="7" a="1"/>
  <c r="FC4" i="7" a="1"/>
  <c r="EV4" i="7" a="1"/>
  <c r="EZ4" i="7" a="1"/>
  <c r="B6" i="5" l="1"/>
  <c r="EZ4" i="7"/>
  <c r="EV4" i="7"/>
  <c r="FC4" i="7"/>
  <c r="H8" i="7"/>
  <c r="FD4" i="7"/>
  <c r="EW5" i="7"/>
  <c r="L46" i="7"/>
  <c r="N45" i="7" a="1"/>
  <c r="N45" i="7" s="1"/>
  <c r="M49" i="7"/>
  <c r="I45" i="7" a="1"/>
  <c r="I45" i="7" s="1"/>
  <c r="L44" i="7" a="1"/>
  <c r="L44" i="7" s="1"/>
  <c r="K49" i="7"/>
  <c r="G53" i="7" a="1"/>
  <c r="G53" i="7" s="1"/>
  <c r="G11" i="7" a="1"/>
  <c r="G11" i="7" s="1"/>
  <c r="C10" i="7"/>
  <c r="B13" i="7"/>
  <c r="F13" i="7"/>
  <c r="C13" i="7"/>
  <c r="C8" i="7"/>
  <c r="E10" i="7"/>
  <c r="D13" i="7"/>
  <c r="AH33" i="3"/>
  <c r="R33" i="3"/>
  <c r="B33" i="3"/>
  <c r="AF33" i="3"/>
  <c r="AB33" i="3"/>
  <c r="L33" i="3"/>
  <c r="AN33" i="3"/>
  <c r="Z33" i="3"/>
  <c r="J33" i="3"/>
  <c r="AM33" i="3"/>
  <c r="X33" i="3"/>
  <c r="H33" i="3"/>
  <c r="V33" i="3"/>
  <c r="F33" i="3"/>
  <c r="AJ33" i="3"/>
  <c r="T33" i="3"/>
  <c r="D33" i="3"/>
  <c r="P33" i="3"/>
  <c r="AD33" i="3"/>
  <c r="N33" i="3"/>
  <c r="AH4" i="3"/>
  <c r="AG3" i="3"/>
  <c r="AL33" i="3"/>
  <c r="A35" i="3" a="1"/>
  <c r="A35" i="3" s="1"/>
  <c r="AF32" i="3"/>
  <c r="P32" i="3"/>
  <c r="AN32" i="3"/>
  <c r="Z32" i="3"/>
  <c r="J32" i="3"/>
  <c r="AM32" i="3"/>
  <c r="X32" i="3"/>
  <c r="H32" i="3"/>
  <c r="V32" i="3"/>
  <c r="F32" i="3"/>
  <c r="AJ32" i="3"/>
  <c r="T32" i="3"/>
  <c r="D32" i="3"/>
  <c r="AH32" i="3"/>
  <c r="R32" i="3"/>
  <c r="B32" i="3"/>
  <c r="AD32" i="3"/>
  <c r="N32" i="3"/>
  <c r="AB32" i="3"/>
  <c r="L32" i="3"/>
  <c r="A34" i="3" a="1"/>
  <c r="A34" i="3" s="1"/>
  <c r="AL32" i="3"/>
  <c r="FF4" i="7" a="1"/>
  <c r="EX4" i="7" a="1"/>
  <c r="H9" i="7" a="1"/>
  <c r="FE4" i="7" a="1"/>
  <c r="FC5" i="7" a="1"/>
  <c r="B50" i="7" a="1"/>
  <c r="EV5" i="7" a="1"/>
  <c r="FB4" i="7" a="1"/>
  <c r="FB4" i="7" l="1"/>
  <c r="EV5" i="7"/>
  <c r="B50" i="7"/>
  <c r="FC5" i="7"/>
  <c r="FE4" i="7"/>
  <c r="H9" i="7"/>
  <c r="EX4" i="7"/>
  <c r="FF4" i="7"/>
  <c r="AH3" i="3"/>
  <c r="AL34" i="3"/>
  <c r="A36" i="3" a="1"/>
  <c r="A36" i="3" s="1"/>
  <c r="V35" i="3"/>
  <c r="F35" i="3"/>
  <c r="AJ35" i="3"/>
  <c r="D35" i="3"/>
  <c r="AF35" i="3"/>
  <c r="P35" i="3"/>
  <c r="AD35" i="3"/>
  <c r="N35" i="3"/>
  <c r="AB35" i="3"/>
  <c r="L35" i="3"/>
  <c r="AN35" i="3"/>
  <c r="Z35" i="3"/>
  <c r="J35" i="3"/>
  <c r="AM35" i="3"/>
  <c r="X35" i="3"/>
  <c r="H35" i="3"/>
  <c r="T35" i="3"/>
  <c r="B35" i="3"/>
  <c r="AH35" i="3"/>
  <c r="R35" i="3"/>
  <c r="A37" i="3" a="1"/>
  <c r="A37" i="3" s="1"/>
  <c r="AL35" i="3"/>
  <c r="AJ34" i="3"/>
  <c r="T34" i="3"/>
  <c r="D34" i="3"/>
  <c r="AH34" i="3"/>
  <c r="B34" i="3"/>
  <c r="AD34" i="3"/>
  <c r="N34" i="3"/>
  <c r="AB34" i="3"/>
  <c r="L34" i="3"/>
  <c r="AN34" i="3"/>
  <c r="Z34" i="3"/>
  <c r="J34" i="3"/>
  <c r="AM34" i="3"/>
  <c r="X34" i="3"/>
  <c r="H34" i="3"/>
  <c r="V34" i="3"/>
  <c r="F34" i="3"/>
  <c r="R34" i="3"/>
  <c r="AF34" i="3"/>
  <c r="P34" i="3"/>
  <c r="B7" i="5" a="1"/>
  <c r="B9" i="7" a="1"/>
  <c r="C51" i="7" a="1"/>
  <c r="F9" i="7" a="1"/>
  <c r="I8" i="7" a="1"/>
  <c r="B7" i="5" l="1"/>
  <c r="FH4" i="7" a="1"/>
  <c r="FH4" i="7" s="1"/>
  <c r="FG4" i="7" s="1"/>
  <c r="I8" i="7"/>
  <c r="F9" i="7"/>
  <c r="C51" i="7"/>
  <c r="B9" i="7"/>
  <c r="AN37" i="3"/>
  <c r="Z37" i="3"/>
  <c r="J37" i="3"/>
  <c r="AM37" i="3"/>
  <c r="X37" i="3"/>
  <c r="H37" i="3"/>
  <c r="AJ37" i="3"/>
  <c r="T37" i="3"/>
  <c r="D37" i="3"/>
  <c r="AH37" i="3"/>
  <c r="R37" i="3"/>
  <c r="B37" i="3"/>
  <c r="AF37" i="3"/>
  <c r="P37" i="3"/>
  <c r="AD37" i="3"/>
  <c r="N37" i="3"/>
  <c r="AB37" i="3"/>
  <c r="L37" i="3"/>
  <c r="V37" i="3"/>
  <c r="F37" i="3"/>
  <c r="AL36" i="3"/>
  <c r="A38" i="3" a="1"/>
  <c r="A38" i="3" s="1"/>
  <c r="AJ3" i="3"/>
  <c r="AI3" i="3"/>
  <c r="AJ4" i="3"/>
  <c r="AL37" i="3"/>
  <c r="A39" i="3" a="1"/>
  <c r="A39" i="3" s="1"/>
  <c r="AM36" i="3"/>
  <c r="X36" i="3"/>
  <c r="H36" i="3"/>
  <c r="V36" i="3"/>
  <c r="F36" i="3"/>
  <c r="AH36" i="3"/>
  <c r="R36" i="3"/>
  <c r="B36" i="3"/>
  <c r="AF36" i="3"/>
  <c r="P36" i="3"/>
  <c r="AD36" i="3"/>
  <c r="N36" i="3"/>
  <c r="AB36" i="3"/>
  <c r="L36" i="3"/>
  <c r="AN36" i="3"/>
  <c r="Z36" i="3"/>
  <c r="J36" i="3"/>
  <c r="AJ36" i="3"/>
  <c r="T36" i="3"/>
  <c r="D36" i="3"/>
  <c r="B8" i="5" a="1"/>
  <c r="N8" i="7" a="1"/>
  <c r="J4" i="7" a="1"/>
  <c r="C4" i="7" a="1"/>
  <c r="C11" i="7" a="1"/>
  <c r="EY5" i="7" a="1"/>
  <c r="EW6" i="7" a="1"/>
  <c r="B8" i="5" l="1"/>
  <c r="AK3" i="3"/>
  <c r="ES33" i="7" s="1"/>
  <c r="EW6" i="7"/>
  <c r="EY5" i="7"/>
  <c r="C11" i="7"/>
  <c r="C4" i="7"/>
  <c r="J4" i="7"/>
  <c r="N8" i="7"/>
  <c r="F51" i="7" a="1"/>
  <c r="F51" i="7" s="1"/>
  <c r="C53" i="7" a="1"/>
  <c r="C53" i="7" s="1"/>
  <c r="G9" i="7"/>
  <c r="AB38" i="3"/>
  <c r="L38" i="3"/>
  <c r="AN38" i="3"/>
  <c r="Z38" i="3"/>
  <c r="J38" i="3"/>
  <c r="V38" i="3"/>
  <c r="F38" i="3"/>
  <c r="AJ38" i="3"/>
  <c r="T38" i="3"/>
  <c r="D38" i="3"/>
  <c r="AH38" i="3"/>
  <c r="R38" i="3"/>
  <c r="B38" i="3"/>
  <c r="AF38" i="3"/>
  <c r="P38" i="3"/>
  <c r="AD38" i="3"/>
  <c r="N38" i="3"/>
  <c r="AM38" i="3"/>
  <c r="X38" i="3"/>
  <c r="H38" i="3"/>
  <c r="EL61" i="7"/>
  <c r="AC68" i="7"/>
  <c r="BV61" i="7"/>
  <c r="G12" i="7"/>
  <c r="ES68" i="7"/>
  <c r="AC5" i="7"/>
  <c r="BV82" i="7"/>
  <c r="AL38" i="3"/>
  <c r="A40" i="3" a="1"/>
  <c r="A40" i="3" s="1"/>
  <c r="AD39" i="3"/>
  <c r="N39" i="3"/>
  <c r="AB39" i="3"/>
  <c r="L39" i="3"/>
  <c r="AM39" i="3"/>
  <c r="X39" i="3"/>
  <c r="H39" i="3"/>
  <c r="V39" i="3"/>
  <c r="F39" i="3"/>
  <c r="AJ39" i="3"/>
  <c r="T39" i="3"/>
  <c r="D39" i="3"/>
  <c r="AH39" i="3"/>
  <c r="R39" i="3"/>
  <c r="B39" i="3"/>
  <c r="AF39" i="3"/>
  <c r="P39" i="3"/>
  <c r="AN39" i="3"/>
  <c r="Z39" i="3"/>
  <c r="J39" i="3"/>
  <c r="A41" i="3" a="1"/>
  <c r="A41" i="3" s="1"/>
  <c r="AL39" i="3"/>
  <c r="F8" i="6" a="1"/>
  <c r="E7" i="6" a="1"/>
  <c r="FA5" i="7" a="1"/>
  <c r="EY6" i="7" a="1"/>
  <c r="G10" i="7" a="1"/>
  <c r="FA6" i="7" a="1"/>
  <c r="E9" i="7" a="1"/>
  <c r="J9" i="7" a="1"/>
  <c r="I10" i="7" a="1"/>
  <c r="EZ5" i="7" a="1"/>
  <c r="E1" i="6" a="1"/>
  <c r="F2" i="6" a="1"/>
  <c r="H1" i="6" a="1"/>
  <c r="H2" i="6" a="1"/>
  <c r="B3" i="6" a="1"/>
  <c r="DH40" i="7" l="1"/>
  <c r="DH54" i="7"/>
  <c r="ED61" i="7"/>
  <c r="AR54" i="7"/>
  <c r="DH12" i="7"/>
  <c r="CS33" i="7"/>
  <c r="CK12" i="7"/>
  <c r="ES54" i="7"/>
  <c r="ED12" i="7"/>
  <c r="CS68" i="7"/>
  <c r="EL47" i="7"/>
  <c r="N82" i="7"/>
  <c r="N12" i="7"/>
  <c r="BV40" i="7"/>
  <c r="N40" i="7"/>
  <c r="BO12" i="7"/>
  <c r="DW40" i="7"/>
  <c r="BO68" i="7"/>
  <c r="V75" i="7"/>
  <c r="AR40" i="7"/>
  <c r="DO54" i="7"/>
  <c r="DH47" i="7"/>
  <c r="ED82" i="7"/>
  <c r="CS40" i="7"/>
  <c r="AR5" i="7"/>
  <c r="CZ33" i="7"/>
  <c r="G19" i="7"/>
  <c r="EL75" i="7"/>
  <c r="V33" i="7"/>
  <c r="BO40" i="7"/>
  <c r="G75" i="7"/>
  <c r="DW82" i="7"/>
  <c r="AR12" i="7"/>
  <c r="V54" i="7"/>
  <c r="BO61" i="7"/>
  <c r="AK54" i="7"/>
  <c r="CD26" i="7"/>
  <c r="BO75" i="7"/>
  <c r="AC75" i="7"/>
  <c r="CK5" i="7"/>
  <c r="BG26" i="7"/>
  <c r="AC47" i="7"/>
  <c r="AR47" i="7"/>
  <c r="ED75" i="7"/>
  <c r="AC19" i="7"/>
  <c r="G5" i="7"/>
  <c r="ED33" i="7"/>
  <c r="AR75" i="7"/>
  <c r="AR26" i="7"/>
  <c r="CK47" i="7"/>
  <c r="BG54" i="7"/>
  <c r="DH61" i="7"/>
  <c r="AZ68" i="7"/>
  <c r="AZ33" i="7"/>
  <c r="DO47" i="7"/>
  <c r="ES75" i="7"/>
  <c r="CD19" i="7"/>
  <c r="AC33" i="7"/>
  <c r="AK68" i="7"/>
  <c r="DW19" i="7"/>
  <c r="CD5" i="7"/>
  <c r="BG47" i="7"/>
  <c r="AZ40" i="7"/>
  <c r="AC54" i="7"/>
  <c r="BO33" i="7"/>
  <c r="DH26" i="7"/>
  <c r="ES40" i="7"/>
  <c r="BO47" i="7"/>
  <c r="V68" i="7"/>
  <c r="N54" i="7"/>
  <c r="V19" i="7"/>
  <c r="AC82" i="7"/>
  <c r="EL12" i="7"/>
  <c r="ED26" i="7"/>
  <c r="N61" i="7"/>
  <c r="CZ19" i="7"/>
  <c r="CD33" i="7"/>
  <c r="G54" i="7"/>
  <c r="DO26" i="7"/>
  <c r="N47" i="7"/>
  <c r="DO5" i="7"/>
  <c r="CK26" i="7"/>
  <c r="ED40" i="7"/>
  <c r="CZ82" i="7"/>
  <c r="DH5" i="7"/>
  <c r="CD12" i="7"/>
  <c r="AZ26" i="7"/>
  <c r="CD47" i="7"/>
  <c r="DH33" i="7"/>
  <c r="CD61" i="7"/>
  <c r="BV26" i="7"/>
  <c r="AZ47" i="7"/>
  <c r="G40" i="7"/>
  <c r="BG68" i="7"/>
  <c r="AK75" i="7"/>
  <c r="CK68" i="7"/>
  <c r="AK61" i="7"/>
  <c r="DO12" i="7"/>
  <c r="DH19" i="7"/>
  <c r="BV12" i="7"/>
  <c r="DO82" i="7"/>
  <c r="DO33" i="7"/>
  <c r="DO61" i="7"/>
  <c r="AZ54" i="7"/>
  <c r="AZ75" i="7"/>
  <c r="ES61" i="7"/>
  <c r="EL33" i="7"/>
  <c r="ES12" i="7"/>
  <c r="ED19" i="7"/>
  <c r="CD75" i="7"/>
  <c r="ED5" i="7"/>
  <c r="AR19" i="7"/>
  <c r="EL68" i="7"/>
  <c r="DH75" i="7"/>
  <c r="CS26" i="7"/>
  <c r="AK47" i="7"/>
  <c r="DW12" i="7"/>
  <c r="AZ82" i="7"/>
  <c r="G61" i="7"/>
  <c r="AZ5" i="7"/>
  <c r="ED54" i="7"/>
  <c r="AR33" i="7"/>
  <c r="ES47" i="7"/>
  <c r="CS75" i="7"/>
  <c r="CD40" i="7"/>
  <c r="CD82" i="7"/>
  <c r="CS47" i="7"/>
  <c r="AK12" i="7"/>
  <c r="G82" i="7"/>
  <c r="CZ54" i="7"/>
  <c r="CS12" i="7"/>
  <c r="BG19" i="7"/>
  <c r="CS19" i="7"/>
  <c r="V61" i="7"/>
  <c r="DO19" i="7"/>
  <c r="BG61" i="7"/>
  <c r="DW26" i="7"/>
  <c r="DW61" i="7"/>
  <c r="AZ61" i="7"/>
  <c r="N33" i="7"/>
  <c r="N26" i="7"/>
  <c r="BG12" i="7"/>
  <c r="BV75" i="7"/>
  <c r="CD68" i="7"/>
  <c r="DO40" i="7"/>
  <c r="CK82" i="7"/>
  <c r="AK33" i="7"/>
  <c r="AK5" i="7"/>
  <c r="N19" i="7"/>
  <c r="N75" i="7"/>
  <c r="EL40" i="7"/>
  <c r="DW54" i="7"/>
  <c r="BV5" i="7"/>
  <c r="DW47" i="7"/>
  <c r="CK40" i="7"/>
  <c r="EL26" i="7"/>
  <c r="CK33" i="7"/>
  <c r="CZ12" i="7"/>
  <c r="ED68" i="7"/>
  <c r="CK75" i="7"/>
  <c r="N68" i="7"/>
  <c r="G33" i="7"/>
  <c r="DW68" i="7"/>
  <c r="G26" i="7"/>
  <c r="BG75" i="7"/>
  <c r="CS54" i="7"/>
  <c r="BV33" i="7"/>
  <c r="BG82" i="7"/>
  <c r="EL54" i="7"/>
  <c r="CZ75" i="7"/>
  <c r="V47" i="7"/>
  <c r="CK19" i="7"/>
  <c r="AC12" i="7"/>
  <c r="AK82" i="7"/>
  <c r="V12" i="7"/>
  <c r="CS61" i="7"/>
  <c r="ES19" i="7"/>
  <c r="V26" i="7"/>
  <c r="AR82" i="7"/>
  <c r="V5" i="7"/>
  <c r="CZ5" i="7"/>
  <c r="CZ61" i="7"/>
  <c r="CZ40" i="7"/>
  <c r="DW33" i="7"/>
  <c r="DW75" i="7"/>
  <c r="DH68" i="7"/>
  <c r="AK19" i="7"/>
  <c r="BV68" i="7"/>
  <c r="CZ47" i="7"/>
  <c r="AZ19" i="7"/>
  <c r="ES26" i="7"/>
  <c r="BV47" i="7"/>
  <c r="CZ26" i="7"/>
  <c r="DO75" i="7"/>
  <c r="N5" i="7"/>
  <c r="CZ68" i="7"/>
  <c r="CS82" i="7"/>
  <c r="ES82" i="7"/>
  <c r="ED47" i="7"/>
  <c r="DH82" i="7"/>
  <c r="BO54" i="7"/>
  <c r="AR68" i="7"/>
  <c r="G47" i="7"/>
  <c r="AC40" i="7"/>
  <c r="V40" i="7"/>
  <c r="ES5" i="7"/>
  <c r="BG5" i="7"/>
  <c r="EL19" i="7"/>
  <c r="CS5" i="7"/>
  <c r="AK40" i="7"/>
  <c r="CK61" i="7"/>
  <c r="BV19" i="7"/>
  <c r="BV54" i="7"/>
  <c r="CD54" i="7"/>
  <c r="EL5" i="7"/>
  <c r="AZ12" i="7"/>
  <c r="BO26" i="7"/>
  <c r="AK26" i="7"/>
  <c r="BG33" i="7"/>
  <c r="V82" i="7"/>
  <c r="DO68" i="7"/>
  <c r="AR61" i="7"/>
  <c r="DW5" i="7"/>
  <c r="BO5" i="7"/>
  <c r="AC61" i="7"/>
  <c r="AC26" i="7"/>
  <c r="BG40" i="7"/>
  <c r="CK54" i="7"/>
  <c r="EL82" i="7"/>
  <c r="G68" i="7"/>
  <c r="BO19" i="7"/>
  <c r="BO82" i="7"/>
  <c r="AH41" i="3"/>
  <c r="AJ41" i="3"/>
  <c r="AH40" i="3"/>
  <c r="AJ40" i="3"/>
  <c r="AD41" i="3"/>
  <c r="AF41" i="3"/>
  <c r="AD40" i="3"/>
  <c r="AF40" i="3"/>
  <c r="Z41" i="3"/>
  <c r="AB41" i="3"/>
  <c r="Z40" i="3"/>
  <c r="AB40" i="3"/>
  <c r="V41" i="3"/>
  <c r="X41" i="3"/>
  <c r="V40" i="3"/>
  <c r="X40" i="3"/>
  <c r="R41" i="3"/>
  <c r="T41" i="3"/>
  <c r="R40" i="3"/>
  <c r="T40" i="3"/>
  <c r="N41" i="3"/>
  <c r="P41" i="3"/>
  <c r="N40" i="3"/>
  <c r="P40" i="3"/>
  <c r="J41" i="3"/>
  <c r="H41" i="3"/>
  <c r="J40" i="3"/>
  <c r="H40" i="3"/>
  <c r="F41" i="3"/>
  <c r="L41" i="3"/>
  <c r="F40" i="3"/>
  <c r="L40" i="3"/>
  <c r="D41" i="3"/>
  <c r="D40" i="3"/>
  <c r="B41" i="3"/>
  <c r="B40" i="3"/>
  <c r="F8" i="6"/>
  <c r="E7" i="6"/>
  <c r="A7" i="6" s="1"/>
  <c r="EZ5" i="7"/>
  <c r="I10" i="7"/>
  <c r="J9" i="7"/>
  <c r="E9" i="7"/>
  <c r="FA6" i="7"/>
  <c r="G10" i="7"/>
  <c r="F14" i="7" s="1"/>
  <c r="EY6" i="7"/>
  <c r="FA5" i="7"/>
  <c r="I7" i="7"/>
  <c r="FD3" i="7" s="1"/>
  <c r="FA3" i="7"/>
  <c r="K7" i="7"/>
  <c r="FE3" i="7" s="1"/>
  <c r="D55" i="7"/>
  <c r="E52" i="7"/>
  <c r="B55" i="7"/>
  <c r="B56" i="7"/>
  <c r="C50" i="7"/>
  <c r="E51" i="7" s="1" a="1"/>
  <c r="E51" i="7" s="1"/>
  <c r="F55" i="7"/>
  <c r="C55" i="7"/>
  <c r="C52" i="7"/>
  <c r="B51" i="7" a="1"/>
  <c r="B51" i="7" s="1"/>
  <c r="D7" i="7"/>
  <c r="FE1" i="7" s="1"/>
  <c r="B7" i="7"/>
  <c r="FD1" i="7" s="1"/>
  <c r="FA1" i="7"/>
  <c r="G51" i="7"/>
  <c r="B14" i="7"/>
  <c r="D14" i="7"/>
  <c r="B3" i="6"/>
  <c r="H2" i="6"/>
  <c r="H1" i="6"/>
  <c r="F2" i="6"/>
  <c r="E1" i="6"/>
  <c r="A42" i="3" a="1"/>
  <c r="A42" i="3" s="1"/>
  <c r="AL40" i="3"/>
  <c r="AL41" i="3"/>
  <c r="A43" i="3" a="1"/>
  <c r="A43" i="3" s="1"/>
  <c r="G3" i="7" a="1"/>
  <c r="N3" i="7" a="1"/>
  <c r="G45" i="7" a="1"/>
  <c r="E11" i="7" a="1"/>
  <c r="FD6" i="7" a="1"/>
  <c r="A15" i="7" a="1"/>
  <c r="I2" i="7" a="1"/>
  <c r="EV6" i="7" a="1"/>
  <c r="B2" i="7" a="1"/>
  <c r="EW7" i="7" a="1"/>
  <c r="EX6" i="7" a="1"/>
  <c r="EX5" i="7" a="1"/>
  <c r="FC6" i="7" a="1"/>
  <c r="EZ6" i="7" a="1"/>
  <c r="FD5" i="7" a="1"/>
  <c r="J11" i="7" a="1"/>
  <c r="E53" i="7" a="1"/>
  <c r="FE5" i="7" a="1"/>
  <c r="FF5" i="7" a="1"/>
  <c r="G3" i="7" l="1"/>
  <c r="F7" i="7" s="1"/>
  <c r="G45" i="7"/>
  <c r="F49" i="7" s="1"/>
  <c r="N3" i="7"/>
  <c r="M7" i="7" s="1"/>
  <c r="AH43" i="3"/>
  <c r="AJ43" i="3"/>
  <c r="AH42" i="3"/>
  <c r="AJ42" i="3"/>
  <c r="AD43" i="3"/>
  <c r="AF43" i="3"/>
  <c r="AD42" i="3"/>
  <c r="AF42" i="3"/>
  <c r="Z42" i="3"/>
  <c r="AB42" i="3"/>
  <c r="Z43" i="3"/>
  <c r="AB43" i="3"/>
  <c r="V42" i="3"/>
  <c r="X42" i="3"/>
  <c r="V43" i="3"/>
  <c r="X43" i="3"/>
  <c r="R42" i="3"/>
  <c r="T42" i="3"/>
  <c r="R43" i="3"/>
  <c r="T43" i="3"/>
  <c r="N42" i="3"/>
  <c r="P42" i="3"/>
  <c r="N43" i="3"/>
  <c r="P43" i="3"/>
  <c r="J42" i="3"/>
  <c r="H42" i="3"/>
  <c r="J43" i="3"/>
  <c r="H43" i="3"/>
  <c r="F43" i="3"/>
  <c r="L43" i="3"/>
  <c r="F42" i="3"/>
  <c r="L42" i="3"/>
  <c r="D42" i="3"/>
  <c r="D43" i="3"/>
  <c r="B42" i="3"/>
  <c r="B43" i="3"/>
  <c r="FF5" i="7"/>
  <c r="FE5" i="7"/>
  <c r="E53" i="7"/>
  <c r="J11" i="7"/>
  <c r="FD5" i="7"/>
  <c r="EZ6" i="7"/>
  <c r="FC6" i="7"/>
  <c r="EX5" i="7"/>
  <c r="EX6" i="7"/>
  <c r="EW7" i="7"/>
  <c r="B2" i="7"/>
  <c r="EV6" i="7"/>
  <c r="I2" i="7"/>
  <c r="A15" i="7"/>
  <c r="FD6" i="7"/>
  <c r="E11" i="7"/>
  <c r="F44" i="7" a="1"/>
  <c r="F44" i="7" s="1"/>
  <c r="J10" i="7"/>
  <c r="J13" i="7"/>
  <c r="M13" i="7"/>
  <c r="L10" i="7"/>
  <c r="I13" i="7"/>
  <c r="J8" i="7"/>
  <c r="K13" i="7"/>
  <c r="B52" i="7" a="1"/>
  <c r="B52" i="7" s="1"/>
  <c r="F56" i="7"/>
  <c r="G52" i="7" a="1"/>
  <c r="G52" i="7" s="1"/>
  <c r="FF1" i="7"/>
  <c r="F2" i="7" a="1"/>
  <c r="F2" i="7" s="1"/>
  <c r="N53" i="7" a="1"/>
  <c r="N53" i="7" s="1"/>
  <c r="N11" i="7" a="1"/>
  <c r="N11" i="7" s="1"/>
  <c r="D56" i="7"/>
  <c r="FF3" i="7"/>
  <c r="M2" i="7" a="1"/>
  <c r="M2" i="7" s="1"/>
  <c r="A44" i="3" a="1"/>
  <c r="A44" i="3" s="1"/>
  <c r="AL42" i="3"/>
  <c r="FA165" i="7"/>
  <c r="C9" i="4"/>
  <c r="FA167" i="7"/>
  <c r="FB166" i="7"/>
  <c r="EW166" i="7"/>
  <c r="G2" i="6"/>
  <c r="FB168" i="7"/>
  <c r="A8" i="6"/>
  <c r="E4" i="6"/>
  <c r="FA122" i="7" s="1"/>
  <c r="E3" i="6"/>
  <c r="FA121" i="7" s="1"/>
  <c r="EW165" i="7"/>
  <c r="G1" i="6"/>
  <c r="FC165" i="7" s="1"/>
  <c r="A45" i="3" a="1"/>
  <c r="A45" i="3" s="1"/>
  <c r="AL43" i="3"/>
  <c r="FF2" i="7" a="1"/>
  <c r="FB5" i="7" a="1"/>
  <c r="EY2" i="7" a="1"/>
  <c r="I50" i="7" a="1"/>
  <c r="EV7" i="7" a="1"/>
  <c r="FB6" i="7" a="1"/>
  <c r="FA7" i="7" a="1"/>
  <c r="E4" i="7" a="1"/>
  <c r="FC7" i="7" a="1"/>
  <c r="FE6" i="7" a="1"/>
  <c r="L4" i="7" a="1"/>
  <c r="FF6" i="7" a="1"/>
  <c r="A16" i="7" a="1"/>
  <c r="M9" i="7" a="1"/>
  <c r="FF2" i="7" l="1"/>
  <c r="AH44" i="3"/>
  <c r="AJ44" i="3"/>
  <c r="AH45" i="3"/>
  <c r="AJ45" i="3"/>
  <c r="AD45" i="3"/>
  <c r="AF45" i="3"/>
  <c r="AD44" i="3"/>
  <c r="AF44" i="3"/>
  <c r="Z45" i="3"/>
  <c r="AB45" i="3"/>
  <c r="Z44" i="3"/>
  <c r="AB44" i="3"/>
  <c r="V44" i="3"/>
  <c r="X44" i="3"/>
  <c r="V45" i="3"/>
  <c r="X45" i="3"/>
  <c r="R45" i="3"/>
  <c r="T45" i="3"/>
  <c r="R44" i="3"/>
  <c r="T44" i="3"/>
  <c r="N45" i="3"/>
  <c r="P45" i="3"/>
  <c r="N44" i="3"/>
  <c r="P44" i="3"/>
  <c r="J44" i="3"/>
  <c r="H44" i="3"/>
  <c r="J45" i="3"/>
  <c r="H45" i="3"/>
  <c r="F44" i="3"/>
  <c r="L44" i="3"/>
  <c r="F45" i="3"/>
  <c r="L45" i="3"/>
  <c r="D45" i="3"/>
  <c r="D44" i="3"/>
  <c r="B45" i="3"/>
  <c r="B44" i="3"/>
  <c r="M9" i="7"/>
  <c r="A16" i="7"/>
  <c r="FF6" i="7"/>
  <c r="L4" i="7"/>
  <c r="FB3" i="7" s="1"/>
  <c r="FE6" i="7"/>
  <c r="FC7" i="7"/>
  <c r="E4" i="7"/>
  <c r="FB1" i="7" s="1"/>
  <c r="FA7" i="7"/>
  <c r="FB6" i="7"/>
  <c r="EV7" i="7"/>
  <c r="I50" i="7"/>
  <c r="EY2" i="7"/>
  <c r="FB5" i="7"/>
  <c r="FH5" i="7" s="1" a="1"/>
  <c r="FH5" i="7" s="1"/>
  <c r="FG5" i="7" s="1"/>
  <c r="L2" i="7" a="1"/>
  <c r="L2" i="7" s="1"/>
  <c r="EX3" i="7" s="1"/>
  <c r="EY3" i="7"/>
  <c r="N2" i="7"/>
  <c r="EZ3" i="7" s="1"/>
  <c r="I14" i="7"/>
  <c r="K14" i="7"/>
  <c r="G44" i="7"/>
  <c r="E44" i="7" a="1"/>
  <c r="E44" i="7" s="1"/>
  <c r="G2" i="7"/>
  <c r="EZ1" i="7" s="1"/>
  <c r="E2" i="7" a="1"/>
  <c r="E2" i="7" s="1"/>
  <c r="EX1" i="7" s="1"/>
  <c r="EY1" i="7"/>
  <c r="AL44" i="3"/>
  <c r="A46" i="3" a="1"/>
  <c r="A46" i="3" s="1"/>
  <c r="AL45" i="3"/>
  <c r="A47" i="3" a="1"/>
  <c r="A47" i="3" s="1"/>
  <c r="EV168" i="7"/>
  <c r="FH168" i="7" s="1"/>
  <c r="FG168" i="7" s="1"/>
  <c r="G8" i="6"/>
  <c r="H8" i="6" a="1"/>
  <c r="H8" i="6" s="1"/>
  <c r="EW168" i="7" s="1"/>
  <c r="J1" i="6"/>
  <c r="FE165" i="7" s="1"/>
  <c r="FC166" i="7"/>
  <c r="J2" i="6"/>
  <c r="FE166" i="7" s="1"/>
  <c r="EV167" i="7"/>
  <c r="FH167" i="7" s="1"/>
  <c r="FG167" i="7" s="1"/>
  <c r="G7" i="6"/>
  <c r="H7" i="6" a="1"/>
  <c r="H7" i="6" s="1"/>
  <c r="EW167" i="7" s="1"/>
  <c r="EY7" i="7" a="1"/>
  <c r="B15" i="7" a="1"/>
  <c r="FD7" i="7" a="1"/>
  <c r="FE7" i="7" a="1"/>
  <c r="N10" i="7" a="1"/>
  <c r="I9" i="7" a="1"/>
  <c r="J51" i="7" a="1"/>
  <c r="EX2" i="7" a="1"/>
  <c r="EZ2" i="7" a="1"/>
  <c r="AH47" i="3" l="1"/>
  <c r="AJ47" i="3"/>
  <c r="AH46" i="3"/>
  <c r="AJ46" i="3"/>
  <c r="AD47" i="3"/>
  <c r="AF47" i="3"/>
  <c r="AD46" i="3"/>
  <c r="AF46" i="3"/>
  <c r="Z47" i="3"/>
  <c r="AB47" i="3"/>
  <c r="Z46" i="3"/>
  <c r="AB46" i="3"/>
  <c r="V47" i="3"/>
  <c r="X47" i="3"/>
  <c r="V46" i="3"/>
  <c r="X46" i="3"/>
  <c r="R47" i="3"/>
  <c r="T47" i="3"/>
  <c r="R46" i="3"/>
  <c r="T46" i="3"/>
  <c r="N46" i="3"/>
  <c r="P46" i="3"/>
  <c r="N47" i="3"/>
  <c r="P47" i="3"/>
  <c r="J47" i="3"/>
  <c r="H47" i="3"/>
  <c r="J46" i="3"/>
  <c r="H46" i="3"/>
  <c r="F47" i="3"/>
  <c r="L47" i="3"/>
  <c r="F46" i="3"/>
  <c r="L46" i="3"/>
  <c r="D46" i="3"/>
  <c r="D47" i="3"/>
  <c r="B47" i="3"/>
  <c r="B46" i="3"/>
  <c r="FH6" i="7" a="1"/>
  <c r="FH6" i="7" s="1"/>
  <c r="FG6" i="7" s="1"/>
  <c r="EZ2" i="7"/>
  <c r="EX2" i="7"/>
  <c r="J51" i="7"/>
  <c r="I9" i="7"/>
  <c r="N10" i="7"/>
  <c r="M14" i="7" s="1"/>
  <c r="FE7" i="7"/>
  <c r="FD7" i="7"/>
  <c r="B15" i="7"/>
  <c r="EY7" i="7"/>
  <c r="FH3" i="7" a="1"/>
  <c r="FH3" i="7" s="1"/>
  <c r="FG3" i="7" s="1"/>
  <c r="FH1" i="7" a="1"/>
  <c r="FH1" i="7" s="1"/>
  <c r="FG1" i="7" s="1"/>
  <c r="N9" i="7"/>
  <c r="A49" i="3" a="1"/>
  <c r="A49" i="3" s="1"/>
  <c r="AL47" i="3"/>
  <c r="FC167" i="7"/>
  <c r="J7" i="6"/>
  <c r="FE167" i="7" s="1"/>
  <c r="FC168" i="7"/>
  <c r="J8" i="6"/>
  <c r="FE168" i="7" s="1"/>
  <c r="AL46" i="3"/>
  <c r="A48" i="3" a="1"/>
  <c r="A48" i="3" s="1"/>
  <c r="EW8" i="7" a="1"/>
  <c r="FF7" i="7" a="1"/>
  <c r="EZ7" i="7" a="1"/>
  <c r="L9" i="7" a="1"/>
  <c r="G15" i="7" a="1"/>
  <c r="AH49" i="3" l="1"/>
  <c r="AJ49" i="3"/>
  <c r="AH48" i="3"/>
  <c r="AJ48" i="3"/>
  <c r="AD49" i="3"/>
  <c r="AF49" i="3"/>
  <c r="AD48" i="3"/>
  <c r="AF48" i="3"/>
  <c r="Z49" i="3"/>
  <c r="AB49" i="3"/>
  <c r="Z48" i="3"/>
  <c r="AB48" i="3"/>
  <c r="V48" i="3"/>
  <c r="X48" i="3"/>
  <c r="V49" i="3"/>
  <c r="X49" i="3"/>
  <c r="R48" i="3"/>
  <c r="T48" i="3"/>
  <c r="R49" i="3"/>
  <c r="T49" i="3"/>
  <c r="N49" i="3"/>
  <c r="P49" i="3"/>
  <c r="N48" i="3"/>
  <c r="P48" i="3"/>
  <c r="J48" i="3"/>
  <c r="H48" i="3"/>
  <c r="J49" i="3"/>
  <c r="H49" i="3"/>
  <c r="F49" i="3"/>
  <c r="L49" i="3"/>
  <c r="F48" i="3"/>
  <c r="L48" i="3"/>
  <c r="D49" i="3"/>
  <c r="D48" i="3"/>
  <c r="B48" i="3"/>
  <c r="B49" i="3"/>
  <c r="FH2" i="7" a="1"/>
  <c r="FH2" i="7" s="1"/>
  <c r="FG2" i="7" s="1"/>
  <c r="G15" i="7"/>
  <c r="L9" i="7"/>
  <c r="EZ7" i="7"/>
  <c r="FF7" i="7"/>
  <c r="EW8" i="7"/>
  <c r="J53" i="7" a="1"/>
  <c r="J53" i="7" s="1"/>
  <c r="M51" i="7" a="1"/>
  <c r="M51" i="7" s="1"/>
  <c r="A50" i="3" a="1"/>
  <c r="A50" i="3" s="1"/>
  <c r="AL48" i="3"/>
  <c r="AL49" i="3"/>
  <c r="A51" i="3" a="1"/>
  <c r="A51" i="3" s="1"/>
  <c r="B17" i="7" a="1"/>
  <c r="C16" i="7" a="1"/>
  <c r="EX7" i="7" a="1"/>
  <c r="FA8" i="7" a="1"/>
  <c r="EY8" i="7" a="1"/>
  <c r="AH51" i="3" l="1"/>
  <c r="AJ51" i="3"/>
  <c r="AH50" i="3"/>
  <c r="AJ50" i="3"/>
  <c r="AD51" i="3"/>
  <c r="AF51" i="3"/>
  <c r="AD50" i="3"/>
  <c r="AF50" i="3"/>
  <c r="Z51" i="3"/>
  <c r="AB51" i="3"/>
  <c r="Z50" i="3"/>
  <c r="AB50" i="3"/>
  <c r="V50" i="3"/>
  <c r="X50" i="3"/>
  <c r="V51" i="3"/>
  <c r="X51" i="3"/>
  <c r="R50" i="3"/>
  <c r="T50" i="3"/>
  <c r="R51" i="3"/>
  <c r="T51" i="3"/>
  <c r="N51" i="3"/>
  <c r="P51" i="3"/>
  <c r="N50" i="3"/>
  <c r="P50" i="3"/>
  <c r="J50" i="3"/>
  <c r="H50" i="3"/>
  <c r="J51" i="3"/>
  <c r="H51" i="3"/>
  <c r="F50" i="3"/>
  <c r="L50" i="3"/>
  <c r="F51" i="3"/>
  <c r="L51" i="3"/>
  <c r="D51" i="3"/>
  <c r="D50" i="3"/>
  <c r="B50" i="3"/>
  <c r="B51" i="3"/>
  <c r="EY8" i="7"/>
  <c r="FA8" i="7"/>
  <c r="EX7" i="7"/>
  <c r="C16" i="7"/>
  <c r="B17" i="7"/>
  <c r="N51" i="7"/>
  <c r="L52" i="7"/>
  <c r="J52" i="7"/>
  <c r="M55" i="7"/>
  <c r="I55" i="7"/>
  <c r="K55" i="7"/>
  <c r="J50" i="7"/>
  <c r="L51" i="7" s="1" a="1"/>
  <c r="L51" i="7" s="1"/>
  <c r="I56" i="7"/>
  <c r="J55" i="7"/>
  <c r="K56" i="7" s="1"/>
  <c r="I51" i="7" a="1"/>
  <c r="I51" i="7" s="1"/>
  <c r="AL50" i="3"/>
  <c r="A52" i="3" a="1"/>
  <c r="A52" i="3" s="1"/>
  <c r="A53" i="3" a="1"/>
  <c r="A53" i="3" s="1"/>
  <c r="AL51" i="3"/>
  <c r="L53" i="7" a="1"/>
  <c r="C18" i="7" a="1"/>
  <c r="FC8" i="7" a="1"/>
  <c r="EW9" i="7" a="1"/>
  <c r="EV8" i="7" a="1"/>
  <c r="L11" i="7" a="1"/>
  <c r="EZ8" i="7" a="1"/>
  <c r="FD8" i="7" a="1"/>
  <c r="H15" i="7" a="1"/>
  <c r="EX8" i="7" a="1"/>
  <c r="FE8" i="7" a="1"/>
  <c r="AH53" i="3" l="1"/>
  <c r="AJ53" i="3"/>
  <c r="AH52" i="3"/>
  <c r="AJ52" i="3"/>
  <c r="AD53" i="3"/>
  <c r="AF53" i="3"/>
  <c r="AD52" i="3"/>
  <c r="AF52" i="3"/>
  <c r="Z53" i="3"/>
  <c r="AB53" i="3"/>
  <c r="Z52" i="3"/>
  <c r="AB52" i="3"/>
  <c r="V52" i="3"/>
  <c r="X52" i="3"/>
  <c r="V53" i="3"/>
  <c r="X53" i="3"/>
  <c r="R53" i="3"/>
  <c r="T53" i="3"/>
  <c r="R52" i="3"/>
  <c r="T52" i="3"/>
  <c r="N53" i="3"/>
  <c r="P53" i="3"/>
  <c r="N52" i="3"/>
  <c r="P52" i="3"/>
  <c r="J52" i="3"/>
  <c r="H52" i="3"/>
  <c r="J53" i="3"/>
  <c r="H53" i="3"/>
  <c r="F52" i="3"/>
  <c r="L52" i="3"/>
  <c r="F53" i="3"/>
  <c r="L53" i="3"/>
  <c r="D53" i="3"/>
  <c r="D52" i="3"/>
  <c r="B53" i="3"/>
  <c r="B52" i="3"/>
  <c r="FE8" i="7"/>
  <c r="EX8" i="7"/>
  <c r="H15" i="7"/>
  <c r="FD8" i="7"/>
  <c r="EZ8" i="7"/>
  <c r="L11" i="7"/>
  <c r="EV8" i="7"/>
  <c r="EW9" i="7"/>
  <c r="FC8" i="7"/>
  <c r="C18" i="7"/>
  <c r="L53" i="7"/>
  <c r="N52" i="7" a="1"/>
  <c r="N52" i="7" s="1"/>
  <c r="I52" i="7" a="1"/>
  <c r="I52" i="7" s="1"/>
  <c r="M56" i="7"/>
  <c r="C20" i="7"/>
  <c r="E17" i="7"/>
  <c r="D20" i="7"/>
  <c r="C15" i="7"/>
  <c r="F20" i="7"/>
  <c r="C17" i="7"/>
  <c r="B20" i="7"/>
  <c r="AL52" i="3"/>
  <c r="A54" i="3" a="1"/>
  <c r="A54" i="3" s="1"/>
  <c r="AL53" i="3"/>
  <c r="A55" i="3" a="1"/>
  <c r="A55" i="3" s="1"/>
  <c r="FA9" i="7" a="1"/>
  <c r="FC9" i="7" a="1"/>
  <c r="H16" i="7" a="1"/>
  <c r="FB8" i="7" a="1"/>
  <c r="G18" i="7" a="1"/>
  <c r="FB7" i="7" a="1"/>
  <c r="FF8" i="7" a="1"/>
  <c r="B57" i="7" a="1"/>
  <c r="EV9" i="7" a="1"/>
  <c r="AH55" i="3" l="1"/>
  <c r="AJ55" i="3"/>
  <c r="AH54" i="3"/>
  <c r="AJ54" i="3"/>
  <c r="AD55" i="3"/>
  <c r="AF55" i="3"/>
  <c r="AD54" i="3"/>
  <c r="AF54" i="3"/>
  <c r="Z55" i="3"/>
  <c r="AB55" i="3"/>
  <c r="Z54" i="3"/>
  <c r="AB54" i="3"/>
  <c r="V55" i="3"/>
  <c r="X55" i="3"/>
  <c r="V54" i="3"/>
  <c r="X54" i="3"/>
  <c r="R54" i="3"/>
  <c r="T54" i="3"/>
  <c r="R55" i="3"/>
  <c r="T55" i="3"/>
  <c r="N54" i="3"/>
  <c r="P54" i="3"/>
  <c r="N55" i="3"/>
  <c r="P55" i="3"/>
  <c r="J54" i="3"/>
  <c r="H54" i="3"/>
  <c r="J55" i="3"/>
  <c r="H55" i="3"/>
  <c r="F55" i="3"/>
  <c r="L55" i="3"/>
  <c r="F54" i="3"/>
  <c r="L54" i="3"/>
  <c r="D55" i="3"/>
  <c r="D54" i="3"/>
  <c r="B55" i="3"/>
  <c r="B54" i="3"/>
  <c r="EV9" i="7"/>
  <c r="B57" i="7"/>
  <c r="FF8" i="7"/>
  <c r="FB7" i="7"/>
  <c r="FH7" i="7" s="1" a="1"/>
  <c r="FH7" i="7" s="1"/>
  <c r="FG7" i="7" s="1"/>
  <c r="G18" i="7"/>
  <c r="FB8" i="7"/>
  <c r="H16" i="7"/>
  <c r="FC9" i="7"/>
  <c r="FA9" i="7"/>
  <c r="B21" i="7"/>
  <c r="D21" i="7"/>
  <c r="AL54" i="3"/>
  <c r="A56" i="3" a="1"/>
  <c r="A56" i="3" s="1"/>
  <c r="A57" i="3" a="1"/>
  <c r="A57" i="3" s="1"/>
  <c r="AL55" i="3"/>
  <c r="G17" i="7" a="1"/>
  <c r="B16" i="7" a="1"/>
  <c r="C58" i="7" a="1"/>
  <c r="FD9" i="7" a="1"/>
  <c r="I15" i="7" a="1"/>
  <c r="FE9" i="7" a="1"/>
  <c r="AH57" i="3" l="1"/>
  <c r="AJ57" i="3"/>
  <c r="AH56" i="3"/>
  <c r="AJ56" i="3"/>
  <c r="AD56" i="3"/>
  <c r="AF56" i="3"/>
  <c r="AD57" i="3"/>
  <c r="AF57" i="3"/>
  <c r="Z57" i="3"/>
  <c r="AB57" i="3"/>
  <c r="Z56" i="3"/>
  <c r="AB56" i="3"/>
  <c r="V57" i="3"/>
  <c r="X57" i="3"/>
  <c r="V56" i="3"/>
  <c r="X56" i="3"/>
  <c r="R56" i="3"/>
  <c r="T56" i="3"/>
  <c r="R57" i="3"/>
  <c r="T57" i="3"/>
  <c r="N57" i="3"/>
  <c r="P57" i="3"/>
  <c r="N56" i="3"/>
  <c r="P56" i="3"/>
  <c r="J57" i="3"/>
  <c r="H57" i="3"/>
  <c r="J56" i="3"/>
  <c r="H56" i="3"/>
  <c r="F57" i="3"/>
  <c r="L57" i="3"/>
  <c r="F56" i="3"/>
  <c r="L56" i="3"/>
  <c r="D56" i="3"/>
  <c r="D57" i="3"/>
  <c r="B56" i="3"/>
  <c r="B57" i="3"/>
  <c r="FH8" i="7" a="1"/>
  <c r="FH8" i="7" s="1"/>
  <c r="FG8" i="7" s="1"/>
  <c r="FE9" i="7"/>
  <c r="I15" i="7"/>
  <c r="FD9" i="7"/>
  <c r="C58" i="7"/>
  <c r="B16" i="7"/>
  <c r="G17" i="7"/>
  <c r="F21" i="7" s="1"/>
  <c r="AL57" i="3"/>
  <c r="A59" i="3" a="1"/>
  <c r="A59" i="3" s="1"/>
  <c r="A58" i="3" a="1"/>
  <c r="A58" i="3" s="1"/>
  <c r="AL56" i="3"/>
  <c r="N15" i="7" a="1"/>
  <c r="EW10" i="7" a="1"/>
  <c r="F16" i="7" a="1"/>
  <c r="FF9" i="7" a="1"/>
  <c r="AH58" i="3" l="1"/>
  <c r="AJ58" i="3"/>
  <c r="AH59" i="3"/>
  <c r="AJ59" i="3"/>
  <c r="AD58" i="3"/>
  <c r="AF58" i="3"/>
  <c r="AD59" i="3"/>
  <c r="AF59" i="3"/>
  <c r="Z58" i="3"/>
  <c r="AB58" i="3"/>
  <c r="Z59" i="3"/>
  <c r="AB59" i="3"/>
  <c r="V59" i="3"/>
  <c r="X59" i="3"/>
  <c r="V58" i="3"/>
  <c r="X58" i="3"/>
  <c r="R58" i="3"/>
  <c r="T58" i="3"/>
  <c r="R59" i="3"/>
  <c r="T59" i="3"/>
  <c r="N59" i="3"/>
  <c r="P59" i="3"/>
  <c r="N58" i="3"/>
  <c r="P58" i="3"/>
  <c r="J59" i="3"/>
  <c r="H59" i="3"/>
  <c r="J58" i="3"/>
  <c r="H58" i="3"/>
  <c r="F59" i="3"/>
  <c r="L59" i="3"/>
  <c r="F58" i="3"/>
  <c r="L58" i="3"/>
  <c r="D59" i="3"/>
  <c r="D58" i="3"/>
  <c r="B58" i="3"/>
  <c r="B59" i="3"/>
  <c r="N15" i="7"/>
  <c r="FF9" i="7"/>
  <c r="F16" i="7"/>
  <c r="EW10" i="7"/>
  <c r="C60" i="7" a="1"/>
  <c r="C60" i="7" s="1"/>
  <c r="F58" i="7" a="1"/>
  <c r="F58" i="7" s="1"/>
  <c r="A60" i="3" a="1"/>
  <c r="A60" i="3" s="1"/>
  <c r="AL58" i="3"/>
  <c r="A61" i="3" a="1"/>
  <c r="A61" i="3" s="1"/>
  <c r="AL59" i="3"/>
  <c r="EY9" i="7" a="1"/>
  <c r="I17" i="7" a="1"/>
  <c r="J16" i="7" a="1"/>
  <c r="FA10" i="7" a="1"/>
  <c r="EY10" i="7" a="1"/>
  <c r="AH61" i="3" l="1"/>
  <c r="AJ61" i="3"/>
  <c r="AH60" i="3"/>
  <c r="AJ60" i="3"/>
  <c r="AD61" i="3"/>
  <c r="AF61" i="3"/>
  <c r="AD60" i="3"/>
  <c r="AF60" i="3"/>
  <c r="Z60" i="3"/>
  <c r="AB60" i="3"/>
  <c r="Z61" i="3"/>
  <c r="AB61" i="3"/>
  <c r="V60" i="3"/>
  <c r="X60" i="3"/>
  <c r="V61" i="3"/>
  <c r="X61" i="3"/>
  <c r="R60" i="3"/>
  <c r="T60" i="3"/>
  <c r="R61" i="3"/>
  <c r="T61" i="3"/>
  <c r="N61" i="3"/>
  <c r="P61" i="3"/>
  <c r="N60" i="3"/>
  <c r="P60" i="3"/>
  <c r="J61" i="3"/>
  <c r="H61" i="3"/>
  <c r="J60" i="3"/>
  <c r="H60" i="3"/>
  <c r="F60" i="3"/>
  <c r="L60" i="3"/>
  <c r="F61" i="3"/>
  <c r="L61" i="3"/>
  <c r="D60" i="3"/>
  <c r="D61" i="3"/>
  <c r="B60" i="3"/>
  <c r="B61" i="3"/>
  <c r="EY10" i="7"/>
  <c r="FA10" i="7"/>
  <c r="J16" i="7"/>
  <c r="J15" i="7" s="1"/>
  <c r="I17" i="7"/>
  <c r="EY9" i="7"/>
  <c r="G58" i="7"/>
  <c r="F62" i="7"/>
  <c r="B62" i="7"/>
  <c r="D62" i="7"/>
  <c r="C57" i="7"/>
  <c r="E59" i="7"/>
  <c r="B63" i="7"/>
  <c r="C62" i="7"/>
  <c r="D63" i="7" s="1"/>
  <c r="C59" i="7"/>
  <c r="B58" i="7" a="1"/>
  <c r="B58" i="7" s="1"/>
  <c r="E16" i="7" a="1"/>
  <c r="E16" i="7" s="1"/>
  <c r="G16" i="7"/>
  <c r="AL61" i="3"/>
  <c r="A63" i="3" a="1"/>
  <c r="A63" i="3" s="1"/>
  <c r="AL60" i="3"/>
  <c r="A62" i="3" a="1"/>
  <c r="A62" i="3" s="1"/>
  <c r="EW11" i="7" a="1"/>
  <c r="EV10" i="7" a="1"/>
  <c r="J18" i="7" a="1"/>
  <c r="FD10" i="7" a="1"/>
  <c r="E18" i="7" a="1"/>
  <c r="EZ10" i="7" a="1"/>
  <c r="FC10" i="7" a="1"/>
  <c r="A22" i="7" a="1"/>
  <c r="E60" i="7" a="1"/>
  <c r="EX9" i="7" a="1"/>
  <c r="EZ9" i="7" a="1"/>
  <c r="FE10" i="7" a="1"/>
  <c r="AH63" i="3" l="1"/>
  <c r="AJ63" i="3"/>
  <c r="AH62" i="3"/>
  <c r="AJ62" i="3"/>
  <c r="AD62" i="3"/>
  <c r="AF62" i="3"/>
  <c r="AD63" i="3"/>
  <c r="AF63" i="3"/>
  <c r="Z62" i="3"/>
  <c r="AB62" i="3"/>
  <c r="Z63" i="3"/>
  <c r="AB63" i="3"/>
  <c r="V62" i="3"/>
  <c r="X62" i="3"/>
  <c r="V63" i="3"/>
  <c r="X63" i="3"/>
  <c r="R63" i="3"/>
  <c r="T63" i="3"/>
  <c r="R62" i="3"/>
  <c r="T62" i="3"/>
  <c r="N63" i="3"/>
  <c r="P63" i="3"/>
  <c r="N62" i="3"/>
  <c r="P62" i="3"/>
  <c r="J63" i="3"/>
  <c r="H63" i="3"/>
  <c r="J62" i="3"/>
  <c r="H62" i="3"/>
  <c r="F62" i="3"/>
  <c r="L62" i="3"/>
  <c r="F63" i="3"/>
  <c r="L63" i="3"/>
  <c r="D62" i="3"/>
  <c r="D63" i="3"/>
  <c r="B62" i="3"/>
  <c r="B63" i="3"/>
  <c r="FE10" i="7"/>
  <c r="EZ9" i="7"/>
  <c r="EX9" i="7"/>
  <c r="E60" i="7"/>
  <c r="A22" i="7"/>
  <c r="FC10" i="7"/>
  <c r="EZ10" i="7"/>
  <c r="E18" i="7"/>
  <c r="FD10" i="7"/>
  <c r="J18" i="7"/>
  <c r="EV10" i="7"/>
  <c r="EW11" i="7"/>
  <c r="E58" i="7" a="1"/>
  <c r="E58" i="7" s="1"/>
  <c r="F63" i="7"/>
  <c r="G59" i="7" a="1"/>
  <c r="G59" i="7" s="1"/>
  <c r="B59" i="7" a="1"/>
  <c r="B59" i="7" s="1"/>
  <c r="G60" i="7" a="1"/>
  <c r="G60" i="7" s="1"/>
  <c r="J20" i="7"/>
  <c r="K20" i="7"/>
  <c r="M20" i="7"/>
  <c r="L17" i="7"/>
  <c r="I20" i="7"/>
  <c r="J17" i="7"/>
  <c r="AL62" i="3"/>
  <c r="A64" i="3" a="1"/>
  <c r="A64" i="3" s="1"/>
  <c r="A65" i="3" a="1"/>
  <c r="A65" i="3" s="1"/>
  <c r="AL63" i="3"/>
  <c r="FF10" i="7" a="1"/>
  <c r="FA11" i="7" a="1"/>
  <c r="FB10" i="7" a="1"/>
  <c r="A23" i="7" a="1"/>
  <c r="FC11" i="7" a="1"/>
  <c r="I57" i="7" a="1"/>
  <c r="EV11" i="7" a="1"/>
  <c r="FB9" i="7" a="1"/>
  <c r="EX10" i="7" a="1"/>
  <c r="AH65" i="3" l="1"/>
  <c r="AJ65" i="3"/>
  <c r="AH64" i="3"/>
  <c r="AJ64" i="3"/>
  <c r="AD65" i="3"/>
  <c r="AF65" i="3"/>
  <c r="AD64" i="3"/>
  <c r="AF64" i="3"/>
  <c r="Z65" i="3"/>
  <c r="AB65" i="3"/>
  <c r="Z64" i="3"/>
  <c r="AB64" i="3"/>
  <c r="V64" i="3"/>
  <c r="X64" i="3"/>
  <c r="V65" i="3"/>
  <c r="X65" i="3"/>
  <c r="R65" i="3"/>
  <c r="T65" i="3"/>
  <c r="R64" i="3"/>
  <c r="T64" i="3"/>
  <c r="N64" i="3"/>
  <c r="P64" i="3"/>
  <c r="N65" i="3"/>
  <c r="P65" i="3"/>
  <c r="J64" i="3"/>
  <c r="H64" i="3"/>
  <c r="J65" i="3"/>
  <c r="H65" i="3"/>
  <c r="F65" i="3"/>
  <c r="L65" i="3"/>
  <c r="F64" i="3"/>
  <c r="L64" i="3"/>
  <c r="D65" i="3"/>
  <c r="D64" i="3"/>
  <c r="B65" i="3"/>
  <c r="B64" i="3"/>
  <c r="EX10" i="7"/>
  <c r="FB9" i="7"/>
  <c r="FH9" i="7" s="1" a="1"/>
  <c r="FH9" i="7" s="1"/>
  <c r="FG9" i="7" s="1"/>
  <c r="EV11" i="7"/>
  <c r="I57" i="7"/>
  <c r="FC11" i="7"/>
  <c r="A23" i="7"/>
  <c r="FB10" i="7"/>
  <c r="FA11" i="7"/>
  <c r="FF10" i="7"/>
  <c r="I21" i="7"/>
  <c r="K21" i="7"/>
  <c r="AL65" i="3"/>
  <c r="A67" i="3" a="1"/>
  <c r="A67" i="3" s="1"/>
  <c r="A66" i="3" a="1"/>
  <c r="A66" i="3" s="1"/>
  <c r="AL64" i="3"/>
  <c r="FD11" i="7" a="1"/>
  <c r="N17" i="7" a="1"/>
  <c r="FE11" i="7" a="1"/>
  <c r="I16" i="7" a="1"/>
  <c r="J58" i="7" a="1"/>
  <c r="N18" i="7" a="1"/>
  <c r="B22" i="7" a="1"/>
  <c r="M16" i="7" a="1"/>
  <c r="AH66" i="3" l="1"/>
  <c r="AJ66" i="3"/>
  <c r="AH67" i="3"/>
  <c r="AJ67" i="3"/>
  <c r="AD67" i="3"/>
  <c r="AF67" i="3"/>
  <c r="AD66" i="3"/>
  <c r="AF66" i="3"/>
  <c r="Z66" i="3"/>
  <c r="AB66" i="3"/>
  <c r="Z67" i="3"/>
  <c r="AB67" i="3"/>
  <c r="V67" i="3"/>
  <c r="X67" i="3"/>
  <c r="V66" i="3"/>
  <c r="X66" i="3"/>
  <c r="R67" i="3"/>
  <c r="T67" i="3"/>
  <c r="R66" i="3"/>
  <c r="T66" i="3"/>
  <c r="N67" i="3"/>
  <c r="P67" i="3"/>
  <c r="N66" i="3"/>
  <c r="P66" i="3"/>
  <c r="J67" i="3"/>
  <c r="H67" i="3"/>
  <c r="J66" i="3"/>
  <c r="H66" i="3"/>
  <c r="F66" i="3"/>
  <c r="L66" i="3"/>
  <c r="F67" i="3"/>
  <c r="L67" i="3"/>
  <c r="D66" i="3"/>
  <c r="D67" i="3"/>
  <c r="B66" i="3"/>
  <c r="B67" i="3"/>
  <c r="FH10" i="7" a="1"/>
  <c r="FH10" i="7" s="1"/>
  <c r="FG10" i="7" s="1"/>
  <c r="M16" i="7"/>
  <c r="B22" i="7"/>
  <c r="N18" i="7"/>
  <c r="J58" i="7"/>
  <c r="I16" i="7"/>
  <c r="FE11" i="7"/>
  <c r="N17" i="7"/>
  <c r="FD11" i="7"/>
  <c r="A69" i="3" a="1"/>
  <c r="A69" i="3" s="1"/>
  <c r="AL67" i="3"/>
  <c r="AL66" i="3"/>
  <c r="A68" i="3" a="1"/>
  <c r="A68" i="3" s="1"/>
  <c r="EY11" i="7" a="1"/>
  <c r="G22" i="7" a="1"/>
  <c r="EW12" i="7" a="1"/>
  <c r="AH69" i="3" l="1"/>
  <c r="AJ69" i="3"/>
  <c r="AH68" i="3"/>
  <c r="AJ68" i="3"/>
  <c r="AD69" i="3"/>
  <c r="AF69" i="3"/>
  <c r="AD68" i="3"/>
  <c r="AF68" i="3"/>
  <c r="Z69" i="3"/>
  <c r="AB69" i="3"/>
  <c r="Z68" i="3"/>
  <c r="AB68" i="3"/>
  <c r="V69" i="3"/>
  <c r="X69" i="3"/>
  <c r="V68" i="3"/>
  <c r="X68" i="3"/>
  <c r="R68" i="3"/>
  <c r="T68" i="3"/>
  <c r="R69" i="3"/>
  <c r="T69" i="3"/>
  <c r="N68" i="3"/>
  <c r="P68" i="3"/>
  <c r="N69" i="3"/>
  <c r="P69" i="3"/>
  <c r="J68" i="3"/>
  <c r="H68" i="3"/>
  <c r="J69" i="3"/>
  <c r="H69" i="3"/>
  <c r="F68" i="3"/>
  <c r="L68" i="3"/>
  <c r="F69" i="3"/>
  <c r="L69" i="3"/>
  <c r="D68" i="3"/>
  <c r="D69" i="3"/>
  <c r="B68" i="3"/>
  <c r="B69" i="3"/>
  <c r="M21" i="7"/>
  <c r="EW12" i="7"/>
  <c r="G22" i="7"/>
  <c r="EY11" i="7"/>
  <c r="M58" i="7" a="1"/>
  <c r="M58" i="7" s="1"/>
  <c r="J60" i="7" a="1"/>
  <c r="J60" i="7" s="1"/>
  <c r="N16" i="7"/>
  <c r="AL69" i="3"/>
  <c r="A71" i="3" a="1"/>
  <c r="A71" i="3" s="1"/>
  <c r="AL68" i="3"/>
  <c r="A70" i="3" a="1"/>
  <c r="A70" i="3" s="1"/>
  <c r="FF11" i="7" a="1"/>
  <c r="C23" i="7" a="1"/>
  <c r="B24" i="7" a="1"/>
  <c r="FA12" i="7" a="1"/>
  <c r="EY12" i="7" a="1"/>
  <c r="L16" i="7" a="1"/>
  <c r="EZ11" i="7" a="1"/>
  <c r="AH70" i="3" l="1"/>
  <c r="AJ70" i="3"/>
  <c r="AH71" i="3"/>
  <c r="AJ71" i="3"/>
  <c r="AD70" i="3"/>
  <c r="AF70" i="3"/>
  <c r="AD71" i="3"/>
  <c r="AF71" i="3"/>
  <c r="Z70" i="3"/>
  <c r="AB70" i="3"/>
  <c r="Z71" i="3"/>
  <c r="AB71" i="3"/>
  <c r="V71" i="3"/>
  <c r="X71" i="3"/>
  <c r="V70" i="3"/>
  <c r="X70" i="3"/>
  <c r="R71" i="3"/>
  <c r="T71" i="3"/>
  <c r="R70" i="3"/>
  <c r="T70" i="3"/>
  <c r="N71" i="3"/>
  <c r="P71" i="3"/>
  <c r="N70" i="3"/>
  <c r="P70" i="3"/>
  <c r="J71" i="3"/>
  <c r="H71" i="3"/>
  <c r="J70" i="3"/>
  <c r="H70" i="3"/>
  <c r="F70" i="3"/>
  <c r="L70" i="3"/>
  <c r="F71" i="3"/>
  <c r="L71" i="3"/>
  <c r="D70" i="3"/>
  <c r="D71" i="3"/>
  <c r="B71" i="3"/>
  <c r="B70" i="3"/>
  <c r="FF11" i="7"/>
  <c r="EZ11" i="7"/>
  <c r="L16" i="7"/>
  <c r="EY12" i="7"/>
  <c r="FA12" i="7"/>
  <c r="B24" i="7"/>
  <c r="C23" i="7"/>
  <c r="N58" i="7"/>
  <c r="M62" i="7"/>
  <c r="K62" i="7"/>
  <c r="J57" i="7"/>
  <c r="L58" i="7" s="1" a="1"/>
  <c r="L58" i="7" s="1"/>
  <c r="I63" i="7"/>
  <c r="I62" i="7"/>
  <c r="J62" i="7"/>
  <c r="K63" i="7" s="1"/>
  <c r="L59" i="7"/>
  <c r="J59" i="7"/>
  <c r="I58" i="7" a="1"/>
  <c r="I58" i="7" s="1"/>
  <c r="A73" i="3" a="1"/>
  <c r="A73" i="3" s="1"/>
  <c r="AL71" i="3"/>
  <c r="AL70" i="3"/>
  <c r="A72" i="3" a="1"/>
  <c r="A72" i="3" s="1"/>
  <c r="FE12" i="7" a="1"/>
  <c r="EX11" i="7" a="1"/>
  <c r="L60" i="7" a="1"/>
  <c r="EV12" i="7" a="1"/>
  <c r="FD12" i="7" a="1"/>
  <c r="EX12" i="7" a="1"/>
  <c r="EW13" i="7" a="1"/>
  <c r="H22" i="7" a="1"/>
  <c r="EZ12" i="7" a="1"/>
  <c r="FC12" i="7" a="1"/>
  <c r="L18" i="7" a="1"/>
  <c r="C25" i="7" a="1"/>
  <c r="AH73" i="3" l="1"/>
  <c r="AJ73" i="3"/>
  <c r="AH72" i="3"/>
  <c r="AJ72" i="3"/>
  <c r="AD72" i="3"/>
  <c r="AF72" i="3"/>
  <c r="AD73" i="3"/>
  <c r="AF73" i="3"/>
  <c r="Z73" i="3"/>
  <c r="AB73" i="3"/>
  <c r="Z72" i="3"/>
  <c r="AB72" i="3"/>
  <c r="V72" i="3"/>
  <c r="X72" i="3"/>
  <c r="V73" i="3"/>
  <c r="X73" i="3"/>
  <c r="R73" i="3"/>
  <c r="T73" i="3"/>
  <c r="R72" i="3"/>
  <c r="T72" i="3"/>
  <c r="N72" i="3"/>
  <c r="P72" i="3"/>
  <c r="N73" i="3"/>
  <c r="P73" i="3"/>
  <c r="J72" i="3"/>
  <c r="H72" i="3"/>
  <c r="J73" i="3"/>
  <c r="H73" i="3"/>
  <c r="F72" i="3"/>
  <c r="L72" i="3"/>
  <c r="F73" i="3"/>
  <c r="L73" i="3"/>
  <c r="D73" i="3"/>
  <c r="D72" i="3"/>
  <c r="B73" i="3"/>
  <c r="B72" i="3"/>
  <c r="C25" i="7"/>
  <c r="L18" i="7"/>
  <c r="FC12" i="7"/>
  <c r="EZ12" i="7"/>
  <c r="H22" i="7"/>
  <c r="EW13" i="7"/>
  <c r="EX12" i="7"/>
  <c r="FD12" i="7"/>
  <c r="EV12" i="7"/>
  <c r="L60" i="7"/>
  <c r="EX11" i="7"/>
  <c r="FE12" i="7"/>
  <c r="D27" i="7"/>
  <c r="C24" i="7"/>
  <c r="C27" i="7"/>
  <c r="F27" i="7"/>
  <c r="B27" i="7"/>
  <c r="E24" i="7"/>
  <c r="C22" i="7"/>
  <c r="N59" i="7" a="1"/>
  <c r="N59" i="7" s="1"/>
  <c r="M63" i="7"/>
  <c r="I59" i="7" a="1"/>
  <c r="I59" i="7" s="1"/>
  <c r="N60" i="7" a="1"/>
  <c r="N60" i="7" s="1"/>
  <c r="AL73" i="3"/>
  <c r="A75" i="3" a="1"/>
  <c r="A75" i="3" s="1"/>
  <c r="A74" i="3" a="1"/>
  <c r="A74" i="3" s="1"/>
  <c r="AL72" i="3"/>
  <c r="FA13" i="7" a="1"/>
  <c r="FB11" i="7" a="1"/>
  <c r="FB12" i="7" a="1"/>
  <c r="FF12" i="7" a="1"/>
  <c r="H23" i="7" a="1"/>
  <c r="B64" i="7" a="1"/>
  <c r="EV13" i="7" a="1"/>
  <c r="FC13" i="7" a="1"/>
  <c r="G25" i="7" a="1"/>
  <c r="AH74" i="3" l="1"/>
  <c r="AJ74" i="3"/>
  <c r="AH75" i="3"/>
  <c r="AJ75" i="3"/>
  <c r="AD74" i="3"/>
  <c r="AF74" i="3"/>
  <c r="AD75" i="3"/>
  <c r="AF75" i="3"/>
  <c r="Z74" i="3"/>
  <c r="AB74" i="3"/>
  <c r="Z75" i="3"/>
  <c r="AB75" i="3"/>
  <c r="V75" i="3"/>
  <c r="X75" i="3"/>
  <c r="V74" i="3"/>
  <c r="X74" i="3"/>
  <c r="R74" i="3"/>
  <c r="T74" i="3"/>
  <c r="R75" i="3"/>
  <c r="T75" i="3"/>
  <c r="N75" i="3"/>
  <c r="P75" i="3"/>
  <c r="N74" i="3"/>
  <c r="P74" i="3"/>
  <c r="J75" i="3"/>
  <c r="H75" i="3"/>
  <c r="J74" i="3"/>
  <c r="H74" i="3"/>
  <c r="F75" i="3"/>
  <c r="L75" i="3"/>
  <c r="F74" i="3"/>
  <c r="L74" i="3"/>
  <c r="D75" i="3"/>
  <c r="D74" i="3"/>
  <c r="B74" i="3"/>
  <c r="B75" i="3"/>
  <c r="G25" i="7"/>
  <c r="FC13" i="7"/>
  <c r="EV13" i="7"/>
  <c r="B64" i="7"/>
  <c r="H23" i="7"/>
  <c r="FF12" i="7"/>
  <c r="FB12" i="7"/>
  <c r="FB11" i="7"/>
  <c r="FH11" i="7" s="1" a="1"/>
  <c r="FH11" i="7" s="1"/>
  <c r="FG11" i="7" s="1"/>
  <c r="FA13" i="7"/>
  <c r="B28" i="7"/>
  <c r="D28" i="7"/>
  <c r="A77" i="3" a="1"/>
  <c r="A77" i="3" s="1"/>
  <c r="AL75" i="3"/>
  <c r="A76" i="3" a="1"/>
  <c r="A76" i="3" s="1"/>
  <c r="AL74" i="3"/>
  <c r="G24" i="7" a="1"/>
  <c r="B23" i="7" a="1"/>
  <c r="C65" i="7" a="1"/>
  <c r="I22" i="7" a="1"/>
  <c r="F23" i="7" a="1"/>
  <c r="FE13" i="7" a="1"/>
  <c r="FD13" i="7" a="1"/>
  <c r="AH77" i="3" l="1"/>
  <c r="AJ77" i="3"/>
  <c r="AH76" i="3"/>
  <c r="AJ76" i="3"/>
  <c r="AD77" i="3"/>
  <c r="AF77" i="3"/>
  <c r="AD76" i="3"/>
  <c r="AF76" i="3"/>
  <c r="Z77" i="3"/>
  <c r="AB77" i="3"/>
  <c r="Z76" i="3"/>
  <c r="AB76" i="3"/>
  <c r="V77" i="3"/>
  <c r="X77" i="3"/>
  <c r="V76" i="3"/>
  <c r="X76" i="3"/>
  <c r="R76" i="3"/>
  <c r="T76" i="3"/>
  <c r="R77" i="3"/>
  <c r="T77" i="3"/>
  <c r="N76" i="3"/>
  <c r="P76" i="3"/>
  <c r="N77" i="3"/>
  <c r="P77" i="3"/>
  <c r="J76" i="3"/>
  <c r="H76" i="3"/>
  <c r="J77" i="3"/>
  <c r="H77" i="3"/>
  <c r="F76" i="3"/>
  <c r="L76" i="3"/>
  <c r="F77" i="3"/>
  <c r="L77" i="3"/>
  <c r="D77" i="3"/>
  <c r="D76" i="3"/>
  <c r="B77" i="3"/>
  <c r="B76" i="3"/>
  <c r="FH12" i="7" a="1"/>
  <c r="FH12" i="7" s="1"/>
  <c r="FG12" i="7" s="1"/>
  <c r="FD13" i="7"/>
  <c r="FE13" i="7"/>
  <c r="F23" i="7"/>
  <c r="I22" i="7"/>
  <c r="C65" i="7"/>
  <c r="B23" i="7"/>
  <c r="G24" i="7"/>
  <c r="F28" i="7" s="1"/>
  <c r="AL77" i="3"/>
  <c r="A79" i="3" a="1"/>
  <c r="A79" i="3" s="1"/>
  <c r="AL76" i="3"/>
  <c r="A78" i="3" a="1"/>
  <c r="A78" i="3" s="1"/>
  <c r="EY13" i="7" a="1"/>
  <c r="N22" i="7" a="1"/>
  <c r="EW14" i="7" a="1"/>
  <c r="FF13" i="7" a="1"/>
  <c r="AH79" i="3" l="1"/>
  <c r="AJ79" i="3"/>
  <c r="AH78" i="3"/>
  <c r="AJ78" i="3"/>
  <c r="AD78" i="3"/>
  <c r="AF78" i="3"/>
  <c r="AD79" i="3"/>
  <c r="AF79" i="3"/>
  <c r="Z78" i="3"/>
  <c r="AB78" i="3"/>
  <c r="Z79" i="3"/>
  <c r="AB79" i="3"/>
  <c r="V79" i="3"/>
  <c r="X79" i="3"/>
  <c r="V78" i="3"/>
  <c r="X78" i="3"/>
  <c r="R79" i="3"/>
  <c r="T79" i="3"/>
  <c r="R78" i="3"/>
  <c r="T78" i="3"/>
  <c r="N79" i="3"/>
  <c r="P79" i="3"/>
  <c r="N78" i="3"/>
  <c r="P78" i="3"/>
  <c r="J79" i="3"/>
  <c r="H79" i="3"/>
  <c r="J78" i="3"/>
  <c r="H78" i="3"/>
  <c r="F78" i="3"/>
  <c r="L78" i="3"/>
  <c r="F79" i="3"/>
  <c r="L79" i="3"/>
  <c r="D79" i="3"/>
  <c r="D78" i="3"/>
  <c r="B78" i="3"/>
  <c r="B79" i="3"/>
  <c r="FF13" i="7"/>
  <c r="EW14" i="7"/>
  <c r="N22" i="7"/>
  <c r="EY13" i="7"/>
  <c r="F65" i="7" a="1"/>
  <c r="F65" i="7" s="1"/>
  <c r="C67" i="7" a="1"/>
  <c r="C67" i="7" s="1"/>
  <c r="G23" i="7"/>
  <c r="A81" i="3" a="1"/>
  <c r="A81" i="3" s="1"/>
  <c r="AL79" i="3"/>
  <c r="AL78" i="3"/>
  <c r="A80" i="3" a="1"/>
  <c r="A80" i="3" s="1"/>
  <c r="I24" i="7" a="1"/>
  <c r="J23" i="7" a="1"/>
  <c r="EZ13" i="7" a="1"/>
  <c r="EY14" i="7" a="1"/>
  <c r="FA14" i="7" a="1"/>
  <c r="E23" i="7" a="1"/>
  <c r="AH80" i="3" l="1"/>
  <c r="AJ80" i="3"/>
  <c r="AH81" i="3"/>
  <c r="AJ81" i="3"/>
  <c r="AD80" i="3"/>
  <c r="AF80" i="3"/>
  <c r="AD81" i="3"/>
  <c r="AF81" i="3"/>
  <c r="Z80" i="3"/>
  <c r="AB80" i="3"/>
  <c r="Z81" i="3"/>
  <c r="AB81" i="3"/>
  <c r="V80" i="3"/>
  <c r="X80" i="3"/>
  <c r="V81" i="3"/>
  <c r="X81" i="3"/>
  <c r="R80" i="3"/>
  <c r="T80" i="3"/>
  <c r="R81" i="3"/>
  <c r="T81" i="3"/>
  <c r="N80" i="3"/>
  <c r="P80" i="3"/>
  <c r="N81" i="3"/>
  <c r="P81" i="3"/>
  <c r="J81" i="3"/>
  <c r="H81" i="3"/>
  <c r="J80" i="3"/>
  <c r="H80" i="3"/>
  <c r="F81" i="3"/>
  <c r="L81" i="3"/>
  <c r="F80" i="3"/>
  <c r="L80" i="3"/>
  <c r="D81" i="3"/>
  <c r="D80" i="3"/>
  <c r="B81" i="3"/>
  <c r="B80" i="3"/>
  <c r="E23" i="7"/>
  <c r="FA14" i="7"/>
  <c r="EY14" i="7"/>
  <c r="EZ13" i="7"/>
  <c r="J23" i="7"/>
  <c r="I24" i="7"/>
  <c r="E66" i="7"/>
  <c r="C69" i="7"/>
  <c r="C66" i="7"/>
  <c r="F69" i="7"/>
  <c r="C64" i="7"/>
  <c r="E65" i="7" s="1" a="1"/>
  <c r="E65" i="7" s="1"/>
  <c r="D69" i="7"/>
  <c r="B69" i="7"/>
  <c r="B70" i="7"/>
  <c r="B65" i="7" a="1"/>
  <c r="B65" i="7" s="1"/>
  <c r="G65" i="7"/>
  <c r="AL81" i="3"/>
  <c r="A83" i="3" a="1"/>
  <c r="A83" i="3" s="1"/>
  <c r="A82" i="3" a="1"/>
  <c r="A82" i="3" s="1"/>
  <c r="AL80" i="3"/>
  <c r="EX13" i="7" a="1"/>
  <c r="EZ14" i="7" a="1"/>
  <c r="EX14" i="7" a="1"/>
  <c r="EV14" i="7" a="1"/>
  <c r="FC14" i="7" a="1"/>
  <c r="E25" i="7" a="1"/>
  <c r="EW15" i="7" a="1"/>
  <c r="A29" i="7" a="1"/>
  <c r="FD14" i="7" a="1"/>
  <c r="J25" i="7" a="1"/>
  <c r="E67" i="7" a="1"/>
  <c r="AH82" i="3" l="1"/>
  <c r="AJ82" i="3"/>
  <c r="AH83" i="3"/>
  <c r="AJ83" i="3"/>
  <c r="AD82" i="3"/>
  <c r="AF82" i="3"/>
  <c r="AD83" i="3"/>
  <c r="AF83" i="3"/>
  <c r="Z82" i="3"/>
  <c r="AB82" i="3"/>
  <c r="Z83" i="3"/>
  <c r="AB83" i="3"/>
  <c r="V83" i="3"/>
  <c r="X83" i="3"/>
  <c r="V82" i="3"/>
  <c r="X82" i="3"/>
  <c r="R82" i="3"/>
  <c r="T82" i="3"/>
  <c r="R83" i="3"/>
  <c r="T83" i="3"/>
  <c r="N83" i="3"/>
  <c r="P83" i="3"/>
  <c r="N82" i="3"/>
  <c r="P82" i="3"/>
  <c r="J82" i="3"/>
  <c r="H82" i="3"/>
  <c r="J83" i="3"/>
  <c r="H83" i="3"/>
  <c r="F82" i="3"/>
  <c r="L82" i="3"/>
  <c r="F83" i="3"/>
  <c r="L83" i="3"/>
  <c r="D83" i="3"/>
  <c r="D82" i="3"/>
  <c r="B83" i="3"/>
  <c r="B82" i="3"/>
  <c r="E67" i="7"/>
  <c r="J25" i="7"/>
  <c r="FD14" i="7"/>
  <c r="A29" i="7"/>
  <c r="EW15" i="7"/>
  <c r="E25" i="7"/>
  <c r="FC14" i="7"/>
  <c r="EV14" i="7"/>
  <c r="EX14" i="7"/>
  <c r="EZ14" i="7"/>
  <c r="EX13" i="7"/>
  <c r="N67" i="7" a="1"/>
  <c r="N67" i="7" s="1"/>
  <c r="N25" i="7" a="1"/>
  <c r="N25" i="7" s="1"/>
  <c r="M27" i="7"/>
  <c r="J24" i="7"/>
  <c r="J27" i="7"/>
  <c r="K27" i="7"/>
  <c r="L24" i="7"/>
  <c r="I27" i="7"/>
  <c r="J22" i="7"/>
  <c r="F70" i="7"/>
  <c r="G66" i="7" a="1"/>
  <c r="G66" i="7" s="1"/>
  <c r="B66" i="7" a="1"/>
  <c r="B66" i="7" s="1"/>
  <c r="G67" i="7" a="1"/>
  <c r="G67" i="7" s="1"/>
  <c r="D70" i="7"/>
  <c r="AL82" i="3"/>
  <c r="A84" i="3" a="1"/>
  <c r="A84" i="3" s="1"/>
  <c r="A85" i="3" a="1"/>
  <c r="A85" i="3" s="1"/>
  <c r="AL83" i="3"/>
  <c r="FB14" i="7" a="1"/>
  <c r="FC15" i="7" a="1"/>
  <c r="FA15" i="7" a="1"/>
  <c r="FF14" i="7" a="1"/>
  <c r="A30" i="7" a="1"/>
  <c r="FE14" i="7" a="1"/>
  <c r="FB13" i="7" a="1"/>
  <c r="I64" i="7" a="1"/>
  <c r="EV15" i="7" a="1"/>
  <c r="AH84" i="3" l="1"/>
  <c r="AJ84" i="3"/>
  <c r="AH85" i="3"/>
  <c r="AJ85" i="3"/>
  <c r="AD85" i="3"/>
  <c r="AF85" i="3"/>
  <c r="AD84" i="3"/>
  <c r="AF84" i="3"/>
  <c r="Z85" i="3"/>
  <c r="AB85" i="3"/>
  <c r="Z84" i="3"/>
  <c r="AB84" i="3"/>
  <c r="V85" i="3"/>
  <c r="X85" i="3"/>
  <c r="V84" i="3"/>
  <c r="X84" i="3"/>
  <c r="R84" i="3"/>
  <c r="T84" i="3"/>
  <c r="R85" i="3"/>
  <c r="T85" i="3"/>
  <c r="N85" i="3"/>
  <c r="P85" i="3"/>
  <c r="N84" i="3"/>
  <c r="P84" i="3"/>
  <c r="J85" i="3"/>
  <c r="H85" i="3"/>
  <c r="J84" i="3"/>
  <c r="H84" i="3"/>
  <c r="F85" i="3"/>
  <c r="L85" i="3"/>
  <c r="F84" i="3"/>
  <c r="L84" i="3"/>
  <c r="D85" i="3"/>
  <c r="D84" i="3"/>
  <c r="B84" i="3"/>
  <c r="B85" i="3"/>
  <c r="EV15" i="7"/>
  <c r="I64" i="7"/>
  <c r="FB13" i="7"/>
  <c r="FH13" i="7" s="1" a="1"/>
  <c r="FH13" i="7" s="1"/>
  <c r="FG13" i="7" s="1"/>
  <c r="FE14" i="7"/>
  <c r="A30" i="7"/>
  <c r="FF14" i="7"/>
  <c r="FA15" i="7"/>
  <c r="FC15" i="7"/>
  <c r="FB14" i="7"/>
  <c r="I28" i="7"/>
  <c r="K28" i="7"/>
  <c r="AL84" i="3"/>
  <c r="A86" i="3" a="1"/>
  <c r="A86" i="3" s="1"/>
  <c r="AL85" i="3"/>
  <c r="A87" i="3" a="1"/>
  <c r="A87" i="3" s="1"/>
  <c r="I23" i="7" a="1"/>
  <c r="N24" i="7" a="1"/>
  <c r="J65" i="7" a="1"/>
  <c r="B29" i="7" a="1"/>
  <c r="M23" i="7" a="1"/>
  <c r="FD15" i="7" a="1"/>
  <c r="FE15" i="7" a="1"/>
  <c r="AH87" i="3" l="1"/>
  <c r="AJ87" i="3"/>
  <c r="AH86" i="3"/>
  <c r="AJ86" i="3"/>
  <c r="AD87" i="3"/>
  <c r="AF87" i="3"/>
  <c r="AD86" i="3"/>
  <c r="AF86" i="3"/>
  <c r="Z87" i="3"/>
  <c r="AB87" i="3"/>
  <c r="Z86" i="3"/>
  <c r="AB86" i="3"/>
  <c r="V86" i="3"/>
  <c r="X86" i="3"/>
  <c r="V87" i="3"/>
  <c r="X87" i="3"/>
  <c r="R86" i="3"/>
  <c r="T86" i="3"/>
  <c r="R87" i="3"/>
  <c r="T87" i="3"/>
  <c r="N87" i="3"/>
  <c r="P87" i="3"/>
  <c r="N86" i="3"/>
  <c r="P86" i="3"/>
  <c r="J87" i="3"/>
  <c r="H87" i="3"/>
  <c r="J86" i="3"/>
  <c r="H86" i="3"/>
  <c r="F87" i="3"/>
  <c r="L87" i="3"/>
  <c r="F86" i="3"/>
  <c r="L86" i="3"/>
  <c r="D86" i="3"/>
  <c r="D87" i="3"/>
  <c r="B86" i="3"/>
  <c r="B87" i="3"/>
  <c r="FH14" i="7" a="1"/>
  <c r="FH14" i="7" s="1"/>
  <c r="FG14" i="7" s="1"/>
  <c r="FE15" i="7"/>
  <c r="FD15" i="7"/>
  <c r="M23" i="7"/>
  <c r="B29" i="7"/>
  <c r="J65" i="7"/>
  <c r="N24" i="7"/>
  <c r="M28" i="7" s="1"/>
  <c r="I23" i="7"/>
  <c r="A89" i="3" a="1"/>
  <c r="A89" i="3" s="1"/>
  <c r="AL87" i="3"/>
  <c r="AL86" i="3"/>
  <c r="A88" i="3" a="1"/>
  <c r="A88" i="3" s="1"/>
  <c r="EY15" i="7" a="1"/>
  <c r="G29" i="7" a="1"/>
  <c r="EW16" i="7" a="1"/>
  <c r="FF15" i="7" a="1"/>
  <c r="AH89" i="3" l="1"/>
  <c r="AJ89" i="3"/>
  <c r="AH88" i="3"/>
  <c r="AJ88" i="3"/>
  <c r="AD88" i="3"/>
  <c r="AF88" i="3"/>
  <c r="AD89" i="3"/>
  <c r="AF89" i="3"/>
  <c r="Z89" i="3"/>
  <c r="AB89" i="3"/>
  <c r="Z88" i="3"/>
  <c r="AB88" i="3"/>
  <c r="V88" i="3"/>
  <c r="X88" i="3"/>
  <c r="V89" i="3"/>
  <c r="X89" i="3"/>
  <c r="R88" i="3"/>
  <c r="T88" i="3"/>
  <c r="R89" i="3"/>
  <c r="T89" i="3"/>
  <c r="N89" i="3"/>
  <c r="P89" i="3"/>
  <c r="N88" i="3"/>
  <c r="P88" i="3"/>
  <c r="J88" i="3"/>
  <c r="H88" i="3"/>
  <c r="J89" i="3"/>
  <c r="H89" i="3"/>
  <c r="F88" i="3"/>
  <c r="L88" i="3"/>
  <c r="F89" i="3"/>
  <c r="L89" i="3"/>
  <c r="D89" i="3"/>
  <c r="D88" i="3"/>
  <c r="B88" i="3"/>
  <c r="B89" i="3"/>
  <c r="FF15" i="7"/>
  <c r="EW16" i="7"/>
  <c r="G29" i="7"/>
  <c r="EY15" i="7"/>
  <c r="J67" i="7" a="1"/>
  <c r="J67" i="7" s="1"/>
  <c r="M65" i="7" a="1"/>
  <c r="M65" i="7" s="1"/>
  <c r="N23" i="7"/>
  <c r="AL89" i="3"/>
  <c r="A91" i="3" a="1"/>
  <c r="A91" i="3" s="1"/>
  <c r="A90" i="3" a="1"/>
  <c r="A90" i="3" s="1"/>
  <c r="AL88" i="3"/>
  <c r="C30" i="7" a="1"/>
  <c r="B31" i="7" a="1"/>
  <c r="FA16" i="7" a="1"/>
  <c r="EY16" i="7" a="1"/>
  <c r="EZ15" i="7" a="1"/>
  <c r="L23" i="7" a="1"/>
  <c r="AH91" i="3" l="1"/>
  <c r="AJ91" i="3"/>
  <c r="AH90" i="3"/>
  <c r="AJ90" i="3"/>
  <c r="AD90" i="3"/>
  <c r="AF90" i="3"/>
  <c r="AD91" i="3"/>
  <c r="AF91" i="3"/>
  <c r="Z90" i="3"/>
  <c r="AB90" i="3"/>
  <c r="Z91" i="3"/>
  <c r="AB91" i="3"/>
  <c r="V91" i="3"/>
  <c r="X91" i="3"/>
  <c r="V90" i="3"/>
  <c r="X90" i="3"/>
  <c r="R90" i="3"/>
  <c r="T90" i="3"/>
  <c r="R91" i="3"/>
  <c r="T91" i="3"/>
  <c r="N91" i="3"/>
  <c r="P91" i="3"/>
  <c r="N90" i="3"/>
  <c r="P90" i="3"/>
  <c r="J91" i="3"/>
  <c r="H91" i="3"/>
  <c r="J90" i="3"/>
  <c r="H90" i="3"/>
  <c r="F91" i="3"/>
  <c r="L91" i="3"/>
  <c r="F90" i="3"/>
  <c r="L90" i="3"/>
  <c r="D91" i="3"/>
  <c r="D90" i="3"/>
  <c r="B90" i="3"/>
  <c r="B91" i="3"/>
  <c r="L23" i="7"/>
  <c r="EZ15" i="7"/>
  <c r="EY16" i="7"/>
  <c r="FA16" i="7"/>
  <c r="B31" i="7"/>
  <c r="C30" i="7"/>
  <c r="N65" i="7"/>
  <c r="I70" i="7"/>
  <c r="I69" i="7"/>
  <c r="K69" i="7"/>
  <c r="J64" i="7"/>
  <c r="L65" i="7" s="1" a="1"/>
  <c r="L65" i="7" s="1"/>
  <c r="J69" i="7"/>
  <c r="K70" i="7" s="1"/>
  <c r="L66" i="7"/>
  <c r="M69" i="7"/>
  <c r="J66" i="7"/>
  <c r="I65" i="7" a="1"/>
  <c r="I65" i="7" s="1"/>
  <c r="A92" i="3" a="1"/>
  <c r="A92" i="3" s="1"/>
  <c r="AL90" i="3"/>
  <c r="A93" i="3" a="1"/>
  <c r="A93" i="3" s="1"/>
  <c r="AL91" i="3"/>
  <c r="EX15" i="7" a="1"/>
  <c r="FD16" i="7" a="1"/>
  <c r="L67" i="7" a="1"/>
  <c r="EV16" i="7" a="1"/>
  <c r="FC16" i="7" a="1"/>
  <c r="EZ16" i="7" a="1"/>
  <c r="L25" i="7" a="1"/>
  <c r="H29" i="7" a="1"/>
  <c r="EW17" i="7" a="1"/>
  <c r="FE16" i="7" a="1"/>
  <c r="EX16" i="7" a="1"/>
  <c r="AH93" i="3" l="1"/>
  <c r="AJ93" i="3"/>
  <c r="AH92" i="3"/>
  <c r="AJ92" i="3"/>
  <c r="AD93" i="3"/>
  <c r="AF93" i="3"/>
  <c r="AD92" i="3"/>
  <c r="AF92" i="3"/>
  <c r="Z92" i="3"/>
  <c r="AB92" i="3"/>
  <c r="Z93" i="3"/>
  <c r="AB93" i="3"/>
  <c r="V92" i="3"/>
  <c r="X92" i="3"/>
  <c r="V93" i="3"/>
  <c r="X93" i="3"/>
  <c r="R92" i="3"/>
  <c r="T92" i="3"/>
  <c r="R93" i="3"/>
  <c r="T93" i="3"/>
  <c r="N92" i="3"/>
  <c r="P92" i="3"/>
  <c r="N93" i="3"/>
  <c r="P93" i="3"/>
  <c r="J93" i="3"/>
  <c r="H93" i="3"/>
  <c r="J92" i="3"/>
  <c r="H92" i="3"/>
  <c r="F93" i="3"/>
  <c r="L93" i="3"/>
  <c r="F92" i="3"/>
  <c r="L92" i="3"/>
  <c r="D92" i="3"/>
  <c r="D93" i="3"/>
  <c r="B92" i="3"/>
  <c r="B93" i="3"/>
  <c r="EX16" i="7"/>
  <c r="FE16" i="7"/>
  <c r="EW17" i="7"/>
  <c r="H29" i="7"/>
  <c r="L25" i="7"/>
  <c r="EZ16" i="7"/>
  <c r="FC16" i="7"/>
  <c r="EV16" i="7"/>
  <c r="L67" i="7"/>
  <c r="FD16" i="7"/>
  <c r="EX15" i="7"/>
  <c r="F34" i="7"/>
  <c r="D34" i="7"/>
  <c r="E31" i="7"/>
  <c r="C29" i="7"/>
  <c r="C31" i="7"/>
  <c r="C34" i="7"/>
  <c r="B34" i="7"/>
  <c r="G74" i="7" a="1"/>
  <c r="G74" i="7" s="1"/>
  <c r="G32" i="7" a="1"/>
  <c r="G32" i="7" s="1"/>
  <c r="N66" i="7" a="1"/>
  <c r="N66" i="7" s="1"/>
  <c r="M70" i="7"/>
  <c r="I66" i="7" a="1"/>
  <c r="I66" i="7" s="1"/>
  <c r="AL93" i="3"/>
  <c r="A95" i="3" a="1"/>
  <c r="A95" i="3" s="1"/>
  <c r="AL92" i="3"/>
  <c r="A94" i="3" a="1"/>
  <c r="A94" i="3" s="1"/>
  <c r="FB16" i="7" a="1"/>
  <c r="B71" i="7" a="1"/>
  <c r="EV17" i="7" a="1"/>
  <c r="FF16" i="7" a="1"/>
  <c r="FC17" i="7" a="1"/>
  <c r="H30" i="7" a="1"/>
  <c r="F30" i="7" a="1"/>
  <c r="FB15" i="7" a="1"/>
  <c r="C32" i="7" a="1"/>
  <c r="AH94" i="3" l="1"/>
  <c r="AJ94" i="3"/>
  <c r="AH95" i="3"/>
  <c r="AJ95" i="3"/>
  <c r="AD94" i="3"/>
  <c r="AF94" i="3"/>
  <c r="AD95" i="3"/>
  <c r="AF95" i="3"/>
  <c r="Z94" i="3"/>
  <c r="AB94" i="3"/>
  <c r="Z95" i="3"/>
  <c r="AB95" i="3"/>
  <c r="V95" i="3"/>
  <c r="X95" i="3"/>
  <c r="V94" i="3"/>
  <c r="X94" i="3"/>
  <c r="R95" i="3"/>
  <c r="T95" i="3"/>
  <c r="R94" i="3"/>
  <c r="T94" i="3"/>
  <c r="N94" i="3"/>
  <c r="P94" i="3"/>
  <c r="N95" i="3"/>
  <c r="P95" i="3"/>
  <c r="J95" i="3"/>
  <c r="H95" i="3"/>
  <c r="J94" i="3"/>
  <c r="H94" i="3"/>
  <c r="F94" i="3"/>
  <c r="L94" i="3"/>
  <c r="F95" i="3"/>
  <c r="L95" i="3"/>
  <c r="D94" i="3"/>
  <c r="D95" i="3"/>
  <c r="B94" i="3"/>
  <c r="B95" i="3"/>
  <c r="C32" i="7"/>
  <c r="FB15" i="7"/>
  <c r="FH15" i="7" s="1" a="1"/>
  <c r="FH15" i="7" s="1"/>
  <c r="FG15" i="7" s="1"/>
  <c r="F30" i="7"/>
  <c r="H30" i="7"/>
  <c r="FC17" i="7"/>
  <c r="FF16" i="7"/>
  <c r="EV17" i="7"/>
  <c r="B71" i="7"/>
  <c r="FB16" i="7"/>
  <c r="A97" i="3" a="1"/>
  <c r="A97" i="3" s="1"/>
  <c r="AL95" i="3"/>
  <c r="AL94" i="3"/>
  <c r="A96" i="3" a="1"/>
  <c r="A96" i="3" s="1"/>
  <c r="FA17" i="7" a="1"/>
  <c r="EY17" i="7" a="1"/>
  <c r="I29" i="7" a="1"/>
  <c r="B30" i="7" a="1"/>
  <c r="G31" i="7" a="1"/>
  <c r="C72" i="7" a="1"/>
  <c r="AH97" i="3" l="1"/>
  <c r="AJ97" i="3"/>
  <c r="AH96" i="3"/>
  <c r="AJ96" i="3"/>
  <c r="AD97" i="3"/>
  <c r="AF97" i="3"/>
  <c r="AD96" i="3"/>
  <c r="AF96" i="3"/>
  <c r="Z97" i="3"/>
  <c r="AB97" i="3"/>
  <c r="Z96" i="3"/>
  <c r="AB96" i="3"/>
  <c r="V97" i="3"/>
  <c r="X97" i="3"/>
  <c r="V96" i="3"/>
  <c r="X96" i="3"/>
  <c r="R97" i="3"/>
  <c r="T97" i="3"/>
  <c r="R96" i="3"/>
  <c r="T96" i="3"/>
  <c r="N96" i="3"/>
  <c r="P96" i="3"/>
  <c r="N97" i="3"/>
  <c r="P97" i="3"/>
  <c r="J97" i="3"/>
  <c r="H97" i="3"/>
  <c r="J96" i="3"/>
  <c r="H96" i="3"/>
  <c r="F96" i="3"/>
  <c r="L96" i="3"/>
  <c r="F97" i="3"/>
  <c r="L97" i="3"/>
  <c r="D96" i="3"/>
  <c r="D97" i="3"/>
  <c r="B97" i="3"/>
  <c r="B96" i="3"/>
  <c r="FH16" i="7" a="1"/>
  <c r="FH16" i="7" s="1"/>
  <c r="FG16" i="7" s="1"/>
  <c r="C72" i="7"/>
  <c r="G31" i="7"/>
  <c r="F35" i="7" s="1"/>
  <c r="B30" i="7"/>
  <c r="I29" i="7"/>
  <c r="EY17" i="7"/>
  <c r="FA17" i="7"/>
  <c r="G30" i="7"/>
  <c r="B35" i="7"/>
  <c r="D35" i="7"/>
  <c r="A98" i="3" a="1"/>
  <c r="A98" i="3" s="1"/>
  <c r="AL96" i="3"/>
  <c r="AL97" i="3"/>
  <c r="A99" i="3" a="1"/>
  <c r="A99" i="3" s="1"/>
  <c r="EW18" i="7" a="1"/>
  <c r="EZ17" i="7" a="1"/>
  <c r="FF17" i="7" a="1"/>
  <c r="FD17" i="7" a="1"/>
  <c r="N29" i="7" a="1"/>
  <c r="FE17" i="7" a="1"/>
  <c r="E30" i="7" a="1"/>
  <c r="AH98" i="3" l="1"/>
  <c r="AJ98" i="3"/>
  <c r="AH99" i="3"/>
  <c r="AJ99" i="3"/>
  <c r="AD98" i="3"/>
  <c r="AF98" i="3"/>
  <c r="AD99" i="3"/>
  <c r="AF99" i="3"/>
  <c r="Z98" i="3"/>
  <c r="AB98" i="3"/>
  <c r="Z99" i="3"/>
  <c r="AB99" i="3"/>
  <c r="V99" i="3"/>
  <c r="X99" i="3"/>
  <c r="V98" i="3"/>
  <c r="X98" i="3"/>
  <c r="R99" i="3"/>
  <c r="T99" i="3"/>
  <c r="R98" i="3"/>
  <c r="T98" i="3"/>
  <c r="N99" i="3"/>
  <c r="P99" i="3"/>
  <c r="N98" i="3"/>
  <c r="P98" i="3"/>
  <c r="J99" i="3"/>
  <c r="H99" i="3"/>
  <c r="J98" i="3"/>
  <c r="H98" i="3"/>
  <c r="F98" i="3"/>
  <c r="L98" i="3"/>
  <c r="F99" i="3"/>
  <c r="L99" i="3"/>
  <c r="D98" i="3"/>
  <c r="D99" i="3"/>
  <c r="B99" i="3"/>
  <c r="B98" i="3"/>
  <c r="E30" i="7"/>
  <c r="FE17" i="7"/>
  <c r="N29" i="7"/>
  <c r="FD17" i="7"/>
  <c r="FF17" i="7"/>
  <c r="EZ17" i="7"/>
  <c r="EW18" i="7"/>
  <c r="C74" i="7" a="1"/>
  <c r="C74" i="7" s="1"/>
  <c r="F72" i="7" a="1"/>
  <c r="F72" i="7" s="1"/>
  <c r="AL98" i="3"/>
  <c r="A100" i="3" a="1"/>
  <c r="A100" i="3" s="1"/>
  <c r="A101" i="3" a="1"/>
  <c r="A101" i="3" s="1"/>
  <c r="AL99" i="3"/>
  <c r="EX17" i="7" a="1"/>
  <c r="EY18" i="7" a="1"/>
  <c r="FA18" i="7" a="1"/>
  <c r="I31" i="7" a="1"/>
  <c r="J30" i="7" a="1"/>
  <c r="AH100" i="3" l="1"/>
  <c r="AJ100" i="3"/>
  <c r="AH101" i="3"/>
  <c r="AJ101" i="3"/>
  <c r="AD100" i="3"/>
  <c r="AF100" i="3"/>
  <c r="AD101" i="3"/>
  <c r="AF101" i="3"/>
  <c r="Z100" i="3"/>
  <c r="AB100" i="3"/>
  <c r="Z101" i="3"/>
  <c r="AB101" i="3"/>
  <c r="V101" i="3"/>
  <c r="X101" i="3"/>
  <c r="V100" i="3"/>
  <c r="X100" i="3"/>
  <c r="R100" i="3"/>
  <c r="T100" i="3"/>
  <c r="R101" i="3"/>
  <c r="T101" i="3"/>
  <c r="N101" i="3"/>
  <c r="P101" i="3"/>
  <c r="N100" i="3"/>
  <c r="P100" i="3"/>
  <c r="J101" i="3"/>
  <c r="H101" i="3"/>
  <c r="J100" i="3"/>
  <c r="H100" i="3"/>
  <c r="F101" i="3"/>
  <c r="L101" i="3"/>
  <c r="F100" i="3"/>
  <c r="L100" i="3"/>
  <c r="D101" i="3"/>
  <c r="D100" i="3"/>
  <c r="B101" i="3"/>
  <c r="B100" i="3"/>
  <c r="J30" i="7"/>
  <c r="I31" i="7"/>
  <c r="FA18" i="7"/>
  <c r="EY18" i="7"/>
  <c r="EX17" i="7"/>
  <c r="C76" i="7"/>
  <c r="E73" i="7"/>
  <c r="C73" i="7"/>
  <c r="B77" i="7"/>
  <c r="C71" i="7"/>
  <c r="B76" i="7"/>
  <c r="F76" i="7"/>
  <c r="D76" i="7"/>
  <c r="B72" i="7" a="1"/>
  <c r="B72" i="7" s="1"/>
  <c r="G72" i="7"/>
  <c r="AL101" i="3"/>
  <c r="A103" i="3" a="1"/>
  <c r="A103" i="3" s="1"/>
  <c r="AL100" i="3"/>
  <c r="A102" i="3" a="1"/>
  <c r="A102" i="3" s="1"/>
  <c r="EW19" i="7" a="1"/>
  <c r="A36" i="7" a="1"/>
  <c r="E32" i="7" a="1"/>
  <c r="J32" i="7" a="1"/>
  <c r="FC18" i="7" a="1"/>
  <c r="E74" i="7" a="1"/>
  <c r="EV18" i="7" a="1"/>
  <c r="EZ18" i="7" a="1"/>
  <c r="FD18" i="7" a="1"/>
  <c r="AH102" i="3" l="1"/>
  <c r="AJ102" i="3"/>
  <c r="AH103" i="3"/>
  <c r="AJ103" i="3"/>
  <c r="AD102" i="3"/>
  <c r="AF102" i="3"/>
  <c r="AD103" i="3"/>
  <c r="AF103" i="3"/>
  <c r="Z102" i="3"/>
  <c r="AB102" i="3"/>
  <c r="Z103" i="3"/>
  <c r="AB103" i="3"/>
  <c r="V103" i="3"/>
  <c r="X103" i="3"/>
  <c r="V102" i="3"/>
  <c r="X102" i="3"/>
  <c r="R103" i="3"/>
  <c r="T103" i="3"/>
  <c r="R102" i="3"/>
  <c r="T102" i="3"/>
  <c r="N103" i="3"/>
  <c r="P103" i="3"/>
  <c r="N102" i="3"/>
  <c r="P102" i="3"/>
  <c r="J103" i="3"/>
  <c r="H103" i="3"/>
  <c r="J102" i="3"/>
  <c r="H102" i="3"/>
  <c r="F102" i="3"/>
  <c r="L102" i="3"/>
  <c r="F103" i="3"/>
  <c r="L103" i="3"/>
  <c r="D103" i="3"/>
  <c r="D102" i="3"/>
  <c r="B103" i="3"/>
  <c r="B102" i="3"/>
  <c r="FD18" i="7"/>
  <c r="EZ18" i="7"/>
  <c r="EV18" i="7"/>
  <c r="E74" i="7"/>
  <c r="FC18" i="7"/>
  <c r="J32" i="7"/>
  <c r="E32" i="7"/>
  <c r="A36" i="7"/>
  <c r="EW19" i="7"/>
  <c r="F77" i="7"/>
  <c r="B73" i="7" a="1"/>
  <c r="B73" i="7" s="1"/>
  <c r="G73" i="7" a="1"/>
  <c r="G73" i="7" s="1"/>
  <c r="E72" i="7" a="1"/>
  <c r="E72" i="7" s="1"/>
  <c r="D77" i="7"/>
  <c r="J34" i="7"/>
  <c r="J31" i="7"/>
  <c r="J29" i="7"/>
  <c r="K34" i="7"/>
  <c r="L31" i="7"/>
  <c r="M34" i="7"/>
  <c r="I34" i="7"/>
  <c r="AL102" i="3"/>
  <c r="A104" i="3" a="1"/>
  <c r="A104" i="3" s="1"/>
  <c r="A105" i="3" a="1"/>
  <c r="A105" i="3" s="1"/>
  <c r="AL103" i="3"/>
  <c r="FF18" i="7" a="1"/>
  <c r="FC19" i="7" a="1"/>
  <c r="FB18" i="7" a="1"/>
  <c r="EX18" i="7" a="1"/>
  <c r="A37" i="7" a="1"/>
  <c r="N32" i="7" a="1"/>
  <c r="FA19" i="7" a="1"/>
  <c r="I71" i="7" a="1"/>
  <c r="EV19" i="7" a="1"/>
  <c r="FB17" i="7" a="1"/>
  <c r="FE18" i="7" a="1"/>
  <c r="AH105" i="3" l="1"/>
  <c r="AJ105" i="3"/>
  <c r="AH104" i="3"/>
  <c r="AJ104" i="3"/>
  <c r="AD105" i="3"/>
  <c r="AF105" i="3"/>
  <c r="AD104" i="3"/>
  <c r="AF104" i="3"/>
  <c r="Z105" i="3"/>
  <c r="AB105" i="3"/>
  <c r="Z104" i="3"/>
  <c r="AB104" i="3"/>
  <c r="V104" i="3"/>
  <c r="X104" i="3"/>
  <c r="V105" i="3"/>
  <c r="X105" i="3"/>
  <c r="R105" i="3"/>
  <c r="T105" i="3"/>
  <c r="R104" i="3"/>
  <c r="T104" i="3"/>
  <c r="N105" i="3"/>
  <c r="P105" i="3"/>
  <c r="N104" i="3"/>
  <c r="P104" i="3"/>
  <c r="J104" i="3"/>
  <c r="H104" i="3"/>
  <c r="J105" i="3"/>
  <c r="H105" i="3"/>
  <c r="F105" i="3"/>
  <c r="L105" i="3"/>
  <c r="F104" i="3"/>
  <c r="L104" i="3"/>
  <c r="D105" i="3"/>
  <c r="D104" i="3"/>
  <c r="B105" i="3"/>
  <c r="B104" i="3"/>
  <c r="FE18" i="7"/>
  <c r="FB17" i="7"/>
  <c r="FH17" i="7" s="1" a="1"/>
  <c r="FH17" i="7" s="1"/>
  <c r="FG17" i="7" s="1"/>
  <c r="EV19" i="7"/>
  <c r="I71" i="7"/>
  <c r="FA19" i="7"/>
  <c r="N32" i="7"/>
  <c r="A37" i="7"/>
  <c r="EX18" i="7"/>
  <c r="FB18" i="7"/>
  <c r="FC19" i="7"/>
  <c r="FF18" i="7"/>
  <c r="I35" i="7"/>
  <c r="K35" i="7"/>
  <c r="A106" i="3" a="1"/>
  <c r="A106" i="3" s="1"/>
  <c r="AL104" i="3"/>
  <c r="AL105" i="3"/>
  <c r="A107" i="3" a="1"/>
  <c r="A107" i="3" s="1"/>
  <c r="M30" i="7" a="1"/>
  <c r="I30" i="7" a="1"/>
  <c r="N31" i="7" a="1"/>
  <c r="J72" i="7" a="1"/>
  <c r="B36" i="7" a="1"/>
  <c r="FD19" i="7" a="1"/>
  <c r="FE19" i="7" a="1"/>
  <c r="AH107" i="3" l="1"/>
  <c r="AJ107" i="3"/>
  <c r="AH106" i="3"/>
  <c r="AJ106" i="3"/>
  <c r="AD106" i="3"/>
  <c r="AF106" i="3"/>
  <c r="AD107" i="3"/>
  <c r="AF107" i="3"/>
  <c r="Z106" i="3"/>
  <c r="AB106" i="3"/>
  <c r="Z107" i="3"/>
  <c r="AB107" i="3"/>
  <c r="V106" i="3"/>
  <c r="X106" i="3"/>
  <c r="V107" i="3"/>
  <c r="X107" i="3"/>
  <c r="R107" i="3"/>
  <c r="T107" i="3"/>
  <c r="R106" i="3"/>
  <c r="T106" i="3"/>
  <c r="N106" i="3"/>
  <c r="P106" i="3"/>
  <c r="N107" i="3"/>
  <c r="P107" i="3"/>
  <c r="J106" i="3"/>
  <c r="H106" i="3"/>
  <c r="J107" i="3"/>
  <c r="H107" i="3"/>
  <c r="F106" i="3"/>
  <c r="L106" i="3"/>
  <c r="F107" i="3"/>
  <c r="L107" i="3"/>
  <c r="D106" i="3"/>
  <c r="D107" i="3"/>
  <c r="B106" i="3"/>
  <c r="B107" i="3"/>
  <c r="FH18" i="7" a="1"/>
  <c r="FH18" i="7" s="1"/>
  <c r="FG18" i="7" s="1"/>
  <c r="FE19" i="7"/>
  <c r="FD19" i="7"/>
  <c r="B36" i="7"/>
  <c r="J72" i="7"/>
  <c r="N31" i="7"/>
  <c r="M35" i="7" s="1"/>
  <c r="I30" i="7"/>
  <c r="M30" i="7"/>
  <c r="A109" i="3" a="1"/>
  <c r="A109" i="3" s="1"/>
  <c r="AL107" i="3"/>
  <c r="A108" i="3" a="1"/>
  <c r="A108" i="3" s="1"/>
  <c r="AL106" i="3"/>
  <c r="G36" i="7" a="1"/>
  <c r="EW20" i="7" a="1"/>
  <c r="FF19" i="7" a="1"/>
  <c r="EY19" i="7" a="1"/>
  <c r="AH108" i="3" l="1"/>
  <c r="AJ108" i="3"/>
  <c r="AH109" i="3"/>
  <c r="AJ109" i="3"/>
  <c r="AD108" i="3"/>
  <c r="AF108" i="3"/>
  <c r="AD109" i="3"/>
  <c r="AF109" i="3"/>
  <c r="Z109" i="3"/>
  <c r="AB109" i="3"/>
  <c r="Z108" i="3"/>
  <c r="AB108" i="3"/>
  <c r="V108" i="3"/>
  <c r="X108" i="3"/>
  <c r="V109" i="3"/>
  <c r="X109" i="3"/>
  <c r="R109" i="3"/>
  <c r="T109" i="3"/>
  <c r="R108" i="3"/>
  <c r="T108" i="3"/>
  <c r="N109" i="3"/>
  <c r="P109" i="3"/>
  <c r="N108" i="3"/>
  <c r="P108" i="3"/>
  <c r="J108" i="3"/>
  <c r="H108" i="3"/>
  <c r="J109" i="3"/>
  <c r="H109" i="3"/>
  <c r="F109" i="3"/>
  <c r="L109" i="3"/>
  <c r="F108" i="3"/>
  <c r="L108" i="3"/>
  <c r="D109" i="3"/>
  <c r="D108" i="3"/>
  <c r="B108" i="3"/>
  <c r="B109" i="3"/>
  <c r="EY19" i="7"/>
  <c r="FF19" i="7"/>
  <c r="EW20" i="7"/>
  <c r="G36" i="7"/>
  <c r="N30" i="7"/>
  <c r="J74" i="7" a="1"/>
  <c r="J74" i="7" s="1"/>
  <c r="M72" i="7" a="1"/>
  <c r="M72" i="7" s="1"/>
  <c r="AL108" i="3"/>
  <c r="A110" i="3" a="1"/>
  <c r="A110" i="3" s="1"/>
  <c r="AL109" i="3"/>
  <c r="A111" i="3" a="1"/>
  <c r="A111" i="3" s="1"/>
  <c r="C37" i="7" a="1"/>
  <c r="B38" i="7" a="1"/>
  <c r="EZ19" i="7" a="1"/>
  <c r="L30" i="7" a="1"/>
  <c r="FA20" i="7" a="1"/>
  <c r="EY20" i="7" a="1"/>
  <c r="AH111" i="3" l="1"/>
  <c r="AJ111" i="3"/>
  <c r="AH110" i="3"/>
  <c r="AJ110" i="3"/>
  <c r="AD111" i="3"/>
  <c r="AF111" i="3"/>
  <c r="AD110" i="3"/>
  <c r="AF110" i="3"/>
  <c r="Z110" i="3"/>
  <c r="AB110" i="3"/>
  <c r="Z111" i="3"/>
  <c r="AB111" i="3"/>
  <c r="V111" i="3"/>
  <c r="X111" i="3"/>
  <c r="V110" i="3"/>
  <c r="X110" i="3"/>
  <c r="R110" i="3"/>
  <c r="T110" i="3"/>
  <c r="R111" i="3"/>
  <c r="T111" i="3"/>
  <c r="N111" i="3"/>
  <c r="P111" i="3"/>
  <c r="N110" i="3"/>
  <c r="P110" i="3"/>
  <c r="J111" i="3"/>
  <c r="H111" i="3"/>
  <c r="J110" i="3"/>
  <c r="H110" i="3"/>
  <c r="F110" i="3"/>
  <c r="L110" i="3"/>
  <c r="F111" i="3"/>
  <c r="L111" i="3"/>
  <c r="D111" i="3"/>
  <c r="D110" i="3"/>
  <c r="B111" i="3"/>
  <c r="B110" i="3"/>
  <c r="EY20" i="7"/>
  <c r="FA20" i="7"/>
  <c r="L30" i="7"/>
  <c r="EZ19" i="7"/>
  <c r="B38" i="7"/>
  <c r="C37" i="7"/>
  <c r="N72" i="7"/>
  <c r="M76" i="7"/>
  <c r="J76" i="7"/>
  <c r="K77" i="7" s="1"/>
  <c r="J73" i="7"/>
  <c r="I77" i="7"/>
  <c r="J71" i="7"/>
  <c r="L72" i="7" s="1" a="1"/>
  <c r="L72" i="7" s="1"/>
  <c r="L73" i="7"/>
  <c r="K76" i="7"/>
  <c r="I76" i="7"/>
  <c r="I72" i="7" a="1"/>
  <c r="I72" i="7" s="1"/>
  <c r="A113" i="3" a="1"/>
  <c r="A113" i="3" s="1"/>
  <c r="AL111" i="3"/>
  <c r="AL110" i="3"/>
  <c r="A112" i="3" a="1"/>
  <c r="A112" i="3" s="1"/>
  <c r="EX20" i="7" a="1"/>
  <c r="FC20" i="7" a="1"/>
  <c r="L74" i="7" a="1"/>
  <c r="EX19" i="7" a="1"/>
  <c r="FD20" i="7" a="1"/>
  <c r="EV20" i="7" a="1"/>
  <c r="L32" i="7" a="1"/>
  <c r="EW21" i="7" a="1"/>
  <c r="FE20" i="7" a="1"/>
  <c r="C39" i="7" a="1"/>
  <c r="EZ20" i="7" a="1"/>
  <c r="H36" i="7" a="1"/>
  <c r="AH112" i="3" l="1"/>
  <c r="AJ112" i="3"/>
  <c r="AH113" i="3"/>
  <c r="AJ113" i="3"/>
  <c r="AD112" i="3"/>
  <c r="AF112" i="3"/>
  <c r="AD113" i="3"/>
  <c r="AF113" i="3"/>
  <c r="Z112" i="3"/>
  <c r="AB112" i="3"/>
  <c r="Z113" i="3"/>
  <c r="AB113" i="3"/>
  <c r="V112" i="3"/>
  <c r="X112" i="3"/>
  <c r="V113" i="3"/>
  <c r="X113" i="3"/>
  <c r="R112" i="3"/>
  <c r="T112" i="3"/>
  <c r="R113" i="3"/>
  <c r="T113" i="3"/>
  <c r="N112" i="3"/>
  <c r="P112" i="3"/>
  <c r="N113" i="3"/>
  <c r="P113" i="3"/>
  <c r="J113" i="3"/>
  <c r="H113" i="3"/>
  <c r="J112" i="3"/>
  <c r="H112" i="3"/>
  <c r="F112" i="3"/>
  <c r="L112" i="3"/>
  <c r="F113" i="3"/>
  <c r="L113" i="3"/>
  <c r="D113" i="3"/>
  <c r="D112" i="3"/>
  <c r="B113" i="3"/>
  <c r="B112" i="3"/>
  <c r="H36" i="7"/>
  <c r="EZ20" i="7"/>
  <c r="C39" i="7"/>
  <c r="FE20" i="7"/>
  <c r="EW21" i="7"/>
  <c r="L32" i="7"/>
  <c r="EV20" i="7"/>
  <c r="FD20" i="7"/>
  <c r="EX19" i="7"/>
  <c r="L74" i="7"/>
  <c r="FC20" i="7"/>
  <c r="EX20" i="7"/>
  <c r="F41" i="7"/>
  <c r="C38" i="7"/>
  <c r="C36" i="7"/>
  <c r="E38" i="7"/>
  <c r="D41" i="7"/>
  <c r="B41" i="7"/>
  <c r="C41" i="7"/>
  <c r="N73" i="7" a="1"/>
  <c r="N73" i="7" s="1"/>
  <c r="M77" i="7"/>
  <c r="I73" i="7" a="1"/>
  <c r="I73" i="7" s="1"/>
  <c r="N74" i="7" a="1"/>
  <c r="N74" i="7" s="1"/>
  <c r="A114" i="3" a="1"/>
  <c r="A114" i="3" s="1"/>
  <c r="AL112" i="3"/>
  <c r="AL113" i="3"/>
  <c r="A115" i="3" a="1"/>
  <c r="A115" i="3" s="1"/>
  <c r="H37" i="7" a="1"/>
  <c r="FB20" i="7" a="1"/>
  <c r="FA21" i="7" a="1"/>
  <c r="FC21" i="7" a="1"/>
  <c r="FB19" i="7" a="1"/>
  <c r="FF20" i="7" a="1"/>
  <c r="B78" i="7" a="1"/>
  <c r="EV21" i="7" a="1"/>
  <c r="AH115" i="3" l="1"/>
  <c r="AJ115" i="3"/>
  <c r="AH114" i="3"/>
  <c r="AJ114" i="3"/>
  <c r="AD114" i="3"/>
  <c r="AF114" i="3"/>
  <c r="AD115" i="3"/>
  <c r="AF115" i="3"/>
  <c r="Z114" i="3"/>
  <c r="AB114" i="3"/>
  <c r="Z115" i="3"/>
  <c r="AB115" i="3"/>
  <c r="V115" i="3"/>
  <c r="X115" i="3"/>
  <c r="V114" i="3"/>
  <c r="X114" i="3"/>
  <c r="R115" i="3"/>
  <c r="T115" i="3"/>
  <c r="R114" i="3"/>
  <c r="T114" i="3"/>
  <c r="N115" i="3"/>
  <c r="P115" i="3"/>
  <c r="N114" i="3"/>
  <c r="P114" i="3"/>
  <c r="J114" i="3"/>
  <c r="H114" i="3"/>
  <c r="J115" i="3"/>
  <c r="H115" i="3"/>
  <c r="F115" i="3"/>
  <c r="L115" i="3"/>
  <c r="F114" i="3"/>
  <c r="L114" i="3"/>
  <c r="D114" i="3"/>
  <c r="D115" i="3"/>
  <c r="B114" i="3"/>
  <c r="B115" i="3"/>
  <c r="EV21" i="7"/>
  <c r="B78" i="7"/>
  <c r="FF20" i="7"/>
  <c r="FB19" i="7"/>
  <c r="FH19" i="7" s="1" a="1"/>
  <c r="FH19" i="7" s="1"/>
  <c r="FG19" i="7" s="1"/>
  <c r="FC21" i="7"/>
  <c r="FA21" i="7"/>
  <c r="FB20" i="7"/>
  <c r="H37" i="7"/>
  <c r="B42" i="7"/>
  <c r="D42" i="7"/>
  <c r="A117" i="3" a="1"/>
  <c r="A117" i="3" s="1"/>
  <c r="AL115" i="3"/>
  <c r="A116" i="3" a="1"/>
  <c r="A116" i="3" s="1"/>
  <c r="AL114" i="3"/>
  <c r="G38" i="7" a="1"/>
  <c r="B37" i="7" a="1"/>
  <c r="F37" i="7" a="1"/>
  <c r="G39" i="7" a="1"/>
  <c r="FD21" i="7" a="1"/>
  <c r="I36" i="7" a="1"/>
  <c r="FE21" i="7" a="1"/>
  <c r="C79" i="7" a="1"/>
  <c r="AH117" i="3" l="1"/>
  <c r="AJ117" i="3"/>
  <c r="AH116" i="3"/>
  <c r="AJ116" i="3"/>
  <c r="AD116" i="3"/>
  <c r="AF116" i="3"/>
  <c r="AD117" i="3"/>
  <c r="AF117" i="3"/>
  <c r="Z116" i="3"/>
  <c r="AB116" i="3"/>
  <c r="Z117" i="3"/>
  <c r="AB117" i="3"/>
  <c r="V117" i="3"/>
  <c r="X117" i="3"/>
  <c r="V116" i="3"/>
  <c r="X116" i="3"/>
  <c r="R116" i="3"/>
  <c r="T116" i="3"/>
  <c r="R117" i="3"/>
  <c r="T117" i="3"/>
  <c r="N117" i="3"/>
  <c r="P117" i="3"/>
  <c r="N116" i="3"/>
  <c r="P116" i="3"/>
  <c r="J117" i="3"/>
  <c r="H117" i="3"/>
  <c r="J116" i="3"/>
  <c r="H116" i="3"/>
  <c r="F116" i="3"/>
  <c r="L116" i="3"/>
  <c r="F117" i="3"/>
  <c r="L117" i="3"/>
  <c r="D116" i="3"/>
  <c r="D117" i="3"/>
  <c r="B116" i="3"/>
  <c r="B117" i="3"/>
  <c r="FH20" i="7" a="1"/>
  <c r="FH20" i="7" s="1"/>
  <c r="FG20" i="7" s="1"/>
  <c r="C79" i="7"/>
  <c r="FE21" i="7"/>
  <c r="I36" i="7"/>
  <c r="FD21" i="7"/>
  <c r="G39" i="7"/>
  <c r="F37" i="7"/>
  <c r="B37" i="7"/>
  <c r="G38" i="7"/>
  <c r="AL116" i="3"/>
  <c r="A118" i="3" a="1"/>
  <c r="A118" i="3" s="1"/>
  <c r="AL117" i="3"/>
  <c r="A119" i="3" a="1"/>
  <c r="A119" i="3" s="1"/>
  <c r="EW22" i="7" a="1"/>
  <c r="EY21" i="7" a="1"/>
  <c r="N36" i="7" a="1"/>
  <c r="AH119" i="3" l="1"/>
  <c r="AJ119" i="3"/>
  <c r="AH118" i="3"/>
  <c r="AJ118" i="3"/>
  <c r="AD118" i="3"/>
  <c r="AF118" i="3"/>
  <c r="AD119" i="3"/>
  <c r="AF119" i="3"/>
  <c r="Z119" i="3"/>
  <c r="AB119" i="3"/>
  <c r="Z118" i="3"/>
  <c r="AB118" i="3"/>
  <c r="V119" i="3"/>
  <c r="X119" i="3"/>
  <c r="V118" i="3"/>
  <c r="X118" i="3"/>
  <c r="R118" i="3"/>
  <c r="T118" i="3"/>
  <c r="R119" i="3"/>
  <c r="T119" i="3"/>
  <c r="N119" i="3"/>
  <c r="P119" i="3"/>
  <c r="N118" i="3"/>
  <c r="P118" i="3"/>
  <c r="J118" i="3"/>
  <c r="H118" i="3"/>
  <c r="J119" i="3"/>
  <c r="H119" i="3"/>
  <c r="F119" i="3"/>
  <c r="L119" i="3"/>
  <c r="F118" i="3"/>
  <c r="L118" i="3"/>
  <c r="D118" i="3"/>
  <c r="D119" i="3"/>
  <c r="B118" i="3"/>
  <c r="B119" i="3"/>
  <c r="F42" i="7"/>
  <c r="N36" i="7"/>
  <c r="EY21" i="7"/>
  <c r="EW22" i="7"/>
  <c r="G37" i="7"/>
  <c r="A121" i="3" a="1"/>
  <c r="A121" i="3" s="1"/>
  <c r="AL119" i="3"/>
  <c r="AL118" i="3"/>
  <c r="A120" i="3" a="1"/>
  <c r="A120" i="3" s="1"/>
  <c r="FF21" i="7" a="1"/>
  <c r="I38" i="7" a="1"/>
  <c r="J37" i="7" a="1"/>
  <c r="EZ21" i="7" a="1"/>
  <c r="C81" i="7" a="1"/>
  <c r="E37" i="7" a="1"/>
  <c r="AH120" i="3" l="1"/>
  <c r="AJ120" i="3"/>
  <c r="AH121" i="3"/>
  <c r="AJ121" i="3"/>
  <c r="AD120" i="3"/>
  <c r="AF120" i="3"/>
  <c r="AD121" i="3"/>
  <c r="AF121" i="3"/>
  <c r="Z120" i="3"/>
  <c r="AB120" i="3"/>
  <c r="Z121" i="3"/>
  <c r="AB121" i="3"/>
  <c r="V121" i="3"/>
  <c r="X121" i="3"/>
  <c r="V120" i="3"/>
  <c r="X120" i="3"/>
  <c r="R120" i="3"/>
  <c r="T120" i="3"/>
  <c r="R121" i="3"/>
  <c r="T121" i="3"/>
  <c r="N121" i="3"/>
  <c r="P121" i="3"/>
  <c r="N120" i="3"/>
  <c r="P120" i="3"/>
  <c r="J120" i="3"/>
  <c r="H120" i="3"/>
  <c r="J121" i="3"/>
  <c r="H121" i="3"/>
  <c r="F120" i="3"/>
  <c r="L120" i="3"/>
  <c r="F121" i="3"/>
  <c r="L121" i="3"/>
  <c r="D120" i="3"/>
  <c r="D121" i="3"/>
  <c r="B120" i="3"/>
  <c r="B121" i="3"/>
  <c r="FF21" i="7"/>
  <c r="E37" i="7"/>
  <c r="C81" i="7"/>
  <c r="EZ21" i="7"/>
  <c r="J37" i="7"/>
  <c r="I38" i="7"/>
  <c r="A122" i="3" a="1"/>
  <c r="A122" i="3" s="1"/>
  <c r="AL120" i="3"/>
  <c r="AL121" i="3"/>
  <c r="A123" i="3" a="1"/>
  <c r="A123" i="3" s="1"/>
  <c r="EX21" i="7" a="1"/>
  <c r="FA22" i="7" a="1"/>
  <c r="P1" i="7" a="1"/>
  <c r="EW23" i="7" a="1"/>
  <c r="E39" i="7" a="1"/>
  <c r="AH123" i="3" l="1"/>
  <c r="AJ123" i="3"/>
  <c r="AH122" i="3"/>
  <c r="AJ122" i="3"/>
  <c r="AD122" i="3"/>
  <c r="AF122" i="3"/>
  <c r="AD123" i="3"/>
  <c r="AF123" i="3"/>
  <c r="Z123" i="3"/>
  <c r="AB123" i="3"/>
  <c r="Z122" i="3"/>
  <c r="AB122" i="3"/>
  <c r="V123" i="3"/>
  <c r="X123" i="3"/>
  <c r="V122" i="3"/>
  <c r="X122" i="3"/>
  <c r="R123" i="3"/>
  <c r="T123" i="3"/>
  <c r="R122" i="3"/>
  <c r="T122" i="3"/>
  <c r="N122" i="3"/>
  <c r="P122" i="3"/>
  <c r="N123" i="3"/>
  <c r="P123" i="3"/>
  <c r="J123" i="3"/>
  <c r="H123" i="3"/>
  <c r="J122" i="3"/>
  <c r="H122" i="3"/>
  <c r="F123" i="3"/>
  <c r="L123" i="3"/>
  <c r="F122" i="3"/>
  <c r="L122" i="3"/>
  <c r="D122" i="3"/>
  <c r="D123" i="3"/>
  <c r="B123" i="3"/>
  <c r="B122" i="3"/>
  <c r="E39" i="7"/>
  <c r="EW23" i="7"/>
  <c r="P1" i="7"/>
  <c r="FA22" i="7"/>
  <c r="EX21" i="7"/>
  <c r="N39" i="7" a="1"/>
  <c r="N39" i="7" s="1"/>
  <c r="N81" i="7" a="1"/>
  <c r="N81" i="7" s="1"/>
  <c r="J36" i="7"/>
  <c r="M41" i="7"/>
  <c r="K41" i="7"/>
  <c r="L38" i="7"/>
  <c r="J41" i="7"/>
  <c r="J38" i="7"/>
  <c r="I41" i="7"/>
  <c r="C78" i="7"/>
  <c r="D83" i="7"/>
  <c r="C83" i="7"/>
  <c r="B84" i="7" s="1"/>
  <c r="E80" i="7"/>
  <c r="F83" i="7"/>
  <c r="C80" i="7"/>
  <c r="B83" i="7"/>
  <c r="A124" i="3" a="1"/>
  <c r="A124" i="3" s="1"/>
  <c r="AL122" i="3"/>
  <c r="A125" i="3" a="1"/>
  <c r="A125" i="3" s="1"/>
  <c r="AL123" i="3"/>
  <c r="FB21" i="7" a="1"/>
  <c r="M37" i="7" a="1"/>
  <c r="I78" i="7" a="1"/>
  <c r="EV23" i="7" a="1"/>
  <c r="EV22" i="7" a="1"/>
  <c r="P2" i="7" a="1"/>
  <c r="B79" i="7" a="1"/>
  <c r="FC22" i="7" a="1"/>
  <c r="J39" i="7" a="1"/>
  <c r="FD22" i="7" a="1"/>
  <c r="FC23" i="7" a="1"/>
  <c r="AH125" i="3" l="1"/>
  <c r="AJ125" i="3"/>
  <c r="AH124" i="3"/>
  <c r="AJ124" i="3"/>
  <c r="AD124" i="3"/>
  <c r="AF124" i="3"/>
  <c r="AD125" i="3"/>
  <c r="AF125" i="3"/>
  <c r="Z124" i="3"/>
  <c r="AB124" i="3"/>
  <c r="Z125" i="3"/>
  <c r="AB125" i="3"/>
  <c r="V124" i="3"/>
  <c r="X124" i="3"/>
  <c r="V125" i="3"/>
  <c r="X125" i="3"/>
  <c r="R125" i="3"/>
  <c r="T125" i="3"/>
  <c r="R124" i="3"/>
  <c r="T124" i="3"/>
  <c r="N125" i="3"/>
  <c r="P125" i="3"/>
  <c r="N124" i="3"/>
  <c r="P124" i="3"/>
  <c r="J125" i="3"/>
  <c r="H125" i="3"/>
  <c r="J124" i="3"/>
  <c r="H124" i="3"/>
  <c r="F125" i="3"/>
  <c r="L125" i="3"/>
  <c r="F124" i="3"/>
  <c r="L124" i="3"/>
  <c r="D124" i="3"/>
  <c r="D125" i="3"/>
  <c r="B124" i="3"/>
  <c r="B125" i="3"/>
  <c r="FC23" i="7"/>
  <c r="FD22" i="7"/>
  <c r="J39" i="7"/>
  <c r="FC22" i="7"/>
  <c r="B79" i="7"/>
  <c r="P2" i="7"/>
  <c r="EV22" i="7"/>
  <c r="EV23" i="7"/>
  <c r="I78" i="7"/>
  <c r="M37" i="7"/>
  <c r="FB21" i="7"/>
  <c r="FH21" i="7" s="1" a="1"/>
  <c r="FH21" i="7" s="1"/>
  <c r="FG21" i="7" s="1"/>
  <c r="D84" i="7"/>
  <c r="AL125" i="3"/>
  <c r="A127" i="3" a="1"/>
  <c r="A127" i="3" s="1"/>
  <c r="AL124" i="3"/>
  <c r="A126" i="3" a="1"/>
  <c r="A126" i="3" s="1"/>
  <c r="EY23" i="7" a="1"/>
  <c r="F79" i="7" a="1"/>
  <c r="FA23" i="7" a="1"/>
  <c r="N38" i="7" a="1"/>
  <c r="I37" i="7" a="1"/>
  <c r="E81" i="7" a="1"/>
  <c r="FE22" i="7" a="1"/>
  <c r="J79" i="7" a="1"/>
  <c r="Q1" i="7" a="1"/>
  <c r="B80" i="7" a="1"/>
  <c r="AH126" i="3" l="1"/>
  <c r="AJ126" i="3"/>
  <c r="AH127" i="3"/>
  <c r="AJ127" i="3"/>
  <c r="AD127" i="3"/>
  <c r="AF127" i="3"/>
  <c r="AD126" i="3"/>
  <c r="AF126" i="3"/>
  <c r="Z126" i="3"/>
  <c r="AB126" i="3"/>
  <c r="Z127" i="3"/>
  <c r="AB127" i="3"/>
  <c r="V126" i="3"/>
  <c r="X126" i="3"/>
  <c r="V127" i="3"/>
  <c r="X127" i="3"/>
  <c r="R126" i="3"/>
  <c r="T126" i="3"/>
  <c r="R127" i="3"/>
  <c r="T127" i="3"/>
  <c r="N126" i="3"/>
  <c r="P126" i="3"/>
  <c r="N127" i="3"/>
  <c r="P127" i="3"/>
  <c r="J126" i="3"/>
  <c r="H126" i="3"/>
  <c r="J127" i="3"/>
  <c r="H127" i="3"/>
  <c r="F126" i="3"/>
  <c r="L126" i="3"/>
  <c r="F127" i="3"/>
  <c r="L127" i="3"/>
  <c r="D127" i="3"/>
  <c r="D126" i="3"/>
  <c r="B127" i="3"/>
  <c r="B126" i="3"/>
  <c r="B80" i="7"/>
  <c r="Q1" i="7"/>
  <c r="J79" i="7"/>
  <c r="FE22" i="7"/>
  <c r="E81" i="7"/>
  <c r="I37" i="7"/>
  <c r="N38" i="7"/>
  <c r="M42" i="7" s="1"/>
  <c r="FA23" i="7"/>
  <c r="F79" i="7"/>
  <c r="EY23" i="7"/>
  <c r="I42" i="7"/>
  <c r="K42" i="7"/>
  <c r="N37" i="7"/>
  <c r="A129" i="3" a="1"/>
  <c r="A129" i="3" s="1"/>
  <c r="AL127" i="3"/>
  <c r="A128" i="3" a="1"/>
  <c r="A128" i="3" s="1"/>
  <c r="AL126" i="3"/>
  <c r="EY22" i="7" a="1"/>
  <c r="V1" i="7" a="1"/>
  <c r="EW24" i="7" a="1"/>
  <c r="FB22" i="7" a="1"/>
  <c r="FD23" i="7" a="1"/>
  <c r="FE23" i="7" a="1"/>
  <c r="L37" i="7" a="1"/>
  <c r="FF23" i="7" a="1"/>
  <c r="EZ23" i="7" a="1"/>
  <c r="AH128" i="3" l="1"/>
  <c r="AJ128" i="3"/>
  <c r="AH129" i="3"/>
  <c r="AJ129" i="3"/>
  <c r="AD128" i="3"/>
  <c r="AF128" i="3"/>
  <c r="AD129" i="3"/>
  <c r="AF129" i="3"/>
  <c r="Z128" i="3"/>
  <c r="AB128" i="3"/>
  <c r="Z129" i="3"/>
  <c r="AB129" i="3"/>
  <c r="V129" i="3"/>
  <c r="X129" i="3"/>
  <c r="V128" i="3"/>
  <c r="X128" i="3"/>
  <c r="R129" i="3"/>
  <c r="T129" i="3"/>
  <c r="R128" i="3"/>
  <c r="T128" i="3"/>
  <c r="N129" i="3"/>
  <c r="P129" i="3"/>
  <c r="N128" i="3"/>
  <c r="P128" i="3"/>
  <c r="J129" i="3"/>
  <c r="H129" i="3"/>
  <c r="J128" i="3"/>
  <c r="H128" i="3"/>
  <c r="F129" i="3"/>
  <c r="L129" i="3"/>
  <c r="F128" i="3"/>
  <c r="L128" i="3"/>
  <c r="D129" i="3"/>
  <c r="D128" i="3"/>
  <c r="B129" i="3"/>
  <c r="B128" i="3"/>
  <c r="EZ23" i="7"/>
  <c r="FF23" i="7"/>
  <c r="L37" i="7"/>
  <c r="FE23" i="7"/>
  <c r="FD23" i="7"/>
  <c r="FB22" i="7"/>
  <c r="EW24" i="7"/>
  <c r="V1" i="7"/>
  <c r="EY22" i="7"/>
  <c r="G79" i="7"/>
  <c r="A130" i="3" a="1"/>
  <c r="A130" i="3" s="1"/>
  <c r="AJ130" i="3" s="1"/>
  <c r="AL128" i="3"/>
  <c r="AL129" i="3"/>
  <c r="A131" i="3" a="1"/>
  <c r="A131" i="3" s="1"/>
  <c r="R2" i="7" a="1"/>
  <c r="W1" i="7" a="1"/>
  <c r="Q3" i="7" a="1"/>
  <c r="EX23" i="7" a="1"/>
  <c r="J81" i="7" a="1"/>
  <c r="EZ22" i="7" a="1"/>
  <c r="E79" i="7" a="1"/>
  <c r="G81" i="7" a="1"/>
  <c r="G80" i="7" a="1"/>
  <c r="AH131" i="3" l="1"/>
  <c r="AJ131" i="3"/>
  <c r="AF130" i="3"/>
  <c r="AH130" i="3"/>
  <c r="AD131" i="3"/>
  <c r="AF131" i="3"/>
  <c r="AB130" i="3"/>
  <c r="AD130" i="3"/>
  <c r="Z131" i="3"/>
  <c r="AB131" i="3"/>
  <c r="X130" i="3"/>
  <c r="Z130" i="3"/>
  <c r="V131" i="3"/>
  <c r="X131" i="3"/>
  <c r="T130" i="3"/>
  <c r="V130" i="3"/>
  <c r="R131" i="3"/>
  <c r="T131" i="3"/>
  <c r="P130" i="3"/>
  <c r="R130" i="3"/>
  <c r="N131" i="3"/>
  <c r="P131" i="3"/>
  <c r="H130" i="3"/>
  <c r="N130" i="3"/>
  <c r="J131" i="3"/>
  <c r="H131" i="3"/>
  <c r="L130" i="3"/>
  <c r="J130" i="3"/>
  <c r="F131" i="3"/>
  <c r="L131" i="3"/>
  <c r="D130" i="3"/>
  <c r="F130" i="3"/>
  <c r="D131" i="3"/>
  <c r="B130" i="3"/>
  <c r="B131" i="3"/>
  <c r="G80" i="7"/>
  <c r="G81" i="7"/>
  <c r="E79" i="7"/>
  <c r="EZ22" i="7"/>
  <c r="J81" i="7"/>
  <c r="EX23" i="7"/>
  <c r="Q3" i="7"/>
  <c r="W1" i="7"/>
  <c r="R2" i="7"/>
  <c r="A132" i="3" a="1"/>
  <c r="A132" i="3" s="1"/>
  <c r="AL130" i="3"/>
  <c r="A133" i="3" a="1"/>
  <c r="A133" i="3" s="1"/>
  <c r="AL131" i="3"/>
  <c r="EX22" i="7" a="1"/>
  <c r="R4" i="7" a="1"/>
  <c r="FA24" i="7" a="1"/>
  <c r="L39" i="7" a="1"/>
  <c r="W2" i="7" a="1"/>
  <c r="AH133" i="3" l="1"/>
  <c r="AJ133" i="3"/>
  <c r="AH132" i="3"/>
  <c r="AJ132" i="3"/>
  <c r="AD133" i="3"/>
  <c r="AF133" i="3"/>
  <c r="AD132" i="3"/>
  <c r="AF132" i="3"/>
  <c r="Z133" i="3"/>
  <c r="AB133" i="3"/>
  <c r="Z132" i="3"/>
  <c r="AB132" i="3"/>
  <c r="V133" i="3"/>
  <c r="X133" i="3"/>
  <c r="V132" i="3"/>
  <c r="X132" i="3"/>
  <c r="R132" i="3"/>
  <c r="T132" i="3"/>
  <c r="R133" i="3"/>
  <c r="T133" i="3"/>
  <c r="N133" i="3"/>
  <c r="P133" i="3"/>
  <c r="N132" i="3"/>
  <c r="P132" i="3"/>
  <c r="J133" i="3"/>
  <c r="H133" i="3"/>
  <c r="J132" i="3"/>
  <c r="H132" i="3"/>
  <c r="F133" i="3"/>
  <c r="L133" i="3"/>
  <c r="F132" i="3"/>
  <c r="L132" i="3"/>
  <c r="D133" i="3"/>
  <c r="D132" i="3"/>
  <c r="B133" i="3"/>
  <c r="B132" i="3"/>
  <c r="W2" i="7"/>
  <c r="L39" i="7"/>
  <c r="FA24" i="7"/>
  <c r="R4" i="7"/>
  <c r="EX22" i="7"/>
  <c r="V46" i="7" a="1"/>
  <c r="V46" i="7" s="1"/>
  <c r="V4" i="7" a="1"/>
  <c r="V4" i="7" s="1"/>
  <c r="I83" i="7"/>
  <c r="M83" i="7"/>
  <c r="L80" i="7"/>
  <c r="J80" i="7"/>
  <c r="K83" i="7"/>
  <c r="J78" i="7"/>
  <c r="J83" i="7"/>
  <c r="I84" i="7" s="1"/>
  <c r="Q6" i="7"/>
  <c r="R3" i="7"/>
  <c r="R6" i="7"/>
  <c r="FC25" i="7" s="1"/>
  <c r="EW25" i="7"/>
  <c r="T3" i="7"/>
  <c r="U6" i="7"/>
  <c r="R1" i="7"/>
  <c r="S6" i="7"/>
  <c r="F84" i="7"/>
  <c r="AL133" i="3"/>
  <c r="A135" i="3" a="1"/>
  <c r="A135" i="3" s="1"/>
  <c r="AL132" i="3"/>
  <c r="A134" i="3" a="1"/>
  <c r="A134" i="3" s="1"/>
  <c r="X1" i="7" a="1"/>
  <c r="EV24" i="7" a="1"/>
  <c r="FB23" i="7" a="1"/>
  <c r="FC24" i="7" a="1"/>
  <c r="U2" i="7" a="1"/>
  <c r="I79" i="7" a="1"/>
  <c r="Q43" i="7" a="1"/>
  <c r="FF22" i="7" a="1"/>
  <c r="FD24" i="7" a="1"/>
  <c r="AH134" i="3" l="1"/>
  <c r="AJ134" i="3"/>
  <c r="AH135" i="3"/>
  <c r="AJ135" i="3"/>
  <c r="AD134" i="3"/>
  <c r="AF134" i="3"/>
  <c r="AD135" i="3"/>
  <c r="AF135" i="3"/>
  <c r="Z134" i="3"/>
  <c r="AB134" i="3"/>
  <c r="Z135" i="3"/>
  <c r="AB135" i="3"/>
  <c r="V135" i="3"/>
  <c r="X135" i="3"/>
  <c r="V134" i="3"/>
  <c r="X134" i="3"/>
  <c r="R135" i="3"/>
  <c r="T135" i="3"/>
  <c r="R134" i="3"/>
  <c r="T134" i="3"/>
  <c r="N135" i="3"/>
  <c r="P135" i="3"/>
  <c r="N134" i="3"/>
  <c r="P134" i="3"/>
  <c r="J134" i="3"/>
  <c r="H134" i="3"/>
  <c r="J135" i="3"/>
  <c r="H135" i="3"/>
  <c r="F134" i="3"/>
  <c r="L134" i="3"/>
  <c r="F135" i="3"/>
  <c r="L135" i="3"/>
  <c r="D134" i="3"/>
  <c r="D135" i="3"/>
  <c r="B134" i="3"/>
  <c r="B135" i="3"/>
  <c r="FD24" i="7"/>
  <c r="FF22" i="7"/>
  <c r="FH22" i="7" s="1" a="1"/>
  <c r="FH22" i="7" s="1"/>
  <c r="FG22" i="7" s="1"/>
  <c r="Q43" i="7"/>
  <c r="I79" i="7"/>
  <c r="U2" i="7"/>
  <c r="FC24" i="7"/>
  <c r="FB23" i="7"/>
  <c r="FH23" i="7" s="1" a="1"/>
  <c r="FH23" i="7" s="1"/>
  <c r="FG23" i="7" s="1"/>
  <c r="EV24" i="7"/>
  <c r="X1" i="7"/>
  <c r="K84" i="7"/>
  <c r="EV25" i="7"/>
  <c r="FA25" i="7"/>
  <c r="Q7" i="7"/>
  <c r="FD25" i="7" s="1"/>
  <c r="S7" i="7"/>
  <c r="FE25" i="7" s="1"/>
  <c r="A137" i="3" a="1"/>
  <c r="A137" i="3" s="1"/>
  <c r="AL135" i="3"/>
  <c r="A136" i="3" a="1"/>
  <c r="A136" i="3" s="1"/>
  <c r="AL134" i="3"/>
  <c r="AC1" i="7" a="1"/>
  <c r="Q2" i="7" a="1"/>
  <c r="FE24" i="7" a="1"/>
  <c r="L81" i="7" a="1"/>
  <c r="R44" i="7" a="1"/>
  <c r="V3" i="7" a="1"/>
  <c r="I80" i="7" a="1"/>
  <c r="M79" i="7" a="1"/>
  <c r="AH136" i="3" l="1"/>
  <c r="AJ136" i="3"/>
  <c r="AH137" i="3"/>
  <c r="AJ137" i="3"/>
  <c r="AD137" i="3"/>
  <c r="AF137" i="3"/>
  <c r="AD136" i="3"/>
  <c r="AF136" i="3"/>
  <c r="Z136" i="3"/>
  <c r="AB136" i="3"/>
  <c r="Z137" i="3"/>
  <c r="AB137" i="3"/>
  <c r="V137" i="3"/>
  <c r="X137" i="3"/>
  <c r="V136" i="3"/>
  <c r="X136" i="3"/>
  <c r="R136" i="3"/>
  <c r="T136" i="3"/>
  <c r="R137" i="3"/>
  <c r="T137" i="3"/>
  <c r="N137" i="3"/>
  <c r="P137" i="3"/>
  <c r="N136" i="3"/>
  <c r="P136" i="3"/>
  <c r="J136" i="3"/>
  <c r="H136" i="3"/>
  <c r="J137" i="3"/>
  <c r="H137" i="3"/>
  <c r="F137" i="3"/>
  <c r="L137" i="3"/>
  <c r="F136" i="3"/>
  <c r="L136" i="3"/>
  <c r="D137" i="3"/>
  <c r="D136" i="3"/>
  <c r="B136" i="3"/>
  <c r="B137" i="3"/>
  <c r="M79" i="7"/>
  <c r="I80" i="7"/>
  <c r="V3" i="7"/>
  <c r="U7" i="7" s="1"/>
  <c r="FF25" i="7" s="1"/>
  <c r="R44" i="7"/>
  <c r="L81" i="7"/>
  <c r="FE24" i="7"/>
  <c r="Q2" i="7"/>
  <c r="AC1" i="7"/>
  <c r="V2" i="7"/>
  <c r="EZ25" i="7" s="1"/>
  <c r="EY25" i="7"/>
  <c r="AL137" i="3"/>
  <c r="A139" i="3" a="1"/>
  <c r="A139" i="3" s="1"/>
  <c r="A138" i="3" a="1"/>
  <c r="A138" i="3" s="1"/>
  <c r="AL136" i="3"/>
  <c r="EY24" i="7" a="1"/>
  <c r="N80" i="7" a="1"/>
  <c r="EW26" i="7" a="1"/>
  <c r="T2" i="7" a="1"/>
  <c r="FB24" i="7" a="1"/>
  <c r="Y2" i="7" a="1"/>
  <c r="X3" i="7" a="1"/>
  <c r="AH139" i="3" l="1"/>
  <c r="AJ139" i="3"/>
  <c r="AH138" i="3"/>
  <c r="AJ138" i="3"/>
  <c r="AD138" i="3"/>
  <c r="AF138" i="3"/>
  <c r="AD139" i="3"/>
  <c r="AF139" i="3"/>
  <c r="Z138" i="3"/>
  <c r="AB138" i="3"/>
  <c r="Z139" i="3"/>
  <c r="AB139" i="3"/>
  <c r="V139" i="3"/>
  <c r="X139" i="3"/>
  <c r="V138" i="3"/>
  <c r="X138" i="3"/>
  <c r="R139" i="3"/>
  <c r="T139" i="3"/>
  <c r="R138" i="3"/>
  <c r="T138" i="3"/>
  <c r="N138" i="3"/>
  <c r="P138" i="3"/>
  <c r="N139" i="3"/>
  <c r="P139" i="3"/>
  <c r="J138" i="3"/>
  <c r="H138" i="3"/>
  <c r="J139" i="3"/>
  <c r="H139" i="3"/>
  <c r="F139" i="3"/>
  <c r="L139" i="3"/>
  <c r="F138" i="3"/>
  <c r="L138" i="3"/>
  <c r="D138" i="3"/>
  <c r="D139" i="3"/>
  <c r="B139" i="3"/>
  <c r="B138" i="3"/>
  <c r="X3" i="7"/>
  <c r="Y2" i="7"/>
  <c r="FB24" i="7"/>
  <c r="T2" i="7"/>
  <c r="EX25" i="7" s="1"/>
  <c r="EW26" i="7"/>
  <c r="N80" i="7"/>
  <c r="M84" i="7" s="1"/>
  <c r="EY24" i="7"/>
  <c r="R46" i="7" a="1"/>
  <c r="R46" i="7" s="1"/>
  <c r="U44" i="7" a="1"/>
  <c r="U44" i="7" s="1"/>
  <c r="N79" i="7"/>
  <c r="A141" i="3" a="1"/>
  <c r="A141" i="3" s="1"/>
  <c r="AL139" i="3"/>
  <c r="A140" i="3" a="1"/>
  <c r="A140" i="3" s="1"/>
  <c r="AL138" i="3"/>
  <c r="EZ24" i="7" a="1"/>
  <c r="Y4" i="7" a="1"/>
  <c r="P8" i="7" a="1"/>
  <c r="T4" i="7" a="1"/>
  <c r="FF24" i="7" a="1"/>
  <c r="FA26" i="7" a="1"/>
  <c r="L79" i="7" a="1"/>
  <c r="EY26" i="7" a="1"/>
  <c r="AH141" i="3" l="1"/>
  <c r="AJ141" i="3"/>
  <c r="AH140" i="3"/>
  <c r="AJ140" i="3"/>
  <c r="AD140" i="3"/>
  <c r="AF140" i="3"/>
  <c r="AD141" i="3"/>
  <c r="AF141" i="3"/>
  <c r="Z140" i="3"/>
  <c r="AB140" i="3"/>
  <c r="Z141" i="3"/>
  <c r="AB141" i="3"/>
  <c r="V141" i="3"/>
  <c r="X141" i="3"/>
  <c r="V140" i="3"/>
  <c r="X140" i="3"/>
  <c r="R140" i="3"/>
  <c r="T140" i="3"/>
  <c r="R141" i="3"/>
  <c r="T141" i="3"/>
  <c r="N141" i="3"/>
  <c r="P141" i="3"/>
  <c r="N140" i="3"/>
  <c r="P140" i="3"/>
  <c r="J141" i="3"/>
  <c r="H141" i="3"/>
  <c r="J140" i="3"/>
  <c r="H140" i="3"/>
  <c r="F140" i="3"/>
  <c r="L140" i="3"/>
  <c r="F141" i="3"/>
  <c r="L141" i="3"/>
  <c r="D140" i="3"/>
  <c r="D141" i="3"/>
  <c r="B140" i="3"/>
  <c r="B141" i="3"/>
  <c r="EY26" i="7"/>
  <c r="L79" i="7"/>
  <c r="FA26" i="7"/>
  <c r="FF24" i="7"/>
  <c r="T4" i="7"/>
  <c r="FB25" i="7" s="1"/>
  <c r="FH25" i="7" s="1" a="1"/>
  <c r="FH25" i="7" s="1"/>
  <c r="FG25" i="7" s="1"/>
  <c r="P8" i="7"/>
  <c r="Y4" i="7"/>
  <c r="EZ24" i="7"/>
  <c r="V44" i="7"/>
  <c r="S48" i="7"/>
  <c r="Q48" i="7"/>
  <c r="U48" i="7"/>
  <c r="R48" i="7"/>
  <c r="S49" i="7" s="1"/>
  <c r="R43" i="7"/>
  <c r="T44" i="7" s="1" a="1"/>
  <c r="T44" i="7" s="1"/>
  <c r="Q49" i="7"/>
  <c r="T45" i="7"/>
  <c r="R45" i="7"/>
  <c r="Q44" i="7" a="1"/>
  <c r="Q44" i="7" s="1"/>
  <c r="AA3" i="7"/>
  <c r="Z6" i="7"/>
  <c r="Y3" i="7"/>
  <c r="Y6" i="7"/>
  <c r="FC27" i="7" s="1"/>
  <c r="X6" i="7"/>
  <c r="EW27" i="7"/>
  <c r="AB6" i="7"/>
  <c r="Y1" i="7"/>
  <c r="AC46" i="7" a="1"/>
  <c r="AC46" i="7" s="1"/>
  <c r="AC4" i="7" a="1"/>
  <c r="AC4" i="7" s="1"/>
  <c r="AL140" i="3"/>
  <c r="A142" i="3" a="1"/>
  <c r="A142" i="3" s="1"/>
  <c r="AL141" i="3"/>
  <c r="A143" i="3" a="1"/>
  <c r="A143" i="3" s="1"/>
  <c r="EZ26" i="7" a="1"/>
  <c r="FD26" i="7" a="1"/>
  <c r="EX24" i="7" a="1"/>
  <c r="EX26" i="7" a="1"/>
  <c r="T46" i="7" a="1"/>
  <c r="P9" i="7" a="1"/>
  <c r="FC26" i="7" a="1"/>
  <c r="X43" i="7" a="1"/>
  <c r="EV26" i="7" a="1"/>
  <c r="FE26" i="7" a="1"/>
  <c r="AB2" i="7" a="1"/>
  <c r="AH143" i="3" l="1"/>
  <c r="AJ143" i="3"/>
  <c r="AH142" i="3"/>
  <c r="AJ142" i="3"/>
  <c r="AD142" i="3"/>
  <c r="AF142" i="3"/>
  <c r="AD143" i="3"/>
  <c r="AF143" i="3"/>
  <c r="Z142" i="3"/>
  <c r="AB142" i="3"/>
  <c r="Z143" i="3"/>
  <c r="AB143" i="3"/>
  <c r="V142" i="3"/>
  <c r="X142" i="3"/>
  <c r="V143" i="3"/>
  <c r="X143" i="3"/>
  <c r="R142" i="3"/>
  <c r="T142" i="3"/>
  <c r="R143" i="3"/>
  <c r="T143" i="3"/>
  <c r="N143" i="3"/>
  <c r="P143" i="3"/>
  <c r="N142" i="3"/>
  <c r="P142" i="3"/>
  <c r="J143" i="3"/>
  <c r="H143" i="3"/>
  <c r="J142" i="3"/>
  <c r="H142" i="3"/>
  <c r="F143" i="3"/>
  <c r="L143" i="3"/>
  <c r="F142" i="3"/>
  <c r="L142" i="3"/>
  <c r="D143" i="3"/>
  <c r="D142" i="3"/>
  <c r="B143" i="3"/>
  <c r="B142" i="3"/>
  <c r="AB2" i="7"/>
  <c r="FE26" i="7"/>
  <c r="EV26" i="7"/>
  <c r="X43" i="7"/>
  <c r="FC26" i="7"/>
  <c r="P9" i="7"/>
  <c r="T46" i="7"/>
  <c r="EX26" i="7"/>
  <c r="EX24" i="7"/>
  <c r="FH24" i="7" s="1" a="1"/>
  <c r="FH24" i="7" s="1"/>
  <c r="FG24" i="7" s="1"/>
  <c r="FD26" i="7"/>
  <c r="EZ26" i="7"/>
  <c r="U49" i="7"/>
  <c r="V45" i="7" a="1"/>
  <c r="V45" i="7" s="1"/>
  <c r="Q45" i="7" a="1"/>
  <c r="Q45" i="7" s="1"/>
  <c r="FA27" i="7"/>
  <c r="X7" i="7"/>
  <c r="FD27" i="7" s="1"/>
  <c r="Z7" i="7"/>
  <c r="FE27" i="7" s="1"/>
  <c r="EV27" i="7"/>
  <c r="A145" i="3" a="1"/>
  <c r="A145" i="3" s="1"/>
  <c r="AL143" i="3"/>
  <c r="A144" i="3" a="1"/>
  <c r="A144" i="3" s="1"/>
  <c r="AL142" i="3"/>
  <c r="AC3" i="7" a="1"/>
  <c r="FF26" i="7" a="1"/>
  <c r="Y44" i="7" a="1"/>
  <c r="Q8" i="7" a="1"/>
  <c r="FB26" i="7" a="1"/>
  <c r="X2" i="7" a="1"/>
  <c r="AH145" i="3" l="1"/>
  <c r="AJ145" i="3"/>
  <c r="AH144" i="3"/>
  <c r="AJ144" i="3"/>
  <c r="AD145" i="3"/>
  <c r="AF145" i="3"/>
  <c r="AD144" i="3"/>
  <c r="AF144" i="3"/>
  <c r="Z145" i="3"/>
  <c r="AB145" i="3"/>
  <c r="Z144" i="3"/>
  <c r="AB144" i="3"/>
  <c r="V144" i="3"/>
  <c r="X144" i="3"/>
  <c r="V145" i="3"/>
  <c r="X145" i="3"/>
  <c r="R145" i="3"/>
  <c r="T145" i="3"/>
  <c r="R144" i="3"/>
  <c r="T144" i="3"/>
  <c r="N144" i="3"/>
  <c r="P144" i="3"/>
  <c r="N145" i="3"/>
  <c r="P145" i="3"/>
  <c r="J145" i="3"/>
  <c r="H145" i="3"/>
  <c r="J144" i="3"/>
  <c r="H144" i="3"/>
  <c r="F144" i="3"/>
  <c r="L144" i="3"/>
  <c r="F145" i="3"/>
  <c r="L145" i="3"/>
  <c r="D144" i="3"/>
  <c r="D145" i="3"/>
  <c r="B145" i="3"/>
  <c r="B144" i="3"/>
  <c r="X2" i="7"/>
  <c r="FB26" i="7"/>
  <c r="Q8" i="7"/>
  <c r="Y44" i="7"/>
  <c r="FF26" i="7"/>
  <c r="AC3" i="7"/>
  <c r="AB7" i="7" s="1"/>
  <c r="FF27" i="7" s="1"/>
  <c r="EY27" i="7"/>
  <c r="AC2" i="7"/>
  <c r="EZ27" i="7" s="1"/>
  <c r="AL145" i="3"/>
  <c r="AL144" i="3"/>
  <c r="O7" i="5" a="1"/>
  <c r="O3" i="5" a="1"/>
  <c r="O8" i="5" a="1"/>
  <c r="O4" i="5" a="1"/>
  <c r="O2" i="5" a="1"/>
  <c r="O5" i="5" a="1"/>
  <c r="O6" i="5" a="1"/>
  <c r="O1" i="5" a="1"/>
  <c r="AA2" i="7" a="1"/>
  <c r="V8" i="7" a="1"/>
  <c r="EW28" i="7" a="1"/>
  <c r="I1" i="6"/>
  <c r="I2" i="6"/>
  <c r="L146" i="3" l="1" a="1"/>
  <c r="L146" i="3" s="1"/>
  <c r="O6" i="5"/>
  <c r="O5" i="5"/>
  <c r="O2" i="5"/>
  <c r="O4" i="5"/>
  <c r="O8" i="5"/>
  <c r="O3" i="5"/>
  <c r="O7" i="5"/>
  <c r="O1" i="5"/>
  <c r="AD146" i="3" a="1"/>
  <c r="AD146" i="3" s="1"/>
  <c r="R147" i="3" a="1"/>
  <c r="R147" i="3" s="1"/>
  <c r="AH147" i="3" a="1"/>
  <c r="AH147" i="3" s="1"/>
  <c r="AH146" i="3" a="1"/>
  <c r="AH146" i="3" s="1"/>
  <c r="AJ147" i="3" a="1"/>
  <c r="AJ147" i="3" s="1"/>
  <c r="AJ146" i="3" a="1"/>
  <c r="AJ146" i="3" s="1"/>
  <c r="AD147" i="3" a="1"/>
  <c r="AD147" i="3" s="1"/>
  <c r="Z147" i="3" a="1"/>
  <c r="Z147" i="3" s="1"/>
  <c r="AF147" i="3" a="1"/>
  <c r="AF147" i="3" s="1"/>
  <c r="AF146" i="3" a="1"/>
  <c r="AF146" i="3" s="1"/>
  <c r="Z146" i="3" a="1"/>
  <c r="Z146" i="3" s="1"/>
  <c r="AB147" i="3" a="1"/>
  <c r="AB147" i="3" s="1"/>
  <c r="AB146" i="3" a="1"/>
  <c r="AB146" i="3" s="1"/>
  <c r="V147" i="3" a="1"/>
  <c r="V147" i="3" s="1"/>
  <c r="V146" i="3" a="1"/>
  <c r="V146" i="3" s="1"/>
  <c r="X147" i="3" a="1"/>
  <c r="X147" i="3" s="1"/>
  <c r="X146" i="3" a="1"/>
  <c r="X146" i="3" s="1"/>
  <c r="N146" i="3" a="1"/>
  <c r="N146" i="3" s="1"/>
  <c r="R146" i="3" a="1"/>
  <c r="R146" i="3" s="1"/>
  <c r="C7" i="4" s="1"/>
  <c r="K7" i="4" s="1"/>
  <c r="F7" i="4" s="1"/>
  <c r="T147" i="3" a="1"/>
  <c r="T147" i="3" s="1"/>
  <c r="T146" i="3" a="1"/>
  <c r="T146" i="3" s="1"/>
  <c r="F146" i="3" a="1"/>
  <c r="F146" i="3" s="1"/>
  <c r="C2" i="4" s="1"/>
  <c r="L2" i="4" s="1"/>
  <c r="N147" i="3" a="1"/>
  <c r="N147" i="3" s="1"/>
  <c r="P147" i="3" a="1"/>
  <c r="P147" i="3" s="1"/>
  <c r="P146" i="3" a="1"/>
  <c r="P146" i="3" s="1"/>
  <c r="C6" i="4" s="1"/>
  <c r="K6" i="4" s="1"/>
  <c r="F6" i="4" s="1"/>
  <c r="J147" i="3" a="1"/>
  <c r="J147" i="3" s="1"/>
  <c r="F147" i="3" a="1"/>
  <c r="F147" i="3" s="1"/>
  <c r="J146" i="3" a="1"/>
  <c r="J146" i="3" s="1"/>
  <c r="C4" i="4" s="1"/>
  <c r="K4" i="4" s="1"/>
  <c r="F4" i="4" s="1"/>
  <c r="H147" i="3" a="1"/>
  <c r="H147" i="3" s="1"/>
  <c r="H146" i="3" a="1"/>
  <c r="H146" i="3" s="1"/>
  <c r="C3" i="4" s="1"/>
  <c r="K3" i="4" s="1"/>
  <c r="F3" i="4" s="1"/>
  <c r="L147" i="3" a="1"/>
  <c r="L147" i="3" s="1"/>
  <c r="D147" i="3" a="1"/>
  <c r="D147" i="3" s="1"/>
  <c r="D146" i="3" a="1"/>
  <c r="D146" i="3" s="1"/>
  <c r="B147" i="3" a="1"/>
  <c r="B147" i="3" s="1"/>
  <c r="B146" i="3" a="1"/>
  <c r="B146" i="3" s="1"/>
  <c r="FH26" i="7" a="1"/>
  <c r="FH26" i="7" s="1"/>
  <c r="FG26" i="7" s="1"/>
  <c r="EW28" i="7"/>
  <c r="V8" i="7"/>
  <c r="AA2" i="7"/>
  <c r="EX27" i="7" s="1"/>
  <c r="AB44" i="7" a="1"/>
  <c r="AB44" i="7" s="1"/>
  <c r="Y46" i="7" a="1"/>
  <c r="Y46" i="7" s="1"/>
  <c r="EX166" i="7"/>
  <c r="EX165" i="7"/>
  <c r="A9" i="4"/>
  <c r="F2" i="5" a="1"/>
  <c r="F4" i="5" a="1"/>
  <c r="O10" i="5" a="1"/>
  <c r="O12" i="5" a="1"/>
  <c r="O11" i="5" a="1"/>
  <c r="O9" i="5" a="1"/>
  <c r="F3" i="5" a="1"/>
  <c r="F1" i="5" a="1"/>
  <c r="FA145" i="7" a="1"/>
  <c r="FA141" i="7" a="1"/>
  <c r="FA133" i="7" a="1"/>
  <c r="FA129" i="7" a="1"/>
  <c r="EY28" i="7" a="1"/>
  <c r="Q10" i="7" a="1"/>
  <c r="R9" i="7" a="1"/>
  <c r="FA28" i="7" a="1"/>
  <c r="EV153" i="7" a="1"/>
  <c r="F4" i="5" l="1"/>
  <c r="A4" i="5" s="1" a="1"/>
  <c r="A4" i="5" s="1"/>
  <c r="F2" i="5"/>
  <c r="A2" i="5" s="1" a="1"/>
  <c r="A2" i="5" s="1"/>
  <c r="O15" i="5" a="1"/>
  <c r="O15" i="5" s="1"/>
  <c r="O16" i="5" a="1"/>
  <c r="O16" i="5" s="1"/>
  <c r="O13" i="5" a="1"/>
  <c r="O13" i="5" s="1"/>
  <c r="B13" i="5" s="1" a="1"/>
  <c r="B13" i="5" s="1"/>
  <c r="O14" i="5" a="1"/>
  <c r="O14" i="5" s="1"/>
  <c r="O23" i="5" a="1"/>
  <c r="O23" i="5" s="1"/>
  <c r="B15" i="5" a="1"/>
  <c r="B15" i="5" s="1"/>
  <c r="O24" i="5" a="1"/>
  <c r="O24" i="5" s="1"/>
  <c r="B16" i="5" a="1"/>
  <c r="B16" i="5" s="1"/>
  <c r="O21" i="5" a="1"/>
  <c r="O21" i="5" s="1"/>
  <c r="O22" i="5" a="1"/>
  <c r="O22" i="5" s="1"/>
  <c r="B14" i="5" a="1"/>
  <c r="B14" i="5" s="1"/>
  <c r="O11" i="5"/>
  <c r="O12" i="5"/>
  <c r="B12" i="5" s="1" a="1"/>
  <c r="B12" i="5" s="1"/>
  <c r="O10" i="5"/>
  <c r="B10" i="5" s="1" a="1"/>
  <c r="B10" i="5" s="1"/>
  <c r="O9" i="5"/>
  <c r="F3" i="5"/>
  <c r="F1" i="5"/>
  <c r="F149" i="3"/>
  <c r="FA145" i="7"/>
  <c r="FH145" i="7" s="1"/>
  <c r="FG145" i="7" s="1"/>
  <c r="C8" i="4"/>
  <c r="K8" i="4" s="1"/>
  <c r="F8" i="4" s="1"/>
  <c r="T149" i="3"/>
  <c r="FA141" i="7"/>
  <c r="FA129" i="7"/>
  <c r="FA133" i="7"/>
  <c r="FD133" i="7" s="1"/>
  <c r="FE133" i="7" s="1"/>
  <c r="L149" i="3"/>
  <c r="C5" i="4"/>
  <c r="G2" i="4"/>
  <c r="F2" i="4"/>
  <c r="E6" i="6"/>
  <c r="C6" i="6" s="1"/>
  <c r="EY124" i="7" s="1"/>
  <c r="FA28" i="7"/>
  <c r="R9" i="7"/>
  <c r="Q10" i="7"/>
  <c r="EY28" i="7"/>
  <c r="AA45" i="7"/>
  <c r="Y45" i="7"/>
  <c r="Z48" i="7"/>
  <c r="AB48" i="7"/>
  <c r="X49" i="7"/>
  <c r="Y48" i="7"/>
  <c r="X48" i="7"/>
  <c r="Y43" i="7"/>
  <c r="AA44" i="7" s="1" a="1"/>
  <c r="AA44" i="7" s="1"/>
  <c r="X44" i="7" a="1"/>
  <c r="X44" i="7" s="1"/>
  <c r="AC44" i="7"/>
  <c r="EV153" i="7"/>
  <c r="F6" i="5" a="1"/>
  <c r="F7" i="5" a="1"/>
  <c r="F8" i="5" a="1"/>
  <c r="F5" i="5" a="1"/>
  <c r="B9" i="5" a="1"/>
  <c r="O18" i="5" a="1"/>
  <c r="O17" i="5" a="1"/>
  <c r="O20" i="5" a="1"/>
  <c r="A3" i="5" a="1"/>
  <c r="A1" i="5" a="1"/>
  <c r="FA149" i="7" a="1"/>
  <c r="FA125" i="7" a="1"/>
  <c r="FA126" i="7" a="1"/>
  <c r="EV126" i="7" a="1"/>
  <c r="W8" i="7" a="1"/>
  <c r="EV28" i="7" a="1"/>
  <c r="EW29" i="7" a="1"/>
  <c r="R11" i="7" a="1"/>
  <c r="FD28" i="7" a="1"/>
  <c r="AA4" i="7" a="1"/>
  <c r="FC28" i="7" a="1"/>
  <c r="EZ28" i="7" a="1"/>
  <c r="AA46" i="7" a="1"/>
  <c r="EX28" i="7" a="1"/>
  <c r="F5" i="5" l="1"/>
  <c r="A5" i="5" s="1" a="1"/>
  <c r="A5" i="5" s="1"/>
  <c r="F8" i="5"/>
  <c r="A8" i="5" s="1" a="1"/>
  <c r="A8" i="5" s="1"/>
  <c r="F7" i="5"/>
  <c r="A7" i="5" s="1" a="1"/>
  <c r="A7" i="5" s="1"/>
  <c r="F6" i="5"/>
  <c r="A6" i="5" s="1" a="1"/>
  <c r="A6" i="5" s="1"/>
  <c r="M5" i="4"/>
  <c r="K5" i="4"/>
  <c r="F5" i="4" s="1"/>
  <c r="B22" i="5" a="1"/>
  <c r="B22" i="5" s="1"/>
  <c r="F22" i="5" s="1" a="1"/>
  <c r="F22" i="5" s="1"/>
  <c r="A22" i="5" s="1" a="1"/>
  <c r="A22" i="5" s="1"/>
  <c r="F14" i="5" a="1"/>
  <c r="F14" i="5" s="1"/>
  <c r="A14" i="5" s="1" a="1"/>
  <c r="A14" i="5" s="1"/>
  <c r="B21" i="5" a="1"/>
  <c r="B21" i="5" s="1"/>
  <c r="F21" i="5" s="1" a="1"/>
  <c r="F21" i="5" s="1"/>
  <c r="A21" i="5" s="1" a="1"/>
  <c r="A21" i="5" s="1"/>
  <c r="F13" i="5" a="1"/>
  <c r="F13" i="5" s="1"/>
  <c r="A13" i="5" s="1" a="1"/>
  <c r="A13" i="5" s="1"/>
  <c r="B24" i="5" a="1"/>
  <c r="B24" i="5" s="1"/>
  <c r="F16" i="5" a="1"/>
  <c r="F16" i="5" s="1"/>
  <c r="A16" i="5" s="1" a="1"/>
  <c r="A16" i="5" s="1"/>
  <c r="F10" i="5" a="1"/>
  <c r="F10" i="5" s="1"/>
  <c r="A10" i="5" s="1" a="1"/>
  <c r="A10" i="5" s="1"/>
  <c r="F12" i="5" a="1"/>
  <c r="F12" i="5" s="1"/>
  <c r="A12" i="5" s="1" a="1"/>
  <c r="A12" i="5" s="1"/>
  <c r="B23" i="5" a="1"/>
  <c r="B23" i="5" s="1"/>
  <c r="F23" i="5" s="1" a="1"/>
  <c r="F23" i="5" s="1"/>
  <c r="A23" i="5" s="1" a="1"/>
  <c r="A23" i="5" s="1"/>
  <c r="F15" i="5" a="1"/>
  <c r="F15" i="5" s="1"/>
  <c r="A15" i="5" s="1" a="1"/>
  <c r="A15" i="5" s="1"/>
  <c r="O19" i="5" a="1"/>
  <c r="O19" i="5" s="1"/>
  <c r="B11" i="5" a="1"/>
  <c r="B11" i="5" s="1"/>
  <c r="B9" i="5"/>
  <c r="O20" i="5"/>
  <c r="B20" i="5" s="1" a="1"/>
  <c r="B20" i="5" s="1"/>
  <c r="F20" i="5" s="1" a="1"/>
  <c r="F20" i="5" s="1"/>
  <c r="A20" i="5" s="1" a="1"/>
  <c r="A20" i="5" s="1"/>
  <c r="O17" i="5"/>
  <c r="O18" i="5"/>
  <c r="B18" i="5" s="1" a="1"/>
  <c r="B18" i="5" s="1"/>
  <c r="F18" i="5" s="1" a="1"/>
  <c r="F18" i="5" s="1"/>
  <c r="A18" i="5" s="1" a="1"/>
  <c r="A18" i="5" s="1"/>
  <c r="A3" i="5"/>
  <c r="A1" i="5"/>
  <c r="EY133" i="7"/>
  <c r="EZ133" i="7" s="1"/>
  <c r="EY145" i="7"/>
  <c r="EZ145" i="7" s="1"/>
  <c r="FA149" i="7"/>
  <c r="FD145" i="7"/>
  <c r="FE145" i="7" s="1"/>
  <c r="FH133" i="7"/>
  <c r="FG133" i="7" s="1"/>
  <c r="EY141" i="7"/>
  <c r="EZ141" i="7" s="1"/>
  <c r="FH141" i="7"/>
  <c r="FG141" i="7" s="1"/>
  <c r="FD141" i="7"/>
  <c r="FE141" i="7" s="1"/>
  <c r="EY129" i="7"/>
  <c r="EZ129" i="7" s="1"/>
  <c r="FH129" i="7"/>
  <c r="FG129" i="7" s="1"/>
  <c r="FD129" i="7"/>
  <c r="FE129" i="7" s="1"/>
  <c r="N5" i="4"/>
  <c r="H5" i="4" s="1"/>
  <c r="G5" i="4"/>
  <c r="EV126" i="7"/>
  <c r="FA126" i="7"/>
  <c r="FH126" i="7" s="1"/>
  <c r="FG126" i="7" s="1"/>
  <c r="FA125" i="7"/>
  <c r="FA124" i="7"/>
  <c r="D6" i="6"/>
  <c r="EZ124" i="7" s="1"/>
  <c r="EX28" i="7"/>
  <c r="AA46" i="7"/>
  <c r="EZ28" i="7"/>
  <c r="FC28" i="7"/>
  <c r="AA4" i="7"/>
  <c r="FB27" i="7" s="1"/>
  <c r="FH27" i="7" s="1" a="1"/>
  <c r="FH27" i="7" s="1"/>
  <c r="FG27" i="7" s="1"/>
  <c r="FD28" i="7"/>
  <c r="R11" i="7"/>
  <c r="EW29" i="7"/>
  <c r="EV28" i="7"/>
  <c r="W8" i="7"/>
  <c r="V53" i="7" a="1"/>
  <c r="V53" i="7" s="1"/>
  <c r="V11" i="7" a="1"/>
  <c r="V11" i="7" s="1"/>
  <c r="Z49" i="7"/>
  <c r="U13" i="7"/>
  <c r="S13" i="7"/>
  <c r="T10" i="7"/>
  <c r="Q13" i="7"/>
  <c r="R8" i="7"/>
  <c r="R10" i="7"/>
  <c r="R13" i="7"/>
  <c r="X45" i="7" a="1"/>
  <c r="X45" i="7" s="1"/>
  <c r="AC45" i="7" a="1"/>
  <c r="AC45" i="7" s="1"/>
  <c r="AB49" i="7"/>
  <c r="EY153" i="7"/>
  <c r="EZ153" i="7" s="1"/>
  <c r="FC153" i="7"/>
  <c r="FA137" i="7" a="1"/>
  <c r="F9" i="5" a="1"/>
  <c r="EV139" i="7" a="1"/>
  <c r="FA139" i="7" a="1"/>
  <c r="EV138" i="7" a="1"/>
  <c r="FA138" i="7" a="1"/>
  <c r="U9" i="7" a="1"/>
  <c r="FB28" i="7" a="1"/>
  <c r="W9" i="7" a="1"/>
  <c r="FF28" i="7" a="1"/>
  <c r="Q50" i="7" a="1"/>
  <c r="EV29" i="7" a="1"/>
  <c r="FE28" i="7" a="1"/>
  <c r="FC29" i="7" a="1"/>
  <c r="FA29" i="7" a="1"/>
  <c r="FA137" i="7" l="1"/>
  <c r="B17" i="5" a="1"/>
  <c r="B17" i="5" s="1"/>
  <c r="B19" i="5" a="1"/>
  <c r="B19" i="5" s="1"/>
  <c r="F24" i="5" a="1"/>
  <c r="F24" i="5" s="1"/>
  <c r="A24" i="5" s="1" a="1"/>
  <c r="A24" i="5" s="1"/>
  <c r="F9" i="5"/>
  <c r="F11" i="5" a="1"/>
  <c r="F11" i="5" s="1"/>
  <c r="A11" i="5" s="1" a="1"/>
  <c r="A11" i="5" s="1"/>
  <c r="EY149" i="7"/>
  <c r="EZ149" i="7" s="1"/>
  <c r="FH149" i="7"/>
  <c r="FG149" i="7" s="1"/>
  <c r="FD149" i="7"/>
  <c r="FE149" i="7" s="1"/>
  <c r="FA138" i="7"/>
  <c r="FH138" i="7" s="1"/>
  <c r="FG138" i="7" s="1"/>
  <c r="EV138" i="7"/>
  <c r="FA139" i="7"/>
  <c r="FH139" i="7" s="1"/>
  <c r="FG139" i="7" s="1"/>
  <c r="EV139" i="7"/>
  <c r="I5" i="4"/>
  <c r="EY125" i="7"/>
  <c r="EZ125" i="7" s="1"/>
  <c r="FD125" i="7"/>
  <c r="FE125" i="7" s="1"/>
  <c r="FH125" i="7"/>
  <c r="FG125" i="7" s="1"/>
  <c r="FC126" i="7"/>
  <c r="FD126" i="7" s="1"/>
  <c r="FE126" i="7" s="1"/>
  <c r="EY126" i="7"/>
  <c r="EZ126" i="7" s="1"/>
  <c r="FA29" i="7"/>
  <c r="FC29" i="7"/>
  <c r="FE28" i="7"/>
  <c r="EV29" i="7"/>
  <c r="Q50" i="7"/>
  <c r="FF28" i="7"/>
  <c r="W9" i="7"/>
  <c r="FB28" i="7"/>
  <c r="U9" i="7"/>
  <c r="Q14" i="7"/>
  <c r="S14" i="7"/>
  <c r="A9" i="5" a="1"/>
  <c r="EV140" i="7" a="1"/>
  <c r="FA140" i="7" a="1"/>
  <c r="EY29" i="7" a="1"/>
  <c r="FD29" i="7" a="1"/>
  <c r="Q9" i="7" a="1"/>
  <c r="FE29" i="7" a="1"/>
  <c r="V10" i="7" a="1"/>
  <c r="X8" i="7" a="1"/>
  <c r="R51" i="7" a="1"/>
  <c r="EY137" i="7" l="1"/>
  <c r="EZ137" i="7" s="1"/>
  <c r="FD137" i="7"/>
  <c r="FE137" i="7" s="1"/>
  <c r="FH137" i="7"/>
  <c r="FG137" i="7" s="1"/>
  <c r="FB164" i="7" a="1"/>
  <c r="FB164" i="7" s="1"/>
  <c r="FB163" i="7" a="1"/>
  <c r="FB163" i="7" s="1"/>
  <c r="FB162" i="7" a="1"/>
  <c r="FB162" i="7" s="1"/>
  <c r="FB159" i="7" a="1"/>
  <c r="FB159" i="7" s="1"/>
  <c r="FB160" i="7" a="1"/>
  <c r="FB160" i="7" s="1"/>
  <c r="FB161" i="7" a="1"/>
  <c r="FB161" i="7" s="1"/>
  <c r="FB158" i="7" a="1"/>
  <c r="FB158" i="7" s="1"/>
  <c r="EW157" i="7" a="1"/>
  <c r="EW157" i="7" s="1"/>
  <c r="FB157" i="7" a="1"/>
  <c r="FB157" i="7" s="1"/>
  <c r="EV161" i="7" a="1"/>
  <c r="EV161" i="7" s="1"/>
  <c r="EV157" i="7" a="1"/>
  <c r="EV157" i="7" s="1"/>
  <c r="EW163" i="7" a="1"/>
  <c r="EW163" i="7" s="1"/>
  <c r="EW161" i="7" a="1"/>
  <c r="EW161" i="7" s="1"/>
  <c r="EW159" i="7" a="1"/>
  <c r="EW159" i="7" s="1"/>
  <c r="EW160" i="7" a="1"/>
  <c r="EW160" i="7" s="1"/>
  <c r="EW164" i="7" a="1"/>
  <c r="EW164" i="7" s="1"/>
  <c r="EW162" i="7" a="1"/>
  <c r="EW162" i="7" s="1"/>
  <c r="EW158" i="7" a="1"/>
  <c r="EW158" i="7" s="1"/>
  <c r="EV160" i="7" a="1"/>
  <c r="EV160" i="7" s="1"/>
  <c r="EV158" i="7" a="1"/>
  <c r="EV158" i="7" s="1"/>
  <c r="EV164" i="7" a="1"/>
  <c r="EV164" i="7" s="1"/>
  <c r="EV163" i="7" a="1"/>
  <c r="EV163" i="7" s="1"/>
  <c r="EV162" i="7" a="1"/>
  <c r="EV162" i="7" s="1"/>
  <c r="R7" i="5" a="1"/>
  <c r="R7" i="5" s="1"/>
  <c r="R8" i="5" a="1"/>
  <c r="R8" i="5" s="1"/>
  <c r="R5" i="5" a="1"/>
  <c r="R5" i="5" s="1"/>
  <c r="R9" i="5" a="1"/>
  <c r="R9" i="5" s="1"/>
  <c r="R6" i="5" a="1"/>
  <c r="R6" i="5" s="1"/>
  <c r="F19" i="5" a="1"/>
  <c r="F19" i="5" s="1"/>
  <c r="A9" i="5"/>
  <c r="FA140" i="7"/>
  <c r="EV140" i="7"/>
  <c r="EY138" i="7"/>
  <c r="EZ138" i="7" s="1"/>
  <c r="FC138" i="7"/>
  <c r="FD138" i="7" s="1"/>
  <c r="FE138" i="7" s="1"/>
  <c r="FC139" i="7"/>
  <c r="FD139" i="7" s="1"/>
  <c r="FE139" i="7" s="1"/>
  <c r="EY139" i="7"/>
  <c r="EZ139" i="7" s="1"/>
  <c r="FH28" i="7" a="1"/>
  <c r="FH28" i="7" s="1"/>
  <c r="FG28" i="7" s="1"/>
  <c r="R51" i="7"/>
  <c r="X8" i="7"/>
  <c r="V10" i="7"/>
  <c r="U14" i="7" s="1"/>
  <c r="FE29" i="7"/>
  <c r="Q9" i="7"/>
  <c r="FD29" i="7"/>
  <c r="EY29" i="7"/>
  <c r="V9" i="7"/>
  <c r="F17" i="5" a="1"/>
  <c r="EW30" i="7" a="1"/>
  <c r="T9" i="7" a="1"/>
  <c r="AC8" i="7" a="1"/>
  <c r="EZ29" i="7" a="1"/>
  <c r="FF29" i="7" a="1"/>
  <c r="A19" i="5" l="1" a="1"/>
  <c r="A19" i="5" s="1"/>
  <c r="EV159" i="7" s="1" a="1"/>
  <c r="EV159" i="7" s="1"/>
  <c r="F17" i="5"/>
  <c r="A17" i="5" s="1" a="1"/>
  <c r="A17" i="5" s="1"/>
  <c r="FC140" i="7"/>
  <c r="EY140" i="7"/>
  <c r="EZ140" i="7" s="1"/>
  <c r="FD140" i="7"/>
  <c r="FE140" i="7" s="1"/>
  <c r="FH140" i="7"/>
  <c r="FG140" i="7" s="1"/>
  <c r="FF29" i="7"/>
  <c r="EZ29" i="7"/>
  <c r="AC8" i="7"/>
  <c r="T9" i="7"/>
  <c r="EW30" i="7"/>
  <c r="R53" i="7" a="1"/>
  <c r="R53" i="7" s="1"/>
  <c r="U51" i="7" a="1"/>
  <c r="U51" i="7" s="1"/>
  <c r="X10" i="7" a="1"/>
  <c r="Y9" i="7" a="1"/>
  <c r="EX29" i="7" a="1"/>
  <c r="FA30" i="7" a="1"/>
  <c r="EY30" i="7" a="1"/>
  <c r="EY30" i="7" l="1"/>
  <c r="FA30" i="7"/>
  <c r="EX29" i="7"/>
  <c r="Y9" i="7"/>
  <c r="X10" i="7"/>
  <c r="V51" i="7"/>
  <c r="R50" i="7"/>
  <c r="T51" i="7" s="1" a="1"/>
  <c r="T51" i="7" s="1"/>
  <c r="Q55" i="7"/>
  <c r="U55" i="7"/>
  <c r="Q56" i="7"/>
  <c r="T52" i="7"/>
  <c r="S55" i="7"/>
  <c r="R52" i="7"/>
  <c r="R55" i="7"/>
  <c r="S56" i="7" s="1"/>
  <c r="Q51" i="7" a="1"/>
  <c r="Q51" i="7" s="1"/>
  <c r="T53" i="7" a="1"/>
  <c r="P15" i="7" a="1"/>
  <c r="T11" i="7" a="1"/>
  <c r="FD30" i="7" a="1"/>
  <c r="EZ30" i="7" a="1"/>
  <c r="FC30" i="7" a="1"/>
  <c r="EW31" i="7" a="1"/>
  <c r="Y11" i="7" a="1"/>
  <c r="EX30" i="7" a="1"/>
  <c r="EV30" i="7" a="1"/>
  <c r="FE30" i="7" a="1"/>
  <c r="FE30" i="7" l="1"/>
  <c r="EV30" i="7"/>
  <c r="EX30" i="7"/>
  <c r="Y11" i="7"/>
  <c r="EW31" i="7"/>
  <c r="FC30" i="7"/>
  <c r="EZ30" i="7"/>
  <c r="FD30" i="7"/>
  <c r="T11" i="7"/>
  <c r="P15" i="7"/>
  <c r="T53" i="7"/>
  <c r="U56" i="7"/>
  <c r="Q52" i="7" a="1"/>
  <c r="Q52" i="7" s="1"/>
  <c r="V52" i="7" a="1"/>
  <c r="V52" i="7" s="1"/>
  <c r="AC11" i="7" a="1"/>
  <c r="AC11" i="7" s="1"/>
  <c r="AC53" i="7" a="1"/>
  <c r="AC53" i="7" s="1"/>
  <c r="Y8" i="7"/>
  <c r="AA10" i="7"/>
  <c r="Y10" i="7"/>
  <c r="AB13" i="7"/>
  <c r="X13" i="7"/>
  <c r="Z13" i="7"/>
  <c r="Y13" i="7"/>
  <c r="FB29" i="7" a="1"/>
  <c r="FC31" i="7" a="1"/>
  <c r="P16" i="7" a="1"/>
  <c r="FB30" i="7" a="1"/>
  <c r="FA31" i="7" a="1"/>
  <c r="FF30" i="7" a="1"/>
  <c r="X50" i="7" a="1"/>
  <c r="EV31" i="7" a="1"/>
  <c r="EV31" i="7" l="1"/>
  <c r="X50" i="7"/>
  <c r="FF30" i="7"/>
  <c r="FA31" i="7"/>
  <c r="FB30" i="7"/>
  <c r="P16" i="7"/>
  <c r="FC31" i="7"/>
  <c r="FB29" i="7"/>
  <c r="FH29" i="7" s="1" a="1"/>
  <c r="FH29" i="7" s="1"/>
  <c r="FG29" i="7" s="1"/>
  <c r="X14" i="7"/>
  <c r="Z14" i="7"/>
  <c r="X9" i="7" a="1"/>
  <c r="AC10" i="7" a="1"/>
  <c r="Y51" i="7" a="1"/>
  <c r="FD31" i="7" a="1"/>
  <c r="FE31" i="7" a="1"/>
  <c r="Q15" i="7" a="1"/>
  <c r="AB9" i="7" a="1"/>
  <c r="FH30" i="7" l="1" a="1"/>
  <c r="FH30" i="7" s="1"/>
  <c r="FG30" i="7" s="1"/>
  <c r="AB9" i="7"/>
  <c r="Q15" i="7"/>
  <c r="FE31" i="7"/>
  <c r="FD31" i="7"/>
  <c r="Y51" i="7"/>
  <c r="AC10" i="7"/>
  <c r="AB14" i="7" s="1"/>
  <c r="X9" i="7"/>
  <c r="EY31" i="7" a="1"/>
  <c r="V15" i="7" a="1"/>
  <c r="EW32" i="7" a="1"/>
  <c r="FF31" i="7" a="1"/>
  <c r="FF31" i="7" l="1"/>
  <c r="EW32" i="7"/>
  <c r="V15" i="7"/>
  <c r="EY31" i="7"/>
  <c r="Y53" i="7" a="1"/>
  <c r="Y53" i="7" s="1"/>
  <c r="AB51" i="7" a="1"/>
  <c r="AB51" i="7" s="1"/>
  <c r="AC9" i="7"/>
  <c r="FA32" i="7" a="1"/>
  <c r="R16" i="7" a="1"/>
  <c r="Q17" i="7" a="1"/>
  <c r="EY32" i="7" a="1"/>
  <c r="EZ31" i="7" a="1"/>
  <c r="AA9" i="7" a="1"/>
  <c r="AA9" i="7" l="1"/>
  <c r="EZ31" i="7"/>
  <c r="EY32" i="7"/>
  <c r="Q17" i="7"/>
  <c r="R16" i="7"/>
  <c r="FA32" i="7"/>
  <c r="AC51" i="7"/>
  <c r="Y55" i="7"/>
  <c r="Z56" i="7" s="1"/>
  <c r="X55" i="7"/>
  <c r="Y50" i="7"/>
  <c r="AA51" i="7" s="1" a="1"/>
  <c r="AA51" i="7" s="1"/>
  <c r="AB55" i="7"/>
  <c r="Z55" i="7"/>
  <c r="AA52" i="7"/>
  <c r="Y52" i="7"/>
  <c r="X56" i="7"/>
  <c r="X51" i="7" a="1"/>
  <c r="X51" i="7" s="1"/>
  <c r="EX31" i="7" a="1"/>
  <c r="EV32" i="7" a="1"/>
  <c r="AA53" i="7" a="1"/>
  <c r="FD32" i="7" a="1"/>
  <c r="AA11" i="7" a="1"/>
  <c r="EW33" i="7" a="1"/>
  <c r="R18" i="7" a="1"/>
  <c r="W15" i="7" a="1"/>
  <c r="EZ32" i="7" a="1"/>
  <c r="FC32" i="7" a="1"/>
  <c r="FE32" i="7" a="1"/>
  <c r="EX32" i="7" a="1"/>
  <c r="EX32" i="7" l="1"/>
  <c r="FE32" i="7"/>
  <c r="FC32" i="7"/>
  <c r="EZ32" i="7"/>
  <c r="W15" i="7"/>
  <c r="R18" i="7"/>
  <c r="EW33" i="7"/>
  <c r="AA11" i="7"/>
  <c r="FD32" i="7"/>
  <c r="AA53" i="7"/>
  <c r="EV32" i="7"/>
  <c r="EX31" i="7"/>
  <c r="U20" i="7"/>
  <c r="T17" i="7"/>
  <c r="Q20" i="7"/>
  <c r="R20" i="7"/>
  <c r="S20" i="7"/>
  <c r="R15" i="7"/>
  <c r="R17" i="7"/>
  <c r="V18" i="7" a="1"/>
  <c r="V18" i="7" s="1"/>
  <c r="V60" i="7" a="1"/>
  <c r="V60" i="7" s="1"/>
  <c r="AC52" i="7" a="1"/>
  <c r="AC52" i="7" s="1"/>
  <c r="X52" i="7" a="1"/>
  <c r="X52" i="7" s="1"/>
  <c r="AB56" i="7"/>
  <c r="FC33" i="7" a="1"/>
  <c r="FB32" i="7" a="1"/>
  <c r="Q57" i="7" a="1"/>
  <c r="EV33" i="7" a="1"/>
  <c r="FF32" i="7" a="1"/>
  <c r="W16" i="7" a="1"/>
  <c r="FA33" i="7" a="1"/>
  <c r="U16" i="7" a="1"/>
  <c r="FB31" i="7" a="1"/>
  <c r="FB31" i="7" l="1"/>
  <c r="FH31" i="7" s="1" a="1"/>
  <c r="FH31" i="7" s="1"/>
  <c r="FG31" i="7" s="1"/>
  <c r="U16" i="7"/>
  <c r="FA33" i="7"/>
  <c r="W16" i="7"/>
  <c r="FF32" i="7"/>
  <c r="EV33" i="7"/>
  <c r="Q57" i="7"/>
  <c r="FB32" i="7"/>
  <c r="FC33" i="7"/>
  <c r="Q21" i="7"/>
  <c r="S21" i="7"/>
  <c r="Q16" i="7" a="1"/>
  <c r="EY33" i="7" a="1"/>
  <c r="FD33" i="7" a="1"/>
  <c r="V17" i="7" a="1"/>
  <c r="FE33" i="7" a="1"/>
  <c r="X15" i="7" a="1"/>
  <c r="R58" i="7" a="1"/>
  <c r="FH32" i="7" l="1" a="1"/>
  <c r="FH32" i="7" s="1"/>
  <c r="FG32" i="7" s="1"/>
  <c r="R58" i="7"/>
  <c r="X15" i="7"/>
  <c r="FE33" i="7"/>
  <c r="V17" i="7"/>
  <c r="U21" i="7" s="1"/>
  <c r="FD33" i="7"/>
  <c r="EY33" i="7"/>
  <c r="Q16" i="7"/>
  <c r="V16" i="7"/>
  <c r="EW34" i="7" a="1"/>
  <c r="EZ33" i="7" a="1"/>
  <c r="AC15" i="7" a="1"/>
  <c r="T16" i="7" a="1"/>
  <c r="FF33" i="7" a="1"/>
  <c r="FF33" i="7" l="1"/>
  <c r="T16" i="7"/>
  <c r="AC15" i="7"/>
  <c r="EZ33" i="7"/>
  <c r="EW34" i="7"/>
  <c r="U58" i="7" a="1"/>
  <c r="U58" i="7" s="1"/>
  <c r="R60" i="7" a="1"/>
  <c r="R60" i="7" s="1"/>
  <c r="EX33" i="7" a="1"/>
  <c r="FA34" i="7" a="1"/>
  <c r="Y16" i="7" a="1"/>
  <c r="X17" i="7" a="1"/>
  <c r="EY34" i="7" a="1"/>
  <c r="EY34" i="7" l="1"/>
  <c r="X17" i="7"/>
  <c r="Y16" i="7"/>
  <c r="FA34" i="7"/>
  <c r="EX33" i="7"/>
  <c r="V58" i="7"/>
  <c r="U62" i="7"/>
  <c r="R57" i="7"/>
  <c r="T58" i="7" s="1" a="1"/>
  <c r="T58" i="7" s="1"/>
  <c r="T59" i="7"/>
  <c r="S62" i="7"/>
  <c r="R59" i="7"/>
  <c r="Q63" i="7"/>
  <c r="R62" i="7"/>
  <c r="S63" i="7" s="1"/>
  <c r="Q62" i="7"/>
  <c r="Q58" i="7" a="1"/>
  <c r="Q58" i="7" s="1"/>
  <c r="T18" i="7" a="1"/>
  <c r="FD34" i="7" a="1"/>
  <c r="FC34" i="7" a="1"/>
  <c r="Y18" i="7" a="1"/>
  <c r="EW35" i="7" a="1"/>
  <c r="P22" i="7" a="1"/>
  <c r="FE34" i="7" a="1"/>
  <c r="T60" i="7" a="1"/>
  <c r="EZ34" i="7" a="1"/>
  <c r="EV34" i="7" a="1"/>
  <c r="EX34" i="7" a="1"/>
  <c r="EX34" i="7" l="1"/>
  <c r="EV34" i="7"/>
  <c r="EZ34" i="7"/>
  <c r="T60" i="7"/>
  <c r="FE34" i="7"/>
  <c r="P22" i="7"/>
  <c r="EW35" i="7"/>
  <c r="Y18" i="7"/>
  <c r="FC34" i="7"/>
  <c r="FD34" i="7"/>
  <c r="T18" i="7"/>
  <c r="V59" i="7" a="1"/>
  <c r="V59" i="7" s="1"/>
  <c r="U63" i="7"/>
  <c r="Q59" i="7" a="1"/>
  <c r="Q59" i="7" s="1"/>
  <c r="Y20" i="7"/>
  <c r="AA17" i="7"/>
  <c r="Z20" i="7"/>
  <c r="Y17" i="7"/>
  <c r="AB20" i="7"/>
  <c r="Y15" i="7"/>
  <c r="X20" i="7"/>
  <c r="AC60" i="7" a="1"/>
  <c r="AC60" i="7" s="1"/>
  <c r="AC18" i="7" a="1"/>
  <c r="AC18" i="7" s="1"/>
  <c r="FB33" i="7" a="1"/>
  <c r="FB34" i="7" a="1"/>
  <c r="FF34" i="7" a="1"/>
  <c r="X57" i="7" a="1"/>
  <c r="EV35" i="7" a="1"/>
  <c r="P23" i="7" a="1"/>
  <c r="AB16" i="7" a="1"/>
  <c r="FA35" i="7" a="1"/>
  <c r="FC35" i="7" a="1"/>
  <c r="FC35" i="7" l="1"/>
  <c r="FA35" i="7"/>
  <c r="AB16" i="7"/>
  <c r="P23" i="7"/>
  <c r="EV35" i="7"/>
  <c r="X57" i="7"/>
  <c r="FF34" i="7"/>
  <c r="FB34" i="7"/>
  <c r="FB33" i="7"/>
  <c r="FH33" i="7" s="1" a="1"/>
  <c r="FH33" i="7" s="1"/>
  <c r="FG33" i="7" s="1"/>
  <c r="X21" i="7"/>
  <c r="Z21" i="7"/>
  <c r="FD35" i="7" a="1"/>
  <c r="X16" i="7" a="1"/>
  <c r="EY35" i="7" a="1"/>
  <c r="FE35" i="7" a="1"/>
  <c r="Q22" i="7" a="1"/>
  <c r="AC17" i="7" a="1"/>
  <c r="Y58" i="7" a="1"/>
  <c r="FH34" i="7" l="1" a="1"/>
  <c r="FH34" i="7" s="1"/>
  <c r="FG34" i="7" s="1"/>
  <c r="Y58" i="7"/>
  <c r="AC17" i="7"/>
  <c r="AB21" i="7" s="1"/>
  <c r="Q22" i="7"/>
  <c r="FE35" i="7"/>
  <c r="EY35" i="7"/>
  <c r="X16" i="7"/>
  <c r="FD35" i="7"/>
  <c r="AC16" i="7"/>
  <c r="EW36" i="7" a="1"/>
  <c r="EZ35" i="7" a="1"/>
  <c r="FF35" i="7" a="1"/>
  <c r="V22" i="7" a="1"/>
  <c r="AA16" i="7" a="1"/>
  <c r="AA16" i="7" l="1"/>
  <c r="V22" i="7"/>
  <c r="FF35" i="7"/>
  <c r="EZ35" i="7"/>
  <c r="EW36" i="7"/>
  <c r="AB58" i="7" a="1"/>
  <c r="AB58" i="7" s="1"/>
  <c r="Y60" i="7" a="1"/>
  <c r="Y60" i="7" s="1"/>
  <c r="EX35" i="7" a="1"/>
  <c r="R23" i="7" a="1"/>
  <c r="Q24" i="7" a="1"/>
  <c r="FA36" i="7" a="1"/>
  <c r="EY36" i="7" a="1"/>
  <c r="EY36" i="7" l="1"/>
  <c r="FA36" i="7"/>
  <c r="Q24" i="7"/>
  <c r="R23" i="7"/>
  <c r="EX35" i="7"/>
  <c r="AC58" i="7"/>
  <c r="Y59" i="7"/>
  <c r="Z62" i="7"/>
  <c r="X62" i="7"/>
  <c r="Y57" i="7"/>
  <c r="AA59" i="7"/>
  <c r="Y62" i="7"/>
  <c r="X63" i="7"/>
  <c r="AB62" i="7"/>
  <c r="X58" i="7" a="1"/>
  <c r="X58" i="7" s="1"/>
  <c r="EV36" i="7" a="1"/>
  <c r="EW37" i="7" a="1"/>
  <c r="AA18" i="7" a="1"/>
  <c r="FC36" i="7" a="1"/>
  <c r="R25" i="7" a="1"/>
  <c r="EZ36" i="7" a="1"/>
  <c r="FD36" i="7" a="1"/>
  <c r="W22" i="7" a="1"/>
  <c r="AA60" i="7" a="1"/>
  <c r="AA60" i="7" l="1"/>
  <c r="W22" i="7"/>
  <c r="FD36" i="7"/>
  <c r="EZ36" i="7"/>
  <c r="R25" i="7"/>
  <c r="FC36" i="7"/>
  <c r="AA18" i="7"/>
  <c r="EW37" i="7"/>
  <c r="EV36" i="7"/>
  <c r="T24" i="7"/>
  <c r="S27" i="7"/>
  <c r="R27" i="7"/>
  <c r="R24" i="7"/>
  <c r="R22" i="7"/>
  <c r="U27" i="7"/>
  <c r="Q27" i="7"/>
  <c r="Z63" i="7"/>
  <c r="V25" i="7" a="1"/>
  <c r="V25" i="7" s="1"/>
  <c r="V67" i="7" a="1"/>
  <c r="V67" i="7" s="1"/>
  <c r="AA58" i="7" a="1"/>
  <c r="AA58" i="7" s="1"/>
  <c r="AB63" i="7"/>
  <c r="AC59" i="7" a="1"/>
  <c r="AC59" i="7" s="1"/>
  <c r="X59" i="7" a="1"/>
  <c r="X59" i="7" s="1"/>
  <c r="FB36" i="7" a="1"/>
  <c r="Q64" i="7" a="1"/>
  <c r="EV37" i="7" a="1"/>
  <c r="W23" i="7" a="1"/>
  <c r="EX36" i="7" a="1"/>
  <c r="FE36" i="7" a="1"/>
  <c r="FF36" i="7" a="1"/>
  <c r="FC37" i="7" a="1"/>
  <c r="FA37" i="7" a="1"/>
  <c r="U23" i="7" a="1"/>
  <c r="FB35" i="7" a="1"/>
  <c r="FB35" i="7" l="1"/>
  <c r="FH35" i="7" s="1" a="1"/>
  <c r="FH35" i="7" s="1"/>
  <c r="FG35" i="7" s="1"/>
  <c r="U23" i="7"/>
  <c r="FA37" i="7"/>
  <c r="FC37" i="7"/>
  <c r="FF36" i="7"/>
  <c r="FE36" i="7"/>
  <c r="EX36" i="7"/>
  <c r="W23" i="7"/>
  <c r="EV37" i="7"/>
  <c r="Q64" i="7"/>
  <c r="FB36" i="7"/>
  <c r="Q28" i="7"/>
  <c r="S28" i="7"/>
  <c r="EY37" i="7" a="1"/>
  <c r="FE37" i="7" a="1"/>
  <c r="R65" i="7" a="1"/>
  <c r="Q23" i="7" a="1"/>
  <c r="FD37" i="7" a="1"/>
  <c r="V24" i="7" a="1"/>
  <c r="X22" i="7" a="1"/>
  <c r="FH36" i="7" l="1" a="1"/>
  <c r="FH36" i="7" s="1"/>
  <c r="FG36" i="7" s="1"/>
  <c r="X22" i="7"/>
  <c r="V24" i="7"/>
  <c r="U28" i="7" s="1"/>
  <c r="FD37" i="7"/>
  <c r="Q23" i="7"/>
  <c r="R65" i="7"/>
  <c r="FE37" i="7"/>
  <c r="EY37" i="7"/>
  <c r="V23" i="7"/>
  <c r="AC22" i="7" a="1"/>
  <c r="T23" i="7" a="1"/>
  <c r="FF37" i="7" a="1"/>
  <c r="EW38" i="7" a="1"/>
  <c r="EZ37" i="7" a="1"/>
  <c r="EZ37" i="7" l="1"/>
  <c r="EW38" i="7"/>
  <c r="FF37" i="7"/>
  <c r="T23" i="7"/>
  <c r="AC22" i="7"/>
  <c r="R67" i="7" a="1"/>
  <c r="R67" i="7" s="1"/>
  <c r="U65" i="7" a="1"/>
  <c r="U65" i="7" s="1"/>
  <c r="EX37" i="7" a="1"/>
  <c r="EY38" i="7" a="1"/>
  <c r="FA38" i="7" a="1"/>
  <c r="X24" i="7" a="1"/>
  <c r="Y23" i="7" a="1"/>
  <c r="Y23" i="7" l="1"/>
  <c r="X24" i="7"/>
  <c r="FA38" i="7"/>
  <c r="EY38" i="7"/>
  <c r="EX37" i="7"/>
  <c r="U69" i="7"/>
  <c r="S69" i="7"/>
  <c r="Q70" i="7"/>
  <c r="T66" i="7"/>
  <c r="R66" i="7"/>
  <c r="R64" i="7"/>
  <c r="R69" i="7"/>
  <c r="S70" i="7" s="1"/>
  <c r="Q69" i="7"/>
  <c r="Q65" i="7" a="1"/>
  <c r="Q65" i="7" s="1"/>
  <c r="V65" i="7"/>
  <c r="EW39" i="7" a="1"/>
  <c r="P29" i="7" a="1"/>
  <c r="EV38" i="7" a="1"/>
  <c r="FC38" i="7" a="1"/>
  <c r="T67" i="7" a="1"/>
  <c r="Y25" i="7" a="1"/>
  <c r="T25" i="7" a="1"/>
  <c r="FE38" i="7" a="1"/>
  <c r="EZ38" i="7" a="1"/>
  <c r="FD38" i="7" a="1"/>
  <c r="FD38" i="7" l="1"/>
  <c r="EZ38" i="7"/>
  <c r="FE38" i="7"/>
  <c r="T25" i="7"/>
  <c r="Y25" i="7"/>
  <c r="T67" i="7"/>
  <c r="FC38" i="7"/>
  <c r="EV38" i="7"/>
  <c r="P29" i="7"/>
  <c r="EW39" i="7"/>
  <c r="AC67" i="7" a="1"/>
  <c r="AC67" i="7" s="1"/>
  <c r="AC25" i="7" a="1"/>
  <c r="AC25" i="7" s="1"/>
  <c r="T65" i="7" a="1"/>
  <c r="T65" i="7" s="1"/>
  <c r="U70" i="7"/>
  <c r="Q66" i="7" a="1"/>
  <c r="Q66" i="7" s="1"/>
  <c r="V66" i="7" a="1"/>
  <c r="V66" i="7" s="1"/>
  <c r="AA24" i="7"/>
  <c r="Y22" i="7"/>
  <c r="AB27" i="7"/>
  <c r="Z27" i="7"/>
  <c r="X27" i="7"/>
  <c r="Y24" i="7"/>
  <c r="Y27" i="7"/>
  <c r="P30" i="7" a="1"/>
  <c r="FB38" i="7" a="1"/>
  <c r="FC39" i="7" a="1"/>
  <c r="FB37" i="7" a="1"/>
  <c r="X64" i="7" a="1"/>
  <c r="EV39" i="7" a="1"/>
  <c r="FA39" i="7" a="1"/>
  <c r="FF38" i="7" a="1"/>
  <c r="EX38" i="7" a="1"/>
  <c r="EX38" i="7" l="1"/>
  <c r="FF38" i="7"/>
  <c r="FA39" i="7"/>
  <c r="EV39" i="7"/>
  <c r="X64" i="7"/>
  <c r="FB37" i="7"/>
  <c r="FH37" i="7" s="1" a="1"/>
  <c r="FH37" i="7" s="1"/>
  <c r="FG37" i="7" s="1"/>
  <c r="FC39" i="7"/>
  <c r="FB38" i="7"/>
  <c r="P30" i="7"/>
  <c r="X28" i="7"/>
  <c r="Z28" i="7"/>
  <c r="Q29" i="7" a="1"/>
  <c r="FD39" i="7" a="1"/>
  <c r="AC24" i="7" a="1"/>
  <c r="FE39" i="7" a="1"/>
  <c r="X23" i="7" a="1"/>
  <c r="Y65" i="7" a="1"/>
  <c r="AB23" i="7" a="1"/>
  <c r="FH38" i="7" l="1" a="1"/>
  <c r="FH38" i="7" s="1"/>
  <c r="FG38" i="7" s="1"/>
  <c r="AB23" i="7"/>
  <c r="Y65" i="7"/>
  <c r="X23" i="7"/>
  <c r="FE39" i="7"/>
  <c r="AC24" i="7"/>
  <c r="AB28" i="7" s="1"/>
  <c r="FD39" i="7"/>
  <c r="Q29" i="7"/>
  <c r="EY39" i="7" a="1"/>
  <c r="EW40" i="7" a="1"/>
  <c r="FF39" i="7" a="1"/>
  <c r="V29" i="7" a="1"/>
  <c r="V29" i="7" l="1"/>
  <c r="FF39" i="7"/>
  <c r="EW40" i="7"/>
  <c r="EY39" i="7"/>
  <c r="AB65" i="7" a="1"/>
  <c r="AB65" i="7" s="1"/>
  <c r="Y67" i="7" a="1"/>
  <c r="Y67" i="7" s="1"/>
  <c r="AC23" i="7"/>
  <c r="R30" i="7" a="1"/>
  <c r="Q31" i="7" a="1"/>
  <c r="EY40" i="7" a="1"/>
  <c r="EZ39" i="7" a="1"/>
  <c r="FA40" i="7" a="1"/>
  <c r="AA23" i="7" a="1"/>
  <c r="AA23" i="7" l="1"/>
  <c r="FA40" i="7"/>
  <c r="EZ39" i="7"/>
  <c r="EY40" i="7"/>
  <c r="Q31" i="7"/>
  <c r="R30" i="7"/>
  <c r="X70" i="7"/>
  <c r="Z69" i="7"/>
  <c r="AB69" i="7"/>
  <c r="X69" i="7"/>
  <c r="AA66" i="7"/>
  <c r="Y64" i="7"/>
  <c r="AA65" i="7" s="1" a="1"/>
  <c r="AA65" i="7" s="1"/>
  <c r="Y66" i="7"/>
  <c r="Y69" i="7"/>
  <c r="Z70" i="7" s="1"/>
  <c r="X65" i="7" a="1"/>
  <c r="X65" i="7" s="1"/>
  <c r="AC65" i="7"/>
  <c r="EX39" i="7" a="1"/>
  <c r="EZ40" i="7" a="1"/>
  <c r="EX40" i="7" a="1"/>
  <c r="W29" i="7" a="1"/>
  <c r="R32" i="7" a="1"/>
  <c r="EV40" i="7" a="1"/>
  <c r="AA67" i="7" a="1"/>
  <c r="EW41" i="7" a="1"/>
  <c r="FC40" i="7" a="1"/>
  <c r="AA25" i="7" a="1"/>
  <c r="FD40" i="7" a="1"/>
  <c r="FE40" i="7" a="1"/>
  <c r="FE40" i="7" l="1"/>
  <c r="FD40" i="7"/>
  <c r="AA25" i="7"/>
  <c r="FC40" i="7"/>
  <c r="EW41" i="7"/>
  <c r="AA67" i="7"/>
  <c r="EV40" i="7"/>
  <c r="R32" i="7"/>
  <c r="W29" i="7"/>
  <c r="EX40" i="7"/>
  <c r="EZ40" i="7"/>
  <c r="EX39" i="7"/>
  <c r="T31" i="7"/>
  <c r="S34" i="7"/>
  <c r="U34" i="7"/>
  <c r="R34" i="7"/>
  <c r="R31" i="7"/>
  <c r="Q34" i="7"/>
  <c r="R29" i="7"/>
  <c r="V74" i="7" a="1"/>
  <c r="V74" i="7" s="1"/>
  <c r="V32" i="7" a="1"/>
  <c r="V32" i="7" s="1"/>
  <c r="X66" i="7" a="1"/>
  <c r="X66" i="7" s="1"/>
  <c r="AC66" i="7" a="1"/>
  <c r="AC66" i="7" s="1"/>
  <c r="AB70" i="7"/>
  <c r="W30" i="7" a="1"/>
  <c r="FF40" i="7" a="1"/>
  <c r="FC41" i="7" a="1"/>
  <c r="FB39" i="7" a="1"/>
  <c r="U30" i="7" a="1"/>
  <c r="FA41" i="7" a="1"/>
  <c r="Q71" i="7" a="1"/>
  <c r="EV41" i="7" a="1"/>
  <c r="FB40" i="7" a="1"/>
  <c r="FB40" i="7" l="1"/>
  <c r="EV41" i="7"/>
  <c r="Q71" i="7"/>
  <c r="FA41" i="7"/>
  <c r="U30" i="7"/>
  <c r="FB39" i="7"/>
  <c r="FH39" i="7" s="1" a="1"/>
  <c r="FH39" i="7" s="1"/>
  <c r="FG39" i="7" s="1"/>
  <c r="FC41" i="7"/>
  <c r="FF40" i="7"/>
  <c r="W30" i="7"/>
  <c r="Q35" i="7"/>
  <c r="S35" i="7"/>
  <c r="X29" i="7" a="1"/>
  <c r="Q30" i="7" a="1"/>
  <c r="V31" i="7" a="1"/>
  <c r="FE41" i="7" a="1"/>
  <c r="FD41" i="7" a="1"/>
  <c r="EY41" i="7" a="1"/>
  <c r="R72" i="7" a="1"/>
  <c r="FH40" i="7" l="1" a="1"/>
  <c r="FH40" i="7" s="1"/>
  <c r="FG40" i="7" s="1"/>
  <c r="R72" i="7"/>
  <c r="EY41" i="7"/>
  <c r="FD41" i="7"/>
  <c r="FE41" i="7"/>
  <c r="V31" i="7"/>
  <c r="U35" i="7" s="1"/>
  <c r="Q30" i="7"/>
  <c r="X29" i="7"/>
  <c r="V30" i="7"/>
  <c r="EW42" i="7" a="1"/>
  <c r="T30" i="7" a="1"/>
  <c r="FF41" i="7" a="1"/>
  <c r="AC29" i="7" a="1"/>
  <c r="EZ41" i="7" a="1"/>
  <c r="EZ41" i="7" l="1"/>
  <c r="AC29" i="7"/>
  <c r="FF41" i="7"/>
  <c r="T30" i="7"/>
  <c r="EW42" i="7"/>
  <c r="X31" i="7" a="1"/>
  <c r="Y30" i="7" a="1"/>
  <c r="EX41" i="7" a="1"/>
  <c r="R74" i="7" a="1"/>
  <c r="R74" i="7" l="1"/>
  <c r="EX41" i="7"/>
  <c r="Y30" i="7"/>
  <c r="X31" i="7"/>
  <c r="FA42" i="7" a="1"/>
  <c r="P36" i="7" a="1"/>
  <c r="EW43" i="7" a="1"/>
  <c r="Y32" i="7" a="1"/>
  <c r="T32" i="7" a="1"/>
  <c r="T32" i="7" l="1"/>
  <c r="Y32" i="7"/>
  <c r="EW43" i="7"/>
  <c r="P36" i="7"/>
  <c r="FA42" i="7"/>
  <c r="AC74" i="7" a="1"/>
  <c r="AC74" i="7" s="1"/>
  <c r="AC32" i="7" a="1"/>
  <c r="AC32" i="7" s="1"/>
  <c r="Z34" i="7"/>
  <c r="X34" i="7"/>
  <c r="Y31" i="7"/>
  <c r="AB34" i="7"/>
  <c r="Y29" i="7"/>
  <c r="Y34" i="7"/>
  <c r="AA31" i="7"/>
  <c r="Q76" i="7"/>
  <c r="S76" i="7"/>
  <c r="R76" i="7"/>
  <c r="R71" i="7"/>
  <c r="R73" i="7"/>
  <c r="T73" i="7"/>
  <c r="U76" i="7"/>
  <c r="FB41" i="7" a="1"/>
  <c r="FA43" i="7" a="1"/>
  <c r="EV42" i="7" a="1"/>
  <c r="FC42" i="7" a="1"/>
  <c r="P37" i="7" a="1"/>
  <c r="Q72" i="7" a="1"/>
  <c r="X71" i="7" a="1"/>
  <c r="EV43" i="7" a="1"/>
  <c r="FC43" i="7" a="1"/>
  <c r="FC43" i="7" l="1"/>
  <c r="EV43" i="7"/>
  <c r="X71" i="7"/>
  <c r="Q72" i="7"/>
  <c r="P37" i="7"/>
  <c r="FC42" i="7"/>
  <c r="EV42" i="7"/>
  <c r="FA43" i="7"/>
  <c r="FB41" i="7"/>
  <c r="FH41" i="7" s="1" a="1"/>
  <c r="FH41" i="7" s="1"/>
  <c r="FG41" i="7" s="1"/>
  <c r="S77" i="7"/>
  <c r="Q77" i="7"/>
  <c r="X35" i="7"/>
  <c r="Z35" i="7"/>
  <c r="Q73" i="7" a="1"/>
  <c r="U72" i="7" a="1"/>
  <c r="X30" i="7" a="1"/>
  <c r="AC31" i="7" a="1"/>
  <c r="T74" i="7" a="1"/>
  <c r="Y72" i="7" a="1"/>
  <c r="Q36" i="7" a="1"/>
  <c r="AB30" i="7" a="1"/>
  <c r="FE42" i="7" a="1"/>
  <c r="FD42" i="7" a="1"/>
  <c r="FD43" i="7" a="1"/>
  <c r="FE43" i="7" a="1"/>
  <c r="FE43" i="7" l="1"/>
  <c r="FD43" i="7"/>
  <c r="FD42" i="7"/>
  <c r="FE42" i="7"/>
  <c r="AB30" i="7"/>
  <c r="Q36" i="7"/>
  <c r="Y72" i="7"/>
  <c r="T74" i="7"/>
  <c r="AC31" i="7"/>
  <c r="AB35" i="7" s="1"/>
  <c r="X30" i="7"/>
  <c r="U72" i="7"/>
  <c r="Q73" i="7"/>
  <c r="FF43" i="7" a="1"/>
  <c r="EY42" i="7" a="1"/>
  <c r="V73" i="7" a="1"/>
  <c r="EY43" i="7" a="1"/>
  <c r="EW44" i="7" a="1"/>
  <c r="FB42" i="7" a="1"/>
  <c r="V36" i="7" a="1"/>
  <c r="V36" i="7" l="1"/>
  <c r="FB42" i="7"/>
  <c r="EW44" i="7"/>
  <c r="EY43" i="7"/>
  <c r="V73" i="7"/>
  <c r="U77" i="7" s="1"/>
  <c r="EY42" i="7"/>
  <c r="FF43" i="7"/>
  <c r="AC30" i="7"/>
  <c r="V72" i="7"/>
  <c r="Q38" i="7" a="1"/>
  <c r="R37" i="7" a="1"/>
  <c r="EZ43" i="7" a="1"/>
  <c r="EZ42" i="7" a="1"/>
  <c r="T72" i="7" a="1"/>
  <c r="AA30" i="7" a="1"/>
  <c r="FF42" i="7" a="1"/>
  <c r="Y74" i="7" a="1"/>
  <c r="Y74" i="7" l="1"/>
  <c r="FF42" i="7"/>
  <c r="AA30" i="7"/>
  <c r="T72" i="7"/>
  <c r="EZ42" i="7"/>
  <c r="EZ43" i="7"/>
  <c r="R37" i="7"/>
  <c r="Q38" i="7"/>
  <c r="FA44" i="7" a="1"/>
  <c r="EX42" i="7" a="1"/>
  <c r="W36" i="7" a="1"/>
  <c r="EW45" i="7" a="1"/>
  <c r="EX43" i="7" a="1"/>
  <c r="AA32" i="7" a="1"/>
  <c r="AA32" i="7" l="1"/>
  <c r="EX43" i="7"/>
  <c r="EW45" i="7"/>
  <c r="W36" i="7"/>
  <c r="EX42" i="7"/>
  <c r="FH42" i="7" s="1" a="1"/>
  <c r="FH42" i="7" s="1"/>
  <c r="FG42" i="7" s="1"/>
  <c r="FA44" i="7"/>
  <c r="V81" i="7" a="1"/>
  <c r="V81" i="7" s="1"/>
  <c r="V39" i="7" a="1"/>
  <c r="V39" i="7" s="1"/>
  <c r="Q41" i="7"/>
  <c r="S41" i="7"/>
  <c r="R38" i="7"/>
  <c r="R41" i="7"/>
  <c r="R36" i="7"/>
  <c r="T38" i="7"/>
  <c r="U41" i="7"/>
  <c r="Z76" i="7"/>
  <c r="Y73" i="7"/>
  <c r="Y76" i="7"/>
  <c r="AB76" i="7"/>
  <c r="Y71" i="7"/>
  <c r="AA73" i="7"/>
  <c r="X76" i="7"/>
  <c r="FB43" i="7" a="1"/>
  <c r="Q78" i="7" a="1"/>
  <c r="EV45" i="7" a="1"/>
  <c r="EV44" i="7" a="1"/>
  <c r="R39" i="7" a="1"/>
  <c r="FC44" i="7" a="1"/>
  <c r="W37" i="7" a="1"/>
  <c r="U37" i="7" a="1"/>
  <c r="FC45" i="7" a="1"/>
  <c r="X72" i="7" a="1"/>
  <c r="X72" i="7" l="1"/>
  <c r="FC45" i="7"/>
  <c r="U37" i="7"/>
  <c r="W37" i="7"/>
  <c r="FC44" i="7"/>
  <c r="R39" i="7"/>
  <c r="EV44" i="7"/>
  <c r="EV45" i="7"/>
  <c r="Q78" i="7"/>
  <c r="FB43" i="7"/>
  <c r="FH43" i="7" s="1" a="1"/>
  <c r="FH43" i="7" s="1"/>
  <c r="FG43" i="7" s="1"/>
  <c r="Z77" i="7"/>
  <c r="X77" i="7"/>
  <c r="AA74" i="7" a="1"/>
  <c r="X73" i="7" a="1"/>
  <c r="AB72" i="7" a="1"/>
  <c r="EY45" i="7" a="1"/>
  <c r="X36" i="7" a="1"/>
  <c r="FE44" i="7" a="1"/>
  <c r="Q37" i="7" a="1"/>
  <c r="FD44" i="7" a="1"/>
  <c r="FA45" i="7" a="1"/>
  <c r="R79" i="7" a="1"/>
  <c r="V38" i="7" a="1"/>
  <c r="V38" i="7" l="1"/>
  <c r="U42" i="7" s="1"/>
  <c r="R79" i="7"/>
  <c r="FA45" i="7"/>
  <c r="FD44" i="7"/>
  <c r="Q37" i="7"/>
  <c r="FE44" i="7"/>
  <c r="X36" i="7"/>
  <c r="EY45" i="7"/>
  <c r="AB72" i="7"/>
  <c r="X73" i="7"/>
  <c r="AA74" i="7"/>
  <c r="Q42" i="7"/>
  <c r="S42" i="7"/>
  <c r="V37" i="7"/>
  <c r="FF45" i="7" a="1"/>
  <c r="EY44" i="7" a="1"/>
  <c r="FE45" i="7" a="1"/>
  <c r="EW46" i="7" a="1"/>
  <c r="AC73" i="7" a="1"/>
  <c r="EZ45" i="7" a="1"/>
  <c r="FB44" i="7" a="1"/>
  <c r="T37" i="7" a="1"/>
  <c r="AC36" i="7" a="1"/>
  <c r="FD45" i="7" a="1"/>
  <c r="FD45" i="7" l="1"/>
  <c r="AC36" i="7"/>
  <c r="T37" i="7"/>
  <c r="FB44" i="7"/>
  <c r="EZ45" i="7"/>
  <c r="AC73" i="7"/>
  <c r="AB77" i="7" s="1"/>
  <c r="EW46" i="7"/>
  <c r="FE45" i="7"/>
  <c r="EY44" i="7"/>
  <c r="FF45" i="7"/>
  <c r="R81" i="7" a="1"/>
  <c r="R81" i="7" s="1"/>
  <c r="U79" i="7" a="1"/>
  <c r="U79" i="7" s="1"/>
  <c r="AC72" i="7"/>
  <c r="EZ44" i="7" a="1"/>
  <c r="Y37" i="7" a="1"/>
  <c r="X38" i="7" a="1"/>
  <c r="FF44" i="7" a="1"/>
  <c r="EX45" i="7" a="1"/>
  <c r="FA46" i="7" a="1"/>
  <c r="AA72" i="7" a="1"/>
  <c r="EY46" i="7" a="1"/>
  <c r="EY46" i="7" l="1"/>
  <c r="AA72" i="7"/>
  <c r="FA46" i="7"/>
  <c r="EX45" i="7"/>
  <c r="FF44" i="7"/>
  <c r="X38" i="7"/>
  <c r="Y37" i="7"/>
  <c r="EZ44" i="7"/>
  <c r="V79" i="7"/>
  <c r="U83" i="7"/>
  <c r="Q83" i="7"/>
  <c r="T80" i="7"/>
  <c r="R80" i="7"/>
  <c r="Q84" i="7"/>
  <c r="R78" i="7"/>
  <c r="S83" i="7"/>
  <c r="R83" i="7"/>
  <c r="S84" i="7" s="1"/>
  <c r="Q79" i="7" a="1"/>
  <c r="Q79" i="7" s="1"/>
  <c r="EV46" i="7" a="1"/>
  <c r="T39" i="7" a="1"/>
  <c r="EX44" i="7" a="1"/>
  <c r="EZ46" i="7" a="1"/>
  <c r="FC46" i="7" a="1"/>
  <c r="FE46" i="7" a="1"/>
  <c r="T81" i="7" a="1"/>
  <c r="EW47" i="7" a="1"/>
  <c r="AE1" i="7" a="1"/>
  <c r="FD46" i="7" a="1"/>
  <c r="Y39" i="7" a="1"/>
  <c r="Y39" i="7" l="1"/>
  <c r="FD46" i="7"/>
  <c r="AE1" i="7"/>
  <c r="EW47" i="7"/>
  <c r="T81" i="7"/>
  <c r="FE46" i="7"/>
  <c r="FC46" i="7"/>
  <c r="EZ46" i="7"/>
  <c r="EX44" i="7"/>
  <c r="FH44" i="7" s="1" a="1"/>
  <c r="FH44" i="7" s="1"/>
  <c r="FG44" i="7" s="1"/>
  <c r="T39" i="7"/>
  <c r="EV46" i="7"/>
  <c r="Z41" i="7"/>
  <c r="Y36" i="7"/>
  <c r="X41" i="7"/>
  <c r="Y41" i="7"/>
  <c r="Y38" i="7"/>
  <c r="AB41" i="7"/>
  <c r="AA38" i="7"/>
  <c r="AC81" i="7" a="1"/>
  <c r="AC81" i="7" s="1"/>
  <c r="AC39" i="7" a="1"/>
  <c r="AC39" i="7" s="1"/>
  <c r="Q80" i="7" a="1"/>
  <c r="Q80" i="7" s="1"/>
  <c r="U84" i="7"/>
  <c r="V80" i="7" a="1"/>
  <c r="V80" i="7" s="1"/>
  <c r="T79" i="7" a="1"/>
  <c r="T79" i="7" s="1"/>
  <c r="FA47" i="7" a="1"/>
  <c r="AB37" i="7" a="1"/>
  <c r="FB45" i="7" a="1"/>
  <c r="FF46" i="7" a="1"/>
  <c r="AE2" i="7" a="1"/>
  <c r="EX46" i="7" a="1"/>
  <c r="FB46" i="7" a="1"/>
  <c r="X78" i="7" a="1"/>
  <c r="EV47" i="7" a="1"/>
  <c r="FC47" i="7" a="1"/>
  <c r="FC47" i="7" l="1"/>
  <c r="EV47" i="7"/>
  <c r="X78" i="7"/>
  <c r="FB46" i="7"/>
  <c r="EX46" i="7"/>
  <c r="AE2" i="7"/>
  <c r="FF46" i="7"/>
  <c r="FB45" i="7"/>
  <c r="FH45" i="7" s="1" a="1"/>
  <c r="FH45" i="7" s="1"/>
  <c r="FG45" i="7" s="1"/>
  <c r="AB37" i="7"/>
  <c r="FA47" i="7"/>
  <c r="X42" i="7"/>
  <c r="Z42" i="7"/>
  <c r="EY47" i="7" a="1"/>
  <c r="X37" i="7" a="1"/>
  <c r="AC38" i="7" a="1"/>
  <c r="FD47" i="7" a="1"/>
  <c r="AF1" i="7" a="1"/>
  <c r="Y79" i="7" a="1"/>
  <c r="FE47" i="7" a="1"/>
  <c r="FH46" i="7" l="1" a="1"/>
  <c r="FH46" i="7" s="1"/>
  <c r="FG46" i="7" s="1"/>
  <c r="FE47" i="7"/>
  <c r="Y79" i="7"/>
  <c r="AF1" i="7"/>
  <c r="FD47" i="7"/>
  <c r="AC38" i="7"/>
  <c r="AB42" i="7" s="1"/>
  <c r="X37" i="7"/>
  <c r="EY47" i="7"/>
  <c r="AC37" i="7"/>
  <c r="AA37" i="7" a="1"/>
  <c r="EW48" i="7" a="1"/>
  <c r="EZ47" i="7" a="1"/>
  <c r="AK1" i="7" a="1"/>
  <c r="FF47" i="7" a="1"/>
  <c r="FF47" i="7" l="1"/>
  <c r="AK1" i="7"/>
  <c r="EZ47" i="7"/>
  <c r="EW48" i="7"/>
  <c r="AA37" i="7"/>
  <c r="Y81" i="7" a="1"/>
  <c r="Y81" i="7" s="1"/>
  <c r="AB79" i="7" a="1"/>
  <c r="AB79" i="7" s="1"/>
  <c r="AG2" i="7" a="1"/>
  <c r="AL1" i="7" a="1"/>
  <c r="AF3" i="7" a="1"/>
  <c r="EX47" i="7" a="1"/>
  <c r="EY48" i="7" a="1"/>
  <c r="FA48" i="7" a="1"/>
  <c r="FA48" i="7" l="1"/>
  <c r="EY48" i="7"/>
  <c r="EX47" i="7"/>
  <c r="AF3" i="7"/>
  <c r="AL1" i="7"/>
  <c r="AG2" i="7"/>
  <c r="Z83" i="7"/>
  <c r="Y78" i="7"/>
  <c r="Y83" i="7"/>
  <c r="Z84" i="7" s="1"/>
  <c r="X83" i="7"/>
  <c r="AB83" i="7"/>
  <c r="X84" i="7"/>
  <c r="AA80" i="7"/>
  <c r="Y80" i="7"/>
  <c r="X79" i="7" a="1"/>
  <c r="X79" i="7" s="1"/>
  <c r="AC79" i="7"/>
  <c r="FC48" i="7" a="1"/>
  <c r="EZ48" i="7" a="1"/>
  <c r="AA39" i="7" a="1"/>
  <c r="AG4" i="7" a="1"/>
  <c r="EV48" i="7" a="1"/>
  <c r="FE48" i="7" a="1"/>
  <c r="AL2" i="7" a="1"/>
  <c r="FD48" i="7" a="1"/>
  <c r="AA81" i="7" a="1"/>
  <c r="AA81" i="7" l="1"/>
  <c r="FD48" i="7"/>
  <c r="AL2" i="7"/>
  <c r="FE48" i="7"/>
  <c r="EV48" i="7"/>
  <c r="AG4" i="7"/>
  <c r="AA39" i="7"/>
  <c r="EZ48" i="7"/>
  <c r="FC48" i="7"/>
  <c r="AG1" i="7"/>
  <c r="EW49" i="7"/>
  <c r="AG6" i="7"/>
  <c r="FC49" i="7" s="1"/>
  <c r="AJ6" i="7"/>
  <c r="AF6" i="7"/>
  <c r="AH6" i="7"/>
  <c r="AI3" i="7"/>
  <c r="AG3" i="7"/>
  <c r="AK46" i="7" a="1"/>
  <c r="AK46" i="7" s="1"/>
  <c r="AK4" i="7" a="1"/>
  <c r="AK4" i="7" s="1"/>
  <c r="AA79" i="7" a="1"/>
  <c r="AA79" i="7" s="1"/>
  <c r="AB84" i="7"/>
  <c r="X80" i="7" a="1"/>
  <c r="X80" i="7" s="1"/>
  <c r="AC80" i="7" a="1"/>
  <c r="AC80" i="7" s="1"/>
  <c r="FB48" i="7" a="1"/>
  <c r="AF43" i="7" a="1"/>
  <c r="AJ2" i="7" a="1"/>
  <c r="AM1" i="7" a="1"/>
  <c r="EX48" i="7" a="1"/>
  <c r="FF48" i="7" a="1"/>
  <c r="FB47" i="7" a="1"/>
  <c r="FB47" i="7" l="1"/>
  <c r="FH47" i="7" s="1" a="1"/>
  <c r="FH47" i="7" s="1"/>
  <c r="FG47" i="7" s="1"/>
  <c r="FF48" i="7"/>
  <c r="EX48" i="7"/>
  <c r="AM1" i="7"/>
  <c r="AJ2" i="7"/>
  <c r="AF43" i="7"/>
  <c r="FB48" i="7"/>
  <c r="FA49" i="7"/>
  <c r="AF7" i="7"/>
  <c r="FD49" i="7" s="1"/>
  <c r="AH7" i="7"/>
  <c r="FE49" i="7" s="1"/>
  <c r="EV49" i="7"/>
  <c r="AF2" i="7" a="1"/>
  <c r="AK3" i="7" a="1"/>
  <c r="AR1" i="7" a="1"/>
  <c r="AG44" i="7" a="1"/>
  <c r="FH48" i="7" l="1" a="1"/>
  <c r="FH48" i="7" s="1"/>
  <c r="FG48" i="7" s="1"/>
  <c r="AG44" i="7"/>
  <c r="AR1" i="7"/>
  <c r="AK3" i="7"/>
  <c r="AJ7" i="7" s="1"/>
  <c r="FF49" i="7" s="1"/>
  <c r="AF2" i="7"/>
  <c r="EY49" i="7"/>
  <c r="AK2" i="7"/>
  <c r="EZ49" i="7" s="1"/>
  <c r="EW50" i="7" a="1"/>
  <c r="AN2" i="7" a="1"/>
  <c r="AM3" i="7" a="1"/>
  <c r="AI2" i="7" a="1"/>
  <c r="AI2" i="7" l="1"/>
  <c r="EX49" i="7" s="1"/>
  <c r="AM3" i="7"/>
  <c r="AN2" i="7"/>
  <c r="EW50" i="7"/>
  <c r="AG46" i="7" a="1"/>
  <c r="AG46" i="7" s="1"/>
  <c r="AJ44" i="7" a="1"/>
  <c r="AJ44" i="7" s="1"/>
  <c r="AN4" i="7" a="1"/>
  <c r="AI4" i="7" a="1"/>
  <c r="FA50" i="7" a="1"/>
  <c r="EY50" i="7" a="1"/>
  <c r="AE8" i="7" a="1"/>
  <c r="AE8" i="7" l="1"/>
  <c r="EY50" i="7"/>
  <c r="FA50" i="7"/>
  <c r="AI4" i="7"/>
  <c r="FB49" i="7" s="1"/>
  <c r="FH49" i="7" s="1" a="1"/>
  <c r="FH49" i="7" s="1"/>
  <c r="FG49" i="7" s="1"/>
  <c r="AN4" i="7"/>
  <c r="AK44" i="7"/>
  <c r="AG45" i="7"/>
  <c r="AJ48" i="7"/>
  <c r="AH48" i="7"/>
  <c r="AF48" i="7"/>
  <c r="AG43" i="7"/>
  <c r="AI44" i="7" s="1" a="1"/>
  <c r="AI44" i="7" s="1"/>
  <c r="AI45" i="7"/>
  <c r="AG48" i="7"/>
  <c r="AH49" i="7" s="1"/>
  <c r="AF49" i="7"/>
  <c r="AF44" i="7" a="1"/>
  <c r="AF44" i="7" s="1"/>
  <c r="AQ6" i="7"/>
  <c r="AO6" i="7"/>
  <c r="AP3" i="7"/>
  <c r="AN3" i="7"/>
  <c r="AN6" i="7"/>
  <c r="FC51" i="7" s="1"/>
  <c r="EW51" i="7"/>
  <c r="AM6" i="7"/>
  <c r="AN1" i="7"/>
  <c r="AR46" i="7" a="1"/>
  <c r="AR46" i="7" s="1"/>
  <c r="AR4" i="7" a="1"/>
  <c r="AR4" i="7" s="1"/>
  <c r="AE9" i="7" a="1"/>
  <c r="AI46" i="7" a="1"/>
  <c r="AM43" i="7" a="1"/>
  <c r="EV50" i="7" a="1"/>
  <c r="FE50" i="7" a="1"/>
  <c r="EZ50" i="7" a="1"/>
  <c r="FC50" i="7" a="1"/>
  <c r="EX50" i="7" a="1"/>
  <c r="FD50" i="7" a="1"/>
  <c r="FD50" i="7" l="1"/>
  <c r="EX50" i="7"/>
  <c r="FC50" i="7"/>
  <c r="EZ50" i="7"/>
  <c r="FE50" i="7"/>
  <c r="EV50" i="7"/>
  <c r="AM43" i="7"/>
  <c r="AI46" i="7"/>
  <c r="AE9" i="7"/>
  <c r="FA51" i="7"/>
  <c r="AM7" i="7"/>
  <c r="FD51" i="7" s="1"/>
  <c r="AO7" i="7"/>
  <c r="FE51" i="7" s="1"/>
  <c r="AJ49" i="7"/>
  <c r="AF45" i="7" a="1"/>
  <c r="AF45" i="7" s="1"/>
  <c r="AK45" i="7" a="1"/>
  <c r="AK45" i="7" s="1"/>
  <c r="EV51" i="7"/>
  <c r="AF8" i="7" a="1"/>
  <c r="AN44" i="7" a="1"/>
  <c r="AQ2" i="7" a="1"/>
  <c r="AM2" i="7" a="1"/>
  <c r="FF50" i="7" a="1"/>
  <c r="FB50" i="7" a="1"/>
  <c r="AR3" i="7" a="1"/>
  <c r="AR3" i="7" l="1"/>
  <c r="AQ7" i="7" s="1"/>
  <c r="FF51" i="7" s="1"/>
  <c r="FB50" i="7"/>
  <c r="FF50" i="7"/>
  <c r="AM2" i="7"/>
  <c r="AQ2" i="7"/>
  <c r="AN44" i="7"/>
  <c r="AF8" i="7"/>
  <c r="EW52" i="7" a="1"/>
  <c r="AK8" i="7" a="1"/>
  <c r="FH50" i="7" l="1" a="1"/>
  <c r="FH50" i="7" s="1"/>
  <c r="FG50" i="7" s="1"/>
  <c r="AK8" i="7"/>
  <c r="EW52" i="7"/>
  <c r="AQ44" i="7" a="1"/>
  <c r="AQ44" i="7" s="1"/>
  <c r="AN46" i="7" a="1"/>
  <c r="AN46" i="7" s="1"/>
  <c r="EY51" i="7"/>
  <c r="AR2" i="7"/>
  <c r="EZ51" i="7" s="1"/>
  <c r="AG9" i="7" a="1"/>
  <c r="AF10" i="7" a="1"/>
  <c r="EY52" i="7" a="1"/>
  <c r="FA52" i="7" a="1"/>
  <c r="AP2" i="7" a="1"/>
  <c r="AP2" i="7" l="1"/>
  <c r="EX51" i="7" s="1"/>
  <c r="FA52" i="7"/>
  <c r="EY52" i="7"/>
  <c r="AF10" i="7"/>
  <c r="AG9" i="7"/>
  <c r="AN45" i="7"/>
  <c r="AM48" i="7"/>
  <c r="AP45" i="7"/>
  <c r="AQ48" i="7"/>
  <c r="AN43" i="7"/>
  <c r="AP44" i="7" s="1" a="1"/>
  <c r="AP44" i="7" s="1"/>
  <c r="AM49" i="7"/>
  <c r="AO48" i="7"/>
  <c r="AN48" i="7"/>
  <c r="AO49" i="7" s="1"/>
  <c r="AM44" i="7" a="1"/>
  <c r="AM44" i="7" s="1"/>
  <c r="AR44" i="7"/>
  <c r="EZ52" i="7" a="1"/>
  <c r="EV52" i="7" a="1"/>
  <c r="AP4" i="7" a="1"/>
  <c r="FD52" i="7" a="1"/>
  <c r="AL8" i="7" a="1"/>
  <c r="AP46" i="7" a="1"/>
  <c r="EW53" i="7" a="1"/>
  <c r="FC52" i="7" a="1"/>
  <c r="EX52" i="7" a="1"/>
  <c r="FE52" i="7" a="1"/>
  <c r="AG11" i="7" a="1"/>
  <c r="AG11" i="7" l="1"/>
  <c r="FE52" i="7"/>
  <c r="EX52" i="7"/>
  <c r="FC52" i="7"/>
  <c r="EW53" i="7"/>
  <c r="AP46" i="7"/>
  <c r="AL8" i="7"/>
  <c r="FD52" i="7"/>
  <c r="AP4" i="7"/>
  <c r="FB51" i="7" s="1"/>
  <c r="FH51" i="7" s="1" a="1"/>
  <c r="FH51" i="7" s="1"/>
  <c r="FG51" i="7" s="1"/>
  <c r="EV52" i="7"/>
  <c r="EZ52" i="7"/>
  <c r="AJ13" i="7"/>
  <c r="AG10" i="7"/>
  <c r="AG13" i="7"/>
  <c r="AG8" i="7"/>
  <c r="AI10" i="7"/>
  <c r="AF13" i="7"/>
  <c r="AH13" i="7"/>
  <c r="AK11" i="7" a="1"/>
  <c r="AK11" i="7" s="1"/>
  <c r="AK53" i="7" a="1"/>
  <c r="AK53" i="7" s="1"/>
  <c r="AM45" i="7" a="1"/>
  <c r="AM45" i="7" s="1"/>
  <c r="AQ49" i="7"/>
  <c r="AR45" i="7" a="1"/>
  <c r="AR45" i="7" s="1"/>
  <c r="FA53" i="7" a="1"/>
  <c r="FF52" i="7" a="1"/>
  <c r="AF50" i="7" a="1"/>
  <c r="EV53" i="7" a="1"/>
  <c r="FB52" i="7" a="1"/>
  <c r="AL9" i="7" a="1"/>
  <c r="FC53" i="7" a="1"/>
  <c r="FC53" i="7" l="1"/>
  <c r="AL9" i="7"/>
  <c r="FB52" i="7"/>
  <c r="EV53" i="7"/>
  <c r="AF50" i="7"/>
  <c r="FF52" i="7"/>
  <c r="FA53" i="7"/>
  <c r="AF14" i="7"/>
  <c r="AH14" i="7"/>
  <c r="AM8" i="7" a="1"/>
  <c r="AF9" i="7" a="1"/>
  <c r="AK10" i="7" a="1"/>
  <c r="AG51" i="7" a="1"/>
  <c r="AJ9" i="7" a="1"/>
  <c r="FD53" i="7" a="1"/>
  <c r="FE53" i="7" a="1"/>
  <c r="FH52" i="7" l="1" a="1"/>
  <c r="FH52" i="7" s="1"/>
  <c r="FG52" i="7" s="1"/>
  <c r="FE53" i="7"/>
  <c r="FD53" i="7"/>
  <c r="AJ9" i="7"/>
  <c r="AG51" i="7"/>
  <c r="AK10" i="7"/>
  <c r="AJ14" i="7" s="1"/>
  <c r="AF9" i="7"/>
  <c r="AM8" i="7"/>
  <c r="EY53" i="7" a="1"/>
  <c r="EW54" i="7" a="1"/>
  <c r="FF53" i="7" a="1"/>
  <c r="AR8" i="7" a="1"/>
  <c r="AR8" i="7" l="1"/>
  <c r="FF53" i="7"/>
  <c r="EW54" i="7"/>
  <c r="EY53" i="7"/>
  <c r="AG53" i="7" a="1"/>
  <c r="AG53" i="7" s="1"/>
  <c r="AJ51" i="7" a="1"/>
  <c r="AJ51" i="7" s="1"/>
  <c r="AK9" i="7"/>
  <c r="AM10" i="7" a="1"/>
  <c r="AN9" i="7" a="1"/>
  <c r="FA54" i="7" a="1"/>
  <c r="AI9" i="7" a="1"/>
  <c r="EY54" i="7" a="1"/>
  <c r="EZ53" i="7" a="1"/>
  <c r="EZ53" i="7" l="1"/>
  <c r="EY54" i="7"/>
  <c r="AI9" i="7"/>
  <c r="FA54" i="7"/>
  <c r="AN9" i="7"/>
  <c r="AM10" i="7"/>
  <c r="AK51" i="7"/>
  <c r="AG55" i="7"/>
  <c r="AH56" i="7" s="1"/>
  <c r="AI52" i="7"/>
  <c r="AG52" i="7"/>
  <c r="AF55" i="7"/>
  <c r="AH55" i="7"/>
  <c r="AG50" i="7"/>
  <c r="AI51" i="7" s="1" a="1"/>
  <c r="AI51" i="7" s="1"/>
  <c r="AF56" i="7"/>
  <c r="AJ55" i="7"/>
  <c r="AF51" i="7" a="1"/>
  <c r="AF51" i="7" s="1"/>
  <c r="FC54" i="7" a="1"/>
  <c r="AI11" i="7" a="1"/>
  <c r="AI53" i="7" a="1"/>
  <c r="AE15" i="7" a="1"/>
  <c r="EX53" i="7" a="1"/>
  <c r="FE54" i="7" a="1"/>
  <c r="EV54" i="7" a="1"/>
  <c r="AN11" i="7" a="1"/>
  <c r="EW55" i="7" a="1"/>
  <c r="FD54" i="7" a="1"/>
  <c r="EZ54" i="7" a="1"/>
  <c r="EX54" i="7" a="1"/>
  <c r="EX54" i="7" l="1"/>
  <c r="EZ54" i="7"/>
  <c r="FD54" i="7"/>
  <c r="EW55" i="7"/>
  <c r="AN11" i="7"/>
  <c r="EV54" i="7"/>
  <c r="FE54" i="7"/>
  <c r="EX53" i="7"/>
  <c r="AE15" i="7"/>
  <c r="AI53" i="7"/>
  <c r="AI11" i="7"/>
  <c r="FC54" i="7"/>
  <c r="AR53" i="7" a="1"/>
  <c r="AR53" i="7" s="1"/>
  <c r="AR11" i="7" a="1"/>
  <c r="AR11" i="7" s="1"/>
  <c r="AQ13" i="7"/>
  <c r="AN8" i="7"/>
  <c r="AO13" i="7"/>
  <c r="AP10" i="7"/>
  <c r="AN13" i="7"/>
  <c r="AM13" i="7"/>
  <c r="AN10" i="7"/>
  <c r="AF52" i="7" a="1"/>
  <c r="AF52" i="7" s="1"/>
  <c r="AJ56" i="7"/>
  <c r="AK52" i="7" a="1"/>
  <c r="AK52" i="7" s="1"/>
  <c r="AE16" i="7" a="1"/>
  <c r="AM50" i="7" a="1"/>
  <c r="EV55" i="7" a="1"/>
  <c r="FA55" i="7" a="1"/>
  <c r="FB54" i="7" a="1"/>
  <c r="FF54" i="7" a="1"/>
  <c r="FB53" i="7" a="1"/>
  <c r="FC55" i="7" a="1"/>
  <c r="AQ9" i="7" a="1"/>
  <c r="AQ9" i="7" l="1"/>
  <c r="FC55" i="7"/>
  <c r="FB53" i="7"/>
  <c r="FH53" i="7" s="1" a="1"/>
  <c r="FH53" i="7" s="1"/>
  <c r="FG53" i="7" s="1"/>
  <c r="FF54" i="7"/>
  <c r="FB54" i="7"/>
  <c r="FA55" i="7"/>
  <c r="EV55" i="7"/>
  <c r="AM50" i="7"/>
  <c r="AE16" i="7"/>
  <c r="AM14" i="7"/>
  <c r="AO14" i="7"/>
  <c r="EY55" i="7" a="1"/>
  <c r="AF15" i="7" a="1"/>
  <c r="FE55" i="7" a="1"/>
  <c r="FD55" i="7" a="1"/>
  <c r="AM9" i="7" a="1"/>
  <c r="AR10" i="7" a="1"/>
  <c r="AN51" i="7" a="1"/>
  <c r="AN51" i="7" l="1"/>
  <c r="AR10" i="7"/>
  <c r="AQ14" i="7" s="1"/>
  <c r="AM9" i="7"/>
  <c r="FD55" i="7"/>
  <c r="FE55" i="7"/>
  <c r="AF15" i="7"/>
  <c r="EY55" i="7"/>
  <c r="FH54" i="7" a="1"/>
  <c r="FH54" i="7" s="1"/>
  <c r="FG54" i="7" s="1"/>
  <c r="AR9" i="7"/>
  <c r="EW56" i="7" a="1"/>
  <c r="FF55" i="7" a="1"/>
  <c r="EZ55" i="7" a="1"/>
  <c r="AP9" i="7" a="1"/>
  <c r="AK15" i="7" a="1"/>
  <c r="AK15" i="7" l="1"/>
  <c r="AP9" i="7"/>
  <c r="EZ55" i="7"/>
  <c r="FF55" i="7"/>
  <c r="EW56" i="7"/>
  <c r="AQ51" i="7" a="1"/>
  <c r="AQ51" i="7" s="1"/>
  <c r="AN53" i="7" a="1"/>
  <c r="AN53" i="7" s="1"/>
  <c r="AF17" i="7" a="1"/>
  <c r="AG16" i="7" a="1"/>
  <c r="EX55" i="7" a="1"/>
  <c r="EY56" i="7" a="1"/>
  <c r="FA56" i="7" a="1"/>
  <c r="FA56" i="7" l="1"/>
  <c r="EY56" i="7"/>
  <c r="EX55" i="7"/>
  <c r="AG16" i="7"/>
  <c r="AF17" i="7"/>
  <c r="AQ55" i="7"/>
  <c r="AP52" i="7"/>
  <c r="AN52" i="7"/>
  <c r="AN55" i="7"/>
  <c r="AO56" i="7" s="1"/>
  <c r="AM55" i="7"/>
  <c r="AN50" i="7"/>
  <c r="AO55" i="7"/>
  <c r="AM56" i="7"/>
  <c r="AM51" i="7" a="1"/>
  <c r="AM51" i="7" s="1"/>
  <c r="AR51" i="7"/>
  <c r="FC56" i="7" a="1"/>
  <c r="EV56" i="7" a="1"/>
  <c r="FD56" i="7" a="1"/>
  <c r="AL15" i="7" a="1"/>
  <c r="AG18" i="7" a="1"/>
  <c r="EW57" i="7" a="1"/>
  <c r="AP53" i="7" a="1"/>
  <c r="AP11" i="7" a="1"/>
  <c r="FE56" i="7" a="1"/>
  <c r="EZ56" i="7" a="1"/>
  <c r="EZ56" i="7" l="1"/>
  <c r="FE56" i="7"/>
  <c r="AP11" i="7"/>
  <c r="AP53" i="7"/>
  <c r="EW57" i="7"/>
  <c r="AG18" i="7"/>
  <c r="AL15" i="7"/>
  <c r="FD56" i="7"/>
  <c r="EV56" i="7"/>
  <c r="FC56" i="7"/>
  <c r="AK60" i="7" a="1"/>
  <c r="AK60" i="7" s="1"/>
  <c r="AK18" i="7" a="1"/>
  <c r="AK18" i="7" s="1"/>
  <c r="AJ20" i="7"/>
  <c r="AI17" i="7"/>
  <c r="AH20" i="7"/>
  <c r="AG17" i="7"/>
  <c r="AF20" i="7"/>
  <c r="AG20" i="7"/>
  <c r="AG15" i="7"/>
  <c r="AP51" i="7" a="1"/>
  <c r="AP51" i="7" s="1"/>
  <c r="AM52" i="7" a="1"/>
  <c r="AM52" i="7" s="1"/>
  <c r="AQ56" i="7"/>
  <c r="AR52" i="7" a="1"/>
  <c r="AR52" i="7" s="1"/>
  <c r="FF56" i="7" a="1"/>
  <c r="FB55" i="7" a="1"/>
  <c r="FB56" i="7" a="1"/>
  <c r="FC57" i="7" a="1"/>
  <c r="AF57" i="7" a="1"/>
  <c r="EV57" i="7" a="1"/>
  <c r="FA57" i="7" a="1"/>
  <c r="AJ16" i="7" a="1"/>
  <c r="AL16" i="7" a="1"/>
  <c r="EX56" i="7" a="1"/>
  <c r="EX56" i="7" l="1"/>
  <c r="AL16" i="7"/>
  <c r="AJ16" i="7"/>
  <c r="FA57" i="7"/>
  <c r="EV57" i="7"/>
  <c r="AF57" i="7"/>
  <c r="FC57" i="7"/>
  <c r="FB56" i="7"/>
  <c r="FB55" i="7"/>
  <c r="FH55" i="7" s="1" a="1"/>
  <c r="FH55" i="7" s="1"/>
  <c r="FG55" i="7" s="1"/>
  <c r="FF56" i="7"/>
  <c r="AF21" i="7"/>
  <c r="AH21" i="7"/>
  <c r="AM15" i="7" a="1"/>
  <c r="EY57" i="7" a="1"/>
  <c r="FD57" i="7" a="1"/>
  <c r="FE57" i="7" a="1"/>
  <c r="AK17" i="7" a="1"/>
  <c r="AF16" i="7" a="1"/>
  <c r="AG58" i="7" a="1"/>
  <c r="FH56" i="7" l="1" a="1"/>
  <c r="FH56" i="7" s="1"/>
  <c r="FG56" i="7" s="1"/>
  <c r="AG58" i="7"/>
  <c r="AF16" i="7"/>
  <c r="AK17" i="7"/>
  <c r="AJ21" i="7" s="1"/>
  <c r="FE57" i="7"/>
  <c r="FD57" i="7"/>
  <c r="EY57" i="7"/>
  <c r="AM15" i="7"/>
  <c r="AK16" i="7"/>
  <c r="EW58" i="7" a="1"/>
  <c r="AI16" i="7" a="1"/>
  <c r="EZ57" i="7" a="1"/>
  <c r="FF57" i="7" a="1"/>
  <c r="AR15" i="7" a="1"/>
  <c r="AR15" i="7" l="1"/>
  <c r="FF57" i="7"/>
  <c r="EZ57" i="7"/>
  <c r="AI16" i="7"/>
  <c r="EW58" i="7"/>
  <c r="AJ58" i="7" a="1"/>
  <c r="AJ58" i="7" s="1"/>
  <c r="AG60" i="7" a="1"/>
  <c r="AG60" i="7" s="1"/>
  <c r="AM17" i="7" a="1"/>
  <c r="AN16" i="7" a="1"/>
  <c r="EX57" i="7" a="1"/>
  <c r="EY58" i="7" a="1"/>
  <c r="FA58" i="7" a="1"/>
  <c r="FA58" i="7" l="1"/>
  <c r="EY58" i="7"/>
  <c r="EX57" i="7"/>
  <c r="AN16" i="7"/>
  <c r="AM17" i="7"/>
  <c r="AI59" i="7"/>
  <c r="AG59" i="7"/>
  <c r="AG62" i="7"/>
  <c r="AF63" i="7"/>
  <c r="AF62" i="7"/>
  <c r="AJ62" i="7"/>
  <c r="AH62" i="7"/>
  <c r="AG57" i="7"/>
  <c r="AI58" i="7" s="1" a="1"/>
  <c r="AI58" i="7" s="1"/>
  <c r="AF58" i="7" a="1"/>
  <c r="AF58" i="7" s="1"/>
  <c r="AK58" i="7"/>
  <c r="FD58" i="7" a="1"/>
  <c r="EZ58" i="7" a="1"/>
  <c r="AE22" i="7" a="1"/>
  <c r="AI18" i="7" a="1"/>
  <c r="EW59" i="7" a="1"/>
  <c r="EV58" i="7" a="1"/>
  <c r="AN18" i="7" a="1"/>
  <c r="AI60" i="7" a="1"/>
  <c r="FC58" i="7" a="1"/>
  <c r="EX58" i="7" a="1"/>
  <c r="EX58" i="7" l="1"/>
  <c r="FC58" i="7"/>
  <c r="AI60" i="7"/>
  <c r="AN18" i="7"/>
  <c r="EV58" i="7"/>
  <c r="EW59" i="7"/>
  <c r="AI18" i="7"/>
  <c r="AE22" i="7"/>
  <c r="EZ58" i="7"/>
  <c r="FD58" i="7"/>
  <c r="AK59" i="7" a="1"/>
  <c r="AK59" i="7" s="1"/>
  <c r="AF59" i="7" a="1"/>
  <c r="AF59" i="7" s="1"/>
  <c r="AJ63" i="7"/>
  <c r="AR18" i="7" a="1"/>
  <c r="AR18" i="7" s="1"/>
  <c r="AR60" i="7" a="1"/>
  <c r="AR60" i="7" s="1"/>
  <c r="AH63" i="7"/>
  <c r="AO20" i="7"/>
  <c r="AN17" i="7"/>
  <c r="AQ20" i="7"/>
  <c r="AN20" i="7"/>
  <c r="AM20" i="7"/>
  <c r="AN15" i="7"/>
  <c r="AP17" i="7"/>
  <c r="FE58" i="7" a="1"/>
  <c r="FB58" i="7" a="1"/>
  <c r="FA59" i="7" a="1"/>
  <c r="FF58" i="7" a="1"/>
  <c r="FC59" i="7" a="1"/>
  <c r="FB57" i="7" a="1"/>
  <c r="AE23" i="7" a="1"/>
  <c r="AM57" i="7" a="1"/>
  <c r="EV59" i="7" a="1"/>
  <c r="EV59" i="7" l="1"/>
  <c r="AM57" i="7"/>
  <c r="AE23" i="7"/>
  <c r="FB57" i="7"/>
  <c r="FH57" i="7" s="1" a="1"/>
  <c r="FH57" i="7" s="1"/>
  <c r="FG57" i="7" s="1"/>
  <c r="FC59" i="7"/>
  <c r="FF58" i="7"/>
  <c r="FA59" i="7"/>
  <c r="FB58" i="7"/>
  <c r="FE58" i="7"/>
  <c r="AM21" i="7"/>
  <c r="AO21" i="7"/>
  <c r="AR17" i="7" a="1"/>
  <c r="AF22" i="7" a="1"/>
  <c r="AM16" i="7" a="1"/>
  <c r="AN58" i="7" a="1"/>
  <c r="FD59" i="7" a="1"/>
  <c r="FE59" i="7" a="1"/>
  <c r="AQ16" i="7" a="1"/>
  <c r="FH58" i="7" l="1" a="1"/>
  <c r="FH58" i="7" s="1"/>
  <c r="FG58" i="7" s="1"/>
  <c r="AQ16" i="7"/>
  <c r="FE59" i="7"/>
  <c r="FD59" i="7"/>
  <c r="AN58" i="7"/>
  <c r="AM16" i="7"/>
  <c r="AF22" i="7"/>
  <c r="AR17" i="7"/>
  <c r="AQ21" i="7" s="1"/>
  <c r="EY59" i="7" a="1"/>
  <c r="EW60" i="7" a="1"/>
  <c r="AK22" i="7" a="1"/>
  <c r="FF59" i="7" a="1"/>
  <c r="FF59" i="7" l="1"/>
  <c r="AK22" i="7"/>
  <c r="EW60" i="7"/>
  <c r="EY59" i="7"/>
  <c r="AN60" i="7" a="1"/>
  <c r="AN60" i="7" s="1"/>
  <c r="AQ58" i="7" a="1"/>
  <c r="AQ58" i="7" s="1"/>
  <c r="AR16" i="7"/>
  <c r="FA60" i="7" a="1"/>
  <c r="AG23" i="7" a="1"/>
  <c r="AF24" i="7" a="1"/>
  <c r="EY60" i="7" a="1"/>
  <c r="AP16" i="7" a="1"/>
  <c r="EZ59" i="7" a="1"/>
  <c r="EZ59" i="7" l="1"/>
  <c r="AP16" i="7"/>
  <c r="EY60" i="7"/>
  <c r="AF24" i="7"/>
  <c r="AG23" i="7"/>
  <c r="FA60" i="7"/>
  <c r="AR58" i="7"/>
  <c r="AN57" i="7"/>
  <c r="AP58" i="7" s="1" a="1"/>
  <c r="AP58" i="7" s="1"/>
  <c r="AQ62" i="7"/>
  <c r="AP59" i="7"/>
  <c r="AO62" i="7"/>
  <c r="AN62" i="7"/>
  <c r="AO63" i="7" s="1"/>
  <c r="AM62" i="7"/>
  <c r="AM63" i="7"/>
  <c r="AN59" i="7"/>
  <c r="AM58" i="7" a="1"/>
  <c r="AM58" i="7" s="1"/>
  <c r="AL22" i="7" a="1"/>
  <c r="AP60" i="7" a="1"/>
  <c r="EX59" i="7" a="1"/>
  <c r="FD60" i="7" a="1"/>
  <c r="EZ60" i="7" a="1"/>
  <c r="FE60" i="7" a="1"/>
  <c r="FC60" i="7" a="1"/>
  <c r="EX60" i="7" a="1"/>
  <c r="EV60" i="7" a="1"/>
  <c r="EW61" i="7" a="1"/>
  <c r="AP18" i="7" a="1"/>
  <c r="AG25" i="7" a="1"/>
  <c r="AG25" i="7" l="1"/>
  <c r="AP18" i="7"/>
  <c r="EW61" i="7"/>
  <c r="EV60" i="7"/>
  <c r="EX60" i="7"/>
  <c r="FC60" i="7"/>
  <c r="FE60" i="7"/>
  <c r="EZ60" i="7"/>
  <c r="FD60" i="7"/>
  <c r="EX59" i="7"/>
  <c r="AP60" i="7"/>
  <c r="AL22" i="7"/>
  <c r="AG27" i="7"/>
  <c r="AG22" i="7"/>
  <c r="AH27" i="7"/>
  <c r="AF27" i="7"/>
  <c r="AI24" i="7"/>
  <c r="AG24" i="7"/>
  <c r="AJ27" i="7"/>
  <c r="AQ63" i="7"/>
  <c r="AR59" i="7" a="1"/>
  <c r="AR59" i="7" s="1"/>
  <c r="AM59" i="7" a="1"/>
  <c r="AM59" i="7" s="1"/>
  <c r="AK67" i="7" a="1"/>
  <c r="AK67" i="7" s="1"/>
  <c r="AK25" i="7" a="1"/>
  <c r="AK25" i="7" s="1"/>
  <c r="FA61" i="7" a="1"/>
  <c r="FB59" i="7" a="1"/>
  <c r="FB60" i="7" a="1"/>
  <c r="AL23" i="7" a="1"/>
  <c r="FC61" i="7" a="1"/>
  <c r="FF60" i="7" a="1"/>
  <c r="AF64" i="7" a="1"/>
  <c r="EV61" i="7" a="1"/>
  <c r="EV61" i="7" l="1"/>
  <c r="AF64" i="7"/>
  <c r="FF60" i="7"/>
  <c r="FC61" i="7"/>
  <c r="AL23" i="7"/>
  <c r="FB60" i="7"/>
  <c r="FB59" i="7"/>
  <c r="FH59" i="7" s="1" a="1"/>
  <c r="FH59" i="7" s="1"/>
  <c r="FG59" i="7" s="1"/>
  <c r="FA61" i="7"/>
  <c r="AF28" i="7"/>
  <c r="AH28" i="7"/>
  <c r="AK24" i="7" a="1"/>
  <c r="AF23" i="7" a="1"/>
  <c r="AG65" i="7" a="1"/>
  <c r="AJ23" i="7" a="1"/>
  <c r="AM22" i="7" a="1"/>
  <c r="FD61" i="7" a="1"/>
  <c r="FE61" i="7" a="1"/>
  <c r="FH60" i="7" l="1" a="1"/>
  <c r="FH60" i="7" s="1"/>
  <c r="FG60" i="7" s="1"/>
  <c r="FE61" i="7"/>
  <c r="FD61" i="7"/>
  <c r="AM22" i="7"/>
  <c r="AJ23" i="7"/>
  <c r="AG65" i="7"/>
  <c r="AF23" i="7"/>
  <c r="AK24" i="7"/>
  <c r="AJ28" i="7" s="1"/>
  <c r="AR22" i="7" a="1"/>
  <c r="EY61" i="7" a="1"/>
  <c r="EW62" i="7" a="1"/>
  <c r="FF61" i="7" a="1"/>
  <c r="FF61" i="7" l="1"/>
  <c r="EW62" i="7"/>
  <c r="EY61" i="7"/>
  <c r="AR22" i="7"/>
  <c r="AG67" i="7" a="1"/>
  <c r="AG67" i="7" s="1"/>
  <c r="AJ65" i="7" a="1"/>
  <c r="AJ65" i="7" s="1"/>
  <c r="AK23" i="7"/>
  <c r="AM24" i="7" a="1"/>
  <c r="AN23" i="7" a="1"/>
  <c r="FA62" i="7" a="1"/>
  <c r="EZ61" i="7" a="1"/>
  <c r="EY62" i="7" a="1"/>
  <c r="AI23" i="7" a="1"/>
  <c r="AI23" i="7" l="1"/>
  <c r="EY62" i="7"/>
  <c r="EZ61" i="7"/>
  <c r="FA62" i="7"/>
  <c r="AN23" i="7"/>
  <c r="AM24" i="7"/>
  <c r="AK65" i="7"/>
  <c r="AG69" i="7"/>
  <c r="AH70" i="7" s="1"/>
  <c r="AF69" i="7"/>
  <c r="AH69" i="7"/>
  <c r="AI66" i="7"/>
  <c r="AG66" i="7"/>
  <c r="AG64" i="7"/>
  <c r="AI65" i="7" s="1" a="1"/>
  <c r="AI65" i="7" s="1"/>
  <c r="AJ69" i="7"/>
  <c r="AF70" i="7"/>
  <c r="AF65" i="7" a="1"/>
  <c r="AF65" i="7" s="1"/>
  <c r="EX61" i="7" a="1"/>
  <c r="FC62" i="7" a="1"/>
  <c r="FE62" i="7" a="1"/>
  <c r="AI25" i="7" a="1"/>
  <c r="AI67" i="7" a="1"/>
  <c r="EX62" i="7" a="1"/>
  <c r="AE29" i="7" a="1"/>
  <c r="EW63" i="7" a="1"/>
  <c r="FD62" i="7" a="1"/>
  <c r="EV62" i="7" a="1"/>
  <c r="EZ62" i="7" a="1"/>
  <c r="AN25" i="7" a="1"/>
  <c r="AN25" i="7" l="1"/>
  <c r="EZ62" i="7"/>
  <c r="EV62" i="7"/>
  <c r="FD62" i="7"/>
  <c r="EW63" i="7"/>
  <c r="AE29" i="7"/>
  <c r="EX62" i="7"/>
  <c r="AI67" i="7"/>
  <c r="AI25" i="7"/>
  <c r="FE62" i="7"/>
  <c r="FC62" i="7"/>
  <c r="EX61" i="7"/>
  <c r="AF66" i="7" a="1"/>
  <c r="AF66" i="7" s="1"/>
  <c r="AK66" i="7" a="1"/>
  <c r="AK66" i="7" s="1"/>
  <c r="AJ70" i="7"/>
  <c r="AR67" i="7" a="1"/>
  <c r="AR67" i="7" s="1"/>
  <c r="AR25" i="7" a="1"/>
  <c r="AR25" i="7" s="1"/>
  <c r="AN22" i="7"/>
  <c r="AO27" i="7"/>
  <c r="AP24" i="7"/>
  <c r="AQ27" i="7"/>
  <c r="AN27" i="7"/>
  <c r="AM27" i="7"/>
  <c r="AN24" i="7"/>
  <c r="FA63" i="7" a="1"/>
  <c r="FB61" i="7" a="1"/>
  <c r="AM64" i="7" a="1"/>
  <c r="EV63" i="7" a="1"/>
  <c r="FB62" i="7" a="1"/>
  <c r="FF62" i="7" a="1"/>
  <c r="FC63" i="7" a="1"/>
  <c r="AE30" i="7" a="1"/>
  <c r="AQ23" i="7" a="1"/>
  <c r="AQ23" i="7" l="1"/>
  <c r="AE30" i="7"/>
  <c r="FC63" i="7"/>
  <c r="FF62" i="7"/>
  <c r="FB62" i="7"/>
  <c r="EV63" i="7"/>
  <c r="AM64" i="7"/>
  <c r="FB61" i="7"/>
  <c r="FH61" i="7" s="1" a="1"/>
  <c r="FH61" i="7" s="1"/>
  <c r="FG61" i="7" s="1"/>
  <c r="FA63" i="7"/>
  <c r="AM28" i="7"/>
  <c r="AO28" i="7"/>
  <c r="EY63" i="7" a="1"/>
  <c r="AM23" i="7" a="1"/>
  <c r="AF29" i="7" a="1"/>
  <c r="AR24" i="7" a="1"/>
  <c r="FD63" i="7" a="1"/>
  <c r="FE63" i="7" a="1"/>
  <c r="AN65" i="7" a="1"/>
  <c r="FH62" i="7" l="1" a="1"/>
  <c r="FH62" i="7" s="1"/>
  <c r="FG62" i="7" s="1"/>
  <c r="AN65" i="7"/>
  <c r="FE63" i="7"/>
  <c r="FD63" i="7"/>
  <c r="AR24" i="7"/>
  <c r="AQ28" i="7" s="1"/>
  <c r="AF29" i="7"/>
  <c r="AM23" i="7"/>
  <c r="EY63" i="7"/>
  <c r="AR23" i="7"/>
  <c r="EW64" i="7" a="1"/>
  <c r="AP23" i="7" a="1"/>
  <c r="EZ63" i="7" a="1"/>
  <c r="FF63" i="7" a="1"/>
  <c r="AK29" i="7" a="1"/>
  <c r="AK29" i="7" l="1"/>
  <c r="FF63" i="7"/>
  <c r="EZ63" i="7"/>
  <c r="AP23" i="7"/>
  <c r="EW64" i="7"/>
  <c r="AN67" i="7" a="1"/>
  <c r="AN67" i="7" s="1"/>
  <c r="AQ65" i="7" a="1"/>
  <c r="AQ65" i="7" s="1"/>
  <c r="AG30" i="7" a="1"/>
  <c r="AF31" i="7" a="1"/>
  <c r="EX63" i="7" a="1"/>
  <c r="EY64" i="7" a="1"/>
  <c r="FA64" i="7" a="1"/>
  <c r="FA64" i="7" l="1"/>
  <c r="EY64" i="7"/>
  <c r="EX63" i="7"/>
  <c r="AF31" i="7"/>
  <c r="AG30" i="7"/>
  <c r="AO69" i="7"/>
  <c r="AN64" i="7"/>
  <c r="AM69" i="7"/>
  <c r="AN66" i="7"/>
  <c r="AQ69" i="7"/>
  <c r="AN69" i="7"/>
  <c r="AP66" i="7"/>
  <c r="AM70" i="7"/>
  <c r="AM65" i="7" a="1"/>
  <c r="AM65" i="7" s="1"/>
  <c r="AP65" i="7" a="1"/>
  <c r="AP65" i="7" s="1"/>
  <c r="AR65" i="7"/>
  <c r="EZ64" i="7" a="1"/>
  <c r="AG32" i="7" a="1"/>
  <c r="AL29" i="7" a="1"/>
  <c r="FC64" i="7" a="1"/>
  <c r="AP25" i="7" a="1"/>
  <c r="AP67" i="7" a="1"/>
  <c r="EW65" i="7" a="1"/>
  <c r="FD64" i="7" a="1"/>
  <c r="EX64" i="7" a="1"/>
  <c r="EV64" i="7" a="1"/>
  <c r="EV64" i="7" l="1"/>
  <c r="EX64" i="7"/>
  <c r="FD64" i="7"/>
  <c r="EW65" i="7"/>
  <c r="AP67" i="7"/>
  <c r="AP25" i="7"/>
  <c r="FC64" i="7"/>
  <c r="AL29" i="7"/>
  <c r="AG32" i="7"/>
  <c r="EZ64" i="7"/>
  <c r="AQ70" i="7"/>
  <c r="AR66" i="7" a="1"/>
  <c r="AR66" i="7" s="1"/>
  <c r="AM66" i="7" a="1"/>
  <c r="AM66" i="7" s="1"/>
  <c r="AG29" i="7"/>
  <c r="AJ34" i="7"/>
  <c r="AG34" i="7"/>
  <c r="AF34" i="7"/>
  <c r="AI31" i="7"/>
  <c r="AH34" i="7"/>
  <c r="AG31" i="7"/>
  <c r="AK74" i="7" a="1"/>
  <c r="AK74" i="7" s="1"/>
  <c r="AK32" i="7" a="1"/>
  <c r="AK32" i="7" s="1"/>
  <c r="AO70" i="7"/>
  <c r="FA65" i="7" a="1"/>
  <c r="FE64" i="7" a="1"/>
  <c r="FF64" i="7" a="1"/>
  <c r="AL30" i="7" a="1"/>
  <c r="AJ30" i="7" a="1"/>
  <c r="FB64" i="7" a="1"/>
  <c r="FC65" i="7" a="1"/>
  <c r="FB63" i="7" a="1"/>
  <c r="AF71" i="7" a="1"/>
  <c r="EV65" i="7" a="1"/>
  <c r="EV65" i="7" l="1"/>
  <c r="AF71" i="7"/>
  <c r="FB63" i="7"/>
  <c r="FH63" i="7" s="1" a="1"/>
  <c r="FH63" i="7" s="1"/>
  <c r="FG63" i="7" s="1"/>
  <c r="FC65" i="7"/>
  <c r="FB64" i="7"/>
  <c r="AJ30" i="7"/>
  <c r="AL30" i="7"/>
  <c r="FF64" i="7"/>
  <c r="FE64" i="7"/>
  <c r="FA65" i="7"/>
  <c r="AF35" i="7"/>
  <c r="AH35" i="7"/>
  <c r="AK31" i="7" a="1"/>
  <c r="AF30" i="7" a="1"/>
  <c r="AM29" i="7" a="1"/>
  <c r="FE65" i="7" a="1"/>
  <c r="AG72" i="7" a="1"/>
  <c r="EY65" i="7" a="1"/>
  <c r="FD65" i="7" a="1"/>
  <c r="FH64" i="7" l="1" a="1"/>
  <c r="FH64" i="7" s="1"/>
  <c r="FG64" i="7" s="1"/>
  <c r="FD65" i="7"/>
  <c r="EY65" i="7"/>
  <c r="AG72" i="7"/>
  <c r="FE65" i="7"/>
  <c r="AM29" i="7"/>
  <c r="AF30" i="7"/>
  <c r="AK31" i="7"/>
  <c r="AJ35" i="7" s="1"/>
  <c r="AK30" i="7"/>
  <c r="EZ65" i="7" a="1"/>
  <c r="EW66" i="7" a="1"/>
  <c r="AR29" i="7" a="1"/>
  <c r="AI30" i="7" a="1"/>
  <c r="FF65" i="7" a="1"/>
  <c r="FF65" i="7" l="1"/>
  <c r="AI30" i="7"/>
  <c r="AR29" i="7"/>
  <c r="EW66" i="7"/>
  <c r="EZ65" i="7"/>
  <c r="AG74" i="7" a="1"/>
  <c r="AG74" i="7" s="1"/>
  <c r="AJ72" i="7" a="1"/>
  <c r="AJ72" i="7" s="1"/>
  <c r="EX65" i="7" a="1"/>
  <c r="AM31" i="7" a="1"/>
  <c r="AN30" i="7" a="1"/>
  <c r="FA66" i="7" a="1"/>
  <c r="EY66" i="7" a="1"/>
  <c r="EY66" i="7" l="1"/>
  <c r="FA66" i="7"/>
  <c r="AN30" i="7"/>
  <c r="AM31" i="7"/>
  <c r="EX65" i="7"/>
  <c r="AK72" i="7"/>
  <c r="AF76" i="7"/>
  <c r="AI73" i="7"/>
  <c r="AG73" i="7"/>
  <c r="AG71" i="7"/>
  <c r="AI72" i="7" s="1" a="1"/>
  <c r="AI72" i="7" s="1"/>
  <c r="AH76" i="7"/>
  <c r="AF77" i="7"/>
  <c r="AG76" i="7"/>
  <c r="AH77" i="7" s="1"/>
  <c r="AJ76" i="7"/>
  <c r="AF72" i="7" a="1"/>
  <c r="AF72" i="7" s="1"/>
  <c r="AI74" i="7" a="1"/>
  <c r="FD66" i="7" a="1"/>
  <c r="AI32" i="7" a="1"/>
  <c r="EW67" i="7" a="1"/>
  <c r="EV66" i="7" a="1"/>
  <c r="AE36" i="7" a="1"/>
  <c r="EZ66" i="7" a="1"/>
  <c r="FC66" i="7" a="1"/>
  <c r="AN32" i="7" a="1"/>
  <c r="EX66" i="7" a="1"/>
  <c r="FE66" i="7" a="1"/>
  <c r="FE66" i="7" l="1"/>
  <c r="EX66" i="7"/>
  <c r="AN32" i="7"/>
  <c r="FC66" i="7"/>
  <c r="EZ66" i="7"/>
  <c r="AE36" i="7"/>
  <c r="EV66" i="7"/>
  <c r="EW67" i="7"/>
  <c r="AI32" i="7"/>
  <c r="FD66" i="7"/>
  <c r="AI74" i="7"/>
  <c r="AR32" i="7" a="1"/>
  <c r="AR32" i="7" s="1"/>
  <c r="AR74" i="7" a="1"/>
  <c r="AR74" i="7" s="1"/>
  <c r="AJ77" i="7"/>
  <c r="AF73" i="7" a="1"/>
  <c r="AF73" i="7" s="1"/>
  <c r="AK73" i="7" a="1"/>
  <c r="AK73" i="7" s="1"/>
  <c r="AM34" i="7"/>
  <c r="AO34" i="7"/>
  <c r="AP31" i="7"/>
  <c r="AQ34" i="7"/>
  <c r="AN34" i="7"/>
  <c r="AN31" i="7"/>
  <c r="AN29" i="7"/>
  <c r="FB65" i="7" a="1"/>
  <c r="FC67" i="7" a="1"/>
  <c r="AQ30" i="7" a="1"/>
  <c r="FA67" i="7" a="1"/>
  <c r="FB66" i="7" a="1"/>
  <c r="AM71" i="7" a="1"/>
  <c r="EV67" i="7" a="1"/>
  <c r="AE37" i="7" a="1"/>
  <c r="FF66" i="7" a="1"/>
  <c r="FF66" i="7" l="1"/>
  <c r="AE37" i="7"/>
  <c r="EV67" i="7"/>
  <c r="AM71" i="7"/>
  <c r="FB66" i="7"/>
  <c r="FA67" i="7"/>
  <c r="AQ30" i="7"/>
  <c r="FC67" i="7"/>
  <c r="FB65" i="7"/>
  <c r="FH65" i="7" s="1" a="1"/>
  <c r="FH65" i="7" s="1"/>
  <c r="FG65" i="7" s="1"/>
  <c r="AM35" i="7"/>
  <c r="AO35" i="7"/>
  <c r="AF36" i="7" a="1"/>
  <c r="AM30" i="7" a="1"/>
  <c r="AR31" i="7" a="1"/>
  <c r="AN72" i="7" a="1"/>
  <c r="FD67" i="7" a="1"/>
  <c r="FE67" i="7" a="1"/>
  <c r="EY67" i="7" a="1"/>
  <c r="FH66" i="7" l="1" a="1"/>
  <c r="FH66" i="7" s="1"/>
  <c r="FG66" i="7" s="1"/>
  <c r="EY67" i="7"/>
  <c r="FE67" i="7"/>
  <c r="FD67" i="7"/>
  <c r="AN72" i="7"/>
  <c r="AR31" i="7"/>
  <c r="AQ35" i="7" s="1"/>
  <c r="AM30" i="7"/>
  <c r="AF36" i="7"/>
  <c r="AR30" i="7"/>
  <c r="EZ67" i="7" a="1"/>
  <c r="EW68" i="7" a="1"/>
  <c r="FF67" i="7" a="1"/>
  <c r="AK36" i="7" a="1"/>
  <c r="AP30" i="7" a="1"/>
  <c r="AP30" i="7" l="1"/>
  <c r="AK36" i="7"/>
  <c r="FF67" i="7"/>
  <c r="EW68" i="7"/>
  <c r="EZ67" i="7"/>
  <c r="AN74" i="7" a="1"/>
  <c r="AN74" i="7" s="1"/>
  <c r="AQ72" i="7" a="1"/>
  <c r="AQ72" i="7" s="1"/>
  <c r="EX67" i="7" a="1"/>
  <c r="EY68" i="7" a="1"/>
  <c r="AG37" i="7" a="1"/>
  <c r="AF38" i="7" a="1"/>
  <c r="FA68" i="7" a="1"/>
  <c r="FA68" i="7" l="1"/>
  <c r="AF38" i="7"/>
  <c r="AG37" i="7"/>
  <c r="EY68" i="7"/>
  <c r="EX67" i="7"/>
  <c r="AM76" i="7"/>
  <c r="AN73" i="7"/>
  <c r="AQ76" i="7"/>
  <c r="AN76" i="7"/>
  <c r="AO77" i="7" s="1"/>
  <c r="AM77" i="7"/>
  <c r="AO76" i="7"/>
  <c r="AN71" i="7"/>
  <c r="AP72" i="7" s="1" a="1"/>
  <c r="AP72" i="7" s="1"/>
  <c r="AP73" i="7"/>
  <c r="AM72" i="7" a="1"/>
  <c r="AM72" i="7" s="1"/>
  <c r="AR72" i="7"/>
  <c r="FC68" i="7" a="1"/>
  <c r="AP32" i="7" a="1"/>
  <c r="FD68" i="7" a="1"/>
  <c r="EV68" i="7" a="1"/>
  <c r="AL36" i="7" a="1"/>
  <c r="EX68" i="7" a="1"/>
  <c r="EW69" i="7" a="1"/>
  <c r="AG39" i="7" a="1"/>
  <c r="FE68" i="7" a="1"/>
  <c r="EZ68" i="7" a="1"/>
  <c r="AP74" i="7" a="1"/>
  <c r="AP74" i="7" l="1"/>
  <c r="EZ68" i="7"/>
  <c r="FE68" i="7"/>
  <c r="AG39" i="7"/>
  <c r="EW69" i="7"/>
  <c r="EX68" i="7"/>
  <c r="AL36" i="7"/>
  <c r="EV68" i="7"/>
  <c r="FD68" i="7"/>
  <c r="AP32" i="7"/>
  <c r="FC68" i="7"/>
  <c r="AH41" i="7"/>
  <c r="AG36" i="7"/>
  <c r="AI38" i="7"/>
  <c r="AF41" i="7"/>
  <c r="AJ41" i="7"/>
  <c r="AG38" i="7"/>
  <c r="AG41" i="7"/>
  <c r="AM73" i="7" a="1"/>
  <c r="AM73" i="7" s="1"/>
  <c r="AR73" i="7" a="1"/>
  <c r="AR73" i="7" s="1"/>
  <c r="AQ77" i="7"/>
  <c r="AK81" i="7" a="1"/>
  <c r="AK81" i="7" s="1"/>
  <c r="AK39" i="7" a="1"/>
  <c r="AK39" i="7" s="1"/>
  <c r="FB68" i="7" a="1"/>
  <c r="FC69" i="7" a="1"/>
  <c r="FB67" i="7" a="1"/>
  <c r="AL37" i="7" a="1"/>
  <c r="FA69" i="7" a="1"/>
  <c r="FF68" i="7" a="1"/>
  <c r="AF78" i="7" a="1"/>
  <c r="EV69" i="7" a="1"/>
  <c r="EV69" i="7" l="1"/>
  <c r="AF78" i="7"/>
  <c r="FF68" i="7"/>
  <c r="FA69" i="7"/>
  <c r="AL37" i="7"/>
  <c r="FB67" i="7"/>
  <c r="FH67" i="7" s="1" a="1"/>
  <c r="FH67" i="7" s="1"/>
  <c r="FG67" i="7" s="1"/>
  <c r="FC69" i="7"/>
  <c r="FB68" i="7"/>
  <c r="AF42" i="7"/>
  <c r="AH42" i="7"/>
  <c r="AK38" i="7" a="1"/>
  <c r="AF37" i="7" a="1"/>
  <c r="AG79" i="7" a="1"/>
  <c r="AJ37" i="7" a="1"/>
  <c r="AM36" i="7" a="1"/>
  <c r="FD69" i="7" a="1"/>
  <c r="FE69" i="7" a="1"/>
  <c r="FH68" i="7" l="1" a="1"/>
  <c r="FH68" i="7" s="1"/>
  <c r="FG68" i="7" s="1"/>
  <c r="FE69" i="7"/>
  <c r="FD69" i="7"/>
  <c r="AM36" i="7"/>
  <c r="AJ37" i="7"/>
  <c r="AG79" i="7"/>
  <c r="AF37" i="7"/>
  <c r="AK38" i="7"/>
  <c r="AJ42" i="7" s="1"/>
  <c r="AR36" i="7" a="1"/>
  <c r="EY69" i="7" a="1"/>
  <c r="EW70" i="7" a="1"/>
  <c r="FF69" i="7" a="1"/>
  <c r="FF69" i="7" l="1"/>
  <c r="EW70" i="7"/>
  <c r="EY69" i="7"/>
  <c r="AR36" i="7"/>
  <c r="AJ79" i="7" a="1"/>
  <c r="AJ79" i="7" s="1"/>
  <c r="AG81" i="7" a="1"/>
  <c r="AG81" i="7" s="1"/>
  <c r="AK37" i="7"/>
  <c r="AM38" i="7" a="1"/>
  <c r="AN37" i="7" a="1"/>
  <c r="EY70" i="7" a="1"/>
  <c r="EZ69" i="7" a="1"/>
  <c r="FA70" i="7" a="1"/>
  <c r="AI37" i="7" a="1"/>
  <c r="AI37" i="7" l="1"/>
  <c r="FA70" i="7"/>
  <c r="EZ69" i="7"/>
  <c r="EY70" i="7"/>
  <c r="AN37" i="7"/>
  <c r="AM38" i="7"/>
  <c r="AG83" i="7"/>
  <c r="AH84" i="7" s="1"/>
  <c r="AI80" i="7"/>
  <c r="AG80" i="7"/>
  <c r="AJ83" i="7"/>
  <c r="AF83" i="7"/>
  <c r="AF84" i="7"/>
  <c r="AH83" i="7"/>
  <c r="AG78" i="7"/>
  <c r="AI79" i="7" s="1" a="1"/>
  <c r="AI79" i="7" s="1"/>
  <c r="AF79" i="7" a="1"/>
  <c r="AF79" i="7" s="1"/>
  <c r="AK79" i="7"/>
  <c r="EX69" i="7" a="1"/>
  <c r="EZ70" i="7" a="1"/>
  <c r="AN39" i="7" a="1"/>
  <c r="EX70" i="7" a="1"/>
  <c r="EV70" i="7" a="1"/>
  <c r="EW71" i="7" a="1"/>
  <c r="FD70" i="7" a="1"/>
  <c r="AI39" i="7" a="1"/>
  <c r="AT1" i="7" a="1"/>
  <c r="FC70" i="7" a="1"/>
  <c r="AI81" i="7" a="1"/>
  <c r="FE70" i="7" a="1"/>
  <c r="FE70" i="7" l="1"/>
  <c r="AI81" i="7"/>
  <c r="FC70" i="7"/>
  <c r="AT1" i="7"/>
  <c r="AI39" i="7"/>
  <c r="FD70" i="7"/>
  <c r="EW71" i="7"/>
  <c r="EV70" i="7"/>
  <c r="EX70" i="7"/>
  <c r="AN39" i="7"/>
  <c r="EZ70" i="7"/>
  <c r="EX69" i="7"/>
  <c r="AR81" i="7" a="1"/>
  <c r="AR81" i="7" s="1"/>
  <c r="AR39" i="7" a="1"/>
  <c r="AR39" i="7" s="1"/>
  <c r="AM41" i="7"/>
  <c r="AP38" i="7"/>
  <c r="AN36" i="7"/>
  <c r="AN38" i="7"/>
  <c r="AO41" i="7"/>
  <c r="AN41" i="7"/>
  <c r="AQ41" i="7"/>
  <c r="AJ84" i="7"/>
  <c r="AK80" i="7" a="1"/>
  <c r="AK80" i="7" s="1"/>
  <c r="AF80" i="7" a="1"/>
  <c r="AF80" i="7" s="1"/>
  <c r="FF70" i="7" a="1"/>
  <c r="FB70" i="7" a="1"/>
  <c r="FA71" i="7" a="1"/>
  <c r="AQ37" i="7" a="1"/>
  <c r="AM78" i="7" a="1"/>
  <c r="EV71" i="7" a="1"/>
  <c r="FC71" i="7" a="1"/>
  <c r="AT2" i="7" a="1"/>
  <c r="FB69" i="7" a="1"/>
  <c r="FB69" i="7" l="1"/>
  <c r="FH69" i="7" s="1" a="1"/>
  <c r="FH69" i="7" s="1"/>
  <c r="FG69" i="7" s="1"/>
  <c r="AT2" i="7"/>
  <c r="FC71" i="7"/>
  <c r="EV71" i="7"/>
  <c r="AM78" i="7"/>
  <c r="AQ37" i="7"/>
  <c r="FA71" i="7"/>
  <c r="FB70" i="7"/>
  <c r="FF70" i="7"/>
  <c r="AM42" i="7"/>
  <c r="AO42" i="7"/>
  <c r="FD71" i="7" a="1"/>
  <c r="FE71" i="7" a="1"/>
  <c r="AU1" i="7" a="1"/>
  <c r="AM37" i="7" a="1"/>
  <c r="AR38" i="7" a="1"/>
  <c r="EY71" i="7" a="1"/>
  <c r="AN79" i="7" a="1"/>
  <c r="FH70" i="7" l="1" a="1"/>
  <c r="FH70" i="7" s="1"/>
  <c r="FG70" i="7" s="1"/>
  <c r="AN79" i="7"/>
  <c r="EY71" i="7"/>
  <c r="AR38" i="7"/>
  <c r="AQ42" i="7" s="1"/>
  <c r="AM37" i="7"/>
  <c r="AU1" i="7"/>
  <c r="FE71" i="7"/>
  <c r="FD71" i="7"/>
  <c r="AR37" i="7"/>
  <c r="EW72" i="7" a="1"/>
  <c r="AP37" i="7" a="1"/>
  <c r="FF71" i="7" a="1"/>
  <c r="EZ71" i="7" a="1"/>
  <c r="AZ1" i="7" a="1"/>
  <c r="AZ1" i="7" l="1"/>
  <c r="EZ71" i="7"/>
  <c r="FF71" i="7"/>
  <c r="AP37" i="7"/>
  <c r="EW72" i="7"/>
  <c r="AQ79" i="7" a="1"/>
  <c r="AQ79" i="7" s="1"/>
  <c r="AN81" i="7" a="1"/>
  <c r="AN81" i="7" s="1"/>
  <c r="AU3" i="7" a="1"/>
  <c r="BA1" i="7" a="1"/>
  <c r="AV2" i="7" a="1"/>
  <c r="FA72" i="7" a="1"/>
  <c r="EX71" i="7" a="1"/>
  <c r="EY72" i="7" a="1"/>
  <c r="EY72" i="7" l="1"/>
  <c r="EX71" i="7"/>
  <c r="FA72" i="7"/>
  <c r="AV2" i="7"/>
  <c r="BA1" i="7"/>
  <c r="AU3" i="7"/>
  <c r="AR79" i="7"/>
  <c r="AO83" i="7"/>
  <c r="AN78" i="7"/>
  <c r="AN83" i="7"/>
  <c r="AO84" i="7" s="1"/>
  <c r="AM83" i="7"/>
  <c r="AM84" i="7"/>
  <c r="AQ83" i="7"/>
  <c r="AP80" i="7"/>
  <c r="AN80" i="7"/>
  <c r="AM79" i="7" a="1"/>
  <c r="AM79" i="7" s="1"/>
  <c r="EV72" i="7" a="1"/>
  <c r="AP81" i="7" a="1"/>
  <c r="FC72" i="7" a="1"/>
  <c r="FE72" i="7" a="1"/>
  <c r="FD72" i="7" a="1"/>
  <c r="BA2" i="7" a="1"/>
  <c r="AV4" i="7" a="1"/>
  <c r="AP39" i="7" a="1"/>
  <c r="EZ72" i="7" a="1"/>
  <c r="EZ72" i="7" l="1"/>
  <c r="AP39" i="7"/>
  <c r="AV4" i="7"/>
  <c r="BA2" i="7"/>
  <c r="FD72" i="7"/>
  <c r="FE72" i="7"/>
  <c r="FC72" i="7"/>
  <c r="AP81" i="7"/>
  <c r="EV72" i="7"/>
  <c r="AZ46" i="7" a="1"/>
  <c r="AZ46" i="7" s="1"/>
  <c r="AZ4" i="7" a="1"/>
  <c r="AZ4" i="7" s="1"/>
  <c r="AX3" i="7"/>
  <c r="AV1" i="7"/>
  <c r="AY6" i="7"/>
  <c r="AW6" i="7"/>
  <c r="AU6" i="7"/>
  <c r="AV6" i="7"/>
  <c r="FC73" i="7" s="1"/>
  <c r="EW73" i="7"/>
  <c r="AV3" i="7"/>
  <c r="AP79" i="7" a="1"/>
  <c r="AP79" i="7" s="1"/>
  <c r="AQ84" i="7"/>
  <c r="AR80" i="7" a="1"/>
  <c r="AR80" i="7" s="1"/>
  <c r="AM80" i="7" a="1"/>
  <c r="AM80" i="7" s="1"/>
  <c r="FF72" i="7" a="1"/>
  <c r="FB72" i="7" a="1"/>
  <c r="EX72" i="7" a="1"/>
  <c r="FB71" i="7" a="1"/>
  <c r="AY2" i="7" a="1"/>
  <c r="BB1" i="7" a="1"/>
  <c r="AU43" i="7" a="1"/>
  <c r="AU43" i="7" l="1"/>
  <c r="BB1" i="7"/>
  <c r="AY2" i="7"/>
  <c r="FB71" i="7"/>
  <c r="FH71" i="7" s="1" a="1"/>
  <c r="FH71" i="7" s="1"/>
  <c r="FG71" i="7" s="1"/>
  <c r="EX72" i="7"/>
  <c r="FB72" i="7"/>
  <c r="FF72" i="7"/>
  <c r="EV73" i="7"/>
  <c r="FA73" i="7"/>
  <c r="AU7" i="7"/>
  <c r="FD73" i="7" s="1"/>
  <c r="AW7" i="7"/>
  <c r="FE73" i="7" s="1"/>
  <c r="AV44" i="7" a="1"/>
  <c r="BG1" i="7" a="1"/>
  <c r="AZ3" i="7" a="1"/>
  <c r="AU2" i="7" a="1"/>
  <c r="FH72" i="7" l="1" a="1"/>
  <c r="FH72" i="7" s="1"/>
  <c r="FG72" i="7" s="1"/>
  <c r="AU2" i="7"/>
  <c r="AZ3" i="7"/>
  <c r="AY7" i="7" s="1"/>
  <c r="FF73" i="7" s="1"/>
  <c r="BG1" i="7"/>
  <c r="AV44" i="7"/>
  <c r="EY73" i="7"/>
  <c r="AZ2" i="7"/>
  <c r="EZ73" i="7" s="1"/>
  <c r="AX2" i="7" a="1"/>
  <c r="BC2" i="7" a="1"/>
  <c r="BB3" i="7" a="1"/>
  <c r="EW74" i="7" a="1"/>
  <c r="EW74" i="7" l="1"/>
  <c r="BB3" i="7"/>
  <c r="BC2" i="7"/>
  <c r="AX2" i="7"/>
  <c r="EX73" i="7" s="1"/>
  <c r="AV46" i="7" a="1"/>
  <c r="AV46" i="7" s="1"/>
  <c r="AY44" i="7" a="1"/>
  <c r="AY44" i="7" s="1"/>
  <c r="AT8" i="7" a="1"/>
  <c r="FA74" i="7" a="1"/>
  <c r="BC4" i="7" a="1"/>
  <c r="AX4" i="7" a="1"/>
  <c r="EY74" i="7" a="1"/>
  <c r="EY74" i="7" l="1"/>
  <c r="AX4" i="7"/>
  <c r="FB73" i="7" s="1"/>
  <c r="FH73" i="7" s="1" a="1"/>
  <c r="FH73" i="7" s="1"/>
  <c r="FG73" i="7" s="1"/>
  <c r="BC4" i="7"/>
  <c r="FA74" i="7"/>
  <c r="AT8" i="7"/>
  <c r="AZ44" i="7"/>
  <c r="BG46" i="7" a="1"/>
  <c r="BG46" i="7" s="1"/>
  <c r="BG4" i="7" a="1"/>
  <c r="BG4" i="7" s="1"/>
  <c r="AV43" i="7"/>
  <c r="AX44" i="7" s="1" a="1"/>
  <c r="AX44" i="7" s="1"/>
  <c r="AU49" i="7"/>
  <c r="AY48" i="7"/>
  <c r="AV45" i="7"/>
  <c r="AW48" i="7"/>
  <c r="AU48" i="7"/>
  <c r="AV48" i="7"/>
  <c r="AW49" i="7" s="1"/>
  <c r="AX45" i="7"/>
  <c r="AU44" i="7" a="1"/>
  <c r="AU44" i="7" s="1"/>
  <c r="BF6" i="7"/>
  <c r="BE3" i="7"/>
  <c r="BD6" i="7"/>
  <c r="BC3" i="7"/>
  <c r="EW75" i="7"/>
  <c r="BC1" i="7"/>
  <c r="BC6" i="7"/>
  <c r="FC75" i="7" s="1"/>
  <c r="BB6" i="7"/>
  <c r="FE74" i="7" a="1"/>
  <c r="BF2" i="7" a="1"/>
  <c r="FC74" i="7" a="1"/>
  <c r="EV74" i="7" a="1"/>
  <c r="AT9" i="7" a="1"/>
  <c r="FD74" i="7" a="1"/>
  <c r="AX46" i="7" a="1"/>
  <c r="BB43" i="7" a="1"/>
  <c r="EX74" i="7" a="1"/>
  <c r="EZ74" i="7" a="1"/>
  <c r="EZ74" i="7" l="1"/>
  <c r="EX74" i="7"/>
  <c r="BB43" i="7"/>
  <c r="AX46" i="7"/>
  <c r="FD74" i="7"/>
  <c r="AT9" i="7"/>
  <c r="EV74" i="7"/>
  <c r="FC74" i="7"/>
  <c r="BF2" i="7"/>
  <c r="FE74" i="7"/>
  <c r="EV75" i="7"/>
  <c r="AY49" i="7"/>
  <c r="AZ45" i="7" a="1"/>
  <c r="AZ45" i="7" s="1"/>
  <c r="AU45" i="7" a="1"/>
  <c r="AU45" i="7" s="1"/>
  <c r="FA75" i="7"/>
  <c r="BB7" i="7"/>
  <c r="FD75" i="7" s="1"/>
  <c r="BD7" i="7"/>
  <c r="FE75" i="7" s="1"/>
  <c r="BC44" i="7" a="1"/>
  <c r="BB2" i="7" a="1"/>
  <c r="FB74" i="7" a="1"/>
  <c r="AU8" i="7" a="1"/>
  <c r="BG3" i="7" a="1"/>
  <c r="FF74" i="7" a="1"/>
  <c r="FF74" i="7" l="1"/>
  <c r="BG3" i="7"/>
  <c r="BF7" i="7" s="1"/>
  <c r="FF75" i="7" s="1"/>
  <c r="AU8" i="7"/>
  <c r="FB74" i="7"/>
  <c r="BB2" i="7"/>
  <c r="BC44" i="7"/>
  <c r="EY75" i="7"/>
  <c r="BG2" i="7"/>
  <c r="EZ75" i="7" s="1"/>
  <c r="BE2" i="7" a="1"/>
  <c r="AZ8" i="7" a="1"/>
  <c r="EW76" i="7" a="1"/>
  <c r="FH74" i="7" l="1" a="1"/>
  <c r="FH74" i="7" s="1"/>
  <c r="FG74" i="7" s="1"/>
  <c r="EW76" i="7"/>
  <c r="AZ8" i="7"/>
  <c r="BE2" i="7"/>
  <c r="EX75" i="7" s="1"/>
  <c r="BF44" i="7" a="1"/>
  <c r="BF44" i="7" s="1"/>
  <c r="BC46" i="7" a="1"/>
  <c r="BC46" i="7" s="1"/>
  <c r="AU10" i="7" a="1"/>
  <c r="AV9" i="7" a="1"/>
  <c r="EY76" i="7" a="1"/>
  <c r="FA76" i="7" a="1"/>
  <c r="FA76" i="7" l="1"/>
  <c r="EY76" i="7"/>
  <c r="AV9" i="7"/>
  <c r="AU10" i="7"/>
  <c r="BB48" i="7"/>
  <c r="BE45" i="7"/>
  <c r="BC43" i="7"/>
  <c r="BC45" i="7"/>
  <c r="BC48" i="7"/>
  <c r="BD48" i="7"/>
  <c r="BF48" i="7"/>
  <c r="BB49" i="7"/>
  <c r="BB44" i="7" a="1"/>
  <c r="BB44" i="7" s="1"/>
  <c r="BE44" i="7" a="1"/>
  <c r="BE44" i="7" s="1"/>
  <c r="BG44" i="7"/>
  <c r="EW77" i="7" a="1"/>
  <c r="BE46" i="7" a="1"/>
  <c r="BE4" i="7" a="1"/>
  <c r="FD76" i="7" a="1"/>
  <c r="BA8" i="7" a="1"/>
  <c r="AV11" i="7" a="1"/>
  <c r="EV76" i="7" a="1"/>
  <c r="EX76" i="7" a="1"/>
  <c r="EZ76" i="7" a="1"/>
  <c r="FC76" i="7" a="1"/>
  <c r="FC76" i="7" l="1"/>
  <c r="EZ76" i="7"/>
  <c r="EX76" i="7"/>
  <c r="EV76" i="7"/>
  <c r="AV11" i="7"/>
  <c r="BA8" i="7"/>
  <c r="FD76" i="7"/>
  <c r="BE4" i="7"/>
  <c r="FB75" i="7" s="1"/>
  <c r="FH75" i="7" s="1" a="1"/>
  <c r="FH75" i="7" s="1"/>
  <c r="FG75" i="7" s="1"/>
  <c r="BE46" i="7"/>
  <c r="EW77" i="7"/>
  <c r="BG45" i="7" a="1"/>
  <c r="BG45" i="7" s="1"/>
  <c r="BB45" i="7" a="1"/>
  <c r="BB45" i="7" s="1"/>
  <c r="BF49" i="7"/>
  <c r="AZ53" i="7" a="1"/>
  <c r="AZ53" i="7" s="1"/>
  <c r="AZ11" i="7" a="1"/>
  <c r="AZ11" i="7" s="1"/>
  <c r="AW13" i="7"/>
  <c r="AV10" i="7"/>
  <c r="AY13" i="7"/>
  <c r="AX10" i="7"/>
  <c r="AU13" i="7"/>
  <c r="AV8" i="7"/>
  <c r="AV13" i="7"/>
  <c r="BD49" i="7"/>
  <c r="FB76" i="7" a="1"/>
  <c r="FC77" i="7" a="1"/>
  <c r="FE76" i="7" a="1"/>
  <c r="FA77" i="7" a="1"/>
  <c r="FF76" i="7" a="1"/>
  <c r="BA9" i="7" a="1"/>
  <c r="AU50" i="7" a="1"/>
  <c r="EV77" i="7" a="1"/>
  <c r="EV77" i="7" l="1"/>
  <c r="AU50" i="7"/>
  <c r="BA9" i="7"/>
  <c r="FF76" i="7"/>
  <c r="FA77" i="7"/>
  <c r="FE76" i="7"/>
  <c r="FC77" i="7"/>
  <c r="FB76" i="7"/>
  <c r="AU14" i="7"/>
  <c r="AW14" i="7"/>
  <c r="AU9" i="7" a="1"/>
  <c r="AZ10" i="7" a="1"/>
  <c r="BB8" i="7" a="1"/>
  <c r="AV51" i="7" a="1"/>
  <c r="FD77" i="7" a="1"/>
  <c r="FE77" i="7" a="1"/>
  <c r="AY9" i="7" a="1"/>
  <c r="AY9" i="7" l="1"/>
  <c r="FE77" i="7"/>
  <c r="FD77" i="7"/>
  <c r="AV51" i="7"/>
  <c r="BB8" i="7"/>
  <c r="AZ10" i="7"/>
  <c r="AY14" i="7" s="1"/>
  <c r="AU9" i="7"/>
  <c r="FH76" i="7" a="1"/>
  <c r="FH76" i="7" s="1"/>
  <c r="FG76" i="7" s="1"/>
  <c r="EY77" i="7" a="1"/>
  <c r="EW78" i="7" a="1"/>
  <c r="FF77" i="7" a="1"/>
  <c r="BG8" i="7" a="1"/>
  <c r="BG8" i="7" l="1"/>
  <c r="FF77" i="7"/>
  <c r="EW78" i="7"/>
  <c r="EY77" i="7"/>
  <c r="AY51" i="7" a="1"/>
  <c r="AY51" i="7" s="1"/>
  <c r="AV53" i="7" a="1"/>
  <c r="AV53" i="7" s="1"/>
  <c r="AZ9" i="7"/>
  <c r="BB10" i="7" a="1"/>
  <c r="BC9" i="7" a="1"/>
  <c r="EZ77" i="7" a="1"/>
  <c r="FA78" i="7" a="1"/>
  <c r="EY78" i="7" a="1"/>
  <c r="AX9" i="7" a="1"/>
  <c r="AX9" i="7" l="1"/>
  <c r="EY78" i="7"/>
  <c r="FA78" i="7"/>
  <c r="EZ77" i="7"/>
  <c r="BC9" i="7"/>
  <c r="BC11" i="7" s="1" a="1"/>
  <c r="BC11" i="7" s="1"/>
  <c r="BB10" i="7"/>
  <c r="AZ51" i="7"/>
  <c r="AU55" i="7"/>
  <c r="AW55" i="7"/>
  <c r="AV55" i="7"/>
  <c r="AV50" i="7"/>
  <c r="AX51" i="7" s="1" a="1"/>
  <c r="AX51" i="7" s="1"/>
  <c r="AX52" i="7"/>
  <c r="AV52" i="7"/>
  <c r="AU56" i="7"/>
  <c r="AY55" i="7"/>
  <c r="AU51" i="7" a="1"/>
  <c r="AU51" i="7" s="1"/>
  <c r="EX77" i="7" a="1"/>
  <c r="EZ78" i="7" a="1"/>
  <c r="AT15" i="7" a="1"/>
  <c r="EX78" i="7" a="1"/>
  <c r="AX53" i="7" a="1"/>
  <c r="FA79" i="7" a="1"/>
  <c r="FC78" i="7" a="1"/>
  <c r="AX11" i="7" a="1"/>
  <c r="EW79" i="7" a="1"/>
  <c r="EV78" i="7" a="1"/>
  <c r="FD78" i="7" a="1"/>
  <c r="FD78" i="7" l="1"/>
  <c r="EV78" i="7"/>
  <c r="EW79" i="7"/>
  <c r="AX11" i="7"/>
  <c r="FC78" i="7"/>
  <c r="FA79" i="7"/>
  <c r="AX53" i="7"/>
  <c r="EX78" i="7"/>
  <c r="AT15" i="7"/>
  <c r="EZ78" i="7"/>
  <c r="EX77" i="7"/>
  <c r="BG11" i="7" a="1"/>
  <c r="BG11" i="7" s="1"/>
  <c r="BG53" i="7" a="1"/>
  <c r="BG53" i="7" s="1"/>
  <c r="AU52" i="7" a="1"/>
  <c r="AU52" i="7" s="1"/>
  <c r="AY56" i="7"/>
  <c r="AZ52" i="7" a="1"/>
  <c r="AZ52" i="7" s="1"/>
  <c r="BF9" i="7" a="1"/>
  <c r="BF9" i="7" s="1"/>
  <c r="BC8" i="7"/>
  <c r="BF13" i="7"/>
  <c r="BE53" i="7" a="1"/>
  <c r="BE53" i="7" s="1"/>
  <c r="BD13" i="7"/>
  <c r="BE10" i="7"/>
  <c r="BC13" i="7"/>
  <c r="BB13" i="7"/>
  <c r="BC10" i="7"/>
  <c r="BB14" i="7"/>
  <c r="AW56" i="7"/>
  <c r="BB50" i="7" a="1"/>
  <c r="AT16" i="7" a="1"/>
  <c r="EV79" i="7" a="1"/>
  <c r="FF78" i="7" a="1"/>
  <c r="EY79" i="7" a="1"/>
  <c r="FD79" i="7" a="1"/>
  <c r="FB77" i="7" a="1"/>
  <c r="FC79" i="7" a="1"/>
  <c r="FB80" i="7" a="1"/>
  <c r="FE78" i="7" a="1"/>
  <c r="FB78" i="7" a="1"/>
  <c r="BB50" i="7" l="1"/>
  <c r="FB78" i="7"/>
  <c r="FE78" i="7"/>
  <c r="FB80" i="7"/>
  <c r="FC79" i="7"/>
  <c r="FB77" i="7"/>
  <c r="FH77" i="7" s="1" a="1"/>
  <c r="FH77" i="7" s="1"/>
  <c r="FG77" i="7" s="1"/>
  <c r="FD79" i="7"/>
  <c r="EY79" i="7"/>
  <c r="FF78" i="7"/>
  <c r="EV79" i="7"/>
  <c r="AT16" i="7"/>
  <c r="BD14" i="7"/>
  <c r="BG9" i="7"/>
  <c r="BE9" i="7" a="1"/>
  <c r="BE9" i="7" s="1"/>
  <c r="BB9" i="7" a="1"/>
  <c r="BB9" i="7" s="1"/>
  <c r="BG10" i="7" a="1"/>
  <c r="BG10" i="7" s="1"/>
  <c r="BF14" i="7" s="1"/>
  <c r="BC51" i="7" a="1"/>
  <c r="BC51" i="7" s="1"/>
  <c r="FF79" i="7" a="1"/>
  <c r="AU15" i="7" a="1"/>
  <c r="EW80" i="7" a="1"/>
  <c r="FE79" i="7" a="1"/>
  <c r="EZ79" i="7" a="1"/>
  <c r="EX79" i="7" a="1"/>
  <c r="FH78" i="7" l="1" a="1"/>
  <c r="FH78" i="7" s="1"/>
  <c r="FG78" i="7" s="1"/>
  <c r="EX79" i="7"/>
  <c r="EZ79" i="7"/>
  <c r="FE79" i="7"/>
  <c r="EW80" i="7"/>
  <c r="AU15" i="7"/>
  <c r="FF79" i="7"/>
  <c r="BC53" i="7" a="1"/>
  <c r="BC53" i="7" s="1"/>
  <c r="BF51" i="7" a="1"/>
  <c r="BF51" i="7" s="1"/>
  <c r="EY80" i="7" a="1"/>
  <c r="AZ15" i="7" a="1"/>
  <c r="FA80" i="7" a="1"/>
  <c r="FH79" i="7" l="1" a="1"/>
  <c r="FH79" i="7" s="1"/>
  <c r="FG79" i="7" s="1"/>
  <c r="FA80" i="7"/>
  <c r="AZ15" i="7"/>
  <c r="EY80" i="7"/>
  <c r="BD55" i="7"/>
  <c r="BC55" i="7"/>
  <c r="BD56" i="7" s="1"/>
  <c r="BC50" i="7"/>
  <c r="BB55" i="7"/>
  <c r="BF55" i="7"/>
  <c r="BE52" i="7"/>
  <c r="BC52" i="7"/>
  <c r="BB56" i="7"/>
  <c r="BB51" i="7" a="1"/>
  <c r="BB51" i="7" s="1"/>
  <c r="BG51" i="7"/>
  <c r="BE51" i="7" a="1"/>
  <c r="BE51" i="7" s="1"/>
  <c r="EV80" i="7" a="1"/>
  <c r="AV16" i="7" a="1"/>
  <c r="AU17" i="7" a="1"/>
  <c r="FD80" i="7" a="1"/>
  <c r="EZ80" i="7" a="1"/>
  <c r="FC80" i="7" a="1"/>
  <c r="EX80" i="7" a="1"/>
  <c r="FE80" i="7" a="1"/>
  <c r="FE80" i="7" l="1"/>
  <c r="EX80" i="7"/>
  <c r="FC80" i="7"/>
  <c r="EZ80" i="7"/>
  <c r="FD80" i="7"/>
  <c r="AU17" i="7"/>
  <c r="AV16" i="7"/>
  <c r="EV80" i="7"/>
  <c r="BE11" i="7" a="1"/>
  <c r="BE11" i="7" s="1"/>
  <c r="BF56" i="7"/>
  <c r="BB52" i="7" a="1"/>
  <c r="BB52" i="7" s="1"/>
  <c r="BG52" i="7" a="1"/>
  <c r="BG52" i="7" s="1"/>
  <c r="FF80" i="7" a="1"/>
  <c r="FB79" i="7" a="1"/>
  <c r="BA15" i="7" a="1"/>
  <c r="EW81" i="7" a="1"/>
  <c r="EW81" i="7" l="1"/>
  <c r="BA15" i="7"/>
  <c r="FB79" i="7"/>
  <c r="FF80" i="7"/>
  <c r="FH80" i="7" s="1" a="1"/>
  <c r="FH80" i="7" s="1"/>
  <c r="FG80" i="7" s="1"/>
  <c r="AY20" i="7"/>
  <c r="AW20" i="7"/>
  <c r="AV15" i="7"/>
  <c r="AY16" i="7" a="1"/>
  <c r="AY16" i="7" s="1"/>
  <c r="AX60" i="7" a="1"/>
  <c r="AX60" i="7" s="1"/>
  <c r="AU20" i="7"/>
  <c r="AV20" i="7"/>
  <c r="AV17" i="7"/>
  <c r="AX17" i="7"/>
  <c r="AU58" i="7" a="1"/>
  <c r="AU58" i="7" s="1"/>
  <c r="AZ60" i="7" a="1"/>
  <c r="AZ60" i="7" s="1"/>
  <c r="AZ18" i="7" a="1"/>
  <c r="AZ18" i="7" s="1"/>
  <c r="AV18" i="7" a="1"/>
  <c r="AV18" i="7" s="1"/>
  <c r="FB82" i="7" a="1"/>
  <c r="FA81" i="7" a="1"/>
  <c r="BA16" i="7" a="1"/>
  <c r="FC81" i="7" a="1"/>
  <c r="AU57" i="7" a="1"/>
  <c r="EV81" i="7" a="1"/>
  <c r="EY81" i="7" a="1"/>
  <c r="EY81" i="7" l="1"/>
  <c r="EV81" i="7"/>
  <c r="AU57" i="7"/>
  <c r="FC81" i="7"/>
  <c r="BA16" i="7"/>
  <c r="FA81" i="7"/>
  <c r="FB82" i="7"/>
  <c r="AX16" i="7" a="1"/>
  <c r="AX16" i="7" s="1"/>
  <c r="AZ16" i="7"/>
  <c r="AU16" i="7" a="1"/>
  <c r="AU16" i="7" s="1"/>
  <c r="AZ17" i="7" a="1"/>
  <c r="AZ17" i="7" s="1"/>
  <c r="AY21" i="7" s="1"/>
  <c r="AV58" i="7" a="1"/>
  <c r="AV58" i="7" s="1"/>
  <c r="AU21" i="7"/>
  <c r="AW21" i="7"/>
  <c r="EX81" i="7" a="1"/>
  <c r="EZ81" i="7" a="1"/>
  <c r="FF81" i="7" a="1"/>
  <c r="EW82" i="7" a="1"/>
  <c r="FD81" i="7" a="1"/>
  <c r="BB15" i="7" a="1"/>
  <c r="FE81" i="7" a="1"/>
  <c r="FE81" i="7" l="1"/>
  <c r="BB15" i="7"/>
  <c r="FD81" i="7"/>
  <c r="EW82" i="7"/>
  <c r="FF81" i="7"/>
  <c r="EZ81" i="7"/>
  <c r="EX81" i="7"/>
  <c r="AV60" i="7" a="1"/>
  <c r="AV60" i="7" s="1"/>
  <c r="AY58" i="7" a="1"/>
  <c r="AY58" i="7" s="1"/>
  <c r="EY82" i="7" a="1"/>
  <c r="BG15" i="7" a="1"/>
  <c r="FA82" i="7" a="1"/>
  <c r="FH81" i="7" l="1" a="1"/>
  <c r="FH81" i="7" s="1"/>
  <c r="FG81" i="7" s="1"/>
  <c r="FA82" i="7"/>
  <c r="BG15" i="7"/>
  <c r="EY82" i="7"/>
  <c r="AU63" i="7"/>
  <c r="AW62" i="7"/>
  <c r="AV59" i="7"/>
  <c r="AV62" i="7"/>
  <c r="AX59" i="7"/>
  <c r="AU62" i="7"/>
  <c r="AV57" i="7"/>
  <c r="AX58" i="7" s="1" a="1"/>
  <c r="AX58" i="7" s="1"/>
  <c r="AY62" i="7"/>
  <c r="AZ58" i="7"/>
  <c r="BC16" i="7" a="1"/>
  <c r="BB17" i="7" a="1"/>
  <c r="EV82" i="7" a="1"/>
  <c r="EX82" i="7" a="1"/>
  <c r="FD82" i="7" a="1"/>
  <c r="EZ82" i="7" a="1"/>
  <c r="FC82" i="7" a="1"/>
  <c r="FC82" i="7" l="1"/>
  <c r="EZ82" i="7"/>
  <c r="FD82" i="7"/>
  <c r="EX82" i="7"/>
  <c r="EV82" i="7"/>
  <c r="BB17" i="7"/>
  <c r="BC16" i="7"/>
  <c r="BC18" i="7" s="1" a="1"/>
  <c r="BC18" i="7" s="1"/>
  <c r="AW63" i="7"/>
  <c r="AU59" i="7" a="1"/>
  <c r="AU59" i="7" s="1"/>
  <c r="AY63" i="7"/>
  <c r="AZ59" i="7" a="1"/>
  <c r="AZ59" i="7" s="1"/>
  <c r="AX18" i="7" a="1"/>
  <c r="AX18" i="7" s="1"/>
  <c r="AT22" i="7" a="1"/>
  <c r="FF82" i="7" a="1"/>
  <c r="FB81" i="7" a="1"/>
  <c r="FA83" i="7" a="1"/>
  <c r="EW83" i="7" a="1"/>
  <c r="FE82" i="7" a="1"/>
  <c r="FE82" i="7" l="1"/>
  <c r="EW83" i="7"/>
  <c r="FA83" i="7"/>
  <c r="FB81" i="7"/>
  <c r="FF82" i="7"/>
  <c r="AT22" i="7"/>
  <c r="BE60" i="7" a="1"/>
  <c r="BE60" i="7" s="1"/>
  <c r="BC17" i="7"/>
  <c r="BC15" i="7"/>
  <c r="BF20" i="7"/>
  <c r="BD20" i="7"/>
  <c r="BB20" i="7"/>
  <c r="BE17" i="7"/>
  <c r="BF16" i="7" a="1"/>
  <c r="BF16" i="7" s="1"/>
  <c r="BC20" i="7"/>
  <c r="BG60" i="7" a="1"/>
  <c r="BG60" i="7" s="1"/>
  <c r="BB58" i="7" a="1"/>
  <c r="BB58" i="7" s="1"/>
  <c r="BG18" i="7" a="1"/>
  <c r="BG18" i="7" s="1"/>
  <c r="BB21" i="7"/>
  <c r="BB57" i="7" a="1"/>
  <c r="EV83" i="7" a="1"/>
  <c r="EY83" i="7" a="1"/>
  <c r="FD83" i="7" a="1"/>
  <c r="AT23" i="7" a="1"/>
  <c r="FC83" i="7" a="1"/>
  <c r="FB84" i="7" a="1"/>
  <c r="FH82" i="7" l="1" a="1"/>
  <c r="FH82" i="7" s="1"/>
  <c r="FG82" i="7" s="1"/>
  <c r="FB84" i="7"/>
  <c r="FC83" i="7"/>
  <c r="AT23" i="7"/>
  <c r="FD83" i="7"/>
  <c r="EY83" i="7"/>
  <c r="EV83" i="7"/>
  <c r="BB57" i="7"/>
  <c r="BD21" i="7"/>
  <c r="BG16" i="7"/>
  <c r="BE16" i="7" a="1"/>
  <c r="BE16" i="7" s="1"/>
  <c r="BB16" i="7" a="1"/>
  <c r="BB16" i="7" s="1"/>
  <c r="BG17" i="7" a="1"/>
  <c r="BG17" i="7" s="1"/>
  <c r="BF21" i="7" s="1"/>
  <c r="BC58" i="7" a="1"/>
  <c r="BC58" i="7" s="1"/>
  <c r="EZ83" i="7" a="1"/>
  <c r="AU22" i="7" a="1"/>
  <c r="EX83" i="7" a="1"/>
  <c r="FF83" i="7" a="1"/>
  <c r="EW84" i="7" a="1"/>
  <c r="FE83" i="7" a="1"/>
  <c r="FE83" i="7" l="1"/>
  <c r="EW84" i="7"/>
  <c r="FF83" i="7"/>
  <c r="EX83" i="7"/>
  <c r="AU22" i="7"/>
  <c r="EZ83" i="7"/>
  <c r="BC60" i="7" a="1"/>
  <c r="BC60" i="7" s="1"/>
  <c r="BF58" i="7" a="1"/>
  <c r="BF58" i="7" s="1"/>
  <c r="EY84" i="7" a="1"/>
  <c r="FA84" i="7" a="1"/>
  <c r="AZ22" i="7" a="1"/>
  <c r="FH83" i="7" l="1" a="1"/>
  <c r="FH83" i="7" s="1"/>
  <c r="FG83" i="7" s="1"/>
  <c r="AZ22" i="7"/>
  <c r="FA84" i="7"/>
  <c r="EY84" i="7"/>
  <c r="BD62" i="7"/>
  <c r="BE59" i="7"/>
  <c r="BC62" i="7"/>
  <c r="BB62" i="7"/>
  <c r="BF62" i="7"/>
  <c r="BC57" i="7"/>
  <c r="BC59" i="7"/>
  <c r="BB63" i="7"/>
  <c r="BG58" i="7"/>
  <c r="AV23" i="7" a="1"/>
  <c r="AU24" i="7" a="1"/>
  <c r="EV84" i="7" a="1"/>
  <c r="FD84" i="7" a="1"/>
  <c r="EZ84" i="7" a="1"/>
  <c r="FC84" i="7" a="1"/>
  <c r="FC84" i="7" l="1"/>
  <c r="EZ84" i="7"/>
  <c r="FD84" i="7"/>
  <c r="EV84" i="7"/>
  <c r="AU24" i="7"/>
  <c r="AV23" i="7"/>
  <c r="AV25" i="7" s="1" a="1"/>
  <c r="AV25" i="7" s="1"/>
  <c r="BD63" i="7"/>
  <c r="BE58" i="7" a="1"/>
  <c r="BE58" i="7" s="1"/>
  <c r="BG59" i="7" a="1"/>
  <c r="BG59" i="7" s="1"/>
  <c r="BB59" i="7" a="1"/>
  <c r="BB59" i="7" s="1"/>
  <c r="BF63" i="7"/>
  <c r="BE18" i="7" a="1"/>
  <c r="BE18" i="7" s="1"/>
  <c r="FB83" i="7" a="1"/>
  <c r="EX84" i="7" a="1"/>
  <c r="FA85" i="7" a="1"/>
  <c r="FF84" i="7" a="1"/>
  <c r="BA22" i="7" a="1"/>
  <c r="EW85" i="7" a="1"/>
  <c r="FE84" i="7" a="1"/>
  <c r="FE84" i="7" l="1"/>
  <c r="EW85" i="7"/>
  <c r="BA22" i="7"/>
  <c r="FF84" i="7"/>
  <c r="FA85" i="7"/>
  <c r="EX84" i="7"/>
  <c r="FB83" i="7"/>
  <c r="AY27" i="7"/>
  <c r="AX24" i="7"/>
  <c r="AV22" i="7"/>
  <c r="AV27" i="7"/>
  <c r="AW28" i="7" s="1"/>
  <c r="AV24" i="7"/>
  <c r="AW27" i="7"/>
  <c r="AU27" i="7"/>
  <c r="AY23" i="7" a="1"/>
  <c r="AY23" i="7" s="1"/>
  <c r="AX67" i="7" a="1"/>
  <c r="AX67" i="7" s="1"/>
  <c r="AZ67" i="7" a="1"/>
  <c r="AZ67" i="7" s="1"/>
  <c r="AU65" i="7" a="1"/>
  <c r="AU65" i="7" s="1"/>
  <c r="AZ25" i="7" a="1"/>
  <c r="AZ25" i="7" s="1"/>
  <c r="AU28" i="7"/>
  <c r="BA23" i="7" a="1"/>
  <c r="AU64" i="7" a="1"/>
  <c r="EV85" i="7" a="1"/>
  <c r="FC85" i="7" a="1"/>
  <c r="FD85" i="7" a="1"/>
  <c r="FB86" i="7" a="1"/>
  <c r="EY85" i="7" a="1"/>
  <c r="FE85" i="7" a="1"/>
  <c r="FH84" i="7" l="1" a="1"/>
  <c r="FH84" i="7" s="1"/>
  <c r="FG84" i="7" s="1"/>
  <c r="FE85" i="7"/>
  <c r="EY85" i="7"/>
  <c r="FB86" i="7"/>
  <c r="FD85" i="7"/>
  <c r="FC85" i="7"/>
  <c r="EV85" i="7"/>
  <c r="AU64" i="7"/>
  <c r="BA23" i="7"/>
  <c r="AX23" i="7" a="1"/>
  <c r="AX23" i="7" s="1"/>
  <c r="AZ23" i="7"/>
  <c r="AZ24" i="7" a="1"/>
  <c r="AZ24" i="7" s="1"/>
  <c r="AY28" i="7" s="1"/>
  <c r="AU23" i="7" a="1"/>
  <c r="AU23" i="7" s="1"/>
  <c r="AV65" i="7" a="1"/>
  <c r="AV65" i="7" s="1"/>
  <c r="EX85" i="7" a="1"/>
  <c r="EZ85" i="7" a="1"/>
  <c r="FF85" i="7" a="1"/>
  <c r="EW86" i="7" a="1"/>
  <c r="BB22" i="7" a="1"/>
  <c r="BB22" i="7" l="1"/>
  <c r="EW86" i="7"/>
  <c r="FF85" i="7"/>
  <c r="EZ85" i="7"/>
  <c r="EX85" i="7"/>
  <c r="AV67" i="7" a="1"/>
  <c r="AV67" i="7" s="1"/>
  <c r="AY65" i="7" a="1"/>
  <c r="AY65" i="7" s="1"/>
  <c r="BG22" i="7" a="1"/>
  <c r="EY86" i="7" a="1"/>
  <c r="FA86" i="7" a="1"/>
  <c r="FH85" i="7" l="1" a="1"/>
  <c r="FH85" i="7" s="1"/>
  <c r="FG85" i="7" s="1"/>
  <c r="FA86" i="7"/>
  <c r="EY86" i="7"/>
  <c r="BG22" i="7"/>
  <c r="AV66" i="7"/>
  <c r="AU70" i="7"/>
  <c r="AV69" i="7"/>
  <c r="AU69" i="7"/>
  <c r="AY69" i="7"/>
  <c r="AW69" i="7"/>
  <c r="AV64" i="7"/>
  <c r="AX66" i="7"/>
  <c r="AZ65" i="7"/>
  <c r="EV86" i="7" a="1"/>
  <c r="BC23" i="7" a="1"/>
  <c r="BB24" i="7" a="1"/>
  <c r="FD86" i="7" a="1"/>
  <c r="EZ86" i="7" a="1"/>
  <c r="FC86" i="7" a="1"/>
  <c r="FC86" i="7" l="1"/>
  <c r="EZ86" i="7"/>
  <c r="FD86" i="7"/>
  <c r="BB24" i="7"/>
  <c r="BC23" i="7"/>
  <c r="BC25" i="7" s="1" a="1"/>
  <c r="BC25" i="7" s="1"/>
  <c r="EV86" i="7"/>
  <c r="AW70" i="7"/>
  <c r="AX25" i="7" a="1"/>
  <c r="AX25" i="7" s="1"/>
  <c r="AX65" i="7" a="1"/>
  <c r="AX65" i="7" s="1"/>
  <c r="AU66" i="7" a="1"/>
  <c r="AU66" i="7" s="1"/>
  <c r="AZ66" i="7" a="1"/>
  <c r="AZ66" i="7" s="1"/>
  <c r="AY70" i="7"/>
  <c r="FF86" i="7" a="1"/>
  <c r="FA87" i="7" a="1"/>
  <c r="AT29" i="7" a="1"/>
  <c r="EX86" i="7" a="1"/>
  <c r="EW87" i="7" a="1"/>
  <c r="FB85" i="7" a="1"/>
  <c r="FE86" i="7" a="1"/>
  <c r="FE86" i="7" l="1"/>
  <c r="FB85" i="7"/>
  <c r="EW87" i="7"/>
  <c r="EX86" i="7"/>
  <c r="AT29" i="7"/>
  <c r="FA87" i="7"/>
  <c r="FF86" i="7"/>
  <c r="BF23" i="7" a="1"/>
  <c r="BF23" i="7" s="1"/>
  <c r="BF27" i="7"/>
  <c r="BC24" i="7"/>
  <c r="BB27" i="7"/>
  <c r="BE67" i="7" a="1"/>
  <c r="BE67" i="7" s="1"/>
  <c r="BE24" i="7"/>
  <c r="BC22" i="7"/>
  <c r="BC27" i="7"/>
  <c r="BD27" i="7"/>
  <c r="BB28" i="7"/>
  <c r="BG67" i="7" a="1"/>
  <c r="BG67" i="7" s="1"/>
  <c r="BB65" i="7" a="1"/>
  <c r="BB65" i="7" s="1"/>
  <c r="BG25" i="7" a="1"/>
  <c r="BG25" i="7" s="1"/>
  <c r="BB64" i="7" a="1"/>
  <c r="EV87" i="7" a="1"/>
  <c r="FD87" i="7" a="1"/>
  <c r="FB88" i="7" a="1"/>
  <c r="AT30" i="7" a="1"/>
  <c r="FC87" i="7" a="1"/>
  <c r="EY87" i="7" a="1"/>
  <c r="FH86" i="7" l="1" a="1"/>
  <c r="FH86" i="7" s="1"/>
  <c r="FG86" i="7" s="1"/>
  <c r="EY87" i="7"/>
  <c r="FC87" i="7"/>
  <c r="AT30" i="7"/>
  <c r="FB88" i="7"/>
  <c r="FD87" i="7"/>
  <c r="EV87" i="7"/>
  <c r="BB64" i="7"/>
  <c r="BG23" i="7"/>
  <c r="BE23" i="7" a="1"/>
  <c r="BE23" i="7" s="1"/>
  <c r="BD28" i="7"/>
  <c r="BB23" i="7" a="1"/>
  <c r="BB23" i="7" s="1"/>
  <c r="BG24" i="7" a="1"/>
  <c r="BG24" i="7" s="1"/>
  <c r="BF28" i="7" s="1"/>
  <c r="BC65" i="7" a="1"/>
  <c r="BC65" i="7" s="1"/>
  <c r="EZ87" i="7" a="1"/>
  <c r="EX87" i="7" a="1"/>
  <c r="FE87" i="7" a="1"/>
  <c r="AU29" i="7" a="1"/>
  <c r="EW88" i="7" a="1"/>
  <c r="FF87" i="7" a="1"/>
  <c r="FF87" i="7" l="1"/>
  <c r="EW88" i="7"/>
  <c r="AU29" i="7"/>
  <c r="FE87" i="7"/>
  <c r="EX87" i="7"/>
  <c r="EZ87" i="7"/>
  <c r="FH87" i="7" s="1" a="1"/>
  <c r="FH87" i="7" s="1"/>
  <c r="FG87" i="7" s="1"/>
  <c r="BC67" i="7" a="1"/>
  <c r="BC67" i="7" s="1"/>
  <c r="BF65" i="7" a="1"/>
  <c r="BF65" i="7" s="1"/>
  <c r="AZ29" i="7" a="1"/>
  <c r="FA88" i="7" a="1"/>
  <c r="EY88" i="7" a="1"/>
  <c r="EY88" i="7" l="1"/>
  <c r="FA88" i="7"/>
  <c r="AZ29" i="7"/>
  <c r="BG65" i="7"/>
  <c r="BF69" i="7"/>
  <c r="BB69" i="7"/>
  <c r="BB70" i="7"/>
  <c r="BD69" i="7"/>
  <c r="BC69" i="7"/>
  <c r="BD70" i="7" s="1"/>
  <c r="BE66" i="7"/>
  <c r="BC64" i="7"/>
  <c r="BC66" i="7"/>
  <c r="FD88" i="7" a="1"/>
  <c r="AU31" i="7" a="1"/>
  <c r="AV30" i="7" a="1"/>
  <c r="FC88" i="7" a="1"/>
  <c r="EV88" i="7" a="1"/>
  <c r="EZ88" i="7" a="1"/>
  <c r="FE88" i="7" a="1"/>
  <c r="FE88" i="7" l="1"/>
  <c r="EZ88" i="7"/>
  <c r="EV88" i="7"/>
  <c r="FC88" i="7"/>
  <c r="AV30" i="7"/>
  <c r="AV32" i="7" s="1" a="1"/>
  <c r="AV32" i="7" s="1"/>
  <c r="AU31" i="7"/>
  <c r="FD88" i="7"/>
  <c r="BF70" i="7"/>
  <c r="BG66" i="7" a="1"/>
  <c r="BG66" i="7" s="1"/>
  <c r="BB66" i="7" a="1"/>
  <c r="BB66" i="7" s="1"/>
  <c r="BE65" i="7" a="1"/>
  <c r="BE65" i="7" s="1"/>
  <c r="BE25" i="7" a="1"/>
  <c r="BE25" i="7" s="1"/>
  <c r="FB87" i="7" a="1"/>
  <c r="FF88" i="7" a="1"/>
  <c r="BA29" i="7" a="1"/>
  <c r="EX88" i="7" a="1"/>
  <c r="EW89" i="7" a="1"/>
  <c r="FA89" i="7" a="1"/>
  <c r="FA89" i="7" l="1"/>
  <c r="EW89" i="7"/>
  <c r="EX88" i="7"/>
  <c r="BA29" i="7"/>
  <c r="FF88" i="7"/>
  <c r="FB87" i="7"/>
  <c r="AU35" i="7"/>
  <c r="AV34" i="7"/>
  <c r="AW35" i="7" s="1"/>
  <c r="AV31" i="7"/>
  <c r="AY30" i="7" a="1"/>
  <c r="AY30" i="7" s="1"/>
  <c r="AU34" i="7"/>
  <c r="AX74" i="7" a="1"/>
  <c r="AX74" i="7" s="1"/>
  <c r="AW34" i="7"/>
  <c r="AX31" i="7"/>
  <c r="AY34" i="7"/>
  <c r="AV29" i="7"/>
  <c r="AU72" i="7" a="1"/>
  <c r="AU72" i="7" s="1"/>
  <c r="AZ74" i="7" a="1"/>
  <c r="AZ74" i="7" s="1"/>
  <c r="AZ32" i="7" a="1"/>
  <c r="AZ32" i="7" s="1"/>
  <c r="FC89" i="7" a="1"/>
  <c r="AU71" i="7" a="1"/>
  <c r="EV89" i="7" a="1"/>
  <c r="EY89" i="7" a="1"/>
  <c r="BA30" i="7" a="1"/>
  <c r="FB90" i="7" a="1"/>
  <c r="FD89" i="7" a="1"/>
  <c r="FE89" i="7" a="1"/>
  <c r="FH88" i="7" l="1" a="1"/>
  <c r="FH88" i="7" s="1"/>
  <c r="FG88" i="7" s="1"/>
  <c r="FE89" i="7"/>
  <c r="FD89" i="7"/>
  <c r="FB90" i="7"/>
  <c r="BA30" i="7"/>
  <c r="EY89" i="7"/>
  <c r="EV89" i="7"/>
  <c r="AU71" i="7"/>
  <c r="FC89" i="7"/>
  <c r="AZ30" i="7"/>
  <c r="AX30" i="7" a="1"/>
  <c r="AX30" i="7" s="1"/>
  <c r="AU30" i="7" a="1"/>
  <c r="AU30" i="7" s="1"/>
  <c r="AZ31" i="7" a="1"/>
  <c r="AZ31" i="7" s="1"/>
  <c r="AY35" i="7" s="1"/>
  <c r="AV72" i="7" a="1"/>
  <c r="AV72" i="7" s="1"/>
  <c r="EZ89" i="7" a="1"/>
  <c r="EX89" i="7" a="1"/>
  <c r="BB29" i="7" a="1"/>
  <c r="EW90" i="7" a="1"/>
  <c r="FF89" i="7" a="1"/>
  <c r="FF89" i="7" l="1"/>
  <c r="EW90" i="7"/>
  <c r="BB29" i="7"/>
  <c r="EX89" i="7"/>
  <c r="EZ89" i="7"/>
  <c r="AY72" i="7" a="1"/>
  <c r="AY72" i="7" s="1"/>
  <c r="AV74" i="7" a="1"/>
  <c r="AV74" i="7" s="1"/>
  <c r="BG29" i="7" a="1"/>
  <c r="FA90" i="7" a="1"/>
  <c r="EY90" i="7" a="1"/>
  <c r="FH89" i="7" l="1" a="1"/>
  <c r="FH89" i="7" s="1"/>
  <c r="FG89" i="7" s="1"/>
  <c r="EY90" i="7"/>
  <c r="FA90" i="7"/>
  <c r="BG29" i="7"/>
  <c r="AX72" i="7" a="1"/>
  <c r="AX72" i="7" s="1"/>
  <c r="AZ72" i="7"/>
  <c r="AW76" i="7"/>
  <c r="AX73" i="7"/>
  <c r="AY76" i="7"/>
  <c r="AU77" i="7"/>
  <c r="AV73" i="7"/>
  <c r="AV71" i="7"/>
  <c r="AV76" i="7"/>
  <c r="AW77" i="7" s="1"/>
  <c r="AU76" i="7"/>
  <c r="FD90" i="7" a="1"/>
  <c r="BB31" i="7" a="1"/>
  <c r="BC30" i="7" a="1"/>
  <c r="EV90" i="7" a="1"/>
  <c r="EX90" i="7" a="1"/>
  <c r="FC90" i="7" a="1"/>
  <c r="EZ90" i="7" a="1"/>
  <c r="FE90" i="7" a="1"/>
  <c r="FE90" i="7" l="1"/>
  <c r="EZ90" i="7"/>
  <c r="FC90" i="7"/>
  <c r="EX90" i="7"/>
  <c r="EV90" i="7"/>
  <c r="BC30" i="7"/>
  <c r="BC32" i="7" s="1" a="1"/>
  <c r="BC32" i="7" s="1"/>
  <c r="BB31" i="7"/>
  <c r="FD90" i="7"/>
  <c r="AY77" i="7"/>
  <c r="AZ73" i="7" a="1"/>
  <c r="AZ73" i="7" s="1"/>
  <c r="AU73" i="7" a="1"/>
  <c r="AU73" i="7" s="1"/>
  <c r="AX32" i="7" a="1"/>
  <c r="AX32" i="7" s="1"/>
  <c r="FF90" i="7" a="1"/>
  <c r="AT36" i="7" a="1"/>
  <c r="FB89" i="7" a="1"/>
  <c r="FA91" i="7" a="1"/>
  <c r="EW91" i="7" a="1"/>
  <c r="EW91" i="7" l="1"/>
  <c r="FA91" i="7"/>
  <c r="FB89" i="7"/>
  <c r="AT36" i="7"/>
  <c r="FF90" i="7"/>
  <c r="FH90" i="7" s="1" a="1"/>
  <c r="FH90" i="7" s="1"/>
  <c r="FG90" i="7" s="1"/>
  <c r="BE74" i="7" a="1"/>
  <c r="BE74" i="7" s="1"/>
  <c r="BC29" i="7"/>
  <c r="BC34" i="7"/>
  <c r="BD34" i="7"/>
  <c r="BF30" i="7" a="1"/>
  <c r="BF30" i="7" s="1"/>
  <c r="BE31" i="7"/>
  <c r="BC31" i="7"/>
  <c r="BF34" i="7"/>
  <c r="BB34" i="7"/>
  <c r="BB35" i="7"/>
  <c r="BG74" i="7" a="1"/>
  <c r="BG74" i="7" s="1"/>
  <c r="BB72" i="7" a="1"/>
  <c r="BB72" i="7" s="1"/>
  <c r="BG32" i="7" a="1"/>
  <c r="BG32" i="7" s="1"/>
  <c r="EY91" i="7" a="1"/>
  <c r="AT37" i="7" a="1"/>
  <c r="FB92" i="7" a="1"/>
  <c r="FD91" i="7" a="1"/>
  <c r="BB71" i="7" a="1"/>
  <c r="EV91" i="7" a="1"/>
  <c r="FC91" i="7" a="1"/>
  <c r="FC91" i="7" l="1"/>
  <c r="EV91" i="7"/>
  <c r="BB71" i="7"/>
  <c r="FD91" i="7"/>
  <c r="FB92" i="7"/>
  <c r="AT37" i="7"/>
  <c r="EY91" i="7"/>
  <c r="BB30" i="7" a="1"/>
  <c r="BB30" i="7" s="1"/>
  <c r="BG31" i="7" a="1"/>
  <c r="BG31" i="7" s="1"/>
  <c r="BF35" i="7" s="1"/>
  <c r="BC72" i="7" a="1"/>
  <c r="BC72" i="7" s="1"/>
  <c r="BG30" i="7"/>
  <c r="BE30" i="7" a="1"/>
  <c r="BE30" i="7" s="1"/>
  <c r="BD35" i="7"/>
  <c r="FF91" i="7" a="1"/>
  <c r="EZ91" i="7" a="1"/>
  <c r="EW92" i="7" a="1"/>
  <c r="FE91" i="7" a="1"/>
  <c r="EX91" i="7" a="1"/>
  <c r="AU36" i="7" a="1"/>
  <c r="AU36" i="7" l="1"/>
  <c r="EX91" i="7"/>
  <c r="FE91" i="7"/>
  <c r="EW92" i="7"/>
  <c r="EZ91" i="7"/>
  <c r="FF91" i="7"/>
  <c r="BC74" i="7" a="1"/>
  <c r="BC74" i="7" s="1"/>
  <c r="BF72" i="7" a="1"/>
  <c r="BF72" i="7" s="1"/>
  <c r="AZ36" i="7" a="1"/>
  <c r="EY92" i="7" a="1"/>
  <c r="FA92" i="7" a="1"/>
  <c r="FH91" i="7" l="1" a="1"/>
  <c r="FH91" i="7" s="1"/>
  <c r="FG91" i="7" s="1"/>
  <c r="FA92" i="7"/>
  <c r="EY92" i="7"/>
  <c r="AZ36" i="7"/>
  <c r="BC73" i="7"/>
  <c r="BC76" i="7"/>
  <c r="BD76" i="7"/>
  <c r="BC71" i="7"/>
  <c r="BE72" i="7" s="1" a="1"/>
  <c r="BE72" i="7" s="1"/>
  <c r="BB77" i="7"/>
  <c r="BE73" i="7"/>
  <c r="BF76" i="7"/>
  <c r="BB76" i="7"/>
  <c r="BG72" i="7"/>
  <c r="FD92" i="7" a="1"/>
  <c r="EZ92" i="7" a="1"/>
  <c r="AV37" i="7" a="1"/>
  <c r="AU38" i="7" a="1"/>
  <c r="FC92" i="7" a="1"/>
  <c r="EV92" i="7" a="1"/>
  <c r="EX92" i="7" a="1"/>
  <c r="EX92" i="7" l="1"/>
  <c r="EV92" i="7"/>
  <c r="FC92" i="7"/>
  <c r="AU38" i="7"/>
  <c r="AV37" i="7"/>
  <c r="EZ92" i="7"/>
  <c r="FD92" i="7"/>
  <c r="BF77" i="7"/>
  <c r="BG73" i="7" a="1"/>
  <c r="BG73" i="7" s="1"/>
  <c r="BB73" i="7" a="1"/>
  <c r="BB73" i="7" s="1"/>
  <c r="BD77" i="7"/>
  <c r="BE32" i="7" a="1"/>
  <c r="BE32" i="7" s="1"/>
  <c r="FE92" i="7" a="1"/>
  <c r="FF92" i="7" a="1"/>
  <c r="FB91" i="7" a="1"/>
  <c r="EW93" i="7" a="1"/>
  <c r="BA36" i="7" a="1"/>
  <c r="BA36" i="7" l="1"/>
  <c r="EW93" i="7"/>
  <c r="FB91" i="7"/>
  <c r="FF92" i="7"/>
  <c r="FE92" i="7"/>
  <c r="AW41" i="7"/>
  <c r="AY37" i="7" a="1"/>
  <c r="AY37" i="7" s="1"/>
  <c r="AX38" i="7"/>
  <c r="AV36" i="7"/>
  <c r="AX81" i="7" a="1"/>
  <c r="AX81" i="7" s="1"/>
  <c r="AU41" i="7"/>
  <c r="AV38" i="7"/>
  <c r="AV41" i="7"/>
  <c r="AY41" i="7"/>
  <c r="AU79" i="7" a="1"/>
  <c r="AU79" i="7" s="1"/>
  <c r="AZ81" i="7" a="1"/>
  <c r="AZ81" i="7" s="1"/>
  <c r="AZ39" i="7" a="1"/>
  <c r="AZ39" i="7" s="1"/>
  <c r="AV39" i="7" a="1"/>
  <c r="AV39" i="7" s="1"/>
  <c r="BA37" i="7" a="1"/>
  <c r="AU78" i="7" a="1"/>
  <c r="EV93" i="7" a="1"/>
  <c r="FB94" i="7" a="1"/>
  <c r="FA93" i="7" a="1"/>
  <c r="FC93" i="7" a="1"/>
  <c r="EY93" i="7" a="1"/>
  <c r="FH92" i="7" l="1" a="1"/>
  <c r="FH92" i="7" s="1"/>
  <c r="FG92" i="7" s="1"/>
  <c r="EY93" i="7"/>
  <c r="FC93" i="7"/>
  <c r="FA93" i="7"/>
  <c r="FB94" i="7"/>
  <c r="EV93" i="7"/>
  <c r="AU78" i="7"/>
  <c r="BA37" i="7"/>
  <c r="AZ37" i="7"/>
  <c r="AX37" i="7" a="1"/>
  <c r="AX37" i="7" s="1"/>
  <c r="AU42" i="7"/>
  <c r="AW42" i="7"/>
  <c r="AZ38" i="7" a="1"/>
  <c r="AZ38" i="7" s="1"/>
  <c r="AY42" i="7" s="1"/>
  <c r="AU37" i="7" a="1"/>
  <c r="AU37" i="7" s="1"/>
  <c r="AV79" i="7" a="1"/>
  <c r="AV79" i="7" s="1"/>
  <c r="EZ93" i="7" a="1"/>
  <c r="EX93" i="7" a="1"/>
  <c r="FD93" i="7" a="1"/>
  <c r="FE93" i="7" a="1"/>
  <c r="FF93" i="7" a="1"/>
  <c r="BB36" i="7" a="1"/>
  <c r="EW94" i="7" a="1"/>
  <c r="EW94" i="7" l="1"/>
  <c r="BB36" i="7"/>
  <c r="FF93" i="7"/>
  <c r="FE93" i="7"/>
  <c r="FD93" i="7"/>
  <c r="EX93" i="7"/>
  <c r="EZ93" i="7"/>
  <c r="AY79" i="7" a="1"/>
  <c r="AY79" i="7" s="1"/>
  <c r="AV81" i="7" a="1"/>
  <c r="AV81" i="7" s="1"/>
  <c r="FA94" i="7" a="1"/>
  <c r="BG36" i="7" a="1"/>
  <c r="EY94" i="7" a="1"/>
  <c r="FH93" i="7" l="1" a="1"/>
  <c r="FH93" i="7" s="1"/>
  <c r="FG93" i="7" s="1"/>
  <c r="EY94" i="7"/>
  <c r="BG36" i="7"/>
  <c r="FA94" i="7"/>
  <c r="AZ79" i="7"/>
  <c r="AV80" i="7"/>
  <c r="AU84" i="7"/>
  <c r="AW83" i="7"/>
  <c r="AV83" i="7"/>
  <c r="AW84" i="7" s="1"/>
  <c r="AV78" i="7"/>
  <c r="AX79" i="7" s="1" a="1"/>
  <c r="AX79" i="7" s="1"/>
  <c r="AY83" i="7"/>
  <c r="AU83" i="7"/>
  <c r="AX80" i="7"/>
  <c r="FE94" i="7" a="1"/>
  <c r="BC37" i="7" a="1"/>
  <c r="BB38" i="7" a="1"/>
  <c r="FC94" i="7" a="1"/>
  <c r="EZ94" i="7" a="1"/>
  <c r="EX94" i="7" a="1"/>
  <c r="FD94" i="7" a="1"/>
  <c r="EV94" i="7" a="1"/>
  <c r="EV94" i="7" l="1"/>
  <c r="FD94" i="7"/>
  <c r="EX94" i="7"/>
  <c r="EZ94" i="7"/>
  <c r="FC94" i="7"/>
  <c r="BB38" i="7"/>
  <c r="BC37" i="7"/>
  <c r="BC39" i="7" s="1" a="1"/>
  <c r="BC39" i="7" s="1"/>
  <c r="FE94" i="7"/>
  <c r="AU80" i="7" a="1"/>
  <c r="AU80" i="7" s="1"/>
  <c r="AZ80" i="7" a="1"/>
  <c r="AZ80" i="7" s="1"/>
  <c r="AY84" i="7"/>
  <c r="AX39" i="7" a="1"/>
  <c r="AX39" i="7" s="1"/>
  <c r="FF94" i="7" a="1"/>
  <c r="BI1" i="7" a="1"/>
  <c r="FB93" i="7" a="1"/>
  <c r="EW95" i="7" a="1"/>
  <c r="FA95" i="7" a="1"/>
  <c r="FA95" i="7" l="1"/>
  <c r="EW95" i="7"/>
  <c r="FB93" i="7"/>
  <c r="BI1" i="7"/>
  <c r="FF94" i="7"/>
  <c r="FH94" i="7" s="1" a="1"/>
  <c r="FH94" i="7" s="1"/>
  <c r="FG94" i="7" s="1"/>
  <c r="BB42" i="7"/>
  <c r="BD41" i="7"/>
  <c r="BC41" i="7"/>
  <c r="BD42" i="7" s="1"/>
  <c r="BC36" i="7"/>
  <c r="BE81" i="7" a="1"/>
  <c r="BE81" i="7" s="1"/>
  <c r="BF37" i="7" a="1"/>
  <c r="BF37" i="7" s="1"/>
  <c r="BC38" i="7"/>
  <c r="BE38" i="7"/>
  <c r="BB41" i="7"/>
  <c r="BF41" i="7"/>
  <c r="BB79" i="7" a="1"/>
  <c r="BB79" i="7" s="1"/>
  <c r="BG81" i="7" a="1"/>
  <c r="BG81" i="7" s="1"/>
  <c r="BG39" i="7" a="1"/>
  <c r="BG39" i="7" s="1"/>
  <c r="FC95" i="7" a="1"/>
  <c r="FD95" i="7" a="1"/>
  <c r="BB78" i="7" a="1"/>
  <c r="EV95" i="7" a="1"/>
  <c r="FB96" i="7" a="1"/>
  <c r="BI2" i="7" a="1"/>
  <c r="EY95" i="7" a="1"/>
  <c r="FE95" i="7" a="1"/>
  <c r="FE95" i="7" l="1"/>
  <c r="EY95" i="7"/>
  <c r="BI2" i="7"/>
  <c r="FB96" i="7"/>
  <c r="EV95" i="7"/>
  <c r="BB78" i="7"/>
  <c r="FD95" i="7"/>
  <c r="FC95" i="7"/>
  <c r="BE37" i="7" a="1"/>
  <c r="BE37" i="7" s="1"/>
  <c r="BG37" i="7"/>
  <c r="BB37" i="7" a="1"/>
  <c r="BB37" i="7" s="1"/>
  <c r="BG38" i="7" a="1"/>
  <c r="BG38" i="7" s="1"/>
  <c r="BF42" i="7" s="1"/>
  <c r="BC79" i="7" a="1"/>
  <c r="BC79" i="7" s="1"/>
  <c r="EX95" i="7" a="1"/>
  <c r="BJ1" i="7" a="1"/>
  <c r="EZ95" i="7" a="1"/>
  <c r="FF95" i="7" a="1"/>
  <c r="EW96" i="7" a="1"/>
  <c r="EW96" i="7" l="1"/>
  <c r="FF95" i="7"/>
  <c r="EZ95" i="7"/>
  <c r="BJ1" i="7"/>
  <c r="EX95" i="7"/>
  <c r="BC81" i="7" a="1"/>
  <c r="BC81" i="7" s="1"/>
  <c r="BF79" i="7" a="1"/>
  <c r="BF79" i="7" s="1"/>
  <c r="BO1" i="7" a="1"/>
  <c r="FA96" i="7" a="1"/>
  <c r="EY96" i="7" a="1"/>
  <c r="FH95" i="7" l="1" a="1"/>
  <c r="FH95" i="7" s="1"/>
  <c r="FG95" i="7" s="1"/>
  <c r="EY96" i="7"/>
  <c r="FA96" i="7"/>
  <c r="BO1" i="7"/>
  <c r="BG79" i="7"/>
  <c r="BE80" i="7"/>
  <c r="BF83" i="7"/>
  <c r="BC80" i="7"/>
  <c r="BC78" i="7"/>
  <c r="BE79" i="7" s="1" a="1"/>
  <c r="BE79" i="7" s="1"/>
  <c r="BB83" i="7"/>
  <c r="BD83" i="7"/>
  <c r="BB84" i="7"/>
  <c r="BC83" i="7"/>
  <c r="EV96" i="7" a="1"/>
  <c r="BK2" i="7" a="1"/>
  <c r="BJ3" i="7" a="1"/>
  <c r="BP1" i="7" a="1"/>
  <c r="EX96" i="7" a="1"/>
  <c r="EZ96" i="7" a="1"/>
  <c r="FD96" i="7" a="1"/>
  <c r="FC96" i="7" a="1"/>
  <c r="FC96" i="7" l="1"/>
  <c r="FD96" i="7"/>
  <c r="EZ96" i="7"/>
  <c r="EX96" i="7"/>
  <c r="BP1" i="7"/>
  <c r="BJ3" i="7"/>
  <c r="BK2" i="7"/>
  <c r="EV96" i="7"/>
  <c r="BE39" i="7" a="1"/>
  <c r="BE39" i="7" s="1"/>
  <c r="BG80" i="7" a="1"/>
  <c r="BG80" i="7" s="1"/>
  <c r="BF84" i="7"/>
  <c r="BB80" i="7" a="1"/>
  <c r="BB80" i="7" s="1"/>
  <c r="BD84" i="7"/>
  <c r="FE96" i="7" a="1"/>
  <c r="FB95" i="7" a="1"/>
  <c r="BP2" i="7" a="1"/>
  <c r="FF96" i="7" a="1"/>
  <c r="FF96" i="7" l="1"/>
  <c r="BP2" i="7"/>
  <c r="FB95" i="7"/>
  <c r="FE96" i="7"/>
  <c r="BM3" i="7"/>
  <c r="BK1" i="7"/>
  <c r="BK3" i="7"/>
  <c r="BJ6" i="7"/>
  <c r="EW97" i="7"/>
  <c r="BN2" i="7" a="1"/>
  <c r="BN2" i="7" s="1"/>
  <c r="BM46" i="7" a="1"/>
  <c r="BM46" i="7" s="1"/>
  <c r="BN6" i="7"/>
  <c r="BL6" i="7"/>
  <c r="BK6" i="7"/>
  <c r="FC97" i="7" s="1"/>
  <c r="BK4" i="7" a="1"/>
  <c r="BK4" i="7" s="1"/>
  <c r="BO4" i="7" a="1"/>
  <c r="BO4" i="7" s="1"/>
  <c r="BO46" i="7" a="1"/>
  <c r="BO46" i="7" s="1"/>
  <c r="BJ44" i="7" a="1"/>
  <c r="BJ44" i="7" s="1"/>
  <c r="BQ1" i="7" a="1"/>
  <c r="BJ43" i="7" a="1"/>
  <c r="FB98" i="7" a="1"/>
  <c r="FH96" i="7" l="1" a="1"/>
  <c r="FH96" i="7" s="1"/>
  <c r="FG96" i="7" s="1"/>
  <c r="FB98" i="7"/>
  <c r="BJ43" i="7"/>
  <c r="BQ1" i="7"/>
  <c r="FA97" i="7"/>
  <c r="BJ2" i="7" a="1"/>
  <c r="BJ2" i="7" s="1"/>
  <c r="BJ7" i="7"/>
  <c r="FD97" i="7" s="1"/>
  <c r="BL7" i="7"/>
  <c r="FE97" i="7" s="1"/>
  <c r="EV97" i="7"/>
  <c r="BK44" i="7" a="1"/>
  <c r="BK44" i="7" s="1"/>
  <c r="BO3" i="7" a="1"/>
  <c r="BO3" i="7" s="1"/>
  <c r="BN7" i="7" s="1"/>
  <c r="FF97" i="7" s="1"/>
  <c r="EY97" i="7"/>
  <c r="BM2" i="7" a="1"/>
  <c r="BM2" i="7" s="1"/>
  <c r="EX97" i="7" s="1"/>
  <c r="BO2" i="7"/>
  <c r="EZ97" i="7" s="1"/>
  <c r="EW98" i="7" a="1"/>
  <c r="BV1" i="7" a="1"/>
  <c r="BV1" i="7" l="1"/>
  <c r="EW98" i="7"/>
  <c r="FH97" i="7" a="1"/>
  <c r="FH97" i="7" s="1"/>
  <c r="FG97" i="7" s="1"/>
  <c r="BN44" i="7" a="1"/>
  <c r="BN44" i="7" s="1"/>
  <c r="BK46" i="7" a="1"/>
  <c r="BK46" i="7" s="1"/>
  <c r="FA98" i="7" a="1"/>
  <c r="EY98" i="7" a="1"/>
  <c r="BR2" i="7" a="1"/>
  <c r="BQ3" i="7" a="1"/>
  <c r="BQ3" i="7" l="1"/>
  <c r="BR2" i="7"/>
  <c r="BR4" i="7" s="1" a="1"/>
  <c r="BR4" i="7" s="1"/>
  <c r="EY98" i="7"/>
  <c r="FA98" i="7"/>
  <c r="BM4" i="7" a="1"/>
  <c r="BM4" i="7" s="1"/>
  <c r="FB97" i="7" s="1"/>
  <c r="BO44" i="7"/>
  <c r="BK48" i="7"/>
  <c r="BJ49" i="7"/>
  <c r="BJ48" i="7"/>
  <c r="BK43" i="7"/>
  <c r="BN48" i="7"/>
  <c r="BM45" i="7"/>
  <c r="BK45" i="7"/>
  <c r="BL48" i="7"/>
  <c r="BI8" i="7" a="1"/>
  <c r="EZ98" i="7" a="1"/>
  <c r="FC98" i="7" a="1"/>
  <c r="FD98" i="7" a="1"/>
  <c r="EV98" i="7" a="1"/>
  <c r="EV98" i="7" l="1"/>
  <c r="FD98" i="7"/>
  <c r="FC98" i="7"/>
  <c r="EZ98" i="7"/>
  <c r="BI8" i="7"/>
  <c r="BN49" i="7"/>
  <c r="BO45" i="7" a="1"/>
  <c r="BO45" i="7" s="1"/>
  <c r="BJ45" i="7" a="1"/>
  <c r="BJ45" i="7" s="1"/>
  <c r="BL49" i="7"/>
  <c r="BM44" i="7" a="1"/>
  <c r="BM44" i="7" s="1"/>
  <c r="FA99" i="7"/>
  <c r="BQ7" i="7"/>
  <c r="FD99" i="7" s="1"/>
  <c r="BQ2" i="7" a="1"/>
  <c r="BQ2" i="7" s="1"/>
  <c r="BT46" i="7" a="1"/>
  <c r="BT46" i="7" s="1"/>
  <c r="BQ6" i="7"/>
  <c r="BU6" i="7"/>
  <c r="BT3" i="7"/>
  <c r="BR1" i="7"/>
  <c r="BR3" i="7"/>
  <c r="BR6" i="7"/>
  <c r="FC99" i="7" s="1"/>
  <c r="EW99" i="7"/>
  <c r="BS6" i="7"/>
  <c r="BU2" i="7" a="1"/>
  <c r="BU2" i="7" s="1"/>
  <c r="BQ44" i="7" a="1"/>
  <c r="BQ44" i="7" s="1"/>
  <c r="BV46" i="7" a="1"/>
  <c r="BV46" i="7" s="1"/>
  <c r="BV4" i="7" a="1"/>
  <c r="BV4" i="7" s="1"/>
  <c r="FE98" i="7" a="1"/>
  <c r="EX98" i="7" a="1"/>
  <c r="BQ43" i="7" a="1"/>
  <c r="BI9" i="7" a="1"/>
  <c r="FF98" i="7" a="1"/>
  <c r="FB100" i="7" a="1"/>
  <c r="BS7" i="7" l="1"/>
  <c r="FE99" i="7" s="1"/>
  <c r="FB100" i="7"/>
  <c r="FF98" i="7"/>
  <c r="BI9" i="7"/>
  <c r="BQ43" i="7"/>
  <c r="EX98" i="7"/>
  <c r="FE98" i="7"/>
  <c r="EY99" i="7"/>
  <c r="BV2" i="7"/>
  <c r="EZ99" i="7" s="1"/>
  <c r="BT2" i="7" a="1"/>
  <c r="BT2" i="7" s="1"/>
  <c r="EX99" i="7" s="1"/>
  <c r="EV99" i="7"/>
  <c r="BV3" i="7" a="1"/>
  <c r="BV3" i="7" s="1"/>
  <c r="BU7" i="7" s="1"/>
  <c r="FF99" i="7" s="1"/>
  <c r="BR44" i="7" a="1"/>
  <c r="BR44" i="7" s="1"/>
  <c r="BJ8" i="7" a="1"/>
  <c r="EW100" i="7" a="1"/>
  <c r="FH98" i="7" l="1" a="1"/>
  <c r="FH98" i="7" s="1"/>
  <c r="FG98" i="7" s="1"/>
  <c r="EW100" i="7"/>
  <c r="BJ8" i="7"/>
  <c r="BU44" i="7" a="1"/>
  <c r="BU44" i="7" s="1"/>
  <c r="BR46" i="7" a="1"/>
  <c r="BR46" i="7" s="1"/>
  <c r="FH99" i="7" a="1"/>
  <c r="FH99" i="7" s="1"/>
  <c r="FG99" i="7" s="1"/>
  <c r="BO8" i="7" a="1"/>
  <c r="FA100" i="7" a="1"/>
  <c r="EY100" i="7" a="1"/>
  <c r="EY100" i="7" l="1"/>
  <c r="FA100" i="7"/>
  <c r="BO8" i="7"/>
  <c r="BV44" i="7"/>
  <c r="BS48" i="7"/>
  <c r="BR43" i="7"/>
  <c r="BQ49" i="7"/>
  <c r="BQ48" i="7"/>
  <c r="BR45" i="7"/>
  <c r="BT45" i="7"/>
  <c r="BU48" i="7"/>
  <c r="BR48" i="7"/>
  <c r="EV100" i="7" a="1"/>
  <c r="BK9" i="7" a="1"/>
  <c r="BJ10" i="7" a="1"/>
  <c r="FD100" i="7" a="1"/>
  <c r="EZ100" i="7" a="1"/>
  <c r="FC100" i="7" a="1"/>
  <c r="FC100" i="7" l="1"/>
  <c r="EZ100" i="7"/>
  <c r="FD100" i="7"/>
  <c r="BJ10" i="7"/>
  <c r="BK9" i="7"/>
  <c r="EV100" i="7"/>
  <c r="BT4" i="7" a="1"/>
  <c r="BT4" i="7" s="1"/>
  <c r="FB99" i="7" s="1"/>
  <c r="BU49" i="7"/>
  <c r="BV45" i="7" a="1"/>
  <c r="BV45" i="7" s="1"/>
  <c r="BQ45" i="7" a="1"/>
  <c r="BQ45" i="7" s="1"/>
  <c r="BS49" i="7"/>
  <c r="BT44" i="7" a="1"/>
  <c r="BT44" i="7" s="1"/>
  <c r="EX100" i="7" a="1"/>
  <c r="BP8" i="7" a="1"/>
  <c r="FF100" i="7" a="1"/>
  <c r="EW101" i="7" a="1"/>
  <c r="FE100" i="7" a="1"/>
  <c r="FE100" i="7" l="1"/>
  <c r="EW101" i="7"/>
  <c r="FF100" i="7"/>
  <c r="BP8" i="7"/>
  <c r="EX100" i="7"/>
  <c r="BL13" i="7"/>
  <c r="BJ13" i="7"/>
  <c r="BN9" i="7" a="1"/>
  <c r="BN9" i="7" s="1"/>
  <c r="BM53" i="7" a="1"/>
  <c r="BM53" i="7" s="1"/>
  <c r="BK8" i="7"/>
  <c r="BK13" i="7"/>
  <c r="BM10" i="7"/>
  <c r="BK10" i="7"/>
  <c r="BN13" i="7"/>
  <c r="BO53" i="7" a="1"/>
  <c r="BO53" i="7" s="1"/>
  <c r="BJ51" i="7" a="1"/>
  <c r="BJ51" i="7" s="1"/>
  <c r="BO11" i="7" a="1"/>
  <c r="BO11" i="7" s="1"/>
  <c r="BK11" i="7" a="1"/>
  <c r="BK11" i="7" s="1"/>
  <c r="FB102" i="7" a="1"/>
  <c r="FC101" i="7" a="1"/>
  <c r="BJ50" i="7" a="1"/>
  <c r="EV101" i="7" a="1"/>
  <c r="FA101" i="7" a="1"/>
  <c r="EY101" i="7" a="1"/>
  <c r="BP9" i="7" a="1"/>
  <c r="BP9" i="7" l="1"/>
  <c r="EY101" i="7"/>
  <c r="FA101" i="7"/>
  <c r="EV101" i="7"/>
  <c r="BJ50" i="7"/>
  <c r="FC101" i="7"/>
  <c r="FB102" i="7"/>
  <c r="FH100" i="7" a="1"/>
  <c r="FH100" i="7" s="1"/>
  <c r="FG100" i="7" s="1"/>
  <c r="BO9" i="7"/>
  <c r="BM9" i="7" a="1"/>
  <c r="BM9" i="7" s="1"/>
  <c r="BJ14" i="7"/>
  <c r="BL14" i="7"/>
  <c r="BO10" i="7" a="1"/>
  <c r="BO10" i="7" s="1"/>
  <c r="BN14" i="7" s="1"/>
  <c r="BJ9" i="7" a="1"/>
  <c r="BJ9" i="7" s="1"/>
  <c r="BK51" i="7" a="1"/>
  <c r="BK51" i="7" s="1"/>
  <c r="BQ8" i="7" a="1"/>
  <c r="EZ101" i="7" a="1"/>
  <c r="EX101" i="7" a="1"/>
  <c r="FD101" i="7" a="1"/>
  <c r="FE101" i="7" a="1"/>
  <c r="EW102" i="7" a="1"/>
  <c r="FF101" i="7" a="1"/>
  <c r="FF101" i="7" l="1"/>
  <c r="EW102" i="7"/>
  <c r="FE101" i="7"/>
  <c r="FD101" i="7"/>
  <c r="EX101" i="7"/>
  <c r="EZ101" i="7"/>
  <c r="BQ8" i="7"/>
  <c r="BK53" i="7" a="1"/>
  <c r="BK53" i="7" s="1"/>
  <c r="BN51" i="7" a="1"/>
  <c r="BN51" i="7" s="1"/>
  <c r="FA102" i="7" a="1"/>
  <c r="EY102" i="7" a="1"/>
  <c r="BV8" i="7" a="1"/>
  <c r="FH101" i="7" l="1" a="1"/>
  <c r="FH101" i="7" s="1"/>
  <c r="FG101" i="7" s="1"/>
  <c r="BV8" i="7"/>
  <c r="EY102" i="7"/>
  <c r="FA102" i="7"/>
  <c r="BO51" i="7"/>
  <c r="BK55" i="7"/>
  <c r="BL56" i="7" s="1"/>
  <c r="BK52" i="7"/>
  <c r="BL55" i="7"/>
  <c r="BJ56" i="7"/>
  <c r="BJ55" i="7"/>
  <c r="BM52" i="7"/>
  <c r="BN55" i="7"/>
  <c r="BK50" i="7"/>
  <c r="BQ10" i="7" a="1"/>
  <c r="BR9" i="7" a="1"/>
  <c r="EZ102" i="7" a="1"/>
  <c r="EV102" i="7" a="1"/>
  <c r="FC102" i="7" a="1"/>
  <c r="FE102" i="7" a="1"/>
  <c r="FD102" i="7" a="1"/>
  <c r="FD102" i="7" l="1"/>
  <c r="FE102" i="7"/>
  <c r="FC102" i="7"/>
  <c r="EV102" i="7"/>
  <c r="EZ102" i="7"/>
  <c r="BR9" i="7"/>
  <c r="BQ10" i="7"/>
  <c r="BM51" i="7" a="1"/>
  <c r="BM51" i="7" s="1"/>
  <c r="BN56" i="7"/>
  <c r="BO52" i="7" a="1"/>
  <c r="BO52" i="7" s="1"/>
  <c r="BJ52" i="7" a="1"/>
  <c r="BJ52" i="7" s="1"/>
  <c r="BM11" i="7" a="1"/>
  <c r="BM11" i="7" s="1"/>
  <c r="FF102" i="7" a="1"/>
  <c r="EW103" i="7" a="1"/>
  <c r="BI15" i="7" a="1"/>
  <c r="EX102" i="7" a="1"/>
  <c r="FB101" i="7" a="1"/>
  <c r="FB101" i="7" l="1"/>
  <c r="EX102" i="7"/>
  <c r="BI15" i="7"/>
  <c r="EW103" i="7"/>
  <c r="FF102" i="7"/>
  <c r="BV53" i="7" a="1"/>
  <c r="BV53" i="7" s="1"/>
  <c r="BQ51" i="7" a="1"/>
  <c r="BQ51" i="7" s="1"/>
  <c r="BV11" i="7" a="1"/>
  <c r="BV11" i="7" s="1"/>
  <c r="BQ13" i="7"/>
  <c r="BR10" i="7"/>
  <c r="BT53" i="7" a="1"/>
  <c r="BT53" i="7" s="1"/>
  <c r="BU13" i="7"/>
  <c r="BS13" i="7"/>
  <c r="BT10" i="7"/>
  <c r="BR8" i="7"/>
  <c r="BR13" i="7"/>
  <c r="BU9" i="7" a="1"/>
  <c r="BU9" i="7" s="1"/>
  <c r="BR11" i="7" a="1"/>
  <c r="BR11" i="7" s="1"/>
  <c r="FC103" i="7" a="1"/>
  <c r="EY103" i="7" a="1"/>
  <c r="FA103" i="7" a="1"/>
  <c r="BI16" i="7" a="1"/>
  <c r="BQ50" i="7" a="1"/>
  <c r="EV103" i="7" a="1"/>
  <c r="FB104" i="7" a="1"/>
  <c r="FH102" i="7" l="1" a="1"/>
  <c r="FH102" i="7" s="1"/>
  <c r="FG102" i="7" s="1"/>
  <c r="FB104" i="7"/>
  <c r="EV103" i="7"/>
  <c r="BQ50" i="7"/>
  <c r="BI16" i="7"/>
  <c r="FA103" i="7"/>
  <c r="EY103" i="7"/>
  <c r="FC103" i="7"/>
  <c r="BQ9" i="7" a="1"/>
  <c r="BQ9" i="7" s="1"/>
  <c r="BV10" i="7" a="1"/>
  <c r="BV10" i="7" s="1"/>
  <c r="BU14" i="7" s="1"/>
  <c r="BR51" i="7" a="1"/>
  <c r="BR51" i="7" s="1"/>
  <c r="BQ14" i="7"/>
  <c r="BS14" i="7"/>
  <c r="BV9" i="7"/>
  <c r="BT9" i="7" a="1"/>
  <c r="BT9" i="7" s="1"/>
  <c r="FF103" i="7" a="1"/>
  <c r="EW104" i="7" a="1"/>
  <c r="BJ15" i="7" a="1"/>
  <c r="FD103" i="7" a="1"/>
  <c r="FE103" i="7" a="1"/>
  <c r="EZ103" i="7" a="1"/>
  <c r="EX103" i="7" a="1"/>
  <c r="EX103" i="7" l="1"/>
  <c r="EZ103" i="7"/>
  <c r="FE103" i="7"/>
  <c r="FD103" i="7"/>
  <c r="BJ15" i="7"/>
  <c r="EW104" i="7"/>
  <c r="FF103" i="7"/>
  <c r="BU51" i="7" a="1"/>
  <c r="BU51" i="7" s="1"/>
  <c r="BR53" i="7" a="1"/>
  <c r="BR53" i="7" s="1"/>
  <c r="BO15" i="7" a="1"/>
  <c r="EY104" i="7" a="1"/>
  <c r="FA104" i="7" a="1"/>
  <c r="FA104" i="7" l="1"/>
  <c r="EY104" i="7"/>
  <c r="BO15" i="7"/>
  <c r="BQ55" i="7"/>
  <c r="BT52" i="7"/>
  <c r="BU55" i="7"/>
  <c r="BR52" i="7"/>
  <c r="BR50" i="7"/>
  <c r="BT51" i="7" s="1" a="1"/>
  <c r="BT51" i="7" s="1"/>
  <c r="BR55" i="7"/>
  <c r="BS56" i="7" s="1"/>
  <c r="BQ56" i="7"/>
  <c r="BS55" i="7"/>
  <c r="BV51" i="7"/>
  <c r="FH103" i="7" a="1"/>
  <c r="FH103" i="7" s="1"/>
  <c r="FG103" i="7" s="1"/>
  <c r="EV104" i="7" a="1"/>
  <c r="EZ104" i="7" a="1"/>
  <c r="FC104" i="7" a="1"/>
  <c r="BK16" i="7" a="1"/>
  <c r="BJ17" i="7" a="1"/>
  <c r="FD104" i="7" a="1"/>
  <c r="EX104" i="7" a="1"/>
  <c r="FE104" i="7" a="1"/>
  <c r="FE104" i="7" l="1"/>
  <c r="EX104" i="7"/>
  <c r="FD104" i="7"/>
  <c r="BJ17" i="7"/>
  <c r="BK16" i="7"/>
  <c r="BK18" i="7" s="1" a="1"/>
  <c r="BK18" i="7" s="1"/>
  <c r="FC104" i="7"/>
  <c r="EZ104" i="7"/>
  <c r="EV104" i="7"/>
  <c r="BT11" i="7" a="1"/>
  <c r="BT11" i="7" s="1"/>
  <c r="BV52" i="7" a="1"/>
  <c r="BV52" i="7" s="1"/>
  <c r="BQ52" i="7" a="1"/>
  <c r="BQ52" i="7" s="1"/>
  <c r="BU56" i="7"/>
  <c r="FF104" i="7" a="1"/>
  <c r="FA105" i="7" a="1"/>
  <c r="EW105" i="7" a="1"/>
  <c r="FB103" i="7" a="1"/>
  <c r="BP15" i="7" a="1"/>
  <c r="BP15" i="7" l="1"/>
  <c r="FB103" i="7"/>
  <c r="EW105" i="7"/>
  <c r="FA105" i="7"/>
  <c r="FF104" i="7"/>
  <c r="FH104" i="7" s="1" a="1"/>
  <c r="FH104" i="7" s="1"/>
  <c r="FG104" i="7" s="1"/>
  <c r="BN20" i="7"/>
  <c r="BM60" i="7" a="1"/>
  <c r="BM60" i="7" s="1"/>
  <c r="BL20" i="7"/>
  <c r="BK20" i="7"/>
  <c r="BL21" i="7" s="1"/>
  <c r="BN16" i="7" a="1"/>
  <c r="BN16" i="7" s="1"/>
  <c r="BM17" i="7"/>
  <c r="BK15" i="7"/>
  <c r="BK17" i="7"/>
  <c r="BJ20" i="7"/>
  <c r="BJ21" i="7"/>
  <c r="BO18" i="7" a="1"/>
  <c r="BO18" i="7" s="1"/>
  <c r="BJ58" i="7" a="1"/>
  <c r="BJ58" i="7" s="1"/>
  <c r="BO60" i="7" a="1"/>
  <c r="BO60" i="7" s="1"/>
  <c r="BP16" i="7" a="1"/>
  <c r="FC105" i="7" a="1"/>
  <c r="FB106" i="7" a="1"/>
  <c r="EY105" i="7" a="1"/>
  <c r="FE105" i="7" a="1"/>
  <c r="BJ57" i="7" a="1"/>
  <c r="EV105" i="7" a="1"/>
  <c r="FD105" i="7" a="1"/>
  <c r="FD105" i="7" l="1"/>
  <c r="EV105" i="7"/>
  <c r="BJ57" i="7"/>
  <c r="FE105" i="7"/>
  <c r="EY105" i="7"/>
  <c r="FB106" i="7"/>
  <c r="FC105" i="7"/>
  <c r="BP16" i="7"/>
  <c r="BJ16" i="7" a="1"/>
  <c r="BJ16" i="7" s="1"/>
  <c r="BO17" i="7" a="1"/>
  <c r="BO17" i="7" s="1"/>
  <c r="BN21" i="7" s="1"/>
  <c r="BK58" i="7" a="1"/>
  <c r="BK58" i="7" s="1"/>
  <c r="BM16" i="7" a="1"/>
  <c r="BM16" i="7" s="1"/>
  <c r="BO16" i="7"/>
  <c r="EX105" i="7" a="1"/>
  <c r="FF105" i="7" a="1"/>
  <c r="EW106" i="7" a="1"/>
  <c r="EZ105" i="7" a="1"/>
  <c r="BQ15" i="7" a="1"/>
  <c r="BQ15" i="7" l="1"/>
  <c r="EZ105" i="7"/>
  <c r="EW106" i="7"/>
  <c r="FF105" i="7"/>
  <c r="EX105" i="7"/>
  <c r="BK60" i="7" a="1"/>
  <c r="BK60" i="7" s="1"/>
  <c r="BN58" i="7" a="1"/>
  <c r="BN58" i="7" s="1"/>
  <c r="BV15" i="7" a="1"/>
  <c r="EY106" i="7" a="1"/>
  <c r="FA106" i="7" a="1"/>
  <c r="FH105" i="7" l="1" a="1"/>
  <c r="FH105" i="7" s="1"/>
  <c r="FG105" i="7" s="1"/>
  <c r="FA106" i="7"/>
  <c r="EY106" i="7"/>
  <c r="BV15" i="7"/>
  <c r="BN62" i="7"/>
  <c r="BJ62" i="7"/>
  <c r="BL62" i="7"/>
  <c r="BM59" i="7"/>
  <c r="BK59" i="7"/>
  <c r="BJ63" i="7"/>
  <c r="BK62" i="7"/>
  <c r="BK57" i="7"/>
  <c r="BO58" i="7"/>
  <c r="BM58" i="7" a="1"/>
  <c r="BM58" i="7" s="1"/>
  <c r="FD106" i="7" a="1"/>
  <c r="BR16" i="7" a="1"/>
  <c r="BQ17" i="7" a="1"/>
  <c r="FC106" i="7" a="1"/>
  <c r="EV106" i="7" a="1"/>
  <c r="EZ106" i="7" a="1"/>
  <c r="EX106" i="7" a="1"/>
  <c r="EX106" i="7" l="1"/>
  <c r="EZ106" i="7"/>
  <c r="EV106" i="7"/>
  <c r="FC106" i="7"/>
  <c r="BQ17" i="7"/>
  <c r="BR16" i="7"/>
  <c r="BR18" i="7" s="1" a="1"/>
  <c r="BR18" i="7" s="1"/>
  <c r="FD106" i="7"/>
  <c r="BN63" i="7"/>
  <c r="BO59" i="7" a="1"/>
  <c r="BO59" i="7" s="1"/>
  <c r="BJ59" i="7" a="1"/>
  <c r="BJ59" i="7" s="1"/>
  <c r="BM18" i="7" a="1"/>
  <c r="BM18" i="7" s="1"/>
  <c r="BL63" i="7"/>
  <c r="FE106" i="7" a="1"/>
  <c r="EW107" i="7" a="1"/>
  <c r="FA107" i="7" a="1"/>
  <c r="FB105" i="7" a="1"/>
  <c r="BI22" i="7" a="1"/>
  <c r="FF106" i="7" a="1"/>
  <c r="FF106" i="7" l="1"/>
  <c r="BI22" i="7"/>
  <c r="FB105" i="7"/>
  <c r="FA107" i="7"/>
  <c r="EW107" i="7"/>
  <c r="FE106" i="7"/>
  <c r="BQ58" i="7" a="1"/>
  <c r="BQ58" i="7" s="1"/>
  <c r="BV60" i="7" a="1"/>
  <c r="BV60" i="7" s="1"/>
  <c r="BV18" i="7" a="1"/>
  <c r="BV18" i="7" s="1"/>
  <c r="BQ21" i="7"/>
  <c r="BS20" i="7"/>
  <c r="BT17" i="7"/>
  <c r="BR17" i="7"/>
  <c r="BR20" i="7"/>
  <c r="BT60" i="7" a="1"/>
  <c r="BT60" i="7" s="1"/>
  <c r="BQ20" i="7"/>
  <c r="BR15" i="7"/>
  <c r="BU16" i="7" a="1"/>
  <c r="BU16" i="7" s="1"/>
  <c r="BU20" i="7"/>
  <c r="BI23" i="7" a="1"/>
  <c r="FD107" i="7" a="1"/>
  <c r="BQ57" i="7" a="1"/>
  <c r="EV107" i="7" a="1"/>
  <c r="FB108" i="7" a="1"/>
  <c r="EY107" i="7" a="1"/>
  <c r="FC107" i="7" a="1"/>
  <c r="FC107" i="7" l="1"/>
  <c r="EY107" i="7"/>
  <c r="FB108" i="7"/>
  <c r="EV107" i="7"/>
  <c r="BQ57" i="7"/>
  <c r="FD107" i="7"/>
  <c r="BI23" i="7"/>
  <c r="BT16" i="7" a="1"/>
  <c r="BT16" i="7" s="1"/>
  <c r="BV16" i="7"/>
  <c r="BS21" i="7"/>
  <c r="BQ16" i="7" a="1"/>
  <c r="BQ16" i="7" s="1"/>
  <c r="BV17" i="7" a="1"/>
  <c r="BV17" i="7" s="1"/>
  <c r="BU21" i="7" s="1"/>
  <c r="BR58" i="7" a="1"/>
  <c r="BR58" i="7" s="1"/>
  <c r="FH106" i="7" a="1"/>
  <c r="FH106" i="7" s="1"/>
  <c r="FG106" i="7" s="1"/>
  <c r="EZ107" i="7" a="1"/>
  <c r="FE107" i="7" a="1"/>
  <c r="BJ22" i="7" a="1"/>
  <c r="EX107" i="7" a="1"/>
  <c r="FF107" i="7" a="1"/>
  <c r="EW108" i="7" a="1"/>
  <c r="EW108" i="7" l="1"/>
  <c r="FF107" i="7"/>
  <c r="EX107" i="7"/>
  <c r="BJ22" i="7"/>
  <c r="FE107" i="7"/>
  <c r="EZ107" i="7"/>
  <c r="BR60" i="7" a="1"/>
  <c r="BR60" i="7" s="1"/>
  <c r="BU58" i="7" a="1"/>
  <c r="BU58" i="7" s="1"/>
  <c r="BO22" i="7" a="1"/>
  <c r="EY108" i="7" a="1"/>
  <c r="FA108" i="7" a="1"/>
  <c r="FH107" i="7" l="1" a="1"/>
  <c r="FH107" i="7" s="1"/>
  <c r="FG107" i="7" s="1"/>
  <c r="FA108" i="7"/>
  <c r="EY108" i="7"/>
  <c r="BO22" i="7"/>
  <c r="BT59" i="7"/>
  <c r="BR57" i="7"/>
  <c r="BS62" i="7"/>
  <c r="BQ62" i="7"/>
  <c r="BR59" i="7"/>
  <c r="BR62" i="7"/>
  <c r="BS63" i="7" s="1"/>
  <c r="BQ63" i="7"/>
  <c r="BU62" i="7"/>
  <c r="BV58" i="7"/>
  <c r="BT58" i="7" a="1"/>
  <c r="BT58" i="7" s="1"/>
  <c r="FC108" i="7" a="1"/>
  <c r="BK23" i="7" a="1"/>
  <c r="BJ24" i="7" a="1"/>
  <c r="EZ108" i="7" a="1"/>
  <c r="FD108" i="7" a="1"/>
  <c r="EX108" i="7" a="1"/>
  <c r="EV108" i="7" a="1"/>
  <c r="FE108" i="7" a="1"/>
  <c r="FE108" i="7" l="1"/>
  <c r="EV108" i="7"/>
  <c r="EX108" i="7"/>
  <c r="FD108" i="7"/>
  <c r="EZ108" i="7"/>
  <c r="BJ24" i="7"/>
  <c r="BK23" i="7"/>
  <c r="FC108" i="7"/>
  <c r="BQ59" i="7" a="1"/>
  <c r="BQ59" i="7" s="1"/>
  <c r="BU63" i="7"/>
  <c r="BV59" i="7" a="1"/>
  <c r="BV59" i="7" s="1"/>
  <c r="BT18" i="7" a="1"/>
  <c r="BT18" i="7" s="1"/>
  <c r="FF108" i="7" a="1"/>
  <c r="EW109" i="7" a="1"/>
  <c r="BP22" i="7" a="1"/>
  <c r="FB107" i="7" a="1"/>
  <c r="FB107" i="7" l="1"/>
  <c r="BP22" i="7"/>
  <c r="EW109" i="7"/>
  <c r="FF108" i="7"/>
  <c r="FH108" i="7" s="1" a="1"/>
  <c r="FH108" i="7" s="1"/>
  <c r="FG108" i="7" s="1"/>
  <c r="BJ65" i="7" a="1"/>
  <c r="BJ65" i="7" s="1"/>
  <c r="BO67" i="7" a="1"/>
  <c r="BO67" i="7" s="1"/>
  <c r="BO25" i="7" a="1"/>
  <c r="BO25" i="7" s="1"/>
  <c r="BK22" i="7"/>
  <c r="BK27" i="7"/>
  <c r="BK24" i="7"/>
  <c r="BM67" i="7" a="1"/>
  <c r="BM67" i="7" s="1"/>
  <c r="BN23" i="7" a="1"/>
  <c r="BN23" i="7" s="1"/>
  <c r="BM24" i="7"/>
  <c r="BL27" i="7"/>
  <c r="BJ27" i="7"/>
  <c r="BN27" i="7"/>
  <c r="BK25" i="7" a="1"/>
  <c r="BK25" i="7" s="1"/>
  <c r="FC109" i="7" a="1"/>
  <c r="BP23" i="7" a="1"/>
  <c r="FA109" i="7" a="1"/>
  <c r="FB110" i="7" a="1"/>
  <c r="EY109" i="7" a="1"/>
  <c r="BJ64" i="7" a="1"/>
  <c r="EV109" i="7" a="1"/>
  <c r="EV109" i="7" l="1"/>
  <c r="BJ64" i="7"/>
  <c r="EY109" i="7"/>
  <c r="FB110" i="7"/>
  <c r="FA109" i="7"/>
  <c r="BP23" i="7"/>
  <c r="FC109" i="7"/>
  <c r="BO24" i="7" a="1"/>
  <c r="BO24" i="7" s="1"/>
  <c r="BN28" i="7" s="1"/>
  <c r="BJ23" i="7" a="1"/>
  <c r="BJ23" i="7" s="1"/>
  <c r="BK65" i="7" a="1"/>
  <c r="BK65" i="7" s="1"/>
  <c r="BO23" i="7"/>
  <c r="BM23" i="7" a="1"/>
  <c r="BM23" i="7" s="1"/>
  <c r="BJ28" i="7"/>
  <c r="BL28" i="7"/>
  <c r="FF109" i="7" a="1"/>
  <c r="EW110" i="7" a="1"/>
  <c r="FE109" i="7" a="1"/>
  <c r="EZ109" i="7" a="1"/>
  <c r="FD109" i="7" a="1"/>
  <c r="EX109" i="7" a="1"/>
  <c r="BQ22" i="7" a="1"/>
  <c r="BQ22" i="7" l="1"/>
  <c r="EX109" i="7"/>
  <c r="FD109" i="7"/>
  <c r="EZ109" i="7"/>
  <c r="FE109" i="7"/>
  <c r="EW110" i="7"/>
  <c r="FF109" i="7"/>
  <c r="BK67" i="7" a="1"/>
  <c r="BK67" i="7" s="1"/>
  <c r="BN65" i="7" a="1"/>
  <c r="BN65" i="7" s="1"/>
  <c r="BV22" i="7" a="1"/>
  <c r="EY110" i="7" a="1"/>
  <c r="FA110" i="7" a="1"/>
  <c r="FH109" i="7" l="1" a="1"/>
  <c r="FH109" i="7" s="1"/>
  <c r="FG109" i="7" s="1"/>
  <c r="FA110" i="7"/>
  <c r="EY110" i="7"/>
  <c r="BV22" i="7"/>
  <c r="BN69" i="7"/>
  <c r="BK64" i="7"/>
  <c r="BM65" i="7" s="1" a="1"/>
  <c r="BM65" i="7" s="1"/>
  <c r="BL69" i="7"/>
  <c r="BJ70" i="7"/>
  <c r="BK69" i="7"/>
  <c r="BL70" i="7" s="1"/>
  <c r="BM66" i="7"/>
  <c r="BJ69" i="7"/>
  <c r="BK66" i="7"/>
  <c r="BO65" i="7"/>
  <c r="FC110" i="7" a="1"/>
  <c r="EV110" i="7" a="1"/>
  <c r="EX110" i="7" a="1"/>
  <c r="FE110" i="7" a="1"/>
  <c r="FD110" i="7" a="1"/>
  <c r="BQ24" i="7" a="1"/>
  <c r="BR23" i="7" a="1"/>
  <c r="EZ110" i="7" a="1"/>
  <c r="EZ110" i="7" l="1"/>
  <c r="BR23" i="7"/>
  <c r="BQ24" i="7"/>
  <c r="FD110" i="7"/>
  <c r="FE110" i="7"/>
  <c r="EX110" i="7"/>
  <c r="EV110" i="7"/>
  <c r="FC110" i="7"/>
  <c r="BM25" i="7" a="1"/>
  <c r="BM25" i="7" s="1"/>
  <c r="BR25" i="7" a="1"/>
  <c r="BR25" i="7" s="1"/>
  <c r="BN70" i="7"/>
  <c r="BO66" i="7" a="1"/>
  <c r="BO66" i="7" s="1"/>
  <c r="BJ66" i="7" a="1"/>
  <c r="BJ66" i="7" s="1"/>
  <c r="FB109" i="7" a="1"/>
  <c r="EW111" i="7" a="1"/>
  <c r="BI29" i="7" a="1"/>
  <c r="FF110" i="7" a="1"/>
  <c r="FA111" i="7" a="1"/>
  <c r="FA111" i="7" l="1"/>
  <c r="FF110" i="7"/>
  <c r="FH110" i="7" s="1" a="1"/>
  <c r="FH110" i="7" s="1"/>
  <c r="FG110" i="7" s="1"/>
  <c r="BI29" i="7"/>
  <c r="EW111" i="7"/>
  <c r="FB109" i="7"/>
  <c r="BQ28" i="7"/>
  <c r="BV67" i="7" a="1"/>
  <c r="BV67" i="7" s="1"/>
  <c r="BQ65" i="7" a="1"/>
  <c r="BQ65" i="7" s="1"/>
  <c r="BV25" i="7" a="1"/>
  <c r="BV25" i="7" s="1"/>
  <c r="BR24" i="7"/>
  <c r="BQ27" i="7"/>
  <c r="BT67" i="7" a="1"/>
  <c r="BT67" i="7" s="1"/>
  <c r="BU23" i="7" a="1"/>
  <c r="BU23" i="7" s="1"/>
  <c r="BS27" i="7"/>
  <c r="BR22" i="7"/>
  <c r="BU27" i="7"/>
  <c r="BR27" i="7"/>
  <c r="BS28" i="7" s="1"/>
  <c r="BT24" i="7"/>
  <c r="FC111" i="7" a="1"/>
  <c r="FD111" i="7" a="1"/>
  <c r="EY111" i="7" a="1"/>
  <c r="BQ64" i="7" a="1"/>
  <c r="EV111" i="7" a="1"/>
  <c r="BI30" i="7" a="1"/>
  <c r="FE111" i="7" a="1"/>
  <c r="FB112" i="7" a="1"/>
  <c r="FB112" i="7" l="1"/>
  <c r="FE111" i="7"/>
  <c r="BI30" i="7"/>
  <c r="EV111" i="7"/>
  <c r="BQ64" i="7"/>
  <c r="EY111" i="7"/>
  <c r="FD111" i="7"/>
  <c r="FC111" i="7"/>
  <c r="BQ23" i="7" a="1"/>
  <c r="BQ23" i="7" s="1"/>
  <c r="BV24" i="7" a="1"/>
  <c r="BV24" i="7" s="1"/>
  <c r="BU28" i="7" s="1"/>
  <c r="BR65" i="7" a="1"/>
  <c r="BR65" i="7" s="1"/>
  <c r="BT23" i="7" a="1"/>
  <c r="BT23" i="7" s="1"/>
  <c r="BV23" i="7"/>
  <c r="FF111" i="7" a="1"/>
  <c r="BJ29" i="7" a="1"/>
  <c r="EW112" i="7" a="1"/>
  <c r="EX111" i="7" a="1"/>
  <c r="EZ111" i="7" a="1"/>
  <c r="EZ111" i="7" l="1"/>
  <c r="EX111" i="7"/>
  <c r="EW112" i="7"/>
  <c r="BJ29" i="7"/>
  <c r="FF111" i="7"/>
  <c r="BR67" i="7" a="1"/>
  <c r="BR67" i="7" s="1"/>
  <c r="BU65" i="7" a="1"/>
  <c r="BU65" i="7" s="1"/>
  <c r="BO29" i="7" a="1"/>
  <c r="FA112" i="7" a="1"/>
  <c r="EY112" i="7" a="1"/>
  <c r="FH111" i="7" l="1" a="1"/>
  <c r="FH111" i="7" s="1"/>
  <c r="FG111" i="7" s="1"/>
  <c r="EY112" i="7"/>
  <c r="FA112" i="7"/>
  <c r="BO29" i="7"/>
  <c r="BV65" i="7"/>
  <c r="BT66" i="7"/>
  <c r="BU69" i="7"/>
  <c r="BR64" i="7"/>
  <c r="BR69" i="7"/>
  <c r="BS70" i="7" s="1"/>
  <c r="BS69" i="7"/>
  <c r="BQ70" i="7"/>
  <c r="BR66" i="7"/>
  <c r="BQ69" i="7"/>
  <c r="FC112" i="7" a="1"/>
  <c r="BK30" i="7" a="1"/>
  <c r="BJ31" i="7" a="1"/>
  <c r="FD112" i="7" a="1"/>
  <c r="EV112" i="7" a="1"/>
  <c r="EZ112" i="7" a="1"/>
  <c r="FE112" i="7" a="1"/>
  <c r="FE112" i="7" l="1"/>
  <c r="EZ112" i="7"/>
  <c r="EV112" i="7"/>
  <c r="FD112" i="7"/>
  <c r="BJ31" i="7"/>
  <c r="BK30" i="7"/>
  <c r="BK32" i="7" s="1" a="1"/>
  <c r="BK32" i="7" s="1"/>
  <c r="FC112" i="7"/>
  <c r="BT65" i="7" a="1"/>
  <c r="BT65" i="7" s="1"/>
  <c r="BU70" i="7"/>
  <c r="BV66" i="7" a="1"/>
  <c r="BV66" i="7" s="1"/>
  <c r="BQ66" i="7" a="1"/>
  <c r="BQ66" i="7" s="1"/>
  <c r="BT25" i="7" a="1"/>
  <c r="BT25" i="7" s="1"/>
  <c r="FF112" i="7" a="1"/>
  <c r="BP29" i="7" a="1"/>
  <c r="FB111" i="7" a="1"/>
  <c r="EW113" i="7" a="1"/>
  <c r="FA113" i="7" a="1"/>
  <c r="EX112" i="7" a="1"/>
  <c r="EX112" i="7" l="1"/>
  <c r="FA113" i="7"/>
  <c r="EW113" i="7"/>
  <c r="FB111" i="7"/>
  <c r="BP29" i="7"/>
  <c r="FF112" i="7"/>
  <c r="BJ35" i="7"/>
  <c r="BJ34" i="7"/>
  <c r="BN30" i="7" a="1"/>
  <c r="BN30" i="7" s="1"/>
  <c r="BM74" i="7" a="1"/>
  <c r="BM74" i="7" s="1"/>
  <c r="BK29" i="7"/>
  <c r="BK31" i="7"/>
  <c r="BM31" i="7"/>
  <c r="BN34" i="7"/>
  <c r="BK34" i="7"/>
  <c r="BL35" i="7" s="1"/>
  <c r="BL34" i="7"/>
  <c r="BJ72" i="7" a="1"/>
  <c r="BJ72" i="7" s="1"/>
  <c r="BO32" i="7" a="1"/>
  <c r="BO32" i="7" s="1"/>
  <c r="BO74" i="7" a="1"/>
  <c r="BO74" i="7" s="1"/>
  <c r="FC113" i="7" a="1"/>
  <c r="EY113" i="7" a="1"/>
  <c r="FE113" i="7" a="1"/>
  <c r="FB114" i="7" a="1"/>
  <c r="BJ71" i="7" a="1"/>
  <c r="EV113" i="7" a="1"/>
  <c r="BP30" i="7" a="1"/>
  <c r="FD113" i="7" a="1"/>
  <c r="FH112" i="7" l="1" a="1"/>
  <c r="FH112" i="7" s="1"/>
  <c r="FG112" i="7" s="1"/>
  <c r="FD113" i="7"/>
  <c r="BP30" i="7"/>
  <c r="EV113" i="7"/>
  <c r="BJ71" i="7"/>
  <c r="FB114" i="7"/>
  <c r="FE113" i="7"/>
  <c r="EY113" i="7"/>
  <c r="FC113" i="7"/>
  <c r="BO31" i="7" a="1"/>
  <c r="BO31" i="7" s="1"/>
  <c r="BN35" i="7" s="1"/>
  <c r="BJ30" i="7" a="1"/>
  <c r="BJ30" i="7" s="1"/>
  <c r="BK72" i="7" a="1"/>
  <c r="BK72" i="7" s="1"/>
  <c r="BM30" i="7" a="1"/>
  <c r="BM30" i="7" s="1"/>
  <c r="BO30" i="7"/>
  <c r="BQ29" i="7" a="1"/>
  <c r="FF113" i="7" a="1"/>
  <c r="EW114" i="7" a="1"/>
  <c r="EX113" i="7" a="1"/>
  <c r="EZ113" i="7" a="1"/>
  <c r="EZ113" i="7" l="1"/>
  <c r="EX113" i="7"/>
  <c r="EW114" i="7"/>
  <c r="FF113" i="7"/>
  <c r="BQ29" i="7"/>
  <c r="BK74" i="7" a="1"/>
  <c r="BK74" i="7" s="1"/>
  <c r="BN72" i="7" a="1"/>
  <c r="BN72" i="7" s="1"/>
  <c r="BV29" i="7" a="1"/>
  <c r="FA114" i="7" a="1"/>
  <c r="EY114" i="7" a="1"/>
  <c r="EY114" i="7" l="1"/>
  <c r="FA114" i="7"/>
  <c r="BV29" i="7"/>
  <c r="BO72" i="7"/>
  <c r="BL76" i="7"/>
  <c r="BJ77" i="7"/>
  <c r="BN76" i="7"/>
  <c r="BK73" i="7"/>
  <c r="BK76" i="7"/>
  <c r="BL77" i="7" s="1"/>
  <c r="BJ76" i="7"/>
  <c r="BK71" i="7"/>
  <c r="BM72" i="7" s="1" a="1"/>
  <c r="BM72" i="7" s="1"/>
  <c r="BM73" i="7"/>
  <c r="FH113" i="7" a="1"/>
  <c r="FH113" i="7" s="1"/>
  <c r="FG113" i="7" s="1"/>
  <c r="EZ114" i="7" a="1"/>
  <c r="BQ31" i="7" a="1"/>
  <c r="BR30" i="7" a="1"/>
  <c r="FC114" i="7" a="1"/>
  <c r="EX114" i="7" a="1"/>
  <c r="EV114" i="7" a="1"/>
  <c r="FE114" i="7" a="1"/>
  <c r="FD114" i="7" a="1"/>
  <c r="FD114" i="7" l="1"/>
  <c r="FE114" i="7"/>
  <c r="EV114" i="7"/>
  <c r="EX114" i="7"/>
  <c r="FC114" i="7"/>
  <c r="BR30" i="7"/>
  <c r="BR32" i="7" s="1" a="1"/>
  <c r="BR32" i="7" s="1"/>
  <c r="BQ31" i="7"/>
  <c r="EZ114" i="7"/>
  <c r="BN77" i="7"/>
  <c r="BO73" i="7" a="1"/>
  <c r="BO73" i="7" s="1"/>
  <c r="BJ73" i="7" a="1"/>
  <c r="BJ73" i="7" s="1"/>
  <c r="BM32" i="7" a="1"/>
  <c r="BM32" i="7" s="1"/>
  <c r="FF114" i="7" a="1"/>
  <c r="FB113" i="7" a="1"/>
  <c r="BI36" i="7" a="1"/>
  <c r="EW115" i="7" a="1"/>
  <c r="FA115" i="7" a="1"/>
  <c r="FA115" i="7" l="1"/>
  <c r="EW115" i="7"/>
  <c r="BI36" i="7"/>
  <c r="FB113" i="7"/>
  <c r="FF114" i="7"/>
  <c r="FH114" i="7" s="1" a="1"/>
  <c r="FH114" i="7" s="1"/>
  <c r="FG114" i="7" s="1"/>
  <c r="BQ35" i="7"/>
  <c r="BQ72" i="7" a="1"/>
  <c r="BQ72" i="7" s="1"/>
  <c r="BV74" i="7" a="1"/>
  <c r="BV74" i="7" s="1"/>
  <c r="BV32" i="7" a="1"/>
  <c r="BV32" i="7" s="1"/>
  <c r="BR34" i="7"/>
  <c r="BS35" i="7" s="1"/>
  <c r="BR31" i="7"/>
  <c r="BU30" i="7" a="1"/>
  <c r="BU30" i="7" s="1"/>
  <c r="BU34" i="7"/>
  <c r="BR29" i="7"/>
  <c r="BQ34" i="7"/>
  <c r="BT74" i="7" a="1"/>
  <c r="BT74" i="7" s="1"/>
  <c r="BS34" i="7"/>
  <c r="BT31" i="7"/>
  <c r="FB116" i="7" a="1"/>
  <c r="FD115" i="7" a="1"/>
  <c r="BI37" i="7" a="1"/>
  <c r="FC115" i="7" a="1"/>
  <c r="EY115" i="7" a="1"/>
  <c r="BQ71" i="7" a="1"/>
  <c r="EV115" i="7" a="1"/>
  <c r="FE115" i="7" a="1"/>
  <c r="FE115" i="7" l="1"/>
  <c r="EV115" i="7"/>
  <c r="BQ71" i="7"/>
  <c r="EY115" i="7"/>
  <c r="FC115" i="7"/>
  <c r="BI37" i="7"/>
  <c r="FD115" i="7"/>
  <c r="FB116" i="7"/>
  <c r="BV31" i="7" a="1"/>
  <c r="BV31" i="7" s="1"/>
  <c r="BU35" i="7" s="1"/>
  <c r="BQ30" i="7" a="1"/>
  <c r="BQ30" i="7" s="1"/>
  <c r="BR72" i="7" a="1"/>
  <c r="BR72" i="7" s="1"/>
  <c r="BV30" i="7"/>
  <c r="BT30" i="7" a="1"/>
  <c r="BT30" i="7" s="1"/>
  <c r="FF115" i="7" a="1"/>
  <c r="EW116" i="7" a="1"/>
  <c r="EZ115" i="7" a="1"/>
  <c r="BJ36" i="7" a="1"/>
  <c r="EX115" i="7" a="1"/>
  <c r="EX115" i="7" l="1"/>
  <c r="BJ36" i="7"/>
  <c r="EZ115" i="7"/>
  <c r="EW116" i="7"/>
  <c r="FF115" i="7"/>
  <c r="BU72" i="7" a="1"/>
  <c r="BU72" i="7" s="1"/>
  <c r="BR74" i="7" a="1"/>
  <c r="BR74" i="7" s="1"/>
  <c r="BO36" i="7" a="1"/>
  <c r="EY116" i="7" a="1"/>
  <c r="FA116" i="7" a="1"/>
  <c r="FA116" i="7" l="1"/>
  <c r="EY116" i="7"/>
  <c r="BO36" i="7"/>
  <c r="BR71" i="7"/>
  <c r="BQ77" i="7"/>
  <c r="BT73" i="7"/>
  <c r="BS76" i="7"/>
  <c r="BQ76" i="7"/>
  <c r="BR73" i="7"/>
  <c r="BU76" i="7"/>
  <c r="BR76" i="7"/>
  <c r="BV72" i="7"/>
  <c r="BT72" i="7" a="1"/>
  <c r="BT72" i="7" s="1"/>
  <c r="FH115" i="7" a="1"/>
  <c r="FH115" i="7" s="1"/>
  <c r="FG115" i="7" s="1"/>
  <c r="BJ38" i="7" a="1"/>
  <c r="BK37" i="7" a="1"/>
  <c r="EV116" i="7" a="1"/>
  <c r="FC116" i="7" a="1"/>
  <c r="EZ116" i="7" a="1"/>
  <c r="EX116" i="7" a="1"/>
  <c r="FD116" i="7" a="1"/>
  <c r="FD116" i="7" l="1"/>
  <c r="EX116" i="7"/>
  <c r="EZ116" i="7"/>
  <c r="FC116" i="7"/>
  <c r="EV116" i="7"/>
  <c r="BK37" i="7"/>
  <c r="BK39" i="7" s="1" a="1"/>
  <c r="BK39" i="7" s="1"/>
  <c r="BJ38" i="7"/>
  <c r="BQ73" i="7" a="1"/>
  <c r="BQ73" i="7" s="1"/>
  <c r="BU77" i="7"/>
  <c r="BV73" i="7" a="1"/>
  <c r="BV73" i="7" s="1"/>
  <c r="BS77" i="7"/>
  <c r="BT32" i="7" a="1"/>
  <c r="BT32" i="7" s="1"/>
  <c r="FF116" i="7" a="1"/>
  <c r="FA117" i="7" a="1"/>
  <c r="BP36" i="7" a="1"/>
  <c r="EW117" i="7" a="1"/>
  <c r="FB115" i="7" a="1"/>
  <c r="FE116" i="7" a="1"/>
  <c r="FE116" i="7" l="1"/>
  <c r="FB115" i="7"/>
  <c r="EW117" i="7"/>
  <c r="BP36" i="7"/>
  <c r="FA117" i="7"/>
  <c r="FF116" i="7"/>
  <c r="BO81" i="7" a="1"/>
  <c r="BO81" i="7" s="1"/>
  <c r="BJ79" i="7" a="1"/>
  <c r="BJ79" i="7" s="1"/>
  <c r="BO39" i="7" a="1"/>
  <c r="BO39" i="7" s="1"/>
  <c r="BJ41" i="7"/>
  <c r="BL41" i="7"/>
  <c r="BM38" i="7"/>
  <c r="BK38" i="7"/>
  <c r="BN37" i="7" a="1"/>
  <c r="BN37" i="7" s="1"/>
  <c r="BK36" i="7"/>
  <c r="BN41" i="7"/>
  <c r="BM81" i="7" a="1"/>
  <c r="BM81" i="7" s="1"/>
  <c r="BK41" i="7"/>
  <c r="BL42" i="7" s="1"/>
  <c r="BJ42" i="7"/>
  <c r="FB118" i="7" a="1"/>
  <c r="FC117" i="7" a="1"/>
  <c r="FE117" i="7" a="1"/>
  <c r="BJ78" i="7" a="1"/>
  <c r="EV117" i="7" a="1"/>
  <c r="FD117" i="7" a="1"/>
  <c r="EY117" i="7" a="1"/>
  <c r="BP37" i="7" a="1"/>
  <c r="FH116" i="7" l="1" a="1"/>
  <c r="FH116" i="7" s="1"/>
  <c r="FG116" i="7" s="1"/>
  <c r="BP37" i="7"/>
  <c r="EY117" i="7"/>
  <c r="FD117" i="7"/>
  <c r="EV117" i="7"/>
  <c r="BJ78" i="7"/>
  <c r="FE117" i="7"/>
  <c r="FC117" i="7"/>
  <c r="FB118" i="7"/>
  <c r="BO37" i="7"/>
  <c r="BM37" i="7" a="1"/>
  <c r="BM37" i="7" s="1"/>
  <c r="BO38" i="7" a="1"/>
  <c r="BO38" i="7" s="1"/>
  <c r="BN42" i="7" s="1"/>
  <c r="BJ37" i="7" a="1"/>
  <c r="BJ37" i="7" s="1"/>
  <c r="BK79" i="7" a="1"/>
  <c r="BK79" i="7" s="1"/>
  <c r="BQ36" i="7" a="1"/>
  <c r="EZ117" i="7" a="1"/>
  <c r="EX117" i="7" a="1"/>
  <c r="FF117" i="7" a="1"/>
  <c r="EW118" i="7" a="1"/>
  <c r="EW118" i="7" l="1"/>
  <c r="FF117" i="7"/>
  <c r="EX117" i="7"/>
  <c r="EZ117" i="7"/>
  <c r="BQ36" i="7"/>
  <c r="BN79" i="7" a="1"/>
  <c r="BN79" i="7" s="1"/>
  <c r="BK81" i="7" a="1"/>
  <c r="BK81" i="7" s="1"/>
  <c r="FH117" i="7" a="1"/>
  <c r="FH117" i="7" s="1"/>
  <c r="FG117" i="7" s="1"/>
  <c r="BV36" i="7" a="1"/>
  <c r="FA118" i="7" a="1"/>
  <c r="EY118" i="7" a="1"/>
  <c r="EY118" i="7" l="1"/>
  <c r="FA118" i="7"/>
  <c r="BV36" i="7"/>
  <c r="BO79" i="7"/>
  <c r="BM79" i="7" a="1"/>
  <c r="BM79" i="7" s="1"/>
  <c r="BM80" i="7"/>
  <c r="BJ84" i="7"/>
  <c r="BK80" i="7"/>
  <c r="BN83" i="7"/>
  <c r="BK78" i="7"/>
  <c r="BL83" i="7"/>
  <c r="BK83" i="7"/>
  <c r="BL84" i="7" s="1"/>
  <c r="BJ83" i="7"/>
  <c r="BQ38" i="7" a="1"/>
  <c r="BR37" i="7" a="1"/>
  <c r="EV118" i="7" a="1"/>
  <c r="EZ118" i="7" a="1"/>
  <c r="FC118" i="7" a="1"/>
  <c r="FD118" i="7" a="1"/>
  <c r="EX118" i="7" a="1"/>
  <c r="FE118" i="7" a="1"/>
  <c r="FE118" i="7" l="1"/>
  <c r="EX118" i="7"/>
  <c r="FD118" i="7"/>
  <c r="FC118" i="7"/>
  <c r="EZ118" i="7"/>
  <c r="EV118" i="7"/>
  <c r="BR37" i="7"/>
  <c r="BR39" i="7" s="1" a="1"/>
  <c r="BR39" i="7" s="1"/>
  <c r="BQ38" i="7"/>
  <c r="BN84" i="7"/>
  <c r="BO80" i="7" a="1"/>
  <c r="BO80" i="7" s="1"/>
  <c r="BJ80" i="7" a="1"/>
  <c r="BJ80" i="7" s="1"/>
  <c r="BM39" i="7" a="1"/>
  <c r="BM39" i="7" s="1"/>
  <c r="FF118" i="7" a="1"/>
  <c r="EW119" i="7" a="1"/>
  <c r="BX1" i="7" a="1"/>
  <c r="FA119" i="7" a="1"/>
  <c r="FB117" i="7" a="1"/>
  <c r="FB117" i="7" l="1"/>
  <c r="FA119" i="7"/>
  <c r="BX1" i="7"/>
  <c r="EW119" i="7"/>
  <c r="FF118" i="7"/>
  <c r="FH118" i="7" s="1" a="1"/>
  <c r="FH118" i="7" s="1"/>
  <c r="FG118" i="7" s="1"/>
  <c r="BQ42" i="7"/>
  <c r="BV81" i="7" a="1"/>
  <c r="BV81" i="7" s="1"/>
  <c r="BQ79" i="7" a="1"/>
  <c r="BQ79" i="7" s="1"/>
  <c r="BV39" i="7" a="1"/>
  <c r="BV39" i="7" s="1"/>
  <c r="BT81" i="7" a="1"/>
  <c r="BT81" i="7" s="1"/>
  <c r="BQ41" i="7"/>
  <c r="BT38" i="7"/>
  <c r="BR38" i="7"/>
  <c r="BU37" i="7" a="1"/>
  <c r="BU37" i="7" s="1"/>
  <c r="BS41" i="7"/>
  <c r="BR41" i="7"/>
  <c r="BS42" i="7" s="1"/>
  <c r="BU41" i="7"/>
  <c r="BR36" i="7"/>
  <c r="FC119" i="7" a="1"/>
  <c r="BQ78" i="7" a="1"/>
  <c r="EV119" i="7" a="1"/>
  <c r="EY119" i="7" a="1"/>
  <c r="BX2" i="7" a="1"/>
  <c r="FB120" i="7" a="1"/>
  <c r="FD119" i="7" a="1"/>
  <c r="FE119" i="7" a="1"/>
  <c r="FE119" i="7" l="1"/>
  <c r="FD119" i="7"/>
  <c r="FB120" i="7"/>
  <c r="BX2" i="7"/>
  <c r="EY119" i="7"/>
  <c r="EV119" i="7"/>
  <c r="BQ78" i="7"/>
  <c r="FC119" i="7"/>
  <c r="BV37" i="7"/>
  <c r="BT37" i="7" a="1"/>
  <c r="BT37" i="7" s="1"/>
  <c r="BV38" i="7" a="1"/>
  <c r="BV38" i="7" s="1"/>
  <c r="BU42" i="7" s="1"/>
  <c r="BQ37" i="7" a="1"/>
  <c r="BQ37" i="7" s="1"/>
  <c r="BR79" i="7" a="1"/>
  <c r="BR79" i="7" s="1"/>
  <c r="EZ119" i="7" a="1"/>
  <c r="EX119" i="7" a="1"/>
  <c r="EW120" i="7" a="1"/>
  <c r="BY1" i="7" a="1"/>
  <c r="FF119" i="7" a="1"/>
  <c r="FF119" i="7" l="1"/>
  <c r="BY1" i="7"/>
  <c r="EW120" i="7"/>
  <c r="EX119" i="7"/>
  <c r="EZ119" i="7"/>
  <c r="FH119" i="7" a="1"/>
  <c r="FH119" i="7" s="1"/>
  <c r="FG119" i="7" s="1"/>
  <c r="BU79" i="7" a="1"/>
  <c r="BU79" i="7" s="1"/>
  <c r="BR81" i="7" a="1"/>
  <c r="BR81" i="7" s="1"/>
  <c r="CD1" i="7" a="1"/>
  <c r="EY120" i="7" a="1"/>
  <c r="FA120" i="7" a="1"/>
  <c r="FA120" i="7" l="1"/>
  <c r="EY120" i="7"/>
  <c r="CD1" i="7"/>
  <c r="BR83" i="7"/>
  <c r="BS84" i="7" s="1"/>
  <c r="BQ83" i="7"/>
  <c r="BS83" i="7"/>
  <c r="BQ84" i="7"/>
  <c r="BR78" i="7"/>
  <c r="BT80" i="7"/>
  <c r="BR80" i="7"/>
  <c r="BU83" i="7"/>
  <c r="BV79" i="7"/>
  <c r="EV120" i="7" a="1"/>
  <c r="CE1" i="7" a="1"/>
  <c r="BY3" i="7" a="1"/>
  <c r="BZ2" i="7" a="1"/>
  <c r="FC120" i="7" a="1"/>
  <c r="EZ120" i="7" a="1"/>
  <c r="FD120" i="7" a="1"/>
  <c r="FE120" i="7" a="1"/>
  <c r="FE120" i="7" l="1"/>
  <c r="FD120" i="7"/>
  <c r="EZ120" i="7"/>
  <c r="FC120" i="7"/>
  <c r="BZ2" i="7"/>
  <c r="BZ4" i="7" s="1" a="1"/>
  <c r="BZ4" i="7" s="1"/>
  <c r="BY3" i="7"/>
  <c r="CE1" i="7"/>
  <c r="EV120" i="7"/>
  <c r="BT39" i="7" a="1"/>
  <c r="BT39" i="7" s="1"/>
  <c r="BT79" i="7" a="1"/>
  <c r="BT79" i="7" s="1"/>
  <c r="BV80" i="7" a="1"/>
  <c r="BV80" i="7" s="1"/>
  <c r="BQ80" i="7" a="1"/>
  <c r="BQ80" i="7" s="1"/>
  <c r="BU84" i="7"/>
  <c r="FF120" i="7" a="1"/>
  <c r="FB119" i="7" a="1"/>
  <c r="EX120" i="7" a="1"/>
  <c r="CE2" i="7" a="1"/>
  <c r="CE2" i="7" l="1"/>
  <c r="EX120" i="7"/>
  <c r="FB119" i="7"/>
  <c r="FF120" i="7"/>
  <c r="CD46" i="7" a="1"/>
  <c r="CD46" i="7" s="1"/>
  <c r="CD4" i="7" a="1"/>
  <c r="CD4" i="7" s="1"/>
  <c r="BY44" i="7" a="1"/>
  <c r="BY44" i="7" s="1"/>
  <c r="BY7" i="7"/>
  <c r="BY2" i="7" a="1"/>
  <c r="BY2" i="7" s="1"/>
  <c r="CB3" i="7"/>
  <c r="CB46" i="7" a="1"/>
  <c r="CB46" i="7" s="1"/>
  <c r="BZ6" i="7"/>
  <c r="CA7" i="7" s="1"/>
  <c r="CC2" i="7" a="1"/>
  <c r="CC2" i="7" s="1"/>
  <c r="CC6" i="7"/>
  <c r="CA6" i="7"/>
  <c r="BY6" i="7"/>
  <c r="BZ1" i="7"/>
  <c r="BZ3" i="7"/>
  <c r="CF1" i="7" a="1"/>
  <c r="BY43" i="7" a="1"/>
  <c r="FH120" i="7" l="1" a="1"/>
  <c r="FH120" i="7" s="1"/>
  <c r="FG120" i="7" s="1"/>
  <c r="BY43" i="7"/>
  <c r="CF1" i="7"/>
  <c r="CD2" i="7"/>
  <c r="CB2" i="7" a="1"/>
  <c r="CB2" i="7" s="1"/>
  <c r="BZ44" i="7" a="1"/>
  <c r="BZ44" i="7" s="1"/>
  <c r="CD3" i="7" a="1"/>
  <c r="CD3" i="7" s="1"/>
  <c r="CC7" i="7" s="1"/>
  <c r="CK1" i="7" a="1"/>
  <c r="CK1" i="7" l="1"/>
  <c r="CC44" i="7" a="1"/>
  <c r="CC44" i="7" s="1"/>
  <c r="BZ46" i="7" a="1"/>
  <c r="BZ46" i="7" s="1"/>
  <c r="CG2" i="7" a="1"/>
  <c r="CF3" i="7" a="1"/>
  <c r="CF3" i="7" l="1"/>
  <c r="CG2" i="7"/>
  <c r="CG4" i="7" s="1" a="1"/>
  <c r="CG4" i="7" s="1"/>
  <c r="CA48" i="7"/>
  <c r="BZ48" i="7"/>
  <c r="CA49" i="7" s="1"/>
  <c r="BY49" i="7"/>
  <c r="CC48" i="7"/>
  <c r="CB45" i="7"/>
  <c r="BZ43" i="7"/>
  <c r="CB44" i="7" s="1" a="1"/>
  <c r="CB44" i="7" s="1"/>
  <c r="BY48" i="7"/>
  <c r="BZ45" i="7"/>
  <c r="CD44" i="7"/>
  <c r="CB4" i="7" a="1"/>
  <c r="CB4" i="7" s="1"/>
  <c r="BX8" i="7" a="1"/>
  <c r="BX8" i="7" l="1"/>
  <c r="CF2" i="7" a="1"/>
  <c r="CF2" i="7" s="1"/>
  <c r="CF7" i="7"/>
  <c r="BY45" i="7" a="1"/>
  <c r="BY45" i="7" s="1"/>
  <c r="CD45" i="7" a="1"/>
  <c r="CD45" i="7" s="1"/>
  <c r="CC49" i="7"/>
  <c r="CK46" i="7" a="1"/>
  <c r="CK46" i="7" s="1"/>
  <c r="CF44" i="7" a="1"/>
  <c r="CF44" i="7" s="1"/>
  <c r="CK4" i="7" a="1"/>
  <c r="CK4" i="7" s="1"/>
  <c r="CI46" i="7" a="1"/>
  <c r="CI46" i="7" s="1"/>
  <c r="CG1" i="7"/>
  <c r="CJ6" i="7"/>
  <c r="CI3" i="7"/>
  <c r="CH6" i="7"/>
  <c r="CG6" i="7"/>
  <c r="CH7" i="7" s="1"/>
  <c r="CF6" i="7"/>
  <c r="CG3" i="7"/>
  <c r="CJ2" i="7" a="1"/>
  <c r="CJ2" i="7" s="1"/>
  <c r="CF43" i="7" a="1"/>
  <c r="BX9" i="7" a="1"/>
  <c r="BX9" i="7" l="1"/>
  <c r="CF43" i="7"/>
  <c r="CK3" i="7" a="1"/>
  <c r="CK3" i="7" s="1"/>
  <c r="CJ7" i="7" s="1"/>
  <c r="CG44" i="7" a="1"/>
  <c r="CG44" i="7" s="1"/>
  <c r="CI2" i="7" a="1"/>
  <c r="CI2" i="7" s="1"/>
  <c r="CK2" i="7"/>
  <c r="BY8" i="7" a="1"/>
  <c r="BY8" i="7" l="1"/>
  <c r="CJ44" i="7" a="1"/>
  <c r="CJ44" i="7" s="1"/>
  <c r="CK44" i="7" s="1"/>
  <c r="CG46" i="7" a="1"/>
  <c r="CG46" i="7" s="1"/>
  <c r="CD8" i="7" a="1"/>
  <c r="CD8" i="7" l="1"/>
  <c r="CG45" i="7"/>
  <c r="CJ48" i="7"/>
  <c r="CG48" i="7"/>
  <c r="CH49" i="7" s="1"/>
  <c r="CG43" i="7"/>
  <c r="CF48" i="7"/>
  <c r="CI45" i="7"/>
  <c r="CH48" i="7"/>
  <c r="CF49" i="7"/>
  <c r="BY10" i="7" a="1"/>
  <c r="BZ9" i="7" a="1"/>
  <c r="BZ9" i="7" l="1"/>
  <c r="BY10" i="7"/>
  <c r="CI4" i="7" a="1"/>
  <c r="CI4" i="7" s="1"/>
  <c r="CI44" i="7" a="1"/>
  <c r="CI44" i="7" s="1"/>
  <c r="CF45" i="7" a="1"/>
  <c r="CF45" i="7" s="1"/>
  <c r="CK45" i="7" a="1"/>
  <c r="CK45" i="7" s="1"/>
  <c r="CJ49" i="7"/>
  <c r="CE8" i="7" a="1"/>
  <c r="CE8" i="7" l="1"/>
  <c r="CD53" i="7" a="1"/>
  <c r="CD53" i="7" s="1"/>
  <c r="BY51" i="7" a="1"/>
  <c r="BY51" i="7" s="1"/>
  <c r="CD11" i="7" a="1"/>
  <c r="CD11" i="7" s="1"/>
  <c r="BZ10" i="7"/>
  <c r="BY13" i="7"/>
  <c r="BZ13" i="7"/>
  <c r="BZ8" i="7"/>
  <c r="CB53" i="7" a="1"/>
  <c r="CB53" i="7" s="1"/>
  <c r="CB10" i="7"/>
  <c r="CC9" i="7" a="1"/>
  <c r="CC9" i="7" s="1"/>
  <c r="CC13" i="7"/>
  <c r="CA13" i="7"/>
  <c r="BZ11" i="7" a="1"/>
  <c r="BZ11" i="7" s="1"/>
  <c r="BY14" i="7" s="1"/>
  <c r="CE9" i="7" a="1"/>
  <c r="BY50" i="7" a="1"/>
  <c r="CA14" i="7" l="1"/>
  <c r="BY50" i="7"/>
  <c r="CE9" i="7"/>
  <c r="CB9" i="7" a="1"/>
  <c r="CB9" i="7" s="1"/>
  <c r="CD9" i="7"/>
  <c r="BY9" i="7" a="1"/>
  <c r="BY9" i="7" s="1"/>
  <c r="CD10" i="7" a="1"/>
  <c r="CD10" i="7" s="1"/>
  <c r="CC14" i="7" s="1"/>
  <c r="BZ51" i="7" a="1"/>
  <c r="BZ51" i="7" s="1"/>
  <c r="CF8" i="7" a="1"/>
  <c r="CF8" i="7" l="1"/>
  <c r="BZ53" i="7" a="1"/>
  <c r="BZ53" i="7" s="1"/>
  <c r="CC51" i="7" a="1"/>
  <c r="CC51" i="7" s="1"/>
  <c r="CK8" i="7" a="1"/>
  <c r="CK8" i="7" l="1"/>
  <c r="BZ55" i="7"/>
  <c r="CA56" i="7" s="1"/>
  <c r="CC55" i="7"/>
  <c r="BY56" i="7"/>
  <c r="CB52" i="7"/>
  <c r="CA55" i="7"/>
  <c r="BZ52" i="7"/>
  <c r="BY55" i="7"/>
  <c r="BZ50" i="7"/>
  <c r="CB51" i="7" s="1" a="1"/>
  <c r="CB51" i="7" s="1"/>
  <c r="CD51" i="7"/>
  <c r="CG9" i="7" a="1"/>
  <c r="CF10" i="7" a="1"/>
  <c r="CF10" i="7" l="1"/>
  <c r="CG9" i="7"/>
  <c r="CG11" i="7" s="1" a="1"/>
  <c r="CG11" i="7" s="1"/>
  <c r="CF14" i="7" s="1"/>
  <c r="BY52" i="7" a="1"/>
  <c r="BY52" i="7" s="1"/>
  <c r="CC56" i="7"/>
  <c r="CD52" i="7" a="1"/>
  <c r="CD52" i="7" s="1"/>
  <c r="CB11" i="7" a="1"/>
  <c r="CB11" i="7" s="1"/>
  <c r="BX15" i="7" a="1"/>
  <c r="BX15" i="7" l="1"/>
  <c r="CG10" i="7"/>
  <c r="CI53" i="7" a="1"/>
  <c r="CI53" i="7" s="1"/>
  <c r="CG13" i="7"/>
  <c r="CH14" i="7" s="1"/>
  <c r="CI10" i="7"/>
  <c r="CJ13" i="7"/>
  <c r="CH13" i="7"/>
  <c r="CF13" i="7"/>
  <c r="CG8" i="7"/>
  <c r="CJ9" i="7" a="1"/>
  <c r="CJ9" i="7" s="1"/>
  <c r="CK53" i="7" a="1"/>
  <c r="CK53" i="7" s="1"/>
  <c r="CF51" i="7" a="1"/>
  <c r="CF51" i="7" s="1"/>
  <c r="CK11" i="7" a="1"/>
  <c r="CK11" i="7" s="1"/>
  <c r="BX16" i="7" a="1"/>
  <c r="CF50" i="7" a="1"/>
  <c r="CF50" i="7" l="1"/>
  <c r="BX16" i="7"/>
  <c r="CI9" i="7" a="1"/>
  <c r="CI9" i="7" s="1"/>
  <c r="CK9" i="7"/>
  <c r="CF9" i="7" a="1"/>
  <c r="CF9" i="7" s="1"/>
  <c r="CK10" i="7" a="1"/>
  <c r="CK10" i="7" s="1"/>
  <c r="CJ14" i="7" s="1"/>
  <c r="CG51" i="7" a="1"/>
  <c r="CG51" i="7" s="1"/>
  <c r="BY15" i="7" a="1"/>
  <c r="BY15" i="7" l="1"/>
  <c r="CJ51" i="7" a="1"/>
  <c r="CJ51" i="7" s="1"/>
  <c r="CG53" i="7" a="1"/>
  <c r="CG53" i="7" s="1"/>
  <c r="CD15" i="7" a="1"/>
  <c r="CD15" i="7" l="1"/>
  <c r="CI52" i="7"/>
  <c r="CG55" i="7"/>
  <c r="CH56" i="7" s="1"/>
  <c r="CG52" i="7"/>
  <c r="CJ55" i="7"/>
  <c r="CF55" i="7"/>
  <c r="CF56" i="7"/>
  <c r="CG50" i="7"/>
  <c r="CI51" i="7" s="1" a="1"/>
  <c r="CI51" i="7" s="1"/>
  <c r="CH55" i="7"/>
  <c r="CK51" i="7"/>
  <c r="BZ16" i="7" a="1"/>
  <c r="BY17" i="7" a="1"/>
  <c r="BY17" i="7" l="1"/>
  <c r="BZ16" i="7"/>
  <c r="BZ18" i="7" s="1" a="1"/>
  <c r="BZ18" i="7" s="1"/>
  <c r="BY21" i="7" s="1"/>
  <c r="CF52" i="7" a="1"/>
  <c r="CF52" i="7" s="1"/>
  <c r="CJ56" i="7"/>
  <c r="CK52" i="7" a="1"/>
  <c r="CK52" i="7" s="1"/>
  <c r="CI11" i="7" a="1"/>
  <c r="CI11" i="7" s="1"/>
  <c r="CE15" i="7" a="1"/>
  <c r="CE15" i="7" l="1"/>
  <c r="BZ20" i="7"/>
  <c r="CA21" i="7" s="1"/>
  <c r="CA20" i="7"/>
  <c r="CC20" i="7"/>
  <c r="BY20" i="7"/>
  <c r="BZ15" i="7"/>
  <c r="CB17" i="7"/>
  <c r="CC16" i="7" a="1"/>
  <c r="CC16" i="7" s="1"/>
  <c r="BZ17" i="7"/>
  <c r="CB60" i="7" a="1"/>
  <c r="CB60" i="7" s="1"/>
  <c r="BY58" i="7" a="1"/>
  <c r="BY58" i="7" s="1"/>
  <c r="CD60" i="7" a="1"/>
  <c r="CD60" i="7" s="1"/>
  <c r="CD18" i="7" a="1"/>
  <c r="CD18" i="7" s="1"/>
  <c r="BY57" i="7" a="1"/>
  <c r="CE16" i="7" a="1"/>
  <c r="CE16" i="7" l="1"/>
  <c r="BY57" i="7"/>
  <c r="CD16" i="7"/>
  <c r="CB16" i="7" a="1"/>
  <c r="CB16" i="7" s="1"/>
  <c r="CD17" i="7" a="1"/>
  <c r="CD17" i="7" s="1"/>
  <c r="CC21" i="7" s="1"/>
  <c r="BY16" i="7" a="1"/>
  <c r="BY16" i="7" s="1"/>
  <c r="BZ58" i="7" a="1"/>
  <c r="BZ58" i="7" s="1"/>
  <c r="CF15" i="7" a="1"/>
  <c r="CF15" i="7" l="1"/>
  <c r="CC58" i="7" a="1"/>
  <c r="CC58" i="7" s="1"/>
  <c r="BZ60" i="7" a="1"/>
  <c r="BZ60" i="7" s="1"/>
  <c r="CK15" i="7" a="1"/>
  <c r="CK15" i="7" l="1"/>
  <c r="CD58" i="7"/>
  <c r="BY62" i="7"/>
  <c r="BZ57" i="7"/>
  <c r="CB58" i="7" s="1" a="1"/>
  <c r="CB58" i="7" s="1"/>
  <c r="CC62" i="7"/>
  <c r="BY63" i="7"/>
  <c r="CB59" i="7"/>
  <c r="CA62" i="7"/>
  <c r="BZ59" i="7"/>
  <c r="BZ62" i="7"/>
  <c r="CA63" i="7" s="1"/>
  <c r="CF17" i="7" a="1"/>
  <c r="CG16" i="7" a="1"/>
  <c r="CG16" i="7" l="1"/>
  <c r="CG18" i="7" s="1" a="1"/>
  <c r="CG18" i="7" s="1"/>
  <c r="CF21" i="7" s="1"/>
  <c r="CF17" i="7"/>
  <c r="CB18" i="7" a="1"/>
  <c r="CB18" i="7" s="1"/>
  <c r="BY59" i="7" a="1"/>
  <c r="BY59" i="7" s="1"/>
  <c r="CC63" i="7"/>
  <c r="CD59" i="7" a="1"/>
  <c r="CD59" i="7" s="1"/>
  <c r="BX22" i="7" a="1"/>
  <c r="BX22" i="7" l="1"/>
  <c r="CF58" i="7" a="1"/>
  <c r="CF58" i="7" s="1"/>
  <c r="CK18" i="7" a="1"/>
  <c r="CK18" i="7" s="1"/>
  <c r="CK60" i="7" a="1"/>
  <c r="CK60" i="7" s="1"/>
  <c r="CG15" i="7"/>
  <c r="CJ16" i="7" a="1"/>
  <c r="CJ16" i="7" s="1"/>
  <c r="CG20" i="7"/>
  <c r="CH21" i="7" s="1"/>
  <c r="CI60" i="7" a="1"/>
  <c r="CI60" i="7" s="1"/>
  <c r="CG17" i="7"/>
  <c r="CH20" i="7"/>
  <c r="CI17" i="7"/>
  <c r="CJ20" i="7"/>
  <c r="CF20" i="7"/>
  <c r="CF57" i="7" a="1"/>
  <c r="BX23" i="7" a="1"/>
  <c r="BX23" i="7" l="1"/>
  <c r="CF57" i="7"/>
  <c r="CI16" i="7" a="1"/>
  <c r="CI16" i="7" s="1"/>
  <c r="CK16" i="7"/>
  <c r="CF16" i="7" a="1"/>
  <c r="CF16" i="7" s="1"/>
  <c r="CK17" i="7" a="1"/>
  <c r="CK17" i="7" s="1"/>
  <c r="CJ21" i="7" s="1"/>
  <c r="CG58" i="7" a="1"/>
  <c r="CG58" i="7" s="1"/>
  <c r="BY22" i="7" a="1"/>
  <c r="BY22" i="7" l="1"/>
  <c r="CG60" i="7" a="1"/>
  <c r="CG60" i="7" s="1"/>
  <c r="CJ58" i="7" a="1"/>
  <c r="CJ58" i="7" s="1"/>
  <c r="CD22" i="7" a="1"/>
  <c r="CD22" i="7" l="1"/>
  <c r="CK58" i="7"/>
  <c r="CG57" i="7"/>
  <c r="CI58" i="7" s="1" a="1"/>
  <c r="CI58" i="7" s="1"/>
  <c r="CJ62" i="7"/>
  <c r="CH62" i="7"/>
  <c r="CF63" i="7"/>
  <c r="CF62" i="7"/>
  <c r="CG62" i="7"/>
  <c r="CH63" i="7" s="1"/>
  <c r="CI59" i="7"/>
  <c r="CG59" i="7"/>
  <c r="BZ23" i="7" a="1"/>
  <c r="BY24" i="7" a="1"/>
  <c r="BY24" i="7" l="1"/>
  <c r="BZ23" i="7"/>
  <c r="CI18" i="7" a="1"/>
  <c r="CI18" i="7" s="1"/>
  <c r="CF59" i="7" a="1"/>
  <c r="CF59" i="7" s="1"/>
  <c r="CK59" i="7" a="1"/>
  <c r="CK59" i="7" s="1"/>
  <c r="CJ63" i="7"/>
  <c r="CE22" i="7" a="1"/>
  <c r="CE22" i="7" l="1"/>
  <c r="CB24" i="7"/>
  <c r="CC23" i="7" a="1"/>
  <c r="CC23" i="7" s="1"/>
  <c r="CC27" i="7"/>
  <c r="BZ22" i="7"/>
  <c r="BZ24" i="7"/>
  <c r="BY27" i="7"/>
  <c r="CB67" i="7" a="1"/>
  <c r="CB67" i="7" s="1"/>
  <c r="CA27" i="7"/>
  <c r="BZ27" i="7"/>
  <c r="CD25" i="7" a="1"/>
  <c r="CD25" i="7" s="1"/>
  <c r="CD67" i="7" a="1"/>
  <c r="CD67" i="7" s="1"/>
  <c r="BY65" i="7" a="1"/>
  <c r="BY65" i="7" s="1"/>
  <c r="BZ25" i="7" a="1"/>
  <c r="BZ25" i="7" s="1"/>
  <c r="BY28" i="7" s="1"/>
  <c r="BY64" i="7" a="1"/>
  <c r="CE23" i="7" a="1"/>
  <c r="CE23" i="7" l="1"/>
  <c r="BY64" i="7"/>
  <c r="CA28" i="7"/>
  <c r="CD23" i="7"/>
  <c r="CB23" i="7" a="1"/>
  <c r="CB23" i="7" s="1"/>
  <c r="CD24" i="7" a="1"/>
  <c r="CD24" i="7" s="1"/>
  <c r="CC28" i="7" s="1"/>
  <c r="BY23" i="7" a="1"/>
  <c r="BY23" i="7" s="1"/>
  <c r="BZ65" i="7" a="1"/>
  <c r="BZ65" i="7" s="1"/>
  <c r="CF22" i="7" a="1"/>
  <c r="CF22" i="7" l="1"/>
  <c r="BZ67" i="7" a="1"/>
  <c r="BZ67" i="7" s="1"/>
  <c r="CC65" i="7" a="1"/>
  <c r="CC65" i="7" s="1"/>
  <c r="CK22" i="7" a="1"/>
  <c r="CK22" i="7" l="1"/>
  <c r="CA69" i="7"/>
  <c r="BZ66" i="7"/>
  <c r="CB66" i="7"/>
  <c r="BY70" i="7"/>
  <c r="CC69" i="7"/>
  <c r="BZ69" i="7"/>
  <c r="CA70" i="7" s="1"/>
  <c r="BZ64" i="7"/>
  <c r="CB65" i="7" s="1" a="1"/>
  <c r="CB65" i="7" s="1"/>
  <c r="BY69" i="7"/>
  <c r="CD65" i="7"/>
  <c r="CG23" i="7" a="1"/>
  <c r="CF24" i="7" a="1"/>
  <c r="CF24" i="7" l="1"/>
  <c r="CG23" i="7"/>
  <c r="CG25" i="7" s="1" a="1"/>
  <c r="CG25" i="7" s="1"/>
  <c r="CF28" i="7" s="1"/>
  <c r="CD66" i="7" a="1"/>
  <c r="CD66" i="7" s="1"/>
  <c r="CC70" i="7"/>
  <c r="BY66" i="7" a="1"/>
  <c r="BY66" i="7" s="1"/>
  <c r="CB25" i="7" a="1"/>
  <c r="CB25" i="7" s="1"/>
  <c r="BX29" i="7" a="1"/>
  <c r="BX29" i="7" l="1"/>
  <c r="CG22" i="7"/>
  <c r="CJ27" i="7"/>
  <c r="CG27" i="7"/>
  <c r="CH28" i="7" s="1"/>
  <c r="CG24" i="7"/>
  <c r="CI67" i="7" a="1"/>
  <c r="CI67" i="7" s="1"/>
  <c r="CJ23" i="7" a="1"/>
  <c r="CJ23" i="7" s="1"/>
  <c r="CF27" i="7"/>
  <c r="CH27" i="7"/>
  <c r="CI24" i="7"/>
  <c r="CF65" i="7" a="1"/>
  <c r="CF65" i="7" s="1"/>
  <c r="CK67" i="7" a="1"/>
  <c r="CK67" i="7" s="1"/>
  <c r="CK25" i="7" a="1"/>
  <c r="CK25" i="7" s="1"/>
  <c r="BX30" i="7" a="1"/>
  <c r="CF64" i="7" a="1"/>
  <c r="CF64" i="7" l="1"/>
  <c r="BX30" i="7"/>
  <c r="CF23" i="7" a="1"/>
  <c r="CF23" i="7" s="1"/>
  <c r="CK24" i="7" a="1"/>
  <c r="CK24" i="7" s="1"/>
  <c r="CJ28" i="7" s="1"/>
  <c r="CG65" i="7" a="1"/>
  <c r="CG65" i="7" s="1"/>
  <c r="CK23" i="7"/>
  <c r="CI23" i="7" a="1"/>
  <c r="CI23" i="7" s="1"/>
  <c r="BY29" i="7" a="1"/>
  <c r="BY29" i="7" l="1"/>
  <c r="CG67" i="7" a="1"/>
  <c r="CG67" i="7" s="1"/>
  <c r="CJ65" i="7" a="1"/>
  <c r="CJ65" i="7" s="1"/>
  <c r="CD29" i="7" a="1"/>
  <c r="CD29" i="7" l="1"/>
  <c r="CK65" i="7"/>
  <c r="CF70" i="7"/>
  <c r="CH69" i="7"/>
  <c r="CG69" i="7"/>
  <c r="CH70" i="7" s="1"/>
  <c r="CG64" i="7"/>
  <c r="CI65" i="7" s="1" a="1"/>
  <c r="CI65" i="7" s="1"/>
  <c r="CI66" i="7"/>
  <c r="CJ69" i="7"/>
  <c r="CF69" i="7"/>
  <c r="CG66" i="7"/>
  <c r="BZ30" i="7" a="1"/>
  <c r="BY31" i="7" a="1"/>
  <c r="BY31" i="7" l="1"/>
  <c r="BZ30" i="7"/>
  <c r="BZ32" i="7" s="1" a="1"/>
  <c r="BZ32" i="7" s="1"/>
  <c r="BY35" i="7" s="1"/>
  <c r="CJ70" i="7"/>
  <c r="CK66" i="7" a="1"/>
  <c r="CK66" i="7" s="1"/>
  <c r="CF66" i="7" a="1"/>
  <c r="CF66" i="7" s="1"/>
  <c r="CI25" i="7" a="1"/>
  <c r="CI25" i="7" s="1"/>
  <c r="CE29" i="7" a="1"/>
  <c r="CE29" i="7" l="1"/>
  <c r="CD74" i="7" a="1"/>
  <c r="CD74" i="7" s="1"/>
  <c r="BY72" i="7" a="1"/>
  <c r="BY72" i="7" s="1"/>
  <c r="CD32" i="7" a="1"/>
  <c r="CD32" i="7" s="1"/>
  <c r="CC34" i="7"/>
  <c r="CC30" i="7" a="1"/>
  <c r="CC30" i="7" s="1"/>
  <c r="CA34" i="7"/>
  <c r="BZ34" i="7"/>
  <c r="CA35" i="7" s="1"/>
  <c r="BY34" i="7"/>
  <c r="CB74" i="7" a="1"/>
  <c r="CB74" i="7" s="1"/>
  <c r="CB31" i="7"/>
  <c r="BZ29" i="7"/>
  <c r="BZ31" i="7"/>
  <c r="BY71" i="7" a="1"/>
  <c r="CE30" i="7" a="1"/>
  <c r="CE30" i="7" l="1"/>
  <c r="BY71" i="7"/>
  <c r="CD30" i="7"/>
  <c r="CB30" i="7" a="1"/>
  <c r="CB30" i="7" s="1"/>
  <c r="CD31" i="7" a="1"/>
  <c r="CD31" i="7" s="1"/>
  <c r="CC35" i="7" s="1"/>
  <c r="BY30" i="7" a="1"/>
  <c r="BY30" i="7" s="1"/>
  <c r="BZ72" i="7" a="1"/>
  <c r="BZ72" i="7" s="1"/>
  <c r="CF29" i="7" a="1"/>
  <c r="CF29" i="7" l="1"/>
  <c r="BZ74" i="7" a="1"/>
  <c r="BZ74" i="7" s="1"/>
  <c r="CC72" i="7" a="1"/>
  <c r="CC72" i="7" s="1"/>
  <c r="CK29" i="7" a="1"/>
  <c r="CK29" i="7" l="1"/>
  <c r="BY77" i="7"/>
  <c r="BZ76" i="7"/>
  <c r="CA77" i="7" s="1"/>
  <c r="BZ71" i="7"/>
  <c r="CC76" i="7"/>
  <c r="BZ73" i="7"/>
  <c r="CA76" i="7"/>
  <c r="BY76" i="7"/>
  <c r="CB73" i="7"/>
  <c r="CD72" i="7"/>
  <c r="CF31" i="7" a="1"/>
  <c r="CG30" i="7" a="1"/>
  <c r="CG30" i="7" l="1"/>
  <c r="CG32" i="7" s="1" a="1"/>
  <c r="CG32" i="7" s="1"/>
  <c r="CF35" i="7" s="1"/>
  <c r="CF31" i="7"/>
  <c r="CD73" i="7" a="1"/>
  <c r="CD73" i="7" s="1"/>
  <c r="CC77" i="7"/>
  <c r="BY73" i="7" a="1"/>
  <c r="BY73" i="7" s="1"/>
  <c r="CB32" i="7" a="1"/>
  <c r="CB32" i="7" s="1"/>
  <c r="CB72" i="7" a="1"/>
  <c r="CB72" i="7" s="1"/>
  <c r="BX36" i="7" a="1"/>
  <c r="BX36" i="7" l="1"/>
  <c r="CG29" i="7"/>
  <c r="CF34" i="7"/>
  <c r="CI31" i="7"/>
  <c r="CJ30" i="7" a="1"/>
  <c r="CJ30" i="7" s="1"/>
  <c r="CG31" i="7"/>
  <c r="CI74" i="7" a="1"/>
  <c r="CI74" i="7" s="1"/>
  <c r="CJ34" i="7"/>
  <c r="CG34" i="7"/>
  <c r="CH35" i="7" s="1"/>
  <c r="CH34" i="7"/>
  <c r="CF72" i="7" a="1"/>
  <c r="CF72" i="7" s="1"/>
  <c r="CK74" i="7" a="1"/>
  <c r="CK74" i="7" s="1"/>
  <c r="CK32" i="7" a="1"/>
  <c r="CK32" i="7" s="1"/>
  <c r="BX37" i="7" a="1"/>
  <c r="CF71" i="7" a="1"/>
  <c r="CF71" i="7" l="1"/>
  <c r="BX37" i="7"/>
  <c r="CF30" i="7" a="1"/>
  <c r="CF30" i="7" s="1"/>
  <c r="CK31" i="7" a="1"/>
  <c r="CK31" i="7" s="1"/>
  <c r="CJ35" i="7" s="1"/>
  <c r="CG72" i="7" a="1"/>
  <c r="CG72" i="7" s="1"/>
  <c r="CK30" i="7"/>
  <c r="CI30" i="7" a="1"/>
  <c r="CI30" i="7" s="1"/>
  <c r="BY36" i="7" a="1"/>
  <c r="BY36" i="7" l="1"/>
  <c r="CJ72" i="7" a="1"/>
  <c r="CJ72" i="7" s="1"/>
  <c r="CG74" i="7" a="1"/>
  <c r="CG74" i="7" s="1"/>
  <c r="CD36" i="7" a="1"/>
  <c r="CD36" i="7" l="1"/>
  <c r="CG71" i="7"/>
  <c r="CI72" i="7" s="1" a="1"/>
  <c r="CI72" i="7" s="1"/>
  <c r="CH76" i="7"/>
  <c r="CF76" i="7"/>
  <c r="CF77" i="7"/>
  <c r="CG76" i="7"/>
  <c r="CH77" i="7" s="1"/>
  <c r="CJ76" i="7"/>
  <c r="CI73" i="7"/>
  <c r="CG73" i="7"/>
  <c r="CK72" i="7"/>
  <c r="BZ37" i="7" a="1"/>
  <c r="BY38" i="7" a="1"/>
  <c r="BY38" i="7" l="1"/>
  <c r="BZ37" i="7"/>
  <c r="BZ39" i="7" s="1" a="1"/>
  <c r="BZ39" i="7" s="1"/>
  <c r="BY42" i="7" s="1"/>
  <c r="CJ77" i="7"/>
  <c r="CF73" i="7" a="1"/>
  <c r="CF73" i="7" s="1"/>
  <c r="CK73" i="7" a="1"/>
  <c r="CK73" i="7" s="1"/>
  <c r="CI32" i="7" a="1"/>
  <c r="CI32" i="7" s="1"/>
  <c r="CE36" i="7" a="1"/>
  <c r="CE36" i="7" l="1"/>
  <c r="CA41" i="7"/>
  <c r="BZ38" i="7"/>
  <c r="BZ41" i="7"/>
  <c r="CA42" i="7" s="1"/>
  <c r="BZ36" i="7"/>
  <c r="CB81" i="7" a="1"/>
  <c r="CB81" i="7" s="1"/>
  <c r="CC37" i="7" a="1"/>
  <c r="CC37" i="7" s="1"/>
  <c r="BY41" i="7"/>
  <c r="CC41" i="7"/>
  <c r="CB38" i="7"/>
  <c r="CD81" i="7" a="1"/>
  <c r="CD81" i="7" s="1"/>
  <c r="BY79" i="7" a="1"/>
  <c r="BY79" i="7" s="1"/>
  <c r="CD39" i="7" a="1"/>
  <c r="CD39" i="7" s="1"/>
  <c r="BY78" i="7" a="1"/>
  <c r="CE37" i="7" a="1"/>
  <c r="CE37" i="7" l="1"/>
  <c r="BY78" i="7"/>
  <c r="CD37" i="7"/>
  <c r="CB37" i="7" a="1"/>
  <c r="CB37" i="7" s="1"/>
  <c r="BY37" i="7" a="1"/>
  <c r="BY37" i="7" s="1"/>
  <c r="CD38" i="7" a="1"/>
  <c r="CD38" i="7" s="1"/>
  <c r="CC42" i="7" s="1"/>
  <c r="BZ79" i="7" a="1"/>
  <c r="BZ79" i="7" s="1"/>
  <c r="CF36" i="7" a="1"/>
  <c r="CF36" i="7" l="1"/>
  <c r="BZ81" i="7" a="1"/>
  <c r="BZ81" i="7" s="1"/>
  <c r="CC79" i="7" a="1"/>
  <c r="CC79" i="7" s="1"/>
  <c r="CK36" i="7" a="1"/>
  <c r="CK36" i="7" l="1"/>
  <c r="CC83" i="7"/>
  <c r="BY83" i="7"/>
  <c r="CB80" i="7"/>
  <c r="BZ80" i="7"/>
  <c r="BY84" i="7"/>
  <c r="BZ78" i="7"/>
  <c r="CB79" i="7" s="1" a="1"/>
  <c r="CB79" i="7" s="1"/>
  <c r="CA83" i="7"/>
  <c r="BZ83" i="7"/>
  <c r="CA84" i="7" s="1"/>
  <c r="CD79" i="7"/>
  <c r="CG37" i="7" a="1"/>
  <c r="CF38" i="7" a="1"/>
  <c r="CF38" i="7" l="1"/>
  <c r="CG37" i="7"/>
  <c r="CB39" i="7" a="1"/>
  <c r="CB39" i="7" s="1"/>
  <c r="CD80" i="7" a="1"/>
  <c r="CD80" i="7" s="1"/>
  <c r="BY80" i="7" a="1"/>
  <c r="BY80" i="7" s="1"/>
  <c r="CC84" i="7"/>
  <c r="CM1" i="7" a="1"/>
  <c r="CM1" i="7" l="1"/>
  <c r="CI81" i="7" a="1"/>
  <c r="CI81" i="7" s="1"/>
  <c r="CJ37" i="7" a="1"/>
  <c r="CJ37" i="7" s="1"/>
  <c r="CG38" i="7"/>
  <c r="CH41" i="7"/>
  <c r="CG36" i="7"/>
  <c r="CJ41" i="7"/>
  <c r="CG41" i="7"/>
  <c r="CI38" i="7"/>
  <c r="CF41" i="7"/>
  <c r="CF79" i="7" a="1"/>
  <c r="CF79" i="7" s="1"/>
  <c r="CK81" i="7" a="1"/>
  <c r="CK81" i="7" s="1"/>
  <c r="CK39" i="7" a="1"/>
  <c r="CK39" i="7" s="1"/>
  <c r="CG39" i="7" a="1"/>
  <c r="CG39" i="7" s="1"/>
  <c r="CF42" i="7" s="1"/>
  <c r="CF78" i="7" a="1"/>
  <c r="CM2" i="7" a="1"/>
  <c r="CM2" i="7" l="1"/>
  <c r="CF78" i="7"/>
  <c r="CF37" i="7" a="1"/>
  <c r="CF37" i="7" s="1"/>
  <c r="CK38" i="7" a="1"/>
  <c r="CK38" i="7" s="1"/>
  <c r="CJ42" i="7" s="1"/>
  <c r="CG79" i="7" a="1"/>
  <c r="CG79" i="7" s="1"/>
  <c r="CI37" i="7" a="1"/>
  <c r="CI37" i="7" s="1"/>
  <c r="CK37" i="7"/>
  <c r="CH42" i="7"/>
  <c r="CN1" i="7" a="1"/>
  <c r="CN1" i="7" l="1"/>
  <c r="CG81" i="7" a="1"/>
  <c r="CG81" i="7" s="1"/>
  <c r="CJ79" i="7" a="1"/>
  <c r="CJ79" i="7" s="1"/>
  <c r="CS1" i="7" a="1"/>
  <c r="CS1" i="7" l="1"/>
  <c r="CK79" i="7"/>
  <c r="CG80" i="7"/>
  <c r="CJ83" i="7"/>
  <c r="CG78" i="7"/>
  <c r="CI79" i="7" s="1" a="1"/>
  <c r="CI79" i="7" s="1"/>
  <c r="CH83" i="7"/>
  <c r="CI80" i="7"/>
  <c r="CG83" i="7"/>
  <c r="CH84" i="7" s="1"/>
  <c r="CF83" i="7"/>
  <c r="CF84" i="7"/>
  <c r="CT1" i="7" a="1"/>
  <c r="CO2" i="7" a="1"/>
  <c r="CN3" i="7" a="1"/>
  <c r="CN3" i="7" l="1"/>
  <c r="CO2" i="7"/>
  <c r="CO4" i="7" s="1" a="1"/>
  <c r="CO4" i="7" s="1"/>
  <c r="CT1" i="7"/>
  <c r="CK80" i="7" a="1"/>
  <c r="CK80" i="7" s="1"/>
  <c r="CF80" i="7" a="1"/>
  <c r="CF80" i="7" s="1"/>
  <c r="CJ84" i="7"/>
  <c r="CI39" i="7" a="1"/>
  <c r="CI39" i="7" s="1"/>
  <c r="CT2" i="7" a="1"/>
  <c r="CT2" i="7" l="1"/>
  <c r="CS4" i="7" a="1"/>
  <c r="CS4" i="7" s="1"/>
  <c r="CS46" i="7" a="1"/>
  <c r="CS46" i="7" s="1"/>
  <c r="CN44" i="7" a="1"/>
  <c r="CN44" i="7" s="1"/>
  <c r="CN2" i="7" a="1"/>
  <c r="CN2" i="7" s="1"/>
  <c r="CN7" i="7"/>
  <c r="CR6" i="7"/>
  <c r="CP6" i="7"/>
  <c r="CQ3" i="7"/>
  <c r="CN6" i="7"/>
  <c r="CO6" i="7"/>
  <c r="CP7" i="7" s="1"/>
  <c r="CO1" i="7"/>
  <c r="CQ46" i="7" a="1"/>
  <c r="CQ46" i="7" s="1"/>
  <c r="CR2" i="7" a="1"/>
  <c r="CR2" i="7" s="1"/>
  <c r="CO3" i="7"/>
  <c r="CN43" i="7" a="1"/>
  <c r="CU1" i="7" a="1"/>
  <c r="CU1" i="7" l="1"/>
  <c r="CN43" i="7"/>
  <c r="CO44" i="7" a="1"/>
  <c r="CO44" i="7" s="1"/>
  <c r="CS3" i="7" a="1"/>
  <c r="CS3" i="7" s="1"/>
  <c r="CR7" i="7" s="1"/>
  <c r="CQ2" i="7" a="1"/>
  <c r="CQ2" i="7" s="1"/>
  <c r="CS2" i="7"/>
  <c r="CZ1" i="7" a="1"/>
  <c r="CZ1" i="7" l="1"/>
  <c r="CR44" i="7" a="1"/>
  <c r="CR44" i="7" s="1"/>
  <c r="CO46" i="7" a="1"/>
  <c r="CO46" i="7" s="1"/>
  <c r="CU3" i="7" a="1"/>
  <c r="CV2" i="7" a="1"/>
  <c r="CV2" i="7" l="1"/>
  <c r="CV4" i="7" s="1" a="1"/>
  <c r="CV4" i="7" s="1"/>
  <c r="CU3" i="7"/>
  <c r="CN49" i="7"/>
  <c r="CO45" i="7"/>
  <c r="CP48" i="7"/>
  <c r="CO48" i="7"/>
  <c r="CP49" i="7" s="1"/>
  <c r="CR48" i="7"/>
  <c r="CQ45" i="7"/>
  <c r="CO43" i="7"/>
  <c r="CQ44" i="7" s="1" a="1"/>
  <c r="CQ44" i="7" s="1"/>
  <c r="CN48" i="7"/>
  <c r="CS44" i="7"/>
  <c r="CQ4" i="7" a="1"/>
  <c r="CQ4" i="7" s="1"/>
  <c r="CM8" i="7" a="1"/>
  <c r="CM8" i="7" l="1"/>
  <c r="CN45" i="7" a="1"/>
  <c r="CN45" i="7" s="1"/>
  <c r="CR49" i="7"/>
  <c r="CS45" i="7" a="1"/>
  <c r="CS45" i="7" s="1"/>
  <c r="CU44" i="7" a="1"/>
  <c r="CU44" i="7" s="1"/>
  <c r="CZ46" i="7" a="1"/>
  <c r="CZ46" i="7" s="1"/>
  <c r="CZ4" i="7" a="1"/>
  <c r="CZ4" i="7" s="1"/>
  <c r="CV3" i="7"/>
  <c r="CV1" i="7"/>
  <c r="CV6" i="7"/>
  <c r="CW7" i="7" s="1"/>
  <c r="CX46" i="7" a="1"/>
  <c r="CX46" i="7" s="1"/>
  <c r="CU6" i="7"/>
  <c r="CY6" i="7"/>
  <c r="CX3" i="7"/>
  <c r="CY2" i="7" a="1"/>
  <c r="CY2" i="7" s="1"/>
  <c r="CW6" i="7"/>
  <c r="CU7" i="7"/>
  <c r="CU2" i="7" a="1"/>
  <c r="CU2" i="7" s="1"/>
  <c r="CM9" i="7" a="1"/>
  <c r="CU43" i="7" a="1"/>
  <c r="CU43" i="7" l="1"/>
  <c r="CM9" i="7"/>
  <c r="CZ3" i="7" a="1"/>
  <c r="CZ3" i="7" s="1"/>
  <c r="CY7" i="7" s="1"/>
  <c r="CV44" i="7" a="1"/>
  <c r="CV44" i="7" s="1"/>
  <c r="CZ2" i="7"/>
  <c r="CX2" i="7" a="1"/>
  <c r="CX2" i="7" s="1"/>
  <c r="CN8" i="7" a="1"/>
  <c r="CN8" i="7" l="1"/>
  <c r="CV46" i="7" a="1"/>
  <c r="CV46" i="7" s="1"/>
  <c r="CY44" i="7" a="1"/>
  <c r="CY44" i="7" s="1"/>
  <c r="CZ44" i="7" s="1"/>
  <c r="CS8" i="7" a="1"/>
  <c r="CS8" i="7" l="1"/>
  <c r="CU49" i="7"/>
  <c r="CY48" i="7"/>
  <c r="CX45" i="7"/>
  <c r="CV48" i="7"/>
  <c r="CW49" i="7" s="1"/>
  <c r="CU48" i="7"/>
  <c r="CV45" i="7"/>
  <c r="CV43" i="7"/>
  <c r="CW48" i="7"/>
  <c r="CO9" i="7" a="1"/>
  <c r="CN10" i="7" a="1"/>
  <c r="CN10" i="7" l="1"/>
  <c r="CO9" i="7"/>
  <c r="CO11" i="7" s="1" a="1"/>
  <c r="CO11" i="7" s="1"/>
  <c r="CN14" i="7" s="1"/>
  <c r="CX4" i="7" a="1"/>
  <c r="CX4" i="7" s="1"/>
  <c r="CX44" i="7" a="1"/>
  <c r="CX44" i="7" s="1"/>
  <c r="CZ45" i="7" a="1"/>
  <c r="CZ45" i="7" s="1"/>
  <c r="CY49" i="7"/>
  <c r="CU45" i="7" a="1"/>
  <c r="CU45" i="7" s="1"/>
  <c r="CT8" i="7" a="1"/>
  <c r="CT8" i="7" l="1"/>
  <c r="CQ10" i="7"/>
  <c r="CO8" i="7"/>
  <c r="CR13" i="7"/>
  <c r="CO10" i="7"/>
  <c r="CP13" i="7"/>
  <c r="CR9" i="7" a="1"/>
  <c r="CR9" i="7" s="1"/>
  <c r="CQ53" i="7" a="1"/>
  <c r="CQ53" i="7" s="1"/>
  <c r="CO13" i="7"/>
  <c r="CP14" i="7" s="1"/>
  <c r="CN13" i="7"/>
  <c r="CS53" i="7" a="1"/>
  <c r="CS53" i="7" s="1"/>
  <c r="CS11" i="7" a="1"/>
  <c r="CS11" i="7" s="1"/>
  <c r="CN51" i="7" a="1"/>
  <c r="CN51" i="7" s="1"/>
  <c r="CT9" i="7" a="1"/>
  <c r="CN50" i="7" a="1"/>
  <c r="CN50" i="7" l="1"/>
  <c r="CT9" i="7"/>
  <c r="CN9" i="7" a="1"/>
  <c r="CN9" i="7" s="1"/>
  <c r="CS10" i="7" a="1"/>
  <c r="CS10" i="7" s="1"/>
  <c r="CR14" i="7" s="1"/>
  <c r="CO51" i="7" a="1"/>
  <c r="CO51" i="7" s="1"/>
  <c r="CQ9" i="7" a="1"/>
  <c r="CQ9" i="7" s="1"/>
  <c r="CS9" i="7"/>
  <c r="CU8" i="7" a="1"/>
  <c r="CU8" i="7" l="1"/>
  <c r="CR51" i="7" a="1"/>
  <c r="CR51" i="7" s="1"/>
  <c r="CO53" i="7" a="1"/>
  <c r="CO53" i="7" s="1"/>
  <c r="CZ8" i="7" a="1"/>
  <c r="CZ8" i="7" l="1"/>
  <c r="CN56" i="7"/>
  <c r="CR55" i="7"/>
  <c r="CQ52" i="7"/>
  <c r="CO55" i="7"/>
  <c r="CP56" i="7" s="1"/>
  <c r="CO50" i="7"/>
  <c r="CQ51" i="7" s="1" a="1"/>
  <c r="CQ51" i="7" s="1"/>
  <c r="CN55" i="7"/>
  <c r="CO52" i="7"/>
  <c r="CP55" i="7"/>
  <c r="CS51" i="7"/>
  <c r="CU10" i="7" a="1"/>
  <c r="CV9" i="7" a="1"/>
  <c r="CV9" i="7" l="1"/>
  <c r="CV11" i="7" s="1" a="1"/>
  <c r="CV11" i="7" s="1"/>
  <c r="CU14" i="7" s="1"/>
  <c r="CU10" i="7"/>
  <c r="CQ11" i="7" a="1"/>
  <c r="CQ11" i="7" s="1"/>
  <c r="CR56" i="7"/>
  <c r="CS52" i="7" a="1"/>
  <c r="CS52" i="7" s="1"/>
  <c r="CN52" i="7" a="1"/>
  <c r="CN52" i="7" s="1"/>
  <c r="CM15" i="7" a="1"/>
  <c r="CM15" i="7" l="1"/>
  <c r="CZ11" i="7" a="1"/>
  <c r="CZ11" i="7" s="1"/>
  <c r="CZ53" i="7" a="1"/>
  <c r="CZ53" i="7" s="1"/>
  <c r="CU51" i="7" a="1"/>
  <c r="CU51" i="7" s="1"/>
  <c r="CV10" i="7"/>
  <c r="CV8" i="7"/>
  <c r="CW13" i="7"/>
  <c r="CX53" i="7" a="1"/>
  <c r="CX53" i="7" s="1"/>
  <c r="CV13" i="7"/>
  <c r="CW14" i="7" s="1"/>
  <c r="CU13" i="7"/>
  <c r="CY9" i="7" a="1"/>
  <c r="CY9" i="7" s="1"/>
  <c r="CY13" i="7"/>
  <c r="CX10" i="7"/>
  <c r="CU50" i="7" a="1"/>
  <c r="CM16" i="7" a="1"/>
  <c r="CM16" i="7" l="1"/>
  <c r="CU50" i="7"/>
  <c r="CX9" i="7" a="1"/>
  <c r="CX9" i="7" s="1"/>
  <c r="CZ9" i="7"/>
  <c r="CU9" i="7" a="1"/>
  <c r="CU9" i="7" s="1"/>
  <c r="CZ10" i="7" a="1"/>
  <c r="CZ10" i="7" s="1"/>
  <c r="CY14" i="7" s="1"/>
  <c r="CV51" i="7" a="1"/>
  <c r="CV51" i="7" s="1"/>
  <c r="CN15" i="7" a="1"/>
  <c r="CN15" i="7" l="1"/>
  <c r="CY51" i="7" a="1"/>
  <c r="CY51" i="7" s="1"/>
  <c r="CV53" i="7" a="1"/>
  <c r="CV53" i="7" s="1"/>
  <c r="CS15" i="7" a="1"/>
  <c r="CS15" i="7" l="1"/>
  <c r="CW55" i="7"/>
  <c r="CX52" i="7"/>
  <c r="CV55" i="7"/>
  <c r="CW56" i="7" s="1"/>
  <c r="CV50" i="7"/>
  <c r="CX51" i="7" s="1" a="1"/>
  <c r="CX51" i="7" s="1"/>
  <c r="CU55" i="7"/>
  <c r="CU56" i="7"/>
  <c r="CV52" i="7"/>
  <c r="CY55" i="7"/>
  <c r="CZ51" i="7"/>
  <c r="CN17" i="7" a="1"/>
  <c r="CO16" i="7" a="1"/>
  <c r="CO16" i="7" l="1"/>
  <c r="CO18" i="7" s="1" a="1"/>
  <c r="CO18" i="7" s="1"/>
  <c r="CN21" i="7" s="1"/>
  <c r="CN17" i="7"/>
  <c r="CX11" i="7" a="1"/>
  <c r="CX11" i="7" s="1"/>
  <c r="CY56" i="7"/>
  <c r="CZ52" i="7" a="1"/>
  <c r="CZ52" i="7" s="1"/>
  <c r="CU52" i="7" a="1"/>
  <c r="CU52" i="7" s="1"/>
  <c r="CT15" i="7" a="1"/>
  <c r="CT15" i="7" l="1"/>
  <c r="CN58" i="7" a="1"/>
  <c r="CN58" i="7" s="1"/>
  <c r="CS60" i="7" a="1"/>
  <c r="CS60" i="7" s="1"/>
  <c r="CS18" i="7" a="1"/>
  <c r="CS18" i="7" s="1"/>
  <c r="CR20" i="7"/>
  <c r="CQ17" i="7"/>
  <c r="CO17" i="7"/>
  <c r="CR16" i="7" a="1"/>
  <c r="CR16" i="7" s="1"/>
  <c r="CP20" i="7"/>
  <c r="CQ60" i="7" a="1"/>
  <c r="CQ60" i="7" s="1"/>
  <c r="CN20" i="7"/>
  <c r="CO20" i="7"/>
  <c r="CP21" i="7" s="1"/>
  <c r="CO15" i="7"/>
  <c r="CN57" i="7" a="1"/>
  <c r="CT16" i="7" a="1"/>
  <c r="CT16" i="7" l="1"/>
  <c r="CN57" i="7"/>
  <c r="CQ16" i="7" a="1"/>
  <c r="CQ16" i="7" s="1"/>
  <c r="CS16" i="7"/>
  <c r="CS17" i="7" a="1"/>
  <c r="CS17" i="7" s="1"/>
  <c r="CR21" i="7" s="1"/>
  <c r="CN16" i="7" a="1"/>
  <c r="CN16" i="7" s="1"/>
  <c r="CO58" i="7" a="1"/>
  <c r="CO58" i="7" s="1"/>
  <c r="CU15" i="7" a="1"/>
  <c r="CU15" i="7" l="1"/>
  <c r="CR58" i="7" a="1"/>
  <c r="CR58" i="7" s="1"/>
  <c r="CO60" i="7" a="1"/>
  <c r="CO60" i="7" s="1"/>
  <c r="CZ15" i="7" a="1"/>
  <c r="CZ15" i="7" l="1"/>
  <c r="CN62" i="7"/>
  <c r="CN63" i="7"/>
  <c r="CR62" i="7"/>
  <c r="CO62" i="7"/>
  <c r="CP63" i="7" s="1"/>
  <c r="CO59" i="7"/>
  <c r="CP62" i="7"/>
  <c r="CO57" i="7"/>
  <c r="CQ58" i="7" s="1" a="1"/>
  <c r="CQ58" i="7" s="1"/>
  <c r="CQ59" i="7"/>
  <c r="CS58" i="7"/>
  <c r="CV16" i="7" a="1"/>
  <c r="CU17" i="7" a="1"/>
  <c r="CU17" i="7" l="1"/>
  <c r="CV16" i="7"/>
  <c r="CV18" i="7" s="1" a="1"/>
  <c r="CV18" i="7" s="1"/>
  <c r="CU21" i="7" s="1"/>
  <c r="CQ18" i="7" a="1"/>
  <c r="CQ18" i="7" s="1"/>
  <c r="CN59" i="7" a="1"/>
  <c r="CN59" i="7" s="1"/>
  <c r="CS59" i="7" a="1"/>
  <c r="CS59" i="7" s="1"/>
  <c r="CR63" i="7"/>
  <c r="CM22" i="7" a="1"/>
  <c r="CM22" i="7" l="1"/>
  <c r="CZ18" i="7" a="1"/>
  <c r="CZ18" i="7" s="1"/>
  <c r="CU58" i="7" a="1"/>
  <c r="CU58" i="7" s="1"/>
  <c r="CZ60" i="7" a="1"/>
  <c r="CZ60" i="7" s="1"/>
  <c r="CX60" i="7" a="1"/>
  <c r="CX60" i="7" s="1"/>
  <c r="CW20" i="7"/>
  <c r="CV20" i="7"/>
  <c r="CW21" i="7" s="1"/>
  <c r="CU20" i="7"/>
  <c r="CY20" i="7"/>
  <c r="CY16" i="7" a="1"/>
  <c r="CY16" i="7" s="1"/>
  <c r="CV15" i="7"/>
  <c r="CV17" i="7"/>
  <c r="CX17" i="7"/>
  <c r="CU57" i="7" a="1"/>
  <c r="CM23" i="7" a="1"/>
  <c r="CM23" i="7" l="1"/>
  <c r="CU57" i="7"/>
  <c r="CX16" i="7" a="1"/>
  <c r="CX16" i="7" s="1"/>
  <c r="CZ16" i="7"/>
  <c r="CZ17" i="7" a="1"/>
  <c r="CZ17" i="7" s="1"/>
  <c r="CY21" i="7" s="1"/>
  <c r="CU16" i="7" a="1"/>
  <c r="CU16" i="7" s="1"/>
  <c r="CV58" i="7" a="1"/>
  <c r="CV58" i="7" s="1"/>
  <c r="CN22" i="7" a="1"/>
  <c r="CN22" i="7" l="1"/>
  <c r="CY58" i="7" a="1"/>
  <c r="CY58" i="7" s="1"/>
  <c r="CZ58" i="7" s="1"/>
  <c r="CV60" i="7" a="1"/>
  <c r="CV60" i="7" s="1"/>
  <c r="CS22" i="7" a="1"/>
  <c r="CS22" i="7" l="1"/>
  <c r="CV62" i="7"/>
  <c r="CW63" i="7" s="1"/>
  <c r="CX59" i="7"/>
  <c r="CU62" i="7"/>
  <c r="CV57" i="7"/>
  <c r="CY62" i="7"/>
  <c r="CU63" i="7"/>
  <c r="CW62" i="7"/>
  <c r="CV59" i="7"/>
  <c r="CN24" i="7" a="1"/>
  <c r="CO23" i="7" a="1"/>
  <c r="CO23" i="7" l="1"/>
  <c r="CO25" i="7" s="1" a="1"/>
  <c r="CO25" i="7" s="1"/>
  <c r="CN28" i="7" s="1"/>
  <c r="CN24" i="7"/>
  <c r="CX18" i="7" a="1"/>
  <c r="CX18" i="7" s="1"/>
  <c r="CX58" i="7" a="1"/>
  <c r="CX58" i="7" s="1"/>
  <c r="CU59" i="7" a="1"/>
  <c r="CU59" i="7" s="1"/>
  <c r="CY63" i="7"/>
  <c r="CZ59" i="7" a="1"/>
  <c r="CZ59" i="7" s="1"/>
  <c r="CT22" i="7" a="1"/>
  <c r="CT22" i="7" l="1"/>
  <c r="CN65" i="7" a="1"/>
  <c r="CN65" i="7" s="1"/>
  <c r="CS67" i="7" a="1"/>
  <c r="CS67" i="7" s="1"/>
  <c r="CS25" i="7" a="1"/>
  <c r="CS25" i="7" s="1"/>
  <c r="CO24" i="7"/>
  <c r="CQ67" i="7" a="1"/>
  <c r="CQ67" i="7" s="1"/>
  <c r="CN27" i="7"/>
  <c r="CO22" i="7"/>
  <c r="CR27" i="7"/>
  <c r="CO27" i="7"/>
  <c r="CP28" i="7" s="1"/>
  <c r="CR23" i="7" a="1"/>
  <c r="CR23" i="7" s="1"/>
  <c r="CP27" i="7"/>
  <c r="CQ24" i="7"/>
  <c r="CN64" i="7" a="1"/>
  <c r="CT23" i="7" a="1"/>
  <c r="CT23" i="7" l="1"/>
  <c r="CN64" i="7"/>
  <c r="CS23" i="7"/>
  <c r="CQ23" i="7" a="1"/>
  <c r="CQ23" i="7" s="1"/>
  <c r="CS24" i="7" a="1"/>
  <c r="CS24" i="7" s="1"/>
  <c r="CR28" i="7" s="1"/>
  <c r="CN23" i="7" a="1"/>
  <c r="CN23" i="7" s="1"/>
  <c r="CO65" i="7" a="1"/>
  <c r="CO65" i="7" s="1"/>
  <c r="CU22" i="7" a="1"/>
  <c r="CU22" i="7" l="1"/>
  <c r="CO67" i="7" a="1"/>
  <c r="CO67" i="7" s="1"/>
  <c r="CR65" i="7" a="1"/>
  <c r="CR65" i="7" s="1"/>
  <c r="CZ22" i="7" a="1"/>
  <c r="CZ22" i="7" l="1"/>
  <c r="CN70" i="7"/>
  <c r="CQ66" i="7"/>
  <c r="CN69" i="7"/>
  <c r="CO69" i="7"/>
  <c r="CP70" i="7" s="1"/>
  <c r="CO66" i="7"/>
  <c r="CR69" i="7"/>
  <c r="CP69" i="7"/>
  <c r="CO64" i="7"/>
  <c r="CQ65" i="7" s="1" a="1"/>
  <c r="CQ65" i="7" s="1"/>
  <c r="CS65" i="7"/>
  <c r="CV23" i="7" a="1"/>
  <c r="CU24" i="7" a="1"/>
  <c r="CU24" i="7" l="1"/>
  <c r="CV23" i="7"/>
  <c r="CV25" i="7" s="1" a="1"/>
  <c r="CV25" i="7" s="1"/>
  <c r="CU28" i="7" s="1"/>
  <c r="CQ25" i="7" a="1"/>
  <c r="CQ25" i="7" s="1"/>
  <c r="CN66" i="7" a="1"/>
  <c r="CN66" i="7" s="1"/>
  <c r="CS66" i="7" a="1"/>
  <c r="CS66" i="7" s="1"/>
  <c r="CR70" i="7"/>
  <c r="CM29" i="7" a="1"/>
  <c r="CM29" i="7" l="1"/>
  <c r="CV24" i="7"/>
  <c r="CX67" i="7" a="1"/>
  <c r="CX67" i="7" s="1"/>
  <c r="CY27" i="7"/>
  <c r="CW27" i="7"/>
  <c r="CV27" i="7"/>
  <c r="CW28" i="7" s="1"/>
  <c r="CY23" i="7" a="1"/>
  <c r="CY23" i="7" s="1"/>
  <c r="CV22" i="7"/>
  <c r="CU27" i="7"/>
  <c r="CX24" i="7"/>
  <c r="CZ67" i="7" a="1"/>
  <c r="CZ67" i="7" s="1"/>
  <c r="CU65" i="7" a="1"/>
  <c r="CU65" i="7" s="1"/>
  <c r="CZ25" i="7" a="1"/>
  <c r="CZ25" i="7" s="1"/>
  <c r="CU64" i="7" a="1"/>
  <c r="CM30" i="7" a="1"/>
  <c r="CM30" i="7" l="1"/>
  <c r="CU64" i="7"/>
  <c r="CU23" i="7" a="1"/>
  <c r="CU23" i="7" s="1"/>
  <c r="CZ24" i="7" a="1"/>
  <c r="CZ24" i="7" s="1"/>
  <c r="CY28" i="7" s="1"/>
  <c r="CV65" i="7" a="1"/>
  <c r="CV65" i="7" s="1"/>
  <c r="CZ23" i="7"/>
  <c r="CX23" i="7" a="1"/>
  <c r="CX23" i="7" s="1"/>
  <c r="CN29" i="7" a="1"/>
  <c r="CN29" i="7" l="1"/>
  <c r="CY65" i="7" a="1"/>
  <c r="CY65" i="7" s="1"/>
  <c r="CV67" i="7" a="1"/>
  <c r="CV67" i="7" s="1"/>
  <c r="CS29" i="7" a="1"/>
  <c r="CS29" i="7" l="1"/>
  <c r="CU70" i="7"/>
  <c r="CW69" i="7"/>
  <c r="CY69" i="7"/>
  <c r="CV64" i="7"/>
  <c r="CX65" i="7" s="1" a="1"/>
  <c r="CX65" i="7" s="1"/>
  <c r="CV69" i="7"/>
  <c r="CW70" i="7" s="1"/>
  <c r="CX66" i="7"/>
  <c r="CU69" i="7"/>
  <c r="CV66" i="7"/>
  <c r="CZ65" i="7"/>
  <c r="CN31" i="7" a="1"/>
  <c r="CO30" i="7" a="1"/>
  <c r="CO30" i="7" l="1"/>
  <c r="CO32" i="7" s="1" a="1"/>
  <c r="CO32" i="7" s="1"/>
  <c r="CN35" i="7" s="1"/>
  <c r="CN31" i="7"/>
  <c r="CX25" i="7" a="1"/>
  <c r="CX25" i="7" s="1"/>
  <c r="CU66" i="7" a="1"/>
  <c r="CU66" i="7" s="1"/>
  <c r="CZ66" i="7" a="1"/>
  <c r="CZ66" i="7" s="1"/>
  <c r="CY70" i="7"/>
  <c r="CT29" i="7" a="1"/>
  <c r="CT29" i="7" l="1"/>
  <c r="CS74" i="7" a="1"/>
  <c r="CS74" i="7" s="1"/>
  <c r="CN72" i="7" a="1"/>
  <c r="CN72" i="7" s="1"/>
  <c r="CS32" i="7" a="1"/>
  <c r="CS32" i="7" s="1"/>
  <c r="CP34" i="7"/>
  <c r="CQ31" i="7"/>
  <c r="CO34" i="7"/>
  <c r="CP35" i="7" s="1"/>
  <c r="CO29" i="7"/>
  <c r="CQ74" i="7" a="1"/>
  <c r="CQ74" i="7" s="1"/>
  <c r="CN34" i="7"/>
  <c r="CO31" i="7"/>
  <c r="CR30" i="7" a="1"/>
  <c r="CR30" i="7" s="1"/>
  <c r="CR34" i="7"/>
  <c r="CN71" i="7" a="1"/>
  <c r="CT30" i="7" a="1"/>
  <c r="CT30" i="7" l="1"/>
  <c r="CN71" i="7"/>
  <c r="CQ30" i="7" a="1"/>
  <c r="CQ30" i="7" s="1"/>
  <c r="CS30" i="7"/>
  <c r="CN30" i="7" a="1"/>
  <c r="CN30" i="7" s="1"/>
  <c r="CS31" i="7" a="1"/>
  <c r="CS31" i="7" s="1"/>
  <c r="CR35" i="7" s="1"/>
  <c r="CO72" i="7" a="1"/>
  <c r="CO72" i="7" s="1"/>
  <c r="CU29" i="7" a="1"/>
  <c r="CU29" i="7" l="1"/>
  <c r="CO74" i="7" a="1"/>
  <c r="CO74" i="7" s="1"/>
  <c r="CR72" i="7" a="1"/>
  <c r="CR72" i="7" s="1"/>
  <c r="CZ29" i="7" a="1"/>
  <c r="CZ29" i="7" l="1"/>
  <c r="CS72" i="7"/>
  <c r="CQ73" i="7"/>
  <c r="CR76" i="7"/>
  <c r="CN76" i="7"/>
  <c r="CO73" i="7"/>
  <c r="CP76" i="7"/>
  <c r="CN77" i="7"/>
  <c r="CO76" i="7"/>
  <c r="CP77" i="7" s="1"/>
  <c r="CO71" i="7"/>
  <c r="CQ72" i="7" s="1" a="1"/>
  <c r="CQ72" i="7" s="1"/>
  <c r="CV30" i="7" a="1"/>
  <c r="CU31" i="7" a="1"/>
  <c r="CU31" i="7" l="1"/>
  <c r="CV30" i="7"/>
  <c r="CV32" i="7" s="1" a="1"/>
  <c r="CV32" i="7" s="1"/>
  <c r="CU35" i="7" s="1"/>
  <c r="CQ32" i="7" a="1"/>
  <c r="CQ32" i="7" s="1"/>
  <c r="CN73" i="7" a="1"/>
  <c r="CN73" i="7" s="1"/>
  <c r="CS73" i="7" a="1"/>
  <c r="CS73" i="7" s="1"/>
  <c r="CR77" i="7"/>
  <c r="CM36" i="7" a="1"/>
  <c r="CM36" i="7" l="1"/>
  <c r="CV29" i="7"/>
  <c r="CY34" i="7"/>
  <c r="CX74" i="7" a="1"/>
  <c r="CX74" i="7" s="1"/>
  <c r="CX31" i="7"/>
  <c r="CV34" i="7"/>
  <c r="CW35" i="7" s="1"/>
  <c r="CY30" i="7" a="1"/>
  <c r="CY30" i="7" s="1"/>
  <c r="CV31" i="7"/>
  <c r="CW34" i="7"/>
  <c r="CU34" i="7"/>
  <c r="CZ74" i="7" a="1"/>
  <c r="CZ74" i="7" s="1"/>
  <c r="CU72" i="7" a="1"/>
  <c r="CU72" i="7" s="1"/>
  <c r="CZ32" i="7" a="1"/>
  <c r="CZ32" i="7" s="1"/>
  <c r="CM37" i="7" a="1"/>
  <c r="CU71" i="7" a="1"/>
  <c r="CU71" i="7" l="1"/>
  <c r="CM37" i="7"/>
  <c r="CZ31" i="7" a="1"/>
  <c r="CZ31" i="7" s="1"/>
  <c r="CY35" i="7" s="1"/>
  <c r="CU30" i="7" a="1"/>
  <c r="CU30" i="7" s="1"/>
  <c r="CV72" i="7" a="1"/>
  <c r="CV72" i="7" s="1"/>
  <c r="CZ30" i="7"/>
  <c r="CX30" i="7" a="1"/>
  <c r="CX30" i="7" s="1"/>
  <c r="CN36" i="7" a="1"/>
  <c r="CN36" i="7" l="1"/>
  <c r="CV74" i="7" a="1"/>
  <c r="CV74" i="7" s="1"/>
  <c r="CY72" i="7" a="1"/>
  <c r="CY72" i="7" s="1"/>
  <c r="CS36" i="7" a="1"/>
  <c r="CS36" i="7" l="1"/>
  <c r="CZ72" i="7"/>
  <c r="CV71" i="7"/>
  <c r="CX72" i="7" s="1" a="1"/>
  <c r="CX72" i="7" s="1"/>
  <c r="CU76" i="7"/>
  <c r="CY76" i="7"/>
  <c r="CV76" i="7"/>
  <c r="CW77" i="7" s="1"/>
  <c r="CV73" i="7"/>
  <c r="CU77" i="7"/>
  <c r="CX73" i="7"/>
  <c r="CW76" i="7"/>
  <c r="CO37" i="7" a="1"/>
  <c r="CN38" i="7" a="1"/>
  <c r="CN38" i="7" l="1"/>
  <c r="CO37" i="7"/>
  <c r="CO39" i="7" s="1" a="1"/>
  <c r="CO39" i="7" s="1"/>
  <c r="CN42" i="7" s="1"/>
  <c r="CX32" i="7" a="1"/>
  <c r="CX32" i="7" s="1"/>
  <c r="CY77" i="7"/>
  <c r="CZ73" i="7" a="1"/>
  <c r="CZ73" i="7" s="1"/>
  <c r="CU73" i="7" a="1"/>
  <c r="CU73" i="7" s="1"/>
  <c r="CT36" i="7" a="1"/>
  <c r="CT36" i="7" l="1"/>
  <c r="CO41" i="7"/>
  <c r="CP42" i="7" s="1"/>
  <c r="CO36" i="7"/>
  <c r="CP41" i="7"/>
  <c r="CQ81" i="7" a="1"/>
  <c r="CQ81" i="7" s="1"/>
  <c r="CO38" i="7"/>
  <c r="CN41" i="7"/>
  <c r="CR37" i="7" a="1"/>
  <c r="CR37" i="7" s="1"/>
  <c r="CR41" i="7"/>
  <c r="CQ38" i="7"/>
  <c r="CS81" i="7" a="1"/>
  <c r="CS81" i="7" s="1"/>
  <c r="CN79" i="7" a="1"/>
  <c r="CN79" i="7" s="1"/>
  <c r="CS39" i="7" a="1"/>
  <c r="CS39" i="7" s="1"/>
  <c r="CT37" i="7" a="1"/>
  <c r="CN78" i="7" a="1"/>
  <c r="CN78" i="7" l="1"/>
  <c r="CT37" i="7"/>
  <c r="CN37" i="7" a="1"/>
  <c r="CN37" i="7" s="1"/>
  <c r="CS38" i="7" a="1"/>
  <c r="CS38" i="7" s="1"/>
  <c r="CR42" i="7" s="1"/>
  <c r="CO79" i="7" a="1"/>
  <c r="CO79" i="7" s="1"/>
  <c r="CS37" i="7"/>
  <c r="CQ37" i="7" a="1"/>
  <c r="CQ37" i="7" s="1"/>
  <c r="CU36" i="7" a="1"/>
  <c r="CU36" i="7" l="1"/>
  <c r="CR79" i="7" a="1"/>
  <c r="CR79" i="7" s="1"/>
  <c r="CO81" i="7" a="1"/>
  <c r="CO81" i="7" s="1"/>
  <c r="CZ36" i="7" a="1"/>
  <c r="CZ36" i="7" l="1"/>
  <c r="CS79" i="7"/>
  <c r="CO80" i="7"/>
  <c r="CO78" i="7"/>
  <c r="CQ79" i="7" s="1" a="1"/>
  <c r="CQ79" i="7" s="1"/>
  <c r="CN84" i="7"/>
  <c r="CP83" i="7"/>
  <c r="CO83" i="7"/>
  <c r="CP84" i="7" s="1"/>
  <c r="CR83" i="7"/>
  <c r="CN83" i="7"/>
  <c r="CQ80" i="7"/>
  <c r="CV37" i="7" a="1"/>
  <c r="CU38" i="7" a="1"/>
  <c r="CU38" i="7" l="1"/>
  <c r="CV37" i="7"/>
  <c r="CQ39" i="7" a="1"/>
  <c r="CQ39" i="7" s="1"/>
  <c r="CS80" i="7" a="1"/>
  <c r="CS80" i="7" s="1"/>
  <c r="CR84" i="7"/>
  <c r="CN80" i="7" a="1"/>
  <c r="CN80" i="7" s="1"/>
  <c r="DB1" i="7" a="1"/>
  <c r="DB1" i="7" l="1"/>
  <c r="CV38" i="7"/>
  <c r="CY41" i="7"/>
  <c r="CY37" i="7" a="1"/>
  <c r="CY37" i="7" s="1"/>
  <c r="CW41" i="7"/>
  <c r="CV36" i="7"/>
  <c r="CX81" i="7" a="1"/>
  <c r="CX81" i="7" s="1"/>
  <c r="CV41" i="7"/>
  <c r="CU41" i="7"/>
  <c r="CX38" i="7"/>
  <c r="CZ81" i="7" a="1"/>
  <c r="CZ81" i="7" s="1"/>
  <c r="CU79" i="7" a="1"/>
  <c r="CU79" i="7" s="1"/>
  <c r="CZ39" i="7" a="1"/>
  <c r="CZ39" i="7" s="1"/>
  <c r="CV39" i="7" a="1"/>
  <c r="CV39" i="7" s="1"/>
  <c r="CU42" i="7" s="1"/>
  <c r="CU78" i="7" a="1"/>
  <c r="DB2" i="7" a="1"/>
  <c r="DB2" i="7" l="1"/>
  <c r="CU78" i="7"/>
  <c r="CW42" i="7"/>
  <c r="CZ37" i="7"/>
  <c r="CX37" i="7" a="1"/>
  <c r="CX37" i="7" s="1"/>
  <c r="CU37" i="7" a="1"/>
  <c r="CU37" i="7" s="1"/>
  <c r="CZ38" i="7" a="1"/>
  <c r="CZ38" i="7" s="1"/>
  <c r="CY42" i="7" s="1"/>
  <c r="CV79" i="7" a="1"/>
  <c r="CV79" i="7" s="1"/>
  <c r="DC1" i="7" a="1"/>
  <c r="DC1" i="7" l="1"/>
  <c r="CY79" i="7" a="1"/>
  <c r="CY79" i="7" s="1"/>
  <c r="CV81" i="7" a="1"/>
  <c r="CV81" i="7" s="1"/>
  <c r="DH1" i="7" a="1"/>
  <c r="DH1" i="7" l="1"/>
  <c r="CV80" i="7"/>
  <c r="CU84" i="7"/>
  <c r="CX80" i="7"/>
  <c r="CW83" i="7"/>
  <c r="CV78" i="7"/>
  <c r="CX79" i="7" s="1" a="1"/>
  <c r="CX79" i="7" s="1"/>
  <c r="CV83" i="7"/>
  <c r="CW84" i="7" s="1"/>
  <c r="CU83" i="7"/>
  <c r="CY83" i="7"/>
  <c r="CZ79" i="7"/>
  <c r="DI1" i="7" a="1"/>
  <c r="DD2" i="7" a="1"/>
  <c r="DC3" i="7" a="1"/>
  <c r="DC3" i="7" l="1"/>
  <c r="DD2" i="7"/>
  <c r="DI1" i="7"/>
  <c r="CX39" i="7" a="1"/>
  <c r="CX39" i="7" s="1"/>
  <c r="CU80" i="7" a="1"/>
  <c r="CU80" i="7" s="1"/>
  <c r="CY84" i="7"/>
  <c r="CZ80" i="7" a="1"/>
  <c r="CZ80" i="7" s="1"/>
  <c r="DI2" i="7" a="1"/>
  <c r="DI2" i="7" l="1"/>
  <c r="DF46" i="7" a="1"/>
  <c r="DF46" i="7" s="1"/>
  <c r="DD3" i="7"/>
  <c r="DD1" i="7"/>
  <c r="DG6" i="7"/>
  <c r="DE6" i="7"/>
  <c r="DG2" i="7" a="1"/>
  <c r="DG2" i="7" s="1"/>
  <c r="DC6" i="7"/>
  <c r="DD6" i="7"/>
  <c r="DF3" i="7"/>
  <c r="DH46" i="7" a="1"/>
  <c r="DH46" i="7" s="1"/>
  <c r="DC44" i="7" a="1"/>
  <c r="DC44" i="7" s="1"/>
  <c r="DH4" i="7" a="1"/>
  <c r="DH4" i="7" s="1"/>
  <c r="DD4" i="7" a="1"/>
  <c r="DD4" i="7" s="1"/>
  <c r="DJ1" i="7" a="1"/>
  <c r="DC43" i="7" a="1"/>
  <c r="DE7" i="7" l="1"/>
  <c r="DC43" i="7"/>
  <c r="DJ1" i="7"/>
  <c r="DD44" i="7" a="1"/>
  <c r="DD44" i="7" s="1"/>
  <c r="DH3" i="7" a="1"/>
  <c r="DH3" i="7" s="1"/>
  <c r="DG7" i="7" s="1"/>
  <c r="DH2" i="7"/>
  <c r="DF2" i="7" a="1"/>
  <c r="DF2" i="7" s="1"/>
  <c r="DC7" i="7"/>
  <c r="DC2" i="7" a="1"/>
  <c r="DC2" i="7" s="1"/>
  <c r="DO1" i="7" a="1"/>
  <c r="DO1" i="7" l="1"/>
  <c r="DD46" i="7" a="1"/>
  <c r="DD46" i="7" s="1"/>
  <c r="DG44" i="7" a="1"/>
  <c r="DG44" i="7" s="1"/>
  <c r="DK2" i="7" a="1"/>
  <c r="DJ3" i="7" a="1"/>
  <c r="DJ3" i="7" l="1"/>
  <c r="DK2" i="7"/>
  <c r="DK4" i="7" s="1" a="1"/>
  <c r="DK4" i="7" s="1"/>
  <c r="DH44" i="7"/>
  <c r="DD48" i="7"/>
  <c r="DE49" i="7" s="1"/>
  <c r="DG48" i="7"/>
  <c r="DE48" i="7"/>
  <c r="DF45" i="7"/>
  <c r="DC49" i="7"/>
  <c r="DC48" i="7"/>
  <c r="DD45" i="7"/>
  <c r="DD43" i="7"/>
  <c r="DF44" i="7" s="1" a="1"/>
  <c r="DF44" i="7" s="1"/>
  <c r="DF4" i="7" a="1"/>
  <c r="DF4" i="7" s="1"/>
  <c r="DB8" i="7" a="1"/>
  <c r="DB8" i="7" l="1"/>
  <c r="DN6" i="7"/>
  <c r="DM3" i="7"/>
  <c r="DL6" i="7"/>
  <c r="DK3" i="7"/>
  <c r="DN2" i="7" a="1"/>
  <c r="DN2" i="7" s="1"/>
  <c r="DM46" i="7" a="1"/>
  <c r="DM46" i="7" s="1"/>
  <c r="DK1" i="7"/>
  <c r="DK6" i="7"/>
  <c r="DL7" i="7" s="1"/>
  <c r="DJ6" i="7"/>
  <c r="DJ44" i="7" a="1"/>
  <c r="DJ44" i="7" s="1"/>
  <c r="DO46" i="7" a="1"/>
  <c r="DO46" i="7" s="1"/>
  <c r="DO4" i="7" a="1"/>
  <c r="DO4" i="7" s="1"/>
  <c r="DJ7" i="7"/>
  <c r="DJ2" i="7" a="1"/>
  <c r="DJ2" i="7" s="1"/>
  <c r="DH45" i="7" a="1"/>
  <c r="DH45" i="7" s="1"/>
  <c r="DC45" i="7" a="1"/>
  <c r="DC45" i="7" s="1"/>
  <c r="DG49" i="7"/>
  <c r="DJ43" i="7" a="1"/>
  <c r="DB9" i="7" a="1"/>
  <c r="DB9" i="7" l="1"/>
  <c r="DJ43" i="7"/>
  <c r="DO3" i="7" a="1"/>
  <c r="DO3" i="7" s="1"/>
  <c r="DN7" i="7" s="1"/>
  <c r="DK44" i="7" a="1"/>
  <c r="DK44" i="7" s="1"/>
  <c r="DO2" i="7"/>
  <c r="DM2" i="7" a="1"/>
  <c r="DM2" i="7" s="1"/>
  <c r="DC8" i="7" a="1"/>
  <c r="DC8" i="7" l="1"/>
  <c r="DN44" i="7" a="1"/>
  <c r="DN44" i="7" s="1"/>
  <c r="DK46" i="7" a="1"/>
  <c r="DK46" i="7" s="1"/>
  <c r="DH8" i="7" a="1"/>
  <c r="DH8" i="7" l="1"/>
  <c r="DK43" i="7"/>
  <c r="DK45" i="7"/>
  <c r="DJ48" i="7"/>
  <c r="DJ49" i="7"/>
  <c r="DN48" i="7"/>
  <c r="DM45" i="7"/>
  <c r="DK48" i="7"/>
  <c r="DL49" i="7" s="1"/>
  <c r="DL48" i="7"/>
  <c r="DO44" i="7"/>
  <c r="DM44" i="7" a="1"/>
  <c r="DM44" i="7" s="1"/>
  <c r="DD9" i="7" a="1"/>
  <c r="DC10" i="7" a="1"/>
  <c r="DC10" i="7" l="1"/>
  <c r="DD9" i="7"/>
  <c r="DD11" i="7" s="1" a="1"/>
  <c r="DD11" i="7" s="1"/>
  <c r="DC14" i="7" s="1"/>
  <c r="DN49" i="7"/>
  <c r="DJ45" i="7" a="1"/>
  <c r="DJ45" i="7" s="1"/>
  <c r="DO45" i="7" a="1"/>
  <c r="DO45" i="7" s="1"/>
  <c r="DM4" i="7" a="1"/>
  <c r="DM4" i="7" s="1"/>
  <c r="DI8" i="7" a="1"/>
  <c r="DI8" i="7" l="1"/>
  <c r="DD8" i="7"/>
  <c r="DF53" i="7" a="1"/>
  <c r="DF53" i="7" s="1"/>
  <c r="DE13" i="7"/>
  <c r="DD13" i="7"/>
  <c r="DE14" i="7" s="1"/>
  <c r="DC13" i="7"/>
  <c r="DG13" i="7"/>
  <c r="DF10" i="7"/>
  <c r="DD10" i="7"/>
  <c r="DG9" i="7" a="1"/>
  <c r="DG9" i="7" s="1"/>
  <c r="DH11" i="7" a="1"/>
  <c r="DH11" i="7" s="1"/>
  <c r="DH53" i="7" a="1"/>
  <c r="DH53" i="7" s="1"/>
  <c r="DC51" i="7" a="1"/>
  <c r="DC51" i="7" s="1"/>
  <c r="DI9" i="7" a="1"/>
  <c r="DC50" i="7" a="1"/>
  <c r="DC50" i="7" l="1"/>
  <c r="DI9" i="7"/>
  <c r="DH10" i="7" a="1"/>
  <c r="DH10" i="7" s="1"/>
  <c r="DG14" i="7" s="1"/>
  <c r="DC9" i="7" a="1"/>
  <c r="DC9" i="7" s="1"/>
  <c r="DD51" i="7" a="1"/>
  <c r="DD51" i="7" s="1"/>
  <c r="DH9" i="7"/>
  <c r="DF9" i="7" a="1"/>
  <c r="DF9" i="7" s="1"/>
  <c r="DJ8" i="7" a="1"/>
  <c r="DJ8" i="7" l="1"/>
  <c r="DD53" i="7" a="1"/>
  <c r="DD53" i="7" s="1"/>
  <c r="DG51" i="7" a="1"/>
  <c r="DG51" i="7" s="1"/>
  <c r="DO8" i="7" a="1"/>
  <c r="DO8" i="7" l="1"/>
  <c r="DH51" i="7"/>
  <c r="DE55" i="7"/>
  <c r="DC56" i="7"/>
  <c r="DC55" i="7"/>
  <c r="DD52" i="7"/>
  <c r="DG55" i="7"/>
  <c r="DD55" i="7"/>
  <c r="DE56" i="7" s="1"/>
  <c r="DD50" i="7"/>
  <c r="DF51" i="7" s="1" a="1"/>
  <c r="DF51" i="7" s="1"/>
  <c r="DF52" i="7"/>
  <c r="DJ10" i="7" a="1"/>
  <c r="DK9" i="7" a="1"/>
  <c r="DK9" i="7" l="1"/>
  <c r="DK11" i="7" s="1" a="1"/>
  <c r="DK11" i="7" s="1"/>
  <c r="DJ14" i="7" s="1"/>
  <c r="DJ10" i="7"/>
  <c r="DH52" i="7" a="1"/>
  <c r="DH52" i="7" s="1"/>
  <c r="DG56" i="7"/>
  <c r="DC52" i="7" a="1"/>
  <c r="DC52" i="7" s="1"/>
  <c r="DF11" i="7" a="1"/>
  <c r="DF11" i="7" s="1"/>
  <c r="DB15" i="7" a="1"/>
  <c r="DB15" i="7" l="1"/>
  <c r="DO53" i="7" a="1"/>
  <c r="DO53" i="7" s="1"/>
  <c r="DJ51" i="7" a="1"/>
  <c r="DJ51" i="7" s="1"/>
  <c r="DO11" i="7" a="1"/>
  <c r="DO11" i="7" s="1"/>
  <c r="DL13" i="7"/>
  <c r="DK10" i="7"/>
  <c r="DK13" i="7"/>
  <c r="DL14" i="7" s="1"/>
  <c r="DN9" i="7" a="1"/>
  <c r="DN9" i="7" s="1"/>
  <c r="DK8" i="7"/>
  <c r="DN13" i="7"/>
  <c r="DM53" i="7" a="1"/>
  <c r="DM53" i="7" s="1"/>
  <c r="DM10" i="7"/>
  <c r="DJ13" i="7"/>
  <c r="DB16" i="7" a="1"/>
  <c r="DJ50" i="7" a="1"/>
  <c r="DJ50" i="7" l="1"/>
  <c r="DB16" i="7"/>
  <c r="DO9" i="7"/>
  <c r="DM9" i="7" a="1"/>
  <c r="DM9" i="7" s="1"/>
  <c r="DO10" i="7" a="1"/>
  <c r="DO10" i="7" s="1"/>
  <c r="DN14" i="7" s="1"/>
  <c r="DJ9" i="7" a="1"/>
  <c r="DJ9" i="7" s="1"/>
  <c r="DK51" i="7" a="1"/>
  <c r="DK51" i="7" s="1"/>
  <c r="DC15" i="7" a="1"/>
  <c r="DC15" i="7" l="1"/>
  <c r="DK53" i="7" a="1"/>
  <c r="DK53" i="7" s="1"/>
  <c r="DN51" i="7" a="1"/>
  <c r="DN51" i="7" s="1"/>
  <c r="DH15" i="7" a="1"/>
  <c r="DH15" i="7" l="1"/>
  <c r="DO51" i="7"/>
  <c r="DJ56" i="7"/>
  <c r="DL55" i="7"/>
  <c r="DK55" i="7"/>
  <c r="DL56" i="7" s="1"/>
  <c r="DK50" i="7"/>
  <c r="DM51" i="7" s="1" a="1"/>
  <c r="DM51" i="7" s="1"/>
  <c r="DM52" i="7"/>
  <c r="DN55" i="7"/>
  <c r="DJ55" i="7"/>
  <c r="DK52" i="7"/>
  <c r="DC17" i="7" a="1"/>
  <c r="DD16" i="7" a="1"/>
  <c r="DD16" i="7" l="1"/>
  <c r="DD18" i="7" s="1" a="1"/>
  <c r="DD18" i="7" s="1"/>
  <c r="DC21" i="7" s="1"/>
  <c r="DC17" i="7"/>
  <c r="DO52" i="7" a="1"/>
  <c r="DO52" i="7" s="1"/>
  <c r="DN56" i="7"/>
  <c r="DJ52" i="7" a="1"/>
  <c r="DJ52" i="7" s="1"/>
  <c r="DM11" i="7" a="1"/>
  <c r="DM11" i="7" s="1"/>
  <c r="DI15" i="7" a="1"/>
  <c r="DI15" i="7" l="1"/>
  <c r="DC58" i="7" a="1"/>
  <c r="DC58" i="7" s="1"/>
  <c r="DH60" i="7" a="1"/>
  <c r="DH60" i="7" s="1"/>
  <c r="DH18" i="7" a="1"/>
  <c r="DH18" i="7" s="1"/>
  <c r="DF60" i="7" a="1"/>
  <c r="DF60" i="7" s="1"/>
  <c r="DF17" i="7"/>
  <c r="DD15" i="7"/>
  <c r="DE20" i="7"/>
  <c r="DC20" i="7"/>
  <c r="DD20" i="7"/>
  <c r="DE21" i="7" s="1"/>
  <c r="DD17" i="7"/>
  <c r="DG16" i="7" a="1"/>
  <c r="DG16" i="7" s="1"/>
  <c r="DG20" i="7"/>
  <c r="DI16" i="7" a="1"/>
  <c r="DC57" i="7" a="1"/>
  <c r="DC57" i="7" l="1"/>
  <c r="DI16" i="7"/>
  <c r="DH17" i="7" a="1"/>
  <c r="DH17" i="7" s="1"/>
  <c r="DG21" i="7" s="1"/>
  <c r="DC16" i="7" a="1"/>
  <c r="DC16" i="7" s="1"/>
  <c r="DD58" i="7" a="1"/>
  <c r="DD58" i="7" s="1"/>
  <c r="DH16" i="7"/>
  <c r="DF16" i="7" a="1"/>
  <c r="DF16" i="7" s="1"/>
  <c r="DJ15" i="7" a="1"/>
  <c r="DJ15" i="7" l="1"/>
  <c r="DG58" i="7" a="1"/>
  <c r="DG58" i="7" s="1"/>
  <c r="DD60" i="7" a="1"/>
  <c r="DD60" i="7" s="1"/>
  <c r="DO15" i="7" a="1"/>
  <c r="DO15" i="7" l="1"/>
  <c r="DG62" i="7"/>
  <c r="DF59" i="7"/>
  <c r="DC63" i="7"/>
  <c r="DE62" i="7"/>
  <c r="DD59" i="7"/>
  <c r="DD57" i="7"/>
  <c r="DF58" i="7" s="1" a="1"/>
  <c r="DF58" i="7" s="1"/>
  <c r="DD62" i="7"/>
  <c r="DE63" i="7" s="1"/>
  <c r="DC62" i="7"/>
  <c r="DH58" i="7"/>
  <c r="DJ17" i="7" a="1"/>
  <c r="DK16" i="7" a="1"/>
  <c r="DK16" i="7" l="1"/>
  <c r="DK18" i="7" s="1" a="1"/>
  <c r="DK18" i="7" s="1"/>
  <c r="DJ21" i="7" s="1"/>
  <c r="DJ17" i="7"/>
  <c r="DC59" i="7" a="1"/>
  <c r="DC59" i="7" s="1"/>
  <c r="DG63" i="7"/>
  <c r="DH59" i="7" a="1"/>
  <c r="DH59" i="7" s="1"/>
  <c r="DF18" i="7" a="1"/>
  <c r="DF18" i="7" s="1"/>
  <c r="DB22" i="7" a="1"/>
  <c r="DB22" i="7" l="1"/>
  <c r="DJ58" i="7" a="1"/>
  <c r="DJ58" i="7" s="1"/>
  <c r="DO18" i="7" a="1"/>
  <c r="DO18" i="7" s="1"/>
  <c r="DO60" i="7" a="1"/>
  <c r="DO60" i="7" s="1"/>
  <c r="DN16" i="7" a="1"/>
  <c r="DN16" i="7" s="1"/>
  <c r="DM60" i="7" a="1"/>
  <c r="DM60" i="7" s="1"/>
  <c r="DK20" i="7"/>
  <c r="DL21" i="7" s="1"/>
  <c r="DM17" i="7"/>
  <c r="DK15" i="7"/>
  <c r="DL20" i="7"/>
  <c r="DJ20" i="7"/>
  <c r="DN20" i="7"/>
  <c r="DK17" i="7"/>
  <c r="DB23" i="7" a="1"/>
  <c r="DJ57" i="7" a="1"/>
  <c r="DJ57" i="7" l="1"/>
  <c r="DB23" i="7"/>
  <c r="DM16" i="7" a="1"/>
  <c r="DM16" i="7" s="1"/>
  <c r="DO16" i="7"/>
  <c r="DJ16" i="7" a="1"/>
  <c r="DJ16" i="7" s="1"/>
  <c r="DO17" i="7" a="1"/>
  <c r="DO17" i="7" s="1"/>
  <c r="DN21" i="7" s="1"/>
  <c r="DK58" i="7" a="1"/>
  <c r="DK58" i="7" s="1"/>
  <c r="DC22" i="7" a="1"/>
  <c r="DC22" i="7" l="1"/>
  <c r="DN58" i="7" a="1"/>
  <c r="DN58" i="7" s="1"/>
  <c r="DK60" i="7" a="1"/>
  <c r="DK60" i="7" s="1"/>
  <c r="DH22" i="7" a="1"/>
  <c r="DH22" i="7" l="1"/>
  <c r="DL62" i="7"/>
  <c r="DK59" i="7"/>
  <c r="DJ62" i="7"/>
  <c r="DJ63" i="7"/>
  <c r="DK62" i="7"/>
  <c r="DL63" i="7" s="1"/>
  <c r="DM59" i="7"/>
  <c r="DK57" i="7"/>
  <c r="DM58" i="7" s="1" a="1"/>
  <c r="DM58" i="7" s="1"/>
  <c r="DN62" i="7"/>
  <c r="DO58" i="7"/>
  <c r="DC24" i="7" a="1"/>
  <c r="DD23" i="7" a="1"/>
  <c r="DD23" i="7" l="1"/>
  <c r="DD25" i="7" s="1" a="1"/>
  <c r="DD25" i="7" s="1"/>
  <c r="DC28" i="7" s="1"/>
  <c r="DC24" i="7"/>
  <c r="DJ59" i="7" a="1"/>
  <c r="DJ59" i="7" s="1"/>
  <c r="DN63" i="7"/>
  <c r="DO59" i="7" a="1"/>
  <c r="DO59" i="7" s="1"/>
  <c r="DM18" i="7" a="1"/>
  <c r="DM18" i="7" s="1"/>
  <c r="DI22" i="7" a="1"/>
  <c r="DI22" i="7" l="1"/>
  <c r="DH67" i="7" a="1"/>
  <c r="DH67" i="7" s="1"/>
  <c r="DC65" i="7" a="1"/>
  <c r="DC65" i="7" s="1"/>
  <c r="DH25" i="7" a="1"/>
  <c r="DH25" i="7" s="1"/>
  <c r="DF24" i="7"/>
  <c r="DE27" i="7"/>
  <c r="DF67" i="7" a="1"/>
  <c r="DF67" i="7" s="1"/>
  <c r="DD22" i="7"/>
  <c r="DD24" i="7"/>
  <c r="DD27" i="7"/>
  <c r="DE28" i="7" s="1"/>
  <c r="DC27" i="7"/>
  <c r="DG23" i="7" a="1"/>
  <c r="DG23" i="7" s="1"/>
  <c r="DG27" i="7"/>
  <c r="DI23" i="7" a="1"/>
  <c r="DC64" i="7" a="1"/>
  <c r="DC64" i="7" l="1"/>
  <c r="DI23" i="7"/>
  <c r="DF23" i="7" a="1"/>
  <c r="DF23" i="7" s="1"/>
  <c r="DH23" i="7"/>
  <c r="DH24" i="7" a="1"/>
  <c r="DH24" i="7" s="1"/>
  <c r="DG28" i="7" s="1"/>
  <c r="DC23" i="7" a="1"/>
  <c r="DC23" i="7" s="1"/>
  <c r="DD65" i="7" a="1"/>
  <c r="DD65" i="7" s="1"/>
  <c r="DJ22" i="7" a="1"/>
  <c r="DJ22" i="7" l="1"/>
  <c r="DD67" i="7" a="1"/>
  <c r="DD67" i="7" s="1"/>
  <c r="DG65" i="7" a="1"/>
  <c r="DG65" i="7" s="1"/>
  <c r="DH65" i="7" s="1"/>
  <c r="DO22" i="7" a="1"/>
  <c r="DO22" i="7" l="1"/>
  <c r="DE69" i="7"/>
  <c r="DC70" i="7"/>
  <c r="DF66" i="7"/>
  <c r="DC69" i="7"/>
  <c r="DD69" i="7"/>
  <c r="DE70" i="7" s="1"/>
  <c r="DG69" i="7"/>
  <c r="DD66" i="7"/>
  <c r="DD64" i="7"/>
  <c r="DJ24" i="7" a="1"/>
  <c r="DK23" i="7" a="1"/>
  <c r="DK23" i="7" l="1"/>
  <c r="DK25" i="7" s="1" a="1"/>
  <c r="DK25" i="7" s="1"/>
  <c r="DJ28" i="7" s="1"/>
  <c r="DJ24" i="7"/>
  <c r="DF65" i="7" a="1"/>
  <c r="DF65" i="7" s="1"/>
  <c r="DH66" i="7" a="1"/>
  <c r="DH66" i="7" s="1"/>
  <c r="DG70" i="7"/>
  <c r="DC66" i="7" a="1"/>
  <c r="DC66" i="7" s="1"/>
  <c r="DF25" i="7" a="1"/>
  <c r="DF25" i="7" s="1"/>
  <c r="DB29" i="7" a="1"/>
  <c r="DB29" i="7" l="1"/>
  <c r="DO67" i="7" a="1"/>
  <c r="DO67" i="7" s="1"/>
  <c r="DO25" i="7" a="1"/>
  <c r="DO25" i="7" s="1"/>
  <c r="DJ65" i="7" a="1"/>
  <c r="DJ65" i="7" s="1"/>
  <c r="DK27" i="7"/>
  <c r="DL28" i="7" s="1"/>
  <c r="DM67" i="7" a="1"/>
  <c r="DM67" i="7" s="1"/>
  <c r="DK24" i="7"/>
  <c r="DL27" i="7"/>
  <c r="DM24" i="7"/>
  <c r="DK22" i="7"/>
  <c r="DN27" i="7"/>
  <c r="DJ27" i="7"/>
  <c r="DN23" i="7" a="1"/>
  <c r="DN23" i="7" s="1"/>
  <c r="DB30" i="7" a="1"/>
  <c r="DJ64" i="7" a="1"/>
  <c r="DJ64" i="7" l="1"/>
  <c r="DB30" i="7"/>
  <c r="DM23" i="7" a="1"/>
  <c r="DM23" i="7" s="1"/>
  <c r="DO23" i="7"/>
  <c r="DO24" i="7" a="1"/>
  <c r="DO24" i="7" s="1"/>
  <c r="DN28" i="7" s="1"/>
  <c r="DJ23" i="7" a="1"/>
  <c r="DJ23" i="7" s="1"/>
  <c r="DK65" i="7" a="1"/>
  <c r="DK65" i="7" s="1"/>
  <c r="DC29" i="7" a="1"/>
  <c r="DC29" i="7" l="1"/>
  <c r="DN65" i="7" a="1"/>
  <c r="DN65" i="7" s="1"/>
  <c r="DK67" i="7" a="1"/>
  <c r="DK67" i="7" s="1"/>
  <c r="DH29" i="7" a="1"/>
  <c r="DH29" i="7" l="1"/>
  <c r="DO65" i="7"/>
  <c r="DJ69" i="7"/>
  <c r="DK64" i="7"/>
  <c r="DM65" i="7" s="1" a="1"/>
  <c r="DM65" i="7" s="1"/>
  <c r="DN69" i="7"/>
  <c r="DM66" i="7"/>
  <c r="DJ70" i="7"/>
  <c r="DK66" i="7"/>
  <c r="DK69" i="7"/>
  <c r="DL70" i="7" s="1"/>
  <c r="DL69" i="7"/>
  <c r="DD30" i="7" a="1"/>
  <c r="DC31" i="7" a="1"/>
  <c r="DC31" i="7" l="1"/>
  <c r="DD30" i="7"/>
  <c r="DD32" i="7" s="1" a="1"/>
  <c r="DD32" i="7" s="1"/>
  <c r="DC35" i="7" s="1"/>
  <c r="DJ66" i="7" a="1"/>
  <c r="DJ66" i="7" s="1"/>
  <c r="DO66" i="7" a="1"/>
  <c r="DO66" i="7" s="1"/>
  <c r="DN70" i="7"/>
  <c r="DM25" i="7" a="1"/>
  <c r="DM25" i="7" s="1"/>
  <c r="DI29" i="7" a="1"/>
  <c r="DI29" i="7" l="1"/>
  <c r="DD34" i="7"/>
  <c r="DE35" i="7" s="1"/>
  <c r="DF31" i="7"/>
  <c r="DD31" i="7"/>
  <c r="DE34" i="7"/>
  <c r="DF74" i="7" a="1"/>
  <c r="DF74" i="7" s="1"/>
  <c r="DD29" i="7"/>
  <c r="DG30" i="7" a="1"/>
  <c r="DG30" i="7" s="1"/>
  <c r="DC34" i="7"/>
  <c r="DG34" i="7"/>
  <c r="DC72" i="7" a="1"/>
  <c r="DC72" i="7" s="1"/>
  <c r="DH32" i="7" a="1"/>
  <c r="DH32" i="7" s="1"/>
  <c r="DH74" i="7" a="1"/>
  <c r="DH74" i="7" s="1"/>
  <c r="DI30" i="7" a="1"/>
  <c r="DC71" i="7" a="1"/>
  <c r="DC71" i="7" l="1"/>
  <c r="DI30" i="7"/>
  <c r="DC30" i="7" a="1"/>
  <c r="DC30" i="7" s="1"/>
  <c r="DH31" i="7" a="1"/>
  <c r="DH31" i="7" s="1"/>
  <c r="DG35" i="7" s="1"/>
  <c r="DD72" i="7" a="1"/>
  <c r="DD72" i="7" s="1"/>
  <c r="DH30" i="7"/>
  <c r="DF30" i="7" a="1"/>
  <c r="DF30" i="7" s="1"/>
  <c r="DJ29" i="7" a="1"/>
  <c r="DJ29" i="7" l="1"/>
  <c r="DG72" i="7" a="1"/>
  <c r="DG72" i="7" s="1"/>
  <c r="DD74" i="7" a="1"/>
  <c r="DD74" i="7" s="1"/>
  <c r="DO29" i="7" a="1"/>
  <c r="DO29" i="7" l="1"/>
  <c r="DG76" i="7"/>
  <c r="DD73" i="7"/>
  <c r="DD76" i="7"/>
  <c r="DE77" i="7" s="1"/>
  <c r="DC76" i="7"/>
  <c r="DE76" i="7"/>
  <c r="DF73" i="7"/>
  <c r="DC77" i="7"/>
  <c r="DD71" i="7"/>
  <c r="DF72" i="7" s="1" a="1"/>
  <c r="DF72" i="7" s="1"/>
  <c r="DH72" i="7"/>
  <c r="DK30" i="7" a="1"/>
  <c r="DJ31" i="7" a="1"/>
  <c r="DJ31" i="7" l="1"/>
  <c r="DK30" i="7"/>
  <c r="DK32" i="7" s="1" a="1"/>
  <c r="DK32" i="7" s="1"/>
  <c r="DJ35" i="7" s="1"/>
  <c r="DH73" i="7" a="1"/>
  <c r="DH73" i="7" s="1"/>
  <c r="DG77" i="7"/>
  <c r="DC73" i="7" a="1"/>
  <c r="DC73" i="7" s="1"/>
  <c r="DF32" i="7" a="1"/>
  <c r="DF32" i="7" s="1"/>
  <c r="DB36" i="7" a="1"/>
  <c r="DB36" i="7" l="1"/>
  <c r="DM31" i="7"/>
  <c r="DM74" i="7" a="1"/>
  <c r="DM74" i="7" s="1"/>
  <c r="DN34" i="7"/>
  <c r="DK34" i="7"/>
  <c r="DL35" i="7" s="1"/>
  <c r="DK31" i="7"/>
  <c r="DK29" i="7"/>
  <c r="DJ34" i="7"/>
  <c r="DN30" i="7" a="1"/>
  <c r="DN30" i="7" s="1"/>
  <c r="DL34" i="7"/>
  <c r="DO32" i="7" a="1"/>
  <c r="DO32" i="7" s="1"/>
  <c r="DO74" i="7" a="1"/>
  <c r="DO74" i="7" s="1"/>
  <c r="DJ72" i="7" a="1"/>
  <c r="DJ72" i="7" s="1"/>
  <c r="DB37" i="7" a="1"/>
  <c r="DJ71" i="7" a="1"/>
  <c r="DJ71" i="7" l="1"/>
  <c r="DB37" i="7"/>
  <c r="DO31" i="7" a="1"/>
  <c r="DO31" i="7" s="1"/>
  <c r="DN35" i="7" s="1"/>
  <c r="DJ30" i="7" a="1"/>
  <c r="DJ30" i="7" s="1"/>
  <c r="DK72" i="7" a="1"/>
  <c r="DK72" i="7" s="1"/>
  <c r="DM30" i="7" a="1"/>
  <c r="DM30" i="7" s="1"/>
  <c r="DO30" i="7"/>
  <c r="DC36" i="7" a="1"/>
  <c r="DC36" i="7" l="1"/>
  <c r="DK74" i="7" a="1"/>
  <c r="DK74" i="7" s="1"/>
  <c r="DN72" i="7" a="1"/>
  <c r="DN72" i="7" s="1"/>
  <c r="DH36" i="7" a="1"/>
  <c r="DH36" i="7" l="1"/>
  <c r="DO72" i="7"/>
  <c r="DL76" i="7"/>
  <c r="DN76" i="7"/>
  <c r="DK76" i="7"/>
  <c r="DL77" i="7" s="1"/>
  <c r="DJ76" i="7"/>
  <c r="DM73" i="7"/>
  <c r="DK73" i="7"/>
  <c r="DJ77" i="7"/>
  <c r="DK71" i="7"/>
  <c r="DM72" i="7" s="1" a="1"/>
  <c r="DM72" i="7" s="1"/>
  <c r="DD37" i="7" a="1"/>
  <c r="DC38" i="7" a="1"/>
  <c r="DC38" i="7" l="1"/>
  <c r="DD37" i="7"/>
  <c r="DO73" i="7" a="1"/>
  <c r="DO73" i="7" s="1"/>
  <c r="DJ73" i="7" a="1"/>
  <c r="DJ73" i="7" s="1"/>
  <c r="DN77" i="7"/>
  <c r="DM32" i="7" a="1"/>
  <c r="DM32" i="7" s="1"/>
  <c r="DI36" i="7" a="1"/>
  <c r="DI36" i="7" l="1"/>
  <c r="DD41" i="7"/>
  <c r="DD36" i="7"/>
  <c r="DG41" i="7"/>
  <c r="DG37" i="7" a="1"/>
  <c r="DG37" i="7" s="1"/>
  <c r="DF81" i="7" a="1"/>
  <c r="DF81" i="7" s="1"/>
  <c r="DF38" i="7"/>
  <c r="DD38" i="7"/>
  <c r="DE41" i="7"/>
  <c r="DC41" i="7"/>
  <c r="DD39" i="7" a="1"/>
  <c r="DD39" i="7" s="1"/>
  <c r="DC42" i="7" s="1"/>
  <c r="DC79" i="7" a="1"/>
  <c r="DC79" i="7" s="1"/>
  <c r="DH81" i="7" a="1"/>
  <c r="DH81" i="7" s="1"/>
  <c r="DH39" i="7" a="1"/>
  <c r="DH39" i="7" s="1"/>
  <c r="DI37" i="7" a="1"/>
  <c r="DC78" i="7" a="1"/>
  <c r="DC78" i="7" l="1"/>
  <c r="DI37" i="7"/>
  <c r="DF37" i="7" a="1"/>
  <c r="DF37" i="7" s="1"/>
  <c r="DH37" i="7"/>
  <c r="DC37" i="7" a="1"/>
  <c r="DC37" i="7" s="1"/>
  <c r="DH38" i="7" a="1"/>
  <c r="DH38" i="7" s="1"/>
  <c r="DG42" i="7" s="1"/>
  <c r="DD79" i="7" a="1"/>
  <c r="DD79" i="7" s="1"/>
  <c r="DE42" i="7"/>
  <c r="DJ36" i="7" a="1"/>
  <c r="DJ36" i="7" l="1"/>
  <c r="DD81" i="7" a="1"/>
  <c r="DD81" i="7" s="1"/>
  <c r="DG79" i="7" a="1"/>
  <c r="DG79" i="7" s="1"/>
  <c r="DO36" i="7" a="1"/>
  <c r="DO36" i="7" l="1"/>
  <c r="DH79" i="7"/>
  <c r="DC84" i="7"/>
  <c r="DD80" i="7"/>
  <c r="DE83" i="7"/>
  <c r="DD83" i="7"/>
  <c r="DE84" i="7" s="1"/>
  <c r="DD78" i="7"/>
  <c r="DF79" i="7" s="1" a="1"/>
  <c r="DF79" i="7" s="1"/>
  <c r="DG83" i="7"/>
  <c r="DF80" i="7"/>
  <c r="DC83" i="7"/>
  <c r="DJ38" i="7" a="1"/>
  <c r="DK37" i="7" a="1"/>
  <c r="DK37" i="7" l="1"/>
  <c r="DK39" i="7" s="1" a="1"/>
  <c r="DK39" i="7" s="1"/>
  <c r="DJ42" i="7" s="1"/>
  <c r="DJ38" i="7"/>
  <c r="DG84" i="7"/>
  <c r="DC80" i="7" a="1"/>
  <c r="DC80" i="7" s="1"/>
  <c r="DH80" i="7" a="1"/>
  <c r="DH80" i="7" s="1"/>
  <c r="DF39" i="7" a="1"/>
  <c r="DF39" i="7" s="1"/>
  <c r="DQ1" i="7" a="1"/>
  <c r="DQ1" i="7" l="1"/>
  <c r="DJ79" i="7" a="1"/>
  <c r="DJ79" i="7" s="1"/>
  <c r="DO39" i="7" a="1"/>
  <c r="DO39" i="7" s="1"/>
  <c r="DO81" i="7" a="1"/>
  <c r="DO81" i="7" s="1"/>
  <c r="DK38" i="7"/>
  <c r="DK41" i="7"/>
  <c r="DL42" i="7" s="1"/>
  <c r="DN41" i="7"/>
  <c r="DM38" i="7"/>
  <c r="DM81" i="7" a="1"/>
  <c r="DM81" i="7" s="1"/>
  <c r="DJ41" i="7"/>
  <c r="DL41" i="7"/>
  <c r="DK36" i="7"/>
  <c r="DN37" i="7" a="1"/>
  <c r="DN37" i="7" s="1"/>
  <c r="DQ2" i="7" a="1"/>
  <c r="DJ78" i="7" a="1"/>
  <c r="DJ78" i="7" l="1"/>
  <c r="DQ2" i="7"/>
  <c r="DM37" i="7" a="1"/>
  <c r="DM37" i="7" s="1"/>
  <c r="DO37" i="7"/>
  <c r="DO38" i="7" a="1"/>
  <c r="DO38" i="7" s="1"/>
  <c r="DN42" i="7" s="1"/>
  <c r="DJ37" i="7" a="1"/>
  <c r="DJ37" i="7" s="1"/>
  <c r="DK79" i="7" a="1"/>
  <c r="DK79" i="7" s="1"/>
  <c r="DR1" i="7" a="1"/>
  <c r="DR1" i="7" l="1"/>
  <c r="DN79" i="7" a="1"/>
  <c r="DN79" i="7" s="1"/>
  <c r="DO79" i="7" s="1"/>
  <c r="DK81" i="7" a="1"/>
  <c r="DK81" i="7" s="1"/>
  <c r="DW1" i="7" a="1"/>
  <c r="DW1" i="7" l="1"/>
  <c r="DJ83" i="7"/>
  <c r="DM80" i="7"/>
  <c r="DK80" i="7"/>
  <c r="DK83" i="7"/>
  <c r="DL84" i="7" s="1"/>
  <c r="DN83" i="7"/>
  <c r="DK78" i="7"/>
  <c r="DL83" i="7"/>
  <c r="DJ84" i="7"/>
  <c r="DR3" i="7" a="1"/>
  <c r="DX1" i="7" a="1"/>
  <c r="DS2" i="7" a="1"/>
  <c r="DS2" i="7" l="1"/>
  <c r="DS4" i="7" s="1" a="1"/>
  <c r="DS4" i="7" s="1"/>
  <c r="DX1" i="7"/>
  <c r="DR3" i="7"/>
  <c r="DM79" i="7" a="1"/>
  <c r="DM79" i="7" s="1"/>
  <c r="DJ80" i="7" a="1"/>
  <c r="DJ80" i="7" s="1"/>
  <c r="DO80" i="7" a="1"/>
  <c r="DO80" i="7" s="1"/>
  <c r="DN84" i="7"/>
  <c r="DM39" i="7" a="1"/>
  <c r="DM39" i="7" s="1"/>
  <c r="DX2" i="7" a="1"/>
  <c r="DX2" i="7" l="1"/>
  <c r="DR2" i="7" a="1"/>
  <c r="DR2" i="7" s="1"/>
  <c r="DR7" i="7"/>
  <c r="DR44" i="7" a="1"/>
  <c r="DR44" i="7" s="1"/>
  <c r="DW46" i="7" a="1"/>
  <c r="DW46" i="7" s="1"/>
  <c r="DW4" i="7" a="1"/>
  <c r="DW4" i="7" s="1"/>
  <c r="DV2" i="7" a="1"/>
  <c r="DV2" i="7" s="1"/>
  <c r="DS6" i="7"/>
  <c r="DT7" i="7" s="1"/>
  <c r="DU46" i="7" a="1"/>
  <c r="DU46" i="7" s="1"/>
  <c r="DR6" i="7"/>
  <c r="DV6" i="7"/>
  <c r="DT6" i="7"/>
  <c r="DU3" i="7"/>
  <c r="DS3" i="7"/>
  <c r="DS1" i="7"/>
  <c r="DY1" i="7" a="1"/>
  <c r="DR43" i="7" a="1"/>
  <c r="DR43" i="7" l="1"/>
  <c r="DY1" i="7"/>
  <c r="DS44" i="7" a="1"/>
  <c r="DS44" i="7" s="1"/>
  <c r="DW3" i="7" a="1"/>
  <c r="DW3" i="7" s="1"/>
  <c r="DV7" i="7" s="1"/>
  <c r="DW2" i="7"/>
  <c r="DU2" i="7" a="1"/>
  <c r="DU2" i="7" s="1"/>
  <c r="ED1" i="7" a="1"/>
  <c r="ED1" i="7" l="1"/>
  <c r="DS46" i="7" a="1"/>
  <c r="DS46" i="7" s="1"/>
  <c r="DV44" i="7" a="1"/>
  <c r="DV44" i="7" s="1"/>
  <c r="DY3" i="7" a="1"/>
  <c r="DZ2" i="7" a="1"/>
  <c r="DZ2" i="7" l="1"/>
  <c r="DZ4" i="7" s="1" a="1"/>
  <c r="DZ4" i="7" s="1"/>
  <c r="DY3" i="7"/>
  <c r="DW44" i="7"/>
  <c r="DU45" i="7"/>
  <c r="DS43" i="7"/>
  <c r="DU44" i="7" s="1" a="1"/>
  <c r="DU44" i="7" s="1"/>
  <c r="DS45" i="7"/>
  <c r="DT48" i="7"/>
  <c r="DR48" i="7"/>
  <c r="DR49" i="7"/>
  <c r="DV48" i="7"/>
  <c r="DS48" i="7"/>
  <c r="DT49" i="7" s="1"/>
  <c r="DU4" i="7" a="1"/>
  <c r="DU4" i="7" s="1"/>
  <c r="DQ8" i="7" a="1"/>
  <c r="DQ8" i="7" l="1"/>
  <c r="DW45" i="7" a="1"/>
  <c r="DW45" i="7" s="1"/>
  <c r="DV49" i="7"/>
  <c r="DR45" i="7" a="1"/>
  <c r="DR45" i="7" s="1"/>
  <c r="DY7" i="7"/>
  <c r="DY2" i="7" a="1"/>
  <c r="DY2" i="7" s="1"/>
  <c r="ED46" i="7" a="1"/>
  <c r="ED46" i="7" s="1"/>
  <c r="DY44" i="7" a="1"/>
  <c r="DY44" i="7" s="1"/>
  <c r="ED4" i="7" a="1"/>
  <c r="ED4" i="7" s="1"/>
  <c r="DZ1" i="7"/>
  <c r="EB46" i="7" a="1"/>
  <c r="EB46" i="7" s="1"/>
  <c r="DY6" i="7"/>
  <c r="EC6" i="7"/>
  <c r="EA6" i="7"/>
  <c r="EB3" i="7"/>
  <c r="EC2" i="7" a="1"/>
  <c r="EC2" i="7" s="1"/>
  <c r="DZ3" i="7"/>
  <c r="DZ6" i="7"/>
  <c r="EA7" i="7" s="1"/>
  <c r="DQ9" i="7" a="1"/>
  <c r="DY43" i="7" a="1"/>
  <c r="DY43" i="7" l="1"/>
  <c r="DQ9" i="7"/>
  <c r="ED3" i="7" a="1"/>
  <c r="ED3" i="7" s="1"/>
  <c r="EC7" i="7" s="1"/>
  <c r="DZ44" i="7" a="1"/>
  <c r="DZ44" i="7" s="1"/>
  <c r="ED2" i="7"/>
  <c r="EB2" i="7" a="1"/>
  <c r="EB2" i="7" s="1"/>
  <c r="DR8" i="7" a="1"/>
  <c r="DR8" i="7" l="1"/>
  <c r="EC44" i="7" a="1"/>
  <c r="EC44" i="7" s="1"/>
  <c r="DZ46" i="7" a="1"/>
  <c r="DZ46" i="7" s="1"/>
  <c r="DW8" i="7" a="1"/>
  <c r="DW8" i="7" l="1"/>
  <c r="EB45" i="7"/>
  <c r="EA48" i="7"/>
  <c r="DZ48" i="7"/>
  <c r="EA49" i="7" s="1"/>
  <c r="DZ45" i="7"/>
  <c r="EC48" i="7"/>
  <c r="DY49" i="7"/>
  <c r="DY48" i="7"/>
  <c r="DZ43" i="7"/>
  <c r="ED44" i="7"/>
  <c r="EB44" i="7" a="1"/>
  <c r="EB44" i="7" s="1"/>
  <c r="DS9" i="7" a="1"/>
  <c r="DR10" i="7" a="1"/>
  <c r="DR10" i="7" l="1"/>
  <c r="DS9" i="7"/>
  <c r="DS11" i="7" s="1" a="1"/>
  <c r="DS11" i="7" s="1"/>
  <c r="DR14" i="7" s="1"/>
  <c r="EC49" i="7"/>
  <c r="ED45" i="7" a="1"/>
  <c r="ED45" i="7" s="1"/>
  <c r="DY45" i="7" a="1"/>
  <c r="DY45" i="7" s="1"/>
  <c r="EB4" i="7" a="1"/>
  <c r="EB4" i="7" s="1"/>
  <c r="DX8" i="7" a="1"/>
  <c r="DX8" i="7" l="1"/>
  <c r="DR13" i="7"/>
  <c r="DU10" i="7"/>
  <c r="DS10" i="7"/>
  <c r="DV13" i="7"/>
  <c r="DT13" i="7"/>
  <c r="DS8" i="7"/>
  <c r="DV9" i="7" a="1"/>
  <c r="DV9" i="7" s="1"/>
  <c r="DU53" i="7" a="1"/>
  <c r="DU53" i="7" s="1"/>
  <c r="DS13" i="7"/>
  <c r="DT14" i="7" s="1"/>
  <c r="DR51" i="7" a="1"/>
  <c r="DR51" i="7" s="1"/>
  <c r="DW53" i="7" a="1"/>
  <c r="DW53" i="7" s="1"/>
  <c r="DW11" i="7" a="1"/>
  <c r="DW11" i="7" s="1"/>
  <c r="DX9" i="7" a="1"/>
  <c r="DR50" i="7" a="1"/>
  <c r="DR50" i="7" l="1"/>
  <c r="DX9" i="7"/>
  <c r="DW9" i="7"/>
  <c r="DU9" i="7" a="1"/>
  <c r="DU9" i="7" s="1"/>
  <c r="DW10" i="7" a="1"/>
  <c r="DW10" i="7" s="1"/>
  <c r="DV14" i="7" s="1"/>
  <c r="DR9" i="7" a="1"/>
  <c r="DR9" i="7" s="1"/>
  <c r="DS51" i="7" a="1"/>
  <c r="DS51" i="7" s="1"/>
  <c r="DY8" i="7" a="1"/>
  <c r="DY8" i="7" l="1"/>
  <c r="DS53" i="7" a="1"/>
  <c r="DS53" i="7" s="1"/>
  <c r="DV51" i="7" a="1"/>
  <c r="DV51" i="7" s="1"/>
  <c r="DW51" i="7" s="1"/>
  <c r="ED8" i="7" a="1"/>
  <c r="ED8" i="7" l="1"/>
  <c r="DS52" i="7"/>
  <c r="DT55" i="7"/>
  <c r="DR56" i="7"/>
  <c r="DR55" i="7"/>
  <c r="DS50" i="7"/>
  <c r="DS55" i="7"/>
  <c r="DT56" i="7" s="1"/>
  <c r="DV55" i="7"/>
  <c r="DU52" i="7"/>
  <c r="DZ9" i="7" a="1"/>
  <c r="DY10" i="7" a="1"/>
  <c r="DY10" i="7" l="1"/>
  <c r="DZ9" i="7"/>
  <c r="DZ11" i="7" s="1" a="1"/>
  <c r="DZ11" i="7" s="1"/>
  <c r="DY14" i="7" s="1"/>
  <c r="DU51" i="7" a="1"/>
  <c r="DU51" i="7" s="1"/>
  <c r="DV56" i="7"/>
  <c r="DW52" i="7" a="1"/>
  <c r="DW52" i="7" s="1"/>
  <c r="DR52" i="7" a="1"/>
  <c r="DR52" i="7" s="1"/>
  <c r="DU11" i="7" a="1"/>
  <c r="DU11" i="7" s="1"/>
  <c r="DQ15" i="7" a="1"/>
  <c r="DQ15" i="7" l="1"/>
  <c r="EC9" i="7" a="1"/>
  <c r="EC9" i="7" s="1"/>
  <c r="DZ13" i="7"/>
  <c r="EA14" i="7" s="1"/>
  <c r="EC13" i="7"/>
  <c r="DY13" i="7"/>
  <c r="EB10" i="7"/>
  <c r="DZ10" i="7"/>
  <c r="DZ8" i="7"/>
  <c r="EB53" i="7" a="1"/>
  <c r="EB53" i="7" s="1"/>
  <c r="EA13" i="7"/>
  <c r="ED53" i="7" a="1"/>
  <c r="ED53" i="7" s="1"/>
  <c r="DY51" i="7" a="1"/>
  <c r="DY51" i="7" s="1"/>
  <c r="ED11" i="7" a="1"/>
  <c r="ED11" i="7" s="1"/>
  <c r="DQ16" i="7" a="1"/>
  <c r="DY50" i="7" a="1"/>
  <c r="DY50" i="7" l="1"/>
  <c r="DQ16" i="7"/>
  <c r="ED10" i="7" a="1"/>
  <c r="ED10" i="7" s="1"/>
  <c r="EC14" i="7" s="1"/>
  <c r="DY9" i="7" a="1"/>
  <c r="DY9" i="7" s="1"/>
  <c r="DZ51" i="7" a="1"/>
  <c r="DZ51" i="7" s="1"/>
  <c r="ED9" i="7"/>
  <c r="EB9" i="7" a="1"/>
  <c r="EB9" i="7" s="1"/>
  <c r="DR15" i="7" a="1"/>
  <c r="DR15" i="7" l="1"/>
  <c r="DZ53" i="7" a="1"/>
  <c r="DZ53" i="7" s="1"/>
  <c r="EC51" i="7" a="1"/>
  <c r="EC51" i="7" s="1"/>
  <c r="DW15" i="7" a="1"/>
  <c r="DW15" i="7" l="1"/>
  <c r="ED51" i="7"/>
  <c r="DZ55" i="7"/>
  <c r="EA56" i="7" s="1"/>
  <c r="EB52" i="7"/>
  <c r="DY55" i="7"/>
  <c r="EC55" i="7"/>
  <c r="DZ52" i="7"/>
  <c r="EA55" i="7"/>
  <c r="DY56" i="7"/>
  <c r="DZ50" i="7"/>
  <c r="EB51" i="7" s="1" a="1"/>
  <c r="EB51" i="7" s="1"/>
  <c r="DR17" i="7" a="1"/>
  <c r="DS16" i="7" a="1"/>
  <c r="DS16" i="7" l="1"/>
  <c r="DS18" i="7" s="1" a="1"/>
  <c r="DS18" i="7" s="1"/>
  <c r="DR21" i="7" s="1"/>
  <c r="DR17" i="7"/>
  <c r="EC56" i="7"/>
  <c r="ED52" i="7" a="1"/>
  <c r="ED52" i="7" s="1"/>
  <c r="DY52" i="7" a="1"/>
  <c r="DY52" i="7" s="1"/>
  <c r="EB11" i="7" a="1"/>
  <c r="EB11" i="7" s="1"/>
  <c r="DX15" i="7" a="1"/>
  <c r="DX15" i="7" l="1"/>
  <c r="DW18" i="7" a="1"/>
  <c r="DW18" i="7" s="1"/>
  <c r="DW60" i="7" a="1"/>
  <c r="DW60" i="7" s="1"/>
  <c r="DR58" i="7" a="1"/>
  <c r="DR58" i="7" s="1"/>
  <c r="DV16" i="7" a="1"/>
  <c r="DV16" i="7" s="1"/>
  <c r="DS17" i="7"/>
  <c r="DV20" i="7"/>
  <c r="DR20" i="7"/>
  <c r="DU60" i="7" a="1"/>
  <c r="DU60" i="7" s="1"/>
  <c r="DS20" i="7"/>
  <c r="DT21" i="7" s="1"/>
  <c r="DU17" i="7"/>
  <c r="DT20" i="7"/>
  <c r="DS15" i="7"/>
  <c r="DX16" i="7" a="1"/>
  <c r="DR57" i="7" a="1"/>
  <c r="DR57" i="7" l="1"/>
  <c r="DX16" i="7"/>
  <c r="DW17" i="7" a="1"/>
  <c r="DW17" i="7" s="1"/>
  <c r="DV21" i="7" s="1"/>
  <c r="DR16" i="7" a="1"/>
  <c r="DR16" i="7" s="1"/>
  <c r="DS58" i="7" a="1"/>
  <c r="DS58" i="7" s="1"/>
  <c r="DU16" i="7" a="1"/>
  <c r="DU16" i="7" s="1"/>
  <c r="DW16" i="7"/>
  <c r="DY15" i="7" a="1"/>
  <c r="DY15" i="7" l="1"/>
  <c r="DS60" i="7" a="1"/>
  <c r="DS60" i="7" s="1"/>
  <c r="DV58" i="7" a="1"/>
  <c r="DV58" i="7" s="1"/>
  <c r="DW58" i="7" s="1"/>
  <c r="ED15" i="7" a="1"/>
  <c r="ED15" i="7" l="1"/>
  <c r="DS62" i="7"/>
  <c r="DT63" i="7" s="1"/>
  <c r="DS59" i="7"/>
  <c r="DR63" i="7"/>
  <c r="DV62" i="7"/>
  <c r="DS57" i="7"/>
  <c r="DT62" i="7"/>
  <c r="DU59" i="7"/>
  <c r="DR62" i="7"/>
  <c r="DZ16" i="7" a="1"/>
  <c r="DY17" i="7" a="1"/>
  <c r="DY17" i="7" l="1"/>
  <c r="DZ16" i="7"/>
  <c r="DZ18" i="7" s="1" a="1"/>
  <c r="DZ18" i="7" s="1"/>
  <c r="DY21" i="7" s="1"/>
  <c r="DU58" i="7" a="1"/>
  <c r="DU58" i="7" s="1"/>
  <c r="DV63" i="7"/>
  <c r="DR59" i="7" a="1"/>
  <c r="DR59" i="7" s="1"/>
  <c r="DW59" i="7" a="1"/>
  <c r="DW59" i="7" s="1"/>
  <c r="DU18" i="7" a="1"/>
  <c r="DU18" i="7" s="1"/>
  <c r="DQ22" i="7" a="1"/>
  <c r="DQ22" i="7" l="1"/>
  <c r="EC16" i="7" a="1"/>
  <c r="EC16" i="7" s="1"/>
  <c r="DY20" i="7"/>
  <c r="DZ15" i="7"/>
  <c r="EC20" i="7"/>
  <c r="EA20" i="7"/>
  <c r="DZ17" i="7"/>
  <c r="EB60" i="7" a="1"/>
  <c r="EB60" i="7" s="1"/>
  <c r="DZ20" i="7"/>
  <c r="EA21" i="7" s="1"/>
  <c r="EB17" i="7"/>
  <c r="ED60" i="7" a="1"/>
  <c r="ED60" i="7" s="1"/>
  <c r="DY58" i="7" a="1"/>
  <c r="DY58" i="7" s="1"/>
  <c r="ED18" i="7" a="1"/>
  <c r="ED18" i="7" s="1"/>
  <c r="DQ23" i="7" a="1"/>
  <c r="DY57" i="7" a="1"/>
  <c r="DY57" i="7" l="1"/>
  <c r="DQ23" i="7"/>
  <c r="ED16" i="7"/>
  <c r="EB16" i="7" a="1"/>
  <c r="EB16" i="7" s="1"/>
  <c r="ED17" i="7" a="1"/>
  <c r="ED17" i="7" s="1"/>
  <c r="EC21" i="7" s="1"/>
  <c r="DY16" i="7" a="1"/>
  <c r="DY16" i="7" s="1"/>
  <c r="DZ58" i="7" a="1"/>
  <c r="DZ58" i="7" s="1"/>
  <c r="DR22" i="7" a="1"/>
  <c r="DR22" i="7" l="1"/>
  <c r="EC58" i="7" a="1"/>
  <c r="EC58" i="7" s="1"/>
  <c r="DZ60" i="7" a="1"/>
  <c r="DZ60" i="7" s="1"/>
  <c r="DW22" i="7" a="1"/>
  <c r="DW22" i="7" l="1"/>
  <c r="EB59" i="7"/>
  <c r="DZ59" i="7"/>
  <c r="DZ62" i="7"/>
  <c r="EA63" i="7" s="1"/>
  <c r="DY62" i="7"/>
  <c r="DY63" i="7"/>
  <c r="DZ57" i="7"/>
  <c r="EB58" i="7" s="1" a="1"/>
  <c r="EB58" i="7" s="1"/>
  <c r="EA62" i="7"/>
  <c r="EC62" i="7"/>
  <c r="ED58" i="7"/>
  <c r="DS23" i="7" a="1"/>
  <c r="DR24" i="7" a="1"/>
  <c r="DR24" i="7" l="1"/>
  <c r="DS23" i="7"/>
  <c r="DS25" i="7" s="1" a="1"/>
  <c r="DS25" i="7" s="1"/>
  <c r="DR28" i="7" s="1"/>
  <c r="DY59" i="7" a="1"/>
  <c r="DY59" i="7" s="1"/>
  <c r="EC63" i="7"/>
  <c r="ED59" i="7" a="1"/>
  <c r="ED59" i="7" s="1"/>
  <c r="EB18" i="7" a="1"/>
  <c r="EB18" i="7" s="1"/>
  <c r="DX22" i="7" a="1"/>
  <c r="DX22" i="7" l="1"/>
  <c r="DV23" i="7" a="1"/>
  <c r="DV23" i="7" s="1"/>
  <c r="DR27" i="7"/>
  <c r="DU24" i="7"/>
  <c r="DS22" i="7"/>
  <c r="DS27" i="7"/>
  <c r="DT28" i="7" s="1"/>
  <c r="DT27" i="7"/>
  <c r="DS24" i="7"/>
  <c r="DU67" i="7" a="1"/>
  <c r="DU67" i="7" s="1"/>
  <c r="DV27" i="7"/>
  <c r="DR65" i="7" a="1"/>
  <c r="DR65" i="7" s="1"/>
  <c r="DW67" i="7" a="1"/>
  <c r="DW67" i="7" s="1"/>
  <c r="DW25" i="7" a="1"/>
  <c r="DW25" i="7" s="1"/>
  <c r="DX23" i="7" a="1"/>
  <c r="DR64" i="7" a="1"/>
  <c r="DR64" i="7" l="1"/>
  <c r="DX23" i="7"/>
  <c r="DW23" i="7"/>
  <c r="DU23" i="7" a="1"/>
  <c r="DU23" i="7" s="1"/>
  <c r="DR23" i="7" a="1"/>
  <c r="DR23" i="7" s="1"/>
  <c r="DW24" i="7" a="1"/>
  <c r="DW24" i="7" s="1"/>
  <c r="DV28" i="7" s="1"/>
  <c r="DS65" i="7" a="1"/>
  <c r="DS65" i="7" s="1"/>
  <c r="DY22" i="7" a="1"/>
  <c r="DY22" i="7" l="1"/>
  <c r="DS67" i="7" a="1"/>
  <c r="DS67" i="7" s="1"/>
  <c r="DV65" i="7" a="1"/>
  <c r="DV65" i="7" s="1"/>
  <c r="ED22" i="7" a="1"/>
  <c r="ED22" i="7" l="1"/>
  <c r="DW65" i="7"/>
  <c r="DU66" i="7"/>
  <c r="DS69" i="7"/>
  <c r="DT70" i="7" s="1"/>
  <c r="DR69" i="7"/>
  <c r="DV69" i="7"/>
  <c r="DS64" i="7"/>
  <c r="DU65" i="7" s="1" a="1"/>
  <c r="DU65" i="7" s="1"/>
  <c r="DT69" i="7"/>
  <c r="DS66" i="7"/>
  <c r="DR70" i="7"/>
  <c r="DY24" i="7" a="1"/>
  <c r="DZ23" i="7" a="1"/>
  <c r="DZ23" i="7" l="1"/>
  <c r="DZ25" i="7" s="1" a="1"/>
  <c r="DZ25" i="7" s="1"/>
  <c r="DY28" i="7" s="1"/>
  <c r="DY24" i="7"/>
  <c r="DR66" i="7" a="1"/>
  <c r="DR66" i="7" s="1"/>
  <c r="DW66" i="7" a="1"/>
  <c r="DW66" i="7" s="1"/>
  <c r="DV70" i="7"/>
  <c r="DU25" i="7" a="1"/>
  <c r="DU25" i="7" s="1"/>
  <c r="DQ29" i="7" a="1"/>
  <c r="DQ29" i="7" l="1"/>
  <c r="ED67" i="7" a="1"/>
  <c r="ED67" i="7" s="1"/>
  <c r="ED25" i="7" a="1"/>
  <c r="ED25" i="7" s="1"/>
  <c r="DY65" i="7" a="1"/>
  <c r="DY65" i="7" s="1"/>
  <c r="DY27" i="7"/>
  <c r="EB67" i="7" a="1"/>
  <c r="EB67" i="7" s="1"/>
  <c r="EB24" i="7"/>
  <c r="EA27" i="7"/>
  <c r="DZ22" i="7"/>
  <c r="EC23" i="7" a="1"/>
  <c r="EC23" i="7" s="1"/>
  <c r="DZ27" i="7"/>
  <c r="EA28" i="7" s="1"/>
  <c r="DZ24" i="7"/>
  <c r="EC27" i="7"/>
  <c r="DQ30" i="7" a="1"/>
  <c r="DY64" i="7" a="1"/>
  <c r="DY64" i="7" l="1"/>
  <c r="DQ30" i="7"/>
  <c r="ED23" i="7"/>
  <c r="EB23" i="7" a="1"/>
  <c r="EB23" i="7" s="1"/>
  <c r="ED24" i="7" a="1"/>
  <c r="ED24" i="7" s="1"/>
  <c r="EC28" i="7" s="1"/>
  <c r="DY23" i="7" a="1"/>
  <c r="DY23" i="7" s="1"/>
  <c r="DZ65" i="7" a="1"/>
  <c r="DZ65" i="7" s="1"/>
  <c r="DR29" i="7" a="1"/>
  <c r="DR29" i="7" l="1"/>
  <c r="EC65" i="7" a="1"/>
  <c r="EC65" i="7" s="1"/>
  <c r="DZ67" i="7" a="1"/>
  <c r="DZ67" i="7" s="1"/>
  <c r="DW29" i="7" a="1"/>
  <c r="DW29" i="7" l="1"/>
  <c r="EC69" i="7"/>
  <c r="EB66" i="7"/>
  <c r="DY70" i="7"/>
  <c r="EA69" i="7"/>
  <c r="DY69" i="7"/>
  <c r="DZ66" i="7"/>
  <c r="DZ69" i="7"/>
  <c r="EA70" i="7" s="1"/>
  <c r="DZ64" i="7"/>
  <c r="EB65" i="7" s="1" a="1"/>
  <c r="EB65" i="7" s="1"/>
  <c r="ED65" i="7"/>
  <c r="DR31" i="7" a="1"/>
  <c r="DS30" i="7" a="1"/>
  <c r="DS30" i="7" l="1"/>
  <c r="DS32" i="7" s="1" a="1"/>
  <c r="DS32" i="7" s="1"/>
  <c r="DR35" i="7" s="1"/>
  <c r="DR31" i="7"/>
  <c r="DY66" i="7" a="1"/>
  <c r="DY66" i="7" s="1"/>
  <c r="ED66" i="7" a="1"/>
  <c r="ED66" i="7" s="1"/>
  <c r="EC70" i="7"/>
  <c r="EB25" i="7" a="1"/>
  <c r="EB25" i="7" s="1"/>
  <c r="DX29" i="7" a="1"/>
  <c r="DX29" i="7" l="1"/>
  <c r="DW74" i="7" a="1"/>
  <c r="DW74" i="7" s="1"/>
  <c r="DR72" i="7" a="1"/>
  <c r="DR72" i="7" s="1"/>
  <c r="DW32" i="7" a="1"/>
  <c r="DW32" i="7" s="1"/>
  <c r="DV30" i="7" a="1"/>
  <c r="DV30" i="7" s="1"/>
  <c r="DS29" i="7"/>
  <c r="DS31" i="7"/>
  <c r="DV34" i="7"/>
  <c r="DR34" i="7"/>
  <c r="DT34" i="7"/>
  <c r="DU31" i="7"/>
  <c r="DS34" i="7"/>
  <c r="DT35" i="7" s="1"/>
  <c r="DU74" i="7" a="1"/>
  <c r="DU74" i="7" s="1"/>
  <c r="DX30" i="7" a="1"/>
  <c r="DR71" i="7" a="1"/>
  <c r="DR71" i="7" l="1"/>
  <c r="DX30" i="7"/>
  <c r="DW31" i="7" a="1"/>
  <c r="DW31" i="7" s="1"/>
  <c r="DV35" i="7" s="1"/>
  <c r="DR30" i="7" a="1"/>
  <c r="DR30" i="7" s="1"/>
  <c r="DS72" i="7" a="1"/>
  <c r="DS72" i="7" s="1"/>
  <c r="DW30" i="7"/>
  <c r="DU30" i="7" a="1"/>
  <c r="DU30" i="7" s="1"/>
  <c r="DY29" i="7" a="1"/>
  <c r="DY29" i="7" l="1"/>
  <c r="DV72" i="7" a="1"/>
  <c r="DV72" i="7" s="1"/>
  <c r="DS74" i="7" a="1"/>
  <c r="DS74" i="7" s="1"/>
  <c r="ED29" i="7" a="1"/>
  <c r="ED29" i="7" l="1"/>
  <c r="DV76" i="7"/>
  <c r="DS76" i="7"/>
  <c r="DT77" i="7" s="1"/>
  <c r="DS71" i="7"/>
  <c r="DU72" i="7" s="1" a="1"/>
  <c r="DU72" i="7" s="1"/>
  <c r="DR76" i="7"/>
  <c r="DT76" i="7"/>
  <c r="DU73" i="7"/>
  <c r="DS73" i="7"/>
  <c r="DR77" i="7"/>
  <c r="DW72" i="7"/>
  <c r="DZ30" i="7" a="1"/>
  <c r="DY31" i="7" a="1"/>
  <c r="DY31" i="7" l="1"/>
  <c r="DZ30" i="7"/>
  <c r="DZ32" i="7" s="1" a="1"/>
  <c r="DZ32" i="7" s="1"/>
  <c r="DY35" i="7" s="1"/>
  <c r="DW73" i="7" a="1"/>
  <c r="DW73" i="7" s="1"/>
  <c r="DV77" i="7"/>
  <c r="DR73" i="7" a="1"/>
  <c r="DR73" i="7" s="1"/>
  <c r="DU32" i="7" a="1"/>
  <c r="DU32" i="7" s="1"/>
  <c r="DQ36" i="7" a="1"/>
  <c r="DQ36" i="7" l="1"/>
  <c r="EC30" i="7" a="1"/>
  <c r="EC30" i="7" s="1"/>
  <c r="EA34" i="7"/>
  <c r="DY34" i="7"/>
  <c r="DZ29" i="7"/>
  <c r="DZ34" i="7"/>
  <c r="EA35" i="7" s="1"/>
  <c r="EB31" i="7"/>
  <c r="EC34" i="7"/>
  <c r="EB74" i="7" a="1"/>
  <c r="EB74" i="7" s="1"/>
  <c r="DZ31" i="7"/>
  <c r="ED74" i="7" a="1"/>
  <c r="ED74" i="7" s="1"/>
  <c r="ED32" i="7" a="1"/>
  <c r="ED32" i="7" s="1"/>
  <c r="DY72" i="7" a="1"/>
  <c r="DY72" i="7" s="1"/>
  <c r="DQ37" i="7" a="1"/>
  <c r="DY71" i="7" a="1"/>
  <c r="DY71" i="7" l="1"/>
  <c r="DQ37" i="7"/>
  <c r="DY30" i="7" a="1"/>
  <c r="DY30" i="7" s="1"/>
  <c r="ED31" i="7" a="1"/>
  <c r="ED31" i="7" s="1"/>
  <c r="EC35" i="7" s="1"/>
  <c r="DZ72" i="7" a="1"/>
  <c r="DZ72" i="7" s="1"/>
  <c r="ED30" i="7"/>
  <c r="EB30" i="7" a="1"/>
  <c r="EB30" i="7" s="1"/>
  <c r="DR36" i="7" a="1"/>
  <c r="DR36" i="7" l="1"/>
  <c r="DZ74" i="7" a="1"/>
  <c r="DZ74" i="7" s="1"/>
  <c r="EC72" i="7" a="1"/>
  <c r="EC72" i="7" s="1"/>
  <c r="DW36" i="7" a="1"/>
  <c r="DW36" i="7" l="1"/>
  <c r="ED72" i="7"/>
  <c r="EB73" i="7"/>
  <c r="EC76" i="7"/>
  <c r="DZ76" i="7"/>
  <c r="EA77" i="7" s="1"/>
  <c r="DZ71" i="7"/>
  <c r="EB72" i="7" s="1" a="1"/>
  <c r="EB72" i="7" s="1"/>
  <c r="DY77" i="7"/>
  <c r="EA76" i="7"/>
  <c r="DZ73" i="7"/>
  <c r="DY76" i="7"/>
  <c r="DR38" i="7" a="1"/>
  <c r="DS37" i="7" a="1"/>
  <c r="DS37" i="7" l="1"/>
  <c r="DS39" i="7" s="1" a="1"/>
  <c r="DS39" i="7" s="1"/>
  <c r="DR42" i="7" s="1"/>
  <c r="DR38" i="7"/>
  <c r="DY73" i="7" a="1"/>
  <c r="DY73" i="7" s="1"/>
  <c r="ED73" i="7" a="1"/>
  <c r="ED73" i="7" s="1"/>
  <c r="EC77" i="7"/>
  <c r="EB32" i="7" a="1"/>
  <c r="EB32" i="7" s="1"/>
  <c r="DX36" i="7" a="1"/>
  <c r="DX36" i="7" l="1"/>
  <c r="DR79" i="7" a="1"/>
  <c r="DR79" i="7" s="1"/>
  <c r="DW39" i="7" a="1"/>
  <c r="DW39" i="7" s="1"/>
  <c r="DW81" i="7" a="1"/>
  <c r="DW81" i="7" s="1"/>
  <c r="DS38" i="7"/>
  <c r="DS41" i="7"/>
  <c r="DT42" i="7" s="1"/>
  <c r="DS36" i="7"/>
  <c r="DV41" i="7"/>
  <c r="DV37" i="7" a="1"/>
  <c r="DV37" i="7" s="1"/>
  <c r="DU81" i="7" a="1"/>
  <c r="DU81" i="7" s="1"/>
  <c r="DT41" i="7"/>
  <c r="DR41" i="7"/>
  <c r="DU38" i="7"/>
  <c r="DX37" i="7" a="1"/>
  <c r="DR78" i="7" a="1"/>
  <c r="DR78" i="7" l="1"/>
  <c r="DX37" i="7"/>
  <c r="DR37" i="7" a="1"/>
  <c r="DR37" i="7" s="1"/>
  <c r="DW38" i="7" a="1"/>
  <c r="DW38" i="7" s="1"/>
  <c r="DV42" i="7" s="1"/>
  <c r="DS79" i="7" a="1"/>
  <c r="DS79" i="7" s="1"/>
  <c r="DU37" i="7" a="1"/>
  <c r="DU37" i="7" s="1"/>
  <c r="DW37" i="7"/>
  <c r="DY36" i="7" a="1"/>
  <c r="DY36" i="7" l="1"/>
  <c r="DS81" i="7" a="1"/>
  <c r="DS81" i="7" s="1"/>
  <c r="DV79" i="7" a="1"/>
  <c r="DV79" i="7" s="1"/>
  <c r="ED36" i="7" a="1"/>
  <c r="ED36" i="7" l="1"/>
  <c r="DW79" i="7"/>
  <c r="DT83" i="7"/>
  <c r="DS83" i="7"/>
  <c r="DT84" i="7" s="1"/>
  <c r="DR84" i="7"/>
  <c r="DU80" i="7"/>
  <c r="DV83" i="7"/>
  <c r="DS80" i="7"/>
  <c r="DR83" i="7"/>
  <c r="DS78" i="7"/>
  <c r="DU79" i="7" s="1" a="1"/>
  <c r="DU79" i="7" s="1"/>
  <c r="DZ37" i="7" a="1"/>
  <c r="DY38" i="7" a="1"/>
  <c r="DY38" i="7" l="1"/>
  <c r="DZ37" i="7"/>
  <c r="DZ39" i="7" s="1" a="1"/>
  <c r="DZ39" i="7" s="1"/>
  <c r="DY42" i="7" s="1"/>
  <c r="DV84" i="7"/>
  <c r="DW80" i="7" a="1"/>
  <c r="DW80" i="7" s="1"/>
  <c r="DR80" i="7" a="1"/>
  <c r="DR80" i="7" s="1"/>
  <c r="DU39" i="7" a="1"/>
  <c r="DU39" i="7" s="1"/>
  <c r="EF1" i="7" a="1"/>
  <c r="EF1" i="7" l="1"/>
  <c r="EB81" i="7" a="1"/>
  <c r="EB81" i="7" s="1"/>
  <c r="DZ38" i="7"/>
  <c r="EA41" i="7"/>
  <c r="DZ41" i="7"/>
  <c r="EA42" i="7" s="1"/>
  <c r="EC37" i="7" a="1"/>
  <c r="EC37" i="7" s="1"/>
  <c r="DZ36" i="7"/>
  <c r="EC41" i="7"/>
  <c r="DY41" i="7"/>
  <c r="EB38" i="7"/>
  <c r="DY79" i="7" a="1"/>
  <c r="DY79" i="7" s="1"/>
  <c r="ED81" i="7" a="1"/>
  <c r="ED81" i="7" s="1"/>
  <c r="ED39" i="7" a="1"/>
  <c r="ED39" i="7" s="1"/>
  <c r="EF2" i="7" a="1"/>
  <c r="DY78" i="7" a="1"/>
  <c r="DY78" i="7" l="1"/>
  <c r="EF2" i="7"/>
  <c r="EB37" i="7" a="1"/>
  <c r="EB37" i="7" s="1"/>
  <c r="ED37" i="7"/>
  <c r="ED38" i="7" a="1"/>
  <c r="ED38" i="7" s="1"/>
  <c r="EC42" i="7" s="1"/>
  <c r="DY37" i="7" a="1"/>
  <c r="DY37" i="7" s="1"/>
  <c r="DZ79" i="7" a="1"/>
  <c r="DZ79" i="7" s="1"/>
  <c r="EG1" i="7" a="1"/>
  <c r="EG1" i="7" l="1"/>
  <c r="EC79" i="7" a="1"/>
  <c r="EC79" i="7" s="1"/>
  <c r="DZ81" i="7" a="1"/>
  <c r="DZ81" i="7" s="1"/>
  <c r="EL1" i="7" a="1"/>
  <c r="EL1" i="7" l="1"/>
  <c r="EA83" i="7"/>
  <c r="DZ83" i="7"/>
  <c r="EA84" i="7" s="1"/>
  <c r="DY83" i="7"/>
  <c r="DZ78" i="7"/>
  <c r="EB79" i="7" s="1" a="1"/>
  <c r="EB79" i="7" s="1"/>
  <c r="DY84" i="7"/>
  <c r="EC83" i="7"/>
  <c r="EB80" i="7"/>
  <c r="DZ80" i="7"/>
  <c r="ED79" i="7"/>
  <c r="EM1" i="7" a="1"/>
  <c r="EG3" i="7" a="1"/>
  <c r="EH2" i="7" a="1"/>
  <c r="EH2" i="7" l="1"/>
  <c r="EH4" i="7" s="1" a="1"/>
  <c r="EH4" i="7" s="1"/>
  <c r="EG3" i="7"/>
  <c r="EM1" i="7"/>
  <c r="EC84" i="7"/>
  <c r="ED80" i="7" a="1"/>
  <c r="ED80" i="7" s="1"/>
  <c r="DY80" i="7" a="1"/>
  <c r="DY80" i="7" s="1"/>
  <c r="EB39" i="7" a="1"/>
  <c r="EB39" i="7" s="1"/>
  <c r="EM2" i="7" a="1"/>
  <c r="EM2" i="7" l="1"/>
  <c r="EG7" i="7"/>
  <c r="EG2" i="7" a="1"/>
  <c r="EG2" i="7" s="1"/>
  <c r="EG44" i="7" a="1"/>
  <c r="EG44" i="7" s="1"/>
  <c r="EL46" i="7" a="1"/>
  <c r="EL46" i="7" s="1"/>
  <c r="EL4" i="7" a="1"/>
  <c r="EL4" i="7" s="1"/>
  <c r="EG6" i="7"/>
  <c r="EH3" i="7"/>
  <c r="EH6" i="7"/>
  <c r="EI7" i="7" s="1"/>
  <c r="EJ46" i="7" a="1"/>
  <c r="EJ46" i="7" s="1"/>
  <c r="EJ3" i="7"/>
  <c r="EK2" i="7" a="1"/>
  <c r="EK2" i="7" s="1"/>
  <c r="EK6" i="7"/>
  <c r="EH1" i="7"/>
  <c r="EI6" i="7"/>
  <c r="EG43" i="7" a="1"/>
  <c r="EN1" i="7" a="1"/>
  <c r="EN1" i="7" l="1"/>
  <c r="EG43" i="7"/>
  <c r="EH44" i="7" a="1"/>
  <c r="EH44" i="7" s="1"/>
  <c r="EL3" i="7" a="1"/>
  <c r="EL3" i="7" s="1"/>
  <c r="EK7" i="7" s="1"/>
  <c r="EL2" i="7"/>
  <c r="EJ2" i="7" a="1"/>
  <c r="EJ2" i="7" s="1"/>
  <c r="ES1" i="7" a="1"/>
  <c r="ES1" i="7" l="1"/>
  <c r="EH46" i="7" a="1"/>
  <c r="EH46" i="7" s="1"/>
  <c r="EK44" i="7" a="1"/>
  <c r="EK44" i="7" s="1"/>
  <c r="EO2" i="7" a="1"/>
  <c r="EN3" i="7" a="1"/>
  <c r="EN3" i="7" l="1"/>
  <c r="EO2" i="7"/>
  <c r="EO4" i="7" s="1" a="1"/>
  <c r="EO4" i="7" s="1"/>
  <c r="EL44" i="7"/>
  <c r="EJ44" i="7" a="1"/>
  <c r="EJ44" i="7" s="1"/>
  <c r="EH43" i="7"/>
  <c r="EG48" i="7"/>
  <c r="EG49" i="7"/>
  <c r="EH48" i="7"/>
  <c r="EI49" i="7" s="1"/>
  <c r="EH45" i="7"/>
  <c r="EJ45" i="7"/>
  <c r="EI48" i="7"/>
  <c r="EK48" i="7"/>
  <c r="EJ4" i="7" a="1"/>
  <c r="EJ4" i="7" s="1"/>
  <c r="EF8" i="7" a="1"/>
  <c r="EF8" i="7" l="1"/>
  <c r="EN2" i="7" a="1"/>
  <c r="EN2" i="7" s="1"/>
  <c r="EN7" i="7"/>
  <c r="EK49" i="7"/>
  <c r="EG45" i="7" a="1"/>
  <c r="EG45" i="7" s="1"/>
  <c r="EL45" i="7" a="1"/>
  <c r="EL45" i="7" s="1"/>
  <c r="EQ46" i="7" a="1"/>
  <c r="EQ46" i="7" s="1"/>
  <c r="ER2" i="7" a="1"/>
  <c r="ER2" i="7" s="1"/>
  <c r="ER6" i="7"/>
  <c r="EQ3" i="7"/>
  <c r="EP6" i="7"/>
  <c r="EO3" i="7"/>
  <c r="EO6" i="7"/>
  <c r="EP7" i="7" s="1"/>
  <c r="EN6" i="7"/>
  <c r="EO1" i="7"/>
  <c r="EN44" i="7" a="1"/>
  <c r="EN44" i="7" s="1"/>
  <c r="ES46" i="7" a="1"/>
  <c r="ES46" i="7" s="1"/>
  <c r="ES4" i="7" a="1"/>
  <c r="ES4" i="7" s="1"/>
  <c r="EF9" i="7" a="1"/>
  <c r="EN43" i="7" a="1"/>
  <c r="EN43" i="7" l="1"/>
  <c r="EF9" i="7"/>
  <c r="EQ2" i="7" a="1"/>
  <c r="EQ2" i="7" s="1"/>
  <c r="ES2" i="7"/>
  <c r="ES3" i="7" a="1"/>
  <c r="ES3" i="7" s="1"/>
  <c r="ER7" i="7" s="1"/>
  <c r="EO44" i="7" a="1"/>
  <c r="EO44" i="7" s="1"/>
  <c r="EG8" i="7" a="1"/>
  <c r="EG8" i="7" l="1"/>
  <c r="EO46" i="7" a="1"/>
  <c r="EO46" i="7" s="1"/>
  <c r="ER44" i="7" a="1"/>
  <c r="ER44" i="7" s="1"/>
  <c r="EL8" i="7" a="1"/>
  <c r="EL8" i="7" l="1"/>
  <c r="ES44" i="7"/>
  <c r="ER48" i="7"/>
  <c r="EN49" i="7"/>
  <c r="EP48" i="7"/>
  <c r="EQ45" i="7"/>
  <c r="EO43" i="7"/>
  <c r="EQ44" i="7" s="1" a="1"/>
  <c r="EQ44" i="7" s="1"/>
  <c r="EN48" i="7"/>
  <c r="EO45" i="7"/>
  <c r="EO48" i="7"/>
  <c r="EP49" i="7" s="1"/>
  <c r="EH9" i="7" a="1"/>
  <c r="EG10" i="7" a="1"/>
  <c r="EG10" i="7" l="1"/>
  <c r="EH9" i="7"/>
  <c r="ES45" i="7" a="1"/>
  <c r="ES45" i="7" s="1"/>
  <c r="ER49" i="7"/>
  <c r="EN45" i="7" a="1"/>
  <c r="EN45" i="7" s="1"/>
  <c r="EQ4" i="7" a="1"/>
  <c r="EQ4" i="7" s="1"/>
  <c r="EM8" i="7" a="1"/>
  <c r="EM8" i="7" l="1"/>
  <c r="EG13" i="7"/>
  <c r="EJ10" i="7"/>
  <c r="EH8" i="7"/>
  <c r="EJ53" i="7" a="1"/>
  <c r="EJ53" i="7" s="1"/>
  <c r="EH10" i="7"/>
  <c r="EH13" i="7"/>
  <c r="EK13" i="7"/>
  <c r="EK9" i="7" a="1"/>
  <c r="EK9" i="7" s="1"/>
  <c r="EI13" i="7"/>
  <c r="EH11" i="7" a="1"/>
  <c r="EH11" i="7" s="1"/>
  <c r="EG14" i="7" s="1"/>
  <c r="EG51" i="7" a="1"/>
  <c r="EG51" i="7" s="1"/>
  <c r="EL53" i="7" a="1"/>
  <c r="EL53" i="7" s="1"/>
  <c r="EL11" i="7" a="1"/>
  <c r="EL11" i="7" s="1"/>
  <c r="EM9" i="7" a="1"/>
  <c r="EG50" i="7" a="1"/>
  <c r="EG50" i="7" l="1"/>
  <c r="EM9" i="7"/>
  <c r="EI14" i="7"/>
  <c r="EL10" i="7" a="1"/>
  <c r="EL10" i="7" s="1"/>
  <c r="EK14" i="7" s="1"/>
  <c r="EG9" i="7" a="1"/>
  <c r="EG9" i="7" s="1"/>
  <c r="EH51" i="7" a="1"/>
  <c r="EH51" i="7" s="1"/>
  <c r="EL9" i="7"/>
  <c r="EJ9" i="7" a="1"/>
  <c r="EJ9" i="7" s="1"/>
  <c r="EN8" i="7" a="1"/>
  <c r="EN8" i="7" l="1"/>
  <c r="EH53" i="7" a="1"/>
  <c r="EH53" i="7" s="1"/>
  <c r="EK51" i="7" a="1"/>
  <c r="EK51" i="7" s="1"/>
  <c r="ES8" i="7" a="1"/>
  <c r="ES8" i="7" l="1"/>
  <c r="EL51" i="7"/>
  <c r="EJ52" i="7"/>
  <c r="EH50" i="7"/>
  <c r="EJ51" i="7" s="1" a="1"/>
  <c r="EJ51" i="7" s="1"/>
  <c r="EH52" i="7"/>
  <c r="EI55" i="7"/>
  <c r="EK55" i="7"/>
  <c r="EH55" i="7"/>
  <c r="EI56" i="7" s="1"/>
  <c r="EG55" i="7"/>
  <c r="EG56" i="7"/>
  <c r="EN10" i="7" a="1"/>
  <c r="EO9" i="7" a="1"/>
  <c r="EO9" i="7" l="1"/>
  <c r="EO11" i="7" s="1" a="1"/>
  <c r="EO11" i="7" s="1"/>
  <c r="EN14" i="7" s="1"/>
  <c r="EN10" i="7"/>
  <c r="EK56" i="7"/>
  <c r="EL52" i="7" a="1"/>
  <c r="EL52" i="7" s="1"/>
  <c r="EG52" i="7" a="1"/>
  <c r="EG52" i="7" s="1"/>
  <c r="EJ11" i="7" a="1"/>
  <c r="EJ11" i="7" s="1"/>
  <c r="EF15" i="7" a="1"/>
  <c r="EF15" i="7" l="1"/>
  <c r="ES11" i="7" a="1"/>
  <c r="ES11" i="7" s="1"/>
  <c r="EN51" i="7" a="1"/>
  <c r="EN51" i="7" s="1"/>
  <c r="ES53" i="7" a="1"/>
  <c r="ES53" i="7" s="1"/>
  <c r="EQ10" i="7"/>
  <c r="ER13" i="7"/>
  <c r="EP13" i="7"/>
  <c r="EO10" i="7"/>
  <c r="EN13" i="7"/>
  <c r="ER9" i="7" a="1"/>
  <c r="ER9" i="7" s="1"/>
  <c r="EQ53" i="7" a="1"/>
  <c r="EQ53" i="7" s="1"/>
  <c r="EO13" i="7"/>
  <c r="EP14" i="7" s="1"/>
  <c r="EO8" i="7"/>
  <c r="EF16" i="7" a="1"/>
  <c r="EN50" i="7" a="1"/>
  <c r="EN50" i="7" l="1"/>
  <c r="EF16" i="7"/>
  <c r="EN9" i="7" a="1"/>
  <c r="EN9" i="7" s="1"/>
  <c r="ES10" i="7" a="1"/>
  <c r="ES10" i="7" s="1"/>
  <c r="ER14" i="7" s="1"/>
  <c r="EO51" i="7" a="1"/>
  <c r="EO51" i="7" s="1"/>
  <c r="EQ9" i="7" a="1"/>
  <c r="EQ9" i="7" s="1"/>
  <c r="ES9" i="7"/>
  <c r="EG15" i="7" a="1"/>
  <c r="EG15" i="7" l="1"/>
  <c r="EO53" i="7" a="1"/>
  <c r="EO53" i="7" s="1"/>
  <c r="ER51" i="7" a="1"/>
  <c r="ER51" i="7" s="1"/>
  <c r="EL15" i="7" a="1"/>
  <c r="EL15" i="7" l="1"/>
  <c r="ES51" i="7"/>
  <c r="ER55" i="7"/>
  <c r="EO50" i="7"/>
  <c r="EQ51" i="7" s="1" a="1"/>
  <c r="EQ51" i="7" s="1"/>
  <c r="EO55" i="7"/>
  <c r="EP56" i="7" s="1"/>
  <c r="EN55" i="7"/>
  <c r="EN56" i="7"/>
  <c r="EQ52" i="7"/>
  <c r="EP55" i="7"/>
  <c r="EO52" i="7"/>
  <c r="EH16" i="7" a="1"/>
  <c r="EG17" i="7" a="1"/>
  <c r="EG17" i="7" l="1"/>
  <c r="EH16" i="7"/>
  <c r="ES52" i="7" a="1"/>
  <c r="ES52" i="7" s="1"/>
  <c r="ER56" i="7"/>
  <c r="EN52" i="7" a="1"/>
  <c r="EN52" i="7" s="1"/>
  <c r="EH18" i="7" a="1"/>
  <c r="EH18" i="7" s="1"/>
  <c r="EG21" i="7" s="1"/>
  <c r="EQ11" i="7" a="1"/>
  <c r="EQ11" i="7" s="1"/>
  <c r="EM15" i="7" a="1"/>
  <c r="EM15" i="7" l="1"/>
  <c r="EI20" i="7"/>
  <c r="EG20" i="7"/>
  <c r="EJ17" i="7"/>
  <c r="EH17" i="7"/>
  <c r="EJ60" i="7" a="1"/>
  <c r="EJ60" i="7" s="1"/>
  <c r="EK20" i="7"/>
  <c r="EH20" i="7"/>
  <c r="EI21" i="7" s="1"/>
  <c r="EK16" i="7" a="1"/>
  <c r="EK16" i="7" s="1"/>
  <c r="EH15" i="7"/>
  <c r="EL60" i="7" a="1"/>
  <c r="EL60" i="7" s="1"/>
  <c r="EG58" i="7" a="1"/>
  <c r="EG58" i="7" s="1"/>
  <c r="EL18" i="7" a="1"/>
  <c r="EL18" i="7" s="1"/>
  <c r="EM16" i="7" a="1"/>
  <c r="EG57" i="7" a="1"/>
  <c r="EG57" i="7" l="1"/>
  <c r="EM16" i="7"/>
  <c r="EG16" i="7" a="1"/>
  <c r="EG16" i="7" s="1"/>
  <c r="EL17" i="7" a="1"/>
  <c r="EL17" i="7" s="1"/>
  <c r="EK21" i="7" s="1"/>
  <c r="EH58" i="7" a="1"/>
  <c r="EH58" i="7" s="1"/>
  <c r="EJ16" i="7" a="1"/>
  <c r="EJ16" i="7" s="1"/>
  <c r="EL16" i="7"/>
  <c r="EN15" i="7" a="1"/>
  <c r="EN15" i="7" l="1"/>
  <c r="EK58" i="7" a="1"/>
  <c r="EK58" i="7" s="1"/>
  <c r="EH60" i="7" a="1"/>
  <c r="EH60" i="7" s="1"/>
  <c r="ES15" i="7" a="1"/>
  <c r="ES15" i="7" l="1"/>
  <c r="EG63" i="7"/>
  <c r="EJ59" i="7"/>
  <c r="EK62" i="7"/>
  <c r="EG62" i="7"/>
  <c r="EH57" i="7"/>
  <c r="EJ58" i="7" s="1" a="1"/>
  <c r="EJ58" i="7" s="1"/>
  <c r="EI62" i="7"/>
  <c r="EH59" i="7"/>
  <c r="EH62" i="7"/>
  <c r="EI63" i="7" s="1"/>
  <c r="EL58" i="7"/>
  <c r="EN17" i="7" a="1"/>
  <c r="EO16" i="7" a="1"/>
  <c r="EO16" i="7" l="1"/>
  <c r="EN17" i="7"/>
  <c r="EK63" i="7"/>
  <c r="EL59" i="7" a="1"/>
  <c r="EL59" i="7" s="1"/>
  <c r="EG59" i="7" a="1"/>
  <c r="EG59" i="7" s="1"/>
  <c r="EJ18" i="7" a="1"/>
  <c r="EJ18" i="7" s="1"/>
  <c r="EO18" i="7" a="1"/>
  <c r="EO18" i="7" s="1"/>
  <c r="EN21" i="7" s="1"/>
  <c r="EF22" i="7" a="1"/>
  <c r="EF22" i="7" l="1"/>
  <c r="ES60" i="7" a="1"/>
  <c r="ES60" i="7" s="1"/>
  <c r="EN58" i="7" a="1"/>
  <c r="EN58" i="7" s="1"/>
  <c r="ES18" i="7" a="1"/>
  <c r="ES18" i="7" s="1"/>
  <c r="ER20" i="7"/>
  <c r="EO17" i="7"/>
  <c r="ER16" i="7" a="1"/>
  <c r="ER16" i="7" s="1"/>
  <c r="EN20" i="7"/>
  <c r="EQ60" i="7" a="1"/>
  <c r="EQ60" i="7" s="1"/>
  <c r="EP20" i="7"/>
  <c r="EO15" i="7"/>
  <c r="EQ17" i="7"/>
  <c r="EO20" i="7"/>
  <c r="EP21" i="7" s="1"/>
  <c r="EF23" i="7" a="1"/>
  <c r="EN57" i="7" a="1"/>
  <c r="EN57" i="7" l="1"/>
  <c r="EF23" i="7"/>
  <c r="ES16" i="7"/>
  <c r="EQ16" i="7" a="1"/>
  <c r="EQ16" i="7" s="1"/>
  <c r="EN16" i="7" a="1"/>
  <c r="EN16" i="7" s="1"/>
  <c r="ES17" i="7" a="1"/>
  <c r="ES17" i="7" s="1"/>
  <c r="ER21" i="7" s="1"/>
  <c r="EO58" i="7" a="1"/>
  <c r="EO58" i="7" s="1"/>
  <c r="EG22" i="7" a="1"/>
  <c r="EG22" i="7" l="1"/>
  <c r="ER58" i="7" a="1"/>
  <c r="ER58" i="7" s="1"/>
  <c r="EO60" i="7" a="1"/>
  <c r="EO60" i="7" s="1"/>
  <c r="EL22" i="7" a="1"/>
  <c r="EL22" i="7" l="1"/>
  <c r="ES58" i="7"/>
  <c r="EQ58" i="7" a="1"/>
  <c r="EQ58" i="7" s="1"/>
  <c r="EN63" i="7"/>
  <c r="ER62" i="7"/>
  <c r="EO62" i="7"/>
  <c r="EP63" i="7" s="1"/>
  <c r="EQ59" i="7"/>
  <c r="EO59" i="7"/>
  <c r="EP62" i="7"/>
  <c r="EO57" i="7"/>
  <c r="EN62" i="7"/>
  <c r="EH23" i="7" a="1"/>
  <c r="EG24" i="7" a="1"/>
  <c r="EG24" i="7" l="1"/>
  <c r="EH23" i="7"/>
  <c r="ES59" i="7" a="1"/>
  <c r="ES59" i="7" s="1"/>
  <c r="EN59" i="7" a="1"/>
  <c r="EN59" i="7" s="1"/>
  <c r="ER63" i="7"/>
  <c r="EQ18" i="7" a="1"/>
  <c r="EQ18" i="7" s="1"/>
  <c r="EH25" i="7" a="1"/>
  <c r="EH25" i="7" s="1"/>
  <c r="EG28" i="7" s="1"/>
  <c r="EM22" i="7" a="1"/>
  <c r="EM22" i="7" l="1"/>
  <c r="EJ24" i="7"/>
  <c r="EJ67" i="7" a="1"/>
  <c r="EJ67" i="7" s="1"/>
  <c r="EH27" i="7"/>
  <c r="EI28" i="7" s="1"/>
  <c r="EG27" i="7"/>
  <c r="EK23" i="7" a="1"/>
  <c r="EK23" i="7" s="1"/>
  <c r="EI27" i="7"/>
  <c r="EH24" i="7"/>
  <c r="EH22" i="7"/>
  <c r="EK27" i="7"/>
  <c r="EL67" i="7" a="1"/>
  <c r="EL67" i="7" s="1"/>
  <c r="EG65" i="7" a="1"/>
  <c r="EG65" i="7" s="1"/>
  <c r="EL25" i="7" a="1"/>
  <c r="EL25" i="7" s="1"/>
  <c r="EM23" i="7" a="1"/>
  <c r="EG64" i="7" a="1"/>
  <c r="EG64" i="7" l="1"/>
  <c r="EM23" i="7"/>
  <c r="EL23" i="7"/>
  <c r="EJ23" i="7" a="1"/>
  <c r="EJ23" i="7" s="1"/>
  <c r="EL24" i="7" a="1"/>
  <c r="EL24" i="7" s="1"/>
  <c r="EK28" i="7" s="1"/>
  <c r="EG23" i="7" a="1"/>
  <c r="EG23" i="7" s="1"/>
  <c r="EH65" i="7" a="1"/>
  <c r="EH65" i="7" s="1"/>
  <c r="EN22" i="7" a="1"/>
  <c r="EN22" i="7" l="1"/>
  <c r="EK65" i="7" a="1"/>
  <c r="EK65" i="7" s="1"/>
  <c r="EL65" i="7" s="1"/>
  <c r="EH67" i="7" a="1"/>
  <c r="EH67" i="7" s="1"/>
  <c r="ES22" i="7" a="1"/>
  <c r="ES22" i="7" l="1"/>
  <c r="EH66" i="7"/>
  <c r="EG70" i="7"/>
  <c r="EH69" i="7"/>
  <c r="EI70" i="7" s="1"/>
  <c r="EH64" i="7"/>
  <c r="EJ66" i="7"/>
  <c r="EK69" i="7"/>
  <c r="EI69" i="7"/>
  <c r="EG69" i="7"/>
  <c r="EO23" i="7" a="1"/>
  <c r="EN24" i="7" a="1"/>
  <c r="EN24" i="7" l="1"/>
  <c r="EO23" i="7"/>
  <c r="EO25" i="7" s="1" a="1"/>
  <c r="EO25" i="7" s="1"/>
  <c r="EN28" i="7" s="1"/>
  <c r="EJ65" i="7" a="1"/>
  <c r="EJ65" i="7" s="1"/>
  <c r="EG66" i="7" a="1"/>
  <c r="EG66" i="7" s="1"/>
  <c r="EK70" i="7"/>
  <c r="EL66" i="7" a="1"/>
  <c r="EL66" i="7" s="1"/>
  <c r="EJ25" i="7" a="1"/>
  <c r="EJ25" i="7" s="1"/>
  <c r="EF29" i="7" a="1"/>
  <c r="EF29" i="7" l="1"/>
  <c r="EP27" i="7"/>
  <c r="EQ24" i="7"/>
  <c r="ER27" i="7"/>
  <c r="EO27" i="7"/>
  <c r="EP28" i="7" s="1"/>
  <c r="EO24" i="7"/>
  <c r="ER23" i="7" a="1"/>
  <c r="ER23" i="7" s="1"/>
  <c r="EO22" i="7"/>
  <c r="EN27" i="7"/>
  <c r="EQ67" i="7" a="1"/>
  <c r="EQ67" i="7" s="1"/>
  <c r="ES67" i="7" a="1"/>
  <c r="ES67" i="7" s="1"/>
  <c r="ES25" i="7" a="1"/>
  <c r="ES25" i="7" s="1"/>
  <c r="EN65" i="7" a="1"/>
  <c r="EN65" i="7" s="1"/>
  <c r="EF30" i="7" a="1"/>
  <c r="EN64" i="7" a="1"/>
  <c r="EN64" i="7" l="1"/>
  <c r="EF30" i="7"/>
  <c r="EQ23" i="7" a="1"/>
  <c r="EQ23" i="7" s="1"/>
  <c r="ES23" i="7"/>
  <c r="ES24" i="7" a="1"/>
  <c r="ES24" i="7" s="1"/>
  <c r="ER28" i="7" s="1"/>
  <c r="EN23" i="7" a="1"/>
  <c r="EN23" i="7" s="1"/>
  <c r="EO65" i="7" a="1"/>
  <c r="EO65" i="7" s="1"/>
  <c r="EG29" i="7" a="1"/>
  <c r="EG29" i="7" l="1"/>
  <c r="EO67" i="7" a="1"/>
  <c r="EO67" i="7" s="1"/>
  <c r="ER65" i="7" a="1"/>
  <c r="ER65" i="7" s="1"/>
  <c r="ES65" i="7" s="1"/>
  <c r="EL29" i="7" a="1"/>
  <c r="EL29" i="7" l="1"/>
  <c r="EN69" i="7"/>
  <c r="EO64" i="7"/>
  <c r="EO66" i="7"/>
  <c r="EP69" i="7"/>
  <c r="EO69" i="7"/>
  <c r="EP70" i="7" s="1"/>
  <c r="ER69" i="7"/>
  <c r="EQ66" i="7"/>
  <c r="EN70" i="7"/>
  <c r="EG31" i="7" a="1"/>
  <c r="EH30" i="7" a="1"/>
  <c r="EH30" i="7" l="1"/>
  <c r="EH32" i="7" s="1" a="1"/>
  <c r="EH32" i="7" s="1"/>
  <c r="EG35" i="7" s="1"/>
  <c r="EG31" i="7"/>
  <c r="EQ65" i="7" a="1"/>
  <c r="EQ65" i="7" s="1"/>
  <c r="EN66" i="7" a="1"/>
  <c r="EN66" i="7" s="1"/>
  <c r="ES66" i="7" a="1"/>
  <c r="ES66" i="7" s="1"/>
  <c r="ER70" i="7"/>
  <c r="EQ25" i="7" a="1"/>
  <c r="EQ25" i="7" s="1"/>
  <c r="EM29" i="7" a="1"/>
  <c r="EM29" i="7" l="1"/>
  <c r="EG72" i="7" a="1"/>
  <c r="EG72" i="7" s="1"/>
  <c r="EL74" i="7" a="1"/>
  <c r="EL74" i="7" s="1"/>
  <c r="EL32" i="7" a="1"/>
  <c r="EL32" i="7" s="1"/>
  <c r="EH29" i="7"/>
  <c r="EH34" i="7"/>
  <c r="EI35" i="7" s="1"/>
  <c r="EH31" i="7"/>
  <c r="EI34" i="7"/>
  <c r="EJ31" i="7"/>
  <c r="EG34" i="7"/>
  <c r="EJ74" i="7" a="1"/>
  <c r="EJ74" i="7" s="1"/>
  <c r="EK34" i="7"/>
  <c r="EK30" i="7" a="1"/>
  <c r="EK30" i="7" s="1"/>
  <c r="EM30" i="7" a="1"/>
  <c r="EG71" i="7" a="1"/>
  <c r="EG71" i="7" l="1"/>
  <c r="EM30" i="7"/>
  <c r="EL30" i="7"/>
  <c r="EJ30" i="7" a="1"/>
  <c r="EJ30" i="7" s="1"/>
  <c r="EL31" i="7" a="1"/>
  <c r="EL31" i="7" s="1"/>
  <c r="EK35" i="7" s="1"/>
  <c r="EG30" i="7" a="1"/>
  <c r="EG30" i="7" s="1"/>
  <c r="EH72" i="7" a="1"/>
  <c r="EH72" i="7" s="1"/>
  <c r="EN29" i="7" a="1"/>
  <c r="EN29" i="7" l="1"/>
  <c r="EK72" i="7" a="1"/>
  <c r="EK72" i="7" s="1"/>
  <c r="EH74" i="7" a="1"/>
  <c r="EH74" i="7" s="1"/>
  <c r="ES29" i="7" a="1"/>
  <c r="ES29" i="7" l="1"/>
  <c r="EJ73" i="7"/>
  <c r="EH73" i="7"/>
  <c r="EH71" i="7"/>
  <c r="EJ72" i="7" s="1" a="1"/>
  <c r="EJ72" i="7" s="1"/>
  <c r="EG77" i="7"/>
  <c r="EK76" i="7"/>
  <c r="EI76" i="7"/>
  <c r="EG76" i="7"/>
  <c r="EH76" i="7"/>
  <c r="EI77" i="7" s="1"/>
  <c r="EL72" i="7"/>
  <c r="EN31" i="7" a="1"/>
  <c r="EO30" i="7" a="1"/>
  <c r="EO30" i="7" l="1"/>
  <c r="EO32" i="7" s="1" a="1"/>
  <c r="EO32" i="7" s="1"/>
  <c r="EN35" i="7" s="1"/>
  <c r="EN31" i="7"/>
  <c r="EL73" i="7" a="1"/>
  <c r="EL73" i="7" s="1"/>
  <c r="EK77" i="7"/>
  <c r="EG73" i="7" a="1"/>
  <c r="EG73" i="7" s="1"/>
  <c r="EJ32" i="7" a="1"/>
  <c r="EJ32" i="7" s="1"/>
  <c r="EF36" i="7" a="1"/>
  <c r="EF36" i="7" l="1"/>
  <c r="ES74" i="7" a="1"/>
  <c r="ES74" i="7" s="1"/>
  <c r="EN72" i="7" a="1"/>
  <c r="EN72" i="7" s="1"/>
  <c r="ES32" i="7" a="1"/>
  <c r="ES32" i="7" s="1"/>
  <c r="EP34" i="7"/>
  <c r="EQ74" i="7" a="1"/>
  <c r="EQ74" i="7" s="1"/>
  <c r="EN34" i="7"/>
  <c r="EO34" i="7"/>
  <c r="EP35" i="7" s="1"/>
  <c r="EO29" i="7"/>
  <c r="ER30" i="7" a="1"/>
  <c r="ER30" i="7" s="1"/>
  <c r="EQ31" i="7"/>
  <c r="ER34" i="7"/>
  <c r="EO31" i="7"/>
  <c r="EF37" i="7" a="1"/>
  <c r="EN71" i="7" a="1"/>
  <c r="EN71" i="7" l="1"/>
  <c r="EF37" i="7"/>
  <c r="EQ30" i="7" a="1"/>
  <c r="EQ30" i="7" s="1"/>
  <c r="ES30" i="7"/>
  <c r="EN30" i="7" a="1"/>
  <c r="EN30" i="7" s="1"/>
  <c r="ES31" i="7" a="1"/>
  <c r="ES31" i="7" s="1"/>
  <c r="ER35" i="7" s="1"/>
  <c r="EO72" i="7" a="1"/>
  <c r="EO72" i="7" s="1"/>
  <c r="EG36" i="7" a="1"/>
  <c r="EG36" i="7" l="1"/>
  <c r="EO74" i="7" a="1"/>
  <c r="EO74" i="7" s="1"/>
  <c r="ER72" i="7" a="1"/>
  <c r="ER72" i="7" s="1"/>
  <c r="EL36" i="7" a="1"/>
  <c r="EL36" i="7" l="1"/>
  <c r="EQ72" i="7" a="1"/>
  <c r="EQ72" i="7" s="1"/>
  <c r="ES72" i="7"/>
  <c r="EN76" i="7"/>
  <c r="EO73" i="7"/>
  <c r="EP76" i="7"/>
  <c r="EO76" i="7"/>
  <c r="EP77" i="7" s="1"/>
  <c r="ER76" i="7"/>
  <c r="EO71" i="7"/>
  <c r="EN77" i="7"/>
  <c r="EQ73" i="7"/>
  <c r="EH37" i="7" a="1"/>
  <c r="EG38" i="7" a="1"/>
  <c r="EG38" i="7" l="1"/>
  <c r="EH37" i="7"/>
  <c r="ES73" i="7" a="1"/>
  <c r="ES73" i="7" s="1"/>
  <c r="EN73" i="7" a="1"/>
  <c r="EN73" i="7" s="1"/>
  <c r="ER77" i="7"/>
  <c r="EQ32" i="7" a="1"/>
  <c r="EQ32" i="7" s="1"/>
  <c r="EM36" i="7" a="1"/>
  <c r="EM36" i="7" l="1"/>
  <c r="EI41" i="7"/>
  <c r="EH38" i="7"/>
  <c r="EK41" i="7"/>
  <c r="EH41" i="7"/>
  <c r="EJ38" i="7"/>
  <c r="EK37" i="7" a="1"/>
  <c r="EK37" i="7" s="1"/>
  <c r="EJ81" i="7" a="1"/>
  <c r="EJ81" i="7" s="1"/>
  <c r="EG41" i="7"/>
  <c r="EH36" i="7"/>
  <c r="EH39" i="7" a="1"/>
  <c r="EH39" i="7" s="1"/>
  <c r="EG42" i="7" s="1"/>
  <c r="EL81" i="7" a="1"/>
  <c r="EL81" i="7" s="1"/>
  <c r="EG79" i="7" a="1"/>
  <c r="EG79" i="7" s="1"/>
  <c r="EL39" i="7" a="1"/>
  <c r="EL39" i="7" s="1"/>
  <c r="EM37" i="7" a="1"/>
  <c r="EG78" i="7" a="1"/>
  <c r="EG78" i="7" l="1"/>
  <c r="EM37" i="7"/>
  <c r="EJ37" i="7" a="1"/>
  <c r="EJ37" i="7" s="1"/>
  <c r="EL37" i="7"/>
  <c r="EI42" i="7"/>
  <c r="EG37" i="7" a="1"/>
  <c r="EG37" i="7" s="1"/>
  <c r="EL38" i="7" a="1"/>
  <c r="EL38" i="7" s="1"/>
  <c r="EK42" i="7" s="1"/>
  <c r="EH79" i="7" a="1"/>
  <c r="EH79" i="7" s="1"/>
  <c r="EN36" i="7" a="1"/>
  <c r="EN36" i="7" l="1"/>
  <c r="EH81" i="7" a="1"/>
  <c r="EH81" i="7" s="1"/>
  <c r="EK79" i="7" a="1"/>
  <c r="EK79" i="7" s="1"/>
  <c r="ES36" i="7" a="1"/>
  <c r="ES36" i="7" l="1"/>
  <c r="EL79" i="7"/>
  <c r="EG83" i="7"/>
  <c r="EH78" i="7"/>
  <c r="EJ79" i="7" s="1" a="1"/>
  <c r="EJ79" i="7" s="1"/>
  <c r="EJ80" i="7"/>
  <c r="EG84" i="7"/>
  <c r="EH80" i="7"/>
  <c r="EI83" i="7"/>
  <c r="EH83" i="7"/>
  <c r="EI84" i="7" s="1"/>
  <c r="EK83" i="7"/>
  <c r="EO37" i="7" a="1"/>
  <c r="EN38" i="7" a="1"/>
  <c r="EN38" i="7" l="1"/>
  <c r="EO37" i="7"/>
  <c r="EG80" i="7" a="1"/>
  <c r="EG80" i="7" s="1"/>
  <c r="EL80" i="7" a="1"/>
  <c r="EL80" i="7" s="1"/>
  <c r="EK84" i="7"/>
  <c r="EQ39" i="7" a="1"/>
  <c r="EQ39" i="7" s="1"/>
  <c r="EO39" i="7" a="1"/>
  <c r="EO39" i="7" s="1"/>
  <c r="EN42" i="7" s="1"/>
  <c r="EJ39" i="7" a="1"/>
  <c r="EJ39" i="7" s="1"/>
  <c r="EO41" i="7" l="1"/>
  <c r="EP42" i="7" s="1"/>
  <c r="EO36" i="7"/>
  <c r="EN41" i="7"/>
  <c r="EQ81" i="7" a="1"/>
  <c r="EQ81" i="7" s="1"/>
  <c r="ER37" i="7" a="1"/>
  <c r="ER37" i="7" s="1"/>
  <c r="EP41" i="7"/>
  <c r="EO38" i="7"/>
  <c r="ER41" i="7"/>
  <c r="EQ38" i="7"/>
  <c r="ES81" i="7" a="1"/>
  <c r="ES81" i="7" s="1"/>
  <c r="ES39" i="7" a="1"/>
  <c r="ES39" i="7" s="1"/>
  <c r="EN79" i="7" a="1"/>
  <c r="EN79" i="7" s="1"/>
  <c r="EN78" i="7" a="1"/>
  <c r="EN78" i="7" l="1"/>
  <c r="EN37" i="7" a="1"/>
  <c r="EN37" i="7" s="1"/>
  <c r="ES38" i="7" a="1"/>
  <c r="ES38" i="7" s="1"/>
  <c r="ER42" i="7" s="1"/>
  <c r="EO79" i="7" a="1"/>
  <c r="EO79" i="7" s="1"/>
  <c r="ES37" i="7"/>
  <c r="EQ37" i="7" a="1"/>
  <c r="EQ37" i="7" s="1"/>
  <c r="EO81" i="7" l="1" a="1"/>
  <c r="EO81" i="7" s="1"/>
  <c r="ER79" i="7" a="1"/>
  <c r="ER79" i="7" s="1"/>
  <c r="ES79" i="7" l="1"/>
  <c r="EO83" i="7"/>
  <c r="EP84" i="7" s="1"/>
  <c r="EN83" i="7"/>
  <c r="EP83" i="7"/>
  <c r="EN84" i="7"/>
  <c r="ER83" i="7"/>
  <c r="EQ80" i="7"/>
  <c r="EO80" i="7"/>
  <c r="EO78" i="7"/>
  <c r="EQ79" i="7" s="1" a="1"/>
  <c r="EQ79" i="7" s="1"/>
  <c r="ES80" i="7" l="1" a="1"/>
  <c r="ES80" i="7" s="1"/>
  <c r="ER84" i="7"/>
  <c r="EN80" i="7" a="1"/>
  <c r="EN80" i="7" s="1"/>
  <c r="FH160" i="7" l="1"/>
  <c r="FG160" i="7" s="1"/>
  <c r="FH162" i="7"/>
  <c r="FG162" i="7" s="1"/>
  <c r="FH164" i="7"/>
  <c r="FG164" i="7" s="1"/>
  <c r="FH163" i="7"/>
  <c r="FG163" i="7" s="1"/>
  <c r="FH158" i="7"/>
  <c r="FG158" i="7" s="1"/>
  <c r="FH159" i="7"/>
  <c r="FG159" i="7" s="1"/>
  <c r="FH161" i="7"/>
  <c r="FG161" i="7" s="1"/>
  <c r="FH157" i="7"/>
  <c r="FG157" i="7" s="1"/>
  <c r="FI2" i="7" l="1" a="1"/>
  <c r="FI2" i="7" s="1"/>
  <c r="FI23" i="7" a="1"/>
  <c r="FI23" i="7" s="1"/>
  <c r="FI76" i="7" a="1"/>
  <c r="FI76" i="7" s="1"/>
  <c r="FI8" i="7" a="1"/>
  <c r="FI8" i="7" s="1"/>
  <c r="FI56" i="7" a="1"/>
  <c r="FI56" i="7" s="1"/>
  <c r="FI115" i="7" a="1"/>
  <c r="FI115" i="7" s="1"/>
  <c r="FI38" i="7" a="1"/>
  <c r="FI38" i="7" s="1"/>
  <c r="FI6" i="7" a="1"/>
  <c r="FI6" i="7" s="1"/>
  <c r="FI20" i="7" a="1"/>
  <c r="FI20" i="7" s="1"/>
  <c r="FI51" i="7" a="1"/>
  <c r="FI51" i="7" s="1"/>
  <c r="FI87" i="7" a="1"/>
  <c r="FI87" i="7" s="1"/>
  <c r="FI42" i="7" a="1"/>
  <c r="FI42" i="7" s="1"/>
  <c r="FI89" i="7" a="1"/>
  <c r="FI89" i="7" s="1"/>
  <c r="FI88" i="7" a="1"/>
  <c r="FI88" i="7" s="1"/>
  <c r="FI13" i="7" a="1"/>
  <c r="FI13" i="7" s="1"/>
  <c r="FI47" i="7" a="1"/>
  <c r="FI47" i="7" s="1"/>
  <c r="FI45" i="7" a="1"/>
  <c r="FI45" i="7" s="1"/>
  <c r="FI103" i="7" a="1"/>
  <c r="FI103" i="7" s="1"/>
  <c r="FI81" i="7" a="1"/>
  <c r="FI81" i="7" s="1"/>
  <c r="FI113" i="7" a="1"/>
  <c r="FI113" i="7" s="1"/>
  <c r="FI43" i="7" a="1"/>
  <c r="FI43" i="7" s="1"/>
  <c r="FI105" i="7" a="1"/>
  <c r="FI105" i="7" s="1"/>
  <c r="FI11" i="7" a="1"/>
  <c r="FI11" i="7" s="1"/>
  <c r="FI57" i="7" a="1"/>
  <c r="FI57" i="7" s="1"/>
  <c r="FI77" i="7" a="1"/>
  <c r="FI77" i="7" s="1"/>
  <c r="FI102" i="7" a="1"/>
  <c r="FI102" i="7" s="1"/>
  <c r="FI55" i="7" a="1"/>
  <c r="FI55" i="7" s="1"/>
  <c r="FI33" i="7" a="1"/>
  <c r="FI33" i="7" s="1"/>
  <c r="FI73" i="7" a="1"/>
  <c r="FI73" i="7" s="1"/>
  <c r="FI36" i="7" a="1"/>
  <c r="FI36" i="7" s="1"/>
  <c r="FI112" i="7" a="1"/>
  <c r="FI112" i="7" s="1"/>
  <c r="FI35" i="7" a="1"/>
  <c r="FI35" i="7" s="1"/>
  <c r="FI25" i="7" a="1"/>
  <c r="FI25" i="7" s="1"/>
  <c r="FI78" i="7" a="1"/>
  <c r="FI78" i="7" s="1"/>
  <c r="FI108" i="7" a="1"/>
  <c r="FI108" i="7" s="1"/>
  <c r="FI41" i="7" a="1"/>
  <c r="FI41" i="7" s="1"/>
  <c r="FI85" i="7" a="1"/>
  <c r="FI85" i="7" s="1"/>
  <c r="FI9" i="7" a="1"/>
  <c r="FI9" i="7" s="1"/>
  <c r="FI7" i="7" a="1"/>
  <c r="FI7" i="7" s="1"/>
  <c r="FI117" i="7" a="1"/>
  <c r="FI117" i="7" s="1"/>
  <c r="FI110" i="7" a="1"/>
  <c r="FI110" i="7" s="1"/>
  <c r="FI109" i="7" a="1"/>
  <c r="FI109" i="7" s="1"/>
  <c r="FI95" i="7" a="1"/>
  <c r="FI95" i="7" s="1"/>
  <c r="FI60" i="7" a="1"/>
  <c r="FI60" i="7" s="1"/>
  <c r="FI48" i="7" a="1"/>
  <c r="FI48" i="7" s="1"/>
  <c r="FI10" i="7" a="1"/>
  <c r="FI10" i="7" s="1"/>
  <c r="FI92" i="7" a="1"/>
  <c r="FI92" i="7" s="1"/>
  <c r="FI40" i="7" a="1"/>
  <c r="FI40" i="7" s="1"/>
  <c r="FI50" i="7" a="1"/>
  <c r="FI50" i="7" s="1"/>
  <c r="FI98" i="7" a="1"/>
  <c r="FI98" i="7" s="1"/>
  <c r="FI44" i="7" a="1"/>
  <c r="FI44" i="7" s="1"/>
  <c r="FI111" i="7" a="1"/>
  <c r="FI111" i="7" s="1"/>
  <c r="FI34" i="7" a="1"/>
  <c r="FI34" i="7" s="1"/>
  <c r="FI24" i="7" a="1"/>
  <c r="FI24" i="7" s="1"/>
  <c r="FI49" i="7" a="1"/>
  <c r="FI49" i="7" s="1"/>
  <c r="FI71" i="7" a="1"/>
  <c r="FI71" i="7" s="1"/>
  <c r="FI116" i="7" a="1"/>
  <c r="FI116" i="7" s="1"/>
  <c r="FI107" i="7" a="1"/>
  <c r="FI107" i="7" s="1"/>
  <c r="FI64" i="7" a="1"/>
  <c r="FI64" i="7" s="1"/>
  <c r="FI91" i="7" a="1"/>
  <c r="FI91" i="7" s="1"/>
  <c r="FI84" i="7" a="1"/>
  <c r="FI84" i="7" s="1"/>
  <c r="FI94" i="7" a="1"/>
  <c r="FI94" i="7" s="1"/>
  <c r="FI66" i="7" a="1"/>
  <c r="FI66" i="7" s="1"/>
  <c r="FI15" i="7" a="1"/>
  <c r="FI15" i="7" s="1"/>
  <c r="FI61" i="7" a="1"/>
  <c r="FI61" i="7" s="1"/>
  <c r="FI16" i="7" a="1"/>
  <c r="FI16" i="7" s="1"/>
  <c r="FI69" i="7" a="1"/>
  <c r="FI69" i="7" s="1"/>
  <c r="FI83" i="7" a="1"/>
  <c r="FI83" i="7" s="1"/>
  <c r="FI37" i="7" a="1"/>
  <c r="FI37" i="7" s="1"/>
  <c r="FI82" i="7" a="1"/>
  <c r="FI82" i="7" s="1"/>
  <c r="FI52" i="7" a="1"/>
  <c r="FI52" i="7" s="1"/>
  <c r="FI30" i="7" a="1"/>
  <c r="FI30" i="7" s="1"/>
  <c r="FI59" i="7" a="1"/>
  <c r="FI59" i="7" s="1"/>
  <c r="FI58" i="7" a="1"/>
  <c r="FI58" i="7" s="1"/>
  <c r="FI101" i="7" a="1"/>
  <c r="FI101" i="7" s="1"/>
  <c r="FI29" i="7" a="1"/>
  <c r="FI29" i="7" s="1"/>
  <c r="FI79" i="7" a="1"/>
  <c r="FI79" i="7" s="1"/>
  <c r="FI93" i="7" a="1"/>
  <c r="FI93" i="7" s="1"/>
  <c r="FI54" i="7" a="1"/>
  <c r="FI54" i="7" s="1"/>
  <c r="FI62" i="7" a="1"/>
  <c r="FI62" i="7" s="1"/>
  <c r="FI3" i="7" a="1"/>
  <c r="FI3" i="7" s="1"/>
  <c r="FI104" i="7" a="1"/>
  <c r="FI104" i="7" s="1"/>
  <c r="FI99" i="7" a="1"/>
  <c r="FI99" i="7" s="1"/>
  <c r="FI97" i="7" a="1"/>
  <c r="FI97" i="7" s="1"/>
  <c r="FI21" i="7" a="1"/>
  <c r="FI21" i="7" s="1"/>
  <c r="FI5" i="7" a="1"/>
  <c r="FI5" i="7" s="1"/>
  <c r="FI67" i="7" a="1"/>
  <c r="FI67" i="7" s="1"/>
  <c r="FI26" i="7" a="1"/>
  <c r="FI26" i="7" s="1"/>
  <c r="FI96" i="7" a="1"/>
  <c r="FI96" i="7" s="1"/>
  <c r="FI80" i="7" a="1"/>
  <c r="FI80" i="7" s="1"/>
  <c r="FI74" i="7" a="1"/>
  <c r="FI74" i="7" s="1"/>
  <c r="FI46" i="7" a="1"/>
  <c r="FI46" i="7" s="1"/>
  <c r="FI119" i="7" a="1"/>
  <c r="FI119" i="7" s="1"/>
  <c r="FI53" i="7" a="1"/>
  <c r="FI53" i="7" s="1"/>
  <c r="FI100" i="7" a="1"/>
  <c r="FI100" i="7" s="1"/>
  <c r="FI65" i="7" a="1"/>
  <c r="FI65" i="7" s="1"/>
  <c r="FI14" i="7" a="1"/>
  <c r="FI14" i="7" s="1"/>
  <c r="FI114" i="7" a="1"/>
  <c r="FI114" i="7" s="1"/>
  <c r="FI28" i="7" a="1"/>
  <c r="FI28" i="7" s="1"/>
  <c r="FI31" i="7" a="1"/>
  <c r="FI31" i="7" s="1"/>
  <c r="FI22" i="7" a="1"/>
  <c r="FI22" i="7" s="1"/>
  <c r="FI121" i="7" a="1"/>
  <c r="FI121" i="7" s="1"/>
  <c r="FI12" i="7" a="1"/>
  <c r="FI12" i="7" s="1"/>
  <c r="FI32" i="7" a="1"/>
  <c r="FI32" i="7" s="1"/>
  <c r="FI63" i="7" a="1"/>
  <c r="FI63" i="7" s="1"/>
  <c r="FI86" i="7" a="1"/>
  <c r="FI86" i="7" s="1"/>
  <c r="FI1" i="7" a="1"/>
  <c r="FI1" i="7" s="1"/>
  <c r="FI106" i="7" a="1"/>
  <c r="FI106" i="7" s="1"/>
  <c r="FI68" i="7" a="1"/>
  <c r="FI68" i="7" s="1"/>
  <c r="FI72" i="7" a="1"/>
  <c r="FI72" i="7" s="1"/>
  <c r="FI17" i="7" a="1"/>
  <c r="FI17" i="7" s="1"/>
  <c r="FI90" i="7" a="1"/>
  <c r="FI90" i="7" s="1"/>
  <c r="FI120" i="7" a="1"/>
  <c r="FI120" i="7" s="1"/>
  <c r="FI118" i="7" a="1"/>
  <c r="FI118" i="7" s="1"/>
  <c r="FI19" i="7" a="1"/>
  <c r="FI19" i="7" s="1"/>
  <c r="FI27" i="7" a="1"/>
  <c r="FI27" i="7" s="1"/>
  <c r="FI75" i="7" a="1"/>
  <c r="FI75" i="7" s="1"/>
  <c r="FI4" i="7" a="1"/>
  <c r="FI4" i="7" s="1"/>
  <c r="FI18" i="7" a="1"/>
  <c r="FI18" i="7" s="1"/>
  <c r="FI39" i="7" a="1"/>
  <c r="FI39" i="7" s="1"/>
  <c r="FI70" i="7" a="1"/>
  <c r="FI70" i="7" s="1"/>
  <c r="FJ2" i="7" a="1"/>
  <c r="FR2" i="7" a="1"/>
  <c r="FO2" i="7" a="1"/>
  <c r="FQ2" i="7" a="1"/>
  <c r="FP2" i="7" a="1"/>
  <c r="FL2" i="7" a="1"/>
  <c r="FS2" i="7" a="1"/>
  <c r="FN2" i="7" a="1"/>
  <c r="FK2" i="7" a="1"/>
  <c r="FL20" i="7" a="1"/>
  <c r="FQ20" i="7" a="1"/>
  <c r="FP20" i="7" a="1"/>
  <c r="FJ20" i="7" a="1"/>
  <c r="FS20" i="7" a="1"/>
  <c r="FO20" i="7" a="1"/>
  <c r="FK20" i="7" a="1"/>
  <c r="FR20" i="7" a="1"/>
  <c r="FN20" i="7" a="1"/>
  <c r="FP45" i="7" a="1"/>
  <c r="FN45" i="7" a="1"/>
  <c r="FO45" i="7" a="1"/>
  <c r="FR45" i="7" a="1"/>
  <c r="FQ45" i="7" a="1"/>
  <c r="FJ45" i="7" a="1"/>
  <c r="FS45" i="7" a="1"/>
  <c r="FL45" i="7" a="1"/>
  <c r="FK45" i="7" a="1"/>
  <c r="FP25" i="7" a="1"/>
  <c r="FR25" i="7" a="1"/>
  <c r="FJ25" i="7" a="1"/>
  <c r="FN25" i="7" a="1"/>
  <c r="FS25" i="7" a="1"/>
  <c r="FQ25" i="7" a="1"/>
  <c r="FK25" i="7" a="1"/>
  <c r="FO25" i="7" a="1"/>
  <c r="FL25" i="7" a="1"/>
  <c r="FN50" i="7" a="1"/>
  <c r="FS50" i="7" a="1"/>
  <c r="FR50" i="7" a="1"/>
  <c r="FL50" i="7" a="1"/>
  <c r="FK50" i="7" a="1"/>
  <c r="FP50" i="7" a="1"/>
  <c r="FJ50" i="7" a="1"/>
  <c r="FQ50" i="7" a="1"/>
  <c r="FO50" i="7" a="1"/>
  <c r="FR3" i="7" a="1"/>
  <c r="FN3" i="7" a="1"/>
  <c r="FL3" i="7" a="1"/>
  <c r="FQ3" i="7" a="1"/>
  <c r="FS3" i="7" a="1"/>
  <c r="FP3" i="7" a="1"/>
  <c r="FO3" i="7" a="1"/>
  <c r="FK3" i="7" a="1"/>
  <c r="FJ3" i="7" a="1"/>
  <c r="FQ14" i="7" a="1"/>
  <c r="FN14" i="7" a="1"/>
  <c r="FO14" i="7" a="1"/>
  <c r="FS14" i="7" a="1"/>
  <c r="FK14" i="7" a="1"/>
  <c r="FP14" i="7" a="1"/>
  <c r="FJ14" i="7" a="1"/>
  <c r="FL14" i="7" a="1"/>
  <c r="FR14" i="7" a="1"/>
  <c r="FP23" i="7" a="1"/>
  <c r="FN23" i="7" a="1"/>
  <c r="FK23" i="7" a="1"/>
  <c r="FQ23" i="7" a="1"/>
  <c r="FO23" i="7" a="1"/>
  <c r="FS23" i="7" a="1"/>
  <c r="FL23" i="7" a="1"/>
  <c r="FJ23" i="7" a="1"/>
  <c r="FR23" i="7" a="1"/>
  <c r="FQ51" i="7" a="1"/>
  <c r="FL51" i="7" a="1"/>
  <c r="FP51" i="7" a="1"/>
  <c r="FJ51" i="7" a="1"/>
  <c r="FR51" i="7" a="1"/>
  <c r="FS51" i="7" a="1"/>
  <c r="FO51" i="7" a="1"/>
  <c r="FN51" i="7" a="1"/>
  <c r="FK51" i="7" a="1"/>
  <c r="FS16" i="7" a="1"/>
  <c r="FN16" i="7" a="1"/>
  <c r="FR16" i="7" a="1"/>
  <c r="FO16" i="7" a="1"/>
  <c r="FK16" i="7" a="1"/>
  <c r="FP16" i="7" a="1"/>
  <c r="FJ16" i="7" a="1"/>
  <c r="FQ16" i="7" a="1"/>
  <c r="FL16" i="7" a="1"/>
  <c r="FS58" i="7" a="1"/>
  <c r="FN58" i="7" a="1"/>
  <c r="FJ58" i="7" a="1"/>
  <c r="FR58" i="7" a="1"/>
  <c r="FP58" i="7" a="1"/>
  <c r="FK58" i="7" a="1"/>
  <c r="FQ58" i="7" a="1"/>
  <c r="FO58" i="7" a="1"/>
  <c r="FL58" i="7" a="1"/>
  <c r="FJ1" i="7" a="1"/>
  <c r="FS1" i="7" a="1"/>
  <c r="FK1" i="7" a="1"/>
  <c r="FN1" i="7" a="1"/>
  <c r="FP1" i="7" a="1"/>
  <c r="FQ1" i="7" a="1"/>
  <c r="FR1" i="7" a="1"/>
  <c r="FL1" i="7" a="1"/>
  <c r="FO1" i="7" a="1"/>
  <c r="FO55" i="7" a="1"/>
  <c r="FJ55" i="7" a="1"/>
  <c r="FR55" i="7" a="1"/>
  <c r="FL55" i="7" a="1"/>
  <c r="FQ55" i="7" a="1"/>
  <c r="FN55" i="7" a="1"/>
  <c r="FS55" i="7" a="1"/>
  <c r="FK55" i="7" a="1"/>
  <c r="FP55" i="7" a="1"/>
  <c r="FP44" i="7" a="1"/>
  <c r="FQ44" i="7" a="1"/>
  <c r="FR44" i="7" a="1"/>
  <c r="FL44" i="7" a="1"/>
  <c r="FO44" i="7" a="1"/>
  <c r="FJ44" i="7" a="1"/>
  <c r="FN44" i="7" a="1"/>
  <c r="FS44" i="7" a="1"/>
  <c r="FK44" i="7" a="1"/>
  <c r="FR28" i="7" a="1"/>
  <c r="FO28" i="7" a="1"/>
  <c r="FS28" i="7" a="1"/>
  <c r="FL28" i="7" a="1"/>
  <c r="FP28" i="7" a="1"/>
  <c r="FQ28" i="7" a="1"/>
  <c r="FK28" i="7" a="1"/>
  <c r="FJ28" i="7" a="1"/>
  <c r="FN28" i="7" a="1"/>
  <c r="FN8" i="7" a="1"/>
  <c r="FR8" i="7" a="1"/>
  <c r="FQ8" i="7" a="1"/>
  <c r="FK8" i="7" a="1"/>
  <c r="FP8" i="7" a="1"/>
  <c r="FO8" i="7" a="1"/>
  <c r="FJ8" i="7" a="1"/>
  <c r="FL8" i="7" a="1"/>
  <c r="FS8" i="7" a="1"/>
  <c r="FQ42" i="7" a="1"/>
  <c r="FP42" i="7" a="1"/>
  <c r="FN42" i="7" a="1"/>
  <c r="FR42" i="7" a="1"/>
  <c r="FJ42" i="7" a="1"/>
  <c r="FK42" i="7" a="1"/>
  <c r="FO42" i="7" a="1"/>
  <c r="FL42" i="7" a="1"/>
  <c r="FS42" i="7" a="1"/>
  <c r="FO33" i="7" a="1"/>
  <c r="FP33" i="7" a="1"/>
  <c r="FJ33" i="7" a="1"/>
  <c r="FK33" i="7" a="1"/>
  <c r="FN33" i="7" a="1"/>
  <c r="FL33" i="7" a="1"/>
  <c r="FQ33" i="7" a="1"/>
  <c r="FR33" i="7" a="1"/>
  <c r="FS33" i="7" a="1"/>
  <c r="FN41" i="7" a="1"/>
  <c r="FQ41" i="7" a="1"/>
  <c r="FL41" i="7" a="1"/>
  <c r="FO41" i="7" a="1"/>
  <c r="FS41" i="7" a="1"/>
  <c r="FR41" i="7" a="1"/>
  <c r="FP41" i="7" a="1"/>
  <c r="FK41" i="7" a="1"/>
  <c r="FJ41" i="7" a="1"/>
  <c r="FL29" i="7" a="1"/>
  <c r="FS29" i="7" a="1"/>
  <c r="FO29" i="7" a="1"/>
  <c r="FQ29" i="7" a="1"/>
  <c r="FJ29" i="7" a="1"/>
  <c r="FP29" i="7" a="1"/>
  <c r="FK29" i="7" a="1"/>
  <c r="FN29" i="7" a="1"/>
  <c r="FR29" i="7" a="1"/>
  <c r="FS46" i="7" a="1"/>
  <c r="FO46" i="7" a="1"/>
  <c r="FQ46" i="7" a="1"/>
  <c r="FP46" i="7" a="1"/>
  <c r="FL46" i="7" a="1"/>
  <c r="FR46" i="7" a="1"/>
  <c r="FK46" i="7" a="1"/>
  <c r="FN46" i="7" a="1"/>
  <c r="FJ46" i="7" a="1"/>
  <c r="FK31" i="7" a="1"/>
  <c r="FL31" i="7" a="1"/>
  <c r="FQ31" i="7" a="1"/>
  <c r="FP31" i="7" a="1"/>
  <c r="FR31" i="7" a="1"/>
  <c r="FJ31" i="7" a="1"/>
  <c r="FO31" i="7" a="1"/>
  <c r="FS31" i="7" a="1"/>
  <c r="FN31" i="7" a="1"/>
  <c r="FL27" i="7" a="1"/>
  <c r="FK27" i="7" a="1"/>
  <c r="FO27" i="7" a="1"/>
  <c r="FR27" i="7" a="1"/>
  <c r="FQ27" i="7" a="1"/>
  <c r="FN27" i="7" a="1"/>
  <c r="FJ27" i="7" a="1"/>
  <c r="FP27" i="7" a="1"/>
  <c r="FS27" i="7" a="1"/>
  <c r="FK56" i="7" a="1"/>
  <c r="FR56" i="7" a="1"/>
  <c r="FJ56" i="7" a="1"/>
  <c r="FN56" i="7" a="1"/>
  <c r="FO56" i="7" a="1"/>
  <c r="FQ56" i="7" a="1"/>
  <c r="FS56" i="7" a="1"/>
  <c r="FL56" i="7" a="1"/>
  <c r="FP56" i="7" a="1"/>
  <c r="FR43" i="7" a="1"/>
  <c r="FS43" i="7" a="1"/>
  <c r="FQ43" i="7" a="1"/>
  <c r="FL43" i="7" a="1"/>
  <c r="FP43" i="7" a="1"/>
  <c r="FO43" i="7" a="1"/>
  <c r="FK43" i="7" a="1"/>
  <c r="FN43" i="7" a="1"/>
  <c r="FJ43" i="7" a="1"/>
  <c r="FL48" i="7" a="1"/>
  <c r="FK48" i="7" a="1"/>
  <c r="FO48" i="7" a="1"/>
  <c r="FQ48" i="7" a="1"/>
  <c r="FR48" i="7" a="1"/>
  <c r="FN48" i="7" a="1"/>
  <c r="FJ48" i="7" a="1"/>
  <c r="FP48" i="7" a="1"/>
  <c r="FS48" i="7" a="1"/>
  <c r="FJ34" i="7" a="1"/>
  <c r="FL34" i="7" a="1"/>
  <c r="FN34" i="7" a="1"/>
  <c r="FS34" i="7" a="1"/>
  <c r="FK34" i="7" a="1"/>
  <c r="FR34" i="7" a="1"/>
  <c r="FQ34" i="7" a="1"/>
  <c r="FO34" i="7" a="1"/>
  <c r="FP34" i="7" a="1"/>
  <c r="FP37" i="7" a="1"/>
  <c r="FJ37" i="7" a="1"/>
  <c r="FO37" i="7" a="1"/>
  <c r="FN37" i="7" a="1"/>
  <c r="FS37" i="7" a="1"/>
  <c r="FK37" i="7" a="1"/>
  <c r="FL37" i="7" a="1"/>
  <c r="FQ37" i="7" a="1"/>
  <c r="FR37" i="7" a="1"/>
  <c r="FO21" i="7" a="1"/>
  <c r="FL21" i="7" a="1"/>
  <c r="FK21" i="7" a="1"/>
  <c r="FS21" i="7" a="1"/>
  <c r="FQ21" i="7" a="1"/>
  <c r="FN21" i="7" a="1"/>
  <c r="FJ21" i="7" a="1"/>
  <c r="FP21" i="7" a="1"/>
  <c r="FR21" i="7" a="1"/>
  <c r="FQ22" i="7" a="1"/>
  <c r="FS22" i="7" a="1"/>
  <c r="FN22" i="7" a="1"/>
  <c r="FP22" i="7" a="1"/>
  <c r="FO22" i="7" a="1"/>
  <c r="FK22" i="7" a="1"/>
  <c r="FR22" i="7" a="1"/>
  <c r="FJ22" i="7" a="1"/>
  <c r="FL22" i="7" a="1"/>
  <c r="FS36" i="7" a="1"/>
  <c r="FL36" i="7" a="1"/>
  <c r="FO36" i="7" a="1"/>
  <c r="FP36" i="7" a="1"/>
  <c r="FQ36" i="7" a="1"/>
  <c r="FJ36" i="7" a="1"/>
  <c r="FK36" i="7" a="1"/>
  <c r="FN36" i="7" a="1"/>
  <c r="FR36" i="7" a="1"/>
  <c r="FR9" i="7" a="1"/>
  <c r="FK9" i="7" a="1"/>
  <c r="FL9" i="7" a="1"/>
  <c r="FS9" i="7" a="1"/>
  <c r="FP9" i="7" a="1"/>
  <c r="FO9" i="7" a="1"/>
  <c r="FJ9" i="7" a="1"/>
  <c r="FN9" i="7" a="1"/>
  <c r="FQ9" i="7" a="1"/>
  <c r="FJ10" i="7" a="1"/>
  <c r="FK10" i="7" a="1"/>
  <c r="FL10" i="7" a="1"/>
  <c r="FN10" i="7" a="1"/>
  <c r="FR10" i="7" a="1"/>
  <c r="FP10" i="7" a="1"/>
  <c r="FQ10" i="7" a="1"/>
  <c r="FS10" i="7" a="1"/>
  <c r="FO10" i="7" a="1"/>
  <c r="FJ24" i="7" a="1"/>
  <c r="FL24" i="7" a="1"/>
  <c r="FK24" i="7" a="1"/>
  <c r="FN24" i="7" a="1"/>
  <c r="FR24" i="7" a="1"/>
  <c r="FQ24" i="7" a="1"/>
  <c r="FS24" i="7" a="1"/>
  <c r="FO24" i="7" a="1"/>
  <c r="FP24" i="7" a="1"/>
  <c r="FP5" i="7" a="1"/>
  <c r="FO5" i="7" a="1"/>
  <c r="FL5" i="7" a="1"/>
  <c r="FS5" i="7" a="1"/>
  <c r="FR5" i="7" a="1"/>
  <c r="FN5" i="7" a="1"/>
  <c r="FJ5" i="7" a="1"/>
  <c r="FQ5" i="7" a="1"/>
  <c r="FK5" i="7" a="1"/>
  <c r="FP53" i="7" a="1"/>
  <c r="FJ53" i="7" a="1"/>
  <c r="FO53" i="7" a="1"/>
  <c r="FR53" i="7" a="1"/>
  <c r="FL53" i="7" a="1"/>
  <c r="FK53" i="7" a="1"/>
  <c r="FQ53" i="7" a="1"/>
  <c r="FS53" i="7" a="1"/>
  <c r="FN53" i="7" a="1"/>
  <c r="FL4" i="7" a="1"/>
  <c r="FO4" i="7" a="1"/>
  <c r="FP4" i="7" a="1"/>
  <c r="FS4" i="7" a="1"/>
  <c r="FQ4" i="7" a="1"/>
  <c r="FJ4" i="7" a="1"/>
  <c r="FK4" i="7" a="1"/>
  <c r="FN4" i="7" a="1"/>
  <c r="FR4" i="7" a="1"/>
  <c r="FL19" i="7" a="1"/>
  <c r="FP19" i="7" a="1"/>
  <c r="FJ19" i="7" a="1"/>
  <c r="FK19" i="7" a="1"/>
  <c r="FQ19" i="7" a="1"/>
  <c r="FO19" i="7" a="1"/>
  <c r="FN19" i="7" a="1"/>
  <c r="FR19" i="7" a="1"/>
  <c r="FS19" i="7" a="1"/>
  <c r="FK38" i="7" a="1"/>
  <c r="FQ38" i="7" a="1"/>
  <c r="FJ38" i="7" a="1"/>
  <c r="FN38" i="7" a="1"/>
  <c r="FO38" i="7" a="1"/>
  <c r="FS38" i="7" a="1"/>
  <c r="FR38" i="7" a="1"/>
  <c r="FL38" i="7" a="1"/>
  <c r="FP38" i="7" a="1"/>
  <c r="FP13" i="7" a="1"/>
  <c r="FS13" i="7" a="1"/>
  <c r="FN13" i="7" a="1"/>
  <c r="FO13" i="7" a="1"/>
  <c r="FK13" i="7" a="1"/>
  <c r="FR13" i="7" a="1"/>
  <c r="FQ13" i="7" a="1"/>
  <c r="FL13" i="7" a="1"/>
  <c r="FJ13" i="7" a="1"/>
  <c r="FS11" i="7" a="1"/>
  <c r="FO11" i="7" a="1"/>
  <c r="FK11" i="7" a="1"/>
  <c r="FN11" i="7" a="1"/>
  <c r="FQ11" i="7" a="1"/>
  <c r="FR11" i="7" a="1"/>
  <c r="FL11" i="7" a="1"/>
  <c r="FP11" i="7" a="1"/>
  <c r="FJ11" i="7" a="1"/>
  <c r="FJ7" i="7" a="1"/>
  <c r="FP7" i="7" a="1"/>
  <c r="FR7" i="7" a="1"/>
  <c r="FQ7" i="7" a="1"/>
  <c r="FL7" i="7" a="1"/>
  <c r="FK7" i="7" a="1"/>
  <c r="FO7" i="7" a="1"/>
  <c r="FS7" i="7" a="1"/>
  <c r="FN7" i="7" a="1"/>
  <c r="FP49" i="7" a="1"/>
  <c r="FQ49" i="7" a="1"/>
  <c r="FO49" i="7" a="1"/>
  <c r="FL49" i="7" a="1"/>
  <c r="FR49" i="7" a="1"/>
  <c r="FN49" i="7" a="1"/>
  <c r="FS49" i="7" a="1"/>
  <c r="FJ49" i="7" a="1"/>
  <c r="FK49" i="7" a="1"/>
  <c r="FQ52" i="7" a="1"/>
  <c r="FJ52" i="7" a="1"/>
  <c r="FL52" i="7" a="1"/>
  <c r="FN52" i="7" a="1"/>
  <c r="FO52" i="7" a="1"/>
  <c r="FR52" i="7" a="1"/>
  <c r="FP52" i="7" a="1"/>
  <c r="FS52" i="7" a="1"/>
  <c r="FK52" i="7" a="1"/>
  <c r="FJ54" i="7" a="1"/>
  <c r="FK54" i="7" a="1"/>
  <c r="FN54" i="7" a="1"/>
  <c r="FL54" i="7" a="1"/>
  <c r="FS54" i="7" a="1"/>
  <c r="FP54" i="7" a="1"/>
  <c r="FO54" i="7" a="1"/>
  <c r="FR54" i="7" a="1"/>
  <c r="FQ54" i="7" a="1"/>
  <c r="FL12" i="7" a="1"/>
  <c r="FK12" i="7" a="1"/>
  <c r="FJ12" i="7" a="1"/>
  <c r="FP12" i="7" a="1"/>
  <c r="FS12" i="7" a="1"/>
  <c r="FN12" i="7" a="1"/>
  <c r="FR12" i="7" a="1"/>
  <c r="FQ12" i="7" a="1"/>
  <c r="FO12" i="7" a="1"/>
  <c r="FS17" i="7" a="1"/>
  <c r="FJ17" i="7" a="1"/>
  <c r="FR17" i="7" a="1"/>
  <c r="FK17" i="7" a="1"/>
  <c r="FN17" i="7" a="1"/>
  <c r="FO17" i="7" a="1"/>
  <c r="FQ17" i="7" a="1"/>
  <c r="FP17" i="7" a="1"/>
  <c r="FL17" i="7" a="1"/>
  <c r="FL18" i="7" a="1"/>
  <c r="FJ18" i="7" a="1"/>
  <c r="FK18" i="7" a="1"/>
  <c r="FN18" i="7" a="1"/>
  <c r="FP18" i="7" a="1"/>
  <c r="FO18" i="7" a="1"/>
  <c r="FR18" i="7" a="1"/>
  <c r="FQ18" i="7" a="1"/>
  <c r="FS18" i="7" a="1"/>
  <c r="FJ6" i="7" a="1"/>
  <c r="FS6" i="7" a="1"/>
  <c r="FN6" i="7" a="1"/>
  <c r="FR6" i="7" a="1"/>
  <c r="FQ6" i="7" a="1"/>
  <c r="FK6" i="7" a="1"/>
  <c r="FP6" i="7" a="1"/>
  <c r="FO6" i="7" a="1"/>
  <c r="FL6" i="7" a="1"/>
  <c r="FS47" i="7" a="1"/>
  <c r="FP47" i="7" a="1"/>
  <c r="FL47" i="7" a="1"/>
  <c r="FR47" i="7" a="1"/>
  <c r="FN47" i="7" a="1"/>
  <c r="FO47" i="7" a="1"/>
  <c r="FQ47" i="7" a="1"/>
  <c r="FK47" i="7" a="1"/>
  <c r="FJ47" i="7" a="1"/>
  <c r="FO57" i="7" a="1"/>
  <c r="FR57" i="7" a="1"/>
  <c r="FN57" i="7" a="1"/>
  <c r="FS57" i="7" a="1"/>
  <c r="FQ57" i="7" a="1"/>
  <c r="FP57" i="7" a="1"/>
  <c r="FK57" i="7" a="1"/>
  <c r="FJ57" i="7" a="1"/>
  <c r="FL57" i="7" a="1"/>
  <c r="FL35" i="7" a="1"/>
  <c r="FP35" i="7" a="1"/>
  <c r="FN35" i="7" a="1"/>
  <c r="FO35" i="7" a="1"/>
  <c r="FJ35" i="7" a="1"/>
  <c r="FR35" i="7" a="1"/>
  <c r="FS35" i="7" a="1"/>
  <c r="FK35" i="7" a="1"/>
  <c r="FQ35" i="7" a="1"/>
  <c r="FN40" i="7" a="1"/>
  <c r="FS40" i="7" a="1"/>
  <c r="FR40" i="7" a="1"/>
  <c r="FK40" i="7" a="1"/>
  <c r="FL40" i="7" a="1"/>
  <c r="FJ40" i="7" a="1"/>
  <c r="FQ40" i="7" a="1"/>
  <c r="FO40" i="7" a="1"/>
  <c r="FP40" i="7" a="1"/>
  <c r="FN15" i="7" a="1"/>
  <c r="FJ15" i="7" a="1"/>
  <c r="FP15" i="7" a="1"/>
  <c r="FO15" i="7" a="1"/>
  <c r="FK15" i="7" a="1"/>
  <c r="FS15" i="7" a="1"/>
  <c r="FQ15" i="7" a="1"/>
  <c r="FR15" i="7" a="1"/>
  <c r="FL15" i="7" a="1"/>
  <c r="FN30" i="7" a="1"/>
  <c r="FK30" i="7" a="1"/>
  <c r="FS30" i="7" a="1"/>
  <c r="FO30" i="7" a="1"/>
  <c r="FP30" i="7" a="1"/>
  <c r="FL30" i="7" a="1"/>
  <c r="FJ30" i="7" a="1"/>
  <c r="FR30" i="7" a="1"/>
  <c r="FQ30" i="7" a="1"/>
  <c r="FL26" i="7" a="1"/>
  <c r="FQ26" i="7" a="1"/>
  <c r="FO26" i="7" a="1"/>
  <c r="FN26" i="7" a="1"/>
  <c r="FR26" i="7" a="1"/>
  <c r="FS26" i="7" a="1"/>
  <c r="FJ26" i="7" a="1"/>
  <c r="FP26" i="7" a="1"/>
  <c r="FK26" i="7" a="1"/>
  <c r="FP32" i="7" a="1"/>
  <c r="FO32" i="7" a="1"/>
  <c r="FK32" i="7" a="1"/>
  <c r="FQ32" i="7" a="1"/>
  <c r="FR32" i="7" a="1"/>
  <c r="FJ32" i="7" a="1"/>
  <c r="FS32" i="7" a="1"/>
  <c r="FL32" i="7" a="1"/>
  <c r="FN32" i="7" a="1"/>
  <c r="FQ39" i="7" a="1"/>
  <c r="FK39" i="7" a="1"/>
  <c r="FJ39" i="7" a="1"/>
  <c r="FO39" i="7" a="1"/>
  <c r="FR39" i="7" a="1"/>
  <c r="FN39" i="7" a="1"/>
  <c r="FP39" i="7" a="1"/>
  <c r="FL39" i="7" a="1"/>
  <c r="FS39" i="7" a="1"/>
  <c r="FS39" i="7" l="1"/>
  <c r="FL39" i="7"/>
  <c r="FM39" i="7" s="1" a="1"/>
  <c r="FM39" i="7" s="1"/>
  <c r="FP39" i="7"/>
  <c r="FN39" i="7"/>
  <c r="FR39" i="7"/>
  <c r="FO39" i="7"/>
  <c r="FJ39" i="7"/>
  <c r="FK39" i="7"/>
  <c r="FQ39" i="7"/>
  <c r="FN32" i="7"/>
  <c r="FL32" i="7"/>
  <c r="FM32" i="7" s="1" a="1"/>
  <c r="FM32" i="7" s="1"/>
  <c r="FS32" i="7"/>
  <c r="FJ32" i="7"/>
  <c r="FR32" i="7"/>
  <c r="FQ32" i="7"/>
  <c r="FK32" i="7"/>
  <c r="FO32" i="7"/>
  <c r="FP32" i="7"/>
  <c r="FK26" i="7"/>
  <c r="FP26" i="7"/>
  <c r="FJ26" i="7"/>
  <c r="FS26" i="7"/>
  <c r="FR26" i="7"/>
  <c r="FN26" i="7"/>
  <c r="FO26" i="7"/>
  <c r="FQ26" i="7"/>
  <c r="FL26" i="7"/>
  <c r="FM26" i="7" s="1" a="1"/>
  <c r="FM26" i="7" s="1"/>
  <c r="FQ30" i="7"/>
  <c r="FR30" i="7"/>
  <c r="FJ30" i="7"/>
  <c r="FL30" i="7"/>
  <c r="FM30" i="7" s="1" a="1"/>
  <c r="FM30" i="7" s="1"/>
  <c r="FP30" i="7"/>
  <c r="FO30" i="7"/>
  <c r="FS30" i="7"/>
  <c r="FK30" i="7"/>
  <c r="FN30" i="7"/>
  <c r="FL15" i="7"/>
  <c r="FM15" i="7" s="1" a="1"/>
  <c r="FM15" i="7" s="1"/>
  <c r="FR15" i="7"/>
  <c r="FQ15" i="7"/>
  <c r="FS15" i="7"/>
  <c r="FK15" i="7"/>
  <c r="FO15" i="7"/>
  <c r="FP15" i="7"/>
  <c r="FJ15" i="7"/>
  <c r="FN15" i="7"/>
  <c r="FP40" i="7"/>
  <c r="FO40" i="7"/>
  <c r="FQ40" i="7"/>
  <c r="FJ40" i="7"/>
  <c r="FL40" i="7"/>
  <c r="FM40" i="7" s="1" a="1"/>
  <c r="FM40" i="7" s="1"/>
  <c r="FK40" i="7"/>
  <c r="FR40" i="7"/>
  <c r="FS40" i="7"/>
  <c r="FN40" i="7"/>
  <c r="FQ35" i="7"/>
  <c r="FK35" i="7"/>
  <c r="FS35" i="7"/>
  <c r="FR35" i="7"/>
  <c r="FJ35" i="7"/>
  <c r="FO35" i="7"/>
  <c r="FN35" i="7"/>
  <c r="FP35" i="7"/>
  <c r="FL35" i="7"/>
  <c r="FM35" i="7" s="1" a="1"/>
  <c r="FM35" i="7" s="1"/>
  <c r="FL57" i="7"/>
  <c r="FJ57" i="7"/>
  <c r="FK57" i="7"/>
  <c r="FP57" i="7"/>
  <c r="FQ57" i="7"/>
  <c r="FS57" i="7"/>
  <c r="FN57" i="7"/>
  <c r="FR57" i="7"/>
  <c r="FO57" i="7"/>
  <c r="FJ47" i="7"/>
  <c r="FK47" i="7"/>
  <c r="FQ47" i="7"/>
  <c r="FO47" i="7"/>
  <c r="FN47" i="7"/>
  <c r="FR47" i="7"/>
  <c r="FL47" i="7"/>
  <c r="FM47" i="7" s="1" a="1"/>
  <c r="FM47" i="7" s="1"/>
  <c r="FP47" i="7"/>
  <c r="FS47" i="7"/>
  <c r="FL6" i="7"/>
  <c r="FO6" i="7"/>
  <c r="FP6" i="7"/>
  <c r="FK6" i="7"/>
  <c r="FQ6" i="7"/>
  <c r="FR6" i="7"/>
  <c r="FN6" i="7"/>
  <c r="FS6" i="7"/>
  <c r="FJ6" i="7"/>
  <c r="FS18" i="7"/>
  <c r="FQ18" i="7"/>
  <c r="FR18" i="7"/>
  <c r="FO18" i="7"/>
  <c r="FP18" i="7"/>
  <c r="FN18" i="7"/>
  <c r="FK18" i="7"/>
  <c r="FJ18" i="7"/>
  <c r="FL18" i="7"/>
  <c r="FM18" i="7" s="1" a="1"/>
  <c r="FM18" i="7" s="1"/>
  <c r="FL17" i="7"/>
  <c r="FM17" i="7" s="1" a="1"/>
  <c r="FM17" i="7" s="1"/>
  <c r="FP17" i="7"/>
  <c r="FQ17" i="7"/>
  <c r="FO17" i="7"/>
  <c r="FN17" i="7"/>
  <c r="FK17" i="7"/>
  <c r="FR17" i="7"/>
  <c r="FJ17" i="7"/>
  <c r="FS17" i="7"/>
  <c r="FO12" i="7"/>
  <c r="FQ12" i="7"/>
  <c r="FR12" i="7"/>
  <c r="FN12" i="7"/>
  <c r="FS12" i="7"/>
  <c r="FP12" i="7"/>
  <c r="FJ12" i="7"/>
  <c r="FK12" i="7"/>
  <c r="FL12" i="7"/>
  <c r="FM12" i="7" s="1" a="1"/>
  <c r="FM12" i="7" s="1"/>
  <c r="FQ54" i="7"/>
  <c r="FR54" i="7"/>
  <c r="FO54" i="7"/>
  <c r="FP54" i="7"/>
  <c r="FS54" i="7"/>
  <c r="FL54" i="7"/>
  <c r="FN54" i="7"/>
  <c r="FK54" i="7"/>
  <c r="FJ54" i="7"/>
  <c r="FK52" i="7"/>
  <c r="FS52" i="7"/>
  <c r="FP52" i="7"/>
  <c r="FR52" i="7"/>
  <c r="FO52" i="7"/>
  <c r="FN52" i="7"/>
  <c r="FL52" i="7"/>
  <c r="FJ52" i="7"/>
  <c r="FQ52" i="7"/>
  <c r="FK49" i="7"/>
  <c r="FJ49" i="7"/>
  <c r="FS49" i="7"/>
  <c r="FN49" i="7"/>
  <c r="FR49" i="7"/>
  <c r="FL49" i="7"/>
  <c r="FO49" i="7"/>
  <c r="FQ49" i="7"/>
  <c r="FP49" i="7"/>
  <c r="FN7" i="7"/>
  <c r="FS7" i="7"/>
  <c r="FO7" i="7"/>
  <c r="FK7" i="7"/>
  <c r="FL7" i="7"/>
  <c r="FQ7" i="7"/>
  <c r="FR7" i="7"/>
  <c r="FP7" i="7"/>
  <c r="FJ7" i="7"/>
  <c r="FJ11" i="7"/>
  <c r="FP11" i="7"/>
  <c r="FL11" i="7"/>
  <c r="FR11" i="7"/>
  <c r="FQ11" i="7"/>
  <c r="FN11" i="7"/>
  <c r="FK11" i="7"/>
  <c r="FO11" i="7"/>
  <c r="FS11" i="7"/>
  <c r="FJ13" i="7"/>
  <c r="FL13" i="7"/>
  <c r="FQ13" i="7"/>
  <c r="FR13" i="7"/>
  <c r="FK13" i="7"/>
  <c r="FO13" i="7"/>
  <c r="FN13" i="7"/>
  <c r="FS13" i="7"/>
  <c r="FP13" i="7"/>
  <c r="FP38" i="7"/>
  <c r="FL38" i="7"/>
  <c r="FM38" i="7" s="1" a="1"/>
  <c r="FM38" i="7" s="1"/>
  <c r="FR38" i="7"/>
  <c r="FS38" i="7"/>
  <c r="FO38" i="7"/>
  <c r="FN38" i="7"/>
  <c r="FJ38" i="7"/>
  <c r="FQ38" i="7"/>
  <c r="FK38" i="7"/>
  <c r="FS19" i="7"/>
  <c r="FR19" i="7"/>
  <c r="FN19" i="7"/>
  <c r="FO19" i="7"/>
  <c r="FQ19" i="7"/>
  <c r="FK19" i="7"/>
  <c r="FJ19" i="7"/>
  <c r="FP19" i="7"/>
  <c r="FL19" i="7"/>
  <c r="FM19" i="7" s="1" a="1"/>
  <c r="FM19" i="7" s="1"/>
  <c r="FR4" i="7"/>
  <c r="FN4" i="7"/>
  <c r="FK4" i="7"/>
  <c r="FJ4" i="7"/>
  <c r="FQ4" i="7"/>
  <c r="FS4" i="7"/>
  <c r="FP4" i="7"/>
  <c r="FO4" i="7"/>
  <c r="FL4" i="7"/>
  <c r="FN53" i="7"/>
  <c r="FS53" i="7"/>
  <c r="FQ53" i="7"/>
  <c r="FK53" i="7"/>
  <c r="FL53" i="7"/>
  <c r="FR53" i="7"/>
  <c r="FO53" i="7"/>
  <c r="FJ53" i="7"/>
  <c r="FP53" i="7"/>
  <c r="FK5" i="7"/>
  <c r="FQ5" i="7"/>
  <c r="FJ5" i="7"/>
  <c r="FN5" i="7"/>
  <c r="FR5" i="7"/>
  <c r="FS5" i="7"/>
  <c r="FL5" i="7"/>
  <c r="FO5" i="7"/>
  <c r="FP5" i="7"/>
  <c r="FP24" i="7"/>
  <c r="FO24" i="7"/>
  <c r="FS24" i="7"/>
  <c r="FQ24" i="7"/>
  <c r="FR24" i="7"/>
  <c r="FN24" i="7"/>
  <c r="FK24" i="7"/>
  <c r="FL24" i="7"/>
  <c r="FM24" i="7" s="1" a="1"/>
  <c r="FM24" i="7" s="1"/>
  <c r="FJ24" i="7"/>
  <c r="FO10" i="7"/>
  <c r="FS10" i="7"/>
  <c r="FQ10" i="7"/>
  <c r="FP10" i="7"/>
  <c r="FR10" i="7"/>
  <c r="FN10" i="7"/>
  <c r="FL10" i="7"/>
  <c r="FM10" i="7" s="1" a="1"/>
  <c r="FM10" i="7" s="1"/>
  <c r="FK10" i="7"/>
  <c r="FJ10" i="7"/>
  <c r="FQ9" i="7"/>
  <c r="FN9" i="7"/>
  <c r="FJ9" i="7"/>
  <c r="FO9" i="7"/>
  <c r="FP9" i="7"/>
  <c r="FS9" i="7"/>
  <c r="FL9" i="7"/>
  <c r="FM9" i="7" s="1" a="1"/>
  <c r="FM9" i="7" s="1"/>
  <c r="FK9" i="7"/>
  <c r="FR9" i="7"/>
  <c r="FR36" i="7"/>
  <c r="FN36" i="7"/>
  <c r="FK36" i="7"/>
  <c r="FJ36" i="7"/>
  <c r="FQ36" i="7"/>
  <c r="FP36" i="7"/>
  <c r="FO36" i="7"/>
  <c r="FL36" i="7"/>
  <c r="FM36" i="7" s="1" a="1"/>
  <c r="FM36" i="7" s="1"/>
  <c r="FS36" i="7"/>
  <c r="FL22" i="7"/>
  <c r="FJ22" i="7"/>
  <c r="FR22" i="7"/>
  <c r="FK22" i="7"/>
  <c r="FO22" i="7"/>
  <c r="FP22" i="7"/>
  <c r="FN22" i="7"/>
  <c r="FS22" i="7"/>
  <c r="FQ22" i="7"/>
  <c r="FR21" i="7"/>
  <c r="FP21" i="7"/>
  <c r="FJ21" i="7"/>
  <c r="FN21" i="7"/>
  <c r="FQ21" i="7"/>
  <c r="FS21" i="7"/>
  <c r="FK21" i="7"/>
  <c r="FL21" i="7"/>
  <c r="FM21" i="7" s="1" a="1"/>
  <c r="FM21" i="7" s="1"/>
  <c r="FO21" i="7"/>
  <c r="FR37" i="7"/>
  <c r="FQ37" i="7"/>
  <c r="FL37" i="7"/>
  <c r="FM37" i="7" s="1" a="1"/>
  <c r="FM37" i="7" s="1"/>
  <c r="FK37" i="7"/>
  <c r="FS37" i="7"/>
  <c r="FN37" i="7"/>
  <c r="FO37" i="7"/>
  <c r="FJ37" i="7"/>
  <c r="FP37" i="7"/>
  <c r="FP34" i="7"/>
  <c r="FO34" i="7"/>
  <c r="FQ34" i="7"/>
  <c r="FR34" i="7"/>
  <c r="FK34" i="7"/>
  <c r="FS34" i="7"/>
  <c r="FN34" i="7"/>
  <c r="FL34" i="7"/>
  <c r="FM34" i="7" s="1" a="1"/>
  <c r="FM34" i="7" s="1"/>
  <c r="FJ34" i="7"/>
  <c r="FS48" i="7"/>
  <c r="FP48" i="7"/>
  <c r="FJ48" i="7"/>
  <c r="FN48" i="7"/>
  <c r="FR48" i="7"/>
  <c r="FQ48" i="7"/>
  <c r="FO48" i="7"/>
  <c r="FK48" i="7"/>
  <c r="FL48" i="7"/>
  <c r="FJ43" i="7"/>
  <c r="FN43" i="7"/>
  <c r="FK43" i="7"/>
  <c r="FO43" i="7"/>
  <c r="FP43" i="7"/>
  <c r="FL43" i="7"/>
  <c r="FM43" i="7" s="1" a="1"/>
  <c r="FM43" i="7" s="1"/>
  <c r="FQ43" i="7"/>
  <c r="FS43" i="7"/>
  <c r="FR43" i="7"/>
  <c r="FP56" i="7"/>
  <c r="FL56" i="7"/>
  <c r="FS56" i="7"/>
  <c r="FQ56" i="7"/>
  <c r="FO56" i="7"/>
  <c r="FN56" i="7"/>
  <c r="FJ56" i="7"/>
  <c r="FR56" i="7"/>
  <c r="FK56" i="7"/>
  <c r="FS27" i="7"/>
  <c r="FP27" i="7"/>
  <c r="FJ27" i="7"/>
  <c r="FN27" i="7"/>
  <c r="FQ27" i="7"/>
  <c r="FR27" i="7"/>
  <c r="FO27" i="7"/>
  <c r="FK27" i="7"/>
  <c r="FL27" i="7"/>
  <c r="FM27" i="7" s="1" a="1"/>
  <c r="FM27" i="7" s="1"/>
  <c r="FN31" i="7"/>
  <c r="FS31" i="7"/>
  <c r="FO31" i="7"/>
  <c r="FJ31" i="7"/>
  <c r="FR31" i="7"/>
  <c r="FP31" i="7"/>
  <c r="FQ31" i="7"/>
  <c r="FL31" i="7"/>
  <c r="FK31" i="7"/>
  <c r="FJ46" i="7"/>
  <c r="FN46" i="7"/>
  <c r="FK46" i="7"/>
  <c r="FR46" i="7"/>
  <c r="FL46" i="7"/>
  <c r="FM46" i="7" s="1" a="1"/>
  <c r="FM46" i="7" s="1"/>
  <c r="FP46" i="7"/>
  <c r="FQ46" i="7"/>
  <c r="FO46" i="7"/>
  <c r="FS46" i="7"/>
  <c r="FR29" i="7"/>
  <c r="FN29" i="7"/>
  <c r="FK29" i="7"/>
  <c r="FP29" i="7"/>
  <c r="FJ29" i="7"/>
  <c r="FQ29" i="7"/>
  <c r="FO29" i="7"/>
  <c r="FS29" i="7"/>
  <c r="FL29" i="7"/>
  <c r="FM29" i="7" s="1" a="1"/>
  <c r="FM29" i="7" s="1"/>
  <c r="FJ41" i="7"/>
  <c r="FK41" i="7"/>
  <c r="FP41" i="7"/>
  <c r="FR41" i="7"/>
  <c r="FS41" i="7"/>
  <c r="FO41" i="7"/>
  <c r="FL41" i="7"/>
  <c r="FM41" i="7" s="1" a="1"/>
  <c r="FM41" i="7" s="1"/>
  <c r="FQ41" i="7"/>
  <c r="FN41" i="7"/>
  <c r="FS33" i="7"/>
  <c r="FR33" i="7"/>
  <c r="FQ33" i="7"/>
  <c r="FL33" i="7"/>
  <c r="FM33" i="7" s="1" a="1"/>
  <c r="FM33" i="7" s="1"/>
  <c r="FN33" i="7"/>
  <c r="FK33" i="7"/>
  <c r="FJ33" i="7"/>
  <c r="FP33" i="7"/>
  <c r="FO33" i="7"/>
  <c r="FS42" i="7"/>
  <c r="FL42" i="7"/>
  <c r="FM42" i="7" s="1" a="1"/>
  <c r="FM42" i="7" s="1"/>
  <c r="FO42" i="7"/>
  <c r="FK42" i="7"/>
  <c r="FJ42" i="7"/>
  <c r="FR42" i="7"/>
  <c r="FN42" i="7"/>
  <c r="FP42" i="7"/>
  <c r="FQ42" i="7"/>
  <c r="FS8" i="7"/>
  <c r="FL8" i="7"/>
  <c r="FJ8" i="7"/>
  <c r="FO8" i="7"/>
  <c r="FP8" i="7"/>
  <c r="FK8" i="7"/>
  <c r="FQ8" i="7"/>
  <c r="FR8" i="7"/>
  <c r="FN8" i="7"/>
  <c r="FN28" i="7"/>
  <c r="FJ28" i="7"/>
  <c r="FK28" i="7"/>
  <c r="FQ28" i="7"/>
  <c r="FP28" i="7"/>
  <c r="FL28" i="7"/>
  <c r="FM28" i="7" s="1" a="1"/>
  <c r="FM28" i="7" s="1"/>
  <c r="FS28" i="7"/>
  <c r="FO28" i="7"/>
  <c r="FR28" i="7"/>
  <c r="FK44" i="7"/>
  <c r="FS44" i="7"/>
  <c r="FN44" i="7"/>
  <c r="FJ44" i="7"/>
  <c r="FO44" i="7"/>
  <c r="FL44" i="7"/>
  <c r="FM44" i="7" s="1" a="1"/>
  <c r="FM44" i="7" s="1"/>
  <c r="FR44" i="7"/>
  <c r="FQ44" i="7"/>
  <c r="FP44" i="7"/>
  <c r="FP55" i="7"/>
  <c r="FK55" i="7"/>
  <c r="FS55" i="7"/>
  <c r="FN55" i="7"/>
  <c r="FQ55" i="7"/>
  <c r="FL55" i="7"/>
  <c r="FR55" i="7"/>
  <c r="FJ55" i="7"/>
  <c r="FO55" i="7"/>
  <c r="FO1" i="7"/>
  <c r="FL1" i="7"/>
  <c r="FR1" i="7"/>
  <c r="FQ1" i="7"/>
  <c r="FP1" i="7"/>
  <c r="FN1" i="7"/>
  <c r="FK1" i="7"/>
  <c r="FS1" i="7"/>
  <c r="FJ1" i="7"/>
  <c r="FL58" i="7"/>
  <c r="FO58" i="7"/>
  <c r="FQ58" i="7"/>
  <c r="FK58" i="7"/>
  <c r="FP58" i="7"/>
  <c r="FR58" i="7"/>
  <c r="FJ58" i="7"/>
  <c r="FN58" i="7"/>
  <c r="FS58" i="7"/>
  <c r="FL16" i="7"/>
  <c r="FM16" i="7" s="1" a="1"/>
  <c r="FM16" i="7" s="1"/>
  <c r="FQ16" i="7"/>
  <c r="FJ16" i="7"/>
  <c r="FP16" i="7"/>
  <c r="FK16" i="7"/>
  <c r="FO16" i="7"/>
  <c r="FR16" i="7"/>
  <c r="FN16" i="7"/>
  <c r="FS16" i="7"/>
  <c r="FK51" i="7"/>
  <c r="FN51" i="7"/>
  <c r="FO51" i="7"/>
  <c r="FS51" i="7"/>
  <c r="FR51" i="7"/>
  <c r="FJ51" i="7"/>
  <c r="FP51" i="7"/>
  <c r="FL51" i="7"/>
  <c r="FQ51" i="7"/>
  <c r="FR23" i="7"/>
  <c r="FJ23" i="7"/>
  <c r="FL23" i="7"/>
  <c r="FM23" i="7" s="1" a="1"/>
  <c r="FM23" i="7" s="1"/>
  <c r="FS23" i="7"/>
  <c r="FO23" i="7"/>
  <c r="FQ23" i="7"/>
  <c r="FK23" i="7"/>
  <c r="FN23" i="7"/>
  <c r="FP23" i="7"/>
  <c r="FR14" i="7"/>
  <c r="FL14" i="7"/>
  <c r="FM14" i="7" s="1" a="1"/>
  <c r="FM14" i="7" s="1"/>
  <c r="FJ14" i="7"/>
  <c r="FP14" i="7"/>
  <c r="FK14" i="7"/>
  <c r="FS14" i="7"/>
  <c r="FO14" i="7"/>
  <c r="FN14" i="7"/>
  <c r="FQ14" i="7"/>
  <c r="FJ3" i="7"/>
  <c r="FK3" i="7"/>
  <c r="FO3" i="7"/>
  <c r="FP3" i="7"/>
  <c r="FS3" i="7"/>
  <c r="FQ3" i="7"/>
  <c r="FL3" i="7"/>
  <c r="FN3" i="7"/>
  <c r="FR3" i="7"/>
  <c r="FO50" i="7"/>
  <c r="FQ50" i="7"/>
  <c r="FJ50" i="7"/>
  <c r="FP50" i="7"/>
  <c r="FK50" i="7"/>
  <c r="FL50" i="7"/>
  <c r="FR50" i="7"/>
  <c r="FS50" i="7"/>
  <c r="FN50" i="7"/>
  <c r="FL25" i="7"/>
  <c r="FM25" i="7" s="1" a="1"/>
  <c r="FM25" i="7" s="1"/>
  <c r="FO25" i="7"/>
  <c r="FK25" i="7"/>
  <c r="FQ25" i="7"/>
  <c r="FS25" i="7"/>
  <c r="FN25" i="7"/>
  <c r="FJ25" i="7"/>
  <c r="FR25" i="7"/>
  <c r="FP25" i="7"/>
  <c r="FK45" i="7"/>
  <c r="FL45" i="7"/>
  <c r="FM45" i="7" s="1" a="1"/>
  <c r="FM45" i="7" s="1"/>
  <c r="FS45" i="7"/>
  <c r="FJ45" i="7"/>
  <c r="FQ45" i="7"/>
  <c r="FR45" i="7"/>
  <c r="FO45" i="7"/>
  <c r="FN45" i="7"/>
  <c r="FP45" i="7"/>
  <c r="FN20" i="7"/>
  <c r="FR20" i="7"/>
  <c r="FK20" i="7"/>
  <c r="FO20" i="7"/>
  <c r="FS20" i="7"/>
  <c r="FJ20" i="7"/>
  <c r="FP20" i="7"/>
  <c r="FQ20" i="7"/>
  <c r="FL20" i="7"/>
  <c r="FM20" i="7" s="1" a="1"/>
  <c r="FM20" i="7" s="1"/>
  <c r="FK2" i="7"/>
  <c r="FN2" i="7"/>
  <c r="FS2" i="7"/>
  <c r="FL2" i="7"/>
  <c r="FP2" i="7"/>
  <c r="FQ2" i="7"/>
  <c r="FO2" i="7"/>
  <c r="FR2" i="7"/>
  <c r="FJ2" i="7"/>
  <c r="FP90" i="7" a="1"/>
  <c r="FP90" i="7" s="1"/>
  <c r="FO90" i="7" a="1"/>
  <c r="FO90" i="7" s="1"/>
  <c r="FR90" i="7" a="1"/>
  <c r="FR90" i="7" s="1"/>
  <c r="FK90" i="7" a="1"/>
  <c r="FK90" i="7" s="1"/>
  <c r="FL90" i="7" a="1"/>
  <c r="FL90" i="7" s="1"/>
  <c r="FM90" i="7" a="1"/>
  <c r="FM90" i="7" s="1"/>
  <c r="FS90" i="7" a="1"/>
  <c r="FS90" i="7" s="1"/>
  <c r="FJ90" i="7" a="1"/>
  <c r="FJ90" i="7" s="1"/>
  <c r="FN90" i="7" a="1"/>
  <c r="FN90" i="7" s="1"/>
  <c r="FQ90" i="7" a="1"/>
  <c r="FQ90" i="7" s="1"/>
  <c r="FQ65" i="7" a="1"/>
  <c r="FQ65" i="7" s="1"/>
  <c r="FS65" i="7" a="1"/>
  <c r="FS65" i="7" s="1"/>
  <c r="FO65" i="7" a="1"/>
  <c r="FO65" i="7" s="1"/>
  <c r="FP65" i="7" a="1"/>
  <c r="FP65" i="7" s="1"/>
  <c r="FJ65" i="7" a="1"/>
  <c r="FJ65" i="7" s="1"/>
  <c r="FM65" i="7" a="1"/>
  <c r="FM65" i="7" s="1"/>
  <c r="FK65" i="7" a="1"/>
  <c r="FK65" i="7" s="1"/>
  <c r="FL65" i="7" a="1"/>
  <c r="FL65" i="7" s="1"/>
  <c r="FR65" i="7" a="1"/>
  <c r="FR65" i="7" s="1"/>
  <c r="FN65" i="7" a="1"/>
  <c r="FN65" i="7" s="1"/>
  <c r="FJ62" i="7" a="1"/>
  <c r="FJ62" i="7" s="1"/>
  <c r="FP62" i="7" a="1"/>
  <c r="FP62" i="7" s="1"/>
  <c r="FN62" i="7" a="1"/>
  <c r="FN62" i="7" s="1"/>
  <c r="FQ62" i="7" a="1"/>
  <c r="FQ62" i="7" s="1"/>
  <c r="FL62" i="7" a="1"/>
  <c r="FL62" i="7" s="1"/>
  <c r="FS62" i="7" a="1"/>
  <c r="FS62" i="7" s="1"/>
  <c r="FM62" i="7" a="1"/>
  <c r="FM62" i="7" s="1"/>
  <c r="FO62" i="7" a="1"/>
  <c r="FO62" i="7" s="1"/>
  <c r="FK62" i="7" a="1"/>
  <c r="FK62" i="7" s="1"/>
  <c r="FR62" i="7" a="1"/>
  <c r="FR62" i="7" s="1"/>
  <c r="FL71" i="7" a="1"/>
  <c r="FL71" i="7" s="1"/>
  <c r="FQ71" i="7" a="1"/>
  <c r="FQ71" i="7" s="1"/>
  <c r="FR71" i="7" a="1"/>
  <c r="FR71" i="7" s="1"/>
  <c r="FM71" i="7" a="1"/>
  <c r="FM71" i="7" s="1"/>
  <c r="FJ71" i="7" a="1"/>
  <c r="FJ71" i="7" s="1"/>
  <c r="FN71" i="7" a="1"/>
  <c r="FN71" i="7" s="1"/>
  <c r="FP71" i="7" a="1"/>
  <c r="FP71" i="7" s="1"/>
  <c r="FS71" i="7" a="1"/>
  <c r="FS71" i="7" s="1"/>
  <c r="FK71" i="7" a="1"/>
  <c r="FK71" i="7" s="1"/>
  <c r="FO71" i="7" a="1"/>
  <c r="FO71" i="7" s="1"/>
  <c r="FL117" i="7" a="1"/>
  <c r="FL117" i="7" s="1"/>
  <c r="FR117" i="7" a="1"/>
  <c r="FR117" i="7" s="1"/>
  <c r="FK117" i="7" a="1"/>
  <c r="FK117" i="7" s="1"/>
  <c r="FN117" i="7" a="1"/>
  <c r="FN117" i="7" s="1"/>
  <c r="FJ117" i="7" a="1"/>
  <c r="FJ117" i="7" s="1"/>
  <c r="FP117" i="7" a="1"/>
  <c r="FP117" i="7" s="1"/>
  <c r="FQ117" i="7" a="1"/>
  <c r="FQ117" i="7" s="1"/>
  <c r="FS117" i="7" a="1"/>
  <c r="FS117" i="7" s="1"/>
  <c r="FM117" i="7" a="1"/>
  <c r="FM117" i="7" s="1"/>
  <c r="FO117" i="7" a="1"/>
  <c r="FO117" i="7" s="1"/>
  <c r="FL70" i="7" a="1"/>
  <c r="FL70" i="7" s="1"/>
  <c r="FJ70" i="7" a="1"/>
  <c r="FJ70" i="7" s="1"/>
  <c r="FM70" i="7" a="1"/>
  <c r="FM70" i="7" s="1"/>
  <c r="FK70" i="7" a="1"/>
  <c r="FK70" i="7" s="1"/>
  <c r="FN70" i="7" a="1"/>
  <c r="FN70" i="7" s="1"/>
  <c r="FR70" i="7" a="1"/>
  <c r="FR70" i="7" s="1"/>
  <c r="FS70" i="7" a="1"/>
  <c r="FS70" i="7" s="1"/>
  <c r="FO70" i="7" a="1"/>
  <c r="FO70" i="7" s="1"/>
  <c r="FQ70" i="7" a="1"/>
  <c r="FQ70" i="7" s="1"/>
  <c r="FP70" i="7" a="1"/>
  <c r="FP70" i="7" s="1"/>
  <c r="FM100" i="7" a="1"/>
  <c r="FM100" i="7" s="1"/>
  <c r="FN100" i="7" a="1"/>
  <c r="FN100" i="7" s="1"/>
  <c r="FS100" i="7" a="1"/>
  <c r="FS100" i="7" s="1"/>
  <c r="FO100" i="7" a="1"/>
  <c r="FO100" i="7" s="1"/>
  <c r="FL100" i="7" a="1"/>
  <c r="FL100" i="7" s="1"/>
  <c r="FP100" i="7" a="1"/>
  <c r="FP100" i="7" s="1"/>
  <c r="FQ100" i="7" a="1"/>
  <c r="FQ100" i="7" s="1"/>
  <c r="FK100" i="7" a="1"/>
  <c r="FK100" i="7" s="1"/>
  <c r="FR100" i="7" a="1"/>
  <c r="FR100" i="7" s="1"/>
  <c r="FJ100" i="7" a="1"/>
  <c r="FJ100" i="7" s="1"/>
  <c r="FJ67" i="7" a="1"/>
  <c r="FJ67" i="7" s="1"/>
  <c r="FL67" i="7" a="1"/>
  <c r="FL67" i="7" s="1"/>
  <c r="FO67" i="7" a="1"/>
  <c r="FO67" i="7" s="1"/>
  <c r="FS67" i="7" a="1"/>
  <c r="FS67" i="7" s="1"/>
  <c r="FR67" i="7" a="1"/>
  <c r="FR67" i="7" s="1"/>
  <c r="FK67" i="7" a="1"/>
  <c r="FK67" i="7" s="1"/>
  <c r="FM67" i="7" a="1"/>
  <c r="FM67" i="7" s="1"/>
  <c r="FN67" i="7" a="1"/>
  <c r="FN67" i="7" s="1"/>
  <c r="FQ67" i="7" a="1"/>
  <c r="FQ67" i="7" s="1"/>
  <c r="FP67" i="7" a="1"/>
  <c r="FP67" i="7" s="1"/>
  <c r="FR66" i="7" a="1"/>
  <c r="FR66" i="7" s="1"/>
  <c r="FL66" i="7" a="1"/>
  <c r="FL66" i="7" s="1"/>
  <c r="FS66" i="7" a="1"/>
  <c r="FS66" i="7" s="1"/>
  <c r="FO66" i="7" a="1"/>
  <c r="FO66" i="7" s="1"/>
  <c r="FM66" i="7" a="1"/>
  <c r="FM66" i="7" s="1"/>
  <c r="FJ66" i="7" a="1"/>
  <c r="FJ66" i="7" s="1"/>
  <c r="FQ66" i="7" a="1"/>
  <c r="FQ66" i="7" s="1"/>
  <c r="FN66" i="7" a="1"/>
  <c r="FN66" i="7" s="1"/>
  <c r="FK66" i="7" a="1"/>
  <c r="FK66" i="7" s="1"/>
  <c r="FP66" i="7" a="1"/>
  <c r="FP66" i="7" s="1"/>
  <c r="FL92" i="7" a="1"/>
  <c r="FL92" i="7" s="1"/>
  <c r="FQ92" i="7" a="1"/>
  <c r="FQ92" i="7" s="1"/>
  <c r="FR92" i="7" a="1"/>
  <c r="FR92" i="7" s="1"/>
  <c r="FM92" i="7" a="1"/>
  <c r="FM92" i="7" s="1"/>
  <c r="FS92" i="7" a="1"/>
  <c r="FS92" i="7" s="1"/>
  <c r="FJ92" i="7" a="1"/>
  <c r="FJ92" i="7" s="1"/>
  <c r="FK92" i="7" a="1"/>
  <c r="FK92" i="7" s="1"/>
  <c r="FN92" i="7" a="1"/>
  <c r="FN92" i="7" s="1"/>
  <c r="FO92" i="7" a="1"/>
  <c r="FO92" i="7" s="1"/>
  <c r="FP92" i="7" a="1"/>
  <c r="FP92" i="7" s="1"/>
  <c r="FQ112" i="7" a="1"/>
  <c r="FQ112" i="7" s="1"/>
  <c r="FN112" i="7" a="1"/>
  <c r="FN112" i="7" s="1"/>
  <c r="FL112" i="7" a="1"/>
  <c r="FL112" i="7" s="1"/>
  <c r="FK112" i="7" a="1"/>
  <c r="FK112" i="7" s="1"/>
  <c r="FS112" i="7" a="1"/>
  <c r="FS112" i="7" s="1"/>
  <c r="FP112" i="7" a="1"/>
  <c r="FP112" i="7" s="1"/>
  <c r="FJ112" i="7" a="1"/>
  <c r="FJ112" i="7" s="1"/>
  <c r="FO112" i="7" a="1"/>
  <c r="FO112" i="7" s="1"/>
  <c r="FM112" i="7" a="1"/>
  <c r="FM112" i="7" s="1"/>
  <c r="FR112" i="7" a="1"/>
  <c r="FR112" i="7" s="1"/>
  <c r="FM11" i="7" a="1"/>
  <c r="FM11" i="7" s="1"/>
  <c r="FO72" i="7" a="1"/>
  <c r="FO72" i="7" s="1"/>
  <c r="FS72" i="7" a="1"/>
  <c r="FS72" i="7" s="1"/>
  <c r="FM72" i="7" a="1"/>
  <c r="FM72" i="7" s="1"/>
  <c r="FL72" i="7" a="1"/>
  <c r="FL72" i="7" s="1"/>
  <c r="FN72" i="7" a="1"/>
  <c r="FN72" i="7" s="1"/>
  <c r="FP72" i="7" a="1"/>
  <c r="FP72" i="7" s="1"/>
  <c r="FQ72" i="7" a="1"/>
  <c r="FQ72" i="7" s="1"/>
  <c r="FJ72" i="7" a="1"/>
  <c r="FJ72" i="7" s="1"/>
  <c r="FR72" i="7" a="1"/>
  <c r="FR72" i="7" s="1"/>
  <c r="FK72" i="7" a="1"/>
  <c r="FK72" i="7" s="1"/>
  <c r="FN121" i="7" a="1"/>
  <c r="FN121" i="7" s="1"/>
  <c r="FJ121" i="7" a="1"/>
  <c r="FJ121" i="7" s="1"/>
  <c r="FK93" i="7" a="1"/>
  <c r="FK93" i="7" s="1"/>
  <c r="FS93" i="7" a="1"/>
  <c r="FS93" i="7" s="1"/>
  <c r="FR93" i="7" a="1"/>
  <c r="FR93" i="7" s="1"/>
  <c r="FJ93" i="7" a="1"/>
  <c r="FJ93" i="7" s="1"/>
  <c r="FL93" i="7" a="1"/>
  <c r="FL93" i="7" s="1"/>
  <c r="FM93" i="7" a="1"/>
  <c r="FM93" i="7" s="1"/>
  <c r="FN93" i="7" a="1"/>
  <c r="FN93" i="7" s="1"/>
  <c r="FQ93" i="7" a="1"/>
  <c r="FQ93" i="7" s="1"/>
  <c r="FP93" i="7" a="1"/>
  <c r="FP93" i="7" s="1"/>
  <c r="FO93" i="7" a="1"/>
  <c r="FO93" i="7" s="1"/>
  <c r="FO82" i="7" a="1"/>
  <c r="FO82" i="7" s="1"/>
  <c r="FK82" i="7" a="1"/>
  <c r="FK82" i="7" s="1"/>
  <c r="FQ82" i="7" a="1"/>
  <c r="FQ82" i="7" s="1"/>
  <c r="FN82" i="7" a="1"/>
  <c r="FN82" i="7" s="1"/>
  <c r="FM82" i="7" a="1"/>
  <c r="FM82" i="7" s="1"/>
  <c r="FP82" i="7" a="1"/>
  <c r="FP82" i="7" s="1"/>
  <c r="FJ82" i="7" a="1"/>
  <c r="FJ82" i="7" s="1"/>
  <c r="FS82" i="7" a="1"/>
  <c r="FS82" i="7" s="1"/>
  <c r="FL82" i="7" a="1"/>
  <c r="FL82" i="7" s="1"/>
  <c r="FR82" i="7" a="1"/>
  <c r="FR82" i="7" s="1"/>
  <c r="FO94" i="7" a="1"/>
  <c r="FO94" i="7" s="1"/>
  <c r="FP94" i="7" a="1"/>
  <c r="FP94" i="7" s="1"/>
  <c r="FK94" i="7" a="1"/>
  <c r="FK94" i="7" s="1"/>
  <c r="FL94" i="7" a="1"/>
  <c r="FL94" i="7" s="1"/>
  <c r="FS94" i="7" a="1"/>
  <c r="FS94" i="7" s="1"/>
  <c r="FN94" i="7" a="1"/>
  <c r="FN94" i="7" s="1"/>
  <c r="FR94" i="7" a="1"/>
  <c r="FR94" i="7" s="1"/>
  <c r="FJ94" i="7" a="1"/>
  <c r="FJ94" i="7" s="1"/>
  <c r="FM94" i="7" a="1"/>
  <c r="FM94" i="7" s="1"/>
  <c r="FQ94" i="7" a="1"/>
  <c r="FQ94" i="7" s="1"/>
  <c r="FS105" i="7" a="1"/>
  <c r="FS105" i="7" s="1"/>
  <c r="FN105" i="7" a="1"/>
  <c r="FN105" i="7" s="1"/>
  <c r="FM105" i="7" a="1"/>
  <c r="FM105" i="7" s="1"/>
  <c r="FP105" i="7" a="1"/>
  <c r="FP105" i="7" s="1"/>
  <c r="FJ105" i="7" a="1"/>
  <c r="FJ105" i="7" s="1"/>
  <c r="FK105" i="7" a="1"/>
  <c r="FK105" i="7" s="1"/>
  <c r="FQ105" i="7" a="1"/>
  <c r="FQ105" i="7" s="1"/>
  <c r="FO105" i="7" a="1"/>
  <c r="FO105" i="7" s="1"/>
  <c r="FL105" i="7" a="1"/>
  <c r="FL105" i="7" s="1"/>
  <c r="FR105" i="7" a="1"/>
  <c r="FR105" i="7" s="1"/>
  <c r="FM88" i="7" a="1"/>
  <c r="FM88" i="7" s="1"/>
  <c r="FJ88" i="7" a="1"/>
  <c r="FJ88" i="7" s="1"/>
  <c r="FL88" i="7" a="1"/>
  <c r="FL88" i="7" s="1"/>
  <c r="FP88" i="7" a="1"/>
  <c r="FP88" i="7" s="1"/>
  <c r="FR88" i="7" a="1"/>
  <c r="FR88" i="7" s="1"/>
  <c r="FO88" i="7" a="1"/>
  <c r="FO88" i="7" s="1"/>
  <c r="FS88" i="7" a="1"/>
  <c r="FS88" i="7" s="1"/>
  <c r="FK88" i="7" a="1"/>
  <c r="FK88" i="7" s="1"/>
  <c r="FQ88" i="7" a="1"/>
  <c r="FQ88" i="7" s="1"/>
  <c r="FN88" i="7" a="1"/>
  <c r="FN88" i="7" s="1"/>
  <c r="FR115" i="7" a="1"/>
  <c r="FR115" i="7" s="1"/>
  <c r="FL115" i="7" a="1"/>
  <c r="FL115" i="7" s="1"/>
  <c r="FQ115" i="7" a="1"/>
  <c r="FQ115" i="7" s="1"/>
  <c r="FK115" i="7" a="1"/>
  <c r="FK115" i="7" s="1"/>
  <c r="FS115" i="7" a="1"/>
  <c r="FS115" i="7" s="1"/>
  <c r="FO115" i="7" a="1"/>
  <c r="FO115" i="7" s="1"/>
  <c r="FJ115" i="7" a="1"/>
  <c r="FJ115" i="7" s="1"/>
  <c r="FP115" i="7" a="1"/>
  <c r="FP115" i="7" s="1"/>
  <c r="FN115" i="7" a="1"/>
  <c r="FN115" i="7" s="1"/>
  <c r="FM115" i="7" a="1"/>
  <c r="FM115" i="7" s="1"/>
  <c r="FN75" i="7" a="1"/>
  <c r="FN75" i="7" s="1"/>
  <c r="FL75" i="7" a="1"/>
  <c r="FL75" i="7" s="1"/>
  <c r="FJ75" i="7" a="1"/>
  <c r="FJ75" i="7" s="1"/>
  <c r="FQ75" i="7" a="1"/>
  <c r="FQ75" i="7" s="1"/>
  <c r="FS75" i="7" a="1"/>
  <c r="FS75" i="7" s="1"/>
  <c r="FO75" i="7" a="1"/>
  <c r="FO75" i="7" s="1"/>
  <c r="FP75" i="7" a="1"/>
  <c r="FP75" i="7" s="1"/>
  <c r="FM75" i="7" a="1"/>
  <c r="FM75" i="7" s="1"/>
  <c r="FK75" i="7" a="1"/>
  <c r="FK75" i="7" s="1"/>
  <c r="FR75" i="7" a="1"/>
  <c r="FR75" i="7" s="1"/>
  <c r="FQ68" i="7" a="1"/>
  <c r="FQ68" i="7" s="1"/>
  <c r="FL68" i="7" a="1"/>
  <c r="FL68" i="7" s="1"/>
  <c r="FP68" i="7" a="1"/>
  <c r="FP68" i="7" s="1"/>
  <c r="FS68" i="7" a="1"/>
  <c r="FS68" i="7" s="1"/>
  <c r="FR68" i="7" a="1"/>
  <c r="FR68" i="7" s="1"/>
  <c r="FJ68" i="7" a="1"/>
  <c r="FJ68" i="7" s="1"/>
  <c r="FM68" i="7" a="1"/>
  <c r="FM68" i="7" s="1"/>
  <c r="FK68" i="7" a="1"/>
  <c r="FK68" i="7" s="1"/>
  <c r="FN68" i="7" a="1"/>
  <c r="FN68" i="7" s="1"/>
  <c r="FO68" i="7" a="1"/>
  <c r="FO68" i="7" s="1"/>
  <c r="FM22" i="7" a="1"/>
  <c r="FM22" i="7" s="1"/>
  <c r="FR119" i="7" a="1"/>
  <c r="FR119" i="7" s="1"/>
  <c r="FP119" i="7" a="1"/>
  <c r="FP119" i="7" s="1"/>
  <c r="FN119" i="7" a="1"/>
  <c r="FN119" i="7" s="1"/>
  <c r="FQ119" i="7" a="1"/>
  <c r="FQ119" i="7" s="1"/>
  <c r="FO119" i="7" a="1"/>
  <c r="FO119" i="7" s="1"/>
  <c r="FM119" i="7" a="1"/>
  <c r="FM119" i="7" s="1"/>
  <c r="FL119" i="7" a="1"/>
  <c r="FL119" i="7" s="1"/>
  <c r="FS119" i="7" a="1"/>
  <c r="FS119" i="7" s="1"/>
  <c r="FJ119" i="7" a="1"/>
  <c r="FJ119" i="7" s="1"/>
  <c r="FK119" i="7" a="1"/>
  <c r="FK119" i="7" s="1"/>
  <c r="FO79" i="7" a="1"/>
  <c r="FO79" i="7" s="1"/>
  <c r="FK79" i="7" a="1"/>
  <c r="FK79" i="7" s="1"/>
  <c r="FS79" i="7" a="1"/>
  <c r="FS79" i="7" s="1"/>
  <c r="FP79" i="7" a="1"/>
  <c r="FP79" i="7" s="1"/>
  <c r="FR79" i="7" a="1"/>
  <c r="FR79" i="7" s="1"/>
  <c r="FJ79" i="7" a="1"/>
  <c r="FJ79" i="7" s="1"/>
  <c r="FM79" i="7" a="1"/>
  <c r="FM79" i="7" s="1"/>
  <c r="FQ79" i="7" a="1"/>
  <c r="FQ79" i="7" s="1"/>
  <c r="FN79" i="7" a="1"/>
  <c r="FN79" i="7" s="1"/>
  <c r="FL79" i="7" a="1"/>
  <c r="FL79" i="7" s="1"/>
  <c r="FP84" i="7" a="1"/>
  <c r="FP84" i="7" s="1"/>
  <c r="FL84" i="7" a="1"/>
  <c r="FL84" i="7" s="1"/>
  <c r="FJ84" i="7" a="1"/>
  <c r="FJ84" i="7" s="1"/>
  <c r="FM84" i="7" a="1"/>
  <c r="FM84" i="7" s="1"/>
  <c r="FR84" i="7" a="1"/>
  <c r="FR84" i="7" s="1"/>
  <c r="FS84" i="7" a="1"/>
  <c r="FS84" i="7" s="1"/>
  <c r="FO84" i="7" a="1"/>
  <c r="FO84" i="7" s="1"/>
  <c r="FK84" i="7" a="1"/>
  <c r="FK84" i="7" s="1"/>
  <c r="FN84" i="7" a="1"/>
  <c r="FN84" i="7" s="1"/>
  <c r="FQ84" i="7" a="1"/>
  <c r="FQ84" i="7" s="1"/>
  <c r="FL85" i="7" a="1"/>
  <c r="FL85" i="7" s="1"/>
  <c r="FJ85" i="7" a="1"/>
  <c r="FJ85" i="7" s="1"/>
  <c r="FP85" i="7" a="1"/>
  <c r="FP85" i="7" s="1"/>
  <c r="FQ85" i="7" a="1"/>
  <c r="FQ85" i="7" s="1"/>
  <c r="FO85" i="7" a="1"/>
  <c r="FO85" i="7" s="1"/>
  <c r="FK85" i="7" a="1"/>
  <c r="FK85" i="7" s="1"/>
  <c r="FN85" i="7" a="1"/>
  <c r="FN85" i="7" s="1"/>
  <c r="FS85" i="7" a="1"/>
  <c r="FS85" i="7" s="1"/>
  <c r="FR85" i="7" a="1"/>
  <c r="FR85" i="7" s="1"/>
  <c r="FM85" i="7" a="1"/>
  <c r="FM85" i="7" s="1"/>
  <c r="FR73" i="7" a="1"/>
  <c r="FR73" i="7" s="1"/>
  <c r="FP73" i="7" a="1"/>
  <c r="FP73" i="7" s="1"/>
  <c r="FK73" i="7" a="1"/>
  <c r="FK73" i="7" s="1"/>
  <c r="FL73" i="7" a="1"/>
  <c r="FL73" i="7" s="1"/>
  <c r="FS73" i="7" a="1"/>
  <c r="FS73" i="7" s="1"/>
  <c r="FJ73" i="7" a="1"/>
  <c r="FJ73" i="7" s="1"/>
  <c r="FO73" i="7" a="1"/>
  <c r="FO73" i="7" s="1"/>
  <c r="FQ73" i="7" a="1"/>
  <c r="FQ73" i="7" s="1"/>
  <c r="FN73" i="7" a="1"/>
  <c r="FN73" i="7" s="1"/>
  <c r="FM73" i="7" a="1"/>
  <c r="FM73" i="7" s="1"/>
  <c r="FJ89" i="7" a="1"/>
  <c r="FJ89" i="7" s="1"/>
  <c r="FL89" i="7" a="1"/>
  <c r="FL89" i="7" s="1"/>
  <c r="FO89" i="7" a="1"/>
  <c r="FO89" i="7" s="1"/>
  <c r="FP89" i="7" a="1"/>
  <c r="FP89" i="7" s="1"/>
  <c r="FR89" i="7" a="1"/>
  <c r="FR89" i="7" s="1"/>
  <c r="FM89" i="7" a="1"/>
  <c r="FM89" i="7" s="1"/>
  <c r="FS89" i="7" a="1"/>
  <c r="FS89" i="7" s="1"/>
  <c r="FN89" i="7" a="1"/>
  <c r="FN89" i="7" s="1"/>
  <c r="FK89" i="7" a="1"/>
  <c r="FK89" i="7" s="1"/>
  <c r="FQ89" i="7" a="1"/>
  <c r="FQ89" i="7" s="1"/>
  <c r="FQ106" i="7" a="1"/>
  <c r="FQ106" i="7" s="1"/>
  <c r="FJ106" i="7" a="1"/>
  <c r="FJ106" i="7" s="1"/>
  <c r="FL106" i="7" a="1"/>
  <c r="FL106" i="7" s="1"/>
  <c r="FK106" i="7" a="1"/>
  <c r="FK106" i="7" s="1"/>
  <c r="FN106" i="7" a="1"/>
  <c r="FN106" i="7" s="1"/>
  <c r="FO106" i="7" a="1"/>
  <c r="FO106" i="7" s="1"/>
  <c r="FS106" i="7" a="1"/>
  <c r="FS106" i="7" s="1"/>
  <c r="FM106" i="7" a="1"/>
  <c r="FM106" i="7" s="1"/>
  <c r="FP106" i="7" a="1"/>
  <c r="FP106" i="7" s="1"/>
  <c r="FR106" i="7" a="1"/>
  <c r="FR106" i="7" s="1"/>
  <c r="FM31" i="7" a="1"/>
  <c r="FM31" i="7" s="1"/>
  <c r="FS97" i="7" a="1"/>
  <c r="FS97" i="7" s="1"/>
  <c r="FN97" i="7" a="1"/>
  <c r="FN97" i="7" s="1"/>
  <c r="FJ97" i="7" a="1"/>
  <c r="FJ97" i="7" s="1"/>
  <c r="FK97" i="7" a="1"/>
  <c r="FK97" i="7" s="1"/>
  <c r="FO97" i="7" a="1"/>
  <c r="FO97" i="7" s="1"/>
  <c r="FQ97" i="7" a="1"/>
  <c r="FQ97" i="7" s="1"/>
  <c r="FL97" i="7" a="1"/>
  <c r="FL97" i="7" s="1"/>
  <c r="FP97" i="7" a="1"/>
  <c r="FP97" i="7" s="1"/>
  <c r="FR97" i="7" a="1"/>
  <c r="FR97" i="7" s="1"/>
  <c r="FM97" i="7" a="1"/>
  <c r="FM97" i="7" s="1"/>
  <c r="FP83" i="7" a="1"/>
  <c r="FP83" i="7" s="1"/>
  <c r="FL83" i="7" a="1"/>
  <c r="FL83" i="7" s="1"/>
  <c r="FN83" i="7" a="1"/>
  <c r="FN83" i="7" s="1"/>
  <c r="FM83" i="7" a="1"/>
  <c r="FM83" i="7" s="1"/>
  <c r="FK83" i="7" a="1"/>
  <c r="FK83" i="7" s="1"/>
  <c r="FS83" i="7" a="1"/>
  <c r="FS83" i="7" s="1"/>
  <c r="FR83" i="7" a="1"/>
  <c r="FR83" i="7" s="1"/>
  <c r="FJ83" i="7" a="1"/>
  <c r="FJ83" i="7" s="1"/>
  <c r="FQ83" i="7" a="1"/>
  <c r="FQ83" i="7" s="1"/>
  <c r="FO83" i="7" a="1"/>
  <c r="FO83" i="7" s="1"/>
  <c r="FR91" i="7" a="1"/>
  <c r="FR91" i="7" s="1"/>
  <c r="FL91" i="7" a="1"/>
  <c r="FL91" i="7" s="1"/>
  <c r="FP91" i="7" a="1"/>
  <c r="FP91" i="7" s="1"/>
  <c r="FN91" i="7" a="1"/>
  <c r="FN91" i="7" s="1"/>
  <c r="FJ91" i="7" a="1"/>
  <c r="FJ91" i="7" s="1"/>
  <c r="FQ91" i="7" a="1"/>
  <c r="FQ91" i="7" s="1"/>
  <c r="FS91" i="7" a="1"/>
  <c r="FS91" i="7" s="1"/>
  <c r="FK91" i="7" a="1"/>
  <c r="FK91" i="7" s="1"/>
  <c r="FM91" i="7" a="1"/>
  <c r="FM91" i="7" s="1"/>
  <c r="FO91" i="7" a="1"/>
  <c r="FO91" i="7" s="1"/>
  <c r="FK111" i="7" a="1"/>
  <c r="FK111" i="7" s="1"/>
  <c r="FN111" i="7" a="1"/>
  <c r="FN111" i="7" s="1"/>
  <c r="FQ111" i="7" a="1"/>
  <c r="FQ111" i="7" s="1"/>
  <c r="FS111" i="7" a="1"/>
  <c r="FS111" i="7" s="1"/>
  <c r="FO111" i="7" a="1"/>
  <c r="FO111" i="7" s="1"/>
  <c r="FJ111" i="7" a="1"/>
  <c r="FJ111" i="7" s="1"/>
  <c r="FR111" i="7" a="1"/>
  <c r="FR111" i="7" s="1"/>
  <c r="FM111" i="7" a="1"/>
  <c r="FM111" i="7" s="1"/>
  <c r="FP111" i="7" a="1"/>
  <c r="FP111" i="7" s="1"/>
  <c r="FL111" i="7" a="1"/>
  <c r="FL111" i="7" s="1"/>
  <c r="FM113" i="7" a="1"/>
  <c r="FM113" i="7" s="1"/>
  <c r="FS113" i="7" a="1"/>
  <c r="FS113" i="7" s="1"/>
  <c r="FQ113" i="7" a="1"/>
  <c r="FQ113" i="7" s="1"/>
  <c r="FP113" i="7" a="1"/>
  <c r="FP113" i="7" s="1"/>
  <c r="FL113" i="7" a="1"/>
  <c r="FL113" i="7" s="1"/>
  <c r="FO113" i="7" a="1"/>
  <c r="FO113" i="7" s="1"/>
  <c r="FR113" i="7" a="1"/>
  <c r="FR113" i="7" s="1"/>
  <c r="FJ113" i="7" a="1"/>
  <c r="FJ113" i="7" s="1"/>
  <c r="FN113" i="7" a="1"/>
  <c r="FN113" i="7" s="1"/>
  <c r="FK113" i="7" a="1"/>
  <c r="FK113" i="7" s="1"/>
  <c r="FS74" i="7" a="1"/>
  <c r="FS74" i="7" s="1"/>
  <c r="FP74" i="7" a="1"/>
  <c r="FP74" i="7" s="1"/>
  <c r="FQ74" i="7" a="1"/>
  <c r="FQ74" i="7" s="1"/>
  <c r="FR74" i="7" a="1"/>
  <c r="FR74" i="7" s="1"/>
  <c r="FO74" i="7" a="1"/>
  <c r="FO74" i="7" s="1"/>
  <c r="FL74" i="7" a="1"/>
  <c r="FL74" i="7" s="1"/>
  <c r="FK74" i="7" a="1"/>
  <c r="FK74" i="7" s="1"/>
  <c r="FM74" i="7" a="1"/>
  <c r="FM74" i="7" s="1"/>
  <c r="FN74" i="7" a="1"/>
  <c r="FN74" i="7" s="1"/>
  <c r="FJ74" i="7" a="1"/>
  <c r="FJ74" i="7" s="1"/>
  <c r="FM99" i="7" a="1"/>
  <c r="FM99" i="7" s="1"/>
  <c r="FJ99" i="7" a="1"/>
  <c r="FJ99" i="7" s="1"/>
  <c r="FS99" i="7" a="1"/>
  <c r="FS99" i="7" s="1"/>
  <c r="FO99" i="7" a="1"/>
  <c r="FO99" i="7" s="1"/>
  <c r="FK99" i="7" a="1"/>
  <c r="FK99" i="7" s="1"/>
  <c r="FR99" i="7" a="1"/>
  <c r="FR99" i="7" s="1"/>
  <c r="FP99" i="7" a="1"/>
  <c r="FP99" i="7" s="1"/>
  <c r="FQ99" i="7" a="1"/>
  <c r="FQ99" i="7" s="1"/>
  <c r="FN99" i="7" a="1"/>
  <c r="FN99" i="7" s="1"/>
  <c r="FL99" i="7" a="1"/>
  <c r="FL99" i="7" s="1"/>
  <c r="FN101" i="7" a="1"/>
  <c r="FN101" i="7" s="1"/>
  <c r="FO101" i="7" a="1"/>
  <c r="FO101" i="7" s="1"/>
  <c r="FQ101" i="7" a="1"/>
  <c r="FQ101" i="7" s="1"/>
  <c r="FR101" i="7" a="1"/>
  <c r="FR101" i="7" s="1"/>
  <c r="FP101" i="7" a="1"/>
  <c r="FP101" i="7" s="1"/>
  <c r="FL101" i="7" a="1"/>
  <c r="FL101" i="7" s="1"/>
  <c r="FJ101" i="7" a="1"/>
  <c r="FJ101" i="7" s="1"/>
  <c r="FM101" i="7" a="1"/>
  <c r="FM101" i="7" s="1"/>
  <c r="FS101" i="7" a="1"/>
  <c r="FS101" i="7" s="1"/>
  <c r="FK101" i="7" a="1"/>
  <c r="FK101" i="7" s="1"/>
  <c r="FR69" i="7" a="1"/>
  <c r="FR69" i="7" s="1"/>
  <c r="FK69" i="7" a="1"/>
  <c r="FK69" i="7" s="1"/>
  <c r="FP69" i="7" a="1"/>
  <c r="FP69" i="7" s="1"/>
  <c r="FJ69" i="7" a="1"/>
  <c r="FJ69" i="7" s="1"/>
  <c r="FM69" i="7" a="1"/>
  <c r="FM69" i="7" s="1"/>
  <c r="FS69" i="7" a="1"/>
  <c r="FS69" i="7" s="1"/>
  <c r="FL69" i="7" a="1"/>
  <c r="FL69" i="7" s="1"/>
  <c r="FN69" i="7" a="1"/>
  <c r="FN69" i="7" s="1"/>
  <c r="FQ69" i="7" a="1"/>
  <c r="FQ69" i="7" s="1"/>
  <c r="FO69" i="7" a="1"/>
  <c r="FO69" i="7" s="1"/>
  <c r="FP64" i="7" a="1"/>
  <c r="FP64" i="7" s="1"/>
  <c r="FN64" i="7" a="1"/>
  <c r="FN64" i="7" s="1"/>
  <c r="FO64" i="7" a="1"/>
  <c r="FO64" i="7" s="1"/>
  <c r="FS64" i="7" a="1"/>
  <c r="FS64" i="7" s="1"/>
  <c r="FQ64" i="7" a="1"/>
  <c r="FQ64" i="7" s="1"/>
  <c r="FR64" i="7" a="1"/>
  <c r="FR64" i="7" s="1"/>
  <c r="FM64" i="7" a="1"/>
  <c r="FM64" i="7" s="1"/>
  <c r="FK64" i="7" a="1"/>
  <c r="FK64" i="7" s="1"/>
  <c r="FJ64" i="7" a="1"/>
  <c r="FJ64" i="7" s="1"/>
  <c r="FL64" i="7" a="1"/>
  <c r="FL64" i="7" s="1"/>
  <c r="FS95" i="7" a="1"/>
  <c r="FS95" i="7" s="1"/>
  <c r="FM95" i="7" a="1"/>
  <c r="FM95" i="7" s="1"/>
  <c r="FO95" i="7" a="1"/>
  <c r="FO95" i="7" s="1"/>
  <c r="FJ95" i="7" a="1"/>
  <c r="FJ95" i="7" s="1"/>
  <c r="FL95" i="7" a="1"/>
  <c r="FL95" i="7" s="1"/>
  <c r="FQ95" i="7" a="1"/>
  <c r="FQ95" i="7" s="1"/>
  <c r="FN95" i="7" a="1"/>
  <c r="FN95" i="7" s="1"/>
  <c r="FR95" i="7" a="1"/>
  <c r="FR95" i="7" s="1"/>
  <c r="FK95" i="7" a="1"/>
  <c r="FK95" i="7" s="1"/>
  <c r="FP95" i="7" a="1"/>
  <c r="FP95" i="7" s="1"/>
  <c r="FO108" i="7" a="1"/>
  <c r="FO108" i="7" s="1"/>
  <c r="FR108" i="7" a="1"/>
  <c r="FR108" i="7" s="1"/>
  <c r="FS108" i="7" a="1"/>
  <c r="FS108" i="7" s="1"/>
  <c r="FM108" i="7" a="1"/>
  <c r="FM108" i="7" s="1"/>
  <c r="FQ108" i="7" a="1"/>
  <c r="FQ108" i="7" s="1"/>
  <c r="FJ108" i="7" a="1"/>
  <c r="FJ108" i="7" s="1"/>
  <c r="FL108" i="7" a="1"/>
  <c r="FL108" i="7" s="1"/>
  <c r="FP108" i="7" a="1"/>
  <c r="FP108" i="7" s="1"/>
  <c r="FK108" i="7" a="1"/>
  <c r="FK108" i="7" s="1"/>
  <c r="FN108" i="7" a="1"/>
  <c r="FN108" i="7" s="1"/>
  <c r="FK81" i="7" a="1"/>
  <c r="FK81" i="7" s="1"/>
  <c r="FP81" i="7" a="1"/>
  <c r="FP81" i="7" s="1"/>
  <c r="FJ81" i="7" a="1"/>
  <c r="FJ81" i="7" s="1"/>
  <c r="FS81" i="7" a="1"/>
  <c r="FS81" i="7" s="1"/>
  <c r="FN81" i="7" a="1"/>
  <c r="FN81" i="7" s="1"/>
  <c r="FM81" i="7" a="1"/>
  <c r="FM81" i="7" s="1"/>
  <c r="FR81" i="7" a="1"/>
  <c r="FR81" i="7" s="1"/>
  <c r="FQ81" i="7" a="1"/>
  <c r="FQ81" i="7" s="1"/>
  <c r="FL81" i="7" a="1"/>
  <c r="FL81" i="7" s="1"/>
  <c r="FO81" i="7" a="1"/>
  <c r="FO81" i="7" s="1"/>
  <c r="FK87" i="7" a="1"/>
  <c r="FK87" i="7" s="1"/>
  <c r="FS87" i="7" a="1"/>
  <c r="FS87" i="7" s="1"/>
  <c r="FQ87" i="7" a="1"/>
  <c r="FQ87" i="7" s="1"/>
  <c r="FM87" i="7" a="1"/>
  <c r="FM87" i="7" s="1"/>
  <c r="FO87" i="7" a="1"/>
  <c r="FO87" i="7" s="1"/>
  <c r="FN87" i="7" a="1"/>
  <c r="FN87" i="7" s="1"/>
  <c r="FR87" i="7" a="1"/>
  <c r="FR87" i="7" s="1"/>
  <c r="FL87" i="7" a="1"/>
  <c r="FL87" i="7" s="1"/>
  <c r="FP87" i="7" a="1"/>
  <c r="FP87" i="7" s="1"/>
  <c r="FJ87" i="7" a="1"/>
  <c r="FJ87" i="7" s="1"/>
  <c r="FQ76" i="7" a="1"/>
  <c r="FQ76" i="7" s="1"/>
  <c r="FP76" i="7" a="1"/>
  <c r="FP76" i="7" s="1"/>
  <c r="FK76" i="7" a="1"/>
  <c r="FK76" i="7" s="1"/>
  <c r="FS76" i="7" a="1"/>
  <c r="FS76" i="7" s="1"/>
  <c r="FR76" i="7" a="1"/>
  <c r="FR76" i="7" s="1"/>
  <c r="FM76" i="7" a="1"/>
  <c r="FM76" i="7" s="1"/>
  <c r="FJ76" i="7" a="1"/>
  <c r="FJ76" i="7" s="1"/>
  <c r="FL76" i="7" a="1"/>
  <c r="FL76" i="7" s="1"/>
  <c r="FO76" i="7" a="1"/>
  <c r="FO76" i="7" s="1"/>
  <c r="FN76" i="7" a="1"/>
  <c r="FN76" i="7" s="1"/>
  <c r="FR118" i="7" a="1"/>
  <c r="FR118" i="7" s="1"/>
  <c r="FJ118" i="7" a="1"/>
  <c r="FJ118" i="7" s="1"/>
  <c r="FM118" i="7" a="1"/>
  <c r="FM118" i="7" s="1"/>
  <c r="FO118" i="7" a="1"/>
  <c r="FO118" i="7" s="1"/>
  <c r="FN118" i="7" a="1"/>
  <c r="FN118" i="7" s="1"/>
  <c r="FQ118" i="7" a="1"/>
  <c r="FQ118" i="7" s="1"/>
  <c r="FL118" i="7" a="1"/>
  <c r="FL118" i="7" s="1"/>
  <c r="FP118" i="7" a="1"/>
  <c r="FP118" i="7" s="1"/>
  <c r="FS118" i="7" a="1"/>
  <c r="FS118" i="7" s="1"/>
  <c r="FK118" i="7" a="1"/>
  <c r="FK118" i="7" s="1"/>
  <c r="FO86" i="7" a="1"/>
  <c r="FO86" i="7" s="1"/>
  <c r="FJ86" i="7" a="1"/>
  <c r="FJ86" i="7" s="1"/>
  <c r="FQ86" i="7" a="1"/>
  <c r="FQ86" i="7" s="1"/>
  <c r="FM86" i="7" a="1"/>
  <c r="FM86" i="7" s="1"/>
  <c r="FL86" i="7" a="1"/>
  <c r="FL86" i="7" s="1"/>
  <c r="FK86" i="7" a="1"/>
  <c r="FK86" i="7" s="1"/>
  <c r="FR86" i="7" a="1"/>
  <c r="FR86" i="7" s="1"/>
  <c r="FS86" i="7" a="1"/>
  <c r="FS86" i="7" s="1"/>
  <c r="FP86" i="7" a="1"/>
  <c r="FP86" i="7" s="1"/>
  <c r="FN86" i="7" a="1"/>
  <c r="FN86" i="7" s="1"/>
  <c r="FL114" i="7" a="1"/>
  <c r="FL114" i="7" s="1"/>
  <c r="FN114" i="7" a="1"/>
  <c r="FN114" i="7" s="1"/>
  <c r="FK114" i="7" a="1"/>
  <c r="FK114" i="7" s="1"/>
  <c r="FS114" i="7" a="1"/>
  <c r="FS114" i="7" s="1"/>
  <c r="FO114" i="7" a="1"/>
  <c r="FO114" i="7" s="1"/>
  <c r="FR114" i="7" a="1"/>
  <c r="FR114" i="7" s="1"/>
  <c r="FP114" i="7" a="1"/>
  <c r="FP114" i="7" s="1"/>
  <c r="FQ114" i="7" a="1"/>
  <c r="FQ114" i="7" s="1"/>
  <c r="FM114" i="7" a="1"/>
  <c r="FM114" i="7" s="1"/>
  <c r="FJ114" i="7" a="1"/>
  <c r="FJ114" i="7" s="1"/>
  <c r="FO80" i="7" a="1"/>
  <c r="FO80" i="7" s="1"/>
  <c r="FQ80" i="7" a="1"/>
  <c r="FQ80" i="7" s="1"/>
  <c r="FN80" i="7" a="1"/>
  <c r="FN80" i="7" s="1"/>
  <c r="FS80" i="7" a="1"/>
  <c r="FS80" i="7" s="1"/>
  <c r="FK80" i="7" a="1"/>
  <c r="FK80" i="7" s="1"/>
  <c r="FP80" i="7" a="1"/>
  <c r="FP80" i="7" s="1"/>
  <c r="FL80" i="7" a="1"/>
  <c r="FL80" i="7" s="1"/>
  <c r="FR80" i="7" a="1"/>
  <c r="FR80" i="7" s="1"/>
  <c r="FM80" i="7" a="1"/>
  <c r="FM80" i="7" s="1"/>
  <c r="FJ80" i="7" a="1"/>
  <c r="FJ80" i="7" s="1"/>
  <c r="FJ104" i="7" a="1"/>
  <c r="FJ104" i="7" s="1"/>
  <c r="FO104" i="7" a="1"/>
  <c r="FO104" i="7" s="1"/>
  <c r="FN104" i="7" a="1"/>
  <c r="FN104" i="7" s="1"/>
  <c r="FK104" i="7" a="1"/>
  <c r="FK104" i="7" s="1"/>
  <c r="FQ104" i="7" a="1"/>
  <c r="FQ104" i="7" s="1"/>
  <c r="FL104" i="7" a="1"/>
  <c r="FL104" i="7" s="1"/>
  <c r="FM104" i="7" a="1"/>
  <c r="FM104" i="7" s="1"/>
  <c r="FR104" i="7" a="1"/>
  <c r="FR104" i="7" s="1"/>
  <c r="FP104" i="7" a="1"/>
  <c r="FP104" i="7" s="1"/>
  <c r="FS104" i="7" a="1"/>
  <c r="FS104" i="7" s="1"/>
  <c r="FJ107" i="7" a="1"/>
  <c r="FJ107" i="7" s="1"/>
  <c r="FP107" i="7" a="1"/>
  <c r="FP107" i="7" s="1"/>
  <c r="FR107" i="7" a="1"/>
  <c r="FR107" i="7" s="1"/>
  <c r="FQ107" i="7" a="1"/>
  <c r="FQ107" i="7" s="1"/>
  <c r="FN107" i="7" a="1"/>
  <c r="FN107" i="7" s="1"/>
  <c r="FM107" i="7" a="1"/>
  <c r="FM107" i="7" s="1"/>
  <c r="FK107" i="7" a="1"/>
  <c r="FK107" i="7" s="1"/>
  <c r="FO107" i="7" a="1"/>
  <c r="FO107" i="7" s="1"/>
  <c r="FS107" i="7" a="1"/>
  <c r="FS107" i="7" s="1"/>
  <c r="FL107" i="7" a="1"/>
  <c r="FL107" i="7" s="1"/>
  <c r="FR98" i="7" a="1"/>
  <c r="FR98" i="7" s="1"/>
  <c r="FQ98" i="7" a="1"/>
  <c r="FQ98" i="7" s="1"/>
  <c r="FM98" i="7" a="1"/>
  <c r="FM98" i="7" s="1"/>
  <c r="FP98" i="7" a="1"/>
  <c r="FP98" i="7" s="1"/>
  <c r="FO98" i="7" a="1"/>
  <c r="FO98" i="7" s="1"/>
  <c r="FJ98" i="7" a="1"/>
  <c r="FJ98" i="7" s="1"/>
  <c r="FN98" i="7" a="1"/>
  <c r="FN98" i="7" s="1"/>
  <c r="FL98" i="7" a="1"/>
  <c r="FL98" i="7" s="1"/>
  <c r="FS98" i="7" a="1"/>
  <c r="FS98" i="7" s="1"/>
  <c r="FK98" i="7" a="1"/>
  <c r="FK98" i="7" s="1"/>
  <c r="FJ109" i="7" a="1"/>
  <c r="FJ109" i="7" s="1"/>
  <c r="FO109" i="7" a="1"/>
  <c r="FO109" i="7" s="1"/>
  <c r="FK109" i="7" a="1"/>
  <c r="FK109" i="7" s="1"/>
  <c r="FP109" i="7" a="1"/>
  <c r="FP109" i="7" s="1"/>
  <c r="FM109" i="7" a="1"/>
  <c r="FM109" i="7" s="1"/>
  <c r="FS109" i="7" a="1"/>
  <c r="FS109" i="7" s="1"/>
  <c r="FQ109" i="7" a="1"/>
  <c r="FQ109" i="7" s="1"/>
  <c r="FR109" i="7" a="1"/>
  <c r="FR109" i="7" s="1"/>
  <c r="FL109" i="7" a="1"/>
  <c r="FL109" i="7" s="1"/>
  <c r="FN109" i="7" a="1"/>
  <c r="FN109" i="7" s="1"/>
  <c r="FM78" i="7" a="1"/>
  <c r="FM78" i="7" s="1"/>
  <c r="FJ78" i="7" a="1"/>
  <c r="FJ78" i="7" s="1"/>
  <c r="FR78" i="7" a="1"/>
  <c r="FR78" i="7" s="1"/>
  <c r="FO78" i="7" a="1"/>
  <c r="FO78" i="7" s="1"/>
  <c r="FP78" i="7" a="1"/>
  <c r="FP78" i="7" s="1"/>
  <c r="FN78" i="7" a="1"/>
  <c r="FN78" i="7" s="1"/>
  <c r="FL78" i="7" a="1"/>
  <c r="FL78" i="7" s="1"/>
  <c r="FK78" i="7" a="1"/>
  <c r="FK78" i="7" s="1"/>
  <c r="FQ78" i="7" a="1"/>
  <c r="FQ78" i="7" s="1"/>
  <c r="FS78" i="7" a="1"/>
  <c r="FS78" i="7" s="1"/>
  <c r="FL102" i="7" a="1"/>
  <c r="FL102" i="7" s="1"/>
  <c r="FR102" i="7" a="1"/>
  <c r="FR102" i="7" s="1"/>
  <c r="FN102" i="7" a="1"/>
  <c r="FN102" i="7" s="1"/>
  <c r="FJ102" i="7" a="1"/>
  <c r="FJ102" i="7" s="1"/>
  <c r="FM102" i="7" a="1"/>
  <c r="FM102" i="7" s="1"/>
  <c r="FS102" i="7" a="1"/>
  <c r="FS102" i="7" s="1"/>
  <c r="FP102" i="7" a="1"/>
  <c r="FP102" i="7" s="1"/>
  <c r="FK102" i="7" a="1"/>
  <c r="FK102" i="7" s="1"/>
  <c r="FO102" i="7" a="1"/>
  <c r="FO102" i="7" s="1"/>
  <c r="FQ102" i="7" a="1"/>
  <c r="FQ102" i="7" s="1"/>
  <c r="FQ103" i="7" a="1"/>
  <c r="FQ103" i="7" s="1"/>
  <c r="FP103" i="7" a="1"/>
  <c r="FP103" i="7" s="1"/>
  <c r="FO103" i="7" a="1"/>
  <c r="FO103" i="7" s="1"/>
  <c r="FK103" i="7" a="1"/>
  <c r="FK103" i="7" s="1"/>
  <c r="FS103" i="7" a="1"/>
  <c r="FS103" i="7" s="1"/>
  <c r="FM103" i="7" a="1"/>
  <c r="FM103" i="7" s="1"/>
  <c r="FL103" i="7" a="1"/>
  <c r="FL103" i="7" s="1"/>
  <c r="FR103" i="7" a="1"/>
  <c r="FR103" i="7" s="1"/>
  <c r="FN103" i="7" a="1"/>
  <c r="FN103" i="7" s="1"/>
  <c r="FJ103" i="7" a="1"/>
  <c r="FJ103" i="7" s="1"/>
  <c r="FJ120" i="7" a="1"/>
  <c r="FJ120" i="7" s="1"/>
  <c r="FP120" i="7" a="1"/>
  <c r="FP120" i="7" s="1"/>
  <c r="FS120" i="7" a="1"/>
  <c r="FS120" i="7" s="1"/>
  <c r="FK120" i="7" a="1"/>
  <c r="FK120" i="7" s="1"/>
  <c r="FL120" i="7" a="1"/>
  <c r="FL120" i="7" s="1"/>
  <c r="FQ120" i="7" a="1"/>
  <c r="FQ120" i="7" s="1"/>
  <c r="FM120" i="7" a="1"/>
  <c r="FM120" i="7" s="1"/>
  <c r="FR120" i="7" a="1"/>
  <c r="FR120" i="7" s="1"/>
  <c r="FO120" i="7" a="1"/>
  <c r="FO120" i="7" s="1"/>
  <c r="FN120" i="7" a="1"/>
  <c r="FN120" i="7" s="1"/>
  <c r="FP63" i="7" a="1"/>
  <c r="FP63" i="7" s="1"/>
  <c r="FN63" i="7" a="1"/>
  <c r="FN63" i="7" s="1"/>
  <c r="FL63" i="7" a="1"/>
  <c r="FL63" i="7" s="1"/>
  <c r="FJ63" i="7" a="1"/>
  <c r="FJ63" i="7" s="1"/>
  <c r="FO63" i="7" a="1"/>
  <c r="FO63" i="7" s="1"/>
  <c r="FM63" i="7" a="1"/>
  <c r="FM63" i="7" s="1"/>
  <c r="FR63" i="7" a="1"/>
  <c r="FR63" i="7" s="1"/>
  <c r="FK63" i="7" a="1"/>
  <c r="FK63" i="7" s="1"/>
  <c r="FQ63" i="7" a="1"/>
  <c r="FQ63" i="7" s="1"/>
  <c r="FS63" i="7" a="1"/>
  <c r="FS63" i="7" s="1"/>
  <c r="FK96" i="7" a="1"/>
  <c r="FK96" i="7" s="1"/>
  <c r="FN96" i="7" a="1"/>
  <c r="FN96" i="7" s="1"/>
  <c r="FL96" i="7" a="1"/>
  <c r="FL96" i="7" s="1"/>
  <c r="FJ96" i="7" a="1"/>
  <c r="FJ96" i="7" s="1"/>
  <c r="FR96" i="7" a="1"/>
  <c r="FR96" i="7" s="1"/>
  <c r="FS96" i="7" a="1"/>
  <c r="FS96" i="7" s="1"/>
  <c r="FP96" i="7" a="1"/>
  <c r="FP96" i="7" s="1"/>
  <c r="FO96" i="7" a="1"/>
  <c r="FO96" i="7" s="1"/>
  <c r="FQ96" i="7" a="1"/>
  <c r="FQ96" i="7" s="1"/>
  <c r="FM96" i="7" a="1"/>
  <c r="FM96" i="7" s="1"/>
  <c r="FL61" i="7" a="1"/>
  <c r="FL61" i="7" s="1"/>
  <c r="FO61" i="7" a="1"/>
  <c r="FO61" i="7" s="1"/>
  <c r="FQ61" i="7" a="1"/>
  <c r="FQ61" i="7" s="1"/>
  <c r="FP61" i="7" a="1"/>
  <c r="FP61" i="7" s="1"/>
  <c r="FM61" i="7" a="1"/>
  <c r="FM61" i="7" s="1"/>
  <c r="FK61" i="7" a="1"/>
  <c r="FK61" i="7" s="1"/>
  <c r="FR61" i="7" a="1"/>
  <c r="FR61" i="7" s="1"/>
  <c r="FS61" i="7" a="1"/>
  <c r="FS61" i="7" s="1"/>
  <c r="FN61" i="7" a="1"/>
  <c r="FN61" i="7" s="1"/>
  <c r="FJ61" i="7" a="1"/>
  <c r="FJ61" i="7" s="1"/>
  <c r="FJ116" i="7" a="1"/>
  <c r="FJ116" i="7" s="1"/>
  <c r="FL116" i="7" a="1"/>
  <c r="FL116" i="7" s="1"/>
  <c r="FK116" i="7" a="1"/>
  <c r="FK116" i="7" s="1"/>
  <c r="FP116" i="7" a="1"/>
  <c r="FP116" i="7" s="1"/>
  <c r="FO116" i="7" a="1"/>
  <c r="FO116" i="7" s="1"/>
  <c r="FN116" i="7" a="1"/>
  <c r="FN116" i="7" s="1"/>
  <c r="FQ116" i="7" a="1"/>
  <c r="FQ116" i="7" s="1"/>
  <c r="FS116" i="7" a="1"/>
  <c r="FS116" i="7" s="1"/>
  <c r="FM116" i="7" a="1"/>
  <c r="FM116" i="7" s="1"/>
  <c r="FR116" i="7" a="1"/>
  <c r="FR116" i="7" s="1"/>
  <c r="FK110" i="7" a="1"/>
  <c r="FK110" i="7" s="1"/>
  <c r="FP110" i="7" a="1"/>
  <c r="FP110" i="7" s="1"/>
  <c r="FN110" i="7" a="1"/>
  <c r="FN110" i="7" s="1"/>
  <c r="FQ110" i="7" a="1"/>
  <c r="FQ110" i="7" s="1"/>
  <c r="FJ110" i="7" a="1"/>
  <c r="FJ110" i="7" s="1"/>
  <c r="FS110" i="7" a="1"/>
  <c r="FS110" i="7" s="1"/>
  <c r="FM110" i="7" a="1"/>
  <c r="FM110" i="7" s="1"/>
  <c r="FR110" i="7" a="1"/>
  <c r="FR110" i="7" s="1"/>
  <c r="FL110" i="7" a="1"/>
  <c r="FL110" i="7" s="1"/>
  <c r="FO110" i="7" a="1"/>
  <c r="FO110" i="7" s="1"/>
  <c r="FQ77" i="7" a="1"/>
  <c r="FQ77" i="7" s="1"/>
  <c r="FK77" i="7" a="1"/>
  <c r="FK77" i="7" s="1"/>
  <c r="FL77" i="7" a="1"/>
  <c r="FL77" i="7" s="1"/>
  <c r="FO77" i="7" a="1"/>
  <c r="FO77" i="7" s="1"/>
  <c r="FJ77" i="7" a="1"/>
  <c r="FJ77" i="7" s="1"/>
  <c r="FP77" i="7" a="1"/>
  <c r="FP77" i="7" s="1"/>
  <c r="FR77" i="7" a="1"/>
  <c r="FR77" i="7" s="1"/>
  <c r="FS77" i="7" a="1"/>
  <c r="FS77" i="7" s="1"/>
  <c r="FN77" i="7" a="1"/>
  <c r="FN77" i="7" s="1"/>
  <c r="FM77" i="7" a="1"/>
  <c r="FM77" i="7" s="1"/>
  <c r="FM7" i="7" a="1"/>
  <c r="FM4" i="7" a="1"/>
  <c r="FM5" i="7" a="1"/>
  <c r="FM8" i="7" a="1"/>
  <c r="FO60" i="7" a="1"/>
  <c r="FL60" i="7" a="1"/>
  <c r="FS60" i="7" a="1"/>
  <c r="FK60" i="7" a="1"/>
  <c r="FP60" i="7" a="1"/>
  <c r="FR60" i="7" a="1"/>
  <c r="FQ60" i="7" a="1"/>
  <c r="FN60" i="7" a="1"/>
  <c r="FJ60" i="7" a="1"/>
  <c r="FM56" i="7" a="1"/>
  <c r="FM57" i="7" a="1"/>
  <c r="FM58" i="7" a="1"/>
  <c r="B2" i="8"/>
  <c r="FL59" i="7" a="1"/>
  <c r="FK59" i="7" a="1"/>
  <c r="FR59" i="7" a="1"/>
  <c r="FJ59" i="7" a="1"/>
  <c r="FO59" i="7" a="1"/>
  <c r="FS59" i="7" a="1"/>
  <c r="FN59" i="7" a="1"/>
  <c r="FQ59" i="7" a="1"/>
  <c r="FP59" i="7" a="1"/>
  <c r="FM48" i="7" a="1"/>
  <c r="FM51" i="7" a="1"/>
  <c r="FM6" i="7" a="1"/>
  <c r="FM54" i="7" a="1"/>
  <c r="FM53" i="7" a="1"/>
  <c r="FM55" i="7" a="1"/>
  <c r="FM3" i="7" a="1"/>
  <c r="FM50" i="7" a="1"/>
  <c r="FM13" i="7" a="1"/>
  <c r="FM52" i="7" a="1"/>
  <c r="FM49" i="7" a="1"/>
  <c r="FM2" i="7" a="1"/>
  <c r="FM1" i="7" a="1"/>
  <c r="C2" i="8" a="1"/>
  <c r="C4" i="8" a="1"/>
  <c r="C1" i="8" a="1"/>
  <c r="FM8" i="7" l="1"/>
  <c r="FM5" i="7"/>
  <c r="FM4" i="7"/>
  <c r="FM7" i="7"/>
  <c r="FJ60" i="7"/>
  <c r="FN60" i="7"/>
  <c r="FQ60" i="7"/>
  <c r="FR60" i="7"/>
  <c r="FP60" i="7"/>
  <c r="FK60" i="7"/>
  <c r="FS60" i="7"/>
  <c r="FL60" i="7"/>
  <c r="FO60" i="7"/>
  <c r="FM57" i="7"/>
  <c r="FM56" i="7"/>
  <c r="FM58" i="7"/>
  <c r="C1" i="8"/>
  <c r="C4" i="8"/>
  <c r="C2" i="8"/>
  <c r="H1" i="8"/>
  <c r="FP59" i="7"/>
  <c r="FQ59" i="7"/>
  <c r="FN59" i="7"/>
  <c r="FS59" i="7"/>
  <c r="FO59" i="7"/>
  <c r="FJ59" i="7"/>
  <c r="FR59" i="7"/>
  <c r="FK59" i="7"/>
  <c r="FL59" i="7"/>
  <c r="FM1" i="7"/>
  <c r="FM2" i="7"/>
  <c r="FM49" i="7"/>
  <c r="FM52" i="7"/>
  <c r="FM13" i="7"/>
  <c r="FM50" i="7"/>
  <c r="FM3" i="7"/>
  <c r="FM55" i="7"/>
  <c r="FM53" i="7"/>
  <c r="FM54" i="7"/>
  <c r="FM6" i="7"/>
  <c r="FM51" i="7"/>
  <c r="FM48" i="7"/>
  <c r="FM60" i="7" a="1"/>
  <c r="FM59" i="7" a="1"/>
  <c r="F7" i="8" a="1"/>
  <c r="F6" i="8" a="1"/>
  <c r="D6" i="8" a="1"/>
  <c r="C6" i="8" a="1"/>
  <c r="B6" i="8" a="1"/>
  <c r="F4" i="8" a="1"/>
  <c r="F3" i="8" a="1"/>
  <c r="C3" i="8" a="1"/>
  <c r="F2" i="8" a="1"/>
  <c r="G1" i="8" a="1"/>
  <c r="I2" i="8"/>
  <c r="J2" i="8" a="1"/>
  <c r="J4" i="8" a="1"/>
  <c r="J1" i="8" a="1"/>
  <c r="FM60" i="7" l="1"/>
  <c r="FM59" i="7"/>
  <c r="J1" i="8"/>
  <c r="J4" i="8"/>
  <c r="J2" i="8"/>
  <c r="A9" i="8"/>
  <c r="G1" i="8"/>
  <c r="F2" i="8"/>
  <c r="C3" i="8"/>
  <c r="F3" i="8"/>
  <c r="F4" i="8"/>
  <c r="B6" i="8"/>
  <c r="C6" i="8"/>
  <c r="D7" i="8" s="1"/>
  <c r="D6" i="8"/>
  <c r="F6" i="8"/>
  <c r="F7" i="8"/>
  <c r="B1" i="8"/>
  <c r="M7" i="8" a="1"/>
  <c r="M6" i="8" a="1"/>
  <c r="K6" i="8" a="1"/>
  <c r="J6" i="8" a="1"/>
  <c r="I6" i="8" a="1"/>
  <c r="M4" i="8" a="1"/>
  <c r="M3" i="8" a="1"/>
  <c r="J3" i="8" a="1"/>
  <c r="M2" i="8" a="1"/>
  <c r="N1" i="8" a="1"/>
  <c r="B10" i="8"/>
  <c r="C10" i="8" a="1"/>
  <c r="C12" i="8" a="1"/>
  <c r="C9" i="8" a="1"/>
  <c r="B7" i="8" l="1"/>
  <c r="C9" i="8"/>
  <c r="C12" i="8"/>
  <c r="C10" i="8"/>
  <c r="H9" i="8"/>
  <c r="N1" i="8"/>
  <c r="M2" i="8"/>
  <c r="J3" i="8"/>
  <c r="M3" i="8"/>
  <c r="M4" i="8"/>
  <c r="I6" i="8"/>
  <c r="J6" i="8"/>
  <c r="K7" i="8" s="1"/>
  <c r="K6" i="8"/>
  <c r="M6" i="8"/>
  <c r="M7" i="8"/>
  <c r="I7" i="8"/>
  <c r="I1" i="8"/>
  <c r="F15" i="8" a="1"/>
  <c r="F14" i="8" a="1"/>
  <c r="D14" i="8" a="1"/>
  <c r="C14" i="8" a="1"/>
  <c r="B14" i="8" a="1"/>
  <c r="F12" i="8" a="1"/>
  <c r="F11" i="8" a="1"/>
  <c r="C11" i="8" a="1"/>
  <c r="F10" i="8" a="1"/>
  <c r="G9" i="8" a="1"/>
  <c r="I10" i="8"/>
  <c r="J10" i="8" a="1"/>
  <c r="J12" i="8" a="1"/>
  <c r="J9" i="8" a="1"/>
  <c r="J9" i="8" l="1"/>
  <c r="J12" i="8"/>
  <c r="J10" i="8"/>
  <c r="A17" i="8"/>
  <c r="G9" i="8"/>
  <c r="F10" i="8"/>
  <c r="C11" i="8"/>
  <c r="F11" i="8"/>
  <c r="F12" i="8"/>
  <c r="B14" i="8"/>
  <c r="C14" i="8"/>
  <c r="B15" i="8" s="1"/>
  <c r="D14" i="8"/>
  <c r="F14" i="8"/>
  <c r="F15" i="8"/>
  <c r="B9" i="8"/>
  <c r="M15" i="8" a="1"/>
  <c r="M14" i="8" a="1"/>
  <c r="K14" i="8" a="1"/>
  <c r="J14" i="8" a="1"/>
  <c r="I14" i="8" a="1"/>
  <c r="M12" i="8" a="1"/>
  <c r="M11" i="8" a="1"/>
  <c r="J11" i="8" a="1"/>
  <c r="M10" i="8" a="1"/>
  <c r="N9" i="8" a="1"/>
  <c r="B18" i="8"/>
  <c r="C18" i="8" a="1"/>
  <c r="C20" i="8" a="1"/>
  <c r="C17" i="8" a="1"/>
  <c r="D15" i="8" l="1"/>
  <c r="C17" i="8"/>
  <c r="C20" i="8"/>
  <c r="C18" i="8"/>
  <c r="H17" i="8"/>
  <c r="N9" i="8"/>
  <c r="M10" i="8"/>
  <c r="J11" i="8"/>
  <c r="M11" i="8"/>
  <c r="M12" i="8"/>
  <c r="I14" i="8"/>
  <c r="J14" i="8"/>
  <c r="K15" i="8" s="1"/>
  <c r="K14" i="8"/>
  <c r="M14" i="8"/>
  <c r="M15" i="8"/>
  <c r="I15" i="8"/>
  <c r="I9" i="8"/>
  <c r="F23" i="8" a="1"/>
  <c r="F22" i="8" a="1"/>
  <c r="D22" i="8" a="1"/>
  <c r="C22" i="8" a="1"/>
  <c r="B22" i="8" a="1"/>
  <c r="F20" i="8" a="1"/>
  <c r="F19" i="8" a="1"/>
  <c r="C19" i="8" a="1"/>
  <c r="F18" i="8" a="1"/>
  <c r="G17" i="8" a="1"/>
  <c r="I18" i="8"/>
  <c r="J18" i="8" a="1"/>
  <c r="J20" i="8" a="1"/>
  <c r="J17" i="8" a="1"/>
  <c r="J17" i="8" l="1"/>
  <c r="J20" i="8"/>
  <c r="J18" i="8"/>
  <c r="A25" i="8"/>
  <c r="G17" i="8"/>
  <c r="F18" i="8"/>
  <c r="C19" i="8"/>
  <c r="F19" i="8"/>
  <c r="F20" i="8"/>
  <c r="B22" i="8"/>
  <c r="C22" i="8"/>
  <c r="B23" i="8" s="1"/>
  <c r="D22" i="8"/>
  <c r="F22" i="8"/>
  <c r="F23" i="8"/>
  <c r="D23" i="8"/>
  <c r="B17" i="8"/>
  <c r="M23" i="8" a="1"/>
  <c r="M22" i="8" a="1"/>
  <c r="K22" i="8" a="1"/>
  <c r="J22" i="8" a="1"/>
  <c r="I22" i="8" a="1"/>
  <c r="M20" i="8" a="1"/>
  <c r="M19" i="8" a="1"/>
  <c r="J19" i="8" a="1"/>
  <c r="M18" i="8" a="1"/>
  <c r="N17" i="8" a="1"/>
  <c r="B26" i="8"/>
  <c r="C26" i="8" a="1"/>
  <c r="C28" i="8" a="1"/>
  <c r="C25" i="8" a="1"/>
  <c r="C25" i="8" l="1"/>
  <c r="C28" i="8"/>
  <c r="C26" i="8"/>
  <c r="H25" i="8"/>
  <c r="N17" i="8"/>
  <c r="M18" i="8"/>
  <c r="J19" i="8"/>
  <c r="M19" i="8"/>
  <c r="M20" i="8"/>
  <c r="I22" i="8"/>
  <c r="J22" i="8"/>
  <c r="K22" i="8"/>
  <c r="M22" i="8"/>
  <c r="M23" i="8"/>
  <c r="I23" i="8"/>
  <c r="K23" i="8"/>
  <c r="I17" i="8"/>
  <c r="F31" i="8" a="1"/>
  <c r="F30" i="8" a="1"/>
  <c r="D30" i="8" a="1"/>
  <c r="C30" i="8" a="1"/>
  <c r="B30" i="8" a="1"/>
  <c r="F28" i="8" a="1"/>
  <c r="F27" i="8" a="1"/>
  <c r="C27" i="8" a="1"/>
  <c r="F26" i="8" a="1"/>
  <c r="G25" i="8" a="1"/>
  <c r="I26" i="8"/>
  <c r="J26" i="8" a="1"/>
  <c r="J28" i="8" a="1"/>
  <c r="J25" i="8" a="1"/>
  <c r="J25" i="8" l="1"/>
  <c r="J28" i="8"/>
  <c r="J26" i="8"/>
  <c r="A33" i="8"/>
  <c r="G25" i="8"/>
  <c r="F26" i="8"/>
  <c r="C27" i="8"/>
  <c r="F27" i="8"/>
  <c r="F28" i="8"/>
  <c r="B30" i="8"/>
  <c r="C30" i="8"/>
  <c r="D30" i="8"/>
  <c r="F30" i="8"/>
  <c r="F31" i="8"/>
  <c r="B31" i="8"/>
  <c r="D31" i="8"/>
  <c r="B25" i="8"/>
  <c r="M31" i="8" a="1"/>
  <c r="M30" i="8" a="1"/>
  <c r="K30" i="8" a="1"/>
  <c r="J30" i="8" a="1"/>
  <c r="I30" i="8" a="1"/>
  <c r="M28" i="8" a="1"/>
  <c r="M27" i="8" a="1"/>
  <c r="J27" i="8" a="1"/>
  <c r="M26" i="8" a="1"/>
  <c r="N25" i="8" a="1"/>
  <c r="B34" i="8"/>
  <c r="C34" i="8" a="1"/>
  <c r="C36" i="8" a="1"/>
  <c r="C33" i="8" a="1"/>
  <c r="C33" i="8" l="1"/>
  <c r="C36" i="8"/>
  <c r="C34" i="8"/>
  <c r="H33" i="8"/>
  <c r="N25" i="8"/>
  <c r="M26" i="8"/>
  <c r="J27" i="8"/>
  <c r="M27" i="8"/>
  <c r="M28" i="8"/>
  <c r="I30" i="8"/>
  <c r="J30" i="8"/>
  <c r="K30" i="8"/>
  <c r="M30" i="8"/>
  <c r="M31" i="8"/>
  <c r="I31" i="8"/>
  <c r="K31" i="8"/>
  <c r="I25" i="8"/>
  <c r="F39" i="8" a="1"/>
  <c r="F38" i="8" a="1"/>
  <c r="D38" i="8" a="1"/>
  <c r="C38" i="8" a="1"/>
  <c r="B38" i="8" a="1"/>
  <c r="F36" i="8" a="1"/>
  <c r="F35" i="8" a="1"/>
  <c r="C35" i="8" a="1"/>
  <c r="F34" i="8" a="1"/>
  <c r="G33" i="8" a="1"/>
  <c r="I34" i="8"/>
  <c r="J34" i="8" a="1"/>
  <c r="J36" i="8" a="1"/>
  <c r="J33" i="8" a="1"/>
  <c r="J33" i="8" l="1"/>
  <c r="J36" i="8"/>
  <c r="J34" i="8"/>
  <c r="A41" i="8"/>
  <c r="G33" i="8"/>
  <c r="F34" i="8"/>
  <c r="C35" i="8"/>
  <c r="F35" i="8"/>
  <c r="F36" i="8"/>
  <c r="B38" i="8"/>
  <c r="C38" i="8"/>
  <c r="D39" i="8" s="1"/>
  <c r="D38" i="8"/>
  <c r="F38" i="8"/>
  <c r="F39" i="8"/>
  <c r="B39" i="8"/>
  <c r="B33" i="8"/>
  <c r="M39" i="8" a="1"/>
  <c r="M38" i="8" a="1"/>
  <c r="K38" i="8" a="1"/>
  <c r="J38" i="8" a="1"/>
  <c r="I38" i="8" a="1"/>
  <c r="M36" i="8" a="1"/>
  <c r="M35" i="8" a="1"/>
  <c r="J35" i="8" a="1"/>
  <c r="M34" i="8" a="1"/>
  <c r="N33" i="8" a="1"/>
  <c r="B42" i="8"/>
  <c r="C42" i="8" a="1"/>
  <c r="C44" i="8" a="1"/>
  <c r="C41" i="8" a="1"/>
  <c r="C41" i="8" l="1"/>
  <c r="C44" i="8"/>
  <c r="C42" i="8"/>
  <c r="H41" i="8"/>
  <c r="N33" i="8"/>
  <c r="M34" i="8"/>
  <c r="J35" i="8"/>
  <c r="M35" i="8"/>
  <c r="M36" i="8"/>
  <c r="I38" i="8"/>
  <c r="J38" i="8"/>
  <c r="K38" i="8"/>
  <c r="M38" i="8"/>
  <c r="M39" i="8"/>
  <c r="I39" i="8"/>
  <c r="K39" i="8"/>
  <c r="I33" i="8"/>
  <c r="I42" i="8"/>
  <c r="F47" i="8" a="1"/>
  <c r="F46" i="8" a="1"/>
  <c r="D46" i="8" a="1"/>
  <c r="C46" i="8" a="1"/>
  <c r="B46" i="8" a="1"/>
  <c r="F44" i="8" a="1"/>
  <c r="F43" i="8" a="1"/>
  <c r="C43" i="8" a="1"/>
  <c r="F42" i="8" a="1"/>
  <c r="G41" i="8" a="1"/>
  <c r="J42" i="8" a="1"/>
  <c r="J44" i="8" a="1"/>
  <c r="J41" i="8" a="1"/>
  <c r="J41" i="8" l="1"/>
  <c r="J44" i="8"/>
  <c r="J42" i="8"/>
  <c r="G41" i="8"/>
  <c r="F42" i="8"/>
  <c r="C43" i="8"/>
  <c r="F43" i="8"/>
  <c r="F44" i="8"/>
  <c r="B46" i="8"/>
  <c r="C46" i="8"/>
  <c r="D47" i="8" s="1"/>
  <c r="D46" i="8"/>
  <c r="F46" i="8"/>
  <c r="F47" i="8"/>
  <c r="P1" i="8"/>
  <c r="B41" i="8"/>
  <c r="M47" i="8" a="1"/>
  <c r="M46" i="8" a="1"/>
  <c r="K46" i="8" a="1"/>
  <c r="J46" i="8" a="1"/>
  <c r="I46" i="8" a="1"/>
  <c r="M44" i="8" a="1"/>
  <c r="M43" i="8" a="1"/>
  <c r="J43" i="8" a="1"/>
  <c r="M42" i="8" a="1"/>
  <c r="N41" i="8" a="1"/>
  <c r="Q2" i="8"/>
  <c r="R2" i="8" a="1"/>
  <c r="R1" i="8" a="1"/>
  <c r="R4" i="8" a="1"/>
  <c r="B47" i="8" l="1"/>
  <c r="R4" i="8"/>
  <c r="R1" i="8"/>
  <c r="R2" i="8"/>
  <c r="W1" i="8"/>
  <c r="N41" i="8"/>
  <c r="M42" i="8"/>
  <c r="J43" i="8"/>
  <c r="M43" i="8"/>
  <c r="M44" i="8"/>
  <c r="I46" i="8"/>
  <c r="J46" i="8"/>
  <c r="I47" i="8" s="1"/>
  <c r="K46" i="8"/>
  <c r="M46" i="8"/>
  <c r="M47" i="8"/>
  <c r="I41" i="8"/>
  <c r="U4" i="8" a="1"/>
  <c r="U3" i="8" a="1"/>
  <c r="U2" i="8" a="1"/>
  <c r="Q6" i="8" a="1"/>
  <c r="V1" i="8" a="1"/>
  <c r="S6" i="8" a="1"/>
  <c r="U6" i="8" a="1"/>
  <c r="U7" i="8" a="1"/>
  <c r="R3" i="8" a="1"/>
  <c r="R6" i="8" a="1"/>
  <c r="X2" i="8"/>
  <c r="Y2" i="8" a="1"/>
  <c r="Y1" i="8" a="1"/>
  <c r="Y4" i="8" a="1"/>
  <c r="K47" i="8" l="1"/>
  <c r="Y4" i="8"/>
  <c r="Y1" i="8"/>
  <c r="Y2" i="8"/>
  <c r="P9" i="8"/>
  <c r="R6" i="8"/>
  <c r="Q7" i="8" s="1"/>
  <c r="R3" i="8"/>
  <c r="U7" i="8"/>
  <c r="U6" i="8"/>
  <c r="S6" i="8"/>
  <c r="V1" i="8"/>
  <c r="Q6" i="8"/>
  <c r="U2" i="8"/>
  <c r="U3" i="8"/>
  <c r="U4" i="8"/>
  <c r="S7" i="8"/>
  <c r="Q1" i="8"/>
  <c r="Y6" i="8" a="1"/>
  <c r="AB7" i="8" a="1"/>
  <c r="Y3" i="8" a="1"/>
  <c r="AB2" i="8" a="1"/>
  <c r="Z6" i="8" a="1"/>
  <c r="X6" i="8" a="1"/>
  <c r="AC1" i="8" a="1"/>
  <c r="AB6" i="8" a="1"/>
  <c r="AB4" i="8" a="1"/>
  <c r="AB3" i="8" a="1"/>
  <c r="Q10" i="8"/>
  <c r="R10" i="8" a="1"/>
  <c r="R9" i="8" a="1"/>
  <c r="R12" i="8" a="1"/>
  <c r="R12" i="8" l="1"/>
  <c r="R9" i="8"/>
  <c r="R10" i="8"/>
  <c r="W9" i="8"/>
  <c r="AB3" i="8"/>
  <c r="AB4" i="8"/>
  <c r="AB6" i="8"/>
  <c r="AC1" i="8"/>
  <c r="X6" i="8"/>
  <c r="Z6" i="8"/>
  <c r="AB2" i="8"/>
  <c r="Y3" i="8"/>
  <c r="AB7" i="8"/>
  <c r="Y6" i="8"/>
  <c r="X7" i="8" s="1"/>
  <c r="Z7" i="8"/>
  <c r="X1" i="8"/>
  <c r="U14" i="8" a="1"/>
  <c r="U12" i="8" a="1"/>
  <c r="V9" i="8" a="1"/>
  <c r="U11" i="8" a="1"/>
  <c r="R11" i="8" a="1"/>
  <c r="U10" i="8" a="1"/>
  <c r="U15" i="8" a="1"/>
  <c r="R14" i="8" a="1"/>
  <c r="Q14" i="8" a="1"/>
  <c r="S14" i="8" a="1"/>
  <c r="X10" i="8"/>
  <c r="Y10" i="8" a="1"/>
  <c r="Y9" i="8" a="1"/>
  <c r="Y12" i="8" a="1"/>
  <c r="Y12" i="8" l="1"/>
  <c r="Y9" i="8"/>
  <c r="Y10" i="8"/>
  <c r="P17" i="8"/>
  <c r="S14" i="8"/>
  <c r="Q14" i="8"/>
  <c r="R14" i="8"/>
  <c r="Q15" i="8" s="1"/>
  <c r="U15" i="8"/>
  <c r="U10" i="8"/>
  <c r="R11" i="8"/>
  <c r="U11" i="8"/>
  <c r="V9" i="8"/>
  <c r="U12" i="8"/>
  <c r="U14" i="8"/>
  <c r="Q9" i="8"/>
  <c r="AB15" i="8" a="1"/>
  <c r="AC9" i="8" a="1"/>
  <c r="AB14" i="8" a="1"/>
  <c r="AB12" i="8" a="1"/>
  <c r="Y14" i="8" a="1"/>
  <c r="AB10" i="8" a="1"/>
  <c r="X14" i="8" a="1"/>
  <c r="Z14" i="8" a="1"/>
  <c r="AB11" i="8" a="1"/>
  <c r="Y11" i="8" a="1"/>
  <c r="Q18" i="8"/>
  <c r="R18" i="8" a="1"/>
  <c r="R17" i="8" a="1"/>
  <c r="R20" i="8" a="1"/>
  <c r="S15" i="8" l="1"/>
  <c r="R20" i="8"/>
  <c r="R17" i="8"/>
  <c r="R18" i="8"/>
  <c r="W17" i="8"/>
  <c r="Y11" i="8"/>
  <c r="AB11" i="8"/>
  <c r="Z14" i="8"/>
  <c r="X14" i="8"/>
  <c r="AB10" i="8"/>
  <c r="Y14" i="8"/>
  <c r="X15" i="8" s="1"/>
  <c r="AB12" i="8"/>
  <c r="AB14" i="8"/>
  <c r="AC9" i="8"/>
  <c r="AB15" i="8"/>
  <c r="Z15" i="8"/>
  <c r="X9" i="8"/>
  <c r="R19" i="8" a="1"/>
  <c r="U20" i="8" a="1"/>
  <c r="V17" i="8" a="1"/>
  <c r="R22" i="8" a="1"/>
  <c r="U22" i="8" a="1"/>
  <c r="S22" i="8" a="1"/>
  <c r="U23" i="8" a="1"/>
  <c r="U19" i="8" a="1"/>
  <c r="Q22" i="8" a="1"/>
  <c r="U18" i="8" a="1"/>
  <c r="X18" i="8"/>
  <c r="Y18" i="8" a="1"/>
  <c r="Y17" i="8" a="1"/>
  <c r="Y20" i="8" a="1"/>
  <c r="Y20" i="8" l="1"/>
  <c r="Y17" i="8"/>
  <c r="Y18" i="8"/>
  <c r="P25" i="8"/>
  <c r="U18" i="8"/>
  <c r="Q22" i="8"/>
  <c r="U19" i="8"/>
  <c r="U23" i="8"/>
  <c r="S22" i="8"/>
  <c r="U22" i="8"/>
  <c r="R22" i="8"/>
  <c r="Q23" i="8" s="1"/>
  <c r="V17" i="8"/>
  <c r="U20" i="8"/>
  <c r="R19" i="8"/>
  <c r="S23" i="8"/>
  <c r="Q17" i="8"/>
  <c r="Q26" i="8"/>
  <c r="AB20" i="8" a="1"/>
  <c r="AB22" i="8" a="1"/>
  <c r="AB19" i="8" a="1"/>
  <c r="Y22" i="8" a="1"/>
  <c r="Z22" i="8" a="1"/>
  <c r="AB18" i="8" a="1"/>
  <c r="X22" i="8" a="1"/>
  <c r="Y19" i="8" a="1"/>
  <c r="AB23" i="8" a="1"/>
  <c r="AC17" i="8" a="1"/>
  <c r="R26" i="8" a="1"/>
  <c r="R25" i="8" a="1"/>
  <c r="R28" i="8" a="1"/>
  <c r="R28" i="8" l="1"/>
  <c r="R25" i="8"/>
  <c r="R26" i="8"/>
  <c r="AC17" i="8"/>
  <c r="AB23" i="8"/>
  <c r="Y19" i="8"/>
  <c r="X22" i="8"/>
  <c r="AB18" i="8"/>
  <c r="Z22" i="8"/>
  <c r="Y22" i="8"/>
  <c r="X23" i="8" s="1"/>
  <c r="AB19" i="8"/>
  <c r="AB22" i="8"/>
  <c r="AB20" i="8"/>
  <c r="W25" i="8"/>
  <c r="X17" i="8"/>
  <c r="X26" i="8"/>
  <c r="R30" i="8" a="1"/>
  <c r="S30" i="8" a="1"/>
  <c r="U28" i="8" a="1"/>
  <c r="U26" i="8" a="1"/>
  <c r="Q30" i="8" a="1"/>
  <c r="U30" i="8" a="1"/>
  <c r="U31" i="8" a="1"/>
  <c r="U27" i="8" a="1"/>
  <c r="V25" i="8" a="1"/>
  <c r="R27" i="8" a="1"/>
  <c r="Y26" i="8" a="1"/>
  <c r="Y25" i="8" a="1"/>
  <c r="Y28" i="8" a="1"/>
  <c r="Z23" i="8" l="1"/>
  <c r="Y28" i="8"/>
  <c r="Y25" i="8"/>
  <c r="Y26" i="8"/>
  <c r="R27" i="8"/>
  <c r="V25" i="8"/>
  <c r="U27" i="8"/>
  <c r="U31" i="8"/>
  <c r="U30" i="8"/>
  <c r="Q30" i="8"/>
  <c r="U26" i="8"/>
  <c r="U28" i="8"/>
  <c r="S30" i="8"/>
  <c r="R30" i="8"/>
  <c r="S31" i="8" s="1"/>
  <c r="P33" i="8"/>
  <c r="Q25" i="8"/>
  <c r="AC25" i="8" a="1"/>
  <c r="AB31" i="8" a="1"/>
  <c r="AB26" i="8" a="1"/>
  <c r="AB30" i="8" a="1"/>
  <c r="AB28" i="8" a="1"/>
  <c r="AB27" i="8" a="1"/>
  <c r="Y30" i="8" a="1"/>
  <c r="Z30" i="8" a="1"/>
  <c r="X30" i="8" a="1"/>
  <c r="Y27" i="8" a="1"/>
  <c r="Q34" i="8"/>
  <c r="R34" i="8" a="1"/>
  <c r="R33" i="8" a="1"/>
  <c r="R36" i="8" a="1"/>
  <c r="Q31" i="8" l="1"/>
  <c r="R36" i="8"/>
  <c r="R33" i="8"/>
  <c r="R34" i="8"/>
  <c r="W33" i="8"/>
  <c r="Y27" i="8"/>
  <c r="X30" i="8"/>
  <c r="Z30" i="8"/>
  <c r="Y30" i="8"/>
  <c r="X31" i="8" s="1"/>
  <c r="AB27" i="8"/>
  <c r="AB28" i="8"/>
  <c r="AB30" i="8"/>
  <c r="AB26" i="8"/>
  <c r="AB31" i="8"/>
  <c r="AC25" i="8"/>
  <c r="X25" i="8"/>
  <c r="Z31" i="8"/>
  <c r="S38" i="8" a="1"/>
  <c r="Q38" i="8" a="1"/>
  <c r="R35" i="8" a="1"/>
  <c r="V33" i="8" a="1"/>
  <c r="U38" i="8" a="1"/>
  <c r="U39" i="8" a="1"/>
  <c r="R38" i="8" a="1"/>
  <c r="U36" i="8" a="1"/>
  <c r="U35" i="8" a="1"/>
  <c r="U34" i="8" a="1"/>
  <c r="X34" i="8"/>
  <c r="Y34" i="8" a="1"/>
  <c r="Y33" i="8" a="1"/>
  <c r="Y36" i="8" a="1"/>
  <c r="Y36" i="8" l="1"/>
  <c r="Y33" i="8"/>
  <c r="Y34" i="8"/>
  <c r="P41" i="8"/>
  <c r="U34" i="8"/>
  <c r="U35" i="8"/>
  <c r="U36" i="8"/>
  <c r="R38" i="8"/>
  <c r="Q39" i="8" s="1"/>
  <c r="U39" i="8"/>
  <c r="U38" i="8"/>
  <c r="V33" i="8"/>
  <c r="R35" i="8"/>
  <c r="Q38" i="8"/>
  <c r="S38" i="8"/>
  <c r="Q33" i="8"/>
  <c r="AB39" i="8" a="1"/>
  <c r="AB35" i="8" a="1"/>
  <c r="X38" i="8" a="1"/>
  <c r="Z38" i="8" a="1"/>
  <c r="AB38" i="8" a="1"/>
  <c r="Y35" i="8" a="1"/>
  <c r="AB36" i="8" a="1"/>
  <c r="Y38" i="8" a="1"/>
  <c r="AC33" i="8" a="1"/>
  <c r="AB34" i="8" a="1"/>
  <c r="Q42" i="8"/>
  <c r="R42" i="8" a="1"/>
  <c r="R41" i="8" a="1"/>
  <c r="R44" i="8" a="1"/>
  <c r="S39" i="8" l="1"/>
  <c r="R44" i="8"/>
  <c r="R41" i="8"/>
  <c r="R42" i="8"/>
  <c r="W41" i="8"/>
  <c r="AB34" i="8"/>
  <c r="AC33" i="8"/>
  <c r="Y38" i="8"/>
  <c r="X39" i="8" s="1"/>
  <c r="AB36" i="8"/>
  <c r="Y35" i="8"/>
  <c r="AB38" i="8"/>
  <c r="Z38" i="8"/>
  <c r="X38" i="8"/>
  <c r="AB35" i="8"/>
  <c r="AB39" i="8"/>
  <c r="X33" i="8"/>
  <c r="S46" i="8" a="1"/>
  <c r="U47" i="8" a="1"/>
  <c r="R46" i="8" a="1"/>
  <c r="U43" i="8" a="1"/>
  <c r="U42" i="8" a="1"/>
  <c r="U44" i="8" a="1"/>
  <c r="U46" i="8" a="1"/>
  <c r="V41" i="8" a="1"/>
  <c r="Q46" i="8" a="1"/>
  <c r="R43" i="8" a="1"/>
  <c r="X42" i="8"/>
  <c r="Y42" i="8" a="1"/>
  <c r="Y41" i="8" a="1"/>
  <c r="Y44" i="8" a="1"/>
  <c r="Z39" i="8" l="1"/>
  <c r="Y44" i="8"/>
  <c r="Y41" i="8"/>
  <c r="Y42" i="8"/>
  <c r="AE1" i="8"/>
  <c r="R43" i="8"/>
  <c r="Q46" i="8"/>
  <c r="V41" i="8"/>
  <c r="U46" i="8"/>
  <c r="U44" i="8"/>
  <c r="U42" i="8"/>
  <c r="U43" i="8"/>
  <c r="R46" i="8"/>
  <c r="S47" i="8" s="1"/>
  <c r="U47" i="8"/>
  <c r="S46" i="8"/>
  <c r="Q41" i="8"/>
  <c r="AB47" i="8" a="1"/>
  <c r="AC41" i="8" a="1"/>
  <c r="AB46" i="8" a="1"/>
  <c r="AB44" i="8" a="1"/>
  <c r="Y46" i="8" a="1"/>
  <c r="AB43" i="8" a="1"/>
  <c r="AB42" i="8" a="1"/>
  <c r="X46" i="8" a="1"/>
  <c r="Z46" i="8" a="1"/>
  <c r="Y43" i="8" a="1"/>
  <c r="AF2" i="8"/>
  <c r="AG2" i="8" a="1"/>
  <c r="AG1" i="8" a="1"/>
  <c r="AG4" i="8" a="1"/>
  <c r="Q47" i="8" l="1"/>
  <c r="AG4" i="8"/>
  <c r="AG1" i="8"/>
  <c r="AG2" i="8"/>
  <c r="AL1" i="8"/>
  <c r="Y43" i="8"/>
  <c r="Z46" i="8"/>
  <c r="X46" i="8"/>
  <c r="AB42" i="8"/>
  <c r="AB43" i="8"/>
  <c r="Y46" i="8"/>
  <c r="X47" i="8" s="1"/>
  <c r="AB44" i="8"/>
  <c r="AB46" i="8"/>
  <c r="AC41" i="8"/>
  <c r="AB47" i="8"/>
  <c r="X41" i="8"/>
  <c r="AM2" i="8"/>
  <c r="AG6" i="8" a="1"/>
  <c r="AF6" i="8" a="1"/>
  <c r="AJ3" i="8" a="1"/>
  <c r="AH6" i="8" a="1"/>
  <c r="AG3" i="8" a="1"/>
  <c r="AJ4" i="8" a="1"/>
  <c r="AK1" i="8" a="1"/>
  <c r="AJ7" i="8" a="1"/>
  <c r="AJ6" i="8" a="1"/>
  <c r="AJ2" i="8" a="1"/>
  <c r="AN2" i="8" a="1"/>
  <c r="AN1" i="8" a="1"/>
  <c r="AN4" i="8" a="1"/>
  <c r="Z47" i="8" l="1"/>
  <c r="AN4" i="8"/>
  <c r="AN1" i="8"/>
  <c r="AN2" i="8"/>
  <c r="AJ2" i="8"/>
  <c r="AJ6" i="8"/>
  <c r="AJ7" i="8"/>
  <c r="AK1" i="8"/>
  <c r="AJ4" i="8"/>
  <c r="AG3" i="8"/>
  <c r="AH6" i="8"/>
  <c r="AJ3" i="8"/>
  <c r="AF6" i="8"/>
  <c r="AG6" i="8"/>
  <c r="AH7" i="8" s="1"/>
  <c r="AE9" i="8"/>
  <c r="AF1" i="8"/>
  <c r="AQ4" i="8" a="1"/>
  <c r="AQ7" i="8" a="1"/>
  <c r="AN6" i="8" a="1"/>
  <c r="AO6" i="8" a="1"/>
  <c r="AM6" i="8" a="1"/>
  <c r="AN3" i="8" a="1"/>
  <c r="AR1" i="8" a="1"/>
  <c r="AQ6" i="8" a="1"/>
  <c r="AQ2" i="8" a="1"/>
  <c r="AQ3" i="8" a="1"/>
  <c r="AF10" i="8"/>
  <c r="AG10" i="8" a="1"/>
  <c r="AG9" i="8" a="1"/>
  <c r="AG12" i="8" a="1"/>
  <c r="AF7" i="8" l="1"/>
  <c r="AG12" i="8"/>
  <c r="AG9" i="8"/>
  <c r="AG10" i="8"/>
  <c r="AL9" i="8"/>
  <c r="AQ3" i="8"/>
  <c r="AQ2" i="8"/>
  <c r="AQ6" i="8"/>
  <c r="AR1" i="8"/>
  <c r="AN3" i="8"/>
  <c r="AM6" i="8"/>
  <c r="AO6" i="8"/>
  <c r="AN6" i="8"/>
  <c r="AO7" i="8" s="1"/>
  <c r="AQ7" i="8"/>
  <c r="AQ4" i="8"/>
  <c r="AM1" i="8"/>
  <c r="AG11" i="8" a="1"/>
  <c r="AG14" i="8" a="1"/>
  <c r="AJ15" i="8" a="1"/>
  <c r="AH14" i="8" a="1"/>
  <c r="AK9" i="8" a="1"/>
  <c r="AJ11" i="8" a="1"/>
  <c r="AJ12" i="8" a="1"/>
  <c r="AJ14" i="8" a="1"/>
  <c r="AJ10" i="8" a="1"/>
  <c r="AF14" i="8" a="1"/>
  <c r="AM10" i="8"/>
  <c r="AN10" i="8" a="1"/>
  <c r="AN9" i="8" a="1"/>
  <c r="AN12" i="8" a="1"/>
  <c r="AM7" i="8" l="1"/>
  <c r="AN12" i="8"/>
  <c r="AN9" i="8"/>
  <c r="AN10" i="8"/>
  <c r="AE17" i="8"/>
  <c r="AF14" i="8"/>
  <c r="AJ10" i="8"/>
  <c r="AJ14" i="8"/>
  <c r="AJ12" i="8"/>
  <c r="AJ11" i="8"/>
  <c r="AK9" i="8"/>
  <c r="AH14" i="8"/>
  <c r="AJ15" i="8"/>
  <c r="AG14" i="8"/>
  <c r="AF15" i="8" s="1"/>
  <c r="AG11" i="8"/>
  <c r="AF9" i="8"/>
  <c r="AR9" i="8" a="1"/>
  <c r="AQ12" i="8" a="1"/>
  <c r="AM14" i="8" a="1"/>
  <c r="AQ10" i="8" a="1"/>
  <c r="AQ14" i="8" a="1"/>
  <c r="AN14" i="8" a="1"/>
  <c r="AN11" i="8" a="1"/>
  <c r="AO14" i="8" a="1"/>
  <c r="AQ15" i="8" a="1"/>
  <c r="AQ11" i="8" a="1"/>
  <c r="AF18" i="8"/>
  <c r="AG18" i="8" a="1"/>
  <c r="AG17" i="8" a="1"/>
  <c r="AG20" i="8" a="1"/>
  <c r="AH15" i="8" l="1"/>
  <c r="AG20" i="8"/>
  <c r="AG17" i="8"/>
  <c r="AG18" i="8"/>
  <c r="AL17" i="8"/>
  <c r="AQ11" i="8"/>
  <c r="AQ15" i="8"/>
  <c r="AO14" i="8"/>
  <c r="AN11" i="8"/>
  <c r="AN14" i="8"/>
  <c r="AM15" i="8" s="1"/>
  <c r="AQ14" i="8"/>
  <c r="AQ10" i="8"/>
  <c r="AM14" i="8"/>
  <c r="AQ12" i="8"/>
  <c r="AR9" i="8"/>
  <c r="AM9" i="8"/>
  <c r="AG19" i="8" a="1"/>
  <c r="AJ20" i="8" a="1"/>
  <c r="AK17" i="8" a="1"/>
  <c r="AJ19" i="8" a="1"/>
  <c r="AF22" i="8" a="1"/>
  <c r="AH22" i="8" a="1"/>
  <c r="AJ23" i="8" a="1"/>
  <c r="AJ18" i="8" a="1"/>
  <c r="AJ22" i="8" a="1"/>
  <c r="AG22" i="8" a="1"/>
  <c r="AM18" i="8"/>
  <c r="AN18" i="8" a="1"/>
  <c r="AN17" i="8" a="1"/>
  <c r="AN20" i="8" a="1"/>
  <c r="AO15" i="8" l="1"/>
  <c r="AN20" i="8"/>
  <c r="AN17" i="8"/>
  <c r="AN18" i="8"/>
  <c r="AE25" i="8"/>
  <c r="AG22" i="8"/>
  <c r="AF23" i="8" s="1"/>
  <c r="AJ22" i="8"/>
  <c r="AJ18" i="8"/>
  <c r="AJ23" i="8"/>
  <c r="AH22" i="8"/>
  <c r="AF22" i="8"/>
  <c r="AJ19" i="8"/>
  <c r="AK17" i="8"/>
  <c r="AJ20" i="8"/>
  <c r="AG19" i="8"/>
  <c r="AF17" i="8"/>
  <c r="AO22" i="8" a="1"/>
  <c r="AM22" i="8" a="1"/>
  <c r="AQ22" i="8" a="1"/>
  <c r="AN22" i="8" a="1"/>
  <c r="AQ23" i="8" a="1"/>
  <c r="AQ19" i="8" a="1"/>
  <c r="AQ18" i="8" a="1"/>
  <c r="AR17" i="8" a="1"/>
  <c r="AQ20" i="8" a="1"/>
  <c r="AN19" i="8" a="1"/>
  <c r="AF26" i="8"/>
  <c r="AG26" i="8" a="1"/>
  <c r="AG25" i="8" a="1"/>
  <c r="AG28" i="8" a="1"/>
  <c r="AH23" i="8" l="1"/>
  <c r="AG28" i="8"/>
  <c r="AG25" i="8"/>
  <c r="AG26" i="8"/>
  <c r="AL25" i="8"/>
  <c r="AN19" i="8"/>
  <c r="AQ20" i="8"/>
  <c r="AR17" i="8"/>
  <c r="AQ18" i="8"/>
  <c r="AQ19" i="8"/>
  <c r="AQ23" i="8"/>
  <c r="AN22" i="8"/>
  <c r="AO23" i="8" s="1"/>
  <c r="AQ22" i="8"/>
  <c r="AM22" i="8"/>
  <c r="AO22" i="8"/>
  <c r="AM17" i="8"/>
  <c r="AG30" i="8" a="1"/>
  <c r="AJ27" i="8" a="1"/>
  <c r="AK25" i="8" a="1"/>
  <c r="AH30" i="8" a="1"/>
  <c r="AG27" i="8" a="1"/>
  <c r="AF30" i="8" a="1"/>
  <c r="AJ31" i="8" a="1"/>
  <c r="AJ28" i="8" a="1"/>
  <c r="AJ26" i="8" a="1"/>
  <c r="AJ30" i="8" a="1"/>
  <c r="AM26" i="8"/>
  <c r="AN26" i="8" a="1"/>
  <c r="AN25" i="8" a="1"/>
  <c r="AN28" i="8" a="1"/>
  <c r="AM23" i="8" l="1"/>
  <c r="AN28" i="8"/>
  <c r="AN25" i="8"/>
  <c r="AN26" i="8"/>
  <c r="AE33" i="8"/>
  <c r="AJ30" i="8"/>
  <c r="AJ26" i="8"/>
  <c r="AJ28" i="8"/>
  <c r="AJ31" i="8"/>
  <c r="AF30" i="8"/>
  <c r="AG27" i="8"/>
  <c r="AH30" i="8"/>
  <c r="AK25" i="8"/>
  <c r="AJ27" i="8"/>
  <c r="AG30" i="8"/>
  <c r="AH31" i="8" s="1"/>
  <c r="AF25" i="8"/>
  <c r="AQ31" i="8" a="1"/>
  <c r="AN27" i="8" a="1"/>
  <c r="AR25" i="8" a="1"/>
  <c r="AQ27" i="8" a="1"/>
  <c r="AM30" i="8" a="1"/>
  <c r="AQ28" i="8" a="1"/>
  <c r="AN30" i="8" a="1"/>
  <c r="AQ30" i="8" a="1"/>
  <c r="AO30" i="8" a="1"/>
  <c r="AQ26" i="8" a="1"/>
  <c r="AF34" i="8"/>
  <c r="AG34" i="8" a="1"/>
  <c r="AG33" i="8" a="1"/>
  <c r="AG36" i="8" a="1"/>
  <c r="AF31" i="8" l="1"/>
  <c r="AG36" i="8"/>
  <c r="AG33" i="8"/>
  <c r="AG34" i="8"/>
  <c r="AL33" i="8"/>
  <c r="AQ26" i="8"/>
  <c r="AO30" i="8"/>
  <c r="AQ30" i="8"/>
  <c r="AN30" i="8"/>
  <c r="AO31" i="8" s="1"/>
  <c r="AQ28" i="8"/>
  <c r="AM30" i="8"/>
  <c r="AQ27" i="8"/>
  <c r="AR25" i="8"/>
  <c r="AN27" i="8"/>
  <c r="AQ31" i="8"/>
  <c r="AM25" i="8"/>
  <c r="AM31" i="8"/>
  <c r="AJ38" i="8" a="1"/>
  <c r="AK33" i="8" a="1"/>
  <c r="AJ35" i="8" a="1"/>
  <c r="AJ34" i="8" a="1"/>
  <c r="AG35" i="8" a="1"/>
  <c r="AG38" i="8" a="1"/>
  <c r="AJ36" i="8" a="1"/>
  <c r="AH38" i="8" a="1"/>
  <c r="AF38" i="8" a="1"/>
  <c r="AJ39" i="8" a="1"/>
  <c r="AM34" i="8"/>
  <c r="AN34" i="8" a="1"/>
  <c r="AN33" i="8" a="1"/>
  <c r="AN36" i="8" a="1"/>
  <c r="AN36" i="8" l="1"/>
  <c r="AN33" i="8"/>
  <c r="AN34" i="8"/>
  <c r="AE41" i="8"/>
  <c r="AJ39" i="8"/>
  <c r="AF38" i="8"/>
  <c r="AH38" i="8"/>
  <c r="AJ36" i="8"/>
  <c r="AG38" i="8"/>
  <c r="AF39" i="8" s="1"/>
  <c r="AG35" i="8"/>
  <c r="AJ34" i="8"/>
  <c r="AJ35" i="8"/>
  <c r="AK33" i="8"/>
  <c r="AJ38" i="8"/>
  <c r="AF33" i="8"/>
  <c r="AQ38" i="8" a="1"/>
  <c r="AN38" i="8" a="1"/>
  <c r="AQ35" i="8" a="1"/>
  <c r="AN35" i="8" a="1"/>
  <c r="AQ36" i="8" a="1"/>
  <c r="AQ34" i="8" a="1"/>
  <c r="AQ39" i="8" a="1"/>
  <c r="AM38" i="8" a="1"/>
  <c r="AO38" i="8" a="1"/>
  <c r="AR33" i="8" a="1"/>
  <c r="AF42" i="8"/>
  <c r="AG42" i="8" a="1"/>
  <c r="AG41" i="8" a="1"/>
  <c r="AG44" i="8" a="1"/>
  <c r="AH39" i="8" l="1"/>
  <c r="AG44" i="8"/>
  <c r="AG41" i="8"/>
  <c r="AG42" i="8"/>
  <c r="AL41" i="8"/>
  <c r="AR33" i="8"/>
  <c r="AO38" i="8"/>
  <c r="AM38" i="8"/>
  <c r="AQ39" i="8"/>
  <c r="AQ34" i="8"/>
  <c r="AQ36" i="8"/>
  <c r="AN35" i="8"/>
  <c r="AQ35" i="8"/>
  <c r="AN38" i="8"/>
  <c r="AM39" i="8" s="1"/>
  <c r="AQ38" i="8"/>
  <c r="AM33" i="8"/>
  <c r="AJ42" i="8" a="1"/>
  <c r="AJ43" i="8" a="1"/>
  <c r="AH46" i="8" a="1"/>
  <c r="AJ44" i="8" a="1"/>
  <c r="AJ46" i="8" a="1"/>
  <c r="AG46" i="8" a="1"/>
  <c r="AG43" i="8" a="1"/>
  <c r="AJ47" i="8" a="1"/>
  <c r="AK41" i="8" a="1"/>
  <c r="AF46" i="8" a="1"/>
  <c r="AM42" i="8"/>
  <c r="AN42" i="8" a="1"/>
  <c r="AN41" i="8" a="1"/>
  <c r="AN44" i="8" a="1"/>
  <c r="AO39" i="8" l="1"/>
  <c r="AN44" i="8"/>
  <c r="AN41" i="8"/>
  <c r="AN42" i="8"/>
  <c r="AT1" i="8"/>
  <c r="AF46" i="8"/>
  <c r="AK41" i="8"/>
  <c r="AJ47" i="8"/>
  <c r="AG43" i="8"/>
  <c r="AG46" i="8"/>
  <c r="AF47" i="8" s="1"/>
  <c r="AJ46" i="8"/>
  <c r="AJ44" i="8"/>
  <c r="AH46" i="8"/>
  <c r="AJ43" i="8"/>
  <c r="AJ42" i="8"/>
  <c r="AF41" i="8"/>
  <c r="AU2" i="8"/>
  <c r="AR41" i="8" a="1"/>
  <c r="AQ42" i="8" a="1"/>
  <c r="AQ46" i="8" a="1"/>
  <c r="AQ43" i="8" a="1"/>
  <c r="AN43" i="8" a="1"/>
  <c r="AQ47" i="8" a="1"/>
  <c r="AQ44" i="8" a="1"/>
  <c r="AO46" i="8" a="1"/>
  <c r="AN46" i="8" a="1"/>
  <c r="AM46" i="8" a="1"/>
  <c r="AV2" i="8" a="1"/>
  <c r="AV1" i="8" a="1"/>
  <c r="AV4" i="8" a="1"/>
  <c r="AH47" i="8" l="1"/>
  <c r="AV4" i="8"/>
  <c r="AV1" i="8"/>
  <c r="AV2" i="8"/>
  <c r="AM46" i="8"/>
  <c r="AN46" i="8"/>
  <c r="AO47" i="8" s="1"/>
  <c r="AO46" i="8"/>
  <c r="AQ44" i="8"/>
  <c r="AQ47" i="8"/>
  <c r="AN43" i="8"/>
  <c r="AQ43" i="8"/>
  <c r="AQ46" i="8"/>
  <c r="AQ42" i="8"/>
  <c r="AR41" i="8"/>
  <c r="BA1" i="8"/>
  <c r="AM41" i="8"/>
  <c r="AY7" i="8" a="1"/>
  <c r="AY6" i="8" a="1"/>
  <c r="AV6" i="8" a="1"/>
  <c r="AY4" i="8" a="1"/>
  <c r="AY3" i="8" a="1"/>
  <c r="AV3" i="8" a="1"/>
  <c r="AY2" i="8" a="1"/>
  <c r="AU6" i="8" a="1"/>
  <c r="AZ1" i="8" a="1"/>
  <c r="AW6" i="8" a="1"/>
  <c r="BB2" i="8"/>
  <c r="BC2" i="8" a="1"/>
  <c r="BC1" i="8" a="1"/>
  <c r="BC4" i="8" a="1"/>
  <c r="AM47" i="8" l="1"/>
  <c r="BC4" i="8"/>
  <c r="BC1" i="8"/>
  <c r="BC2" i="8"/>
  <c r="AT9" i="8"/>
  <c r="AW6" i="8"/>
  <c r="AZ1" i="8"/>
  <c r="AU6" i="8"/>
  <c r="AY2" i="8"/>
  <c r="AV3" i="8"/>
  <c r="AY3" i="8"/>
  <c r="AY4" i="8"/>
  <c r="AV6" i="8"/>
  <c r="AU7" i="8" s="1"/>
  <c r="AY6" i="8"/>
  <c r="AY7" i="8"/>
  <c r="AU1" i="8"/>
  <c r="BC6" i="8" a="1"/>
  <c r="BF3" i="8" a="1"/>
  <c r="BF2" i="8" a="1"/>
  <c r="BF7" i="8" a="1"/>
  <c r="BF6" i="8" a="1"/>
  <c r="BB6" i="8" a="1"/>
  <c r="BC3" i="8" a="1"/>
  <c r="BD6" i="8" a="1"/>
  <c r="BF4" i="8" a="1"/>
  <c r="BG1" i="8" a="1"/>
  <c r="AU10" i="8"/>
  <c r="AV10" i="8" a="1"/>
  <c r="AV9" i="8" a="1"/>
  <c r="AV12" i="8" a="1"/>
  <c r="AW7" i="8" l="1"/>
  <c r="AV12" i="8"/>
  <c r="AV9" i="8"/>
  <c r="AV10" i="8"/>
  <c r="BA9" i="8"/>
  <c r="BG1" i="8"/>
  <c r="BF4" i="8"/>
  <c r="BD6" i="8"/>
  <c r="BC3" i="8"/>
  <c r="BB6" i="8"/>
  <c r="BF6" i="8"/>
  <c r="BF7" i="8"/>
  <c r="BF2" i="8"/>
  <c r="BF3" i="8"/>
  <c r="BC6" i="8"/>
  <c r="BD7" i="8" s="1"/>
  <c r="BB1" i="8"/>
  <c r="AY14" i="8" a="1"/>
  <c r="AY12" i="8" a="1"/>
  <c r="AZ9" i="8" a="1"/>
  <c r="AY11" i="8" a="1"/>
  <c r="AY10" i="8" a="1"/>
  <c r="AW14" i="8" a="1"/>
  <c r="AV11" i="8" a="1"/>
  <c r="AU14" i="8" a="1"/>
  <c r="AY15" i="8" a="1"/>
  <c r="AV14" i="8" a="1"/>
  <c r="BB10" i="8"/>
  <c r="BC10" i="8" a="1"/>
  <c r="BC9" i="8" a="1"/>
  <c r="BC12" i="8" a="1"/>
  <c r="BB7" i="8" l="1"/>
  <c r="BC12" i="8"/>
  <c r="BC9" i="8"/>
  <c r="BC10" i="8"/>
  <c r="AT17" i="8"/>
  <c r="AV14" i="8"/>
  <c r="AW15" i="8" s="1"/>
  <c r="AY15" i="8"/>
  <c r="AU14" i="8"/>
  <c r="AV11" i="8"/>
  <c r="AW14" i="8"/>
  <c r="AY10" i="8"/>
  <c r="AY11" i="8"/>
  <c r="AZ9" i="8"/>
  <c r="AY12" i="8"/>
  <c r="AY14" i="8"/>
  <c r="AU9" i="8"/>
  <c r="BF11" i="8" a="1"/>
  <c r="BF10" i="8" a="1"/>
  <c r="BD14" i="8" a="1"/>
  <c r="BF15" i="8" a="1"/>
  <c r="BF12" i="8" a="1"/>
  <c r="BC11" i="8" a="1"/>
  <c r="BB14" i="8" a="1"/>
  <c r="BG9" i="8" a="1"/>
  <c r="BC14" i="8" a="1"/>
  <c r="BF14" i="8" a="1"/>
  <c r="AU18" i="8"/>
  <c r="AV18" i="8" a="1"/>
  <c r="AV17" i="8" a="1"/>
  <c r="AV20" i="8" a="1"/>
  <c r="AU15" i="8" l="1"/>
  <c r="AV20" i="8"/>
  <c r="AV17" i="8"/>
  <c r="AV18" i="8"/>
  <c r="BA17" i="8"/>
  <c r="BF14" i="8"/>
  <c r="BC14" i="8"/>
  <c r="BB15" i="8" s="1"/>
  <c r="BG9" i="8"/>
  <c r="BB14" i="8"/>
  <c r="BC11" i="8"/>
  <c r="BF12" i="8"/>
  <c r="BF15" i="8"/>
  <c r="BD14" i="8"/>
  <c r="BF10" i="8"/>
  <c r="BF11" i="8"/>
  <c r="BB9" i="8"/>
  <c r="AY20" i="8" a="1"/>
  <c r="AZ17" i="8" a="1"/>
  <c r="AY22" i="8" a="1"/>
  <c r="AY23" i="8" a="1"/>
  <c r="AY18" i="8" a="1"/>
  <c r="AW22" i="8" a="1"/>
  <c r="AV22" i="8" a="1"/>
  <c r="AY19" i="8" a="1"/>
  <c r="AU22" i="8" a="1"/>
  <c r="AV19" i="8" a="1"/>
  <c r="BB18" i="8"/>
  <c r="BC18" i="8" a="1"/>
  <c r="BC17" i="8" a="1"/>
  <c r="BC20" i="8" a="1"/>
  <c r="BD15" i="8" l="1"/>
  <c r="BC20" i="8"/>
  <c r="BC17" i="8"/>
  <c r="BC18" i="8"/>
  <c r="AT25" i="8"/>
  <c r="AV19" i="8"/>
  <c r="AU22" i="8"/>
  <c r="AY19" i="8"/>
  <c r="AV22" i="8"/>
  <c r="AW23" i="8" s="1"/>
  <c r="AW22" i="8"/>
  <c r="AY18" i="8"/>
  <c r="AY23" i="8"/>
  <c r="AY22" i="8"/>
  <c r="AZ17" i="8"/>
  <c r="AY20" i="8"/>
  <c r="AU17" i="8"/>
  <c r="AU23" i="8"/>
  <c r="BF23" i="8" a="1"/>
  <c r="BG17" i="8" a="1"/>
  <c r="BF22" i="8" a="1"/>
  <c r="BF20" i="8" a="1"/>
  <c r="BF19" i="8" a="1"/>
  <c r="BC22" i="8" a="1"/>
  <c r="BD22" i="8" a="1"/>
  <c r="BC19" i="8" a="1"/>
  <c r="BF18" i="8" a="1"/>
  <c r="BB22" i="8" a="1"/>
  <c r="AU26" i="8"/>
  <c r="AV26" i="8" a="1"/>
  <c r="AV25" i="8" a="1"/>
  <c r="AV28" i="8" a="1"/>
  <c r="AV28" i="8" l="1"/>
  <c r="AV25" i="8"/>
  <c r="AV26" i="8"/>
  <c r="BA25" i="8"/>
  <c r="BB22" i="8"/>
  <c r="BF18" i="8"/>
  <c r="BC19" i="8"/>
  <c r="BD22" i="8"/>
  <c r="BC22" i="8"/>
  <c r="BB23" i="8" s="1"/>
  <c r="BF19" i="8"/>
  <c r="BF20" i="8"/>
  <c r="BF22" i="8"/>
  <c r="BG17" i="8"/>
  <c r="BF23" i="8"/>
  <c r="BB17" i="8"/>
  <c r="BB26" i="8"/>
  <c r="BC26" i="8" s="1" a="1"/>
  <c r="AY27" i="8" a="1"/>
  <c r="AU30" i="8" a="1"/>
  <c r="AV27" i="8" a="1"/>
  <c r="AW30" i="8" a="1"/>
  <c r="AY30" i="8" a="1"/>
  <c r="AY26" i="8" a="1"/>
  <c r="AY31" i="8" a="1"/>
  <c r="AZ25" i="8" a="1"/>
  <c r="AV30" i="8" a="1"/>
  <c r="AY28" i="8" a="1"/>
  <c r="BC25" i="8" a="1"/>
  <c r="BC28" i="8" a="1"/>
  <c r="BD23" i="8" l="1"/>
  <c r="BC28" i="8"/>
  <c r="BC25" i="8"/>
  <c r="AY28" i="8"/>
  <c r="AV30" i="8"/>
  <c r="AU31" i="8" s="1"/>
  <c r="AZ25" i="8"/>
  <c r="AY31" i="8"/>
  <c r="AY26" i="8"/>
  <c r="AY30" i="8"/>
  <c r="AW30" i="8"/>
  <c r="AV27" i="8"/>
  <c r="AU30" i="8"/>
  <c r="AY27" i="8"/>
  <c r="AT33" i="8"/>
  <c r="BC26" i="8"/>
  <c r="AU25" i="8"/>
  <c r="BC27" i="8" a="1"/>
  <c r="BF26" i="8" a="1"/>
  <c r="BC30" i="8" a="1"/>
  <c r="BD30" i="8" a="1"/>
  <c r="BG25" i="8" a="1"/>
  <c r="BB30" i="8" a="1"/>
  <c r="BF31" i="8" a="1"/>
  <c r="BF28" i="8" a="1"/>
  <c r="BF30" i="8" a="1"/>
  <c r="BF27" i="8" a="1"/>
  <c r="AU34" i="8"/>
  <c r="AV34" i="8" s="1" a="1"/>
  <c r="AV33" i="8" a="1"/>
  <c r="AV36" i="8" a="1"/>
  <c r="AW31" i="8" l="1"/>
  <c r="AV36" i="8"/>
  <c r="AV33" i="8"/>
  <c r="BA33" i="8"/>
  <c r="AV34" i="8"/>
  <c r="BF27" i="8"/>
  <c r="BF30" i="8"/>
  <c r="BF28" i="8"/>
  <c r="BF31" i="8"/>
  <c r="BB30" i="8"/>
  <c r="BG25" i="8"/>
  <c r="BD30" i="8"/>
  <c r="BC30" i="8"/>
  <c r="BB31" i="8" s="1"/>
  <c r="BF26" i="8"/>
  <c r="BC27" i="8"/>
  <c r="BB25" i="8"/>
  <c r="AY38" i="8" a="1"/>
  <c r="AY39" i="8" a="1"/>
  <c r="AV38" i="8" a="1"/>
  <c r="AY36" i="8" a="1"/>
  <c r="AY35" i="8" a="1"/>
  <c r="AU38" i="8" a="1"/>
  <c r="AY34" i="8" a="1"/>
  <c r="AZ33" i="8" a="1"/>
  <c r="AW38" i="8" a="1"/>
  <c r="AV35" i="8" a="1"/>
  <c r="BB34" i="8"/>
  <c r="BC34" i="8" s="1" a="1"/>
  <c r="BC33" i="8" a="1"/>
  <c r="BC36" i="8" a="1"/>
  <c r="BD31" i="8" l="1"/>
  <c r="BC36" i="8"/>
  <c r="BC33" i="8"/>
  <c r="AT41" i="8"/>
  <c r="BC34" i="8"/>
  <c r="AV35" i="8"/>
  <c r="AW38" i="8"/>
  <c r="AZ33" i="8"/>
  <c r="AY34" i="8"/>
  <c r="AU38" i="8"/>
  <c r="AY35" i="8"/>
  <c r="AY36" i="8"/>
  <c r="AV38" i="8"/>
  <c r="AU39" i="8" s="1"/>
  <c r="AY39" i="8"/>
  <c r="AY38" i="8"/>
  <c r="AU33" i="8"/>
  <c r="BF38" i="8" a="1"/>
  <c r="BF36" i="8" a="1"/>
  <c r="BG33" i="8" a="1"/>
  <c r="BD38" i="8" a="1"/>
  <c r="BB38" i="8" a="1"/>
  <c r="BF39" i="8" a="1"/>
  <c r="BC35" i="8" a="1"/>
  <c r="BF35" i="8" a="1"/>
  <c r="BF34" i="8" a="1"/>
  <c r="BC38" i="8" a="1"/>
  <c r="AU42" i="8"/>
  <c r="AV42" i="8" s="1" a="1"/>
  <c r="AV41" i="8" a="1"/>
  <c r="AV44" i="8" a="1"/>
  <c r="AW39" i="8" l="1"/>
  <c r="AV44" i="8"/>
  <c r="AV41" i="8"/>
  <c r="BA41" i="8"/>
  <c r="AV42" i="8"/>
  <c r="BC38" i="8"/>
  <c r="BD39" i="8" s="1"/>
  <c r="BF34" i="8"/>
  <c r="BF35" i="8"/>
  <c r="BC35" i="8"/>
  <c r="BF39" i="8"/>
  <c r="BB38" i="8"/>
  <c r="BD38" i="8"/>
  <c r="BG33" i="8"/>
  <c r="BF36" i="8"/>
  <c r="BF38" i="8"/>
  <c r="BB33" i="8"/>
  <c r="BB42" i="8"/>
  <c r="BC42" i="8" s="1" a="1"/>
  <c r="AW46" i="8" a="1"/>
  <c r="AY42" i="8" a="1"/>
  <c r="AU46" i="8" a="1"/>
  <c r="AV43" i="8" a="1"/>
  <c r="AY44" i="8" a="1"/>
  <c r="AY47" i="8" a="1"/>
  <c r="AV46" i="8" a="1"/>
  <c r="AY46" i="8" a="1"/>
  <c r="AZ41" i="8" a="1"/>
  <c r="AY43" i="8" a="1"/>
  <c r="BC41" i="8" a="1"/>
  <c r="BC44" i="8" a="1"/>
  <c r="BB39" i="8" l="1"/>
  <c r="BC44" i="8"/>
  <c r="BC41" i="8"/>
  <c r="AY43" i="8"/>
  <c r="AZ41" i="8"/>
  <c r="AY46" i="8"/>
  <c r="AV46" i="8"/>
  <c r="AU47" i="8" s="1"/>
  <c r="AY47" i="8"/>
  <c r="AY44" i="8"/>
  <c r="AV43" i="8"/>
  <c r="AU46" i="8"/>
  <c r="AY42" i="8"/>
  <c r="AW46" i="8"/>
  <c r="BI1" i="8"/>
  <c r="BC42" i="8"/>
  <c r="AU41" i="8"/>
  <c r="BC43" i="8" a="1"/>
  <c r="BB46" i="8" a="1"/>
  <c r="BG41" i="8" a="1"/>
  <c r="BF47" i="8" a="1"/>
  <c r="BC46" i="8" a="1"/>
  <c r="BF46" i="8" a="1"/>
  <c r="BF42" i="8" a="1"/>
  <c r="BF44" i="8" a="1"/>
  <c r="BF43" i="8" a="1"/>
  <c r="BD46" i="8" a="1"/>
  <c r="BJ2" i="8"/>
  <c r="BK2" i="8" s="1" a="1"/>
  <c r="BK1" i="8" a="1"/>
  <c r="BK4" i="8" a="1"/>
  <c r="AW47" i="8" l="1"/>
  <c r="BK4" i="8"/>
  <c r="BK1" i="8"/>
  <c r="BP1" i="8"/>
  <c r="BK2" i="8"/>
  <c r="BD46" i="8"/>
  <c r="BF43" i="8"/>
  <c r="BF44" i="8"/>
  <c r="BF42" i="8"/>
  <c r="BF46" i="8"/>
  <c r="BC46" i="8"/>
  <c r="BD47" i="8" s="1"/>
  <c r="BF47" i="8"/>
  <c r="BG41" i="8"/>
  <c r="BB46" i="8"/>
  <c r="BC43" i="8"/>
  <c r="BB41" i="8"/>
  <c r="BN7" i="8" a="1"/>
  <c r="BN6" i="8" a="1"/>
  <c r="BK6" i="8" a="1"/>
  <c r="BN4" i="8" a="1"/>
  <c r="BJ6" i="8" a="1"/>
  <c r="BN2" i="8" a="1"/>
  <c r="BN3" i="8" a="1"/>
  <c r="BK3" i="8" a="1"/>
  <c r="BO1" i="8" a="1"/>
  <c r="BL6" i="8" a="1"/>
  <c r="BQ2" i="8"/>
  <c r="BR2" i="8" s="1" a="1"/>
  <c r="BR1" i="8" a="1"/>
  <c r="BR4" i="8" a="1"/>
  <c r="BB47" i="8" l="1"/>
  <c r="BR4" i="8"/>
  <c r="BR1" i="8"/>
  <c r="BI9" i="8"/>
  <c r="BR2" i="8"/>
  <c r="BL6" i="8"/>
  <c r="BO1" i="8"/>
  <c r="BK3" i="8"/>
  <c r="BN3" i="8"/>
  <c r="BN2" i="8"/>
  <c r="BJ6" i="8"/>
  <c r="BN4" i="8"/>
  <c r="BK6" i="8"/>
  <c r="BJ7" i="8" s="1"/>
  <c r="BN6" i="8"/>
  <c r="BN7" i="8"/>
  <c r="BJ1" i="8"/>
  <c r="BS6" i="8" a="1"/>
  <c r="BU4" i="8" a="1"/>
  <c r="BU3" i="8" a="1"/>
  <c r="BR6" i="8" a="1"/>
  <c r="BU6" i="8" a="1"/>
  <c r="BR3" i="8" a="1"/>
  <c r="BU7" i="8" a="1"/>
  <c r="BV1" i="8" a="1"/>
  <c r="BU2" i="8" a="1"/>
  <c r="BQ6" i="8" a="1"/>
  <c r="BJ10" i="8"/>
  <c r="BK10" i="8" s="1" a="1"/>
  <c r="BK9" i="8" a="1"/>
  <c r="BK12" i="8" a="1"/>
  <c r="BL7" i="8" l="1"/>
  <c r="BK12" i="8"/>
  <c r="BK9" i="8"/>
  <c r="BP9" i="8"/>
  <c r="BK10" i="8"/>
  <c r="BQ6" i="8"/>
  <c r="BU2" i="8"/>
  <c r="BV1" i="8"/>
  <c r="BU7" i="8"/>
  <c r="BR3" i="8"/>
  <c r="BU6" i="8"/>
  <c r="BR6" i="8"/>
  <c r="BQ7" i="8" s="1"/>
  <c r="BU3" i="8"/>
  <c r="BU4" i="8"/>
  <c r="BS6" i="8"/>
  <c r="BQ1" i="8"/>
  <c r="BO9" i="8" a="1"/>
  <c r="BK11" i="8" a="1"/>
  <c r="BK14" i="8" a="1"/>
  <c r="BN15" i="8" a="1"/>
  <c r="BN12" i="8" a="1"/>
  <c r="BN10" i="8" a="1"/>
  <c r="BL14" i="8" a="1"/>
  <c r="BN11" i="8" a="1"/>
  <c r="BN14" i="8" a="1"/>
  <c r="BJ14" i="8" a="1"/>
  <c r="BQ10" i="8"/>
  <c r="BR10" i="8" s="1" a="1"/>
  <c r="BR9" i="8" a="1"/>
  <c r="BR12" i="8" a="1"/>
  <c r="BS7" i="8" l="1"/>
  <c r="BR12" i="8"/>
  <c r="BR9" i="8"/>
  <c r="BI17" i="8"/>
  <c r="BR10" i="8"/>
  <c r="BJ14" i="8"/>
  <c r="BN14" i="8"/>
  <c r="BN11" i="8"/>
  <c r="BL14" i="8"/>
  <c r="BN10" i="8"/>
  <c r="BN12" i="8"/>
  <c r="BN15" i="8"/>
  <c r="BK14" i="8"/>
  <c r="BL15" i="8" s="1"/>
  <c r="BK11" i="8"/>
  <c r="BO9" i="8"/>
  <c r="BJ9" i="8"/>
  <c r="BJ18" i="8"/>
  <c r="BU15" i="8" a="1"/>
  <c r="BV9" i="8" a="1"/>
  <c r="BU14" i="8" a="1"/>
  <c r="BU12" i="8" a="1"/>
  <c r="BQ14" i="8" a="1"/>
  <c r="BU11" i="8" a="1"/>
  <c r="BU10" i="8" a="1"/>
  <c r="BR14" i="8" a="1"/>
  <c r="BR11" i="8" a="1"/>
  <c r="BS14" i="8" a="1"/>
  <c r="BK18" i="8" a="1"/>
  <c r="BK17" i="8" a="1"/>
  <c r="BK20" i="8" a="1"/>
  <c r="BJ15" i="8" l="1"/>
  <c r="BK20" i="8"/>
  <c r="BK17" i="8"/>
  <c r="BK18" i="8"/>
  <c r="BS14" i="8"/>
  <c r="BR11" i="8"/>
  <c r="BR14" i="8"/>
  <c r="BQ15" i="8" s="1"/>
  <c r="BU10" i="8"/>
  <c r="BU11" i="8"/>
  <c r="BQ14" i="8"/>
  <c r="BU12" i="8"/>
  <c r="BU14" i="8"/>
  <c r="BV9" i="8"/>
  <c r="BU15" i="8"/>
  <c r="BP17" i="8"/>
  <c r="BQ9" i="8"/>
  <c r="BQ18" i="8"/>
  <c r="BK19" i="8" a="1"/>
  <c r="BN19" i="8" a="1"/>
  <c r="BO17" i="8" a="1"/>
  <c r="BN22" i="8" a="1"/>
  <c r="BL22" i="8" a="1"/>
  <c r="BN23" i="8" a="1"/>
  <c r="BK22" i="8" a="1"/>
  <c r="BN18" i="8" a="1"/>
  <c r="BJ22" i="8" a="1"/>
  <c r="BN20" i="8" a="1"/>
  <c r="BR18" i="8" a="1"/>
  <c r="BR17" i="8" a="1"/>
  <c r="BR20" i="8" a="1"/>
  <c r="BS15" i="8" l="1"/>
  <c r="BR20" i="8"/>
  <c r="BR17" i="8"/>
  <c r="BR18" i="8"/>
  <c r="BN20" i="8"/>
  <c r="BJ22" i="8"/>
  <c r="BN18" i="8"/>
  <c r="BK22" i="8"/>
  <c r="BL23" i="8" s="1"/>
  <c r="BN23" i="8"/>
  <c r="BL22" i="8"/>
  <c r="BN22" i="8"/>
  <c r="BO17" i="8"/>
  <c r="BN19" i="8"/>
  <c r="BK19" i="8"/>
  <c r="BI25" i="8"/>
  <c r="BJ17" i="8"/>
  <c r="BJ26" i="8"/>
  <c r="BU18" i="8" a="1"/>
  <c r="BU20" i="8" a="1"/>
  <c r="BV17" i="8" a="1"/>
  <c r="BS22" i="8" a="1"/>
  <c r="BR19" i="8" a="1"/>
  <c r="BQ22" i="8" a="1"/>
  <c r="BR22" i="8" a="1"/>
  <c r="BU23" i="8" a="1"/>
  <c r="BU22" i="8" a="1"/>
  <c r="BU19" i="8" a="1"/>
  <c r="BK26" i="8" a="1"/>
  <c r="BK25" i="8" a="1"/>
  <c r="BK28" i="8" a="1"/>
  <c r="BJ23" i="8" l="1"/>
  <c r="BK28" i="8"/>
  <c r="BK25" i="8"/>
  <c r="BK26" i="8"/>
  <c r="BU19" i="8"/>
  <c r="BU22" i="8"/>
  <c r="BU23" i="8"/>
  <c r="BR22" i="8"/>
  <c r="BS23" i="8" s="1"/>
  <c r="BQ22" i="8"/>
  <c r="BR19" i="8"/>
  <c r="BS22" i="8"/>
  <c r="BV17" i="8"/>
  <c r="BU20" i="8"/>
  <c r="BU18" i="8"/>
  <c r="BP25" i="8"/>
  <c r="BQ17" i="8"/>
  <c r="BK30" i="8" a="1"/>
  <c r="BL30" i="8" a="1"/>
  <c r="BO25" i="8" a="1"/>
  <c r="BN28" i="8" a="1"/>
  <c r="BN31" i="8" a="1"/>
  <c r="BN27" i="8" a="1"/>
  <c r="BN26" i="8" a="1"/>
  <c r="BJ30" i="8" a="1"/>
  <c r="BN30" i="8" a="1"/>
  <c r="BK27" i="8" a="1"/>
  <c r="BQ26" i="8"/>
  <c r="BR26" i="8" a="1"/>
  <c r="BR25" i="8" a="1"/>
  <c r="BR28" i="8" a="1"/>
  <c r="BQ23" i="8" l="1"/>
  <c r="BR28" i="8"/>
  <c r="BQ31" i="8" s="1"/>
  <c r="BR25" i="8"/>
  <c r="BR26" i="8"/>
  <c r="BI33" i="8"/>
  <c r="BK27" i="8"/>
  <c r="BN30" i="8"/>
  <c r="BJ30" i="8"/>
  <c r="BN26" i="8"/>
  <c r="BN27" i="8"/>
  <c r="BN31" i="8"/>
  <c r="BN28" i="8"/>
  <c r="BO25" i="8"/>
  <c r="BL30" i="8"/>
  <c r="BK30" i="8"/>
  <c r="BJ31" i="8" s="1"/>
  <c r="BJ25" i="8"/>
  <c r="BU27" i="8" a="1"/>
  <c r="BV25" i="8" a="1"/>
  <c r="BR30" i="8" a="1"/>
  <c r="BR27" i="8" a="1"/>
  <c r="BQ30" i="8" a="1"/>
  <c r="BU31" i="8" a="1"/>
  <c r="BU30" i="8" a="1"/>
  <c r="BU28" i="8" a="1"/>
  <c r="BU26" i="8" a="1"/>
  <c r="BS30" i="8" a="1"/>
  <c r="BJ34" i="8"/>
  <c r="BK34" i="8" a="1"/>
  <c r="BK33" i="8" a="1"/>
  <c r="BK36" i="8" a="1"/>
  <c r="BL31" i="8" l="1"/>
  <c r="BK36" i="8"/>
  <c r="BK33" i="8"/>
  <c r="BK34" i="8"/>
  <c r="BP33" i="8"/>
  <c r="BS30" i="8"/>
  <c r="BU26" i="8"/>
  <c r="BU28" i="8"/>
  <c r="BU30" i="8"/>
  <c r="BU31" i="8"/>
  <c r="BQ30" i="8"/>
  <c r="BR27" i="8"/>
  <c r="BR30" i="8"/>
  <c r="BS31" i="8" s="1"/>
  <c r="BV25" i="8"/>
  <c r="BU27" i="8"/>
  <c r="BQ25" i="8"/>
  <c r="BK35" i="8" a="1"/>
  <c r="BK38" i="8" a="1"/>
  <c r="BN36" i="8" a="1"/>
  <c r="BN35" i="8" a="1"/>
  <c r="BN34" i="8" a="1"/>
  <c r="BN38" i="8" a="1"/>
  <c r="BL38" i="8" a="1"/>
  <c r="BJ38" i="8" a="1"/>
  <c r="BO33" i="8" a="1"/>
  <c r="BN39" i="8" a="1"/>
  <c r="BQ34" i="8"/>
  <c r="BR34" i="8" a="1"/>
  <c r="BR33" i="8" a="1"/>
  <c r="BR36" i="8" a="1"/>
  <c r="BR36" i="8" l="1"/>
  <c r="BR33" i="8"/>
  <c r="BR34" i="8"/>
  <c r="BI41" i="8"/>
  <c r="BN39" i="8"/>
  <c r="BO33" i="8"/>
  <c r="BJ38" i="8"/>
  <c r="BL38" i="8"/>
  <c r="BN38" i="8"/>
  <c r="BN34" i="8"/>
  <c r="BN35" i="8"/>
  <c r="BN36" i="8"/>
  <c r="BK38" i="8"/>
  <c r="BL39" i="8" s="1"/>
  <c r="BK35" i="8"/>
  <c r="BJ33" i="8"/>
  <c r="BJ39" i="8"/>
  <c r="BJ42" i="8"/>
  <c r="BV33" i="8" a="1"/>
  <c r="BR38" i="8" a="1"/>
  <c r="BS38" i="8" a="1"/>
  <c r="BQ38" i="8" a="1"/>
  <c r="BU35" i="8" a="1"/>
  <c r="BU34" i="8" a="1"/>
  <c r="BU39" i="8" a="1"/>
  <c r="BU36" i="8" a="1"/>
  <c r="BU38" i="8" a="1"/>
  <c r="BK42" i="8" a="1"/>
  <c r="BK41" i="8" a="1"/>
  <c r="BK44" i="8" a="1"/>
  <c r="BK44" i="8" l="1"/>
  <c r="BJ47" i="8" s="1"/>
  <c r="BK41" i="8"/>
  <c r="BK42" i="8"/>
  <c r="BU38" i="8"/>
  <c r="BU36" i="8"/>
  <c r="BU39" i="8"/>
  <c r="BU34" i="8"/>
  <c r="BU35" i="8"/>
  <c r="BQ38" i="8"/>
  <c r="BS38" i="8"/>
  <c r="BR38" i="8"/>
  <c r="BS39" i="8" s="1"/>
  <c r="BV33" i="8"/>
  <c r="BP41" i="8"/>
  <c r="BQ33" i="8"/>
  <c r="BR35" i="8" a="1"/>
  <c r="BQ42" i="8"/>
  <c r="BR42" i="8" a="1"/>
  <c r="BR41" i="8" a="1"/>
  <c r="BR44" i="8" a="1"/>
  <c r="BR35" i="8" l="1"/>
  <c r="BQ39" i="8"/>
  <c r="BR44" i="8"/>
  <c r="BQ47" i="8" s="1"/>
  <c r="BR41" i="8"/>
  <c r="BR42" i="8"/>
  <c r="BX1" i="8"/>
  <c r="BK43" i="8" a="1"/>
  <c r="BK43" i="8" s="1"/>
  <c r="BJ41" i="8"/>
  <c r="BN42" i="8" a="1"/>
  <c r="BN44" i="8" a="1"/>
  <c r="BJ46" i="8" a="1"/>
  <c r="BN43" i="8" a="1"/>
  <c r="BO41" i="8" a="1"/>
  <c r="BN46" i="8" a="1"/>
  <c r="BL46" i="8" a="1"/>
  <c r="BN47" i="8" a="1"/>
  <c r="BK46" i="8" a="1"/>
  <c r="BY2" i="8"/>
  <c r="BZ2" i="8" a="1"/>
  <c r="BZ1" i="8" a="1"/>
  <c r="BZ4" i="8" a="1"/>
  <c r="BK46" i="8" l="1"/>
  <c r="BL47" i="8" s="1"/>
  <c r="BN47" i="8"/>
  <c r="BL46" i="8"/>
  <c r="BN46" i="8"/>
  <c r="BO41" i="8"/>
  <c r="BN43" i="8"/>
  <c r="BJ46" i="8"/>
  <c r="BN44" i="8"/>
  <c r="BN42" i="8"/>
  <c r="BZ4" i="8"/>
  <c r="BY7" i="8" s="1"/>
  <c r="BZ1" i="8"/>
  <c r="BZ2" i="8"/>
  <c r="CE1" i="8"/>
  <c r="BU47" i="8" a="1"/>
  <c r="BU47" i="8" s="1"/>
  <c r="BR46" i="8" a="1"/>
  <c r="BR46" i="8" s="1"/>
  <c r="BS47" i="8" s="1"/>
  <c r="BU46" i="8" a="1"/>
  <c r="BU46" i="8" s="1"/>
  <c r="BR43" i="8" a="1"/>
  <c r="BR43" i="8" s="1"/>
  <c r="BS46" i="8" a="1"/>
  <c r="BS46" i="8" s="1"/>
  <c r="BV41" i="8" a="1"/>
  <c r="BV41" i="8" s="1"/>
  <c r="BQ46" i="8" a="1"/>
  <c r="BQ46" i="8" s="1"/>
  <c r="BQ41" i="8"/>
  <c r="BU43" i="8" a="1"/>
  <c r="BU43" i="8" s="1"/>
  <c r="BU42" i="8" a="1"/>
  <c r="BU42" i="8" s="1"/>
  <c r="BU44" i="8" a="1"/>
  <c r="BU44" i="8" s="1"/>
  <c r="CF2" i="8"/>
  <c r="CG2" i="8" a="1"/>
  <c r="CG1" i="8" a="1"/>
  <c r="CG4" i="8" a="1"/>
  <c r="CG4" i="8" l="1"/>
  <c r="CF7" i="8" s="1"/>
  <c r="CG1" i="8"/>
  <c r="CG2" i="8"/>
  <c r="BX9" i="8"/>
  <c r="BY1" i="8"/>
  <c r="CC2" i="8" a="1"/>
  <c r="CC2" i="8" s="1"/>
  <c r="CC3" i="8" a="1"/>
  <c r="CC3" i="8" s="1"/>
  <c r="CC6" i="8" a="1"/>
  <c r="CC6" i="8" s="1"/>
  <c r="BZ6" i="8" a="1"/>
  <c r="BZ6" i="8" s="1"/>
  <c r="CA7" i="8" s="1"/>
  <c r="BZ3" i="8" a="1"/>
  <c r="BZ3" i="8" s="1"/>
  <c r="CA6" i="8" a="1"/>
  <c r="CA6" i="8" s="1"/>
  <c r="BY6" i="8" a="1"/>
  <c r="BY6" i="8" s="1"/>
  <c r="CD1" i="8" a="1"/>
  <c r="CD1" i="8" s="1"/>
  <c r="CC7" i="8" a="1"/>
  <c r="CC7" i="8" s="1"/>
  <c r="CC4" i="8" a="1"/>
  <c r="CC4" i="8" s="1"/>
  <c r="BY10" i="8"/>
  <c r="BZ10" i="8" a="1"/>
  <c r="BZ9" i="8" a="1"/>
  <c r="BZ12" i="8" a="1"/>
  <c r="BZ12" i="8" l="1"/>
  <c r="BY15" i="8" s="1"/>
  <c r="BZ9" i="8"/>
  <c r="BZ10" i="8"/>
  <c r="CE9" i="8"/>
  <c r="CJ4" i="8" a="1"/>
  <c r="CJ4" i="8" s="1"/>
  <c r="CF6" i="8" a="1"/>
  <c r="CF6" i="8" s="1"/>
  <c r="CK1" i="8" a="1"/>
  <c r="CK1" i="8" s="1"/>
  <c r="CF1" i="8"/>
  <c r="CH6" i="8" a="1"/>
  <c r="CH6" i="8" s="1"/>
  <c r="CJ6" i="8" a="1"/>
  <c r="CJ6" i="8" s="1"/>
  <c r="CG3" i="8" a="1"/>
  <c r="CG3" i="8" s="1"/>
  <c r="CJ2" i="8" a="1"/>
  <c r="CJ2" i="8" s="1"/>
  <c r="CG6" i="8" a="1"/>
  <c r="CG6" i="8" s="1"/>
  <c r="CH7" i="8" s="1"/>
  <c r="CJ7" i="8" a="1"/>
  <c r="CJ7" i="8" s="1"/>
  <c r="CJ3" i="8" a="1"/>
  <c r="CJ3" i="8" s="1"/>
  <c r="CF10" i="8"/>
  <c r="CG10" i="8" a="1"/>
  <c r="CG9" i="8" a="1"/>
  <c r="CG12" i="8" a="1"/>
  <c r="CG12" i="8" l="1"/>
  <c r="CF15" i="8" s="1"/>
  <c r="CG9" i="8"/>
  <c r="CG10" i="8"/>
  <c r="BX17" i="8"/>
  <c r="CC12" i="8" a="1"/>
  <c r="CC12" i="8" s="1"/>
  <c r="CC10" i="8" a="1"/>
  <c r="CC10" i="8" s="1"/>
  <c r="CC11" i="8" a="1"/>
  <c r="CC11" i="8" s="1"/>
  <c r="CD9" i="8" a="1"/>
  <c r="CD9" i="8" s="1"/>
  <c r="CC15" i="8" a="1"/>
  <c r="CC15" i="8" s="1"/>
  <c r="BY14" i="8" a="1"/>
  <c r="BY14" i="8" s="1"/>
  <c r="BZ11" i="8" a="1"/>
  <c r="BZ11" i="8" s="1"/>
  <c r="BY9" i="8"/>
  <c r="BZ14" i="8" a="1"/>
  <c r="BZ14" i="8" s="1"/>
  <c r="CA15" i="8" s="1"/>
  <c r="CA14" i="8" a="1"/>
  <c r="CA14" i="8" s="1"/>
  <c r="CC14" i="8" a="1"/>
  <c r="CC14" i="8" s="1"/>
  <c r="BY18" i="8"/>
  <c r="BZ18" i="8" a="1"/>
  <c r="BZ17" i="8" a="1"/>
  <c r="BZ20" i="8" a="1"/>
  <c r="BZ20" i="8" l="1"/>
  <c r="BY23" i="8" s="1"/>
  <c r="BZ17" i="8"/>
  <c r="BZ18" i="8"/>
  <c r="CE17" i="8"/>
  <c r="CG11" i="8" a="1"/>
  <c r="CG11" i="8" s="1"/>
  <c r="CF9" i="8"/>
  <c r="CK9" i="8" a="1"/>
  <c r="CK9" i="8" s="1"/>
  <c r="CJ12" i="8" a="1"/>
  <c r="CJ12" i="8" s="1"/>
  <c r="CJ11" i="8" a="1"/>
  <c r="CJ11" i="8" s="1"/>
  <c r="CJ15" i="8" a="1"/>
  <c r="CJ15" i="8" s="1"/>
  <c r="CJ10" i="8" a="1"/>
  <c r="CJ10" i="8" s="1"/>
  <c r="CF14" i="8" a="1"/>
  <c r="CF14" i="8" s="1"/>
  <c r="CH14" i="8" a="1"/>
  <c r="CH14" i="8" s="1"/>
  <c r="CJ14" i="8" a="1"/>
  <c r="CJ14" i="8" s="1"/>
  <c r="CG14" i="8" a="1"/>
  <c r="CG14" i="8" s="1"/>
  <c r="CH15" i="8" s="1"/>
  <c r="CF18" i="8"/>
  <c r="CG18" i="8" a="1"/>
  <c r="CG17" i="8" a="1"/>
  <c r="CG20" i="8" a="1"/>
  <c r="CG20" i="8" l="1"/>
  <c r="CF23" i="8" s="1"/>
  <c r="CG17" i="8"/>
  <c r="CG18" i="8"/>
  <c r="BX25" i="8"/>
  <c r="BY17" i="8"/>
  <c r="CA22" i="8" a="1"/>
  <c r="CA22" i="8" s="1"/>
  <c r="CC18" i="8" a="1"/>
  <c r="CC18" i="8" s="1"/>
  <c r="BZ22" i="8" a="1"/>
  <c r="BZ22" i="8" s="1"/>
  <c r="CA23" i="8" s="1"/>
  <c r="CC22" i="8" a="1"/>
  <c r="CC22" i="8" s="1"/>
  <c r="CC19" i="8" a="1"/>
  <c r="CC19" i="8" s="1"/>
  <c r="BY22" i="8" a="1"/>
  <c r="BY22" i="8" s="1"/>
  <c r="CD17" i="8" a="1"/>
  <c r="CD17" i="8" s="1"/>
  <c r="BZ19" i="8" a="1"/>
  <c r="BZ19" i="8" s="1"/>
  <c r="CC23" i="8" a="1"/>
  <c r="CC23" i="8" s="1"/>
  <c r="CC20" i="8" a="1"/>
  <c r="CC20" i="8" s="1"/>
  <c r="BY26" i="8"/>
  <c r="BZ26" i="8" a="1"/>
  <c r="BZ25" i="8" a="1"/>
  <c r="BZ28" i="8" a="1"/>
  <c r="BZ28" i="8" l="1"/>
  <c r="BY31" i="8" s="1"/>
  <c r="BZ25" i="8"/>
  <c r="BZ26" i="8"/>
  <c r="CE25" i="8"/>
  <c r="CF17" i="8"/>
  <c r="CH22" i="8" a="1"/>
  <c r="CH22" i="8" s="1"/>
  <c r="CJ18" i="8" a="1"/>
  <c r="CJ18" i="8" s="1"/>
  <c r="CK17" i="8" a="1"/>
  <c r="CK17" i="8" s="1"/>
  <c r="CJ20" i="8" a="1"/>
  <c r="CJ20" i="8" s="1"/>
  <c r="CJ19" i="8" a="1"/>
  <c r="CJ19" i="8" s="1"/>
  <c r="CG19" i="8" a="1"/>
  <c r="CG19" i="8" s="1"/>
  <c r="CJ22" i="8" a="1"/>
  <c r="CJ22" i="8" s="1"/>
  <c r="CG22" i="8" a="1"/>
  <c r="CG22" i="8" s="1"/>
  <c r="CH23" i="8" s="1"/>
  <c r="CF22" i="8" a="1"/>
  <c r="CF22" i="8" s="1"/>
  <c r="CJ23" i="8" a="1"/>
  <c r="CJ23" i="8" s="1"/>
  <c r="CF26" i="8"/>
  <c r="CG26" i="8" a="1"/>
  <c r="CG25" i="8" a="1"/>
  <c r="CG28" i="8" a="1"/>
  <c r="CG28" i="8" l="1"/>
  <c r="CF31" i="8" s="1"/>
  <c r="CG25" i="8"/>
  <c r="CG26" i="8"/>
  <c r="BX33" i="8"/>
  <c r="CC31" i="8" a="1"/>
  <c r="CC31" i="8" s="1"/>
  <c r="CD25" i="8" a="1"/>
  <c r="CD25" i="8" s="1"/>
  <c r="BZ30" i="8" a="1"/>
  <c r="BZ30" i="8" s="1"/>
  <c r="CA31" i="8" s="1"/>
  <c r="CC30" i="8" a="1"/>
  <c r="CC30" i="8" s="1"/>
  <c r="BY30" i="8" a="1"/>
  <c r="BY30" i="8" s="1"/>
  <c r="BZ27" i="8" a="1"/>
  <c r="BZ27" i="8" s="1"/>
  <c r="BY25" i="8"/>
  <c r="CC28" i="8" a="1"/>
  <c r="CC28" i="8" s="1"/>
  <c r="CC26" i="8" a="1"/>
  <c r="CC26" i="8" s="1"/>
  <c r="CA30" i="8" a="1"/>
  <c r="CA30" i="8" s="1"/>
  <c r="CC27" i="8" a="1"/>
  <c r="CC27" i="8" s="1"/>
  <c r="BY34" i="8"/>
  <c r="BZ34" i="8" a="1"/>
  <c r="BZ33" i="8" a="1"/>
  <c r="BZ36" i="8" a="1"/>
  <c r="BZ36" i="8" l="1"/>
  <c r="BY39" i="8" s="1"/>
  <c r="BZ33" i="8"/>
  <c r="BZ34" i="8"/>
  <c r="CE33" i="8"/>
  <c r="CF25" i="8"/>
  <c r="CG27" i="8" a="1"/>
  <c r="CG27" i="8" s="1"/>
  <c r="CJ26" i="8" a="1"/>
  <c r="CJ26" i="8" s="1"/>
  <c r="CJ28" i="8" a="1"/>
  <c r="CJ28" i="8" s="1"/>
  <c r="CJ30" i="8" a="1"/>
  <c r="CJ30" i="8" s="1"/>
  <c r="CK25" i="8" a="1"/>
  <c r="CK25" i="8" s="1"/>
  <c r="CJ27" i="8" a="1"/>
  <c r="CJ27" i="8" s="1"/>
  <c r="CJ31" i="8" a="1"/>
  <c r="CJ31" i="8" s="1"/>
  <c r="CF30" i="8" a="1"/>
  <c r="CF30" i="8" s="1"/>
  <c r="CH30" i="8" a="1"/>
  <c r="CH30" i="8" s="1"/>
  <c r="CG30" i="8" a="1"/>
  <c r="CG30" i="8" s="1"/>
  <c r="CH31" i="8" s="1"/>
  <c r="CF34" i="8"/>
  <c r="CG34" i="8" a="1"/>
  <c r="CG33" i="8" a="1"/>
  <c r="CG36" i="8" a="1"/>
  <c r="CG36" i="8" l="1"/>
  <c r="CF39" i="8" s="1"/>
  <c r="CG33" i="8"/>
  <c r="CG34" i="8"/>
  <c r="BX41" i="8"/>
  <c r="BY38" i="8" a="1"/>
  <c r="BY38" i="8" s="1"/>
  <c r="CC39" i="8" a="1"/>
  <c r="CC39" i="8" s="1"/>
  <c r="CC38" i="8" a="1"/>
  <c r="CC38" i="8" s="1"/>
  <c r="BY33" i="8"/>
  <c r="CD33" i="8" a="1"/>
  <c r="CD33" i="8" s="1"/>
  <c r="CC34" i="8" a="1"/>
  <c r="CC34" i="8" s="1"/>
  <c r="CC35" i="8" a="1"/>
  <c r="CC35" i="8" s="1"/>
  <c r="CA38" i="8" a="1"/>
  <c r="CA38" i="8" s="1"/>
  <c r="BZ35" i="8" a="1"/>
  <c r="BZ35" i="8" s="1"/>
  <c r="CC36" i="8" a="1"/>
  <c r="CC36" i="8" s="1"/>
  <c r="BZ38" i="8" a="1"/>
  <c r="BZ38" i="8" s="1"/>
  <c r="CA39" i="8" s="1"/>
  <c r="BY42" i="8"/>
  <c r="BZ42" i="8" a="1"/>
  <c r="BZ41" i="8" a="1"/>
  <c r="BZ44" i="8" a="1"/>
  <c r="BZ44" i="8" l="1"/>
  <c r="BY47" i="8" s="1"/>
  <c r="BZ41" i="8"/>
  <c r="BZ42" i="8"/>
  <c r="CE41" i="8"/>
  <c r="CG38" i="8" a="1"/>
  <c r="CG38" i="8" s="1"/>
  <c r="CH39" i="8" s="1"/>
  <c r="CJ39" i="8" a="1"/>
  <c r="CJ39" i="8" s="1"/>
  <c r="CF33" i="8"/>
  <c r="CG35" i="8" a="1"/>
  <c r="CG35" i="8" s="1"/>
  <c r="CJ35" i="8" a="1"/>
  <c r="CJ35" i="8" s="1"/>
  <c r="CJ36" i="8" a="1"/>
  <c r="CJ36" i="8" s="1"/>
  <c r="CF38" i="8" a="1"/>
  <c r="CF38" i="8" s="1"/>
  <c r="CH38" i="8" a="1"/>
  <c r="CH38" i="8" s="1"/>
  <c r="CJ38" i="8" a="1"/>
  <c r="CJ38" i="8" s="1"/>
  <c r="CJ34" i="8" a="1"/>
  <c r="CJ34" i="8" s="1"/>
  <c r="CK33" i="8" a="1"/>
  <c r="CK33" i="8" s="1"/>
  <c r="CF42" i="8"/>
  <c r="CG42" i="8" a="1"/>
  <c r="CG41" i="8" a="1"/>
  <c r="CG44" i="8" a="1"/>
  <c r="CG44" i="8" l="1"/>
  <c r="CF47" i="8" s="1"/>
  <c r="CG41" i="8"/>
  <c r="CG42" i="8"/>
  <c r="CM1" i="8"/>
  <c r="CC42" i="8" a="1"/>
  <c r="CC42" i="8" s="1"/>
  <c r="BZ46" i="8" a="1"/>
  <c r="BZ46" i="8" s="1"/>
  <c r="CA47" i="8" s="1"/>
  <c r="CA46" i="8" a="1"/>
  <c r="CA46" i="8" s="1"/>
  <c r="CC44" i="8" a="1"/>
  <c r="CC44" i="8" s="1"/>
  <c r="CD41" i="8" a="1"/>
  <c r="CD41" i="8" s="1"/>
  <c r="BY46" i="8" a="1"/>
  <c r="BY46" i="8" s="1"/>
  <c r="CC43" i="8" a="1"/>
  <c r="CC43" i="8" s="1"/>
  <c r="CC47" i="8" a="1"/>
  <c r="CC47" i="8" s="1"/>
  <c r="BY41" i="8"/>
  <c r="CC46" i="8" a="1"/>
  <c r="CC46" i="8" s="1"/>
  <c r="BZ43" i="8" a="1"/>
  <c r="BZ43" i="8" s="1"/>
  <c r="CN2" i="8"/>
  <c r="CO2" i="8" a="1"/>
  <c r="CO1" i="8" a="1"/>
  <c r="CO4" i="8" a="1"/>
  <c r="CO4" i="8" l="1"/>
  <c r="CN7" i="8" s="1"/>
  <c r="CO1" i="8"/>
  <c r="CO2" i="8"/>
  <c r="CT1" i="8"/>
  <c r="CF46" i="8" a="1"/>
  <c r="CF46" i="8" s="1"/>
  <c r="CK41" i="8" a="1"/>
  <c r="CK41" i="8" s="1"/>
  <c r="CJ43" i="8" a="1"/>
  <c r="CJ43" i="8" s="1"/>
  <c r="CJ46" i="8" a="1"/>
  <c r="CJ46" i="8" s="1"/>
  <c r="CG43" i="8" a="1"/>
  <c r="CG43" i="8" s="1"/>
  <c r="CJ44" i="8" a="1"/>
  <c r="CJ44" i="8" s="1"/>
  <c r="CH46" i="8" a="1"/>
  <c r="CH46" i="8" s="1"/>
  <c r="CJ42" i="8" a="1"/>
  <c r="CJ42" i="8" s="1"/>
  <c r="CF41" i="8"/>
  <c r="CJ47" i="8" a="1"/>
  <c r="CJ47" i="8" s="1"/>
  <c r="CG46" i="8" a="1"/>
  <c r="CG46" i="8" s="1"/>
  <c r="CH47" i="8" s="1"/>
  <c r="CU2" i="8"/>
  <c r="CV2" i="8" a="1"/>
  <c r="CV1" i="8" a="1"/>
  <c r="CV4" i="8" a="1"/>
  <c r="CV4" i="8" l="1"/>
  <c r="CU7" i="8" s="1"/>
  <c r="CV1" i="8"/>
  <c r="CV2" i="8"/>
  <c r="CM9" i="8"/>
  <c r="CR4" i="8" a="1"/>
  <c r="CR4" i="8" s="1"/>
  <c r="CN6" i="8" a="1"/>
  <c r="CN6" i="8" s="1"/>
  <c r="CS1" i="8" a="1"/>
  <c r="CS1" i="8" s="1"/>
  <c r="CO6" i="8" a="1"/>
  <c r="CO6" i="8" s="1"/>
  <c r="CP7" i="8" s="1"/>
  <c r="CO3" i="8" a="1"/>
  <c r="CO3" i="8" s="1"/>
  <c r="CP6" i="8" a="1"/>
  <c r="CP6" i="8" s="1"/>
  <c r="CN1" i="8"/>
  <c r="CR6" i="8" a="1"/>
  <c r="CR6" i="8" s="1"/>
  <c r="CR3" i="8" a="1"/>
  <c r="CR3" i="8" s="1"/>
  <c r="CR7" i="8" a="1"/>
  <c r="CR7" i="8" s="1"/>
  <c r="CR2" i="8" a="1"/>
  <c r="CR2" i="8" s="1"/>
  <c r="CN10" i="8"/>
  <c r="CO10" i="8" a="1"/>
  <c r="CO9" i="8" a="1"/>
  <c r="CO12" i="8" a="1"/>
  <c r="CO12" i="8" l="1"/>
  <c r="CN15" i="8" s="1"/>
  <c r="CO9" i="8"/>
  <c r="CO10" i="8"/>
  <c r="CT9" i="8"/>
  <c r="CV3" i="8" a="1"/>
  <c r="CV3" i="8" s="1"/>
  <c r="CU6" i="8" a="1"/>
  <c r="CU6" i="8" s="1"/>
  <c r="CY2" i="8" a="1"/>
  <c r="CY2" i="8" s="1"/>
  <c r="CY3" i="8" a="1"/>
  <c r="CY3" i="8" s="1"/>
  <c r="CY7" i="8" a="1"/>
  <c r="CY7" i="8" s="1"/>
  <c r="CY4" i="8" a="1"/>
  <c r="CY4" i="8" s="1"/>
  <c r="CW6" i="8" a="1"/>
  <c r="CW6" i="8" s="1"/>
  <c r="CZ1" i="8" a="1"/>
  <c r="CZ1" i="8" s="1"/>
  <c r="CU1" i="8"/>
  <c r="CY6" i="8" a="1"/>
  <c r="CY6" i="8" s="1"/>
  <c r="CV6" i="8" a="1"/>
  <c r="CV6" i="8" s="1"/>
  <c r="CW7" i="8" s="1"/>
  <c r="CU10" i="8"/>
  <c r="CV10" i="8" a="1"/>
  <c r="CV9" i="8" a="1"/>
  <c r="CV12" i="8" a="1"/>
  <c r="CV12" i="8" l="1"/>
  <c r="CU15" i="8" s="1"/>
  <c r="CV9" i="8"/>
  <c r="CV10" i="8"/>
  <c r="CM17" i="8"/>
  <c r="CO14" i="8" a="1"/>
  <c r="CO14" i="8" s="1"/>
  <c r="CP15" i="8" s="1"/>
  <c r="CR15" i="8" a="1"/>
  <c r="CR15" i="8" s="1"/>
  <c r="CR14" i="8" a="1"/>
  <c r="CR14" i="8" s="1"/>
  <c r="CR10" i="8" a="1"/>
  <c r="CR10" i="8" s="1"/>
  <c r="CR12" i="8" a="1"/>
  <c r="CR12" i="8" s="1"/>
  <c r="CN9" i="8"/>
  <c r="CN14" i="8" a="1"/>
  <c r="CN14" i="8" s="1"/>
  <c r="CR11" i="8" a="1"/>
  <c r="CR11" i="8" s="1"/>
  <c r="CO11" i="8" a="1"/>
  <c r="CO11" i="8" s="1"/>
  <c r="CS9" i="8" a="1"/>
  <c r="CS9" i="8" s="1"/>
  <c r="CP14" i="8" a="1"/>
  <c r="CP14" i="8" s="1"/>
  <c r="CN18" i="8"/>
  <c r="CO18" i="8" a="1"/>
  <c r="CO17" i="8" a="1"/>
  <c r="CO20" i="8" a="1"/>
  <c r="CO20" i="8" l="1"/>
  <c r="CN23" i="8" s="1"/>
  <c r="CO17" i="8"/>
  <c r="CO18" i="8"/>
  <c r="CT17" i="8"/>
  <c r="CU9" i="8"/>
  <c r="CY10" i="8" a="1"/>
  <c r="CY10" i="8" s="1"/>
  <c r="CV11" i="8" a="1"/>
  <c r="CV11" i="8" s="1"/>
  <c r="CY14" i="8" a="1"/>
  <c r="CY14" i="8" s="1"/>
  <c r="CY15" i="8" a="1"/>
  <c r="CY15" i="8" s="1"/>
  <c r="CU14" i="8" a="1"/>
  <c r="CU14" i="8" s="1"/>
  <c r="CW14" i="8" a="1"/>
  <c r="CW14" i="8" s="1"/>
  <c r="CV14" i="8" a="1"/>
  <c r="CV14" i="8" s="1"/>
  <c r="CW15" i="8" s="1"/>
  <c r="CY12" i="8" a="1"/>
  <c r="CY12" i="8" s="1"/>
  <c r="CZ9" i="8" a="1"/>
  <c r="CZ9" i="8" s="1"/>
  <c r="CY11" i="8" a="1"/>
  <c r="CY11" i="8" s="1"/>
  <c r="CU18" i="8"/>
  <c r="CV18" i="8" a="1"/>
  <c r="CV17" i="8" a="1"/>
  <c r="CV20" i="8" a="1"/>
  <c r="CV20" i="8" l="1"/>
  <c r="CU23" i="8" s="1"/>
  <c r="CV17" i="8"/>
  <c r="CV18" i="8"/>
  <c r="CM25" i="8"/>
  <c r="CO19" i="8" a="1"/>
  <c r="CO19" i="8" s="1"/>
  <c r="CR22" i="8" a="1"/>
  <c r="CR22" i="8" s="1"/>
  <c r="CN22" i="8" a="1"/>
  <c r="CN22" i="8" s="1"/>
  <c r="CR20" i="8" a="1"/>
  <c r="CR20" i="8" s="1"/>
  <c r="CR18" i="8" a="1"/>
  <c r="CR18" i="8" s="1"/>
  <c r="CS17" i="8" a="1"/>
  <c r="CS17" i="8" s="1"/>
  <c r="CR23" i="8" a="1"/>
  <c r="CR23" i="8" s="1"/>
  <c r="CP22" i="8" a="1"/>
  <c r="CP22" i="8" s="1"/>
  <c r="CR19" i="8" a="1"/>
  <c r="CR19" i="8" s="1"/>
  <c r="CN17" i="8"/>
  <c r="CO22" i="8" a="1"/>
  <c r="CO22" i="8" s="1"/>
  <c r="CP23" i="8" s="1"/>
  <c r="CN26" i="8"/>
  <c r="CO26" i="8" a="1"/>
  <c r="CO25" i="8" a="1"/>
  <c r="CO28" i="8" a="1"/>
  <c r="CO28" i="8" l="1"/>
  <c r="CN31" i="8" s="1"/>
  <c r="CO25" i="8"/>
  <c r="CO26" i="8"/>
  <c r="CT25" i="8"/>
  <c r="CV22" i="8" a="1"/>
  <c r="CV22" i="8" s="1"/>
  <c r="CW23" i="8" s="1"/>
  <c r="CU22" i="8" a="1"/>
  <c r="CU22" i="8" s="1"/>
  <c r="CY18" i="8" a="1"/>
  <c r="CY18" i="8" s="1"/>
  <c r="CW22" i="8" a="1"/>
  <c r="CW22" i="8" s="1"/>
  <c r="CU17" i="8"/>
  <c r="CY20" i="8" a="1"/>
  <c r="CY20" i="8" s="1"/>
  <c r="CV19" i="8" a="1"/>
  <c r="CV19" i="8" s="1"/>
  <c r="CY19" i="8" a="1"/>
  <c r="CY19" i="8" s="1"/>
  <c r="CY23" i="8" a="1"/>
  <c r="CY23" i="8" s="1"/>
  <c r="CY22" i="8" a="1"/>
  <c r="CY22" i="8" s="1"/>
  <c r="CZ17" i="8" a="1"/>
  <c r="CZ17" i="8" s="1"/>
  <c r="CU26" i="8"/>
  <c r="CV26" i="8" a="1"/>
  <c r="CV25" i="8" a="1"/>
  <c r="CV28" i="8" a="1"/>
  <c r="CV28" i="8" l="1"/>
  <c r="CU31" i="8" s="1"/>
  <c r="CV25" i="8"/>
  <c r="CV26" i="8"/>
  <c r="CM33" i="8"/>
  <c r="CR30" i="8" a="1"/>
  <c r="CR30" i="8" s="1"/>
  <c r="CO27" i="8" a="1"/>
  <c r="CO27" i="8" s="1"/>
  <c r="CR27" i="8" a="1"/>
  <c r="CR27" i="8" s="1"/>
  <c r="CN30" i="8" a="1"/>
  <c r="CN30" i="8" s="1"/>
  <c r="CR31" i="8" a="1"/>
  <c r="CR31" i="8" s="1"/>
  <c r="CP30" i="8" a="1"/>
  <c r="CP30" i="8" s="1"/>
  <c r="CR26" i="8" a="1"/>
  <c r="CR26" i="8" s="1"/>
  <c r="CO30" i="8" a="1"/>
  <c r="CO30" i="8" s="1"/>
  <c r="CP31" i="8" s="1"/>
  <c r="CR28" i="8" a="1"/>
  <c r="CR28" i="8" s="1"/>
  <c r="CS25" i="8" a="1"/>
  <c r="CS25" i="8" s="1"/>
  <c r="CN25" i="8"/>
  <c r="CN34" i="8"/>
  <c r="CO34" i="8" a="1"/>
  <c r="CO33" i="8" a="1"/>
  <c r="CO36" i="8" a="1"/>
  <c r="CO36" i="8" l="1"/>
  <c r="CN39" i="8" s="1"/>
  <c r="CO33" i="8"/>
  <c r="CO34" i="8"/>
  <c r="CT33" i="8"/>
  <c r="CV30" i="8" a="1"/>
  <c r="CV30" i="8" s="1"/>
  <c r="CW31" i="8" s="1"/>
  <c r="CY30" i="8" a="1"/>
  <c r="CY30" i="8" s="1"/>
  <c r="CZ25" i="8" a="1"/>
  <c r="CZ25" i="8" s="1"/>
  <c r="CY28" i="8" a="1"/>
  <c r="CY28" i="8" s="1"/>
  <c r="CY26" i="8" a="1"/>
  <c r="CY26" i="8" s="1"/>
  <c r="CY31" i="8" a="1"/>
  <c r="CY31" i="8" s="1"/>
  <c r="CV27" i="8" a="1"/>
  <c r="CV27" i="8" s="1"/>
  <c r="CY27" i="8" a="1"/>
  <c r="CY27" i="8" s="1"/>
  <c r="CW30" i="8" a="1"/>
  <c r="CW30" i="8" s="1"/>
  <c r="CU25" i="8"/>
  <c r="CU30" i="8" a="1"/>
  <c r="CU30" i="8" s="1"/>
  <c r="CU34" i="8"/>
  <c r="CV34" i="8" a="1"/>
  <c r="CV33" i="8" a="1"/>
  <c r="CV36" i="8" a="1"/>
  <c r="CV36" i="8" l="1"/>
  <c r="CU39" i="8" s="1"/>
  <c r="CV33" i="8"/>
  <c r="CV34" i="8"/>
  <c r="CM41" i="8"/>
  <c r="CR34" i="8" a="1"/>
  <c r="CR34" i="8" s="1"/>
  <c r="CO38" i="8" a="1"/>
  <c r="CO38" i="8" s="1"/>
  <c r="CP39" i="8" s="1"/>
  <c r="CP38" i="8" a="1"/>
  <c r="CP38" i="8" s="1"/>
  <c r="CN38" i="8" a="1"/>
  <c r="CN38" i="8" s="1"/>
  <c r="CR39" i="8" a="1"/>
  <c r="CR39" i="8" s="1"/>
  <c r="CO35" i="8" a="1"/>
  <c r="CO35" i="8" s="1"/>
  <c r="CR38" i="8" a="1"/>
  <c r="CR38" i="8" s="1"/>
  <c r="CN33" i="8"/>
  <c r="CR35" i="8" a="1"/>
  <c r="CR35" i="8" s="1"/>
  <c r="CS33" i="8" a="1"/>
  <c r="CS33" i="8" s="1"/>
  <c r="CR36" i="8" a="1"/>
  <c r="CR36" i="8" s="1"/>
  <c r="CN42" i="8"/>
  <c r="CO42" i="8" a="1"/>
  <c r="CO41" i="8" a="1"/>
  <c r="CO44" i="8" a="1"/>
  <c r="CO44" i="8" l="1"/>
  <c r="CN47" i="8" s="1"/>
  <c r="CO41" i="8"/>
  <c r="CO42" i="8"/>
  <c r="CT41" i="8"/>
  <c r="CV38" i="8" a="1"/>
  <c r="CV38" i="8" s="1"/>
  <c r="CW39" i="8" s="1"/>
  <c r="CV35" i="8" a="1"/>
  <c r="CV35" i="8" s="1"/>
  <c r="CY34" i="8" a="1"/>
  <c r="CY34" i="8" s="1"/>
  <c r="CU38" i="8" a="1"/>
  <c r="CU38" i="8" s="1"/>
  <c r="CY38" i="8" a="1"/>
  <c r="CY38" i="8" s="1"/>
  <c r="CW38" i="8" a="1"/>
  <c r="CW38" i="8" s="1"/>
  <c r="CY39" i="8" a="1"/>
  <c r="CY39" i="8" s="1"/>
  <c r="CY35" i="8" a="1"/>
  <c r="CY35" i="8" s="1"/>
  <c r="CZ33" i="8" a="1"/>
  <c r="CZ33" i="8" s="1"/>
  <c r="CY36" i="8" a="1"/>
  <c r="CY36" i="8" s="1"/>
  <c r="CU33" i="8"/>
  <c r="CU42" i="8"/>
  <c r="CV42" i="8" a="1"/>
  <c r="CV41" i="8" a="1"/>
  <c r="CV44" i="8" a="1"/>
  <c r="CV44" i="8" l="1"/>
  <c r="CU47" i="8" s="1"/>
  <c r="CV41" i="8"/>
  <c r="CV42" i="8"/>
  <c r="DB1" i="8"/>
  <c r="CO43" i="8" a="1"/>
  <c r="CO43" i="8" s="1"/>
  <c r="CR47" i="8" a="1"/>
  <c r="CR47" i="8" s="1"/>
  <c r="CR43" i="8" a="1"/>
  <c r="CR43" i="8" s="1"/>
  <c r="CP46" i="8" a="1"/>
  <c r="CP46" i="8" s="1"/>
  <c r="CO46" i="8" a="1"/>
  <c r="CO46" i="8" s="1"/>
  <c r="CP47" i="8" s="1"/>
  <c r="CN46" i="8" a="1"/>
  <c r="CN46" i="8" s="1"/>
  <c r="CN41" i="8"/>
  <c r="CS41" i="8" a="1"/>
  <c r="CS41" i="8" s="1"/>
  <c r="CR42" i="8" a="1"/>
  <c r="CR42" i="8" s="1"/>
  <c r="CR44" i="8" a="1"/>
  <c r="CR44" i="8" s="1"/>
  <c r="CR46" i="8" a="1"/>
  <c r="CR46" i="8" s="1"/>
  <c r="DC2" i="8"/>
  <c r="DD2" i="8" a="1"/>
  <c r="DD4" i="8" a="1"/>
  <c r="DD1" i="8" a="1"/>
  <c r="DD1" i="8" l="1"/>
  <c r="DD4" i="8"/>
  <c r="DC7" i="8" s="1"/>
  <c r="DD2" i="8"/>
  <c r="DI1" i="8"/>
  <c r="CY44" i="8" a="1"/>
  <c r="CY44" i="8" s="1"/>
  <c r="CY43" i="8" a="1"/>
  <c r="CY43" i="8" s="1"/>
  <c r="CU41" i="8"/>
  <c r="CY46" i="8" a="1"/>
  <c r="CY46" i="8" s="1"/>
  <c r="CZ41" i="8" a="1"/>
  <c r="CZ41" i="8" s="1"/>
  <c r="CY42" i="8" a="1"/>
  <c r="CY42" i="8" s="1"/>
  <c r="CV46" i="8" a="1"/>
  <c r="CV46" i="8" s="1"/>
  <c r="CW47" i="8" s="1"/>
  <c r="CV43" i="8" a="1"/>
  <c r="CV43" i="8" s="1"/>
  <c r="CY47" i="8" a="1"/>
  <c r="CY47" i="8" s="1"/>
  <c r="CU46" i="8" a="1"/>
  <c r="CU46" i="8" s="1"/>
  <c r="CW46" i="8" a="1"/>
  <c r="CW46" i="8" s="1"/>
  <c r="DJ2" i="8"/>
  <c r="DK2" i="8" a="1"/>
  <c r="DK1" i="8" a="1"/>
  <c r="DK4" i="8" a="1"/>
  <c r="DK4" i="8" l="1"/>
  <c r="DJ7" i="8" s="1"/>
  <c r="DK1" i="8"/>
  <c r="DK2" i="8"/>
  <c r="DB9" i="8"/>
  <c r="DE6" i="8" a="1"/>
  <c r="DE6" i="8" s="1"/>
  <c r="DG6" i="8" a="1"/>
  <c r="DG6" i="8" s="1"/>
  <c r="DC1" i="8"/>
  <c r="DH1" i="8" a="1"/>
  <c r="DH1" i="8" s="1"/>
  <c r="DG2" i="8" a="1"/>
  <c r="DG2" i="8" s="1"/>
  <c r="DC6" i="8" a="1"/>
  <c r="DC6" i="8" s="1"/>
  <c r="DD6" i="8" a="1"/>
  <c r="DD6" i="8" s="1"/>
  <c r="DE7" i="8" s="1"/>
  <c r="DG3" i="8" a="1"/>
  <c r="DG3" i="8" s="1"/>
  <c r="DD3" i="8" a="1"/>
  <c r="DD3" i="8" s="1"/>
  <c r="DG4" i="8" a="1"/>
  <c r="DG4" i="8" s="1"/>
  <c r="DG7" i="8" a="1"/>
  <c r="DG7" i="8" s="1"/>
  <c r="DC10" i="8"/>
  <c r="DD10" i="8" a="1"/>
  <c r="DD9" i="8" a="1"/>
  <c r="DD12" i="8" a="1"/>
  <c r="DD12" i="8" l="1"/>
  <c r="DC15" i="8" s="1"/>
  <c r="DD9" i="8"/>
  <c r="DD10" i="8"/>
  <c r="DI9" i="8"/>
  <c r="DN6" i="8" a="1"/>
  <c r="DN6" i="8" s="1"/>
  <c r="DN4" i="8" a="1"/>
  <c r="DN4" i="8" s="1"/>
  <c r="DN7" i="8" a="1"/>
  <c r="DN7" i="8" s="1"/>
  <c r="DK6" i="8" a="1"/>
  <c r="DK6" i="8" s="1"/>
  <c r="DL7" i="8" s="1"/>
  <c r="DO1" i="8" a="1"/>
  <c r="DO1" i="8" s="1"/>
  <c r="DK3" i="8" a="1"/>
  <c r="DK3" i="8" s="1"/>
  <c r="DL6" i="8" a="1"/>
  <c r="DL6" i="8" s="1"/>
  <c r="DN2" i="8" a="1"/>
  <c r="DN2" i="8" s="1"/>
  <c r="DN3" i="8" a="1"/>
  <c r="DN3" i="8" s="1"/>
  <c r="DJ1" i="8"/>
  <c r="DJ6" i="8" a="1"/>
  <c r="DJ6" i="8" s="1"/>
  <c r="DJ10" i="8"/>
  <c r="DK10" i="8" a="1"/>
  <c r="DK9" i="8" a="1"/>
  <c r="DK12" i="8" a="1"/>
  <c r="DK12" i="8" l="1"/>
  <c r="DJ15" i="8" s="1"/>
  <c r="DK9" i="8"/>
  <c r="DK10" i="8"/>
  <c r="DB17" i="8"/>
  <c r="DG11" i="8" a="1"/>
  <c r="DG11" i="8" s="1"/>
  <c r="DC14" i="8" a="1"/>
  <c r="DC14" i="8" s="1"/>
  <c r="DD11" i="8" a="1"/>
  <c r="DD11" i="8" s="1"/>
  <c r="DG14" i="8" a="1"/>
  <c r="DG14" i="8" s="1"/>
  <c r="DG10" i="8" a="1"/>
  <c r="DG10" i="8" s="1"/>
  <c r="DG15" i="8" a="1"/>
  <c r="DG15" i="8" s="1"/>
  <c r="DH9" i="8" a="1"/>
  <c r="DH9" i="8" s="1"/>
  <c r="DC9" i="8"/>
  <c r="DD14" i="8" a="1"/>
  <c r="DD14" i="8" s="1"/>
  <c r="DE15" i="8" s="1"/>
  <c r="DE14" i="8" a="1"/>
  <c r="DE14" i="8" s="1"/>
  <c r="DG12" i="8" a="1"/>
  <c r="DG12" i="8" s="1"/>
  <c r="DC18" i="8"/>
  <c r="DD18" i="8" a="1"/>
  <c r="DD17" i="8" a="1"/>
  <c r="DD20" i="8" a="1"/>
  <c r="DD20" i="8" l="1"/>
  <c r="DC23" i="8" s="1"/>
  <c r="DD17" i="8"/>
  <c r="DD18" i="8"/>
  <c r="DI17" i="8"/>
  <c r="DO9" i="8" a="1"/>
  <c r="DO9" i="8" s="1"/>
  <c r="DJ14" i="8" a="1"/>
  <c r="DJ14" i="8" s="1"/>
  <c r="DJ9" i="8"/>
  <c r="DN14" i="8" a="1"/>
  <c r="DN14" i="8" s="1"/>
  <c r="DK14" i="8" a="1"/>
  <c r="DK14" i="8" s="1"/>
  <c r="DL15" i="8" s="1"/>
  <c r="DN15" i="8" a="1"/>
  <c r="DN15" i="8" s="1"/>
  <c r="DL14" i="8" a="1"/>
  <c r="DL14" i="8" s="1"/>
  <c r="DN11" i="8" a="1"/>
  <c r="DN11" i="8" s="1"/>
  <c r="DN12" i="8" a="1"/>
  <c r="DN12" i="8" s="1"/>
  <c r="DN10" i="8" a="1"/>
  <c r="DN10" i="8" s="1"/>
  <c r="DK11" i="8" a="1"/>
  <c r="DK11" i="8" s="1"/>
  <c r="DJ18" i="8"/>
  <c r="DK18" i="8" a="1"/>
  <c r="DK17" i="8" a="1"/>
  <c r="DK20" i="8" a="1"/>
  <c r="DK20" i="8" l="1"/>
  <c r="DJ23" i="8" s="1"/>
  <c r="DK17" i="8"/>
  <c r="DK18" i="8"/>
  <c r="DB25" i="8"/>
  <c r="DD19" i="8" a="1"/>
  <c r="DD19" i="8" s="1"/>
  <c r="DG22" i="8" a="1"/>
  <c r="DG22" i="8" s="1"/>
  <c r="DG19" i="8" a="1"/>
  <c r="DG19" i="8" s="1"/>
  <c r="DG23" i="8" a="1"/>
  <c r="DG23" i="8" s="1"/>
  <c r="DD22" i="8" a="1"/>
  <c r="DD22" i="8" s="1"/>
  <c r="DE23" i="8" s="1"/>
  <c r="DC17" i="8"/>
  <c r="DG18" i="8" a="1"/>
  <c r="DG18" i="8" s="1"/>
  <c r="DG20" i="8" a="1"/>
  <c r="DG20" i="8" s="1"/>
  <c r="DE22" i="8" a="1"/>
  <c r="DE22" i="8" s="1"/>
  <c r="DC22" i="8" a="1"/>
  <c r="DC22" i="8" s="1"/>
  <c r="DH17" i="8" a="1"/>
  <c r="DH17" i="8" s="1"/>
  <c r="DC26" i="8"/>
  <c r="DD26" i="8" a="1"/>
  <c r="DD25" i="8" a="1"/>
  <c r="DD28" i="8" a="1"/>
  <c r="DD28" i="8" l="1"/>
  <c r="DC31" i="8" s="1"/>
  <c r="DD25" i="8"/>
  <c r="DD26" i="8"/>
  <c r="DI25" i="8"/>
  <c r="DJ17" i="8"/>
  <c r="DO17" i="8" a="1"/>
  <c r="DO17" i="8" s="1"/>
  <c r="DL22" i="8" a="1"/>
  <c r="DL22" i="8" s="1"/>
  <c r="DK19" i="8" a="1"/>
  <c r="DK19" i="8" s="1"/>
  <c r="DN18" i="8" a="1"/>
  <c r="DN18" i="8" s="1"/>
  <c r="DN23" i="8" a="1"/>
  <c r="DN23" i="8" s="1"/>
  <c r="DN22" i="8" a="1"/>
  <c r="DN22" i="8" s="1"/>
  <c r="DK22" i="8" a="1"/>
  <c r="DK22" i="8" s="1"/>
  <c r="DL23" i="8" s="1"/>
  <c r="DN20" i="8" a="1"/>
  <c r="DN20" i="8" s="1"/>
  <c r="DJ22" i="8" a="1"/>
  <c r="DJ22" i="8" s="1"/>
  <c r="DN19" i="8" a="1"/>
  <c r="DN19" i="8" s="1"/>
  <c r="DJ26" i="8"/>
  <c r="DK26" i="8" a="1"/>
  <c r="DK25" i="8" a="1"/>
  <c r="DK28" i="8" a="1"/>
  <c r="DK28" i="8" l="1"/>
  <c r="DJ31" i="8" s="1"/>
  <c r="DK25" i="8"/>
  <c r="DK26" i="8"/>
  <c r="DB33" i="8"/>
  <c r="DC25" i="8"/>
  <c r="DG28" i="8" a="1"/>
  <c r="DG28" i="8" s="1"/>
  <c r="DC30" i="8" a="1"/>
  <c r="DC30" i="8" s="1"/>
  <c r="DG31" i="8" a="1"/>
  <c r="DG31" i="8" s="1"/>
  <c r="DH25" i="8" a="1"/>
  <c r="DH25" i="8" s="1"/>
  <c r="DG27" i="8" a="1"/>
  <c r="DG27" i="8" s="1"/>
  <c r="DD30" i="8" a="1"/>
  <c r="DD30" i="8" s="1"/>
  <c r="DE31" i="8" s="1"/>
  <c r="DD27" i="8" a="1"/>
  <c r="DD27" i="8" s="1"/>
  <c r="DG26" i="8" a="1"/>
  <c r="DG26" i="8" s="1"/>
  <c r="DE30" i="8" a="1"/>
  <c r="DE30" i="8" s="1"/>
  <c r="DG30" i="8" a="1"/>
  <c r="DG30" i="8" s="1"/>
  <c r="DC34" i="8"/>
  <c r="DD34" i="8" a="1"/>
  <c r="DD33" i="8" a="1"/>
  <c r="DD36" i="8" a="1"/>
  <c r="DD36" i="8" l="1"/>
  <c r="DC39" i="8" s="1"/>
  <c r="DD33" i="8"/>
  <c r="DD34" i="8"/>
  <c r="DI33" i="8"/>
  <c r="DN31" i="8" a="1"/>
  <c r="DN31" i="8" s="1"/>
  <c r="DN27" i="8" a="1"/>
  <c r="DN27" i="8" s="1"/>
  <c r="DO25" i="8" a="1"/>
  <c r="DO25" i="8" s="1"/>
  <c r="DN30" i="8" a="1"/>
  <c r="DN30" i="8" s="1"/>
  <c r="DJ25" i="8"/>
  <c r="DL30" i="8" a="1"/>
  <c r="DL30" i="8" s="1"/>
  <c r="DK30" i="8" a="1"/>
  <c r="DK30" i="8" s="1"/>
  <c r="DL31" i="8" s="1"/>
  <c r="DN28" i="8" a="1"/>
  <c r="DN28" i="8" s="1"/>
  <c r="DJ30" i="8" a="1"/>
  <c r="DJ30" i="8" s="1"/>
  <c r="DN26" i="8" a="1"/>
  <c r="DN26" i="8" s="1"/>
  <c r="DK27" i="8" a="1"/>
  <c r="DK27" i="8" s="1"/>
  <c r="DJ34" i="8"/>
  <c r="DK34" i="8" a="1"/>
  <c r="DK33" i="8" a="1"/>
  <c r="DK36" i="8" a="1"/>
  <c r="DK36" i="8" l="1"/>
  <c r="DJ39" i="8" s="1"/>
  <c r="DK33" i="8"/>
  <c r="DK34" i="8"/>
  <c r="DB41" i="8"/>
  <c r="DD35" i="8" a="1"/>
  <c r="DD35" i="8" s="1"/>
  <c r="DH33" i="8" a="1"/>
  <c r="DH33" i="8" s="1"/>
  <c r="DG38" i="8" a="1"/>
  <c r="DG38" i="8" s="1"/>
  <c r="DC38" i="8" a="1"/>
  <c r="DC38" i="8" s="1"/>
  <c r="DG39" i="8" a="1"/>
  <c r="DG39" i="8" s="1"/>
  <c r="DE38" i="8" a="1"/>
  <c r="DE38" i="8" s="1"/>
  <c r="DG34" i="8" a="1"/>
  <c r="DG34" i="8" s="1"/>
  <c r="DG35" i="8" a="1"/>
  <c r="DG35" i="8" s="1"/>
  <c r="DC33" i="8"/>
  <c r="DG36" i="8" a="1"/>
  <c r="DG36" i="8" s="1"/>
  <c r="DD38" i="8" a="1"/>
  <c r="DD38" i="8" s="1"/>
  <c r="DE39" i="8" s="1"/>
  <c r="DC42" i="8"/>
  <c r="DD42" i="8" a="1"/>
  <c r="DD41" i="8" a="1"/>
  <c r="DD44" i="8" a="1"/>
  <c r="DD44" i="8" l="1"/>
  <c r="DC47" i="8" s="1"/>
  <c r="DD41" i="8"/>
  <c r="DD42" i="8"/>
  <c r="DI41" i="8"/>
  <c r="DL38" i="8" a="1"/>
  <c r="DL38" i="8" s="1"/>
  <c r="DJ38" i="8" a="1"/>
  <c r="DJ38" i="8" s="1"/>
  <c r="DK35" i="8" a="1"/>
  <c r="DK35" i="8" s="1"/>
  <c r="DJ33" i="8"/>
  <c r="DN35" i="8" a="1"/>
  <c r="DN35" i="8" s="1"/>
  <c r="DN34" i="8" a="1"/>
  <c r="DN34" i="8" s="1"/>
  <c r="DO33" i="8" a="1"/>
  <c r="DO33" i="8" s="1"/>
  <c r="DN39" i="8" a="1"/>
  <c r="DN39" i="8" s="1"/>
  <c r="DN36" i="8" a="1"/>
  <c r="DN36" i="8" s="1"/>
  <c r="DN38" i="8" a="1"/>
  <c r="DN38" i="8" s="1"/>
  <c r="DK38" i="8" a="1"/>
  <c r="DK38" i="8" s="1"/>
  <c r="DL39" i="8" s="1"/>
  <c r="DJ42" i="8"/>
  <c r="DK42" i="8" a="1"/>
  <c r="DK41" i="8" a="1"/>
  <c r="DK44" i="8" a="1"/>
  <c r="DK44" i="8" l="1"/>
  <c r="DJ47" i="8" s="1"/>
  <c r="DK41" i="8"/>
  <c r="DK42" i="8"/>
  <c r="DQ1" i="8"/>
  <c r="DC46" i="8" a="1"/>
  <c r="DC46" i="8" s="1"/>
  <c r="DD46" i="8" a="1"/>
  <c r="DD46" i="8" s="1"/>
  <c r="DE47" i="8" s="1"/>
  <c r="DG43" i="8" a="1"/>
  <c r="DG43" i="8" s="1"/>
  <c r="DD43" i="8" a="1"/>
  <c r="DD43" i="8" s="1"/>
  <c r="DG46" i="8" a="1"/>
  <c r="DG46" i="8" s="1"/>
  <c r="DH41" i="8" a="1"/>
  <c r="DH41" i="8" s="1"/>
  <c r="DC41" i="8"/>
  <c r="DG47" i="8" a="1"/>
  <c r="DG47" i="8" s="1"/>
  <c r="DG42" i="8" a="1"/>
  <c r="DG42" i="8" s="1"/>
  <c r="DG44" i="8" a="1"/>
  <c r="DG44" i="8" s="1"/>
  <c r="DE46" i="8" a="1"/>
  <c r="DE46" i="8" s="1"/>
  <c r="DR2" i="8"/>
  <c r="DS2" i="8" a="1"/>
  <c r="DS1" i="8" a="1"/>
  <c r="DS4" i="8" a="1"/>
  <c r="DS4" i="8" l="1"/>
  <c r="DR7" i="8" s="1"/>
  <c r="DS1" i="8"/>
  <c r="DS2" i="8"/>
  <c r="DX1" i="8"/>
  <c r="DO41" i="8" a="1"/>
  <c r="DO41" i="8" s="1"/>
  <c r="DN47" i="8" a="1"/>
  <c r="DN47" i="8" s="1"/>
  <c r="DK43" i="8" a="1"/>
  <c r="DK43" i="8" s="1"/>
  <c r="DJ41" i="8"/>
  <c r="DL46" i="8" a="1"/>
  <c r="DL46" i="8" s="1"/>
  <c r="DN42" i="8" a="1"/>
  <c r="DN42" i="8" s="1"/>
  <c r="DJ46" i="8" a="1"/>
  <c r="DJ46" i="8" s="1"/>
  <c r="DN43" i="8" a="1"/>
  <c r="DN43" i="8" s="1"/>
  <c r="DN46" i="8" a="1"/>
  <c r="DN46" i="8" s="1"/>
  <c r="DN44" i="8" a="1"/>
  <c r="DN44" i="8" s="1"/>
  <c r="DK46" i="8" a="1"/>
  <c r="DK46" i="8" s="1"/>
  <c r="DL47" i="8" s="1"/>
  <c r="DY2" i="8"/>
  <c r="DZ2" i="8" a="1"/>
  <c r="DZ1" i="8" a="1"/>
  <c r="DZ4" i="8" a="1"/>
  <c r="DZ4" i="8" l="1"/>
  <c r="DY7" i="8" s="1"/>
  <c r="DZ1" i="8"/>
  <c r="DZ2" i="8"/>
  <c r="DQ9" i="8"/>
  <c r="DV3" i="8" a="1"/>
  <c r="DV3" i="8" s="1"/>
  <c r="DS6" i="8" a="1"/>
  <c r="DS6" i="8" s="1"/>
  <c r="DT7" i="8" s="1"/>
  <c r="DV7" i="8" a="1"/>
  <c r="DV7" i="8" s="1"/>
  <c r="DR6" i="8" a="1"/>
  <c r="DR6" i="8" s="1"/>
  <c r="DS3" i="8" a="1"/>
  <c r="DS3" i="8" s="1"/>
  <c r="DW1" i="8" a="1"/>
  <c r="DW1" i="8" s="1"/>
  <c r="DT6" i="8" a="1"/>
  <c r="DT6" i="8" s="1"/>
  <c r="DV4" i="8" a="1"/>
  <c r="DV4" i="8" s="1"/>
  <c r="DR1" i="8"/>
  <c r="DV6" i="8" a="1"/>
  <c r="DV6" i="8" s="1"/>
  <c r="DV2" i="8" a="1"/>
  <c r="DV2" i="8" s="1"/>
  <c r="DR10" i="8"/>
  <c r="DS10" i="8" a="1"/>
  <c r="DS9" i="8" a="1"/>
  <c r="DS12" i="8" a="1"/>
  <c r="DS12" i="8" l="1"/>
  <c r="DR15" i="8" s="1"/>
  <c r="DS9" i="8"/>
  <c r="DS10" i="8"/>
  <c r="DX9" i="8"/>
  <c r="EC2" i="8" a="1"/>
  <c r="EC2" i="8" s="1"/>
  <c r="ED1" i="8" a="1"/>
  <c r="ED1" i="8" s="1"/>
  <c r="EC4" i="8" a="1"/>
  <c r="EC4" i="8" s="1"/>
  <c r="EC3" i="8" a="1"/>
  <c r="EC3" i="8" s="1"/>
  <c r="EA6" i="8" a="1"/>
  <c r="EA6" i="8" s="1"/>
  <c r="DY6" i="8" a="1"/>
  <c r="DY6" i="8" s="1"/>
  <c r="EC6" i="8" a="1"/>
  <c r="EC6" i="8" s="1"/>
  <c r="DY1" i="8"/>
  <c r="EC7" i="8" a="1"/>
  <c r="EC7" i="8" s="1"/>
  <c r="DZ6" i="8" a="1"/>
  <c r="DZ6" i="8" s="1"/>
  <c r="EA7" i="8" s="1"/>
  <c r="DZ3" i="8" a="1"/>
  <c r="DZ3" i="8" s="1"/>
  <c r="DY10" i="8"/>
  <c r="DZ10" i="8" a="1"/>
  <c r="DZ9" i="8" a="1"/>
  <c r="DZ12" i="8" a="1"/>
  <c r="DZ12" i="8" l="1"/>
  <c r="DY15" i="8" s="1"/>
  <c r="DZ9" i="8"/>
  <c r="DZ10" i="8"/>
  <c r="DQ17" i="8"/>
  <c r="DV10" i="8" a="1"/>
  <c r="DV10" i="8" s="1"/>
  <c r="DT14" i="8" a="1"/>
  <c r="DT14" i="8" s="1"/>
  <c r="DS14" i="8" a="1"/>
  <c r="DS14" i="8" s="1"/>
  <c r="DT15" i="8" s="1"/>
  <c r="DR9" i="8"/>
  <c r="DW9" i="8" a="1"/>
  <c r="DW9" i="8" s="1"/>
  <c r="DS11" i="8" a="1"/>
  <c r="DS11" i="8" s="1"/>
  <c r="DR14" i="8" a="1"/>
  <c r="DR14" i="8" s="1"/>
  <c r="DV11" i="8" a="1"/>
  <c r="DV11" i="8" s="1"/>
  <c r="DV15" i="8" a="1"/>
  <c r="DV15" i="8" s="1"/>
  <c r="DV14" i="8" a="1"/>
  <c r="DV14" i="8" s="1"/>
  <c r="DV12" i="8" a="1"/>
  <c r="DV12" i="8" s="1"/>
  <c r="DR18" i="8"/>
  <c r="DS18" i="8" a="1"/>
  <c r="DS17" i="8" a="1"/>
  <c r="DS20" i="8" a="1"/>
  <c r="DS20" i="8" l="1"/>
  <c r="DR23" i="8" s="1"/>
  <c r="DS17" i="8"/>
  <c r="DS18" i="8"/>
  <c r="DX17" i="8"/>
  <c r="EC10" i="8" a="1"/>
  <c r="EC10" i="8" s="1"/>
  <c r="EA14" i="8" a="1"/>
  <c r="EA14" i="8" s="1"/>
  <c r="EC15" i="8" a="1"/>
  <c r="EC15" i="8" s="1"/>
  <c r="DY9" i="8"/>
  <c r="DZ11" i="8" a="1"/>
  <c r="DZ11" i="8" s="1"/>
  <c r="EC11" i="8" a="1"/>
  <c r="EC11" i="8" s="1"/>
  <c r="EC14" i="8" a="1"/>
  <c r="EC14" i="8" s="1"/>
  <c r="ED9" i="8" a="1"/>
  <c r="ED9" i="8" s="1"/>
  <c r="EC12" i="8" a="1"/>
  <c r="EC12" i="8" s="1"/>
  <c r="DY14" i="8" a="1"/>
  <c r="DY14" i="8" s="1"/>
  <c r="DZ14" i="8" a="1"/>
  <c r="DZ14" i="8" s="1"/>
  <c r="EA15" i="8" s="1"/>
  <c r="DY18" i="8"/>
  <c r="DZ18" i="8" a="1"/>
  <c r="DZ17" i="8" a="1"/>
  <c r="DZ20" i="8" a="1"/>
  <c r="DZ20" i="8" l="1"/>
  <c r="DY23" i="8" s="1"/>
  <c r="DZ17" i="8"/>
  <c r="DZ18" i="8"/>
  <c r="DQ25" i="8"/>
  <c r="DV20" i="8" a="1"/>
  <c r="DV20" i="8" s="1"/>
  <c r="DR17" i="8"/>
  <c r="DV18" i="8" a="1"/>
  <c r="DV18" i="8" s="1"/>
  <c r="DR22" i="8" a="1"/>
  <c r="DR22" i="8" s="1"/>
  <c r="DV23" i="8" a="1"/>
  <c r="DV23" i="8" s="1"/>
  <c r="DS19" i="8" a="1"/>
  <c r="DS19" i="8" s="1"/>
  <c r="DW17" i="8" a="1"/>
  <c r="DW17" i="8" s="1"/>
  <c r="DT22" i="8" a="1"/>
  <c r="DT22" i="8" s="1"/>
  <c r="DS22" i="8" a="1"/>
  <c r="DS22" i="8" s="1"/>
  <c r="DT23" i="8" s="1"/>
  <c r="DV19" i="8" a="1"/>
  <c r="DV19" i="8" s="1"/>
  <c r="DV22" i="8" a="1"/>
  <c r="DV22" i="8" s="1"/>
  <c r="DR26" i="8"/>
  <c r="DS26" i="8" a="1"/>
  <c r="DS25" i="8" a="1"/>
  <c r="DS28" i="8" a="1"/>
  <c r="DS28" i="8" l="1"/>
  <c r="DR31" i="8" s="1"/>
  <c r="DS25" i="8"/>
  <c r="DS26" i="8"/>
  <c r="DX25" i="8"/>
  <c r="EC19" i="8" a="1"/>
  <c r="EC19" i="8" s="1"/>
  <c r="EC23" i="8" a="1"/>
  <c r="EC23" i="8" s="1"/>
  <c r="DY17" i="8"/>
  <c r="DZ19" i="8" a="1"/>
  <c r="DZ19" i="8" s="1"/>
  <c r="DZ22" i="8" a="1"/>
  <c r="DZ22" i="8" s="1"/>
  <c r="EA23" i="8" s="1"/>
  <c r="EC22" i="8" a="1"/>
  <c r="EC22" i="8" s="1"/>
  <c r="EC18" i="8" a="1"/>
  <c r="EC18" i="8" s="1"/>
  <c r="ED17" i="8" a="1"/>
  <c r="ED17" i="8" s="1"/>
  <c r="DY22" i="8" a="1"/>
  <c r="DY22" i="8" s="1"/>
  <c r="EA22" i="8" a="1"/>
  <c r="EA22" i="8" s="1"/>
  <c r="EC20" i="8" a="1"/>
  <c r="EC20" i="8" s="1"/>
  <c r="DY26" i="8"/>
  <c r="DZ26" i="8" a="1"/>
  <c r="DZ25" i="8" a="1"/>
  <c r="DZ28" i="8" a="1"/>
  <c r="DZ28" i="8" l="1"/>
  <c r="DY31" i="8" s="1"/>
  <c r="DZ25" i="8"/>
  <c r="DZ26" i="8"/>
  <c r="DQ33" i="8"/>
  <c r="DV26" i="8" a="1"/>
  <c r="DV26" i="8" s="1"/>
  <c r="DV31" i="8" a="1"/>
  <c r="DV31" i="8" s="1"/>
  <c r="DW25" i="8" a="1"/>
  <c r="DW25" i="8" s="1"/>
  <c r="DT30" i="8" a="1"/>
  <c r="DT30" i="8" s="1"/>
  <c r="DS30" i="8" a="1"/>
  <c r="DS30" i="8" s="1"/>
  <c r="DT31" i="8" s="1"/>
  <c r="DR25" i="8"/>
  <c r="DV27" i="8" a="1"/>
  <c r="DV27" i="8" s="1"/>
  <c r="DR30" i="8" a="1"/>
  <c r="DR30" i="8" s="1"/>
  <c r="DS27" i="8" a="1"/>
  <c r="DS27" i="8" s="1"/>
  <c r="DV28" i="8" a="1"/>
  <c r="DV28" i="8" s="1"/>
  <c r="DV30" i="8" a="1"/>
  <c r="DV30" i="8" s="1"/>
  <c r="DR34" i="8"/>
  <c r="DS34" i="8" a="1"/>
  <c r="DS33" i="8" a="1"/>
  <c r="DS36" i="8" a="1"/>
  <c r="DS36" i="8" l="1"/>
  <c r="DR39" i="8" s="1"/>
  <c r="DS33" i="8"/>
  <c r="DS34" i="8"/>
  <c r="DX33" i="8"/>
  <c r="DY25" i="8"/>
  <c r="EC31" i="8" a="1"/>
  <c r="EC31" i="8" s="1"/>
  <c r="DZ27" i="8" a="1"/>
  <c r="DZ27" i="8" s="1"/>
  <c r="EC26" i="8" a="1"/>
  <c r="EC26" i="8" s="1"/>
  <c r="DY30" i="8" a="1"/>
  <c r="DY30" i="8" s="1"/>
  <c r="EC27" i="8" a="1"/>
  <c r="EC27" i="8" s="1"/>
  <c r="DZ30" i="8" a="1"/>
  <c r="DZ30" i="8" s="1"/>
  <c r="EA31" i="8" s="1"/>
  <c r="ED25" i="8" a="1"/>
  <c r="ED25" i="8" s="1"/>
  <c r="EC28" i="8" a="1"/>
  <c r="EC28" i="8" s="1"/>
  <c r="EC30" i="8" a="1"/>
  <c r="EC30" i="8" s="1"/>
  <c r="EA30" i="8" a="1"/>
  <c r="EA30" i="8" s="1"/>
  <c r="DY34" i="8"/>
  <c r="DZ34" i="8" a="1"/>
  <c r="DZ33" i="8" a="1"/>
  <c r="DZ36" i="8" a="1"/>
  <c r="DZ36" i="8" l="1"/>
  <c r="DY39" i="8" s="1"/>
  <c r="DZ33" i="8"/>
  <c r="DZ34" i="8"/>
  <c r="DQ41" i="8"/>
  <c r="DR33" i="8"/>
  <c r="DV34" i="8" a="1"/>
  <c r="DV34" i="8" s="1"/>
  <c r="DW33" i="8" a="1"/>
  <c r="DW33" i="8" s="1"/>
  <c r="DS35" i="8" a="1"/>
  <c r="DS35" i="8" s="1"/>
  <c r="DR38" i="8" a="1"/>
  <c r="DR38" i="8" s="1"/>
  <c r="DV36" i="8" a="1"/>
  <c r="DV36" i="8" s="1"/>
  <c r="DV35" i="8" a="1"/>
  <c r="DV35" i="8" s="1"/>
  <c r="DV38" i="8" a="1"/>
  <c r="DV38" i="8" s="1"/>
  <c r="DV39" i="8" a="1"/>
  <c r="DV39" i="8" s="1"/>
  <c r="DT38" i="8" a="1"/>
  <c r="DT38" i="8" s="1"/>
  <c r="DS38" i="8" a="1"/>
  <c r="DS38" i="8" s="1"/>
  <c r="DT39" i="8" s="1"/>
  <c r="DR42" i="8"/>
  <c r="DS42" i="8" a="1"/>
  <c r="DS41" i="8" a="1"/>
  <c r="DS44" i="8" a="1"/>
  <c r="DS44" i="8" l="1"/>
  <c r="DR47" i="8" s="1"/>
  <c r="DS41" i="8"/>
  <c r="DS42" i="8"/>
  <c r="DX41" i="8"/>
  <c r="EC34" i="8" a="1"/>
  <c r="EC34" i="8" s="1"/>
  <c r="EC39" i="8" a="1"/>
  <c r="EC39" i="8" s="1"/>
  <c r="EC38" i="8" a="1"/>
  <c r="EC38" i="8" s="1"/>
  <c r="DY33" i="8"/>
  <c r="EA38" i="8" a="1"/>
  <c r="EA38" i="8" s="1"/>
  <c r="DZ35" i="8" a="1"/>
  <c r="DZ35" i="8" s="1"/>
  <c r="EC35" i="8" a="1"/>
  <c r="EC35" i="8" s="1"/>
  <c r="DY38" i="8" a="1"/>
  <c r="DY38" i="8" s="1"/>
  <c r="DZ38" i="8" a="1"/>
  <c r="DZ38" i="8" s="1"/>
  <c r="EA39" i="8" s="1"/>
  <c r="ED33" i="8" a="1"/>
  <c r="ED33" i="8" s="1"/>
  <c r="EC36" i="8" a="1"/>
  <c r="EC36" i="8" s="1"/>
  <c r="DY42" i="8"/>
  <c r="DZ42" i="8" a="1"/>
  <c r="DZ44" i="8" a="1"/>
  <c r="DZ41" i="8" a="1"/>
  <c r="DZ41" i="8" l="1"/>
  <c r="DZ44" i="8"/>
  <c r="DY47" i="8" s="1"/>
  <c r="DZ42" i="8"/>
  <c r="EF1" i="8"/>
  <c r="DS43" i="8" a="1"/>
  <c r="DS43" i="8" s="1"/>
  <c r="DV44" i="8" a="1"/>
  <c r="DV44" i="8" s="1"/>
  <c r="DV43" i="8" a="1"/>
  <c r="DV43" i="8" s="1"/>
  <c r="DS46" i="8" a="1"/>
  <c r="DS46" i="8" s="1"/>
  <c r="DT47" i="8" s="1"/>
  <c r="DV46" i="8" a="1"/>
  <c r="DV46" i="8" s="1"/>
  <c r="DR46" i="8" a="1"/>
  <c r="DR46" i="8" s="1"/>
  <c r="DV42" i="8" a="1"/>
  <c r="DV42" i="8" s="1"/>
  <c r="DR41" i="8"/>
  <c r="DT46" i="8" a="1"/>
  <c r="DT46" i="8" s="1"/>
  <c r="DV47" i="8" a="1"/>
  <c r="DV47" i="8" s="1"/>
  <c r="DW41" i="8" a="1"/>
  <c r="DW41" i="8" s="1"/>
  <c r="EG2" i="8"/>
  <c r="EH2" i="8" a="1"/>
  <c r="EH1" i="8" a="1"/>
  <c r="EH4" i="8" a="1"/>
  <c r="EH4" i="8" l="1"/>
  <c r="EG7" i="8" s="1"/>
  <c r="EH1" i="8"/>
  <c r="EH2" i="8"/>
  <c r="EM1" i="8"/>
  <c r="DZ46" i="8" a="1"/>
  <c r="DZ46" i="8" s="1"/>
  <c r="EA47" i="8" s="1"/>
  <c r="EC44" i="8" a="1"/>
  <c r="EC44" i="8" s="1"/>
  <c r="EC46" i="8" a="1"/>
  <c r="EC46" i="8" s="1"/>
  <c r="DZ43" i="8" a="1"/>
  <c r="DZ43" i="8" s="1"/>
  <c r="EC42" i="8" a="1"/>
  <c r="EC42" i="8" s="1"/>
  <c r="DY46" i="8" a="1"/>
  <c r="DY46" i="8" s="1"/>
  <c r="EC43" i="8" a="1"/>
  <c r="EC43" i="8" s="1"/>
  <c r="ED41" i="8" a="1"/>
  <c r="ED41" i="8" s="1"/>
  <c r="EC47" i="8" a="1"/>
  <c r="EC47" i="8" s="1"/>
  <c r="DY41" i="8"/>
  <c r="EA46" i="8" a="1"/>
  <c r="EA46" i="8" s="1"/>
  <c r="EN2" i="8"/>
  <c r="EO2" i="8" a="1"/>
  <c r="EO1" i="8" a="1"/>
  <c r="EO4" i="8" a="1"/>
  <c r="EO4" i="8" l="1"/>
  <c r="EN7" i="8" s="1"/>
  <c r="EO1" i="8"/>
  <c r="EO2" i="8"/>
  <c r="EF9" i="8"/>
  <c r="EI6" i="8" a="1"/>
  <c r="EI6" i="8" s="1"/>
  <c r="EG1" i="8"/>
  <c r="EL1" i="8" a="1"/>
  <c r="EL1" i="8" s="1"/>
  <c r="EG6" i="8" a="1"/>
  <c r="EG6" i="8" s="1"/>
  <c r="EK2" i="8" a="1"/>
  <c r="EK2" i="8" s="1"/>
  <c r="EK6" i="8" a="1"/>
  <c r="EK6" i="8" s="1"/>
  <c r="EK4" i="8" a="1"/>
  <c r="EK4" i="8" s="1"/>
  <c r="EH6" i="8" a="1"/>
  <c r="EH6" i="8" s="1"/>
  <c r="EI7" i="8" s="1"/>
  <c r="EK3" i="8" a="1"/>
  <c r="EK3" i="8" s="1"/>
  <c r="EK7" i="8" a="1"/>
  <c r="EK7" i="8" s="1"/>
  <c r="EH3" i="8" a="1"/>
  <c r="EH3" i="8" s="1"/>
  <c r="EG10" i="8"/>
  <c r="EH10" i="8" a="1"/>
  <c r="EH9" i="8" a="1"/>
  <c r="EH12" i="8" a="1"/>
  <c r="EH12" i="8" l="1"/>
  <c r="EG15" i="8" s="1"/>
  <c r="EH9" i="8"/>
  <c r="EH10" i="8"/>
  <c r="EM9" i="8"/>
  <c r="EO3" i="8" a="1"/>
  <c r="EO3" i="8" s="1"/>
  <c r="EP6" i="8" a="1"/>
  <c r="EP6" i="8" s="1"/>
  <c r="EN1" i="8"/>
  <c r="ES1" i="8" a="1"/>
  <c r="ES1" i="8" s="1"/>
  <c r="ER6" i="8" a="1"/>
  <c r="ER6" i="8" s="1"/>
  <c r="ER3" i="8" a="1"/>
  <c r="ER3" i="8" s="1"/>
  <c r="EO6" i="8" a="1"/>
  <c r="EO6" i="8" s="1"/>
  <c r="EP7" i="8" s="1"/>
  <c r="ER2" i="8" a="1"/>
  <c r="ER2" i="8" s="1"/>
  <c r="ER4" i="8" a="1"/>
  <c r="ER4" i="8" s="1"/>
  <c r="ER7" i="8" a="1"/>
  <c r="ER7" i="8" s="1"/>
  <c r="EN6" i="8" a="1"/>
  <c r="EN6" i="8" s="1"/>
  <c r="EN10" i="8"/>
  <c r="EO10" i="8" a="1"/>
  <c r="EO9" i="8" a="1"/>
  <c r="EO12" i="8" a="1"/>
  <c r="EO12" i="8" l="1"/>
  <c r="EN15" i="8" s="1"/>
  <c r="EO9" i="8"/>
  <c r="EO10" i="8"/>
  <c r="EF17" i="8"/>
  <c r="EL9" i="8" a="1"/>
  <c r="EL9" i="8" s="1"/>
  <c r="EK14" i="8" a="1"/>
  <c r="EK14" i="8" s="1"/>
  <c r="EG9" i="8"/>
  <c r="EH14" i="8" a="1"/>
  <c r="EH14" i="8" s="1"/>
  <c r="EI15" i="8" s="1"/>
  <c r="EK11" i="8" a="1"/>
  <c r="EK11" i="8" s="1"/>
  <c r="EK15" i="8" a="1"/>
  <c r="EK15" i="8" s="1"/>
  <c r="EG14" i="8" a="1"/>
  <c r="EG14" i="8" s="1"/>
  <c r="EI14" i="8" a="1"/>
  <c r="EI14" i="8" s="1"/>
  <c r="EK10" i="8" a="1"/>
  <c r="EK10" i="8" s="1"/>
  <c r="EK12" i="8" a="1"/>
  <c r="EK12" i="8" s="1"/>
  <c r="EH11" i="8" a="1"/>
  <c r="EH11" i="8" s="1"/>
  <c r="EG18" i="8"/>
  <c r="EH18" i="8" a="1"/>
  <c r="EH17" i="8" a="1"/>
  <c r="EH20" i="8" a="1"/>
  <c r="EH20" i="8" l="1"/>
  <c r="EG23" i="8" s="1"/>
  <c r="EH17" i="8"/>
  <c r="EH18" i="8"/>
  <c r="EM17" i="8"/>
  <c r="EN9" i="8"/>
  <c r="ES9" i="8" a="1"/>
  <c r="ES9" i="8" s="1"/>
  <c r="ER12" i="8" a="1"/>
  <c r="ER12" i="8" s="1"/>
  <c r="EO14" i="8" a="1"/>
  <c r="EO14" i="8" s="1"/>
  <c r="EP15" i="8" s="1"/>
  <c r="EN14" i="8" a="1"/>
  <c r="EN14" i="8" s="1"/>
  <c r="ER10" i="8" a="1"/>
  <c r="ER10" i="8" s="1"/>
  <c r="ER15" i="8" a="1"/>
  <c r="ER15" i="8" s="1"/>
  <c r="EP14" i="8" a="1"/>
  <c r="EP14" i="8" s="1"/>
  <c r="ER14" i="8" a="1"/>
  <c r="ER14" i="8" s="1"/>
  <c r="ER11" i="8" a="1"/>
  <c r="ER11" i="8" s="1"/>
  <c r="EO11" i="8" a="1"/>
  <c r="EO11" i="8" s="1"/>
  <c r="EN18" i="8"/>
  <c r="EO18" i="8" a="1"/>
  <c r="EO17" i="8" a="1"/>
  <c r="EO20" i="8" a="1"/>
  <c r="EO20" i="8" l="1"/>
  <c r="EN23" i="8" s="1"/>
  <c r="EO17" i="8"/>
  <c r="EO18" i="8"/>
  <c r="EF25" i="8"/>
  <c r="EI22" i="8" a="1"/>
  <c r="EI22" i="8" s="1"/>
  <c r="EK18" i="8" a="1"/>
  <c r="EK18" i="8" s="1"/>
  <c r="EL17" i="8" a="1"/>
  <c r="EL17" i="8" s="1"/>
  <c r="EH19" i="8" a="1"/>
  <c r="EH19" i="8" s="1"/>
  <c r="EK23" i="8" a="1"/>
  <c r="EK23" i="8" s="1"/>
  <c r="EK20" i="8" a="1"/>
  <c r="EK20" i="8" s="1"/>
  <c r="EH22" i="8" a="1"/>
  <c r="EH22" i="8" s="1"/>
  <c r="EI23" i="8" s="1"/>
  <c r="EK19" i="8" a="1"/>
  <c r="EK19" i="8" s="1"/>
  <c r="EG22" i="8" a="1"/>
  <c r="EG22" i="8" s="1"/>
  <c r="EK22" i="8" a="1"/>
  <c r="EK22" i="8" s="1"/>
  <c r="EG17" i="8"/>
  <c r="EG26" i="8"/>
  <c r="EH26" i="8" a="1"/>
  <c r="EH25" i="8" a="1"/>
  <c r="EH28" i="8" a="1"/>
  <c r="EH28" i="8" l="1"/>
  <c r="EG31" i="8" s="1"/>
  <c r="EH25" i="8"/>
  <c r="EH26" i="8"/>
  <c r="EM25" i="8"/>
  <c r="EO19" i="8" a="1"/>
  <c r="EO19" i="8" s="1"/>
  <c r="EN17" i="8"/>
  <c r="ER19" i="8" a="1"/>
  <c r="ER19" i="8" s="1"/>
  <c r="ER22" i="8" a="1"/>
  <c r="ER22" i="8" s="1"/>
  <c r="ER18" i="8" a="1"/>
  <c r="ER18" i="8" s="1"/>
  <c r="ES17" i="8" a="1"/>
  <c r="ES17" i="8" s="1"/>
  <c r="EN22" i="8" a="1"/>
  <c r="EN22" i="8" s="1"/>
  <c r="ER20" i="8" a="1"/>
  <c r="ER20" i="8" s="1"/>
  <c r="EO22" i="8" a="1"/>
  <c r="EO22" i="8" s="1"/>
  <c r="EP23" i="8" s="1"/>
  <c r="ER23" i="8" a="1"/>
  <c r="ER23" i="8" s="1"/>
  <c r="EP22" i="8" a="1"/>
  <c r="EP22" i="8" s="1"/>
  <c r="EN26" i="8"/>
  <c r="EO26" i="8" a="1"/>
  <c r="EO25" i="8" a="1"/>
  <c r="EO28" i="8" a="1"/>
  <c r="EO28" i="8" l="1"/>
  <c r="EN31" i="8" s="1"/>
  <c r="EO25" i="8"/>
  <c r="EO26" i="8"/>
  <c r="EF33" i="8"/>
  <c r="EK30" i="8" a="1"/>
  <c r="EK30" i="8" s="1"/>
  <c r="EG25" i="8"/>
  <c r="EK27" i="8" a="1"/>
  <c r="EK27" i="8" s="1"/>
  <c r="EK31" i="8" a="1"/>
  <c r="EK31" i="8" s="1"/>
  <c r="EK26" i="8" a="1"/>
  <c r="EK26" i="8" s="1"/>
  <c r="EH27" i="8" a="1"/>
  <c r="EH27" i="8" s="1"/>
  <c r="EL25" i="8" a="1"/>
  <c r="EL25" i="8" s="1"/>
  <c r="EH30" i="8" a="1"/>
  <c r="EH30" i="8" s="1"/>
  <c r="EI31" i="8" s="1"/>
  <c r="EG30" i="8" a="1"/>
  <c r="EG30" i="8" s="1"/>
  <c r="EK28" i="8" a="1"/>
  <c r="EK28" i="8" s="1"/>
  <c r="EI30" i="8" a="1"/>
  <c r="EI30" i="8" s="1"/>
  <c r="EG34" i="8"/>
  <c r="EH34" i="8" a="1"/>
  <c r="EH33" i="8" a="1"/>
  <c r="EH36" i="8" a="1"/>
  <c r="EH36" i="8" l="1"/>
  <c r="EG39" i="8" s="1"/>
  <c r="EH33" i="8"/>
  <c r="EH34" i="8"/>
  <c r="EM33" i="8"/>
  <c r="EO30" i="8" a="1"/>
  <c r="EO30" i="8" s="1"/>
  <c r="EP31" i="8" s="1"/>
  <c r="EO27" i="8" a="1"/>
  <c r="EO27" i="8" s="1"/>
  <c r="ER31" i="8" a="1"/>
  <c r="ER31" i="8" s="1"/>
  <c r="ER30" i="8" a="1"/>
  <c r="ER30" i="8" s="1"/>
  <c r="ER28" i="8" a="1"/>
  <c r="ER28" i="8" s="1"/>
  <c r="ER27" i="8" a="1"/>
  <c r="ER27" i="8" s="1"/>
  <c r="EP30" i="8" a="1"/>
  <c r="EP30" i="8" s="1"/>
  <c r="EN25" i="8"/>
  <c r="EN30" i="8" a="1"/>
  <c r="EN30" i="8" s="1"/>
  <c r="ES25" i="8" a="1"/>
  <c r="ES25" i="8" s="1"/>
  <c r="ER26" i="8" a="1"/>
  <c r="ER26" i="8" s="1"/>
  <c r="EN34" i="8"/>
  <c r="EO34" i="8" a="1"/>
  <c r="EO33" i="8" a="1"/>
  <c r="EO36" i="8" a="1"/>
  <c r="EO36" i="8" l="1"/>
  <c r="EN39" i="8" s="1"/>
  <c r="EO33" i="8"/>
  <c r="EO34" i="8"/>
  <c r="EF41" i="8"/>
  <c r="EI38" i="8" a="1"/>
  <c r="EI38" i="8" s="1"/>
  <c r="EH38" i="8" a="1"/>
  <c r="EH38" i="8" s="1"/>
  <c r="EI39" i="8" s="1"/>
  <c r="EG33" i="8"/>
  <c r="EK36" i="8" a="1"/>
  <c r="EK36" i="8" s="1"/>
  <c r="EH35" i="8" a="1"/>
  <c r="EH35" i="8" s="1"/>
  <c r="EK39" i="8" a="1"/>
  <c r="EK39" i="8" s="1"/>
  <c r="EL33" i="8" a="1"/>
  <c r="EL33" i="8" s="1"/>
  <c r="EK34" i="8" a="1"/>
  <c r="EK34" i="8" s="1"/>
  <c r="EG38" i="8" a="1"/>
  <c r="EG38" i="8" s="1"/>
  <c r="EK38" i="8" a="1"/>
  <c r="EK38" i="8" s="1"/>
  <c r="EK35" i="8" a="1"/>
  <c r="EK35" i="8" s="1"/>
  <c r="EG42" i="8"/>
  <c r="EH42" i="8" a="1"/>
  <c r="EH44" i="8" a="1"/>
  <c r="EH41" i="8" a="1"/>
  <c r="EH41" i="8" l="1"/>
  <c r="EH44" i="8"/>
  <c r="EG47" i="8" s="1"/>
  <c r="EH42" i="8"/>
  <c r="EM41" i="8"/>
  <c r="ER38" i="8" a="1"/>
  <c r="ER38" i="8" s="1"/>
  <c r="EO38" i="8" a="1"/>
  <c r="EO38" i="8" s="1"/>
  <c r="EP39" i="8" s="1"/>
  <c r="EP38" i="8" a="1"/>
  <c r="EP38" i="8" s="1"/>
  <c r="EO35" i="8" a="1"/>
  <c r="EO35" i="8" s="1"/>
  <c r="EN38" i="8" a="1"/>
  <c r="EN38" i="8" s="1"/>
  <c r="ER35" i="8" a="1"/>
  <c r="ER35" i="8" s="1"/>
  <c r="ER34" i="8" a="1"/>
  <c r="ER34" i="8" s="1"/>
  <c r="ER39" i="8" a="1"/>
  <c r="ER39" i="8" s="1"/>
  <c r="ER36" i="8" a="1"/>
  <c r="ER36" i="8" s="1"/>
  <c r="EN33" i="8"/>
  <c r="ES33" i="8" a="1"/>
  <c r="ES33" i="8" s="1"/>
  <c r="EN42" i="8"/>
  <c r="EO42" i="8" a="1"/>
  <c r="EO44" i="8" a="1"/>
  <c r="EO41" i="8" a="1"/>
  <c r="EO41" i="8" l="1"/>
  <c r="EO44" i="8"/>
  <c r="EN47" i="8" s="1"/>
  <c r="EO42" i="8"/>
  <c r="EK47" i="8" a="1"/>
  <c r="EK47" i="8" s="1"/>
  <c r="EI46" i="8" a="1"/>
  <c r="EI46" i="8" s="1"/>
  <c r="EK43" i="8" a="1"/>
  <c r="EK43" i="8" s="1"/>
  <c r="EL41" i="8" a="1"/>
  <c r="EL41" i="8" s="1"/>
  <c r="EK44" i="8" a="1"/>
  <c r="EK44" i="8" s="1"/>
  <c r="EK42" i="8" a="1"/>
  <c r="EK42" i="8" s="1"/>
  <c r="EG46" i="8" a="1"/>
  <c r="EG46" i="8" s="1"/>
  <c r="EK46" i="8" a="1"/>
  <c r="EK46" i="8" s="1"/>
  <c r="EG41" i="8"/>
  <c r="EH43" i="8" a="1"/>
  <c r="EH43" i="8" s="1"/>
  <c r="EH46" i="8" a="1"/>
  <c r="EH46" i="8" s="1"/>
  <c r="EI47" i="8" s="1"/>
  <c r="EP46" i="8" l="1" a="1"/>
  <c r="EP46" i="8" s="1"/>
  <c r="EO46" i="8" a="1"/>
  <c r="EO46" i="8" s="1"/>
  <c r="EP47" i="8" s="1"/>
  <c r="EN46" i="8" a="1"/>
  <c r="EN46" i="8" s="1"/>
  <c r="EO43" i="8" a="1"/>
  <c r="EO43" i="8" s="1"/>
  <c r="ER44" i="8" a="1"/>
  <c r="ER44" i="8" s="1"/>
  <c r="ER42" i="8" a="1"/>
  <c r="ER42" i="8" s="1"/>
  <c r="ES41" i="8" a="1"/>
  <c r="ES41" i="8" s="1"/>
  <c r="EN41" i="8"/>
  <c r="ER47" i="8" a="1"/>
  <c r="ER47" i="8" s="1"/>
  <c r="ER43" i="8" a="1"/>
  <c r="ER43" i="8" s="1"/>
  <c r="ER46" i="8" a="1"/>
  <c r="ER46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<sst xmlns="http://schemas.openxmlformats.org/spreadsheetml/2006/main" count="2010" uniqueCount="825">
  <si>
    <t>＊＊＊</t>
  </si>
  <si>
    <t>数出表</t>
  </si>
  <si>
    <t>日付 令和07年06月18日</t>
  </si>
  <si>
    <t>水曜日</t>
  </si>
  <si>
    <t>上段：園児、下段：先生</t>
  </si>
  <si>
    <t>作成日</t>
  </si>
  <si>
    <t>2025年5月22日 PAGE</t>
  </si>
  <si>
    <t>1</t>
  </si>
  <si>
    <t>キャラ弁（学食）</t>
  </si>
  <si>
    <t>キャラ弁当</t>
  </si>
  <si>
    <t>赤</t>
  </si>
  <si>
    <t>ｷｬﾗ パン</t>
  </si>
  <si>
    <t>カレー</t>
  </si>
  <si>
    <t>ピクニック配膳スマ</t>
  </si>
  <si>
    <t>おやつ</t>
  </si>
  <si>
    <t>園名</t>
  </si>
  <si>
    <t>飯あり</t>
  </si>
  <si>
    <t>おにぎり</t>
  </si>
  <si>
    <t>飯なし</t>
  </si>
  <si>
    <t>100</t>
  </si>
  <si>
    <t>150</t>
  </si>
  <si>
    <t>120</t>
  </si>
  <si>
    <t>三角</t>
  </si>
  <si>
    <t>半俵</t>
  </si>
  <si>
    <t>5100</t>
  </si>
  <si>
    <t>131</t>
  </si>
  <si>
    <t>58</t>
  </si>
  <si>
    <t>ｱﾚ小4/大2</t>
  </si>
  <si>
    <t>雙葉小学校 ①</t>
  </si>
  <si>
    <t>5102</t>
  </si>
  <si>
    <t>8</t>
  </si>
  <si>
    <t>現金集金あり（個数未定）</t>
  </si>
  <si>
    <t>雙葉小学校 先生</t>
  </si>
  <si>
    <t>2503</t>
  </si>
  <si>
    <t>4</t>
  </si>
  <si>
    <t>天照幼稚園 うさぎ組</t>
  </si>
  <si>
    <t>2</t>
  </si>
  <si>
    <t>19700</t>
  </si>
  <si>
    <t>9</t>
  </si>
  <si>
    <t>なないろキッズ</t>
  </si>
  <si>
    <t>200</t>
  </si>
  <si>
    <t>52</t>
  </si>
  <si>
    <t>別メニュー 牛乳200ｍｌ</t>
  </si>
  <si>
    <t>先生おにぎりパック付き</t>
  </si>
  <si>
    <t>博多南幼稚園 週3ｺｰｽ</t>
  </si>
  <si>
    <t>15</t>
  </si>
  <si>
    <t>206</t>
  </si>
  <si>
    <t>185</t>
  </si>
  <si>
    <t>別メニュー 牛乳200ｍｌ付</t>
  </si>
  <si>
    <t>博多南幼稚園 週5ｺｰｽ</t>
  </si>
  <si>
    <t>207</t>
  </si>
  <si>
    <t>博多南幼稚園（補助教員）</t>
  </si>
  <si>
    <t>5</t>
  </si>
  <si>
    <t>400</t>
  </si>
  <si>
    <t>140</t>
  </si>
  <si>
    <t>博多中央幼稚園 週3ｺｰｽ</t>
  </si>
  <si>
    <t>19</t>
  </si>
  <si>
    <t>406</t>
  </si>
  <si>
    <t>171</t>
  </si>
  <si>
    <t>博多中央幼稚園 週5ｺｰｽ</t>
  </si>
  <si>
    <t>407</t>
  </si>
  <si>
    <t>博多中央幼稚園（補助教員）</t>
  </si>
  <si>
    <t>500</t>
  </si>
  <si>
    <t>69</t>
  </si>
  <si>
    <t>博多幼稚園 週3ｺｰｽ</t>
  </si>
  <si>
    <t>22</t>
  </si>
  <si>
    <t>506</t>
  </si>
  <si>
    <t>354</t>
  </si>
  <si>
    <t>博多幼稚園 週5ｺｰｽ</t>
  </si>
  <si>
    <t>507</t>
  </si>
  <si>
    <t>博多幼稚園（補助教員）</t>
  </si>
  <si>
    <t>11</t>
  </si>
  <si>
    <t>13000</t>
  </si>
  <si>
    <t>57</t>
  </si>
  <si>
    <t>牛乳1Ｌ×6本 カップ</t>
  </si>
  <si>
    <t>奈良屋幼稚園</t>
  </si>
  <si>
    <t>13002</t>
  </si>
  <si>
    <t>奈良屋幼稚園 奥田様</t>
  </si>
  <si>
    <t>13004</t>
  </si>
  <si>
    <t>奈良屋幼稚園 先生</t>
  </si>
  <si>
    <t>16300</t>
  </si>
  <si>
    <t>スマイルキッズ</t>
  </si>
  <si>
    <t>600</t>
  </si>
  <si>
    <t>109</t>
  </si>
  <si>
    <t>博多第一幼稚園 週3ｺｰｽ</t>
  </si>
  <si>
    <t>16</t>
  </si>
  <si>
    <t>606</t>
  </si>
  <si>
    <t>231</t>
  </si>
  <si>
    <t>博多第一幼稚園 週5ｺｰｽ</t>
  </si>
  <si>
    <t>607</t>
  </si>
  <si>
    <t>博多第一幼稚園（補助教員）</t>
  </si>
  <si>
    <t>12</t>
  </si>
  <si>
    <t>700</t>
  </si>
  <si>
    <t>ピクアレ0 10：00まで納品</t>
  </si>
  <si>
    <t>博多第二幼稚園 週3ｺｰｽ</t>
  </si>
  <si>
    <t>13</t>
  </si>
  <si>
    <t>706</t>
  </si>
  <si>
    <t>103</t>
  </si>
  <si>
    <t>35</t>
  </si>
  <si>
    <t>ピクアレ2（とりあえず） 10：00まで納品</t>
  </si>
  <si>
    <t>博多第二幼稚園 週5ｺｰｽ</t>
  </si>
  <si>
    <t>707</t>
  </si>
  <si>
    <t>博多第二幼稚園（補助教員）</t>
  </si>
  <si>
    <t>2100</t>
  </si>
  <si>
    <t>76</t>
  </si>
  <si>
    <t>42</t>
  </si>
  <si>
    <t>志免幼稚園</t>
  </si>
  <si>
    <t>2200</t>
  </si>
  <si>
    <t>216</t>
  </si>
  <si>
    <t>先生+2</t>
  </si>
  <si>
    <t>志免中央幼稚園</t>
  </si>
  <si>
    <t>31</t>
  </si>
  <si>
    <t>17600</t>
  </si>
  <si>
    <t>10</t>
  </si>
  <si>
    <t>アレ</t>
  </si>
  <si>
    <t>シャインスターキッズ</t>
  </si>
  <si>
    <t>18500</t>
  </si>
  <si>
    <t>ｱﾚ</t>
  </si>
  <si>
    <t>ことばの森プリスクール</t>
  </si>
  <si>
    <t>8000</t>
  </si>
  <si>
    <t>23</t>
  </si>
  <si>
    <t>かしはら幼稚園</t>
  </si>
  <si>
    <t>20200</t>
  </si>
  <si>
    <t>さらやま保育園</t>
  </si>
  <si>
    <t>7200</t>
  </si>
  <si>
    <t>ひよこ保育園</t>
  </si>
  <si>
    <t>5900</t>
  </si>
  <si>
    <t>リリィ保育園</t>
  </si>
  <si>
    <t>7100</t>
  </si>
  <si>
    <t>ｱﾚ0</t>
  </si>
  <si>
    <t>バディ博多南校</t>
  </si>
  <si>
    <t>7103</t>
  </si>
  <si>
    <t>25</t>
  </si>
  <si>
    <t>おかわり用保温箱2K×1</t>
  </si>
  <si>
    <t>バディ博多南校2号</t>
  </si>
  <si>
    <t>16800</t>
  </si>
  <si>
    <t>98</t>
  </si>
  <si>
    <t>先生+1（実）</t>
  </si>
  <si>
    <t>宝幼稚園</t>
  </si>
  <si>
    <t>3</t>
  </si>
  <si>
    <t>11600</t>
  </si>
  <si>
    <t>87</t>
  </si>
  <si>
    <t>7</t>
  </si>
  <si>
    <t>須玖幼稚園</t>
  </si>
  <si>
    <t>1600</t>
  </si>
  <si>
    <t>133</t>
  </si>
  <si>
    <t>ﾌﾟﾁｺﾝｸ 唐揚げ 予備3込み</t>
  </si>
  <si>
    <t>南ヶ丘幼稚園 ③</t>
  </si>
  <si>
    <t>14</t>
  </si>
  <si>
    <t>1700</t>
  </si>
  <si>
    <t>南ヶ丘第二幼稚園 ③</t>
  </si>
  <si>
    <t>20</t>
  </si>
  <si>
    <t>1800</t>
  </si>
  <si>
    <t>104</t>
  </si>
  <si>
    <t>月の浦幼稚園 ③</t>
  </si>
  <si>
    <t>7800</t>
  </si>
  <si>
    <t>136</t>
  </si>
  <si>
    <t>大野南幼稚園</t>
  </si>
  <si>
    <t>17</t>
  </si>
  <si>
    <t>12900</t>
  </si>
  <si>
    <t>6</t>
  </si>
  <si>
    <t>児童発達支援 いろは そうり</t>
  </si>
  <si>
    <t>12910</t>
  </si>
  <si>
    <t>児童発達支援 いろは</t>
  </si>
  <si>
    <t>19800</t>
  </si>
  <si>
    <t>すてっぷ</t>
  </si>
  <si>
    <t>19900</t>
  </si>
  <si>
    <t>イーズィピーズィー</t>
  </si>
  <si>
    <t>8100</t>
  </si>
  <si>
    <t>269</t>
  </si>
  <si>
    <t>おかわり用保温箱1.5Ｋ×1</t>
  </si>
  <si>
    <t>香蘭幼稚園 ②</t>
  </si>
  <si>
    <t>26</t>
  </si>
  <si>
    <t>13900</t>
  </si>
  <si>
    <t>大濠ｷﾝﾀﾞｰｶﾞｰﾃﾝ</t>
  </si>
  <si>
    <t>18900</t>
  </si>
  <si>
    <t>イングリッシュスク―ル</t>
  </si>
  <si>
    <t>14700</t>
  </si>
  <si>
    <t>アレ2</t>
  </si>
  <si>
    <t>アメリカンチャターボックス</t>
  </si>
  <si>
    <t>19100</t>
  </si>
  <si>
    <t>スープ付き</t>
  </si>
  <si>
    <t>コーナーズインターナショナル</t>
  </si>
  <si>
    <t>7000</t>
  </si>
  <si>
    <t>バディ筑紫野校</t>
  </si>
  <si>
    <t>7003</t>
  </si>
  <si>
    <t>71</t>
  </si>
  <si>
    <t>バディ筑紫野校2号</t>
  </si>
  <si>
    <t>7010</t>
  </si>
  <si>
    <t>バディアカデミー</t>
  </si>
  <si>
    <t>4700</t>
  </si>
  <si>
    <t>新日本10/ニシム電子7</t>
  </si>
  <si>
    <t>はたなか</t>
  </si>
  <si>
    <t>4800</t>
  </si>
  <si>
    <t>社食</t>
  </si>
  <si>
    <t>30001</t>
  </si>
  <si>
    <t>白ごはん34K（6K×3、4K×4）</t>
  </si>
  <si>
    <t>セントラル はこぶね</t>
  </si>
  <si>
    <t>800</t>
  </si>
  <si>
    <t>151</t>
  </si>
  <si>
    <t>ｱﾚ6</t>
  </si>
  <si>
    <t>吉塚ゆりの樹幼稚園</t>
  </si>
  <si>
    <t>802</t>
  </si>
  <si>
    <t>吉塚ゆりの樹幼稚園（別）</t>
  </si>
  <si>
    <t>805</t>
  </si>
  <si>
    <t>101</t>
  </si>
  <si>
    <t>ｱﾚ2</t>
  </si>
  <si>
    <t>吉塚ゆりの樹 ママ ①</t>
  </si>
  <si>
    <t>40000</t>
  </si>
  <si>
    <t>くま皿200枚・ミッフィー10枚</t>
  </si>
  <si>
    <t>スマイルぶろっこりー</t>
  </si>
  <si>
    <t>40100</t>
  </si>
  <si>
    <t>130</t>
  </si>
  <si>
    <t>泉ヶ丘幼稚園</t>
  </si>
  <si>
    <t>40102</t>
  </si>
  <si>
    <t>泉ヶ丘幼稚園ぺんぎん組</t>
  </si>
  <si>
    <t>40200</t>
  </si>
  <si>
    <t>春日小鳩幼稚園</t>
  </si>
  <si>
    <t>18</t>
  </si>
  <si>
    <t>40250</t>
  </si>
  <si>
    <t>178</t>
  </si>
  <si>
    <t>かなやま幼稚園</t>
  </si>
  <si>
    <t>40300</t>
  </si>
  <si>
    <t>アレ1</t>
  </si>
  <si>
    <t>GREEN HILLSほいくえん</t>
  </si>
  <si>
    <t>40350</t>
  </si>
  <si>
    <t>123</t>
  </si>
  <si>
    <t>山王幼稚園</t>
  </si>
  <si>
    <t>40400</t>
  </si>
  <si>
    <t>172</t>
  </si>
  <si>
    <t>アイスクール幼稚園</t>
  </si>
  <si>
    <t>10000</t>
  </si>
  <si>
    <t>10001</t>
  </si>
  <si>
    <t>10002</t>
  </si>
  <si>
    <t>66</t>
  </si>
  <si>
    <t>1,364</t>
  </si>
  <si>
    <t>852</t>
  </si>
  <si>
    <t>49</t>
  </si>
  <si>
    <t>430</t>
  </si>
  <si>
    <t>237</t>
  </si>
  <si>
    <t>443</t>
  </si>
  <si>
    <t>854</t>
  </si>
  <si>
    <t>【合計】 4,904</t>
  </si>
  <si>
    <t>106</t>
  </si>
  <si>
    <t>111</t>
  </si>
  <si>
    <t>45</t>
  </si>
  <si>
    <t>84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</si>
  <si>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</si>
  <si>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</si>
  <si>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</si>
  <si>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</si>
  <si>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</si>
  <si>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</si>
  <si>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</si>
  <si>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ニシム</t>
  </si>
  <si>
    <t>新日本製薬</t>
  </si>
  <si>
    <t>配送</t>
  </si>
  <si>
    <t>先生用</t>
  </si>
  <si>
    <t>IF(COUNTIF(C1,"*①*"),1,
IF(COUNTIF(C1,"*②*"),2,
IF(COUNTIF(C1,"*③*"),3,
IF(COUNTIF(C1,"*④*"),4,
IF(COUNTIF(C1,"*⑤*"),5,
IF(COUNTIF(C1,"*⑥*"),6,
IF(COUNTIF(C1,"*⑦*"),7,
IF(COUNTIF(C1,"*⑧*"),8,
IF(COUNTIF(C1,"*⑨*"),9,0)))))))))</t>
  </si>
  <si>
    <t>.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</si>
  <si>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</si>
  <si>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</si>
  <si>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</si>
  <si>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</si>
  <si>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</si>
  <si>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</si>
  <si>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</si>
  <si>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</si>
  <si>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</si>
  <si>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</si>
  <si>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</si>
  <si>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</si>
  <si>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</si>
  <si>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</si>
  <si>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</si>
  <si>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</si>
  <si>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</si>
  <si>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</si>
  <si>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</si>
  <si>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</si>
  <si>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</si>
  <si>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</si>
  <si>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</si>
  <si>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</si>
  <si>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</si>
  <si>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</si>
  <si>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</si>
  <si>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</si>
  <si>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</si>
  <si>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</si>
  <si>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</si>
  <si>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</si>
  <si>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</si>
  <si>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</si>
  <si>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</si>
  <si>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</si>
  <si>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</si>
  <si>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</si>
  <si>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</si>
  <si>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</si>
  <si>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</si>
  <si>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</si>
  <si>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</si>
  <si>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</si>
  <si>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</si>
  <si>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</si>
  <si>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</si>
  <si>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</si>
  <si>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</si>
  <si>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</si>
  <si>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</si>
  <si>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</si>
  <si>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</si>
  <si>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</si>
  <si>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</si>
  <si>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</si>
  <si>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</si>
  <si>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</si>
  <si>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</si>
  <si>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</si>
  <si>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</si>
  <si>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</si>
  <si>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</si>
  <si>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</si>
  <si>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</si>
  <si>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ｷｬﾗ　パン　</t>
  </si>
  <si>
    <t>ｷｬﾗ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</si>
  <si>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</si>
  <si>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</si>
  <si>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</si>
  <si>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</si>
  <si>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</si>
  <si>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</si>
  <si>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</si>
  <si>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</si>
  <si>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</si>
  <si>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</si>
  <si>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</si>
  <si>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</si>
  <si>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</si>
  <si>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</si>
  <si>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</si>
  <si>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</si>
  <si>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</si>
  <si>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</si>
  <si>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</si>
  <si>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</si>
  <si>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</si>
  <si>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</si>
  <si>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</si>
  <si>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</si>
  <si>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</si>
  <si>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</si>
  <si>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</si>
  <si>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</si>
  <si>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</si>
  <si>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</si>
  <si>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</si>
  <si>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</si>
  <si>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</si>
  <si>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</si>
  <si>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</si>
  <si>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</si>
  <si>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</si>
  <si>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</si>
  <si>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</si>
  <si>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</si>
  <si>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</si>
  <si>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</si>
  <si>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</si>
  <si>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</si>
  <si>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</si>
  <si>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</si>
  <si>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</si>
  <si>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</si>
  <si>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</si>
  <si>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</si>
  <si>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</si>
  <si>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</si>
  <si>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</si>
  <si>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</si>
  <si>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</si>
  <si>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</si>
  <si>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</si>
  <si>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</si>
  <si>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</si>
  <si>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</si>
  <si>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</si>
  <si>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</si>
  <si>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</si>
  <si>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</si>
  <si>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</si>
  <si>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</si>
  <si>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</si>
  <si>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</si>
  <si>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</si>
  <si>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</si>
  <si>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</si>
  <si>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</si>
  <si>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</si>
  <si>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</si>
  <si>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</si>
  <si>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</si>
  <si>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</si>
  <si>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</si>
  <si>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</si>
  <si>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</si>
  <si>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</si>
  <si>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</si>
  <si>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</si>
  <si>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</si>
  <si>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</si>
  <si>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</si>
  <si>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</si>
  <si>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</si>
  <si>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</si>
  <si>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</si>
  <si>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</si>
  <si>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</si>
  <si>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</si>
  <si>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</si>
  <si>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</si>
  <si>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</si>
  <si>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</si>
  <si>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</si>
  <si>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</si>
  <si>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</si>
  <si>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</si>
  <si>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</si>
  <si>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</si>
  <si>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</si>
  <si>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</si>
  <si>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</si>
  <si>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</si>
  <si>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</si>
  <si>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</si>
  <si>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</si>
  <si>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</si>
  <si>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</si>
  <si>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</si>
  <si>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</si>
  <si>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</si>
  <si>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</si>
  <si>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</si>
  <si>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</si>
  <si>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</si>
  <si>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</si>
  <si>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</si>
  <si>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</si>
  <si>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</si>
  <si>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</si>
  <si>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</si>
  <si>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</si>
  <si>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</si>
  <si>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</si>
  <si>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</si>
  <si>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</si>
  <si>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</si>
  <si>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</si>
  <si>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</si>
  <si>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</si>
  <si>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</si>
  <si>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</si>
  <si>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</si>
  <si>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</si>
  <si>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</si>
  <si>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</si>
  <si>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</si>
  <si>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</si>
  <si>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</si>
  <si>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</si>
  <si>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</si>
  <si>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</si>
  <si>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</si>
  <si>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</si>
  <si>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</si>
  <si>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</si>
  <si>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</si>
  <si>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</si>
  <si>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</si>
  <si>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</si>
  <si>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</si>
  <si>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</si>
  <si>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</si>
  <si>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</si>
  <si>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</si>
  <si>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</si>
  <si>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</si>
  <si>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</si>
  <si>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</si>
  <si>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</si>
  <si>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</si>
  <si>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</si>
  <si>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</si>
  <si>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</si>
  <si>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</si>
  <si>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</si>
  <si>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</si>
  <si>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</si>
  <si>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</si>
  <si>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</si>
  <si>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</si>
  <si>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</si>
  <si>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</si>
  <si>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</si>
  <si>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</si>
  <si>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</si>
  <si>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</si>
  <si>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</si>
  <si>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</si>
  <si>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</si>
  <si>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</si>
  <si>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</si>
  <si>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</si>
  <si>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</si>
  <si>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</si>
  <si>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</si>
  <si>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</si>
  <si>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</si>
  <si>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</si>
  <si>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</si>
  <si>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</si>
  <si>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</si>
  <si>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</si>
  <si>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</si>
  <si>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</si>
  <si>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</si>
  <si>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</si>
  <si>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</si>
  <si>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</si>
  <si>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</si>
  <si>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</si>
  <si>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</si>
  <si>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</si>
  <si>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</si>
  <si>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</si>
  <si>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</si>
  <si>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</si>
  <si>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</si>
  <si>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</si>
  <si>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</si>
  <si>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</si>
  <si>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</si>
  <si>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</si>
  <si>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</si>
  <si>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</si>
  <si>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</si>
  <si>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</si>
  <si>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</si>
  <si>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</si>
  <si>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</si>
  <si>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</si>
  <si>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</si>
  <si>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</si>
  <si>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</si>
  <si>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</si>
  <si>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</si>
  <si>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</si>
  <si>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</si>
  <si>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</si>
  <si>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</si>
  <si>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</si>
  <si>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</si>
  <si>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</si>
  <si>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</si>
  <si>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</si>
  <si>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</si>
  <si>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</si>
  <si>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</si>
  <si>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</si>
  <si>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</si>
  <si>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</si>
  <si>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</si>
  <si>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</si>
  <si>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</si>
  <si>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</si>
  <si>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</si>
  <si>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</si>
  <si>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</si>
  <si>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</si>
  <si>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</si>
  <si>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</si>
  <si>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</si>
  <si>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</si>
  <si>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</si>
  <si>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</si>
  <si>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</si>
  <si>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</si>
  <si>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</si>
  <si>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</si>
  <si>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</si>
  <si>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</si>
  <si>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</si>
  <si>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</si>
  <si>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</si>
  <si>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</si>
  <si>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</si>
  <si>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</si>
  <si>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</si>
  <si>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</si>
  <si>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</si>
  <si>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</si>
  <si>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</si>
  <si>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</si>
  <si>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</si>
  <si>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</si>
  <si>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</si>
  <si>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</si>
  <si>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</si>
  <si>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</si>
  <si>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</si>
  <si>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</si>
  <si>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</si>
  <si>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</si>
  <si>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</si>
  <si>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</si>
  <si>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</si>
  <si>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</si>
  <si>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</si>
  <si>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</si>
  <si>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</si>
  <si>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</si>
  <si>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</si>
  <si>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</si>
  <si>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</si>
  <si>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</si>
  <si>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</si>
  <si>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</si>
  <si>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</si>
  <si>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</si>
  <si>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</si>
  <si>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</si>
  <si>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</si>
  <si>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</si>
  <si>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</si>
  <si>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</si>
  <si>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</si>
  <si>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</si>
  <si>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</si>
  <si>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</si>
  <si>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</si>
  <si>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</si>
  <si>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</si>
  <si>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</si>
  <si>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</si>
  <si>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</si>
  <si>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</si>
  <si>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</si>
  <si>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</si>
  <si>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</si>
  <si>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</si>
  <si>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</si>
  <si>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</si>
  <si>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</si>
  <si>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</si>
  <si>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</si>
  <si>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</si>
  <si>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</si>
  <si>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</si>
  <si>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</si>
  <si>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</si>
  <si>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</si>
  <si>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</si>
  <si>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</si>
  <si>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</si>
  <si>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</si>
  <si>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食育園児用うどん</t>
  </si>
  <si>
    <t>食育うどん</t>
  </si>
  <si>
    <t>スープ用保温箱</t>
  </si>
  <si>
    <t>食育先生用うどん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</si>
  <si>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</si>
  <si>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</si>
  <si>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</si>
  <si>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</si>
  <si>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</si>
  <si>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</si>
  <si>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</si>
  <si>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</si>
  <si>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</si>
  <si>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</si>
  <si>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</si>
  <si>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</si>
  <si>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</si>
  <si>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</si>
  <si>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</si>
  <si>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</si>
  <si>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</si>
  <si>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</si>
  <si>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</si>
  <si>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</si>
  <si>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</si>
  <si>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</si>
  <si>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</si>
  <si>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</si>
  <si>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</si>
  <si>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</si>
  <si>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</si>
  <si>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</si>
  <si>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</si>
  <si>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</si>
  <si>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</si>
  <si>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</si>
  <si>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</si>
  <si>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</si>
  <si>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</si>
  <si>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</si>
  <si>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</si>
  <si>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</si>
  <si>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</si>
  <si>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</si>
  <si>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</si>
  <si>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</si>
  <si>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</si>
  <si>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</si>
  <si>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</si>
  <si>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</si>
  <si>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</si>
  <si>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</si>
  <si>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</si>
  <si>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</si>
  <si>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</si>
  <si>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</si>
  <si>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</si>
  <si>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</si>
  <si>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</si>
  <si>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</si>
  <si>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</si>
  <si>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</si>
  <si>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</si>
  <si>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</si>
  <si>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</si>
  <si>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</si>
  <si>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</si>
  <si>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</si>
  <si>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</si>
  <si>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</si>
  <si>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</si>
  <si>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</si>
  <si>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</si>
  <si>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</si>
  <si>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</si>
  <si>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</si>
  <si>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</si>
  <si>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</si>
  <si>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</si>
  <si>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</si>
  <si>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</si>
  <si>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</si>
  <si>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</si>
  <si>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</si>
  <si>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</si>
  <si>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</si>
  <si>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</si>
  <si>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</si>
  <si>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</si>
  <si>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配膳スマ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</si>
  <si>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</si>
  <si>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</si>
  <si>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</si>
  <si>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</si>
  <si>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</si>
  <si>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</si>
  <si>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</si>
  <si>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</si>
  <si>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</si>
  <si>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</si>
  <si>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</si>
  <si>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</si>
  <si>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</si>
  <si>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</si>
  <si>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</si>
  <si>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</si>
  <si>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</si>
  <si>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</si>
  <si>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</si>
  <si>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</si>
  <si>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</si>
  <si>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</si>
  <si>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</si>
  <si>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</si>
  <si>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</si>
  <si>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</si>
  <si>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どんぶり具</t>
  </si>
  <si>
    <t>どんぶり</t>
  </si>
  <si>
    <t>どんぶり給食　先生</t>
  </si>
  <si>
    <t>容器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</si>
  <si>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</si>
  <si>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</si>
  <si>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</si>
  <si>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</si>
  <si>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</si>
  <si>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</si>
  <si>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</si>
  <si>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</si>
  <si>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</si>
  <si>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</si>
  <si>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</si>
  <si>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</si>
  <si>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</si>
  <si>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</si>
  <si>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</si>
  <si>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</si>
  <si>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</si>
  <si>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</si>
  <si>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</si>
  <si>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</si>
  <si>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</si>
  <si>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</si>
  <si>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</si>
  <si>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</si>
  <si>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</si>
  <si>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</si>
  <si>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</si>
  <si>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</si>
  <si>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</si>
  <si>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</si>
  <si>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</si>
  <si>
    <t>V</t>
    <phoneticPr fontId="1"/>
  </si>
  <si>
    <t>X</t>
    <phoneticPr fontId="1"/>
  </si>
  <si>
    <t>Z</t>
    <phoneticPr fontId="1"/>
  </si>
  <si>
    <t>AB</t>
    <phoneticPr fontId="1"/>
  </si>
  <si>
    <t>AD</t>
    <phoneticPr fontId="1"/>
  </si>
  <si>
    <t>AF</t>
    <phoneticPr fontId="1"/>
  </si>
  <si>
    <t>AH</t>
    <phoneticPr fontId="1"/>
  </si>
  <si>
    <t>AJ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</si>
</sst>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80" formatCode="0_ "/>
  </numFmts>
  <fonts count="4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28"/>
      <name val="Arial Black"/>
      <family val="2"/>
    </font>
    <font>
      <sz val="8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b/>
      <sz val="12"/>
      <color rgb="FF000000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sz val="16"/>
      <name val="HGP創英角ｺﾞｼｯｸUB"/>
      <family val="3"/>
      <charset val="128"/>
    </font>
    <font>
      <sz val="11"/>
      <color theme="1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rgb="FFFF33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72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0" xfId="0" applyFill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12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0" xfId="0" applyFont="1" applyAlignment="1"/>
    <xf numFmtId="0" fontId="6" fillId="0" borderId="13" xfId="0" applyFont="1" applyBorder="1">
      <alignment vertical="center"/>
    </xf>
    <xf numFmtId="0" fontId="12" fillId="0" borderId="2" xfId="0" applyFont="1" applyBorder="1">
      <alignment vertical="center"/>
    </xf>
    <xf numFmtId="0" fontId="12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3" fillId="0" borderId="0" xfId="0" applyFont="1" applyAlignment="1"/>
    <xf numFmtId="0" fontId="8" fillId="0" borderId="0" xfId="0" applyFont="1">
      <alignment vertical="center"/>
    </xf>
    <xf numFmtId="0" fontId="13" fillId="0" borderId="11" xfId="0" applyFont="1" applyBorder="1" applyAlignment="1"/>
    <xf numFmtId="0" fontId="7" fillId="0" borderId="0" xfId="0" applyFont="1" applyAlignment="1">
      <alignment horizontal="left" vertical="center"/>
    </xf>
    <xf numFmtId="0" fontId="13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14" fillId="0" borderId="0" xfId="0" applyFont="1" applyAlignment="1"/>
    <xf numFmtId="0" fontId="8" fillId="0" borderId="11" xfId="0" applyFont="1" applyBorder="1" applyAlignment="1">
      <alignment vertical="top"/>
    </xf>
    <xf numFmtId="0" fontId="15" fillId="0" borderId="0" xfId="0" applyFont="1" applyAlignment="1"/>
    <xf numFmtId="0" fontId="16" fillId="0" borderId="12" xfId="0" applyFont="1" applyBorder="1" applyAlignment="1">
      <alignment horizontal="left" vertical="center"/>
    </xf>
    <xf numFmtId="0" fontId="16" fillId="0" borderId="12" xfId="0" applyFont="1" applyBorder="1">
      <alignment vertical="center"/>
    </xf>
    <xf numFmtId="0" fontId="16" fillId="0" borderId="0" xfId="0" applyFont="1" applyAlignment="1"/>
    <xf numFmtId="0" fontId="2" fillId="0" borderId="8" xfId="0" applyFont="1" applyBorder="1" applyAlignment="1">
      <alignment horizontal="center"/>
    </xf>
    <xf numFmtId="0" fontId="17" fillId="0" borderId="6" xfId="0" applyFont="1" applyBorder="1">
      <alignment vertical="center"/>
    </xf>
    <xf numFmtId="0" fontId="0" fillId="0" borderId="15" xfId="0" applyBorder="1" applyAlignme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/>
    </xf>
    <xf numFmtId="176" fontId="16" fillId="0" borderId="0" xfId="0" applyNumberFormat="1" applyFont="1" applyAlignment="1">
      <alignment horizontal="right" vertical="center"/>
    </xf>
    <xf numFmtId="0" fontId="19" fillId="0" borderId="0" xfId="0" applyFont="1" applyAlignment="1"/>
    <xf numFmtId="0" fontId="11" fillId="0" borderId="0" xfId="0" applyFont="1" applyAlignment="1"/>
    <xf numFmtId="0" fontId="21" fillId="0" borderId="0" xfId="0" applyFont="1" applyAlignment="1"/>
    <xf numFmtId="0" fontId="21" fillId="0" borderId="6" xfId="0" applyFont="1" applyBorder="1">
      <alignment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176" fontId="21" fillId="7" borderId="0" xfId="0" applyNumberFormat="1" applyFont="1" applyFill="1">
      <alignment vertical="center"/>
    </xf>
    <xf numFmtId="0" fontId="21" fillId="0" borderId="11" xfId="0" applyFont="1" applyBorder="1" applyAlignment="1"/>
    <xf numFmtId="0" fontId="21" fillId="0" borderId="0" xfId="0" applyFont="1" applyAlignment="1">
      <alignment wrapText="1"/>
    </xf>
    <xf numFmtId="176" fontId="21" fillId="0" borderId="0" xfId="0" applyNumberFormat="1" applyFont="1" applyAlignment="1">
      <alignment horizontal="right" vertical="center"/>
    </xf>
    <xf numFmtId="0" fontId="21" fillId="0" borderId="11" xfId="0" applyFont="1" applyBorder="1">
      <alignment vertical="center"/>
    </xf>
    <xf numFmtId="0" fontId="22" fillId="0" borderId="0" xfId="0" applyFont="1" applyAlignment="1"/>
    <xf numFmtId="0" fontId="22" fillId="0" borderId="11" xfId="0" applyFont="1" applyBorder="1">
      <alignment vertical="center"/>
    </xf>
    <xf numFmtId="0" fontId="22" fillId="0" borderId="0" xfId="0" applyFont="1">
      <alignment vertical="center"/>
    </xf>
    <xf numFmtId="0" fontId="22" fillId="0" borderId="9" xfId="0" applyFont="1" applyBorder="1">
      <alignment vertical="center"/>
    </xf>
    <xf numFmtId="0" fontId="21" fillId="0" borderId="11" xfId="0" applyFont="1" applyBorder="1" applyAlignment="1">
      <alignment vertical="top"/>
    </xf>
    <xf numFmtId="0" fontId="21" fillId="0" borderId="12" xfId="0" applyFont="1" applyBorder="1">
      <alignment vertical="center"/>
    </xf>
    <xf numFmtId="0" fontId="1" fillId="0" borderId="8" xfId="0" applyFont="1" applyBorder="1">
      <alignment vertical="center"/>
    </xf>
    <xf numFmtId="0" fontId="1" fillId="0" borderId="12" xfId="0" applyFont="1" applyBorder="1" applyAlignment="1">
      <alignment horizontal="left" vertical="center"/>
    </xf>
    <xf numFmtId="0" fontId="1" fillId="0" borderId="12" xfId="0" applyFont="1" applyBorder="1">
      <alignment vertical="center"/>
    </xf>
    <xf numFmtId="0" fontId="1" fillId="0" borderId="0" xfId="0" applyFont="1" applyAlignment="1"/>
    <xf numFmtId="0" fontId="24" fillId="0" borderId="8" xfId="0" applyFont="1" applyBorder="1">
      <alignment vertical="center"/>
    </xf>
    <xf numFmtId="0" fontId="24" fillId="0" borderId="12" xfId="0" applyFont="1" applyBorder="1" applyAlignment="1">
      <alignment horizontal="left" vertical="center"/>
    </xf>
    <xf numFmtId="0" fontId="24" fillId="0" borderId="12" xfId="0" applyFont="1" applyBorder="1">
      <alignment vertical="center"/>
    </xf>
    <xf numFmtId="0" fontId="24" fillId="0" borderId="10" xfId="0" applyFont="1" applyBorder="1">
      <alignment vertical="center"/>
    </xf>
    <xf numFmtId="0" fontId="24" fillId="0" borderId="0" xfId="0" applyFont="1" applyAlignment="1"/>
    <xf numFmtId="0" fontId="22" fillId="2" borderId="0" xfId="0" applyFont="1" applyFill="1">
      <alignment vertical="center"/>
    </xf>
    <xf numFmtId="0" fontId="22" fillId="2" borderId="0" xfId="0" applyFont="1" applyFill="1" applyAlignment="1"/>
    <xf numFmtId="0" fontId="6" fillId="0" borderId="0" xfId="0" applyFont="1" applyAlignment="1"/>
    <xf numFmtId="0" fontId="22" fillId="8" borderId="0" xfId="0" applyFont="1" applyFill="1">
      <alignment vertical="center"/>
    </xf>
    <xf numFmtId="0" fontId="22" fillId="8" borderId="0" xfId="0" applyFont="1" applyFill="1" applyAlignment="1"/>
    <xf numFmtId="0" fontId="22" fillId="8" borderId="0" xfId="0" applyFont="1" applyFill="1" applyAlignment="1">
      <alignment horizontal="right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25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5" fillId="0" borderId="3" xfId="0" applyFont="1" applyBorder="1" applyAlignment="1">
      <alignment horizontal="center" vertical="center"/>
    </xf>
    <xf numFmtId="0" fontId="22" fillId="10" borderId="0" xfId="0" applyFont="1" applyFill="1">
      <alignment vertical="center"/>
    </xf>
    <xf numFmtId="0" fontId="22" fillId="10" borderId="0" xfId="0" applyFont="1" applyFill="1" applyAlignment="1"/>
    <xf numFmtId="0" fontId="22" fillId="0" borderId="9" xfId="0" applyFont="1" applyBorder="1" applyAlignment="1">
      <alignment vertical="center" wrapText="1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10" borderId="0" xfId="0" applyFill="1">
      <alignment vertical="center"/>
    </xf>
    <xf numFmtId="0" fontId="22" fillId="11" borderId="0" xfId="0" applyFont="1" applyFill="1">
      <alignment vertical="center"/>
    </xf>
    <xf numFmtId="0" fontId="22" fillId="11" borderId="0" xfId="0" applyFont="1" applyFill="1" applyAlignment="1"/>
    <xf numFmtId="0" fontId="26" fillId="0" borderId="0" xfId="0" applyFont="1">
      <alignment vertical="center"/>
    </xf>
    <xf numFmtId="0" fontId="26" fillId="0" borderId="0" xfId="0" applyFont="1" applyAlignment="1">
      <alignment horizontal="center" vertical="center"/>
    </xf>
    <xf numFmtId="0" fontId="26" fillId="0" borderId="16" xfId="0" applyFont="1" applyBorder="1" applyAlignment="1">
      <alignment horizontal="center" vertical="center"/>
    </xf>
    <xf numFmtId="0" fontId="26" fillId="0" borderId="22" xfId="0" applyFont="1" applyBorder="1" applyAlignment="1">
      <alignment horizontal="center" vertical="center"/>
    </xf>
    <xf numFmtId="0" fontId="27" fillId="0" borderId="0" xfId="0" applyFont="1">
      <alignment vertical="center"/>
    </xf>
    <xf numFmtId="0" fontId="26" fillId="0" borderId="16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8" fillId="0" borderId="2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23" xfId="0" applyFont="1" applyBorder="1" applyAlignment="1">
      <alignment horizontal="center" vertical="center"/>
    </xf>
    <xf numFmtId="0" fontId="28" fillId="0" borderId="28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0" fontId="28" fillId="0" borderId="27" xfId="0" applyFont="1" applyBorder="1" applyAlignment="1">
      <alignment horizontal="center" vertical="center"/>
    </xf>
    <xf numFmtId="0" fontId="28" fillId="0" borderId="20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29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6" xfId="0" applyFont="1" applyBorder="1" applyAlignment="1">
      <alignment horizontal="center" vertical="center"/>
    </xf>
    <xf numFmtId="0" fontId="28" fillId="0" borderId="16" xfId="0" applyFont="1" applyBorder="1" applyAlignment="1">
      <alignment horizontal="center"/>
    </xf>
    <xf numFmtId="0" fontId="28" fillId="0" borderId="22" xfId="0" applyFont="1" applyBorder="1" applyAlignment="1">
      <alignment horizontal="center" vertical="center"/>
    </xf>
    <xf numFmtId="0" fontId="28" fillId="0" borderId="21" xfId="0" applyFont="1" applyBorder="1" applyAlignment="1">
      <alignment horizontal="center"/>
    </xf>
    <xf numFmtId="0" fontId="28" fillId="10" borderId="0" xfId="0" applyFont="1" applyFill="1" applyAlignment="1">
      <alignment horizontal="center" vertical="center"/>
    </xf>
    <xf numFmtId="0" fontId="28" fillId="10" borderId="16" xfId="0" applyFont="1" applyFill="1" applyBorder="1" applyAlignment="1">
      <alignment horizontal="center" vertical="center"/>
    </xf>
    <xf numFmtId="0" fontId="28" fillId="10" borderId="15" xfId="0" applyFont="1" applyFill="1" applyBorder="1" applyAlignment="1">
      <alignment horizontal="center" vertical="center"/>
    </xf>
    <xf numFmtId="0" fontId="28" fillId="10" borderId="22" xfId="0" applyFont="1" applyFill="1" applyBorder="1" applyAlignment="1">
      <alignment horizontal="center" vertical="center"/>
    </xf>
    <xf numFmtId="0" fontId="28" fillId="9" borderId="1" xfId="0" applyFont="1" applyFill="1" applyBorder="1" applyAlignment="1">
      <alignment horizontal="center" vertical="center"/>
    </xf>
    <xf numFmtId="0" fontId="29" fillId="7" borderId="18" xfId="0" applyFont="1" applyFill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/>
    </xf>
    <xf numFmtId="0" fontId="29" fillId="7" borderId="2" xfId="0" applyFont="1" applyFill="1" applyBorder="1" applyAlignment="1">
      <alignment horizontal="center" vertical="center"/>
    </xf>
    <xf numFmtId="0" fontId="29" fillId="7" borderId="18" xfId="0" applyFont="1" applyFill="1" applyBorder="1" applyAlignment="1">
      <alignment horizontal="center"/>
    </xf>
    <xf numFmtId="0" fontId="29" fillId="7" borderId="2" xfId="0" applyFont="1" applyFill="1" applyBorder="1" applyAlignment="1">
      <alignment horizontal="center"/>
    </xf>
    <xf numFmtId="0" fontId="29" fillId="7" borderId="28" xfId="0" applyFont="1" applyFill="1" applyBorder="1" applyAlignment="1">
      <alignment horizontal="center"/>
    </xf>
    <xf numFmtId="0" fontId="30" fillId="9" borderId="1" xfId="0" applyFont="1" applyFill="1" applyBorder="1" applyAlignment="1">
      <alignment horizontal="center" vertical="center"/>
    </xf>
    <xf numFmtId="0" fontId="31" fillId="7" borderId="18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/>
    </xf>
    <xf numFmtId="0" fontId="31" fillId="7" borderId="2" xfId="0" applyFont="1" applyFill="1" applyBorder="1" applyAlignment="1">
      <alignment horizontal="center" vertical="center"/>
    </xf>
    <xf numFmtId="0" fontId="31" fillId="7" borderId="18" xfId="0" applyFont="1" applyFill="1" applyBorder="1" applyAlignment="1">
      <alignment horizontal="center"/>
    </xf>
    <xf numFmtId="0" fontId="31" fillId="7" borderId="2" xfId="0" applyFont="1" applyFill="1" applyBorder="1" applyAlignment="1">
      <alignment horizontal="center"/>
    </xf>
    <xf numFmtId="0" fontId="31" fillId="7" borderId="28" xfId="0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28" fillId="0" borderId="21" xfId="0" applyFont="1" applyBorder="1" applyAlignment="1">
      <alignment horizontal="center" vertical="center"/>
    </xf>
    <xf numFmtId="0" fontId="32" fillId="0" borderId="6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29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29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10" fillId="0" borderId="15" xfId="0" applyFont="1" applyBorder="1" applyAlignment="1">
      <alignment horizontal="center" vertical="center"/>
    </xf>
    <xf numFmtId="0" fontId="22" fillId="0" borderId="0" xfId="0" applyFont="1" applyAlignment="1"/>
    <xf numFmtId="0" fontId="0" fillId="0" borderId="15" xfId="0" applyBorder="1" applyAlignment="1"/>
    <xf numFmtId="0" fontId="23" fillId="0" borderId="15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21" fillId="0" borderId="0" xfId="0" applyFont="1">
      <alignment vertical="center"/>
    </xf>
    <xf numFmtId="0" fontId="7" fillId="0" borderId="7" xfId="0" applyFont="1" applyBorder="1" applyAlignment="1">
      <alignment horizontal="center" vertical="center"/>
    </xf>
    <xf numFmtId="0" fontId="0" fillId="0" borderId="7" xfId="0" applyBorder="1" applyAlignment="1"/>
    <xf numFmtId="0" fontId="21" fillId="0" borderId="0" xfId="0" applyFont="1" applyAlignment="1">
      <alignment horizontal="center" vertical="center"/>
    </xf>
    <xf numFmtId="0" fontId="9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9" fillId="0" borderId="5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0" xfId="0" applyAlignment="1"/>
    <xf numFmtId="0" fontId="8" fillId="0" borderId="0" xfId="0" applyFont="1" applyAlignment="1">
      <alignment horizontal="center"/>
    </xf>
    <xf numFmtId="0" fontId="8" fillId="0" borderId="0" xfId="0" applyFont="1">
      <alignment vertical="center"/>
    </xf>
    <xf numFmtId="0" fontId="35" fillId="0" borderId="7" xfId="0" applyFont="1" applyBorder="1" applyAlignment="1">
      <alignment horizontal="left"/>
    </xf>
    <xf numFmtId="0" fontId="36" fillId="0" borderId="7" xfId="0" applyFont="1" applyBorder="1" applyAlignment="1"/>
    <xf numFmtId="180" fontId="28" fillId="0" borderId="6" xfId="0" applyNumberFormat="1" applyFont="1" applyBorder="1" applyAlignment="1">
      <alignment horizontal="center" vertical="center"/>
    </xf>
    <xf numFmtId="180" fontId="28" fillId="0" borderId="7" xfId="0" applyNumberFormat="1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180" fontId="28" fillId="0" borderId="19" xfId="0" applyNumberFormat="1" applyFont="1" applyBorder="1" applyAlignment="1">
      <alignment horizontal="center" vertical="center"/>
    </xf>
    <xf numFmtId="0" fontId="28" fillId="7" borderId="30" xfId="0" applyFont="1" applyFill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32" fillId="0" borderId="30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10" borderId="0" xfId="0" applyFont="1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7" borderId="0" xfId="0" applyFill="1">
      <alignment vertical="center"/>
    </xf>
    <xf numFmtId="0" fontId="37" fillId="0" borderId="0" xfId="0" applyFont="1">
      <alignment vertical="center"/>
    </xf>
    <xf numFmtId="0" fontId="37" fillId="0" borderId="3" xfId="0" applyFont="1" applyFill="1" applyBorder="1">
      <alignment vertical="center"/>
    </xf>
    <xf numFmtId="0" fontId="37" fillId="0" borderId="4" xfId="0" applyFont="1" applyBorder="1" applyAlignment="1">
      <alignment horizontal="center" vertical="center"/>
    </xf>
    <xf numFmtId="0" fontId="37" fillId="0" borderId="5" xfId="0" applyFont="1" applyBorder="1" applyAlignment="1">
      <alignment horizontal="center" vertical="center"/>
    </xf>
    <xf numFmtId="0" fontId="37" fillId="0" borderId="6" xfId="0" applyFont="1" applyBorder="1">
      <alignment vertical="center"/>
    </xf>
    <xf numFmtId="0" fontId="37" fillId="0" borderId="9" xfId="0" applyFont="1" applyBorder="1">
      <alignment vertical="center"/>
    </xf>
    <xf numFmtId="0" fontId="37" fillId="0" borderId="0" xfId="0" applyFont="1" applyAlignment="1"/>
    <xf numFmtId="0" fontId="37" fillId="10" borderId="0" xfId="0" applyFont="1" applyFill="1" applyAlignment="1">
      <alignment horizontal="center" vertical="center"/>
    </xf>
    <xf numFmtId="0" fontId="38" fillId="0" borderId="1" xfId="0" applyFont="1" applyBorder="1" applyAlignment="1">
      <alignment horizontal="center"/>
    </xf>
    <xf numFmtId="0" fontId="39" fillId="0" borderId="1" xfId="0" applyFont="1" applyBorder="1" applyAlignment="1">
      <alignment horizontal="center"/>
    </xf>
    <xf numFmtId="0" fontId="40" fillId="0" borderId="0" xfId="0" applyFont="1" applyAlignment="1"/>
    <xf numFmtId="0" fontId="37" fillId="0" borderId="13" xfId="0" applyFont="1" applyFill="1" applyBorder="1" applyAlignment="1">
      <alignment horizontal="left" vertical="center"/>
    </xf>
    <xf numFmtId="0" fontId="41" fillId="0" borderId="8" xfId="0" applyFont="1" applyFill="1" applyBorder="1" applyAlignment="1">
      <alignment horizontal="center" vertical="center"/>
    </xf>
    <xf numFmtId="0" fontId="42" fillId="0" borderId="2" xfId="0" applyFont="1" applyFill="1" applyBorder="1" applyAlignment="1">
      <alignment horizontal="center" vertical="center"/>
    </xf>
    <xf numFmtId="0" fontId="43" fillId="0" borderId="7" xfId="0" applyFont="1" applyFill="1" applyBorder="1" applyAlignment="1">
      <alignment horizontal="center" vertical="center"/>
    </xf>
    <xf numFmtId="0" fontId="44" fillId="0" borderId="17" xfId="0" applyFont="1" applyFill="1" applyBorder="1" applyAlignment="1">
      <alignment horizontal="right" vertical="center"/>
    </xf>
    <xf numFmtId="0" fontId="42" fillId="0" borderId="14" xfId="0" applyFont="1" applyFill="1" applyBorder="1" applyAlignment="1">
      <alignment horizontal="center" vertical="center"/>
    </xf>
    <xf numFmtId="0" fontId="42" fillId="0" borderId="23" xfId="0" applyFont="1" applyFill="1" applyBorder="1" applyAlignment="1">
      <alignment horizontal="center" vertical="center"/>
    </xf>
    <xf numFmtId="0" fontId="44" fillId="0" borderId="14" xfId="0" applyFont="1" applyFill="1" applyBorder="1" applyAlignment="1">
      <alignment horizontal="center" vertical="center"/>
    </xf>
    <xf numFmtId="0" fontId="37" fillId="0" borderId="19" xfId="0" applyFont="1" applyFill="1" applyBorder="1" applyAlignment="1">
      <alignment horizontal="center" vertical="center"/>
    </xf>
    <xf numFmtId="0" fontId="37" fillId="0" borderId="7" xfId="0" applyFont="1" applyFill="1" applyBorder="1" applyAlignment="1">
      <alignment horizontal="center" vertical="center"/>
    </xf>
    <xf numFmtId="0" fontId="37" fillId="0" borderId="14" xfId="0" applyFont="1" applyFill="1" applyBorder="1" applyAlignment="1">
      <alignment horizontal="center" vertical="center"/>
    </xf>
    <xf numFmtId="0" fontId="42" fillId="0" borderId="7" xfId="0" applyFont="1" applyFill="1" applyBorder="1" applyAlignment="1">
      <alignment horizontal="center" vertical="center"/>
    </xf>
    <xf numFmtId="0" fontId="37" fillId="0" borderId="28" xfId="0" applyFont="1" applyFill="1" applyBorder="1" applyAlignment="1">
      <alignment horizontal="center" vertical="center"/>
    </xf>
    <xf numFmtId="0" fontId="37" fillId="0" borderId="7" xfId="0" applyFont="1" applyFill="1" applyBorder="1">
      <alignment vertical="center"/>
    </xf>
    <xf numFmtId="0" fontId="37" fillId="0" borderId="8" xfId="0" applyFont="1" applyFill="1" applyBorder="1">
      <alignment vertical="center"/>
    </xf>
    <xf numFmtId="0" fontId="37" fillId="0" borderId="0" xfId="0" applyFont="1" applyFill="1">
      <alignment vertical="center"/>
    </xf>
    <xf numFmtId="0" fontId="37" fillId="0" borderId="2" xfId="0" applyFont="1" applyBorder="1" applyAlignment="1">
      <alignment horizontal="center" vertical="center"/>
    </xf>
    <xf numFmtId="0" fontId="37" fillId="0" borderId="14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7" fillId="0" borderId="23" xfId="0" applyFont="1" applyBorder="1" applyAlignment="1">
      <alignment horizontal="center" vertical="center"/>
    </xf>
    <xf numFmtId="0" fontId="43" fillId="0" borderId="18" xfId="0" applyFont="1" applyBorder="1" applyAlignment="1">
      <alignment horizontal="center" vertical="center"/>
    </xf>
    <xf numFmtId="0" fontId="45" fillId="0" borderId="2" xfId="0" applyFont="1" applyBorder="1" applyAlignment="1">
      <alignment horizontal="center" vertical="center"/>
    </xf>
    <xf numFmtId="0" fontId="45" fillId="0" borderId="18" xfId="0" applyFont="1" applyBorder="1" applyAlignment="1">
      <alignment horizontal="center" vertical="center"/>
    </xf>
    <xf numFmtId="0" fontId="45" fillId="0" borderId="28" xfId="0" applyFont="1" applyBorder="1" applyAlignment="1">
      <alignment horizontal="center" vertical="center"/>
    </xf>
    <xf numFmtId="0" fontId="37" fillId="0" borderId="14" xfId="0" applyFont="1" applyBorder="1">
      <alignment vertical="center"/>
    </xf>
    <xf numFmtId="0" fontId="37" fillId="0" borderId="2" xfId="0" applyFont="1" applyBorder="1">
      <alignment vertical="center"/>
    </xf>
    <xf numFmtId="0" fontId="37" fillId="0" borderId="0" xfId="0" applyFont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37" fillId="0" borderId="0" xfId="0" applyFont="1" applyBorder="1" applyAlignment="1">
      <alignment horizontal="center" vertical="center"/>
    </xf>
    <xf numFmtId="0" fontId="37" fillId="0" borderId="22" xfId="0" applyFont="1" applyBorder="1" applyAlignment="1">
      <alignment horizontal="center" vertical="center"/>
    </xf>
    <xf numFmtId="0" fontId="43" fillId="6" borderId="13" xfId="0" applyFont="1" applyFill="1" applyBorder="1" applyAlignment="1">
      <alignment horizontal="center" vertical="center"/>
    </xf>
    <xf numFmtId="0" fontId="43" fillId="7" borderId="28" xfId="0" applyFont="1" applyFill="1" applyBorder="1" applyAlignment="1">
      <alignment horizontal="center" vertical="center"/>
    </xf>
    <xf numFmtId="0" fontId="43" fillId="0" borderId="2" xfId="0" applyFont="1" applyBorder="1">
      <alignment vertical="center"/>
    </xf>
    <xf numFmtId="0" fontId="37" fillId="0" borderId="16" xfId="0" applyFont="1" applyBorder="1">
      <alignment vertical="center"/>
    </xf>
    <xf numFmtId="0" fontId="37" fillId="0" borderId="21" xfId="0" applyFont="1" applyBorder="1" applyAlignment="1">
      <alignment horizontal="center" vertical="center"/>
    </xf>
    <xf numFmtId="0" fontId="37" fillId="0" borderId="7" xfId="0" applyFont="1" applyBorder="1" applyAlignment="1">
      <alignment horizontal="left" vertical="center"/>
    </xf>
    <xf numFmtId="0" fontId="37" fillId="0" borderId="8" xfId="0" applyFont="1" applyBorder="1" applyAlignment="1">
      <alignment horizontal="left" vertical="center"/>
    </xf>
    <xf numFmtId="0" fontId="37" fillId="0" borderId="15" xfId="0" applyFont="1" applyBorder="1" applyAlignment="1">
      <alignment horizontal="left" vertical="center"/>
    </xf>
    <xf numFmtId="0" fontId="37" fillId="0" borderId="10" xfId="0" applyFont="1" applyBorder="1" applyAlignment="1">
      <alignment horizontal="left" vertical="center"/>
    </xf>
    <xf numFmtId="0" fontId="37" fillId="0" borderId="7" xfId="0" applyFont="1" applyBorder="1">
      <alignment vertical="center"/>
    </xf>
    <xf numFmtId="0" fontId="37" fillId="0" borderId="8" xfId="0" applyFont="1" applyBorder="1">
      <alignment vertical="center"/>
    </xf>
    <xf numFmtId="0" fontId="37" fillId="0" borderId="15" xfId="0" applyFont="1" applyBorder="1">
      <alignment vertical="center"/>
    </xf>
    <xf numFmtId="0" fontId="37" fillId="0" borderId="10" xfId="0" applyFont="1" applyBorder="1">
      <alignment vertical="center"/>
    </xf>
    <xf numFmtId="0" fontId="37" fillId="0" borderId="2" xfId="0" applyFont="1" applyBorder="1" applyAlignment="1"/>
    <xf numFmtId="0" fontId="37" fillId="0" borderId="1" xfId="0" applyFont="1" applyBorder="1" applyAlignment="1"/>
    <xf numFmtId="0" fontId="43" fillId="0" borderId="0" xfId="0" applyFont="1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167640</xdr:colOff>
          <xdr:row>0</xdr:row>
          <xdr:rowOff>76200</xdr:rowOff>
        </xdr:from>
        <xdr:to>
          <xdr:col>39</xdr:col>
          <xdr:colOff>967740</xdr:colOff>
          <xdr:row>1</xdr:row>
          <xdr:rowOff>251460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3F940FB8-832F-6A50-EA24-A19CB40A47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1165860</xdr:colOff>
          <xdr:row>0</xdr:row>
          <xdr:rowOff>60960</xdr:rowOff>
        </xdr:from>
        <xdr:to>
          <xdr:col>39</xdr:col>
          <xdr:colOff>1905000</xdr:colOff>
          <xdr:row>1</xdr:row>
          <xdr:rowOff>182880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AEBD36E3-F5DD-BFCB-D8C9-6E53405546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40"/>
  <sheetViews>
    <sheetView zoomScale="60" zoomScaleNormal="60" workbookViewId="0">
      <selection sqref="A1:XFD1048576"/>
    </sheetView>
  </sheetViews>
  <sheetFormatPr defaultRowHeight="18" x14ac:dyDescent="0.45"/>
  <sheetData>
    <row r="1" spans="1:20" x14ac:dyDescent="0.45">
      <c r="I1" t="s">
        <v>0</v>
      </c>
      <c r="K1" t="s">
        <v>1</v>
      </c>
      <c r="N1" t="s">
        <v>0</v>
      </c>
    </row>
    <row r="2" spans="1:20" x14ac:dyDescent="0.45">
      <c r="A2" t="s">
        <v>2</v>
      </c>
      <c r="B2" t="s">
        <v>3</v>
      </c>
      <c r="P2" t="s">
        <v>4</v>
      </c>
      <c r="Q2" t="s">
        <v>5</v>
      </c>
      <c r="S2" t="s">
        <v>6</v>
      </c>
      <c r="T2" t="s">
        <v>7</v>
      </c>
    </row>
    <row r="3" spans="1:20" x14ac:dyDescent="0.45">
      <c r="C3" t="s">
        <v>8</v>
      </c>
      <c r="E3" t="s">
        <v>9</v>
      </c>
      <c r="I3" t="s">
        <v>10</v>
      </c>
      <c r="L3" t="s">
        <v>11</v>
      </c>
      <c r="M3" t="s">
        <v>12</v>
      </c>
      <c r="O3" t="s">
        <v>13</v>
      </c>
      <c r="R3" t="s">
        <v>14</v>
      </c>
    </row>
    <row r="4" spans="1:20" x14ac:dyDescent="0.45">
      <c r="A4" t="s">
        <v>15</v>
      </c>
      <c r="B4" t="s">
        <v>16</v>
      </c>
      <c r="C4" t="s">
        <v>16</v>
      </c>
      <c r="D4" t="s">
        <v>16</v>
      </c>
      <c r="E4" t="s">
        <v>17</v>
      </c>
      <c r="F4" t="s">
        <v>18</v>
      </c>
      <c r="G4" t="s">
        <v>16</v>
      </c>
      <c r="H4" t="s">
        <v>16</v>
      </c>
      <c r="I4" t="s">
        <v>17</v>
      </c>
      <c r="J4" t="s">
        <v>17</v>
      </c>
      <c r="K4" t="s">
        <v>18</v>
      </c>
    </row>
    <row r="5" spans="1:20" x14ac:dyDescent="0.45">
      <c r="B5" t="s">
        <v>19</v>
      </c>
      <c r="C5" t="s">
        <v>20</v>
      </c>
      <c r="D5" t="s">
        <v>21</v>
      </c>
      <c r="E5" t="s">
        <v>22</v>
      </c>
      <c r="G5" t="s">
        <v>21</v>
      </c>
      <c r="H5" t="s">
        <v>19</v>
      </c>
      <c r="I5" t="s">
        <v>22</v>
      </c>
      <c r="J5" t="s">
        <v>23</v>
      </c>
    </row>
    <row r="6" spans="1:20" x14ac:dyDescent="0.45">
      <c r="A6" t="s">
        <v>24</v>
      </c>
      <c r="B6" t="s">
        <v>25</v>
      </c>
      <c r="C6" t="s">
        <v>26</v>
      </c>
      <c r="S6" t="s">
        <v>27</v>
      </c>
    </row>
    <row r="7" spans="1:20" x14ac:dyDescent="0.45">
      <c r="A7" t="s">
        <v>28</v>
      </c>
    </row>
    <row r="8" spans="1:20" x14ac:dyDescent="0.45">
      <c r="A8" t="s">
        <v>29</v>
      </c>
      <c r="C8" t="s">
        <v>30</v>
      </c>
      <c r="S8" t="s">
        <v>31</v>
      </c>
    </row>
    <row r="9" spans="1:20" x14ac:dyDescent="0.45">
      <c r="A9" t="s">
        <v>32</v>
      </c>
    </row>
    <row r="10" spans="1:20" x14ac:dyDescent="0.45">
      <c r="A10" t="s">
        <v>33</v>
      </c>
      <c r="G10" t="s">
        <v>34</v>
      </c>
    </row>
    <row r="11" spans="1:20" x14ac:dyDescent="0.45">
      <c r="A11" t="s">
        <v>35</v>
      </c>
      <c r="G11" t="s">
        <v>36</v>
      </c>
    </row>
    <row r="12" spans="1:20" x14ac:dyDescent="0.45">
      <c r="A12" t="s">
        <v>37</v>
      </c>
      <c r="G12" t="s">
        <v>38</v>
      </c>
    </row>
    <row r="13" spans="1:20" x14ac:dyDescent="0.45">
      <c r="A13" t="s">
        <v>39</v>
      </c>
    </row>
    <row r="14" spans="1:20" x14ac:dyDescent="0.45">
      <c r="A14" t="s">
        <v>40</v>
      </c>
      <c r="L14" t="s">
        <v>41</v>
      </c>
      <c r="S14" t="s">
        <v>42</v>
      </c>
      <c r="T14" t="s">
        <v>43</v>
      </c>
    </row>
    <row r="15" spans="1:20" x14ac:dyDescent="0.45">
      <c r="A15" t="s">
        <v>44</v>
      </c>
      <c r="L15" t="s">
        <v>45</v>
      </c>
    </row>
    <row r="16" spans="1:20" x14ac:dyDescent="0.45">
      <c r="A16" t="s">
        <v>46</v>
      </c>
      <c r="L16" t="s">
        <v>47</v>
      </c>
      <c r="S16" t="s">
        <v>48</v>
      </c>
    </row>
    <row r="17" spans="1:19" x14ac:dyDescent="0.45">
      <c r="A17" t="s">
        <v>49</v>
      </c>
    </row>
    <row r="18" spans="1:19" x14ac:dyDescent="0.45">
      <c r="A18" t="s">
        <v>50</v>
      </c>
    </row>
    <row r="19" spans="1:19" x14ac:dyDescent="0.45">
      <c r="A19" t="s">
        <v>51</v>
      </c>
      <c r="D19" t="s">
        <v>52</v>
      </c>
    </row>
    <row r="20" spans="1:19" x14ac:dyDescent="0.45">
      <c r="A20" t="s">
        <v>53</v>
      </c>
      <c r="D20" t="s">
        <v>54</v>
      </c>
    </row>
    <row r="21" spans="1:19" x14ac:dyDescent="0.45">
      <c r="A21" t="s">
        <v>55</v>
      </c>
      <c r="D21" t="s">
        <v>56</v>
      </c>
    </row>
    <row r="22" spans="1:19" x14ac:dyDescent="0.45">
      <c r="A22" t="s">
        <v>57</v>
      </c>
      <c r="D22" t="s">
        <v>58</v>
      </c>
    </row>
    <row r="23" spans="1:19" x14ac:dyDescent="0.45">
      <c r="A23" t="s">
        <v>59</v>
      </c>
    </row>
    <row r="24" spans="1:19" x14ac:dyDescent="0.45">
      <c r="A24" t="s">
        <v>60</v>
      </c>
    </row>
    <row r="25" spans="1:19" x14ac:dyDescent="0.45">
      <c r="A25" t="s">
        <v>61</v>
      </c>
      <c r="D25" t="s">
        <v>34</v>
      </c>
    </row>
    <row r="26" spans="1:19" x14ac:dyDescent="0.45">
      <c r="A26" t="s">
        <v>62</v>
      </c>
      <c r="D26" t="s">
        <v>63</v>
      </c>
    </row>
    <row r="27" spans="1:19" x14ac:dyDescent="0.45">
      <c r="A27" t="s">
        <v>64</v>
      </c>
      <c r="D27" t="s">
        <v>65</v>
      </c>
    </row>
    <row r="28" spans="1:19" x14ac:dyDescent="0.45">
      <c r="A28" t="s">
        <v>66</v>
      </c>
      <c r="D28" t="s">
        <v>67</v>
      </c>
    </row>
    <row r="29" spans="1:19" x14ac:dyDescent="0.45">
      <c r="A29" t="s">
        <v>68</v>
      </c>
    </row>
    <row r="30" spans="1:19" x14ac:dyDescent="0.45">
      <c r="A30" t="s">
        <v>69</v>
      </c>
    </row>
    <row r="31" spans="1:19" x14ac:dyDescent="0.45">
      <c r="A31" t="s">
        <v>70</v>
      </c>
      <c r="D31" t="s">
        <v>71</v>
      </c>
    </row>
    <row r="32" spans="1:19" x14ac:dyDescent="0.45">
      <c r="A32" t="s">
        <v>72</v>
      </c>
      <c r="K32" t="s">
        <v>73</v>
      </c>
      <c r="S32" t="s">
        <v>74</v>
      </c>
    </row>
    <row r="33" spans="1:19" x14ac:dyDescent="0.45">
      <c r="A33" t="s">
        <v>75</v>
      </c>
    </row>
    <row r="34" spans="1:19" x14ac:dyDescent="0.45">
      <c r="A34" t="s">
        <v>76</v>
      </c>
      <c r="K34" t="s">
        <v>7</v>
      </c>
    </row>
    <row r="35" spans="1:19" x14ac:dyDescent="0.45">
      <c r="A35" t="s">
        <v>77</v>
      </c>
    </row>
    <row r="36" spans="1:19" x14ac:dyDescent="0.45">
      <c r="A36" t="s">
        <v>78</v>
      </c>
      <c r="K36" t="s">
        <v>52</v>
      </c>
    </row>
    <row r="37" spans="1:19" x14ac:dyDescent="0.45">
      <c r="A37" t="s">
        <v>79</v>
      </c>
    </row>
    <row r="38" spans="1:19" x14ac:dyDescent="0.45">
      <c r="A38" t="s">
        <v>80</v>
      </c>
      <c r="G38" t="s">
        <v>52</v>
      </c>
    </row>
    <row r="39" spans="1:19" x14ac:dyDescent="0.45">
      <c r="A39" t="s">
        <v>81</v>
      </c>
    </row>
    <row r="40" spans="1:19" x14ac:dyDescent="0.45">
      <c r="A40" t="s">
        <v>82</v>
      </c>
      <c r="D40" t="s">
        <v>83</v>
      </c>
    </row>
    <row r="41" spans="1:19" x14ac:dyDescent="0.45">
      <c r="A41" t="s">
        <v>84</v>
      </c>
      <c r="D41" t="s">
        <v>85</v>
      </c>
    </row>
    <row r="42" spans="1:19" x14ac:dyDescent="0.45">
      <c r="A42" t="s">
        <v>86</v>
      </c>
      <c r="D42" t="s">
        <v>87</v>
      </c>
    </row>
    <row r="43" spans="1:19" x14ac:dyDescent="0.45">
      <c r="A43" t="s">
        <v>88</v>
      </c>
    </row>
    <row r="44" spans="1:19" x14ac:dyDescent="0.45">
      <c r="A44" t="s">
        <v>89</v>
      </c>
    </row>
    <row r="45" spans="1:19" x14ac:dyDescent="0.45">
      <c r="A45" t="s">
        <v>90</v>
      </c>
      <c r="D45" t="s">
        <v>91</v>
      </c>
    </row>
    <row r="46" spans="1:19" x14ac:dyDescent="0.45">
      <c r="A46" t="s">
        <v>92</v>
      </c>
      <c r="D46" t="s">
        <v>63</v>
      </c>
      <c r="N46" t="s">
        <v>65</v>
      </c>
      <c r="S46" t="s">
        <v>93</v>
      </c>
    </row>
    <row r="47" spans="1:19" x14ac:dyDescent="0.45">
      <c r="A47" t="s">
        <v>94</v>
      </c>
      <c r="D47" t="s">
        <v>95</v>
      </c>
      <c r="N47" t="s">
        <v>36</v>
      </c>
    </row>
    <row r="48" spans="1:19" x14ac:dyDescent="0.45">
      <c r="A48" t="s">
        <v>96</v>
      </c>
      <c r="D48" t="s">
        <v>97</v>
      </c>
      <c r="N48" t="s">
        <v>98</v>
      </c>
      <c r="S48" t="s">
        <v>99</v>
      </c>
    </row>
    <row r="49" spans="1:19" x14ac:dyDescent="0.45">
      <c r="A49" t="s">
        <v>100</v>
      </c>
    </row>
    <row r="50" spans="1:19" x14ac:dyDescent="0.45">
      <c r="A50" t="s">
        <v>101</v>
      </c>
    </row>
    <row r="51" spans="1:19" x14ac:dyDescent="0.45">
      <c r="A51" t="s">
        <v>102</v>
      </c>
      <c r="D51" t="s">
        <v>7</v>
      </c>
    </row>
    <row r="52" spans="1:19" x14ac:dyDescent="0.45">
      <c r="A52" t="s">
        <v>103</v>
      </c>
      <c r="G52" t="s">
        <v>104</v>
      </c>
      <c r="J52" t="s">
        <v>105</v>
      </c>
    </row>
    <row r="53" spans="1:19" x14ac:dyDescent="0.45">
      <c r="A53" t="s">
        <v>106</v>
      </c>
      <c r="G53" t="s">
        <v>45</v>
      </c>
    </row>
    <row r="54" spans="1:19" x14ac:dyDescent="0.45">
      <c r="A54" t="s">
        <v>107</v>
      </c>
      <c r="O54" t="s">
        <v>108</v>
      </c>
      <c r="S54" t="s">
        <v>109</v>
      </c>
    </row>
    <row r="55" spans="1:19" x14ac:dyDescent="0.45">
      <c r="A55" t="s">
        <v>110</v>
      </c>
      <c r="O55" t="s">
        <v>111</v>
      </c>
    </row>
    <row r="56" spans="1:19" x14ac:dyDescent="0.45">
      <c r="A56" t="s">
        <v>112</v>
      </c>
      <c r="G56" t="s">
        <v>113</v>
      </c>
      <c r="S56" t="s">
        <v>114</v>
      </c>
    </row>
    <row r="57" spans="1:19" x14ac:dyDescent="0.45">
      <c r="A57" t="s">
        <v>115</v>
      </c>
      <c r="G57" t="s">
        <v>36</v>
      </c>
    </row>
    <row r="58" spans="1:19" x14ac:dyDescent="0.45">
      <c r="A58" t="s">
        <v>116</v>
      </c>
      <c r="G58" t="s">
        <v>36</v>
      </c>
      <c r="S58" t="s">
        <v>117</v>
      </c>
    </row>
    <row r="59" spans="1:19" x14ac:dyDescent="0.45">
      <c r="A59" t="s">
        <v>118</v>
      </c>
    </row>
    <row r="60" spans="1:19" x14ac:dyDescent="0.45">
      <c r="A60" t="s">
        <v>119</v>
      </c>
      <c r="G60" t="s">
        <v>120</v>
      </c>
    </row>
    <row r="61" spans="1:19" x14ac:dyDescent="0.45">
      <c r="A61" t="s">
        <v>121</v>
      </c>
    </row>
    <row r="62" spans="1:19" x14ac:dyDescent="0.45">
      <c r="A62" t="s">
        <v>122</v>
      </c>
      <c r="G62" t="s">
        <v>38</v>
      </c>
    </row>
    <row r="63" spans="1:19" x14ac:dyDescent="0.45">
      <c r="A63" t="s">
        <v>123</v>
      </c>
    </row>
    <row r="64" spans="1:19" x14ac:dyDescent="0.45">
      <c r="A64" t="s">
        <v>124</v>
      </c>
      <c r="G64" t="s">
        <v>36</v>
      </c>
    </row>
    <row r="65" spans="1:19" x14ac:dyDescent="0.45">
      <c r="A65" t="s">
        <v>125</v>
      </c>
    </row>
    <row r="66" spans="1:19" x14ac:dyDescent="0.45">
      <c r="A66" t="s">
        <v>126</v>
      </c>
      <c r="G66" t="s">
        <v>34</v>
      </c>
    </row>
    <row r="67" spans="1:19" x14ac:dyDescent="0.45">
      <c r="A67" t="s">
        <v>127</v>
      </c>
    </row>
    <row r="68" spans="1:19" x14ac:dyDescent="0.45">
      <c r="A68" t="s">
        <v>128</v>
      </c>
      <c r="G68" t="s">
        <v>71</v>
      </c>
      <c r="S68" t="s">
        <v>129</v>
      </c>
    </row>
    <row r="69" spans="1:19" x14ac:dyDescent="0.45">
      <c r="A69" t="s">
        <v>130</v>
      </c>
    </row>
    <row r="70" spans="1:19" x14ac:dyDescent="0.45">
      <c r="A70" t="s">
        <v>131</v>
      </c>
      <c r="G70" t="s">
        <v>132</v>
      </c>
      <c r="S70" t="s">
        <v>133</v>
      </c>
    </row>
    <row r="71" spans="1:19" x14ac:dyDescent="0.45">
      <c r="A71" t="s">
        <v>134</v>
      </c>
    </row>
    <row r="72" spans="1:19" x14ac:dyDescent="0.45">
      <c r="A72" t="s">
        <v>135</v>
      </c>
      <c r="G72" t="s">
        <v>91</v>
      </c>
      <c r="K72" t="s">
        <v>136</v>
      </c>
      <c r="S72" t="s">
        <v>137</v>
      </c>
    </row>
    <row r="73" spans="1:19" x14ac:dyDescent="0.45">
      <c r="A73" t="s">
        <v>138</v>
      </c>
      <c r="G73" t="s">
        <v>139</v>
      </c>
      <c r="K73" t="s">
        <v>45</v>
      </c>
    </row>
    <row r="74" spans="1:19" x14ac:dyDescent="0.45">
      <c r="A74" t="s">
        <v>140</v>
      </c>
      <c r="G74" t="s">
        <v>141</v>
      </c>
      <c r="J74" t="s">
        <v>142</v>
      </c>
    </row>
    <row r="75" spans="1:19" x14ac:dyDescent="0.45">
      <c r="A75" t="s">
        <v>143</v>
      </c>
      <c r="G75" t="s">
        <v>95</v>
      </c>
    </row>
    <row r="76" spans="1:19" x14ac:dyDescent="0.45">
      <c r="A76" t="s">
        <v>144</v>
      </c>
      <c r="M76" t="s">
        <v>145</v>
      </c>
      <c r="S76" t="s">
        <v>146</v>
      </c>
    </row>
    <row r="77" spans="1:19" x14ac:dyDescent="0.45">
      <c r="A77" t="s">
        <v>147</v>
      </c>
      <c r="M77" t="s">
        <v>148</v>
      </c>
    </row>
    <row r="78" spans="1:19" x14ac:dyDescent="0.45">
      <c r="A78" t="s">
        <v>149</v>
      </c>
      <c r="M78" t="s">
        <v>46</v>
      </c>
      <c r="S78" t="s">
        <v>146</v>
      </c>
    </row>
    <row r="79" spans="1:19" x14ac:dyDescent="0.45">
      <c r="A79" t="s">
        <v>150</v>
      </c>
      <c r="M79" t="s">
        <v>151</v>
      </c>
    </row>
    <row r="80" spans="1:19" x14ac:dyDescent="0.45">
      <c r="A80" t="s">
        <v>152</v>
      </c>
      <c r="M80" t="s">
        <v>153</v>
      </c>
      <c r="S80" t="s">
        <v>146</v>
      </c>
    </row>
    <row r="81" spans="1:19" x14ac:dyDescent="0.45">
      <c r="A81" t="s">
        <v>154</v>
      </c>
      <c r="M81" t="s">
        <v>71</v>
      </c>
    </row>
    <row r="82" spans="1:19" x14ac:dyDescent="0.45">
      <c r="A82" t="s">
        <v>155</v>
      </c>
      <c r="G82" t="s">
        <v>156</v>
      </c>
    </row>
    <row r="83" spans="1:19" x14ac:dyDescent="0.45">
      <c r="A83" t="s">
        <v>157</v>
      </c>
      <c r="G83" t="s">
        <v>158</v>
      </c>
    </row>
    <row r="84" spans="1:19" x14ac:dyDescent="0.45">
      <c r="A84" t="s">
        <v>159</v>
      </c>
      <c r="G84" t="s">
        <v>160</v>
      </c>
    </row>
    <row r="85" spans="1:19" x14ac:dyDescent="0.45">
      <c r="A85" t="s">
        <v>161</v>
      </c>
    </row>
    <row r="86" spans="1:19" x14ac:dyDescent="0.45">
      <c r="A86" t="s">
        <v>162</v>
      </c>
      <c r="G86" t="s">
        <v>52</v>
      </c>
    </row>
    <row r="87" spans="1:19" x14ac:dyDescent="0.45">
      <c r="A87" t="s">
        <v>163</v>
      </c>
      <c r="G87" t="s">
        <v>142</v>
      </c>
    </row>
    <row r="88" spans="1:19" x14ac:dyDescent="0.45">
      <c r="A88" t="s">
        <v>164</v>
      </c>
      <c r="G88" t="s">
        <v>36</v>
      </c>
    </row>
    <row r="89" spans="1:19" x14ac:dyDescent="0.45">
      <c r="A89" t="s">
        <v>165</v>
      </c>
      <c r="G89" t="s">
        <v>7</v>
      </c>
    </row>
    <row r="90" spans="1:19" x14ac:dyDescent="0.45">
      <c r="A90" t="s">
        <v>166</v>
      </c>
      <c r="D90" t="s">
        <v>158</v>
      </c>
    </row>
    <row r="91" spans="1:19" x14ac:dyDescent="0.45">
      <c r="A91" t="s">
        <v>167</v>
      </c>
      <c r="D91" t="s">
        <v>36</v>
      </c>
    </row>
    <row r="92" spans="1:19" x14ac:dyDescent="0.45">
      <c r="A92" t="s">
        <v>168</v>
      </c>
      <c r="K92" t="s">
        <v>169</v>
      </c>
      <c r="S92" t="s">
        <v>170</v>
      </c>
    </row>
    <row r="93" spans="1:19" x14ac:dyDescent="0.45">
      <c r="A93" t="s">
        <v>171</v>
      </c>
      <c r="K93" t="s">
        <v>172</v>
      </c>
    </row>
    <row r="94" spans="1:19" x14ac:dyDescent="0.45">
      <c r="A94" t="s">
        <v>173</v>
      </c>
      <c r="G94" t="s">
        <v>52</v>
      </c>
      <c r="S94" t="s">
        <v>129</v>
      </c>
    </row>
    <row r="95" spans="1:19" x14ac:dyDescent="0.45">
      <c r="A95" t="s">
        <v>174</v>
      </c>
      <c r="G95" t="s">
        <v>36</v>
      </c>
    </row>
    <row r="96" spans="1:19" x14ac:dyDescent="0.45">
      <c r="A96" t="s">
        <v>175</v>
      </c>
      <c r="G96" t="s">
        <v>38</v>
      </c>
    </row>
    <row r="97" spans="1:19" x14ac:dyDescent="0.45">
      <c r="A97" t="s">
        <v>176</v>
      </c>
      <c r="G97" t="s">
        <v>36</v>
      </c>
    </row>
    <row r="98" spans="1:19" x14ac:dyDescent="0.45">
      <c r="A98" t="s">
        <v>177</v>
      </c>
      <c r="G98" t="s">
        <v>148</v>
      </c>
      <c r="S98" t="s">
        <v>178</v>
      </c>
    </row>
    <row r="99" spans="1:19" x14ac:dyDescent="0.45">
      <c r="A99" t="s">
        <v>179</v>
      </c>
    </row>
    <row r="100" spans="1:19" x14ac:dyDescent="0.45">
      <c r="A100" t="s">
        <v>180</v>
      </c>
      <c r="G100" t="s">
        <v>65</v>
      </c>
      <c r="S100" t="s">
        <v>181</v>
      </c>
    </row>
    <row r="101" spans="1:19" x14ac:dyDescent="0.45">
      <c r="A101" t="s">
        <v>182</v>
      </c>
    </row>
    <row r="102" spans="1:19" x14ac:dyDescent="0.45">
      <c r="A102" t="s">
        <v>183</v>
      </c>
      <c r="G102" t="s">
        <v>91</v>
      </c>
      <c r="S102" t="s">
        <v>129</v>
      </c>
    </row>
    <row r="103" spans="1:19" x14ac:dyDescent="0.45">
      <c r="A103" t="s">
        <v>184</v>
      </c>
    </row>
    <row r="104" spans="1:19" x14ac:dyDescent="0.45">
      <c r="A104" t="s">
        <v>185</v>
      </c>
      <c r="G104" t="s">
        <v>186</v>
      </c>
      <c r="S104" t="s">
        <v>133</v>
      </c>
    </row>
    <row r="105" spans="1:19" x14ac:dyDescent="0.45">
      <c r="A105" t="s">
        <v>187</v>
      </c>
    </row>
    <row r="106" spans="1:19" x14ac:dyDescent="0.45">
      <c r="A106" t="s">
        <v>188</v>
      </c>
      <c r="G106" t="s">
        <v>95</v>
      </c>
      <c r="S106" t="s">
        <v>129</v>
      </c>
    </row>
    <row r="107" spans="1:19" x14ac:dyDescent="0.45">
      <c r="A107" t="s">
        <v>189</v>
      </c>
    </row>
    <row r="108" spans="1:19" x14ac:dyDescent="0.45">
      <c r="A108" t="s">
        <v>190</v>
      </c>
      <c r="S108" t="s">
        <v>191</v>
      </c>
    </row>
    <row r="109" spans="1:19" x14ac:dyDescent="0.45">
      <c r="A109" t="s">
        <v>192</v>
      </c>
      <c r="K109" t="s">
        <v>158</v>
      </c>
    </row>
    <row r="110" spans="1:19" x14ac:dyDescent="0.45">
      <c r="A110" t="s">
        <v>193</v>
      </c>
      <c r="G110" t="s">
        <v>85</v>
      </c>
    </row>
    <row r="111" spans="1:19" x14ac:dyDescent="0.45">
      <c r="A111" t="s">
        <v>194</v>
      </c>
      <c r="G111" t="s">
        <v>91</v>
      </c>
    </row>
    <row r="112" spans="1:19" x14ac:dyDescent="0.45">
      <c r="A112" t="s">
        <v>195</v>
      </c>
      <c r="S112" t="s">
        <v>196</v>
      </c>
    </row>
    <row r="113" spans="1:19" x14ac:dyDescent="0.45">
      <c r="A113" t="s">
        <v>197</v>
      </c>
    </row>
    <row r="114" spans="1:19" x14ac:dyDescent="0.45">
      <c r="A114" t="s">
        <v>198</v>
      </c>
      <c r="O114" t="s">
        <v>199</v>
      </c>
      <c r="S114" t="s">
        <v>200</v>
      </c>
    </row>
    <row r="115" spans="1:19" x14ac:dyDescent="0.45">
      <c r="A115" t="s">
        <v>201</v>
      </c>
    </row>
    <row r="116" spans="1:19" x14ac:dyDescent="0.45">
      <c r="A116" t="s">
        <v>202</v>
      </c>
    </row>
    <row r="117" spans="1:19" x14ac:dyDescent="0.45">
      <c r="A117" t="s">
        <v>203</v>
      </c>
    </row>
    <row r="118" spans="1:19" x14ac:dyDescent="0.45">
      <c r="A118" t="s">
        <v>204</v>
      </c>
      <c r="D118" t="s">
        <v>205</v>
      </c>
      <c r="S118" t="s">
        <v>206</v>
      </c>
    </row>
    <row r="119" spans="1:19" x14ac:dyDescent="0.45">
      <c r="A119" t="s">
        <v>207</v>
      </c>
      <c r="D119" t="s">
        <v>7</v>
      </c>
    </row>
    <row r="120" spans="1:19" x14ac:dyDescent="0.45">
      <c r="A120" t="s">
        <v>208</v>
      </c>
      <c r="S120" t="s">
        <v>209</v>
      </c>
    </row>
    <row r="121" spans="1:19" x14ac:dyDescent="0.45">
      <c r="A121" t="s">
        <v>210</v>
      </c>
    </row>
    <row r="122" spans="1:19" x14ac:dyDescent="0.45">
      <c r="A122" t="s">
        <v>211</v>
      </c>
      <c r="G122" t="s">
        <v>212</v>
      </c>
    </row>
    <row r="123" spans="1:19" x14ac:dyDescent="0.45">
      <c r="A123" t="s">
        <v>213</v>
      </c>
      <c r="G123" t="s">
        <v>85</v>
      </c>
    </row>
    <row r="124" spans="1:19" x14ac:dyDescent="0.45">
      <c r="A124" t="s">
        <v>214</v>
      </c>
      <c r="G124" t="s">
        <v>38</v>
      </c>
    </row>
    <row r="125" spans="1:19" x14ac:dyDescent="0.45">
      <c r="A125" t="s">
        <v>215</v>
      </c>
    </row>
    <row r="126" spans="1:19" x14ac:dyDescent="0.45">
      <c r="A126" t="s">
        <v>216</v>
      </c>
      <c r="O126" t="s">
        <v>21</v>
      </c>
    </row>
    <row r="127" spans="1:19" x14ac:dyDescent="0.45">
      <c r="A127" t="s">
        <v>217</v>
      </c>
      <c r="O127" t="s">
        <v>218</v>
      </c>
    </row>
    <row r="128" spans="1:19" x14ac:dyDescent="0.45">
      <c r="A128" t="s">
        <v>219</v>
      </c>
      <c r="O128" t="s">
        <v>220</v>
      </c>
    </row>
    <row r="129" spans="1:19" x14ac:dyDescent="0.45">
      <c r="A129" t="s">
        <v>221</v>
      </c>
      <c r="O129" t="s">
        <v>158</v>
      </c>
    </row>
    <row r="130" spans="1:19" x14ac:dyDescent="0.45">
      <c r="A130" t="s">
        <v>222</v>
      </c>
      <c r="O130" t="s">
        <v>158</v>
      </c>
      <c r="S130" t="s">
        <v>223</v>
      </c>
    </row>
    <row r="131" spans="1:19" x14ac:dyDescent="0.45">
      <c r="A131" t="s">
        <v>224</v>
      </c>
    </row>
    <row r="132" spans="1:19" x14ac:dyDescent="0.45">
      <c r="A132" t="s">
        <v>225</v>
      </c>
      <c r="G132" t="s">
        <v>226</v>
      </c>
    </row>
    <row r="133" spans="1:19" x14ac:dyDescent="0.45">
      <c r="A133" t="s">
        <v>227</v>
      </c>
      <c r="G133" t="s">
        <v>56</v>
      </c>
    </row>
    <row r="134" spans="1:19" x14ac:dyDescent="0.45">
      <c r="A134" t="s">
        <v>228</v>
      </c>
      <c r="O134" t="s">
        <v>229</v>
      </c>
    </row>
    <row r="135" spans="1:19" x14ac:dyDescent="0.45">
      <c r="A135" t="s">
        <v>230</v>
      </c>
      <c r="O135" t="s">
        <v>218</v>
      </c>
    </row>
    <row r="136" spans="1:19" x14ac:dyDescent="0.45">
      <c r="A136" t="s">
        <v>231</v>
      </c>
    </row>
    <row r="137" spans="1:19" x14ac:dyDescent="0.45">
      <c r="A137" t="s">
        <v>232</v>
      </c>
    </row>
    <row r="138" spans="1:19" x14ac:dyDescent="0.45">
      <c r="A138" t="s">
        <v>233</v>
      </c>
    </row>
    <row r="139" spans="1:19" x14ac:dyDescent="0.45">
      <c r="B139" t="s">
        <v>25</v>
      </c>
      <c r="C139" t="s">
        <v>234</v>
      </c>
      <c r="D139" t="s">
        <v>235</v>
      </c>
      <c r="G139" t="s">
        <v>236</v>
      </c>
      <c r="J139" t="s">
        <v>237</v>
      </c>
      <c r="K139" t="s">
        <v>238</v>
      </c>
      <c r="L139" t="s">
        <v>239</v>
      </c>
      <c r="M139" t="s">
        <v>240</v>
      </c>
      <c r="N139" t="s">
        <v>73</v>
      </c>
      <c r="O139" t="s">
        <v>241</v>
      </c>
    </row>
    <row r="140" spans="1:19" x14ac:dyDescent="0.45">
      <c r="A140" t="s">
        <v>242</v>
      </c>
      <c r="D140" t="s">
        <v>243</v>
      </c>
      <c r="G140" t="s">
        <v>244</v>
      </c>
      <c r="K140" t="s">
        <v>26</v>
      </c>
      <c r="L140" t="s">
        <v>45</v>
      </c>
      <c r="M140" t="s">
        <v>245</v>
      </c>
      <c r="N140" t="s">
        <v>36</v>
      </c>
      <c r="O140" t="s">
        <v>246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topLeftCell="A10" zoomScale="60" zoomScaleNormal="60" workbookViewId="0">
      <selection activeCell="A10" sqref="A1:XFD1048576"/>
    </sheetView>
  </sheetViews>
  <sheetFormatPr defaultRowHeight="18" x14ac:dyDescent="0.45"/>
  <cols>
    <col min="1" max="1" width="26.69921875" style="57" customWidth="1"/>
    <col min="2" max="11" width="8.796875" style="56" customWidth="1"/>
    <col min="12" max="20" width="11.3984375" style="58" customWidth="1"/>
    <col min="21" max="21" width="11.3984375" style="58" hidden="1" customWidth="1"/>
    <col min="22" max="22" width="32.796875" style="124" customWidth="1"/>
    <col min="23" max="23" width="27.69921875" style="57" customWidth="1"/>
  </cols>
  <sheetData>
    <row r="1" spans="1:23" x14ac:dyDescent="0.45">
      <c r="A1"/>
      <c r="L1" s="56"/>
      <c r="M1" s="56"/>
      <c r="N1" s="56"/>
      <c r="O1" s="56"/>
      <c r="P1" s="56"/>
      <c r="Q1" s="56"/>
      <c r="R1" s="56"/>
      <c r="S1" s="56"/>
      <c r="T1" s="56"/>
      <c r="U1" s="56"/>
      <c r="V1" s="119"/>
      <c r="W1"/>
    </row>
    <row r="2" spans="1:23" s="13" customFormat="1" ht="26.4" customHeight="1" x14ac:dyDescent="0.45">
      <c r="B2" s="14"/>
      <c r="C2" s="14"/>
      <c r="D2" s="14"/>
      <c r="E2" s="14"/>
      <c r="F2" s="14"/>
      <c r="G2" s="14"/>
      <c r="H2" s="14"/>
      <c r="I2" s="43"/>
      <c r="J2" s="43"/>
      <c r="K2" s="43"/>
      <c r="L2" s="43"/>
      <c r="M2" s="43"/>
      <c r="N2" s="14"/>
      <c r="O2"/>
      <c r="P2"/>
      <c r="Q2"/>
      <c r="R2"/>
      <c r="S2"/>
      <c r="T2"/>
      <c r="U2"/>
      <c r="V2" s="120"/>
    </row>
    <row r="3" spans="1:23" x14ac:dyDescent="0.45">
      <c r="A3" s="4"/>
      <c r="B3" s="50"/>
      <c r="C3" s="51"/>
      <c r="D3" s="50"/>
      <c r="E3" s="52"/>
      <c r="F3" s="51"/>
      <c r="G3" s="50"/>
      <c r="H3" s="52"/>
      <c r="I3" s="52"/>
      <c r="J3" s="52"/>
      <c r="K3" s="51"/>
      <c r="L3" s="115"/>
      <c r="M3" s="115"/>
      <c r="N3" s="115"/>
      <c r="O3" s="115"/>
      <c r="P3" s="115"/>
      <c r="Q3" s="115"/>
      <c r="R3" s="115"/>
      <c r="S3" s="115"/>
      <c r="T3" s="112"/>
      <c r="U3" s="19"/>
      <c r="V3" s="121"/>
      <c r="W3" s="6"/>
    </row>
    <row r="4" spans="1:23" x14ac:dyDescent="0.45">
      <c r="A4" s="2"/>
      <c r="B4" s="17"/>
      <c r="C4" s="17"/>
      <c r="D4" s="17"/>
      <c r="E4" s="17"/>
      <c r="F4" s="17"/>
      <c r="G4" s="17"/>
      <c r="H4" s="17"/>
      <c r="I4" s="17"/>
      <c r="J4" s="17"/>
      <c r="K4" s="17"/>
      <c r="L4" s="112"/>
      <c r="M4" s="112"/>
      <c r="N4" s="112"/>
      <c r="O4" s="112"/>
      <c r="P4" s="112"/>
      <c r="Q4" s="112"/>
      <c r="R4" s="112"/>
      <c r="S4" s="112"/>
      <c r="T4" s="112"/>
      <c r="U4" s="46"/>
      <c r="V4" s="122"/>
      <c r="W4" s="1"/>
    </row>
    <row r="5" spans="1:23" x14ac:dyDescent="0.45">
      <c r="A5" s="3"/>
      <c r="B5" s="17"/>
      <c r="C5" s="17"/>
      <c r="D5" s="17"/>
      <c r="E5" s="17"/>
      <c r="F5" s="17"/>
      <c r="G5" s="17"/>
      <c r="H5" s="17"/>
      <c r="I5" s="17"/>
      <c r="J5" s="17"/>
      <c r="K5" s="17"/>
      <c r="L5" s="112"/>
      <c r="M5" s="112"/>
      <c r="N5" s="112"/>
      <c r="O5" s="112"/>
      <c r="P5" s="112"/>
      <c r="Q5" s="112"/>
      <c r="R5" s="112"/>
      <c r="S5" s="112"/>
      <c r="T5" s="112"/>
      <c r="U5" s="47"/>
      <c r="V5" s="122"/>
      <c r="W5" s="1"/>
    </row>
    <row r="6" spans="1:23" x14ac:dyDescent="0.45">
      <c r="A6" s="4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23"/>
      <c r="W6" s="18"/>
    </row>
    <row r="7" spans="1:23" x14ac:dyDescent="0.45">
      <c r="A7" s="9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123"/>
      <c r="W7" s="18"/>
    </row>
    <row r="8" spans="1:23" x14ac:dyDescent="0.45">
      <c r="A8" s="4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5"/>
      <c r="V8" s="123"/>
      <c r="W8" s="18"/>
    </row>
    <row r="9" spans="1:23" x14ac:dyDescent="0.45">
      <c r="A9" s="9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48"/>
      <c r="V9" s="123"/>
      <c r="W9" s="18"/>
    </row>
    <row r="10" spans="1:23" x14ac:dyDescent="0.45">
      <c r="A10" s="4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5"/>
      <c r="V10" s="123"/>
      <c r="W10" s="18"/>
    </row>
    <row r="11" spans="1:23" x14ac:dyDescent="0.45">
      <c r="A11" s="9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48"/>
      <c r="V11" s="123"/>
      <c r="W11" s="18"/>
    </row>
    <row r="12" spans="1:23" x14ac:dyDescent="0.45">
      <c r="A12" s="4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5"/>
      <c r="V12" s="123"/>
      <c r="W12" s="18"/>
    </row>
    <row r="13" spans="1:23" x14ac:dyDescent="0.45">
      <c r="A13" s="9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48"/>
      <c r="V13" s="123"/>
      <c r="W13" s="18"/>
    </row>
    <row r="14" spans="1:23" x14ac:dyDescent="0.45">
      <c r="A14" s="4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5"/>
      <c r="V14" s="123"/>
      <c r="W14" s="18"/>
    </row>
    <row r="15" spans="1:23" x14ac:dyDescent="0.45">
      <c r="A15" s="9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48"/>
      <c r="V15" s="123"/>
      <c r="W15" s="18"/>
    </row>
    <row r="16" spans="1:23" x14ac:dyDescent="0.45">
      <c r="A16" s="4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5"/>
      <c r="V16" s="123"/>
      <c r="W16" s="18"/>
    </row>
    <row r="17" spans="1:23" x14ac:dyDescent="0.45">
      <c r="A17" s="9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48"/>
      <c r="V17" s="123"/>
      <c r="W17" s="18"/>
    </row>
    <row r="18" spans="1:23" x14ac:dyDescent="0.45">
      <c r="A18" s="4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5"/>
      <c r="V18" s="123"/>
      <c r="W18" s="18"/>
    </row>
    <row r="19" spans="1:23" x14ac:dyDescent="0.45">
      <c r="A19" s="9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48"/>
      <c r="V19" s="123"/>
      <c r="W19" s="18"/>
    </row>
    <row r="20" spans="1:23" x14ac:dyDescent="0.45">
      <c r="A20" s="4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5"/>
      <c r="V20" s="123"/>
      <c r="W20" s="18"/>
    </row>
    <row r="21" spans="1:23" x14ac:dyDescent="0.45">
      <c r="A21" s="9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48"/>
      <c r="V21" s="123"/>
      <c r="W21" s="18"/>
    </row>
    <row r="22" spans="1:23" x14ac:dyDescent="0.45">
      <c r="A22" s="4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23"/>
      <c r="W22" s="18"/>
    </row>
    <row r="23" spans="1:23" x14ac:dyDescent="0.45">
      <c r="A23" s="9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48"/>
      <c r="V23" s="123"/>
      <c r="W23" s="18"/>
    </row>
    <row r="24" spans="1:23" x14ac:dyDescent="0.45">
      <c r="A24" s="4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23"/>
      <c r="W24" s="18"/>
    </row>
    <row r="25" spans="1:23" x14ac:dyDescent="0.45">
      <c r="A25" s="9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48"/>
      <c r="V25" s="123"/>
      <c r="W25" s="18"/>
    </row>
    <row r="26" spans="1:23" x14ac:dyDescent="0.45">
      <c r="A26" s="4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23"/>
      <c r="W26" s="18"/>
    </row>
    <row r="27" spans="1:23" x14ac:dyDescent="0.45">
      <c r="A27" s="9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48"/>
      <c r="V27" s="123"/>
      <c r="W27" s="18"/>
    </row>
    <row r="28" spans="1:23" x14ac:dyDescent="0.45">
      <c r="A28" s="4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23"/>
      <c r="W28" s="18"/>
    </row>
    <row r="29" spans="1:23" x14ac:dyDescent="0.45">
      <c r="A29" s="9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48"/>
      <c r="V29" s="123"/>
      <c r="W29" s="18"/>
    </row>
    <row r="30" spans="1:23" x14ac:dyDescent="0.45">
      <c r="A30" s="4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23"/>
      <c r="W30" s="18"/>
    </row>
    <row r="31" spans="1:23" x14ac:dyDescent="0.45">
      <c r="A31" s="9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48"/>
      <c r="V31" s="123"/>
      <c r="W31" s="18"/>
    </row>
    <row r="32" spans="1:23" x14ac:dyDescent="0.45">
      <c r="A32" s="4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23"/>
      <c r="W32" s="18"/>
    </row>
    <row r="33" spans="1:23" x14ac:dyDescent="0.45">
      <c r="A33" s="9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48"/>
      <c r="V33" s="123"/>
      <c r="W33" s="18"/>
    </row>
    <row r="34" spans="1:23" x14ac:dyDescent="0.45">
      <c r="A34" s="4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23"/>
      <c r="W34" s="18"/>
    </row>
    <row r="35" spans="1:23" x14ac:dyDescent="0.45">
      <c r="A35" s="9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48"/>
      <c r="V35" s="123"/>
      <c r="W35" s="18"/>
    </row>
    <row r="36" spans="1:23" x14ac:dyDescent="0.45">
      <c r="A36" s="4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23"/>
      <c r="W36" s="18"/>
    </row>
    <row r="37" spans="1:23" x14ac:dyDescent="0.45">
      <c r="A37" s="9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48"/>
      <c r="V37" s="123"/>
      <c r="W37" s="18"/>
    </row>
    <row r="38" spans="1:23" x14ac:dyDescent="0.45">
      <c r="A38" s="4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23"/>
      <c r="W38" s="18"/>
    </row>
    <row r="39" spans="1:23" x14ac:dyDescent="0.45">
      <c r="A39" s="9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48"/>
      <c r="V39" s="123"/>
      <c r="W39" s="18"/>
    </row>
    <row r="40" spans="1:23" x14ac:dyDescent="0.45">
      <c r="A40" s="4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23"/>
      <c r="W40" s="18"/>
    </row>
    <row r="41" spans="1:23" x14ac:dyDescent="0.45">
      <c r="A41" s="9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48"/>
      <c r="V41" s="123"/>
      <c r="W41" s="18"/>
    </row>
    <row r="42" spans="1:23" x14ac:dyDescent="0.45">
      <c r="A42" s="4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23"/>
      <c r="W42" s="18"/>
    </row>
    <row r="43" spans="1:23" x14ac:dyDescent="0.45">
      <c r="A43" s="9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48"/>
      <c r="V43" s="123"/>
      <c r="W43" s="18"/>
    </row>
    <row r="44" spans="1:23" x14ac:dyDescent="0.45">
      <c r="A44" s="4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23"/>
      <c r="W44" s="18"/>
    </row>
    <row r="45" spans="1:23" x14ac:dyDescent="0.45">
      <c r="A45" s="9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48"/>
      <c r="V45" s="123"/>
      <c r="W45" s="18"/>
    </row>
    <row r="46" spans="1:23" x14ac:dyDescent="0.45">
      <c r="A46" s="4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23"/>
      <c r="W46" s="18"/>
    </row>
    <row r="47" spans="1:23" x14ac:dyDescent="0.45">
      <c r="A47" s="9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48"/>
      <c r="V47" s="123"/>
      <c r="W47" s="18"/>
    </row>
    <row r="48" spans="1:23" x14ac:dyDescent="0.45">
      <c r="A48" s="4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23"/>
      <c r="W48" s="18"/>
    </row>
    <row r="49" spans="1:23" x14ac:dyDescent="0.45">
      <c r="A49" s="9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48"/>
      <c r="V49" s="123"/>
      <c r="W49" s="18"/>
    </row>
    <row r="50" spans="1:23" x14ac:dyDescent="0.45">
      <c r="A50" s="4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23"/>
      <c r="W50" s="18"/>
    </row>
    <row r="51" spans="1:23" x14ac:dyDescent="0.45">
      <c r="A51" s="9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48"/>
      <c r="V51" s="123"/>
      <c r="W51" s="18"/>
    </row>
    <row r="52" spans="1:23" x14ac:dyDescent="0.45">
      <c r="A52" s="4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23"/>
      <c r="W52" s="18"/>
    </row>
    <row r="53" spans="1:23" x14ac:dyDescent="0.45">
      <c r="A53" s="9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48"/>
      <c r="V53" s="123"/>
      <c r="W53" s="18"/>
    </row>
    <row r="54" spans="1:23" x14ac:dyDescent="0.45">
      <c r="A54" s="4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23"/>
      <c r="W54" s="18"/>
    </row>
    <row r="55" spans="1:23" x14ac:dyDescent="0.45">
      <c r="A55" s="9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48"/>
      <c r="V55" s="123"/>
      <c r="W55" s="18"/>
    </row>
    <row r="56" spans="1:23" x14ac:dyDescent="0.45">
      <c r="A56" s="4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23"/>
      <c r="W56" s="18"/>
    </row>
    <row r="57" spans="1:23" x14ac:dyDescent="0.45">
      <c r="A57" s="9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48"/>
      <c r="V57" s="123"/>
      <c r="W57" s="18"/>
    </row>
    <row r="58" spans="1:23" x14ac:dyDescent="0.45">
      <c r="A58" s="4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23"/>
      <c r="W58" s="18"/>
    </row>
    <row r="59" spans="1:23" x14ac:dyDescent="0.45">
      <c r="A59" s="9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48"/>
      <c r="V59" s="123"/>
      <c r="W59" s="18"/>
    </row>
    <row r="60" spans="1:23" x14ac:dyDescent="0.45">
      <c r="A60" s="4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23"/>
      <c r="W60" s="18"/>
    </row>
    <row r="61" spans="1:23" x14ac:dyDescent="0.45">
      <c r="A61" s="9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48"/>
      <c r="V61" s="123"/>
      <c r="W61" s="18"/>
    </row>
    <row r="62" spans="1:23" x14ac:dyDescent="0.45">
      <c r="A62" s="4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23"/>
      <c r="W62" s="18"/>
    </row>
    <row r="63" spans="1:23" x14ac:dyDescent="0.45">
      <c r="A63" s="9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48"/>
      <c r="V63" s="123"/>
      <c r="W63" s="18"/>
    </row>
    <row r="64" spans="1:23" x14ac:dyDescent="0.45">
      <c r="A64" s="4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23"/>
      <c r="W64" s="18"/>
    </row>
    <row r="65" spans="1:23" x14ac:dyDescent="0.45">
      <c r="A65" s="9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48"/>
      <c r="V65" s="123"/>
      <c r="W65" s="18"/>
    </row>
    <row r="66" spans="1:23" x14ac:dyDescent="0.45">
      <c r="A66" s="4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23"/>
      <c r="W66" s="18"/>
    </row>
    <row r="67" spans="1:23" x14ac:dyDescent="0.45">
      <c r="A67" s="9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48"/>
      <c r="V67" s="123"/>
      <c r="W67" s="18"/>
    </row>
    <row r="68" spans="1:23" x14ac:dyDescent="0.45">
      <c r="A68" s="4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23"/>
      <c r="W68" s="18"/>
    </row>
    <row r="69" spans="1:23" x14ac:dyDescent="0.45">
      <c r="A69" s="9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48"/>
      <c r="V69" s="123"/>
      <c r="W69" s="18"/>
    </row>
    <row r="70" spans="1:23" x14ac:dyDescent="0.45">
      <c r="A70" s="4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23"/>
      <c r="W70" s="18"/>
    </row>
    <row r="71" spans="1:23" x14ac:dyDescent="0.45">
      <c r="A71" s="9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48"/>
      <c r="V71" s="123"/>
      <c r="W71" s="18"/>
    </row>
    <row r="72" spans="1:23" x14ac:dyDescent="0.45">
      <c r="A72" s="4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23"/>
      <c r="W72" s="18"/>
    </row>
    <row r="73" spans="1:23" x14ac:dyDescent="0.45">
      <c r="A73" s="9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48"/>
      <c r="V73" s="123"/>
      <c r="W73" s="18"/>
    </row>
    <row r="74" spans="1:23" x14ac:dyDescent="0.45">
      <c r="A74" s="4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23"/>
      <c r="W74" s="18"/>
    </row>
    <row r="75" spans="1:23" x14ac:dyDescent="0.45">
      <c r="A75" s="9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48"/>
      <c r="V75" s="123"/>
      <c r="W75" s="18"/>
    </row>
    <row r="76" spans="1:23" x14ac:dyDescent="0.45">
      <c r="A76" s="4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23"/>
      <c r="W76" s="18"/>
    </row>
    <row r="77" spans="1:23" x14ac:dyDescent="0.45">
      <c r="A77" s="9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48"/>
      <c r="V77" s="123"/>
      <c r="W77" s="18"/>
    </row>
    <row r="78" spans="1:23" x14ac:dyDescent="0.45">
      <c r="A78" s="4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23"/>
      <c r="W78" s="18"/>
    </row>
    <row r="79" spans="1:23" x14ac:dyDescent="0.45">
      <c r="A79" s="9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48"/>
      <c r="V79" s="123"/>
      <c r="W79" s="18"/>
    </row>
    <row r="80" spans="1:23" x14ac:dyDescent="0.45">
      <c r="A80" s="4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23"/>
      <c r="W80" s="18"/>
    </row>
    <row r="81" spans="1:23" x14ac:dyDescent="0.45">
      <c r="A81" s="9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48"/>
      <c r="V81" s="123"/>
      <c r="W81" s="18"/>
    </row>
    <row r="82" spans="1:23" x14ac:dyDescent="0.45">
      <c r="A82" s="4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23"/>
      <c r="W82" s="18"/>
    </row>
    <row r="83" spans="1:23" x14ac:dyDescent="0.45">
      <c r="A83" s="9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48"/>
      <c r="V83" s="123"/>
      <c r="W83" s="18"/>
    </row>
    <row r="84" spans="1:23" x14ac:dyDescent="0.45">
      <c r="A84" s="4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23"/>
      <c r="W84" s="18"/>
    </row>
    <row r="85" spans="1:23" x14ac:dyDescent="0.45">
      <c r="A85" s="9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48"/>
      <c r="V85" s="123"/>
      <c r="W85" s="18"/>
    </row>
    <row r="86" spans="1:23" x14ac:dyDescent="0.45">
      <c r="A86" s="4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23"/>
      <c r="W86" s="18"/>
    </row>
    <row r="87" spans="1:23" x14ac:dyDescent="0.45">
      <c r="A87" s="9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48"/>
      <c r="V87" s="123"/>
      <c r="W87" s="18"/>
    </row>
    <row r="88" spans="1:23" x14ac:dyDescent="0.45">
      <c r="A88" s="4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23"/>
      <c r="W88" s="18"/>
    </row>
    <row r="89" spans="1:23" x14ac:dyDescent="0.45">
      <c r="A89" s="9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48"/>
      <c r="V89" s="123"/>
      <c r="W89" s="18"/>
    </row>
    <row r="90" spans="1:23" x14ac:dyDescent="0.45">
      <c r="A90" s="4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23"/>
      <c r="W90" s="18"/>
    </row>
    <row r="91" spans="1:23" x14ac:dyDescent="0.45">
      <c r="A91" s="9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48"/>
      <c r="V91" s="123"/>
      <c r="W91" s="18"/>
    </row>
    <row r="92" spans="1:23" x14ac:dyDescent="0.45">
      <c r="A92" s="4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23"/>
      <c r="W92" s="18"/>
    </row>
    <row r="93" spans="1:23" x14ac:dyDescent="0.45">
      <c r="A93" s="9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48"/>
      <c r="V93" s="123"/>
      <c r="W93" s="18"/>
    </row>
    <row r="94" spans="1:23" x14ac:dyDescent="0.45">
      <c r="A94" s="4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23"/>
      <c r="W94" s="18"/>
    </row>
    <row r="95" spans="1:23" x14ac:dyDescent="0.45">
      <c r="A95" s="9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48"/>
      <c r="V95" s="123"/>
      <c r="W95" s="18"/>
    </row>
    <row r="96" spans="1:23" x14ac:dyDescent="0.45">
      <c r="A96" s="4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23"/>
      <c r="W96" s="18"/>
    </row>
    <row r="97" spans="1:23" x14ac:dyDescent="0.45">
      <c r="A97" s="9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48"/>
      <c r="V97" s="123"/>
      <c r="W97" s="18"/>
    </row>
    <row r="98" spans="1:23" x14ac:dyDescent="0.45">
      <c r="A98" s="4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23"/>
      <c r="W98" s="18"/>
    </row>
    <row r="99" spans="1:23" x14ac:dyDescent="0.45">
      <c r="A99" s="9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48"/>
      <c r="V99" s="123"/>
      <c r="W99" s="18"/>
    </row>
    <row r="100" spans="1:23" x14ac:dyDescent="0.45">
      <c r="A100" s="4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23"/>
      <c r="W100" s="18"/>
    </row>
    <row r="101" spans="1:23" x14ac:dyDescent="0.45">
      <c r="A101" s="9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48"/>
      <c r="V101" s="123"/>
      <c r="W101" s="18"/>
    </row>
    <row r="102" spans="1:23" x14ac:dyDescent="0.45">
      <c r="A102" s="4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23"/>
      <c r="W102" s="18"/>
    </row>
    <row r="103" spans="1:23" x14ac:dyDescent="0.45">
      <c r="A103" s="9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48"/>
      <c r="V103" s="123"/>
      <c r="W103" s="18"/>
    </row>
    <row r="104" spans="1:23" x14ac:dyDescent="0.45">
      <c r="A104" s="4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23"/>
      <c r="W104" s="18"/>
    </row>
    <row r="105" spans="1:23" x14ac:dyDescent="0.45">
      <c r="A105" s="9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48"/>
      <c r="V105" s="123"/>
      <c r="W105" s="18"/>
    </row>
    <row r="106" spans="1:23" x14ac:dyDescent="0.45">
      <c r="A106" s="4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23"/>
      <c r="W106" s="18"/>
    </row>
    <row r="107" spans="1:23" x14ac:dyDescent="0.45">
      <c r="A107" s="9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48"/>
      <c r="V107" s="123"/>
      <c r="W107" s="18"/>
    </row>
    <row r="108" spans="1:23" x14ac:dyDescent="0.45">
      <c r="A108" s="4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23"/>
      <c r="W108" s="18"/>
    </row>
    <row r="109" spans="1:23" x14ac:dyDescent="0.45">
      <c r="A109" s="9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48"/>
      <c r="V109" s="123"/>
      <c r="W109" s="18"/>
    </row>
    <row r="110" spans="1:23" x14ac:dyDescent="0.45">
      <c r="A110" s="4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23"/>
      <c r="W110" s="18"/>
    </row>
    <row r="111" spans="1:23" x14ac:dyDescent="0.45">
      <c r="A111" s="9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48"/>
      <c r="V111" s="123"/>
      <c r="W111" s="18"/>
    </row>
    <row r="112" spans="1:23" x14ac:dyDescent="0.45">
      <c r="A112" s="4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23"/>
      <c r="W112" s="18"/>
    </row>
    <row r="113" spans="1:23" x14ac:dyDescent="0.45">
      <c r="A113" s="9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48"/>
      <c r="V113" s="123"/>
      <c r="W113" s="18"/>
    </row>
    <row r="114" spans="1:23" x14ac:dyDescent="0.45">
      <c r="A114" s="4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23"/>
      <c r="W114" s="18"/>
    </row>
    <row r="115" spans="1:23" x14ac:dyDescent="0.45">
      <c r="A115" s="9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48"/>
      <c r="V115" s="123"/>
      <c r="W115" s="18"/>
    </row>
    <row r="116" spans="1:23" x14ac:dyDescent="0.45">
      <c r="A116" s="4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23"/>
      <c r="W116" s="18"/>
    </row>
    <row r="117" spans="1:23" x14ac:dyDescent="0.45">
      <c r="A117" s="9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48"/>
      <c r="V117" s="123"/>
      <c r="W117" s="18"/>
    </row>
    <row r="118" spans="1:23" x14ac:dyDescent="0.45">
      <c r="A118" s="4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23"/>
      <c r="W118" s="18"/>
    </row>
    <row r="119" spans="1:23" x14ac:dyDescent="0.45">
      <c r="A119" s="9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48"/>
      <c r="V119" s="123"/>
      <c r="W119" s="18"/>
    </row>
    <row r="120" spans="1:23" x14ac:dyDescent="0.45">
      <c r="A120" s="4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23"/>
      <c r="W120" s="18"/>
    </row>
    <row r="121" spans="1:23" x14ac:dyDescent="0.45">
      <c r="A121" s="9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48"/>
      <c r="V121" s="123"/>
      <c r="W121" s="18"/>
    </row>
    <row r="122" spans="1:23" x14ac:dyDescent="0.45">
      <c r="A122" s="4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23"/>
      <c r="W122" s="18"/>
    </row>
    <row r="123" spans="1:23" x14ac:dyDescent="0.45">
      <c r="A123" s="9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48"/>
      <c r="V123" s="123"/>
      <c r="W123" s="18"/>
    </row>
    <row r="124" spans="1:23" x14ac:dyDescent="0.45">
      <c r="A124" s="4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23"/>
      <c r="W124" s="18"/>
    </row>
    <row r="125" spans="1:23" x14ac:dyDescent="0.45">
      <c r="A125" s="9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48"/>
      <c r="V125" s="123"/>
      <c r="W125" s="18"/>
    </row>
    <row r="126" spans="1:23" x14ac:dyDescent="0.45">
      <c r="A126" s="4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23"/>
      <c r="W126" s="18"/>
    </row>
    <row r="127" spans="1:23" x14ac:dyDescent="0.45">
      <c r="A127" s="9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48"/>
      <c r="V127" s="123"/>
      <c r="W127" s="18"/>
    </row>
    <row r="128" spans="1:23" x14ac:dyDescent="0.45">
      <c r="A128" s="4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23"/>
      <c r="W128" s="18"/>
    </row>
    <row r="129" spans="1:23" x14ac:dyDescent="0.45">
      <c r="A129" s="9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48"/>
      <c r="V129" s="123"/>
      <c r="W129" s="18"/>
    </row>
    <row r="130" spans="1:23" x14ac:dyDescent="0.45">
      <c r="A130" s="4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23"/>
      <c r="W130" s="18"/>
    </row>
    <row r="131" spans="1:23" x14ac:dyDescent="0.45">
      <c r="A131" s="9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48"/>
      <c r="V131" s="123"/>
      <c r="W131" s="18"/>
    </row>
    <row r="132" spans="1:23" x14ac:dyDescent="0.45">
      <c r="A132" s="4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23"/>
      <c r="W132" s="18"/>
    </row>
    <row r="133" spans="1:23" x14ac:dyDescent="0.45">
      <c r="A133" s="9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48"/>
      <c r="V133" s="123"/>
      <c r="W133" s="18"/>
    </row>
    <row r="134" spans="1:23" x14ac:dyDescent="0.45">
      <c r="A134" s="4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23"/>
      <c r="W134" s="18"/>
    </row>
    <row r="135" spans="1:23" x14ac:dyDescent="0.45">
      <c r="A135" s="9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48"/>
      <c r="V135" s="123"/>
      <c r="W135" s="18"/>
    </row>
    <row r="136" spans="1:23" x14ac:dyDescent="0.45">
      <c r="A136" s="4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23"/>
      <c r="W136" s="18"/>
    </row>
    <row r="137" spans="1:23" x14ac:dyDescent="0.45">
      <c r="A137" s="9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48"/>
      <c r="V137" s="123"/>
      <c r="W137" s="18"/>
    </row>
    <row r="138" spans="1:23" x14ac:dyDescent="0.45">
      <c r="A138" s="4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23"/>
      <c r="W138" s="18"/>
    </row>
    <row r="139" spans="1:23" x14ac:dyDescent="0.45">
      <c r="A139" s="9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48"/>
      <c r="V139" s="123"/>
      <c r="W139" s="18"/>
    </row>
    <row r="140" spans="1:23" x14ac:dyDescent="0.45">
      <c r="A140" s="4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23"/>
      <c r="W140" s="18"/>
    </row>
    <row r="141" spans="1:23" x14ac:dyDescent="0.45">
      <c r="A141" s="9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48"/>
      <c r="V141" s="123"/>
      <c r="W141" s="18"/>
    </row>
    <row r="142" spans="1:23" x14ac:dyDescent="0.45">
      <c r="A142" s="4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23"/>
      <c r="W142" s="18"/>
    </row>
    <row r="143" spans="1:23" x14ac:dyDescent="0.45">
      <c r="A143" s="9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48"/>
      <c r="V143" s="123"/>
      <c r="W143" s="18"/>
    </row>
    <row r="144" spans="1:23" x14ac:dyDescent="0.45">
      <c r="A144" s="4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23"/>
      <c r="W144" s="18"/>
    </row>
    <row r="145" spans="1:23" x14ac:dyDescent="0.45">
      <c r="A145" s="9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48"/>
      <c r="V145" s="123"/>
      <c r="W145" s="18"/>
    </row>
    <row r="146" spans="1:23" x14ac:dyDescent="0.45">
      <c r="A146" s="5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13"/>
      <c r="W146" s="16"/>
    </row>
    <row r="147" spans="1:23" x14ac:dyDescent="0.45">
      <c r="A147" s="7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44"/>
      <c r="V147" s="114"/>
      <c r="W147" s="45"/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N154"/>
  <sheetViews>
    <sheetView tabSelected="1" zoomScale="60" zoomScaleNormal="60" workbookViewId="0">
      <pane xSplit="1" ySplit="5" topLeftCell="L6" activePane="bottomRight" state="frozen"/>
      <selection pane="topRight" activeCell="B1" sqref="B1"/>
      <selection pane="bottomLeft" activeCell="A6" sqref="A6"/>
      <selection pane="bottomRight" activeCell="L150" sqref="L150:L151"/>
    </sheetView>
  </sheetViews>
  <sheetFormatPr defaultRowHeight="16.2" customHeight="1" x14ac:dyDescent="0.35"/>
  <cols>
    <col min="1" max="1" width="26.69921875" style="221" customWidth="1"/>
    <col min="2" max="2" width="10.59765625" style="129" customWidth="1"/>
    <col min="3" max="3" width="5.09765625" style="129" customWidth="1"/>
    <col min="4" max="4" width="10.59765625" style="129" customWidth="1"/>
    <col min="5" max="5" width="5.09765625" style="129" customWidth="1"/>
    <col min="6" max="6" width="10.8984375" style="130" customWidth="1"/>
    <col min="7" max="7" width="5.09765625" style="206" customWidth="1"/>
    <col min="8" max="8" width="10.59765625" style="206" customWidth="1"/>
    <col min="9" max="9" width="5.09765625" style="206" customWidth="1"/>
    <col min="10" max="10" width="10.59765625" style="206" customWidth="1"/>
    <col min="11" max="11" width="5.09765625" style="131" customWidth="1"/>
    <col min="12" max="12" width="10.59765625" style="206" customWidth="1"/>
    <col min="13" max="13" width="5.09765625" style="129" customWidth="1"/>
    <col min="14" max="14" width="10.59765625" style="129" customWidth="1"/>
    <col min="15" max="15" width="5.09765625" style="129" customWidth="1"/>
    <col min="16" max="16" width="10.59765625" style="129" customWidth="1"/>
    <col min="17" max="17" width="5.09765625" style="129" customWidth="1"/>
    <col min="18" max="18" width="10.59765625" style="129" customWidth="1"/>
    <col min="19" max="19" width="5.09765625" style="129" customWidth="1"/>
    <col min="20" max="20" width="10.59765625" style="129" customWidth="1"/>
    <col min="21" max="21" width="5.09765625" style="129" customWidth="1"/>
    <col min="22" max="22" width="10.59765625" style="133" customWidth="1"/>
    <col min="23" max="23" width="5.09765625" style="131" customWidth="1"/>
    <col min="24" max="24" width="10.59765625" style="173" customWidth="1"/>
    <col min="25" max="25" width="5.09765625" style="129" customWidth="1"/>
    <col min="26" max="26" width="10.59765625" style="133" customWidth="1"/>
    <col min="27" max="27" width="5.09765625" style="131" customWidth="1"/>
    <col min="28" max="28" width="10.59765625" style="173" customWidth="1"/>
    <col min="29" max="29" width="5.09765625" style="129" customWidth="1"/>
    <col min="30" max="30" width="10.59765625" style="133" customWidth="1"/>
    <col min="31" max="31" width="5.09765625" style="131" customWidth="1"/>
    <col min="32" max="32" width="10.59765625" style="173" customWidth="1"/>
    <col min="33" max="33" width="5.09765625" style="129" customWidth="1"/>
    <col min="34" max="34" width="10.59765625" style="133" customWidth="1"/>
    <col min="35" max="35" width="5.09765625" style="131" customWidth="1"/>
    <col min="36" max="36" width="10.59765625" style="173" customWidth="1"/>
    <col min="37" max="37" width="5.09765625" style="129" customWidth="1"/>
    <col min="38" max="38" width="11.3984375" style="134" customWidth="1"/>
    <col min="39" max="39" width="32.796875" style="221" customWidth="1"/>
    <col min="40" max="40" width="27.69921875" style="221" customWidth="1"/>
    <col min="41" max="42" width="8.796875" style="128" customWidth="1"/>
    <col min="43" max="16384" width="8.796875" style="128"/>
  </cols>
  <sheetData>
    <row r="1" spans="1:40" s="215" customFormat="1" ht="16.2" customHeight="1" x14ac:dyDescent="0.45">
      <c r="B1" s="252"/>
      <c r="C1" s="252"/>
      <c r="D1" s="252"/>
      <c r="E1" s="252"/>
      <c r="F1" s="253"/>
      <c r="G1" s="254"/>
      <c r="H1" s="254"/>
      <c r="I1" s="254"/>
      <c r="J1" s="254"/>
      <c r="K1" s="255"/>
      <c r="L1" s="252"/>
      <c r="M1" s="252"/>
      <c r="N1" s="252"/>
      <c r="O1" s="252"/>
      <c r="P1" s="252"/>
      <c r="Q1" s="252"/>
      <c r="R1" s="252"/>
      <c r="S1" s="252"/>
      <c r="T1" s="252"/>
      <c r="U1" s="252"/>
      <c r="V1" s="253"/>
      <c r="W1" s="255"/>
      <c r="X1" s="252"/>
      <c r="Y1" s="252"/>
      <c r="Z1" s="253"/>
      <c r="AA1" s="255"/>
      <c r="AB1" s="252"/>
      <c r="AC1" s="252"/>
      <c r="AD1" s="253"/>
      <c r="AE1" s="255"/>
      <c r="AF1" s="252"/>
      <c r="AG1" s="252"/>
      <c r="AH1" s="253"/>
      <c r="AI1" s="255"/>
      <c r="AJ1" s="252"/>
      <c r="AK1" s="256"/>
      <c r="AL1" s="257"/>
      <c r="AM1" s="258" t="s">
        <v>247</v>
      </c>
    </row>
    <row r="2" spans="1:40" s="215" customFormat="1" ht="16.2" customHeight="1" x14ac:dyDescent="0.45">
      <c r="A2" s="215" t="str">
        <f>貼り付け用!A2&amp;"　"&amp;貼り付け用!B2&amp;"　"&amp;貼り付け用!C2</f>
        <v>日付 令和07年06月18日　水曜日　</v>
      </c>
      <c r="B2" s="252"/>
      <c r="C2" s="252"/>
      <c r="D2" s="252"/>
      <c r="E2" s="252"/>
      <c r="F2" s="253"/>
      <c r="G2" s="254"/>
      <c r="H2" s="254"/>
      <c r="I2" s="254"/>
      <c r="J2" s="254"/>
      <c r="K2" s="255"/>
      <c r="L2" s="252"/>
      <c r="M2" s="252"/>
      <c r="N2" s="252"/>
      <c r="O2" s="252"/>
      <c r="P2" s="252" t="s">
        <v>0</v>
      </c>
      <c r="Q2" s="252"/>
      <c r="R2" s="252"/>
      <c r="S2" s="252"/>
      <c r="T2" s="252" t="s">
        <v>1</v>
      </c>
      <c r="U2" s="252"/>
      <c r="V2" s="253"/>
      <c r="W2" s="255"/>
      <c r="X2" s="252" t="s">
        <v>0</v>
      </c>
      <c r="Y2" s="252"/>
      <c r="Z2" s="253"/>
      <c r="AA2" s="255"/>
      <c r="AB2" s="252" t="s">
        <v>4</v>
      </c>
      <c r="AC2" s="252"/>
      <c r="AD2" s="253"/>
      <c r="AE2" s="255"/>
      <c r="AF2" s="252"/>
      <c r="AG2" s="252"/>
      <c r="AH2" s="259"/>
      <c r="AI2" s="255"/>
      <c r="AJ2" s="252"/>
      <c r="AK2" s="252"/>
      <c r="AL2" s="260" t="s">
        <v>5</v>
      </c>
      <c r="AM2" s="215" t="str">
        <f>貼り付け用!T2&amp;"　"&amp;貼り付け用!U2&amp;"　"&amp;貼り付け用!V2&amp;"　"&amp;貼り付け用!W2</f>
        <v>1　　　</v>
      </c>
    </row>
    <row r="3" spans="1:40" s="241" customFormat="1" ht="16.2" customHeight="1" x14ac:dyDescent="0.45">
      <c r="A3" s="216"/>
      <c r="B3" s="226" t="s">
        <v>8</v>
      </c>
      <c r="C3" s="227"/>
      <c r="D3" s="228" t="s">
        <v>8</v>
      </c>
      <c r="E3" s="229"/>
      <c r="F3" s="230" t="s">
        <v>9</v>
      </c>
      <c r="G3" s="231"/>
      <c r="H3" s="231" t="s">
        <v>9</v>
      </c>
      <c r="I3" s="231"/>
      <c r="J3" s="231" t="s">
        <v>9</v>
      </c>
      <c r="K3" s="232"/>
      <c r="L3" s="233" t="s">
        <v>10</v>
      </c>
      <c r="M3" s="231"/>
      <c r="N3" s="231" t="s">
        <v>10</v>
      </c>
      <c r="O3" s="231"/>
      <c r="P3" s="231" t="s">
        <v>10</v>
      </c>
      <c r="Q3" s="231"/>
      <c r="R3" s="231" t="s">
        <v>10</v>
      </c>
      <c r="S3" s="231"/>
      <c r="T3" s="231" t="s">
        <v>10</v>
      </c>
      <c r="U3" s="231"/>
      <c r="V3" s="234">
        <f>数出表_Excel!L3</f>
        <v>0</v>
      </c>
      <c r="W3" s="232">
        <f>IF(V3&lt;&gt;"",0,"")</f>
        <v>0</v>
      </c>
      <c r="X3" s="235">
        <f>数出表_Excel!M3</f>
        <v>0</v>
      </c>
      <c r="Y3" s="232">
        <f>IF(X3&lt;&gt;"",0,"")</f>
        <v>0</v>
      </c>
      <c r="Z3" s="234">
        <f>数出表_Excel!N3</f>
        <v>0</v>
      </c>
      <c r="AA3" s="232">
        <f>IF(Z3&lt;&gt;"",0,"")</f>
        <v>0</v>
      </c>
      <c r="AB3" s="235">
        <f>数出表_Excel!O3</f>
        <v>0</v>
      </c>
      <c r="AC3" s="232">
        <f>IF(AB3&lt;&gt;"",0,"")</f>
        <v>0</v>
      </c>
      <c r="AD3" s="234">
        <f>数出表_Excel!P3</f>
        <v>0</v>
      </c>
      <c r="AE3" s="232">
        <f>IF(AD3&lt;&gt;"",0,"")</f>
        <v>0</v>
      </c>
      <c r="AF3" s="236">
        <f>数出表_Excel!Q3</f>
        <v>0</v>
      </c>
      <c r="AG3" s="237">
        <f>IF(AF3&lt;&gt;"",0,"")</f>
        <v>0</v>
      </c>
      <c r="AH3" s="234">
        <f>数出表_Excel!R3</f>
        <v>0</v>
      </c>
      <c r="AI3" s="232">
        <f>IF(AH3&lt;&gt;"",0,"")</f>
        <v>0</v>
      </c>
      <c r="AJ3" s="236">
        <f>数出表_Excel!S3</f>
        <v>0</v>
      </c>
      <c r="AK3" s="237">
        <f>IF(AJ3&lt;&gt;"",0,"")</f>
        <v>0</v>
      </c>
      <c r="AL3" s="238" t="s">
        <v>14</v>
      </c>
      <c r="AM3" s="239"/>
      <c r="AN3" s="240"/>
    </row>
    <row r="4" spans="1:40" s="215" customFormat="1" ht="16.2" customHeight="1" x14ac:dyDescent="0.45">
      <c r="A4" s="217" t="s">
        <v>15</v>
      </c>
      <c r="B4" s="242" t="s">
        <v>16</v>
      </c>
      <c r="C4" s="242"/>
      <c r="D4" s="242" t="s">
        <v>16</v>
      </c>
      <c r="E4" s="243"/>
      <c r="F4" s="244" t="s">
        <v>16</v>
      </c>
      <c r="G4" s="242"/>
      <c r="H4" s="242" t="s">
        <v>17</v>
      </c>
      <c r="I4" s="242"/>
      <c r="J4" s="242" t="s">
        <v>18</v>
      </c>
      <c r="K4" s="245"/>
      <c r="L4" s="242" t="s">
        <v>16</v>
      </c>
      <c r="M4" s="242"/>
      <c r="N4" s="242" t="s">
        <v>16</v>
      </c>
      <c r="O4" s="242"/>
      <c r="P4" s="242" t="s">
        <v>17</v>
      </c>
      <c r="Q4" s="242"/>
      <c r="R4" s="242" t="s">
        <v>17</v>
      </c>
      <c r="S4" s="242"/>
      <c r="T4" s="242" t="s">
        <v>18</v>
      </c>
      <c r="U4" s="243"/>
      <c r="V4" s="246"/>
      <c r="W4" s="245"/>
      <c r="X4" s="247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243"/>
      <c r="Z4" s="248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245"/>
      <c r="AB4" s="247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243"/>
      <c r="AD4" s="248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245"/>
      <c r="AF4" s="247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243"/>
      <c r="AH4" s="248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245"/>
      <c r="AJ4" s="247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243"/>
      <c r="AL4" s="249"/>
      <c r="AM4" s="250"/>
      <c r="AN4" s="251"/>
    </row>
    <row r="5" spans="1:40" ht="16.2" customHeight="1" x14ac:dyDescent="0.45">
      <c r="A5" s="218"/>
      <c r="B5" s="135">
        <v>100</v>
      </c>
      <c r="C5" s="135"/>
      <c r="D5" s="135">
        <v>150</v>
      </c>
      <c r="E5" s="136"/>
      <c r="F5" s="137">
        <v>120</v>
      </c>
      <c r="G5" s="135"/>
      <c r="H5" s="135" t="s">
        <v>22</v>
      </c>
      <c r="I5" s="135"/>
      <c r="J5" s="135"/>
      <c r="K5" s="138"/>
      <c r="L5" s="135">
        <v>120</v>
      </c>
      <c r="M5" s="135"/>
      <c r="N5" s="135">
        <v>100</v>
      </c>
      <c r="O5" s="135"/>
      <c r="P5" s="135" t="s">
        <v>22</v>
      </c>
      <c r="Q5" s="135"/>
      <c r="R5" s="135" t="s">
        <v>23</v>
      </c>
      <c r="S5" s="135"/>
      <c r="T5" s="135"/>
      <c r="U5" s="136"/>
      <c r="V5" s="137"/>
      <c r="W5" s="138"/>
      <c r="X5" s="135"/>
      <c r="Y5" s="136"/>
      <c r="Z5" s="137"/>
      <c r="AA5" s="138"/>
      <c r="AB5" s="135"/>
      <c r="AC5" s="136"/>
      <c r="AD5" s="137"/>
      <c r="AE5" s="138"/>
      <c r="AF5" s="135"/>
      <c r="AG5" s="136"/>
      <c r="AH5" s="137"/>
      <c r="AI5" s="138"/>
      <c r="AJ5" s="135"/>
      <c r="AK5" s="136"/>
      <c r="AL5" s="139"/>
      <c r="AM5" s="250"/>
      <c r="AN5" s="251"/>
    </row>
    <row r="6" spans="1:40" ht="16.2" customHeight="1" x14ac:dyDescent="0.45">
      <c r="A6" s="219" t="str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5100</v>
      </c>
      <c r="B6" s="204" t="str">
        <f ca="1">IFERROR(VALUE(IF(VLOOKUP($A6,数出表_Excel!$A$6:$T$150,COLUMN()/2+1,FALSE)=0,"",VLOOKUP($A6,数出表_Excel!$A$6:$T$150,COLUMN()/2+1,FALSE))),"")</f>
        <v/>
      </c>
      <c r="C6" s="141">
        <v>4</v>
      </c>
      <c r="D6" s="204" t="str">
        <f ca="1">IFERROR(VALUE(IF(VLOOKUP($A6,数出表_Excel!$A$6:$T$150,COLUMN()/2+1,FALSE)=0,"",VLOOKUP($A6,数出表_Excel!$A$6:$T$150,COLUMN()/2+1,FALSE))),"")</f>
        <v/>
      </c>
      <c r="E6" s="141">
        <v>2</v>
      </c>
      <c r="F6" s="207" t="str">
        <f ca="1">IFERROR(VALUE(IF(VLOOKUP($A6,数出表_Excel!$A$6:$T$150,COLUMN()/2+1,FALSE)=0,"",VLOOKUP($A6,数出表_Excel!$A$6:$T$150,COLUMN()/2+1,FALSE))),"")</f>
        <v/>
      </c>
      <c r="G6" s="141"/>
      <c r="H6" s="204" t="str">
        <f ca="1">IFERROR(VALUE(IF(VLOOKUP($A6,数出表_Excel!$A$6:$T$150,COLUMN()/2+1,FALSE)=0,"",VLOOKUP($A6,数出表_Excel!$A$6:$T$150,COLUMN()/2+1,FALSE))),"")</f>
        <v/>
      </c>
      <c r="I6" s="141"/>
      <c r="J6" s="204" t="str">
        <f ca="1">IFERROR(VALUE(IF(VLOOKUP($A6,数出表_Excel!$A$6:$T$150,COLUMN()/2+1,FALSE)=0,"",VLOOKUP($A6,数出表_Excel!$A$6:$T$150,COLUMN()/2+1,FALSE))),"")</f>
        <v/>
      </c>
      <c r="K6" s="208"/>
      <c r="L6" s="205" t="str">
        <f ca="1">IFERROR(VALUE(IF(VLOOKUP($A6,数出表_Excel!$A$6:$T$150,COLUMN()/2+1,FALSE)=0,"",VLOOKUP($A6,数出表_Excel!$A$6:$T$150,COLUMN()/2+1,FALSE))),"")</f>
        <v/>
      </c>
      <c r="M6" s="141"/>
      <c r="N6" s="204" t="str">
        <f ca="1">IFERROR(VALUE(IF(VLOOKUP($A6,数出表_Excel!$A$6:$T$150,COLUMN()/2+1,FALSE)=0,"",VLOOKUP($A6,数出表_Excel!$A$6:$T$150,COLUMN()/2+1,FALSE))),"")</f>
        <v/>
      </c>
      <c r="O6" s="141"/>
      <c r="P6" s="204" t="str">
        <f ca="1">IFERROR(VALUE(IF(VLOOKUP($A6,数出表_Excel!$A$6:$T$150,COLUMN()/2+1,FALSE)=0,"",VLOOKUP($A6,数出表_Excel!$A$6:$T$150,COLUMN()/2+1,FALSE))),"")</f>
        <v/>
      </c>
      <c r="Q6" s="141"/>
      <c r="R6" s="204" t="str">
        <f ca="1">IFERROR(VALUE(IF(VLOOKUP($A6,数出表_Excel!$A$6:$T$150,COLUMN()/2+1,FALSE)=0,"",VLOOKUP($A6,数出表_Excel!$A$6:$T$150,COLUMN()/2+1,FALSE))),"")</f>
        <v/>
      </c>
      <c r="S6" s="141"/>
      <c r="T6" s="204" t="str">
        <f ca="1">IFERROR(VALUE(IF(VLOOKUP($A6,数出表_Excel!$A$6:$T$150,COLUMN()/2+1,FALSE)=0,"",VLOOKUP($A6,数出表_Excel!$A$6:$T$150,COLUMN()/2+1,FALSE))),"")</f>
        <v/>
      </c>
      <c r="U6" s="141"/>
      <c r="V6" s="207" t="str">
        <f ca="1">IFERROR(VALUE(IF(VLOOKUP($A6,数出表_Excel!$A$6:$T$150,COLUMN()/2+1,FALSE)=0,"",VLOOKUP($A6,数出表_Excel!$A$6:$T$150,COLUMN()/2+1,FALSE))),"")</f>
        <v/>
      </c>
      <c r="W6" s="141"/>
      <c r="X6" s="207" t="str">
        <f ca="1">IFERROR(VALUE(IF(VLOOKUP($A6,数出表_Excel!$A$6:$T$150,COLUMN()/2+1,FALSE)=0,"",VLOOKUP($A6,数出表_Excel!$A$6:$T$150,COLUMN()/2+1,FALSE))),"")</f>
        <v/>
      </c>
      <c r="Y6" s="141"/>
      <c r="Z6" s="207" t="str">
        <f ca="1">IFERROR(VALUE(IF(VLOOKUP($A6,数出表_Excel!$A$6:$T$150,COLUMN()/2+1,FALSE)=0,"",VLOOKUP($A6,数出表_Excel!$A$6:$T$150,COLUMN()/2+1,FALSE))),"")</f>
        <v/>
      </c>
      <c r="AA6" s="208"/>
      <c r="AB6" s="205" t="str">
        <f ca="1">IFERROR(VALUE(IF(VLOOKUP($A6,数出表_Excel!$A$6:$T$150,COLUMN()/2+1,FALSE)=0,"",VLOOKUP($A6,数出表_Excel!$A$6:$T$150,COLUMN()/2+1,FALSE))),"")</f>
        <v/>
      </c>
      <c r="AC6" s="141"/>
      <c r="AD6" s="207" t="str">
        <f ca="1">IFERROR(VALUE(IF(VLOOKUP($A6,数出表_Excel!$A$6:$T$150,COLUMN()/2+1,FALSE)=0,"",VLOOKUP($A6,数出表_Excel!$A$6:$T$150,COLUMN()/2+1,FALSE))),"")</f>
        <v/>
      </c>
      <c r="AE6" s="141"/>
      <c r="AF6" s="207" t="str">
        <f ca="1">IFERROR(VALUE(IF(VLOOKUP($A6,数出表_Excel!$A$6:$T$150,COLUMN()/2+1,FALSE)=0,"",VLOOKUP($A6,数出表_Excel!$A$6:$T$150,COLUMN()/2+1,FALSE))),"")</f>
        <v/>
      </c>
      <c r="AG6" s="141"/>
      <c r="AH6" s="207" t="str">
        <f ca="1">IFERROR(VALUE(IF(VLOOKUP($A6,数出表_Excel!$A$6:$T$150,COLUMN()/2+1,FALSE)=0,"",VLOOKUP($A6,数出表_Excel!$A$6:$T$150,COLUMN()/2+1,FALSE))),"")</f>
        <v/>
      </c>
      <c r="AI6" s="208"/>
      <c r="AJ6" s="205" t="str">
        <f ca="1">IFERROR(VALUE(IF(VLOOKUP($A6,数出表_Excel!$A$6:$T$150,COLUMN()/2+1,FALSE)=0,"",VLOOKUP($A6,数出表_Excel!$A$6:$T$150,COLUMN()/2+1,FALSE))),"")</f>
        <v/>
      </c>
      <c r="AK6" s="141"/>
      <c r="AL6" s="145" t="e">
        <f ca="1">IF(A6&lt;&gt;"",
IF(VLOOKUP($A6,数出表_Excel!$A$6:$T$150,COLUMN()/2+1,FALSE)=0,"",VLOOKUP($A6,数出表_Excel!$A$6:$T$150,COLUMN()/2+1,FALSE)),"")</f>
        <v>#N/A</v>
      </c>
      <c r="AM6" s="261">
        <f>数出表_Excel!V6</f>
        <v>0</v>
      </c>
      <c r="AN6" s="262">
        <f>数出表_Excel!W6</f>
        <v>0</v>
      </c>
    </row>
    <row r="7" spans="1:40" ht="16.2" customHeight="1" x14ac:dyDescent="0.45">
      <c r="A7" s="220" t="str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雙葉小学校 ①</v>
      </c>
      <c r="B7" s="142" t="str">
        <f ca="1">IFERROR(VALUE(IF(VLOOKUP($A7,数出表_Excel!$A$6:$T$150,COLUMN()/2+1,FALSE)=0,"",VLOOKUP($A7,数出表_Excel!$A$6:$T$150,COLUMN()/2+1,FALSE))),"")</f>
        <v/>
      </c>
      <c r="C7" s="142"/>
      <c r="D7" s="142" t="str">
        <f ca="1">IFERROR(VALUE(IF(VLOOKUP($A7,数出表_Excel!$A$6:$T$150,COLUMN()/2+1,FALSE)=0,"",VLOOKUP($A7,数出表_Excel!$A$6:$T$150,COLUMN()/2+1,FALSE))),"")</f>
        <v/>
      </c>
      <c r="E7" s="142"/>
      <c r="F7" s="146" t="str">
        <f ca="1">IFERROR(VALUE(IF(VLOOKUP($A7,数出表_Excel!$A$6:$T$150,COLUMN()/2+1,FALSE)=0,"",VLOOKUP($A7,数出表_Excel!$A$6:$T$150,COLUMN()/2+1,FALSE))),"")</f>
        <v/>
      </c>
      <c r="G7" s="142"/>
      <c r="H7" s="142" t="str">
        <f ca="1">IFERROR(VALUE(IF(VLOOKUP($A7,数出表_Excel!$A$6:$T$150,COLUMN()/2+1,FALSE)=0,"",VLOOKUP($A7,数出表_Excel!$A$6:$T$150,COLUMN()/2+1,FALSE))),"")</f>
        <v/>
      </c>
      <c r="I7" s="142"/>
      <c r="J7" s="142" t="str">
        <f ca="1">IFERROR(VALUE(IF(VLOOKUP($A7,数出表_Excel!$A$6:$T$150,COLUMN()/2+1,FALSE)=0,"",VLOOKUP($A7,数出表_Excel!$A$6:$T$150,COLUMN()/2+1,FALSE))),"")</f>
        <v/>
      </c>
      <c r="K7" s="209"/>
      <c r="L7" s="147" t="str">
        <f ca="1">IFERROR(VALUE(IF(VLOOKUP($A7,数出表_Excel!$A$6:$T$150,COLUMN()/2+1,FALSE)=0,"",VLOOKUP($A7,数出表_Excel!$A$6:$T$150,COLUMN()/2+1,FALSE))),"")</f>
        <v/>
      </c>
      <c r="M7" s="142"/>
      <c r="N7" s="142" t="str">
        <f ca="1">IFERROR(VALUE(IF(VLOOKUP($A7,数出表_Excel!$A$6:$T$150,COLUMN()/2+1,FALSE)=0,"",VLOOKUP($A7,数出表_Excel!$A$6:$T$150,COLUMN()/2+1,FALSE))),"")</f>
        <v/>
      </c>
      <c r="O7" s="142"/>
      <c r="P7" s="142" t="str">
        <f ca="1">IFERROR(VALUE(IF(VLOOKUP($A7,数出表_Excel!$A$6:$T$150,COLUMN()/2+1,FALSE)=0,"",VLOOKUP($A7,数出表_Excel!$A$6:$T$150,COLUMN()/2+1,FALSE))),"")</f>
        <v/>
      </c>
      <c r="Q7" s="142"/>
      <c r="R7" s="142" t="str">
        <f ca="1">IFERROR(VALUE(IF(VLOOKUP($A7,数出表_Excel!$A$6:$T$150,COLUMN()/2+1,FALSE)=0,"",VLOOKUP($A7,数出表_Excel!$A$6:$T$150,COLUMN()/2+1,FALSE))),"")</f>
        <v/>
      </c>
      <c r="S7" s="142"/>
      <c r="T7" s="142" t="str">
        <f ca="1">IFERROR(VALUE(IF(VLOOKUP($A7,数出表_Excel!$A$6:$T$150,COLUMN()/2+1,FALSE)=0,"",VLOOKUP($A7,数出表_Excel!$A$6:$T$150,COLUMN()/2+1,FALSE))),"")</f>
        <v/>
      </c>
      <c r="U7" s="142"/>
      <c r="V7" s="146" t="str">
        <f ca="1">IFERROR(VALUE(IF(VLOOKUP($A7,数出表_Excel!$A$6:$T$150,COLUMN()/2+1,FALSE)=0,"",VLOOKUP($A7,数出表_Excel!$A$6:$T$150,COLUMN()/2+1,FALSE))),"")</f>
        <v/>
      </c>
      <c r="W7" s="142"/>
      <c r="X7" s="146" t="str">
        <f ca="1">IFERROR(VALUE(IF(VLOOKUP($A7,数出表_Excel!$A$6:$T$150,COLUMN()/2+1,FALSE)=0,"",VLOOKUP($A7,数出表_Excel!$A$6:$T$150,COLUMN()/2+1,FALSE))),"")</f>
        <v/>
      </c>
      <c r="Y7" s="142"/>
      <c r="Z7" s="146" t="str">
        <f ca="1">IFERROR(VALUE(IF(VLOOKUP($A7,数出表_Excel!$A$6:$T$150,COLUMN()/2+1,FALSE)=0,"",VLOOKUP($A7,数出表_Excel!$A$6:$T$150,COLUMN()/2+1,FALSE))),"")</f>
        <v/>
      </c>
      <c r="AA7" s="209"/>
      <c r="AB7" s="147" t="str">
        <f ca="1">IFERROR(VALUE(IF(VLOOKUP($A7,数出表_Excel!$A$6:$T$150,COLUMN()/2+1,FALSE)=0,"",VLOOKUP($A7,数出表_Excel!$A$6:$T$150,COLUMN()/2+1,FALSE))),"")</f>
        <v/>
      </c>
      <c r="AC7" s="142"/>
      <c r="AD7" s="146" t="str">
        <f ca="1">IFERROR(VALUE(IF(VLOOKUP($A7,数出表_Excel!$A$6:$T$150,COLUMN()/2+1,FALSE)=0,"",VLOOKUP($A7,数出表_Excel!$A$6:$T$150,COLUMN()/2+1,FALSE))),"")</f>
        <v/>
      </c>
      <c r="AE7" s="142"/>
      <c r="AF7" s="146" t="str">
        <f ca="1">IFERROR(VALUE(IF(VLOOKUP($A7,数出表_Excel!$A$6:$T$150,COLUMN()/2+1,FALSE)=0,"",VLOOKUP($A7,数出表_Excel!$A$6:$T$150,COLUMN()/2+1,FALSE))),"")</f>
        <v/>
      </c>
      <c r="AG7" s="142"/>
      <c r="AH7" s="146" t="str">
        <f ca="1">IFERROR(VALUE(IF(VLOOKUP($A7,数出表_Excel!$A$6:$T$150,COLUMN()/2+1,FALSE)=0,"",VLOOKUP($A7,数出表_Excel!$A$6:$T$150,COLUMN()/2+1,FALSE))),"")</f>
        <v/>
      </c>
      <c r="AI7" s="209"/>
      <c r="AJ7" s="147" t="str">
        <f ca="1">IFERROR(VALUE(IF(VLOOKUP($A7,数出表_Excel!$A$6:$T$150,COLUMN()/2+1,FALSE)=0,"",VLOOKUP($A7,数出表_Excel!$A$6:$T$150,COLUMN()/2+1,FALSE))),"")</f>
        <v/>
      </c>
      <c r="AK7" s="142"/>
      <c r="AL7" s="148" t="e">
        <f ca="1">IF(A7&lt;&gt;"",
IF(VLOOKUP($A7,数出表_Excel!$A$6:$T$150,COLUMN()/2+1,FALSE)=0,"",VLOOKUP($A7,数出表_Excel!$A$6:$T$150,COLUMN()/2+1,FALSE)),"")</f>
        <v>#N/A</v>
      </c>
      <c r="AM7" s="263">
        <f>数出表_Excel!V7</f>
        <v>0</v>
      </c>
      <c r="AN7" s="264">
        <f>数出表_Excel!W7</f>
        <v>0</v>
      </c>
    </row>
    <row r="8" spans="1:40" ht="16.2" customHeight="1" x14ac:dyDescent="0.45">
      <c r="A8" s="219" t="str">
        <f t="array" aca="1" ref="A8" ca="1">IF(OR(COUNTIF(A6,"*10002*"),COUNTIF(A6,"")),"",INDEX(貼り付け用!$A:$A,MATCH(A6,貼り付け用!$A:$A,0)+2,0))</f>
        <v>5102</v>
      </c>
      <c r="B8" s="204" t="str">
        <f ca="1">IFERROR(VALUE(IF(VLOOKUP($A8,数出表_Excel!$A$6:$T$150,COLUMN()/2+1,FALSE)=0,"",VLOOKUP($A8,数出表_Excel!$A$6:$T$150,COLUMN()/2+1,FALSE))),"")</f>
        <v/>
      </c>
      <c r="C8" s="141"/>
      <c r="D8" s="204" t="str">
        <f ca="1">IFERROR(VALUE(IF(VLOOKUP($A8,数出表_Excel!$A$6:$T$150,COLUMN()/2+1,FALSE)=0,"",VLOOKUP($A8,数出表_Excel!$A$6:$T$150,COLUMN()/2+1,FALSE))),"")</f>
        <v/>
      </c>
      <c r="E8" s="141"/>
      <c r="F8" s="207" t="str">
        <f ca="1">IFERROR(VALUE(IF(VLOOKUP($A8,数出表_Excel!$A$6:$T$150,COLUMN()/2+1,FALSE)=0,"",VLOOKUP($A8,数出表_Excel!$A$6:$T$150,COLUMN()/2+1,FALSE))),"")</f>
        <v/>
      </c>
      <c r="G8" s="141"/>
      <c r="H8" s="204" t="str">
        <f ca="1">IFERROR(VALUE(IF(VLOOKUP($A8,数出表_Excel!$A$6:$T$150,COLUMN()/2+1,FALSE)=0,"",VLOOKUP($A8,数出表_Excel!$A$6:$T$150,COLUMN()/2+1,FALSE))),"")</f>
        <v/>
      </c>
      <c r="I8" s="141"/>
      <c r="J8" s="204" t="str">
        <f ca="1">IFERROR(VALUE(IF(VLOOKUP($A8,数出表_Excel!$A$6:$T$150,COLUMN()/2+1,FALSE)=0,"",VLOOKUP($A8,数出表_Excel!$A$6:$T$150,COLUMN()/2+1,FALSE))),"")</f>
        <v/>
      </c>
      <c r="K8" s="208"/>
      <c r="L8" s="205" t="str">
        <f ca="1">IFERROR(VALUE(IF(VLOOKUP($A8,数出表_Excel!$A$6:$T$150,COLUMN()/2+1,FALSE)=0,"",VLOOKUP($A8,数出表_Excel!$A$6:$T$150,COLUMN()/2+1,FALSE))),"")</f>
        <v/>
      </c>
      <c r="M8" s="141"/>
      <c r="N8" s="204" t="str">
        <f ca="1">IFERROR(VALUE(IF(VLOOKUP($A8,数出表_Excel!$A$6:$T$150,COLUMN()/2+1,FALSE)=0,"",VLOOKUP($A8,数出表_Excel!$A$6:$T$150,COLUMN()/2+1,FALSE))),"")</f>
        <v/>
      </c>
      <c r="O8" s="141"/>
      <c r="P8" s="204" t="str">
        <f ca="1">IFERROR(VALUE(IF(VLOOKUP($A8,数出表_Excel!$A$6:$T$150,COLUMN()/2+1,FALSE)=0,"",VLOOKUP($A8,数出表_Excel!$A$6:$T$150,COLUMN()/2+1,FALSE))),"")</f>
        <v/>
      </c>
      <c r="Q8" s="141"/>
      <c r="R8" s="204" t="str">
        <f ca="1">IFERROR(VALUE(IF(VLOOKUP($A8,数出表_Excel!$A$6:$T$150,COLUMN()/2+1,FALSE)=0,"",VLOOKUP($A8,数出表_Excel!$A$6:$T$150,COLUMN()/2+1,FALSE))),"")</f>
        <v/>
      </c>
      <c r="S8" s="141"/>
      <c r="T8" s="204" t="str">
        <f ca="1">IFERROR(VALUE(IF(VLOOKUP($A8,数出表_Excel!$A$6:$T$150,COLUMN()/2+1,FALSE)=0,"",VLOOKUP($A8,数出表_Excel!$A$6:$T$150,COLUMN()/2+1,FALSE))),"")</f>
        <v/>
      </c>
      <c r="U8" s="141"/>
      <c r="V8" s="207" t="str">
        <f ca="1">IFERROR(VALUE(IF(VLOOKUP($A8,数出表_Excel!$A$6:$T$150,COLUMN()/2+1,FALSE)=0,"",VLOOKUP($A8,数出表_Excel!$A$6:$T$150,COLUMN()/2+1,FALSE))),"")</f>
        <v/>
      </c>
      <c r="W8" s="141"/>
      <c r="X8" s="207" t="str">
        <f ca="1">IFERROR(VALUE(IF(VLOOKUP($A8,数出表_Excel!$A$6:$T$150,COLUMN()/2+1,FALSE)=0,"",VLOOKUP($A8,数出表_Excel!$A$6:$T$150,COLUMN()/2+1,FALSE))),"")</f>
        <v/>
      </c>
      <c r="Y8" s="141"/>
      <c r="Z8" s="207" t="str">
        <f ca="1">IFERROR(VALUE(IF(VLOOKUP($A8,数出表_Excel!$A$6:$T$150,COLUMN()/2+1,FALSE)=0,"",VLOOKUP($A8,数出表_Excel!$A$6:$T$150,COLUMN()/2+1,FALSE))),"")</f>
        <v/>
      </c>
      <c r="AA8" s="208"/>
      <c r="AB8" s="205" t="str">
        <f ca="1">IFERROR(VALUE(IF(VLOOKUP($A8,数出表_Excel!$A$6:$T$150,COLUMN()/2+1,FALSE)=0,"",VLOOKUP($A8,数出表_Excel!$A$6:$T$150,COLUMN()/2+1,FALSE))),"")</f>
        <v/>
      </c>
      <c r="AC8" s="141"/>
      <c r="AD8" s="207" t="str">
        <f ca="1">IFERROR(VALUE(IF(VLOOKUP($A8,数出表_Excel!$A$6:$T$150,COLUMN()/2+1,FALSE)=0,"",VLOOKUP($A8,数出表_Excel!$A$6:$T$150,COLUMN()/2+1,FALSE))),"")</f>
        <v/>
      </c>
      <c r="AE8" s="141"/>
      <c r="AF8" s="207" t="str">
        <f ca="1">IFERROR(VALUE(IF(VLOOKUP($A8,数出表_Excel!$A$6:$T$150,COLUMN()/2+1,FALSE)=0,"",VLOOKUP($A8,数出表_Excel!$A$6:$T$150,COLUMN()/2+1,FALSE))),"")</f>
        <v/>
      </c>
      <c r="AG8" s="141"/>
      <c r="AH8" s="207" t="str">
        <f ca="1">IFERROR(VALUE(IF(VLOOKUP($A8,数出表_Excel!$A$6:$T$150,COLUMN()/2+1,FALSE)=0,"",VLOOKUP($A8,数出表_Excel!$A$6:$T$150,COLUMN()/2+1,FALSE))),"")</f>
        <v/>
      </c>
      <c r="AI8" s="208"/>
      <c r="AJ8" s="205" t="str">
        <f ca="1">IFERROR(VALUE(IF(VLOOKUP($A8,数出表_Excel!$A$6:$T$150,COLUMN()/2+1,FALSE)=0,"",VLOOKUP($A8,数出表_Excel!$A$6:$T$150,COLUMN()/2+1,FALSE))),"")</f>
        <v/>
      </c>
      <c r="AK8" s="141"/>
      <c r="AL8" s="145" t="e">
        <f ca="1">IF(A8&lt;&gt;"",
IF(VLOOKUP($A8,数出表_Excel!$A$6:$T$150,COLUMN()/2+1,FALSE)=0,"",VLOOKUP($A8,数出表_Excel!$A$6:$T$150,COLUMN()/2+1,FALSE)),"")</f>
        <v>#N/A</v>
      </c>
      <c r="AM8" s="261">
        <f>数出表_Excel!V8</f>
        <v>0</v>
      </c>
      <c r="AN8" s="262">
        <f>数出表_Excel!W8</f>
        <v>0</v>
      </c>
    </row>
    <row r="9" spans="1:40" ht="16.2" customHeight="1" x14ac:dyDescent="0.45">
      <c r="A9" s="220" t="str">
        <f t="array" aca="1" ref="A9" ca="1">IF(OR(COUNTIF(A7,"*1000*"),COUNTIF(A7,"")),"",INDEX(貼り付け用!$A:$A,MATCH(A7,貼り付け用!$A:$A,0)+2,0))</f>
        <v>雙葉小学校 先生</v>
      </c>
      <c r="B9" s="142" t="str">
        <f ca="1">IFERROR(VALUE(IF(VLOOKUP($A9,数出表_Excel!$A$6:$T$150,COLUMN()/2+1,FALSE)=0,"",VLOOKUP($A9,数出表_Excel!$A$6:$T$150,COLUMN()/2+1,FALSE))),"")</f>
        <v/>
      </c>
      <c r="C9" s="142"/>
      <c r="D9" s="142" t="str">
        <f ca="1">IFERROR(VALUE(IF(VLOOKUP($A9,数出表_Excel!$A$6:$T$150,COLUMN()/2+1,FALSE)=0,"",VLOOKUP($A9,数出表_Excel!$A$6:$T$150,COLUMN()/2+1,FALSE))),"")</f>
        <v/>
      </c>
      <c r="E9" s="142"/>
      <c r="F9" s="146" t="str">
        <f ca="1">IFERROR(VALUE(IF(VLOOKUP($A9,数出表_Excel!$A$6:$T$150,COLUMN()/2+1,FALSE)=0,"",VLOOKUP($A9,数出表_Excel!$A$6:$T$150,COLUMN()/2+1,FALSE))),"")</f>
        <v/>
      </c>
      <c r="G9" s="142"/>
      <c r="H9" s="142" t="str">
        <f ca="1">IFERROR(VALUE(IF(VLOOKUP($A9,数出表_Excel!$A$6:$T$150,COLUMN()/2+1,FALSE)=0,"",VLOOKUP($A9,数出表_Excel!$A$6:$T$150,COLUMN()/2+1,FALSE))),"")</f>
        <v/>
      </c>
      <c r="I9" s="142"/>
      <c r="J9" s="142" t="str">
        <f ca="1">IFERROR(VALUE(IF(VLOOKUP($A9,数出表_Excel!$A$6:$T$150,COLUMN()/2+1,FALSE)=0,"",VLOOKUP($A9,数出表_Excel!$A$6:$T$150,COLUMN()/2+1,FALSE))),"")</f>
        <v/>
      </c>
      <c r="K9" s="209"/>
      <c r="L9" s="147" t="str">
        <f ca="1">IFERROR(VALUE(IF(VLOOKUP($A9,数出表_Excel!$A$6:$T$150,COLUMN()/2+1,FALSE)=0,"",VLOOKUP($A9,数出表_Excel!$A$6:$T$150,COLUMN()/2+1,FALSE))),"")</f>
        <v/>
      </c>
      <c r="M9" s="142"/>
      <c r="N9" s="142" t="str">
        <f ca="1">IFERROR(VALUE(IF(VLOOKUP($A9,数出表_Excel!$A$6:$T$150,COLUMN()/2+1,FALSE)=0,"",VLOOKUP($A9,数出表_Excel!$A$6:$T$150,COLUMN()/2+1,FALSE))),"")</f>
        <v/>
      </c>
      <c r="O9" s="142"/>
      <c r="P9" s="142" t="str">
        <f ca="1">IFERROR(VALUE(IF(VLOOKUP($A9,数出表_Excel!$A$6:$T$150,COLUMN()/2+1,FALSE)=0,"",VLOOKUP($A9,数出表_Excel!$A$6:$T$150,COLUMN()/2+1,FALSE))),"")</f>
        <v/>
      </c>
      <c r="Q9" s="142"/>
      <c r="R9" s="142" t="str">
        <f ca="1">IFERROR(VALUE(IF(VLOOKUP($A9,数出表_Excel!$A$6:$T$150,COLUMN()/2+1,FALSE)=0,"",VLOOKUP($A9,数出表_Excel!$A$6:$T$150,COLUMN()/2+1,FALSE))),"")</f>
        <v/>
      </c>
      <c r="S9" s="142"/>
      <c r="T9" s="142" t="str">
        <f ca="1">IFERROR(VALUE(IF(VLOOKUP($A9,数出表_Excel!$A$6:$T$150,COLUMN()/2+1,FALSE)=0,"",VLOOKUP($A9,数出表_Excel!$A$6:$T$150,COLUMN()/2+1,FALSE))),"")</f>
        <v/>
      </c>
      <c r="U9" s="142"/>
      <c r="V9" s="146" t="str">
        <f ca="1">IFERROR(VALUE(IF(VLOOKUP($A9,数出表_Excel!$A$6:$T$150,COLUMN()/2+1,FALSE)=0,"",VLOOKUP($A9,数出表_Excel!$A$6:$T$150,COLUMN()/2+1,FALSE))),"")</f>
        <v/>
      </c>
      <c r="W9" s="142"/>
      <c r="X9" s="146" t="str">
        <f ca="1">IFERROR(VALUE(IF(VLOOKUP($A9,数出表_Excel!$A$6:$T$150,COLUMN()/2+1,FALSE)=0,"",VLOOKUP($A9,数出表_Excel!$A$6:$T$150,COLUMN()/2+1,FALSE))),"")</f>
        <v/>
      </c>
      <c r="Y9" s="142"/>
      <c r="Z9" s="146" t="str">
        <f ca="1">IFERROR(VALUE(IF(VLOOKUP($A9,数出表_Excel!$A$6:$T$150,COLUMN()/2+1,FALSE)=0,"",VLOOKUP($A9,数出表_Excel!$A$6:$T$150,COLUMN()/2+1,FALSE))),"")</f>
        <v/>
      </c>
      <c r="AA9" s="209"/>
      <c r="AB9" s="147" t="str">
        <f ca="1">IFERROR(VALUE(IF(VLOOKUP($A9,数出表_Excel!$A$6:$T$150,COLUMN()/2+1,FALSE)=0,"",VLOOKUP($A9,数出表_Excel!$A$6:$T$150,COLUMN()/2+1,FALSE))),"")</f>
        <v/>
      </c>
      <c r="AC9" s="142"/>
      <c r="AD9" s="146" t="str">
        <f ca="1">IFERROR(VALUE(IF(VLOOKUP($A9,数出表_Excel!$A$6:$T$150,COLUMN()/2+1,FALSE)=0,"",VLOOKUP($A9,数出表_Excel!$A$6:$T$150,COLUMN()/2+1,FALSE))),"")</f>
        <v/>
      </c>
      <c r="AE9" s="142"/>
      <c r="AF9" s="146" t="str">
        <f ca="1">IFERROR(VALUE(IF(VLOOKUP($A9,数出表_Excel!$A$6:$T$150,COLUMN()/2+1,FALSE)=0,"",VLOOKUP($A9,数出表_Excel!$A$6:$T$150,COLUMN()/2+1,FALSE))),"")</f>
        <v/>
      </c>
      <c r="AG9" s="142"/>
      <c r="AH9" s="146" t="str">
        <f ca="1">IFERROR(VALUE(IF(VLOOKUP($A9,数出表_Excel!$A$6:$T$150,COLUMN()/2+1,FALSE)=0,"",VLOOKUP($A9,数出表_Excel!$A$6:$T$150,COLUMN()/2+1,FALSE))),"")</f>
        <v/>
      </c>
      <c r="AI9" s="209"/>
      <c r="AJ9" s="147" t="str">
        <f ca="1">IFERROR(VALUE(IF(VLOOKUP($A9,数出表_Excel!$A$6:$T$150,COLUMN()/2+1,FALSE)=0,"",VLOOKUP($A9,数出表_Excel!$A$6:$T$150,COLUMN()/2+1,FALSE))),"")</f>
        <v/>
      </c>
      <c r="AK9" s="142"/>
      <c r="AL9" s="148" t="e">
        <f ca="1">IF(A9&lt;&gt;"",
IF(VLOOKUP($A9,数出表_Excel!$A$6:$T$150,COLUMN()/2+1,FALSE)=0,"",VLOOKUP($A9,数出表_Excel!$A$6:$T$150,COLUMN()/2+1,FALSE)),"")</f>
        <v>#N/A</v>
      </c>
      <c r="AM9" s="263">
        <f>数出表_Excel!V9</f>
        <v>0</v>
      </c>
      <c r="AN9" s="264">
        <f>数出表_Excel!W9</f>
        <v>0</v>
      </c>
    </row>
    <row r="10" spans="1:40" ht="16.2" customHeight="1" x14ac:dyDescent="0.45">
      <c r="A10" s="219" t="str">
        <f t="array" aca="1" ref="A10" ca="1">IF(OR(COUNTIF(A8,"*10002*"),COUNTIF(A8,"")),"",INDEX(貼り付け用!$A:$A,MATCH(A8,貼り付け用!$A:$A,0)+2,0))</f>
        <v>2503</v>
      </c>
      <c r="B10" s="204" t="str">
        <f ca="1">IFERROR(VALUE(IF(VLOOKUP($A10,数出表_Excel!$A$6:$T$150,COLUMN()/2+1,FALSE)=0,"",VLOOKUP($A10,数出表_Excel!$A$6:$T$150,COLUMN()/2+1,FALSE))),"")</f>
        <v/>
      </c>
      <c r="C10" s="141"/>
      <c r="D10" s="204" t="str">
        <f ca="1">IFERROR(VALUE(IF(VLOOKUP($A10,数出表_Excel!$A$6:$T$150,COLUMN()/2+1,FALSE)=0,"",VLOOKUP($A10,数出表_Excel!$A$6:$T$150,COLUMN()/2+1,FALSE))),"")</f>
        <v/>
      </c>
      <c r="E10" s="141"/>
      <c r="F10" s="207" t="str">
        <f ca="1">IFERROR(VALUE(IF(VLOOKUP($A10,数出表_Excel!$A$6:$T$150,COLUMN()/2+1,FALSE)=0,"",VLOOKUP($A10,数出表_Excel!$A$6:$T$150,COLUMN()/2+1,FALSE))),"")</f>
        <v/>
      </c>
      <c r="G10" s="141"/>
      <c r="H10" s="204" t="str">
        <f ca="1">IFERROR(VALUE(IF(VLOOKUP($A10,数出表_Excel!$A$6:$T$150,COLUMN()/2+1,FALSE)=0,"",VLOOKUP($A10,数出表_Excel!$A$6:$T$150,COLUMN()/2+1,FALSE))),"")</f>
        <v/>
      </c>
      <c r="I10" s="141"/>
      <c r="J10" s="204" t="str">
        <f ca="1">IFERROR(VALUE(IF(VLOOKUP($A10,数出表_Excel!$A$6:$T$150,COLUMN()/2+1,FALSE)=0,"",VLOOKUP($A10,数出表_Excel!$A$6:$T$150,COLUMN()/2+1,FALSE))),"")</f>
        <v/>
      </c>
      <c r="K10" s="208"/>
      <c r="L10" s="205" t="str">
        <f ca="1">IFERROR(VALUE(IF(VLOOKUP($A10,数出表_Excel!$A$6:$T$150,COLUMN()/2+1,FALSE)=0,"",VLOOKUP($A10,数出表_Excel!$A$6:$T$150,COLUMN()/2+1,FALSE))),"")</f>
        <v/>
      </c>
      <c r="M10" s="141"/>
      <c r="N10" s="204" t="str">
        <f ca="1">IFERROR(VALUE(IF(VLOOKUP($A10,数出表_Excel!$A$6:$T$150,COLUMN()/2+1,FALSE)=0,"",VLOOKUP($A10,数出表_Excel!$A$6:$T$150,COLUMN()/2+1,FALSE))),"")</f>
        <v/>
      </c>
      <c r="O10" s="141"/>
      <c r="P10" s="204" t="str">
        <f ca="1">IFERROR(VALUE(IF(VLOOKUP($A10,数出表_Excel!$A$6:$T$150,COLUMN()/2+1,FALSE)=0,"",VLOOKUP($A10,数出表_Excel!$A$6:$T$150,COLUMN()/2+1,FALSE))),"")</f>
        <v/>
      </c>
      <c r="Q10" s="141"/>
      <c r="R10" s="204" t="str">
        <f ca="1">IFERROR(VALUE(IF(VLOOKUP($A10,数出表_Excel!$A$6:$T$150,COLUMN()/2+1,FALSE)=0,"",VLOOKUP($A10,数出表_Excel!$A$6:$T$150,COLUMN()/2+1,FALSE))),"")</f>
        <v/>
      </c>
      <c r="S10" s="141"/>
      <c r="T10" s="204" t="str">
        <f ca="1">IFERROR(VALUE(IF(VLOOKUP($A10,数出表_Excel!$A$6:$T$150,COLUMN()/2+1,FALSE)=0,"",VLOOKUP($A10,数出表_Excel!$A$6:$T$150,COLUMN()/2+1,FALSE))),"")</f>
        <v/>
      </c>
      <c r="U10" s="141"/>
      <c r="V10" s="207" t="str">
        <f ca="1">IFERROR(VALUE(IF(VLOOKUP($A10,数出表_Excel!$A$6:$T$150,COLUMN()/2+1,FALSE)=0,"",VLOOKUP($A10,数出表_Excel!$A$6:$T$150,COLUMN()/2+1,FALSE))),"")</f>
        <v/>
      </c>
      <c r="W10" s="141"/>
      <c r="X10" s="207" t="str">
        <f ca="1">IFERROR(VALUE(IF(VLOOKUP($A10,数出表_Excel!$A$6:$T$150,COLUMN()/2+1,FALSE)=0,"",VLOOKUP($A10,数出表_Excel!$A$6:$T$150,COLUMN()/2+1,FALSE))),"")</f>
        <v/>
      </c>
      <c r="Y10" s="141"/>
      <c r="Z10" s="207" t="str">
        <f ca="1">IFERROR(VALUE(IF(VLOOKUP($A10,数出表_Excel!$A$6:$T$150,COLUMN()/2+1,FALSE)=0,"",VLOOKUP($A10,数出表_Excel!$A$6:$T$150,COLUMN()/2+1,FALSE))),"")</f>
        <v/>
      </c>
      <c r="AA10" s="208"/>
      <c r="AB10" s="205" t="str">
        <f ca="1">IFERROR(VALUE(IF(VLOOKUP($A10,数出表_Excel!$A$6:$T$150,COLUMN()/2+1,FALSE)=0,"",VLOOKUP($A10,数出表_Excel!$A$6:$T$150,COLUMN()/2+1,FALSE))),"")</f>
        <v/>
      </c>
      <c r="AC10" s="141"/>
      <c r="AD10" s="207" t="str">
        <f ca="1">IFERROR(VALUE(IF(VLOOKUP($A10,数出表_Excel!$A$6:$T$150,COLUMN()/2+1,FALSE)=0,"",VLOOKUP($A10,数出表_Excel!$A$6:$T$150,COLUMN()/2+1,FALSE))),"")</f>
        <v/>
      </c>
      <c r="AE10" s="141"/>
      <c r="AF10" s="207" t="str">
        <f ca="1">IFERROR(VALUE(IF(VLOOKUP($A10,数出表_Excel!$A$6:$T$150,COLUMN()/2+1,FALSE)=0,"",VLOOKUP($A10,数出表_Excel!$A$6:$T$150,COLUMN()/2+1,FALSE))),"")</f>
        <v/>
      </c>
      <c r="AG10" s="141"/>
      <c r="AH10" s="207" t="str">
        <f ca="1">IFERROR(VALUE(IF(VLOOKUP($A10,数出表_Excel!$A$6:$T$150,COLUMN()/2+1,FALSE)=0,"",VLOOKUP($A10,数出表_Excel!$A$6:$T$150,COLUMN()/2+1,FALSE))),"")</f>
        <v/>
      </c>
      <c r="AI10" s="208"/>
      <c r="AJ10" s="205" t="str">
        <f ca="1">IFERROR(VALUE(IF(VLOOKUP($A10,数出表_Excel!$A$6:$T$150,COLUMN()/2+1,FALSE)=0,"",VLOOKUP($A10,数出表_Excel!$A$6:$T$150,COLUMN()/2+1,FALSE))),"")</f>
        <v/>
      </c>
      <c r="AK10" s="141"/>
      <c r="AL10" s="145" t="e">
        <f ca="1">IF(A10&lt;&gt;"",
IF(VLOOKUP($A10,数出表_Excel!$A$6:$T$150,COLUMN()/2+1,FALSE)=0,"",VLOOKUP($A10,数出表_Excel!$A$6:$T$150,COLUMN()/2+1,FALSE)),"")</f>
        <v>#N/A</v>
      </c>
      <c r="AM10" s="261">
        <f>数出表_Excel!V10</f>
        <v>0</v>
      </c>
      <c r="AN10" s="262">
        <f>数出表_Excel!W10</f>
        <v>0</v>
      </c>
    </row>
    <row r="11" spans="1:40" ht="16.2" customHeight="1" x14ac:dyDescent="0.45">
      <c r="A11" s="220" t="str">
        <f t="array" aca="1" ref="A11" ca="1">IF(OR(COUNTIF(A9,"*1000*"),COUNTIF(A9,"")),"",INDEX(貼り付け用!$A:$A,MATCH(A9,貼り付け用!$A:$A,0)+2,0))</f>
        <v>天照幼稚園 うさぎ組</v>
      </c>
      <c r="B11" s="142" t="str">
        <f ca="1">IFERROR(VALUE(IF(VLOOKUP($A11,数出表_Excel!$A$6:$T$150,COLUMN()/2+1,FALSE)=0,"",VLOOKUP($A11,数出表_Excel!$A$6:$T$150,COLUMN()/2+1,FALSE))),"")</f>
        <v/>
      </c>
      <c r="C11" s="142"/>
      <c r="D11" s="142" t="str">
        <f ca="1">IFERROR(VALUE(IF(VLOOKUP($A11,数出表_Excel!$A$6:$T$150,COLUMN()/2+1,FALSE)=0,"",VLOOKUP($A11,数出表_Excel!$A$6:$T$150,COLUMN()/2+1,FALSE))),"")</f>
        <v/>
      </c>
      <c r="E11" s="142"/>
      <c r="F11" s="146" t="str">
        <f ca="1">IFERROR(VALUE(IF(VLOOKUP($A11,数出表_Excel!$A$6:$T$150,COLUMN()/2+1,FALSE)=0,"",VLOOKUP($A11,数出表_Excel!$A$6:$T$150,COLUMN()/2+1,FALSE))),"")</f>
        <v/>
      </c>
      <c r="G11" s="142"/>
      <c r="H11" s="142" t="str">
        <f ca="1">IFERROR(VALUE(IF(VLOOKUP($A11,数出表_Excel!$A$6:$T$150,COLUMN()/2+1,FALSE)=0,"",VLOOKUP($A11,数出表_Excel!$A$6:$T$150,COLUMN()/2+1,FALSE))),"")</f>
        <v/>
      </c>
      <c r="I11" s="142"/>
      <c r="J11" s="142" t="str">
        <f ca="1">IFERROR(VALUE(IF(VLOOKUP($A11,数出表_Excel!$A$6:$T$150,COLUMN()/2+1,FALSE)=0,"",VLOOKUP($A11,数出表_Excel!$A$6:$T$150,COLUMN()/2+1,FALSE))),"")</f>
        <v/>
      </c>
      <c r="K11" s="209"/>
      <c r="L11" s="147" t="str">
        <f ca="1">IFERROR(VALUE(IF(VLOOKUP($A11,数出表_Excel!$A$6:$T$150,COLUMN()/2+1,FALSE)=0,"",VLOOKUP($A11,数出表_Excel!$A$6:$T$150,COLUMN()/2+1,FALSE))),"")</f>
        <v/>
      </c>
      <c r="M11" s="142"/>
      <c r="N11" s="142" t="str">
        <f ca="1">IFERROR(VALUE(IF(VLOOKUP($A11,数出表_Excel!$A$6:$T$150,COLUMN()/2+1,FALSE)=0,"",VLOOKUP($A11,数出表_Excel!$A$6:$T$150,COLUMN()/2+1,FALSE))),"")</f>
        <v/>
      </c>
      <c r="O11" s="142"/>
      <c r="P11" s="142" t="str">
        <f ca="1">IFERROR(VALUE(IF(VLOOKUP($A11,数出表_Excel!$A$6:$T$150,COLUMN()/2+1,FALSE)=0,"",VLOOKUP($A11,数出表_Excel!$A$6:$T$150,COLUMN()/2+1,FALSE))),"")</f>
        <v/>
      </c>
      <c r="Q11" s="142"/>
      <c r="R11" s="142" t="str">
        <f ca="1">IFERROR(VALUE(IF(VLOOKUP($A11,数出表_Excel!$A$6:$T$150,COLUMN()/2+1,FALSE)=0,"",VLOOKUP($A11,数出表_Excel!$A$6:$T$150,COLUMN()/2+1,FALSE))),"")</f>
        <v/>
      </c>
      <c r="S11" s="142"/>
      <c r="T11" s="142" t="str">
        <f ca="1">IFERROR(VALUE(IF(VLOOKUP($A11,数出表_Excel!$A$6:$T$150,COLUMN()/2+1,FALSE)=0,"",VLOOKUP($A11,数出表_Excel!$A$6:$T$150,COLUMN()/2+1,FALSE))),"")</f>
        <v/>
      </c>
      <c r="U11" s="142"/>
      <c r="V11" s="146" t="str">
        <f ca="1">IFERROR(VALUE(IF(VLOOKUP($A11,数出表_Excel!$A$6:$T$150,COLUMN()/2+1,FALSE)=0,"",VLOOKUP($A11,数出表_Excel!$A$6:$T$150,COLUMN()/2+1,FALSE))),"")</f>
        <v/>
      </c>
      <c r="W11" s="142"/>
      <c r="X11" s="146" t="str">
        <f ca="1">IFERROR(VALUE(IF(VLOOKUP($A11,数出表_Excel!$A$6:$T$150,COLUMN()/2+1,FALSE)=0,"",VLOOKUP($A11,数出表_Excel!$A$6:$T$150,COLUMN()/2+1,FALSE))),"")</f>
        <v/>
      </c>
      <c r="Y11" s="142"/>
      <c r="Z11" s="146" t="str">
        <f ca="1">IFERROR(VALUE(IF(VLOOKUP($A11,数出表_Excel!$A$6:$T$150,COLUMN()/2+1,FALSE)=0,"",VLOOKUP($A11,数出表_Excel!$A$6:$T$150,COLUMN()/2+1,FALSE))),"")</f>
        <v/>
      </c>
      <c r="AA11" s="209"/>
      <c r="AB11" s="147" t="str">
        <f ca="1">IFERROR(VALUE(IF(VLOOKUP($A11,数出表_Excel!$A$6:$T$150,COLUMN()/2+1,FALSE)=0,"",VLOOKUP($A11,数出表_Excel!$A$6:$T$150,COLUMN()/2+1,FALSE))),"")</f>
        <v/>
      </c>
      <c r="AC11" s="142"/>
      <c r="AD11" s="146" t="str">
        <f ca="1">IFERROR(VALUE(IF(VLOOKUP($A11,数出表_Excel!$A$6:$T$150,COLUMN()/2+1,FALSE)=0,"",VLOOKUP($A11,数出表_Excel!$A$6:$T$150,COLUMN()/2+1,FALSE))),"")</f>
        <v/>
      </c>
      <c r="AE11" s="142"/>
      <c r="AF11" s="146" t="str">
        <f ca="1">IFERROR(VALUE(IF(VLOOKUP($A11,数出表_Excel!$A$6:$T$150,COLUMN()/2+1,FALSE)=0,"",VLOOKUP($A11,数出表_Excel!$A$6:$T$150,COLUMN()/2+1,FALSE))),"")</f>
        <v/>
      </c>
      <c r="AG11" s="142"/>
      <c r="AH11" s="146" t="str">
        <f ca="1">IFERROR(VALUE(IF(VLOOKUP($A11,数出表_Excel!$A$6:$T$150,COLUMN()/2+1,FALSE)=0,"",VLOOKUP($A11,数出表_Excel!$A$6:$T$150,COLUMN()/2+1,FALSE))),"")</f>
        <v/>
      </c>
      <c r="AI11" s="209"/>
      <c r="AJ11" s="147" t="str">
        <f ca="1">IFERROR(VALUE(IF(VLOOKUP($A11,数出表_Excel!$A$6:$T$150,COLUMN()/2+1,FALSE)=0,"",VLOOKUP($A11,数出表_Excel!$A$6:$T$150,COLUMN()/2+1,FALSE))),"")</f>
        <v/>
      </c>
      <c r="AK11" s="142"/>
      <c r="AL11" s="148" t="e">
        <f ca="1">IF(A11&lt;&gt;"",
IF(VLOOKUP($A11,数出表_Excel!$A$6:$T$150,COLUMN()/2+1,FALSE)=0,"",VLOOKUP($A11,数出表_Excel!$A$6:$T$150,COLUMN()/2+1,FALSE)),"")</f>
        <v>#N/A</v>
      </c>
      <c r="AM11" s="263">
        <f>数出表_Excel!V11</f>
        <v>0</v>
      </c>
      <c r="AN11" s="264">
        <f>数出表_Excel!W11</f>
        <v>0</v>
      </c>
    </row>
    <row r="12" spans="1:40" ht="16.2" customHeight="1" x14ac:dyDescent="0.45">
      <c r="A12" s="219" t="str">
        <f t="array" aca="1" ref="A12" ca="1">IF(OR(COUNTIF(A10,"*10002*"),COUNTIF(A10,"")),"",INDEX(貼り付け用!$A:$A,MATCH(A10,貼り付け用!$A:$A,0)+2,0))</f>
        <v>19700</v>
      </c>
      <c r="B12" s="204" t="str">
        <f ca="1">IFERROR(VALUE(IF(VLOOKUP($A12,数出表_Excel!$A$6:$T$150,COLUMN()/2+1,FALSE)=0,"",VLOOKUP($A12,数出表_Excel!$A$6:$T$150,COLUMN()/2+1,FALSE))),"")</f>
        <v/>
      </c>
      <c r="C12" s="141"/>
      <c r="D12" s="204" t="str">
        <f ca="1">IFERROR(VALUE(IF(VLOOKUP($A12,数出表_Excel!$A$6:$T$150,COLUMN()/2+1,FALSE)=0,"",VLOOKUP($A12,数出表_Excel!$A$6:$T$150,COLUMN()/2+1,FALSE))),"")</f>
        <v/>
      </c>
      <c r="E12" s="141"/>
      <c r="F12" s="207" t="str">
        <f ca="1">IFERROR(VALUE(IF(VLOOKUP($A12,数出表_Excel!$A$6:$T$150,COLUMN()/2+1,FALSE)=0,"",VLOOKUP($A12,数出表_Excel!$A$6:$T$150,COLUMN()/2+1,FALSE))),"")</f>
        <v/>
      </c>
      <c r="G12" s="141"/>
      <c r="H12" s="204" t="str">
        <f ca="1">IFERROR(VALUE(IF(VLOOKUP($A12,数出表_Excel!$A$6:$T$150,COLUMN()/2+1,FALSE)=0,"",VLOOKUP($A12,数出表_Excel!$A$6:$T$150,COLUMN()/2+1,FALSE))),"")</f>
        <v/>
      </c>
      <c r="I12" s="141"/>
      <c r="J12" s="204" t="str">
        <f ca="1">IFERROR(VALUE(IF(VLOOKUP($A12,数出表_Excel!$A$6:$T$150,COLUMN()/2+1,FALSE)=0,"",VLOOKUP($A12,数出表_Excel!$A$6:$T$150,COLUMN()/2+1,FALSE))),"")</f>
        <v/>
      </c>
      <c r="K12" s="208"/>
      <c r="L12" s="205" t="str">
        <f ca="1">IFERROR(VALUE(IF(VLOOKUP($A12,数出表_Excel!$A$6:$T$150,COLUMN()/2+1,FALSE)=0,"",VLOOKUP($A12,数出表_Excel!$A$6:$T$150,COLUMN()/2+1,FALSE))),"")</f>
        <v/>
      </c>
      <c r="M12" s="141"/>
      <c r="N12" s="204" t="str">
        <f ca="1">IFERROR(VALUE(IF(VLOOKUP($A12,数出表_Excel!$A$6:$T$150,COLUMN()/2+1,FALSE)=0,"",VLOOKUP($A12,数出表_Excel!$A$6:$T$150,COLUMN()/2+1,FALSE))),"")</f>
        <v/>
      </c>
      <c r="O12" s="141"/>
      <c r="P12" s="204" t="str">
        <f ca="1">IFERROR(VALUE(IF(VLOOKUP($A12,数出表_Excel!$A$6:$T$150,COLUMN()/2+1,FALSE)=0,"",VLOOKUP($A12,数出表_Excel!$A$6:$T$150,COLUMN()/2+1,FALSE))),"")</f>
        <v/>
      </c>
      <c r="Q12" s="141"/>
      <c r="R12" s="204" t="str">
        <f ca="1">IFERROR(VALUE(IF(VLOOKUP($A12,数出表_Excel!$A$6:$T$150,COLUMN()/2+1,FALSE)=0,"",VLOOKUP($A12,数出表_Excel!$A$6:$T$150,COLUMN()/2+1,FALSE))),"")</f>
        <v/>
      </c>
      <c r="S12" s="141"/>
      <c r="T12" s="204" t="str">
        <f ca="1">IFERROR(VALUE(IF(VLOOKUP($A12,数出表_Excel!$A$6:$T$150,COLUMN()/2+1,FALSE)=0,"",VLOOKUP($A12,数出表_Excel!$A$6:$T$150,COLUMN()/2+1,FALSE))),"")</f>
        <v/>
      </c>
      <c r="U12" s="141"/>
      <c r="V12" s="207" t="str">
        <f ca="1">IFERROR(VALUE(IF(VLOOKUP($A12,数出表_Excel!$A$6:$T$150,COLUMN()/2+1,FALSE)=0,"",VLOOKUP($A12,数出表_Excel!$A$6:$T$150,COLUMN()/2+1,FALSE))),"")</f>
        <v/>
      </c>
      <c r="W12" s="141"/>
      <c r="X12" s="207" t="str">
        <f ca="1">IFERROR(VALUE(IF(VLOOKUP($A12,数出表_Excel!$A$6:$T$150,COLUMN()/2+1,FALSE)=0,"",VLOOKUP($A12,数出表_Excel!$A$6:$T$150,COLUMN()/2+1,FALSE))),"")</f>
        <v/>
      </c>
      <c r="Y12" s="141"/>
      <c r="Z12" s="207" t="str">
        <f ca="1">IFERROR(VALUE(IF(VLOOKUP($A12,数出表_Excel!$A$6:$T$150,COLUMN()/2+1,FALSE)=0,"",VLOOKUP($A12,数出表_Excel!$A$6:$T$150,COLUMN()/2+1,FALSE))),"")</f>
        <v/>
      </c>
      <c r="AA12" s="208"/>
      <c r="AB12" s="205" t="str">
        <f ca="1">IFERROR(VALUE(IF(VLOOKUP($A12,数出表_Excel!$A$6:$T$150,COLUMN()/2+1,FALSE)=0,"",VLOOKUP($A12,数出表_Excel!$A$6:$T$150,COLUMN()/2+1,FALSE))),"")</f>
        <v/>
      </c>
      <c r="AC12" s="141"/>
      <c r="AD12" s="207" t="str">
        <f ca="1">IFERROR(VALUE(IF(VLOOKUP($A12,数出表_Excel!$A$6:$T$150,COLUMN()/2+1,FALSE)=0,"",VLOOKUP($A12,数出表_Excel!$A$6:$T$150,COLUMN()/2+1,FALSE))),"")</f>
        <v/>
      </c>
      <c r="AE12" s="141"/>
      <c r="AF12" s="207" t="str">
        <f ca="1">IFERROR(VALUE(IF(VLOOKUP($A12,数出表_Excel!$A$6:$T$150,COLUMN()/2+1,FALSE)=0,"",VLOOKUP($A12,数出表_Excel!$A$6:$T$150,COLUMN()/2+1,FALSE))),"")</f>
        <v/>
      </c>
      <c r="AG12" s="141"/>
      <c r="AH12" s="207" t="str">
        <f ca="1">IFERROR(VALUE(IF(VLOOKUP($A12,数出表_Excel!$A$6:$T$150,COLUMN()/2+1,FALSE)=0,"",VLOOKUP($A12,数出表_Excel!$A$6:$T$150,COLUMN()/2+1,FALSE))),"")</f>
        <v/>
      </c>
      <c r="AI12" s="208"/>
      <c r="AJ12" s="205" t="str">
        <f ca="1">IFERROR(VALUE(IF(VLOOKUP($A12,数出表_Excel!$A$6:$T$150,COLUMN()/2+1,FALSE)=0,"",VLOOKUP($A12,数出表_Excel!$A$6:$T$150,COLUMN()/2+1,FALSE))),"")</f>
        <v/>
      </c>
      <c r="AK12" s="141"/>
      <c r="AL12" s="145" t="e">
        <f ca="1">IF(A12&lt;&gt;"",
IF(VLOOKUP($A12,数出表_Excel!$A$6:$T$150,COLUMN()/2+1,FALSE)=0,"",VLOOKUP($A12,数出表_Excel!$A$6:$T$150,COLUMN()/2+1,FALSE)),"")</f>
        <v>#N/A</v>
      </c>
      <c r="AM12" s="261">
        <f>数出表_Excel!V12</f>
        <v>0</v>
      </c>
      <c r="AN12" s="262">
        <f>数出表_Excel!W12</f>
        <v>0</v>
      </c>
    </row>
    <row r="13" spans="1:40" ht="16.2" customHeight="1" x14ac:dyDescent="0.45">
      <c r="A13" s="220" t="str">
        <f t="array" aca="1" ref="A13" ca="1">IF(OR(COUNTIF(A11,"*1000*"),COUNTIF(A11,"")),"",INDEX(貼り付け用!$A:$A,MATCH(A11,貼り付け用!$A:$A,0)+2,0))</f>
        <v>なないろキッズ</v>
      </c>
      <c r="B13" s="142" t="str">
        <f ca="1">IFERROR(VALUE(IF(VLOOKUP($A13,数出表_Excel!$A$6:$T$150,COLUMN()/2+1,FALSE)=0,"",VLOOKUP($A13,数出表_Excel!$A$6:$T$150,COLUMN()/2+1,FALSE))),"")</f>
        <v/>
      </c>
      <c r="C13" s="142"/>
      <c r="D13" s="142" t="str">
        <f ca="1">IFERROR(VALUE(IF(VLOOKUP($A13,数出表_Excel!$A$6:$T$150,COLUMN()/2+1,FALSE)=0,"",VLOOKUP($A13,数出表_Excel!$A$6:$T$150,COLUMN()/2+1,FALSE))),"")</f>
        <v/>
      </c>
      <c r="E13" s="142"/>
      <c r="F13" s="146" t="str">
        <f ca="1">IFERROR(VALUE(IF(VLOOKUP($A13,数出表_Excel!$A$6:$T$150,COLUMN()/2+1,FALSE)=0,"",VLOOKUP($A13,数出表_Excel!$A$6:$T$150,COLUMN()/2+1,FALSE))),"")</f>
        <v/>
      </c>
      <c r="G13" s="142"/>
      <c r="H13" s="142" t="str">
        <f ca="1">IFERROR(VALUE(IF(VLOOKUP($A13,数出表_Excel!$A$6:$T$150,COLUMN()/2+1,FALSE)=0,"",VLOOKUP($A13,数出表_Excel!$A$6:$T$150,COLUMN()/2+1,FALSE))),"")</f>
        <v/>
      </c>
      <c r="I13" s="142"/>
      <c r="J13" s="142" t="str">
        <f ca="1">IFERROR(VALUE(IF(VLOOKUP($A13,数出表_Excel!$A$6:$T$150,COLUMN()/2+1,FALSE)=0,"",VLOOKUP($A13,数出表_Excel!$A$6:$T$150,COLUMN()/2+1,FALSE))),"")</f>
        <v/>
      </c>
      <c r="K13" s="209"/>
      <c r="L13" s="147" t="str">
        <f ca="1">IFERROR(VALUE(IF(VLOOKUP($A13,数出表_Excel!$A$6:$T$150,COLUMN()/2+1,FALSE)=0,"",VLOOKUP($A13,数出表_Excel!$A$6:$T$150,COLUMN()/2+1,FALSE))),"")</f>
        <v/>
      </c>
      <c r="M13" s="142"/>
      <c r="N13" s="142" t="str">
        <f ca="1">IFERROR(VALUE(IF(VLOOKUP($A13,数出表_Excel!$A$6:$T$150,COLUMN()/2+1,FALSE)=0,"",VLOOKUP($A13,数出表_Excel!$A$6:$T$150,COLUMN()/2+1,FALSE))),"")</f>
        <v/>
      </c>
      <c r="O13" s="142"/>
      <c r="P13" s="142" t="str">
        <f ca="1">IFERROR(VALUE(IF(VLOOKUP($A13,数出表_Excel!$A$6:$T$150,COLUMN()/2+1,FALSE)=0,"",VLOOKUP($A13,数出表_Excel!$A$6:$T$150,COLUMN()/2+1,FALSE))),"")</f>
        <v/>
      </c>
      <c r="Q13" s="142"/>
      <c r="R13" s="142" t="str">
        <f ca="1">IFERROR(VALUE(IF(VLOOKUP($A13,数出表_Excel!$A$6:$T$150,COLUMN()/2+1,FALSE)=0,"",VLOOKUP($A13,数出表_Excel!$A$6:$T$150,COLUMN()/2+1,FALSE))),"")</f>
        <v/>
      </c>
      <c r="S13" s="142"/>
      <c r="T13" s="142" t="str">
        <f ca="1">IFERROR(VALUE(IF(VLOOKUP($A13,数出表_Excel!$A$6:$T$150,COLUMN()/2+1,FALSE)=0,"",VLOOKUP($A13,数出表_Excel!$A$6:$T$150,COLUMN()/2+1,FALSE))),"")</f>
        <v/>
      </c>
      <c r="U13" s="142"/>
      <c r="V13" s="146" t="str">
        <f ca="1">IFERROR(VALUE(IF(VLOOKUP($A13,数出表_Excel!$A$6:$T$150,COLUMN()/2+1,FALSE)=0,"",VLOOKUP($A13,数出表_Excel!$A$6:$T$150,COLUMN()/2+1,FALSE))),"")</f>
        <v/>
      </c>
      <c r="W13" s="142"/>
      <c r="X13" s="146" t="str">
        <f ca="1">IFERROR(VALUE(IF(VLOOKUP($A13,数出表_Excel!$A$6:$T$150,COLUMN()/2+1,FALSE)=0,"",VLOOKUP($A13,数出表_Excel!$A$6:$T$150,COLUMN()/2+1,FALSE))),"")</f>
        <v/>
      </c>
      <c r="Y13" s="142"/>
      <c r="Z13" s="146" t="str">
        <f ca="1">IFERROR(VALUE(IF(VLOOKUP($A13,数出表_Excel!$A$6:$T$150,COLUMN()/2+1,FALSE)=0,"",VLOOKUP($A13,数出表_Excel!$A$6:$T$150,COLUMN()/2+1,FALSE))),"")</f>
        <v/>
      </c>
      <c r="AA13" s="209"/>
      <c r="AB13" s="147" t="str">
        <f ca="1">IFERROR(VALUE(IF(VLOOKUP($A13,数出表_Excel!$A$6:$T$150,COLUMN()/2+1,FALSE)=0,"",VLOOKUP($A13,数出表_Excel!$A$6:$T$150,COLUMN()/2+1,FALSE))),"")</f>
        <v/>
      </c>
      <c r="AC13" s="142"/>
      <c r="AD13" s="146" t="str">
        <f ca="1">IFERROR(VALUE(IF(VLOOKUP($A13,数出表_Excel!$A$6:$T$150,COLUMN()/2+1,FALSE)=0,"",VLOOKUP($A13,数出表_Excel!$A$6:$T$150,COLUMN()/2+1,FALSE))),"")</f>
        <v/>
      </c>
      <c r="AE13" s="142"/>
      <c r="AF13" s="146" t="str">
        <f ca="1">IFERROR(VALUE(IF(VLOOKUP($A13,数出表_Excel!$A$6:$T$150,COLUMN()/2+1,FALSE)=0,"",VLOOKUP($A13,数出表_Excel!$A$6:$T$150,COLUMN()/2+1,FALSE))),"")</f>
        <v/>
      </c>
      <c r="AG13" s="142"/>
      <c r="AH13" s="146" t="str">
        <f ca="1">IFERROR(VALUE(IF(VLOOKUP($A13,数出表_Excel!$A$6:$T$150,COLUMN()/2+1,FALSE)=0,"",VLOOKUP($A13,数出表_Excel!$A$6:$T$150,COLUMN()/2+1,FALSE))),"")</f>
        <v/>
      </c>
      <c r="AI13" s="209"/>
      <c r="AJ13" s="147" t="str">
        <f ca="1">IFERROR(VALUE(IF(VLOOKUP($A13,数出表_Excel!$A$6:$T$150,COLUMN()/2+1,FALSE)=0,"",VLOOKUP($A13,数出表_Excel!$A$6:$T$150,COLUMN()/2+1,FALSE))),"")</f>
        <v/>
      </c>
      <c r="AK13" s="142"/>
      <c r="AL13" s="148" t="e">
        <f ca="1">IF(A13&lt;&gt;"",
IF(VLOOKUP($A13,数出表_Excel!$A$6:$T$150,COLUMN()/2+1,FALSE)=0,"",VLOOKUP($A13,数出表_Excel!$A$6:$T$150,COLUMN()/2+1,FALSE)),"")</f>
        <v>#N/A</v>
      </c>
      <c r="AM13" s="263">
        <f>数出表_Excel!V13</f>
        <v>0</v>
      </c>
      <c r="AN13" s="264">
        <f>数出表_Excel!W13</f>
        <v>0</v>
      </c>
    </row>
    <row r="14" spans="1:40" ht="16.2" customHeight="1" x14ac:dyDescent="0.45">
      <c r="A14" s="219" t="str">
        <f t="array" aca="1" ref="A14" ca="1">IF(OR(COUNTIF(A12,"*10002*"),COUNTIF(A12,"")),"",INDEX(貼り付け用!$A:$A,MATCH(A12,貼り付け用!$A:$A,0)+2,0))</f>
        <v>200</v>
      </c>
      <c r="B14" s="204" t="str">
        <f ca="1">IFERROR(VALUE(IF(VLOOKUP($A14,数出表_Excel!$A$6:$T$150,COLUMN()/2+1,FALSE)=0,"",VLOOKUP($A14,数出表_Excel!$A$6:$T$150,COLUMN()/2+1,FALSE))),"")</f>
        <v/>
      </c>
      <c r="C14" s="141"/>
      <c r="D14" s="204" t="str">
        <f ca="1">IFERROR(VALUE(IF(VLOOKUP($A14,数出表_Excel!$A$6:$T$150,COLUMN()/2+1,FALSE)=0,"",VLOOKUP($A14,数出表_Excel!$A$6:$T$150,COLUMN()/2+1,FALSE))),"")</f>
        <v/>
      </c>
      <c r="E14" s="141"/>
      <c r="F14" s="207" t="str">
        <f ca="1">IFERROR(VALUE(IF(VLOOKUP($A14,数出表_Excel!$A$6:$T$150,COLUMN()/2+1,FALSE)=0,"",VLOOKUP($A14,数出表_Excel!$A$6:$T$150,COLUMN()/2+1,FALSE))),"")</f>
        <v/>
      </c>
      <c r="G14" s="141"/>
      <c r="H14" s="204" t="str">
        <f ca="1">IFERROR(VALUE(IF(VLOOKUP($A14,数出表_Excel!$A$6:$T$150,COLUMN()/2+1,FALSE)=0,"",VLOOKUP($A14,数出表_Excel!$A$6:$T$150,COLUMN()/2+1,FALSE))),"")</f>
        <v/>
      </c>
      <c r="I14" s="141"/>
      <c r="J14" s="204" t="str">
        <f ca="1">IFERROR(VALUE(IF(VLOOKUP($A14,数出表_Excel!$A$6:$T$150,COLUMN()/2+1,FALSE)=0,"",VLOOKUP($A14,数出表_Excel!$A$6:$T$150,COLUMN()/2+1,FALSE))),"")</f>
        <v/>
      </c>
      <c r="K14" s="208"/>
      <c r="L14" s="205" t="str">
        <f ca="1">IFERROR(VALUE(IF(VLOOKUP($A14,数出表_Excel!$A$6:$T$150,COLUMN()/2+1,FALSE)=0,"",VLOOKUP($A14,数出表_Excel!$A$6:$T$150,COLUMN()/2+1,FALSE))),"")</f>
        <v/>
      </c>
      <c r="M14" s="141"/>
      <c r="N14" s="204" t="str">
        <f ca="1">IFERROR(VALUE(IF(VLOOKUP($A14,数出表_Excel!$A$6:$T$150,COLUMN()/2+1,FALSE)=0,"",VLOOKUP($A14,数出表_Excel!$A$6:$T$150,COLUMN()/2+1,FALSE))),"")</f>
        <v/>
      </c>
      <c r="O14" s="141"/>
      <c r="P14" s="204" t="str">
        <f ca="1">IFERROR(VALUE(IF(VLOOKUP($A14,数出表_Excel!$A$6:$T$150,COLUMN()/2+1,FALSE)=0,"",VLOOKUP($A14,数出表_Excel!$A$6:$T$150,COLUMN()/2+1,FALSE))),"")</f>
        <v/>
      </c>
      <c r="Q14" s="141"/>
      <c r="R14" s="204" t="str">
        <f ca="1">IFERROR(VALUE(IF(VLOOKUP($A14,数出表_Excel!$A$6:$T$150,COLUMN()/2+1,FALSE)=0,"",VLOOKUP($A14,数出表_Excel!$A$6:$T$150,COLUMN()/2+1,FALSE))),"")</f>
        <v/>
      </c>
      <c r="S14" s="141"/>
      <c r="T14" s="204" t="str">
        <f ca="1">IFERROR(VALUE(IF(VLOOKUP($A14,数出表_Excel!$A$6:$T$150,COLUMN()/2+1,FALSE)=0,"",VLOOKUP($A14,数出表_Excel!$A$6:$T$150,COLUMN()/2+1,FALSE))),"")</f>
        <v/>
      </c>
      <c r="U14" s="141"/>
      <c r="V14" s="207" t="str">
        <f ca="1">IFERROR(VALUE(IF(VLOOKUP($A14,数出表_Excel!$A$6:$T$150,COLUMN()/2+1,FALSE)=0,"",VLOOKUP($A14,数出表_Excel!$A$6:$T$150,COLUMN()/2+1,FALSE))),"")</f>
        <v/>
      </c>
      <c r="W14" s="141"/>
      <c r="X14" s="207" t="str">
        <f ca="1">IFERROR(VALUE(IF(VLOOKUP($A14,数出表_Excel!$A$6:$T$150,COLUMN()/2+1,FALSE)=0,"",VLOOKUP($A14,数出表_Excel!$A$6:$T$150,COLUMN()/2+1,FALSE))),"")</f>
        <v/>
      </c>
      <c r="Y14" s="141"/>
      <c r="Z14" s="207" t="str">
        <f ca="1">IFERROR(VALUE(IF(VLOOKUP($A14,数出表_Excel!$A$6:$T$150,COLUMN()/2+1,FALSE)=0,"",VLOOKUP($A14,数出表_Excel!$A$6:$T$150,COLUMN()/2+1,FALSE))),"")</f>
        <v/>
      </c>
      <c r="AA14" s="208"/>
      <c r="AB14" s="205" t="str">
        <f ca="1">IFERROR(VALUE(IF(VLOOKUP($A14,数出表_Excel!$A$6:$T$150,COLUMN()/2+1,FALSE)=0,"",VLOOKUP($A14,数出表_Excel!$A$6:$T$150,COLUMN()/2+1,FALSE))),"")</f>
        <v/>
      </c>
      <c r="AC14" s="141"/>
      <c r="AD14" s="207" t="str">
        <f ca="1">IFERROR(VALUE(IF(VLOOKUP($A14,数出表_Excel!$A$6:$T$150,COLUMN()/2+1,FALSE)=0,"",VLOOKUP($A14,数出表_Excel!$A$6:$T$150,COLUMN()/2+1,FALSE))),"")</f>
        <v/>
      </c>
      <c r="AE14" s="141"/>
      <c r="AF14" s="207" t="str">
        <f ca="1">IFERROR(VALUE(IF(VLOOKUP($A14,数出表_Excel!$A$6:$T$150,COLUMN()/2+1,FALSE)=0,"",VLOOKUP($A14,数出表_Excel!$A$6:$T$150,COLUMN()/2+1,FALSE))),"")</f>
        <v/>
      </c>
      <c r="AG14" s="141"/>
      <c r="AH14" s="207" t="str">
        <f ca="1">IFERROR(VALUE(IF(VLOOKUP($A14,数出表_Excel!$A$6:$T$150,COLUMN()/2+1,FALSE)=0,"",VLOOKUP($A14,数出表_Excel!$A$6:$T$150,COLUMN()/2+1,FALSE))),"")</f>
        <v/>
      </c>
      <c r="AI14" s="208"/>
      <c r="AJ14" s="205" t="str">
        <f ca="1">IFERROR(VALUE(IF(VLOOKUP($A14,数出表_Excel!$A$6:$T$150,COLUMN()/2+1,FALSE)=0,"",VLOOKUP($A14,数出表_Excel!$A$6:$T$150,COLUMN()/2+1,FALSE))),"")</f>
        <v/>
      </c>
      <c r="AK14" s="141"/>
      <c r="AL14" s="145" t="e">
        <f ca="1">IF(A14&lt;&gt;"",
IF(VLOOKUP($A14,数出表_Excel!$A$6:$T$150,COLUMN()/2+1,FALSE)=0,"",VLOOKUP($A14,数出表_Excel!$A$6:$T$150,COLUMN()/2+1,FALSE)),"")</f>
        <v>#N/A</v>
      </c>
      <c r="AM14" s="261">
        <f>数出表_Excel!V14</f>
        <v>0</v>
      </c>
      <c r="AN14" s="262">
        <f>数出表_Excel!W14</f>
        <v>0</v>
      </c>
    </row>
    <row r="15" spans="1:40" ht="16.2" customHeight="1" x14ac:dyDescent="0.45">
      <c r="A15" s="220" t="str">
        <f t="array" aca="1" ref="A15" ca="1">IF(OR(COUNTIF(A13,"*1000*"),COUNTIF(A13,"")),"",INDEX(貼り付け用!$A:$A,MATCH(A13,貼り付け用!$A:$A,0)+2,0))</f>
        <v>博多南幼稚園 週3ｺｰｽ</v>
      </c>
      <c r="B15" s="142" t="str">
        <f ca="1">IFERROR(VALUE(IF(VLOOKUP($A15,数出表_Excel!$A$6:$T$150,COLUMN()/2+1,FALSE)=0,"",VLOOKUP($A15,数出表_Excel!$A$6:$T$150,COLUMN()/2+1,FALSE))),"")</f>
        <v/>
      </c>
      <c r="C15" s="142"/>
      <c r="D15" s="142" t="str">
        <f ca="1">IFERROR(VALUE(IF(VLOOKUP($A15,数出表_Excel!$A$6:$T$150,COLUMN()/2+1,FALSE)=0,"",VLOOKUP($A15,数出表_Excel!$A$6:$T$150,COLUMN()/2+1,FALSE))),"")</f>
        <v/>
      </c>
      <c r="E15" s="142"/>
      <c r="F15" s="146" t="str">
        <f ca="1">IFERROR(VALUE(IF(VLOOKUP($A15,数出表_Excel!$A$6:$T$150,COLUMN()/2+1,FALSE)=0,"",VLOOKUP($A15,数出表_Excel!$A$6:$T$150,COLUMN()/2+1,FALSE))),"")</f>
        <v/>
      </c>
      <c r="G15" s="142"/>
      <c r="H15" s="142" t="str">
        <f ca="1">IFERROR(VALUE(IF(VLOOKUP($A15,数出表_Excel!$A$6:$T$150,COLUMN()/2+1,FALSE)=0,"",VLOOKUP($A15,数出表_Excel!$A$6:$T$150,COLUMN()/2+1,FALSE))),"")</f>
        <v/>
      </c>
      <c r="I15" s="142"/>
      <c r="J15" s="142" t="str">
        <f ca="1">IFERROR(VALUE(IF(VLOOKUP($A15,数出表_Excel!$A$6:$T$150,COLUMN()/2+1,FALSE)=0,"",VLOOKUP($A15,数出表_Excel!$A$6:$T$150,COLUMN()/2+1,FALSE))),"")</f>
        <v/>
      </c>
      <c r="K15" s="209"/>
      <c r="L15" s="147" t="str">
        <f ca="1">IFERROR(VALUE(IF(VLOOKUP($A15,数出表_Excel!$A$6:$T$150,COLUMN()/2+1,FALSE)=0,"",VLOOKUP($A15,数出表_Excel!$A$6:$T$150,COLUMN()/2+1,FALSE))),"")</f>
        <v/>
      </c>
      <c r="M15" s="142"/>
      <c r="N15" s="142" t="str">
        <f ca="1">IFERROR(VALUE(IF(VLOOKUP($A15,数出表_Excel!$A$6:$T$150,COLUMN()/2+1,FALSE)=0,"",VLOOKUP($A15,数出表_Excel!$A$6:$T$150,COLUMN()/2+1,FALSE))),"")</f>
        <v/>
      </c>
      <c r="O15" s="142"/>
      <c r="P15" s="142" t="str">
        <f ca="1">IFERROR(VALUE(IF(VLOOKUP($A15,数出表_Excel!$A$6:$T$150,COLUMN()/2+1,FALSE)=0,"",VLOOKUP($A15,数出表_Excel!$A$6:$T$150,COLUMN()/2+1,FALSE))),"")</f>
        <v/>
      </c>
      <c r="Q15" s="142"/>
      <c r="R15" s="142" t="str">
        <f ca="1">IFERROR(VALUE(IF(VLOOKUP($A15,数出表_Excel!$A$6:$T$150,COLUMN()/2+1,FALSE)=0,"",VLOOKUP($A15,数出表_Excel!$A$6:$T$150,COLUMN()/2+1,FALSE))),"")</f>
        <v/>
      </c>
      <c r="S15" s="142"/>
      <c r="T15" s="142" t="str">
        <f ca="1">IFERROR(VALUE(IF(VLOOKUP($A15,数出表_Excel!$A$6:$T$150,COLUMN()/2+1,FALSE)=0,"",VLOOKUP($A15,数出表_Excel!$A$6:$T$150,COLUMN()/2+1,FALSE))),"")</f>
        <v/>
      </c>
      <c r="U15" s="142"/>
      <c r="V15" s="146" t="str">
        <f ca="1">IFERROR(VALUE(IF(VLOOKUP($A15,数出表_Excel!$A$6:$T$150,COLUMN()/2+1,FALSE)=0,"",VLOOKUP($A15,数出表_Excel!$A$6:$T$150,COLUMN()/2+1,FALSE))),"")</f>
        <v/>
      </c>
      <c r="W15" s="142"/>
      <c r="X15" s="146" t="str">
        <f ca="1">IFERROR(VALUE(IF(VLOOKUP($A15,数出表_Excel!$A$6:$T$150,COLUMN()/2+1,FALSE)=0,"",VLOOKUP($A15,数出表_Excel!$A$6:$T$150,COLUMN()/2+1,FALSE))),"")</f>
        <v/>
      </c>
      <c r="Y15" s="142"/>
      <c r="Z15" s="146" t="str">
        <f ca="1">IFERROR(VALUE(IF(VLOOKUP($A15,数出表_Excel!$A$6:$T$150,COLUMN()/2+1,FALSE)=0,"",VLOOKUP($A15,数出表_Excel!$A$6:$T$150,COLUMN()/2+1,FALSE))),"")</f>
        <v/>
      </c>
      <c r="AA15" s="209"/>
      <c r="AB15" s="147" t="str">
        <f ca="1">IFERROR(VALUE(IF(VLOOKUP($A15,数出表_Excel!$A$6:$T$150,COLUMN()/2+1,FALSE)=0,"",VLOOKUP($A15,数出表_Excel!$A$6:$T$150,COLUMN()/2+1,FALSE))),"")</f>
        <v/>
      </c>
      <c r="AC15" s="142"/>
      <c r="AD15" s="146" t="str">
        <f ca="1">IFERROR(VALUE(IF(VLOOKUP($A15,数出表_Excel!$A$6:$T$150,COLUMN()/2+1,FALSE)=0,"",VLOOKUP($A15,数出表_Excel!$A$6:$T$150,COLUMN()/2+1,FALSE))),"")</f>
        <v/>
      </c>
      <c r="AE15" s="142"/>
      <c r="AF15" s="146" t="str">
        <f ca="1">IFERROR(VALUE(IF(VLOOKUP($A15,数出表_Excel!$A$6:$T$150,COLUMN()/2+1,FALSE)=0,"",VLOOKUP($A15,数出表_Excel!$A$6:$T$150,COLUMN()/2+1,FALSE))),"")</f>
        <v/>
      </c>
      <c r="AG15" s="142"/>
      <c r="AH15" s="146" t="str">
        <f ca="1">IFERROR(VALUE(IF(VLOOKUP($A15,数出表_Excel!$A$6:$T$150,COLUMN()/2+1,FALSE)=0,"",VLOOKUP($A15,数出表_Excel!$A$6:$T$150,COLUMN()/2+1,FALSE))),"")</f>
        <v/>
      </c>
      <c r="AI15" s="209"/>
      <c r="AJ15" s="147" t="str">
        <f ca="1">IFERROR(VALUE(IF(VLOOKUP($A15,数出表_Excel!$A$6:$T$150,COLUMN()/2+1,FALSE)=0,"",VLOOKUP($A15,数出表_Excel!$A$6:$T$150,COLUMN()/2+1,FALSE))),"")</f>
        <v/>
      </c>
      <c r="AK15" s="142"/>
      <c r="AL15" s="148" t="e">
        <f ca="1">IF(A15&lt;&gt;"",
IF(VLOOKUP($A15,数出表_Excel!$A$6:$T$150,COLUMN()/2+1,FALSE)=0,"",VLOOKUP($A15,数出表_Excel!$A$6:$T$150,COLUMN()/2+1,FALSE)),"")</f>
        <v>#N/A</v>
      </c>
      <c r="AM15" s="263">
        <f>数出表_Excel!V15</f>
        <v>0</v>
      </c>
      <c r="AN15" s="264">
        <f>数出表_Excel!W15</f>
        <v>0</v>
      </c>
    </row>
    <row r="16" spans="1:40" ht="16.2" customHeight="1" x14ac:dyDescent="0.45">
      <c r="A16" s="219" t="str">
        <f t="array" aca="1" ref="A16" ca="1">IF(OR(COUNTIF(A14,"*10002*"),COUNTIF(A14,"")),"",INDEX(貼り付け用!$A:$A,MATCH(A14,貼り付け用!$A:$A,0)+2,0))</f>
        <v>206</v>
      </c>
      <c r="B16" s="204" t="str">
        <f ca="1">IFERROR(VALUE(IF(VLOOKUP($A16,数出表_Excel!$A$6:$T$150,COLUMN()/2+1,FALSE)=0,"",VLOOKUP($A16,数出表_Excel!$A$6:$T$150,COLUMN()/2+1,FALSE))),"")</f>
        <v/>
      </c>
      <c r="C16" s="141"/>
      <c r="D16" s="204" t="str">
        <f ca="1">IFERROR(VALUE(IF(VLOOKUP($A16,数出表_Excel!$A$6:$T$150,COLUMN()/2+1,FALSE)=0,"",VLOOKUP($A16,数出表_Excel!$A$6:$T$150,COLUMN()/2+1,FALSE))),"")</f>
        <v/>
      </c>
      <c r="E16" s="141"/>
      <c r="F16" s="207" t="str">
        <f ca="1">IFERROR(VALUE(IF(VLOOKUP($A16,数出表_Excel!$A$6:$T$150,COLUMN()/2+1,FALSE)=0,"",VLOOKUP($A16,数出表_Excel!$A$6:$T$150,COLUMN()/2+1,FALSE))),"")</f>
        <v/>
      </c>
      <c r="G16" s="141"/>
      <c r="H16" s="204" t="str">
        <f ca="1">IFERROR(VALUE(IF(VLOOKUP($A16,数出表_Excel!$A$6:$T$150,COLUMN()/2+1,FALSE)=0,"",VLOOKUP($A16,数出表_Excel!$A$6:$T$150,COLUMN()/2+1,FALSE))),"")</f>
        <v/>
      </c>
      <c r="I16" s="141"/>
      <c r="J16" s="204" t="str">
        <f ca="1">IFERROR(VALUE(IF(VLOOKUP($A16,数出表_Excel!$A$6:$T$150,COLUMN()/2+1,FALSE)=0,"",VLOOKUP($A16,数出表_Excel!$A$6:$T$150,COLUMN()/2+1,FALSE))),"")</f>
        <v/>
      </c>
      <c r="K16" s="208"/>
      <c r="L16" s="205" t="str">
        <f ca="1">IFERROR(VALUE(IF(VLOOKUP($A16,数出表_Excel!$A$6:$T$150,COLUMN()/2+1,FALSE)=0,"",VLOOKUP($A16,数出表_Excel!$A$6:$T$150,COLUMN()/2+1,FALSE))),"")</f>
        <v/>
      </c>
      <c r="M16" s="141"/>
      <c r="N16" s="204" t="str">
        <f ca="1">IFERROR(VALUE(IF(VLOOKUP($A16,数出表_Excel!$A$6:$T$150,COLUMN()/2+1,FALSE)=0,"",VLOOKUP($A16,数出表_Excel!$A$6:$T$150,COLUMN()/2+1,FALSE))),"")</f>
        <v/>
      </c>
      <c r="O16" s="141"/>
      <c r="P16" s="204" t="str">
        <f ca="1">IFERROR(VALUE(IF(VLOOKUP($A16,数出表_Excel!$A$6:$T$150,COLUMN()/2+1,FALSE)=0,"",VLOOKUP($A16,数出表_Excel!$A$6:$T$150,COLUMN()/2+1,FALSE))),"")</f>
        <v/>
      </c>
      <c r="Q16" s="141"/>
      <c r="R16" s="204" t="str">
        <f ca="1">IFERROR(VALUE(IF(VLOOKUP($A16,数出表_Excel!$A$6:$T$150,COLUMN()/2+1,FALSE)=0,"",VLOOKUP($A16,数出表_Excel!$A$6:$T$150,COLUMN()/2+1,FALSE))),"")</f>
        <v/>
      </c>
      <c r="S16" s="141"/>
      <c r="T16" s="204" t="str">
        <f ca="1">IFERROR(VALUE(IF(VLOOKUP($A16,数出表_Excel!$A$6:$T$150,COLUMN()/2+1,FALSE)=0,"",VLOOKUP($A16,数出表_Excel!$A$6:$T$150,COLUMN()/2+1,FALSE))),"")</f>
        <v/>
      </c>
      <c r="U16" s="141"/>
      <c r="V16" s="207" t="str">
        <f ca="1">IFERROR(VALUE(IF(VLOOKUP($A16,数出表_Excel!$A$6:$T$150,COLUMN()/2+1,FALSE)=0,"",VLOOKUP($A16,数出表_Excel!$A$6:$T$150,COLUMN()/2+1,FALSE))),"")</f>
        <v/>
      </c>
      <c r="W16" s="141"/>
      <c r="X16" s="207" t="str">
        <f ca="1">IFERROR(VALUE(IF(VLOOKUP($A16,数出表_Excel!$A$6:$T$150,COLUMN()/2+1,FALSE)=0,"",VLOOKUP($A16,数出表_Excel!$A$6:$T$150,COLUMN()/2+1,FALSE))),"")</f>
        <v/>
      </c>
      <c r="Y16" s="141"/>
      <c r="Z16" s="207" t="str">
        <f ca="1">IFERROR(VALUE(IF(VLOOKUP($A16,数出表_Excel!$A$6:$T$150,COLUMN()/2+1,FALSE)=0,"",VLOOKUP($A16,数出表_Excel!$A$6:$T$150,COLUMN()/2+1,FALSE))),"")</f>
        <v/>
      </c>
      <c r="AA16" s="208"/>
      <c r="AB16" s="205" t="str">
        <f ca="1">IFERROR(VALUE(IF(VLOOKUP($A16,数出表_Excel!$A$6:$T$150,COLUMN()/2+1,FALSE)=0,"",VLOOKUP($A16,数出表_Excel!$A$6:$T$150,COLUMN()/2+1,FALSE))),"")</f>
        <v/>
      </c>
      <c r="AC16" s="141"/>
      <c r="AD16" s="207" t="str">
        <f ca="1">IFERROR(VALUE(IF(VLOOKUP($A16,数出表_Excel!$A$6:$T$150,COLUMN()/2+1,FALSE)=0,"",VLOOKUP($A16,数出表_Excel!$A$6:$T$150,COLUMN()/2+1,FALSE))),"")</f>
        <v/>
      </c>
      <c r="AE16" s="141"/>
      <c r="AF16" s="207" t="str">
        <f ca="1">IFERROR(VALUE(IF(VLOOKUP($A16,数出表_Excel!$A$6:$T$150,COLUMN()/2+1,FALSE)=0,"",VLOOKUP($A16,数出表_Excel!$A$6:$T$150,COLUMN()/2+1,FALSE))),"")</f>
        <v/>
      </c>
      <c r="AG16" s="141"/>
      <c r="AH16" s="207" t="str">
        <f ca="1">IFERROR(VALUE(IF(VLOOKUP($A16,数出表_Excel!$A$6:$T$150,COLUMN()/2+1,FALSE)=0,"",VLOOKUP($A16,数出表_Excel!$A$6:$T$150,COLUMN()/2+1,FALSE))),"")</f>
        <v/>
      </c>
      <c r="AI16" s="208"/>
      <c r="AJ16" s="205" t="str">
        <f ca="1">IFERROR(VALUE(IF(VLOOKUP($A16,数出表_Excel!$A$6:$T$150,COLUMN()/2+1,FALSE)=0,"",VLOOKUP($A16,数出表_Excel!$A$6:$T$150,COLUMN()/2+1,FALSE))),"")</f>
        <v/>
      </c>
      <c r="AK16" s="141"/>
      <c r="AL16" s="145" t="e">
        <f ca="1">IF(A16&lt;&gt;"",
IF(VLOOKUP($A16,数出表_Excel!$A$6:$T$150,COLUMN()/2+1,FALSE)=0,"",VLOOKUP($A16,数出表_Excel!$A$6:$T$150,COLUMN()/2+1,FALSE)),"")</f>
        <v>#N/A</v>
      </c>
      <c r="AM16" s="261">
        <f>数出表_Excel!V16</f>
        <v>0</v>
      </c>
      <c r="AN16" s="262">
        <f>数出表_Excel!W16</f>
        <v>0</v>
      </c>
    </row>
    <row r="17" spans="1:40" ht="16.2" customHeight="1" x14ac:dyDescent="0.45">
      <c r="A17" s="220" t="str">
        <f t="array" aca="1" ref="A17" ca="1">IF(OR(COUNTIF(A15,"*1000*"),COUNTIF(A15,"")),"",INDEX(貼り付け用!$A:$A,MATCH(A15,貼り付け用!$A:$A,0)+2,0))</f>
        <v>博多南幼稚園 週5ｺｰｽ</v>
      </c>
      <c r="B17" s="142" t="str">
        <f ca="1">IFERROR(VALUE(IF(VLOOKUP($A17,数出表_Excel!$A$6:$T$150,COLUMN()/2+1,FALSE)=0,"",VLOOKUP($A17,数出表_Excel!$A$6:$T$150,COLUMN()/2+1,FALSE))),"")</f>
        <v/>
      </c>
      <c r="C17" s="142"/>
      <c r="D17" s="142" t="str">
        <f ca="1">IFERROR(VALUE(IF(VLOOKUP($A17,数出表_Excel!$A$6:$T$150,COLUMN()/2+1,FALSE)=0,"",VLOOKUP($A17,数出表_Excel!$A$6:$T$150,COLUMN()/2+1,FALSE))),"")</f>
        <v/>
      </c>
      <c r="E17" s="142"/>
      <c r="F17" s="146" t="str">
        <f ca="1">IFERROR(VALUE(IF(VLOOKUP($A17,数出表_Excel!$A$6:$T$150,COLUMN()/2+1,FALSE)=0,"",VLOOKUP($A17,数出表_Excel!$A$6:$T$150,COLUMN()/2+1,FALSE))),"")</f>
        <v/>
      </c>
      <c r="G17" s="142"/>
      <c r="H17" s="142" t="str">
        <f ca="1">IFERROR(VALUE(IF(VLOOKUP($A17,数出表_Excel!$A$6:$T$150,COLUMN()/2+1,FALSE)=0,"",VLOOKUP($A17,数出表_Excel!$A$6:$T$150,COLUMN()/2+1,FALSE))),"")</f>
        <v/>
      </c>
      <c r="I17" s="142"/>
      <c r="J17" s="142" t="str">
        <f ca="1">IFERROR(VALUE(IF(VLOOKUP($A17,数出表_Excel!$A$6:$T$150,COLUMN()/2+1,FALSE)=0,"",VLOOKUP($A17,数出表_Excel!$A$6:$T$150,COLUMN()/2+1,FALSE))),"")</f>
        <v/>
      </c>
      <c r="K17" s="209"/>
      <c r="L17" s="147" t="str">
        <f ca="1">IFERROR(VALUE(IF(VLOOKUP($A17,数出表_Excel!$A$6:$T$150,COLUMN()/2+1,FALSE)=0,"",VLOOKUP($A17,数出表_Excel!$A$6:$T$150,COLUMN()/2+1,FALSE))),"")</f>
        <v/>
      </c>
      <c r="M17" s="142"/>
      <c r="N17" s="142" t="str">
        <f ca="1">IFERROR(VALUE(IF(VLOOKUP($A17,数出表_Excel!$A$6:$T$150,COLUMN()/2+1,FALSE)=0,"",VLOOKUP($A17,数出表_Excel!$A$6:$T$150,COLUMN()/2+1,FALSE))),"")</f>
        <v/>
      </c>
      <c r="O17" s="142"/>
      <c r="P17" s="142" t="str">
        <f ca="1">IFERROR(VALUE(IF(VLOOKUP($A17,数出表_Excel!$A$6:$T$150,COLUMN()/2+1,FALSE)=0,"",VLOOKUP($A17,数出表_Excel!$A$6:$T$150,COLUMN()/2+1,FALSE))),"")</f>
        <v/>
      </c>
      <c r="Q17" s="142"/>
      <c r="R17" s="142" t="str">
        <f ca="1">IFERROR(VALUE(IF(VLOOKUP($A17,数出表_Excel!$A$6:$T$150,COLUMN()/2+1,FALSE)=0,"",VLOOKUP($A17,数出表_Excel!$A$6:$T$150,COLUMN()/2+1,FALSE))),"")</f>
        <v/>
      </c>
      <c r="S17" s="142"/>
      <c r="T17" s="142" t="str">
        <f ca="1">IFERROR(VALUE(IF(VLOOKUP($A17,数出表_Excel!$A$6:$T$150,COLUMN()/2+1,FALSE)=0,"",VLOOKUP($A17,数出表_Excel!$A$6:$T$150,COLUMN()/2+1,FALSE))),"")</f>
        <v/>
      </c>
      <c r="U17" s="142"/>
      <c r="V17" s="146" t="str">
        <f ca="1">IFERROR(VALUE(IF(VLOOKUP($A17,数出表_Excel!$A$6:$T$150,COLUMN()/2+1,FALSE)=0,"",VLOOKUP($A17,数出表_Excel!$A$6:$T$150,COLUMN()/2+1,FALSE))),"")</f>
        <v/>
      </c>
      <c r="W17" s="142"/>
      <c r="X17" s="146" t="str">
        <f ca="1">IFERROR(VALUE(IF(VLOOKUP($A17,数出表_Excel!$A$6:$T$150,COLUMN()/2+1,FALSE)=0,"",VLOOKUP($A17,数出表_Excel!$A$6:$T$150,COLUMN()/2+1,FALSE))),"")</f>
        <v/>
      </c>
      <c r="Y17" s="142"/>
      <c r="Z17" s="146" t="str">
        <f ca="1">IFERROR(VALUE(IF(VLOOKUP($A17,数出表_Excel!$A$6:$T$150,COLUMN()/2+1,FALSE)=0,"",VLOOKUP($A17,数出表_Excel!$A$6:$T$150,COLUMN()/2+1,FALSE))),"")</f>
        <v/>
      </c>
      <c r="AA17" s="209"/>
      <c r="AB17" s="147" t="str">
        <f ca="1">IFERROR(VALUE(IF(VLOOKUP($A17,数出表_Excel!$A$6:$T$150,COLUMN()/2+1,FALSE)=0,"",VLOOKUP($A17,数出表_Excel!$A$6:$T$150,COLUMN()/2+1,FALSE))),"")</f>
        <v/>
      </c>
      <c r="AC17" s="142"/>
      <c r="AD17" s="146" t="str">
        <f ca="1">IFERROR(VALUE(IF(VLOOKUP($A17,数出表_Excel!$A$6:$T$150,COLUMN()/2+1,FALSE)=0,"",VLOOKUP($A17,数出表_Excel!$A$6:$T$150,COLUMN()/2+1,FALSE))),"")</f>
        <v/>
      </c>
      <c r="AE17" s="142"/>
      <c r="AF17" s="146" t="str">
        <f ca="1">IFERROR(VALUE(IF(VLOOKUP($A17,数出表_Excel!$A$6:$T$150,COLUMN()/2+1,FALSE)=0,"",VLOOKUP($A17,数出表_Excel!$A$6:$T$150,COLUMN()/2+1,FALSE))),"")</f>
        <v/>
      </c>
      <c r="AG17" s="142"/>
      <c r="AH17" s="146" t="str">
        <f ca="1">IFERROR(VALUE(IF(VLOOKUP($A17,数出表_Excel!$A$6:$T$150,COLUMN()/2+1,FALSE)=0,"",VLOOKUP($A17,数出表_Excel!$A$6:$T$150,COLUMN()/2+1,FALSE))),"")</f>
        <v/>
      </c>
      <c r="AI17" s="209"/>
      <c r="AJ17" s="147" t="str">
        <f ca="1">IFERROR(VALUE(IF(VLOOKUP($A17,数出表_Excel!$A$6:$T$150,COLUMN()/2+1,FALSE)=0,"",VLOOKUP($A17,数出表_Excel!$A$6:$T$150,COLUMN()/2+1,FALSE))),"")</f>
        <v/>
      </c>
      <c r="AK17" s="142"/>
      <c r="AL17" s="148" t="e">
        <f ca="1">IF(A17&lt;&gt;"",
IF(VLOOKUP($A17,数出表_Excel!$A$6:$T$150,COLUMN()/2+1,FALSE)=0,"",VLOOKUP($A17,数出表_Excel!$A$6:$T$150,COLUMN()/2+1,FALSE)),"")</f>
        <v>#N/A</v>
      </c>
      <c r="AM17" s="263">
        <f>数出表_Excel!V17</f>
        <v>0</v>
      </c>
      <c r="AN17" s="264">
        <f>数出表_Excel!W17</f>
        <v>0</v>
      </c>
    </row>
    <row r="18" spans="1:40" ht="16.2" customHeight="1" x14ac:dyDescent="0.45">
      <c r="A18" s="219" t="str">
        <f t="array" aca="1" ref="A18" ca="1">IF(OR(COUNTIF(A16,"*10002*"),COUNTIF(A16,"")),"",INDEX(貼り付け用!$A:$A,MATCH(A16,貼り付け用!$A:$A,0)+2,0))</f>
        <v>207</v>
      </c>
      <c r="B18" s="204" t="str">
        <f ca="1">IFERROR(VALUE(IF(VLOOKUP($A18,数出表_Excel!$A$6:$T$150,COLUMN()/2+1,FALSE)=0,"",VLOOKUP($A18,数出表_Excel!$A$6:$T$150,COLUMN()/2+1,FALSE))),"")</f>
        <v/>
      </c>
      <c r="C18" s="141"/>
      <c r="D18" s="204" t="str">
        <f ca="1">IFERROR(VALUE(IF(VLOOKUP($A18,数出表_Excel!$A$6:$T$150,COLUMN()/2+1,FALSE)=0,"",VLOOKUP($A18,数出表_Excel!$A$6:$T$150,COLUMN()/2+1,FALSE))),"")</f>
        <v/>
      </c>
      <c r="E18" s="141"/>
      <c r="F18" s="207" t="str">
        <f ca="1">IFERROR(VALUE(IF(VLOOKUP($A18,数出表_Excel!$A$6:$T$150,COLUMN()/2+1,FALSE)=0,"",VLOOKUP($A18,数出表_Excel!$A$6:$T$150,COLUMN()/2+1,FALSE))),"")</f>
        <v/>
      </c>
      <c r="G18" s="141"/>
      <c r="H18" s="204" t="str">
        <f ca="1">IFERROR(VALUE(IF(VLOOKUP($A18,数出表_Excel!$A$6:$T$150,COLUMN()/2+1,FALSE)=0,"",VLOOKUP($A18,数出表_Excel!$A$6:$T$150,COLUMN()/2+1,FALSE))),"")</f>
        <v/>
      </c>
      <c r="I18" s="141"/>
      <c r="J18" s="204" t="str">
        <f ca="1">IFERROR(VALUE(IF(VLOOKUP($A18,数出表_Excel!$A$6:$T$150,COLUMN()/2+1,FALSE)=0,"",VLOOKUP($A18,数出表_Excel!$A$6:$T$150,COLUMN()/2+1,FALSE))),"")</f>
        <v/>
      </c>
      <c r="K18" s="208"/>
      <c r="L18" s="205" t="str">
        <f ca="1">IFERROR(VALUE(IF(VLOOKUP($A18,数出表_Excel!$A$6:$T$150,COLUMN()/2+1,FALSE)=0,"",VLOOKUP($A18,数出表_Excel!$A$6:$T$150,COLUMN()/2+1,FALSE))),"")</f>
        <v/>
      </c>
      <c r="M18" s="141"/>
      <c r="N18" s="204" t="str">
        <f ca="1">IFERROR(VALUE(IF(VLOOKUP($A18,数出表_Excel!$A$6:$T$150,COLUMN()/2+1,FALSE)=0,"",VLOOKUP($A18,数出表_Excel!$A$6:$T$150,COLUMN()/2+1,FALSE))),"")</f>
        <v/>
      </c>
      <c r="O18" s="141"/>
      <c r="P18" s="204" t="str">
        <f ca="1">IFERROR(VALUE(IF(VLOOKUP($A18,数出表_Excel!$A$6:$T$150,COLUMN()/2+1,FALSE)=0,"",VLOOKUP($A18,数出表_Excel!$A$6:$T$150,COLUMN()/2+1,FALSE))),"")</f>
        <v/>
      </c>
      <c r="Q18" s="141"/>
      <c r="R18" s="204" t="str">
        <f ca="1">IFERROR(VALUE(IF(VLOOKUP($A18,数出表_Excel!$A$6:$T$150,COLUMN()/2+1,FALSE)=0,"",VLOOKUP($A18,数出表_Excel!$A$6:$T$150,COLUMN()/2+1,FALSE))),"")</f>
        <v/>
      </c>
      <c r="S18" s="141"/>
      <c r="T18" s="204" t="str">
        <f ca="1">IFERROR(VALUE(IF(VLOOKUP($A18,数出表_Excel!$A$6:$T$150,COLUMN()/2+1,FALSE)=0,"",VLOOKUP($A18,数出表_Excel!$A$6:$T$150,COLUMN()/2+1,FALSE))),"")</f>
        <v/>
      </c>
      <c r="U18" s="141"/>
      <c r="V18" s="207" t="str">
        <f ca="1">IFERROR(VALUE(IF(VLOOKUP($A18,数出表_Excel!$A$6:$T$150,COLUMN()/2+1,FALSE)=0,"",VLOOKUP($A18,数出表_Excel!$A$6:$T$150,COLUMN()/2+1,FALSE))),"")</f>
        <v/>
      </c>
      <c r="W18" s="141"/>
      <c r="X18" s="207" t="str">
        <f ca="1">IFERROR(VALUE(IF(VLOOKUP($A18,数出表_Excel!$A$6:$T$150,COLUMN()/2+1,FALSE)=0,"",VLOOKUP($A18,数出表_Excel!$A$6:$T$150,COLUMN()/2+1,FALSE))),"")</f>
        <v/>
      </c>
      <c r="Y18" s="141"/>
      <c r="Z18" s="207" t="str">
        <f ca="1">IFERROR(VALUE(IF(VLOOKUP($A18,数出表_Excel!$A$6:$T$150,COLUMN()/2+1,FALSE)=0,"",VLOOKUP($A18,数出表_Excel!$A$6:$T$150,COLUMN()/2+1,FALSE))),"")</f>
        <v/>
      </c>
      <c r="AA18" s="208"/>
      <c r="AB18" s="205" t="str">
        <f ca="1">IFERROR(VALUE(IF(VLOOKUP($A18,数出表_Excel!$A$6:$T$150,COLUMN()/2+1,FALSE)=0,"",VLOOKUP($A18,数出表_Excel!$A$6:$T$150,COLUMN()/2+1,FALSE))),"")</f>
        <v/>
      </c>
      <c r="AC18" s="141"/>
      <c r="AD18" s="207" t="str">
        <f ca="1">IFERROR(VALUE(IF(VLOOKUP($A18,数出表_Excel!$A$6:$T$150,COLUMN()/2+1,FALSE)=0,"",VLOOKUP($A18,数出表_Excel!$A$6:$T$150,COLUMN()/2+1,FALSE))),"")</f>
        <v/>
      </c>
      <c r="AE18" s="141"/>
      <c r="AF18" s="207" t="str">
        <f ca="1">IFERROR(VALUE(IF(VLOOKUP($A18,数出表_Excel!$A$6:$T$150,COLUMN()/2+1,FALSE)=0,"",VLOOKUP($A18,数出表_Excel!$A$6:$T$150,COLUMN()/2+1,FALSE))),"")</f>
        <v/>
      </c>
      <c r="AG18" s="141"/>
      <c r="AH18" s="207" t="str">
        <f ca="1">IFERROR(VALUE(IF(VLOOKUP($A18,数出表_Excel!$A$6:$T$150,COLUMN()/2+1,FALSE)=0,"",VLOOKUP($A18,数出表_Excel!$A$6:$T$150,COLUMN()/2+1,FALSE))),"")</f>
        <v/>
      </c>
      <c r="AI18" s="208"/>
      <c r="AJ18" s="205" t="str">
        <f ca="1">IFERROR(VALUE(IF(VLOOKUP($A18,数出表_Excel!$A$6:$T$150,COLUMN()/2+1,FALSE)=0,"",VLOOKUP($A18,数出表_Excel!$A$6:$T$150,COLUMN()/2+1,FALSE))),"")</f>
        <v/>
      </c>
      <c r="AK18" s="141"/>
      <c r="AL18" s="145" t="e">
        <f ca="1">IF(A18&lt;&gt;"",
IF(VLOOKUP($A18,数出表_Excel!$A$6:$T$150,COLUMN()/2+1,FALSE)=0,"",VLOOKUP($A18,数出表_Excel!$A$6:$T$150,COLUMN()/2+1,FALSE)),"")</f>
        <v>#N/A</v>
      </c>
      <c r="AM18" s="261">
        <f>数出表_Excel!V18</f>
        <v>0</v>
      </c>
      <c r="AN18" s="262">
        <f>数出表_Excel!W18</f>
        <v>0</v>
      </c>
    </row>
    <row r="19" spans="1:40" ht="16.2" customHeight="1" x14ac:dyDescent="0.45">
      <c r="A19" s="220" t="str">
        <f t="array" aca="1" ref="A19" ca="1">IF(OR(COUNTIF(A17,"*1000*"),COUNTIF(A17,"")),"",INDEX(貼り付け用!$A:$A,MATCH(A17,貼り付け用!$A:$A,0)+2,0))</f>
        <v>博多南幼稚園（補助教員）</v>
      </c>
      <c r="B19" s="142" t="str">
        <f ca="1">IFERROR(VALUE(IF(VLOOKUP($A19,数出表_Excel!$A$6:$T$150,COLUMN()/2+1,FALSE)=0,"",VLOOKUP($A19,数出表_Excel!$A$6:$T$150,COLUMN()/2+1,FALSE))),"")</f>
        <v/>
      </c>
      <c r="C19" s="142"/>
      <c r="D19" s="142" t="str">
        <f ca="1">IFERROR(VALUE(IF(VLOOKUP($A19,数出表_Excel!$A$6:$T$150,COLUMN()/2+1,FALSE)=0,"",VLOOKUP($A19,数出表_Excel!$A$6:$T$150,COLUMN()/2+1,FALSE))),"")</f>
        <v/>
      </c>
      <c r="E19" s="142"/>
      <c r="F19" s="146" t="str">
        <f ca="1">IFERROR(VALUE(IF(VLOOKUP($A19,数出表_Excel!$A$6:$T$150,COLUMN()/2+1,FALSE)=0,"",VLOOKUP($A19,数出表_Excel!$A$6:$T$150,COLUMN()/2+1,FALSE))),"")</f>
        <v/>
      </c>
      <c r="G19" s="142"/>
      <c r="H19" s="142" t="str">
        <f ca="1">IFERROR(VALUE(IF(VLOOKUP($A19,数出表_Excel!$A$6:$T$150,COLUMN()/2+1,FALSE)=0,"",VLOOKUP($A19,数出表_Excel!$A$6:$T$150,COLUMN()/2+1,FALSE))),"")</f>
        <v/>
      </c>
      <c r="I19" s="142"/>
      <c r="J19" s="142" t="str">
        <f ca="1">IFERROR(VALUE(IF(VLOOKUP($A19,数出表_Excel!$A$6:$T$150,COLUMN()/2+1,FALSE)=0,"",VLOOKUP($A19,数出表_Excel!$A$6:$T$150,COLUMN()/2+1,FALSE))),"")</f>
        <v/>
      </c>
      <c r="K19" s="209"/>
      <c r="L19" s="147" t="str">
        <f ca="1">IFERROR(VALUE(IF(VLOOKUP($A19,数出表_Excel!$A$6:$T$150,COLUMN()/2+1,FALSE)=0,"",VLOOKUP($A19,数出表_Excel!$A$6:$T$150,COLUMN()/2+1,FALSE))),"")</f>
        <v/>
      </c>
      <c r="M19" s="142"/>
      <c r="N19" s="142" t="str">
        <f ca="1">IFERROR(VALUE(IF(VLOOKUP($A19,数出表_Excel!$A$6:$T$150,COLUMN()/2+1,FALSE)=0,"",VLOOKUP($A19,数出表_Excel!$A$6:$T$150,COLUMN()/2+1,FALSE))),"")</f>
        <v/>
      </c>
      <c r="O19" s="142"/>
      <c r="P19" s="142" t="str">
        <f ca="1">IFERROR(VALUE(IF(VLOOKUP($A19,数出表_Excel!$A$6:$T$150,COLUMN()/2+1,FALSE)=0,"",VLOOKUP($A19,数出表_Excel!$A$6:$T$150,COLUMN()/2+1,FALSE))),"")</f>
        <v/>
      </c>
      <c r="Q19" s="142"/>
      <c r="R19" s="142" t="str">
        <f ca="1">IFERROR(VALUE(IF(VLOOKUP($A19,数出表_Excel!$A$6:$T$150,COLUMN()/2+1,FALSE)=0,"",VLOOKUP($A19,数出表_Excel!$A$6:$T$150,COLUMN()/2+1,FALSE))),"")</f>
        <v/>
      </c>
      <c r="S19" s="142"/>
      <c r="T19" s="142" t="str">
        <f ca="1">IFERROR(VALUE(IF(VLOOKUP($A19,数出表_Excel!$A$6:$T$150,COLUMN()/2+1,FALSE)=0,"",VLOOKUP($A19,数出表_Excel!$A$6:$T$150,COLUMN()/2+1,FALSE))),"")</f>
        <v/>
      </c>
      <c r="U19" s="142"/>
      <c r="V19" s="146" t="str">
        <f ca="1">IFERROR(VALUE(IF(VLOOKUP($A19,数出表_Excel!$A$6:$T$150,COLUMN()/2+1,FALSE)=0,"",VLOOKUP($A19,数出表_Excel!$A$6:$T$150,COLUMN()/2+1,FALSE))),"")</f>
        <v/>
      </c>
      <c r="W19" s="142"/>
      <c r="X19" s="146" t="str">
        <f ca="1">IFERROR(VALUE(IF(VLOOKUP($A19,数出表_Excel!$A$6:$T$150,COLUMN()/2+1,FALSE)=0,"",VLOOKUP($A19,数出表_Excel!$A$6:$T$150,COLUMN()/2+1,FALSE))),"")</f>
        <v/>
      </c>
      <c r="Y19" s="142"/>
      <c r="Z19" s="146" t="str">
        <f ca="1">IFERROR(VALUE(IF(VLOOKUP($A19,数出表_Excel!$A$6:$T$150,COLUMN()/2+1,FALSE)=0,"",VLOOKUP($A19,数出表_Excel!$A$6:$T$150,COLUMN()/2+1,FALSE))),"")</f>
        <v/>
      </c>
      <c r="AA19" s="209"/>
      <c r="AB19" s="147" t="str">
        <f ca="1">IFERROR(VALUE(IF(VLOOKUP($A19,数出表_Excel!$A$6:$T$150,COLUMN()/2+1,FALSE)=0,"",VLOOKUP($A19,数出表_Excel!$A$6:$T$150,COLUMN()/2+1,FALSE))),"")</f>
        <v/>
      </c>
      <c r="AC19" s="142"/>
      <c r="AD19" s="146" t="str">
        <f ca="1">IFERROR(VALUE(IF(VLOOKUP($A19,数出表_Excel!$A$6:$T$150,COLUMN()/2+1,FALSE)=0,"",VLOOKUP($A19,数出表_Excel!$A$6:$T$150,COLUMN()/2+1,FALSE))),"")</f>
        <v/>
      </c>
      <c r="AE19" s="142"/>
      <c r="AF19" s="146" t="str">
        <f ca="1">IFERROR(VALUE(IF(VLOOKUP($A19,数出表_Excel!$A$6:$T$150,COLUMN()/2+1,FALSE)=0,"",VLOOKUP($A19,数出表_Excel!$A$6:$T$150,COLUMN()/2+1,FALSE))),"")</f>
        <v/>
      </c>
      <c r="AG19" s="142"/>
      <c r="AH19" s="146" t="str">
        <f ca="1">IFERROR(VALUE(IF(VLOOKUP($A19,数出表_Excel!$A$6:$T$150,COLUMN()/2+1,FALSE)=0,"",VLOOKUP($A19,数出表_Excel!$A$6:$T$150,COLUMN()/2+1,FALSE))),"")</f>
        <v/>
      </c>
      <c r="AI19" s="209"/>
      <c r="AJ19" s="147" t="str">
        <f ca="1">IFERROR(VALUE(IF(VLOOKUP($A19,数出表_Excel!$A$6:$T$150,COLUMN()/2+1,FALSE)=0,"",VLOOKUP($A19,数出表_Excel!$A$6:$T$150,COLUMN()/2+1,FALSE))),"")</f>
        <v/>
      </c>
      <c r="AK19" s="142"/>
      <c r="AL19" s="148" t="e">
        <f ca="1">IF(A19&lt;&gt;"",
IF(VLOOKUP($A19,数出表_Excel!$A$6:$T$150,COLUMN()/2+1,FALSE)=0,"",VLOOKUP($A19,数出表_Excel!$A$6:$T$150,COLUMN()/2+1,FALSE)),"")</f>
        <v>#N/A</v>
      </c>
      <c r="AM19" s="263">
        <f>数出表_Excel!V19</f>
        <v>0</v>
      </c>
      <c r="AN19" s="264">
        <f>数出表_Excel!W19</f>
        <v>0</v>
      </c>
    </row>
    <row r="20" spans="1:40" ht="16.2" customHeight="1" x14ac:dyDescent="0.45">
      <c r="A20" s="219" t="str">
        <f t="array" aca="1" ref="A20" ca="1">IF(OR(COUNTIF(A18,"*10002*"),COUNTIF(A18,"")),"",INDEX(貼り付け用!$A:$A,MATCH(A18,貼り付け用!$A:$A,0)+2,0))</f>
        <v>400</v>
      </c>
      <c r="B20" s="204" t="str">
        <f ca="1">IFERROR(VALUE(IF(VLOOKUP($A20,数出表_Excel!$A$6:$T$150,COLUMN()/2+1,FALSE)=0,"",VLOOKUP($A20,数出表_Excel!$A$6:$T$150,COLUMN()/2+1,FALSE))),"")</f>
        <v/>
      </c>
      <c r="C20" s="141"/>
      <c r="D20" s="204" t="str">
        <f ca="1">IFERROR(VALUE(IF(VLOOKUP($A20,数出表_Excel!$A$6:$T$150,COLUMN()/2+1,FALSE)=0,"",VLOOKUP($A20,数出表_Excel!$A$6:$T$150,COLUMN()/2+1,FALSE))),"")</f>
        <v/>
      </c>
      <c r="E20" s="141"/>
      <c r="F20" s="207" t="str">
        <f ca="1">IFERROR(VALUE(IF(VLOOKUP($A20,数出表_Excel!$A$6:$T$150,COLUMN()/2+1,FALSE)=0,"",VLOOKUP($A20,数出表_Excel!$A$6:$T$150,COLUMN()/2+1,FALSE))),"")</f>
        <v/>
      </c>
      <c r="G20" s="141">
        <v>2</v>
      </c>
      <c r="H20" s="204" t="str">
        <f ca="1">IFERROR(VALUE(IF(VLOOKUP($A20,数出表_Excel!$A$6:$T$150,COLUMN()/2+1,FALSE)=0,"",VLOOKUP($A20,数出表_Excel!$A$6:$T$150,COLUMN()/2+1,FALSE))),"")</f>
        <v/>
      </c>
      <c r="I20" s="141"/>
      <c r="J20" s="204" t="str">
        <f ca="1">IFERROR(VALUE(IF(VLOOKUP($A20,数出表_Excel!$A$6:$T$150,COLUMN()/2+1,FALSE)=0,"",VLOOKUP($A20,数出表_Excel!$A$6:$T$150,COLUMN()/2+1,FALSE))),"")</f>
        <v/>
      </c>
      <c r="K20" s="208"/>
      <c r="L20" s="205" t="str">
        <f ca="1">IFERROR(VALUE(IF(VLOOKUP($A20,数出表_Excel!$A$6:$T$150,COLUMN()/2+1,FALSE)=0,"",VLOOKUP($A20,数出表_Excel!$A$6:$T$150,COLUMN()/2+1,FALSE))),"")</f>
        <v/>
      </c>
      <c r="M20" s="141"/>
      <c r="N20" s="204" t="str">
        <f ca="1">IFERROR(VALUE(IF(VLOOKUP($A20,数出表_Excel!$A$6:$T$150,COLUMN()/2+1,FALSE)=0,"",VLOOKUP($A20,数出表_Excel!$A$6:$T$150,COLUMN()/2+1,FALSE))),"")</f>
        <v/>
      </c>
      <c r="O20" s="141"/>
      <c r="P20" s="204" t="str">
        <f ca="1">IFERROR(VALUE(IF(VLOOKUP($A20,数出表_Excel!$A$6:$T$150,COLUMN()/2+1,FALSE)=0,"",VLOOKUP($A20,数出表_Excel!$A$6:$T$150,COLUMN()/2+1,FALSE))),"")</f>
        <v/>
      </c>
      <c r="Q20" s="141"/>
      <c r="R20" s="204" t="str">
        <f ca="1">IFERROR(VALUE(IF(VLOOKUP($A20,数出表_Excel!$A$6:$T$150,COLUMN()/2+1,FALSE)=0,"",VLOOKUP($A20,数出表_Excel!$A$6:$T$150,COLUMN()/2+1,FALSE))),"")</f>
        <v/>
      </c>
      <c r="S20" s="141"/>
      <c r="T20" s="204" t="str">
        <f ca="1">IFERROR(VALUE(IF(VLOOKUP($A20,数出表_Excel!$A$6:$T$150,COLUMN()/2+1,FALSE)=0,"",VLOOKUP($A20,数出表_Excel!$A$6:$T$150,COLUMN()/2+1,FALSE))),"")</f>
        <v/>
      </c>
      <c r="U20" s="141"/>
      <c r="V20" s="207" t="str">
        <f ca="1">IFERROR(VALUE(IF(VLOOKUP($A20,数出表_Excel!$A$6:$T$150,COLUMN()/2+1,FALSE)=0,"",VLOOKUP($A20,数出表_Excel!$A$6:$T$150,COLUMN()/2+1,FALSE))),"")</f>
        <v/>
      </c>
      <c r="W20" s="141"/>
      <c r="X20" s="207" t="str">
        <f ca="1">IFERROR(VALUE(IF(VLOOKUP($A20,数出表_Excel!$A$6:$T$150,COLUMN()/2+1,FALSE)=0,"",VLOOKUP($A20,数出表_Excel!$A$6:$T$150,COLUMN()/2+1,FALSE))),"")</f>
        <v/>
      </c>
      <c r="Y20" s="141"/>
      <c r="Z20" s="207" t="str">
        <f ca="1">IFERROR(VALUE(IF(VLOOKUP($A20,数出表_Excel!$A$6:$T$150,COLUMN()/2+1,FALSE)=0,"",VLOOKUP($A20,数出表_Excel!$A$6:$T$150,COLUMN()/2+1,FALSE))),"")</f>
        <v/>
      </c>
      <c r="AA20" s="208"/>
      <c r="AB20" s="205" t="str">
        <f ca="1">IFERROR(VALUE(IF(VLOOKUP($A20,数出表_Excel!$A$6:$T$150,COLUMN()/2+1,FALSE)=0,"",VLOOKUP($A20,数出表_Excel!$A$6:$T$150,COLUMN()/2+1,FALSE))),"")</f>
        <v/>
      </c>
      <c r="AC20" s="141"/>
      <c r="AD20" s="207" t="str">
        <f ca="1">IFERROR(VALUE(IF(VLOOKUP($A20,数出表_Excel!$A$6:$T$150,COLUMN()/2+1,FALSE)=0,"",VLOOKUP($A20,数出表_Excel!$A$6:$T$150,COLUMN()/2+1,FALSE))),"")</f>
        <v/>
      </c>
      <c r="AE20" s="141"/>
      <c r="AF20" s="207" t="str">
        <f ca="1">IFERROR(VALUE(IF(VLOOKUP($A20,数出表_Excel!$A$6:$T$150,COLUMN()/2+1,FALSE)=0,"",VLOOKUP($A20,数出表_Excel!$A$6:$T$150,COLUMN()/2+1,FALSE))),"")</f>
        <v/>
      </c>
      <c r="AG20" s="141"/>
      <c r="AH20" s="207" t="str">
        <f ca="1">IFERROR(VALUE(IF(VLOOKUP($A20,数出表_Excel!$A$6:$T$150,COLUMN()/2+1,FALSE)=0,"",VLOOKUP($A20,数出表_Excel!$A$6:$T$150,COLUMN()/2+1,FALSE))),"")</f>
        <v/>
      </c>
      <c r="AI20" s="208"/>
      <c r="AJ20" s="205" t="str">
        <f ca="1">IFERROR(VALUE(IF(VLOOKUP($A20,数出表_Excel!$A$6:$T$150,COLUMN()/2+1,FALSE)=0,"",VLOOKUP($A20,数出表_Excel!$A$6:$T$150,COLUMN()/2+1,FALSE))),"")</f>
        <v/>
      </c>
      <c r="AK20" s="141"/>
      <c r="AL20" s="145" t="e">
        <f ca="1">IF(A20&lt;&gt;"",
IF(VLOOKUP($A20,数出表_Excel!$A$6:$T$150,COLUMN()/2+1,FALSE)=0,"",VLOOKUP($A20,数出表_Excel!$A$6:$T$150,COLUMN()/2+1,FALSE)),"")</f>
        <v>#N/A</v>
      </c>
      <c r="AM20" s="261">
        <f>数出表_Excel!V20</f>
        <v>0</v>
      </c>
      <c r="AN20" s="262">
        <f>数出表_Excel!W20</f>
        <v>0</v>
      </c>
    </row>
    <row r="21" spans="1:40" ht="16.2" customHeight="1" x14ac:dyDescent="0.45">
      <c r="A21" s="220" t="str">
        <f t="array" aca="1" ref="A21" ca="1">IF(OR(COUNTIF(A19,"*1000*"),COUNTIF(A19,"")),"",INDEX(貼り付け用!$A:$A,MATCH(A19,貼り付け用!$A:$A,0)+2,0))</f>
        <v>博多中央幼稚園 週3ｺｰｽ</v>
      </c>
      <c r="B21" s="142" t="str">
        <f ca="1">IFERROR(VALUE(IF(VLOOKUP($A21,数出表_Excel!$A$6:$T$150,COLUMN()/2+1,FALSE)=0,"",VLOOKUP($A21,数出表_Excel!$A$6:$T$150,COLUMN()/2+1,FALSE))),"")</f>
        <v/>
      </c>
      <c r="C21" s="142"/>
      <c r="D21" s="142" t="str">
        <f ca="1">IFERROR(VALUE(IF(VLOOKUP($A21,数出表_Excel!$A$6:$T$150,COLUMN()/2+1,FALSE)=0,"",VLOOKUP($A21,数出表_Excel!$A$6:$T$150,COLUMN()/2+1,FALSE))),"")</f>
        <v/>
      </c>
      <c r="E21" s="142"/>
      <c r="F21" s="146" t="str">
        <f ca="1">IFERROR(VALUE(IF(VLOOKUP($A21,数出表_Excel!$A$6:$T$150,COLUMN()/2+1,FALSE)=0,"",VLOOKUP($A21,数出表_Excel!$A$6:$T$150,COLUMN()/2+1,FALSE))),"")</f>
        <v/>
      </c>
      <c r="G21" s="142"/>
      <c r="H21" s="142" t="str">
        <f ca="1">IFERROR(VALUE(IF(VLOOKUP($A21,数出表_Excel!$A$6:$T$150,COLUMN()/2+1,FALSE)=0,"",VLOOKUP($A21,数出表_Excel!$A$6:$T$150,COLUMN()/2+1,FALSE))),"")</f>
        <v/>
      </c>
      <c r="I21" s="142"/>
      <c r="J21" s="142" t="str">
        <f ca="1">IFERROR(VALUE(IF(VLOOKUP($A21,数出表_Excel!$A$6:$T$150,COLUMN()/2+1,FALSE)=0,"",VLOOKUP($A21,数出表_Excel!$A$6:$T$150,COLUMN()/2+1,FALSE))),"")</f>
        <v/>
      </c>
      <c r="K21" s="209"/>
      <c r="L21" s="147" t="str">
        <f ca="1">IFERROR(VALUE(IF(VLOOKUP($A21,数出表_Excel!$A$6:$T$150,COLUMN()/2+1,FALSE)=0,"",VLOOKUP($A21,数出表_Excel!$A$6:$T$150,COLUMN()/2+1,FALSE))),"")</f>
        <v/>
      </c>
      <c r="M21" s="142"/>
      <c r="N21" s="142" t="str">
        <f ca="1">IFERROR(VALUE(IF(VLOOKUP($A21,数出表_Excel!$A$6:$T$150,COLUMN()/2+1,FALSE)=0,"",VLOOKUP($A21,数出表_Excel!$A$6:$T$150,COLUMN()/2+1,FALSE))),"")</f>
        <v/>
      </c>
      <c r="O21" s="142"/>
      <c r="P21" s="142" t="str">
        <f ca="1">IFERROR(VALUE(IF(VLOOKUP($A21,数出表_Excel!$A$6:$T$150,COLUMN()/2+1,FALSE)=0,"",VLOOKUP($A21,数出表_Excel!$A$6:$T$150,COLUMN()/2+1,FALSE))),"")</f>
        <v/>
      </c>
      <c r="Q21" s="142"/>
      <c r="R21" s="142" t="str">
        <f ca="1">IFERROR(VALUE(IF(VLOOKUP($A21,数出表_Excel!$A$6:$T$150,COLUMN()/2+1,FALSE)=0,"",VLOOKUP($A21,数出表_Excel!$A$6:$T$150,COLUMN()/2+1,FALSE))),"")</f>
        <v/>
      </c>
      <c r="S21" s="142"/>
      <c r="T21" s="142" t="str">
        <f ca="1">IFERROR(VALUE(IF(VLOOKUP($A21,数出表_Excel!$A$6:$T$150,COLUMN()/2+1,FALSE)=0,"",VLOOKUP($A21,数出表_Excel!$A$6:$T$150,COLUMN()/2+1,FALSE))),"")</f>
        <v/>
      </c>
      <c r="U21" s="142"/>
      <c r="V21" s="146" t="str">
        <f ca="1">IFERROR(VALUE(IF(VLOOKUP($A21,数出表_Excel!$A$6:$T$150,COLUMN()/2+1,FALSE)=0,"",VLOOKUP($A21,数出表_Excel!$A$6:$T$150,COLUMN()/2+1,FALSE))),"")</f>
        <v/>
      </c>
      <c r="W21" s="142"/>
      <c r="X21" s="146" t="str">
        <f ca="1">IFERROR(VALUE(IF(VLOOKUP($A21,数出表_Excel!$A$6:$T$150,COLUMN()/2+1,FALSE)=0,"",VLOOKUP($A21,数出表_Excel!$A$6:$T$150,COLUMN()/2+1,FALSE))),"")</f>
        <v/>
      </c>
      <c r="Y21" s="142"/>
      <c r="Z21" s="146" t="str">
        <f ca="1">IFERROR(VALUE(IF(VLOOKUP($A21,数出表_Excel!$A$6:$T$150,COLUMN()/2+1,FALSE)=0,"",VLOOKUP($A21,数出表_Excel!$A$6:$T$150,COLUMN()/2+1,FALSE))),"")</f>
        <v/>
      </c>
      <c r="AA21" s="209"/>
      <c r="AB21" s="147" t="str">
        <f ca="1">IFERROR(VALUE(IF(VLOOKUP($A21,数出表_Excel!$A$6:$T$150,COLUMN()/2+1,FALSE)=0,"",VLOOKUP($A21,数出表_Excel!$A$6:$T$150,COLUMN()/2+1,FALSE))),"")</f>
        <v/>
      </c>
      <c r="AC21" s="142"/>
      <c r="AD21" s="146" t="str">
        <f ca="1">IFERROR(VALUE(IF(VLOOKUP($A21,数出表_Excel!$A$6:$T$150,COLUMN()/2+1,FALSE)=0,"",VLOOKUP($A21,数出表_Excel!$A$6:$T$150,COLUMN()/2+1,FALSE))),"")</f>
        <v/>
      </c>
      <c r="AE21" s="142"/>
      <c r="AF21" s="146" t="str">
        <f ca="1">IFERROR(VALUE(IF(VLOOKUP($A21,数出表_Excel!$A$6:$T$150,COLUMN()/2+1,FALSE)=0,"",VLOOKUP($A21,数出表_Excel!$A$6:$T$150,COLUMN()/2+1,FALSE))),"")</f>
        <v/>
      </c>
      <c r="AG21" s="142"/>
      <c r="AH21" s="146" t="str">
        <f ca="1">IFERROR(VALUE(IF(VLOOKUP($A21,数出表_Excel!$A$6:$T$150,COLUMN()/2+1,FALSE)=0,"",VLOOKUP($A21,数出表_Excel!$A$6:$T$150,COLUMN()/2+1,FALSE))),"")</f>
        <v/>
      </c>
      <c r="AI21" s="209"/>
      <c r="AJ21" s="147" t="str">
        <f ca="1">IFERROR(VALUE(IF(VLOOKUP($A21,数出表_Excel!$A$6:$T$150,COLUMN()/2+1,FALSE)=0,"",VLOOKUP($A21,数出表_Excel!$A$6:$T$150,COLUMN()/2+1,FALSE))),"")</f>
        <v/>
      </c>
      <c r="AK21" s="142"/>
      <c r="AL21" s="148" t="e">
        <f ca="1">IF(A21&lt;&gt;"",
IF(VLOOKUP($A21,数出表_Excel!$A$6:$T$150,COLUMN()/2+1,FALSE)=0,"",VLOOKUP($A21,数出表_Excel!$A$6:$T$150,COLUMN()/2+1,FALSE)),"")</f>
        <v>#N/A</v>
      </c>
      <c r="AM21" s="263">
        <f>数出表_Excel!V21</f>
        <v>0</v>
      </c>
      <c r="AN21" s="264">
        <f>数出表_Excel!W21</f>
        <v>0</v>
      </c>
    </row>
    <row r="22" spans="1:40" ht="16.2" customHeight="1" x14ac:dyDescent="0.45">
      <c r="A22" s="219" t="str">
        <f t="array" aca="1" ref="A22" ca="1">IF(OR(COUNTIF(A20,"*10002*"),COUNTIF(A20,"")),"",INDEX(貼り付け用!$A:$A,MATCH(A20,貼り付け用!$A:$A,0)+2,0))</f>
        <v>406</v>
      </c>
      <c r="B22" s="204" t="str">
        <f ca="1">IFERROR(VALUE(IF(VLOOKUP($A22,数出表_Excel!$A$6:$T$150,COLUMN()/2+1,FALSE)=0,"",VLOOKUP($A22,数出表_Excel!$A$6:$T$150,COLUMN()/2+1,FALSE))),"")</f>
        <v/>
      </c>
      <c r="C22" s="141"/>
      <c r="D22" s="204" t="str">
        <f ca="1">IFERROR(VALUE(IF(VLOOKUP($A22,数出表_Excel!$A$6:$T$150,COLUMN()/2+1,FALSE)=0,"",VLOOKUP($A22,数出表_Excel!$A$6:$T$150,COLUMN()/2+1,FALSE))),"")</f>
        <v/>
      </c>
      <c r="E22" s="141"/>
      <c r="F22" s="207" t="str">
        <f ca="1">IFERROR(VALUE(IF(VLOOKUP($A22,数出表_Excel!$A$6:$T$150,COLUMN()/2+1,FALSE)=0,"",VLOOKUP($A22,数出表_Excel!$A$6:$T$150,COLUMN()/2+1,FALSE))),"")</f>
        <v/>
      </c>
      <c r="G22" s="141">
        <v>3</v>
      </c>
      <c r="H22" s="204" t="str">
        <f ca="1">IFERROR(VALUE(IF(VLOOKUP($A22,数出表_Excel!$A$6:$T$150,COLUMN()/2+1,FALSE)=0,"",VLOOKUP($A22,数出表_Excel!$A$6:$T$150,COLUMN()/2+1,FALSE))),"")</f>
        <v/>
      </c>
      <c r="I22" s="141"/>
      <c r="J22" s="204" t="str">
        <f ca="1">IFERROR(VALUE(IF(VLOOKUP($A22,数出表_Excel!$A$6:$T$150,COLUMN()/2+1,FALSE)=0,"",VLOOKUP($A22,数出表_Excel!$A$6:$T$150,COLUMN()/2+1,FALSE))),"")</f>
        <v/>
      </c>
      <c r="K22" s="208"/>
      <c r="L22" s="205" t="str">
        <f ca="1">IFERROR(VALUE(IF(VLOOKUP($A22,数出表_Excel!$A$6:$T$150,COLUMN()/2+1,FALSE)=0,"",VLOOKUP($A22,数出表_Excel!$A$6:$T$150,COLUMN()/2+1,FALSE))),"")</f>
        <v/>
      </c>
      <c r="M22" s="141"/>
      <c r="N22" s="204" t="str">
        <f ca="1">IFERROR(VALUE(IF(VLOOKUP($A22,数出表_Excel!$A$6:$T$150,COLUMN()/2+1,FALSE)=0,"",VLOOKUP($A22,数出表_Excel!$A$6:$T$150,COLUMN()/2+1,FALSE))),"")</f>
        <v/>
      </c>
      <c r="O22" s="141"/>
      <c r="P22" s="204" t="str">
        <f ca="1">IFERROR(VALUE(IF(VLOOKUP($A22,数出表_Excel!$A$6:$T$150,COLUMN()/2+1,FALSE)=0,"",VLOOKUP($A22,数出表_Excel!$A$6:$T$150,COLUMN()/2+1,FALSE))),"")</f>
        <v/>
      </c>
      <c r="Q22" s="141"/>
      <c r="R22" s="204" t="str">
        <f ca="1">IFERROR(VALUE(IF(VLOOKUP($A22,数出表_Excel!$A$6:$T$150,COLUMN()/2+1,FALSE)=0,"",VLOOKUP($A22,数出表_Excel!$A$6:$T$150,COLUMN()/2+1,FALSE))),"")</f>
        <v/>
      </c>
      <c r="S22" s="141"/>
      <c r="T22" s="204" t="str">
        <f ca="1">IFERROR(VALUE(IF(VLOOKUP($A22,数出表_Excel!$A$6:$T$150,COLUMN()/2+1,FALSE)=0,"",VLOOKUP($A22,数出表_Excel!$A$6:$T$150,COLUMN()/2+1,FALSE))),"")</f>
        <v/>
      </c>
      <c r="U22" s="141"/>
      <c r="V22" s="207" t="str">
        <f ca="1">IFERROR(VALUE(IF(VLOOKUP($A22,数出表_Excel!$A$6:$T$150,COLUMN()/2+1,FALSE)=0,"",VLOOKUP($A22,数出表_Excel!$A$6:$T$150,COLUMN()/2+1,FALSE))),"")</f>
        <v/>
      </c>
      <c r="W22" s="141"/>
      <c r="X22" s="207" t="str">
        <f ca="1">IFERROR(VALUE(IF(VLOOKUP($A22,数出表_Excel!$A$6:$T$150,COLUMN()/2+1,FALSE)=0,"",VLOOKUP($A22,数出表_Excel!$A$6:$T$150,COLUMN()/2+1,FALSE))),"")</f>
        <v/>
      </c>
      <c r="Y22" s="141"/>
      <c r="Z22" s="207" t="str">
        <f ca="1">IFERROR(VALUE(IF(VLOOKUP($A22,数出表_Excel!$A$6:$T$150,COLUMN()/2+1,FALSE)=0,"",VLOOKUP($A22,数出表_Excel!$A$6:$T$150,COLUMN()/2+1,FALSE))),"")</f>
        <v/>
      </c>
      <c r="AA22" s="208"/>
      <c r="AB22" s="205" t="str">
        <f ca="1">IFERROR(VALUE(IF(VLOOKUP($A22,数出表_Excel!$A$6:$T$150,COLUMN()/2+1,FALSE)=0,"",VLOOKUP($A22,数出表_Excel!$A$6:$T$150,COLUMN()/2+1,FALSE))),"")</f>
        <v/>
      </c>
      <c r="AC22" s="141"/>
      <c r="AD22" s="207" t="str">
        <f ca="1">IFERROR(VALUE(IF(VLOOKUP($A22,数出表_Excel!$A$6:$T$150,COLUMN()/2+1,FALSE)=0,"",VLOOKUP($A22,数出表_Excel!$A$6:$T$150,COLUMN()/2+1,FALSE))),"")</f>
        <v/>
      </c>
      <c r="AE22" s="141"/>
      <c r="AF22" s="207" t="str">
        <f ca="1">IFERROR(VALUE(IF(VLOOKUP($A22,数出表_Excel!$A$6:$T$150,COLUMN()/2+1,FALSE)=0,"",VLOOKUP($A22,数出表_Excel!$A$6:$T$150,COLUMN()/2+1,FALSE))),"")</f>
        <v/>
      </c>
      <c r="AG22" s="141"/>
      <c r="AH22" s="207" t="str">
        <f ca="1">IFERROR(VALUE(IF(VLOOKUP($A22,数出表_Excel!$A$6:$T$150,COLUMN()/2+1,FALSE)=0,"",VLOOKUP($A22,数出表_Excel!$A$6:$T$150,COLUMN()/2+1,FALSE))),"")</f>
        <v/>
      </c>
      <c r="AI22" s="208"/>
      <c r="AJ22" s="205" t="str">
        <f ca="1">IFERROR(VALUE(IF(VLOOKUP($A22,数出表_Excel!$A$6:$T$150,COLUMN()/2+1,FALSE)=0,"",VLOOKUP($A22,数出表_Excel!$A$6:$T$150,COLUMN()/2+1,FALSE))),"")</f>
        <v/>
      </c>
      <c r="AK22" s="141"/>
      <c r="AL22" s="145" t="e">
        <f ca="1">IF(A22&lt;&gt;"",
IF(VLOOKUP($A22,数出表_Excel!$A$6:$T$150,COLUMN()/2+1,FALSE)=0,"",VLOOKUP($A22,数出表_Excel!$A$6:$T$150,COLUMN()/2+1,FALSE)),"")</f>
        <v>#N/A</v>
      </c>
      <c r="AM22" s="261">
        <f>数出表_Excel!V22</f>
        <v>0</v>
      </c>
      <c r="AN22" s="262">
        <f>数出表_Excel!W22</f>
        <v>0</v>
      </c>
    </row>
    <row r="23" spans="1:40" ht="16.2" customHeight="1" x14ac:dyDescent="0.45">
      <c r="A23" s="220" t="str">
        <f t="array" aca="1" ref="A23" ca="1">IF(OR(COUNTIF(A21,"*1000*"),COUNTIF(A21,"")),"",INDEX(貼り付け用!$A:$A,MATCH(A21,貼り付け用!$A:$A,0)+2,0))</f>
        <v>博多中央幼稚園 週5ｺｰｽ</v>
      </c>
      <c r="B23" s="142" t="str">
        <f ca="1">IFERROR(VALUE(IF(VLOOKUP($A23,数出表_Excel!$A$6:$T$150,COLUMN()/2+1,FALSE)=0,"",VLOOKUP($A23,数出表_Excel!$A$6:$T$150,COLUMN()/2+1,FALSE))),"")</f>
        <v/>
      </c>
      <c r="C23" s="142"/>
      <c r="D23" s="142" t="str">
        <f ca="1">IFERROR(VALUE(IF(VLOOKUP($A23,数出表_Excel!$A$6:$T$150,COLUMN()/2+1,FALSE)=0,"",VLOOKUP($A23,数出表_Excel!$A$6:$T$150,COLUMN()/2+1,FALSE))),"")</f>
        <v/>
      </c>
      <c r="E23" s="142"/>
      <c r="F23" s="146" t="str">
        <f ca="1">IFERROR(VALUE(IF(VLOOKUP($A23,数出表_Excel!$A$6:$T$150,COLUMN()/2+1,FALSE)=0,"",VLOOKUP($A23,数出表_Excel!$A$6:$T$150,COLUMN()/2+1,FALSE))),"")</f>
        <v/>
      </c>
      <c r="G23" s="142"/>
      <c r="H23" s="142" t="str">
        <f ca="1">IFERROR(VALUE(IF(VLOOKUP($A23,数出表_Excel!$A$6:$T$150,COLUMN()/2+1,FALSE)=0,"",VLOOKUP($A23,数出表_Excel!$A$6:$T$150,COLUMN()/2+1,FALSE))),"")</f>
        <v/>
      </c>
      <c r="I23" s="142"/>
      <c r="J23" s="142" t="str">
        <f ca="1">IFERROR(VALUE(IF(VLOOKUP($A23,数出表_Excel!$A$6:$T$150,COLUMN()/2+1,FALSE)=0,"",VLOOKUP($A23,数出表_Excel!$A$6:$T$150,COLUMN()/2+1,FALSE))),"")</f>
        <v/>
      </c>
      <c r="K23" s="209"/>
      <c r="L23" s="147" t="str">
        <f ca="1">IFERROR(VALUE(IF(VLOOKUP($A23,数出表_Excel!$A$6:$T$150,COLUMN()/2+1,FALSE)=0,"",VLOOKUP($A23,数出表_Excel!$A$6:$T$150,COLUMN()/2+1,FALSE))),"")</f>
        <v/>
      </c>
      <c r="M23" s="142"/>
      <c r="N23" s="142" t="str">
        <f ca="1">IFERROR(VALUE(IF(VLOOKUP($A23,数出表_Excel!$A$6:$T$150,COLUMN()/2+1,FALSE)=0,"",VLOOKUP($A23,数出表_Excel!$A$6:$T$150,COLUMN()/2+1,FALSE))),"")</f>
        <v/>
      </c>
      <c r="O23" s="142"/>
      <c r="P23" s="142" t="str">
        <f ca="1">IFERROR(VALUE(IF(VLOOKUP($A23,数出表_Excel!$A$6:$T$150,COLUMN()/2+1,FALSE)=0,"",VLOOKUP($A23,数出表_Excel!$A$6:$T$150,COLUMN()/2+1,FALSE))),"")</f>
        <v/>
      </c>
      <c r="Q23" s="142"/>
      <c r="R23" s="142" t="str">
        <f ca="1">IFERROR(VALUE(IF(VLOOKUP($A23,数出表_Excel!$A$6:$T$150,COLUMN()/2+1,FALSE)=0,"",VLOOKUP($A23,数出表_Excel!$A$6:$T$150,COLUMN()/2+1,FALSE))),"")</f>
        <v/>
      </c>
      <c r="S23" s="142"/>
      <c r="T23" s="142" t="str">
        <f ca="1">IFERROR(VALUE(IF(VLOOKUP($A23,数出表_Excel!$A$6:$T$150,COLUMN()/2+1,FALSE)=0,"",VLOOKUP($A23,数出表_Excel!$A$6:$T$150,COLUMN()/2+1,FALSE))),"")</f>
        <v/>
      </c>
      <c r="U23" s="142"/>
      <c r="V23" s="146" t="str">
        <f ca="1">IFERROR(VALUE(IF(VLOOKUP($A23,数出表_Excel!$A$6:$T$150,COLUMN()/2+1,FALSE)=0,"",VLOOKUP($A23,数出表_Excel!$A$6:$T$150,COLUMN()/2+1,FALSE))),"")</f>
        <v/>
      </c>
      <c r="W23" s="142"/>
      <c r="X23" s="146" t="str">
        <f ca="1">IFERROR(VALUE(IF(VLOOKUP($A23,数出表_Excel!$A$6:$T$150,COLUMN()/2+1,FALSE)=0,"",VLOOKUP($A23,数出表_Excel!$A$6:$T$150,COLUMN()/2+1,FALSE))),"")</f>
        <v/>
      </c>
      <c r="Y23" s="142"/>
      <c r="Z23" s="146" t="str">
        <f ca="1">IFERROR(VALUE(IF(VLOOKUP($A23,数出表_Excel!$A$6:$T$150,COLUMN()/2+1,FALSE)=0,"",VLOOKUP($A23,数出表_Excel!$A$6:$T$150,COLUMN()/2+1,FALSE))),"")</f>
        <v/>
      </c>
      <c r="AA23" s="209"/>
      <c r="AB23" s="147" t="str">
        <f ca="1">IFERROR(VALUE(IF(VLOOKUP($A23,数出表_Excel!$A$6:$T$150,COLUMN()/2+1,FALSE)=0,"",VLOOKUP($A23,数出表_Excel!$A$6:$T$150,COLUMN()/2+1,FALSE))),"")</f>
        <v/>
      </c>
      <c r="AC23" s="142"/>
      <c r="AD23" s="146" t="str">
        <f ca="1">IFERROR(VALUE(IF(VLOOKUP($A23,数出表_Excel!$A$6:$T$150,COLUMN()/2+1,FALSE)=0,"",VLOOKUP($A23,数出表_Excel!$A$6:$T$150,COLUMN()/2+1,FALSE))),"")</f>
        <v/>
      </c>
      <c r="AE23" s="142"/>
      <c r="AF23" s="146" t="str">
        <f ca="1">IFERROR(VALUE(IF(VLOOKUP($A23,数出表_Excel!$A$6:$T$150,COLUMN()/2+1,FALSE)=0,"",VLOOKUP($A23,数出表_Excel!$A$6:$T$150,COLUMN()/2+1,FALSE))),"")</f>
        <v/>
      </c>
      <c r="AG23" s="142"/>
      <c r="AH23" s="146" t="str">
        <f ca="1">IFERROR(VALUE(IF(VLOOKUP($A23,数出表_Excel!$A$6:$T$150,COLUMN()/2+1,FALSE)=0,"",VLOOKUP($A23,数出表_Excel!$A$6:$T$150,COLUMN()/2+1,FALSE))),"")</f>
        <v/>
      </c>
      <c r="AI23" s="209"/>
      <c r="AJ23" s="147" t="str">
        <f ca="1">IFERROR(VALUE(IF(VLOOKUP($A23,数出表_Excel!$A$6:$T$150,COLUMN()/2+1,FALSE)=0,"",VLOOKUP($A23,数出表_Excel!$A$6:$T$150,COLUMN()/2+1,FALSE))),"")</f>
        <v/>
      </c>
      <c r="AK23" s="142"/>
      <c r="AL23" s="148" t="e">
        <f ca="1">IF(A23&lt;&gt;"",
IF(VLOOKUP($A23,数出表_Excel!$A$6:$T$150,COLUMN()/2+1,FALSE)=0,"",VLOOKUP($A23,数出表_Excel!$A$6:$T$150,COLUMN()/2+1,FALSE)),"")</f>
        <v>#N/A</v>
      </c>
      <c r="AM23" s="263">
        <f>数出表_Excel!V23</f>
        <v>0</v>
      </c>
      <c r="AN23" s="264">
        <f>数出表_Excel!W23</f>
        <v>0</v>
      </c>
    </row>
    <row r="24" spans="1:40" ht="16.2" customHeight="1" x14ac:dyDescent="0.45">
      <c r="A24" s="219" t="str">
        <f t="array" aca="1" ref="A24" ca="1">IF(OR(COUNTIF(A22,"*10002*"),COUNTIF(A22,"")),"",INDEX(貼り付け用!$A:$A,MATCH(A22,貼り付け用!$A:$A,0)+2,0))</f>
        <v>407</v>
      </c>
      <c r="B24" s="204" t="str">
        <f ca="1">IFERROR(VALUE(IF(VLOOKUP($A24,数出表_Excel!$A$6:$T$150,COLUMN()/2+1,FALSE)=0,"",VLOOKUP($A24,数出表_Excel!$A$6:$T$150,COLUMN()/2+1,FALSE))),"")</f>
        <v/>
      </c>
      <c r="C24" s="141"/>
      <c r="D24" s="204" t="str">
        <f ca="1">IFERROR(VALUE(IF(VLOOKUP($A24,数出表_Excel!$A$6:$T$150,COLUMN()/2+1,FALSE)=0,"",VLOOKUP($A24,数出表_Excel!$A$6:$T$150,COLUMN()/2+1,FALSE))),"")</f>
        <v/>
      </c>
      <c r="E24" s="141"/>
      <c r="F24" s="207" t="str">
        <f ca="1">IFERROR(VALUE(IF(VLOOKUP($A24,数出表_Excel!$A$6:$T$150,COLUMN()/2+1,FALSE)=0,"",VLOOKUP($A24,数出表_Excel!$A$6:$T$150,COLUMN()/2+1,FALSE))),"")</f>
        <v/>
      </c>
      <c r="G24" s="141"/>
      <c r="H24" s="204" t="str">
        <f ca="1">IFERROR(VALUE(IF(VLOOKUP($A24,数出表_Excel!$A$6:$T$150,COLUMN()/2+1,FALSE)=0,"",VLOOKUP($A24,数出表_Excel!$A$6:$T$150,COLUMN()/2+1,FALSE))),"")</f>
        <v/>
      </c>
      <c r="I24" s="141"/>
      <c r="J24" s="204" t="str">
        <f ca="1">IFERROR(VALUE(IF(VLOOKUP($A24,数出表_Excel!$A$6:$T$150,COLUMN()/2+1,FALSE)=0,"",VLOOKUP($A24,数出表_Excel!$A$6:$T$150,COLUMN()/2+1,FALSE))),"")</f>
        <v/>
      </c>
      <c r="K24" s="208"/>
      <c r="L24" s="205" t="str">
        <f ca="1">IFERROR(VALUE(IF(VLOOKUP($A24,数出表_Excel!$A$6:$T$150,COLUMN()/2+1,FALSE)=0,"",VLOOKUP($A24,数出表_Excel!$A$6:$T$150,COLUMN()/2+1,FALSE))),"")</f>
        <v/>
      </c>
      <c r="M24" s="141"/>
      <c r="N24" s="204" t="str">
        <f ca="1">IFERROR(VALUE(IF(VLOOKUP($A24,数出表_Excel!$A$6:$T$150,COLUMN()/2+1,FALSE)=0,"",VLOOKUP($A24,数出表_Excel!$A$6:$T$150,COLUMN()/2+1,FALSE))),"")</f>
        <v/>
      </c>
      <c r="O24" s="141"/>
      <c r="P24" s="204" t="str">
        <f ca="1">IFERROR(VALUE(IF(VLOOKUP($A24,数出表_Excel!$A$6:$T$150,COLUMN()/2+1,FALSE)=0,"",VLOOKUP($A24,数出表_Excel!$A$6:$T$150,COLUMN()/2+1,FALSE))),"")</f>
        <v/>
      </c>
      <c r="Q24" s="141"/>
      <c r="R24" s="204" t="str">
        <f ca="1">IFERROR(VALUE(IF(VLOOKUP($A24,数出表_Excel!$A$6:$T$150,COLUMN()/2+1,FALSE)=0,"",VLOOKUP($A24,数出表_Excel!$A$6:$T$150,COLUMN()/2+1,FALSE))),"")</f>
        <v/>
      </c>
      <c r="S24" s="141"/>
      <c r="T24" s="204" t="str">
        <f ca="1">IFERROR(VALUE(IF(VLOOKUP($A24,数出表_Excel!$A$6:$T$150,COLUMN()/2+1,FALSE)=0,"",VLOOKUP($A24,数出表_Excel!$A$6:$T$150,COLUMN()/2+1,FALSE))),"")</f>
        <v/>
      </c>
      <c r="U24" s="141"/>
      <c r="V24" s="207" t="str">
        <f ca="1">IFERROR(VALUE(IF(VLOOKUP($A24,数出表_Excel!$A$6:$T$150,COLUMN()/2+1,FALSE)=0,"",VLOOKUP($A24,数出表_Excel!$A$6:$T$150,COLUMN()/2+1,FALSE))),"")</f>
        <v/>
      </c>
      <c r="W24" s="141"/>
      <c r="X24" s="207" t="str">
        <f ca="1">IFERROR(VALUE(IF(VLOOKUP($A24,数出表_Excel!$A$6:$T$150,COLUMN()/2+1,FALSE)=0,"",VLOOKUP($A24,数出表_Excel!$A$6:$T$150,COLUMN()/2+1,FALSE))),"")</f>
        <v/>
      </c>
      <c r="Y24" s="141"/>
      <c r="Z24" s="207" t="str">
        <f ca="1">IFERROR(VALUE(IF(VLOOKUP($A24,数出表_Excel!$A$6:$T$150,COLUMN()/2+1,FALSE)=0,"",VLOOKUP($A24,数出表_Excel!$A$6:$T$150,COLUMN()/2+1,FALSE))),"")</f>
        <v/>
      </c>
      <c r="AA24" s="208"/>
      <c r="AB24" s="205" t="str">
        <f ca="1">IFERROR(VALUE(IF(VLOOKUP($A24,数出表_Excel!$A$6:$T$150,COLUMN()/2+1,FALSE)=0,"",VLOOKUP($A24,数出表_Excel!$A$6:$T$150,COLUMN()/2+1,FALSE))),"")</f>
        <v/>
      </c>
      <c r="AC24" s="141"/>
      <c r="AD24" s="207" t="str">
        <f ca="1">IFERROR(VALUE(IF(VLOOKUP($A24,数出表_Excel!$A$6:$T$150,COLUMN()/2+1,FALSE)=0,"",VLOOKUP($A24,数出表_Excel!$A$6:$T$150,COLUMN()/2+1,FALSE))),"")</f>
        <v/>
      </c>
      <c r="AE24" s="141"/>
      <c r="AF24" s="207" t="str">
        <f ca="1">IFERROR(VALUE(IF(VLOOKUP($A24,数出表_Excel!$A$6:$T$150,COLUMN()/2+1,FALSE)=0,"",VLOOKUP($A24,数出表_Excel!$A$6:$T$150,COLUMN()/2+1,FALSE))),"")</f>
        <v/>
      </c>
      <c r="AG24" s="141"/>
      <c r="AH24" s="207" t="str">
        <f ca="1">IFERROR(VALUE(IF(VLOOKUP($A24,数出表_Excel!$A$6:$T$150,COLUMN()/2+1,FALSE)=0,"",VLOOKUP($A24,数出表_Excel!$A$6:$T$150,COLUMN()/2+1,FALSE))),"")</f>
        <v/>
      </c>
      <c r="AI24" s="208"/>
      <c r="AJ24" s="205" t="str">
        <f ca="1">IFERROR(VALUE(IF(VLOOKUP($A24,数出表_Excel!$A$6:$T$150,COLUMN()/2+1,FALSE)=0,"",VLOOKUP($A24,数出表_Excel!$A$6:$T$150,COLUMN()/2+1,FALSE))),"")</f>
        <v/>
      </c>
      <c r="AK24" s="141"/>
      <c r="AL24" s="145" t="e">
        <f ca="1">IF(A24&lt;&gt;"",
IF(VLOOKUP($A24,数出表_Excel!$A$6:$T$150,COLUMN()/2+1,FALSE)=0,"",VLOOKUP($A24,数出表_Excel!$A$6:$T$150,COLUMN()/2+1,FALSE)),"")</f>
        <v>#N/A</v>
      </c>
      <c r="AM24" s="261">
        <f>数出表_Excel!V24</f>
        <v>0</v>
      </c>
      <c r="AN24" s="262">
        <f>数出表_Excel!W24</f>
        <v>0</v>
      </c>
    </row>
    <row r="25" spans="1:40" ht="16.2" customHeight="1" x14ac:dyDescent="0.45">
      <c r="A25" s="220" t="str">
        <f t="array" aca="1" ref="A25" ca="1">IF(OR(COUNTIF(A23,"*1000*"),COUNTIF(A23,"")),"",INDEX(貼り付け用!$A:$A,MATCH(A23,貼り付け用!$A:$A,0)+2,0))</f>
        <v>博多中央幼稚園（補助教員）</v>
      </c>
      <c r="B25" s="142" t="str">
        <f ca="1">IFERROR(VALUE(IF(VLOOKUP($A25,数出表_Excel!$A$6:$T$150,COLUMN()/2+1,FALSE)=0,"",VLOOKUP($A25,数出表_Excel!$A$6:$T$150,COLUMN()/2+1,FALSE))),"")</f>
        <v/>
      </c>
      <c r="C25" s="142"/>
      <c r="D25" s="142" t="str">
        <f ca="1">IFERROR(VALUE(IF(VLOOKUP($A25,数出表_Excel!$A$6:$T$150,COLUMN()/2+1,FALSE)=0,"",VLOOKUP($A25,数出表_Excel!$A$6:$T$150,COLUMN()/2+1,FALSE))),"")</f>
        <v/>
      </c>
      <c r="E25" s="142"/>
      <c r="F25" s="146" t="str">
        <f ca="1">IFERROR(VALUE(IF(VLOOKUP($A25,数出表_Excel!$A$6:$T$150,COLUMN()/2+1,FALSE)=0,"",VLOOKUP($A25,数出表_Excel!$A$6:$T$150,COLUMN()/2+1,FALSE))),"")</f>
        <v/>
      </c>
      <c r="G25" s="142"/>
      <c r="H25" s="142" t="str">
        <f ca="1">IFERROR(VALUE(IF(VLOOKUP($A25,数出表_Excel!$A$6:$T$150,COLUMN()/2+1,FALSE)=0,"",VLOOKUP($A25,数出表_Excel!$A$6:$T$150,COLUMN()/2+1,FALSE))),"")</f>
        <v/>
      </c>
      <c r="I25" s="142"/>
      <c r="J25" s="142" t="str">
        <f ca="1">IFERROR(VALUE(IF(VLOOKUP($A25,数出表_Excel!$A$6:$T$150,COLUMN()/2+1,FALSE)=0,"",VLOOKUP($A25,数出表_Excel!$A$6:$T$150,COLUMN()/2+1,FALSE))),"")</f>
        <v/>
      </c>
      <c r="K25" s="209"/>
      <c r="L25" s="147" t="str">
        <f ca="1">IFERROR(VALUE(IF(VLOOKUP($A25,数出表_Excel!$A$6:$T$150,COLUMN()/2+1,FALSE)=0,"",VLOOKUP($A25,数出表_Excel!$A$6:$T$150,COLUMN()/2+1,FALSE))),"")</f>
        <v/>
      </c>
      <c r="M25" s="142"/>
      <c r="N25" s="142" t="str">
        <f ca="1">IFERROR(VALUE(IF(VLOOKUP($A25,数出表_Excel!$A$6:$T$150,COLUMN()/2+1,FALSE)=0,"",VLOOKUP($A25,数出表_Excel!$A$6:$T$150,COLUMN()/2+1,FALSE))),"")</f>
        <v/>
      </c>
      <c r="O25" s="142"/>
      <c r="P25" s="142" t="str">
        <f ca="1">IFERROR(VALUE(IF(VLOOKUP($A25,数出表_Excel!$A$6:$T$150,COLUMN()/2+1,FALSE)=0,"",VLOOKUP($A25,数出表_Excel!$A$6:$T$150,COLUMN()/2+1,FALSE))),"")</f>
        <v/>
      </c>
      <c r="Q25" s="142"/>
      <c r="R25" s="142" t="str">
        <f ca="1">IFERROR(VALUE(IF(VLOOKUP($A25,数出表_Excel!$A$6:$T$150,COLUMN()/2+1,FALSE)=0,"",VLOOKUP($A25,数出表_Excel!$A$6:$T$150,COLUMN()/2+1,FALSE))),"")</f>
        <v/>
      </c>
      <c r="S25" s="142"/>
      <c r="T25" s="142" t="str">
        <f ca="1">IFERROR(VALUE(IF(VLOOKUP($A25,数出表_Excel!$A$6:$T$150,COLUMN()/2+1,FALSE)=0,"",VLOOKUP($A25,数出表_Excel!$A$6:$T$150,COLUMN()/2+1,FALSE))),"")</f>
        <v/>
      </c>
      <c r="U25" s="142"/>
      <c r="V25" s="146" t="str">
        <f ca="1">IFERROR(VALUE(IF(VLOOKUP($A25,数出表_Excel!$A$6:$T$150,COLUMN()/2+1,FALSE)=0,"",VLOOKUP($A25,数出表_Excel!$A$6:$T$150,COLUMN()/2+1,FALSE))),"")</f>
        <v/>
      </c>
      <c r="W25" s="142"/>
      <c r="X25" s="146" t="str">
        <f ca="1">IFERROR(VALUE(IF(VLOOKUP($A25,数出表_Excel!$A$6:$T$150,COLUMN()/2+1,FALSE)=0,"",VLOOKUP($A25,数出表_Excel!$A$6:$T$150,COLUMN()/2+1,FALSE))),"")</f>
        <v/>
      </c>
      <c r="Y25" s="142"/>
      <c r="Z25" s="146" t="str">
        <f ca="1">IFERROR(VALUE(IF(VLOOKUP($A25,数出表_Excel!$A$6:$T$150,COLUMN()/2+1,FALSE)=0,"",VLOOKUP($A25,数出表_Excel!$A$6:$T$150,COLUMN()/2+1,FALSE))),"")</f>
        <v/>
      </c>
      <c r="AA25" s="209"/>
      <c r="AB25" s="147" t="str">
        <f ca="1">IFERROR(VALUE(IF(VLOOKUP($A25,数出表_Excel!$A$6:$T$150,COLUMN()/2+1,FALSE)=0,"",VLOOKUP($A25,数出表_Excel!$A$6:$T$150,COLUMN()/2+1,FALSE))),"")</f>
        <v/>
      </c>
      <c r="AC25" s="142"/>
      <c r="AD25" s="146" t="str">
        <f ca="1">IFERROR(VALUE(IF(VLOOKUP($A25,数出表_Excel!$A$6:$T$150,COLUMN()/2+1,FALSE)=0,"",VLOOKUP($A25,数出表_Excel!$A$6:$T$150,COLUMN()/2+1,FALSE))),"")</f>
        <v/>
      </c>
      <c r="AE25" s="142"/>
      <c r="AF25" s="146" t="str">
        <f ca="1">IFERROR(VALUE(IF(VLOOKUP($A25,数出表_Excel!$A$6:$T$150,COLUMN()/2+1,FALSE)=0,"",VLOOKUP($A25,数出表_Excel!$A$6:$T$150,COLUMN()/2+1,FALSE))),"")</f>
        <v/>
      </c>
      <c r="AG25" s="142"/>
      <c r="AH25" s="146" t="str">
        <f ca="1">IFERROR(VALUE(IF(VLOOKUP($A25,数出表_Excel!$A$6:$T$150,COLUMN()/2+1,FALSE)=0,"",VLOOKUP($A25,数出表_Excel!$A$6:$T$150,COLUMN()/2+1,FALSE))),"")</f>
        <v/>
      </c>
      <c r="AI25" s="209"/>
      <c r="AJ25" s="147" t="str">
        <f ca="1">IFERROR(VALUE(IF(VLOOKUP($A25,数出表_Excel!$A$6:$T$150,COLUMN()/2+1,FALSE)=0,"",VLOOKUP($A25,数出表_Excel!$A$6:$T$150,COLUMN()/2+1,FALSE))),"")</f>
        <v/>
      </c>
      <c r="AK25" s="142"/>
      <c r="AL25" s="148" t="e">
        <f ca="1">IF(A25&lt;&gt;"",
IF(VLOOKUP($A25,数出表_Excel!$A$6:$T$150,COLUMN()/2+1,FALSE)=0,"",VLOOKUP($A25,数出表_Excel!$A$6:$T$150,COLUMN()/2+1,FALSE)),"")</f>
        <v>#N/A</v>
      </c>
      <c r="AM25" s="263">
        <f>数出表_Excel!V25</f>
        <v>0</v>
      </c>
      <c r="AN25" s="264">
        <f>数出表_Excel!W25</f>
        <v>0</v>
      </c>
    </row>
    <row r="26" spans="1:40" ht="16.2" customHeight="1" x14ac:dyDescent="0.45">
      <c r="A26" s="219" t="str">
        <f t="array" aca="1" ref="A26" ca="1">IF(OR(COUNTIF(A24,"*10002*"),COUNTIF(A24,"")),"",INDEX(貼り付け用!$A:$A,MATCH(A24,貼り付け用!$A:$A,0)+2,0))</f>
        <v>500</v>
      </c>
      <c r="B26" s="204" t="str">
        <f ca="1">IFERROR(VALUE(IF(VLOOKUP($A26,数出表_Excel!$A$6:$T$150,COLUMN()/2+1,FALSE)=0,"",VLOOKUP($A26,数出表_Excel!$A$6:$T$150,COLUMN()/2+1,FALSE))),"")</f>
        <v/>
      </c>
      <c r="C26" s="141"/>
      <c r="D26" s="204" t="str">
        <f ca="1">IFERROR(VALUE(IF(VLOOKUP($A26,数出表_Excel!$A$6:$T$150,COLUMN()/2+1,FALSE)=0,"",VLOOKUP($A26,数出表_Excel!$A$6:$T$150,COLUMN()/2+1,FALSE))),"")</f>
        <v/>
      </c>
      <c r="E26" s="141"/>
      <c r="F26" s="207" t="str">
        <f ca="1">IFERROR(VALUE(IF(VLOOKUP($A26,数出表_Excel!$A$6:$T$150,COLUMN()/2+1,FALSE)=0,"",VLOOKUP($A26,数出表_Excel!$A$6:$T$150,COLUMN()/2+1,FALSE))),"")</f>
        <v/>
      </c>
      <c r="G26" s="141">
        <v>1</v>
      </c>
      <c r="H26" s="204" t="str">
        <f ca="1">IFERROR(VALUE(IF(VLOOKUP($A26,数出表_Excel!$A$6:$T$150,COLUMN()/2+1,FALSE)=0,"",VLOOKUP($A26,数出表_Excel!$A$6:$T$150,COLUMN()/2+1,FALSE))),"")</f>
        <v/>
      </c>
      <c r="I26" s="141"/>
      <c r="J26" s="204" t="str">
        <f ca="1">IFERROR(VALUE(IF(VLOOKUP($A26,数出表_Excel!$A$6:$T$150,COLUMN()/2+1,FALSE)=0,"",VLOOKUP($A26,数出表_Excel!$A$6:$T$150,COLUMN()/2+1,FALSE))),"")</f>
        <v/>
      </c>
      <c r="K26" s="208"/>
      <c r="L26" s="205" t="str">
        <f ca="1">IFERROR(VALUE(IF(VLOOKUP($A26,数出表_Excel!$A$6:$T$150,COLUMN()/2+1,FALSE)=0,"",VLOOKUP($A26,数出表_Excel!$A$6:$T$150,COLUMN()/2+1,FALSE))),"")</f>
        <v/>
      </c>
      <c r="M26" s="141"/>
      <c r="N26" s="204" t="str">
        <f ca="1">IFERROR(VALUE(IF(VLOOKUP($A26,数出表_Excel!$A$6:$T$150,COLUMN()/2+1,FALSE)=0,"",VLOOKUP($A26,数出表_Excel!$A$6:$T$150,COLUMN()/2+1,FALSE))),"")</f>
        <v/>
      </c>
      <c r="O26" s="141"/>
      <c r="P26" s="204" t="str">
        <f ca="1">IFERROR(VALUE(IF(VLOOKUP($A26,数出表_Excel!$A$6:$T$150,COLUMN()/2+1,FALSE)=0,"",VLOOKUP($A26,数出表_Excel!$A$6:$T$150,COLUMN()/2+1,FALSE))),"")</f>
        <v/>
      </c>
      <c r="Q26" s="141"/>
      <c r="R26" s="204" t="str">
        <f ca="1">IFERROR(VALUE(IF(VLOOKUP($A26,数出表_Excel!$A$6:$T$150,COLUMN()/2+1,FALSE)=0,"",VLOOKUP($A26,数出表_Excel!$A$6:$T$150,COLUMN()/2+1,FALSE))),"")</f>
        <v/>
      </c>
      <c r="S26" s="141"/>
      <c r="T26" s="204" t="str">
        <f ca="1">IFERROR(VALUE(IF(VLOOKUP($A26,数出表_Excel!$A$6:$T$150,COLUMN()/2+1,FALSE)=0,"",VLOOKUP($A26,数出表_Excel!$A$6:$T$150,COLUMN()/2+1,FALSE))),"")</f>
        <v/>
      </c>
      <c r="U26" s="141"/>
      <c r="V26" s="207" t="str">
        <f ca="1">IFERROR(VALUE(IF(VLOOKUP($A26,数出表_Excel!$A$6:$T$150,COLUMN()/2+1,FALSE)=0,"",VLOOKUP($A26,数出表_Excel!$A$6:$T$150,COLUMN()/2+1,FALSE))),"")</f>
        <v/>
      </c>
      <c r="W26" s="141"/>
      <c r="X26" s="207" t="str">
        <f ca="1">IFERROR(VALUE(IF(VLOOKUP($A26,数出表_Excel!$A$6:$T$150,COLUMN()/2+1,FALSE)=0,"",VLOOKUP($A26,数出表_Excel!$A$6:$T$150,COLUMN()/2+1,FALSE))),"")</f>
        <v/>
      </c>
      <c r="Y26" s="141"/>
      <c r="Z26" s="207" t="str">
        <f ca="1">IFERROR(VALUE(IF(VLOOKUP($A26,数出表_Excel!$A$6:$T$150,COLUMN()/2+1,FALSE)=0,"",VLOOKUP($A26,数出表_Excel!$A$6:$T$150,COLUMN()/2+1,FALSE))),"")</f>
        <v/>
      </c>
      <c r="AA26" s="208"/>
      <c r="AB26" s="205" t="str">
        <f ca="1">IFERROR(VALUE(IF(VLOOKUP($A26,数出表_Excel!$A$6:$T$150,COLUMN()/2+1,FALSE)=0,"",VLOOKUP($A26,数出表_Excel!$A$6:$T$150,COLUMN()/2+1,FALSE))),"")</f>
        <v/>
      </c>
      <c r="AC26" s="141"/>
      <c r="AD26" s="207" t="str">
        <f ca="1">IFERROR(VALUE(IF(VLOOKUP($A26,数出表_Excel!$A$6:$T$150,COLUMN()/2+1,FALSE)=0,"",VLOOKUP($A26,数出表_Excel!$A$6:$T$150,COLUMN()/2+1,FALSE))),"")</f>
        <v/>
      </c>
      <c r="AE26" s="141"/>
      <c r="AF26" s="207" t="str">
        <f ca="1">IFERROR(VALUE(IF(VLOOKUP($A26,数出表_Excel!$A$6:$T$150,COLUMN()/2+1,FALSE)=0,"",VLOOKUP($A26,数出表_Excel!$A$6:$T$150,COLUMN()/2+1,FALSE))),"")</f>
        <v/>
      </c>
      <c r="AG26" s="141"/>
      <c r="AH26" s="207" t="str">
        <f ca="1">IFERROR(VALUE(IF(VLOOKUP($A26,数出表_Excel!$A$6:$T$150,COLUMN()/2+1,FALSE)=0,"",VLOOKUP($A26,数出表_Excel!$A$6:$T$150,COLUMN()/2+1,FALSE))),"")</f>
        <v/>
      </c>
      <c r="AI26" s="208"/>
      <c r="AJ26" s="205" t="str">
        <f ca="1">IFERROR(VALUE(IF(VLOOKUP($A26,数出表_Excel!$A$6:$T$150,COLUMN()/2+1,FALSE)=0,"",VLOOKUP($A26,数出表_Excel!$A$6:$T$150,COLUMN()/2+1,FALSE))),"")</f>
        <v/>
      </c>
      <c r="AK26" s="141"/>
      <c r="AL26" s="145" t="e">
        <f ca="1">IF(A26&lt;&gt;"",
IF(VLOOKUP($A26,数出表_Excel!$A$6:$T$150,COLUMN()/2+1,FALSE)=0,"",VLOOKUP($A26,数出表_Excel!$A$6:$T$150,COLUMN()/2+1,FALSE)),"")</f>
        <v>#N/A</v>
      </c>
      <c r="AM26" s="261">
        <f>数出表_Excel!V26</f>
        <v>0</v>
      </c>
      <c r="AN26" s="262">
        <f>数出表_Excel!W26</f>
        <v>0</v>
      </c>
    </row>
    <row r="27" spans="1:40" ht="16.2" customHeight="1" x14ac:dyDescent="0.45">
      <c r="A27" s="220" t="str">
        <f t="array" aca="1" ref="A27" ca="1">IF(OR(COUNTIF(A25,"*1000*"),COUNTIF(A25,"")),"",INDEX(貼り付け用!$A:$A,MATCH(A25,貼り付け用!$A:$A,0)+2,0))</f>
        <v>博多幼稚園 週3ｺｰｽ</v>
      </c>
      <c r="B27" s="142" t="str">
        <f ca="1">IFERROR(VALUE(IF(VLOOKUP($A27,数出表_Excel!$A$6:$T$150,COLUMN()/2+1,FALSE)=0,"",VLOOKUP($A27,数出表_Excel!$A$6:$T$150,COLUMN()/2+1,FALSE))),"")</f>
        <v/>
      </c>
      <c r="C27" s="142"/>
      <c r="D27" s="142" t="str">
        <f ca="1">IFERROR(VALUE(IF(VLOOKUP($A27,数出表_Excel!$A$6:$T$150,COLUMN()/2+1,FALSE)=0,"",VLOOKUP($A27,数出表_Excel!$A$6:$T$150,COLUMN()/2+1,FALSE))),"")</f>
        <v/>
      </c>
      <c r="E27" s="142"/>
      <c r="F27" s="146" t="str">
        <f ca="1">IFERROR(VALUE(IF(VLOOKUP($A27,数出表_Excel!$A$6:$T$150,COLUMN()/2+1,FALSE)=0,"",VLOOKUP($A27,数出表_Excel!$A$6:$T$150,COLUMN()/2+1,FALSE))),"")</f>
        <v/>
      </c>
      <c r="G27" s="142"/>
      <c r="H27" s="142" t="str">
        <f ca="1">IFERROR(VALUE(IF(VLOOKUP($A27,数出表_Excel!$A$6:$T$150,COLUMN()/2+1,FALSE)=0,"",VLOOKUP($A27,数出表_Excel!$A$6:$T$150,COLUMN()/2+1,FALSE))),"")</f>
        <v/>
      </c>
      <c r="I27" s="142"/>
      <c r="J27" s="142" t="str">
        <f ca="1">IFERROR(VALUE(IF(VLOOKUP($A27,数出表_Excel!$A$6:$T$150,COLUMN()/2+1,FALSE)=0,"",VLOOKUP($A27,数出表_Excel!$A$6:$T$150,COLUMN()/2+1,FALSE))),"")</f>
        <v/>
      </c>
      <c r="K27" s="209"/>
      <c r="L27" s="147" t="str">
        <f ca="1">IFERROR(VALUE(IF(VLOOKUP($A27,数出表_Excel!$A$6:$T$150,COLUMN()/2+1,FALSE)=0,"",VLOOKUP($A27,数出表_Excel!$A$6:$T$150,COLUMN()/2+1,FALSE))),"")</f>
        <v/>
      </c>
      <c r="M27" s="142"/>
      <c r="N27" s="142" t="str">
        <f ca="1">IFERROR(VALUE(IF(VLOOKUP($A27,数出表_Excel!$A$6:$T$150,COLUMN()/2+1,FALSE)=0,"",VLOOKUP($A27,数出表_Excel!$A$6:$T$150,COLUMN()/2+1,FALSE))),"")</f>
        <v/>
      </c>
      <c r="O27" s="142"/>
      <c r="P27" s="142" t="str">
        <f ca="1">IFERROR(VALUE(IF(VLOOKUP($A27,数出表_Excel!$A$6:$T$150,COLUMN()/2+1,FALSE)=0,"",VLOOKUP($A27,数出表_Excel!$A$6:$T$150,COLUMN()/2+1,FALSE))),"")</f>
        <v/>
      </c>
      <c r="Q27" s="142"/>
      <c r="R27" s="142" t="str">
        <f ca="1">IFERROR(VALUE(IF(VLOOKUP($A27,数出表_Excel!$A$6:$T$150,COLUMN()/2+1,FALSE)=0,"",VLOOKUP($A27,数出表_Excel!$A$6:$T$150,COLUMN()/2+1,FALSE))),"")</f>
        <v/>
      </c>
      <c r="S27" s="142"/>
      <c r="T27" s="142" t="str">
        <f ca="1">IFERROR(VALUE(IF(VLOOKUP($A27,数出表_Excel!$A$6:$T$150,COLUMN()/2+1,FALSE)=0,"",VLOOKUP($A27,数出表_Excel!$A$6:$T$150,COLUMN()/2+1,FALSE))),"")</f>
        <v/>
      </c>
      <c r="U27" s="142"/>
      <c r="V27" s="146" t="str">
        <f ca="1">IFERROR(VALUE(IF(VLOOKUP($A27,数出表_Excel!$A$6:$T$150,COLUMN()/2+1,FALSE)=0,"",VLOOKUP($A27,数出表_Excel!$A$6:$T$150,COLUMN()/2+1,FALSE))),"")</f>
        <v/>
      </c>
      <c r="W27" s="142"/>
      <c r="X27" s="146" t="str">
        <f ca="1">IFERROR(VALUE(IF(VLOOKUP($A27,数出表_Excel!$A$6:$T$150,COLUMN()/2+1,FALSE)=0,"",VLOOKUP($A27,数出表_Excel!$A$6:$T$150,COLUMN()/2+1,FALSE))),"")</f>
        <v/>
      </c>
      <c r="Y27" s="142"/>
      <c r="Z27" s="146" t="str">
        <f ca="1">IFERROR(VALUE(IF(VLOOKUP($A27,数出表_Excel!$A$6:$T$150,COLUMN()/2+1,FALSE)=0,"",VLOOKUP($A27,数出表_Excel!$A$6:$T$150,COLUMN()/2+1,FALSE))),"")</f>
        <v/>
      </c>
      <c r="AA27" s="209"/>
      <c r="AB27" s="147" t="str">
        <f ca="1">IFERROR(VALUE(IF(VLOOKUP($A27,数出表_Excel!$A$6:$T$150,COLUMN()/2+1,FALSE)=0,"",VLOOKUP($A27,数出表_Excel!$A$6:$T$150,COLUMN()/2+1,FALSE))),"")</f>
        <v/>
      </c>
      <c r="AC27" s="142"/>
      <c r="AD27" s="146" t="str">
        <f ca="1">IFERROR(VALUE(IF(VLOOKUP($A27,数出表_Excel!$A$6:$T$150,COLUMN()/2+1,FALSE)=0,"",VLOOKUP($A27,数出表_Excel!$A$6:$T$150,COLUMN()/2+1,FALSE))),"")</f>
        <v/>
      </c>
      <c r="AE27" s="142"/>
      <c r="AF27" s="146" t="str">
        <f ca="1">IFERROR(VALUE(IF(VLOOKUP($A27,数出表_Excel!$A$6:$T$150,COLUMN()/2+1,FALSE)=0,"",VLOOKUP($A27,数出表_Excel!$A$6:$T$150,COLUMN()/2+1,FALSE))),"")</f>
        <v/>
      </c>
      <c r="AG27" s="142"/>
      <c r="AH27" s="146" t="str">
        <f ca="1">IFERROR(VALUE(IF(VLOOKUP($A27,数出表_Excel!$A$6:$T$150,COLUMN()/2+1,FALSE)=0,"",VLOOKUP($A27,数出表_Excel!$A$6:$T$150,COLUMN()/2+1,FALSE))),"")</f>
        <v/>
      </c>
      <c r="AI27" s="209"/>
      <c r="AJ27" s="147" t="str">
        <f ca="1">IFERROR(VALUE(IF(VLOOKUP($A27,数出表_Excel!$A$6:$T$150,COLUMN()/2+1,FALSE)=0,"",VLOOKUP($A27,数出表_Excel!$A$6:$T$150,COLUMN()/2+1,FALSE))),"")</f>
        <v/>
      </c>
      <c r="AK27" s="142"/>
      <c r="AL27" s="148" t="e">
        <f ca="1">IF(A27&lt;&gt;"",
IF(VLOOKUP($A27,数出表_Excel!$A$6:$T$150,COLUMN()/2+1,FALSE)=0,"",VLOOKUP($A27,数出表_Excel!$A$6:$T$150,COLUMN()/2+1,FALSE)),"")</f>
        <v>#N/A</v>
      </c>
      <c r="AM27" s="263">
        <f>数出表_Excel!V27</f>
        <v>0</v>
      </c>
      <c r="AN27" s="264">
        <f>数出表_Excel!W27</f>
        <v>0</v>
      </c>
    </row>
    <row r="28" spans="1:40" ht="16.2" customHeight="1" x14ac:dyDescent="0.45">
      <c r="A28" s="219" t="str">
        <f t="array" aca="1" ref="A28" ca="1">IF(OR(COUNTIF(A26,"*10002*"),COUNTIF(A26,"")),"",INDEX(貼り付け用!$A:$A,MATCH(A26,貼り付け用!$A:$A,0)+2,0))</f>
        <v>506</v>
      </c>
      <c r="B28" s="204" t="str">
        <f ca="1">IFERROR(VALUE(IF(VLOOKUP($A28,数出表_Excel!$A$6:$T$150,COLUMN()/2+1,FALSE)=0,"",VLOOKUP($A28,数出表_Excel!$A$6:$T$150,COLUMN()/2+1,FALSE))),"")</f>
        <v/>
      </c>
      <c r="C28" s="141"/>
      <c r="D28" s="204" t="str">
        <f ca="1">IFERROR(VALUE(IF(VLOOKUP($A28,数出表_Excel!$A$6:$T$150,COLUMN()/2+1,FALSE)=0,"",VLOOKUP($A28,数出表_Excel!$A$6:$T$150,COLUMN()/2+1,FALSE))),"")</f>
        <v/>
      </c>
      <c r="E28" s="141"/>
      <c r="F28" s="207" t="str">
        <f ca="1">IFERROR(VALUE(IF(VLOOKUP($A28,数出表_Excel!$A$6:$T$150,COLUMN()/2+1,FALSE)=0,"",VLOOKUP($A28,数出表_Excel!$A$6:$T$150,COLUMN()/2+1,FALSE))),"")</f>
        <v/>
      </c>
      <c r="G28" s="141">
        <v>4</v>
      </c>
      <c r="H28" s="204" t="str">
        <f ca="1">IFERROR(VALUE(IF(VLOOKUP($A28,数出表_Excel!$A$6:$T$150,COLUMN()/2+1,FALSE)=0,"",VLOOKUP($A28,数出表_Excel!$A$6:$T$150,COLUMN()/2+1,FALSE))),"")</f>
        <v/>
      </c>
      <c r="I28" s="141"/>
      <c r="J28" s="204" t="str">
        <f ca="1">IFERROR(VALUE(IF(VLOOKUP($A28,数出表_Excel!$A$6:$T$150,COLUMN()/2+1,FALSE)=0,"",VLOOKUP($A28,数出表_Excel!$A$6:$T$150,COLUMN()/2+1,FALSE))),"")</f>
        <v/>
      </c>
      <c r="K28" s="208"/>
      <c r="L28" s="205" t="str">
        <f ca="1">IFERROR(VALUE(IF(VLOOKUP($A28,数出表_Excel!$A$6:$T$150,COLUMN()/2+1,FALSE)=0,"",VLOOKUP($A28,数出表_Excel!$A$6:$T$150,COLUMN()/2+1,FALSE))),"")</f>
        <v/>
      </c>
      <c r="M28" s="141"/>
      <c r="N28" s="204" t="str">
        <f ca="1">IFERROR(VALUE(IF(VLOOKUP($A28,数出表_Excel!$A$6:$T$150,COLUMN()/2+1,FALSE)=0,"",VLOOKUP($A28,数出表_Excel!$A$6:$T$150,COLUMN()/2+1,FALSE))),"")</f>
        <v/>
      </c>
      <c r="O28" s="141"/>
      <c r="P28" s="204" t="str">
        <f ca="1">IFERROR(VALUE(IF(VLOOKUP($A28,数出表_Excel!$A$6:$T$150,COLUMN()/2+1,FALSE)=0,"",VLOOKUP($A28,数出表_Excel!$A$6:$T$150,COLUMN()/2+1,FALSE))),"")</f>
        <v/>
      </c>
      <c r="Q28" s="141"/>
      <c r="R28" s="204" t="str">
        <f ca="1">IFERROR(VALUE(IF(VLOOKUP($A28,数出表_Excel!$A$6:$T$150,COLUMN()/2+1,FALSE)=0,"",VLOOKUP($A28,数出表_Excel!$A$6:$T$150,COLUMN()/2+1,FALSE))),"")</f>
        <v/>
      </c>
      <c r="S28" s="141"/>
      <c r="T28" s="204" t="str">
        <f ca="1">IFERROR(VALUE(IF(VLOOKUP($A28,数出表_Excel!$A$6:$T$150,COLUMN()/2+1,FALSE)=0,"",VLOOKUP($A28,数出表_Excel!$A$6:$T$150,COLUMN()/2+1,FALSE))),"")</f>
        <v/>
      </c>
      <c r="U28" s="141"/>
      <c r="V28" s="207" t="str">
        <f ca="1">IFERROR(VALUE(IF(VLOOKUP($A28,数出表_Excel!$A$6:$T$150,COLUMN()/2+1,FALSE)=0,"",VLOOKUP($A28,数出表_Excel!$A$6:$T$150,COLUMN()/2+1,FALSE))),"")</f>
        <v/>
      </c>
      <c r="W28" s="141"/>
      <c r="X28" s="207" t="str">
        <f ca="1">IFERROR(VALUE(IF(VLOOKUP($A28,数出表_Excel!$A$6:$T$150,COLUMN()/2+1,FALSE)=0,"",VLOOKUP($A28,数出表_Excel!$A$6:$T$150,COLUMN()/2+1,FALSE))),"")</f>
        <v/>
      </c>
      <c r="Y28" s="141"/>
      <c r="Z28" s="207" t="str">
        <f ca="1">IFERROR(VALUE(IF(VLOOKUP($A28,数出表_Excel!$A$6:$T$150,COLUMN()/2+1,FALSE)=0,"",VLOOKUP($A28,数出表_Excel!$A$6:$T$150,COLUMN()/2+1,FALSE))),"")</f>
        <v/>
      </c>
      <c r="AA28" s="208"/>
      <c r="AB28" s="205" t="str">
        <f ca="1">IFERROR(VALUE(IF(VLOOKUP($A28,数出表_Excel!$A$6:$T$150,COLUMN()/2+1,FALSE)=0,"",VLOOKUP($A28,数出表_Excel!$A$6:$T$150,COLUMN()/2+1,FALSE))),"")</f>
        <v/>
      </c>
      <c r="AC28" s="141"/>
      <c r="AD28" s="207" t="str">
        <f ca="1">IFERROR(VALUE(IF(VLOOKUP($A28,数出表_Excel!$A$6:$T$150,COLUMN()/2+1,FALSE)=0,"",VLOOKUP($A28,数出表_Excel!$A$6:$T$150,COLUMN()/2+1,FALSE))),"")</f>
        <v/>
      </c>
      <c r="AE28" s="141"/>
      <c r="AF28" s="207" t="str">
        <f ca="1">IFERROR(VALUE(IF(VLOOKUP($A28,数出表_Excel!$A$6:$T$150,COLUMN()/2+1,FALSE)=0,"",VLOOKUP($A28,数出表_Excel!$A$6:$T$150,COLUMN()/2+1,FALSE))),"")</f>
        <v/>
      </c>
      <c r="AG28" s="141"/>
      <c r="AH28" s="207" t="str">
        <f ca="1">IFERROR(VALUE(IF(VLOOKUP($A28,数出表_Excel!$A$6:$T$150,COLUMN()/2+1,FALSE)=0,"",VLOOKUP($A28,数出表_Excel!$A$6:$T$150,COLUMN()/2+1,FALSE))),"")</f>
        <v/>
      </c>
      <c r="AI28" s="208"/>
      <c r="AJ28" s="205" t="str">
        <f ca="1">IFERROR(VALUE(IF(VLOOKUP($A28,数出表_Excel!$A$6:$T$150,COLUMN()/2+1,FALSE)=0,"",VLOOKUP($A28,数出表_Excel!$A$6:$T$150,COLUMN()/2+1,FALSE))),"")</f>
        <v/>
      </c>
      <c r="AK28" s="141"/>
      <c r="AL28" s="145" t="e">
        <f ca="1">IF(A28&lt;&gt;"",
IF(VLOOKUP($A28,数出表_Excel!$A$6:$T$150,COLUMN()/2+1,FALSE)=0,"",VLOOKUP($A28,数出表_Excel!$A$6:$T$150,COLUMN()/2+1,FALSE)),"")</f>
        <v>#N/A</v>
      </c>
      <c r="AM28" s="261">
        <f>数出表_Excel!V28</f>
        <v>0</v>
      </c>
      <c r="AN28" s="262">
        <f>数出表_Excel!W28</f>
        <v>0</v>
      </c>
    </row>
    <row r="29" spans="1:40" ht="16.2" customHeight="1" x14ac:dyDescent="0.45">
      <c r="A29" s="220" t="str">
        <f t="array" aca="1" ref="A29" ca="1">IF(OR(COUNTIF(A27,"*1000*"),COUNTIF(A27,"")),"",INDEX(貼り付け用!$A:$A,MATCH(A27,貼り付け用!$A:$A,0)+2,0))</f>
        <v>博多幼稚園 週5ｺｰｽ</v>
      </c>
      <c r="B29" s="142" t="str">
        <f ca="1">IFERROR(VALUE(IF(VLOOKUP($A29,数出表_Excel!$A$6:$T$150,COLUMN()/2+1,FALSE)=0,"",VLOOKUP($A29,数出表_Excel!$A$6:$T$150,COLUMN()/2+1,FALSE))),"")</f>
        <v/>
      </c>
      <c r="C29" s="142"/>
      <c r="D29" s="142" t="str">
        <f ca="1">IFERROR(VALUE(IF(VLOOKUP($A29,数出表_Excel!$A$6:$T$150,COLUMN()/2+1,FALSE)=0,"",VLOOKUP($A29,数出表_Excel!$A$6:$T$150,COLUMN()/2+1,FALSE))),"")</f>
        <v/>
      </c>
      <c r="E29" s="142"/>
      <c r="F29" s="146" t="str">
        <f ca="1">IFERROR(VALUE(IF(VLOOKUP($A29,数出表_Excel!$A$6:$T$150,COLUMN()/2+1,FALSE)=0,"",VLOOKUP($A29,数出表_Excel!$A$6:$T$150,COLUMN()/2+1,FALSE))),"")</f>
        <v/>
      </c>
      <c r="G29" s="142"/>
      <c r="H29" s="142" t="str">
        <f ca="1">IFERROR(VALUE(IF(VLOOKUP($A29,数出表_Excel!$A$6:$T$150,COLUMN()/2+1,FALSE)=0,"",VLOOKUP($A29,数出表_Excel!$A$6:$T$150,COLUMN()/2+1,FALSE))),"")</f>
        <v/>
      </c>
      <c r="I29" s="142"/>
      <c r="J29" s="142" t="str">
        <f ca="1">IFERROR(VALUE(IF(VLOOKUP($A29,数出表_Excel!$A$6:$T$150,COLUMN()/2+1,FALSE)=0,"",VLOOKUP($A29,数出表_Excel!$A$6:$T$150,COLUMN()/2+1,FALSE))),"")</f>
        <v/>
      </c>
      <c r="K29" s="209"/>
      <c r="L29" s="147" t="str">
        <f ca="1">IFERROR(VALUE(IF(VLOOKUP($A29,数出表_Excel!$A$6:$T$150,COLUMN()/2+1,FALSE)=0,"",VLOOKUP($A29,数出表_Excel!$A$6:$T$150,COLUMN()/2+1,FALSE))),"")</f>
        <v/>
      </c>
      <c r="M29" s="142"/>
      <c r="N29" s="142" t="str">
        <f ca="1">IFERROR(VALUE(IF(VLOOKUP($A29,数出表_Excel!$A$6:$T$150,COLUMN()/2+1,FALSE)=0,"",VLOOKUP($A29,数出表_Excel!$A$6:$T$150,COLUMN()/2+1,FALSE))),"")</f>
        <v/>
      </c>
      <c r="O29" s="142"/>
      <c r="P29" s="142" t="str">
        <f ca="1">IFERROR(VALUE(IF(VLOOKUP($A29,数出表_Excel!$A$6:$T$150,COLUMN()/2+1,FALSE)=0,"",VLOOKUP($A29,数出表_Excel!$A$6:$T$150,COLUMN()/2+1,FALSE))),"")</f>
        <v/>
      </c>
      <c r="Q29" s="142"/>
      <c r="R29" s="142" t="str">
        <f ca="1">IFERROR(VALUE(IF(VLOOKUP($A29,数出表_Excel!$A$6:$T$150,COLUMN()/2+1,FALSE)=0,"",VLOOKUP($A29,数出表_Excel!$A$6:$T$150,COLUMN()/2+1,FALSE))),"")</f>
        <v/>
      </c>
      <c r="S29" s="142"/>
      <c r="T29" s="142" t="str">
        <f ca="1">IFERROR(VALUE(IF(VLOOKUP($A29,数出表_Excel!$A$6:$T$150,COLUMN()/2+1,FALSE)=0,"",VLOOKUP($A29,数出表_Excel!$A$6:$T$150,COLUMN()/2+1,FALSE))),"")</f>
        <v/>
      </c>
      <c r="U29" s="142"/>
      <c r="V29" s="146" t="str">
        <f ca="1">IFERROR(VALUE(IF(VLOOKUP($A29,数出表_Excel!$A$6:$T$150,COLUMN()/2+1,FALSE)=0,"",VLOOKUP($A29,数出表_Excel!$A$6:$T$150,COLUMN()/2+1,FALSE))),"")</f>
        <v/>
      </c>
      <c r="W29" s="142"/>
      <c r="X29" s="146" t="str">
        <f ca="1">IFERROR(VALUE(IF(VLOOKUP($A29,数出表_Excel!$A$6:$T$150,COLUMN()/2+1,FALSE)=0,"",VLOOKUP($A29,数出表_Excel!$A$6:$T$150,COLUMN()/2+1,FALSE))),"")</f>
        <v/>
      </c>
      <c r="Y29" s="142"/>
      <c r="Z29" s="146" t="str">
        <f ca="1">IFERROR(VALUE(IF(VLOOKUP($A29,数出表_Excel!$A$6:$T$150,COLUMN()/2+1,FALSE)=0,"",VLOOKUP($A29,数出表_Excel!$A$6:$T$150,COLUMN()/2+1,FALSE))),"")</f>
        <v/>
      </c>
      <c r="AA29" s="209"/>
      <c r="AB29" s="147" t="str">
        <f ca="1">IFERROR(VALUE(IF(VLOOKUP($A29,数出表_Excel!$A$6:$T$150,COLUMN()/2+1,FALSE)=0,"",VLOOKUP($A29,数出表_Excel!$A$6:$T$150,COLUMN()/2+1,FALSE))),"")</f>
        <v/>
      </c>
      <c r="AC29" s="142"/>
      <c r="AD29" s="146" t="str">
        <f ca="1">IFERROR(VALUE(IF(VLOOKUP($A29,数出表_Excel!$A$6:$T$150,COLUMN()/2+1,FALSE)=0,"",VLOOKUP($A29,数出表_Excel!$A$6:$T$150,COLUMN()/2+1,FALSE))),"")</f>
        <v/>
      </c>
      <c r="AE29" s="142"/>
      <c r="AF29" s="146" t="str">
        <f ca="1">IFERROR(VALUE(IF(VLOOKUP($A29,数出表_Excel!$A$6:$T$150,COLUMN()/2+1,FALSE)=0,"",VLOOKUP($A29,数出表_Excel!$A$6:$T$150,COLUMN()/2+1,FALSE))),"")</f>
        <v/>
      </c>
      <c r="AG29" s="142"/>
      <c r="AH29" s="146" t="str">
        <f ca="1">IFERROR(VALUE(IF(VLOOKUP($A29,数出表_Excel!$A$6:$T$150,COLUMN()/2+1,FALSE)=0,"",VLOOKUP($A29,数出表_Excel!$A$6:$T$150,COLUMN()/2+1,FALSE))),"")</f>
        <v/>
      </c>
      <c r="AI29" s="209"/>
      <c r="AJ29" s="147" t="str">
        <f ca="1">IFERROR(VALUE(IF(VLOOKUP($A29,数出表_Excel!$A$6:$T$150,COLUMN()/2+1,FALSE)=0,"",VLOOKUP($A29,数出表_Excel!$A$6:$T$150,COLUMN()/2+1,FALSE))),"")</f>
        <v/>
      </c>
      <c r="AK29" s="142"/>
      <c r="AL29" s="148" t="e">
        <f ca="1">IF(A29&lt;&gt;"",
IF(VLOOKUP($A29,数出表_Excel!$A$6:$T$150,COLUMN()/2+1,FALSE)=0,"",VLOOKUP($A29,数出表_Excel!$A$6:$T$150,COLUMN()/2+1,FALSE)),"")</f>
        <v>#N/A</v>
      </c>
      <c r="AM29" s="263">
        <f>数出表_Excel!V29</f>
        <v>0</v>
      </c>
      <c r="AN29" s="264">
        <f>数出表_Excel!W29</f>
        <v>0</v>
      </c>
    </row>
    <row r="30" spans="1:40" ht="16.2" customHeight="1" x14ac:dyDescent="0.45">
      <c r="A30" s="219" t="str">
        <f t="array" aca="1" ref="A30" ca="1">IF(OR(COUNTIF(A28,"*10002*"),COUNTIF(A28,"")),"",INDEX(貼り付け用!$A:$A,MATCH(A28,貼り付け用!$A:$A,0)+2,0))</f>
        <v>507</v>
      </c>
      <c r="B30" s="204" t="str">
        <f ca="1">IFERROR(VALUE(IF(VLOOKUP($A30,数出表_Excel!$A$6:$T$150,COLUMN()/2+1,FALSE)=0,"",VLOOKUP($A30,数出表_Excel!$A$6:$T$150,COLUMN()/2+1,FALSE))),"")</f>
        <v/>
      </c>
      <c r="C30" s="141"/>
      <c r="D30" s="204" t="str">
        <f ca="1">IFERROR(VALUE(IF(VLOOKUP($A30,数出表_Excel!$A$6:$T$150,COLUMN()/2+1,FALSE)=0,"",VLOOKUP($A30,数出表_Excel!$A$6:$T$150,COLUMN()/2+1,FALSE))),"")</f>
        <v/>
      </c>
      <c r="E30" s="141"/>
      <c r="F30" s="207" t="str">
        <f ca="1">IFERROR(VALUE(IF(VLOOKUP($A30,数出表_Excel!$A$6:$T$150,COLUMN()/2+1,FALSE)=0,"",VLOOKUP($A30,数出表_Excel!$A$6:$T$150,COLUMN()/2+1,FALSE))),"")</f>
        <v/>
      </c>
      <c r="G30" s="141"/>
      <c r="H30" s="204" t="str">
        <f ca="1">IFERROR(VALUE(IF(VLOOKUP($A30,数出表_Excel!$A$6:$T$150,COLUMN()/2+1,FALSE)=0,"",VLOOKUP($A30,数出表_Excel!$A$6:$T$150,COLUMN()/2+1,FALSE))),"")</f>
        <v/>
      </c>
      <c r="I30" s="141"/>
      <c r="J30" s="204" t="str">
        <f ca="1">IFERROR(VALUE(IF(VLOOKUP($A30,数出表_Excel!$A$6:$T$150,COLUMN()/2+1,FALSE)=0,"",VLOOKUP($A30,数出表_Excel!$A$6:$T$150,COLUMN()/2+1,FALSE))),"")</f>
        <v/>
      </c>
      <c r="K30" s="208"/>
      <c r="L30" s="205" t="str">
        <f ca="1">IFERROR(VALUE(IF(VLOOKUP($A30,数出表_Excel!$A$6:$T$150,COLUMN()/2+1,FALSE)=0,"",VLOOKUP($A30,数出表_Excel!$A$6:$T$150,COLUMN()/2+1,FALSE))),"")</f>
        <v/>
      </c>
      <c r="M30" s="141"/>
      <c r="N30" s="204" t="str">
        <f ca="1">IFERROR(VALUE(IF(VLOOKUP($A30,数出表_Excel!$A$6:$T$150,COLUMN()/2+1,FALSE)=0,"",VLOOKUP($A30,数出表_Excel!$A$6:$T$150,COLUMN()/2+1,FALSE))),"")</f>
        <v/>
      </c>
      <c r="O30" s="141"/>
      <c r="P30" s="204" t="str">
        <f ca="1">IFERROR(VALUE(IF(VLOOKUP($A30,数出表_Excel!$A$6:$T$150,COLUMN()/2+1,FALSE)=0,"",VLOOKUP($A30,数出表_Excel!$A$6:$T$150,COLUMN()/2+1,FALSE))),"")</f>
        <v/>
      </c>
      <c r="Q30" s="141"/>
      <c r="R30" s="204" t="str">
        <f ca="1">IFERROR(VALUE(IF(VLOOKUP($A30,数出表_Excel!$A$6:$T$150,COLUMN()/2+1,FALSE)=0,"",VLOOKUP($A30,数出表_Excel!$A$6:$T$150,COLUMN()/2+1,FALSE))),"")</f>
        <v/>
      </c>
      <c r="S30" s="141"/>
      <c r="T30" s="204" t="str">
        <f ca="1">IFERROR(VALUE(IF(VLOOKUP($A30,数出表_Excel!$A$6:$T$150,COLUMN()/2+1,FALSE)=0,"",VLOOKUP($A30,数出表_Excel!$A$6:$T$150,COLUMN()/2+1,FALSE))),"")</f>
        <v/>
      </c>
      <c r="U30" s="141"/>
      <c r="V30" s="207" t="str">
        <f ca="1">IFERROR(VALUE(IF(VLOOKUP($A30,数出表_Excel!$A$6:$T$150,COLUMN()/2+1,FALSE)=0,"",VLOOKUP($A30,数出表_Excel!$A$6:$T$150,COLUMN()/2+1,FALSE))),"")</f>
        <v/>
      </c>
      <c r="W30" s="141"/>
      <c r="X30" s="207" t="str">
        <f ca="1">IFERROR(VALUE(IF(VLOOKUP($A30,数出表_Excel!$A$6:$T$150,COLUMN()/2+1,FALSE)=0,"",VLOOKUP($A30,数出表_Excel!$A$6:$T$150,COLUMN()/2+1,FALSE))),"")</f>
        <v/>
      </c>
      <c r="Y30" s="141"/>
      <c r="Z30" s="207" t="str">
        <f ca="1">IFERROR(VALUE(IF(VLOOKUP($A30,数出表_Excel!$A$6:$T$150,COLUMN()/2+1,FALSE)=0,"",VLOOKUP($A30,数出表_Excel!$A$6:$T$150,COLUMN()/2+1,FALSE))),"")</f>
        <v/>
      </c>
      <c r="AA30" s="208"/>
      <c r="AB30" s="205" t="str">
        <f ca="1">IFERROR(VALUE(IF(VLOOKUP($A30,数出表_Excel!$A$6:$T$150,COLUMN()/2+1,FALSE)=0,"",VLOOKUP($A30,数出表_Excel!$A$6:$T$150,COLUMN()/2+1,FALSE))),"")</f>
        <v/>
      </c>
      <c r="AC30" s="141"/>
      <c r="AD30" s="207" t="str">
        <f ca="1">IFERROR(VALUE(IF(VLOOKUP($A30,数出表_Excel!$A$6:$T$150,COLUMN()/2+1,FALSE)=0,"",VLOOKUP($A30,数出表_Excel!$A$6:$T$150,COLUMN()/2+1,FALSE))),"")</f>
        <v/>
      </c>
      <c r="AE30" s="141"/>
      <c r="AF30" s="207" t="str">
        <f ca="1">IFERROR(VALUE(IF(VLOOKUP($A30,数出表_Excel!$A$6:$T$150,COLUMN()/2+1,FALSE)=0,"",VLOOKUP($A30,数出表_Excel!$A$6:$T$150,COLUMN()/2+1,FALSE))),"")</f>
        <v/>
      </c>
      <c r="AG30" s="141"/>
      <c r="AH30" s="207" t="str">
        <f ca="1">IFERROR(VALUE(IF(VLOOKUP($A30,数出表_Excel!$A$6:$T$150,COLUMN()/2+1,FALSE)=0,"",VLOOKUP($A30,数出表_Excel!$A$6:$T$150,COLUMN()/2+1,FALSE))),"")</f>
        <v/>
      </c>
      <c r="AI30" s="208"/>
      <c r="AJ30" s="205" t="str">
        <f ca="1">IFERROR(VALUE(IF(VLOOKUP($A30,数出表_Excel!$A$6:$T$150,COLUMN()/2+1,FALSE)=0,"",VLOOKUP($A30,数出表_Excel!$A$6:$T$150,COLUMN()/2+1,FALSE))),"")</f>
        <v/>
      </c>
      <c r="AK30" s="141"/>
      <c r="AL30" s="145" t="e">
        <f ca="1">IF(A30&lt;&gt;"",
IF(VLOOKUP($A30,数出表_Excel!$A$6:$T$150,COLUMN()/2+1,FALSE)=0,"",VLOOKUP($A30,数出表_Excel!$A$6:$T$150,COLUMN()/2+1,FALSE)),"")</f>
        <v>#N/A</v>
      </c>
      <c r="AM30" s="261">
        <f>数出表_Excel!V30</f>
        <v>0</v>
      </c>
      <c r="AN30" s="262">
        <f>数出表_Excel!W30</f>
        <v>0</v>
      </c>
    </row>
    <row r="31" spans="1:40" ht="16.2" customHeight="1" x14ac:dyDescent="0.45">
      <c r="A31" s="220" t="str">
        <f t="array" aca="1" ref="A31" ca="1">IF(OR(COUNTIF(A29,"*1000*"),COUNTIF(A29,"")),"",INDEX(貼り付け用!$A:$A,MATCH(A29,貼り付け用!$A:$A,0)+2,0))</f>
        <v>博多幼稚園（補助教員）</v>
      </c>
      <c r="B31" s="142" t="str">
        <f ca="1">IFERROR(VALUE(IF(VLOOKUP($A31,数出表_Excel!$A$6:$T$150,COLUMN()/2+1,FALSE)=0,"",VLOOKUP($A31,数出表_Excel!$A$6:$T$150,COLUMN()/2+1,FALSE))),"")</f>
        <v/>
      </c>
      <c r="C31" s="142"/>
      <c r="D31" s="142" t="str">
        <f ca="1">IFERROR(VALUE(IF(VLOOKUP($A31,数出表_Excel!$A$6:$T$150,COLUMN()/2+1,FALSE)=0,"",VLOOKUP($A31,数出表_Excel!$A$6:$T$150,COLUMN()/2+1,FALSE))),"")</f>
        <v/>
      </c>
      <c r="E31" s="142"/>
      <c r="F31" s="146" t="str">
        <f ca="1">IFERROR(VALUE(IF(VLOOKUP($A31,数出表_Excel!$A$6:$T$150,COLUMN()/2+1,FALSE)=0,"",VLOOKUP($A31,数出表_Excel!$A$6:$T$150,COLUMN()/2+1,FALSE))),"")</f>
        <v/>
      </c>
      <c r="G31" s="142"/>
      <c r="H31" s="142" t="str">
        <f ca="1">IFERROR(VALUE(IF(VLOOKUP($A31,数出表_Excel!$A$6:$T$150,COLUMN()/2+1,FALSE)=0,"",VLOOKUP($A31,数出表_Excel!$A$6:$T$150,COLUMN()/2+1,FALSE))),"")</f>
        <v/>
      </c>
      <c r="I31" s="142"/>
      <c r="J31" s="142" t="str">
        <f ca="1">IFERROR(VALUE(IF(VLOOKUP($A31,数出表_Excel!$A$6:$T$150,COLUMN()/2+1,FALSE)=0,"",VLOOKUP($A31,数出表_Excel!$A$6:$T$150,COLUMN()/2+1,FALSE))),"")</f>
        <v/>
      </c>
      <c r="K31" s="209"/>
      <c r="L31" s="147" t="str">
        <f ca="1">IFERROR(VALUE(IF(VLOOKUP($A31,数出表_Excel!$A$6:$T$150,COLUMN()/2+1,FALSE)=0,"",VLOOKUP($A31,数出表_Excel!$A$6:$T$150,COLUMN()/2+1,FALSE))),"")</f>
        <v/>
      </c>
      <c r="M31" s="142"/>
      <c r="N31" s="142" t="str">
        <f ca="1">IFERROR(VALUE(IF(VLOOKUP($A31,数出表_Excel!$A$6:$T$150,COLUMN()/2+1,FALSE)=0,"",VLOOKUP($A31,数出表_Excel!$A$6:$T$150,COLUMN()/2+1,FALSE))),"")</f>
        <v/>
      </c>
      <c r="O31" s="142"/>
      <c r="P31" s="142" t="str">
        <f ca="1">IFERROR(VALUE(IF(VLOOKUP($A31,数出表_Excel!$A$6:$T$150,COLUMN()/2+1,FALSE)=0,"",VLOOKUP($A31,数出表_Excel!$A$6:$T$150,COLUMN()/2+1,FALSE))),"")</f>
        <v/>
      </c>
      <c r="Q31" s="142"/>
      <c r="R31" s="142" t="str">
        <f ca="1">IFERROR(VALUE(IF(VLOOKUP($A31,数出表_Excel!$A$6:$T$150,COLUMN()/2+1,FALSE)=0,"",VLOOKUP($A31,数出表_Excel!$A$6:$T$150,COLUMN()/2+1,FALSE))),"")</f>
        <v/>
      </c>
      <c r="S31" s="142"/>
      <c r="T31" s="142" t="str">
        <f ca="1">IFERROR(VALUE(IF(VLOOKUP($A31,数出表_Excel!$A$6:$T$150,COLUMN()/2+1,FALSE)=0,"",VLOOKUP($A31,数出表_Excel!$A$6:$T$150,COLUMN()/2+1,FALSE))),"")</f>
        <v/>
      </c>
      <c r="U31" s="142"/>
      <c r="V31" s="146" t="str">
        <f ca="1">IFERROR(VALUE(IF(VLOOKUP($A31,数出表_Excel!$A$6:$T$150,COLUMN()/2+1,FALSE)=0,"",VLOOKUP($A31,数出表_Excel!$A$6:$T$150,COLUMN()/2+1,FALSE))),"")</f>
        <v/>
      </c>
      <c r="W31" s="142"/>
      <c r="X31" s="146" t="str">
        <f ca="1">IFERROR(VALUE(IF(VLOOKUP($A31,数出表_Excel!$A$6:$T$150,COLUMN()/2+1,FALSE)=0,"",VLOOKUP($A31,数出表_Excel!$A$6:$T$150,COLUMN()/2+1,FALSE))),"")</f>
        <v/>
      </c>
      <c r="Y31" s="142"/>
      <c r="Z31" s="146" t="str">
        <f ca="1">IFERROR(VALUE(IF(VLOOKUP($A31,数出表_Excel!$A$6:$T$150,COLUMN()/2+1,FALSE)=0,"",VLOOKUP($A31,数出表_Excel!$A$6:$T$150,COLUMN()/2+1,FALSE))),"")</f>
        <v/>
      </c>
      <c r="AA31" s="209"/>
      <c r="AB31" s="147" t="str">
        <f ca="1">IFERROR(VALUE(IF(VLOOKUP($A31,数出表_Excel!$A$6:$T$150,COLUMN()/2+1,FALSE)=0,"",VLOOKUP($A31,数出表_Excel!$A$6:$T$150,COLUMN()/2+1,FALSE))),"")</f>
        <v/>
      </c>
      <c r="AC31" s="142"/>
      <c r="AD31" s="146" t="str">
        <f ca="1">IFERROR(VALUE(IF(VLOOKUP($A31,数出表_Excel!$A$6:$T$150,COLUMN()/2+1,FALSE)=0,"",VLOOKUP($A31,数出表_Excel!$A$6:$T$150,COLUMN()/2+1,FALSE))),"")</f>
        <v/>
      </c>
      <c r="AE31" s="142"/>
      <c r="AF31" s="146" t="str">
        <f ca="1">IFERROR(VALUE(IF(VLOOKUP($A31,数出表_Excel!$A$6:$T$150,COLUMN()/2+1,FALSE)=0,"",VLOOKUP($A31,数出表_Excel!$A$6:$T$150,COLUMN()/2+1,FALSE))),"")</f>
        <v/>
      </c>
      <c r="AG31" s="142"/>
      <c r="AH31" s="146" t="str">
        <f ca="1">IFERROR(VALUE(IF(VLOOKUP($A31,数出表_Excel!$A$6:$T$150,COLUMN()/2+1,FALSE)=0,"",VLOOKUP($A31,数出表_Excel!$A$6:$T$150,COLUMN()/2+1,FALSE))),"")</f>
        <v/>
      </c>
      <c r="AI31" s="209"/>
      <c r="AJ31" s="147" t="str">
        <f ca="1">IFERROR(VALUE(IF(VLOOKUP($A31,数出表_Excel!$A$6:$T$150,COLUMN()/2+1,FALSE)=0,"",VLOOKUP($A31,数出表_Excel!$A$6:$T$150,COLUMN()/2+1,FALSE))),"")</f>
        <v/>
      </c>
      <c r="AK31" s="142"/>
      <c r="AL31" s="148" t="e">
        <f ca="1">IF(A31&lt;&gt;"",
IF(VLOOKUP($A31,数出表_Excel!$A$6:$T$150,COLUMN()/2+1,FALSE)=0,"",VLOOKUP($A31,数出表_Excel!$A$6:$T$150,COLUMN()/2+1,FALSE)),"")</f>
        <v>#N/A</v>
      </c>
      <c r="AM31" s="263">
        <f>数出表_Excel!V31</f>
        <v>0</v>
      </c>
      <c r="AN31" s="264">
        <f>数出表_Excel!W31</f>
        <v>0</v>
      </c>
    </row>
    <row r="32" spans="1:40" ht="16.2" customHeight="1" x14ac:dyDescent="0.45">
      <c r="A32" s="219" t="str">
        <f t="array" aca="1" ref="A32" ca="1">IF(OR(COUNTIF(A30,"*10002*"),COUNTIF(A30,"")),"",INDEX(貼り付け用!$A:$A,MATCH(A30,貼り付け用!$A:$A,0)+2,0))</f>
        <v>13000</v>
      </c>
      <c r="B32" s="204" t="str">
        <f ca="1">IFERROR(VALUE(IF(VLOOKUP($A32,数出表_Excel!$A$6:$T$150,COLUMN()/2+1,FALSE)=0,"",VLOOKUP($A32,数出表_Excel!$A$6:$T$150,COLUMN()/2+1,FALSE))),"")</f>
        <v/>
      </c>
      <c r="C32" s="141"/>
      <c r="D32" s="204" t="str">
        <f ca="1">IFERROR(VALUE(IF(VLOOKUP($A32,数出表_Excel!$A$6:$T$150,COLUMN()/2+1,FALSE)=0,"",VLOOKUP($A32,数出表_Excel!$A$6:$T$150,COLUMN()/2+1,FALSE))),"")</f>
        <v/>
      </c>
      <c r="E32" s="141"/>
      <c r="F32" s="207" t="str">
        <f ca="1">IFERROR(VALUE(IF(VLOOKUP($A32,数出表_Excel!$A$6:$T$150,COLUMN()/2+1,FALSE)=0,"",VLOOKUP($A32,数出表_Excel!$A$6:$T$150,COLUMN()/2+1,FALSE))),"")</f>
        <v/>
      </c>
      <c r="G32" s="141"/>
      <c r="H32" s="204" t="str">
        <f ca="1">IFERROR(VALUE(IF(VLOOKUP($A32,数出表_Excel!$A$6:$T$150,COLUMN()/2+1,FALSE)=0,"",VLOOKUP($A32,数出表_Excel!$A$6:$T$150,COLUMN()/2+1,FALSE))),"")</f>
        <v/>
      </c>
      <c r="I32" s="141"/>
      <c r="J32" s="204" t="str">
        <f ca="1">IFERROR(VALUE(IF(VLOOKUP($A32,数出表_Excel!$A$6:$T$150,COLUMN()/2+1,FALSE)=0,"",VLOOKUP($A32,数出表_Excel!$A$6:$T$150,COLUMN()/2+1,FALSE))),"")</f>
        <v/>
      </c>
      <c r="K32" s="208"/>
      <c r="L32" s="205" t="str">
        <f ca="1">IFERROR(VALUE(IF(VLOOKUP($A32,数出表_Excel!$A$6:$T$150,COLUMN()/2+1,FALSE)=0,"",VLOOKUP($A32,数出表_Excel!$A$6:$T$150,COLUMN()/2+1,FALSE))),"")</f>
        <v/>
      </c>
      <c r="M32" s="141"/>
      <c r="N32" s="204" t="str">
        <f ca="1">IFERROR(VALUE(IF(VLOOKUP($A32,数出表_Excel!$A$6:$T$150,COLUMN()/2+1,FALSE)=0,"",VLOOKUP($A32,数出表_Excel!$A$6:$T$150,COLUMN()/2+1,FALSE))),"")</f>
        <v/>
      </c>
      <c r="O32" s="141"/>
      <c r="P32" s="204" t="str">
        <f ca="1">IFERROR(VALUE(IF(VLOOKUP($A32,数出表_Excel!$A$6:$T$150,COLUMN()/2+1,FALSE)=0,"",VLOOKUP($A32,数出表_Excel!$A$6:$T$150,COLUMN()/2+1,FALSE))),"")</f>
        <v/>
      </c>
      <c r="Q32" s="141"/>
      <c r="R32" s="204" t="str">
        <f ca="1">IFERROR(VALUE(IF(VLOOKUP($A32,数出表_Excel!$A$6:$T$150,COLUMN()/2+1,FALSE)=0,"",VLOOKUP($A32,数出表_Excel!$A$6:$T$150,COLUMN()/2+1,FALSE))),"")</f>
        <v/>
      </c>
      <c r="S32" s="141"/>
      <c r="T32" s="204" t="str">
        <f ca="1">IFERROR(VALUE(IF(VLOOKUP($A32,数出表_Excel!$A$6:$T$150,COLUMN()/2+1,FALSE)=0,"",VLOOKUP($A32,数出表_Excel!$A$6:$T$150,COLUMN()/2+1,FALSE))),"")</f>
        <v/>
      </c>
      <c r="U32" s="141"/>
      <c r="V32" s="207" t="str">
        <f ca="1">IFERROR(VALUE(IF(VLOOKUP($A32,数出表_Excel!$A$6:$T$150,COLUMN()/2+1,FALSE)=0,"",VLOOKUP($A32,数出表_Excel!$A$6:$T$150,COLUMN()/2+1,FALSE))),"")</f>
        <v/>
      </c>
      <c r="W32" s="141"/>
      <c r="X32" s="207" t="str">
        <f ca="1">IFERROR(VALUE(IF(VLOOKUP($A32,数出表_Excel!$A$6:$T$150,COLUMN()/2+1,FALSE)=0,"",VLOOKUP($A32,数出表_Excel!$A$6:$T$150,COLUMN()/2+1,FALSE))),"")</f>
        <v/>
      </c>
      <c r="Y32" s="141"/>
      <c r="Z32" s="207" t="str">
        <f ca="1">IFERROR(VALUE(IF(VLOOKUP($A32,数出表_Excel!$A$6:$T$150,COLUMN()/2+1,FALSE)=0,"",VLOOKUP($A32,数出表_Excel!$A$6:$T$150,COLUMN()/2+1,FALSE))),"")</f>
        <v/>
      </c>
      <c r="AA32" s="208"/>
      <c r="AB32" s="205" t="str">
        <f ca="1">IFERROR(VALUE(IF(VLOOKUP($A32,数出表_Excel!$A$6:$T$150,COLUMN()/2+1,FALSE)=0,"",VLOOKUP($A32,数出表_Excel!$A$6:$T$150,COLUMN()/2+1,FALSE))),"")</f>
        <v/>
      </c>
      <c r="AC32" s="141"/>
      <c r="AD32" s="207" t="str">
        <f ca="1">IFERROR(VALUE(IF(VLOOKUP($A32,数出表_Excel!$A$6:$T$150,COLUMN()/2+1,FALSE)=0,"",VLOOKUP($A32,数出表_Excel!$A$6:$T$150,COLUMN()/2+1,FALSE))),"")</f>
        <v/>
      </c>
      <c r="AE32" s="141"/>
      <c r="AF32" s="207" t="str">
        <f ca="1">IFERROR(VALUE(IF(VLOOKUP($A32,数出表_Excel!$A$6:$T$150,COLUMN()/2+1,FALSE)=0,"",VLOOKUP($A32,数出表_Excel!$A$6:$T$150,COLUMN()/2+1,FALSE))),"")</f>
        <v/>
      </c>
      <c r="AG32" s="141"/>
      <c r="AH32" s="207" t="str">
        <f ca="1">IFERROR(VALUE(IF(VLOOKUP($A32,数出表_Excel!$A$6:$T$150,COLUMN()/2+1,FALSE)=0,"",VLOOKUP($A32,数出表_Excel!$A$6:$T$150,COLUMN()/2+1,FALSE))),"")</f>
        <v/>
      </c>
      <c r="AI32" s="208"/>
      <c r="AJ32" s="205" t="str">
        <f ca="1">IFERROR(VALUE(IF(VLOOKUP($A32,数出表_Excel!$A$6:$T$150,COLUMN()/2+1,FALSE)=0,"",VLOOKUP($A32,数出表_Excel!$A$6:$T$150,COLUMN()/2+1,FALSE))),"")</f>
        <v/>
      </c>
      <c r="AK32" s="141"/>
      <c r="AL32" s="145" t="e">
        <f ca="1">IF(A32&lt;&gt;"",
IF(VLOOKUP($A32,数出表_Excel!$A$6:$T$150,COLUMN()/2+1,FALSE)=0,"",VLOOKUP($A32,数出表_Excel!$A$6:$T$150,COLUMN()/2+1,FALSE)),"")</f>
        <v>#N/A</v>
      </c>
      <c r="AM32" s="261">
        <f>数出表_Excel!V32</f>
        <v>0</v>
      </c>
      <c r="AN32" s="262">
        <f>数出表_Excel!W32</f>
        <v>0</v>
      </c>
    </row>
    <row r="33" spans="1:40" ht="16.2" customHeight="1" x14ac:dyDescent="0.45">
      <c r="A33" s="220" t="str">
        <f t="array" aca="1" ref="A33" ca="1">IF(OR(COUNTIF(A31,"*1000*"),COUNTIF(A31,"")),"",INDEX(貼り付け用!$A:$A,MATCH(A31,貼り付け用!$A:$A,0)+2,0))</f>
        <v>奈良屋幼稚園</v>
      </c>
      <c r="B33" s="142" t="str">
        <f ca="1">IFERROR(VALUE(IF(VLOOKUP($A33,数出表_Excel!$A$6:$T$150,COLUMN()/2+1,FALSE)=0,"",VLOOKUP($A33,数出表_Excel!$A$6:$T$150,COLUMN()/2+1,FALSE))),"")</f>
        <v/>
      </c>
      <c r="C33" s="142"/>
      <c r="D33" s="142" t="str">
        <f ca="1">IFERROR(VALUE(IF(VLOOKUP($A33,数出表_Excel!$A$6:$T$150,COLUMN()/2+1,FALSE)=0,"",VLOOKUP($A33,数出表_Excel!$A$6:$T$150,COLUMN()/2+1,FALSE))),"")</f>
        <v/>
      </c>
      <c r="E33" s="142"/>
      <c r="F33" s="146" t="str">
        <f ca="1">IFERROR(VALUE(IF(VLOOKUP($A33,数出表_Excel!$A$6:$T$150,COLUMN()/2+1,FALSE)=0,"",VLOOKUP($A33,数出表_Excel!$A$6:$T$150,COLUMN()/2+1,FALSE))),"")</f>
        <v/>
      </c>
      <c r="G33" s="142"/>
      <c r="H33" s="142" t="str">
        <f ca="1">IFERROR(VALUE(IF(VLOOKUP($A33,数出表_Excel!$A$6:$T$150,COLUMN()/2+1,FALSE)=0,"",VLOOKUP($A33,数出表_Excel!$A$6:$T$150,COLUMN()/2+1,FALSE))),"")</f>
        <v/>
      </c>
      <c r="I33" s="142"/>
      <c r="J33" s="142" t="str">
        <f ca="1">IFERROR(VALUE(IF(VLOOKUP($A33,数出表_Excel!$A$6:$T$150,COLUMN()/2+1,FALSE)=0,"",VLOOKUP($A33,数出表_Excel!$A$6:$T$150,COLUMN()/2+1,FALSE))),"")</f>
        <v/>
      </c>
      <c r="K33" s="209"/>
      <c r="L33" s="147" t="str">
        <f ca="1">IFERROR(VALUE(IF(VLOOKUP($A33,数出表_Excel!$A$6:$T$150,COLUMN()/2+1,FALSE)=0,"",VLOOKUP($A33,数出表_Excel!$A$6:$T$150,COLUMN()/2+1,FALSE))),"")</f>
        <v/>
      </c>
      <c r="M33" s="142"/>
      <c r="N33" s="142" t="str">
        <f ca="1">IFERROR(VALUE(IF(VLOOKUP($A33,数出表_Excel!$A$6:$T$150,COLUMN()/2+1,FALSE)=0,"",VLOOKUP($A33,数出表_Excel!$A$6:$T$150,COLUMN()/2+1,FALSE))),"")</f>
        <v/>
      </c>
      <c r="O33" s="142"/>
      <c r="P33" s="142" t="str">
        <f ca="1">IFERROR(VALUE(IF(VLOOKUP($A33,数出表_Excel!$A$6:$T$150,COLUMN()/2+1,FALSE)=0,"",VLOOKUP($A33,数出表_Excel!$A$6:$T$150,COLUMN()/2+1,FALSE))),"")</f>
        <v/>
      </c>
      <c r="Q33" s="142"/>
      <c r="R33" s="142" t="str">
        <f ca="1">IFERROR(VALUE(IF(VLOOKUP($A33,数出表_Excel!$A$6:$T$150,COLUMN()/2+1,FALSE)=0,"",VLOOKUP($A33,数出表_Excel!$A$6:$T$150,COLUMN()/2+1,FALSE))),"")</f>
        <v/>
      </c>
      <c r="S33" s="142"/>
      <c r="T33" s="142" t="str">
        <f ca="1">IFERROR(VALUE(IF(VLOOKUP($A33,数出表_Excel!$A$6:$T$150,COLUMN()/2+1,FALSE)=0,"",VLOOKUP($A33,数出表_Excel!$A$6:$T$150,COLUMN()/2+1,FALSE))),"")</f>
        <v/>
      </c>
      <c r="U33" s="142"/>
      <c r="V33" s="146" t="str">
        <f ca="1">IFERROR(VALUE(IF(VLOOKUP($A33,数出表_Excel!$A$6:$T$150,COLUMN()/2+1,FALSE)=0,"",VLOOKUP($A33,数出表_Excel!$A$6:$T$150,COLUMN()/2+1,FALSE))),"")</f>
        <v/>
      </c>
      <c r="W33" s="142"/>
      <c r="X33" s="146" t="str">
        <f ca="1">IFERROR(VALUE(IF(VLOOKUP($A33,数出表_Excel!$A$6:$T$150,COLUMN()/2+1,FALSE)=0,"",VLOOKUP($A33,数出表_Excel!$A$6:$T$150,COLUMN()/2+1,FALSE))),"")</f>
        <v/>
      </c>
      <c r="Y33" s="142"/>
      <c r="Z33" s="146" t="str">
        <f ca="1">IFERROR(VALUE(IF(VLOOKUP($A33,数出表_Excel!$A$6:$T$150,COLUMN()/2+1,FALSE)=0,"",VLOOKUP($A33,数出表_Excel!$A$6:$T$150,COLUMN()/2+1,FALSE))),"")</f>
        <v/>
      </c>
      <c r="AA33" s="209"/>
      <c r="AB33" s="147" t="str">
        <f ca="1">IFERROR(VALUE(IF(VLOOKUP($A33,数出表_Excel!$A$6:$T$150,COLUMN()/2+1,FALSE)=0,"",VLOOKUP($A33,数出表_Excel!$A$6:$T$150,COLUMN()/2+1,FALSE))),"")</f>
        <v/>
      </c>
      <c r="AC33" s="142"/>
      <c r="AD33" s="146" t="str">
        <f ca="1">IFERROR(VALUE(IF(VLOOKUP($A33,数出表_Excel!$A$6:$T$150,COLUMN()/2+1,FALSE)=0,"",VLOOKUP($A33,数出表_Excel!$A$6:$T$150,COLUMN()/2+1,FALSE))),"")</f>
        <v/>
      </c>
      <c r="AE33" s="142"/>
      <c r="AF33" s="146" t="str">
        <f ca="1">IFERROR(VALUE(IF(VLOOKUP($A33,数出表_Excel!$A$6:$T$150,COLUMN()/2+1,FALSE)=0,"",VLOOKUP($A33,数出表_Excel!$A$6:$T$150,COLUMN()/2+1,FALSE))),"")</f>
        <v/>
      </c>
      <c r="AG33" s="142"/>
      <c r="AH33" s="146" t="str">
        <f ca="1">IFERROR(VALUE(IF(VLOOKUP($A33,数出表_Excel!$A$6:$T$150,COLUMN()/2+1,FALSE)=0,"",VLOOKUP($A33,数出表_Excel!$A$6:$T$150,COLUMN()/2+1,FALSE))),"")</f>
        <v/>
      </c>
      <c r="AI33" s="209"/>
      <c r="AJ33" s="147" t="str">
        <f ca="1">IFERROR(VALUE(IF(VLOOKUP($A33,数出表_Excel!$A$6:$T$150,COLUMN()/2+1,FALSE)=0,"",VLOOKUP($A33,数出表_Excel!$A$6:$T$150,COLUMN()/2+1,FALSE))),"")</f>
        <v/>
      </c>
      <c r="AK33" s="142"/>
      <c r="AL33" s="148" t="e">
        <f ca="1">IF(A33&lt;&gt;"",
IF(VLOOKUP($A33,数出表_Excel!$A$6:$T$150,COLUMN()/2+1,FALSE)=0,"",VLOOKUP($A33,数出表_Excel!$A$6:$T$150,COLUMN()/2+1,FALSE)),"")</f>
        <v>#N/A</v>
      </c>
      <c r="AM33" s="263">
        <f>数出表_Excel!V33</f>
        <v>0</v>
      </c>
      <c r="AN33" s="264">
        <f>数出表_Excel!W33</f>
        <v>0</v>
      </c>
    </row>
    <row r="34" spans="1:40" ht="16.2" customHeight="1" x14ac:dyDescent="0.45">
      <c r="A34" s="219" t="str">
        <f t="array" aca="1" ref="A34" ca="1">IF(OR(COUNTIF(A32,"*10002*"),COUNTIF(A32,"")),"",INDEX(貼り付け用!$A:$A,MATCH(A32,貼り付け用!$A:$A,0)+2,0))</f>
        <v>13002</v>
      </c>
      <c r="B34" s="204" t="str">
        <f ca="1">IFERROR(VALUE(IF(VLOOKUP($A34,数出表_Excel!$A$6:$T$150,COLUMN()/2+1,FALSE)=0,"",VLOOKUP($A34,数出表_Excel!$A$6:$T$150,COLUMN()/2+1,FALSE))),"")</f>
        <v/>
      </c>
      <c r="C34" s="141"/>
      <c r="D34" s="204" t="str">
        <f ca="1">IFERROR(VALUE(IF(VLOOKUP($A34,数出表_Excel!$A$6:$T$150,COLUMN()/2+1,FALSE)=0,"",VLOOKUP($A34,数出表_Excel!$A$6:$T$150,COLUMN()/2+1,FALSE))),"")</f>
        <v/>
      </c>
      <c r="E34" s="141"/>
      <c r="F34" s="207" t="str">
        <f ca="1">IFERROR(VALUE(IF(VLOOKUP($A34,数出表_Excel!$A$6:$T$150,COLUMN()/2+1,FALSE)=0,"",VLOOKUP($A34,数出表_Excel!$A$6:$T$150,COLUMN()/2+1,FALSE))),"")</f>
        <v/>
      </c>
      <c r="G34" s="141"/>
      <c r="H34" s="204" t="str">
        <f ca="1">IFERROR(VALUE(IF(VLOOKUP($A34,数出表_Excel!$A$6:$T$150,COLUMN()/2+1,FALSE)=0,"",VLOOKUP($A34,数出表_Excel!$A$6:$T$150,COLUMN()/2+1,FALSE))),"")</f>
        <v/>
      </c>
      <c r="I34" s="141"/>
      <c r="J34" s="204" t="str">
        <f ca="1">IFERROR(VALUE(IF(VLOOKUP($A34,数出表_Excel!$A$6:$T$150,COLUMN()/2+1,FALSE)=0,"",VLOOKUP($A34,数出表_Excel!$A$6:$T$150,COLUMN()/2+1,FALSE))),"")</f>
        <v/>
      </c>
      <c r="K34" s="208"/>
      <c r="L34" s="205" t="str">
        <f ca="1">IFERROR(VALUE(IF(VLOOKUP($A34,数出表_Excel!$A$6:$T$150,COLUMN()/2+1,FALSE)=0,"",VLOOKUP($A34,数出表_Excel!$A$6:$T$150,COLUMN()/2+1,FALSE))),"")</f>
        <v/>
      </c>
      <c r="M34" s="141"/>
      <c r="N34" s="204" t="str">
        <f ca="1">IFERROR(VALUE(IF(VLOOKUP($A34,数出表_Excel!$A$6:$T$150,COLUMN()/2+1,FALSE)=0,"",VLOOKUP($A34,数出表_Excel!$A$6:$T$150,COLUMN()/2+1,FALSE))),"")</f>
        <v/>
      </c>
      <c r="O34" s="141"/>
      <c r="P34" s="204" t="str">
        <f ca="1">IFERROR(VALUE(IF(VLOOKUP($A34,数出表_Excel!$A$6:$T$150,COLUMN()/2+1,FALSE)=0,"",VLOOKUP($A34,数出表_Excel!$A$6:$T$150,COLUMN()/2+1,FALSE))),"")</f>
        <v/>
      </c>
      <c r="Q34" s="141"/>
      <c r="R34" s="204" t="str">
        <f ca="1">IFERROR(VALUE(IF(VLOOKUP($A34,数出表_Excel!$A$6:$T$150,COLUMN()/2+1,FALSE)=0,"",VLOOKUP($A34,数出表_Excel!$A$6:$T$150,COLUMN()/2+1,FALSE))),"")</f>
        <v/>
      </c>
      <c r="S34" s="141"/>
      <c r="T34" s="204" t="str">
        <f ca="1">IFERROR(VALUE(IF(VLOOKUP($A34,数出表_Excel!$A$6:$T$150,COLUMN()/2+1,FALSE)=0,"",VLOOKUP($A34,数出表_Excel!$A$6:$T$150,COLUMN()/2+1,FALSE))),"")</f>
        <v/>
      </c>
      <c r="U34" s="141"/>
      <c r="V34" s="207" t="str">
        <f ca="1">IFERROR(VALUE(IF(VLOOKUP($A34,数出表_Excel!$A$6:$T$150,COLUMN()/2+1,FALSE)=0,"",VLOOKUP($A34,数出表_Excel!$A$6:$T$150,COLUMN()/2+1,FALSE))),"")</f>
        <v/>
      </c>
      <c r="W34" s="141"/>
      <c r="X34" s="207" t="str">
        <f ca="1">IFERROR(VALUE(IF(VLOOKUP($A34,数出表_Excel!$A$6:$T$150,COLUMN()/2+1,FALSE)=0,"",VLOOKUP($A34,数出表_Excel!$A$6:$T$150,COLUMN()/2+1,FALSE))),"")</f>
        <v/>
      </c>
      <c r="Y34" s="141"/>
      <c r="Z34" s="207" t="str">
        <f ca="1">IFERROR(VALUE(IF(VLOOKUP($A34,数出表_Excel!$A$6:$T$150,COLUMN()/2+1,FALSE)=0,"",VLOOKUP($A34,数出表_Excel!$A$6:$T$150,COLUMN()/2+1,FALSE))),"")</f>
        <v/>
      </c>
      <c r="AA34" s="208"/>
      <c r="AB34" s="205" t="str">
        <f ca="1">IFERROR(VALUE(IF(VLOOKUP($A34,数出表_Excel!$A$6:$T$150,COLUMN()/2+1,FALSE)=0,"",VLOOKUP($A34,数出表_Excel!$A$6:$T$150,COLUMN()/2+1,FALSE))),"")</f>
        <v/>
      </c>
      <c r="AC34" s="141"/>
      <c r="AD34" s="207" t="str">
        <f ca="1">IFERROR(VALUE(IF(VLOOKUP($A34,数出表_Excel!$A$6:$T$150,COLUMN()/2+1,FALSE)=0,"",VLOOKUP($A34,数出表_Excel!$A$6:$T$150,COLUMN()/2+1,FALSE))),"")</f>
        <v/>
      </c>
      <c r="AE34" s="141"/>
      <c r="AF34" s="207" t="str">
        <f ca="1">IFERROR(VALUE(IF(VLOOKUP($A34,数出表_Excel!$A$6:$T$150,COLUMN()/2+1,FALSE)=0,"",VLOOKUP($A34,数出表_Excel!$A$6:$T$150,COLUMN()/2+1,FALSE))),"")</f>
        <v/>
      </c>
      <c r="AG34" s="141"/>
      <c r="AH34" s="207" t="str">
        <f ca="1">IFERROR(VALUE(IF(VLOOKUP($A34,数出表_Excel!$A$6:$T$150,COLUMN()/2+1,FALSE)=0,"",VLOOKUP($A34,数出表_Excel!$A$6:$T$150,COLUMN()/2+1,FALSE))),"")</f>
        <v/>
      </c>
      <c r="AI34" s="208"/>
      <c r="AJ34" s="205" t="str">
        <f ca="1">IFERROR(VALUE(IF(VLOOKUP($A34,数出表_Excel!$A$6:$T$150,COLUMN()/2+1,FALSE)=0,"",VLOOKUP($A34,数出表_Excel!$A$6:$T$150,COLUMN()/2+1,FALSE))),"")</f>
        <v/>
      </c>
      <c r="AK34" s="141"/>
      <c r="AL34" s="145" t="e">
        <f ca="1">IF(A34&lt;&gt;"",
IF(VLOOKUP($A34,数出表_Excel!$A$6:$T$150,COLUMN()/2+1,FALSE)=0,"",VLOOKUP($A34,数出表_Excel!$A$6:$T$150,COLUMN()/2+1,FALSE)),"")</f>
        <v>#N/A</v>
      </c>
      <c r="AM34" s="261">
        <f>数出表_Excel!V34</f>
        <v>0</v>
      </c>
      <c r="AN34" s="262">
        <f>数出表_Excel!W34</f>
        <v>0</v>
      </c>
    </row>
    <row r="35" spans="1:40" ht="16.2" customHeight="1" x14ac:dyDescent="0.45">
      <c r="A35" s="220" t="str">
        <f t="array" aca="1" ref="A35" ca="1">IF(OR(COUNTIF(A33,"*1000*"),COUNTIF(A33,"")),"",INDEX(貼り付け用!$A:$A,MATCH(A33,貼り付け用!$A:$A,0)+2,0))</f>
        <v>奈良屋幼稚園 奥田様</v>
      </c>
      <c r="B35" s="142" t="str">
        <f ca="1">IFERROR(VALUE(IF(VLOOKUP($A35,数出表_Excel!$A$6:$T$150,COLUMN()/2+1,FALSE)=0,"",VLOOKUP($A35,数出表_Excel!$A$6:$T$150,COLUMN()/2+1,FALSE))),"")</f>
        <v/>
      </c>
      <c r="C35" s="142"/>
      <c r="D35" s="142" t="str">
        <f ca="1">IFERROR(VALUE(IF(VLOOKUP($A35,数出表_Excel!$A$6:$T$150,COLUMN()/2+1,FALSE)=0,"",VLOOKUP($A35,数出表_Excel!$A$6:$T$150,COLUMN()/2+1,FALSE))),"")</f>
        <v/>
      </c>
      <c r="E35" s="142"/>
      <c r="F35" s="146" t="str">
        <f ca="1">IFERROR(VALUE(IF(VLOOKUP($A35,数出表_Excel!$A$6:$T$150,COLUMN()/2+1,FALSE)=0,"",VLOOKUP($A35,数出表_Excel!$A$6:$T$150,COLUMN()/2+1,FALSE))),"")</f>
        <v/>
      </c>
      <c r="G35" s="142"/>
      <c r="H35" s="142" t="str">
        <f ca="1">IFERROR(VALUE(IF(VLOOKUP($A35,数出表_Excel!$A$6:$T$150,COLUMN()/2+1,FALSE)=0,"",VLOOKUP($A35,数出表_Excel!$A$6:$T$150,COLUMN()/2+1,FALSE))),"")</f>
        <v/>
      </c>
      <c r="I35" s="142"/>
      <c r="J35" s="142" t="str">
        <f ca="1">IFERROR(VALUE(IF(VLOOKUP($A35,数出表_Excel!$A$6:$T$150,COLUMN()/2+1,FALSE)=0,"",VLOOKUP($A35,数出表_Excel!$A$6:$T$150,COLUMN()/2+1,FALSE))),"")</f>
        <v/>
      </c>
      <c r="K35" s="209"/>
      <c r="L35" s="147" t="str">
        <f ca="1">IFERROR(VALUE(IF(VLOOKUP($A35,数出表_Excel!$A$6:$T$150,COLUMN()/2+1,FALSE)=0,"",VLOOKUP($A35,数出表_Excel!$A$6:$T$150,COLUMN()/2+1,FALSE))),"")</f>
        <v/>
      </c>
      <c r="M35" s="142"/>
      <c r="N35" s="142" t="str">
        <f ca="1">IFERROR(VALUE(IF(VLOOKUP($A35,数出表_Excel!$A$6:$T$150,COLUMN()/2+1,FALSE)=0,"",VLOOKUP($A35,数出表_Excel!$A$6:$T$150,COLUMN()/2+1,FALSE))),"")</f>
        <v/>
      </c>
      <c r="O35" s="142"/>
      <c r="P35" s="142" t="str">
        <f ca="1">IFERROR(VALUE(IF(VLOOKUP($A35,数出表_Excel!$A$6:$T$150,COLUMN()/2+1,FALSE)=0,"",VLOOKUP($A35,数出表_Excel!$A$6:$T$150,COLUMN()/2+1,FALSE))),"")</f>
        <v/>
      </c>
      <c r="Q35" s="142"/>
      <c r="R35" s="142" t="str">
        <f ca="1">IFERROR(VALUE(IF(VLOOKUP($A35,数出表_Excel!$A$6:$T$150,COLUMN()/2+1,FALSE)=0,"",VLOOKUP($A35,数出表_Excel!$A$6:$T$150,COLUMN()/2+1,FALSE))),"")</f>
        <v/>
      </c>
      <c r="S35" s="142"/>
      <c r="T35" s="142" t="str">
        <f ca="1">IFERROR(VALUE(IF(VLOOKUP($A35,数出表_Excel!$A$6:$T$150,COLUMN()/2+1,FALSE)=0,"",VLOOKUP($A35,数出表_Excel!$A$6:$T$150,COLUMN()/2+1,FALSE))),"")</f>
        <v/>
      </c>
      <c r="U35" s="142"/>
      <c r="V35" s="146" t="str">
        <f ca="1">IFERROR(VALUE(IF(VLOOKUP($A35,数出表_Excel!$A$6:$T$150,COLUMN()/2+1,FALSE)=0,"",VLOOKUP($A35,数出表_Excel!$A$6:$T$150,COLUMN()/2+1,FALSE))),"")</f>
        <v/>
      </c>
      <c r="W35" s="142"/>
      <c r="X35" s="146" t="str">
        <f ca="1">IFERROR(VALUE(IF(VLOOKUP($A35,数出表_Excel!$A$6:$T$150,COLUMN()/2+1,FALSE)=0,"",VLOOKUP($A35,数出表_Excel!$A$6:$T$150,COLUMN()/2+1,FALSE))),"")</f>
        <v/>
      </c>
      <c r="Y35" s="142"/>
      <c r="Z35" s="146" t="str">
        <f ca="1">IFERROR(VALUE(IF(VLOOKUP($A35,数出表_Excel!$A$6:$T$150,COLUMN()/2+1,FALSE)=0,"",VLOOKUP($A35,数出表_Excel!$A$6:$T$150,COLUMN()/2+1,FALSE))),"")</f>
        <v/>
      </c>
      <c r="AA35" s="209"/>
      <c r="AB35" s="147" t="str">
        <f ca="1">IFERROR(VALUE(IF(VLOOKUP($A35,数出表_Excel!$A$6:$T$150,COLUMN()/2+1,FALSE)=0,"",VLOOKUP($A35,数出表_Excel!$A$6:$T$150,COLUMN()/2+1,FALSE))),"")</f>
        <v/>
      </c>
      <c r="AC35" s="142"/>
      <c r="AD35" s="146" t="str">
        <f ca="1">IFERROR(VALUE(IF(VLOOKUP($A35,数出表_Excel!$A$6:$T$150,COLUMN()/2+1,FALSE)=0,"",VLOOKUP($A35,数出表_Excel!$A$6:$T$150,COLUMN()/2+1,FALSE))),"")</f>
        <v/>
      </c>
      <c r="AE35" s="142"/>
      <c r="AF35" s="146" t="str">
        <f ca="1">IFERROR(VALUE(IF(VLOOKUP($A35,数出表_Excel!$A$6:$T$150,COLUMN()/2+1,FALSE)=0,"",VLOOKUP($A35,数出表_Excel!$A$6:$T$150,COLUMN()/2+1,FALSE))),"")</f>
        <v/>
      </c>
      <c r="AG35" s="142"/>
      <c r="AH35" s="146" t="str">
        <f ca="1">IFERROR(VALUE(IF(VLOOKUP($A35,数出表_Excel!$A$6:$T$150,COLUMN()/2+1,FALSE)=0,"",VLOOKUP($A35,数出表_Excel!$A$6:$T$150,COLUMN()/2+1,FALSE))),"")</f>
        <v/>
      </c>
      <c r="AI35" s="209"/>
      <c r="AJ35" s="147" t="str">
        <f ca="1">IFERROR(VALUE(IF(VLOOKUP($A35,数出表_Excel!$A$6:$T$150,COLUMN()/2+1,FALSE)=0,"",VLOOKUP($A35,数出表_Excel!$A$6:$T$150,COLUMN()/2+1,FALSE))),"")</f>
        <v/>
      </c>
      <c r="AK35" s="142"/>
      <c r="AL35" s="148" t="e">
        <f ca="1">IF(A35&lt;&gt;"",
IF(VLOOKUP($A35,数出表_Excel!$A$6:$T$150,COLUMN()/2+1,FALSE)=0,"",VLOOKUP($A35,数出表_Excel!$A$6:$T$150,COLUMN()/2+1,FALSE)),"")</f>
        <v>#N/A</v>
      </c>
      <c r="AM35" s="263">
        <f>数出表_Excel!V35</f>
        <v>0</v>
      </c>
      <c r="AN35" s="264">
        <f>数出表_Excel!W35</f>
        <v>0</v>
      </c>
    </row>
    <row r="36" spans="1:40" ht="16.2" customHeight="1" x14ac:dyDescent="0.45">
      <c r="A36" s="219" t="str">
        <f t="array" aca="1" ref="A36" ca="1">IF(OR(COUNTIF(A34,"*10002*"),COUNTIF(A34,"")),"",INDEX(貼り付け用!$A:$A,MATCH(A34,貼り付け用!$A:$A,0)+2,0))</f>
        <v>13004</v>
      </c>
      <c r="B36" s="204" t="str">
        <f ca="1">IFERROR(VALUE(IF(VLOOKUP($A36,数出表_Excel!$A$6:$T$150,COLUMN()/2+1,FALSE)=0,"",VLOOKUP($A36,数出表_Excel!$A$6:$T$150,COLUMN()/2+1,FALSE))),"")</f>
        <v/>
      </c>
      <c r="C36" s="141"/>
      <c r="D36" s="204" t="str">
        <f ca="1">IFERROR(VALUE(IF(VLOOKUP($A36,数出表_Excel!$A$6:$T$150,COLUMN()/2+1,FALSE)=0,"",VLOOKUP($A36,数出表_Excel!$A$6:$T$150,COLUMN()/2+1,FALSE))),"")</f>
        <v/>
      </c>
      <c r="E36" s="141"/>
      <c r="F36" s="207" t="str">
        <f ca="1">IFERROR(VALUE(IF(VLOOKUP($A36,数出表_Excel!$A$6:$T$150,COLUMN()/2+1,FALSE)=0,"",VLOOKUP($A36,数出表_Excel!$A$6:$T$150,COLUMN()/2+1,FALSE))),"")</f>
        <v/>
      </c>
      <c r="G36" s="141"/>
      <c r="H36" s="204" t="str">
        <f ca="1">IFERROR(VALUE(IF(VLOOKUP($A36,数出表_Excel!$A$6:$T$150,COLUMN()/2+1,FALSE)=0,"",VLOOKUP($A36,数出表_Excel!$A$6:$T$150,COLUMN()/2+1,FALSE))),"")</f>
        <v/>
      </c>
      <c r="I36" s="141"/>
      <c r="J36" s="204" t="str">
        <f ca="1">IFERROR(VALUE(IF(VLOOKUP($A36,数出表_Excel!$A$6:$T$150,COLUMN()/2+1,FALSE)=0,"",VLOOKUP($A36,数出表_Excel!$A$6:$T$150,COLUMN()/2+1,FALSE))),"")</f>
        <v/>
      </c>
      <c r="K36" s="208"/>
      <c r="L36" s="205" t="str">
        <f ca="1">IFERROR(VALUE(IF(VLOOKUP($A36,数出表_Excel!$A$6:$T$150,COLUMN()/2+1,FALSE)=0,"",VLOOKUP($A36,数出表_Excel!$A$6:$T$150,COLUMN()/2+1,FALSE))),"")</f>
        <v/>
      </c>
      <c r="M36" s="141"/>
      <c r="N36" s="204" t="str">
        <f ca="1">IFERROR(VALUE(IF(VLOOKUP($A36,数出表_Excel!$A$6:$T$150,COLUMN()/2+1,FALSE)=0,"",VLOOKUP($A36,数出表_Excel!$A$6:$T$150,COLUMN()/2+1,FALSE))),"")</f>
        <v/>
      </c>
      <c r="O36" s="141"/>
      <c r="P36" s="204" t="str">
        <f ca="1">IFERROR(VALUE(IF(VLOOKUP($A36,数出表_Excel!$A$6:$T$150,COLUMN()/2+1,FALSE)=0,"",VLOOKUP($A36,数出表_Excel!$A$6:$T$150,COLUMN()/2+1,FALSE))),"")</f>
        <v/>
      </c>
      <c r="Q36" s="141"/>
      <c r="R36" s="204" t="str">
        <f ca="1">IFERROR(VALUE(IF(VLOOKUP($A36,数出表_Excel!$A$6:$T$150,COLUMN()/2+1,FALSE)=0,"",VLOOKUP($A36,数出表_Excel!$A$6:$T$150,COLUMN()/2+1,FALSE))),"")</f>
        <v/>
      </c>
      <c r="S36" s="141"/>
      <c r="T36" s="204" t="str">
        <f ca="1">IFERROR(VALUE(IF(VLOOKUP($A36,数出表_Excel!$A$6:$T$150,COLUMN()/2+1,FALSE)=0,"",VLOOKUP($A36,数出表_Excel!$A$6:$T$150,COLUMN()/2+1,FALSE))),"")</f>
        <v/>
      </c>
      <c r="U36" s="141"/>
      <c r="V36" s="207" t="str">
        <f ca="1">IFERROR(VALUE(IF(VLOOKUP($A36,数出表_Excel!$A$6:$T$150,COLUMN()/2+1,FALSE)=0,"",VLOOKUP($A36,数出表_Excel!$A$6:$T$150,COLUMN()/2+1,FALSE))),"")</f>
        <v/>
      </c>
      <c r="W36" s="141"/>
      <c r="X36" s="207" t="str">
        <f ca="1">IFERROR(VALUE(IF(VLOOKUP($A36,数出表_Excel!$A$6:$T$150,COLUMN()/2+1,FALSE)=0,"",VLOOKUP($A36,数出表_Excel!$A$6:$T$150,COLUMN()/2+1,FALSE))),"")</f>
        <v/>
      </c>
      <c r="Y36" s="141"/>
      <c r="Z36" s="207" t="str">
        <f ca="1">IFERROR(VALUE(IF(VLOOKUP($A36,数出表_Excel!$A$6:$T$150,COLUMN()/2+1,FALSE)=0,"",VLOOKUP($A36,数出表_Excel!$A$6:$T$150,COLUMN()/2+1,FALSE))),"")</f>
        <v/>
      </c>
      <c r="AA36" s="208"/>
      <c r="AB36" s="205" t="str">
        <f ca="1">IFERROR(VALUE(IF(VLOOKUP($A36,数出表_Excel!$A$6:$T$150,COLUMN()/2+1,FALSE)=0,"",VLOOKUP($A36,数出表_Excel!$A$6:$T$150,COLUMN()/2+1,FALSE))),"")</f>
        <v/>
      </c>
      <c r="AC36" s="141"/>
      <c r="AD36" s="207" t="str">
        <f ca="1">IFERROR(VALUE(IF(VLOOKUP($A36,数出表_Excel!$A$6:$T$150,COLUMN()/2+1,FALSE)=0,"",VLOOKUP($A36,数出表_Excel!$A$6:$T$150,COLUMN()/2+1,FALSE))),"")</f>
        <v/>
      </c>
      <c r="AE36" s="141"/>
      <c r="AF36" s="207" t="str">
        <f ca="1">IFERROR(VALUE(IF(VLOOKUP($A36,数出表_Excel!$A$6:$T$150,COLUMN()/2+1,FALSE)=0,"",VLOOKUP($A36,数出表_Excel!$A$6:$T$150,COLUMN()/2+1,FALSE))),"")</f>
        <v/>
      </c>
      <c r="AG36" s="141"/>
      <c r="AH36" s="207" t="str">
        <f ca="1">IFERROR(VALUE(IF(VLOOKUP($A36,数出表_Excel!$A$6:$T$150,COLUMN()/2+1,FALSE)=0,"",VLOOKUP($A36,数出表_Excel!$A$6:$T$150,COLUMN()/2+1,FALSE))),"")</f>
        <v/>
      </c>
      <c r="AI36" s="208"/>
      <c r="AJ36" s="205" t="str">
        <f ca="1">IFERROR(VALUE(IF(VLOOKUP($A36,数出表_Excel!$A$6:$T$150,COLUMN()/2+1,FALSE)=0,"",VLOOKUP($A36,数出表_Excel!$A$6:$T$150,COLUMN()/2+1,FALSE))),"")</f>
        <v/>
      </c>
      <c r="AK36" s="141"/>
      <c r="AL36" s="145" t="e">
        <f ca="1">IF(A36&lt;&gt;"",
IF(VLOOKUP($A36,数出表_Excel!$A$6:$T$150,COLUMN()/2+1,FALSE)=0,"",VLOOKUP($A36,数出表_Excel!$A$6:$T$150,COLUMN()/2+1,FALSE)),"")</f>
        <v>#N/A</v>
      </c>
      <c r="AM36" s="261">
        <f>数出表_Excel!V36</f>
        <v>0</v>
      </c>
      <c r="AN36" s="262">
        <f>数出表_Excel!W36</f>
        <v>0</v>
      </c>
    </row>
    <row r="37" spans="1:40" ht="16.2" customHeight="1" x14ac:dyDescent="0.45">
      <c r="A37" s="220" t="str">
        <f t="array" aca="1" ref="A37" ca="1">IF(OR(COUNTIF(A35,"*1000*"),COUNTIF(A35,"")),"",INDEX(貼り付け用!$A:$A,MATCH(A35,貼り付け用!$A:$A,0)+2,0))</f>
        <v>奈良屋幼稚園 先生</v>
      </c>
      <c r="B37" s="142" t="str">
        <f ca="1">IFERROR(VALUE(IF(VLOOKUP($A37,数出表_Excel!$A$6:$T$150,COLUMN()/2+1,FALSE)=0,"",VLOOKUP($A37,数出表_Excel!$A$6:$T$150,COLUMN()/2+1,FALSE))),"")</f>
        <v/>
      </c>
      <c r="C37" s="142"/>
      <c r="D37" s="142" t="str">
        <f ca="1">IFERROR(VALUE(IF(VLOOKUP($A37,数出表_Excel!$A$6:$T$150,COLUMN()/2+1,FALSE)=0,"",VLOOKUP($A37,数出表_Excel!$A$6:$T$150,COLUMN()/2+1,FALSE))),"")</f>
        <v/>
      </c>
      <c r="E37" s="142"/>
      <c r="F37" s="146" t="str">
        <f ca="1">IFERROR(VALUE(IF(VLOOKUP($A37,数出表_Excel!$A$6:$T$150,COLUMN()/2+1,FALSE)=0,"",VLOOKUP($A37,数出表_Excel!$A$6:$T$150,COLUMN()/2+1,FALSE))),"")</f>
        <v/>
      </c>
      <c r="G37" s="142"/>
      <c r="H37" s="142" t="str">
        <f ca="1">IFERROR(VALUE(IF(VLOOKUP($A37,数出表_Excel!$A$6:$T$150,COLUMN()/2+1,FALSE)=0,"",VLOOKUP($A37,数出表_Excel!$A$6:$T$150,COLUMN()/2+1,FALSE))),"")</f>
        <v/>
      </c>
      <c r="I37" s="142"/>
      <c r="J37" s="142" t="str">
        <f ca="1">IFERROR(VALUE(IF(VLOOKUP($A37,数出表_Excel!$A$6:$T$150,COLUMN()/2+1,FALSE)=0,"",VLOOKUP($A37,数出表_Excel!$A$6:$T$150,COLUMN()/2+1,FALSE))),"")</f>
        <v/>
      </c>
      <c r="K37" s="209"/>
      <c r="L37" s="147" t="str">
        <f ca="1">IFERROR(VALUE(IF(VLOOKUP($A37,数出表_Excel!$A$6:$T$150,COLUMN()/2+1,FALSE)=0,"",VLOOKUP($A37,数出表_Excel!$A$6:$T$150,COLUMN()/2+1,FALSE))),"")</f>
        <v/>
      </c>
      <c r="M37" s="142"/>
      <c r="N37" s="142" t="str">
        <f ca="1">IFERROR(VALUE(IF(VLOOKUP($A37,数出表_Excel!$A$6:$T$150,COLUMN()/2+1,FALSE)=0,"",VLOOKUP($A37,数出表_Excel!$A$6:$T$150,COLUMN()/2+1,FALSE))),"")</f>
        <v/>
      </c>
      <c r="O37" s="142"/>
      <c r="P37" s="142" t="str">
        <f ca="1">IFERROR(VALUE(IF(VLOOKUP($A37,数出表_Excel!$A$6:$T$150,COLUMN()/2+1,FALSE)=0,"",VLOOKUP($A37,数出表_Excel!$A$6:$T$150,COLUMN()/2+1,FALSE))),"")</f>
        <v/>
      </c>
      <c r="Q37" s="142"/>
      <c r="R37" s="142" t="str">
        <f ca="1">IFERROR(VALUE(IF(VLOOKUP($A37,数出表_Excel!$A$6:$T$150,COLUMN()/2+1,FALSE)=0,"",VLOOKUP($A37,数出表_Excel!$A$6:$T$150,COLUMN()/2+1,FALSE))),"")</f>
        <v/>
      </c>
      <c r="S37" s="142"/>
      <c r="T37" s="142" t="str">
        <f ca="1">IFERROR(VALUE(IF(VLOOKUP($A37,数出表_Excel!$A$6:$T$150,COLUMN()/2+1,FALSE)=0,"",VLOOKUP($A37,数出表_Excel!$A$6:$T$150,COLUMN()/2+1,FALSE))),"")</f>
        <v/>
      </c>
      <c r="U37" s="142"/>
      <c r="V37" s="146" t="str">
        <f ca="1">IFERROR(VALUE(IF(VLOOKUP($A37,数出表_Excel!$A$6:$T$150,COLUMN()/2+1,FALSE)=0,"",VLOOKUP($A37,数出表_Excel!$A$6:$T$150,COLUMN()/2+1,FALSE))),"")</f>
        <v/>
      </c>
      <c r="W37" s="142"/>
      <c r="X37" s="146" t="str">
        <f ca="1">IFERROR(VALUE(IF(VLOOKUP($A37,数出表_Excel!$A$6:$T$150,COLUMN()/2+1,FALSE)=0,"",VLOOKUP($A37,数出表_Excel!$A$6:$T$150,COLUMN()/2+1,FALSE))),"")</f>
        <v/>
      </c>
      <c r="Y37" s="142"/>
      <c r="Z37" s="146" t="str">
        <f ca="1">IFERROR(VALUE(IF(VLOOKUP($A37,数出表_Excel!$A$6:$T$150,COLUMN()/2+1,FALSE)=0,"",VLOOKUP($A37,数出表_Excel!$A$6:$T$150,COLUMN()/2+1,FALSE))),"")</f>
        <v/>
      </c>
      <c r="AA37" s="209"/>
      <c r="AB37" s="147" t="str">
        <f ca="1">IFERROR(VALUE(IF(VLOOKUP($A37,数出表_Excel!$A$6:$T$150,COLUMN()/2+1,FALSE)=0,"",VLOOKUP($A37,数出表_Excel!$A$6:$T$150,COLUMN()/2+1,FALSE))),"")</f>
        <v/>
      </c>
      <c r="AC37" s="142"/>
      <c r="AD37" s="146" t="str">
        <f ca="1">IFERROR(VALUE(IF(VLOOKUP($A37,数出表_Excel!$A$6:$T$150,COLUMN()/2+1,FALSE)=0,"",VLOOKUP($A37,数出表_Excel!$A$6:$T$150,COLUMN()/2+1,FALSE))),"")</f>
        <v/>
      </c>
      <c r="AE37" s="142"/>
      <c r="AF37" s="146" t="str">
        <f ca="1">IFERROR(VALUE(IF(VLOOKUP($A37,数出表_Excel!$A$6:$T$150,COLUMN()/2+1,FALSE)=0,"",VLOOKUP($A37,数出表_Excel!$A$6:$T$150,COLUMN()/2+1,FALSE))),"")</f>
        <v/>
      </c>
      <c r="AG37" s="142"/>
      <c r="AH37" s="146" t="str">
        <f ca="1">IFERROR(VALUE(IF(VLOOKUP($A37,数出表_Excel!$A$6:$T$150,COLUMN()/2+1,FALSE)=0,"",VLOOKUP($A37,数出表_Excel!$A$6:$T$150,COLUMN()/2+1,FALSE))),"")</f>
        <v/>
      </c>
      <c r="AI37" s="209"/>
      <c r="AJ37" s="147" t="str">
        <f ca="1">IFERROR(VALUE(IF(VLOOKUP($A37,数出表_Excel!$A$6:$T$150,COLUMN()/2+1,FALSE)=0,"",VLOOKUP($A37,数出表_Excel!$A$6:$T$150,COLUMN()/2+1,FALSE))),"")</f>
        <v/>
      </c>
      <c r="AK37" s="142"/>
      <c r="AL37" s="148" t="e">
        <f ca="1">IF(A37&lt;&gt;"",
IF(VLOOKUP($A37,数出表_Excel!$A$6:$T$150,COLUMN()/2+1,FALSE)=0,"",VLOOKUP($A37,数出表_Excel!$A$6:$T$150,COLUMN()/2+1,FALSE)),"")</f>
        <v>#N/A</v>
      </c>
      <c r="AM37" s="263">
        <f>数出表_Excel!V37</f>
        <v>0</v>
      </c>
      <c r="AN37" s="264">
        <f>数出表_Excel!W37</f>
        <v>0</v>
      </c>
    </row>
    <row r="38" spans="1:40" ht="16.2" customHeight="1" x14ac:dyDescent="0.45">
      <c r="A38" s="219" t="str">
        <f t="array" aca="1" ref="A38" ca="1">IF(OR(COUNTIF(A36,"*10002*"),COUNTIF(A36,"")),"",INDEX(貼り付け用!$A:$A,MATCH(A36,貼り付け用!$A:$A,0)+2,0))</f>
        <v>16300</v>
      </c>
      <c r="B38" s="204" t="str">
        <f ca="1">IFERROR(VALUE(IF(VLOOKUP($A38,数出表_Excel!$A$6:$T$150,COLUMN()/2+1,FALSE)=0,"",VLOOKUP($A38,数出表_Excel!$A$6:$T$150,COLUMN()/2+1,FALSE))),"")</f>
        <v/>
      </c>
      <c r="C38" s="141"/>
      <c r="D38" s="204" t="str">
        <f ca="1">IFERROR(VALUE(IF(VLOOKUP($A38,数出表_Excel!$A$6:$T$150,COLUMN()/2+1,FALSE)=0,"",VLOOKUP($A38,数出表_Excel!$A$6:$T$150,COLUMN()/2+1,FALSE))),"")</f>
        <v/>
      </c>
      <c r="E38" s="141"/>
      <c r="F38" s="207" t="str">
        <f ca="1">IFERROR(VALUE(IF(VLOOKUP($A38,数出表_Excel!$A$6:$T$150,COLUMN()/2+1,FALSE)=0,"",VLOOKUP($A38,数出表_Excel!$A$6:$T$150,COLUMN()/2+1,FALSE))),"")</f>
        <v/>
      </c>
      <c r="G38" s="141"/>
      <c r="H38" s="204" t="str">
        <f ca="1">IFERROR(VALUE(IF(VLOOKUP($A38,数出表_Excel!$A$6:$T$150,COLUMN()/2+1,FALSE)=0,"",VLOOKUP($A38,数出表_Excel!$A$6:$T$150,COLUMN()/2+1,FALSE))),"")</f>
        <v/>
      </c>
      <c r="I38" s="141"/>
      <c r="J38" s="204" t="str">
        <f ca="1">IFERROR(VALUE(IF(VLOOKUP($A38,数出表_Excel!$A$6:$T$150,COLUMN()/2+1,FALSE)=0,"",VLOOKUP($A38,数出表_Excel!$A$6:$T$150,COLUMN()/2+1,FALSE))),"")</f>
        <v/>
      </c>
      <c r="K38" s="208"/>
      <c r="L38" s="205" t="str">
        <f ca="1">IFERROR(VALUE(IF(VLOOKUP($A38,数出表_Excel!$A$6:$T$150,COLUMN()/2+1,FALSE)=0,"",VLOOKUP($A38,数出表_Excel!$A$6:$T$150,COLUMN()/2+1,FALSE))),"")</f>
        <v/>
      </c>
      <c r="M38" s="141"/>
      <c r="N38" s="204" t="str">
        <f ca="1">IFERROR(VALUE(IF(VLOOKUP($A38,数出表_Excel!$A$6:$T$150,COLUMN()/2+1,FALSE)=0,"",VLOOKUP($A38,数出表_Excel!$A$6:$T$150,COLUMN()/2+1,FALSE))),"")</f>
        <v/>
      </c>
      <c r="O38" s="141"/>
      <c r="P38" s="204" t="str">
        <f ca="1">IFERROR(VALUE(IF(VLOOKUP($A38,数出表_Excel!$A$6:$T$150,COLUMN()/2+1,FALSE)=0,"",VLOOKUP($A38,数出表_Excel!$A$6:$T$150,COLUMN()/2+1,FALSE))),"")</f>
        <v/>
      </c>
      <c r="Q38" s="141"/>
      <c r="R38" s="204" t="str">
        <f ca="1">IFERROR(VALUE(IF(VLOOKUP($A38,数出表_Excel!$A$6:$T$150,COLUMN()/2+1,FALSE)=0,"",VLOOKUP($A38,数出表_Excel!$A$6:$T$150,COLUMN()/2+1,FALSE))),"")</f>
        <v/>
      </c>
      <c r="S38" s="141"/>
      <c r="T38" s="204" t="str">
        <f ca="1">IFERROR(VALUE(IF(VLOOKUP($A38,数出表_Excel!$A$6:$T$150,COLUMN()/2+1,FALSE)=0,"",VLOOKUP($A38,数出表_Excel!$A$6:$T$150,COLUMN()/2+1,FALSE))),"")</f>
        <v/>
      </c>
      <c r="U38" s="141"/>
      <c r="V38" s="207" t="str">
        <f ca="1">IFERROR(VALUE(IF(VLOOKUP($A38,数出表_Excel!$A$6:$T$150,COLUMN()/2+1,FALSE)=0,"",VLOOKUP($A38,数出表_Excel!$A$6:$T$150,COLUMN()/2+1,FALSE))),"")</f>
        <v/>
      </c>
      <c r="W38" s="141"/>
      <c r="X38" s="207" t="str">
        <f ca="1">IFERROR(VALUE(IF(VLOOKUP($A38,数出表_Excel!$A$6:$T$150,COLUMN()/2+1,FALSE)=0,"",VLOOKUP($A38,数出表_Excel!$A$6:$T$150,COLUMN()/2+1,FALSE))),"")</f>
        <v/>
      </c>
      <c r="Y38" s="141"/>
      <c r="Z38" s="207" t="str">
        <f ca="1">IFERROR(VALUE(IF(VLOOKUP($A38,数出表_Excel!$A$6:$T$150,COLUMN()/2+1,FALSE)=0,"",VLOOKUP($A38,数出表_Excel!$A$6:$T$150,COLUMN()/2+1,FALSE))),"")</f>
        <v/>
      </c>
      <c r="AA38" s="208"/>
      <c r="AB38" s="205" t="str">
        <f ca="1">IFERROR(VALUE(IF(VLOOKUP($A38,数出表_Excel!$A$6:$T$150,COLUMN()/2+1,FALSE)=0,"",VLOOKUP($A38,数出表_Excel!$A$6:$T$150,COLUMN()/2+1,FALSE))),"")</f>
        <v/>
      </c>
      <c r="AC38" s="141"/>
      <c r="AD38" s="207" t="str">
        <f ca="1">IFERROR(VALUE(IF(VLOOKUP($A38,数出表_Excel!$A$6:$T$150,COLUMN()/2+1,FALSE)=0,"",VLOOKUP($A38,数出表_Excel!$A$6:$T$150,COLUMN()/2+1,FALSE))),"")</f>
        <v/>
      </c>
      <c r="AE38" s="141"/>
      <c r="AF38" s="207" t="str">
        <f ca="1">IFERROR(VALUE(IF(VLOOKUP($A38,数出表_Excel!$A$6:$T$150,COLUMN()/2+1,FALSE)=0,"",VLOOKUP($A38,数出表_Excel!$A$6:$T$150,COLUMN()/2+1,FALSE))),"")</f>
        <v/>
      </c>
      <c r="AG38" s="141"/>
      <c r="AH38" s="207" t="str">
        <f ca="1">IFERROR(VALUE(IF(VLOOKUP($A38,数出表_Excel!$A$6:$T$150,COLUMN()/2+1,FALSE)=0,"",VLOOKUP($A38,数出表_Excel!$A$6:$T$150,COLUMN()/2+1,FALSE))),"")</f>
        <v/>
      </c>
      <c r="AI38" s="208"/>
      <c r="AJ38" s="205" t="str">
        <f ca="1">IFERROR(VALUE(IF(VLOOKUP($A38,数出表_Excel!$A$6:$T$150,COLUMN()/2+1,FALSE)=0,"",VLOOKUP($A38,数出表_Excel!$A$6:$T$150,COLUMN()/2+1,FALSE))),"")</f>
        <v/>
      </c>
      <c r="AK38" s="141"/>
      <c r="AL38" s="145" t="e">
        <f ca="1">IF(A38&lt;&gt;"",
IF(VLOOKUP($A38,数出表_Excel!$A$6:$T$150,COLUMN()/2+1,FALSE)=0,"",VLOOKUP($A38,数出表_Excel!$A$6:$T$150,COLUMN()/2+1,FALSE)),"")</f>
        <v>#N/A</v>
      </c>
      <c r="AM38" s="261">
        <f>数出表_Excel!V38</f>
        <v>0</v>
      </c>
      <c r="AN38" s="262">
        <f>数出表_Excel!W38</f>
        <v>0</v>
      </c>
    </row>
    <row r="39" spans="1:40" ht="16.2" customHeight="1" x14ac:dyDescent="0.45">
      <c r="A39" s="220" t="str">
        <f t="array" aca="1" ref="A39" ca="1">IF(OR(COUNTIF(A37,"*1000*"),COUNTIF(A37,"")),"",INDEX(貼り付け用!$A:$A,MATCH(A37,貼り付け用!$A:$A,0)+2,0))</f>
        <v>スマイルキッズ</v>
      </c>
      <c r="B39" s="142" t="str">
        <f ca="1">IFERROR(VALUE(IF(VLOOKUP($A39,数出表_Excel!$A$6:$T$150,COLUMN()/2+1,FALSE)=0,"",VLOOKUP($A39,数出表_Excel!$A$6:$T$150,COLUMN()/2+1,FALSE))),"")</f>
        <v/>
      </c>
      <c r="C39" s="142"/>
      <c r="D39" s="142" t="str">
        <f ca="1">IFERROR(VALUE(IF(VLOOKUP($A39,数出表_Excel!$A$6:$T$150,COLUMN()/2+1,FALSE)=0,"",VLOOKUP($A39,数出表_Excel!$A$6:$T$150,COLUMN()/2+1,FALSE))),"")</f>
        <v/>
      </c>
      <c r="E39" s="142"/>
      <c r="F39" s="146" t="str">
        <f ca="1">IFERROR(VALUE(IF(VLOOKUP($A39,数出表_Excel!$A$6:$T$150,COLUMN()/2+1,FALSE)=0,"",VLOOKUP($A39,数出表_Excel!$A$6:$T$150,COLUMN()/2+1,FALSE))),"")</f>
        <v/>
      </c>
      <c r="G39" s="142"/>
      <c r="H39" s="142" t="str">
        <f ca="1">IFERROR(VALUE(IF(VLOOKUP($A39,数出表_Excel!$A$6:$T$150,COLUMN()/2+1,FALSE)=0,"",VLOOKUP($A39,数出表_Excel!$A$6:$T$150,COLUMN()/2+1,FALSE))),"")</f>
        <v/>
      </c>
      <c r="I39" s="142"/>
      <c r="J39" s="142" t="str">
        <f ca="1">IFERROR(VALUE(IF(VLOOKUP($A39,数出表_Excel!$A$6:$T$150,COLUMN()/2+1,FALSE)=0,"",VLOOKUP($A39,数出表_Excel!$A$6:$T$150,COLUMN()/2+1,FALSE))),"")</f>
        <v/>
      </c>
      <c r="K39" s="209"/>
      <c r="L39" s="147" t="str">
        <f ca="1">IFERROR(VALUE(IF(VLOOKUP($A39,数出表_Excel!$A$6:$T$150,COLUMN()/2+1,FALSE)=0,"",VLOOKUP($A39,数出表_Excel!$A$6:$T$150,COLUMN()/2+1,FALSE))),"")</f>
        <v/>
      </c>
      <c r="M39" s="142"/>
      <c r="N39" s="142" t="str">
        <f ca="1">IFERROR(VALUE(IF(VLOOKUP($A39,数出表_Excel!$A$6:$T$150,COLUMN()/2+1,FALSE)=0,"",VLOOKUP($A39,数出表_Excel!$A$6:$T$150,COLUMN()/2+1,FALSE))),"")</f>
        <v/>
      </c>
      <c r="O39" s="142"/>
      <c r="P39" s="142" t="str">
        <f ca="1">IFERROR(VALUE(IF(VLOOKUP($A39,数出表_Excel!$A$6:$T$150,COLUMN()/2+1,FALSE)=0,"",VLOOKUP($A39,数出表_Excel!$A$6:$T$150,COLUMN()/2+1,FALSE))),"")</f>
        <v/>
      </c>
      <c r="Q39" s="142"/>
      <c r="R39" s="142" t="str">
        <f ca="1">IFERROR(VALUE(IF(VLOOKUP($A39,数出表_Excel!$A$6:$T$150,COLUMN()/2+1,FALSE)=0,"",VLOOKUP($A39,数出表_Excel!$A$6:$T$150,COLUMN()/2+1,FALSE))),"")</f>
        <v/>
      </c>
      <c r="S39" s="142"/>
      <c r="T39" s="142" t="str">
        <f ca="1">IFERROR(VALUE(IF(VLOOKUP($A39,数出表_Excel!$A$6:$T$150,COLUMN()/2+1,FALSE)=0,"",VLOOKUP($A39,数出表_Excel!$A$6:$T$150,COLUMN()/2+1,FALSE))),"")</f>
        <v/>
      </c>
      <c r="U39" s="142"/>
      <c r="V39" s="146" t="str">
        <f ca="1">IFERROR(VALUE(IF(VLOOKUP($A39,数出表_Excel!$A$6:$T$150,COLUMN()/2+1,FALSE)=0,"",VLOOKUP($A39,数出表_Excel!$A$6:$T$150,COLUMN()/2+1,FALSE))),"")</f>
        <v/>
      </c>
      <c r="W39" s="142"/>
      <c r="X39" s="146" t="str">
        <f ca="1">IFERROR(VALUE(IF(VLOOKUP($A39,数出表_Excel!$A$6:$T$150,COLUMN()/2+1,FALSE)=0,"",VLOOKUP($A39,数出表_Excel!$A$6:$T$150,COLUMN()/2+1,FALSE))),"")</f>
        <v/>
      </c>
      <c r="Y39" s="142"/>
      <c r="Z39" s="146" t="str">
        <f ca="1">IFERROR(VALUE(IF(VLOOKUP($A39,数出表_Excel!$A$6:$T$150,COLUMN()/2+1,FALSE)=0,"",VLOOKUP($A39,数出表_Excel!$A$6:$T$150,COLUMN()/2+1,FALSE))),"")</f>
        <v/>
      </c>
      <c r="AA39" s="209"/>
      <c r="AB39" s="147" t="str">
        <f ca="1">IFERROR(VALUE(IF(VLOOKUP($A39,数出表_Excel!$A$6:$T$150,COLUMN()/2+1,FALSE)=0,"",VLOOKUP($A39,数出表_Excel!$A$6:$T$150,COLUMN()/2+1,FALSE))),"")</f>
        <v/>
      </c>
      <c r="AC39" s="142"/>
      <c r="AD39" s="146" t="str">
        <f ca="1">IFERROR(VALUE(IF(VLOOKUP($A39,数出表_Excel!$A$6:$T$150,COLUMN()/2+1,FALSE)=0,"",VLOOKUP($A39,数出表_Excel!$A$6:$T$150,COLUMN()/2+1,FALSE))),"")</f>
        <v/>
      </c>
      <c r="AE39" s="142"/>
      <c r="AF39" s="146" t="str">
        <f ca="1">IFERROR(VALUE(IF(VLOOKUP($A39,数出表_Excel!$A$6:$T$150,COLUMN()/2+1,FALSE)=0,"",VLOOKUP($A39,数出表_Excel!$A$6:$T$150,COLUMN()/2+1,FALSE))),"")</f>
        <v/>
      </c>
      <c r="AG39" s="142"/>
      <c r="AH39" s="146" t="str">
        <f ca="1">IFERROR(VALUE(IF(VLOOKUP($A39,数出表_Excel!$A$6:$T$150,COLUMN()/2+1,FALSE)=0,"",VLOOKUP($A39,数出表_Excel!$A$6:$T$150,COLUMN()/2+1,FALSE))),"")</f>
        <v/>
      </c>
      <c r="AI39" s="209"/>
      <c r="AJ39" s="147" t="str">
        <f ca="1">IFERROR(VALUE(IF(VLOOKUP($A39,数出表_Excel!$A$6:$T$150,COLUMN()/2+1,FALSE)=0,"",VLOOKUP($A39,数出表_Excel!$A$6:$T$150,COLUMN()/2+1,FALSE))),"")</f>
        <v/>
      </c>
      <c r="AK39" s="142"/>
      <c r="AL39" s="148" t="e">
        <f ca="1">IF(A39&lt;&gt;"",
IF(VLOOKUP($A39,数出表_Excel!$A$6:$T$150,COLUMN()/2+1,FALSE)=0,"",VLOOKUP($A39,数出表_Excel!$A$6:$T$150,COLUMN()/2+1,FALSE)),"")</f>
        <v>#N/A</v>
      </c>
      <c r="AM39" s="263">
        <f>数出表_Excel!V39</f>
        <v>0</v>
      </c>
      <c r="AN39" s="264">
        <f>数出表_Excel!W39</f>
        <v>0</v>
      </c>
    </row>
    <row r="40" spans="1:40" ht="16.2" customHeight="1" x14ac:dyDescent="0.45">
      <c r="A40" s="219" t="str">
        <f t="array" aca="1" ref="A40" ca="1">IF(OR(COUNTIF(A38,"*10002*"),COUNTIF(A38,"")),"",INDEX(貼り付け用!$A:$A,MATCH(A38,貼り付け用!$A:$A,0)+2,0))</f>
        <v>600</v>
      </c>
      <c r="B40" s="204" t="str">
        <f ca="1">IFERROR(VALUE(IF(VLOOKUP($A40,数出表_Excel!$A$6:$T$150,COLUMN()/2+1,FALSE)=0,"",VLOOKUP($A40,数出表_Excel!$A$6:$T$150,COLUMN()/2+1,FALSE))),"")</f>
        <v/>
      </c>
      <c r="C40" s="141"/>
      <c r="D40" s="204" t="str">
        <f ca="1">IFERROR(VALUE(IF(VLOOKUP($A40,数出表_Excel!$A$6:$T$150,COLUMN()/2+1,FALSE)=0,"",VLOOKUP($A40,数出表_Excel!$A$6:$T$150,COLUMN()/2+1,FALSE))),"")</f>
        <v/>
      </c>
      <c r="E40" s="141"/>
      <c r="F40" s="207" t="str">
        <f ca="1">IFERROR(VALUE(IF(VLOOKUP($A40,数出表_Excel!$A$6:$T$150,COLUMN()/2+1,FALSE)=0,"",VLOOKUP($A40,数出表_Excel!$A$6:$T$150,COLUMN()/2+1,FALSE))),"")</f>
        <v/>
      </c>
      <c r="G40" s="141">
        <v>2</v>
      </c>
      <c r="H40" s="204" t="str">
        <f ca="1">IFERROR(VALUE(IF(VLOOKUP($A40,数出表_Excel!$A$6:$T$150,COLUMN()/2+1,FALSE)=0,"",VLOOKUP($A40,数出表_Excel!$A$6:$T$150,COLUMN()/2+1,FALSE))),"")</f>
        <v/>
      </c>
      <c r="I40" s="141"/>
      <c r="J40" s="204" t="str">
        <f ca="1">IFERROR(VALUE(IF(VLOOKUP($A40,数出表_Excel!$A$6:$T$150,COLUMN()/2+1,FALSE)=0,"",VLOOKUP($A40,数出表_Excel!$A$6:$T$150,COLUMN()/2+1,FALSE))),"")</f>
        <v/>
      </c>
      <c r="K40" s="208"/>
      <c r="L40" s="205" t="str">
        <f ca="1">IFERROR(VALUE(IF(VLOOKUP($A40,数出表_Excel!$A$6:$T$150,COLUMN()/2+1,FALSE)=0,"",VLOOKUP($A40,数出表_Excel!$A$6:$T$150,COLUMN()/2+1,FALSE))),"")</f>
        <v/>
      </c>
      <c r="M40" s="141"/>
      <c r="N40" s="204" t="str">
        <f ca="1">IFERROR(VALUE(IF(VLOOKUP($A40,数出表_Excel!$A$6:$T$150,COLUMN()/2+1,FALSE)=0,"",VLOOKUP($A40,数出表_Excel!$A$6:$T$150,COLUMN()/2+1,FALSE))),"")</f>
        <v/>
      </c>
      <c r="O40" s="141"/>
      <c r="P40" s="204" t="str">
        <f ca="1">IFERROR(VALUE(IF(VLOOKUP($A40,数出表_Excel!$A$6:$T$150,COLUMN()/2+1,FALSE)=0,"",VLOOKUP($A40,数出表_Excel!$A$6:$T$150,COLUMN()/2+1,FALSE))),"")</f>
        <v/>
      </c>
      <c r="Q40" s="141"/>
      <c r="R40" s="204" t="str">
        <f ca="1">IFERROR(VALUE(IF(VLOOKUP($A40,数出表_Excel!$A$6:$T$150,COLUMN()/2+1,FALSE)=0,"",VLOOKUP($A40,数出表_Excel!$A$6:$T$150,COLUMN()/2+1,FALSE))),"")</f>
        <v/>
      </c>
      <c r="S40" s="141"/>
      <c r="T40" s="204" t="str">
        <f ca="1">IFERROR(VALUE(IF(VLOOKUP($A40,数出表_Excel!$A$6:$T$150,COLUMN()/2+1,FALSE)=0,"",VLOOKUP($A40,数出表_Excel!$A$6:$T$150,COLUMN()/2+1,FALSE))),"")</f>
        <v/>
      </c>
      <c r="U40" s="141"/>
      <c r="V40" s="207" t="str">
        <f ca="1">IFERROR(VALUE(IF(VLOOKUP($A40,数出表_Excel!$A$6:$T$150,COLUMN()/2+1,FALSE)=0,"",VLOOKUP($A40,数出表_Excel!$A$6:$T$150,COLUMN()/2+1,FALSE))),"")</f>
        <v/>
      </c>
      <c r="W40" s="141"/>
      <c r="X40" s="207" t="str">
        <f ca="1">IFERROR(VALUE(IF(VLOOKUP($A40,数出表_Excel!$A$6:$T$150,COLUMN()/2+1,FALSE)=0,"",VLOOKUP($A40,数出表_Excel!$A$6:$T$150,COLUMN()/2+1,FALSE))),"")</f>
        <v/>
      </c>
      <c r="Y40" s="141"/>
      <c r="Z40" s="207" t="str">
        <f ca="1">IFERROR(VALUE(IF(VLOOKUP($A40,数出表_Excel!$A$6:$T$150,COLUMN()/2+1,FALSE)=0,"",VLOOKUP($A40,数出表_Excel!$A$6:$T$150,COLUMN()/2+1,FALSE))),"")</f>
        <v/>
      </c>
      <c r="AA40" s="208"/>
      <c r="AB40" s="205" t="str">
        <f ca="1">IFERROR(VALUE(IF(VLOOKUP($A40,数出表_Excel!$A$6:$T$150,COLUMN()/2+1,FALSE)=0,"",VLOOKUP($A40,数出表_Excel!$A$6:$T$150,COLUMN()/2+1,FALSE))),"")</f>
        <v/>
      </c>
      <c r="AC40" s="141"/>
      <c r="AD40" s="207" t="str">
        <f ca="1">IFERROR(VALUE(IF(VLOOKUP($A40,数出表_Excel!$A$6:$T$150,COLUMN()/2+1,FALSE)=0,"",VLOOKUP($A40,数出表_Excel!$A$6:$T$150,COLUMN()/2+1,FALSE))),"")</f>
        <v/>
      </c>
      <c r="AE40" s="141"/>
      <c r="AF40" s="207" t="str">
        <f ca="1">IFERROR(VALUE(IF(VLOOKUP($A40,数出表_Excel!$A$6:$T$150,COLUMN()/2+1,FALSE)=0,"",VLOOKUP($A40,数出表_Excel!$A$6:$T$150,COLUMN()/2+1,FALSE))),"")</f>
        <v/>
      </c>
      <c r="AG40" s="141"/>
      <c r="AH40" s="207" t="str">
        <f ca="1">IFERROR(VALUE(IF(VLOOKUP($A40,数出表_Excel!$A$6:$T$150,COLUMN()/2+1,FALSE)=0,"",VLOOKUP($A40,数出表_Excel!$A$6:$T$150,COLUMN()/2+1,FALSE))),"")</f>
        <v/>
      </c>
      <c r="AI40" s="208"/>
      <c r="AJ40" s="205" t="str">
        <f ca="1">IFERROR(VALUE(IF(VLOOKUP($A40,数出表_Excel!$A$6:$T$150,COLUMN()/2+1,FALSE)=0,"",VLOOKUP($A40,数出表_Excel!$A$6:$T$150,COLUMN()/2+1,FALSE))),"")</f>
        <v/>
      </c>
      <c r="AK40" s="141"/>
      <c r="AL40" s="145" t="e">
        <f ca="1">IF(A40&lt;&gt;"",
IF(VLOOKUP($A40,数出表_Excel!$A$6:$T$150,COLUMN()/2+1,FALSE)=0,"",VLOOKUP($A40,数出表_Excel!$A$6:$T$150,COLUMN()/2+1,FALSE)),"")</f>
        <v>#N/A</v>
      </c>
      <c r="AM40" s="261">
        <f>数出表_Excel!V40</f>
        <v>0</v>
      </c>
      <c r="AN40" s="262">
        <f>数出表_Excel!W40</f>
        <v>0</v>
      </c>
    </row>
    <row r="41" spans="1:40" ht="16.2" customHeight="1" x14ac:dyDescent="0.45">
      <c r="A41" s="220" t="str">
        <f t="array" aca="1" ref="A41" ca="1">IF(OR(COUNTIF(A39,"*1000*"),COUNTIF(A39,"")),"",INDEX(貼り付け用!$A:$A,MATCH(A39,貼り付け用!$A:$A,0)+2,0))</f>
        <v>博多第一幼稚園 週3ｺｰｽ</v>
      </c>
      <c r="B41" s="142" t="str">
        <f ca="1">IFERROR(VALUE(IF(VLOOKUP($A41,数出表_Excel!$A$6:$T$150,COLUMN()/2+1,FALSE)=0,"",VLOOKUP($A41,数出表_Excel!$A$6:$T$150,COLUMN()/2+1,FALSE))),"")</f>
        <v/>
      </c>
      <c r="C41" s="142"/>
      <c r="D41" s="142" t="str">
        <f ca="1">IFERROR(VALUE(IF(VLOOKUP($A41,数出表_Excel!$A$6:$T$150,COLUMN()/2+1,FALSE)=0,"",VLOOKUP($A41,数出表_Excel!$A$6:$T$150,COLUMN()/2+1,FALSE))),"")</f>
        <v/>
      </c>
      <c r="E41" s="142"/>
      <c r="F41" s="146" t="str">
        <f ca="1">IFERROR(VALUE(IF(VLOOKUP($A41,数出表_Excel!$A$6:$T$150,COLUMN()/2+1,FALSE)=0,"",VLOOKUP($A41,数出表_Excel!$A$6:$T$150,COLUMN()/2+1,FALSE))),"")</f>
        <v/>
      </c>
      <c r="G41" s="142"/>
      <c r="H41" s="142" t="str">
        <f ca="1">IFERROR(VALUE(IF(VLOOKUP($A41,数出表_Excel!$A$6:$T$150,COLUMN()/2+1,FALSE)=0,"",VLOOKUP($A41,数出表_Excel!$A$6:$T$150,COLUMN()/2+1,FALSE))),"")</f>
        <v/>
      </c>
      <c r="I41" s="142"/>
      <c r="J41" s="142" t="str">
        <f ca="1">IFERROR(VALUE(IF(VLOOKUP($A41,数出表_Excel!$A$6:$T$150,COLUMN()/2+1,FALSE)=0,"",VLOOKUP($A41,数出表_Excel!$A$6:$T$150,COLUMN()/2+1,FALSE))),"")</f>
        <v/>
      </c>
      <c r="K41" s="209"/>
      <c r="L41" s="147" t="str">
        <f ca="1">IFERROR(VALUE(IF(VLOOKUP($A41,数出表_Excel!$A$6:$T$150,COLUMN()/2+1,FALSE)=0,"",VLOOKUP($A41,数出表_Excel!$A$6:$T$150,COLUMN()/2+1,FALSE))),"")</f>
        <v/>
      </c>
      <c r="M41" s="142"/>
      <c r="N41" s="142" t="str">
        <f ca="1">IFERROR(VALUE(IF(VLOOKUP($A41,数出表_Excel!$A$6:$T$150,COLUMN()/2+1,FALSE)=0,"",VLOOKUP($A41,数出表_Excel!$A$6:$T$150,COLUMN()/2+1,FALSE))),"")</f>
        <v/>
      </c>
      <c r="O41" s="142"/>
      <c r="P41" s="142" t="str">
        <f ca="1">IFERROR(VALUE(IF(VLOOKUP($A41,数出表_Excel!$A$6:$T$150,COLUMN()/2+1,FALSE)=0,"",VLOOKUP($A41,数出表_Excel!$A$6:$T$150,COLUMN()/2+1,FALSE))),"")</f>
        <v/>
      </c>
      <c r="Q41" s="142"/>
      <c r="R41" s="142" t="str">
        <f ca="1">IFERROR(VALUE(IF(VLOOKUP($A41,数出表_Excel!$A$6:$T$150,COLUMN()/2+1,FALSE)=0,"",VLOOKUP($A41,数出表_Excel!$A$6:$T$150,COLUMN()/2+1,FALSE))),"")</f>
        <v/>
      </c>
      <c r="S41" s="142"/>
      <c r="T41" s="142" t="str">
        <f ca="1">IFERROR(VALUE(IF(VLOOKUP($A41,数出表_Excel!$A$6:$T$150,COLUMN()/2+1,FALSE)=0,"",VLOOKUP($A41,数出表_Excel!$A$6:$T$150,COLUMN()/2+1,FALSE))),"")</f>
        <v/>
      </c>
      <c r="U41" s="142"/>
      <c r="V41" s="146" t="str">
        <f ca="1">IFERROR(VALUE(IF(VLOOKUP($A41,数出表_Excel!$A$6:$T$150,COLUMN()/2+1,FALSE)=0,"",VLOOKUP($A41,数出表_Excel!$A$6:$T$150,COLUMN()/2+1,FALSE))),"")</f>
        <v/>
      </c>
      <c r="W41" s="142"/>
      <c r="X41" s="146" t="str">
        <f ca="1">IFERROR(VALUE(IF(VLOOKUP($A41,数出表_Excel!$A$6:$T$150,COLUMN()/2+1,FALSE)=0,"",VLOOKUP($A41,数出表_Excel!$A$6:$T$150,COLUMN()/2+1,FALSE))),"")</f>
        <v/>
      </c>
      <c r="Y41" s="142"/>
      <c r="Z41" s="146" t="str">
        <f ca="1">IFERROR(VALUE(IF(VLOOKUP($A41,数出表_Excel!$A$6:$T$150,COLUMN()/2+1,FALSE)=0,"",VLOOKUP($A41,数出表_Excel!$A$6:$T$150,COLUMN()/2+1,FALSE))),"")</f>
        <v/>
      </c>
      <c r="AA41" s="209"/>
      <c r="AB41" s="147" t="str">
        <f ca="1">IFERROR(VALUE(IF(VLOOKUP($A41,数出表_Excel!$A$6:$T$150,COLUMN()/2+1,FALSE)=0,"",VLOOKUP($A41,数出表_Excel!$A$6:$T$150,COLUMN()/2+1,FALSE))),"")</f>
        <v/>
      </c>
      <c r="AC41" s="142"/>
      <c r="AD41" s="146" t="str">
        <f ca="1">IFERROR(VALUE(IF(VLOOKUP($A41,数出表_Excel!$A$6:$T$150,COLUMN()/2+1,FALSE)=0,"",VLOOKUP($A41,数出表_Excel!$A$6:$T$150,COLUMN()/2+1,FALSE))),"")</f>
        <v/>
      </c>
      <c r="AE41" s="142"/>
      <c r="AF41" s="146" t="str">
        <f ca="1">IFERROR(VALUE(IF(VLOOKUP($A41,数出表_Excel!$A$6:$T$150,COLUMN()/2+1,FALSE)=0,"",VLOOKUP($A41,数出表_Excel!$A$6:$T$150,COLUMN()/2+1,FALSE))),"")</f>
        <v/>
      </c>
      <c r="AG41" s="142"/>
      <c r="AH41" s="146" t="str">
        <f ca="1">IFERROR(VALUE(IF(VLOOKUP($A41,数出表_Excel!$A$6:$T$150,COLUMN()/2+1,FALSE)=0,"",VLOOKUP($A41,数出表_Excel!$A$6:$T$150,COLUMN()/2+1,FALSE))),"")</f>
        <v/>
      </c>
      <c r="AI41" s="209"/>
      <c r="AJ41" s="147" t="str">
        <f ca="1">IFERROR(VALUE(IF(VLOOKUP($A41,数出表_Excel!$A$6:$T$150,COLUMN()/2+1,FALSE)=0,"",VLOOKUP($A41,数出表_Excel!$A$6:$T$150,COLUMN()/2+1,FALSE))),"")</f>
        <v/>
      </c>
      <c r="AK41" s="142"/>
      <c r="AL41" s="148" t="e">
        <f ca="1">IF(A41&lt;&gt;"",
IF(VLOOKUP($A41,数出表_Excel!$A$6:$T$150,COLUMN()/2+1,FALSE)=0,"",VLOOKUP($A41,数出表_Excel!$A$6:$T$150,COLUMN()/2+1,FALSE)),"")</f>
        <v>#N/A</v>
      </c>
      <c r="AM41" s="263">
        <f>数出表_Excel!V41</f>
        <v>0</v>
      </c>
      <c r="AN41" s="264">
        <f>数出表_Excel!W41</f>
        <v>0</v>
      </c>
    </row>
    <row r="42" spans="1:40" ht="16.2" customHeight="1" x14ac:dyDescent="0.45">
      <c r="A42" s="219" t="str">
        <f t="array" aca="1" ref="A42" ca="1">IF(OR(COUNTIF(A40,"*10002*"),COUNTIF(A40,"")),"",INDEX(貼り付け用!$A:$A,MATCH(A40,貼り付け用!$A:$A,0)+2,0))</f>
        <v>606</v>
      </c>
      <c r="B42" s="204" t="str">
        <f ca="1">IFERROR(VALUE(IF(VLOOKUP($A42,数出表_Excel!$A$6:$T$150,COLUMN()/2+1,FALSE)=0,"",VLOOKUP($A42,数出表_Excel!$A$6:$T$150,COLUMN()/2+1,FALSE))),"")</f>
        <v/>
      </c>
      <c r="C42" s="141"/>
      <c r="D42" s="204" t="str">
        <f ca="1">IFERROR(VALUE(IF(VLOOKUP($A42,数出表_Excel!$A$6:$T$150,COLUMN()/2+1,FALSE)=0,"",VLOOKUP($A42,数出表_Excel!$A$6:$T$150,COLUMN()/2+1,FALSE))),"")</f>
        <v/>
      </c>
      <c r="E42" s="141"/>
      <c r="F42" s="207" t="str">
        <f ca="1">IFERROR(VALUE(IF(VLOOKUP($A42,数出表_Excel!$A$6:$T$150,COLUMN()/2+1,FALSE)=0,"",VLOOKUP($A42,数出表_Excel!$A$6:$T$150,COLUMN()/2+1,FALSE))),"")</f>
        <v/>
      </c>
      <c r="G42" s="141">
        <v>4</v>
      </c>
      <c r="H42" s="204" t="str">
        <f ca="1">IFERROR(VALUE(IF(VLOOKUP($A42,数出表_Excel!$A$6:$T$150,COLUMN()/2+1,FALSE)=0,"",VLOOKUP($A42,数出表_Excel!$A$6:$T$150,COLUMN()/2+1,FALSE))),"")</f>
        <v/>
      </c>
      <c r="I42" s="141"/>
      <c r="J42" s="204" t="str">
        <f ca="1">IFERROR(VALUE(IF(VLOOKUP($A42,数出表_Excel!$A$6:$T$150,COLUMN()/2+1,FALSE)=0,"",VLOOKUP($A42,数出表_Excel!$A$6:$T$150,COLUMN()/2+1,FALSE))),"")</f>
        <v/>
      </c>
      <c r="K42" s="208"/>
      <c r="L42" s="205" t="str">
        <f ca="1">IFERROR(VALUE(IF(VLOOKUP($A42,数出表_Excel!$A$6:$T$150,COLUMN()/2+1,FALSE)=0,"",VLOOKUP($A42,数出表_Excel!$A$6:$T$150,COLUMN()/2+1,FALSE))),"")</f>
        <v/>
      </c>
      <c r="M42" s="141"/>
      <c r="N42" s="204" t="str">
        <f ca="1">IFERROR(VALUE(IF(VLOOKUP($A42,数出表_Excel!$A$6:$T$150,COLUMN()/2+1,FALSE)=0,"",VLOOKUP($A42,数出表_Excel!$A$6:$T$150,COLUMN()/2+1,FALSE))),"")</f>
        <v/>
      </c>
      <c r="O42" s="141"/>
      <c r="P42" s="204" t="str">
        <f ca="1">IFERROR(VALUE(IF(VLOOKUP($A42,数出表_Excel!$A$6:$T$150,COLUMN()/2+1,FALSE)=0,"",VLOOKUP($A42,数出表_Excel!$A$6:$T$150,COLUMN()/2+1,FALSE))),"")</f>
        <v/>
      </c>
      <c r="Q42" s="141"/>
      <c r="R42" s="204" t="str">
        <f ca="1">IFERROR(VALUE(IF(VLOOKUP($A42,数出表_Excel!$A$6:$T$150,COLUMN()/2+1,FALSE)=0,"",VLOOKUP($A42,数出表_Excel!$A$6:$T$150,COLUMN()/2+1,FALSE))),"")</f>
        <v/>
      </c>
      <c r="S42" s="141"/>
      <c r="T42" s="204" t="str">
        <f ca="1">IFERROR(VALUE(IF(VLOOKUP($A42,数出表_Excel!$A$6:$T$150,COLUMN()/2+1,FALSE)=0,"",VLOOKUP($A42,数出表_Excel!$A$6:$T$150,COLUMN()/2+1,FALSE))),"")</f>
        <v/>
      </c>
      <c r="U42" s="141"/>
      <c r="V42" s="207" t="str">
        <f ca="1">IFERROR(VALUE(IF(VLOOKUP($A42,数出表_Excel!$A$6:$T$150,COLUMN()/2+1,FALSE)=0,"",VLOOKUP($A42,数出表_Excel!$A$6:$T$150,COLUMN()/2+1,FALSE))),"")</f>
        <v/>
      </c>
      <c r="W42" s="141"/>
      <c r="X42" s="207" t="str">
        <f ca="1">IFERROR(VALUE(IF(VLOOKUP($A42,数出表_Excel!$A$6:$T$150,COLUMN()/2+1,FALSE)=0,"",VLOOKUP($A42,数出表_Excel!$A$6:$T$150,COLUMN()/2+1,FALSE))),"")</f>
        <v/>
      </c>
      <c r="Y42" s="141"/>
      <c r="Z42" s="207" t="str">
        <f ca="1">IFERROR(VALUE(IF(VLOOKUP($A42,数出表_Excel!$A$6:$T$150,COLUMN()/2+1,FALSE)=0,"",VLOOKUP($A42,数出表_Excel!$A$6:$T$150,COLUMN()/2+1,FALSE))),"")</f>
        <v/>
      </c>
      <c r="AA42" s="208"/>
      <c r="AB42" s="205" t="str">
        <f ca="1">IFERROR(VALUE(IF(VLOOKUP($A42,数出表_Excel!$A$6:$T$150,COLUMN()/2+1,FALSE)=0,"",VLOOKUP($A42,数出表_Excel!$A$6:$T$150,COLUMN()/2+1,FALSE))),"")</f>
        <v/>
      </c>
      <c r="AC42" s="141"/>
      <c r="AD42" s="207" t="str">
        <f ca="1">IFERROR(VALUE(IF(VLOOKUP($A42,数出表_Excel!$A$6:$T$150,COLUMN()/2+1,FALSE)=0,"",VLOOKUP($A42,数出表_Excel!$A$6:$T$150,COLUMN()/2+1,FALSE))),"")</f>
        <v/>
      </c>
      <c r="AE42" s="141"/>
      <c r="AF42" s="207" t="str">
        <f ca="1">IFERROR(VALUE(IF(VLOOKUP($A42,数出表_Excel!$A$6:$T$150,COLUMN()/2+1,FALSE)=0,"",VLOOKUP($A42,数出表_Excel!$A$6:$T$150,COLUMN()/2+1,FALSE))),"")</f>
        <v/>
      </c>
      <c r="AG42" s="141"/>
      <c r="AH42" s="207" t="str">
        <f ca="1">IFERROR(VALUE(IF(VLOOKUP($A42,数出表_Excel!$A$6:$T$150,COLUMN()/2+1,FALSE)=0,"",VLOOKUP($A42,数出表_Excel!$A$6:$T$150,COLUMN()/2+1,FALSE))),"")</f>
        <v/>
      </c>
      <c r="AI42" s="208"/>
      <c r="AJ42" s="205" t="str">
        <f ca="1">IFERROR(VALUE(IF(VLOOKUP($A42,数出表_Excel!$A$6:$T$150,COLUMN()/2+1,FALSE)=0,"",VLOOKUP($A42,数出表_Excel!$A$6:$T$150,COLUMN()/2+1,FALSE))),"")</f>
        <v/>
      </c>
      <c r="AK42" s="141"/>
      <c r="AL42" s="145" t="e">
        <f ca="1">IF(A42&lt;&gt;"",
IF(VLOOKUP($A42,数出表_Excel!$A$6:$T$150,COLUMN()/2+1,FALSE)=0,"",VLOOKUP($A42,数出表_Excel!$A$6:$T$150,COLUMN()/2+1,FALSE)),"")</f>
        <v>#N/A</v>
      </c>
      <c r="AM42" s="261">
        <f>数出表_Excel!V42</f>
        <v>0</v>
      </c>
      <c r="AN42" s="262">
        <f>数出表_Excel!W42</f>
        <v>0</v>
      </c>
    </row>
    <row r="43" spans="1:40" ht="16.2" customHeight="1" x14ac:dyDescent="0.45">
      <c r="A43" s="220" t="str">
        <f t="array" aca="1" ref="A43" ca="1">IF(OR(COUNTIF(A41,"*1000*"),COUNTIF(A41,"")),"",INDEX(貼り付け用!$A:$A,MATCH(A41,貼り付け用!$A:$A,0)+2,0))</f>
        <v>博多第一幼稚園 週5ｺｰｽ</v>
      </c>
      <c r="B43" s="142" t="str">
        <f ca="1">IFERROR(VALUE(IF(VLOOKUP($A43,数出表_Excel!$A$6:$T$150,COLUMN()/2+1,FALSE)=0,"",VLOOKUP($A43,数出表_Excel!$A$6:$T$150,COLUMN()/2+1,FALSE))),"")</f>
        <v/>
      </c>
      <c r="C43" s="142"/>
      <c r="D43" s="142" t="str">
        <f ca="1">IFERROR(VALUE(IF(VLOOKUP($A43,数出表_Excel!$A$6:$T$150,COLUMN()/2+1,FALSE)=0,"",VLOOKUP($A43,数出表_Excel!$A$6:$T$150,COLUMN()/2+1,FALSE))),"")</f>
        <v/>
      </c>
      <c r="E43" s="142"/>
      <c r="F43" s="146" t="str">
        <f ca="1">IFERROR(VALUE(IF(VLOOKUP($A43,数出表_Excel!$A$6:$T$150,COLUMN()/2+1,FALSE)=0,"",VLOOKUP($A43,数出表_Excel!$A$6:$T$150,COLUMN()/2+1,FALSE))),"")</f>
        <v/>
      </c>
      <c r="G43" s="142"/>
      <c r="H43" s="142" t="str">
        <f ca="1">IFERROR(VALUE(IF(VLOOKUP($A43,数出表_Excel!$A$6:$T$150,COLUMN()/2+1,FALSE)=0,"",VLOOKUP($A43,数出表_Excel!$A$6:$T$150,COLUMN()/2+1,FALSE))),"")</f>
        <v/>
      </c>
      <c r="I43" s="142"/>
      <c r="J43" s="142" t="str">
        <f ca="1">IFERROR(VALUE(IF(VLOOKUP($A43,数出表_Excel!$A$6:$T$150,COLUMN()/2+1,FALSE)=0,"",VLOOKUP($A43,数出表_Excel!$A$6:$T$150,COLUMN()/2+1,FALSE))),"")</f>
        <v/>
      </c>
      <c r="K43" s="209"/>
      <c r="L43" s="147" t="str">
        <f ca="1">IFERROR(VALUE(IF(VLOOKUP($A43,数出表_Excel!$A$6:$T$150,COLUMN()/2+1,FALSE)=0,"",VLOOKUP($A43,数出表_Excel!$A$6:$T$150,COLUMN()/2+1,FALSE))),"")</f>
        <v/>
      </c>
      <c r="M43" s="142"/>
      <c r="N43" s="142" t="str">
        <f ca="1">IFERROR(VALUE(IF(VLOOKUP($A43,数出表_Excel!$A$6:$T$150,COLUMN()/2+1,FALSE)=0,"",VLOOKUP($A43,数出表_Excel!$A$6:$T$150,COLUMN()/2+1,FALSE))),"")</f>
        <v/>
      </c>
      <c r="O43" s="142"/>
      <c r="P43" s="142" t="str">
        <f ca="1">IFERROR(VALUE(IF(VLOOKUP($A43,数出表_Excel!$A$6:$T$150,COLUMN()/2+1,FALSE)=0,"",VLOOKUP($A43,数出表_Excel!$A$6:$T$150,COLUMN()/2+1,FALSE))),"")</f>
        <v/>
      </c>
      <c r="Q43" s="142"/>
      <c r="R43" s="142" t="str">
        <f ca="1">IFERROR(VALUE(IF(VLOOKUP($A43,数出表_Excel!$A$6:$T$150,COLUMN()/2+1,FALSE)=0,"",VLOOKUP($A43,数出表_Excel!$A$6:$T$150,COLUMN()/2+1,FALSE))),"")</f>
        <v/>
      </c>
      <c r="S43" s="142"/>
      <c r="T43" s="142" t="str">
        <f ca="1">IFERROR(VALUE(IF(VLOOKUP($A43,数出表_Excel!$A$6:$T$150,COLUMN()/2+1,FALSE)=0,"",VLOOKUP($A43,数出表_Excel!$A$6:$T$150,COLUMN()/2+1,FALSE))),"")</f>
        <v/>
      </c>
      <c r="U43" s="142"/>
      <c r="V43" s="146" t="str">
        <f ca="1">IFERROR(VALUE(IF(VLOOKUP($A43,数出表_Excel!$A$6:$T$150,COLUMN()/2+1,FALSE)=0,"",VLOOKUP($A43,数出表_Excel!$A$6:$T$150,COLUMN()/2+1,FALSE))),"")</f>
        <v/>
      </c>
      <c r="W43" s="142"/>
      <c r="X43" s="146" t="str">
        <f ca="1">IFERROR(VALUE(IF(VLOOKUP($A43,数出表_Excel!$A$6:$T$150,COLUMN()/2+1,FALSE)=0,"",VLOOKUP($A43,数出表_Excel!$A$6:$T$150,COLUMN()/2+1,FALSE))),"")</f>
        <v/>
      </c>
      <c r="Y43" s="142"/>
      <c r="Z43" s="146" t="str">
        <f ca="1">IFERROR(VALUE(IF(VLOOKUP($A43,数出表_Excel!$A$6:$T$150,COLUMN()/2+1,FALSE)=0,"",VLOOKUP($A43,数出表_Excel!$A$6:$T$150,COLUMN()/2+1,FALSE))),"")</f>
        <v/>
      </c>
      <c r="AA43" s="209"/>
      <c r="AB43" s="147" t="str">
        <f ca="1">IFERROR(VALUE(IF(VLOOKUP($A43,数出表_Excel!$A$6:$T$150,COLUMN()/2+1,FALSE)=0,"",VLOOKUP($A43,数出表_Excel!$A$6:$T$150,COLUMN()/2+1,FALSE))),"")</f>
        <v/>
      </c>
      <c r="AC43" s="142"/>
      <c r="AD43" s="146" t="str">
        <f ca="1">IFERROR(VALUE(IF(VLOOKUP($A43,数出表_Excel!$A$6:$T$150,COLUMN()/2+1,FALSE)=0,"",VLOOKUP($A43,数出表_Excel!$A$6:$T$150,COLUMN()/2+1,FALSE))),"")</f>
        <v/>
      </c>
      <c r="AE43" s="142"/>
      <c r="AF43" s="146" t="str">
        <f ca="1">IFERROR(VALUE(IF(VLOOKUP($A43,数出表_Excel!$A$6:$T$150,COLUMN()/2+1,FALSE)=0,"",VLOOKUP($A43,数出表_Excel!$A$6:$T$150,COLUMN()/2+1,FALSE))),"")</f>
        <v/>
      </c>
      <c r="AG43" s="142"/>
      <c r="AH43" s="146" t="str">
        <f ca="1">IFERROR(VALUE(IF(VLOOKUP($A43,数出表_Excel!$A$6:$T$150,COLUMN()/2+1,FALSE)=0,"",VLOOKUP($A43,数出表_Excel!$A$6:$T$150,COLUMN()/2+1,FALSE))),"")</f>
        <v/>
      </c>
      <c r="AI43" s="209"/>
      <c r="AJ43" s="147" t="str">
        <f ca="1">IFERROR(VALUE(IF(VLOOKUP($A43,数出表_Excel!$A$6:$T$150,COLUMN()/2+1,FALSE)=0,"",VLOOKUP($A43,数出表_Excel!$A$6:$T$150,COLUMN()/2+1,FALSE))),"")</f>
        <v/>
      </c>
      <c r="AK43" s="142"/>
      <c r="AL43" s="148" t="e">
        <f ca="1">IF(A43&lt;&gt;"",
IF(VLOOKUP($A43,数出表_Excel!$A$6:$T$150,COLUMN()/2+1,FALSE)=0,"",VLOOKUP($A43,数出表_Excel!$A$6:$T$150,COLUMN()/2+1,FALSE)),"")</f>
        <v>#N/A</v>
      </c>
      <c r="AM43" s="263">
        <f>数出表_Excel!V43</f>
        <v>0</v>
      </c>
      <c r="AN43" s="264">
        <f>数出表_Excel!W43</f>
        <v>0</v>
      </c>
    </row>
    <row r="44" spans="1:40" ht="16.2" customHeight="1" x14ac:dyDescent="0.45">
      <c r="A44" s="219" t="str">
        <f t="array" aca="1" ref="A44" ca="1">IF(OR(COUNTIF(A42,"*10002*"),COUNTIF(A42,"")),"",INDEX(貼り付け用!$A:$A,MATCH(A42,貼り付け用!$A:$A,0)+2,0))</f>
        <v>607</v>
      </c>
      <c r="B44" s="204" t="str">
        <f ca="1">IFERROR(VALUE(IF(VLOOKUP($A44,数出表_Excel!$A$6:$T$150,COLUMN()/2+1,FALSE)=0,"",VLOOKUP($A44,数出表_Excel!$A$6:$T$150,COLUMN()/2+1,FALSE))),"")</f>
        <v/>
      </c>
      <c r="C44" s="141"/>
      <c r="D44" s="204" t="str">
        <f ca="1">IFERROR(VALUE(IF(VLOOKUP($A44,数出表_Excel!$A$6:$T$150,COLUMN()/2+1,FALSE)=0,"",VLOOKUP($A44,数出表_Excel!$A$6:$T$150,COLUMN()/2+1,FALSE))),"")</f>
        <v/>
      </c>
      <c r="E44" s="141"/>
      <c r="F44" s="207" t="str">
        <f ca="1">IFERROR(VALUE(IF(VLOOKUP($A44,数出表_Excel!$A$6:$T$150,COLUMN()/2+1,FALSE)=0,"",VLOOKUP($A44,数出表_Excel!$A$6:$T$150,COLUMN()/2+1,FALSE))),"")</f>
        <v/>
      </c>
      <c r="G44" s="141"/>
      <c r="H44" s="204" t="str">
        <f ca="1">IFERROR(VALUE(IF(VLOOKUP($A44,数出表_Excel!$A$6:$T$150,COLUMN()/2+1,FALSE)=0,"",VLOOKUP($A44,数出表_Excel!$A$6:$T$150,COLUMN()/2+1,FALSE))),"")</f>
        <v/>
      </c>
      <c r="I44" s="141"/>
      <c r="J44" s="204" t="str">
        <f ca="1">IFERROR(VALUE(IF(VLOOKUP($A44,数出表_Excel!$A$6:$T$150,COLUMN()/2+1,FALSE)=0,"",VLOOKUP($A44,数出表_Excel!$A$6:$T$150,COLUMN()/2+1,FALSE))),"")</f>
        <v/>
      </c>
      <c r="K44" s="208"/>
      <c r="L44" s="205" t="str">
        <f ca="1">IFERROR(VALUE(IF(VLOOKUP($A44,数出表_Excel!$A$6:$T$150,COLUMN()/2+1,FALSE)=0,"",VLOOKUP($A44,数出表_Excel!$A$6:$T$150,COLUMN()/2+1,FALSE))),"")</f>
        <v/>
      </c>
      <c r="M44" s="141"/>
      <c r="N44" s="204" t="str">
        <f ca="1">IFERROR(VALUE(IF(VLOOKUP($A44,数出表_Excel!$A$6:$T$150,COLUMN()/2+1,FALSE)=0,"",VLOOKUP($A44,数出表_Excel!$A$6:$T$150,COLUMN()/2+1,FALSE))),"")</f>
        <v/>
      </c>
      <c r="O44" s="141"/>
      <c r="P44" s="204" t="str">
        <f ca="1">IFERROR(VALUE(IF(VLOOKUP($A44,数出表_Excel!$A$6:$T$150,COLUMN()/2+1,FALSE)=0,"",VLOOKUP($A44,数出表_Excel!$A$6:$T$150,COLUMN()/2+1,FALSE))),"")</f>
        <v/>
      </c>
      <c r="Q44" s="141"/>
      <c r="R44" s="204" t="str">
        <f ca="1">IFERROR(VALUE(IF(VLOOKUP($A44,数出表_Excel!$A$6:$T$150,COLUMN()/2+1,FALSE)=0,"",VLOOKUP($A44,数出表_Excel!$A$6:$T$150,COLUMN()/2+1,FALSE))),"")</f>
        <v/>
      </c>
      <c r="S44" s="141"/>
      <c r="T44" s="204" t="str">
        <f ca="1">IFERROR(VALUE(IF(VLOOKUP($A44,数出表_Excel!$A$6:$T$150,COLUMN()/2+1,FALSE)=0,"",VLOOKUP($A44,数出表_Excel!$A$6:$T$150,COLUMN()/2+1,FALSE))),"")</f>
        <v/>
      </c>
      <c r="U44" s="141"/>
      <c r="V44" s="207" t="str">
        <f ca="1">IFERROR(VALUE(IF(VLOOKUP($A44,数出表_Excel!$A$6:$T$150,COLUMN()/2+1,FALSE)=0,"",VLOOKUP($A44,数出表_Excel!$A$6:$T$150,COLUMN()/2+1,FALSE))),"")</f>
        <v/>
      </c>
      <c r="W44" s="141"/>
      <c r="X44" s="207" t="str">
        <f ca="1">IFERROR(VALUE(IF(VLOOKUP($A44,数出表_Excel!$A$6:$T$150,COLUMN()/2+1,FALSE)=0,"",VLOOKUP($A44,数出表_Excel!$A$6:$T$150,COLUMN()/2+1,FALSE))),"")</f>
        <v/>
      </c>
      <c r="Y44" s="141"/>
      <c r="Z44" s="207" t="str">
        <f ca="1">IFERROR(VALUE(IF(VLOOKUP($A44,数出表_Excel!$A$6:$T$150,COLUMN()/2+1,FALSE)=0,"",VLOOKUP($A44,数出表_Excel!$A$6:$T$150,COLUMN()/2+1,FALSE))),"")</f>
        <v/>
      </c>
      <c r="AA44" s="208"/>
      <c r="AB44" s="205" t="str">
        <f ca="1">IFERROR(VALUE(IF(VLOOKUP($A44,数出表_Excel!$A$6:$T$150,COLUMN()/2+1,FALSE)=0,"",VLOOKUP($A44,数出表_Excel!$A$6:$T$150,COLUMN()/2+1,FALSE))),"")</f>
        <v/>
      </c>
      <c r="AC44" s="141"/>
      <c r="AD44" s="207" t="str">
        <f ca="1">IFERROR(VALUE(IF(VLOOKUP($A44,数出表_Excel!$A$6:$T$150,COLUMN()/2+1,FALSE)=0,"",VLOOKUP($A44,数出表_Excel!$A$6:$T$150,COLUMN()/2+1,FALSE))),"")</f>
        <v/>
      </c>
      <c r="AE44" s="141"/>
      <c r="AF44" s="207" t="str">
        <f ca="1">IFERROR(VALUE(IF(VLOOKUP($A44,数出表_Excel!$A$6:$T$150,COLUMN()/2+1,FALSE)=0,"",VLOOKUP($A44,数出表_Excel!$A$6:$T$150,COLUMN()/2+1,FALSE))),"")</f>
        <v/>
      </c>
      <c r="AG44" s="141"/>
      <c r="AH44" s="207" t="str">
        <f ca="1">IFERROR(VALUE(IF(VLOOKUP($A44,数出表_Excel!$A$6:$T$150,COLUMN()/2+1,FALSE)=0,"",VLOOKUP($A44,数出表_Excel!$A$6:$T$150,COLUMN()/2+1,FALSE))),"")</f>
        <v/>
      </c>
      <c r="AI44" s="208"/>
      <c r="AJ44" s="205" t="str">
        <f ca="1">IFERROR(VALUE(IF(VLOOKUP($A44,数出表_Excel!$A$6:$T$150,COLUMN()/2+1,FALSE)=0,"",VLOOKUP($A44,数出表_Excel!$A$6:$T$150,COLUMN()/2+1,FALSE))),"")</f>
        <v/>
      </c>
      <c r="AK44" s="141"/>
      <c r="AL44" s="145" t="e">
        <f ca="1">IF(A44&lt;&gt;"",
IF(VLOOKUP($A44,数出表_Excel!$A$6:$T$150,COLUMN()/2+1,FALSE)=0,"",VLOOKUP($A44,数出表_Excel!$A$6:$T$150,COLUMN()/2+1,FALSE)),"")</f>
        <v>#N/A</v>
      </c>
      <c r="AM44" s="261">
        <f>数出表_Excel!V44</f>
        <v>0</v>
      </c>
      <c r="AN44" s="262">
        <f>数出表_Excel!W44</f>
        <v>0</v>
      </c>
    </row>
    <row r="45" spans="1:40" ht="16.2" customHeight="1" x14ac:dyDescent="0.45">
      <c r="A45" s="220" t="str">
        <f t="array" aca="1" ref="A45" ca="1">IF(OR(COUNTIF(A43,"*1000*"),COUNTIF(A43,"")),"",INDEX(貼り付け用!$A:$A,MATCH(A43,貼り付け用!$A:$A,0)+2,0))</f>
        <v>博多第一幼稚園（補助教員）</v>
      </c>
      <c r="B45" s="142" t="str">
        <f ca="1">IFERROR(VALUE(IF(VLOOKUP($A45,数出表_Excel!$A$6:$T$150,COLUMN()/2+1,FALSE)=0,"",VLOOKUP($A45,数出表_Excel!$A$6:$T$150,COLUMN()/2+1,FALSE))),"")</f>
        <v/>
      </c>
      <c r="C45" s="142"/>
      <c r="D45" s="142" t="str">
        <f ca="1">IFERROR(VALUE(IF(VLOOKUP($A45,数出表_Excel!$A$6:$T$150,COLUMN()/2+1,FALSE)=0,"",VLOOKUP($A45,数出表_Excel!$A$6:$T$150,COLUMN()/2+1,FALSE))),"")</f>
        <v/>
      </c>
      <c r="E45" s="142"/>
      <c r="F45" s="146" t="str">
        <f ca="1">IFERROR(VALUE(IF(VLOOKUP($A45,数出表_Excel!$A$6:$T$150,COLUMN()/2+1,FALSE)=0,"",VLOOKUP($A45,数出表_Excel!$A$6:$T$150,COLUMN()/2+1,FALSE))),"")</f>
        <v/>
      </c>
      <c r="G45" s="142"/>
      <c r="H45" s="142" t="str">
        <f ca="1">IFERROR(VALUE(IF(VLOOKUP($A45,数出表_Excel!$A$6:$T$150,COLUMN()/2+1,FALSE)=0,"",VLOOKUP($A45,数出表_Excel!$A$6:$T$150,COLUMN()/2+1,FALSE))),"")</f>
        <v/>
      </c>
      <c r="I45" s="142"/>
      <c r="J45" s="142" t="str">
        <f ca="1">IFERROR(VALUE(IF(VLOOKUP($A45,数出表_Excel!$A$6:$T$150,COLUMN()/2+1,FALSE)=0,"",VLOOKUP($A45,数出表_Excel!$A$6:$T$150,COLUMN()/2+1,FALSE))),"")</f>
        <v/>
      </c>
      <c r="K45" s="209"/>
      <c r="L45" s="147" t="str">
        <f ca="1">IFERROR(VALUE(IF(VLOOKUP($A45,数出表_Excel!$A$6:$T$150,COLUMN()/2+1,FALSE)=0,"",VLOOKUP($A45,数出表_Excel!$A$6:$T$150,COLUMN()/2+1,FALSE))),"")</f>
        <v/>
      </c>
      <c r="M45" s="142"/>
      <c r="N45" s="142" t="str">
        <f ca="1">IFERROR(VALUE(IF(VLOOKUP($A45,数出表_Excel!$A$6:$T$150,COLUMN()/2+1,FALSE)=0,"",VLOOKUP($A45,数出表_Excel!$A$6:$T$150,COLUMN()/2+1,FALSE))),"")</f>
        <v/>
      </c>
      <c r="O45" s="142"/>
      <c r="P45" s="142" t="str">
        <f ca="1">IFERROR(VALUE(IF(VLOOKUP($A45,数出表_Excel!$A$6:$T$150,COLUMN()/2+1,FALSE)=0,"",VLOOKUP($A45,数出表_Excel!$A$6:$T$150,COLUMN()/2+1,FALSE))),"")</f>
        <v/>
      </c>
      <c r="Q45" s="142"/>
      <c r="R45" s="142" t="str">
        <f ca="1">IFERROR(VALUE(IF(VLOOKUP($A45,数出表_Excel!$A$6:$T$150,COLUMN()/2+1,FALSE)=0,"",VLOOKUP($A45,数出表_Excel!$A$6:$T$150,COLUMN()/2+1,FALSE))),"")</f>
        <v/>
      </c>
      <c r="S45" s="142"/>
      <c r="T45" s="142" t="str">
        <f ca="1">IFERROR(VALUE(IF(VLOOKUP($A45,数出表_Excel!$A$6:$T$150,COLUMN()/2+1,FALSE)=0,"",VLOOKUP($A45,数出表_Excel!$A$6:$T$150,COLUMN()/2+1,FALSE))),"")</f>
        <v/>
      </c>
      <c r="U45" s="142"/>
      <c r="V45" s="146" t="str">
        <f ca="1">IFERROR(VALUE(IF(VLOOKUP($A45,数出表_Excel!$A$6:$T$150,COLUMN()/2+1,FALSE)=0,"",VLOOKUP($A45,数出表_Excel!$A$6:$T$150,COLUMN()/2+1,FALSE))),"")</f>
        <v/>
      </c>
      <c r="W45" s="142"/>
      <c r="X45" s="146" t="str">
        <f ca="1">IFERROR(VALUE(IF(VLOOKUP($A45,数出表_Excel!$A$6:$T$150,COLUMN()/2+1,FALSE)=0,"",VLOOKUP($A45,数出表_Excel!$A$6:$T$150,COLUMN()/2+1,FALSE))),"")</f>
        <v/>
      </c>
      <c r="Y45" s="142"/>
      <c r="Z45" s="146" t="str">
        <f ca="1">IFERROR(VALUE(IF(VLOOKUP($A45,数出表_Excel!$A$6:$T$150,COLUMN()/2+1,FALSE)=0,"",VLOOKUP($A45,数出表_Excel!$A$6:$T$150,COLUMN()/2+1,FALSE))),"")</f>
        <v/>
      </c>
      <c r="AA45" s="209"/>
      <c r="AB45" s="147" t="str">
        <f ca="1">IFERROR(VALUE(IF(VLOOKUP($A45,数出表_Excel!$A$6:$T$150,COLUMN()/2+1,FALSE)=0,"",VLOOKUP($A45,数出表_Excel!$A$6:$T$150,COLUMN()/2+1,FALSE))),"")</f>
        <v/>
      </c>
      <c r="AC45" s="142"/>
      <c r="AD45" s="146" t="str">
        <f ca="1">IFERROR(VALUE(IF(VLOOKUP($A45,数出表_Excel!$A$6:$T$150,COLUMN()/2+1,FALSE)=0,"",VLOOKUP($A45,数出表_Excel!$A$6:$T$150,COLUMN()/2+1,FALSE))),"")</f>
        <v/>
      </c>
      <c r="AE45" s="142"/>
      <c r="AF45" s="146" t="str">
        <f ca="1">IFERROR(VALUE(IF(VLOOKUP($A45,数出表_Excel!$A$6:$T$150,COLUMN()/2+1,FALSE)=0,"",VLOOKUP($A45,数出表_Excel!$A$6:$T$150,COLUMN()/2+1,FALSE))),"")</f>
        <v/>
      </c>
      <c r="AG45" s="142"/>
      <c r="AH45" s="146" t="str">
        <f ca="1">IFERROR(VALUE(IF(VLOOKUP($A45,数出表_Excel!$A$6:$T$150,COLUMN()/2+1,FALSE)=0,"",VLOOKUP($A45,数出表_Excel!$A$6:$T$150,COLUMN()/2+1,FALSE))),"")</f>
        <v/>
      </c>
      <c r="AI45" s="209"/>
      <c r="AJ45" s="147" t="str">
        <f ca="1">IFERROR(VALUE(IF(VLOOKUP($A45,数出表_Excel!$A$6:$T$150,COLUMN()/2+1,FALSE)=0,"",VLOOKUP($A45,数出表_Excel!$A$6:$T$150,COLUMN()/2+1,FALSE))),"")</f>
        <v/>
      </c>
      <c r="AK45" s="142"/>
      <c r="AL45" s="148" t="e">
        <f ca="1">IF(A45&lt;&gt;"",
IF(VLOOKUP($A45,数出表_Excel!$A$6:$T$150,COLUMN()/2+1,FALSE)=0,"",VLOOKUP($A45,数出表_Excel!$A$6:$T$150,COLUMN()/2+1,FALSE)),"")</f>
        <v>#N/A</v>
      </c>
      <c r="AM45" s="263">
        <f>数出表_Excel!V45</f>
        <v>0</v>
      </c>
      <c r="AN45" s="264">
        <f>数出表_Excel!W45</f>
        <v>0</v>
      </c>
    </row>
    <row r="46" spans="1:40" ht="16.2" customHeight="1" x14ac:dyDescent="0.45">
      <c r="A46" s="219" t="str">
        <f t="array" aca="1" ref="A46" ca="1">IF(OR(COUNTIF(A44,"*10002*"),COUNTIF(A44,"")),"",INDEX(貼り付け用!$A:$A,MATCH(A44,貼り付け用!$A:$A,0)+2,0))</f>
        <v>700</v>
      </c>
      <c r="B46" s="204" t="str">
        <f ca="1">IFERROR(VALUE(IF(VLOOKUP($A46,数出表_Excel!$A$6:$T$150,COLUMN()/2+1,FALSE)=0,"",VLOOKUP($A46,数出表_Excel!$A$6:$T$150,COLUMN()/2+1,FALSE))),"")</f>
        <v/>
      </c>
      <c r="C46" s="141"/>
      <c r="D46" s="204" t="str">
        <f ca="1">IFERROR(VALUE(IF(VLOOKUP($A46,数出表_Excel!$A$6:$T$150,COLUMN()/2+1,FALSE)=0,"",VLOOKUP($A46,数出表_Excel!$A$6:$T$150,COLUMN()/2+1,FALSE))),"")</f>
        <v/>
      </c>
      <c r="E46" s="141"/>
      <c r="F46" s="207" t="str">
        <f ca="1">IFERROR(VALUE(IF(VLOOKUP($A46,数出表_Excel!$A$6:$T$150,COLUMN()/2+1,FALSE)=0,"",VLOOKUP($A46,数出表_Excel!$A$6:$T$150,COLUMN()/2+1,FALSE))),"")</f>
        <v/>
      </c>
      <c r="G46" s="141">
        <v>1</v>
      </c>
      <c r="H46" s="204" t="str">
        <f ca="1">IFERROR(VALUE(IF(VLOOKUP($A46,数出表_Excel!$A$6:$T$150,COLUMN()/2+1,FALSE)=0,"",VLOOKUP($A46,数出表_Excel!$A$6:$T$150,COLUMN()/2+1,FALSE))),"")</f>
        <v/>
      </c>
      <c r="I46" s="141"/>
      <c r="J46" s="204" t="str">
        <f ca="1">IFERROR(VALUE(IF(VLOOKUP($A46,数出表_Excel!$A$6:$T$150,COLUMN()/2+1,FALSE)=0,"",VLOOKUP($A46,数出表_Excel!$A$6:$T$150,COLUMN()/2+1,FALSE))),"")</f>
        <v/>
      </c>
      <c r="K46" s="208"/>
      <c r="L46" s="205" t="str">
        <f ca="1">IFERROR(VALUE(IF(VLOOKUP($A46,数出表_Excel!$A$6:$T$150,COLUMN()/2+1,FALSE)=0,"",VLOOKUP($A46,数出表_Excel!$A$6:$T$150,COLUMN()/2+1,FALSE))),"")</f>
        <v/>
      </c>
      <c r="M46" s="141"/>
      <c r="N46" s="204" t="str">
        <f ca="1">IFERROR(VALUE(IF(VLOOKUP($A46,数出表_Excel!$A$6:$T$150,COLUMN()/2+1,FALSE)=0,"",VLOOKUP($A46,数出表_Excel!$A$6:$T$150,COLUMN()/2+1,FALSE))),"")</f>
        <v/>
      </c>
      <c r="O46" s="141"/>
      <c r="P46" s="204" t="str">
        <f ca="1">IFERROR(VALUE(IF(VLOOKUP($A46,数出表_Excel!$A$6:$T$150,COLUMN()/2+1,FALSE)=0,"",VLOOKUP($A46,数出表_Excel!$A$6:$T$150,COLUMN()/2+1,FALSE))),"")</f>
        <v/>
      </c>
      <c r="Q46" s="141"/>
      <c r="R46" s="204" t="str">
        <f ca="1">IFERROR(VALUE(IF(VLOOKUP($A46,数出表_Excel!$A$6:$T$150,COLUMN()/2+1,FALSE)=0,"",VLOOKUP($A46,数出表_Excel!$A$6:$T$150,COLUMN()/2+1,FALSE))),"")</f>
        <v/>
      </c>
      <c r="S46" s="141"/>
      <c r="T46" s="204" t="str">
        <f ca="1">IFERROR(VALUE(IF(VLOOKUP($A46,数出表_Excel!$A$6:$T$150,COLUMN()/2+1,FALSE)=0,"",VLOOKUP($A46,数出表_Excel!$A$6:$T$150,COLUMN()/2+1,FALSE))),"")</f>
        <v/>
      </c>
      <c r="U46" s="141"/>
      <c r="V46" s="207" t="str">
        <f ca="1">IFERROR(VALUE(IF(VLOOKUP($A46,数出表_Excel!$A$6:$T$150,COLUMN()/2+1,FALSE)=0,"",VLOOKUP($A46,数出表_Excel!$A$6:$T$150,COLUMN()/2+1,FALSE))),"")</f>
        <v/>
      </c>
      <c r="W46" s="141"/>
      <c r="X46" s="207" t="str">
        <f ca="1">IFERROR(VALUE(IF(VLOOKUP($A46,数出表_Excel!$A$6:$T$150,COLUMN()/2+1,FALSE)=0,"",VLOOKUP($A46,数出表_Excel!$A$6:$T$150,COLUMN()/2+1,FALSE))),"")</f>
        <v/>
      </c>
      <c r="Y46" s="141"/>
      <c r="Z46" s="207" t="str">
        <f ca="1">IFERROR(VALUE(IF(VLOOKUP($A46,数出表_Excel!$A$6:$T$150,COLUMN()/2+1,FALSE)=0,"",VLOOKUP($A46,数出表_Excel!$A$6:$T$150,COLUMN()/2+1,FALSE))),"")</f>
        <v/>
      </c>
      <c r="AA46" s="208"/>
      <c r="AB46" s="205" t="str">
        <f ca="1">IFERROR(VALUE(IF(VLOOKUP($A46,数出表_Excel!$A$6:$T$150,COLUMN()/2+1,FALSE)=0,"",VLOOKUP($A46,数出表_Excel!$A$6:$T$150,COLUMN()/2+1,FALSE))),"")</f>
        <v/>
      </c>
      <c r="AC46" s="141"/>
      <c r="AD46" s="207" t="str">
        <f ca="1">IFERROR(VALUE(IF(VLOOKUP($A46,数出表_Excel!$A$6:$T$150,COLUMN()/2+1,FALSE)=0,"",VLOOKUP($A46,数出表_Excel!$A$6:$T$150,COLUMN()/2+1,FALSE))),"")</f>
        <v/>
      </c>
      <c r="AE46" s="141"/>
      <c r="AF46" s="207" t="str">
        <f ca="1">IFERROR(VALUE(IF(VLOOKUP($A46,数出表_Excel!$A$6:$T$150,COLUMN()/2+1,FALSE)=0,"",VLOOKUP($A46,数出表_Excel!$A$6:$T$150,COLUMN()/2+1,FALSE))),"")</f>
        <v/>
      </c>
      <c r="AG46" s="141"/>
      <c r="AH46" s="207" t="str">
        <f ca="1">IFERROR(VALUE(IF(VLOOKUP($A46,数出表_Excel!$A$6:$T$150,COLUMN()/2+1,FALSE)=0,"",VLOOKUP($A46,数出表_Excel!$A$6:$T$150,COLUMN()/2+1,FALSE))),"")</f>
        <v/>
      </c>
      <c r="AI46" s="208"/>
      <c r="AJ46" s="205" t="str">
        <f ca="1">IFERROR(VALUE(IF(VLOOKUP($A46,数出表_Excel!$A$6:$T$150,COLUMN()/2+1,FALSE)=0,"",VLOOKUP($A46,数出表_Excel!$A$6:$T$150,COLUMN()/2+1,FALSE))),"")</f>
        <v/>
      </c>
      <c r="AK46" s="141"/>
      <c r="AL46" s="145" t="e">
        <f ca="1">IF(A46&lt;&gt;"",
IF(VLOOKUP($A46,数出表_Excel!$A$6:$T$150,COLUMN()/2+1,FALSE)=0,"",VLOOKUP($A46,数出表_Excel!$A$6:$T$150,COLUMN()/2+1,FALSE)),"")</f>
        <v>#N/A</v>
      </c>
      <c r="AM46" s="261">
        <f>数出表_Excel!V46</f>
        <v>0</v>
      </c>
      <c r="AN46" s="262">
        <f>数出表_Excel!W46</f>
        <v>0</v>
      </c>
    </row>
    <row r="47" spans="1:40" ht="16.2" customHeight="1" x14ac:dyDescent="0.45">
      <c r="A47" s="220" t="str">
        <f t="array" aca="1" ref="A47" ca="1">IF(OR(COUNTIF(A45,"*1000*"),COUNTIF(A45,"")),"",INDEX(貼り付け用!$A:$A,MATCH(A45,貼り付け用!$A:$A,0)+2,0))</f>
        <v>博多第二幼稚園 週3ｺｰｽ</v>
      </c>
      <c r="B47" s="142" t="str">
        <f ca="1">IFERROR(VALUE(IF(VLOOKUP($A47,数出表_Excel!$A$6:$T$150,COLUMN()/2+1,FALSE)=0,"",VLOOKUP($A47,数出表_Excel!$A$6:$T$150,COLUMN()/2+1,FALSE))),"")</f>
        <v/>
      </c>
      <c r="C47" s="142"/>
      <c r="D47" s="142" t="str">
        <f ca="1">IFERROR(VALUE(IF(VLOOKUP($A47,数出表_Excel!$A$6:$T$150,COLUMN()/2+1,FALSE)=0,"",VLOOKUP($A47,数出表_Excel!$A$6:$T$150,COLUMN()/2+1,FALSE))),"")</f>
        <v/>
      </c>
      <c r="E47" s="142"/>
      <c r="F47" s="146" t="str">
        <f ca="1">IFERROR(VALUE(IF(VLOOKUP($A47,数出表_Excel!$A$6:$T$150,COLUMN()/2+1,FALSE)=0,"",VLOOKUP($A47,数出表_Excel!$A$6:$T$150,COLUMN()/2+1,FALSE))),"")</f>
        <v/>
      </c>
      <c r="G47" s="142"/>
      <c r="H47" s="142" t="str">
        <f ca="1">IFERROR(VALUE(IF(VLOOKUP($A47,数出表_Excel!$A$6:$T$150,COLUMN()/2+1,FALSE)=0,"",VLOOKUP($A47,数出表_Excel!$A$6:$T$150,COLUMN()/2+1,FALSE))),"")</f>
        <v/>
      </c>
      <c r="I47" s="142"/>
      <c r="J47" s="142" t="str">
        <f ca="1">IFERROR(VALUE(IF(VLOOKUP($A47,数出表_Excel!$A$6:$T$150,COLUMN()/2+1,FALSE)=0,"",VLOOKUP($A47,数出表_Excel!$A$6:$T$150,COLUMN()/2+1,FALSE))),"")</f>
        <v/>
      </c>
      <c r="K47" s="209"/>
      <c r="L47" s="147" t="str">
        <f ca="1">IFERROR(VALUE(IF(VLOOKUP($A47,数出表_Excel!$A$6:$T$150,COLUMN()/2+1,FALSE)=0,"",VLOOKUP($A47,数出表_Excel!$A$6:$T$150,COLUMN()/2+1,FALSE))),"")</f>
        <v/>
      </c>
      <c r="M47" s="142"/>
      <c r="N47" s="142" t="str">
        <f ca="1">IFERROR(VALUE(IF(VLOOKUP($A47,数出表_Excel!$A$6:$T$150,COLUMN()/2+1,FALSE)=0,"",VLOOKUP($A47,数出表_Excel!$A$6:$T$150,COLUMN()/2+1,FALSE))),"")</f>
        <v/>
      </c>
      <c r="O47" s="142"/>
      <c r="P47" s="142" t="str">
        <f ca="1">IFERROR(VALUE(IF(VLOOKUP($A47,数出表_Excel!$A$6:$T$150,COLUMN()/2+1,FALSE)=0,"",VLOOKUP($A47,数出表_Excel!$A$6:$T$150,COLUMN()/2+1,FALSE))),"")</f>
        <v/>
      </c>
      <c r="Q47" s="142"/>
      <c r="R47" s="142" t="str">
        <f ca="1">IFERROR(VALUE(IF(VLOOKUP($A47,数出表_Excel!$A$6:$T$150,COLUMN()/2+1,FALSE)=0,"",VLOOKUP($A47,数出表_Excel!$A$6:$T$150,COLUMN()/2+1,FALSE))),"")</f>
        <v/>
      </c>
      <c r="S47" s="142"/>
      <c r="T47" s="142" t="str">
        <f ca="1">IFERROR(VALUE(IF(VLOOKUP($A47,数出表_Excel!$A$6:$T$150,COLUMN()/2+1,FALSE)=0,"",VLOOKUP($A47,数出表_Excel!$A$6:$T$150,COLUMN()/2+1,FALSE))),"")</f>
        <v/>
      </c>
      <c r="U47" s="142"/>
      <c r="V47" s="146" t="str">
        <f ca="1">IFERROR(VALUE(IF(VLOOKUP($A47,数出表_Excel!$A$6:$T$150,COLUMN()/2+1,FALSE)=0,"",VLOOKUP($A47,数出表_Excel!$A$6:$T$150,COLUMN()/2+1,FALSE))),"")</f>
        <v/>
      </c>
      <c r="W47" s="142"/>
      <c r="X47" s="146" t="str">
        <f ca="1">IFERROR(VALUE(IF(VLOOKUP($A47,数出表_Excel!$A$6:$T$150,COLUMN()/2+1,FALSE)=0,"",VLOOKUP($A47,数出表_Excel!$A$6:$T$150,COLUMN()/2+1,FALSE))),"")</f>
        <v/>
      </c>
      <c r="Y47" s="142"/>
      <c r="Z47" s="146" t="str">
        <f ca="1">IFERROR(VALUE(IF(VLOOKUP($A47,数出表_Excel!$A$6:$T$150,COLUMN()/2+1,FALSE)=0,"",VLOOKUP($A47,数出表_Excel!$A$6:$T$150,COLUMN()/2+1,FALSE))),"")</f>
        <v/>
      </c>
      <c r="AA47" s="209"/>
      <c r="AB47" s="147" t="str">
        <f ca="1">IFERROR(VALUE(IF(VLOOKUP($A47,数出表_Excel!$A$6:$T$150,COLUMN()/2+1,FALSE)=0,"",VLOOKUP($A47,数出表_Excel!$A$6:$T$150,COLUMN()/2+1,FALSE))),"")</f>
        <v/>
      </c>
      <c r="AC47" s="142"/>
      <c r="AD47" s="146" t="str">
        <f ca="1">IFERROR(VALUE(IF(VLOOKUP($A47,数出表_Excel!$A$6:$T$150,COLUMN()/2+1,FALSE)=0,"",VLOOKUP($A47,数出表_Excel!$A$6:$T$150,COLUMN()/2+1,FALSE))),"")</f>
        <v/>
      </c>
      <c r="AE47" s="142"/>
      <c r="AF47" s="146" t="str">
        <f ca="1">IFERROR(VALUE(IF(VLOOKUP($A47,数出表_Excel!$A$6:$T$150,COLUMN()/2+1,FALSE)=0,"",VLOOKUP($A47,数出表_Excel!$A$6:$T$150,COLUMN()/2+1,FALSE))),"")</f>
        <v/>
      </c>
      <c r="AG47" s="142"/>
      <c r="AH47" s="146" t="str">
        <f ca="1">IFERROR(VALUE(IF(VLOOKUP($A47,数出表_Excel!$A$6:$T$150,COLUMN()/2+1,FALSE)=0,"",VLOOKUP($A47,数出表_Excel!$A$6:$T$150,COLUMN()/2+1,FALSE))),"")</f>
        <v/>
      </c>
      <c r="AI47" s="209"/>
      <c r="AJ47" s="147" t="str">
        <f ca="1">IFERROR(VALUE(IF(VLOOKUP($A47,数出表_Excel!$A$6:$T$150,COLUMN()/2+1,FALSE)=0,"",VLOOKUP($A47,数出表_Excel!$A$6:$T$150,COLUMN()/2+1,FALSE))),"")</f>
        <v/>
      </c>
      <c r="AK47" s="142"/>
      <c r="AL47" s="148" t="e">
        <f ca="1">IF(A47&lt;&gt;"",
IF(VLOOKUP($A47,数出表_Excel!$A$6:$T$150,COLUMN()/2+1,FALSE)=0,"",VLOOKUP($A47,数出表_Excel!$A$6:$T$150,COLUMN()/2+1,FALSE)),"")</f>
        <v>#N/A</v>
      </c>
      <c r="AM47" s="263">
        <f>数出表_Excel!V47</f>
        <v>0</v>
      </c>
      <c r="AN47" s="264">
        <f>数出表_Excel!W47</f>
        <v>0</v>
      </c>
    </row>
    <row r="48" spans="1:40" ht="16.2" customHeight="1" x14ac:dyDescent="0.45">
      <c r="A48" s="219" t="str">
        <f t="array" aca="1" ref="A48" ca="1">IF(OR(COUNTIF(A46,"*10002*"),COUNTIF(A46,"")),"",INDEX(貼り付け用!$A:$A,MATCH(A46,貼り付け用!$A:$A,0)+2,0))</f>
        <v>706</v>
      </c>
      <c r="B48" s="204" t="str">
        <f ca="1">IFERROR(VALUE(IF(VLOOKUP($A48,数出表_Excel!$A$6:$T$150,COLUMN()/2+1,FALSE)=0,"",VLOOKUP($A48,数出表_Excel!$A$6:$T$150,COLUMN()/2+1,FALSE))),"")</f>
        <v/>
      </c>
      <c r="C48" s="141"/>
      <c r="D48" s="204" t="str">
        <f ca="1">IFERROR(VALUE(IF(VLOOKUP($A48,数出表_Excel!$A$6:$T$150,COLUMN()/2+1,FALSE)=0,"",VLOOKUP($A48,数出表_Excel!$A$6:$T$150,COLUMN()/2+1,FALSE))),"")</f>
        <v/>
      </c>
      <c r="E48" s="141"/>
      <c r="F48" s="207" t="str">
        <f ca="1">IFERROR(VALUE(IF(VLOOKUP($A48,数出表_Excel!$A$6:$T$150,COLUMN()/2+1,FALSE)=0,"",VLOOKUP($A48,数出表_Excel!$A$6:$T$150,COLUMN()/2+1,FALSE))),"")</f>
        <v/>
      </c>
      <c r="G48" s="141">
        <v>0</v>
      </c>
      <c r="H48" s="204" t="str">
        <f ca="1">IFERROR(VALUE(IF(VLOOKUP($A48,数出表_Excel!$A$6:$T$150,COLUMN()/2+1,FALSE)=0,"",VLOOKUP($A48,数出表_Excel!$A$6:$T$150,COLUMN()/2+1,FALSE))),"")</f>
        <v/>
      </c>
      <c r="I48" s="141"/>
      <c r="J48" s="204" t="str">
        <f ca="1">IFERROR(VALUE(IF(VLOOKUP($A48,数出表_Excel!$A$6:$T$150,COLUMN()/2+1,FALSE)=0,"",VLOOKUP($A48,数出表_Excel!$A$6:$T$150,COLUMN()/2+1,FALSE))),"")</f>
        <v/>
      </c>
      <c r="K48" s="208"/>
      <c r="L48" s="205" t="str">
        <f ca="1">IFERROR(VALUE(IF(VLOOKUP($A48,数出表_Excel!$A$6:$T$150,COLUMN()/2+1,FALSE)=0,"",VLOOKUP($A48,数出表_Excel!$A$6:$T$150,COLUMN()/2+1,FALSE))),"")</f>
        <v/>
      </c>
      <c r="M48" s="141"/>
      <c r="N48" s="204" t="str">
        <f ca="1">IFERROR(VALUE(IF(VLOOKUP($A48,数出表_Excel!$A$6:$T$150,COLUMN()/2+1,FALSE)=0,"",VLOOKUP($A48,数出表_Excel!$A$6:$T$150,COLUMN()/2+1,FALSE))),"")</f>
        <v/>
      </c>
      <c r="O48" s="141"/>
      <c r="P48" s="204" t="str">
        <f ca="1">IFERROR(VALUE(IF(VLOOKUP($A48,数出表_Excel!$A$6:$T$150,COLUMN()/2+1,FALSE)=0,"",VLOOKUP($A48,数出表_Excel!$A$6:$T$150,COLUMN()/2+1,FALSE))),"")</f>
        <v/>
      </c>
      <c r="Q48" s="141"/>
      <c r="R48" s="204" t="str">
        <f ca="1">IFERROR(VALUE(IF(VLOOKUP($A48,数出表_Excel!$A$6:$T$150,COLUMN()/2+1,FALSE)=0,"",VLOOKUP($A48,数出表_Excel!$A$6:$T$150,COLUMN()/2+1,FALSE))),"")</f>
        <v/>
      </c>
      <c r="S48" s="141"/>
      <c r="T48" s="204" t="str">
        <f ca="1">IFERROR(VALUE(IF(VLOOKUP($A48,数出表_Excel!$A$6:$T$150,COLUMN()/2+1,FALSE)=0,"",VLOOKUP($A48,数出表_Excel!$A$6:$T$150,COLUMN()/2+1,FALSE))),"")</f>
        <v/>
      </c>
      <c r="U48" s="141"/>
      <c r="V48" s="207" t="str">
        <f ca="1">IFERROR(VALUE(IF(VLOOKUP($A48,数出表_Excel!$A$6:$T$150,COLUMN()/2+1,FALSE)=0,"",VLOOKUP($A48,数出表_Excel!$A$6:$T$150,COLUMN()/2+1,FALSE))),"")</f>
        <v/>
      </c>
      <c r="W48" s="141"/>
      <c r="X48" s="207" t="str">
        <f ca="1">IFERROR(VALUE(IF(VLOOKUP($A48,数出表_Excel!$A$6:$T$150,COLUMN()/2+1,FALSE)=0,"",VLOOKUP($A48,数出表_Excel!$A$6:$T$150,COLUMN()/2+1,FALSE))),"")</f>
        <v/>
      </c>
      <c r="Y48" s="141"/>
      <c r="Z48" s="207" t="str">
        <f ca="1">IFERROR(VALUE(IF(VLOOKUP($A48,数出表_Excel!$A$6:$T$150,COLUMN()/2+1,FALSE)=0,"",VLOOKUP($A48,数出表_Excel!$A$6:$T$150,COLUMN()/2+1,FALSE))),"")</f>
        <v/>
      </c>
      <c r="AA48" s="208"/>
      <c r="AB48" s="205" t="str">
        <f ca="1">IFERROR(VALUE(IF(VLOOKUP($A48,数出表_Excel!$A$6:$T$150,COLUMN()/2+1,FALSE)=0,"",VLOOKUP($A48,数出表_Excel!$A$6:$T$150,COLUMN()/2+1,FALSE))),"")</f>
        <v/>
      </c>
      <c r="AC48" s="141"/>
      <c r="AD48" s="207" t="str">
        <f ca="1">IFERROR(VALUE(IF(VLOOKUP($A48,数出表_Excel!$A$6:$T$150,COLUMN()/2+1,FALSE)=0,"",VLOOKUP($A48,数出表_Excel!$A$6:$T$150,COLUMN()/2+1,FALSE))),"")</f>
        <v/>
      </c>
      <c r="AE48" s="141"/>
      <c r="AF48" s="207" t="str">
        <f ca="1">IFERROR(VALUE(IF(VLOOKUP($A48,数出表_Excel!$A$6:$T$150,COLUMN()/2+1,FALSE)=0,"",VLOOKUP($A48,数出表_Excel!$A$6:$T$150,COLUMN()/2+1,FALSE))),"")</f>
        <v/>
      </c>
      <c r="AG48" s="141"/>
      <c r="AH48" s="207" t="str">
        <f ca="1">IFERROR(VALUE(IF(VLOOKUP($A48,数出表_Excel!$A$6:$T$150,COLUMN()/2+1,FALSE)=0,"",VLOOKUP($A48,数出表_Excel!$A$6:$T$150,COLUMN()/2+1,FALSE))),"")</f>
        <v/>
      </c>
      <c r="AI48" s="208"/>
      <c r="AJ48" s="205" t="str">
        <f ca="1">IFERROR(VALUE(IF(VLOOKUP($A48,数出表_Excel!$A$6:$T$150,COLUMN()/2+1,FALSE)=0,"",VLOOKUP($A48,数出表_Excel!$A$6:$T$150,COLUMN()/2+1,FALSE))),"")</f>
        <v/>
      </c>
      <c r="AK48" s="141"/>
      <c r="AL48" s="145" t="e">
        <f ca="1">IF(A48&lt;&gt;"",
IF(VLOOKUP($A48,数出表_Excel!$A$6:$T$150,COLUMN()/2+1,FALSE)=0,"",VLOOKUP($A48,数出表_Excel!$A$6:$T$150,COLUMN()/2+1,FALSE)),"")</f>
        <v>#N/A</v>
      </c>
      <c r="AM48" s="261">
        <f>数出表_Excel!V48</f>
        <v>0</v>
      </c>
      <c r="AN48" s="262">
        <f>数出表_Excel!W48</f>
        <v>0</v>
      </c>
    </row>
    <row r="49" spans="1:40" ht="16.2" customHeight="1" x14ac:dyDescent="0.45">
      <c r="A49" s="220" t="str">
        <f t="array" aca="1" ref="A49" ca="1">IF(OR(COUNTIF(A47,"*1000*"),COUNTIF(A47,"")),"",INDEX(貼り付け用!$A:$A,MATCH(A47,貼り付け用!$A:$A,0)+2,0))</f>
        <v>博多第二幼稚園 週5ｺｰｽ</v>
      </c>
      <c r="B49" s="142" t="str">
        <f ca="1">IFERROR(VALUE(IF(VLOOKUP($A49,数出表_Excel!$A$6:$T$150,COLUMN()/2+1,FALSE)=0,"",VLOOKUP($A49,数出表_Excel!$A$6:$T$150,COLUMN()/2+1,FALSE))),"")</f>
        <v/>
      </c>
      <c r="C49" s="142"/>
      <c r="D49" s="142" t="str">
        <f ca="1">IFERROR(VALUE(IF(VLOOKUP($A49,数出表_Excel!$A$6:$T$150,COLUMN()/2+1,FALSE)=0,"",VLOOKUP($A49,数出表_Excel!$A$6:$T$150,COLUMN()/2+1,FALSE))),"")</f>
        <v/>
      </c>
      <c r="E49" s="142"/>
      <c r="F49" s="146" t="str">
        <f ca="1">IFERROR(VALUE(IF(VLOOKUP($A49,数出表_Excel!$A$6:$T$150,COLUMN()/2+1,FALSE)=0,"",VLOOKUP($A49,数出表_Excel!$A$6:$T$150,COLUMN()/2+1,FALSE))),"")</f>
        <v/>
      </c>
      <c r="G49" s="142"/>
      <c r="H49" s="142" t="str">
        <f ca="1">IFERROR(VALUE(IF(VLOOKUP($A49,数出表_Excel!$A$6:$T$150,COLUMN()/2+1,FALSE)=0,"",VLOOKUP($A49,数出表_Excel!$A$6:$T$150,COLUMN()/2+1,FALSE))),"")</f>
        <v/>
      </c>
      <c r="I49" s="142"/>
      <c r="J49" s="142" t="str">
        <f ca="1">IFERROR(VALUE(IF(VLOOKUP($A49,数出表_Excel!$A$6:$T$150,COLUMN()/2+1,FALSE)=0,"",VLOOKUP($A49,数出表_Excel!$A$6:$T$150,COLUMN()/2+1,FALSE))),"")</f>
        <v/>
      </c>
      <c r="K49" s="209"/>
      <c r="L49" s="147" t="str">
        <f ca="1">IFERROR(VALUE(IF(VLOOKUP($A49,数出表_Excel!$A$6:$T$150,COLUMN()/2+1,FALSE)=0,"",VLOOKUP($A49,数出表_Excel!$A$6:$T$150,COLUMN()/2+1,FALSE))),"")</f>
        <v/>
      </c>
      <c r="M49" s="142"/>
      <c r="N49" s="142" t="str">
        <f ca="1">IFERROR(VALUE(IF(VLOOKUP($A49,数出表_Excel!$A$6:$T$150,COLUMN()/2+1,FALSE)=0,"",VLOOKUP($A49,数出表_Excel!$A$6:$T$150,COLUMN()/2+1,FALSE))),"")</f>
        <v/>
      </c>
      <c r="O49" s="142"/>
      <c r="P49" s="142" t="str">
        <f ca="1">IFERROR(VALUE(IF(VLOOKUP($A49,数出表_Excel!$A$6:$T$150,COLUMN()/2+1,FALSE)=0,"",VLOOKUP($A49,数出表_Excel!$A$6:$T$150,COLUMN()/2+1,FALSE))),"")</f>
        <v/>
      </c>
      <c r="Q49" s="142"/>
      <c r="R49" s="142" t="str">
        <f ca="1">IFERROR(VALUE(IF(VLOOKUP($A49,数出表_Excel!$A$6:$T$150,COLUMN()/2+1,FALSE)=0,"",VLOOKUP($A49,数出表_Excel!$A$6:$T$150,COLUMN()/2+1,FALSE))),"")</f>
        <v/>
      </c>
      <c r="S49" s="142"/>
      <c r="T49" s="142" t="str">
        <f ca="1">IFERROR(VALUE(IF(VLOOKUP($A49,数出表_Excel!$A$6:$T$150,COLUMN()/2+1,FALSE)=0,"",VLOOKUP($A49,数出表_Excel!$A$6:$T$150,COLUMN()/2+1,FALSE))),"")</f>
        <v/>
      </c>
      <c r="U49" s="142"/>
      <c r="V49" s="146" t="str">
        <f ca="1">IFERROR(VALUE(IF(VLOOKUP($A49,数出表_Excel!$A$6:$T$150,COLUMN()/2+1,FALSE)=0,"",VLOOKUP($A49,数出表_Excel!$A$6:$T$150,COLUMN()/2+1,FALSE))),"")</f>
        <v/>
      </c>
      <c r="W49" s="142"/>
      <c r="X49" s="146" t="str">
        <f ca="1">IFERROR(VALUE(IF(VLOOKUP($A49,数出表_Excel!$A$6:$T$150,COLUMN()/2+1,FALSE)=0,"",VLOOKUP($A49,数出表_Excel!$A$6:$T$150,COLUMN()/2+1,FALSE))),"")</f>
        <v/>
      </c>
      <c r="Y49" s="142"/>
      <c r="Z49" s="146" t="str">
        <f ca="1">IFERROR(VALUE(IF(VLOOKUP($A49,数出表_Excel!$A$6:$T$150,COLUMN()/2+1,FALSE)=0,"",VLOOKUP($A49,数出表_Excel!$A$6:$T$150,COLUMN()/2+1,FALSE))),"")</f>
        <v/>
      </c>
      <c r="AA49" s="209"/>
      <c r="AB49" s="147" t="str">
        <f ca="1">IFERROR(VALUE(IF(VLOOKUP($A49,数出表_Excel!$A$6:$T$150,COLUMN()/2+1,FALSE)=0,"",VLOOKUP($A49,数出表_Excel!$A$6:$T$150,COLUMN()/2+1,FALSE))),"")</f>
        <v/>
      </c>
      <c r="AC49" s="142"/>
      <c r="AD49" s="146" t="str">
        <f ca="1">IFERROR(VALUE(IF(VLOOKUP($A49,数出表_Excel!$A$6:$T$150,COLUMN()/2+1,FALSE)=0,"",VLOOKUP($A49,数出表_Excel!$A$6:$T$150,COLUMN()/2+1,FALSE))),"")</f>
        <v/>
      </c>
      <c r="AE49" s="142"/>
      <c r="AF49" s="146" t="str">
        <f ca="1">IFERROR(VALUE(IF(VLOOKUP($A49,数出表_Excel!$A$6:$T$150,COLUMN()/2+1,FALSE)=0,"",VLOOKUP($A49,数出表_Excel!$A$6:$T$150,COLUMN()/2+1,FALSE))),"")</f>
        <v/>
      </c>
      <c r="AG49" s="142"/>
      <c r="AH49" s="146" t="str">
        <f ca="1">IFERROR(VALUE(IF(VLOOKUP($A49,数出表_Excel!$A$6:$T$150,COLUMN()/2+1,FALSE)=0,"",VLOOKUP($A49,数出表_Excel!$A$6:$T$150,COLUMN()/2+1,FALSE))),"")</f>
        <v/>
      </c>
      <c r="AI49" s="209"/>
      <c r="AJ49" s="147" t="str">
        <f ca="1">IFERROR(VALUE(IF(VLOOKUP($A49,数出表_Excel!$A$6:$T$150,COLUMN()/2+1,FALSE)=0,"",VLOOKUP($A49,数出表_Excel!$A$6:$T$150,COLUMN()/2+1,FALSE))),"")</f>
        <v/>
      </c>
      <c r="AK49" s="142"/>
      <c r="AL49" s="148" t="e">
        <f ca="1">IF(A49&lt;&gt;"",
IF(VLOOKUP($A49,数出表_Excel!$A$6:$T$150,COLUMN()/2+1,FALSE)=0,"",VLOOKUP($A49,数出表_Excel!$A$6:$T$150,COLUMN()/2+1,FALSE)),"")</f>
        <v>#N/A</v>
      </c>
      <c r="AM49" s="263">
        <f>数出表_Excel!V49</f>
        <v>0</v>
      </c>
      <c r="AN49" s="264">
        <f>数出表_Excel!W49</f>
        <v>0</v>
      </c>
    </row>
    <row r="50" spans="1:40" ht="16.2" customHeight="1" x14ac:dyDescent="0.45">
      <c r="A50" s="219" t="str">
        <f t="array" aca="1" ref="A50" ca="1">IF(OR(COUNTIF(A48,"*10002*"),COUNTIF(A48,"")),"",INDEX(貼り付け用!$A:$A,MATCH(A48,貼り付け用!$A:$A,0)+2,0))</f>
        <v>707</v>
      </c>
      <c r="B50" s="204" t="str">
        <f ca="1">IFERROR(VALUE(IF(VLOOKUP($A50,数出表_Excel!$A$6:$T$150,COLUMN()/2+1,FALSE)=0,"",VLOOKUP($A50,数出表_Excel!$A$6:$T$150,COLUMN()/2+1,FALSE))),"")</f>
        <v/>
      </c>
      <c r="C50" s="141"/>
      <c r="D50" s="204" t="str">
        <f ca="1">IFERROR(VALUE(IF(VLOOKUP($A50,数出表_Excel!$A$6:$T$150,COLUMN()/2+1,FALSE)=0,"",VLOOKUP($A50,数出表_Excel!$A$6:$T$150,COLUMN()/2+1,FALSE))),"")</f>
        <v/>
      </c>
      <c r="E50" s="141"/>
      <c r="F50" s="207" t="str">
        <f ca="1">IFERROR(VALUE(IF(VLOOKUP($A50,数出表_Excel!$A$6:$T$150,COLUMN()/2+1,FALSE)=0,"",VLOOKUP($A50,数出表_Excel!$A$6:$T$150,COLUMN()/2+1,FALSE))),"")</f>
        <v/>
      </c>
      <c r="G50" s="141"/>
      <c r="H50" s="204" t="str">
        <f ca="1">IFERROR(VALUE(IF(VLOOKUP($A50,数出表_Excel!$A$6:$T$150,COLUMN()/2+1,FALSE)=0,"",VLOOKUP($A50,数出表_Excel!$A$6:$T$150,COLUMN()/2+1,FALSE))),"")</f>
        <v/>
      </c>
      <c r="I50" s="141"/>
      <c r="J50" s="204" t="str">
        <f ca="1">IFERROR(VALUE(IF(VLOOKUP($A50,数出表_Excel!$A$6:$T$150,COLUMN()/2+1,FALSE)=0,"",VLOOKUP($A50,数出表_Excel!$A$6:$T$150,COLUMN()/2+1,FALSE))),"")</f>
        <v/>
      </c>
      <c r="K50" s="208"/>
      <c r="L50" s="205" t="str">
        <f ca="1">IFERROR(VALUE(IF(VLOOKUP($A50,数出表_Excel!$A$6:$T$150,COLUMN()/2+1,FALSE)=0,"",VLOOKUP($A50,数出表_Excel!$A$6:$T$150,COLUMN()/2+1,FALSE))),"")</f>
        <v/>
      </c>
      <c r="M50" s="141"/>
      <c r="N50" s="204" t="str">
        <f ca="1">IFERROR(VALUE(IF(VLOOKUP($A50,数出表_Excel!$A$6:$T$150,COLUMN()/2+1,FALSE)=0,"",VLOOKUP($A50,数出表_Excel!$A$6:$T$150,COLUMN()/2+1,FALSE))),"")</f>
        <v/>
      </c>
      <c r="O50" s="141"/>
      <c r="P50" s="204" t="str">
        <f ca="1">IFERROR(VALUE(IF(VLOOKUP($A50,数出表_Excel!$A$6:$T$150,COLUMN()/2+1,FALSE)=0,"",VLOOKUP($A50,数出表_Excel!$A$6:$T$150,COLUMN()/2+1,FALSE))),"")</f>
        <v/>
      </c>
      <c r="Q50" s="141"/>
      <c r="R50" s="204" t="str">
        <f ca="1">IFERROR(VALUE(IF(VLOOKUP($A50,数出表_Excel!$A$6:$T$150,COLUMN()/2+1,FALSE)=0,"",VLOOKUP($A50,数出表_Excel!$A$6:$T$150,COLUMN()/2+1,FALSE))),"")</f>
        <v/>
      </c>
      <c r="S50" s="141"/>
      <c r="T50" s="204" t="str">
        <f ca="1">IFERROR(VALUE(IF(VLOOKUP($A50,数出表_Excel!$A$6:$T$150,COLUMN()/2+1,FALSE)=0,"",VLOOKUP($A50,数出表_Excel!$A$6:$T$150,COLUMN()/2+1,FALSE))),"")</f>
        <v/>
      </c>
      <c r="U50" s="141"/>
      <c r="V50" s="207" t="str">
        <f ca="1">IFERROR(VALUE(IF(VLOOKUP($A50,数出表_Excel!$A$6:$T$150,COLUMN()/2+1,FALSE)=0,"",VLOOKUP($A50,数出表_Excel!$A$6:$T$150,COLUMN()/2+1,FALSE))),"")</f>
        <v/>
      </c>
      <c r="W50" s="141"/>
      <c r="X50" s="207" t="str">
        <f ca="1">IFERROR(VALUE(IF(VLOOKUP($A50,数出表_Excel!$A$6:$T$150,COLUMN()/2+1,FALSE)=0,"",VLOOKUP($A50,数出表_Excel!$A$6:$T$150,COLUMN()/2+1,FALSE))),"")</f>
        <v/>
      </c>
      <c r="Y50" s="141"/>
      <c r="Z50" s="207" t="str">
        <f ca="1">IFERROR(VALUE(IF(VLOOKUP($A50,数出表_Excel!$A$6:$T$150,COLUMN()/2+1,FALSE)=0,"",VLOOKUP($A50,数出表_Excel!$A$6:$T$150,COLUMN()/2+1,FALSE))),"")</f>
        <v/>
      </c>
      <c r="AA50" s="208"/>
      <c r="AB50" s="205" t="str">
        <f ca="1">IFERROR(VALUE(IF(VLOOKUP($A50,数出表_Excel!$A$6:$T$150,COLUMN()/2+1,FALSE)=0,"",VLOOKUP($A50,数出表_Excel!$A$6:$T$150,COLUMN()/2+1,FALSE))),"")</f>
        <v/>
      </c>
      <c r="AC50" s="141"/>
      <c r="AD50" s="207" t="str">
        <f ca="1">IFERROR(VALUE(IF(VLOOKUP($A50,数出表_Excel!$A$6:$T$150,COLUMN()/2+1,FALSE)=0,"",VLOOKUP($A50,数出表_Excel!$A$6:$T$150,COLUMN()/2+1,FALSE))),"")</f>
        <v/>
      </c>
      <c r="AE50" s="141"/>
      <c r="AF50" s="207" t="str">
        <f ca="1">IFERROR(VALUE(IF(VLOOKUP($A50,数出表_Excel!$A$6:$T$150,COLUMN()/2+1,FALSE)=0,"",VLOOKUP($A50,数出表_Excel!$A$6:$T$150,COLUMN()/2+1,FALSE))),"")</f>
        <v/>
      </c>
      <c r="AG50" s="141"/>
      <c r="AH50" s="207" t="str">
        <f ca="1">IFERROR(VALUE(IF(VLOOKUP($A50,数出表_Excel!$A$6:$T$150,COLUMN()/2+1,FALSE)=0,"",VLOOKUP($A50,数出表_Excel!$A$6:$T$150,COLUMN()/2+1,FALSE))),"")</f>
        <v/>
      </c>
      <c r="AI50" s="208"/>
      <c r="AJ50" s="205" t="str">
        <f ca="1">IFERROR(VALUE(IF(VLOOKUP($A50,数出表_Excel!$A$6:$T$150,COLUMN()/2+1,FALSE)=0,"",VLOOKUP($A50,数出表_Excel!$A$6:$T$150,COLUMN()/2+1,FALSE))),"")</f>
        <v/>
      </c>
      <c r="AK50" s="141"/>
      <c r="AL50" s="145" t="e">
        <f ca="1">IF(A50&lt;&gt;"",
IF(VLOOKUP($A50,数出表_Excel!$A$6:$T$150,COLUMN()/2+1,FALSE)=0,"",VLOOKUP($A50,数出表_Excel!$A$6:$T$150,COLUMN()/2+1,FALSE)),"")</f>
        <v>#N/A</v>
      </c>
      <c r="AM50" s="261">
        <f>数出表_Excel!V50</f>
        <v>0</v>
      </c>
      <c r="AN50" s="262">
        <f>数出表_Excel!W50</f>
        <v>0</v>
      </c>
    </row>
    <row r="51" spans="1:40" ht="16.2" customHeight="1" x14ac:dyDescent="0.45">
      <c r="A51" s="220" t="str">
        <f t="array" aca="1" ref="A51" ca="1">IF(OR(COUNTIF(A49,"*1000*"),COUNTIF(A49,"")),"",INDEX(貼り付け用!$A:$A,MATCH(A49,貼り付け用!$A:$A,0)+2,0))</f>
        <v>博多第二幼稚園（補助教員）</v>
      </c>
      <c r="B51" s="142" t="str">
        <f ca="1">IFERROR(VALUE(IF(VLOOKUP($A51,数出表_Excel!$A$6:$T$150,COLUMN()/2+1,FALSE)=0,"",VLOOKUP($A51,数出表_Excel!$A$6:$T$150,COLUMN()/2+1,FALSE))),"")</f>
        <v/>
      </c>
      <c r="C51" s="142"/>
      <c r="D51" s="142" t="str">
        <f ca="1">IFERROR(VALUE(IF(VLOOKUP($A51,数出表_Excel!$A$6:$T$150,COLUMN()/2+1,FALSE)=0,"",VLOOKUP($A51,数出表_Excel!$A$6:$T$150,COLUMN()/2+1,FALSE))),"")</f>
        <v/>
      </c>
      <c r="E51" s="142"/>
      <c r="F51" s="146" t="str">
        <f ca="1">IFERROR(VALUE(IF(VLOOKUP($A51,数出表_Excel!$A$6:$T$150,COLUMN()/2+1,FALSE)=0,"",VLOOKUP($A51,数出表_Excel!$A$6:$T$150,COLUMN()/2+1,FALSE))),"")</f>
        <v/>
      </c>
      <c r="G51" s="142"/>
      <c r="H51" s="142" t="str">
        <f ca="1">IFERROR(VALUE(IF(VLOOKUP($A51,数出表_Excel!$A$6:$T$150,COLUMN()/2+1,FALSE)=0,"",VLOOKUP($A51,数出表_Excel!$A$6:$T$150,COLUMN()/2+1,FALSE))),"")</f>
        <v/>
      </c>
      <c r="I51" s="142"/>
      <c r="J51" s="142" t="str">
        <f ca="1">IFERROR(VALUE(IF(VLOOKUP($A51,数出表_Excel!$A$6:$T$150,COLUMN()/2+1,FALSE)=0,"",VLOOKUP($A51,数出表_Excel!$A$6:$T$150,COLUMN()/2+1,FALSE))),"")</f>
        <v/>
      </c>
      <c r="K51" s="209"/>
      <c r="L51" s="147" t="str">
        <f ca="1">IFERROR(VALUE(IF(VLOOKUP($A51,数出表_Excel!$A$6:$T$150,COLUMN()/2+1,FALSE)=0,"",VLOOKUP($A51,数出表_Excel!$A$6:$T$150,COLUMN()/2+1,FALSE))),"")</f>
        <v/>
      </c>
      <c r="M51" s="142"/>
      <c r="N51" s="142" t="str">
        <f ca="1">IFERROR(VALUE(IF(VLOOKUP($A51,数出表_Excel!$A$6:$T$150,COLUMN()/2+1,FALSE)=0,"",VLOOKUP($A51,数出表_Excel!$A$6:$T$150,COLUMN()/2+1,FALSE))),"")</f>
        <v/>
      </c>
      <c r="O51" s="142"/>
      <c r="P51" s="142" t="str">
        <f ca="1">IFERROR(VALUE(IF(VLOOKUP($A51,数出表_Excel!$A$6:$T$150,COLUMN()/2+1,FALSE)=0,"",VLOOKUP($A51,数出表_Excel!$A$6:$T$150,COLUMN()/2+1,FALSE))),"")</f>
        <v/>
      </c>
      <c r="Q51" s="142"/>
      <c r="R51" s="142" t="str">
        <f ca="1">IFERROR(VALUE(IF(VLOOKUP($A51,数出表_Excel!$A$6:$T$150,COLUMN()/2+1,FALSE)=0,"",VLOOKUP($A51,数出表_Excel!$A$6:$T$150,COLUMN()/2+1,FALSE))),"")</f>
        <v/>
      </c>
      <c r="S51" s="142"/>
      <c r="T51" s="142" t="str">
        <f ca="1">IFERROR(VALUE(IF(VLOOKUP($A51,数出表_Excel!$A$6:$T$150,COLUMN()/2+1,FALSE)=0,"",VLOOKUP($A51,数出表_Excel!$A$6:$T$150,COLUMN()/2+1,FALSE))),"")</f>
        <v/>
      </c>
      <c r="U51" s="142"/>
      <c r="V51" s="146" t="str">
        <f ca="1">IFERROR(VALUE(IF(VLOOKUP($A51,数出表_Excel!$A$6:$T$150,COLUMN()/2+1,FALSE)=0,"",VLOOKUP($A51,数出表_Excel!$A$6:$T$150,COLUMN()/2+1,FALSE))),"")</f>
        <v/>
      </c>
      <c r="W51" s="142"/>
      <c r="X51" s="146" t="str">
        <f ca="1">IFERROR(VALUE(IF(VLOOKUP($A51,数出表_Excel!$A$6:$T$150,COLUMN()/2+1,FALSE)=0,"",VLOOKUP($A51,数出表_Excel!$A$6:$T$150,COLUMN()/2+1,FALSE))),"")</f>
        <v/>
      </c>
      <c r="Y51" s="142"/>
      <c r="Z51" s="146" t="str">
        <f ca="1">IFERROR(VALUE(IF(VLOOKUP($A51,数出表_Excel!$A$6:$T$150,COLUMN()/2+1,FALSE)=0,"",VLOOKUP($A51,数出表_Excel!$A$6:$T$150,COLUMN()/2+1,FALSE))),"")</f>
        <v/>
      </c>
      <c r="AA51" s="209"/>
      <c r="AB51" s="147" t="str">
        <f ca="1">IFERROR(VALUE(IF(VLOOKUP($A51,数出表_Excel!$A$6:$T$150,COLUMN()/2+1,FALSE)=0,"",VLOOKUP($A51,数出表_Excel!$A$6:$T$150,COLUMN()/2+1,FALSE))),"")</f>
        <v/>
      </c>
      <c r="AC51" s="142"/>
      <c r="AD51" s="146" t="str">
        <f ca="1">IFERROR(VALUE(IF(VLOOKUP($A51,数出表_Excel!$A$6:$T$150,COLUMN()/2+1,FALSE)=0,"",VLOOKUP($A51,数出表_Excel!$A$6:$T$150,COLUMN()/2+1,FALSE))),"")</f>
        <v/>
      </c>
      <c r="AE51" s="142"/>
      <c r="AF51" s="146" t="str">
        <f ca="1">IFERROR(VALUE(IF(VLOOKUP($A51,数出表_Excel!$A$6:$T$150,COLUMN()/2+1,FALSE)=0,"",VLOOKUP($A51,数出表_Excel!$A$6:$T$150,COLUMN()/2+1,FALSE))),"")</f>
        <v/>
      </c>
      <c r="AG51" s="142"/>
      <c r="AH51" s="146" t="str">
        <f ca="1">IFERROR(VALUE(IF(VLOOKUP($A51,数出表_Excel!$A$6:$T$150,COLUMN()/2+1,FALSE)=0,"",VLOOKUP($A51,数出表_Excel!$A$6:$T$150,COLUMN()/2+1,FALSE))),"")</f>
        <v/>
      </c>
      <c r="AI51" s="209"/>
      <c r="AJ51" s="147" t="str">
        <f ca="1">IFERROR(VALUE(IF(VLOOKUP($A51,数出表_Excel!$A$6:$T$150,COLUMN()/2+1,FALSE)=0,"",VLOOKUP($A51,数出表_Excel!$A$6:$T$150,COLUMN()/2+1,FALSE))),"")</f>
        <v/>
      </c>
      <c r="AK51" s="142"/>
      <c r="AL51" s="148" t="e">
        <f ca="1">IF(A51&lt;&gt;"",
IF(VLOOKUP($A51,数出表_Excel!$A$6:$T$150,COLUMN()/2+1,FALSE)=0,"",VLOOKUP($A51,数出表_Excel!$A$6:$T$150,COLUMN()/2+1,FALSE)),"")</f>
        <v>#N/A</v>
      </c>
      <c r="AM51" s="263">
        <f>数出表_Excel!V51</f>
        <v>0</v>
      </c>
      <c r="AN51" s="264">
        <f>数出表_Excel!W51</f>
        <v>0</v>
      </c>
    </row>
    <row r="52" spans="1:40" ht="16.2" customHeight="1" x14ac:dyDescent="0.45">
      <c r="A52" s="219" t="str">
        <f t="array" aca="1" ref="A52" ca="1">IF(OR(COUNTIF(A50,"*10002*"),COUNTIF(A50,"")),"",INDEX(貼り付け用!$A:$A,MATCH(A50,貼り付け用!$A:$A,0)+2,0))</f>
        <v>2100</v>
      </c>
      <c r="B52" s="204" t="str">
        <f ca="1">IFERROR(VALUE(IF(VLOOKUP($A52,数出表_Excel!$A$6:$T$150,COLUMN()/2+1,FALSE)=0,"",VLOOKUP($A52,数出表_Excel!$A$6:$T$150,COLUMN()/2+1,FALSE))),"")</f>
        <v/>
      </c>
      <c r="C52" s="141"/>
      <c r="D52" s="204" t="str">
        <f ca="1">IFERROR(VALUE(IF(VLOOKUP($A52,数出表_Excel!$A$6:$T$150,COLUMN()/2+1,FALSE)=0,"",VLOOKUP($A52,数出表_Excel!$A$6:$T$150,COLUMN()/2+1,FALSE))),"")</f>
        <v/>
      </c>
      <c r="E52" s="141"/>
      <c r="F52" s="207" t="str">
        <f ca="1">IFERROR(VALUE(IF(VLOOKUP($A52,数出表_Excel!$A$6:$T$150,COLUMN()/2+1,FALSE)=0,"",VLOOKUP($A52,数出表_Excel!$A$6:$T$150,COLUMN()/2+1,FALSE))),"")</f>
        <v/>
      </c>
      <c r="G52" s="141"/>
      <c r="H52" s="204" t="str">
        <f ca="1">IFERROR(VALUE(IF(VLOOKUP($A52,数出表_Excel!$A$6:$T$150,COLUMN()/2+1,FALSE)=0,"",VLOOKUP($A52,数出表_Excel!$A$6:$T$150,COLUMN()/2+1,FALSE))),"")</f>
        <v/>
      </c>
      <c r="I52" s="141"/>
      <c r="J52" s="204" t="str">
        <f ca="1">IFERROR(VALUE(IF(VLOOKUP($A52,数出表_Excel!$A$6:$T$150,COLUMN()/2+1,FALSE)=0,"",VLOOKUP($A52,数出表_Excel!$A$6:$T$150,COLUMN()/2+1,FALSE))),"")</f>
        <v/>
      </c>
      <c r="K52" s="208"/>
      <c r="L52" s="205" t="str">
        <f ca="1">IFERROR(VALUE(IF(VLOOKUP($A52,数出表_Excel!$A$6:$T$150,COLUMN()/2+1,FALSE)=0,"",VLOOKUP($A52,数出表_Excel!$A$6:$T$150,COLUMN()/2+1,FALSE))),"")</f>
        <v/>
      </c>
      <c r="M52" s="141"/>
      <c r="N52" s="204" t="str">
        <f ca="1">IFERROR(VALUE(IF(VLOOKUP($A52,数出表_Excel!$A$6:$T$150,COLUMN()/2+1,FALSE)=0,"",VLOOKUP($A52,数出表_Excel!$A$6:$T$150,COLUMN()/2+1,FALSE))),"")</f>
        <v/>
      </c>
      <c r="O52" s="141"/>
      <c r="P52" s="204" t="str">
        <f ca="1">IFERROR(VALUE(IF(VLOOKUP($A52,数出表_Excel!$A$6:$T$150,COLUMN()/2+1,FALSE)=0,"",VLOOKUP($A52,数出表_Excel!$A$6:$T$150,COLUMN()/2+1,FALSE))),"")</f>
        <v/>
      </c>
      <c r="Q52" s="141"/>
      <c r="R52" s="204" t="str">
        <f ca="1">IFERROR(VALUE(IF(VLOOKUP($A52,数出表_Excel!$A$6:$T$150,COLUMN()/2+1,FALSE)=0,"",VLOOKUP($A52,数出表_Excel!$A$6:$T$150,COLUMN()/2+1,FALSE))),"")</f>
        <v/>
      </c>
      <c r="S52" s="141"/>
      <c r="T52" s="204" t="str">
        <f ca="1">IFERROR(VALUE(IF(VLOOKUP($A52,数出表_Excel!$A$6:$T$150,COLUMN()/2+1,FALSE)=0,"",VLOOKUP($A52,数出表_Excel!$A$6:$T$150,COLUMN()/2+1,FALSE))),"")</f>
        <v/>
      </c>
      <c r="U52" s="141"/>
      <c r="V52" s="207" t="str">
        <f ca="1">IFERROR(VALUE(IF(VLOOKUP($A52,数出表_Excel!$A$6:$T$150,COLUMN()/2+1,FALSE)=0,"",VLOOKUP($A52,数出表_Excel!$A$6:$T$150,COLUMN()/2+1,FALSE))),"")</f>
        <v/>
      </c>
      <c r="W52" s="141"/>
      <c r="X52" s="207" t="str">
        <f ca="1">IFERROR(VALUE(IF(VLOOKUP($A52,数出表_Excel!$A$6:$T$150,COLUMN()/2+1,FALSE)=0,"",VLOOKUP($A52,数出表_Excel!$A$6:$T$150,COLUMN()/2+1,FALSE))),"")</f>
        <v/>
      </c>
      <c r="Y52" s="141"/>
      <c r="Z52" s="207" t="str">
        <f ca="1">IFERROR(VALUE(IF(VLOOKUP($A52,数出表_Excel!$A$6:$T$150,COLUMN()/2+1,FALSE)=0,"",VLOOKUP($A52,数出表_Excel!$A$6:$T$150,COLUMN()/2+1,FALSE))),"")</f>
        <v/>
      </c>
      <c r="AA52" s="208"/>
      <c r="AB52" s="205" t="str">
        <f ca="1">IFERROR(VALUE(IF(VLOOKUP($A52,数出表_Excel!$A$6:$T$150,COLUMN()/2+1,FALSE)=0,"",VLOOKUP($A52,数出表_Excel!$A$6:$T$150,COLUMN()/2+1,FALSE))),"")</f>
        <v/>
      </c>
      <c r="AC52" s="141"/>
      <c r="AD52" s="207" t="str">
        <f ca="1">IFERROR(VALUE(IF(VLOOKUP($A52,数出表_Excel!$A$6:$T$150,COLUMN()/2+1,FALSE)=0,"",VLOOKUP($A52,数出表_Excel!$A$6:$T$150,COLUMN()/2+1,FALSE))),"")</f>
        <v/>
      </c>
      <c r="AE52" s="141"/>
      <c r="AF52" s="207" t="str">
        <f ca="1">IFERROR(VALUE(IF(VLOOKUP($A52,数出表_Excel!$A$6:$T$150,COLUMN()/2+1,FALSE)=0,"",VLOOKUP($A52,数出表_Excel!$A$6:$T$150,COLUMN()/2+1,FALSE))),"")</f>
        <v/>
      </c>
      <c r="AG52" s="141"/>
      <c r="AH52" s="207" t="str">
        <f ca="1">IFERROR(VALUE(IF(VLOOKUP($A52,数出表_Excel!$A$6:$T$150,COLUMN()/2+1,FALSE)=0,"",VLOOKUP($A52,数出表_Excel!$A$6:$T$150,COLUMN()/2+1,FALSE))),"")</f>
        <v/>
      </c>
      <c r="AI52" s="208"/>
      <c r="AJ52" s="205" t="str">
        <f ca="1">IFERROR(VALUE(IF(VLOOKUP($A52,数出表_Excel!$A$6:$T$150,COLUMN()/2+1,FALSE)=0,"",VLOOKUP($A52,数出表_Excel!$A$6:$T$150,COLUMN()/2+1,FALSE))),"")</f>
        <v/>
      </c>
      <c r="AK52" s="141"/>
      <c r="AL52" s="145" t="e">
        <f ca="1">IF(A52&lt;&gt;"",
IF(VLOOKUP($A52,数出表_Excel!$A$6:$T$150,COLUMN()/2+1,FALSE)=0,"",VLOOKUP($A52,数出表_Excel!$A$6:$T$150,COLUMN()/2+1,FALSE)),"")</f>
        <v>#N/A</v>
      </c>
      <c r="AM52" s="261">
        <f>数出表_Excel!V52</f>
        <v>0</v>
      </c>
      <c r="AN52" s="262">
        <f>数出表_Excel!W52</f>
        <v>0</v>
      </c>
    </row>
    <row r="53" spans="1:40" ht="16.2" customHeight="1" x14ac:dyDescent="0.45">
      <c r="A53" s="220" t="str">
        <f t="array" aca="1" ref="A53" ca="1">IF(OR(COUNTIF(A51,"*1000*"),COUNTIF(A51,"")),"",INDEX(貼り付け用!$A:$A,MATCH(A51,貼り付け用!$A:$A,0)+2,0))</f>
        <v>志免幼稚園</v>
      </c>
      <c r="B53" s="142" t="str">
        <f ca="1">IFERROR(VALUE(IF(VLOOKUP($A53,数出表_Excel!$A$6:$T$150,COLUMN()/2+1,FALSE)=0,"",VLOOKUP($A53,数出表_Excel!$A$6:$T$150,COLUMN()/2+1,FALSE))),"")</f>
        <v/>
      </c>
      <c r="C53" s="142"/>
      <c r="D53" s="142" t="str">
        <f ca="1">IFERROR(VALUE(IF(VLOOKUP($A53,数出表_Excel!$A$6:$T$150,COLUMN()/2+1,FALSE)=0,"",VLOOKUP($A53,数出表_Excel!$A$6:$T$150,COLUMN()/2+1,FALSE))),"")</f>
        <v/>
      </c>
      <c r="E53" s="142"/>
      <c r="F53" s="146" t="str">
        <f ca="1">IFERROR(VALUE(IF(VLOOKUP($A53,数出表_Excel!$A$6:$T$150,COLUMN()/2+1,FALSE)=0,"",VLOOKUP($A53,数出表_Excel!$A$6:$T$150,COLUMN()/2+1,FALSE))),"")</f>
        <v/>
      </c>
      <c r="G53" s="142"/>
      <c r="H53" s="142" t="str">
        <f ca="1">IFERROR(VALUE(IF(VLOOKUP($A53,数出表_Excel!$A$6:$T$150,COLUMN()/2+1,FALSE)=0,"",VLOOKUP($A53,数出表_Excel!$A$6:$T$150,COLUMN()/2+1,FALSE))),"")</f>
        <v/>
      </c>
      <c r="I53" s="142"/>
      <c r="J53" s="142" t="str">
        <f ca="1">IFERROR(VALUE(IF(VLOOKUP($A53,数出表_Excel!$A$6:$T$150,COLUMN()/2+1,FALSE)=0,"",VLOOKUP($A53,数出表_Excel!$A$6:$T$150,COLUMN()/2+1,FALSE))),"")</f>
        <v/>
      </c>
      <c r="K53" s="209"/>
      <c r="L53" s="147" t="str">
        <f ca="1">IFERROR(VALUE(IF(VLOOKUP($A53,数出表_Excel!$A$6:$T$150,COLUMN()/2+1,FALSE)=0,"",VLOOKUP($A53,数出表_Excel!$A$6:$T$150,COLUMN()/2+1,FALSE))),"")</f>
        <v/>
      </c>
      <c r="M53" s="142"/>
      <c r="N53" s="142" t="str">
        <f ca="1">IFERROR(VALUE(IF(VLOOKUP($A53,数出表_Excel!$A$6:$T$150,COLUMN()/2+1,FALSE)=0,"",VLOOKUP($A53,数出表_Excel!$A$6:$T$150,COLUMN()/2+1,FALSE))),"")</f>
        <v/>
      </c>
      <c r="O53" s="142"/>
      <c r="P53" s="142" t="str">
        <f ca="1">IFERROR(VALUE(IF(VLOOKUP($A53,数出表_Excel!$A$6:$T$150,COLUMN()/2+1,FALSE)=0,"",VLOOKUP($A53,数出表_Excel!$A$6:$T$150,COLUMN()/2+1,FALSE))),"")</f>
        <v/>
      </c>
      <c r="Q53" s="142"/>
      <c r="R53" s="142" t="str">
        <f ca="1">IFERROR(VALUE(IF(VLOOKUP($A53,数出表_Excel!$A$6:$T$150,COLUMN()/2+1,FALSE)=0,"",VLOOKUP($A53,数出表_Excel!$A$6:$T$150,COLUMN()/2+1,FALSE))),"")</f>
        <v/>
      </c>
      <c r="S53" s="142"/>
      <c r="T53" s="142" t="str">
        <f ca="1">IFERROR(VALUE(IF(VLOOKUP($A53,数出表_Excel!$A$6:$T$150,COLUMN()/2+1,FALSE)=0,"",VLOOKUP($A53,数出表_Excel!$A$6:$T$150,COLUMN()/2+1,FALSE))),"")</f>
        <v/>
      </c>
      <c r="U53" s="142"/>
      <c r="V53" s="146" t="str">
        <f ca="1">IFERROR(VALUE(IF(VLOOKUP($A53,数出表_Excel!$A$6:$T$150,COLUMN()/2+1,FALSE)=0,"",VLOOKUP($A53,数出表_Excel!$A$6:$T$150,COLUMN()/2+1,FALSE))),"")</f>
        <v/>
      </c>
      <c r="W53" s="142"/>
      <c r="X53" s="146" t="str">
        <f ca="1">IFERROR(VALUE(IF(VLOOKUP($A53,数出表_Excel!$A$6:$T$150,COLUMN()/2+1,FALSE)=0,"",VLOOKUP($A53,数出表_Excel!$A$6:$T$150,COLUMN()/2+1,FALSE))),"")</f>
        <v/>
      </c>
      <c r="Y53" s="142"/>
      <c r="Z53" s="146" t="str">
        <f ca="1">IFERROR(VALUE(IF(VLOOKUP($A53,数出表_Excel!$A$6:$T$150,COLUMN()/2+1,FALSE)=0,"",VLOOKUP($A53,数出表_Excel!$A$6:$T$150,COLUMN()/2+1,FALSE))),"")</f>
        <v/>
      </c>
      <c r="AA53" s="209"/>
      <c r="AB53" s="147" t="str">
        <f ca="1">IFERROR(VALUE(IF(VLOOKUP($A53,数出表_Excel!$A$6:$T$150,COLUMN()/2+1,FALSE)=0,"",VLOOKUP($A53,数出表_Excel!$A$6:$T$150,COLUMN()/2+1,FALSE))),"")</f>
        <v/>
      </c>
      <c r="AC53" s="142"/>
      <c r="AD53" s="146" t="str">
        <f ca="1">IFERROR(VALUE(IF(VLOOKUP($A53,数出表_Excel!$A$6:$T$150,COLUMN()/2+1,FALSE)=0,"",VLOOKUP($A53,数出表_Excel!$A$6:$T$150,COLUMN()/2+1,FALSE))),"")</f>
        <v/>
      </c>
      <c r="AE53" s="142"/>
      <c r="AF53" s="146" t="str">
        <f ca="1">IFERROR(VALUE(IF(VLOOKUP($A53,数出表_Excel!$A$6:$T$150,COLUMN()/2+1,FALSE)=0,"",VLOOKUP($A53,数出表_Excel!$A$6:$T$150,COLUMN()/2+1,FALSE))),"")</f>
        <v/>
      </c>
      <c r="AG53" s="142"/>
      <c r="AH53" s="146" t="str">
        <f ca="1">IFERROR(VALUE(IF(VLOOKUP($A53,数出表_Excel!$A$6:$T$150,COLUMN()/2+1,FALSE)=0,"",VLOOKUP($A53,数出表_Excel!$A$6:$T$150,COLUMN()/2+1,FALSE))),"")</f>
        <v/>
      </c>
      <c r="AI53" s="209"/>
      <c r="AJ53" s="147" t="str">
        <f ca="1">IFERROR(VALUE(IF(VLOOKUP($A53,数出表_Excel!$A$6:$T$150,COLUMN()/2+1,FALSE)=0,"",VLOOKUP($A53,数出表_Excel!$A$6:$T$150,COLUMN()/2+1,FALSE))),"")</f>
        <v/>
      </c>
      <c r="AK53" s="142"/>
      <c r="AL53" s="148" t="e">
        <f ca="1">IF(A53&lt;&gt;"",
IF(VLOOKUP($A53,数出表_Excel!$A$6:$T$150,COLUMN()/2+1,FALSE)=0,"",VLOOKUP($A53,数出表_Excel!$A$6:$T$150,COLUMN()/2+1,FALSE)),"")</f>
        <v>#N/A</v>
      </c>
      <c r="AM53" s="263">
        <f>数出表_Excel!V53</f>
        <v>0</v>
      </c>
      <c r="AN53" s="264">
        <f>数出表_Excel!W53</f>
        <v>0</v>
      </c>
    </row>
    <row r="54" spans="1:40" ht="16.2" customHeight="1" x14ac:dyDescent="0.45">
      <c r="A54" s="219" t="str">
        <f t="array" aca="1" ref="A54" ca="1">IF(OR(COUNTIF(A52,"*10002*"),COUNTIF(A52,"")),"",INDEX(貼り付け用!$A:$A,MATCH(A52,貼り付け用!$A:$A,0)+2,0))</f>
        <v>2200</v>
      </c>
      <c r="B54" s="204" t="str">
        <f ca="1">IFERROR(VALUE(IF(VLOOKUP($A54,数出表_Excel!$A$6:$T$150,COLUMN()/2+1,FALSE)=0,"",VLOOKUP($A54,数出表_Excel!$A$6:$T$150,COLUMN()/2+1,FALSE))),"")</f>
        <v/>
      </c>
      <c r="C54" s="141"/>
      <c r="D54" s="204" t="str">
        <f ca="1">IFERROR(VALUE(IF(VLOOKUP($A54,数出表_Excel!$A$6:$T$150,COLUMN()/2+1,FALSE)=0,"",VLOOKUP($A54,数出表_Excel!$A$6:$T$150,COLUMN()/2+1,FALSE))),"")</f>
        <v/>
      </c>
      <c r="E54" s="141"/>
      <c r="F54" s="207" t="str">
        <f ca="1">IFERROR(VALUE(IF(VLOOKUP($A54,数出表_Excel!$A$6:$T$150,COLUMN()/2+1,FALSE)=0,"",VLOOKUP($A54,数出表_Excel!$A$6:$T$150,COLUMN()/2+1,FALSE))),"")</f>
        <v/>
      </c>
      <c r="G54" s="141"/>
      <c r="H54" s="204" t="str">
        <f ca="1">IFERROR(VALUE(IF(VLOOKUP($A54,数出表_Excel!$A$6:$T$150,COLUMN()/2+1,FALSE)=0,"",VLOOKUP($A54,数出表_Excel!$A$6:$T$150,COLUMN()/2+1,FALSE))),"")</f>
        <v/>
      </c>
      <c r="I54" s="141"/>
      <c r="J54" s="204" t="str">
        <f ca="1">IFERROR(VALUE(IF(VLOOKUP($A54,数出表_Excel!$A$6:$T$150,COLUMN()/2+1,FALSE)=0,"",VLOOKUP($A54,数出表_Excel!$A$6:$T$150,COLUMN()/2+1,FALSE))),"")</f>
        <v/>
      </c>
      <c r="K54" s="208"/>
      <c r="L54" s="205" t="str">
        <f ca="1">IFERROR(VALUE(IF(VLOOKUP($A54,数出表_Excel!$A$6:$T$150,COLUMN()/2+1,FALSE)=0,"",VLOOKUP($A54,数出表_Excel!$A$6:$T$150,COLUMN()/2+1,FALSE))),"")</f>
        <v/>
      </c>
      <c r="M54" s="141"/>
      <c r="N54" s="204" t="str">
        <f ca="1">IFERROR(VALUE(IF(VLOOKUP($A54,数出表_Excel!$A$6:$T$150,COLUMN()/2+1,FALSE)=0,"",VLOOKUP($A54,数出表_Excel!$A$6:$T$150,COLUMN()/2+1,FALSE))),"")</f>
        <v/>
      </c>
      <c r="O54" s="141"/>
      <c r="P54" s="204" t="str">
        <f ca="1">IFERROR(VALUE(IF(VLOOKUP($A54,数出表_Excel!$A$6:$T$150,COLUMN()/2+1,FALSE)=0,"",VLOOKUP($A54,数出表_Excel!$A$6:$T$150,COLUMN()/2+1,FALSE))),"")</f>
        <v/>
      </c>
      <c r="Q54" s="141"/>
      <c r="R54" s="204" t="str">
        <f ca="1">IFERROR(VALUE(IF(VLOOKUP($A54,数出表_Excel!$A$6:$T$150,COLUMN()/2+1,FALSE)=0,"",VLOOKUP($A54,数出表_Excel!$A$6:$T$150,COLUMN()/2+1,FALSE))),"")</f>
        <v/>
      </c>
      <c r="S54" s="141"/>
      <c r="T54" s="204" t="str">
        <f ca="1">IFERROR(VALUE(IF(VLOOKUP($A54,数出表_Excel!$A$6:$T$150,COLUMN()/2+1,FALSE)=0,"",VLOOKUP($A54,数出表_Excel!$A$6:$T$150,COLUMN()/2+1,FALSE))),"")</f>
        <v/>
      </c>
      <c r="U54" s="141"/>
      <c r="V54" s="207" t="str">
        <f ca="1">IFERROR(VALUE(IF(VLOOKUP($A54,数出表_Excel!$A$6:$T$150,COLUMN()/2+1,FALSE)=0,"",VLOOKUP($A54,数出表_Excel!$A$6:$T$150,COLUMN()/2+1,FALSE))),"")</f>
        <v/>
      </c>
      <c r="W54" s="141"/>
      <c r="X54" s="207" t="str">
        <f ca="1">IFERROR(VALUE(IF(VLOOKUP($A54,数出表_Excel!$A$6:$T$150,COLUMN()/2+1,FALSE)=0,"",VLOOKUP($A54,数出表_Excel!$A$6:$T$150,COLUMN()/2+1,FALSE))),"")</f>
        <v/>
      </c>
      <c r="Y54" s="141"/>
      <c r="Z54" s="207" t="str">
        <f ca="1">IFERROR(VALUE(IF(VLOOKUP($A54,数出表_Excel!$A$6:$T$150,COLUMN()/2+1,FALSE)=0,"",VLOOKUP($A54,数出表_Excel!$A$6:$T$150,COLUMN()/2+1,FALSE))),"")</f>
        <v/>
      </c>
      <c r="AA54" s="208"/>
      <c r="AB54" s="205" t="str">
        <f ca="1">IFERROR(VALUE(IF(VLOOKUP($A54,数出表_Excel!$A$6:$T$150,COLUMN()/2+1,FALSE)=0,"",VLOOKUP($A54,数出表_Excel!$A$6:$T$150,COLUMN()/2+1,FALSE))),"")</f>
        <v/>
      </c>
      <c r="AC54" s="141"/>
      <c r="AD54" s="207" t="str">
        <f ca="1">IFERROR(VALUE(IF(VLOOKUP($A54,数出表_Excel!$A$6:$T$150,COLUMN()/2+1,FALSE)=0,"",VLOOKUP($A54,数出表_Excel!$A$6:$T$150,COLUMN()/2+1,FALSE))),"")</f>
        <v/>
      </c>
      <c r="AE54" s="141"/>
      <c r="AF54" s="207" t="str">
        <f ca="1">IFERROR(VALUE(IF(VLOOKUP($A54,数出表_Excel!$A$6:$T$150,COLUMN()/2+1,FALSE)=0,"",VLOOKUP($A54,数出表_Excel!$A$6:$T$150,COLUMN()/2+1,FALSE))),"")</f>
        <v/>
      </c>
      <c r="AG54" s="141"/>
      <c r="AH54" s="207" t="str">
        <f ca="1">IFERROR(VALUE(IF(VLOOKUP($A54,数出表_Excel!$A$6:$T$150,COLUMN()/2+1,FALSE)=0,"",VLOOKUP($A54,数出表_Excel!$A$6:$T$150,COLUMN()/2+1,FALSE))),"")</f>
        <v/>
      </c>
      <c r="AI54" s="208"/>
      <c r="AJ54" s="205" t="str">
        <f ca="1">IFERROR(VALUE(IF(VLOOKUP($A54,数出表_Excel!$A$6:$T$150,COLUMN()/2+1,FALSE)=0,"",VLOOKUP($A54,数出表_Excel!$A$6:$T$150,COLUMN()/2+1,FALSE))),"")</f>
        <v/>
      </c>
      <c r="AK54" s="141"/>
      <c r="AL54" s="145" t="e">
        <f ca="1">IF(A54&lt;&gt;"",
IF(VLOOKUP($A54,数出表_Excel!$A$6:$T$150,COLUMN()/2+1,FALSE)=0,"",VLOOKUP($A54,数出表_Excel!$A$6:$T$150,COLUMN()/2+1,FALSE)),"")</f>
        <v>#N/A</v>
      </c>
      <c r="AM54" s="261">
        <f>数出表_Excel!V54</f>
        <v>0</v>
      </c>
      <c r="AN54" s="262">
        <f>数出表_Excel!W54</f>
        <v>0</v>
      </c>
    </row>
    <row r="55" spans="1:40" ht="16.2" customHeight="1" x14ac:dyDescent="0.45">
      <c r="A55" s="220" t="str">
        <f t="array" aca="1" ref="A55" ca="1">IF(OR(COUNTIF(A53,"*1000*"),COUNTIF(A53,"")),"",INDEX(貼り付け用!$A:$A,MATCH(A53,貼り付け用!$A:$A,0)+2,0))</f>
        <v>志免中央幼稚園</v>
      </c>
      <c r="B55" s="142" t="str">
        <f ca="1">IFERROR(VALUE(IF(VLOOKUP($A55,数出表_Excel!$A$6:$T$150,COLUMN()/2+1,FALSE)=0,"",VLOOKUP($A55,数出表_Excel!$A$6:$T$150,COLUMN()/2+1,FALSE))),"")</f>
        <v/>
      </c>
      <c r="C55" s="142"/>
      <c r="D55" s="142" t="str">
        <f ca="1">IFERROR(VALUE(IF(VLOOKUP($A55,数出表_Excel!$A$6:$T$150,COLUMN()/2+1,FALSE)=0,"",VLOOKUP($A55,数出表_Excel!$A$6:$T$150,COLUMN()/2+1,FALSE))),"")</f>
        <v/>
      </c>
      <c r="E55" s="142"/>
      <c r="F55" s="146" t="str">
        <f ca="1">IFERROR(VALUE(IF(VLOOKUP($A55,数出表_Excel!$A$6:$T$150,COLUMN()/2+1,FALSE)=0,"",VLOOKUP($A55,数出表_Excel!$A$6:$T$150,COLUMN()/2+1,FALSE))),"")</f>
        <v/>
      </c>
      <c r="G55" s="142"/>
      <c r="H55" s="142" t="str">
        <f ca="1">IFERROR(VALUE(IF(VLOOKUP($A55,数出表_Excel!$A$6:$T$150,COLUMN()/2+1,FALSE)=0,"",VLOOKUP($A55,数出表_Excel!$A$6:$T$150,COLUMN()/2+1,FALSE))),"")</f>
        <v/>
      </c>
      <c r="I55" s="142"/>
      <c r="J55" s="142" t="str">
        <f ca="1">IFERROR(VALUE(IF(VLOOKUP($A55,数出表_Excel!$A$6:$T$150,COLUMN()/2+1,FALSE)=0,"",VLOOKUP($A55,数出表_Excel!$A$6:$T$150,COLUMN()/2+1,FALSE))),"")</f>
        <v/>
      </c>
      <c r="K55" s="209"/>
      <c r="L55" s="147" t="str">
        <f ca="1">IFERROR(VALUE(IF(VLOOKUP($A55,数出表_Excel!$A$6:$T$150,COLUMN()/2+1,FALSE)=0,"",VLOOKUP($A55,数出表_Excel!$A$6:$T$150,COLUMN()/2+1,FALSE))),"")</f>
        <v/>
      </c>
      <c r="M55" s="142"/>
      <c r="N55" s="142" t="str">
        <f ca="1">IFERROR(VALUE(IF(VLOOKUP($A55,数出表_Excel!$A$6:$T$150,COLUMN()/2+1,FALSE)=0,"",VLOOKUP($A55,数出表_Excel!$A$6:$T$150,COLUMN()/2+1,FALSE))),"")</f>
        <v/>
      </c>
      <c r="O55" s="142"/>
      <c r="P55" s="142" t="str">
        <f ca="1">IFERROR(VALUE(IF(VLOOKUP($A55,数出表_Excel!$A$6:$T$150,COLUMN()/2+1,FALSE)=0,"",VLOOKUP($A55,数出表_Excel!$A$6:$T$150,COLUMN()/2+1,FALSE))),"")</f>
        <v/>
      </c>
      <c r="Q55" s="142"/>
      <c r="R55" s="142" t="str">
        <f ca="1">IFERROR(VALUE(IF(VLOOKUP($A55,数出表_Excel!$A$6:$T$150,COLUMN()/2+1,FALSE)=0,"",VLOOKUP($A55,数出表_Excel!$A$6:$T$150,COLUMN()/2+1,FALSE))),"")</f>
        <v/>
      </c>
      <c r="S55" s="142"/>
      <c r="T55" s="142" t="str">
        <f ca="1">IFERROR(VALUE(IF(VLOOKUP($A55,数出表_Excel!$A$6:$T$150,COLUMN()/2+1,FALSE)=0,"",VLOOKUP($A55,数出表_Excel!$A$6:$T$150,COLUMN()/2+1,FALSE))),"")</f>
        <v/>
      </c>
      <c r="U55" s="142"/>
      <c r="V55" s="146" t="str">
        <f ca="1">IFERROR(VALUE(IF(VLOOKUP($A55,数出表_Excel!$A$6:$T$150,COLUMN()/2+1,FALSE)=0,"",VLOOKUP($A55,数出表_Excel!$A$6:$T$150,COLUMN()/2+1,FALSE))),"")</f>
        <v/>
      </c>
      <c r="W55" s="142"/>
      <c r="X55" s="146" t="str">
        <f ca="1">IFERROR(VALUE(IF(VLOOKUP($A55,数出表_Excel!$A$6:$T$150,COLUMN()/2+1,FALSE)=0,"",VLOOKUP($A55,数出表_Excel!$A$6:$T$150,COLUMN()/2+1,FALSE))),"")</f>
        <v/>
      </c>
      <c r="Y55" s="142"/>
      <c r="Z55" s="146" t="str">
        <f ca="1">IFERROR(VALUE(IF(VLOOKUP($A55,数出表_Excel!$A$6:$T$150,COLUMN()/2+1,FALSE)=0,"",VLOOKUP($A55,数出表_Excel!$A$6:$T$150,COLUMN()/2+1,FALSE))),"")</f>
        <v/>
      </c>
      <c r="AA55" s="209"/>
      <c r="AB55" s="147" t="str">
        <f ca="1">IFERROR(VALUE(IF(VLOOKUP($A55,数出表_Excel!$A$6:$T$150,COLUMN()/2+1,FALSE)=0,"",VLOOKUP($A55,数出表_Excel!$A$6:$T$150,COLUMN()/2+1,FALSE))),"")</f>
        <v/>
      </c>
      <c r="AC55" s="142"/>
      <c r="AD55" s="146" t="str">
        <f ca="1">IFERROR(VALUE(IF(VLOOKUP($A55,数出表_Excel!$A$6:$T$150,COLUMN()/2+1,FALSE)=0,"",VLOOKUP($A55,数出表_Excel!$A$6:$T$150,COLUMN()/2+1,FALSE))),"")</f>
        <v/>
      </c>
      <c r="AE55" s="142"/>
      <c r="AF55" s="146" t="str">
        <f ca="1">IFERROR(VALUE(IF(VLOOKUP($A55,数出表_Excel!$A$6:$T$150,COLUMN()/2+1,FALSE)=0,"",VLOOKUP($A55,数出表_Excel!$A$6:$T$150,COLUMN()/2+1,FALSE))),"")</f>
        <v/>
      </c>
      <c r="AG55" s="142"/>
      <c r="AH55" s="146" t="str">
        <f ca="1">IFERROR(VALUE(IF(VLOOKUP($A55,数出表_Excel!$A$6:$T$150,COLUMN()/2+1,FALSE)=0,"",VLOOKUP($A55,数出表_Excel!$A$6:$T$150,COLUMN()/2+1,FALSE))),"")</f>
        <v/>
      </c>
      <c r="AI55" s="209"/>
      <c r="AJ55" s="147" t="str">
        <f ca="1">IFERROR(VALUE(IF(VLOOKUP($A55,数出表_Excel!$A$6:$T$150,COLUMN()/2+1,FALSE)=0,"",VLOOKUP($A55,数出表_Excel!$A$6:$T$150,COLUMN()/2+1,FALSE))),"")</f>
        <v/>
      </c>
      <c r="AK55" s="142"/>
      <c r="AL55" s="148" t="e">
        <f ca="1">IF(A55&lt;&gt;"",
IF(VLOOKUP($A55,数出表_Excel!$A$6:$T$150,COLUMN()/2+1,FALSE)=0,"",VLOOKUP($A55,数出表_Excel!$A$6:$T$150,COLUMN()/2+1,FALSE)),"")</f>
        <v>#N/A</v>
      </c>
      <c r="AM55" s="263">
        <f>数出表_Excel!V55</f>
        <v>0</v>
      </c>
      <c r="AN55" s="264">
        <f>数出表_Excel!W55</f>
        <v>0</v>
      </c>
    </row>
    <row r="56" spans="1:40" ht="16.2" customHeight="1" x14ac:dyDescent="0.45">
      <c r="A56" s="219" t="str">
        <f t="array" aca="1" ref="A56" ca="1">IF(OR(COUNTIF(A54,"*10002*"),COUNTIF(A54,"")),"",INDEX(貼り付け用!$A:$A,MATCH(A54,貼り付け用!$A:$A,0)+2,0))</f>
        <v>17600</v>
      </c>
      <c r="B56" s="204" t="str">
        <f ca="1">IFERROR(VALUE(IF(VLOOKUP($A56,数出表_Excel!$A$6:$T$150,COLUMN()/2+1,FALSE)=0,"",VLOOKUP($A56,数出表_Excel!$A$6:$T$150,COLUMN()/2+1,FALSE))),"")</f>
        <v/>
      </c>
      <c r="C56" s="141"/>
      <c r="D56" s="204" t="str">
        <f ca="1">IFERROR(VALUE(IF(VLOOKUP($A56,数出表_Excel!$A$6:$T$150,COLUMN()/2+1,FALSE)=0,"",VLOOKUP($A56,数出表_Excel!$A$6:$T$150,COLUMN()/2+1,FALSE))),"")</f>
        <v/>
      </c>
      <c r="E56" s="141"/>
      <c r="F56" s="207" t="str">
        <f ca="1">IFERROR(VALUE(IF(VLOOKUP($A56,数出表_Excel!$A$6:$T$150,COLUMN()/2+1,FALSE)=0,"",VLOOKUP($A56,数出表_Excel!$A$6:$T$150,COLUMN()/2+1,FALSE))),"")</f>
        <v/>
      </c>
      <c r="G56" s="141"/>
      <c r="H56" s="204" t="str">
        <f ca="1">IFERROR(VALUE(IF(VLOOKUP($A56,数出表_Excel!$A$6:$T$150,COLUMN()/2+1,FALSE)=0,"",VLOOKUP($A56,数出表_Excel!$A$6:$T$150,COLUMN()/2+1,FALSE))),"")</f>
        <v/>
      </c>
      <c r="I56" s="141"/>
      <c r="J56" s="204" t="str">
        <f ca="1">IFERROR(VALUE(IF(VLOOKUP($A56,数出表_Excel!$A$6:$T$150,COLUMN()/2+1,FALSE)=0,"",VLOOKUP($A56,数出表_Excel!$A$6:$T$150,COLUMN()/2+1,FALSE))),"")</f>
        <v/>
      </c>
      <c r="K56" s="208"/>
      <c r="L56" s="205" t="str">
        <f ca="1">IFERROR(VALUE(IF(VLOOKUP($A56,数出表_Excel!$A$6:$T$150,COLUMN()/2+1,FALSE)=0,"",VLOOKUP($A56,数出表_Excel!$A$6:$T$150,COLUMN()/2+1,FALSE))),"")</f>
        <v/>
      </c>
      <c r="M56" s="141"/>
      <c r="N56" s="204" t="str">
        <f ca="1">IFERROR(VALUE(IF(VLOOKUP($A56,数出表_Excel!$A$6:$T$150,COLUMN()/2+1,FALSE)=0,"",VLOOKUP($A56,数出表_Excel!$A$6:$T$150,COLUMN()/2+1,FALSE))),"")</f>
        <v/>
      </c>
      <c r="O56" s="141"/>
      <c r="P56" s="204" t="str">
        <f ca="1">IFERROR(VALUE(IF(VLOOKUP($A56,数出表_Excel!$A$6:$T$150,COLUMN()/2+1,FALSE)=0,"",VLOOKUP($A56,数出表_Excel!$A$6:$T$150,COLUMN()/2+1,FALSE))),"")</f>
        <v/>
      </c>
      <c r="Q56" s="141"/>
      <c r="R56" s="204" t="str">
        <f ca="1">IFERROR(VALUE(IF(VLOOKUP($A56,数出表_Excel!$A$6:$T$150,COLUMN()/2+1,FALSE)=0,"",VLOOKUP($A56,数出表_Excel!$A$6:$T$150,COLUMN()/2+1,FALSE))),"")</f>
        <v/>
      </c>
      <c r="S56" s="141"/>
      <c r="T56" s="204" t="str">
        <f ca="1">IFERROR(VALUE(IF(VLOOKUP($A56,数出表_Excel!$A$6:$T$150,COLUMN()/2+1,FALSE)=0,"",VLOOKUP($A56,数出表_Excel!$A$6:$T$150,COLUMN()/2+1,FALSE))),"")</f>
        <v/>
      </c>
      <c r="U56" s="141"/>
      <c r="V56" s="207" t="str">
        <f ca="1">IFERROR(VALUE(IF(VLOOKUP($A56,数出表_Excel!$A$6:$T$150,COLUMN()/2+1,FALSE)=0,"",VLOOKUP($A56,数出表_Excel!$A$6:$T$150,COLUMN()/2+1,FALSE))),"")</f>
        <v/>
      </c>
      <c r="W56" s="141"/>
      <c r="X56" s="207" t="str">
        <f ca="1">IFERROR(VALUE(IF(VLOOKUP($A56,数出表_Excel!$A$6:$T$150,COLUMN()/2+1,FALSE)=0,"",VLOOKUP($A56,数出表_Excel!$A$6:$T$150,COLUMN()/2+1,FALSE))),"")</f>
        <v/>
      </c>
      <c r="Y56" s="141"/>
      <c r="Z56" s="207" t="str">
        <f ca="1">IFERROR(VALUE(IF(VLOOKUP($A56,数出表_Excel!$A$6:$T$150,COLUMN()/2+1,FALSE)=0,"",VLOOKUP($A56,数出表_Excel!$A$6:$T$150,COLUMN()/2+1,FALSE))),"")</f>
        <v/>
      </c>
      <c r="AA56" s="208"/>
      <c r="AB56" s="205" t="str">
        <f ca="1">IFERROR(VALUE(IF(VLOOKUP($A56,数出表_Excel!$A$6:$T$150,COLUMN()/2+1,FALSE)=0,"",VLOOKUP($A56,数出表_Excel!$A$6:$T$150,COLUMN()/2+1,FALSE))),"")</f>
        <v/>
      </c>
      <c r="AC56" s="141"/>
      <c r="AD56" s="207" t="str">
        <f ca="1">IFERROR(VALUE(IF(VLOOKUP($A56,数出表_Excel!$A$6:$T$150,COLUMN()/2+1,FALSE)=0,"",VLOOKUP($A56,数出表_Excel!$A$6:$T$150,COLUMN()/2+1,FALSE))),"")</f>
        <v/>
      </c>
      <c r="AE56" s="141"/>
      <c r="AF56" s="207" t="str">
        <f ca="1">IFERROR(VALUE(IF(VLOOKUP($A56,数出表_Excel!$A$6:$T$150,COLUMN()/2+1,FALSE)=0,"",VLOOKUP($A56,数出表_Excel!$A$6:$T$150,COLUMN()/2+1,FALSE))),"")</f>
        <v/>
      </c>
      <c r="AG56" s="141"/>
      <c r="AH56" s="207" t="str">
        <f ca="1">IFERROR(VALUE(IF(VLOOKUP($A56,数出表_Excel!$A$6:$T$150,COLUMN()/2+1,FALSE)=0,"",VLOOKUP($A56,数出表_Excel!$A$6:$T$150,COLUMN()/2+1,FALSE))),"")</f>
        <v/>
      </c>
      <c r="AI56" s="208"/>
      <c r="AJ56" s="205" t="str">
        <f ca="1">IFERROR(VALUE(IF(VLOOKUP($A56,数出表_Excel!$A$6:$T$150,COLUMN()/2+1,FALSE)=0,"",VLOOKUP($A56,数出表_Excel!$A$6:$T$150,COLUMN()/2+1,FALSE))),"")</f>
        <v/>
      </c>
      <c r="AK56" s="141"/>
      <c r="AL56" s="145" t="e">
        <f ca="1">IF(A56&lt;&gt;"",
IF(VLOOKUP($A56,数出表_Excel!$A$6:$T$150,COLUMN()/2+1,FALSE)=0,"",VLOOKUP($A56,数出表_Excel!$A$6:$T$150,COLUMN()/2+1,FALSE)),"")</f>
        <v>#N/A</v>
      </c>
      <c r="AM56" s="261">
        <f>数出表_Excel!V56</f>
        <v>0</v>
      </c>
      <c r="AN56" s="262">
        <f>数出表_Excel!W56</f>
        <v>0</v>
      </c>
    </row>
    <row r="57" spans="1:40" ht="16.2" customHeight="1" x14ac:dyDescent="0.45">
      <c r="A57" s="220" t="str">
        <f t="array" aca="1" ref="A57" ca="1">IF(OR(COUNTIF(A55,"*1000*"),COUNTIF(A55,"")),"",INDEX(貼り付け用!$A:$A,MATCH(A55,貼り付け用!$A:$A,0)+2,0))</f>
        <v>シャインスターキッズ</v>
      </c>
      <c r="B57" s="142" t="str">
        <f ca="1">IFERROR(VALUE(IF(VLOOKUP($A57,数出表_Excel!$A$6:$T$150,COLUMN()/2+1,FALSE)=0,"",VLOOKUP($A57,数出表_Excel!$A$6:$T$150,COLUMN()/2+1,FALSE))),"")</f>
        <v/>
      </c>
      <c r="C57" s="142"/>
      <c r="D57" s="142" t="str">
        <f ca="1">IFERROR(VALUE(IF(VLOOKUP($A57,数出表_Excel!$A$6:$T$150,COLUMN()/2+1,FALSE)=0,"",VLOOKUP($A57,数出表_Excel!$A$6:$T$150,COLUMN()/2+1,FALSE))),"")</f>
        <v/>
      </c>
      <c r="E57" s="142"/>
      <c r="F57" s="146" t="str">
        <f ca="1">IFERROR(VALUE(IF(VLOOKUP($A57,数出表_Excel!$A$6:$T$150,COLUMN()/2+1,FALSE)=0,"",VLOOKUP($A57,数出表_Excel!$A$6:$T$150,COLUMN()/2+1,FALSE))),"")</f>
        <v/>
      </c>
      <c r="G57" s="142"/>
      <c r="H57" s="142" t="str">
        <f ca="1">IFERROR(VALUE(IF(VLOOKUP($A57,数出表_Excel!$A$6:$T$150,COLUMN()/2+1,FALSE)=0,"",VLOOKUP($A57,数出表_Excel!$A$6:$T$150,COLUMN()/2+1,FALSE))),"")</f>
        <v/>
      </c>
      <c r="I57" s="142"/>
      <c r="J57" s="142" t="str">
        <f ca="1">IFERROR(VALUE(IF(VLOOKUP($A57,数出表_Excel!$A$6:$T$150,COLUMN()/2+1,FALSE)=0,"",VLOOKUP($A57,数出表_Excel!$A$6:$T$150,COLUMN()/2+1,FALSE))),"")</f>
        <v/>
      </c>
      <c r="K57" s="209"/>
      <c r="L57" s="147" t="str">
        <f ca="1">IFERROR(VALUE(IF(VLOOKUP($A57,数出表_Excel!$A$6:$T$150,COLUMN()/2+1,FALSE)=0,"",VLOOKUP($A57,数出表_Excel!$A$6:$T$150,COLUMN()/2+1,FALSE))),"")</f>
        <v/>
      </c>
      <c r="M57" s="142"/>
      <c r="N57" s="142" t="str">
        <f ca="1">IFERROR(VALUE(IF(VLOOKUP($A57,数出表_Excel!$A$6:$T$150,COLUMN()/2+1,FALSE)=0,"",VLOOKUP($A57,数出表_Excel!$A$6:$T$150,COLUMN()/2+1,FALSE))),"")</f>
        <v/>
      </c>
      <c r="O57" s="142"/>
      <c r="P57" s="142" t="str">
        <f ca="1">IFERROR(VALUE(IF(VLOOKUP($A57,数出表_Excel!$A$6:$T$150,COLUMN()/2+1,FALSE)=0,"",VLOOKUP($A57,数出表_Excel!$A$6:$T$150,COLUMN()/2+1,FALSE))),"")</f>
        <v/>
      </c>
      <c r="Q57" s="142"/>
      <c r="R57" s="142" t="str">
        <f ca="1">IFERROR(VALUE(IF(VLOOKUP($A57,数出表_Excel!$A$6:$T$150,COLUMN()/2+1,FALSE)=0,"",VLOOKUP($A57,数出表_Excel!$A$6:$T$150,COLUMN()/2+1,FALSE))),"")</f>
        <v/>
      </c>
      <c r="S57" s="142"/>
      <c r="T57" s="142" t="str">
        <f ca="1">IFERROR(VALUE(IF(VLOOKUP($A57,数出表_Excel!$A$6:$T$150,COLUMN()/2+1,FALSE)=0,"",VLOOKUP($A57,数出表_Excel!$A$6:$T$150,COLUMN()/2+1,FALSE))),"")</f>
        <v/>
      </c>
      <c r="U57" s="142"/>
      <c r="V57" s="146" t="str">
        <f ca="1">IFERROR(VALUE(IF(VLOOKUP($A57,数出表_Excel!$A$6:$T$150,COLUMN()/2+1,FALSE)=0,"",VLOOKUP($A57,数出表_Excel!$A$6:$T$150,COLUMN()/2+1,FALSE))),"")</f>
        <v/>
      </c>
      <c r="W57" s="142"/>
      <c r="X57" s="146" t="str">
        <f ca="1">IFERROR(VALUE(IF(VLOOKUP($A57,数出表_Excel!$A$6:$T$150,COLUMN()/2+1,FALSE)=0,"",VLOOKUP($A57,数出表_Excel!$A$6:$T$150,COLUMN()/2+1,FALSE))),"")</f>
        <v/>
      </c>
      <c r="Y57" s="142"/>
      <c r="Z57" s="146" t="str">
        <f ca="1">IFERROR(VALUE(IF(VLOOKUP($A57,数出表_Excel!$A$6:$T$150,COLUMN()/2+1,FALSE)=0,"",VLOOKUP($A57,数出表_Excel!$A$6:$T$150,COLUMN()/2+1,FALSE))),"")</f>
        <v/>
      </c>
      <c r="AA57" s="209"/>
      <c r="AB57" s="147" t="str">
        <f ca="1">IFERROR(VALUE(IF(VLOOKUP($A57,数出表_Excel!$A$6:$T$150,COLUMN()/2+1,FALSE)=0,"",VLOOKUP($A57,数出表_Excel!$A$6:$T$150,COLUMN()/2+1,FALSE))),"")</f>
        <v/>
      </c>
      <c r="AC57" s="142"/>
      <c r="AD57" s="146" t="str">
        <f ca="1">IFERROR(VALUE(IF(VLOOKUP($A57,数出表_Excel!$A$6:$T$150,COLUMN()/2+1,FALSE)=0,"",VLOOKUP($A57,数出表_Excel!$A$6:$T$150,COLUMN()/2+1,FALSE))),"")</f>
        <v/>
      </c>
      <c r="AE57" s="142"/>
      <c r="AF57" s="146" t="str">
        <f ca="1">IFERROR(VALUE(IF(VLOOKUP($A57,数出表_Excel!$A$6:$T$150,COLUMN()/2+1,FALSE)=0,"",VLOOKUP($A57,数出表_Excel!$A$6:$T$150,COLUMN()/2+1,FALSE))),"")</f>
        <v/>
      </c>
      <c r="AG57" s="142"/>
      <c r="AH57" s="146" t="str">
        <f ca="1">IFERROR(VALUE(IF(VLOOKUP($A57,数出表_Excel!$A$6:$T$150,COLUMN()/2+1,FALSE)=0,"",VLOOKUP($A57,数出表_Excel!$A$6:$T$150,COLUMN()/2+1,FALSE))),"")</f>
        <v/>
      </c>
      <c r="AI57" s="209"/>
      <c r="AJ57" s="147" t="str">
        <f ca="1">IFERROR(VALUE(IF(VLOOKUP($A57,数出表_Excel!$A$6:$T$150,COLUMN()/2+1,FALSE)=0,"",VLOOKUP($A57,数出表_Excel!$A$6:$T$150,COLUMN()/2+1,FALSE))),"")</f>
        <v/>
      </c>
      <c r="AK57" s="142"/>
      <c r="AL57" s="148" t="e">
        <f ca="1">IF(A57&lt;&gt;"",
IF(VLOOKUP($A57,数出表_Excel!$A$6:$T$150,COLUMN()/2+1,FALSE)=0,"",VLOOKUP($A57,数出表_Excel!$A$6:$T$150,COLUMN()/2+1,FALSE)),"")</f>
        <v>#N/A</v>
      </c>
      <c r="AM57" s="263">
        <f>数出表_Excel!V57</f>
        <v>0</v>
      </c>
      <c r="AN57" s="264">
        <f>数出表_Excel!W57</f>
        <v>0</v>
      </c>
    </row>
    <row r="58" spans="1:40" ht="16.2" customHeight="1" x14ac:dyDescent="0.45">
      <c r="A58" s="219" t="str">
        <f t="array" aca="1" ref="A58" ca="1">IF(OR(COUNTIF(A56,"*10002*"),COUNTIF(A56,"")),"",INDEX(貼り付け用!$A:$A,MATCH(A56,貼り付け用!$A:$A,0)+2,0))</f>
        <v>18500</v>
      </c>
      <c r="B58" s="204" t="str">
        <f ca="1">IFERROR(VALUE(IF(VLOOKUP($A58,数出表_Excel!$A$6:$T$150,COLUMN()/2+1,FALSE)=0,"",VLOOKUP($A58,数出表_Excel!$A$6:$T$150,COLUMN()/2+1,FALSE))),"")</f>
        <v/>
      </c>
      <c r="C58" s="141"/>
      <c r="D58" s="204" t="str">
        <f ca="1">IFERROR(VALUE(IF(VLOOKUP($A58,数出表_Excel!$A$6:$T$150,COLUMN()/2+1,FALSE)=0,"",VLOOKUP($A58,数出表_Excel!$A$6:$T$150,COLUMN()/2+1,FALSE))),"")</f>
        <v/>
      </c>
      <c r="E58" s="141"/>
      <c r="F58" s="207" t="str">
        <f ca="1">IFERROR(VALUE(IF(VLOOKUP($A58,数出表_Excel!$A$6:$T$150,COLUMN()/2+1,FALSE)=0,"",VLOOKUP($A58,数出表_Excel!$A$6:$T$150,COLUMN()/2+1,FALSE))),"")</f>
        <v/>
      </c>
      <c r="G58" s="141"/>
      <c r="H58" s="204" t="str">
        <f ca="1">IFERROR(VALUE(IF(VLOOKUP($A58,数出表_Excel!$A$6:$T$150,COLUMN()/2+1,FALSE)=0,"",VLOOKUP($A58,数出表_Excel!$A$6:$T$150,COLUMN()/2+1,FALSE))),"")</f>
        <v/>
      </c>
      <c r="I58" s="141"/>
      <c r="J58" s="204" t="str">
        <f ca="1">IFERROR(VALUE(IF(VLOOKUP($A58,数出表_Excel!$A$6:$T$150,COLUMN()/2+1,FALSE)=0,"",VLOOKUP($A58,数出表_Excel!$A$6:$T$150,COLUMN()/2+1,FALSE))),"")</f>
        <v/>
      </c>
      <c r="K58" s="208"/>
      <c r="L58" s="205" t="str">
        <f ca="1">IFERROR(VALUE(IF(VLOOKUP($A58,数出表_Excel!$A$6:$T$150,COLUMN()/2+1,FALSE)=0,"",VLOOKUP($A58,数出表_Excel!$A$6:$T$150,COLUMN()/2+1,FALSE))),"")</f>
        <v/>
      </c>
      <c r="M58" s="141"/>
      <c r="N58" s="204" t="str">
        <f ca="1">IFERROR(VALUE(IF(VLOOKUP($A58,数出表_Excel!$A$6:$T$150,COLUMN()/2+1,FALSE)=0,"",VLOOKUP($A58,数出表_Excel!$A$6:$T$150,COLUMN()/2+1,FALSE))),"")</f>
        <v/>
      </c>
      <c r="O58" s="141"/>
      <c r="P58" s="204" t="str">
        <f ca="1">IFERROR(VALUE(IF(VLOOKUP($A58,数出表_Excel!$A$6:$T$150,COLUMN()/2+1,FALSE)=0,"",VLOOKUP($A58,数出表_Excel!$A$6:$T$150,COLUMN()/2+1,FALSE))),"")</f>
        <v/>
      </c>
      <c r="Q58" s="141"/>
      <c r="R58" s="204" t="str">
        <f ca="1">IFERROR(VALUE(IF(VLOOKUP($A58,数出表_Excel!$A$6:$T$150,COLUMN()/2+1,FALSE)=0,"",VLOOKUP($A58,数出表_Excel!$A$6:$T$150,COLUMN()/2+1,FALSE))),"")</f>
        <v/>
      </c>
      <c r="S58" s="141"/>
      <c r="T58" s="204" t="str">
        <f ca="1">IFERROR(VALUE(IF(VLOOKUP($A58,数出表_Excel!$A$6:$T$150,COLUMN()/2+1,FALSE)=0,"",VLOOKUP($A58,数出表_Excel!$A$6:$T$150,COLUMN()/2+1,FALSE))),"")</f>
        <v/>
      </c>
      <c r="U58" s="141"/>
      <c r="V58" s="207" t="str">
        <f ca="1">IFERROR(VALUE(IF(VLOOKUP($A58,数出表_Excel!$A$6:$T$150,COLUMN()/2+1,FALSE)=0,"",VLOOKUP($A58,数出表_Excel!$A$6:$T$150,COLUMN()/2+1,FALSE))),"")</f>
        <v/>
      </c>
      <c r="W58" s="141"/>
      <c r="X58" s="207" t="str">
        <f ca="1">IFERROR(VALUE(IF(VLOOKUP($A58,数出表_Excel!$A$6:$T$150,COLUMN()/2+1,FALSE)=0,"",VLOOKUP($A58,数出表_Excel!$A$6:$T$150,COLUMN()/2+1,FALSE))),"")</f>
        <v/>
      </c>
      <c r="Y58" s="141"/>
      <c r="Z58" s="207" t="str">
        <f ca="1">IFERROR(VALUE(IF(VLOOKUP($A58,数出表_Excel!$A$6:$T$150,COLUMN()/2+1,FALSE)=0,"",VLOOKUP($A58,数出表_Excel!$A$6:$T$150,COLUMN()/2+1,FALSE))),"")</f>
        <v/>
      </c>
      <c r="AA58" s="208"/>
      <c r="AB58" s="205" t="str">
        <f ca="1">IFERROR(VALUE(IF(VLOOKUP($A58,数出表_Excel!$A$6:$T$150,COLUMN()/2+1,FALSE)=0,"",VLOOKUP($A58,数出表_Excel!$A$6:$T$150,COLUMN()/2+1,FALSE))),"")</f>
        <v/>
      </c>
      <c r="AC58" s="141"/>
      <c r="AD58" s="207" t="str">
        <f ca="1">IFERROR(VALUE(IF(VLOOKUP($A58,数出表_Excel!$A$6:$T$150,COLUMN()/2+1,FALSE)=0,"",VLOOKUP($A58,数出表_Excel!$A$6:$T$150,COLUMN()/2+1,FALSE))),"")</f>
        <v/>
      </c>
      <c r="AE58" s="141"/>
      <c r="AF58" s="207" t="str">
        <f ca="1">IFERROR(VALUE(IF(VLOOKUP($A58,数出表_Excel!$A$6:$T$150,COLUMN()/2+1,FALSE)=0,"",VLOOKUP($A58,数出表_Excel!$A$6:$T$150,COLUMN()/2+1,FALSE))),"")</f>
        <v/>
      </c>
      <c r="AG58" s="141"/>
      <c r="AH58" s="207" t="str">
        <f ca="1">IFERROR(VALUE(IF(VLOOKUP($A58,数出表_Excel!$A$6:$T$150,COLUMN()/2+1,FALSE)=0,"",VLOOKUP($A58,数出表_Excel!$A$6:$T$150,COLUMN()/2+1,FALSE))),"")</f>
        <v/>
      </c>
      <c r="AI58" s="208"/>
      <c r="AJ58" s="205" t="str">
        <f ca="1">IFERROR(VALUE(IF(VLOOKUP($A58,数出表_Excel!$A$6:$T$150,COLUMN()/2+1,FALSE)=0,"",VLOOKUP($A58,数出表_Excel!$A$6:$T$150,COLUMN()/2+1,FALSE))),"")</f>
        <v/>
      </c>
      <c r="AK58" s="141"/>
      <c r="AL58" s="145" t="e">
        <f ca="1">IF(A58&lt;&gt;"",
IF(VLOOKUP($A58,数出表_Excel!$A$6:$T$150,COLUMN()/2+1,FALSE)=0,"",VLOOKUP($A58,数出表_Excel!$A$6:$T$150,COLUMN()/2+1,FALSE)),"")</f>
        <v>#N/A</v>
      </c>
      <c r="AM58" s="261">
        <f>数出表_Excel!V58</f>
        <v>0</v>
      </c>
      <c r="AN58" s="262">
        <f>数出表_Excel!W58</f>
        <v>0</v>
      </c>
    </row>
    <row r="59" spans="1:40" ht="16.2" customHeight="1" x14ac:dyDescent="0.45">
      <c r="A59" s="220" t="str">
        <f t="array" aca="1" ref="A59" ca="1">IF(OR(COUNTIF(A57,"*1000*"),COUNTIF(A57,"")),"",INDEX(貼り付け用!$A:$A,MATCH(A57,貼り付け用!$A:$A,0)+2,0))</f>
        <v>ことばの森プリスクール</v>
      </c>
      <c r="B59" s="142" t="str">
        <f ca="1">IFERROR(VALUE(IF(VLOOKUP($A59,数出表_Excel!$A$6:$T$150,COLUMN()/2+1,FALSE)=0,"",VLOOKUP($A59,数出表_Excel!$A$6:$T$150,COLUMN()/2+1,FALSE))),"")</f>
        <v/>
      </c>
      <c r="C59" s="142"/>
      <c r="D59" s="142" t="str">
        <f ca="1">IFERROR(VALUE(IF(VLOOKUP($A59,数出表_Excel!$A$6:$T$150,COLUMN()/2+1,FALSE)=0,"",VLOOKUP($A59,数出表_Excel!$A$6:$T$150,COLUMN()/2+1,FALSE))),"")</f>
        <v/>
      </c>
      <c r="E59" s="142"/>
      <c r="F59" s="146" t="str">
        <f ca="1">IFERROR(VALUE(IF(VLOOKUP($A59,数出表_Excel!$A$6:$T$150,COLUMN()/2+1,FALSE)=0,"",VLOOKUP($A59,数出表_Excel!$A$6:$T$150,COLUMN()/2+1,FALSE))),"")</f>
        <v/>
      </c>
      <c r="G59" s="142"/>
      <c r="H59" s="142" t="str">
        <f ca="1">IFERROR(VALUE(IF(VLOOKUP($A59,数出表_Excel!$A$6:$T$150,COLUMN()/2+1,FALSE)=0,"",VLOOKUP($A59,数出表_Excel!$A$6:$T$150,COLUMN()/2+1,FALSE))),"")</f>
        <v/>
      </c>
      <c r="I59" s="142"/>
      <c r="J59" s="142" t="str">
        <f ca="1">IFERROR(VALUE(IF(VLOOKUP($A59,数出表_Excel!$A$6:$T$150,COLUMN()/2+1,FALSE)=0,"",VLOOKUP($A59,数出表_Excel!$A$6:$T$150,COLUMN()/2+1,FALSE))),"")</f>
        <v/>
      </c>
      <c r="K59" s="209"/>
      <c r="L59" s="147" t="str">
        <f ca="1">IFERROR(VALUE(IF(VLOOKUP($A59,数出表_Excel!$A$6:$T$150,COLUMN()/2+1,FALSE)=0,"",VLOOKUP($A59,数出表_Excel!$A$6:$T$150,COLUMN()/2+1,FALSE))),"")</f>
        <v/>
      </c>
      <c r="M59" s="142"/>
      <c r="N59" s="142" t="str">
        <f ca="1">IFERROR(VALUE(IF(VLOOKUP($A59,数出表_Excel!$A$6:$T$150,COLUMN()/2+1,FALSE)=0,"",VLOOKUP($A59,数出表_Excel!$A$6:$T$150,COLUMN()/2+1,FALSE))),"")</f>
        <v/>
      </c>
      <c r="O59" s="142"/>
      <c r="P59" s="142" t="str">
        <f ca="1">IFERROR(VALUE(IF(VLOOKUP($A59,数出表_Excel!$A$6:$T$150,COLUMN()/2+1,FALSE)=0,"",VLOOKUP($A59,数出表_Excel!$A$6:$T$150,COLUMN()/2+1,FALSE))),"")</f>
        <v/>
      </c>
      <c r="Q59" s="142"/>
      <c r="R59" s="142" t="str">
        <f ca="1">IFERROR(VALUE(IF(VLOOKUP($A59,数出表_Excel!$A$6:$T$150,COLUMN()/2+1,FALSE)=0,"",VLOOKUP($A59,数出表_Excel!$A$6:$T$150,COLUMN()/2+1,FALSE))),"")</f>
        <v/>
      </c>
      <c r="S59" s="142"/>
      <c r="T59" s="142" t="str">
        <f ca="1">IFERROR(VALUE(IF(VLOOKUP($A59,数出表_Excel!$A$6:$T$150,COLUMN()/2+1,FALSE)=0,"",VLOOKUP($A59,数出表_Excel!$A$6:$T$150,COLUMN()/2+1,FALSE))),"")</f>
        <v/>
      </c>
      <c r="U59" s="142"/>
      <c r="V59" s="146" t="str">
        <f ca="1">IFERROR(VALUE(IF(VLOOKUP($A59,数出表_Excel!$A$6:$T$150,COLUMN()/2+1,FALSE)=0,"",VLOOKUP($A59,数出表_Excel!$A$6:$T$150,COLUMN()/2+1,FALSE))),"")</f>
        <v/>
      </c>
      <c r="W59" s="142"/>
      <c r="X59" s="146" t="str">
        <f ca="1">IFERROR(VALUE(IF(VLOOKUP($A59,数出表_Excel!$A$6:$T$150,COLUMN()/2+1,FALSE)=0,"",VLOOKUP($A59,数出表_Excel!$A$6:$T$150,COLUMN()/2+1,FALSE))),"")</f>
        <v/>
      </c>
      <c r="Y59" s="142"/>
      <c r="Z59" s="146" t="str">
        <f ca="1">IFERROR(VALUE(IF(VLOOKUP($A59,数出表_Excel!$A$6:$T$150,COLUMN()/2+1,FALSE)=0,"",VLOOKUP($A59,数出表_Excel!$A$6:$T$150,COLUMN()/2+1,FALSE))),"")</f>
        <v/>
      </c>
      <c r="AA59" s="209"/>
      <c r="AB59" s="147" t="str">
        <f ca="1">IFERROR(VALUE(IF(VLOOKUP($A59,数出表_Excel!$A$6:$T$150,COLUMN()/2+1,FALSE)=0,"",VLOOKUP($A59,数出表_Excel!$A$6:$T$150,COLUMN()/2+1,FALSE))),"")</f>
        <v/>
      </c>
      <c r="AC59" s="142"/>
      <c r="AD59" s="146" t="str">
        <f ca="1">IFERROR(VALUE(IF(VLOOKUP($A59,数出表_Excel!$A$6:$T$150,COLUMN()/2+1,FALSE)=0,"",VLOOKUP($A59,数出表_Excel!$A$6:$T$150,COLUMN()/2+1,FALSE))),"")</f>
        <v/>
      </c>
      <c r="AE59" s="142"/>
      <c r="AF59" s="146" t="str">
        <f ca="1">IFERROR(VALUE(IF(VLOOKUP($A59,数出表_Excel!$A$6:$T$150,COLUMN()/2+1,FALSE)=0,"",VLOOKUP($A59,数出表_Excel!$A$6:$T$150,COLUMN()/2+1,FALSE))),"")</f>
        <v/>
      </c>
      <c r="AG59" s="142"/>
      <c r="AH59" s="146" t="str">
        <f ca="1">IFERROR(VALUE(IF(VLOOKUP($A59,数出表_Excel!$A$6:$T$150,COLUMN()/2+1,FALSE)=0,"",VLOOKUP($A59,数出表_Excel!$A$6:$T$150,COLUMN()/2+1,FALSE))),"")</f>
        <v/>
      </c>
      <c r="AI59" s="209"/>
      <c r="AJ59" s="147" t="str">
        <f ca="1">IFERROR(VALUE(IF(VLOOKUP($A59,数出表_Excel!$A$6:$T$150,COLUMN()/2+1,FALSE)=0,"",VLOOKUP($A59,数出表_Excel!$A$6:$T$150,COLUMN()/2+1,FALSE))),"")</f>
        <v/>
      </c>
      <c r="AK59" s="142"/>
      <c r="AL59" s="148" t="e">
        <f ca="1">IF(A59&lt;&gt;"",
IF(VLOOKUP($A59,数出表_Excel!$A$6:$T$150,COLUMN()/2+1,FALSE)=0,"",VLOOKUP($A59,数出表_Excel!$A$6:$T$150,COLUMN()/2+1,FALSE)),"")</f>
        <v>#N/A</v>
      </c>
      <c r="AM59" s="263">
        <f>数出表_Excel!V59</f>
        <v>0</v>
      </c>
      <c r="AN59" s="264">
        <f>数出表_Excel!W59</f>
        <v>0</v>
      </c>
    </row>
    <row r="60" spans="1:40" ht="16.2" customHeight="1" x14ac:dyDescent="0.45">
      <c r="A60" s="219" t="str">
        <f t="array" aca="1" ref="A60" ca="1">IF(OR(COUNTIF(A58,"*10002*"),COUNTIF(A58,"")),"",INDEX(貼り付け用!$A:$A,MATCH(A58,貼り付け用!$A:$A,0)+2,0))</f>
        <v>8000</v>
      </c>
      <c r="B60" s="204" t="str">
        <f ca="1">IFERROR(VALUE(IF(VLOOKUP($A60,数出表_Excel!$A$6:$T$150,COLUMN()/2+1,FALSE)=0,"",VLOOKUP($A60,数出表_Excel!$A$6:$T$150,COLUMN()/2+1,FALSE))),"")</f>
        <v/>
      </c>
      <c r="C60" s="141"/>
      <c r="D60" s="204" t="str">
        <f ca="1">IFERROR(VALUE(IF(VLOOKUP($A60,数出表_Excel!$A$6:$T$150,COLUMN()/2+1,FALSE)=0,"",VLOOKUP($A60,数出表_Excel!$A$6:$T$150,COLUMN()/2+1,FALSE))),"")</f>
        <v/>
      </c>
      <c r="E60" s="141"/>
      <c r="F60" s="207" t="str">
        <f ca="1">IFERROR(VALUE(IF(VLOOKUP($A60,数出表_Excel!$A$6:$T$150,COLUMN()/2+1,FALSE)=0,"",VLOOKUP($A60,数出表_Excel!$A$6:$T$150,COLUMN()/2+1,FALSE))),"")</f>
        <v/>
      </c>
      <c r="G60" s="141"/>
      <c r="H60" s="204" t="str">
        <f ca="1">IFERROR(VALUE(IF(VLOOKUP($A60,数出表_Excel!$A$6:$T$150,COLUMN()/2+1,FALSE)=0,"",VLOOKUP($A60,数出表_Excel!$A$6:$T$150,COLUMN()/2+1,FALSE))),"")</f>
        <v/>
      </c>
      <c r="I60" s="141"/>
      <c r="J60" s="204" t="str">
        <f ca="1">IFERROR(VALUE(IF(VLOOKUP($A60,数出表_Excel!$A$6:$T$150,COLUMN()/2+1,FALSE)=0,"",VLOOKUP($A60,数出表_Excel!$A$6:$T$150,COLUMN()/2+1,FALSE))),"")</f>
        <v/>
      </c>
      <c r="K60" s="208"/>
      <c r="L60" s="205" t="str">
        <f ca="1">IFERROR(VALUE(IF(VLOOKUP($A60,数出表_Excel!$A$6:$T$150,COLUMN()/2+1,FALSE)=0,"",VLOOKUP($A60,数出表_Excel!$A$6:$T$150,COLUMN()/2+1,FALSE))),"")</f>
        <v/>
      </c>
      <c r="M60" s="141"/>
      <c r="N60" s="204" t="str">
        <f ca="1">IFERROR(VALUE(IF(VLOOKUP($A60,数出表_Excel!$A$6:$T$150,COLUMN()/2+1,FALSE)=0,"",VLOOKUP($A60,数出表_Excel!$A$6:$T$150,COLUMN()/2+1,FALSE))),"")</f>
        <v/>
      </c>
      <c r="O60" s="141"/>
      <c r="P60" s="204" t="str">
        <f ca="1">IFERROR(VALUE(IF(VLOOKUP($A60,数出表_Excel!$A$6:$T$150,COLUMN()/2+1,FALSE)=0,"",VLOOKUP($A60,数出表_Excel!$A$6:$T$150,COLUMN()/2+1,FALSE))),"")</f>
        <v/>
      </c>
      <c r="Q60" s="141"/>
      <c r="R60" s="204" t="str">
        <f ca="1">IFERROR(VALUE(IF(VLOOKUP($A60,数出表_Excel!$A$6:$T$150,COLUMN()/2+1,FALSE)=0,"",VLOOKUP($A60,数出表_Excel!$A$6:$T$150,COLUMN()/2+1,FALSE))),"")</f>
        <v/>
      </c>
      <c r="S60" s="141"/>
      <c r="T60" s="204" t="str">
        <f ca="1">IFERROR(VALUE(IF(VLOOKUP($A60,数出表_Excel!$A$6:$T$150,COLUMN()/2+1,FALSE)=0,"",VLOOKUP($A60,数出表_Excel!$A$6:$T$150,COLUMN()/2+1,FALSE))),"")</f>
        <v/>
      </c>
      <c r="U60" s="141"/>
      <c r="V60" s="207" t="str">
        <f ca="1">IFERROR(VALUE(IF(VLOOKUP($A60,数出表_Excel!$A$6:$T$150,COLUMN()/2+1,FALSE)=0,"",VLOOKUP($A60,数出表_Excel!$A$6:$T$150,COLUMN()/2+1,FALSE))),"")</f>
        <v/>
      </c>
      <c r="W60" s="141"/>
      <c r="X60" s="207" t="str">
        <f ca="1">IFERROR(VALUE(IF(VLOOKUP($A60,数出表_Excel!$A$6:$T$150,COLUMN()/2+1,FALSE)=0,"",VLOOKUP($A60,数出表_Excel!$A$6:$T$150,COLUMN()/2+1,FALSE))),"")</f>
        <v/>
      </c>
      <c r="Y60" s="141"/>
      <c r="Z60" s="207" t="str">
        <f ca="1">IFERROR(VALUE(IF(VLOOKUP($A60,数出表_Excel!$A$6:$T$150,COLUMN()/2+1,FALSE)=0,"",VLOOKUP($A60,数出表_Excel!$A$6:$T$150,COLUMN()/2+1,FALSE))),"")</f>
        <v/>
      </c>
      <c r="AA60" s="208"/>
      <c r="AB60" s="205" t="str">
        <f ca="1">IFERROR(VALUE(IF(VLOOKUP($A60,数出表_Excel!$A$6:$T$150,COLUMN()/2+1,FALSE)=0,"",VLOOKUP($A60,数出表_Excel!$A$6:$T$150,COLUMN()/2+1,FALSE))),"")</f>
        <v/>
      </c>
      <c r="AC60" s="141"/>
      <c r="AD60" s="207" t="str">
        <f ca="1">IFERROR(VALUE(IF(VLOOKUP($A60,数出表_Excel!$A$6:$T$150,COLUMN()/2+1,FALSE)=0,"",VLOOKUP($A60,数出表_Excel!$A$6:$T$150,COLUMN()/2+1,FALSE))),"")</f>
        <v/>
      </c>
      <c r="AE60" s="141"/>
      <c r="AF60" s="207" t="str">
        <f ca="1">IFERROR(VALUE(IF(VLOOKUP($A60,数出表_Excel!$A$6:$T$150,COLUMN()/2+1,FALSE)=0,"",VLOOKUP($A60,数出表_Excel!$A$6:$T$150,COLUMN()/2+1,FALSE))),"")</f>
        <v/>
      </c>
      <c r="AG60" s="141"/>
      <c r="AH60" s="207" t="str">
        <f ca="1">IFERROR(VALUE(IF(VLOOKUP($A60,数出表_Excel!$A$6:$T$150,COLUMN()/2+1,FALSE)=0,"",VLOOKUP($A60,数出表_Excel!$A$6:$T$150,COLUMN()/2+1,FALSE))),"")</f>
        <v/>
      </c>
      <c r="AI60" s="208"/>
      <c r="AJ60" s="205" t="str">
        <f ca="1">IFERROR(VALUE(IF(VLOOKUP($A60,数出表_Excel!$A$6:$T$150,COLUMN()/2+1,FALSE)=0,"",VLOOKUP($A60,数出表_Excel!$A$6:$T$150,COLUMN()/2+1,FALSE))),"")</f>
        <v/>
      </c>
      <c r="AK60" s="141"/>
      <c r="AL60" s="145" t="e">
        <f ca="1">IF(A60&lt;&gt;"",
IF(VLOOKUP($A60,数出表_Excel!$A$6:$T$150,COLUMN()/2+1,FALSE)=0,"",VLOOKUP($A60,数出表_Excel!$A$6:$T$150,COLUMN()/2+1,FALSE)),"")</f>
        <v>#N/A</v>
      </c>
      <c r="AM60" s="261">
        <f>数出表_Excel!V60</f>
        <v>0</v>
      </c>
      <c r="AN60" s="262">
        <f>数出表_Excel!W60</f>
        <v>0</v>
      </c>
    </row>
    <row r="61" spans="1:40" ht="16.2" customHeight="1" x14ac:dyDescent="0.45">
      <c r="A61" s="220" t="str">
        <f t="array" aca="1" ref="A61" ca="1">IF(OR(COUNTIF(A59,"*1000*"),COUNTIF(A59,"")),"",INDEX(貼り付け用!$A:$A,MATCH(A59,貼り付け用!$A:$A,0)+2,0))</f>
        <v>かしはら幼稚園</v>
      </c>
      <c r="B61" s="142" t="str">
        <f ca="1">IFERROR(VALUE(IF(VLOOKUP($A61,数出表_Excel!$A$6:$T$150,COLUMN()/2+1,FALSE)=0,"",VLOOKUP($A61,数出表_Excel!$A$6:$T$150,COLUMN()/2+1,FALSE))),"")</f>
        <v/>
      </c>
      <c r="C61" s="142"/>
      <c r="D61" s="142" t="str">
        <f ca="1">IFERROR(VALUE(IF(VLOOKUP($A61,数出表_Excel!$A$6:$T$150,COLUMN()/2+1,FALSE)=0,"",VLOOKUP($A61,数出表_Excel!$A$6:$T$150,COLUMN()/2+1,FALSE))),"")</f>
        <v/>
      </c>
      <c r="E61" s="142"/>
      <c r="F61" s="146" t="str">
        <f ca="1">IFERROR(VALUE(IF(VLOOKUP($A61,数出表_Excel!$A$6:$T$150,COLUMN()/2+1,FALSE)=0,"",VLOOKUP($A61,数出表_Excel!$A$6:$T$150,COLUMN()/2+1,FALSE))),"")</f>
        <v/>
      </c>
      <c r="G61" s="142"/>
      <c r="H61" s="142" t="str">
        <f ca="1">IFERROR(VALUE(IF(VLOOKUP($A61,数出表_Excel!$A$6:$T$150,COLUMN()/2+1,FALSE)=0,"",VLOOKUP($A61,数出表_Excel!$A$6:$T$150,COLUMN()/2+1,FALSE))),"")</f>
        <v/>
      </c>
      <c r="I61" s="142"/>
      <c r="J61" s="142" t="str">
        <f ca="1">IFERROR(VALUE(IF(VLOOKUP($A61,数出表_Excel!$A$6:$T$150,COLUMN()/2+1,FALSE)=0,"",VLOOKUP($A61,数出表_Excel!$A$6:$T$150,COLUMN()/2+1,FALSE))),"")</f>
        <v/>
      </c>
      <c r="K61" s="209"/>
      <c r="L61" s="147" t="str">
        <f ca="1">IFERROR(VALUE(IF(VLOOKUP($A61,数出表_Excel!$A$6:$T$150,COLUMN()/2+1,FALSE)=0,"",VLOOKUP($A61,数出表_Excel!$A$6:$T$150,COLUMN()/2+1,FALSE))),"")</f>
        <v/>
      </c>
      <c r="M61" s="142"/>
      <c r="N61" s="142" t="str">
        <f ca="1">IFERROR(VALUE(IF(VLOOKUP($A61,数出表_Excel!$A$6:$T$150,COLUMN()/2+1,FALSE)=0,"",VLOOKUP($A61,数出表_Excel!$A$6:$T$150,COLUMN()/2+1,FALSE))),"")</f>
        <v/>
      </c>
      <c r="O61" s="142"/>
      <c r="P61" s="142" t="str">
        <f ca="1">IFERROR(VALUE(IF(VLOOKUP($A61,数出表_Excel!$A$6:$T$150,COLUMN()/2+1,FALSE)=0,"",VLOOKUP($A61,数出表_Excel!$A$6:$T$150,COLUMN()/2+1,FALSE))),"")</f>
        <v/>
      </c>
      <c r="Q61" s="142"/>
      <c r="R61" s="142" t="str">
        <f ca="1">IFERROR(VALUE(IF(VLOOKUP($A61,数出表_Excel!$A$6:$T$150,COLUMN()/2+1,FALSE)=0,"",VLOOKUP($A61,数出表_Excel!$A$6:$T$150,COLUMN()/2+1,FALSE))),"")</f>
        <v/>
      </c>
      <c r="S61" s="142"/>
      <c r="T61" s="142" t="str">
        <f ca="1">IFERROR(VALUE(IF(VLOOKUP($A61,数出表_Excel!$A$6:$T$150,COLUMN()/2+1,FALSE)=0,"",VLOOKUP($A61,数出表_Excel!$A$6:$T$150,COLUMN()/2+1,FALSE))),"")</f>
        <v/>
      </c>
      <c r="U61" s="142"/>
      <c r="V61" s="146" t="str">
        <f ca="1">IFERROR(VALUE(IF(VLOOKUP($A61,数出表_Excel!$A$6:$T$150,COLUMN()/2+1,FALSE)=0,"",VLOOKUP($A61,数出表_Excel!$A$6:$T$150,COLUMN()/2+1,FALSE))),"")</f>
        <v/>
      </c>
      <c r="W61" s="142"/>
      <c r="X61" s="146" t="str">
        <f ca="1">IFERROR(VALUE(IF(VLOOKUP($A61,数出表_Excel!$A$6:$T$150,COLUMN()/2+1,FALSE)=0,"",VLOOKUP($A61,数出表_Excel!$A$6:$T$150,COLUMN()/2+1,FALSE))),"")</f>
        <v/>
      </c>
      <c r="Y61" s="142"/>
      <c r="Z61" s="146" t="str">
        <f ca="1">IFERROR(VALUE(IF(VLOOKUP($A61,数出表_Excel!$A$6:$T$150,COLUMN()/2+1,FALSE)=0,"",VLOOKUP($A61,数出表_Excel!$A$6:$T$150,COLUMN()/2+1,FALSE))),"")</f>
        <v/>
      </c>
      <c r="AA61" s="209"/>
      <c r="AB61" s="147" t="str">
        <f ca="1">IFERROR(VALUE(IF(VLOOKUP($A61,数出表_Excel!$A$6:$T$150,COLUMN()/2+1,FALSE)=0,"",VLOOKUP($A61,数出表_Excel!$A$6:$T$150,COLUMN()/2+1,FALSE))),"")</f>
        <v/>
      </c>
      <c r="AC61" s="142"/>
      <c r="AD61" s="146" t="str">
        <f ca="1">IFERROR(VALUE(IF(VLOOKUP($A61,数出表_Excel!$A$6:$T$150,COLUMN()/2+1,FALSE)=0,"",VLOOKUP($A61,数出表_Excel!$A$6:$T$150,COLUMN()/2+1,FALSE))),"")</f>
        <v/>
      </c>
      <c r="AE61" s="142"/>
      <c r="AF61" s="146" t="str">
        <f ca="1">IFERROR(VALUE(IF(VLOOKUP($A61,数出表_Excel!$A$6:$T$150,COLUMN()/2+1,FALSE)=0,"",VLOOKUP($A61,数出表_Excel!$A$6:$T$150,COLUMN()/2+1,FALSE))),"")</f>
        <v/>
      </c>
      <c r="AG61" s="142"/>
      <c r="AH61" s="146" t="str">
        <f ca="1">IFERROR(VALUE(IF(VLOOKUP($A61,数出表_Excel!$A$6:$T$150,COLUMN()/2+1,FALSE)=0,"",VLOOKUP($A61,数出表_Excel!$A$6:$T$150,COLUMN()/2+1,FALSE))),"")</f>
        <v/>
      </c>
      <c r="AI61" s="209"/>
      <c r="AJ61" s="147" t="str">
        <f ca="1">IFERROR(VALUE(IF(VLOOKUP($A61,数出表_Excel!$A$6:$T$150,COLUMN()/2+1,FALSE)=0,"",VLOOKUP($A61,数出表_Excel!$A$6:$T$150,COLUMN()/2+1,FALSE))),"")</f>
        <v/>
      </c>
      <c r="AK61" s="142"/>
      <c r="AL61" s="148" t="e">
        <f ca="1">IF(A61&lt;&gt;"",
IF(VLOOKUP($A61,数出表_Excel!$A$6:$T$150,COLUMN()/2+1,FALSE)=0,"",VLOOKUP($A61,数出表_Excel!$A$6:$T$150,COLUMN()/2+1,FALSE)),"")</f>
        <v>#N/A</v>
      </c>
      <c r="AM61" s="263">
        <f>数出表_Excel!V61</f>
        <v>0</v>
      </c>
      <c r="AN61" s="264">
        <f>数出表_Excel!W61</f>
        <v>0</v>
      </c>
    </row>
    <row r="62" spans="1:40" ht="16.2" customHeight="1" x14ac:dyDescent="0.45">
      <c r="A62" s="219" t="str">
        <f t="array" aca="1" ref="A62" ca="1">IF(OR(COUNTIF(A60,"*10002*"),COUNTIF(A60,"")),"",INDEX(貼り付け用!$A:$A,MATCH(A60,貼り付け用!$A:$A,0)+2,0))</f>
        <v>20200</v>
      </c>
      <c r="B62" s="204" t="str">
        <f ca="1">IFERROR(VALUE(IF(VLOOKUP($A62,数出表_Excel!$A$6:$T$150,COLUMN()/2+1,FALSE)=0,"",VLOOKUP($A62,数出表_Excel!$A$6:$T$150,COLUMN()/2+1,FALSE))),"")</f>
        <v/>
      </c>
      <c r="C62" s="141"/>
      <c r="D62" s="204" t="str">
        <f ca="1">IFERROR(VALUE(IF(VLOOKUP($A62,数出表_Excel!$A$6:$T$150,COLUMN()/2+1,FALSE)=0,"",VLOOKUP($A62,数出表_Excel!$A$6:$T$150,COLUMN()/2+1,FALSE))),"")</f>
        <v/>
      </c>
      <c r="E62" s="141"/>
      <c r="F62" s="207" t="str">
        <f ca="1">IFERROR(VALUE(IF(VLOOKUP($A62,数出表_Excel!$A$6:$T$150,COLUMN()/2+1,FALSE)=0,"",VLOOKUP($A62,数出表_Excel!$A$6:$T$150,COLUMN()/2+1,FALSE))),"")</f>
        <v/>
      </c>
      <c r="G62" s="141"/>
      <c r="H62" s="204" t="str">
        <f ca="1">IFERROR(VALUE(IF(VLOOKUP($A62,数出表_Excel!$A$6:$T$150,COLUMN()/2+1,FALSE)=0,"",VLOOKUP($A62,数出表_Excel!$A$6:$T$150,COLUMN()/2+1,FALSE))),"")</f>
        <v/>
      </c>
      <c r="I62" s="141"/>
      <c r="J62" s="204" t="str">
        <f ca="1">IFERROR(VALUE(IF(VLOOKUP($A62,数出表_Excel!$A$6:$T$150,COLUMN()/2+1,FALSE)=0,"",VLOOKUP($A62,数出表_Excel!$A$6:$T$150,COLUMN()/2+1,FALSE))),"")</f>
        <v/>
      </c>
      <c r="K62" s="208"/>
      <c r="L62" s="205" t="str">
        <f ca="1">IFERROR(VALUE(IF(VLOOKUP($A62,数出表_Excel!$A$6:$T$150,COLUMN()/2+1,FALSE)=0,"",VLOOKUP($A62,数出表_Excel!$A$6:$T$150,COLUMN()/2+1,FALSE))),"")</f>
        <v/>
      </c>
      <c r="M62" s="141"/>
      <c r="N62" s="204" t="str">
        <f ca="1">IFERROR(VALUE(IF(VLOOKUP($A62,数出表_Excel!$A$6:$T$150,COLUMN()/2+1,FALSE)=0,"",VLOOKUP($A62,数出表_Excel!$A$6:$T$150,COLUMN()/2+1,FALSE))),"")</f>
        <v/>
      </c>
      <c r="O62" s="141"/>
      <c r="P62" s="204" t="str">
        <f ca="1">IFERROR(VALUE(IF(VLOOKUP($A62,数出表_Excel!$A$6:$T$150,COLUMN()/2+1,FALSE)=0,"",VLOOKUP($A62,数出表_Excel!$A$6:$T$150,COLUMN()/2+1,FALSE))),"")</f>
        <v/>
      </c>
      <c r="Q62" s="141"/>
      <c r="R62" s="204" t="str">
        <f ca="1">IFERROR(VALUE(IF(VLOOKUP($A62,数出表_Excel!$A$6:$T$150,COLUMN()/2+1,FALSE)=0,"",VLOOKUP($A62,数出表_Excel!$A$6:$T$150,COLUMN()/2+1,FALSE))),"")</f>
        <v/>
      </c>
      <c r="S62" s="141"/>
      <c r="T62" s="204" t="str">
        <f ca="1">IFERROR(VALUE(IF(VLOOKUP($A62,数出表_Excel!$A$6:$T$150,COLUMN()/2+1,FALSE)=0,"",VLOOKUP($A62,数出表_Excel!$A$6:$T$150,COLUMN()/2+1,FALSE))),"")</f>
        <v/>
      </c>
      <c r="U62" s="141"/>
      <c r="V62" s="207" t="str">
        <f ca="1">IFERROR(VALUE(IF(VLOOKUP($A62,数出表_Excel!$A$6:$T$150,COLUMN()/2+1,FALSE)=0,"",VLOOKUP($A62,数出表_Excel!$A$6:$T$150,COLUMN()/2+1,FALSE))),"")</f>
        <v/>
      </c>
      <c r="W62" s="141"/>
      <c r="X62" s="207" t="str">
        <f ca="1">IFERROR(VALUE(IF(VLOOKUP($A62,数出表_Excel!$A$6:$T$150,COLUMN()/2+1,FALSE)=0,"",VLOOKUP($A62,数出表_Excel!$A$6:$T$150,COLUMN()/2+1,FALSE))),"")</f>
        <v/>
      </c>
      <c r="Y62" s="141"/>
      <c r="Z62" s="207" t="str">
        <f ca="1">IFERROR(VALUE(IF(VLOOKUP($A62,数出表_Excel!$A$6:$T$150,COLUMN()/2+1,FALSE)=0,"",VLOOKUP($A62,数出表_Excel!$A$6:$T$150,COLUMN()/2+1,FALSE))),"")</f>
        <v/>
      </c>
      <c r="AA62" s="208"/>
      <c r="AB62" s="205" t="str">
        <f ca="1">IFERROR(VALUE(IF(VLOOKUP($A62,数出表_Excel!$A$6:$T$150,COLUMN()/2+1,FALSE)=0,"",VLOOKUP($A62,数出表_Excel!$A$6:$T$150,COLUMN()/2+1,FALSE))),"")</f>
        <v/>
      </c>
      <c r="AC62" s="141"/>
      <c r="AD62" s="207" t="str">
        <f ca="1">IFERROR(VALUE(IF(VLOOKUP($A62,数出表_Excel!$A$6:$T$150,COLUMN()/2+1,FALSE)=0,"",VLOOKUP($A62,数出表_Excel!$A$6:$T$150,COLUMN()/2+1,FALSE))),"")</f>
        <v/>
      </c>
      <c r="AE62" s="141"/>
      <c r="AF62" s="207" t="str">
        <f ca="1">IFERROR(VALUE(IF(VLOOKUP($A62,数出表_Excel!$A$6:$T$150,COLUMN()/2+1,FALSE)=0,"",VLOOKUP($A62,数出表_Excel!$A$6:$T$150,COLUMN()/2+1,FALSE))),"")</f>
        <v/>
      </c>
      <c r="AG62" s="141"/>
      <c r="AH62" s="207" t="str">
        <f ca="1">IFERROR(VALUE(IF(VLOOKUP($A62,数出表_Excel!$A$6:$T$150,COLUMN()/2+1,FALSE)=0,"",VLOOKUP($A62,数出表_Excel!$A$6:$T$150,COLUMN()/2+1,FALSE))),"")</f>
        <v/>
      </c>
      <c r="AI62" s="208"/>
      <c r="AJ62" s="205" t="str">
        <f ca="1">IFERROR(VALUE(IF(VLOOKUP($A62,数出表_Excel!$A$6:$T$150,COLUMN()/2+1,FALSE)=0,"",VLOOKUP($A62,数出表_Excel!$A$6:$T$150,COLUMN()/2+1,FALSE))),"")</f>
        <v/>
      </c>
      <c r="AK62" s="141"/>
      <c r="AL62" s="145" t="e">
        <f ca="1">IF(A62&lt;&gt;"",
IF(VLOOKUP($A62,数出表_Excel!$A$6:$T$150,COLUMN()/2+1,FALSE)=0,"",VLOOKUP($A62,数出表_Excel!$A$6:$T$150,COLUMN()/2+1,FALSE)),"")</f>
        <v>#N/A</v>
      </c>
      <c r="AM62" s="261">
        <f>数出表_Excel!V62</f>
        <v>0</v>
      </c>
      <c r="AN62" s="262">
        <f>数出表_Excel!W62</f>
        <v>0</v>
      </c>
    </row>
    <row r="63" spans="1:40" ht="16.2" customHeight="1" x14ac:dyDescent="0.45">
      <c r="A63" s="220" t="str">
        <f t="array" aca="1" ref="A63" ca="1">IF(OR(COUNTIF(A61,"*1000*"),COUNTIF(A61,"")),"",INDEX(貼り付け用!$A:$A,MATCH(A61,貼り付け用!$A:$A,0)+2,0))</f>
        <v>さらやま保育園</v>
      </c>
      <c r="B63" s="142" t="str">
        <f ca="1">IFERROR(VALUE(IF(VLOOKUP($A63,数出表_Excel!$A$6:$T$150,COLUMN()/2+1,FALSE)=0,"",VLOOKUP($A63,数出表_Excel!$A$6:$T$150,COLUMN()/2+1,FALSE))),"")</f>
        <v/>
      </c>
      <c r="C63" s="142"/>
      <c r="D63" s="142" t="str">
        <f ca="1">IFERROR(VALUE(IF(VLOOKUP($A63,数出表_Excel!$A$6:$T$150,COLUMN()/2+1,FALSE)=0,"",VLOOKUP($A63,数出表_Excel!$A$6:$T$150,COLUMN()/2+1,FALSE))),"")</f>
        <v/>
      </c>
      <c r="E63" s="142"/>
      <c r="F63" s="146" t="str">
        <f ca="1">IFERROR(VALUE(IF(VLOOKUP($A63,数出表_Excel!$A$6:$T$150,COLUMN()/2+1,FALSE)=0,"",VLOOKUP($A63,数出表_Excel!$A$6:$T$150,COLUMN()/2+1,FALSE))),"")</f>
        <v/>
      </c>
      <c r="G63" s="142"/>
      <c r="H63" s="142" t="str">
        <f ca="1">IFERROR(VALUE(IF(VLOOKUP($A63,数出表_Excel!$A$6:$T$150,COLUMN()/2+1,FALSE)=0,"",VLOOKUP($A63,数出表_Excel!$A$6:$T$150,COLUMN()/2+1,FALSE))),"")</f>
        <v/>
      </c>
      <c r="I63" s="142"/>
      <c r="J63" s="142" t="str">
        <f ca="1">IFERROR(VALUE(IF(VLOOKUP($A63,数出表_Excel!$A$6:$T$150,COLUMN()/2+1,FALSE)=0,"",VLOOKUP($A63,数出表_Excel!$A$6:$T$150,COLUMN()/2+1,FALSE))),"")</f>
        <v/>
      </c>
      <c r="K63" s="209"/>
      <c r="L63" s="147" t="str">
        <f ca="1">IFERROR(VALUE(IF(VLOOKUP($A63,数出表_Excel!$A$6:$T$150,COLUMN()/2+1,FALSE)=0,"",VLOOKUP($A63,数出表_Excel!$A$6:$T$150,COLUMN()/2+1,FALSE))),"")</f>
        <v/>
      </c>
      <c r="M63" s="142"/>
      <c r="N63" s="142" t="str">
        <f ca="1">IFERROR(VALUE(IF(VLOOKUP($A63,数出表_Excel!$A$6:$T$150,COLUMN()/2+1,FALSE)=0,"",VLOOKUP($A63,数出表_Excel!$A$6:$T$150,COLUMN()/2+1,FALSE))),"")</f>
        <v/>
      </c>
      <c r="O63" s="142"/>
      <c r="P63" s="142" t="str">
        <f ca="1">IFERROR(VALUE(IF(VLOOKUP($A63,数出表_Excel!$A$6:$T$150,COLUMN()/2+1,FALSE)=0,"",VLOOKUP($A63,数出表_Excel!$A$6:$T$150,COLUMN()/2+1,FALSE))),"")</f>
        <v/>
      </c>
      <c r="Q63" s="142"/>
      <c r="R63" s="142" t="str">
        <f ca="1">IFERROR(VALUE(IF(VLOOKUP($A63,数出表_Excel!$A$6:$T$150,COLUMN()/2+1,FALSE)=0,"",VLOOKUP($A63,数出表_Excel!$A$6:$T$150,COLUMN()/2+1,FALSE))),"")</f>
        <v/>
      </c>
      <c r="S63" s="142"/>
      <c r="T63" s="142" t="str">
        <f ca="1">IFERROR(VALUE(IF(VLOOKUP($A63,数出表_Excel!$A$6:$T$150,COLUMN()/2+1,FALSE)=0,"",VLOOKUP($A63,数出表_Excel!$A$6:$T$150,COLUMN()/2+1,FALSE))),"")</f>
        <v/>
      </c>
      <c r="U63" s="142"/>
      <c r="V63" s="146" t="str">
        <f ca="1">IFERROR(VALUE(IF(VLOOKUP($A63,数出表_Excel!$A$6:$T$150,COLUMN()/2+1,FALSE)=0,"",VLOOKUP($A63,数出表_Excel!$A$6:$T$150,COLUMN()/2+1,FALSE))),"")</f>
        <v/>
      </c>
      <c r="W63" s="142"/>
      <c r="X63" s="146" t="str">
        <f ca="1">IFERROR(VALUE(IF(VLOOKUP($A63,数出表_Excel!$A$6:$T$150,COLUMN()/2+1,FALSE)=0,"",VLOOKUP($A63,数出表_Excel!$A$6:$T$150,COLUMN()/2+1,FALSE))),"")</f>
        <v/>
      </c>
      <c r="Y63" s="142"/>
      <c r="Z63" s="146" t="str">
        <f ca="1">IFERROR(VALUE(IF(VLOOKUP($A63,数出表_Excel!$A$6:$T$150,COLUMN()/2+1,FALSE)=0,"",VLOOKUP($A63,数出表_Excel!$A$6:$T$150,COLUMN()/2+1,FALSE))),"")</f>
        <v/>
      </c>
      <c r="AA63" s="209"/>
      <c r="AB63" s="147" t="str">
        <f ca="1">IFERROR(VALUE(IF(VLOOKUP($A63,数出表_Excel!$A$6:$T$150,COLUMN()/2+1,FALSE)=0,"",VLOOKUP($A63,数出表_Excel!$A$6:$T$150,COLUMN()/2+1,FALSE))),"")</f>
        <v/>
      </c>
      <c r="AC63" s="142"/>
      <c r="AD63" s="146" t="str">
        <f ca="1">IFERROR(VALUE(IF(VLOOKUP($A63,数出表_Excel!$A$6:$T$150,COLUMN()/2+1,FALSE)=0,"",VLOOKUP($A63,数出表_Excel!$A$6:$T$150,COLUMN()/2+1,FALSE))),"")</f>
        <v/>
      </c>
      <c r="AE63" s="142"/>
      <c r="AF63" s="146" t="str">
        <f ca="1">IFERROR(VALUE(IF(VLOOKUP($A63,数出表_Excel!$A$6:$T$150,COLUMN()/2+1,FALSE)=0,"",VLOOKUP($A63,数出表_Excel!$A$6:$T$150,COLUMN()/2+1,FALSE))),"")</f>
        <v/>
      </c>
      <c r="AG63" s="142"/>
      <c r="AH63" s="146" t="str">
        <f ca="1">IFERROR(VALUE(IF(VLOOKUP($A63,数出表_Excel!$A$6:$T$150,COLUMN()/2+1,FALSE)=0,"",VLOOKUP($A63,数出表_Excel!$A$6:$T$150,COLUMN()/2+1,FALSE))),"")</f>
        <v/>
      </c>
      <c r="AI63" s="209"/>
      <c r="AJ63" s="147" t="str">
        <f ca="1">IFERROR(VALUE(IF(VLOOKUP($A63,数出表_Excel!$A$6:$T$150,COLUMN()/2+1,FALSE)=0,"",VLOOKUP($A63,数出表_Excel!$A$6:$T$150,COLUMN()/2+1,FALSE))),"")</f>
        <v/>
      </c>
      <c r="AK63" s="142"/>
      <c r="AL63" s="148" t="e">
        <f ca="1">IF(A63&lt;&gt;"",
IF(VLOOKUP($A63,数出表_Excel!$A$6:$T$150,COLUMN()/2+1,FALSE)=0,"",VLOOKUP($A63,数出表_Excel!$A$6:$T$150,COLUMN()/2+1,FALSE)),"")</f>
        <v>#N/A</v>
      </c>
      <c r="AM63" s="263">
        <f>数出表_Excel!V63</f>
        <v>0</v>
      </c>
      <c r="AN63" s="264">
        <f>数出表_Excel!W63</f>
        <v>0</v>
      </c>
    </row>
    <row r="64" spans="1:40" ht="16.2" customHeight="1" x14ac:dyDescent="0.45">
      <c r="A64" s="219" t="str">
        <f t="array" aca="1" ref="A64" ca="1">IF(OR(COUNTIF(A62,"*10002*"),COUNTIF(A62,"")),"",INDEX(貼り付け用!$A:$A,MATCH(A62,貼り付け用!$A:$A,0)+2,0))</f>
        <v>7200</v>
      </c>
      <c r="B64" s="204" t="str">
        <f ca="1">IFERROR(VALUE(IF(VLOOKUP($A64,数出表_Excel!$A$6:$T$150,COLUMN()/2+1,FALSE)=0,"",VLOOKUP($A64,数出表_Excel!$A$6:$T$150,COLUMN()/2+1,FALSE))),"")</f>
        <v/>
      </c>
      <c r="C64" s="141"/>
      <c r="D64" s="204" t="str">
        <f ca="1">IFERROR(VALUE(IF(VLOOKUP($A64,数出表_Excel!$A$6:$T$150,COLUMN()/2+1,FALSE)=0,"",VLOOKUP($A64,数出表_Excel!$A$6:$T$150,COLUMN()/2+1,FALSE))),"")</f>
        <v/>
      </c>
      <c r="E64" s="141"/>
      <c r="F64" s="207" t="str">
        <f ca="1">IFERROR(VALUE(IF(VLOOKUP($A64,数出表_Excel!$A$6:$T$150,COLUMN()/2+1,FALSE)=0,"",VLOOKUP($A64,数出表_Excel!$A$6:$T$150,COLUMN()/2+1,FALSE))),"")</f>
        <v/>
      </c>
      <c r="G64" s="141"/>
      <c r="H64" s="204" t="str">
        <f ca="1">IFERROR(VALUE(IF(VLOOKUP($A64,数出表_Excel!$A$6:$T$150,COLUMN()/2+1,FALSE)=0,"",VLOOKUP($A64,数出表_Excel!$A$6:$T$150,COLUMN()/2+1,FALSE))),"")</f>
        <v/>
      </c>
      <c r="I64" s="141"/>
      <c r="J64" s="204" t="str">
        <f ca="1">IFERROR(VALUE(IF(VLOOKUP($A64,数出表_Excel!$A$6:$T$150,COLUMN()/2+1,FALSE)=0,"",VLOOKUP($A64,数出表_Excel!$A$6:$T$150,COLUMN()/2+1,FALSE))),"")</f>
        <v/>
      </c>
      <c r="K64" s="208"/>
      <c r="L64" s="205" t="str">
        <f ca="1">IFERROR(VALUE(IF(VLOOKUP($A64,数出表_Excel!$A$6:$T$150,COLUMN()/2+1,FALSE)=0,"",VLOOKUP($A64,数出表_Excel!$A$6:$T$150,COLUMN()/2+1,FALSE))),"")</f>
        <v/>
      </c>
      <c r="M64" s="141"/>
      <c r="N64" s="204" t="str">
        <f ca="1">IFERROR(VALUE(IF(VLOOKUP($A64,数出表_Excel!$A$6:$T$150,COLUMN()/2+1,FALSE)=0,"",VLOOKUP($A64,数出表_Excel!$A$6:$T$150,COLUMN()/2+1,FALSE))),"")</f>
        <v/>
      </c>
      <c r="O64" s="141"/>
      <c r="P64" s="204" t="str">
        <f ca="1">IFERROR(VALUE(IF(VLOOKUP($A64,数出表_Excel!$A$6:$T$150,COLUMN()/2+1,FALSE)=0,"",VLOOKUP($A64,数出表_Excel!$A$6:$T$150,COLUMN()/2+1,FALSE))),"")</f>
        <v/>
      </c>
      <c r="Q64" s="141"/>
      <c r="R64" s="204" t="str">
        <f ca="1">IFERROR(VALUE(IF(VLOOKUP($A64,数出表_Excel!$A$6:$T$150,COLUMN()/2+1,FALSE)=0,"",VLOOKUP($A64,数出表_Excel!$A$6:$T$150,COLUMN()/2+1,FALSE))),"")</f>
        <v/>
      </c>
      <c r="S64" s="141"/>
      <c r="T64" s="204" t="str">
        <f ca="1">IFERROR(VALUE(IF(VLOOKUP($A64,数出表_Excel!$A$6:$T$150,COLUMN()/2+1,FALSE)=0,"",VLOOKUP($A64,数出表_Excel!$A$6:$T$150,COLUMN()/2+1,FALSE))),"")</f>
        <v/>
      </c>
      <c r="U64" s="141"/>
      <c r="V64" s="207" t="str">
        <f ca="1">IFERROR(VALUE(IF(VLOOKUP($A64,数出表_Excel!$A$6:$T$150,COLUMN()/2+1,FALSE)=0,"",VLOOKUP($A64,数出表_Excel!$A$6:$T$150,COLUMN()/2+1,FALSE))),"")</f>
        <v/>
      </c>
      <c r="W64" s="141"/>
      <c r="X64" s="207" t="str">
        <f ca="1">IFERROR(VALUE(IF(VLOOKUP($A64,数出表_Excel!$A$6:$T$150,COLUMN()/2+1,FALSE)=0,"",VLOOKUP($A64,数出表_Excel!$A$6:$T$150,COLUMN()/2+1,FALSE))),"")</f>
        <v/>
      </c>
      <c r="Y64" s="141"/>
      <c r="Z64" s="207" t="str">
        <f ca="1">IFERROR(VALUE(IF(VLOOKUP($A64,数出表_Excel!$A$6:$T$150,COLUMN()/2+1,FALSE)=0,"",VLOOKUP($A64,数出表_Excel!$A$6:$T$150,COLUMN()/2+1,FALSE))),"")</f>
        <v/>
      </c>
      <c r="AA64" s="208"/>
      <c r="AB64" s="205" t="str">
        <f ca="1">IFERROR(VALUE(IF(VLOOKUP($A64,数出表_Excel!$A$6:$T$150,COLUMN()/2+1,FALSE)=0,"",VLOOKUP($A64,数出表_Excel!$A$6:$T$150,COLUMN()/2+1,FALSE))),"")</f>
        <v/>
      </c>
      <c r="AC64" s="141"/>
      <c r="AD64" s="207" t="str">
        <f ca="1">IFERROR(VALUE(IF(VLOOKUP($A64,数出表_Excel!$A$6:$T$150,COLUMN()/2+1,FALSE)=0,"",VLOOKUP($A64,数出表_Excel!$A$6:$T$150,COLUMN()/2+1,FALSE))),"")</f>
        <v/>
      </c>
      <c r="AE64" s="141"/>
      <c r="AF64" s="207" t="str">
        <f ca="1">IFERROR(VALUE(IF(VLOOKUP($A64,数出表_Excel!$A$6:$T$150,COLUMN()/2+1,FALSE)=0,"",VLOOKUP($A64,数出表_Excel!$A$6:$T$150,COLUMN()/2+1,FALSE))),"")</f>
        <v/>
      </c>
      <c r="AG64" s="141"/>
      <c r="AH64" s="207" t="str">
        <f ca="1">IFERROR(VALUE(IF(VLOOKUP($A64,数出表_Excel!$A$6:$T$150,COLUMN()/2+1,FALSE)=0,"",VLOOKUP($A64,数出表_Excel!$A$6:$T$150,COLUMN()/2+1,FALSE))),"")</f>
        <v/>
      </c>
      <c r="AI64" s="208"/>
      <c r="AJ64" s="205" t="str">
        <f ca="1">IFERROR(VALUE(IF(VLOOKUP($A64,数出表_Excel!$A$6:$T$150,COLUMN()/2+1,FALSE)=0,"",VLOOKUP($A64,数出表_Excel!$A$6:$T$150,COLUMN()/2+1,FALSE))),"")</f>
        <v/>
      </c>
      <c r="AK64" s="141"/>
      <c r="AL64" s="145" t="e">
        <f ca="1">IF(A64&lt;&gt;"",
IF(VLOOKUP($A64,数出表_Excel!$A$6:$T$150,COLUMN()/2+1,FALSE)=0,"",VLOOKUP($A64,数出表_Excel!$A$6:$T$150,COLUMN()/2+1,FALSE)),"")</f>
        <v>#N/A</v>
      </c>
      <c r="AM64" s="261">
        <f>数出表_Excel!V64</f>
        <v>0</v>
      </c>
      <c r="AN64" s="262">
        <f>数出表_Excel!W64</f>
        <v>0</v>
      </c>
    </row>
    <row r="65" spans="1:40" ht="16.2" customHeight="1" x14ac:dyDescent="0.45">
      <c r="A65" s="220" t="str">
        <f t="array" aca="1" ref="A65" ca="1">IF(OR(COUNTIF(A63,"*1000*"),COUNTIF(A63,"")),"",INDEX(貼り付け用!$A:$A,MATCH(A63,貼り付け用!$A:$A,0)+2,0))</f>
        <v>ひよこ保育園</v>
      </c>
      <c r="B65" s="142" t="str">
        <f ca="1">IFERROR(VALUE(IF(VLOOKUP($A65,数出表_Excel!$A$6:$T$150,COLUMN()/2+1,FALSE)=0,"",VLOOKUP($A65,数出表_Excel!$A$6:$T$150,COLUMN()/2+1,FALSE))),"")</f>
        <v/>
      </c>
      <c r="C65" s="142"/>
      <c r="D65" s="142" t="str">
        <f ca="1">IFERROR(VALUE(IF(VLOOKUP($A65,数出表_Excel!$A$6:$T$150,COLUMN()/2+1,FALSE)=0,"",VLOOKUP($A65,数出表_Excel!$A$6:$T$150,COLUMN()/2+1,FALSE))),"")</f>
        <v/>
      </c>
      <c r="E65" s="142"/>
      <c r="F65" s="146" t="str">
        <f ca="1">IFERROR(VALUE(IF(VLOOKUP($A65,数出表_Excel!$A$6:$T$150,COLUMN()/2+1,FALSE)=0,"",VLOOKUP($A65,数出表_Excel!$A$6:$T$150,COLUMN()/2+1,FALSE))),"")</f>
        <v/>
      </c>
      <c r="G65" s="142"/>
      <c r="H65" s="142" t="str">
        <f ca="1">IFERROR(VALUE(IF(VLOOKUP($A65,数出表_Excel!$A$6:$T$150,COLUMN()/2+1,FALSE)=0,"",VLOOKUP($A65,数出表_Excel!$A$6:$T$150,COLUMN()/2+1,FALSE))),"")</f>
        <v/>
      </c>
      <c r="I65" s="142"/>
      <c r="J65" s="142" t="str">
        <f ca="1">IFERROR(VALUE(IF(VLOOKUP($A65,数出表_Excel!$A$6:$T$150,COLUMN()/2+1,FALSE)=0,"",VLOOKUP($A65,数出表_Excel!$A$6:$T$150,COLUMN()/2+1,FALSE))),"")</f>
        <v/>
      </c>
      <c r="K65" s="209"/>
      <c r="L65" s="147" t="str">
        <f ca="1">IFERROR(VALUE(IF(VLOOKUP($A65,数出表_Excel!$A$6:$T$150,COLUMN()/2+1,FALSE)=0,"",VLOOKUP($A65,数出表_Excel!$A$6:$T$150,COLUMN()/2+1,FALSE))),"")</f>
        <v/>
      </c>
      <c r="M65" s="142"/>
      <c r="N65" s="142" t="str">
        <f ca="1">IFERROR(VALUE(IF(VLOOKUP($A65,数出表_Excel!$A$6:$T$150,COLUMN()/2+1,FALSE)=0,"",VLOOKUP($A65,数出表_Excel!$A$6:$T$150,COLUMN()/2+1,FALSE))),"")</f>
        <v/>
      </c>
      <c r="O65" s="142"/>
      <c r="P65" s="142" t="str">
        <f ca="1">IFERROR(VALUE(IF(VLOOKUP($A65,数出表_Excel!$A$6:$T$150,COLUMN()/2+1,FALSE)=0,"",VLOOKUP($A65,数出表_Excel!$A$6:$T$150,COLUMN()/2+1,FALSE))),"")</f>
        <v/>
      </c>
      <c r="Q65" s="142"/>
      <c r="R65" s="142" t="str">
        <f ca="1">IFERROR(VALUE(IF(VLOOKUP($A65,数出表_Excel!$A$6:$T$150,COLUMN()/2+1,FALSE)=0,"",VLOOKUP($A65,数出表_Excel!$A$6:$T$150,COLUMN()/2+1,FALSE))),"")</f>
        <v/>
      </c>
      <c r="S65" s="142"/>
      <c r="T65" s="142" t="str">
        <f ca="1">IFERROR(VALUE(IF(VLOOKUP($A65,数出表_Excel!$A$6:$T$150,COLUMN()/2+1,FALSE)=0,"",VLOOKUP($A65,数出表_Excel!$A$6:$T$150,COLUMN()/2+1,FALSE))),"")</f>
        <v/>
      </c>
      <c r="U65" s="142"/>
      <c r="V65" s="146" t="str">
        <f ca="1">IFERROR(VALUE(IF(VLOOKUP($A65,数出表_Excel!$A$6:$T$150,COLUMN()/2+1,FALSE)=0,"",VLOOKUP($A65,数出表_Excel!$A$6:$T$150,COLUMN()/2+1,FALSE))),"")</f>
        <v/>
      </c>
      <c r="W65" s="142"/>
      <c r="X65" s="146" t="str">
        <f ca="1">IFERROR(VALUE(IF(VLOOKUP($A65,数出表_Excel!$A$6:$T$150,COLUMN()/2+1,FALSE)=0,"",VLOOKUP($A65,数出表_Excel!$A$6:$T$150,COLUMN()/2+1,FALSE))),"")</f>
        <v/>
      </c>
      <c r="Y65" s="142"/>
      <c r="Z65" s="146" t="str">
        <f ca="1">IFERROR(VALUE(IF(VLOOKUP($A65,数出表_Excel!$A$6:$T$150,COLUMN()/2+1,FALSE)=0,"",VLOOKUP($A65,数出表_Excel!$A$6:$T$150,COLUMN()/2+1,FALSE))),"")</f>
        <v/>
      </c>
      <c r="AA65" s="209"/>
      <c r="AB65" s="147" t="str">
        <f ca="1">IFERROR(VALUE(IF(VLOOKUP($A65,数出表_Excel!$A$6:$T$150,COLUMN()/2+1,FALSE)=0,"",VLOOKUP($A65,数出表_Excel!$A$6:$T$150,COLUMN()/2+1,FALSE))),"")</f>
        <v/>
      </c>
      <c r="AC65" s="142"/>
      <c r="AD65" s="146" t="str">
        <f ca="1">IFERROR(VALUE(IF(VLOOKUP($A65,数出表_Excel!$A$6:$T$150,COLUMN()/2+1,FALSE)=0,"",VLOOKUP($A65,数出表_Excel!$A$6:$T$150,COLUMN()/2+1,FALSE))),"")</f>
        <v/>
      </c>
      <c r="AE65" s="142"/>
      <c r="AF65" s="146" t="str">
        <f ca="1">IFERROR(VALUE(IF(VLOOKUP($A65,数出表_Excel!$A$6:$T$150,COLUMN()/2+1,FALSE)=0,"",VLOOKUP($A65,数出表_Excel!$A$6:$T$150,COLUMN()/2+1,FALSE))),"")</f>
        <v/>
      </c>
      <c r="AG65" s="142"/>
      <c r="AH65" s="146" t="str">
        <f ca="1">IFERROR(VALUE(IF(VLOOKUP($A65,数出表_Excel!$A$6:$T$150,COLUMN()/2+1,FALSE)=0,"",VLOOKUP($A65,数出表_Excel!$A$6:$T$150,COLUMN()/2+1,FALSE))),"")</f>
        <v/>
      </c>
      <c r="AI65" s="209"/>
      <c r="AJ65" s="147" t="str">
        <f ca="1">IFERROR(VALUE(IF(VLOOKUP($A65,数出表_Excel!$A$6:$T$150,COLUMN()/2+1,FALSE)=0,"",VLOOKUP($A65,数出表_Excel!$A$6:$T$150,COLUMN()/2+1,FALSE))),"")</f>
        <v/>
      </c>
      <c r="AK65" s="142"/>
      <c r="AL65" s="148" t="e">
        <f ca="1">IF(A65&lt;&gt;"",
IF(VLOOKUP($A65,数出表_Excel!$A$6:$T$150,COLUMN()/2+1,FALSE)=0,"",VLOOKUP($A65,数出表_Excel!$A$6:$T$150,COLUMN()/2+1,FALSE)),"")</f>
        <v>#N/A</v>
      </c>
      <c r="AM65" s="263">
        <f>数出表_Excel!V65</f>
        <v>0</v>
      </c>
      <c r="AN65" s="264">
        <f>数出表_Excel!W65</f>
        <v>0</v>
      </c>
    </row>
    <row r="66" spans="1:40" ht="16.2" customHeight="1" x14ac:dyDescent="0.45">
      <c r="A66" s="219" t="str">
        <f t="array" aca="1" ref="A66" ca="1">IF(OR(COUNTIF(A64,"*10002*"),COUNTIF(A64,"")),"",INDEX(貼り付け用!$A:$A,MATCH(A64,貼り付け用!$A:$A,0)+2,0))</f>
        <v>5900</v>
      </c>
      <c r="B66" s="204" t="str">
        <f ca="1">IFERROR(VALUE(IF(VLOOKUP($A66,数出表_Excel!$A$6:$T$150,COLUMN()/2+1,FALSE)=0,"",VLOOKUP($A66,数出表_Excel!$A$6:$T$150,COLUMN()/2+1,FALSE))),"")</f>
        <v/>
      </c>
      <c r="C66" s="141"/>
      <c r="D66" s="204" t="str">
        <f ca="1">IFERROR(VALUE(IF(VLOOKUP($A66,数出表_Excel!$A$6:$T$150,COLUMN()/2+1,FALSE)=0,"",VLOOKUP($A66,数出表_Excel!$A$6:$T$150,COLUMN()/2+1,FALSE))),"")</f>
        <v/>
      </c>
      <c r="E66" s="141"/>
      <c r="F66" s="207" t="str">
        <f ca="1">IFERROR(VALUE(IF(VLOOKUP($A66,数出表_Excel!$A$6:$T$150,COLUMN()/2+1,FALSE)=0,"",VLOOKUP($A66,数出表_Excel!$A$6:$T$150,COLUMN()/2+1,FALSE))),"")</f>
        <v/>
      </c>
      <c r="G66" s="141"/>
      <c r="H66" s="204" t="str">
        <f ca="1">IFERROR(VALUE(IF(VLOOKUP($A66,数出表_Excel!$A$6:$T$150,COLUMN()/2+1,FALSE)=0,"",VLOOKUP($A66,数出表_Excel!$A$6:$T$150,COLUMN()/2+1,FALSE))),"")</f>
        <v/>
      </c>
      <c r="I66" s="141"/>
      <c r="J66" s="204" t="str">
        <f ca="1">IFERROR(VALUE(IF(VLOOKUP($A66,数出表_Excel!$A$6:$T$150,COLUMN()/2+1,FALSE)=0,"",VLOOKUP($A66,数出表_Excel!$A$6:$T$150,COLUMN()/2+1,FALSE))),"")</f>
        <v/>
      </c>
      <c r="K66" s="208"/>
      <c r="L66" s="205" t="str">
        <f ca="1">IFERROR(VALUE(IF(VLOOKUP($A66,数出表_Excel!$A$6:$T$150,COLUMN()/2+1,FALSE)=0,"",VLOOKUP($A66,数出表_Excel!$A$6:$T$150,COLUMN()/2+1,FALSE))),"")</f>
        <v/>
      </c>
      <c r="M66" s="141"/>
      <c r="N66" s="204" t="str">
        <f ca="1">IFERROR(VALUE(IF(VLOOKUP($A66,数出表_Excel!$A$6:$T$150,COLUMN()/2+1,FALSE)=0,"",VLOOKUP($A66,数出表_Excel!$A$6:$T$150,COLUMN()/2+1,FALSE))),"")</f>
        <v/>
      </c>
      <c r="O66" s="141"/>
      <c r="P66" s="204" t="str">
        <f ca="1">IFERROR(VALUE(IF(VLOOKUP($A66,数出表_Excel!$A$6:$T$150,COLUMN()/2+1,FALSE)=0,"",VLOOKUP($A66,数出表_Excel!$A$6:$T$150,COLUMN()/2+1,FALSE))),"")</f>
        <v/>
      </c>
      <c r="Q66" s="141"/>
      <c r="R66" s="204" t="str">
        <f ca="1">IFERROR(VALUE(IF(VLOOKUP($A66,数出表_Excel!$A$6:$T$150,COLUMN()/2+1,FALSE)=0,"",VLOOKUP($A66,数出表_Excel!$A$6:$T$150,COLUMN()/2+1,FALSE))),"")</f>
        <v/>
      </c>
      <c r="S66" s="141"/>
      <c r="T66" s="204" t="str">
        <f ca="1">IFERROR(VALUE(IF(VLOOKUP($A66,数出表_Excel!$A$6:$T$150,COLUMN()/2+1,FALSE)=0,"",VLOOKUP($A66,数出表_Excel!$A$6:$T$150,COLUMN()/2+1,FALSE))),"")</f>
        <v/>
      </c>
      <c r="U66" s="141"/>
      <c r="V66" s="207" t="str">
        <f ca="1">IFERROR(VALUE(IF(VLOOKUP($A66,数出表_Excel!$A$6:$T$150,COLUMN()/2+1,FALSE)=0,"",VLOOKUP($A66,数出表_Excel!$A$6:$T$150,COLUMN()/2+1,FALSE))),"")</f>
        <v/>
      </c>
      <c r="W66" s="141"/>
      <c r="X66" s="207" t="str">
        <f ca="1">IFERROR(VALUE(IF(VLOOKUP($A66,数出表_Excel!$A$6:$T$150,COLUMN()/2+1,FALSE)=0,"",VLOOKUP($A66,数出表_Excel!$A$6:$T$150,COLUMN()/2+1,FALSE))),"")</f>
        <v/>
      </c>
      <c r="Y66" s="141"/>
      <c r="Z66" s="207" t="str">
        <f ca="1">IFERROR(VALUE(IF(VLOOKUP($A66,数出表_Excel!$A$6:$T$150,COLUMN()/2+1,FALSE)=0,"",VLOOKUP($A66,数出表_Excel!$A$6:$T$150,COLUMN()/2+1,FALSE))),"")</f>
        <v/>
      </c>
      <c r="AA66" s="208"/>
      <c r="AB66" s="205" t="str">
        <f ca="1">IFERROR(VALUE(IF(VLOOKUP($A66,数出表_Excel!$A$6:$T$150,COLUMN()/2+1,FALSE)=0,"",VLOOKUP($A66,数出表_Excel!$A$6:$T$150,COLUMN()/2+1,FALSE))),"")</f>
        <v/>
      </c>
      <c r="AC66" s="141"/>
      <c r="AD66" s="207" t="str">
        <f ca="1">IFERROR(VALUE(IF(VLOOKUP($A66,数出表_Excel!$A$6:$T$150,COLUMN()/2+1,FALSE)=0,"",VLOOKUP($A66,数出表_Excel!$A$6:$T$150,COLUMN()/2+1,FALSE))),"")</f>
        <v/>
      </c>
      <c r="AE66" s="141"/>
      <c r="AF66" s="207" t="str">
        <f ca="1">IFERROR(VALUE(IF(VLOOKUP($A66,数出表_Excel!$A$6:$T$150,COLUMN()/2+1,FALSE)=0,"",VLOOKUP($A66,数出表_Excel!$A$6:$T$150,COLUMN()/2+1,FALSE))),"")</f>
        <v/>
      </c>
      <c r="AG66" s="141"/>
      <c r="AH66" s="207" t="str">
        <f ca="1">IFERROR(VALUE(IF(VLOOKUP($A66,数出表_Excel!$A$6:$T$150,COLUMN()/2+1,FALSE)=0,"",VLOOKUP($A66,数出表_Excel!$A$6:$T$150,COLUMN()/2+1,FALSE))),"")</f>
        <v/>
      </c>
      <c r="AI66" s="208"/>
      <c r="AJ66" s="205" t="str">
        <f ca="1">IFERROR(VALUE(IF(VLOOKUP($A66,数出表_Excel!$A$6:$T$150,COLUMN()/2+1,FALSE)=0,"",VLOOKUP($A66,数出表_Excel!$A$6:$T$150,COLUMN()/2+1,FALSE))),"")</f>
        <v/>
      </c>
      <c r="AK66" s="141"/>
      <c r="AL66" s="145" t="e">
        <f ca="1">IF(A66&lt;&gt;"",
IF(VLOOKUP($A66,数出表_Excel!$A$6:$T$150,COLUMN()/2+1,FALSE)=0,"",VLOOKUP($A66,数出表_Excel!$A$6:$T$150,COLUMN()/2+1,FALSE)),"")</f>
        <v>#N/A</v>
      </c>
      <c r="AM66" s="261">
        <f>数出表_Excel!V66</f>
        <v>0</v>
      </c>
      <c r="AN66" s="262">
        <f>数出表_Excel!W66</f>
        <v>0</v>
      </c>
    </row>
    <row r="67" spans="1:40" ht="16.2" customHeight="1" x14ac:dyDescent="0.45">
      <c r="A67" s="220" t="str">
        <f t="array" aca="1" ref="A67" ca="1">IF(OR(COUNTIF(A65,"*1000*"),COUNTIF(A65,"")),"",INDEX(貼り付け用!$A:$A,MATCH(A65,貼り付け用!$A:$A,0)+2,0))</f>
        <v>リリィ保育園</v>
      </c>
      <c r="B67" s="142" t="str">
        <f ca="1">IFERROR(VALUE(IF(VLOOKUP($A67,数出表_Excel!$A$6:$T$150,COLUMN()/2+1,FALSE)=0,"",VLOOKUP($A67,数出表_Excel!$A$6:$T$150,COLUMN()/2+1,FALSE))),"")</f>
        <v/>
      </c>
      <c r="C67" s="142"/>
      <c r="D67" s="142" t="str">
        <f ca="1">IFERROR(VALUE(IF(VLOOKUP($A67,数出表_Excel!$A$6:$T$150,COLUMN()/2+1,FALSE)=0,"",VLOOKUP($A67,数出表_Excel!$A$6:$T$150,COLUMN()/2+1,FALSE))),"")</f>
        <v/>
      </c>
      <c r="E67" s="142"/>
      <c r="F67" s="146" t="str">
        <f ca="1">IFERROR(VALUE(IF(VLOOKUP($A67,数出表_Excel!$A$6:$T$150,COLUMN()/2+1,FALSE)=0,"",VLOOKUP($A67,数出表_Excel!$A$6:$T$150,COLUMN()/2+1,FALSE))),"")</f>
        <v/>
      </c>
      <c r="G67" s="142"/>
      <c r="H67" s="142" t="str">
        <f ca="1">IFERROR(VALUE(IF(VLOOKUP($A67,数出表_Excel!$A$6:$T$150,COLUMN()/2+1,FALSE)=0,"",VLOOKUP($A67,数出表_Excel!$A$6:$T$150,COLUMN()/2+1,FALSE))),"")</f>
        <v/>
      </c>
      <c r="I67" s="142"/>
      <c r="J67" s="142" t="str">
        <f ca="1">IFERROR(VALUE(IF(VLOOKUP($A67,数出表_Excel!$A$6:$T$150,COLUMN()/2+1,FALSE)=0,"",VLOOKUP($A67,数出表_Excel!$A$6:$T$150,COLUMN()/2+1,FALSE))),"")</f>
        <v/>
      </c>
      <c r="K67" s="209"/>
      <c r="L67" s="147" t="str">
        <f ca="1">IFERROR(VALUE(IF(VLOOKUP($A67,数出表_Excel!$A$6:$T$150,COLUMN()/2+1,FALSE)=0,"",VLOOKUP($A67,数出表_Excel!$A$6:$T$150,COLUMN()/2+1,FALSE))),"")</f>
        <v/>
      </c>
      <c r="M67" s="142"/>
      <c r="N67" s="142" t="str">
        <f ca="1">IFERROR(VALUE(IF(VLOOKUP($A67,数出表_Excel!$A$6:$T$150,COLUMN()/2+1,FALSE)=0,"",VLOOKUP($A67,数出表_Excel!$A$6:$T$150,COLUMN()/2+1,FALSE))),"")</f>
        <v/>
      </c>
      <c r="O67" s="142"/>
      <c r="P67" s="142" t="str">
        <f ca="1">IFERROR(VALUE(IF(VLOOKUP($A67,数出表_Excel!$A$6:$T$150,COLUMN()/2+1,FALSE)=0,"",VLOOKUP($A67,数出表_Excel!$A$6:$T$150,COLUMN()/2+1,FALSE))),"")</f>
        <v/>
      </c>
      <c r="Q67" s="142"/>
      <c r="R67" s="142" t="str">
        <f ca="1">IFERROR(VALUE(IF(VLOOKUP($A67,数出表_Excel!$A$6:$T$150,COLUMN()/2+1,FALSE)=0,"",VLOOKUP($A67,数出表_Excel!$A$6:$T$150,COLUMN()/2+1,FALSE))),"")</f>
        <v/>
      </c>
      <c r="S67" s="142"/>
      <c r="T67" s="142" t="str">
        <f ca="1">IFERROR(VALUE(IF(VLOOKUP($A67,数出表_Excel!$A$6:$T$150,COLUMN()/2+1,FALSE)=0,"",VLOOKUP($A67,数出表_Excel!$A$6:$T$150,COLUMN()/2+1,FALSE))),"")</f>
        <v/>
      </c>
      <c r="U67" s="142"/>
      <c r="V67" s="146" t="str">
        <f ca="1">IFERROR(VALUE(IF(VLOOKUP($A67,数出表_Excel!$A$6:$T$150,COLUMN()/2+1,FALSE)=0,"",VLOOKUP($A67,数出表_Excel!$A$6:$T$150,COLUMN()/2+1,FALSE))),"")</f>
        <v/>
      </c>
      <c r="W67" s="142"/>
      <c r="X67" s="146" t="str">
        <f ca="1">IFERROR(VALUE(IF(VLOOKUP($A67,数出表_Excel!$A$6:$T$150,COLUMN()/2+1,FALSE)=0,"",VLOOKUP($A67,数出表_Excel!$A$6:$T$150,COLUMN()/2+1,FALSE))),"")</f>
        <v/>
      </c>
      <c r="Y67" s="142"/>
      <c r="Z67" s="146" t="str">
        <f ca="1">IFERROR(VALUE(IF(VLOOKUP($A67,数出表_Excel!$A$6:$T$150,COLUMN()/2+1,FALSE)=0,"",VLOOKUP($A67,数出表_Excel!$A$6:$T$150,COLUMN()/2+1,FALSE))),"")</f>
        <v/>
      </c>
      <c r="AA67" s="209"/>
      <c r="AB67" s="147" t="str">
        <f ca="1">IFERROR(VALUE(IF(VLOOKUP($A67,数出表_Excel!$A$6:$T$150,COLUMN()/2+1,FALSE)=0,"",VLOOKUP($A67,数出表_Excel!$A$6:$T$150,COLUMN()/2+1,FALSE))),"")</f>
        <v/>
      </c>
      <c r="AC67" s="142"/>
      <c r="AD67" s="146" t="str">
        <f ca="1">IFERROR(VALUE(IF(VLOOKUP($A67,数出表_Excel!$A$6:$T$150,COLUMN()/2+1,FALSE)=0,"",VLOOKUP($A67,数出表_Excel!$A$6:$T$150,COLUMN()/2+1,FALSE))),"")</f>
        <v/>
      </c>
      <c r="AE67" s="142"/>
      <c r="AF67" s="146" t="str">
        <f ca="1">IFERROR(VALUE(IF(VLOOKUP($A67,数出表_Excel!$A$6:$T$150,COLUMN()/2+1,FALSE)=0,"",VLOOKUP($A67,数出表_Excel!$A$6:$T$150,COLUMN()/2+1,FALSE))),"")</f>
        <v/>
      </c>
      <c r="AG67" s="142"/>
      <c r="AH67" s="146" t="str">
        <f ca="1">IFERROR(VALUE(IF(VLOOKUP($A67,数出表_Excel!$A$6:$T$150,COLUMN()/2+1,FALSE)=0,"",VLOOKUP($A67,数出表_Excel!$A$6:$T$150,COLUMN()/2+1,FALSE))),"")</f>
        <v/>
      </c>
      <c r="AI67" s="209"/>
      <c r="AJ67" s="147" t="str">
        <f ca="1">IFERROR(VALUE(IF(VLOOKUP($A67,数出表_Excel!$A$6:$T$150,COLUMN()/2+1,FALSE)=0,"",VLOOKUP($A67,数出表_Excel!$A$6:$T$150,COLUMN()/2+1,FALSE))),"")</f>
        <v/>
      </c>
      <c r="AK67" s="142"/>
      <c r="AL67" s="148" t="e">
        <f ca="1">IF(A67&lt;&gt;"",
IF(VLOOKUP($A67,数出表_Excel!$A$6:$T$150,COLUMN()/2+1,FALSE)=0,"",VLOOKUP($A67,数出表_Excel!$A$6:$T$150,COLUMN()/2+1,FALSE)),"")</f>
        <v>#N/A</v>
      </c>
      <c r="AM67" s="263">
        <f>数出表_Excel!V67</f>
        <v>0</v>
      </c>
      <c r="AN67" s="264">
        <f>数出表_Excel!W67</f>
        <v>0</v>
      </c>
    </row>
    <row r="68" spans="1:40" ht="16.2" customHeight="1" x14ac:dyDescent="0.45">
      <c r="A68" s="219" t="str">
        <f t="array" aca="1" ref="A68" ca="1">IF(OR(COUNTIF(A66,"*10002*"),COUNTIF(A66,"")),"",INDEX(貼り付け用!$A:$A,MATCH(A66,貼り付け用!$A:$A,0)+2,0))</f>
        <v>7100</v>
      </c>
      <c r="B68" s="204" t="str">
        <f ca="1">IFERROR(VALUE(IF(VLOOKUP($A68,数出表_Excel!$A$6:$T$150,COLUMN()/2+1,FALSE)=0,"",VLOOKUP($A68,数出表_Excel!$A$6:$T$150,COLUMN()/2+1,FALSE))),"")</f>
        <v/>
      </c>
      <c r="C68" s="141"/>
      <c r="D68" s="204" t="str">
        <f ca="1">IFERROR(VALUE(IF(VLOOKUP($A68,数出表_Excel!$A$6:$T$150,COLUMN()/2+1,FALSE)=0,"",VLOOKUP($A68,数出表_Excel!$A$6:$T$150,COLUMN()/2+1,FALSE))),"")</f>
        <v/>
      </c>
      <c r="E68" s="141"/>
      <c r="F68" s="207" t="str">
        <f ca="1">IFERROR(VALUE(IF(VLOOKUP($A68,数出表_Excel!$A$6:$T$150,COLUMN()/2+1,FALSE)=0,"",VLOOKUP($A68,数出表_Excel!$A$6:$T$150,COLUMN()/2+1,FALSE))),"")</f>
        <v/>
      </c>
      <c r="G68" s="141"/>
      <c r="H68" s="204" t="str">
        <f ca="1">IFERROR(VALUE(IF(VLOOKUP($A68,数出表_Excel!$A$6:$T$150,COLUMN()/2+1,FALSE)=0,"",VLOOKUP($A68,数出表_Excel!$A$6:$T$150,COLUMN()/2+1,FALSE))),"")</f>
        <v/>
      </c>
      <c r="I68" s="141"/>
      <c r="J68" s="204" t="str">
        <f ca="1">IFERROR(VALUE(IF(VLOOKUP($A68,数出表_Excel!$A$6:$T$150,COLUMN()/2+1,FALSE)=0,"",VLOOKUP($A68,数出表_Excel!$A$6:$T$150,COLUMN()/2+1,FALSE))),"")</f>
        <v/>
      </c>
      <c r="K68" s="208"/>
      <c r="L68" s="205" t="str">
        <f ca="1">IFERROR(VALUE(IF(VLOOKUP($A68,数出表_Excel!$A$6:$T$150,COLUMN()/2+1,FALSE)=0,"",VLOOKUP($A68,数出表_Excel!$A$6:$T$150,COLUMN()/2+1,FALSE))),"")</f>
        <v/>
      </c>
      <c r="M68" s="141"/>
      <c r="N68" s="204" t="str">
        <f ca="1">IFERROR(VALUE(IF(VLOOKUP($A68,数出表_Excel!$A$6:$T$150,COLUMN()/2+1,FALSE)=0,"",VLOOKUP($A68,数出表_Excel!$A$6:$T$150,COLUMN()/2+1,FALSE))),"")</f>
        <v/>
      </c>
      <c r="O68" s="141"/>
      <c r="P68" s="204" t="str">
        <f ca="1">IFERROR(VALUE(IF(VLOOKUP($A68,数出表_Excel!$A$6:$T$150,COLUMN()/2+1,FALSE)=0,"",VLOOKUP($A68,数出表_Excel!$A$6:$T$150,COLUMN()/2+1,FALSE))),"")</f>
        <v/>
      </c>
      <c r="Q68" s="141"/>
      <c r="R68" s="204" t="str">
        <f ca="1">IFERROR(VALUE(IF(VLOOKUP($A68,数出表_Excel!$A$6:$T$150,COLUMN()/2+1,FALSE)=0,"",VLOOKUP($A68,数出表_Excel!$A$6:$T$150,COLUMN()/2+1,FALSE))),"")</f>
        <v/>
      </c>
      <c r="S68" s="141"/>
      <c r="T68" s="204" t="str">
        <f ca="1">IFERROR(VALUE(IF(VLOOKUP($A68,数出表_Excel!$A$6:$T$150,COLUMN()/2+1,FALSE)=0,"",VLOOKUP($A68,数出表_Excel!$A$6:$T$150,COLUMN()/2+1,FALSE))),"")</f>
        <v/>
      </c>
      <c r="U68" s="141"/>
      <c r="V68" s="207" t="str">
        <f ca="1">IFERROR(VALUE(IF(VLOOKUP($A68,数出表_Excel!$A$6:$T$150,COLUMN()/2+1,FALSE)=0,"",VLOOKUP($A68,数出表_Excel!$A$6:$T$150,COLUMN()/2+1,FALSE))),"")</f>
        <v/>
      </c>
      <c r="W68" s="141"/>
      <c r="X68" s="207" t="str">
        <f ca="1">IFERROR(VALUE(IF(VLOOKUP($A68,数出表_Excel!$A$6:$T$150,COLUMN()/2+1,FALSE)=0,"",VLOOKUP($A68,数出表_Excel!$A$6:$T$150,COLUMN()/2+1,FALSE))),"")</f>
        <v/>
      </c>
      <c r="Y68" s="141"/>
      <c r="Z68" s="207" t="str">
        <f ca="1">IFERROR(VALUE(IF(VLOOKUP($A68,数出表_Excel!$A$6:$T$150,COLUMN()/2+1,FALSE)=0,"",VLOOKUP($A68,数出表_Excel!$A$6:$T$150,COLUMN()/2+1,FALSE))),"")</f>
        <v/>
      </c>
      <c r="AA68" s="208"/>
      <c r="AB68" s="205" t="str">
        <f ca="1">IFERROR(VALUE(IF(VLOOKUP($A68,数出表_Excel!$A$6:$T$150,COLUMN()/2+1,FALSE)=0,"",VLOOKUP($A68,数出表_Excel!$A$6:$T$150,COLUMN()/2+1,FALSE))),"")</f>
        <v/>
      </c>
      <c r="AC68" s="141"/>
      <c r="AD68" s="207" t="str">
        <f ca="1">IFERROR(VALUE(IF(VLOOKUP($A68,数出表_Excel!$A$6:$T$150,COLUMN()/2+1,FALSE)=0,"",VLOOKUP($A68,数出表_Excel!$A$6:$T$150,COLUMN()/2+1,FALSE))),"")</f>
        <v/>
      </c>
      <c r="AE68" s="141"/>
      <c r="AF68" s="207" t="str">
        <f ca="1">IFERROR(VALUE(IF(VLOOKUP($A68,数出表_Excel!$A$6:$T$150,COLUMN()/2+1,FALSE)=0,"",VLOOKUP($A68,数出表_Excel!$A$6:$T$150,COLUMN()/2+1,FALSE))),"")</f>
        <v/>
      </c>
      <c r="AG68" s="141"/>
      <c r="AH68" s="207" t="str">
        <f ca="1">IFERROR(VALUE(IF(VLOOKUP($A68,数出表_Excel!$A$6:$T$150,COLUMN()/2+1,FALSE)=0,"",VLOOKUP($A68,数出表_Excel!$A$6:$T$150,COLUMN()/2+1,FALSE))),"")</f>
        <v/>
      </c>
      <c r="AI68" s="208"/>
      <c r="AJ68" s="205" t="str">
        <f ca="1">IFERROR(VALUE(IF(VLOOKUP($A68,数出表_Excel!$A$6:$T$150,COLUMN()/2+1,FALSE)=0,"",VLOOKUP($A68,数出表_Excel!$A$6:$T$150,COLUMN()/2+1,FALSE))),"")</f>
        <v/>
      </c>
      <c r="AK68" s="141"/>
      <c r="AL68" s="145" t="e">
        <f ca="1">IF(A68&lt;&gt;"",
IF(VLOOKUP($A68,数出表_Excel!$A$6:$T$150,COLUMN()/2+1,FALSE)=0,"",VLOOKUP($A68,数出表_Excel!$A$6:$T$150,COLUMN()/2+1,FALSE)),"")</f>
        <v>#N/A</v>
      </c>
      <c r="AM68" s="261">
        <f>数出表_Excel!V68</f>
        <v>0</v>
      </c>
      <c r="AN68" s="262">
        <f>数出表_Excel!W68</f>
        <v>0</v>
      </c>
    </row>
    <row r="69" spans="1:40" ht="16.2" customHeight="1" x14ac:dyDescent="0.45">
      <c r="A69" s="220" t="str">
        <f t="array" aca="1" ref="A69" ca="1">IF(OR(COUNTIF(A67,"*1000*"),COUNTIF(A67,"")),"",INDEX(貼り付け用!$A:$A,MATCH(A67,貼り付け用!$A:$A,0)+2,0))</f>
        <v>バディ博多南校</v>
      </c>
      <c r="B69" s="142" t="str">
        <f ca="1">IFERROR(VALUE(IF(VLOOKUP($A69,数出表_Excel!$A$6:$T$150,COLUMN()/2+1,FALSE)=0,"",VLOOKUP($A69,数出表_Excel!$A$6:$T$150,COLUMN()/2+1,FALSE))),"")</f>
        <v/>
      </c>
      <c r="C69" s="142"/>
      <c r="D69" s="142" t="str">
        <f ca="1">IFERROR(VALUE(IF(VLOOKUP($A69,数出表_Excel!$A$6:$T$150,COLUMN()/2+1,FALSE)=0,"",VLOOKUP($A69,数出表_Excel!$A$6:$T$150,COLUMN()/2+1,FALSE))),"")</f>
        <v/>
      </c>
      <c r="E69" s="142"/>
      <c r="F69" s="146" t="str">
        <f ca="1">IFERROR(VALUE(IF(VLOOKUP($A69,数出表_Excel!$A$6:$T$150,COLUMN()/2+1,FALSE)=0,"",VLOOKUP($A69,数出表_Excel!$A$6:$T$150,COLUMN()/2+1,FALSE))),"")</f>
        <v/>
      </c>
      <c r="G69" s="142"/>
      <c r="H69" s="142" t="str">
        <f ca="1">IFERROR(VALUE(IF(VLOOKUP($A69,数出表_Excel!$A$6:$T$150,COLUMN()/2+1,FALSE)=0,"",VLOOKUP($A69,数出表_Excel!$A$6:$T$150,COLUMN()/2+1,FALSE))),"")</f>
        <v/>
      </c>
      <c r="I69" s="142"/>
      <c r="J69" s="142" t="str">
        <f ca="1">IFERROR(VALUE(IF(VLOOKUP($A69,数出表_Excel!$A$6:$T$150,COLUMN()/2+1,FALSE)=0,"",VLOOKUP($A69,数出表_Excel!$A$6:$T$150,COLUMN()/2+1,FALSE))),"")</f>
        <v/>
      </c>
      <c r="K69" s="209"/>
      <c r="L69" s="147" t="str">
        <f ca="1">IFERROR(VALUE(IF(VLOOKUP($A69,数出表_Excel!$A$6:$T$150,COLUMN()/2+1,FALSE)=0,"",VLOOKUP($A69,数出表_Excel!$A$6:$T$150,COLUMN()/2+1,FALSE))),"")</f>
        <v/>
      </c>
      <c r="M69" s="142"/>
      <c r="N69" s="142" t="str">
        <f ca="1">IFERROR(VALUE(IF(VLOOKUP($A69,数出表_Excel!$A$6:$T$150,COLUMN()/2+1,FALSE)=0,"",VLOOKUP($A69,数出表_Excel!$A$6:$T$150,COLUMN()/2+1,FALSE))),"")</f>
        <v/>
      </c>
      <c r="O69" s="142"/>
      <c r="P69" s="142" t="str">
        <f ca="1">IFERROR(VALUE(IF(VLOOKUP($A69,数出表_Excel!$A$6:$T$150,COLUMN()/2+1,FALSE)=0,"",VLOOKUP($A69,数出表_Excel!$A$6:$T$150,COLUMN()/2+1,FALSE))),"")</f>
        <v/>
      </c>
      <c r="Q69" s="142"/>
      <c r="R69" s="142" t="str">
        <f ca="1">IFERROR(VALUE(IF(VLOOKUP($A69,数出表_Excel!$A$6:$T$150,COLUMN()/2+1,FALSE)=0,"",VLOOKUP($A69,数出表_Excel!$A$6:$T$150,COLUMN()/2+1,FALSE))),"")</f>
        <v/>
      </c>
      <c r="S69" s="142"/>
      <c r="T69" s="142" t="str">
        <f ca="1">IFERROR(VALUE(IF(VLOOKUP($A69,数出表_Excel!$A$6:$T$150,COLUMN()/2+1,FALSE)=0,"",VLOOKUP($A69,数出表_Excel!$A$6:$T$150,COLUMN()/2+1,FALSE))),"")</f>
        <v/>
      </c>
      <c r="U69" s="142"/>
      <c r="V69" s="146" t="str">
        <f ca="1">IFERROR(VALUE(IF(VLOOKUP($A69,数出表_Excel!$A$6:$T$150,COLUMN()/2+1,FALSE)=0,"",VLOOKUP($A69,数出表_Excel!$A$6:$T$150,COLUMN()/2+1,FALSE))),"")</f>
        <v/>
      </c>
      <c r="W69" s="142"/>
      <c r="X69" s="146" t="str">
        <f ca="1">IFERROR(VALUE(IF(VLOOKUP($A69,数出表_Excel!$A$6:$T$150,COLUMN()/2+1,FALSE)=0,"",VLOOKUP($A69,数出表_Excel!$A$6:$T$150,COLUMN()/2+1,FALSE))),"")</f>
        <v/>
      </c>
      <c r="Y69" s="142"/>
      <c r="Z69" s="146" t="str">
        <f ca="1">IFERROR(VALUE(IF(VLOOKUP($A69,数出表_Excel!$A$6:$T$150,COLUMN()/2+1,FALSE)=0,"",VLOOKUP($A69,数出表_Excel!$A$6:$T$150,COLUMN()/2+1,FALSE))),"")</f>
        <v/>
      </c>
      <c r="AA69" s="209"/>
      <c r="AB69" s="147" t="str">
        <f ca="1">IFERROR(VALUE(IF(VLOOKUP($A69,数出表_Excel!$A$6:$T$150,COLUMN()/2+1,FALSE)=0,"",VLOOKUP($A69,数出表_Excel!$A$6:$T$150,COLUMN()/2+1,FALSE))),"")</f>
        <v/>
      </c>
      <c r="AC69" s="142"/>
      <c r="AD69" s="146" t="str">
        <f ca="1">IFERROR(VALUE(IF(VLOOKUP($A69,数出表_Excel!$A$6:$T$150,COLUMN()/2+1,FALSE)=0,"",VLOOKUP($A69,数出表_Excel!$A$6:$T$150,COLUMN()/2+1,FALSE))),"")</f>
        <v/>
      </c>
      <c r="AE69" s="142"/>
      <c r="AF69" s="146" t="str">
        <f ca="1">IFERROR(VALUE(IF(VLOOKUP($A69,数出表_Excel!$A$6:$T$150,COLUMN()/2+1,FALSE)=0,"",VLOOKUP($A69,数出表_Excel!$A$6:$T$150,COLUMN()/2+1,FALSE))),"")</f>
        <v/>
      </c>
      <c r="AG69" s="142"/>
      <c r="AH69" s="146" t="str">
        <f ca="1">IFERROR(VALUE(IF(VLOOKUP($A69,数出表_Excel!$A$6:$T$150,COLUMN()/2+1,FALSE)=0,"",VLOOKUP($A69,数出表_Excel!$A$6:$T$150,COLUMN()/2+1,FALSE))),"")</f>
        <v/>
      </c>
      <c r="AI69" s="209"/>
      <c r="AJ69" s="147" t="str">
        <f ca="1">IFERROR(VALUE(IF(VLOOKUP($A69,数出表_Excel!$A$6:$T$150,COLUMN()/2+1,FALSE)=0,"",VLOOKUP($A69,数出表_Excel!$A$6:$T$150,COLUMN()/2+1,FALSE))),"")</f>
        <v/>
      </c>
      <c r="AK69" s="142"/>
      <c r="AL69" s="148" t="e">
        <f ca="1">IF(A69&lt;&gt;"",
IF(VLOOKUP($A69,数出表_Excel!$A$6:$T$150,COLUMN()/2+1,FALSE)=0,"",VLOOKUP($A69,数出表_Excel!$A$6:$T$150,COLUMN()/2+1,FALSE)),"")</f>
        <v>#N/A</v>
      </c>
      <c r="AM69" s="263">
        <f>数出表_Excel!V69</f>
        <v>0</v>
      </c>
      <c r="AN69" s="264">
        <f>数出表_Excel!W69</f>
        <v>0</v>
      </c>
    </row>
    <row r="70" spans="1:40" ht="16.2" customHeight="1" x14ac:dyDescent="0.45">
      <c r="A70" s="219" t="str">
        <f t="array" aca="1" ref="A70" ca="1">IF(OR(COUNTIF(A68,"*10002*"),COUNTIF(A68,"")),"",INDEX(貼り付け用!$A:$A,MATCH(A68,貼り付け用!$A:$A,0)+2,0))</f>
        <v>7103</v>
      </c>
      <c r="B70" s="204" t="str">
        <f ca="1">IFERROR(VALUE(IF(VLOOKUP($A70,数出表_Excel!$A$6:$T$150,COLUMN()/2+1,FALSE)=0,"",VLOOKUP($A70,数出表_Excel!$A$6:$T$150,COLUMN()/2+1,FALSE))),"")</f>
        <v/>
      </c>
      <c r="C70" s="141"/>
      <c r="D70" s="204" t="str">
        <f ca="1">IFERROR(VALUE(IF(VLOOKUP($A70,数出表_Excel!$A$6:$T$150,COLUMN()/2+1,FALSE)=0,"",VLOOKUP($A70,数出表_Excel!$A$6:$T$150,COLUMN()/2+1,FALSE))),"")</f>
        <v/>
      </c>
      <c r="E70" s="141"/>
      <c r="F70" s="207" t="str">
        <f ca="1">IFERROR(VALUE(IF(VLOOKUP($A70,数出表_Excel!$A$6:$T$150,COLUMN()/2+1,FALSE)=0,"",VLOOKUP($A70,数出表_Excel!$A$6:$T$150,COLUMN()/2+1,FALSE))),"")</f>
        <v/>
      </c>
      <c r="G70" s="141"/>
      <c r="H70" s="204" t="str">
        <f ca="1">IFERROR(VALUE(IF(VLOOKUP($A70,数出表_Excel!$A$6:$T$150,COLUMN()/2+1,FALSE)=0,"",VLOOKUP($A70,数出表_Excel!$A$6:$T$150,COLUMN()/2+1,FALSE))),"")</f>
        <v/>
      </c>
      <c r="I70" s="141"/>
      <c r="J70" s="204" t="str">
        <f ca="1">IFERROR(VALUE(IF(VLOOKUP($A70,数出表_Excel!$A$6:$T$150,COLUMN()/2+1,FALSE)=0,"",VLOOKUP($A70,数出表_Excel!$A$6:$T$150,COLUMN()/2+1,FALSE))),"")</f>
        <v/>
      </c>
      <c r="K70" s="208"/>
      <c r="L70" s="205" t="str">
        <f ca="1">IFERROR(VALUE(IF(VLOOKUP($A70,数出表_Excel!$A$6:$T$150,COLUMN()/2+1,FALSE)=0,"",VLOOKUP($A70,数出表_Excel!$A$6:$T$150,COLUMN()/2+1,FALSE))),"")</f>
        <v/>
      </c>
      <c r="M70" s="141"/>
      <c r="N70" s="204" t="str">
        <f ca="1">IFERROR(VALUE(IF(VLOOKUP($A70,数出表_Excel!$A$6:$T$150,COLUMN()/2+1,FALSE)=0,"",VLOOKUP($A70,数出表_Excel!$A$6:$T$150,COLUMN()/2+1,FALSE))),"")</f>
        <v/>
      </c>
      <c r="O70" s="141"/>
      <c r="P70" s="204" t="str">
        <f ca="1">IFERROR(VALUE(IF(VLOOKUP($A70,数出表_Excel!$A$6:$T$150,COLUMN()/2+1,FALSE)=0,"",VLOOKUP($A70,数出表_Excel!$A$6:$T$150,COLUMN()/2+1,FALSE))),"")</f>
        <v/>
      </c>
      <c r="Q70" s="141"/>
      <c r="R70" s="204" t="str">
        <f ca="1">IFERROR(VALUE(IF(VLOOKUP($A70,数出表_Excel!$A$6:$T$150,COLUMN()/2+1,FALSE)=0,"",VLOOKUP($A70,数出表_Excel!$A$6:$T$150,COLUMN()/2+1,FALSE))),"")</f>
        <v/>
      </c>
      <c r="S70" s="141"/>
      <c r="T70" s="204" t="str">
        <f ca="1">IFERROR(VALUE(IF(VLOOKUP($A70,数出表_Excel!$A$6:$T$150,COLUMN()/2+1,FALSE)=0,"",VLOOKUP($A70,数出表_Excel!$A$6:$T$150,COLUMN()/2+1,FALSE))),"")</f>
        <v/>
      </c>
      <c r="U70" s="141"/>
      <c r="V70" s="207" t="str">
        <f ca="1">IFERROR(VALUE(IF(VLOOKUP($A70,数出表_Excel!$A$6:$T$150,COLUMN()/2+1,FALSE)=0,"",VLOOKUP($A70,数出表_Excel!$A$6:$T$150,COLUMN()/2+1,FALSE))),"")</f>
        <v/>
      </c>
      <c r="W70" s="141"/>
      <c r="X70" s="207" t="str">
        <f ca="1">IFERROR(VALUE(IF(VLOOKUP($A70,数出表_Excel!$A$6:$T$150,COLUMN()/2+1,FALSE)=0,"",VLOOKUP($A70,数出表_Excel!$A$6:$T$150,COLUMN()/2+1,FALSE))),"")</f>
        <v/>
      </c>
      <c r="Y70" s="141"/>
      <c r="Z70" s="207" t="str">
        <f ca="1">IFERROR(VALUE(IF(VLOOKUP($A70,数出表_Excel!$A$6:$T$150,COLUMN()/2+1,FALSE)=0,"",VLOOKUP($A70,数出表_Excel!$A$6:$T$150,COLUMN()/2+1,FALSE))),"")</f>
        <v/>
      </c>
      <c r="AA70" s="208"/>
      <c r="AB70" s="205" t="str">
        <f ca="1">IFERROR(VALUE(IF(VLOOKUP($A70,数出表_Excel!$A$6:$T$150,COLUMN()/2+1,FALSE)=0,"",VLOOKUP($A70,数出表_Excel!$A$6:$T$150,COLUMN()/2+1,FALSE))),"")</f>
        <v/>
      </c>
      <c r="AC70" s="141"/>
      <c r="AD70" s="207" t="str">
        <f ca="1">IFERROR(VALUE(IF(VLOOKUP($A70,数出表_Excel!$A$6:$T$150,COLUMN()/2+1,FALSE)=0,"",VLOOKUP($A70,数出表_Excel!$A$6:$T$150,COLUMN()/2+1,FALSE))),"")</f>
        <v/>
      </c>
      <c r="AE70" s="141"/>
      <c r="AF70" s="207" t="str">
        <f ca="1">IFERROR(VALUE(IF(VLOOKUP($A70,数出表_Excel!$A$6:$T$150,COLUMN()/2+1,FALSE)=0,"",VLOOKUP($A70,数出表_Excel!$A$6:$T$150,COLUMN()/2+1,FALSE))),"")</f>
        <v/>
      </c>
      <c r="AG70" s="141"/>
      <c r="AH70" s="207" t="str">
        <f ca="1">IFERROR(VALUE(IF(VLOOKUP($A70,数出表_Excel!$A$6:$T$150,COLUMN()/2+1,FALSE)=0,"",VLOOKUP($A70,数出表_Excel!$A$6:$T$150,COLUMN()/2+1,FALSE))),"")</f>
        <v/>
      </c>
      <c r="AI70" s="208"/>
      <c r="AJ70" s="205" t="str">
        <f ca="1">IFERROR(VALUE(IF(VLOOKUP($A70,数出表_Excel!$A$6:$T$150,COLUMN()/2+1,FALSE)=0,"",VLOOKUP($A70,数出表_Excel!$A$6:$T$150,COLUMN()/2+1,FALSE))),"")</f>
        <v/>
      </c>
      <c r="AK70" s="141"/>
      <c r="AL70" s="145" t="e">
        <f ca="1">IF(A70&lt;&gt;"",
IF(VLOOKUP($A70,数出表_Excel!$A$6:$T$150,COLUMN()/2+1,FALSE)=0,"",VLOOKUP($A70,数出表_Excel!$A$6:$T$150,COLUMN()/2+1,FALSE)),"")</f>
        <v>#N/A</v>
      </c>
      <c r="AM70" s="261">
        <f>数出表_Excel!V70</f>
        <v>0</v>
      </c>
      <c r="AN70" s="262">
        <f>数出表_Excel!W70</f>
        <v>0</v>
      </c>
    </row>
    <row r="71" spans="1:40" ht="16.2" customHeight="1" x14ac:dyDescent="0.45">
      <c r="A71" s="220" t="str">
        <f t="array" aca="1" ref="A71" ca="1">IF(OR(COUNTIF(A69,"*1000*"),COUNTIF(A69,"")),"",INDEX(貼り付け用!$A:$A,MATCH(A69,貼り付け用!$A:$A,0)+2,0))</f>
        <v>バディ博多南校2号</v>
      </c>
      <c r="B71" s="142" t="str">
        <f ca="1">IFERROR(VALUE(IF(VLOOKUP($A71,数出表_Excel!$A$6:$T$150,COLUMN()/2+1,FALSE)=0,"",VLOOKUP($A71,数出表_Excel!$A$6:$T$150,COLUMN()/2+1,FALSE))),"")</f>
        <v/>
      </c>
      <c r="C71" s="142"/>
      <c r="D71" s="142" t="str">
        <f ca="1">IFERROR(VALUE(IF(VLOOKUP($A71,数出表_Excel!$A$6:$T$150,COLUMN()/2+1,FALSE)=0,"",VLOOKUP($A71,数出表_Excel!$A$6:$T$150,COLUMN()/2+1,FALSE))),"")</f>
        <v/>
      </c>
      <c r="E71" s="142"/>
      <c r="F71" s="146" t="str">
        <f ca="1">IFERROR(VALUE(IF(VLOOKUP($A71,数出表_Excel!$A$6:$T$150,COLUMN()/2+1,FALSE)=0,"",VLOOKUP($A71,数出表_Excel!$A$6:$T$150,COLUMN()/2+1,FALSE))),"")</f>
        <v/>
      </c>
      <c r="G71" s="142"/>
      <c r="H71" s="142" t="str">
        <f ca="1">IFERROR(VALUE(IF(VLOOKUP($A71,数出表_Excel!$A$6:$T$150,COLUMN()/2+1,FALSE)=0,"",VLOOKUP($A71,数出表_Excel!$A$6:$T$150,COLUMN()/2+1,FALSE))),"")</f>
        <v/>
      </c>
      <c r="I71" s="142"/>
      <c r="J71" s="142" t="str">
        <f ca="1">IFERROR(VALUE(IF(VLOOKUP($A71,数出表_Excel!$A$6:$T$150,COLUMN()/2+1,FALSE)=0,"",VLOOKUP($A71,数出表_Excel!$A$6:$T$150,COLUMN()/2+1,FALSE))),"")</f>
        <v/>
      </c>
      <c r="K71" s="209"/>
      <c r="L71" s="147" t="str">
        <f ca="1">IFERROR(VALUE(IF(VLOOKUP($A71,数出表_Excel!$A$6:$T$150,COLUMN()/2+1,FALSE)=0,"",VLOOKUP($A71,数出表_Excel!$A$6:$T$150,COLUMN()/2+1,FALSE))),"")</f>
        <v/>
      </c>
      <c r="M71" s="142"/>
      <c r="N71" s="142" t="str">
        <f ca="1">IFERROR(VALUE(IF(VLOOKUP($A71,数出表_Excel!$A$6:$T$150,COLUMN()/2+1,FALSE)=0,"",VLOOKUP($A71,数出表_Excel!$A$6:$T$150,COLUMN()/2+1,FALSE))),"")</f>
        <v/>
      </c>
      <c r="O71" s="142"/>
      <c r="P71" s="142" t="str">
        <f ca="1">IFERROR(VALUE(IF(VLOOKUP($A71,数出表_Excel!$A$6:$T$150,COLUMN()/2+1,FALSE)=0,"",VLOOKUP($A71,数出表_Excel!$A$6:$T$150,COLUMN()/2+1,FALSE))),"")</f>
        <v/>
      </c>
      <c r="Q71" s="142"/>
      <c r="R71" s="142" t="str">
        <f ca="1">IFERROR(VALUE(IF(VLOOKUP($A71,数出表_Excel!$A$6:$T$150,COLUMN()/2+1,FALSE)=0,"",VLOOKUP($A71,数出表_Excel!$A$6:$T$150,COLUMN()/2+1,FALSE))),"")</f>
        <v/>
      </c>
      <c r="S71" s="142"/>
      <c r="T71" s="142" t="str">
        <f ca="1">IFERROR(VALUE(IF(VLOOKUP($A71,数出表_Excel!$A$6:$T$150,COLUMN()/2+1,FALSE)=0,"",VLOOKUP($A71,数出表_Excel!$A$6:$T$150,COLUMN()/2+1,FALSE))),"")</f>
        <v/>
      </c>
      <c r="U71" s="142"/>
      <c r="V71" s="146" t="str">
        <f ca="1">IFERROR(VALUE(IF(VLOOKUP($A71,数出表_Excel!$A$6:$T$150,COLUMN()/2+1,FALSE)=0,"",VLOOKUP($A71,数出表_Excel!$A$6:$T$150,COLUMN()/2+1,FALSE))),"")</f>
        <v/>
      </c>
      <c r="W71" s="142"/>
      <c r="X71" s="146" t="str">
        <f ca="1">IFERROR(VALUE(IF(VLOOKUP($A71,数出表_Excel!$A$6:$T$150,COLUMN()/2+1,FALSE)=0,"",VLOOKUP($A71,数出表_Excel!$A$6:$T$150,COLUMN()/2+1,FALSE))),"")</f>
        <v/>
      </c>
      <c r="Y71" s="142"/>
      <c r="Z71" s="146" t="str">
        <f ca="1">IFERROR(VALUE(IF(VLOOKUP($A71,数出表_Excel!$A$6:$T$150,COLUMN()/2+1,FALSE)=0,"",VLOOKUP($A71,数出表_Excel!$A$6:$T$150,COLUMN()/2+1,FALSE))),"")</f>
        <v/>
      </c>
      <c r="AA71" s="209"/>
      <c r="AB71" s="147" t="str">
        <f ca="1">IFERROR(VALUE(IF(VLOOKUP($A71,数出表_Excel!$A$6:$T$150,COLUMN()/2+1,FALSE)=0,"",VLOOKUP($A71,数出表_Excel!$A$6:$T$150,COLUMN()/2+1,FALSE))),"")</f>
        <v/>
      </c>
      <c r="AC71" s="142"/>
      <c r="AD71" s="146" t="str">
        <f ca="1">IFERROR(VALUE(IF(VLOOKUP($A71,数出表_Excel!$A$6:$T$150,COLUMN()/2+1,FALSE)=0,"",VLOOKUP($A71,数出表_Excel!$A$6:$T$150,COLUMN()/2+1,FALSE))),"")</f>
        <v/>
      </c>
      <c r="AE71" s="142"/>
      <c r="AF71" s="146" t="str">
        <f ca="1">IFERROR(VALUE(IF(VLOOKUP($A71,数出表_Excel!$A$6:$T$150,COLUMN()/2+1,FALSE)=0,"",VLOOKUP($A71,数出表_Excel!$A$6:$T$150,COLUMN()/2+1,FALSE))),"")</f>
        <v/>
      </c>
      <c r="AG71" s="142"/>
      <c r="AH71" s="146" t="str">
        <f ca="1">IFERROR(VALUE(IF(VLOOKUP($A71,数出表_Excel!$A$6:$T$150,COLUMN()/2+1,FALSE)=0,"",VLOOKUP($A71,数出表_Excel!$A$6:$T$150,COLUMN()/2+1,FALSE))),"")</f>
        <v/>
      </c>
      <c r="AI71" s="209"/>
      <c r="AJ71" s="147" t="str">
        <f ca="1">IFERROR(VALUE(IF(VLOOKUP($A71,数出表_Excel!$A$6:$T$150,COLUMN()/2+1,FALSE)=0,"",VLOOKUP($A71,数出表_Excel!$A$6:$T$150,COLUMN()/2+1,FALSE))),"")</f>
        <v/>
      </c>
      <c r="AK71" s="142"/>
      <c r="AL71" s="148" t="e">
        <f ca="1">IF(A71&lt;&gt;"",
IF(VLOOKUP($A71,数出表_Excel!$A$6:$T$150,COLUMN()/2+1,FALSE)=0,"",VLOOKUP($A71,数出表_Excel!$A$6:$T$150,COLUMN()/2+1,FALSE)),"")</f>
        <v>#N/A</v>
      </c>
      <c r="AM71" s="263">
        <f>数出表_Excel!V71</f>
        <v>0</v>
      </c>
      <c r="AN71" s="264">
        <f>数出表_Excel!W71</f>
        <v>0</v>
      </c>
    </row>
    <row r="72" spans="1:40" ht="16.2" customHeight="1" x14ac:dyDescent="0.45">
      <c r="A72" s="219" t="str">
        <f t="array" aca="1" ref="A72" ca="1">IF(OR(COUNTIF(A70,"*10002*"),COUNTIF(A70,"")),"",INDEX(貼り付け用!$A:$A,MATCH(A70,貼り付け用!$A:$A,0)+2,0))</f>
        <v>16800</v>
      </c>
      <c r="B72" s="204" t="str">
        <f ca="1">IFERROR(VALUE(IF(VLOOKUP($A72,数出表_Excel!$A$6:$T$150,COLUMN()/2+1,FALSE)=0,"",VLOOKUP($A72,数出表_Excel!$A$6:$T$150,COLUMN()/2+1,FALSE))),"")</f>
        <v/>
      </c>
      <c r="C72" s="141"/>
      <c r="D72" s="204" t="str">
        <f ca="1">IFERROR(VALUE(IF(VLOOKUP($A72,数出表_Excel!$A$6:$T$150,COLUMN()/2+1,FALSE)=0,"",VLOOKUP($A72,数出表_Excel!$A$6:$T$150,COLUMN()/2+1,FALSE))),"")</f>
        <v/>
      </c>
      <c r="E72" s="141"/>
      <c r="F72" s="207" t="str">
        <f ca="1">IFERROR(VALUE(IF(VLOOKUP($A72,数出表_Excel!$A$6:$T$150,COLUMN()/2+1,FALSE)=0,"",VLOOKUP($A72,数出表_Excel!$A$6:$T$150,COLUMN()/2+1,FALSE))),"")</f>
        <v/>
      </c>
      <c r="G72" s="141"/>
      <c r="H72" s="204" t="str">
        <f ca="1">IFERROR(VALUE(IF(VLOOKUP($A72,数出表_Excel!$A$6:$T$150,COLUMN()/2+1,FALSE)=0,"",VLOOKUP($A72,数出表_Excel!$A$6:$T$150,COLUMN()/2+1,FALSE))),"")</f>
        <v/>
      </c>
      <c r="I72" s="141"/>
      <c r="J72" s="204" t="str">
        <f ca="1">IFERROR(VALUE(IF(VLOOKUP($A72,数出表_Excel!$A$6:$T$150,COLUMN()/2+1,FALSE)=0,"",VLOOKUP($A72,数出表_Excel!$A$6:$T$150,COLUMN()/2+1,FALSE))),"")</f>
        <v/>
      </c>
      <c r="K72" s="208"/>
      <c r="L72" s="205" t="str">
        <f ca="1">IFERROR(VALUE(IF(VLOOKUP($A72,数出表_Excel!$A$6:$T$150,COLUMN()/2+1,FALSE)=0,"",VLOOKUP($A72,数出表_Excel!$A$6:$T$150,COLUMN()/2+1,FALSE))),"")</f>
        <v/>
      </c>
      <c r="M72" s="141"/>
      <c r="N72" s="204" t="str">
        <f ca="1">IFERROR(VALUE(IF(VLOOKUP($A72,数出表_Excel!$A$6:$T$150,COLUMN()/2+1,FALSE)=0,"",VLOOKUP($A72,数出表_Excel!$A$6:$T$150,COLUMN()/2+1,FALSE))),"")</f>
        <v/>
      </c>
      <c r="O72" s="141"/>
      <c r="P72" s="204" t="str">
        <f ca="1">IFERROR(VALUE(IF(VLOOKUP($A72,数出表_Excel!$A$6:$T$150,COLUMN()/2+1,FALSE)=0,"",VLOOKUP($A72,数出表_Excel!$A$6:$T$150,COLUMN()/2+1,FALSE))),"")</f>
        <v/>
      </c>
      <c r="Q72" s="141"/>
      <c r="R72" s="204" t="str">
        <f ca="1">IFERROR(VALUE(IF(VLOOKUP($A72,数出表_Excel!$A$6:$T$150,COLUMN()/2+1,FALSE)=0,"",VLOOKUP($A72,数出表_Excel!$A$6:$T$150,COLUMN()/2+1,FALSE))),"")</f>
        <v/>
      </c>
      <c r="S72" s="141"/>
      <c r="T72" s="204" t="str">
        <f ca="1">IFERROR(VALUE(IF(VLOOKUP($A72,数出表_Excel!$A$6:$T$150,COLUMN()/2+1,FALSE)=0,"",VLOOKUP($A72,数出表_Excel!$A$6:$T$150,COLUMN()/2+1,FALSE))),"")</f>
        <v/>
      </c>
      <c r="U72" s="141"/>
      <c r="V72" s="207" t="str">
        <f ca="1">IFERROR(VALUE(IF(VLOOKUP($A72,数出表_Excel!$A$6:$T$150,COLUMN()/2+1,FALSE)=0,"",VLOOKUP($A72,数出表_Excel!$A$6:$T$150,COLUMN()/2+1,FALSE))),"")</f>
        <v/>
      </c>
      <c r="W72" s="141"/>
      <c r="X72" s="207" t="str">
        <f ca="1">IFERROR(VALUE(IF(VLOOKUP($A72,数出表_Excel!$A$6:$T$150,COLUMN()/2+1,FALSE)=0,"",VLOOKUP($A72,数出表_Excel!$A$6:$T$150,COLUMN()/2+1,FALSE))),"")</f>
        <v/>
      </c>
      <c r="Y72" s="141"/>
      <c r="Z72" s="207" t="str">
        <f ca="1">IFERROR(VALUE(IF(VLOOKUP($A72,数出表_Excel!$A$6:$T$150,COLUMN()/2+1,FALSE)=0,"",VLOOKUP($A72,数出表_Excel!$A$6:$T$150,COLUMN()/2+1,FALSE))),"")</f>
        <v/>
      </c>
      <c r="AA72" s="208"/>
      <c r="AB72" s="205" t="str">
        <f ca="1">IFERROR(VALUE(IF(VLOOKUP($A72,数出表_Excel!$A$6:$T$150,COLUMN()/2+1,FALSE)=0,"",VLOOKUP($A72,数出表_Excel!$A$6:$T$150,COLUMN()/2+1,FALSE))),"")</f>
        <v/>
      </c>
      <c r="AC72" s="141"/>
      <c r="AD72" s="207" t="str">
        <f ca="1">IFERROR(VALUE(IF(VLOOKUP($A72,数出表_Excel!$A$6:$T$150,COLUMN()/2+1,FALSE)=0,"",VLOOKUP($A72,数出表_Excel!$A$6:$T$150,COLUMN()/2+1,FALSE))),"")</f>
        <v/>
      </c>
      <c r="AE72" s="141"/>
      <c r="AF72" s="207" t="str">
        <f ca="1">IFERROR(VALUE(IF(VLOOKUP($A72,数出表_Excel!$A$6:$T$150,COLUMN()/2+1,FALSE)=0,"",VLOOKUP($A72,数出表_Excel!$A$6:$T$150,COLUMN()/2+1,FALSE))),"")</f>
        <v/>
      </c>
      <c r="AG72" s="141"/>
      <c r="AH72" s="207" t="str">
        <f ca="1">IFERROR(VALUE(IF(VLOOKUP($A72,数出表_Excel!$A$6:$T$150,COLUMN()/2+1,FALSE)=0,"",VLOOKUP($A72,数出表_Excel!$A$6:$T$150,COLUMN()/2+1,FALSE))),"")</f>
        <v/>
      </c>
      <c r="AI72" s="208"/>
      <c r="AJ72" s="205" t="str">
        <f ca="1">IFERROR(VALUE(IF(VLOOKUP($A72,数出表_Excel!$A$6:$T$150,COLUMN()/2+1,FALSE)=0,"",VLOOKUP($A72,数出表_Excel!$A$6:$T$150,COLUMN()/2+1,FALSE))),"")</f>
        <v/>
      </c>
      <c r="AK72" s="141"/>
      <c r="AL72" s="145" t="e">
        <f ca="1">IF(A72&lt;&gt;"",
IF(VLOOKUP($A72,数出表_Excel!$A$6:$T$150,COLUMN()/2+1,FALSE)=0,"",VLOOKUP($A72,数出表_Excel!$A$6:$T$150,COLUMN()/2+1,FALSE)),"")</f>
        <v>#N/A</v>
      </c>
      <c r="AM72" s="261">
        <f>数出表_Excel!V72</f>
        <v>0</v>
      </c>
      <c r="AN72" s="262">
        <f>数出表_Excel!W72</f>
        <v>0</v>
      </c>
    </row>
    <row r="73" spans="1:40" ht="16.2" customHeight="1" x14ac:dyDescent="0.45">
      <c r="A73" s="220" t="str">
        <f t="array" aca="1" ref="A73" ca="1">IF(OR(COUNTIF(A71,"*1000*"),COUNTIF(A71,"")),"",INDEX(貼り付け用!$A:$A,MATCH(A71,貼り付け用!$A:$A,0)+2,0))</f>
        <v>宝幼稚園</v>
      </c>
      <c r="B73" s="142" t="str">
        <f ca="1">IFERROR(VALUE(IF(VLOOKUP($A73,数出表_Excel!$A$6:$T$150,COLUMN()/2+1,FALSE)=0,"",VLOOKUP($A73,数出表_Excel!$A$6:$T$150,COLUMN()/2+1,FALSE))),"")</f>
        <v/>
      </c>
      <c r="C73" s="142"/>
      <c r="D73" s="142" t="str">
        <f ca="1">IFERROR(VALUE(IF(VLOOKUP($A73,数出表_Excel!$A$6:$T$150,COLUMN()/2+1,FALSE)=0,"",VLOOKUP($A73,数出表_Excel!$A$6:$T$150,COLUMN()/2+1,FALSE))),"")</f>
        <v/>
      </c>
      <c r="E73" s="142"/>
      <c r="F73" s="146" t="str">
        <f ca="1">IFERROR(VALUE(IF(VLOOKUP($A73,数出表_Excel!$A$6:$T$150,COLUMN()/2+1,FALSE)=0,"",VLOOKUP($A73,数出表_Excel!$A$6:$T$150,COLUMN()/2+1,FALSE))),"")</f>
        <v/>
      </c>
      <c r="G73" s="142"/>
      <c r="H73" s="142" t="str">
        <f ca="1">IFERROR(VALUE(IF(VLOOKUP($A73,数出表_Excel!$A$6:$T$150,COLUMN()/2+1,FALSE)=0,"",VLOOKUP($A73,数出表_Excel!$A$6:$T$150,COLUMN()/2+1,FALSE))),"")</f>
        <v/>
      </c>
      <c r="I73" s="142"/>
      <c r="J73" s="142" t="str">
        <f ca="1">IFERROR(VALUE(IF(VLOOKUP($A73,数出表_Excel!$A$6:$T$150,COLUMN()/2+1,FALSE)=0,"",VLOOKUP($A73,数出表_Excel!$A$6:$T$150,COLUMN()/2+1,FALSE))),"")</f>
        <v/>
      </c>
      <c r="K73" s="209"/>
      <c r="L73" s="147" t="str">
        <f ca="1">IFERROR(VALUE(IF(VLOOKUP($A73,数出表_Excel!$A$6:$T$150,COLUMN()/2+1,FALSE)=0,"",VLOOKUP($A73,数出表_Excel!$A$6:$T$150,COLUMN()/2+1,FALSE))),"")</f>
        <v/>
      </c>
      <c r="M73" s="142"/>
      <c r="N73" s="142" t="str">
        <f ca="1">IFERROR(VALUE(IF(VLOOKUP($A73,数出表_Excel!$A$6:$T$150,COLUMN()/2+1,FALSE)=0,"",VLOOKUP($A73,数出表_Excel!$A$6:$T$150,COLUMN()/2+1,FALSE))),"")</f>
        <v/>
      </c>
      <c r="O73" s="142"/>
      <c r="P73" s="142" t="str">
        <f ca="1">IFERROR(VALUE(IF(VLOOKUP($A73,数出表_Excel!$A$6:$T$150,COLUMN()/2+1,FALSE)=0,"",VLOOKUP($A73,数出表_Excel!$A$6:$T$150,COLUMN()/2+1,FALSE))),"")</f>
        <v/>
      </c>
      <c r="Q73" s="142"/>
      <c r="R73" s="142" t="str">
        <f ca="1">IFERROR(VALUE(IF(VLOOKUP($A73,数出表_Excel!$A$6:$T$150,COLUMN()/2+1,FALSE)=0,"",VLOOKUP($A73,数出表_Excel!$A$6:$T$150,COLUMN()/2+1,FALSE))),"")</f>
        <v/>
      </c>
      <c r="S73" s="142"/>
      <c r="T73" s="142" t="str">
        <f ca="1">IFERROR(VALUE(IF(VLOOKUP($A73,数出表_Excel!$A$6:$T$150,COLUMN()/2+1,FALSE)=0,"",VLOOKUP($A73,数出表_Excel!$A$6:$T$150,COLUMN()/2+1,FALSE))),"")</f>
        <v/>
      </c>
      <c r="U73" s="142"/>
      <c r="V73" s="146" t="str">
        <f ca="1">IFERROR(VALUE(IF(VLOOKUP($A73,数出表_Excel!$A$6:$T$150,COLUMN()/2+1,FALSE)=0,"",VLOOKUP($A73,数出表_Excel!$A$6:$T$150,COLUMN()/2+1,FALSE))),"")</f>
        <v/>
      </c>
      <c r="W73" s="142"/>
      <c r="X73" s="146" t="str">
        <f ca="1">IFERROR(VALUE(IF(VLOOKUP($A73,数出表_Excel!$A$6:$T$150,COLUMN()/2+1,FALSE)=0,"",VLOOKUP($A73,数出表_Excel!$A$6:$T$150,COLUMN()/2+1,FALSE))),"")</f>
        <v/>
      </c>
      <c r="Y73" s="142"/>
      <c r="Z73" s="146" t="str">
        <f ca="1">IFERROR(VALUE(IF(VLOOKUP($A73,数出表_Excel!$A$6:$T$150,COLUMN()/2+1,FALSE)=0,"",VLOOKUP($A73,数出表_Excel!$A$6:$T$150,COLUMN()/2+1,FALSE))),"")</f>
        <v/>
      </c>
      <c r="AA73" s="209"/>
      <c r="AB73" s="147" t="str">
        <f ca="1">IFERROR(VALUE(IF(VLOOKUP($A73,数出表_Excel!$A$6:$T$150,COLUMN()/2+1,FALSE)=0,"",VLOOKUP($A73,数出表_Excel!$A$6:$T$150,COLUMN()/2+1,FALSE))),"")</f>
        <v/>
      </c>
      <c r="AC73" s="142"/>
      <c r="AD73" s="146" t="str">
        <f ca="1">IFERROR(VALUE(IF(VLOOKUP($A73,数出表_Excel!$A$6:$T$150,COLUMN()/2+1,FALSE)=0,"",VLOOKUP($A73,数出表_Excel!$A$6:$T$150,COLUMN()/2+1,FALSE))),"")</f>
        <v/>
      </c>
      <c r="AE73" s="142"/>
      <c r="AF73" s="146" t="str">
        <f ca="1">IFERROR(VALUE(IF(VLOOKUP($A73,数出表_Excel!$A$6:$T$150,COLUMN()/2+1,FALSE)=0,"",VLOOKUP($A73,数出表_Excel!$A$6:$T$150,COLUMN()/2+1,FALSE))),"")</f>
        <v/>
      </c>
      <c r="AG73" s="142"/>
      <c r="AH73" s="146" t="str">
        <f ca="1">IFERROR(VALUE(IF(VLOOKUP($A73,数出表_Excel!$A$6:$T$150,COLUMN()/2+1,FALSE)=0,"",VLOOKUP($A73,数出表_Excel!$A$6:$T$150,COLUMN()/2+1,FALSE))),"")</f>
        <v/>
      </c>
      <c r="AI73" s="209"/>
      <c r="AJ73" s="147" t="str">
        <f ca="1">IFERROR(VALUE(IF(VLOOKUP($A73,数出表_Excel!$A$6:$T$150,COLUMN()/2+1,FALSE)=0,"",VLOOKUP($A73,数出表_Excel!$A$6:$T$150,COLUMN()/2+1,FALSE))),"")</f>
        <v/>
      </c>
      <c r="AK73" s="142"/>
      <c r="AL73" s="148" t="e">
        <f ca="1">IF(A73&lt;&gt;"",
IF(VLOOKUP($A73,数出表_Excel!$A$6:$T$150,COLUMN()/2+1,FALSE)=0,"",VLOOKUP($A73,数出表_Excel!$A$6:$T$150,COLUMN()/2+1,FALSE)),"")</f>
        <v>#N/A</v>
      </c>
      <c r="AM73" s="263">
        <f>数出表_Excel!V73</f>
        <v>0</v>
      </c>
      <c r="AN73" s="264">
        <f>数出表_Excel!W73</f>
        <v>0</v>
      </c>
    </row>
    <row r="74" spans="1:40" ht="16.2" customHeight="1" x14ac:dyDescent="0.45">
      <c r="A74" s="219" t="str">
        <f t="array" aca="1" ref="A74" ca="1">IF(OR(COUNTIF(A72,"*10002*"),COUNTIF(A72,"")),"",INDEX(貼り付け用!$A:$A,MATCH(A72,貼り付け用!$A:$A,0)+2,0))</f>
        <v>11600</v>
      </c>
      <c r="B74" s="204" t="str">
        <f ca="1">IFERROR(VALUE(IF(VLOOKUP($A74,数出表_Excel!$A$6:$T$150,COLUMN()/2+1,FALSE)=0,"",VLOOKUP($A74,数出表_Excel!$A$6:$T$150,COLUMN()/2+1,FALSE))),"")</f>
        <v/>
      </c>
      <c r="C74" s="141"/>
      <c r="D74" s="204" t="str">
        <f ca="1">IFERROR(VALUE(IF(VLOOKUP($A74,数出表_Excel!$A$6:$T$150,COLUMN()/2+1,FALSE)=0,"",VLOOKUP($A74,数出表_Excel!$A$6:$T$150,COLUMN()/2+1,FALSE))),"")</f>
        <v/>
      </c>
      <c r="E74" s="141"/>
      <c r="F74" s="207" t="str">
        <f ca="1">IFERROR(VALUE(IF(VLOOKUP($A74,数出表_Excel!$A$6:$T$150,COLUMN()/2+1,FALSE)=0,"",VLOOKUP($A74,数出表_Excel!$A$6:$T$150,COLUMN()/2+1,FALSE))),"")</f>
        <v/>
      </c>
      <c r="G74" s="141"/>
      <c r="H74" s="204" t="str">
        <f ca="1">IFERROR(VALUE(IF(VLOOKUP($A74,数出表_Excel!$A$6:$T$150,COLUMN()/2+1,FALSE)=0,"",VLOOKUP($A74,数出表_Excel!$A$6:$T$150,COLUMN()/2+1,FALSE))),"")</f>
        <v/>
      </c>
      <c r="I74" s="141"/>
      <c r="J74" s="204" t="str">
        <f ca="1">IFERROR(VALUE(IF(VLOOKUP($A74,数出表_Excel!$A$6:$T$150,COLUMN()/2+1,FALSE)=0,"",VLOOKUP($A74,数出表_Excel!$A$6:$T$150,COLUMN()/2+1,FALSE))),"")</f>
        <v/>
      </c>
      <c r="K74" s="208"/>
      <c r="L74" s="205" t="str">
        <f ca="1">IFERROR(VALUE(IF(VLOOKUP($A74,数出表_Excel!$A$6:$T$150,COLUMN()/2+1,FALSE)=0,"",VLOOKUP($A74,数出表_Excel!$A$6:$T$150,COLUMN()/2+1,FALSE))),"")</f>
        <v/>
      </c>
      <c r="M74" s="141"/>
      <c r="N74" s="204" t="str">
        <f ca="1">IFERROR(VALUE(IF(VLOOKUP($A74,数出表_Excel!$A$6:$T$150,COLUMN()/2+1,FALSE)=0,"",VLOOKUP($A74,数出表_Excel!$A$6:$T$150,COLUMN()/2+1,FALSE))),"")</f>
        <v/>
      </c>
      <c r="O74" s="141"/>
      <c r="P74" s="204" t="str">
        <f ca="1">IFERROR(VALUE(IF(VLOOKUP($A74,数出表_Excel!$A$6:$T$150,COLUMN()/2+1,FALSE)=0,"",VLOOKUP($A74,数出表_Excel!$A$6:$T$150,COLUMN()/2+1,FALSE))),"")</f>
        <v/>
      </c>
      <c r="Q74" s="141"/>
      <c r="R74" s="204" t="str">
        <f ca="1">IFERROR(VALUE(IF(VLOOKUP($A74,数出表_Excel!$A$6:$T$150,COLUMN()/2+1,FALSE)=0,"",VLOOKUP($A74,数出表_Excel!$A$6:$T$150,COLUMN()/2+1,FALSE))),"")</f>
        <v/>
      </c>
      <c r="S74" s="141"/>
      <c r="T74" s="204" t="str">
        <f ca="1">IFERROR(VALUE(IF(VLOOKUP($A74,数出表_Excel!$A$6:$T$150,COLUMN()/2+1,FALSE)=0,"",VLOOKUP($A74,数出表_Excel!$A$6:$T$150,COLUMN()/2+1,FALSE))),"")</f>
        <v/>
      </c>
      <c r="U74" s="141"/>
      <c r="V74" s="207" t="str">
        <f ca="1">IFERROR(VALUE(IF(VLOOKUP($A74,数出表_Excel!$A$6:$T$150,COLUMN()/2+1,FALSE)=0,"",VLOOKUP($A74,数出表_Excel!$A$6:$T$150,COLUMN()/2+1,FALSE))),"")</f>
        <v/>
      </c>
      <c r="W74" s="141"/>
      <c r="X74" s="207" t="str">
        <f ca="1">IFERROR(VALUE(IF(VLOOKUP($A74,数出表_Excel!$A$6:$T$150,COLUMN()/2+1,FALSE)=0,"",VLOOKUP($A74,数出表_Excel!$A$6:$T$150,COLUMN()/2+1,FALSE))),"")</f>
        <v/>
      </c>
      <c r="Y74" s="141"/>
      <c r="Z74" s="207" t="str">
        <f ca="1">IFERROR(VALUE(IF(VLOOKUP($A74,数出表_Excel!$A$6:$T$150,COLUMN()/2+1,FALSE)=0,"",VLOOKUP($A74,数出表_Excel!$A$6:$T$150,COLUMN()/2+1,FALSE))),"")</f>
        <v/>
      </c>
      <c r="AA74" s="208"/>
      <c r="AB74" s="205" t="str">
        <f ca="1">IFERROR(VALUE(IF(VLOOKUP($A74,数出表_Excel!$A$6:$T$150,COLUMN()/2+1,FALSE)=0,"",VLOOKUP($A74,数出表_Excel!$A$6:$T$150,COLUMN()/2+1,FALSE))),"")</f>
        <v/>
      </c>
      <c r="AC74" s="141"/>
      <c r="AD74" s="207" t="str">
        <f ca="1">IFERROR(VALUE(IF(VLOOKUP($A74,数出表_Excel!$A$6:$T$150,COLUMN()/2+1,FALSE)=0,"",VLOOKUP($A74,数出表_Excel!$A$6:$T$150,COLUMN()/2+1,FALSE))),"")</f>
        <v/>
      </c>
      <c r="AE74" s="141"/>
      <c r="AF74" s="207" t="str">
        <f ca="1">IFERROR(VALUE(IF(VLOOKUP($A74,数出表_Excel!$A$6:$T$150,COLUMN()/2+1,FALSE)=0,"",VLOOKUP($A74,数出表_Excel!$A$6:$T$150,COLUMN()/2+1,FALSE))),"")</f>
        <v/>
      </c>
      <c r="AG74" s="141"/>
      <c r="AH74" s="207" t="str">
        <f ca="1">IFERROR(VALUE(IF(VLOOKUP($A74,数出表_Excel!$A$6:$T$150,COLUMN()/2+1,FALSE)=0,"",VLOOKUP($A74,数出表_Excel!$A$6:$T$150,COLUMN()/2+1,FALSE))),"")</f>
        <v/>
      </c>
      <c r="AI74" s="208"/>
      <c r="AJ74" s="205" t="str">
        <f ca="1">IFERROR(VALUE(IF(VLOOKUP($A74,数出表_Excel!$A$6:$T$150,COLUMN()/2+1,FALSE)=0,"",VLOOKUP($A74,数出表_Excel!$A$6:$T$150,COLUMN()/2+1,FALSE))),"")</f>
        <v/>
      </c>
      <c r="AK74" s="141"/>
      <c r="AL74" s="145" t="e">
        <f ca="1">IF(A74&lt;&gt;"",
IF(VLOOKUP($A74,数出表_Excel!$A$6:$T$150,COLUMN()/2+1,FALSE)=0,"",VLOOKUP($A74,数出表_Excel!$A$6:$T$150,COLUMN()/2+1,FALSE)),"")</f>
        <v>#N/A</v>
      </c>
      <c r="AM74" s="261">
        <f>数出表_Excel!V74</f>
        <v>0</v>
      </c>
      <c r="AN74" s="262">
        <f>数出表_Excel!W74</f>
        <v>0</v>
      </c>
    </row>
    <row r="75" spans="1:40" ht="16.2" customHeight="1" x14ac:dyDescent="0.45">
      <c r="A75" s="220" t="str">
        <f t="array" aca="1" ref="A75" ca="1">IF(OR(COUNTIF(A73,"*1000*"),COUNTIF(A73,"")),"",INDEX(貼り付け用!$A:$A,MATCH(A73,貼り付け用!$A:$A,0)+2,0))</f>
        <v>須玖幼稚園</v>
      </c>
      <c r="B75" s="142" t="str">
        <f ca="1">IFERROR(VALUE(IF(VLOOKUP($A75,数出表_Excel!$A$6:$T$150,COLUMN()/2+1,FALSE)=0,"",VLOOKUP($A75,数出表_Excel!$A$6:$T$150,COLUMN()/2+1,FALSE))),"")</f>
        <v/>
      </c>
      <c r="C75" s="142"/>
      <c r="D75" s="142" t="str">
        <f ca="1">IFERROR(VALUE(IF(VLOOKUP($A75,数出表_Excel!$A$6:$T$150,COLUMN()/2+1,FALSE)=0,"",VLOOKUP($A75,数出表_Excel!$A$6:$T$150,COLUMN()/2+1,FALSE))),"")</f>
        <v/>
      </c>
      <c r="E75" s="142"/>
      <c r="F75" s="146" t="str">
        <f ca="1">IFERROR(VALUE(IF(VLOOKUP($A75,数出表_Excel!$A$6:$T$150,COLUMN()/2+1,FALSE)=0,"",VLOOKUP($A75,数出表_Excel!$A$6:$T$150,COLUMN()/2+1,FALSE))),"")</f>
        <v/>
      </c>
      <c r="G75" s="142"/>
      <c r="H75" s="142" t="str">
        <f ca="1">IFERROR(VALUE(IF(VLOOKUP($A75,数出表_Excel!$A$6:$T$150,COLUMN()/2+1,FALSE)=0,"",VLOOKUP($A75,数出表_Excel!$A$6:$T$150,COLUMN()/2+1,FALSE))),"")</f>
        <v/>
      </c>
      <c r="I75" s="142"/>
      <c r="J75" s="142" t="str">
        <f ca="1">IFERROR(VALUE(IF(VLOOKUP($A75,数出表_Excel!$A$6:$T$150,COLUMN()/2+1,FALSE)=0,"",VLOOKUP($A75,数出表_Excel!$A$6:$T$150,COLUMN()/2+1,FALSE))),"")</f>
        <v/>
      </c>
      <c r="K75" s="209"/>
      <c r="L75" s="147" t="str">
        <f ca="1">IFERROR(VALUE(IF(VLOOKUP($A75,数出表_Excel!$A$6:$T$150,COLUMN()/2+1,FALSE)=0,"",VLOOKUP($A75,数出表_Excel!$A$6:$T$150,COLUMN()/2+1,FALSE))),"")</f>
        <v/>
      </c>
      <c r="M75" s="142"/>
      <c r="N75" s="142" t="str">
        <f ca="1">IFERROR(VALUE(IF(VLOOKUP($A75,数出表_Excel!$A$6:$T$150,COLUMN()/2+1,FALSE)=0,"",VLOOKUP($A75,数出表_Excel!$A$6:$T$150,COLUMN()/2+1,FALSE))),"")</f>
        <v/>
      </c>
      <c r="O75" s="142"/>
      <c r="P75" s="142" t="str">
        <f ca="1">IFERROR(VALUE(IF(VLOOKUP($A75,数出表_Excel!$A$6:$T$150,COLUMN()/2+1,FALSE)=0,"",VLOOKUP($A75,数出表_Excel!$A$6:$T$150,COLUMN()/2+1,FALSE))),"")</f>
        <v/>
      </c>
      <c r="Q75" s="142"/>
      <c r="R75" s="142" t="str">
        <f ca="1">IFERROR(VALUE(IF(VLOOKUP($A75,数出表_Excel!$A$6:$T$150,COLUMN()/2+1,FALSE)=0,"",VLOOKUP($A75,数出表_Excel!$A$6:$T$150,COLUMN()/2+1,FALSE))),"")</f>
        <v/>
      </c>
      <c r="S75" s="142"/>
      <c r="T75" s="142" t="str">
        <f ca="1">IFERROR(VALUE(IF(VLOOKUP($A75,数出表_Excel!$A$6:$T$150,COLUMN()/2+1,FALSE)=0,"",VLOOKUP($A75,数出表_Excel!$A$6:$T$150,COLUMN()/2+1,FALSE))),"")</f>
        <v/>
      </c>
      <c r="U75" s="142"/>
      <c r="V75" s="146" t="str">
        <f ca="1">IFERROR(VALUE(IF(VLOOKUP($A75,数出表_Excel!$A$6:$T$150,COLUMN()/2+1,FALSE)=0,"",VLOOKUP($A75,数出表_Excel!$A$6:$T$150,COLUMN()/2+1,FALSE))),"")</f>
        <v/>
      </c>
      <c r="W75" s="142"/>
      <c r="X75" s="146" t="str">
        <f ca="1">IFERROR(VALUE(IF(VLOOKUP($A75,数出表_Excel!$A$6:$T$150,COLUMN()/2+1,FALSE)=0,"",VLOOKUP($A75,数出表_Excel!$A$6:$T$150,COLUMN()/2+1,FALSE))),"")</f>
        <v/>
      </c>
      <c r="Y75" s="142"/>
      <c r="Z75" s="146" t="str">
        <f ca="1">IFERROR(VALUE(IF(VLOOKUP($A75,数出表_Excel!$A$6:$T$150,COLUMN()/2+1,FALSE)=0,"",VLOOKUP($A75,数出表_Excel!$A$6:$T$150,COLUMN()/2+1,FALSE))),"")</f>
        <v/>
      </c>
      <c r="AA75" s="209"/>
      <c r="AB75" s="147" t="str">
        <f ca="1">IFERROR(VALUE(IF(VLOOKUP($A75,数出表_Excel!$A$6:$T$150,COLUMN()/2+1,FALSE)=0,"",VLOOKUP($A75,数出表_Excel!$A$6:$T$150,COLUMN()/2+1,FALSE))),"")</f>
        <v/>
      </c>
      <c r="AC75" s="142"/>
      <c r="AD75" s="146" t="str">
        <f ca="1">IFERROR(VALUE(IF(VLOOKUP($A75,数出表_Excel!$A$6:$T$150,COLUMN()/2+1,FALSE)=0,"",VLOOKUP($A75,数出表_Excel!$A$6:$T$150,COLUMN()/2+1,FALSE))),"")</f>
        <v/>
      </c>
      <c r="AE75" s="142"/>
      <c r="AF75" s="146" t="str">
        <f ca="1">IFERROR(VALUE(IF(VLOOKUP($A75,数出表_Excel!$A$6:$T$150,COLUMN()/2+1,FALSE)=0,"",VLOOKUP($A75,数出表_Excel!$A$6:$T$150,COLUMN()/2+1,FALSE))),"")</f>
        <v/>
      </c>
      <c r="AG75" s="142"/>
      <c r="AH75" s="146" t="str">
        <f ca="1">IFERROR(VALUE(IF(VLOOKUP($A75,数出表_Excel!$A$6:$T$150,COLUMN()/2+1,FALSE)=0,"",VLOOKUP($A75,数出表_Excel!$A$6:$T$150,COLUMN()/2+1,FALSE))),"")</f>
        <v/>
      </c>
      <c r="AI75" s="209"/>
      <c r="AJ75" s="147" t="str">
        <f ca="1">IFERROR(VALUE(IF(VLOOKUP($A75,数出表_Excel!$A$6:$T$150,COLUMN()/2+1,FALSE)=0,"",VLOOKUP($A75,数出表_Excel!$A$6:$T$150,COLUMN()/2+1,FALSE))),"")</f>
        <v/>
      </c>
      <c r="AK75" s="142"/>
      <c r="AL75" s="148" t="e">
        <f ca="1">IF(A75&lt;&gt;"",
IF(VLOOKUP($A75,数出表_Excel!$A$6:$T$150,COLUMN()/2+1,FALSE)=0,"",VLOOKUP($A75,数出表_Excel!$A$6:$T$150,COLUMN()/2+1,FALSE)),"")</f>
        <v>#N/A</v>
      </c>
      <c r="AM75" s="263">
        <f>数出表_Excel!V75</f>
        <v>0</v>
      </c>
      <c r="AN75" s="264">
        <f>数出表_Excel!W75</f>
        <v>0</v>
      </c>
    </row>
    <row r="76" spans="1:40" ht="16.2" customHeight="1" x14ac:dyDescent="0.45">
      <c r="A76" s="219" t="str">
        <f t="array" aca="1" ref="A76" ca="1">IF(OR(COUNTIF(A74,"*10002*"),COUNTIF(A74,"")),"",INDEX(貼り付け用!$A:$A,MATCH(A74,貼り付け用!$A:$A,0)+2,0))</f>
        <v>1600</v>
      </c>
      <c r="B76" s="204" t="str">
        <f ca="1">IFERROR(VALUE(IF(VLOOKUP($A76,数出表_Excel!$A$6:$T$150,COLUMN()/2+1,FALSE)=0,"",VLOOKUP($A76,数出表_Excel!$A$6:$T$150,COLUMN()/2+1,FALSE))),"")</f>
        <v/>
      </c>
      <c r="C76" s="141"/>
      <c r="D76" s="204" t="str">
        <f ca="1">IFERROR(VALUE(IF(VLOOKUP($A76,数出表_Excel!$A$6:$T$150,COLUMN()/2+1,FALSE)=0,"",VLOOKUP($A76,数出表_Excel!$A$6:$T$150,COLUMN()/2+1,FALSE))),"")</f>
        <v/>
      </c>
      <c r="E76" s="141"/>
      <c r="F76" s="207" t="str">
        <f ca="1">IFERROR(VALUE(IF(VLOOKUP($A76,数出表_Excel!$A$6:$T$150,COLUMN()/2+1,FALSE)=0,"",VLOOKUP($A76,数出表_Excel!$A$6:$T$150,COLUMN()/2+1,FALSE))),"")</f>
        <v/>
      </c>
      <c r="G76" s="141"/>
      <c r="H76" s="204" t="str">
        <f ca="1">IFERROR(VALUE(IF(VLOOKUP($A76,数出表_Excel!$A$6:$T$150,COLUMN()/2+1,FALSE)=0,"",VLOOKUP($A76,数出表_Excel!$A$6:$T$150,COLUMN()/2+1,FALSE))),"")</f>
        <v/>
      </c>
      <c r="I76" s="141"/>
      <c r="J76" s="204" t="str">
        <f ca="1">IFERROR(VALUE(IF(VLOOKUP($A76,数出表_Excel!$A$6:$T$150,COLUMN()/2+1,FALSE)=0,"",VLOOKUP($A76,数出表_Excel!$A$6:$T$150,COLUMN()/2+1,FALSE))),"")</f>
        <v/>
      </c>
      <c r="K76" s="208"/>
      <c r="L76" s="205" t="str">
        <f ca="1">IFERROR(VALUE(IF(VLOOKUP($A76,数出表_Excel!$A$6:$T$150,COLUMN()/2+1,FALSE)=0,"",VLOOKUP($A76,数出表_Excel!$A$6:$T$150,COLUMN()/2+1,FALSE))),"")</f>
        <v/>
      </c>
      <c r="M76" s="141"/>
      <c r="N76" s="204" t="str">
        <f ca="1">IFERROR(VALUE(IF(VLOOKUP($A76,数出表_Excel!$A$6:$T$150,COLUMN()/2+1,FALSE)=0,"",VLOOKUP($A76,数出表_Excel!$A$6:$T$150,COLUMN()/2+1,FALSE))),"")</f>
        <v/>
      </c>
      <c r="O76" s="141"/>
      <c r="P76" s="204" t="str">
        <f ca="1">IFERROR(VALUE(IF(VLOOKUP($A76,数出表_Excel!$A$6:$T$150,COLUMN()/2+1,FALSE)=0,"",VLOOKUP($A76,数出表_Excel!$A$6:$T$150,COLUMN()/2+1,FALSE))),"")</f>
        <v/>
      </c>
      <c r="Q76" s="141"/>
      <c r="R76" s="204" t="str">
        <f ca="1">IFERROR(VALUE(IF(VLOOKUP($A76,数出表_Excel!$A$6:$T$150,COLUMN()/2+1,FALSE)=0,"",VLOOKUP($A76,数出表_Excel!$A$6:$T$150,COLUMN()/2+1,FALSE))),"")</f>
        <v/>
      </c>
      <c r="S76" s="141"/>
      <c r="T76" s="204" t="str">
        <f ca="1">IFERROR(VALUE(IF(VLOOKUP($A76,数出表_Excel!$A$6:$T$150,COLUMN()/2+1,FALSE)=0,"",VLOOKUP($A76,数出表_Excel!$A$6:$T$150,COLUMN()/2+1,FALSE))),"")</f>
        <v/>
      </c>
      <c r="U76" s="141"/>
      <c r="V76" s="207" t="str">
        <f ca="1">IFERROR(VALUE(IF(VLOOKUP($A76,数出表_Excel!$A$6:$T$150,COLUMN()/2+1,FALSE)=0,"",VLOOKUP($A76,数出表_Excel!$A$6:$T$150,COLUMN()/2+1,FALSE))),"")</f>
        <v/>
      </c>
      <c r="W76" s="141"/>
      <c r="X76" s="207" t="str">
        <f ca="1">IFERROR(VALUE(IF(VLOOKUP($A76,数出表_Excel!$A$6:$T$150,COLUMN()/2+1,FALSE)=0,"",VLOOKUP($A76,数出表_Excel!$A$6:$T$150,COLUMN()/2+1,FALSE))),"")</f>
        <v/>
      </c>
      <c r="Y76" s="141"/>
      <c r="Z76" s="207" t="str">
        <f ca="1">IFERROR(VALUE(IF(VLOOKUP($A76,数出表_Excel!$A$6:$T$150,COLUMN()/2+1,FALSE)=0,"",VLOOKUP($A76,数出表_Excel!$A$6:$T$150,COLUMN()/2+1,FALSE))),"")</f>
        <v/>
      </c>
      <c r="AA76" s="208"/>
      <c r="AB76" s="205" t="str">
        <f ca="1">IFERROR(VALUE(IF(VLOOKUP($A76,数出表_Excel!$A$6:$T$150,COLUMN()/2+1,FALSE)=0,"",VLOOKUP($A76,数出表_Excel!$A$6:$T$150,COLUMN()/2+1,FALSE))),"")</f>
        <v/>
      </c>
      <c r="AC76" s="141"/>
      <c r="AD76" s="207" t="str">
        <f ca="1">IFERROR(VALUE(IF(VLOOKUP($A76,数出表_Excel!$A$6:$T$150,COLUMN()/2+1,FALSE)=0,"",VLOOKUP($A76,数出表_Excel!$A$6:$T$150,COLUMN()/2+1,FALSE))),"")</f>
        <v/>
      </c>
      <c r="AE76" s="141"/>
      <c r="AF76" s="207" t="str">
        <f ca="1">IFERROR(VALUE(IF(VLOOKUP($A76,数出表_Excel!$A$6:$T$150,COLUMN()/2+1,FALSE)=0,"",VLOOKUP($A76,数出表_Excel!$A$6:$T$150,COLUMN()/2+1,FALSE))),"")</f>
        <v/>
      </c>
      <c r="AG76" s="141"/>
      <c r="AH76" s="207" t="str">
        <f ca="1">IFERROR(VALUE(IF(VLOOKUP($A76,数出表_Excel!$A$6:$T$150,COLUMN()/2+1,FALSE)=0,"",VLOOKUP($A76,数出表_Excel!$A$6:$T$150,COLUMN()/2+1,FALSE))),"")</f>
        <v/>
      </c>
      <c r="AI76" s="208"/>
      <c r="AJ76" s="205" t="str">
        <f ca="1">IFERROR(VALUE(IF(VLOOKUP($A76,数出表_Excel!$A$6:$T$150,COLUMN()/2+1,FALSE)=0,"",VLOOKUP($A76,数出表_Excel!$A$6:$T$150,COLUMN()/2+1,FALSE))),"")</f>
        <v/>
      </c>
      <c r="AK76" s="141"/>
      <c r="AL76" s="145" t="e">
        <f ca="1">IF(A76&lt;&gt;"",
IF(VLOOKUP($A76,数出表_Excel!$A$6:$T$150,COLUMN()/2+1,FALSE)=0,"",VLOOKUP($A76,数出表_Excel!$A$6:$T$150,COLUMN()/2+1,FALSE)),"")</f>
        <v>#N/A</v>
      </c>
      <c r="AM76" s="261">
        <f>数出表_Excel!V76</f>
        <v>0</v>
      </c>
      <c r="AN76" s="262">
        <f>数出表_Excel!W76</f>
        <v>0</v>
      </c>
    </row>
    <row r="77" spans="1:40" ht="16.2" customHeight="1" x14ac:dyDescent="0.45">
      <c r="A77" s="220" t="str">
        <f t="array" aca="1" ref="A77" ca="1">IF(OR(COUNTIF(A75,"*1000*"),COUNTIF(A75,"")),"",INDEX(貼り付け用!$A:$A,MATCH(A75,貼り付け用!$A:$A,0)+2,0))</f>
        <v>南ヶ丘幼稚園 ③</v>
      </c>
      <c r="B77" s="142" t="str">
        <f ca="1">IFERROR(VALUE(IF(VLOOKUP($A77,数出表_Excel!$A$6:$T$150,COLUMN()/2+1,FALSE)=0,"",VLOOKUP($A77,数出表_Excel!$A$6:$T$150,COLUMN()/2+1,FALSE))),"")</f>
        <v/>
      </c>
      <c r="C77" s="142"/>
      <c r="D77" s="142" t="str">
        <f ca="1">IFERROR(VALUE(IF(VLOOKUP($A77,数出表_Excel!$A$6:$T$150,COLUMN()/2+1,FALSE)=0,"",VLOOKUP($A77,数出表_Excel!$A$6:$T$150,COLUMN()/2+1,FALSE))),"")</f>
        <v/>
      </c>
      <c r="E77" s="142"/>
      <c r="F77" s="146" t="str">
        <f ca="1">IFERROR(VALUE(IF(VLOOKUP($A77,数出表_Excel!$A$6:$T$150,COLUMN()/2+1,FALSE)=0,"",VLOOKUP($A77,数出表_Excel!$A$6:$T$150,COLUMN()/2+1,FALSE))),"")</f>
        <v/>
      </c>
      <c r="G77" s="142"/>
      <c r="H77" s="142" t="str">
        <f ca="1">IFERROR(VALUE(IF(VLOOKUP($A77,数出表_Excel!$A$6:$T$150,COLUMN()/2+1,FALSE)=0,"",VLOOKUP($A77,数出表_Excel!$A$6:$T$150,COLUMN()/2+1,FALSE))),"")</f>
        <v/>
      </c>
      <c r="I77" s="142"/>
      <c r="J77" s="142" t="str">
        <f ca="1">IFERROR(VALUE(IF(VLOOKUP($A77,数出表_Excel!$A$6:$T$150,COLUMN()/2+1,FALSE)=0,"",VLOOKUP($A77,数出表_Excel!$A$6:$T$150,COLUMN()/2+1,FALSE))),"")</f>
        <v/>
      </c>
      <c r="K77" s="209"/>
      <c r="L77" s="147" t="str">
        <f ca="1">IFERROR(VALUE(IF(VLOOKUP($A77,数出表_Excel!$A$6:$T$150,COLUMN()/2+1,FALSE)=0,"",VLOOKUP($A77,数出表_Excel!$A$6:$T$150,COLUMN()/2+1,FALSE))),"")</f>
        <v/>
      </c>
      <c r="M77" s="142"/>
      <c r="N77" s="142" t="str">
        <f ca="1">IFERROR(VALUE(IF(VLOOKUP($A77,数出表_Excel!$A$6:$T$150,COLUMN()/2+1,FALSE)=0,"",VLOOKUP($A77,数出表_Excel!$A$6:$T$150,COLUMN()/2+1,FALSE))),"")</f>
        <v/>
      </c>
      <c r="O77" s="142"/>
      <c r="P77" s="142" t="str">
        <f ca="1">IFERROR(VALUE(IF(VLOOKUP($A77,数出表_Excel!$A$6:$T$150,COLUMN()/2+1,FALSE)=0,"",VLOOKUP($A77,数出表_Excel!$A$6:$T$150,COLUMN()/2+1,FALSE))),"")</f>
        <v/>
      </c>
      <c r="Q77" s="142"/>
      <c r="R77" s="142" t="str">
        <f ca="1">IFERROR(VALUE(IF(VLOOKUP($A77,数出表_Excel!$A$6:$T$150,COLUMN()/2+1,FALSE)=0,"",VLOOKUP($A77,数出表_Excel!$A$6:$T$150,COLUMN()/2+1,FALSE))),"")</f>
        <v/>
      </c>
      <c r="S77" s="142"/>
      <c r="T77" s="142" t="str">
        <f ca="1">IFERROR(VALUE(IF(VLOOKUP($A77,数出表_Excel!$A$6:$T$150,COLUMN()/2+1,FALSE)=0,"",VLOOKUP($A77,数出表_Excel!$A$6:$T$150,COLUMN()/2+1,FALSE))),"")</f>
        <v/>
      </c>
      <c r="U77" s="142"/>
      <c r="V77" s="146" t="str">
        <f ca="1">IFERROR(VALUE(IF(VLOOKUP($A77,数出表_Excel!$A$6:$T$150,COLUMN()/2+1,FALSE)=0,"",VLOOKUP($A77,数出表_Excel!$A$6:$T$150,COLUMN()/2+1,FALSE))),"")</f>
        <v/>
      </c>
      <c r="W77" s="142"/>
      <c r="X77" s="146" t="str">
        <f ca="1">IFERROR(VALUE(IF(VLOOKUP($A77,数出表_Excel!$A$6:$T$150,COLUMN()/2+1,FALSE)=0,"",VLOOKUP($A77,数出表_Excel!$A$6:$T$150,COLUMN()/2+1,FALSE))),"")</f>
        <v/>
      </c>
      <c r="Y77" s="142"/>
      <c r="Z77" s="146" t="str">
        <f ca="1">IFERROR(VALUE(IF(VLOOKUP($A77,数出表_Excel!$A$6:$T$150,COLUMN()/2+1,FALSE)=0,"",VLOOKUP($A77,数出表_Excel!$A$6:$T$150,COLUMN()/2+1,FALSE))),"")</f>
        <v/>
      </c>
      <c r="AA77" s="209"/>
      <c r="AB77" s="147" t="str">
        <f ca="1">IFERROR(VALUE(IF(VLOOKUP($A77,数出表_Excel!$A$6:$T$150,COLUMN()/2+1,FALSE)=0,"",VLOOKUP($A77,数出表_Excel!$A$6:$T$150,COLUMN()/2+1,FALSE))),"")</f>
        <v/>
      </c>
      <c r="AC77" s="142"/>
      <c r="AD77" s="146" t="str">
        <f ca="1">IFERROR(VALUE(IF(VLOOKUP($A77,数出表_Excel!$A$6:$T$150,COLUMN()/2+1,FALSE)=0,"",VLOOKUP($A77,数出表_Excel!$A$6:$T$150,COLUMN()/2+1,FALSE))),"")</f>
        <v/>
      </c>
      <c r="AE77" s="142"/>
      <c r="AF77" s="146" t="str">
        <f ca="1">IFERROR(VALUE(IF(VLOOKUP($A77,数出表_Excel!$A$6:$T$150,COLUMN()/2+1,FALSE)=0,"",VLOOKUP($A77,数出表_Excel!$A$6:$T$150,COLUMN()/2+1,FALSE))),"")</f>
        <v/>
      </c>
      <c r="AG77" s="142"/>
      <c r="AH77" s="146" t="str">
        <f ca="1">IFERROR(VALUE(IF(VLOOKUP($A77,数出表_Excel!$A$6:$T$150,COLUMN()/2+1,FALSE)=0,"",VLOOKUP($A77,数出表_Excel!$A$6:$T$150,COLUMN()/2+1,FALSE))),"")</f>
        <v/>
      </c>
      <c r="AI77" s="209"/>
      <c r="AJ77" s="147" t="str">
        <f ca="1">IFERROR(VALUE(IF(VLOOKUP($A77,数出表_Excel!$A$6:$T$150,COLUMN()/2+1,FALSE)=0,"",VLOOKUP($A77,数出表_Excel!$A$6:$T$150,COLUMN()/2+1,FALSE))),"")</f>
        <v/>
      </c>
      <c r="AK77" s="142"/>
      <c r="AL77" s="148" t="e">
        <f ca="1">IF(A77&lt;&gt;"",
IF(VLOOKUP($A77,数出表_Excel!$A$6:$T$150,COLUMN()/2+1,FALSE)=0,"",VLOOKUP($A77,数出表_Excel!$A$6:$T$150,COLUMN()/2+1,FALSE)),"")</f>
        <v>#N/A</v>
      </c>
      <c r="AM77" s="263">
        <f>数出表_Excel!V77</f>
        <v>0</v>
      </c>
      <c r="AN77" s="264">
        <f>数出表_Excel!W77</f>
        <v>0</v>
      </c>
    </row>
    <row r="78" spans="1:40" ht="16.2" customHeight="1" x14ac:dyDescent="0.45">
      <c r="A78" s="219" t="str">
        <f t="array" aca="1" ref="A78" ca="1">IF(OR(COUNTIF(A76,"*10002*"),COUNTIF(A76,"")),"",INDEX(貼り付け用!$A:$A,MATCH(A76,貼り付け用!$A:$A,0)+2,0))</f>
        <v>1700</v>
      </c>
      <c r="B78" s="204" t="str">
        <f ca="1">IFERROR(VALUE(IF(VLOOKUP($A78,数出表_Excel!$A$6:$T$150,COLUMN()/2+1,FALSE)=0,"",VLOOKUP($A78,数出表_Excel!$A$6:$T$150,COLUMN()/2+1,FALSE))),"")</f>
        <v/>
      </c>
      <c r="C78" s="141"/>
      <c r="D78" s="204" t="str">
        <f ca="1">IFERROR(VALUE(IF(VLOOKUP($A78,数出表_Excel!$A$6:$T$150,COLUMN()/2+1,FALSE)=0,"",VLOOKUP($A78,数出表_Excel!$A$6:$T$150,COLUMN()/2+1,FALSE))),"")</f>
        <v/>
      </c>
      <c r="E78" s="141"/>
      <c r="F78" s="207" t="str">
        <f ca="1">IFERROR(VALUE(IF(VLOOKUP($A78,数出表_Excel!$A$6:$T$150,COLUMN()/2+1,FALSE)=0,"",VLOOKUP($A78,数出表_Excel!$A$6:$T$150,COLUMN()/2+1,FALSE))),"")</f>
        <v/>
      </c>
      <c r="G78" s="141"/>
      <c r="H78" s="204" t="str">
        <f ca="1">IFERROR(VALUE(IF(VLOOKUP($A78,数出表_Excel!$A$6:$T$150,COLUMN()/2+1,FALSE)=0,"",VLOOKUP($A78,数出表_Excel!$A$6:$T$150,COLUMN()/2+1,FALSE))),"")</f>
        <v/>
      </c>
      <c r="I78" s="141"/>
      <c r="J78" s="204" t="str">
        <f ca="1">IFERROR(VALUE(IF(VLOOKUP($A78,数出表_Excel!$A$6:$T$150,COLUMN()/2+1,FALSE)=0,"",VLOOKUP($A78,数出表_Excel!$A$6:$T$150,COLUMN()/2+1,FALSE))),"")</f>
        <v/>
      </c>
      <c r="K78" s="208"/>
      <c r="L78" s="205" t="str">
        <f ca="1">IFERROR(VALUE(IF(VLOOKUP($A78,数出表_Excel!$A$6:$T$150,COLUMN()/2+1,FALSE)=0,"",VLOOKUP($A78,数出表_Excel!$A$6:$T$150,COLUMN()/2+1,FALSE))),"")</f>
        <v/>
      </c>
      <c r="M78" s="141"/>
      <c r="N78" s="204" t="str">
        <f ca="1">IFERROR(VALUE(IF(VLOOKUP($A78,数出表_Excel!$A$6:$T$150,COLUMN()/2+1,FALSE)=0,"",VLOOKUP($A78,数出表_Excel!$A$6:$T$150,COLUMN()/2+1,FALSE))),"")</f>
        <v/>
      </c>
      <c r="O78" s="141"/>
      <c r="P78" s="204" t="str">
        <f ca="1">IFERROR(VALUE(IF(VLOOKUP($A78,数出表_Excel!$A$6:$T$150,COLUMN()/2+1,FALSE)=0,"",VLOOKUP($A78,数出表_Excel!$A$6:$T$150,COLUMN()/2+1,FALSE))),"")</f>
        <v/>
      </c>
      <c r="Q78" s="141"/>
      <c r="R78" s="204" t="str">
        <f ca="1">IFERROR(VALUE(IF(VLOOKUP($A78,数出表_Excel!$A$6:$T$150,COLUMN()/2+1,FALSE)=0,"",VLOOKUP($A78,数出表_Excel!$A$6:$T$150,COLUMN()/2+1,FALSE))),"")</f>
        <v/>
      </c>
      <c r="S78" s="141"/>
      <c r="T78" s="204" t="str">
        <f ca="1">IFERROR(VALUE(IF(VLOOKUP($A78,数出表_Excel!$A$6:$T$150,COLUMN()/2+1,FALSE)=0,"",VLOOKUP($A78,数出表_Excel!$A$6:$T$150,COLUMN()/2+1,FALSE))),"")</f>
        <v/>
      </c>
      <c r="U78" s="141"/>
      <c r="V78" s="207" t="str">
        <f ca="1">IFERROR(VALUE(IF(VLOOKUP($A78,数出表_Excel!$A$6:$T$150,COLUMN()/2+1,FALSE)=0,"",VLOOKUP($A78,数出表_Excel!$A$6:$T$150,COLUMN()/2+1,FALSE))),"")</f>
        <v/>
      </c>
      <c r="W78" s="141"/>
      <c r="X78" s="207" t="str">
        <f ca="1">IFERROR(VALUE(IF(VLOOKUP($A78,数出表_Excel!$A$6:$T$150,COLUMN()/2+1,FALSE)=0,"",VLOOKUP($A78,数出表_Excel!$A$6:$T$150,COLUMN()/2+1,FALSE))),"")</f>
        <v/>
      </c>
      <c r="Y78" s="141"/>
      <c r="Z78" s="207" t="str">
        <f ca="1">IFERROR(VALUE(IF(VLOOKUP($A78,数出表_Excel!$A$6:$T$150,COLUMN()/2+1,FALSE)=0,"",VLOOKUP($A78,数出表_Excel!$A$6:$T$150,COLUMN()/2+1,FALSE))),"")</f>
        <v/>
      </c>
      <c r="AA78" s="208"/>
      <c r="AB78" s="205" t="str">
        <f ca="1">IFERROR(VALUE(IF(VLOOKUP($A78,数出表_Excel!$A$6:$T$150,COLUMN()/2+1,FALSE)=0,"",VLOOKUP($A78,数出表_Excel!$A$6:$T$150,COLUMN()/2+1,FALSE))),"")</f>
        <v/>
      </c>
      <c r="AC78" s="141"/>
      <c r="AD78" s="207" t="str">
        <f ca="1">IFERROR(VALUE(IF(VLOOKUP($A78,数出表_Excel!$A$6:$T$150,COLUMN()/2+1,FALSE)=0,"",VLOOKUP($A78,数出表_Excel!$A$6:$T$150,COLUMN()/2+1,FALSE))),"")</f>
        <v/>
      </c>
      <c r="AE78" s="141"/>
      <c r="AF78" s="207" t="str">
        <f ca="1">IFERROR(VALUE(IF(VLOOKUP($A78,数出表_Excel!$A$6:$T$150,COLUMN()/2+1,FALSE)=0,"",VLOOKUP($A78,数出表_Excel!$A$6:$T$150,COLUMN()/2+1,FALSE))),"")</f>
        <v/>
      </c>
      <c r="AG78" s="141"/>
      <c r="AH78" s="207" t="str">
        <f ca="1">IFERROR(VALUE(IF(VLOOKUP($A78,数出表_Excel!$A$6:$T$150,COLUMN()/2+1,FALSE)=0,"",VLOOKUP($A78,数出表_Excel!$A$6:$T$150,COLUMN()/2+1,FALSE))),"")</f>
        <v/>
      </c>
      <c r="AI78" s="208"/>
      <c r="AJ78" s="205" t="str">
        <f ca="1">IFERROR(VALUE(IF(VLOOKUP($A78,数出表_Excel!$A$6:$T$150,COLUMN()/2+1,FALSE)=0,"",VLOOKUP($A78,数出表_Excel!$A$6:$T$150,COLUMN()/2+1,FALSE))),"")</f>
        <v/>
      </c>
      <c r="AK78" s="141"/>
      <c r="AL78" s="145" t="e">
        <f ca="1">IF(A78&lt;&gt;"",
IF(VLOOKUP($A78,数出表_Excel!$A$6:$T$150,COLUMN()/2+1,FALSE)=0,"",VLOOKUP($A78,数出表_Excel!$A$6:$T$150,COLUMN()/2+1,FALSE)),"")</f>
        <v>#N/A</v>
      </c>
      <c r="AM78" s="261">
        <f>数出表_Excel!V78</f>
        <v>0</v>
      </c>
      <c r="AN78" s="262">
        <f>数出表_Excel!W78</f>
        <v>0</v>
      </c>
    </row>
    <row r="79" spans="1:40" ht="16.2" customHeight="1" x14ac:dyDescent="0.45">
      <c r="A79" s="220" t="str">
        <f t="array" aca="1" ref="A79" ca="1">IF(OR(COUNTIF(A77,"*1000*"),COUNTIF(A77,"")),"",INDEX(貼り付け用!$A:$A,MATCH(A77,貼り付け用!$A:$A,0)+2,0))</f>
        <v>南ヶ丘第二幼稚園 ③</v>
      </c>
      <c r="B79" s="142" t="str">
        <f ca="1">IFERROR(VALUE(IF(VLOOKUP($A79,数出表_Excel!$A$6:$T$150,COLUMN()/2+1,FALSE)=0,"",VLOOKUP($A79,数出表_Excel!$A$6:$T$150,COLUMN()/2+1,FALSE))),"")</f>
        <v/>
      </c>
      <c r="C79" s="142"/>
      <c r="D79" s="142" t="str">
        <f ca="1">IFERROR(VALUE(IF(VLOOKUP($A79,数出表_Excel!$A$6:$T$150,COLUMN()/2+1,FALSE)=0,"",VLOOKUP($A79,数出表_Excel!$A$6:$T$150,COLUMN()/2+1,FALSE))),"")</f>
        <v/>
      </c>
      <c r="E79" s="142"/>
      <c r="F79" s="146" t="str">
        <f ca="1">IFERROR(VALUE(IF(VLOOKUP($A79,数出表_Excel!$A$6:$T$150,COLUMN()/2+1,FALSE)=0,"",VLOOKUP($A79,数出表_Excel!$A$6:$T$150,COLUMN()/2+1,FALSE))),"")</f>
        <v/>
      </c>
      <c r="G79" s="142"/>
      <c r="H79" s="142" t="str">
        <f ca="1">IFERROR(VALUE(IF(VLOOKUP($A79,数出表_Excel!$A$6:$T$150,COLUMN()/2+1,FALSE)=0,"",VLOOKUP($A79,数出表_Excel!$A$6:$T$150,COLUMN()/2+1,FALSE))),"")</f>
        <v/>
      </c>
      <c r="I79" s="142"/>
      <c r="J79" s="142" t="str">
        <f ca="1">IFERROR(VALUE(IF(VLOOKUP($A79,数出表_Excel!$A$6:$T$150,COLUMN()/2+1,FALSE)=0,"",VLOOKUP($A79,数出表_Excel!$A$6:$T$150,COLUMN()/2+1,FALSE))),"")</f>
        <v/>
      </c>
      <c r="K79" s="209"/>
      <c r="L79" s="147" t="str">
        <f ca="1">IFERROR(VALUE(IF(VLOOKUP($A79,数出表_Excel!$A$6:$T$150,COLUMN()/2+1,FALSE)=0,"",VLOOKUP($A79,数出表_Excel!$A$6:$T$150,COLUMN()/2+1,FALSE))),"")</f>
        <v/>
      </c>
      <c r="M79" s="142"/>
      <c r="N79" s="142" t="str">
        <f ca="1">IFERROR(VALUE(IF(VLOOKUP($A79,数出表_Excel!$A$6:$T$150,COLUMN()/2+1,FALSE)=0,"",VLOOKUP($A79,数出表_Excel!$A$6:$T$150,COLUMN()/2+1,FALSE))),"")</f>
        <v/>
      </c>
      <c r="O79" s="142"/>
      <c r="P79" s="142" t="str">
        <f ca="1">IFERROR(VALUE(IF(VLOOKUP($A79,数出表_Excel!$A$6:$T$150,COLUMN()/2+1,FALSE)=0,"",VLOOKUP($A79,数出表_Excel!$A$6:$T$150,COLUMN()/2+1,FALSE))),"")</f>
        <v/>
      </c>
      <c r="Q79" s="142"/>
      <c r="R79" s="142" t="str">
        <f ca="1">IFERROR(VALUE(IF(VLOOKUP($A79,数出表_Excel!$A$6:$T$150,COLUMN()/2+1,FALSE)=0,"",VLOOKUP($A79,数出表_Excel!$A$6:$T$150,COLUMN()/2+1,FALSE))),"")</f>
        <v/>
      </c>
      <c r="S79" s="142"/>
      <c r="T79" s="142" t="str">
        <f ca="1">IFERROR(VALUE(IF(VLOOKUP($A79,数出表_Excel!$A$6:$T$150,COLUMN()/2+1,FALSE)=0,"",VLOOKUP($A79,数出表_Excel!$A$6:$T$150,COLUMN()/2+1,FALSE))),"")</f>
        <v/>
      </c>
      <c r="U79" s="142"/>
      <c r="V79" s="146" t="str">
        <f ca="1">IFERROR(VALUE(IF(VLOOKUP($A79,数出表_Excel!$A$6:$T$150,COLUMN()/2+1,FALSE)=0,"",VLOOKUP($A79,数出表_Excel!$A$6:$T$150,COLUMN()/2+1,FALSE))),"")</f>
        <v/>
      </c>
      <c r="W79" s="142"/>
      <c r="X79" s="146" t="str">
        <f ca="1">IFERROR(VALUE(IF(VLOOKUP($A79,数出表_Excel!$A$6:$T$150,COLUMN()/2+1,FALSE)=0,"",VLOOKUP($A79,数出表_Excel!$A$6:$T$150,COLUMN()/2+1,FALSE))),"")</f>
        <v/>
      </c>
      <c r="Y79" s="142"/>
      <c r="Z79" s="146" t="str">
        <f ca="1">IFERROR(VALUE(IF(VLOOKUP($A79,数出表_Excel!$A$6:$T$150,COLUMN()/2+1,FALSE)=0,"",VLOOKUP($A79,数出表_Excel!$A$6:$T$150,COLUMN()/2+1,FALSE))),"")</f>
        <v/>
      </c>
      <c r="AA79" s="209"/>
      <c r="AB79" s="147" t="str">
        <f ca="1">IFERROR(VALUE(IF(VLOOKUP($A79,数出表_Excel!$A$6:$T$150,COLUMN()/2+1,FALSE)=0,"",VLOOKUP($A79,数出表_Excel!$A$6:$T$150,COLUMN()/2+1,FALSE))),"")</f>
        <v/>
      </c>
      <c r="AC79" s="142"/>
      <c r="AD79" s="146" t="str">
        <f ca="1">IFERROR(VALUE(IF(VLOOKUP($A79,数出表_Excel!$A$6:$T$150,COLUMN()/2+1,FALSE)=0,"",VLOOKUP($A79,数出表_Excel!$A$6:$T$150,COLUMN()/2+1,FALSE))),"")</f>
        <v/>
      </c>
      <c r="AE79" s="142"/>
      <c r="AF79" s="146" t="str">
        <f ca="1">IFERROR(VALUE(IF(VLOOKUP($A79,数出表_Excel!$A$6:$T$150,COLUMN()/2+1,FALSE)=0,"",VLOOKUP($A79,数出表_Excel!$A$6:$T$150,COLUMN()/2+1,FALSE))),"")</f>
        <v/>
      </c>
      <c r="AG79" s="142"/>
      <c r="AH79" s="146" t="str">
        <f ca="1">IFERROR(VALUE(IF(VLOOKUP($A79,数出表_Excel!$A$6:$T$150,COLUMN()/2+1,FALSE)=0,"",VLOOKUP($A79,数出表_Excel!$A$6:$T$150,COLUMN()/2+1,FALSE))),"")</f>
        <v/>
      </c>
      <c r="AI79" s="209"/>
      <c r="AJ79" s="147" t="str">
        <f ca="1">IFERROR(VALUE(IF(VLOOKUP($A79,数出表_Excel!$A$6:$T$150,COLUMN()/2+1,FALSE)=0,"",VLOOKUP($A79,数出表_Excel!$A$6:$T$150,COLUMN()/2+1,FALSE))),"")</f>
        <v/>
      </c>
      <c r="AK79" s="142"/>
      <c r="AL79" s="148" t="e">
        <f ca="1">IF(A79&lt;&gt;"",
IF(VLOOKUP($A79,数出表_Excel!$A$6:$T$150,COLUMN()/2+1,FALSE)=0,"",VLOOKUP($A79,数出表_Excel!$A$6:$T$150,COLUMN()/2+1,FALSE)),"")</f>
        <v>#N/A</v>
      </c>
      <c r="AM79" s="263">
        <f>数出表_Excel!V79</f>
        <v>0</v>
      </c>
      <c r="AN79" s="264">
        <f>数出表_Excel!W79</f>
        <v>0</v>
      </c>
    </row>
    <row r="80" spans="1:40" ht="16.2" customHeight="1" x14ac:dyDescent="0.45">
      <c r="A80" s="219" t="str">
        <f t="array" aca="1" ref="A80" ca="1">IF(OR(COUNTIF(A78,"*10002*"),COUNTIF(A78,"")),"",INDEX(貼り付け用!$A:$A,MATCH(A78,貼り付け用!$A:$A,0)+2,0))</f>
        <v>1800</v>
      </c>
      <c r="B80" s="204" t="str">
        <f ca="1">IFERROR(VALUE(IF(VLOOKUP($A80,数出表_Excel!$A$6:$T$150,COLUMN()/2+1,FALSE)=0,"",VLOOKUP($A80,数出表_Excel!$A$6:$T$150,COLUMN()/2+1,FALSE))),"")</f>
        <v/>
      </c>
      <c r="C80" s="141"/>
      <c r="D80" s="204" t="str">
        <f ca="1">IFERROR(VALUE(IF(VLOOKUP($A80,数出表_Excel!$A$6:$T$150,COLUMN()/2+1,FALSE)=0,"",VLOOKUP($A80,数出表_Excel!$A$6:$T$150,COLUMN()/2+1,FALSE))),"")</f>
        <v/>
      </c>
      <c r="E80" s="141"/>
      <c r="F80" s="207" t="str">
        <f ca="1">IFERROR(VALUE(IF(VLOOKUP($A80,数出表_Excel!$A$6:$T$150,COLUMN()/2+1,FALSE)=0,"",VLOOKUP($A80,数出表_Excel!$A$6:$T$150,COLUMN()/2+1,FALSE))),"")</f>
        <v/>
      </c>
      <c r="G80" s="141"/>
      <c r="H80" s="204" t="str">
        <f ca="1">IFERROR(VALUE(IF(VLOOKUP($A80,数出表_Excel!$A$6:$T$150,COLUMN()/2+1,FALSE)=0,"",VLOOKUP($A80,数出表_Excel!$A$6:$T$150,COLUMN()/2+1,FALSE))),"")</f>
        <v/>
      </c>
      <c r="I80" s="141"/>
      <c r="J80" s="204" t="str">
        <f ca="1">IFERROR(VALUE(IF(VLOOKUP($A80,数出表_Excel!$A$6:$T$150,COLUMN()/2+1,FALSE)=0,"",VLOOKUP($A80,数出表_Excel!$A$6:$T$150,COLUMN()/2+1,FALSE))),"")</f>
        <v/>
      </c>
      <c r="K80" s="208"/>
      <c r="L80" s="205" t="str">
        <f ca="1">IFERROR(VALUE(IF(VLOOKUP($A80,数出表_Excel!$A$6:$T$150,COLUMN()/2+1,FALSE)=0,"",VLOOKUP($A80,数出表_Excel!$A$6:$T$150,COLUMN()/2+1,FALSE))),"")</f>
        <v/>
      </c>
      <c r="M80" s="141"/>
      <c r="N80" s="204" t="str">
        <f ca="1">IFERROR(VALUE(IF(VLOOKUP($A80,数出表_Excel!$A$6:$T$150,COLUMN()/2+1,FALSE)=0,"",VLOOKUP($A80,数出表_Excel!$A$6:$T$150,COLUMN()/2+1,FALSE))),"")</f>
        <v/>
      </c>
      <c r="O80" s="141"/>
      <c r="P80" s="204" t="str">
        <f ca="1">IFERROR(VALUE(IF(VLOOKUP($A80,数出表_Excel!$A$6:$T$150,COLUMN()/2+1,FALSE)=0,"",VLOOKUP($A80,数出表_Excel!$A$6:$T$150,COLUMN()/2+1,FALSE))),"")</f>
        <v/>
      </c>
      <c r="Q80" s="141"/>
      <c r="R80" s="204" t="str">
        <f ca="1">IFERROR(VALUE(IF(VLOOKUP($A80,数出表_Excel!$A$6:$T$150,COLUMN()/2+1,FALSE)=0,"",VLOOKUP($A80,数出表_Excel!$A$6:$T$150,COLUMN()/2+1,FALSE))),"")</f>
        <v/>
      </c>
      <c r="S80" s="141"/>
      <c r="T80" s="204" t="str">
        <f ca="1">IFERROR(VALUE(IF(VLOOKUP($A80,数出表_Excel!$A$6:$T$150,COLUMN()/2+1,FALSE)=0,"",VLOOKUP($A80,数出表_Excel!$A$6:$T$150,COLUMN()/2+1,FALSE))),"")</f>
        <v/>
      </c>
      <c r="U80" s="141"/>
      <c r="V80" s="207" t="str">
        <f ca="1">IFERROR(VALUE(IF(VLOOKUP($A80,数出表_Excel!$A$6:$T$150,COLUMN()/2+1,FALSE)=0,"",VLOOKUP($A80,数出表_Excel!$A$6:$T$150,COLUMN()/2+1,FALSE))),"")</f>
        <v/>
      </c>
      <c r="W80" s="141"/>
      <c r="X80" s="207" t="str">
        <f ca="1">IFERROR(VALUE(IF(VLOOKUP($A80,数出表_Excel!$A$6:$T$150,COLUMN()/2+1,FALSE)=0,"",VLOOKUP($A80,数出表_Excel!$A$6:$T$150,COLUMN()/2+1,FALSE))),"")</f>
        <v/>
      </c>
      <c r="Y80" s="141"/>
      <c r="Z80" s="207" t="str">
        <f ca="1">IFERROR(VALUE(IF(VLOOKUP($A80,数出表_Excel!$A$6:$T$150,COLUMN()/2+1,FALSE)=0,"",VLOOKUP($A80,数出表_Excel!$A$6:$T$150,COLUMN()/2+1,FALSE))),"")</f>
        <v/>
      </c>
      <c r="AA80" s="208"/>
      <c r="AB80" s="205" t="str">
        <f ca="1">IFERROR(VALUE(IF(VLOOKUP($A80,数出表_Excel!$A$6:$T$150,COLUMN()/2+1,FALSE)=0,"",VLOOKUP($A80,数出表_Excel!$A$6:$T$150,COLUMN()/2+1,FALSE))),"")</f>
        <v/>
      </c>
      <c r="AC80" s="141"/>
      <c r="AD80" s="207" t="str">
        <f ca="1">IFERROR(VALUE(IF(VLOOKUP($A80,数出表_Excel!$A$6:$T$150,COLUMN()/2+1,FALSE)=0,"",VLOOKUP($A80,数出表_Excel!$A$6:$T$150,COLUMN()/2+1,FALSE))),"")</f>
        <v/>
      </c>
      <c r="AE80" s="141"/>
      <c r="AF80" s="207" t="str">
        <f ca="1">IFERROR(VALUE(IF(VLOOKUP($A80,数出表_Excel!$A$6:$T$150,COLUMN()/2+1,FALSE)=0,"",VLOOKUP($A80,数出表_Excel!$A$6:$T$150,COLUMN()/2+1,FALSE))),"")</f>
        <v/>
      </c>
      <c r="AG80" s="141"/>
      <c r="AH80" s="207" t="str">
        <f ca="1">IFERROR(VALUE(IF(VLOOKUP($A80,数出表_Excel!$A$6:$T$150,COLUMN()/2+1,FALSE)=0,"",VLOOKUP($A80,数出表_Excel!$A$6:$T$150,COLUMN()/2+1,FALSE))),"")</f>
        <v/>
      </c>
      <c r="AI80" s="208"/>
      <c r="AJ80" s="205" t="str">
        <f ca="1">IFERROR(VALUE(IF(VLOOKUP($A80,数出表_Excel!$A$6:$T$150,COLUMN()/2+1,FALSE)=0,"",VLOOKUP($A80,数出表_Excel!$A$6:$T$150,COLUMN()/2+1,FALSE))),"")</f>
        <v/>
      </c>
      <c r="AK80" s="141"/>
      <c r="AL80" s="145" t="e">
        <f ca="1">IF(A80&lt;&gt;"",
IF(VLOOKUP($A80,数出表_Excel!$A$6:$T$150,COLUMN()/2+1,FALSE)=0,"",VLOOKUP($A80,数出表_Excel!$A$6:$T$150,COLUMN()/2+1,FALSE)),"")</f>
        <v>#N/A</v>
      </c>
      <c r="AM80" s="261">
        <f>数出表_Excel!V80</f>
        <v>0</v>
      </c>
      <c r="AN80" s="262">
        <f>数出表_Excel!W80</f>
        <v>0</v>
      </c>
    </row>
    <row r="81" spans="1:40" ht="16.2" customHeight="1" x14ac:dyDescent="0.45">
      <c r="A81" s="220" t="str">
        <f t="array" aca="1" ref="A81" ca="1">IF(OR(COUNTIF(A79,"*1000*"),COUNTIF(A79,"")),"",INDEX(貼り付け用!$A:$A,MATCH(A79,貼り付け用!$A:$A,0)+2,0))</f>
        <v>月の浦幼稚園 ③</v>
      </c>
      <c r="B81" s="142" t="str">
        <f ca="1">IFERROR(VALUE(IF(VLOOKUP($A81,数出表_Excel!$A$6:$T$150,COLUMN()/2+1,FALSE)=0,"",VLOOKUP($A81,数出表_Excel!$A$6:$T$150,COLUMN()/2+1,FALSE))),"")</f>
        <v/>
      </c>
      <c r="C81" s="142"/>
      <c r="D81" s="142" t="str">
        <f ca="1">IFERROR(VALUE(IF(VLOOKUP($A81,数出表_Excel!$A$6:$T$150,COLUMN()/2+1,FALSE)=0,"",VLOOKUP($A81,数出表_Excel!$A$6:$T$150,COLUMN()/2+1,FALSE))),"")</f>
        <v/>
      </c>
      <c r="E81" s="142"/>
      <c r="F81" s="146" t="str">
        <f ca="1">IFERROR(VALUE(IF(VLOOKUP($A81,数出表_Excel!$A$6:$T$150,COLUMN()/2+1,FALSE)=0,"",VLOOKUP($A81,数出表_Excel!$A$6:$T$150,COLUMN()/2+1,FALSE))),"")</f>
        <v/>
      </c>
      <c r="G81" s="142"/>
      <c r="H81" s="142" t="str">
        <f ca="1">IFERROR(VALUE(IF(VLOOKUP($A81,数出表_Excel!$A$6:$T$150,COLUMN()/2+1,FALSE)=0,"",VLOOKUP($A81,数出表_Excel!$A$6:$T$150,COLUMN()/2+1,FALSE))),"")</f>
        <v/>
      </c>
      <c r="I81" s="142"/>
      <c r="J81" s="142" t="str">
        <f ca="1">IFERROR(VALUE(IF(VLOOKUP($A81,数出表_Excel!$A$6:$T$150,COLUMN()/2+1,FALSE)=0,"",VLOOKUP($A81,数出表_Excel!$A$6:$T$150,COLUMN()/2+1,FALSE))),"")</f>
        <v/>
      </c>
      <c r="K81" s="209"/>
      <c r="L81" s="147" t="str">
        <f ca="1">IFERROR(VALUE(IF(VLOOKUP($A81,数出表_Excel!$A$6:$T$150,COLUMN()/2+1,FALSE)=0,"",VLOOKUP($A81,数出表_Excel!$A$6:$T$150,COLUMN()/2+1,FALSE))),"")</f>
        <v/>
      </c>
      <c r="M81" s="142"/>
      <c r="N81" s="142" t="str">
        <f ca="1">IFERROR(VALUE(IF(VLOOKUP($A81,数出表_Excel!$A$6:$T$150,COLUMN()/2+1,FALSE)=0,"",VLOOKUP($A81,数出表_Excel!$A$6:$T$150,COLUMN()/2+1,FALSE))),"")</f>
        <v/>
      </c>
      <c r="O81" s="142"/>
      <c r="P81" s="142" t="str">
        <f ca="1">IFERROR(VALUE(IF(VLOOKUP($A81,数出表_Excel!$A$6:$T$150,COLUMN()/2+1,FALSE)=0,"",VLOOKUP($A81,数出表_Excel!$A$6:$T$150,COLUMN()/2+1,FALSE))),"")</f>
        <v/>
      </c>
      <c r="Q81" s="142"/>
      <c r="R81" s="142" t="str">
        <f ca="1">IFERROR(VALUE(IF(VLOOKUP($A81,数出表_Excel!$A$6:$T$150,COLUMN()/2+1,FALSE)=0,"",VLOOKUP($A81,数出表_Excel!$A$6:$T$150,COLUMN()/2+1,FALSE))),"")</f>
        <v/>
      </c>
      <c r="S81" s="142"/>
      <c r="T81" s="142" t="str">
        <f ca="1">IFERROR(VALUE(IF(VLOOKUP($A81,数出表_Excel!$A$6:$T$150,COLUMN()/2+1,FALSE)=0,"",VLOOKUP($A81,数出表_Excel!$A$6:$T$150,COLUMN()/2+1,FALSE))),"")</f>
        <v/>
      </c>
      <c r="U81" s="142"/>
      <c r="V81" s="146" t="str">
        <f ca="1">IFERROR(VALUE(IF(VLOOKUP($A81,数出表_Excel!$A$6:$T$150,COLUMN()/2+1,FALSE)=0,"",VLOOKUP($A81,数出表_Excel!$A$6:$T$150,COLUMN()/2+1,FALSE))),"")</f>
        <v/>
      </c>
      <c r="W81" s="142"/>
      <c r="X81" s="146" t="str">
        <f ca="1">IFERROR(VALUE(IF(VLOOKUP($A81,数出表_Excel!$A$6:$T$150,COLUMN()/2+1,FALSE)=0,"",VLOOKUP($A81,数出表_Excel!$A$6:$T$150,COLUMN()/2+1,FALSE))),"")</f>
        <v/>
      </c>
      <c r="Y81" s="142"/>
      <c r="Z81" s="146" t="str">
        <f ca="1">IFERROR(VALUE(IF(VLOOKUP($A81,数出表_Excel!$A$6:$T$150,COLUMN()/2+1,FALSE)=0,"",VLOOKUP($A81,数出表_Excel!$A$6:$T$150,COLUMN()/2+1,FALSE))),"")</f>
        <v/>
      </c>
      <c r="AA81" s="209"/>
      <c r="AB81" s="147" t="str">
        <f ca="1">IFERROR(VALUE(IF(VLOOKUP($A81,数出表_Excel!$A$6:$T$150,COLUMN()/2+1,FALSE)=0,"",VLOOKUP($A81,数出表_Excel!$A$6:$T$150,COLUMN()/2+1,FALSE))),"")</f>
        <v/>
      </c>
      <c r="AC81" s="142"/>
      <c r="AD81" s="146" t="str">
        <f ca="1">IFERROR(VALUE(IF(VLOOKUP($A81,数出表_Excel!$A$6:$T$150,COLUMN()/2+1,FALSE)=0,"",VLOOKUP($A81,数出表_Excel!$A$6:$T$150,COLUMN()/2+1,FALSE))),"")</f>
        <v/>
      </c>
      <c r="AE81" s="142"/>
      <c r="AF81" s="146" t="str">
        <f ca="1">IFERROR(VALUE(IF(VLOOKUP($A81,数出表_Excel!$A$6:$T$150,COLUMN()/2+1,FALSE)=0,"",VLOOKUP($A81,数出表_Excel!$A$6:$T$150,COLUMN()/2+1,FALSE))),"")</f>
        <v/>
      </c>
      <c r="AG81" s="142"/>
      <c r="AH81" s="146" t="str">
        <f ca="1">IFERROR(VALUE(IF(VLOOKUP($A81,数出表_Excel!$A$6:$T$150,COLUMN()/2+1,FALSE)=0,"",VLOOKUP($A81,数出表_Excel!$A$6:$T$150,COLUMN()/2+1,FALSE))),"")</f>
        <v/>
      </c>
      <c r="AI81" s="209"/>
      <c r="AJ81" s="147" t="str">
        <f ca="1">IFERROR(VALUE(IF(VLOOKUP($A81,数出表_Excel!$A$6:$T$150,COLUMN()/2+1,FALSE)=0,"",VLOOKUP($A81,数出表_Excel!$A$6:$T$150,COLUMN()/2+1,FALSE))),"")</f>
        <v/>
      </c>
      <c r="AK81" s="142"/>
      <c r="AL81" s="148" t="e">
        <f ca="1">IF(A81&lt;&gt;"",
IF(VLOOKUP($A81,数出表_Excel!$A$6:$T$150,COLUMN()/2+1,FALSE)=0,"",VLOOKUP($A81,数出表_Excel!$A$6:$T$150,COLUMN()/2+1,FALSE)),"")</f>
        <v>#N/A</v>
      </c>
      <c r="AM81" s="263">
        <f>数出表_Excel!V81</f>
        <v>0</v>
      </c>
      <c r="AN81" s="264">
        <f>数出表_Excel!W81</f>
        <v>0</v>
      </c>
    </row>
    <row r="82" spans="1:40" ht="16.2" customHeight="1" x14ac:dyDescent="0.45">
      <c r="A82" s="219" t="str">
        <f t="array" aca="1" ref="A82" ca="1">IF(OR(COUNTIF(A80,"*10002*"),COUNTIF(A80,"")),"",INDEX(貼り付け用!$A:$A,MATCH(A80,貼り付け用!$A:$A,0)+2,0))</f>
        <v>7800</v>
      </c>
      <c r="B82" s="204" t="str">
        <f ca="1">IFERROR(VALUE(IF(VLOOKUP($A82,数出表_Excel!$A$6:$T$150,COLUMN()/2+1,FALSE)=0,"",VLOOKUP($A82,数出表_Excel!$A$6:$T$150,COLUMN()/2+1,FALSE))),"")</f>
        <v/>
      </c>
      <c r="C82" s="141"/>
      <c r="D82" s="204" t="str">
        <f ca="1">IFERROR(VALUE(IF(VLOOKUP($A82,数出表_Excel!$A$6:$T$150,COLUMN()/2+1,FALSE)=0,"",VLOOKUP($A82,数出表_Excel!$A$6:$T$150,COLUMN()/2+1,FALSE))),"")</f>
        <v/>
      </c>
      <c r="E82" s="141"/>
      <c r="F82" s="207" t="str">
        <f ca="1">IFERROR(VALUE(IF(VLOOKUP($A82,数出表_Excel!$A$6:$T$150,COLUMN()/2+1,FALSE)=0,"",VLOOKUP($A82,数出表_Excel!$A$6:$T$150,COLUMN()/2+1,FALSE))),"")</f>
        <v/>
      </c>
      <c r="G82" s="141"/>
      <c r="H82" s="204" t="str">
        <f ca="1">IFERROR(VALUE(IF(VLOOKUP($A82,数出表_Excel!$A$6:$T$150,COLUMN()/2+1,FALSE)=0,"",VLOOKUP($A82,数出表_Excel!$A$6:$T$150,COLUMN()/2+1,FALSE))),"")</f>
        <v/>
      </c>
      <c r="I82" s="141"/>
      <c r="J82" s="204" t="str">
        <f ca="1">IFERROR(VALUE(IF(VLOOKUP($A82,数出表_Excel!$A$6:$T$150,COLUMN()/2+1,FALSE)=0,"",VLOOKUP($A82,数出表_Excel!$A$6:$T$150,COLUMN()/2+1,FALSE))),"")</f>
        <v/>
      </c>
      <c r="K82" s="208"/>
      <c r="L82" s="205" t="str">
        <f ca="1">IFERROR(VALUE(IF(VLOOKUP($A82,数出表_Excel!$A$6:$T$150,COLUMN()/2+1,FALSE)=0,"",VLOOKUP($A82,数出表_Excel!$A$6:$T$150,COLUMN()/2+1,FALSE))),"")</f>
        <v/>
      </c>
      <c r="M82" s="141"/>
      <c r="N82" s="204" t="str">
        <f ca="1">IFERROR(VALUE(IF(VLOOKUP($A82,数出表_Excel!$A$6:$T$150,COLUMN()/2+1,FALSE)=0,"",VLOOKUP($A82,数出表_Excel!$A$6:$T$150,COLUMN()/2+1,FALSE))),"")</f>
        <v/>
      </c>
      <c r="O82" s="141"/>
      <c r="P82" s="204" t="str">
        <f ca="1">IFERROR(VALUE(IF(VLOOKUP($A82,数出表_Excel!$A$6:$T$150,COLUMN()/2+1,FALSE)=0,"",VLOOKUP($A82,数出表_Excel!$A$6:$T$150,COLUMN()/2+1,FALSE))),"")</f>
        <v/>
      </c>
      <c r="Q82" s="141"/>
      <c r="R82" s="204" t="str">
        <f ca="1">IFERROR(VALUE(IF(VLOOKUP($A82,数出表_Excel!$A$6:$T$150,COLUMN()/2+1,FALSE)=0,"",VLOOKUP($A82,数出表_Excel!$A$6:$T$150,COLUMN()/2+1,FALSE))),"")</f>
        <v/>
      </c>
      <c r="S82" s="141"/>
      <c r="T82" s="204" t="str">
        <f ca="1">IFERROR(VALUE(IF(VLOOKUP($A82,数出表_Excel!$A$6:$T$150,COLUMN()/2+1,FALSE)=0,"",VLOOKUP($A82,数出表_Excel!$A$6:$T$150,COLUMN()/2+1,FALSE))),"")</f>
        <v/>
      </c>
      <c r="U82" s="141"/>
      <c r="V82" s="207" t="str">
        <f ca="1">IFERROR(VALUE(IF(VLOOKUP($A82,数出表_Excel!$A$6:$T$150,COLUMN()/2+1,FALSE)=0,"",VLOOKUP($A82,数出表_Excel!$A$6:$T$150,COLUMN()/2+1,FALSE))),"")</f>
        <v/>
      </c>
      <c r="W82" s="141"/>
      <c r="X82" s="207" t="str">
        <f ca="1">IFERROR(VALUE(IF(VLOOKUP($A82,数出表_Excel!$A$6:$T$150,COLUMN()/2+1,FALSE)=0,"",VLOOKUP($A82,数出表_Excel!$A$6:$T$150,COLUMN()/2+1,FALSE))),"")</f>
        <v/>
      </c>
      <c r="Y82" s="141"/>
      <c r="Z82" s="207" t="str">
        <f ca="1">IFERROR(VALUE(IF(VLOOKUP($A82,数出表_Excel!$A$6:$T$150,COLUMN()/2+1,FALSE)=0,"",VLOOKUP($A82,数出表_Excel!$A$6:$T$150,COLUMN()/2+1,FALSE))),"")</f>
        <v/>
      </c>
      <c r="AA82" s="208"/>
      <c r="AB82" s="205" t="str">
        <f ca="1">IFERROR(VALUE(IF(VLOOKUP($A82,数出表_Excel!$A$6:$T$150,COLUMN()/2+1,FALSE)=0,"",VLOOKUP($A82,数出表_Excel!$A$6:$T$150,COLUMN()/2+1,FALSE))),"")</f>
        <v/>
      </c>
      <c r="AC82" s="141"/>
      <c r="AD82" s="207" t="str">
        <f ca="1">IFERROR(VALUE(IF(VLOOKUP($A82,数出表_Excel!$A$6:$T$150,COLUMN()/2+1,FALSE)=0,"",VLOOKUP($A82,数出表_Excel!$A$6:$T$150,COLUMN()/2+1,FALSE))),"")</f>
        <v/>
      </c>
      <c r="AE82" s="141"/>
      <c r="AF82" s="207" t="str">
        <f ca="1">IFERROR(VALUE(IF(VLOOKUP($A82,数出表_Excel!$A$6:$T$150,COLUMN()/2+1,FALSE)=0,"",VLOOKUP($A82,数出表_Excel!$A$6:$T$150,COLUMN()/2+1,FALSE))),"")</f>
        <v/>
      </c>
      <c r="AG82" s="141"/>
      <c r="AH82" s="207" t="str">
        <f ca="1">IFERROR(VALUE(IF(VLOOKUP($A82,数出表_Excel!$A$6:$T$150,COLUMN()/2+1,FALSE)=0,"",VLOOKUP($A82,数出表_Excel!$A$6:$T$150,COLUMN()/2+1,FALSE))),"")</f>
        <v/>
      </c>
      <c r="AI82" s="208"/>
      <c r="AJ82" s="205" t="str">
        <f ca="1">IFERROR(VALUE(IF(VLOOKUP($A82,数出表_Excel!$A$6:$T$150,COLUMN()/2+1,FALSE)=0,"",VLOOKUP($A82,数出表_Excel!$A$6:$T$150,COLUMN()/2+1,FALSE))),"")</f>
        <v/>
      </c>
      <c r="AK82" s="141"/>
      <c r="AL82" s="145" t="e">
        <f ca="1">IF(A82&lt;&gt;"",
IF(VLOOKUP($A82,数出表_Excel!$A$6:$T$150,COLUMN()/2+1,FALSE)=0,"",VLOOKUP($A82,数出表_Excel!$A$6:$T$150,COLUMN()/2+1,FALSE)),"")</f>
        <v>#N/A</v>
      </c>
      <c r="AM82" s="261">
        <f>数出表_Excel!V82</f>
        <v>0</v>
      </c>
      <c r="AN82" s="262">
        <f>数出表_Excel!W82</f>
        <v>0</v>
      </c>
    </row>
    <row r="83" spans="1:40" ht="16.2" customHeight="1" x14ac:dyDescent="0.45">
      <c r="A83" s="220" t="str">
        <f t="array" aca="1" ref="A83" ca="1">IF(OR(COUNTIF(A81,"*1000*"),COUNTIF(A81,"")),"",INDEX(貼り付け用!$A:$A,MATCH(A81,貼り付け用!$A:$A,0)+2,0))</f>
        <v>大野南幼稚園</v>
      </c>
      <c r="B83" s="142" t="str">
        <f ca="1">IFERROR(VALUE(IF(VLOOKUP($A83,数出表_Excel!$A$6:$T$150,COLUMN()/2+1,FALSE)=0,"",VLOOKUP($A83,数出表_Excel!$A$6:$T$150,COLUMN()/2+1,FALSE))),"")</f>
        <v/>
      </c>
      <c r="C83" s="142"/>
      <c r="D83" s="142" t="str">
        <f ca="1">IFERROR(VALUE(IF(VLOOKUP($A83,数出表_Excel!$A$6:$T$150,COLUMN()/2+1,FALSE)=0,"",VLOOKUP($A83,数出表_Excel!$A$6:$T$150,COLUMN()/2+1,FALSE))),"")</f>
        <v/>
      </c>
      <c r="E83" s="142"/>
      <c r="F83" s="146" t="str">
        <f ca="1">IFERROR(VALUE(IF(VLOOKUP($A83,数出表_Excel!$A$6:$T$150,COLUMN()/2+1,FALSE)=0,"",VLOOKUP($A83,数出表_Excel!$A$6:$T$150,COLUMN()/2+1,FALSE))),"")</f>
        <v/>
      </c>
      <c r="G83" s="142"/>
      <c r="H83" s="142" t="str">
        <f ca="1">IFERROR(VALUE(IF(VLOOKUP($A83,数出表_Excel!$A$6:$T$150,COLUMN()/2+1,FALSE)=0,"",VLOOKUP($A83,数出表_Excel!$A$6:$T$150,COLUMN()/2+1,FALSE))),"")</f>
        <v/>
      </c>
      <c r="I83" s="142"/>
      <c r="J83" s="142" t="str">
        <f ca="1">IFERROR(VALUE(IF(VLOOKUP($A83,数出表_Excel!$A$6:$T$150,COLUMN()/2+1,FALSE)=0,"",VLOOKUP($A83,数出表_Excel!$A$6:$T$150,COLUMN()/2+1,FALSE))),"")</f>
        <v/>
      </c>
      <c r="K83" s="209"/>
      <c r="L83" s="147" t="str">
        <f ca="1">IFERROR(VALUE(IF(VLOOKUP($A83,数出表_Excel!$A$6:$T$150,COLUMN()/2+1,FALSE)=0,"",VLOOKUP($A83,数出表_Excel!$A$6:$T$150,COLUMN()/2+1,FALSE))),"")</f>
        <v/>
      </c>
      <c r="M83" s="142"/>
      <c r="N83" s="142" t="str">
        <f ca="1">IFERROR(VALUE(IF(VLOOKUP($A83,数出表_Excel!$A$6:$T$150,COLUMN()/2+1,FALSE)=0,"",VLOOKUP($A83,数出表_Excel!$A$6:$T$150,COLUMN()/2+1,FALSE))),"")</f>
        <v/>
      </c>
      <c r="O83" s="142"/>
      <c r="P83" s="142" t="str">
        <f ca="1">IFERROR(VALUE(IF(VLOOKUP($A83,数出表_Excel!$A$6:$T$150,COLUMN()/2+1,FALSE)=0,"",VLOOKUP($A83,数出表_Excel!$A$6:$T$150,COLUMN()/2+1,FALSE))),"")</f>
        <v/>
      </c>
      <c r="Q83" s="142"/>
      <c r="R83" s="142" t="str">
        <f ca="1">IFERROR(VALUE(IF(VLOOKUP($A83,数出表_Excel!$A$6:$T$150,COLUMN()/2+1,FALSE)=0,"",VLOOKUP($A83,数出表_Excel!$A$6:$T$150,COLUMN()/2+1,FALSE))),"")</f>
        <v/>
      </c>
      <c r="S83" s="142"/>
      <c r="T83" s="142" t="str">
        <f ca="1">IFERROR(VALUE(IF(VLOOKUP($A83,数出表_Excel!$A$6:$T$150,COLUMN()/2+1,FALSE)=0,"",VLOOKUP($A83,数出表_Excel!$A$6:$T$150,COLUMN()/2+1,FALSE))),"")</f>
        <v/>
      </c>
      <c r="U83" s="142"/>
      <c r="V83" s="146" t="str">
        <f ca="1">IFERROR(VALUE(IF(VLOOKUP($A83,数出表_Excel!$A$6:$T$150,COLUMN()/2+1,FALSE)=0,"",VLOOKUP($A83,数出表_Excel!$A$6:$T$150,COLUMN()/2+1,FALSE))),"")</f>
        <v/>
      </c>
      <c r="W83" s="142"/>
      <c r="X83" s="146" t="str">
        <f ca="1">IFERROR(VALUE(IF(VLOOKUP($A83,数出表_Excel!$A$6:$T$150,COLUMN()/2+1,FALSE)=0,"",VLOOKUP($A83,数出表_Excel!$A$6:$T$150,COLUMN()/2+1,FALSE))),"")</f>
        <v/>
      </c>
      <c r="Y83" s="142"/>
      <c r="Z83" s="146" t="str">
        <f ca="1">IFERROR(VALUE(IF(VLOOKUP($A83,数出表_Excel!$A$6:$T$150,COLUMN()/2+1,FALSE)=0,"",VLOOKUP($A83,数出表_Excel!$A$6:$T$150,COLUMN()/2+1,FALSE))),"")</f>
        <v/>
      </c>
      <c r="AA83" s="209"/>
      <c r="AB83" s="147" t="str">
        <f ca="1">IFERROR(VALUE(IF(VLOOKUP($A83,数出表_Excel!$A$6:$T$150,COLUMN()/2+1,FALSE)=0,"",VLOOKUP($A83,数出表_Excel!$A$6:$T$150,COLUMN()/2+1,FALSE))),"")</f>
        <v/>
      </c>
      <c r="AC83" s="142"/>
      <c r="AD83" s="146" t="str">
        <f ca="1">IFERROR(VALUE(IF(VLOOKUP($A83,数出表_Excel!$A$6:$T$150,COLUMN()/2+1,FALSE)=0,"",VLOOKUP($A83,数出表_Excel!$A$6:$T$150,COLUMN()/2+1,FALSE))),"")</f>
        <v/>
      </c>
      <c r="AE83" s="142"/>
      <c r="AF83" s="146" t="str">
        <f ca="1">IFERROR(VALUE(IF(VLOOKUP($A83,数出表_Excel!$A$6:$T$150,COLUMN()/2+1,FALSE)=0,"",VLOOKUP($A83,数出表_Excel!$A$6:$T$150,COLUMN()/2+1,FALSE))),"")</f>
        <v/>
      </c>
      <c r="AG83" s="142"/>
      <c r="AH83" s="146" t="str">
        <f ca="1">IFERROR(VALUE(IF(VLOOKUP($A83,数出表_Excel!$A$6:$T$150,COLUMN()/2+1,FALSE)=0,"",VLOOKUP($A83,数出表_Excel!$A$6:$T$150,COLUMN()/2+1,FALSE))),"")</f>
        <v/>
      </c>
      <c r="AI83" s="209"/>
      <c r="AJ83" s="147" t="str">
        <f ca="1">IFERROR(VALUE(IF(VLOOKUP($A83,数出表_Excel!$A$6:$T$150,COLUMN()/2+1,FALSE)=0,"",VLOOKUP($A83,数出表_Excel!$A$6:$T$150,COLUMN()/2+1,FALSE))),"")</f>
        <v/>
      </c>
      <c r="AK83" s="142"/>
      <c r="AL83" s="148" t="e">
        <f ca="1">IF(A83&lt;&gt;"",
IF(VLOOKUP($A83,数出表_Excel!$A$6:$T$150,COLUMN()/2+1,FALSE)=0,"",VLOOKUP($A83,数出表_Excel!$A$6:$T$150,COLUMN()/2+1,FALSE)),"")</f>
        <v>#N/A</v>
      </c>
      <c r="AM83" s="263">
        <f>数出表_Excel!V83</f>
        <v>0</v>
      </c>
      <c r="AN83" s="264">
        <f>数出表_Excel!W83</f>
        <v>0</v>
      </c>
    </row>
    <row r="84" spans="1:40" ht="16.2" customHeight="1" x14ac:dyDescent="0.45">
      <c r="A84" s="219" t="str">
        <f t="array" aca="1" ref="A84" ca="1">IF(OR(COUNTIF(A82,"*10002*"),COUNTIF(A82,"")),"",INDEX(貼り付け用!$A:$A,MATCH(A82,貼り付け用!$A:$A,0)+2,0))</f>
        <v>12900</v>
      </c>
      <c r="B84" s="204" t="str">
        <f ca="1">IFERROR(VALUE(IF(VLOOKUP($A84,数出表_Excel!$A$6:$T$150,COLUMN()/2+1,FALSE)=0,"",VLOOKUP($A84,数出表_Excel!$A$6:$T$150,COLUMN()/2+1,FALSE))),"")</f>
        <v/>
      </c>
      <c r="C84" s="141"/>
      <c r="D84" s="204" t="str">
        <f ca="1">IFERROR(VALUE(IF(VLOOKUP($A84,数出表_Excel!$A$6:$T$150,COLUMN()/2+1,FALSE)=0,"",VLOOKUP($A84,数出表_Excel!$A$6:$T$150,COLUMN()/2+1,FALSE))),"")</f>
        <v/>
      </c>
      <c r="E84" s="141"/>
      <c r="F84" s="207" t="str">
        <f ca="1">IFERROR(VALUE(IF(VLOOKUP($A84,数出表_Excel!$A$6:$T$150,COLUMN()/2+1,FALSE)=0,"",VLOOKUP($A84,数出表_Excel!$A$6:$T$150,COLUMN()/2+1,FALSE))),"")</f>
        <v/>
      </c>
      <c r="G84" s="141"/>
      <c r="H84" s="204" t="str">
        <f ca="1">IFERROR(VALUE(IF(VLOOKUP($A84,数出表_Excel!$A$6:$T$150,COLUMN()/2+1,FALSE)=0,"",VLOOKUP($A84,数出表_Excel!$A$6:$T$150,COLUMN()/2+1,FALSE))),"")</f>
        <v/>
      </c>
      <c r="I84" s="141"/>
      <c r="J84" s="204" t="str">
        <f ca="1">IFERROR(VALUE(IF(VLOOKUP($A84,数出表_Excel!$A$6:$T$150,COLUMN()/2+1,FALSE)=0,"",VLOOKUP($A84,数出表_Excel!$A$6:$T$150,COLUMN()/2+1,FALSE))),"")</f>
        <v/>
      </c>
      <c r="K84" s="208"/>
      <c r="L84" s="205" t="str">
        <f ca="1">IFERROR(VALUE(IF(VLOOKUP($A84,数出表_Excel!$A$6:$T$150,COLUMN()/2+1,FALSE)=0,"",VLOOKUP($A84,数出表_Excel!$A$6:$T$150,COLUMN()/2+1,FALSE))),"")</f>
        <v/>
      </c>
      <c r="M84" s="141"/>
      <c r="N84" s="204" t="str">
        <f ca="1">IFERROR(VALUE(IF(VLOOKUP($A84,数出表_Excel!$A$6:$T$150,COLUMN()/2+1,FALSE)=0,"",VLOOKUP($A84,数出表_Excel!$A$6:$T$150,COLUMN()/2+1,FALSE))),"")</f>
        <v/>
      </c>
      <c r="O84" s="141"/>
      <c r="P84" s="204" t="str">
        <f ca="1">IFERROR(VALUE(IF(VLOOKUP($A84,数出表_Excel!$A$6:$T$150,COLUMN()/2+1,FALSE)=0,"",VLOOKUP($A84,数出表_Excel!$A$6:$T$150,COLUMN()/2+1,FALSE))),"")</f>
        <v/>
      </c>
      <c r="Q84" s="141"/>
      <c r="R84" s="204" t="str">
        <f ca="1">IFERROR(VALUE(IF(VLOOKUP($A84,数出表_Excel!$A$6:$T$150,COLUMN()/2+1,FALSE)=0,"",VLOOKUP($A84,数出表_Excel!$A$6:$T$150,COLUMN()/2+1,FALSE))),"")</f>
        <v/>
      </c>
      <c r="S84" s="141"/>
      <c r="T84" s="204" t="str">
        <f ca="1">IFERROR(VALUE(IF(VLOOKUP($A84,数出表_Excel!$A$6:$T$150,COLUMN()/2+1,FALSE)=0,"",VLOOKUP($A84,数出表_Excel!$A$6:$T$150,COLUMN()/2+1,FALSE))),"")</f>
        <v/>
      </c>
      <c r="U84" s="141"/>
      <c r="V84" s="207" t="str">
        <f ca="1">IFERROR(VALUE(IF(VLOOKUP($A84,数出表_Excel!$A$6:$T$150,COLUMN()/2+1,FALSE)=0,"",VLOOKUP($A84,数出表_Excel!$A$6:$T$150,COLUMN()/2+1,FALSE))),"")</f>
        <v/>
      </c>
      <c r="W84" s="141"/>
      <c r="X84" s="207" t="str">
        <f ca="1">IFERROR(VALUE(IF(VLOOKUP($A84,数出表_Excel!$A$6:$T$150,COLUMN()/2+1,FALSE)=0,"",VLOOKUP($A84,数出表_Excel!$A$6:$T$150,COLUMN()/2+1,FALSE))),"")</f>
        <v/>
      </c>
      <c r="Y84" s="141"/>
      <c r="Z84" s="207" t="str">
        <f ca="1">IFERROR(VALUE(IF(VLOOKUP($A84,数出表_Excel!$A$6:$T$150,COLUMN()/2+1,FALSE)=0,"",VLOOKUP($A84,数出表_Excel!$A$6:$T$150,COLUMN()/2+1,FALSE))),"")</f>
        <v/>
      </c>
      <c r="AA84" s="208"/>
      <c r="AB84" s="205" t="str">
        <f ca="1">IFERROR(VALUE(IF(VLOOKUP($A84,数出表_Excel!$A$6:$T$150,COLUMN()/2+1,FALSE)=0,"",VLOOKUP($A84,数出表_Excel!$A$6:$T$150,COLUMN()/2+1,FALSE))),"")</f>
        <v/>
      </c>
      <c r="AC84" s="141"/>
      <c r="AD84" s="207" t="str">
        <f ca="1">IFERROR(VALUE(IF(VLOOKUP($A84,数出表_Excel!$A$6:$T$150,COLUMN()/2+1,FALSE)=0,"",VLOOKUP($A84,数出表_Excel!$A$6:$T$150,COLUMN()/2+1,FALSE))),"")</f>
        <v/>
      </c>
      <c r="AE84" s="141"/>
      <c r="AF84" s="207" t="str">
        <f ca="1">IFERROR(VALUE(IF(VLOOKUP($A84,数出表_Excel!$A$6:$T$150,COLUMN()/2+1,FALSE)=0,"",VLOOKUP($A84,数出表_Excel!$A$6:$T$150,COLUMN()/2+1,FALSE))),"")</f>
        <v/>
      </c>
      <c r="AG84" s="141"/>
      <c r="AH84" s="207" t="str">
        <f ca="1">IFERROR(VALUE(IF(VLOOKUP($A84,数出表_Excel!$A$6:$T$150,COLUMN()/2+1,FALSE)=0,"",VLOOKUP($A84,数出表_Excel!$A$6:$T$150,COLUMN()/2+1,FALSE))),"")</f>
        <v/>
      </c>
      <c r="AI84" s="208"/>
      <c r="AJ84" s="205" t="str">
        <f ca="1">IFERROR(VALUE(IF(VLOOKUP($A84,数出表_Excel!$A$6:$T$150,COLUMN()/2+1,FALSE)=0,"",VLOOKUP($A84,数出表_Excel!$A$6:$T$150,COLUMN()/2+1,FALSE))),"")</f>
        <v/>
      </c>
      <c r="AK84" s="141"/>
      <c r="AL84" s="145" t="e">
        <f ca="1">IF(A84&lt;&gt;"",
IF(VLOOKUP($A84,数出表_Excel!$A$6:$T$150,COLUMN()/2+1,FALSE)=0,"",VLOOKUP($A84,数出表_Excel!$A$6:$T$150,COLUMN()/2+1,FALSE)),"")</f>
        <v>#N/A</v>
      </c>
      <c r="AM84" s="261">
        <f>数出表_Excel!V84</f>
        <v>0</v>
      </c>
      <c r="AN84" s="262">
        <f>数出表_Excel!W84</f>
        <v>0</v>
      </c>
    </row>
    <row r="85" spans="1:40" ht="16.2" customHeight="1" x14ac:dyDescent="0.45">
      <c r="A85" s="220" t="str">
        <f t="array" aca="1" ref="A85" ca="1">IF(OR(COUNTIF(A83,"*1000*"),COUNTIF(A83,"")),"",INDEX(貼り付け用!$A:$A,MATCH(A83,貼り付け用!$A:$A,0)+2,0))</f>
        <v>児童発達支援 いろは そうり</v>
      </c>
      <c r="B85" s="142" t="str">
        <f ca="1">IFERROR(VALUE(IF(VLOOKUP($A85,数出表_Excel!$A$6:$T$150,COLUMN()/2+1,FALSE)=0,"",VLOOKUP($A85,数出表_Excel!$A$6:$T$150,COLUMN()/2+1,FALSE))),"")</f>
        <v/>
      </c>
      <c r="C85" s="142"/>
      <c r="D85" s="142" t="str">
        <f ca="1">IFERROR(VALUE(IF(VLOOKUP($A85,数出表_Excel!$A$6:$T$150,COLUMN()/2+1,FALSE)=0,"",VLOOKUP($A85,数出表_Excel!$A$6:$T$150,COLUMN()/2+1,FALSE))),"")</f>
        <v/>
      </c>
      <c r="E85" s="142"/>
      <c r="F85" s="146" t="str">
        <f ca="1">IFERROR(VALUE(IF(VLOOKUP($A85,数出表_Excel!$A$6:$T$150,COLUMN()/2+1,FALSE)=0,"",VLOOKUP($A85,数出表_Excel!$A$6:$T$150,COLUMN()/2+1,FALSE))),"")</f>
        <v/>
      </c>
      <c r="G85" s="142"/>
      <c r="H85" s="142" t="str">
        <f ca="1">IFERROR(VALUE(IF(VLOOKUP($A85,数出表_Excel!$A$6:$T$150,COLUMN()/2+1,FALSE)=0,"",VLOOKUP($A85,数出表_Excel!$A$6:$T$150,COLUMN()/2+1,FALSE))),"")</f>
        <v/>
      </c>
      <c r="I85" s="142"/>
      <c r="J85" s="142" t="str">
        <f ca="1">IFERROR(VALUE(IF(VLOOKUP($A85,数出表_Excel!$A$6:$T$150,COLUMN()/2+1,FALSE)=0,"",VLOOKUP($A85,数出表_Excel!$A$6:$T$150,COLUMN()/2+1,FALSE))),"")</f>
        <v/>
      </c>
      <c r="K85" s="209"/>
      <c r="L85" s="147" t="str">
        <f ca="1">IFERROR(VALUE(IF(VLOOKUP($A85,数出表_Excel!$A$6:$T$150,COLUMN()/2+1,FALSE)=0,"",VLOOKUP($A85,数出表_Excel!$A$6:$T$150,COLUMN()/2+1,FALSE))),"")</f>
        <v/>
      </c>
      <c r="M85" s="142"/>
      <c r="N85" s="142" t="str">
        <f ca="1">IFERROR(VALUE(IF(VLOOKUP($A85,数出表_Excel!$A$6:$T$150,COLUMN()/2+1,FALSE)=0,"",VLOOKUP($A85,数出表_Excel!$A$6:$T$150,COLUMN()/2+1,FALSE))),"")</f>
        <v/>
      </c>
      <c r="O85" s="142"/>
      <c r="P85" s="142" t="str">
        <f ca="1">IFERROR(VALUE(IF(VLOOKUP($A85,数出表_Excel!$A$6:$T$150,COLUMN()/2+1,FALSE)=0,"",VLOOKUP($A85,数出表_Excel!$A$6:$T$150,COLUMN()/2+1,FALSE))),"")</f>
        <v/>
      </c>
      <c r="Q85" s="142"/>
      <c r="R85" s="142" t="str">
        <f ca="1">IFERROR(VALUE(IF(VLOOKUP($A85,数出表_Excel!$A$6:$T$150,COLUMN()/2+1,FALSE)=0,"",VLOOKUP($A85,数出表_Excel!$A$6:$T$150,COLUMN()/2+1,FALSE))),"")</f>
        <v/>
      </c>
      <c r="S85" s="142"/>
      <c r="T85" s="142" t="str">
        <f ca="1">IFERROR(VALUE(IF(VLOOKUP($A85,数出表_Excel!$A$6:$T$150,COLUMN()/2+1,FALSE)=0,"",VLOOKUP($A85,数出表_Excel!$A$6:$T$150,COLUMN()/2+1,FALSE))),"")</f>
        <v/>
      </c>
      <c r="U85" s="142"/>
      <c r="V85" s="146" t="str">
        <f ca="1">IFERROR(VALUE(IF(VLOOKUP($A85,数出表_Excel!$A$6:$T$150,COLUMN()/2+1,FALSE)=0,"",VLOOKUP($A85,数出表_Excel!$A$6:$T$150,COLUMN()/2+1,FALSE))),"")</f>
        <v/>
      </c>
      <c r="W85" s="142"/>
      <c r="X85" s="146" t="str">
        <f ca="1">IFERROR(VALUE(IF(VLOOKUP($A85,数出表_Excel!$A$6:$T$150,COLUMN()/2+1,FALSE)=0,"",VLOOKUP($A85,数出表_Excel!$A$6:$T$150,COLUMN()/2+1,FALSE))),"")</f>
        <v/>
      </c>
      <c r="Y85" s="142"/>
      <c r="Z85" s="146" t="str">
        <f ca="1">IFERROR(VALUE(IF(VLOOKUP($A85,数出表_Excel!$A$6:$T$150,COLUMN()/2+1,FALSE)=0,"",VLOOKUP($A85,数出表_Excel!$A$6:$T$150,COLUMN()/2+1,FALSE))),"")</f>
        <v/>
      </c>
      <c r="AA85" s="209"/>
      <c r="AB85" s="147" t="str">
        <f ca="1">IFERROR(VALUE(IF(VLOOKUP($A85,数出表_Excel!$A$6:$T$150,COLUMN()/2+1,FALSE)=0,"",VLOOKUP($A85,数出表_Excel!$A$6:$T$150,COLUMN()/2+1,FALSE))),"")</f>
        <v/>
      </c>
      <c r="AC85" s="142"/>
      <c r="AD85" s="146" t="str">
        <f ca="1">IFERROR(VALUE(IF(VLOOKUP($A85,数出表_Excel!$A$6:$T$150,COLUMN()/2+1,FALSE)=0,"",VLOOKUP($A85,数出表_Excel!$A$6:$T$150,COLUMN()/2+1,FALSE))),"")</f>
        <v/>
      </c>
      <c r="AE85" s="142"/>
      <c r="AF85" s="146" t="str">
        <f ca="1">IFERROR(VALUE(IF(VLOOKUP($A85,数出表_Excel!$A$6:$T$150,COLUMN()/2+1,FALSE)=0,"",VLOOKUP($A85,数出表_Excel!$A$6:$T$150,COLUMN()/2+1,FALSE))),"")</f>
        <v/>
      </c>
      <c r="AG85" s="142"/>
      <c r="AH85" s="146" t="str">
        <f ca="1">IFERROR(VALUE(IF(VLOOKUP($A85,数出表_Excel!$A$6:$T$150,COLUMN()/2+1,FALSE)=0,"",VLOOKUP($A85,数出表_Excel!$A$6:$T$150,COLUMN()/2+1,FALSE))),"")</f>
        <v/>
      </c>
      <c r="AI85" s="209"/>
      <c r="AJ85" s="147" t="str">
        <f ca="1">IFERROR(VALUE(IF(VLOOKUP($A85,数出表_Excel!$A$6:$T$150,COLUMN()/2+1,FALSE)=0,"",VLOOKUP($A85,数出表_Excel!$A$6:$T$150,COLUMN()/2+1,FALSE))),"")</f>
        <v/>
      </c>
      <c r="AK85" s="142"/>
      <c r="AL85" s="148" t="e">
        <f ca="1">IF(A85&lt;&gt;"",
IF(VLOOKUP($A85,数出表_Excel!$A$6:$T$150,COLUMN()/2+1,FALSE)=0,"",VLOOKUP($A85,数出表_Excel!$A$6:$T$150,COLUMN()/2+1,FALSE)),"")</f>
        <v>#N/A</v>
      </c>
      <c r="AM85" s="263">
        <f>数出表_Excel!V85</f>
        <v>0</v>
      </c>
      <c r="AN85" s="264">
        <f>数出表_Excel!W85</f>
        <v>0</v>
      </c>
    </row>
    <row r="86" spans="1:40" ht="16.2" customHeight="1" x14ac:dyDescent="0.45">
      <c r="A86" s="219" t="str">
        <f t="array" aca="1" ref="A86" ca="1">IF(OR(COUNTIF(A84,"*10002*"),COUNTIF(A84,"")),"",INDEX(貼り付け用!$A:$A,MATCH(A84,貼り付け用!$A:$A,0)+2,0))</f>
        <v>12910</v>
      </c>
      <c r="B86" s="204" t="str">
        <f ca="1">IFERROR(VALUE(IF(VLOOKUP($A86,数出表_Excel!$A$6:$T$150,COLUMN()/2+1,FALSE)=0,"",VLOOKUP($A86,数出表_Excel!$A$6:$T$150,COLUMN()/2+1,FALSE))),"")</f>
        <v/>
      </c>
      <c r="C86" s="141"/>
      <c r="D86" s="204" t="str">
        <f ca="1">IFERROR(VALUE(IF(VLOOKUP($A86,数出表_Excel!$A$6:$T$150,COLUMN()/2+1,FALSE)=0,"",VLOOKUP($A86,数出表_Excel!$A$6:$T$150,COLUMN()/2+1,FALSE))),"")</f>
        <v/>
      </c>
      <c r="E86" s="141"/>
      <c r="F86" s="207" t="str">
        <f ca="1">IFERROR(VALUE(IF(VLOOKUP($A86,数出表_Excel!$A$6:$T$150,COLUMN()/2+1,FALSE)=0,"",VLOOKUP($A86,数出表_Excel!$A$6:$T$150,COLUMN()/2+1,FALSE))),"")</f>
        <v/>
      </c>
      <c r="G86" s="141"/>
      <c r="H86" s="204" t="str">
        <f ca="1">IFERROR(VALUE(IF(VLOOKUP($A86,数出表_Excel!$A$6:$T$150,COLUMN()/2+1,FALSE)=0,"",VLOOKUP($A86,数出表_Excel!$A$6:$T$150,COLUMN()/2+1,FALSE))),"")</f>
        <v/>
      </c>
      <c r="I86" s="141"/>
      <c r="J86" s="204" t="str">
        <f ca="1">IFERROR(VALUE(IF(VLOOKUP($A86,数出表_Excel!$A$6:$T$150,COLUMN()/2+1,FALSE)=0,"",VLOOKUP($A86,数出表_Excel!$A$6:$T$150,COLUMN()/2+1,FALSE))),"")</f>
        <v/>
      </c>
      <c r="K86" s="208"/>
      <c r="L86" s="205" t="str">
        <f ca="1">IFERROR(VALUE(IF(VLOOKUP($A86,数出表_Excel!$A$6:$T$150,COLUMN()/2+1,FALSE)=0,"",VLOOKUP($A86,数出表_Excel!$A$6:$T$150,COLUMN()/2+1,FALSE))),"")</f>
        <v/>
      </c>
      <c r="M86" s="141"/>
      <c r="N86" s="204" t="str">
        <f ca="1">IFERROR(VALUE(IF(VLOOKUP($A86,数出表_Excel!$A$6:$T$150,COLUMN()/2+1,FALSE)=0,"",VLOOKUP($A86,数出表_Excel!$A$6:$T$150,COLUMN()/2+1,FALSE))),"")</f>
        <v/>
      </c>
      <c r="O86" s="141"/>
      <c r="P86" s="204" t="str">
        <f ca="1">IFERROR(VALUE(IF(VLOOKUP($A86,数出表_Excel!$A$6:$T$150,COLUMN()/2+1,FALSE)=0,"",VLOOKUP($A86,数出表_Excel!$A$6:$T$150,COLUMN()/2+1,FALSE))),"")</f>
        <v/>
      </c>
      <c r="Q86" s="141"/>
      <c r="R86" s="204" t="str">
        <f ca="1">IFERROR(VALUE(IF(VLOOKUP($A86,数出表_Excel!$A$6:$T$150,COLUMN()/2+1,FALSE)=0,"",VLOOKUP($A86,数出表_Excel!$A$6:$T$150,COLUMN()/2+1,FALSE))),"")</f>
        <v/>
      </c>
      <c r="S86" s="141"/>
      <c r="T86" s="204" t="str">
        <f ca="1">IFERROR(VALUE(IF(VLOOKUP($A86,数出表_Excel!$A$6:$T$150,COLUMN()/2+1,FALSE)=0,"",VLOOKUP($A86,数出表_Excel!$A$6:$T$150,COLUMN()/2+1,FALSE))),"")</f>
        <v/>
      </c>
      <c r="U86" s="141"/>
      <c r="V86" s="207" t="str">
        <f ca="1">IFERROR(VALUE(IF(VLOOKUP($A86,数出表_Excel!$A$6:$T$150,COLUMN()/2+1,FALSE)=0,"",VLOOKUP($A86,数出表_Excel!$A$6:$T$150,COLUMN()/2+1,FALSE))),"")</f>
        <v/>
      </c>
      <c r="W86" s="141"/>
      <c r="X86" s="207" t="str">
        <f ca="1">IFERROR(VALUE(IF(VLOOKUP($A86,数出表_Excel!$A$6:$T$150,COLUMN()/2+1,FALSE)=0,"",VLOOKUP($A86,数出表_Excel!$A$6:$T$150,COLUMN()/2+1,FALSE))),"")</f>
        <v/>
      </c>
      <c r="Y86" s="141"/>
      <c r="Z86" s="207" t="str">
        <f ca="1">IFERROR(VALUE(IF(VLOOKUP($A86,数出表_Excel!$A$6:$T$150,COLUMN()/2+1,FALSE)=0,"",VLOOKUP($A86,数出表_Excel!$A$6:$T$150,COLUMN()/2+1,FALSE))),"")</f>
        <v/>
      </c>
      <c r="AA86" s="208"/>
      <c r="AB86" s="205" t="str">
        <f ca="1">IFERROR(VALUE(IF(VLOOKUP($A86,数出表_Excel!$A$6:$T$150,COLUMN()/2+1,FALSE)=0,"",VLOOKUP($A86,数出表_Excel!$A$6:$T$150,COLUMN()/2+1,FALSE))),"")</f>
        <v/>
      </c>
      <c r="AC86" s="141"/>
      <c r="AD86" s="207" t="str">
        <f ca="1">IFERROR(VALUE(IF(VLOOKUP($A86,数出表_Excel!$A$6:$T$150,COLUMN()/2+1,FALSE)=0,"",VLOOKUP($A86,数出表_Excel!$A$6:$T$150,COLUMN()/2+1,FALSE))),"")</f>
        <v/>
      </c>
      <c r="AE86" s="141"/>
      <c r="AF86" s="207" t="str">
        <f ca="1">IFERROR(VALUE(IF(VLOOKUP($A86,数出表_Excel!$A$6:$T$150,COLUMN()/2+1,FALSE)=0,"",VLOOKUP($A86,数出表_Excel!$A$6:$T$150,COLUMN()/2+1,FALSE))),"")</f>
        <v/>
      </c>
      <c r="AG86" s="141"/>
      <c r="AH86" s="207" t="str">
        <f ca="1">IFERROR(VALUE(IF(VLOOKUP($A86,数出表_Excel!$A$6:$T$150,COLUMN()/2+1,FALSE)=0,"",VLOOKUP($A86,数出表_Excel!$A$6:$T$150,COLUMN()/2+1,FALSE))),"")</f>
        <v/>
      </c>
      <c r="AI86" s="208"/>
      <c r="AJ86" s="205" t="str">
        <f ca="1">IFERROR(VALUE(IF(VLOOKUP($A86,数出表_Excel!$A$6:$T$150,COLUMN()/2+1,FALSE)=0,"",VLOOKUP($A86,数出表_Excel!$A$6:$T$150,COLUMN()/2+1,FALSE))),"")</f>
        <v/>
      </c>
      <c r="AK86" s="141"/>
      <c r="AL86" s="145" t="e">
        <f ca="1">IF(A86&lt;&gt;"",
IF(VLOOKUP($A86,数出表_Excel!$A$6:$T$150,COLUMN()/2+1,FALSE)=0,"",VLOOKUP($A86,数出表_Excel!$A$6:$T$150,COLUMN()/2+1,FALSE)),"")</f>
        <v>#N/A</v>
      </c>
      <c r="AM86" s="261">
        <f>数出表_Excel!V86</f>
        <v>0</v>
      </c>
      <c r="AN86" s="262">
        <f>数出表_Excel!W86</f>
        <v>0</v>
      </c>
    </row>
    <row r="87" spans="1:40" ht="16.2" customHeight="1" x14ac:dyDescent="0.45">
      <c r="A87" s="220" t="str">
        <f t="array" aca="1" ref="A87" ca="1">IF(OR(COUNTIF(A85,"*1000*"),COUNTIF(A85,"")),"",INDEX(貼り付け用!$A:$A,MATCH(A85,貼り付け用!$A:$A,0)+2,0))</f>
        <v>児童発達支援 いろは</v>
      </c>
      <c r="B87" s="142" t="str">
        <f ca="1">IFERROR(VALUE(IF(VLOOKUP($A87,数出表_Excel!$A$6:$T$150,COLUMN()/2+1,FALSE)=0,"",VLOOKUP($A87,数出表_Excel!$A$6:$T$150,COLUMN()/2+1,FALSE))),"")</f>
        <v/>
      </c>
      <c r="C87" s="142"/>
      <c r="D87" s="142" t="str">
        <f ca="1">IFERROR(VALUE(IF(VLOOKUP($A87,数出表_Excel!$A$6:$T$150,COLUMN()/2+1,FALSE)=0,"",VLOOKUP($A87,数出表_Excel!$A$6:$T$150,COLUMN()/2+1,FALSE))),"")</f>
        <v/>
      </c>
      <c r="E87" s="142"/>
      <c r="F87" s="146" t="str">
        <f ca="1">IFERROR(VALUE(IF(VLOOKUP($A87,数出表_Excel!$A$6:$T$150,COLUMN()/2+1,FALSE)=0,"",VLOOKUP($A87,数出表_Excel!$A$6:$T$150,COLUMN()/2+1,FALSE))),"")</f>
        <v/>
      </c>
      <c r="G87" s="142"/>
      <c r="H87" s="142" t="str">
        <f ca="1">IFERROR(VALUE(IF(VLOOKUP($A87,数出表_Excel!$A$6:$T$150,COLUMN()/2+1,FALSE)=0,"",VLOOKUP($A87,数出表_Excel!$A$6:$T$150,COLUMN()/2+1,FALSE))),"")</f>
        <v/>
      </c>
      <c r="I87" s="142"/>
      <c r="J87" s="142" t="str">
        <f ca="1">IFERROR(VALUE(IF(VLOOKUP($A87,数出表_Excel!$A$6:$T$150,COLUMN()/2+1,FALSE)=0,"",VLOOKUP($A87,数出表_Excel!$A$6:$T$150,COLUMN()/2+1,FALSE))),"")</f>
        <v/>
      </c>
      <c r="K87" s="209"/>
      <c r="L87" s="147" t="str">
        <f ca="1">IFERROR(VALUE(IF(VLOOKUP($A87,数出表_Excel!$A$6:$T$150,COLUMN()/2+1,FALSE)=0,"",VLOOKUP($A87,数出表_Excel!$A$6:$T$150,COLUMN()/2+1,FALSE))),"")</f>
        <v/>
      </c>
      <c r="M87" s="142"/>
      <c r="N87" s="142" t="str">
        <f ca="1">IFERROR(VALUE(IF(VLOOKUP($A87,数出表_Excel!$A$6:$T$150,COLUMN()/2+1,FALSE)=0,"",VLOOKUP($A87,数出表_Excel!$A$6:$T$150,COLUMN()/2+1,FALSE))),"")</f>
        <v/>
      </c>
      <c r="O87" s="142"/>
      <c r="P87" s="142" t="str">
        <f ca="1">IFERROR(VALUE(IF(VLOOKUP($A87,数出表_Excel!$A$6:$T$150,COLUMN()/2+1,FALSE)=0,"",VLOOKUP($A87,数出表_Excel!$A$6:$T$150,COLUMN()/2+1,FALSE))),"")</f>
        <v/>
      </c>
      <c r="Q87" s="142"/>
      <c r="R87" s="142" t="str">
        <f ca="1">IFERROR(VALUE(IF(VLOOKUP($A87,数出表_Excel!$A$6:$T$150,COLUMN()/2+1,FALSE)=0,"",VLOOKUP($A87,数出表_Excel!$A$6:$T$150,COLUMN()/2+1,FALSE))),"")</f>
        <v/>
      </c>
      <c r="S87" s="142"/>
      <c r="T87" s="142" t="str">
        <f ca="1">IFERROR(VALUE(IF(VLOOKUP($A87,数出表_Excel!$A$6:$T$150,COLUMN()/2+1,FALSE)=0,"",VLOOKUP($A87,数出表_Excel!$A$6:$T$150,COLUMN()/2+1,FALSE))),"")</f>
        <v/>
      </c>
      <c r="U87" s="142"/>
      <c r="V87" s="146" t="str">
        <f ca="1">IFERROR(VALUE(IF(VLOOKUP($A87,数出表_Excel!$A$6:$T$150,COLUMN()/2+1,FALSE)=0,"",VLOOKUP($A87,数出表_Excel!$A$6:$T$150,COLUMN()/2+1,FALSE))),"")</f>
        <v/>
      </c>
      <c r="W87" s="142"/>
      <c r="X87" s="146" t="str">
        <f ca="1">IFERROR(VALUE(IF(VLOOKUP($A87,数出表_Excel!$A$6:$T$150,COLUMN()/2+1,FALSE)=0,"",VLOOKUP($A87,数出表_Excel!$A$6:$T$150,COLUMN()/2+1,FALSE))),"")</f>
        <v/>
      </c>
      <c r="Y87" s="142"/>
      <c r="Z87" s="146" t="str">
        <f ca="1">IFERROR(VALUE(IF(VLOOKUP($A87,数出表_Excel!$A$6:$T$150,COLUMN()/2+1,FALSE)=0,"",VLOOKUP($A87,数出表_Excel!$A$6:$T$150,COLUMN()/2+1,FALSE))),"")</f>
        <v/>
      </c>
      <c r="AA87" s="209"/>
      <c r="AB87" s="147" t="str">
        <f ca="1">IFERROR(VALUE(IF(VLOOKUP($A87,数出表_Excel!$A$6:$T$150,COLUMN()/2+1,FALSE)=0,"",VLOOKUP($A87,数出表_Excel!$A$6:$T$150,COLUMN()/2+1,FALSE))),"")</f>
        <v/>
      </c>
      <c r="AC87" s="142"/>
      <c r="AD87" s="146" t="str">
        <f ca="1">IFERROR(VALUE(IF(VLOOKUP($A87,数出表_Excel!$A$6:$T$150,COLUMN()/2+1,FALSE)=0,"",VLOOKUP($A87,数出表_Excel!$A$6:$T$150,COLUMN()/2+1,FALSE))),"")</f>
        <v/>
      </c>
      <c r="AE87" s="142"/>
      <c r="AF87" s="146" t="str">
        <f ca="1">IFERROR(VALUE(IF(VLOOKUP($A87,数出表_Excel!$A$6:$T$150,COLUMN()/2+1,FALSE)=0,"",VLOOKUP($A87,数出表_Excel!$A$6:$T$150,COLUMN()/2+1,FALSE))),"")</f>
        <v/>
      </c>
      <c r="AG87" s="142"/>
      <c r="AH87" s="146" t="str">
        <f ca="1">IFERROR(VALUE(IF(VLOOKUP($A87,数出表_Excel!$A$6:$T$150,COLUMN()/2+1,FALSE)=0,"",VLOOKUP($A87,数出表_Excel!$A$6:$T$150,COLUMN()/2+1,FALSE))),"")</f>
        <v/>
      </c>
      <c r="AI87" s="209"/>
      <c r="AJ87" s="147" t="str">
        <f ca="1">IFERROR(VALUE(IF(VLOOKUP($A87,数出表_Excel!$A$6:$T$150,COLUMN()/2+1,FALSE)=0,"",VLOOKUP($A87,数出表_Excel!$A$6:$T$150,COLUMN()/2+1,FALSE))),"")</f>
        <v/>
      </c>
      <c r="AK87" s="142"/>
      <c r="AL87" s="148" t="e">
        <f ca="1">IF(A87&lt;&gt;"",
IF(VLOOKUP($A87,数出表_Excel!$A$6:$T$150,COLUMN()/2+1,FALSE)=0,"",VLOOKUP($A87,数出表_Excel!$A$6:$T$150,COLUMN()/2+1,FALSE)),"")</f>
        <v>#N/A</v>
      </c>
      <c r="AM87" s="263">
        <f>数出表_Excel!V87</f>
        <v>0</v>
      </c>
      <c r="AN87" s="264">
        <f>数出表_Excel!W87</f>
        <v>0</v>
      </c>
    </row>
    <row r="88" spans="1:40" ht="16.2" customHeight="1" x14ac:dyDescent="0.45">
      <c r="A88" s="219" t="str">
        <f t="array" aca="1" ref="A88" ca="1">IF(OR(COUNTIF(A86,"*10002*"),COUNTIF(A86,"")),"",INDEX(貼り付け用!$A:$A,MATCH(A86,貼り付け用!$A:$A,0)+2,0))</f>
        <v>19800</v>
      </c>
      <c r="B88" s="204" t="str">
        <f ca="1">IFERROR(VALUE(IF(VLOOKUP($A88,数出表_Excel!$A$6:$T$150,COLUMN()/2+1,FALSE)=0,"",VLOOKUP($A88,数出表_Excel!$A$6:$T$150,COLUMN()/2+1,FALSE))),"")</f>
        <v/>
      </c>
      <c r="C88" s="141"/>
      <c r="D88" s="204" t="str">
        <f ca="1">IFERROR(VALUE(IF(VLOOKUP($A88,数出表_Excel!$A$6:$T$150,COLUMN()/2+1,FALSE)=0,"",VLOOKUP($A88,数出表_Excel!$A$6:$T$150,COLUMN()/2+1,FALSE))),"")</f>
        <v/>
      </c>
      <c r="E88" s="141"/>
      <c r="F88" s="207" t="str">
        <f ca="1">IFERROR(VALUE(IF(VLOOKUP($A88,数出表_Excel!$A$6:$T$150,COLUMN()/2+1,FALSE)=0,"",VLOOKUP($A88,数出表_Excel!$A$6:$T$150,COLUMN()/2+1,FALSE))),"")</f>
        <v/>
      </c>
      <c r="G88" s="141"/>
      <c r="H88" s="204" t="str">
        <f ca="1">IFERROR(VALUE(IF(VLOOKUP($A88,数出表_Excel!$A$6:$T$150,COLUMN()/2+1,FALSE)=0,"",VLOOKUP($A88,数出表_Excel!$A$6:$T$150,COLUMN()/2+1,FALSE))),"")</f>
        <v/>
      </c>
      <c r="I88" s="141"/>
      <c r="J88" s="204" t="str">
        <f ca="1">IFERROR(VALUE(IF(VLOOKUP($A88,数出表_Excel!$A$6:$T$150,COLUMN()/2+1,FALSE)=0,"",VLOOKUP($A88,数出表_Excel!$A$6:$T$150,COLUMN()/2+1,FALSE))),"")</f>
        <v/>
      </c>
      <c r="K88" s="208"/>
      <c r="L88" s="205" t="str">
        <f ca="1">IFERROR(VALUE(IF(VLOOKUP($A88,数出表_Excel!$A$6:$T$150,COLUMN()/2+1,FALSE)=0,"",VLOOKUP($A88,数出表_Excel!$A$6:$T$150,COLUMN()/2+1,FALSE))),"")</f>
        <v/>
      </c>
      <c r="M88" s="141"/>
      <c r="N88" s="204" t="str">
        <f ca="1">IFERROR(VALUE(IF(VLOOKUP($A88,数出表_Excel!$A$6:$T$150,COLUMN()/2+1,FALSE)=0,"",VLOOKUP($A88,数出表_Excel!$A$6:$T$150,COLUMN()/2+1,FALSE))),"")</f>
        <v/>
      </c>
      <c r="O88" s="141"/>
      <c r="P88" s="204" t="str">
        <f ca="1">IFERROR(VALUE(IF(VLOOKUP($A88,数出表_Excel!$A$6:$T$150,COLUMN()/2+1,FALSE)=0,"",VLOOKUP($A88,数出表_Excel!$A$6:$T$150,COLUMN()/2+1,FALSE))),"")</f>
        <v/>
      </c>
      <c r="Q88" s="141"/>
      <c r="R88" s="204" t="str">
        <f ca="1">IFERROR(VALUE(IF(VLOOKUP($A88,数出表_Excel!$A$6:$T$150,COLUMN()/2+1,FALSE)=0,"",VLOOKUP($A88,数出表_Excel!$A$6:$T$150,COLUMN()/2+1,FALSE))),"")</f>
        <v/>
      </c>
      <c r="S88" s="141"/>
      <c r="T88" s="204" t="str">
        <f ca="1">IFERROR(VALUE(IF(VLOOKUP($A88,数出表_Excel!$A$6:$T$150,COLUMN()/2+1,FALSE)=0,"",VLOOKUP($A88,数出表_Excel!$A$6:$T$150,COLUMN()/2+1,FALSE))),"")</f>
        <v/>
      </c>
      <c r="U88" s="141"/>
      <c r="V88" s="207" t="str">
        <f ca="1">IFERROR(VALUE(IF(VLOOKUP($A88,数出表_Excel!$A$6:$T$150,COLUMN()/2+1,FALSE)=0,"",VLOOKUP($A88,数出表_Excel!$A$6:$T$150,COLUMN()/2+1,FALSE))),"")</f>
        <v/>
      </c>
      <c r="W88" s="141"/>
      <c r="X88" s="207" t="str">
        <f ca="1">IFERROR(VALUE(IF(VLOOKUP($A88,数出表_Excel!$A$6:$T$150,COLUMN()/2+1,FALSE)=0,"",VLOOKUP($A88,数出表_Excel!$A$6:$T$150,COLUMN()/2+1,FALSE))),"")</f>
        <v/>
      </c>
      <c r="Y88" s="141"/>
      <c r="Z88" s="207" t="str">
        <f ca="1">IFERROR(VALUE(IF(VLOOKUP($A88,数出表_Excel!$A$6:$T$150,COLUMN()/2+1,FALSE)=0,"",VLOOKUP($A88,数出表_Excel!$A$6:$T$150,COLUMN()/2+1,FALSE))),"")</f>
        <v/>
      </c>
      <c r="AA88" s="208"/>
      <c r="AB88" s="205" t="str">
        <f ca="1">IFERROR(VALUE(IF(VLOOKUP($A88,数出表_Excel!$A$6:$T$150,COLUMN()/2+1,FALSE)=0,"",VLOOKUP($A88,数出表_Excel!$A$6:$T$150,COLUMN()/2+1,FALSE))),"")</f>
        <v/>
      </c>
      <c r="AC88" s="141"/>
      <c r="AD88" s="207" t="str">
        <f ca="1">IFERROR(VALUE(IF(VLOOKUP($A88,数出表_Excel!$A$6:$T$150,COLUMN()/2+1,FALSE)=0,"",VLOOKUP($A88,数出表_Excel!$A$6:$T$150,COLUMN()/2+1,FALSE))),"")</f>
        <v/>
      </c>
      <c r="AE88" s="141"/>
      <c r="AF88" s="207" t="str">
        <f ca="1">IFERROR(VALUE(IF(VLOOKUP($A88,数出表_Excel!$A$6:$T$150,COLUMN()/2+1,FALSE)=0,"",VLOOKUP($A88,数出表_Excel!$A$6:$T$150,COLUMN()/2+1,FALSE))),"")</f>
        <v/>
      </c>
      <c r="AG88" s="141"/>
      <c r="AH88" s="207" t="str">
        <f ca="1">IFERROR(VALUE(IF(VLOOKUP($A88,数出表_Excel!$A$6:$T$150,COLUMN()/2+1,FALSE)=0,"",VLOOKUP($A88,数出表_Excel!$A$6:$T$150,COLUMN()/2+1,FALSE))),"")</f>
        <v/>
      </c>
      <c r="AI88" s="208"/>
      <c r="AJ88" s="205" t="str">
        <f ca="1">IFERROR(VALUE(IF(VLOOKUP($A88,数出表_Excel!$A$6:$T$150,COLUMN()/2+1,FALSE)=0,"",VLOOKUP($A88,数出表_Excel!$A$6:$T$150,COLUMN()/2+1,FALSE))),"")</f>
        <v/>
      </c>
      <c r="AK88" s="141"/>
      <c r="AL88" s="145" t="e">
        <f ca="1">IF(A88&lt;&gt;"",
IF(VLOOKUP($A88,数出表_Excel!$A$6:$T$150,COLUMN()/2+1,FALSE)=0,"",VLOOKUP($A88,数出表_Excel!$A$6:$T$150,COLUMN()/2+1,FALSE)),"")</f>
        <v>#N/A</v>
      </c>
      <c r="AM88" s="261">
        <f>数出表_Excel!V88</f>
        <v>0</v>
      </c>
      <c r="AN88" s="262">
        <f>数出表_Excel!W88</f>
        <v>0</v>
      </c>
    </row>
    <row r="89" spans="1:40" ht="16.2" customHeight="1" x14ac:dyDescent="0.45">
      <c r="A89" s="220" t="str">
        <f t="array" aca="1" ref="A89" ca="1">IF(OR(COUNTIF(A87,"*1000*"),COUNTIF(A87,"")),"",INDEX(貼り付け用!$A:$A,MATCH(A87,貼り付け用!$A:$A,0)+2,0))</f>
        <v>すてっぷ</v>
      </c>
      <c r="B89" s="142" t="str">
        <f ca="1">IFERROR(VALUE(IF(VLOOKUP($A89,数出表_Excel!$A$6:$T$150,COLUMN()/2+1,FALSE)=0,"",VLOOKUP($A89,数出表_Excel!$A$6:$T$150,COLUMN()/2+1,FALSE))),"")</f>
        <v/>
      </c>
      <c r="C89" s="142"/>
      <c r="D89" s="142" t="str">
        <f ca="1">IFERROR(VALUE(IF(VLOOKUP($A89,数出表_Excel!$A$6:$T$150,COLUMN()/2+1,FALSE)=0,"",VLOOKUP($A89,数出表_Excel!$A$6:$T$150,COLUMN()/2+1,FALSE))),"")</f>
        <v/>
      </c>
      <c r="E89" s="142"/>
      <c r="F89" s="146" t="str">
        <f ca="1">IFERROR(VALUE(IF(VLOOKUP($A89,数出表_Excel!$A$6:$T$150,COLUMN()/2+1,FALSE)=0,"",VLOOKUP($A89,数出表_Excel!$A$6:$T$150,COLUMN()/2+1,FALSE))),"")</f>
        <v/>
      </c>
      <c r="G89" s="142"/>
      <c r="H89" s="142" t="str">
        <f ca="1">IFERROR(VALUE(IF(VLOOKUP($A89,数出表_Excel!$A$6:$T$150,COLUMN()/2+1,FALSE)=0,"",VLOOKUP($A89,数出表_Excel!$A$6:$T$150,COLUMN()/2+1,FALSE))),"")</f>
        <v/>
      </c>
      <c r="I89" s="142"/>
      <c r="J89" s="142" t="str">
        <f ca="1">IFERROR(VALUE(IF(VLOOKUP($A89,数出表_Excel!$A$6:$T$150,COLUMN()/2+1,FALSE)=0,"",VLOOKUP($A89,数出表_Excel!$A$6:$T$150,COLUMN()/2+1,FALSE))),"")</f>
        <v/>
      </c>
      <c r="K89" s="209"/>
      <c r="L89" s="147" t="str">
        <f ca="1">IFERROR(VALUE(IF(VLOOKUP($A89,数出表_Excel!$A$6:$T$150,COLUMN()/2+1,FALSE)=0,"",VLOOKUP($A89,数出表_Excel!$A$6:$T$150,COLUMN()/2+1,FALSE))),"")</f>
        <v/>
      </c>
      <c r="M89" s="142"/>
      <c r="N89" s="142" t="str">
        <f ca="1">IFERROR(VALUE(IF(VLOOKUP($A89,数出表_Excel!$A$6:$T$150,COLUMN()/2+1,FALSE)=0,"",VLOOKUP($A89,数出表_Excel!$A$6:$T$150,COLUMN()/2+1,FALSE))),"")</f>
        <v/>
      </c>
      <c r="O89" s="142"/>
      <c r="P89" s="142" t="str">
        <f ca="1">IFERROR(VALUE(IF(VLOOKUP($A89,数出表_Excel!$A$6:$T$150,COLUMN()/2+1,FALSE)=0,"",VLOOKUP($A89,数出表_Excel!$A$6:$T$150,COLUMN()/2+1,FALSE))),"")</f>
        <v/>
      </c>
      <c r="Q89" s="142"/>
      <c r="R89" s="142" t="str">
        <f ca="1">IFERROR(VALUE(IF(VLOOKUP($A89,数出表_Excel!$A$6:$T$150,COLUMN()/2+1,FALSE)=0,"",VLOOKUP($A89,数出表_Excel!$A$6:$T$150,COLUMN()/2+1,FALSE))),"")</f>
        <v/>
      </c>
      <c r="S89" s="142"/>
      <c r="T89" s="142" t="str">
        <f ca="1">IFERROR(VALUE(IF(VLOOKUP($A89,数出表_Excel!$A$6:$T$150,COLUMN()/2+1,FALSE)=0,"",VLOOKUP($A89,数出表_Excel!$A$6:$T$150,COLUMN()/2+1,FALSE))),"")</f>
        <v/>
      </c>
      <c r="U89" s="142"/>
      <c r="V89" s="146" t="str">
        <f ca="1">IFERROR(VALUE(IF(VLOOKUP($A89,数出表_Excel!$A$6:$T$150,COLUMN()/2+1,FALSE)=0,"",VLOOKUP($A89,数出表_Excel!$A$6:$T$150,COLUMN()/2+1,FALSE))),"")</f>
        <v/>
      </c>
      <c r="W89" s="142"/>
      <c r="X89" s="146" t="str">
        <f ca="1">IFERROR(VALUE(IF(VLOOKUP($A89,数出表_Excel!$A$6:$T$150,COLUMN()/2+1,FALSE)=0,"",VLOOKUP($A89,数出表_Excel!$A$6:$T$150,COLUMN()/2+1,FALSE))),"")</f>
        <v/>
      </c>
      <c r="Y89" s="142"/>
      <c r="Z89" s="146" t="str">
        <f ca="1">IFERROR(VALUE(IF(VLOOKUP($A89,数出表_Excel!$A$6:$T$150,COLUMN()/2+1,FALSE)=0,"",VLOOKUP($A89,数出表_Excel!$A$6:$T$150,COLUMN()/2+1,FALSE))),"")</f>
        <v/>
      </c>
      <c r="AA89" s="209"/>
      <c r="AB89" s="147" t="str">
        <f ca="1">IFERROR(VALUE(IF(VLOOKUP($A89,数出表_Excel!$A$6:$T$150,COLUMN()/2+1,FALSE)=0,"",VLOOKUP($A89,数出表_Excel!$A$6:$T$150,COLUMN()/2+1,FALSE))),"")</f>
        <v/>
      </c>
      <c r="AC89" s="142"/>
      <c r="AD89" s="146" t="str">
        <f ca="1">IFERROR(VALUE(IF(VLOOKUP($A89,数出表_Excel!$A$6:$T$150,COLUMN()/2+1,FALSE)=0,"",VLOOKUP($A89,数出表_Excel!$A$6:$T$150,COLUMN()/2+1,FALSE))),"")</f>
        <v/>
      </c>
      <c r="AE89" s="142"/>
      <c r="AF89" s="146" t="str">
        <f ca="1">IFERROR(VALUE(IF(VLOOKUP($A89,数出表_Excel!$A$6:$T$150,COLUMN()/2+1,FALSE)=0,"",VLOOKUP($A89,数出表_Excel!$A$6:$T$150,COLUMN()/2+1,FALSE))),"")</f>
        <v/>
      </c>
      <c r="AG89" s="142"/>
      <c r="AH89" s="146" t="str">
        <f ca="1">IFERROR(VALUE(IF(VLOOKUP($A89,数出表_Excel!$A$6:$T$150,COLUMN()/2+1,FALSE)=0,"",VLOOKUP($A89,数出表_Excel!$A$6:$T$150,COLUMN()/2+1,FALSE))),"")</f>
        <v/>
      </c>
      <c r="AI89" s="209"/>
      <c r="AJ89" s="147" t="str">
        <f ca="1">IFERROR(VALUE(IF(VLOOKUP($A89,数出表_Excel!$A$6:$T$150,COLUMN()/2+1,FALSE)=0,"",VLOOKUP($A89,数出表_Excel!$A$6:$T$150,COLUMN()/2+1,FALSE))),"")</f>
        <v/>
      </c>
      <c r="AK89" s="142"/>
      <c r="AL89" s="148" t="e">
        <f ca="1">IF(A89&lt;&gt;"",
IF(VLOOKUP($A89,数出表_Excel!$A$6:$T$150,COLUMN()/2+1,FALSE)=0,"",VLOOKUP($A89,数出表_Excel!$A$6:$T$150,COLUMN()/2+1,FALSE)),"")</f>
        <v>#N/A</v>
      </c>
      <c r="AM89" s="263">
        <f>数出表_Excel!V89</f>
        <v>0</v>
      </c>
      <c r="AN89" s="264">
        <f>数出表_Excel!W89</f>
        <v>0</v>
      </c>
    </row>
    <row r="90" spans="1:40" ht="16.2" customHeight="1" x14ac:dyDescent="0.45">
      <c r="A90" s="219" t="str">
        <f t="array" aca="1" ref="A90" ca="1">IF(OR(COUNTIF(A88,"*10002*"),COUNTIF(A88,"")),"",INDEX(貼り付け用!$A:$A,MATCH(A88,貼り付け用!$A:$A,0)+2,0))</f>
        <v>19900</v>
      </c>
      <c r="B90" s="204" t="str">
        <f ca="1">IFERROR(VALUE(IF(VLOOKUP($A90,数出表_Excel!$A$6:$T$150,COLUMN()/2+1,FALSE)=0,"",VLOOKUP($A90,数出表_Excel!$A$6:$T$150,COLUMN()/2+1,FALSE))),"")</f>
        <v/>
      </c>
      <c r="C90" s="141"/>
      <c r="D90" s="204" t="str">
        <f ca="1">IFERROR(VALUE(IF(VLOOKUP($A90,数出表_Excel!$A$6:$T$150,COLUMN()/2+1,FALSE)=0,"",VLOOKUP($A90,数出表_Excel!$A$6:$T$150,COLUMN()/2+1,FALSE))),"")</f>
        <v/>
      </c>
      <c r="E90" s="141"/>
      <c r="F90" s="207" t="str">
        <f ca="1">IFERROR(VALUE(IF(VLOOKUP($A90,数出表_Excel!$A$6:$T$150,COLUMN()/2+1,FALSE)=0,"",VLOOKUP($A90,数出表_Excel!$A$6:$T$150,COLUMN()/2+1,FALSE))),"")</f>
        <v/>
      </c>
      <c r="G90" s="141"/>
      <c r="H90" s="204" t="str">
        <f ca="1">IFERROR(VALUE(IF(VLOOKUP($A90,数出表_Excel!$A$6:$T$150,COLUMN()/2+1,FALSE)=0,"",VLOOKUP($A90,数出表_Excel!$A$6:$T$150,COLUMN()/2+1,FALSE))),"")</f>
        <v/>
      </c>
      <c r="I90" s="141"/>
      <c r="J90" s="204" t="str">
        <f ca="1">IFERROR(VALUE(IF(VLOOKUP($A90,数出表_Excel!$A$6:$T$150,COLUMN()/2+1,FALSE)=0,"",VLOOKUP($A90,数出表_Excel!$A$6:$T$150,COLUMN()/2+1,FALSE))),"")</f>
        <v/>
      </c>
      <c r="K90" s="208"/>
      <c r="L90" s="205" t="str">
        <f ca="1">IFERROR(VALUE(IF(VLOOKUP($A90,数出表_Excel!$A$6:$T$150,COLUMN()/2+1,FALSE)=0,"",VLOOKUP($A90,数出表_Excel!$A$6:$T$150,COLUMN()/2+1,FALSE))),"")</f>
        <v/>
      </c>
      <c r="M90" s="141"/>
      <c r="N90" s="204" t="str">
        <f ca="1">IFERROR(VALUE(IF(VLOOKUP($A90,数出表_Excel!$A$6:$T$150,COLUMN()/2+1,FALSE)=0,"",VLOOKUP($A90,数出表_Excel!$A$6:$T$150,COLUMN()/2+1,FALSE))),"")</f>
        <v/>
      </c>
      <c r="O90" s="141"/>
      <c r="P90" s="204" t="str">
        <f ca="1">IFERROR(VALUE(IF(VLOOKUP($A90,数出表_Excel!$A$6:$T$150,COLUMN()/2+1,FALSE)=0,"",VLOOKUP($A90,数出表_Excel!$A$6:$T$150,COLUMN()/2+1,FALSE))),"")</f>
        <v/>
      </c>
      <c r="Q90" s="141"/>
      <c r="R90" s="204" t="str">
        <f ca="1">IFERROR(VALUE(IF(VLOOKUP($A90,数出表_Excel!$A$6:$T$150,COLUMN()/2+1,FALSE)=0,"",VLOOKUP($A90,数出表_Excel!$A$6:$T$150,COLUMN()/2+1,FALSE))),"")</f>
        <v/>
      </c>
      <c r="S90" s="141"/>
      <c r="T90" s="204" t="str">
        <f ca="1">IFERROR(VALUE(IF(VLOOKUP($A90,数出表_Excel!$A$6:$T$150,COLUMN()/2+1,FALSE)=0,"",VLOOKUP($A90,数出表_Excel!$A$6:$T$150,COLUMN()/2+1,FALSE))),"")</f>
        <v/>
      </c>
      <c r="U90" s="141"/>
      <c r="V90" s="207" t="str">
        <f ca="1">IFERROR(VALUE(IF(VLOOKUP($A90,数出表_Excel!$A$6:$T$150,COLUMN()/2+1,FALSE)=0,"",VLOOKUP($A90,数出表_Excel!$A$6:$T$150,COLUMN()/2+1,FALSE))),"")</f>
        <v/>
      </c>
      <c r="W90" s="141"/>
      <c r="X90" s="207" t="str">
        <f ca="1">IFERROR(VALUE(IF(VLOOKUP($A90,数出表_Excel!$A$6:$T$150,COLUMN()/2+1,FALSE)=0,"",VLOOKUP($A90,数出表_Excel!$A$6:$T$150,COLUMN()/2+1,FALSE))),"")</f>
        <v/>
      </c>
      <c r="Y90" s="141"/>
      <c r="Z90" s="207" t="str">
        <f ca="1">IFERROR(VALUE(IF(VLOOKUP($A90,数出表_Excel!$A$6:$T$150,COLUMN()/2+1,FALSE)=0,"",VLOOKUP($A90,数出表_Excel!$A$6:$T$150,COLUMN()/2+1,FALSE))),"")</f>
        <v/>
      </c>
      <c r="AA90" s="208"/>
      <c r="AB90" s="205" t="str">
        <f ca="1">IFERROR(VALUE(IF(VLOOKUP($A90,数出表_Excel!$A$6:$T$150,COLUMN()/2+1,FALSE)=0,"",VLOOKUP($A90,数出表_Excel!$A$6:$T$150,COLUMN()/2+1,FALSE))),"")</f>
        <v/>
      </c>
      <c r="AC90" s="141"/>
      <c r="AD90" s="207" t="str">
        <f ca="1">IFERROR(VALUE(IF(VLOOKUP($A90,数出表_Excel!$A$6:$T$150,COLUMN()/2+1,FALSE)=0,"",VLOOKUP($A90,数出表_Excel!$A$6:$T$150,COLUMN()/2+1,FALSE))),"")</f>
        <v/>
      </c>
      <c r="AE90" s="141"/>
      <c r="AF90" s="207" t="str">
        <f ca="1">IFERROR(VALUE(IF(VLOOKUP($A90,数出表_Excel!$A$6:$T$150,COLUMN()/2+1,FALSE)=0,"",VLOOKUP($A90,数出表_Excel!$A$6:$T$150,COLUMN()/2+1,FALSE))),"")</f>
        <v/>
      </c>
      <c r="AG90" s="141"/>
      <c r="AH90" s="207" t="str">
        <f ca="1">IFERROR(VALUE(IF(VLOOKUP($A90,数出表_Excel!$A$6:$T$150,COLUMN()/2+1,FALSE)=0,"",VLOOKUP($A90,数出表_Excel!$A$6:$T$150,COLUMN()/2+1,FALSE))),"")</f>
        <v/>
      </c>
      <c r="AI90" s="208"/>
      <c r="AJ90" s="205" t="str">
        <f ca="1">IFERROR(VALUE(IF(VLOOKUP($A90,数出表_Excel!$A$6:$T$150,COLUMN()/2+1,FALSE)=0,"",VLOOKUP($A90,数出表_Excel!$A$6:$T$150,COLUMN()/2+1,FALSE))),"")</f>
        <v/>
      </c>
      <c r="AK90" s="141"/>
      <c r="AL90" s="145" t="e">
        <f ca="1">IF(A90&lt;&gt;"",
IF(VLOOKUP($A90,数出表_Excel!$A$6:$T$150,COLUMN()/2+1,FALSE)=0,"",VLOOKUP($A90,数出表_Excel!$A$6:$T$150,COLUMN()/2+1,FALSE)),"")</f>
        <v>#N/A</v>
      </c>
      <c r="AM90" s="261">
        <f>数出表_Excel!V90</f>
        <v>0</v>
      </c>
      <c r="AN90" s="262">
        <f>数出表_Excel!W90</f>
        <v>0</v>
      </c>
    </row>
    <row r="91" spans="1:40" ht="16.2" customHeight="1" x14ac:dyDescent="0.45">
      <c r="A91" s="220" t="str">
        <f t="array" aca="1" ref="A91" ca="1">IF(OR(COUNTIF(A89,"*1000*"),COUNTIF(A89,"")),"",INDEX(貼り付け用!$A:$A,MATCH(A89,貼り付け用!$A:$A,0)+2,0))</f>
        <v>イーズィピーズィー</v>
      </c>
      <c r="B91" s="142" t="str">
        <f ca="1">IFERROR(VALUE(IF(VLOOKUP($A91,数出表_Excel!$A$6:$T$150,COLUMN()/2+1,FALSE)=0,"",VLOOKUP($A91,数出表_Excel!$A$6:$T$150,COLUMN()/2+1,FALSE))),"")</f>
        <v/>
      </c>
      <c r="C91" s="142"/>
      <c r="D91" s="142" t="str">
        <f ca="1">IFERROR(VALUE(IF(VLOOKUP($A91,数出表_Excel!$A$6:$T$150,COLUMN()/2+1,FALSE)=0,"",VLOOKUP($A91,数出表_Excel!$A$6:$T$150,COLUMN()/2+1,FALSE))),"")</f>
        <v/>
      </c>
      <c r="E91" s="142"/>
      <c r="F91" s="146" t="str">
        <f ca="1">IFERROR(VALUE(IF(VLOOKUP($A91,数出表_Excel!$A$6:$T$150,COLUMN()/2+1,FALSE)=0,"",VLOOKUP($A91,数出表_Excel!$A$6:$T$150,COLUMN()/2+1,FALSE))),"")</f>
        <v/>
      </c>
      <c r="G91" s="142"/>
      <c r="H91" s="142" t="str">
        <f ca="1">IFERROR(VALUE(IF(VLOOKUP($A91,数出表_Excel!$A$6:$T$150,COLUMN()/2+1,FALSE)=0,"",VLOOKUP($A91,数出表_Excel!$A$6:$T$150,COLUMN()/2+1,FALSE))),"")</f>
        <v/>
      </c>
      <c r="I91" s="142"/>
      <c r="J91" s="142" t="str">
        <f ca="1">IFERROR(VALUE(IF(VLOOKUP($A91,数出表_Excel!$A$6:$T$150,COLUMN()/2+1,FALSE)=0,"",VLOOKUP($A91,数出表_Excel!$A$6:$T$150,COLUMN()/2+1,FALSE))),"")</f>
        <v/>
      </c>
      <c r="K91" s="209"/>
      <c r="L91" s="147" t="str">
        <f ca="1">IFERROR(VALUE(IF(VLOOKUP($A91,数出表_Excel!$A$6:$T$150,COLUMN()/2+1,FALSE)=0,"",VLOOKUP($A91,数出表_Excel!$A$6:$T$150,COLUMN()/2+1,FALSE))),"")</f>
        <v/>
      </c>
      <c r="M91" s="142"/>
      <c r="N91" s="142" t="str">
        <f ca="1">IFERROR(VALUE(IF(VLOOKUP($A91,数出表_Excel!$A$6:$T$150,COLUMN()/2+1,FALSE)=0,"",VLOOKUP($A91,数出表_Excel!$A$6:$T$150,COLUMN()/2+1,FALSE))),"")</f>
        <v/>
      </c>
      <c r="O91" s="142"/>
      <c r="P91" s="142" t="str">
        <f ca="1">IFERROR(VALUE(IF(VLOOKUP($A91,数出表_Excel!$A$6:$T$150,COLUMN()/2+1,FALSE)=0,"",VLOOKUP($A91,数出表_Excel!$A$6:$T$150,COLUMN()/2+1,FALSE))),"")</f>
        <v/>
      </c>
      <c r="Q91" s="142"/>
      <c r="R91" s="142" t="str">
        <f ca="1">IFERROR(VALUE(IF(VLOOKUP($A91,数出表_Excel!$A$6:$T$150,COLUMN()/2+1,FALSE)=0,"",VLOOKUP($A91,数出表_Excel!$A$6:$T$150,COLUMN()/2+1,FALSE))),"")</f>
        <v/>
      </c>
      <c r="S91" s="142"/>
      <c r="T91" s="142" t="str">
        <f ca="1">IFERROR(VALUE(IF(VLOOKUP($A91,数出表_Excel!$A$6:$T$150,COLUMN()/2+1,FALSE)=0,"",VLOOKUP($A91,数出表_Excel!$A$6:$T$150,COLUMN()/2+1,FALSE))),"")</f>
        <v/>
      </c>
      <c r="U91" s="142"/>
      <c r="V91" s="146" t="str">
        <f ca="1">IFERROR(VALUE(IF(VLOOKUP($A91,数出表_Excel!$A$6:$T$150,COLUMN()/2+1,FALSE)=0,"",VLOOKUP($A91,数出表_Excel!$A$6:$T$150,COLUMN()/2+1,FALSE))),"")</f>
        <v/>
      </c>
      <c r="W91" s="142"/>
      <c r="X91" s="146" t="str">
        <f ca="1">IFERROR(VALUE(IF(VLOOKUP($A91,数出表_Excel!$A$6:$T$150,COLUMN()/2+1,FALSE)=0,"",VLOOKUP($A91,数出表_Excel!$A$6:$T$150,COLUMN()/2+1,FALSE))),"")</f>
        <v/>
      </c>
      <c r="Y91" s="142"/>
      <c r="Z91" s="146" t="str">
        <f ca="1">IFERROR(VALUE(IF(VLOOKUP($A91,数出表_Excel!$A$6:$T$150,COLUMN()/2+1,FALSE)=0,"",VLOOKUP($A91,数出表_Excel!$A$6:$T$150,COLUMN()/2+1,FALSE))),"")</f>
        <v/>
      </c>
      <c r="AA91" s="209"/>
      <c r="AB91" s="147" t="str">
        <f ca="1">IFERROR(VALUE(IF(VLOOKUP($A91,数出表_Excel!$A$6:$T$150,COLUMN()/2+1,FALSE)=0,"",VLOOKUP($A91,数出表_Excel!$A$6:$T$150,COLUMN()/2+1,FALSE))),"")</f>
        <v/>
      </c>
      <c r="AC91" s="142"/>
      <c r="AD91" s="146" t="str">
        <f ca="1">IFERROR(VALUE(IF(VLOOKUP($A91,数出表_Excel!$A$6:$T$150,COLUMN()/2+1,FALSE)=0,"",VLOOKUP($A91,数出表_Excel!$A$6:$T$150,COLUMN()/2+1,FALSE))),"")</f>
        <v/>
      </c>
      <c r="AE91" s="142"/>
      <c r="AF91" s="146" t="str">
        <f ca="1">IFERROR(VALUE(IF(VLOOKUP($A91,数出表_Excel!$A$6:$T$150,COLUMN()/2+1,FALSE)=0,"",VLOOKUP($A91,数出表_Excel!$A$6:$T$150,COLUMN()/2+1,FALSE))),"")</f>
        <v/>
      </c>
      <c r="AG91" s="142"/>
      <c r="AH91" s="146" t="str">
        <f ca="1">IFERROR(VALUE(IF(VLOOKUP($A91,数出表_Excel!$A$6:$T$150,COLUMN()/2+1,FALSE)=0,"",VLOOKUP($A91,数出表_Excel!$A$6:$T$150,COLUMN()/2+1,FALSE))),"")</f>
        <v/>
      </c>
      <c r="AI91" s="209"/>
      <c r="AJ91" s="147" t="str">
        <f ca="1">IFERROR(VALUE(IF(VLOOKUP($A91,数出表_Excel!$A$6:$T$150,COLUMN()/2+1,FALSE)=0,"",VLOOKUP($A91,数出表_Excel!$A$6:$T$150,COLUMN()/2+1,FALSE))),"")</f>
        <v/>
      </c>
      <c r="AK91" s="142"/>
      <c r="AL91" s="148" t="e">
        <f ca="1">IF(A91&lt;&gt;"",
IF(VLOOKUP($A91,数出表_Excel!$A$6:$T$150,COLUMN()/2+1,FALSE)=0,"",VLOOKUP($A91,数出表_Excel!$A$6:$T$150,COLUMN()/2+1,FALSE)),"")</f>
        <v>#N/A</v>
      </c>
      <c r="AM91" s="263">
        <f>数出表_Excel!V91</f>
        <v>0</v>
      </c>
      <c r="AN91" s="264">
        <f>数出表_Excel!W91</f>
        <v>0</v>
      </c>
    </row>
    <row r="92" spans="1:40" ht="16.2" customHeight="1" x14ac:dyDescent="0.45">
      <c r="A92" s="219" t="str">
        <f t="array" aca="1" ref="A92" ca="1">IF(OR(COUNTIF(A90,"*10002*"),COUNTIF(A90,"")),"",INDEX(貼り付け用!$A:$A,MATCH(A90,貼り付け用!$A:$A,0)+2,0))</f>
        <v>8100</v>
      </c>
      <c r="B92" s="204" t="str">
        <f ca="1">IFERROR(VALUE(IF(VLOOKUP($A92,数出表_Excel!$A$6:$T$150,COLUMN()/2+1,FALSE)=0,"",VLOOKUP($A92,数出表_Excel!$A$6:$T$150,COLUMN()/2+1,FALSE))),"")</f>
        <v/>
      </c>
      <c r="C92" s="141"/>
      <c r="D92" s="204" t="str">
        <f ca="1">IFERROR(VALUE(IF(VLOOKUP($A92,数出表_Excel!$A$6:$T$150,COLUMN()/2+1,FALSE)=0,"",VLOOKUP($A92,数出表_Excel!$A$6:$T$150,COLUMN()/2+1,FALSE))),"")</f>
        <v/>
      </c>
      <c r="E92" s="141"/>
      <c r="F92" s="207" t="str">
        <f ca="1">IFERROR(VALUE(IF(VLOOKUP($A92,数出表_Excel!$A$6:$T$150,COLUMN()/2+1,FALSE)=0,"",VLOOKUP($A92,数出表_Excel!$A$6:$T$150,COLUMN()/2+1,FALSE))),"")</f>
        <v/>
      </c>
      <c r="G92" s="141"/>
      <c r="H92" s="204" t="str">
        <f ca="1">IFERROR(VALUE(IF(VLOOKUP($A92,数出表_Excel!$A$6:$T$150,COLUMN()/2+1,FALSE)=0,"",VLOOKUP($A92,数出表_Excel!$A$6:$T$150,COLUMN()/2+1,FALSE))),"")</f>
        <v/>
      </c>
      <c r="I92" s="141"/>
      <c r="J92" s="204" t="str">
        <f ca="1">IFERROR(VALUE(IF(VLOOKUP($A92,数出表_Excel!$A$6:$T$150,COLUMN()/2+1,FALSE)=0,"",VLOOKUP($A92,数出表_Excel!$A$6:$T$150,COLUMN()/2+1,FALSE))),"")</f>
        <v/>
      </c>
      <c r="K92" s="208"/>
      <c r="L92" s="205" t="str">
        <f ca="1">IFERROR(VALUE(IF(VLOOKUP($A92,数出表_Excel!$A$6:$T$150,COLUMN()/2+1,FALSE)=0,"",VLOOKUP($A92,数出表_Excel!$A$6:$T$150,COLUMN()/2+1,FALSE))),"")</f>
        <v/>
      </c>
      <c r="M92" s="141"/>
      <c r="N92" s="204" t="str">
        <f ca="1">IFERROR(VALUE(IF(VLOOKUP($A92,数出表_Excel!$A$6:$T$150,COLUMN()/2+1,FALSE)=0,"",VLOOKUP($A92,数出表_Excel!$A$6:$T$150,COLUMN()/2+1,FALSE))),"")</f>
        <v/>
      </c>
      <c r="O92" s="141"/>
      <c r="P92" s="204" t="str">
        <f ca="1">IFERROR(VALUE(IF(VLOOKUP($A92,数出表_Excel!$A$6:$T$150,COLUMN()/2+1,FALSE)=0,"",VLOOKUP($A92,数出表_Excel!$A$6:$T$150,COLUMN()/2+1,FALSE))),"")</f>
        <v/>
      </c>
      <c r="Q92" s="141"/>
      <c r="R92" s="204" t="str">
        <f ca="1">IFERROR(VALUE(IF(VLOOKUP($A92,数出表_Excel!$A$6:$T$150,COLUMN()/2+1,FALSE)=0,"",VLOOKUP($A92,数出表_Excel!$A$6:$T$150,COLUMN()/2+1,FALSE))),"")</f>
        <v/>
      </c>
      <c r="S92" s="141"/>
      <c r="T92" s="204" t="str">
        <f ca="1">IFERROR(VALUE(IF(VLOOKUP($A92,数出表_Excel!$A$6:$T$150,COLUMN()/2+1,FALSE)=0,"",VLOOKUP($A92,数出表_Excel!$A$6:$T$150,COLUMN()/2+1,FALSE))),"")</f>
        <v/>
      </c>
      <c r="U92" s="141"/>
      <c r="V92" s="207" t="str">
        <f ca="1">IFERROR(VALUE(IF(VLOOKUP($A92,数出表_Excel!$A$6:$T$150,COLUMN()/2+1,FALSE)=0,"",VLOOKUP($A92,数出表_Excel!$A$6:$T$150,COLUMN()/2+1,FALSE))),"")</f>
        <v/>
      </c>
      <c r="W92" s="141"/>
      <c r="X92" s="207" t="str">
        <f ca="1">IFERROR(VALUE(IF(VLOOKUP($A92,数出表_Excel!$A$6:$T$150,COLUMN()/2+1,FALSE)=0,"",VLOOKUP($A92,数出表_Excel!$A$6:$T$150,COLUMN()/2+1,FALSE))),"")</f>
        <v/>
      </c>
      <c r="Y92" s="141"/>
      <c r="Z92" s="207" t="str">
        <f ca="1">IFERROR(VALUE(IF(VLOOKUP($A92,数出表_Excel!$A$6:$T$150,COLUMN()/2+1,FALSE)=0,"",VLOOKUP($A92,数出表_Excel!$A$6:$T$150,COLUMN()/2+1,FALSE))),"")</f>
        <v/>
      </c>
      <c r="AA92" s="208"/>
      <c r="AB92" s="205" t="str">
        <f ca="1">IFERROR(VALUE(IF(VLOOKUP($A92,数出表_Excel!$A$6:$T$150,COLUMN()/2+1,FALSE)=0,"",VLOOKUP($A92,数出表_Excel!$A$6:$T$150,COLUMN()/2+1,FALSE))),"")</f>
        <v/>
      </c>
      <c r="AC92" s="141"/>
      <c r="AD92" s="207" t="str">
        <f ca="1">IFERROR(VALUE(IF(VLOOKUP($A92,数出表_Excel!$A$6:$T$150,COLUMN()/2+1,FALSE)=0,"",VLOOKUP($A92,数出表_Excel!$A$6:$T$150,COLUMN()/2+1,FALSE))),"")</f>
        <v/>
      </c>
      <c r="AE92" s="141"/>
      <c r="AF92" s="207" t="str">
        <f ca="1">IFERROR(VALUE(IF(VLOOKUP($A92,数出表_Excel!$A$6:$T$150,COLUMN()/2+1,FALSE)=0,"",VLOOKUP($A92,数出表_Excel!$A$6:$T$150,COLUMN()/2+1,FALSE))),"")</f>
        <v/>
      </c>
      <c r="AG92" s="141"/>
      <c r="AH92" s="207" t="str">
        <f ca="1">IFERROR(VALUE(IF(VLOOKUP($A92,数出表_Excel!$A$6:$T$150,COLUMN()/2+1,FALSE)=0,"",VLOOKUP($A92,数出表_Excel!$A$6:$T$150,COLUMN()/2+1,FALSE))),"")</f>
        <v/>
      </c>
      <c r="AI92" s="208"/>
      <c r="AJ92" s="205" t="str">
        <f ca="1">IFERROR(VALUE(IF(VLOOKUP($A92,数出表_Excel!$A$6:$T$150,COLUMN()/2+1,FALSE)=0,"",VLOOKUP($A92,数出表_Excel!$A$6:$T$150,COLUMN()/2+1,FALSE))),"")</f>
        <v/>
      </c>
      <c r="AK92" s="141"/>
      <c r="AL92" s="145" t="e">
        <f ca="1">IF(A92&lt;&gt;"",
IF(VLOOKUP($A92,数出表_Excel!$A$6:$T$150,COLUMN()/2+1,FALSE)=0,"",VLOOKUP($A92,数出表_Excel!$A$6:$T$150,COLUMN()/2+1,FALSE)),"")</f>
        <v>#N/A</v>
      </c>
      <c r="AM92" s="261">
        <f>数出表_Excel!V92</f>
        <v>0</v>
      </c>
      <c r="AN92" s="262">
        <f>数出表_Excel!W92</f>
        <v>0</v>
      </c>
    </row>
    <row r="93" spans="1:40" ht="16.2" customHeight="1" x14ac:dyDescent="0.45">
      <c r="A93" s="220" t="str">
        <f t="array" aca="1" ref="A93" ca="1">IF(OR(COUNTIF(A91,"*1000*"),COUNTIF(A91,"")),"",INDEX(貼り付け用!$A:$A,MATCH(A91,貼り付け用!$A:$A,0)+2,0))</f>
        <v>香蘭幼稚園 ②</v>
      </c>
      <c r="B93" s="142" t="str">
        <f ca="1">IFERROR(VALUE(IF(VLOOKUP($A93,数出表_Excel!$A$6:$T$150,COLUMN()/2+1,FALSE)=0,"",VLOOKUP($A93,数出表_Excel!$A$6:$T$150,COLUMN()/2+1,FALSE))),"")</f>
        <v/>
      </c>
      <c r="C93" s="142"/>
      <c r="D93" s="142" t="str">
        <f ca="1">IFERROR(VALUE(IF(VLOOKUP($A93,数出表_Excel!$A$6:$T$150,COLUMN()/2+1,FALSE)=0,"",VLOOKUP($A93,数出表_Excel!$A$6:$T$150,COLUMN()/2+1,FALSE))),"")</f>
        <v/>
      </c>
      <c r="E93" s="142"/>
      <c r="F93" s="146" t="str">
        <f ca="1">IFERROR(VALUE(IF(VLOOKUP($A93,数出表_Excel!$A$6:$T$150,COLUMN()/2+1,FALSE)=0,"",VLOOKUP($A93,数出表_Excel!$A$6:$T$150,COLUMN()/2+1,FALSE))),"")</f>
        <v/>
      </c>
      <c r="G93" s="142"/>
      <c r="H93" s="142" t="str">
        <f ca="1">IFERROR(VALUE(IF(VLOOKUP($A93,数出表_Excel!$A$6:$T$150,COLUMN()/2+1,FALSE)=0,"",VLOOKUP($A93,数出表_Excel!$A$6:$T$150,COLUMN()/2+1,FALSE))),"")</f>
        <v/>
      </c>
      <c r="I93" s="142"/>
      <c r="J93" s="142" t="str">
        <f ca="1">IFERROR(VALUE(IF(VLOOKUP($A93,数出表_Excel!$A$6:$T$150,COLUMN()/2+1,FALSE)=0,"",VLOOKUP($A93,数出表_Excel!$A$6:$T$150,COLUMN()/2+1,FALSE))),"")</f>
        <v/>
      </c>
      <c r="K93" s="209"/>
      <c r="L93" s="147" t="str">
        <f ca="1">IFERROR(VALUE(IF(VLOOKUP($A93,数出表_Excel!$A$6:$T$150,COLUMN()/2+1,FALSE)=0,"",VLOOKUP($A93,数出表_Excel!$A$6:$T$150,COLUMN()/2+1,FALSE))),"")</f>
        <v/>
      </c>
      <c r="M93" s="142"/>
      <c r="N93" s="142" t="str">
        <f ca="1">IFERROR(VALUE(IF(VLOOKUP($A93,数出表_Excel!$A$6:$T$150,COLUMN()/2+1,FALSE)=0,"",VLOOKUP($A93,数出表_Excel!$A$6:$T$150,COLUMN()/2+1,FALSE))),"")</f>
        <v/>
      </c>
      <c r="O93" s="142"/>
      <c r="P93" s="142" t="str">
        <f ca="1">IFERROR(VALUE(IF(VLOOKUP($A93,数出表_Excel!$A$6:$T$150,COLUMN()/2+1,FALSE)=0,"",VLOOKUP($A93,数出表_Excel!$A$6:$T$150,COLUMN()/2+1,FALSE))),"")</f>
        <v/>
      </c>
      <c r="Q93" s="142"/>
      <c r="R93" s="142" t="str">
        <f ca="1">IFERROR(VALUE(IF(VLOOKUP($A93,数出表_Excel!$A$6:$T$150,COLUMN()/2+1,FALSE)=0,"",VLOOKUP($A93,数出表_Excel!$A$6:$T$150,COLUMN()/2+1,FALSE))),"")</f>
        <v/>
      </c>
      <c r="S93" s="142"/>
      <c r="T93" s="142" t="str">
        <f ca="1">IFERROR(VALUE(IF(VLOOKUP($A93,数出表_Excel!$A$6:$T$150,COLUMN()/2+1,FALSE)=0,"",VLOOKUP($A93,数出表_Excel!$A$6:$T$150,COLUMN()/2+1,FALSE))),"")</f>
        <v/>
      </c>
      <c r="U93" s="142"/>
      <c r="V93" s="146" t="str">
        <f ca="1">IFERROR(VALUE(IF(VLOOKUP($A93,数出表_Excel!$A$6:$T$150,COLUMN()/2+1,FALSE)=0,"",VLOOKUP($A93,数出表_Excel!$A$6:$T$150,COLUMN()/2+1,FALSE))),"")</f>
        <v/>
      </c>
      <c r="W93" s="142"/>
      <c r="X93" s="146" t="str">
        <f ca="1">IFERROR(VALUE(IF(VLOOKUP($A93,数出表_Excel!$A$6:$T$150,COLUMN()/2+1,FALSE)=0,"",VLOOKUP($A93,数出表_Excel!$A$6:$T$150,COLUMN()/2+1,FALSE))),"")</f>
        <v/>
      </c>
      <c r="Y93" s="142"/>
      <c r="Z93" s="146" t="str">
        <f ca="1">IFERROR(VALUE(IF(VLOOKUP($A93,数出表_Excel!$A$6:$T$150,COLUMN()/2+1,FALSE)=0,"",VLOOKUP($A93,数出表_Excel!$A$6:$T$150,COLUMN()/2+1,FALSE))),"")</f>
        <v/>
      </c>
      <c r="AA93" s="209"/>
      <c r="AB93" s="147" t="str">
        <f ca="1">IFERROR(VALUE(IF(VLOOKUP($A93,数出表_Excel!$A$6:$T$150,COLUMN()/2+1,FALSE)=0,"",VLOOKUP($A93,数出表_Excel!$A$6:$T$150,COLUMN()/2+1,FALSE))),"")</f>
        <v/>
      </c>
      <c r="AC93" s="142"/>
      <c r="AD93" s="146" t="str">
        <f ca="1">IFERROR(VALUE(IF(VLOOKUP($A93,数出表_Excel!$A$6:$T$150,COLUMN()/2+1,FALSE)=0,"",VLOOKUP($A93,数出表_Excel!$A$6:$T$150,COLUMN()/2+1,FALSE))),"")</f>
        <v/>
      </c>
      <c r="AE93" s="142"/>
      <c r="AF93" s="146" t="str">
        <f ca="1">IFERROR(VALUE(IF(VLOOKUP($A93,数出表_Excel!$A$6:$T$150,COLUMN()/2+1,FALSE)=0,"",VLOOKUP($A93,数出表_Excel!$A$6:$T$150,COLUMN()/2+1,FALSE))),"")</f>
        <v/>
      </c>
      <c r="AG93" s="142"/>
      <c r="AH93" s="146" t="str">
        <f ca="1">IFERROR(VALUE(IF(VLOOKUP($A93,数出表_Excel!$A$6:$T$150,COLUMN()/2+1,FALSE)=0,"",VLOOKUP($A93,数出表_Excel!$A$6:$T$150,COLUMN()/2+1,FALSE))),"")</f>
        <v/>
      </c>
      <c r="AI93" s="209"/>
      <c r="AJ93" s="147" t="str">
        <f ca="1">IFERROR(VALUE(IF(VLOOKUP($A93,数出表_Excel!$A$6:$T$150,COLUMN()/2+1,FALSE)=0,"",VLOOKUP($A93,数出表_Excel!$A$6:$T$150,COLUMN()/2+1,FALSE))),"")</f>
        <v/>
      </c>
      <c r="AK93" s="142"/>
      <c r="AL93" s="148" t="e">
        <f ca="1">IF(A93&lt;&gt;"",
IF(VLOOKUP($A93,数出表_Excel!$A$6:$T$150,COLUMN()/2+1,FALSE)=0,"",VLOOKUP($A93,数出表_Excel!$A$6:$T$150,COLUMN()/2+1,FALSE)),"")</f>
        <v>#N/A</v>
      </c>
      <c r="AM93" s="263">
        <f>数出表_Excel!V93</f>
        <v>0</v>
      </c>
      <c r="AN93" s="264">
        <f>数出表_Excel!W93</f>
        <v>0</v>
      </c>
    </row>
    <row r="94" spans="1:40" ht="16.2" customHeight="1" x14ac:dyDescent="0.45">
      <c r="A94" s="219" t="str">
        <f t="array" aca="1" ref="A94" ca="1">IF(OR(COUNTIF(A92,"*10002*"),COUNTIF(A92,"")),"",INDEX(貼り付け用!$A:$A,MATCH(A92,貼り付け用!$A:$A,0)+2,0))</f>
        <v>13900</v>
      </c>
      <c r="B94" s="204" t="str">
        <f ca="1">IFERROR(VALUE(IF(VLOOKUP($A94,数出表_Excel!$A$6:$T$150,COLUMN()/2+1,FALSE)=0,"",VLOOKUP($A94,数出表_Excel!$A$6:$T$150,COLUMN()/2+1,FALSE))),"")</f>
        <v/>
      </c>
      <c r="C94" s="141"/>
      <c r="D94" s="204" t="str">
        <f ca="1">IFERROR(VALUE(IF(VLOOKUP($A94,数出表_Excel!$A$6:$T$150,COLUMN()/2+1,FALSE)=0,"",VLOOKUP($A94,数出表_Excel!$A$6:$T$150,COLUMN()/2+1,FALSE))),"")</f>
        <v/>
      </c>
      <c r="E94" s="141"/>
      <c r="F94" s="207" t="str">
        <f ca="1">IFERROR(VALUE(IF(VLOOKUP($A94,数出表_Excel!$A$6:$T$150,COLUMN()/2+1,FALSE)=0,"",VLOOKUP($A94,数出表_Excel!$A$6:$T$150,COLUMN()/2+1,FALSE))),"")</f>
        <v/>
      </c>
      <c r="G94" s="141"/>
      <c r="H94" s="204" t="str">
        <f ca="1">IFERROR(VALUE(IF(VLOOKUP($A94,数出表_Excel!$A$6:$T$150,COLUMN()/2+1,FALSE)=0,"",VLOOKUP($A94,数出表_Excel!$A$6:$T$150,COLUMN()/2+1,FALSE))),"")</f>
        <v/>
      </c>
      <c r="I94" s="141"/>
      <c r="J94" s="204" t="str">
        <f ca="1">IFERROR(VALUE(IF(VLOOKUP($A94,数出表_Excel!$A$6:$T$150,COLUMN()/2+1,FALSE)=0,"",VLOOKUP($A94,数出表_Excel!$A$6:$T$150,COLUMN()/2+1,FALSE))),"")</f>
        <v/>
      </c>
      <c r="K94" s="208"/>
      <c r="L94" s="205" t="str">
        <f ca="1">IFERROR(VALUE(IF(VLOOKUP($A94,数出表_Excel!$A$6:$T$150,COLUMN()/2+1,FALSE)=0,"",VLOOKUP($A94,数出表_Excel!$A$6:$T$150,COLUMN()/2+1,FALSE))),"")</f>
        <v/>
      </c>
      <c r="M94" s="141"/>
      <c r="N94" s="204" t="str">
        <f ca="1">IFERROR(VALUE(IF(VLOOKUP($A94,数出表_Excel!$A$6:$T$150,COLUMN()/2+1,FALSE)=0,"",VLOOKUP($A94,数出表_Excel!$A$6:$T$150,COLUMN()/2+1,FALSE))),"")</f>
        <v/>
      </c>
      <c r="O94" s="141"/>
      <c r="P94" s="204" t="str">
        <f ca="1">IFERROR(VALUE(IF(VLOOKUP($A94,数出表_Excel!$A$6:$T$150,COLUMN()/2+1,FALSE)=0,"",VLOOKUP($A94,数出表_Excel!$A$6:$T$150,COLUMN()/2+1,FALSE))),"")</f>
        <v/>
      </c>
      <c r="Q94" s="141"/>
      <c r="R94" s="204" t="str">
        <f ca="1">IFERROR(VALUE(IF(VLOOKUP($A94,数出表_Excel!$A$6:$T$150,COLUMN()/2+1,FALSE)=0,"",VLOOKUP($A94,数出表_Excel!$A$6:$T$150,COLUMN()/2+1,FALSE))),"")</f>
        <v/>
      </c>
      <c r="S94" s="141"/>
      <c r="T94" s="204" t="str">
        <f ca="1">IFERROR(VALUE(IF(VLOOKUP($A94,数出表_Excel!$A$6:$T$150,COLUMN()/2+1,FALSE)=0,"",VLOOKUP($A94,数出表_Excel!$A$6:$T$150,COLUMN()/2+1,FALSE))),"")</f>
        <v/>
      </c>
      <c r="U94" s="141"/>
      <c r="V94" s="207" t="str">
        <f ca="1">IFERROR(VALUE(IF(VLOOKUP($A94,数出表_Excel!$A$6:$T$150,COLUMN()/2+1,FALSE)=0,"",VLOOKUP($A94,数出表_Excel!$A$6:$T$150,COLUMN()/2+1,FALSE))),"")</f>
        <v/>
      </c>
      <c r="W94" s="141"/>
      <c r="X94" s="207" t="str">
        <f ca="1">IFERROR(VALUE(IF(VLOOKUP($A94,数出表_Excel!$A$6:$T$150,COLUMN()/2+1,FALSE)=0,"",VLOOKUP($A94,数出表_Excel!$A$6:$T$150,COLUMN()/2+1,FALSE))),"")</f>
        <v/>
      </c>
      <c r="Y94" s="141"/>
      <c r="Z94" s="207" t="str">
        <f ca="1">IFERROR(VALUE(IF(VLOOKUP($A94,数出表_Excel!$A$6:$T$150,COLUMN()/2+1,FALSE)=0,"",VLOOKUP($A94,数出表_Excel!$A$6:$T$150,COLUMN()/2+1,FALSE))),"")</f>
        <v/>
      </c>
      <c r="AA94" s="208"/>
      <c r="AB94" s="205" t="str">
        <f ca="1">IFERROR(VALUE(IF(VLOOKUP($A94,数出表_Excel!$A$6:$T$150,COLUMN()/2+1,FALSE)=0,"",VLOOKUP($A94,数出表_Excel!$A$6:$T$150,COLUMN()/2+1,FALSE))),"")</f>
        <v/>
      </c>
      <c r="AC94" s="141"/>
      <c r="AD94" s="207" t="str">
        <f ca="1">IFERROR(VALUE(IF(VLOOKUP($A94,数出表_Excel!$A$6:$T$150,COLUMN()/2+1,FALSE)=0,"",VLOOKUP($A94,数出表_Excel!$A$6:$T$150,COLUMN()/2+1,FALSE))),"")</f>
        <v/>
      </c>
      <c r="AE94" s="141"/>
      <c r="AF94" s="207" t="str">
        <f ca="1">IFERROR(VALUE(IF(VLOOKUP($A94,数出表_Excel!$A$6:$T$150,COLUMN()/2+1,FALSE)=0,"",VLOOKUP($A94,数出表_Excel!$A$6:$T$150,COLUMN()/2+1,FALSE))),"")</f>
        <v/>
      </c>
      <c r="AG94" s="141"/>
      <c r="AH94" s="207" t="str">
        <f ca="1">IFERROR(VALUE(IF(VLOOKUP($A94,数出表_Excel!$A$6:$T$150,COLUMN()/2+1,FALSE)=0,"",VLOOKUP($A94,数出表_Excel!$A$6:$T$150,COLUMN()/2+1,FALSE))),"")</f>
        <v/>
      </c>
      <c r="AI94" s="208"/>
      <c r="AJ94" s="205" t="str">
        <f ca="1">IFERROR(VALUE(IF(VLOOKUP($A94,数出表_Excel!$A$6:$T$150,COLUMN()/2+1,FALSE)=0,"",VLOOKUP($A94,数出表_Excel!$A$6:$T$150,COLUMN()/2+1,FALSE))),"")</f>
        <v/>
      </c>
      <c r="AK94" s="141"/>
      <c r="AL94" s="145" t="e">
        <f ca="1">IF(A94&lt;&gt;"",
IF(VLOOKUP($A94,数出表_Excel!$A$6:$T$150,COLUMN()/2+1,FALSE)=0,"",VLOOKUP($A94,数出表_Excel!$A$6:$T$150,COLUMN()/2+1,FALSE)),"")</f>
        <v>#N/A</v>
      </c>
      <c r="AM94" s="261">
        <f>数出表_Excel!V94</f>
        <v>0</v>
      </c>
      <c r="AN94" s="262">
        <f>数出表_Excel!W94</f>
        <v>0</v>
      </c>
    </row>
    <row r="95" spans="1:40" ht="16.2" customHeight="1" x14ac:dyDescent="0.45">
      <c r="A95" s="220" t="str">
        <f t="array" aca="1" ref="A95" ca="1">IF(OR(COUNTIF(A93,"*1000*"),COUNTIF(A93,"")),"",INDEX(貼り付け用!$A:$A,MATCH(A93,貼り付け用!$A:$A,0)+2,0))</f>
        <v>大濠ｷﾝﾀﾞｰｶﾞｰﾃﾝ</v>
      </c>
      <c r="B95" s="142" t="str">
        <f ca="1">IFERROR(VALUE(IF(VLOOKUP($A95,数出表_Excel!$A$6:$T$150,COLUMN()/2+1,FALSE)=0,"",VLOOKUP($A95,数出表_Excel!$A$6:$T$150,COLUMN()/2+1,FALSE))),"")</f>
        <v/>
      </c>
      <c r="C95" s="142"/>
      <c r="D95" s="142" t="str">
        <f ca="1">IFERROR(VALUE(IF(VLOOKUP($A95,数出表_Excel!$A$6:$T$150,COLUMN()/2+1,FALSE)=0,"",VLOOKUP($A95,数出表_Excel!$A$6:$T$150,COLUMN()/2+1,FALSE))),"")</f>
        <v/>
      </c>
      <c r="E95" s="142"/>
      <c r="F95" s="146" t="str">
        <f ca="1">IFERROR(VALUE(IF(VLOOKUP($A95,数出表_Excel!$A$6:$T$150,COLUMN()/2+1,FALSE)=0,"",VLOOKUP($A95,数出表_Excel!$A$6:$T$150,COLUMN()/2+1,FALSE))),"")</f>
        <v/>
      </c>
      <c r="G95" s="142"/>
      <c r="H95" s="142" t="str">
        <f ca="1">IFERROR(VALUE(IF(VLOOKUP($A95,数出表_Excel!$A$6:$T$150,COLUMN()/2+1,FALSE)=0,"",VLOOKUP($A95,数出表_Excel!$A$6:$T$150,COLUMN()/2+1,FALSE))),"")</f>
        <v/>
      </c>
      <c r="I95" s="142"/>
      <c r="J95" s="142" t="str">
        <f ca="1">IFERROR(VALUE(IF(VLOOKUP($A95,数出表_Excel!$A$6:$T$150,COLUMN()/2+1,FALSE)=0,"",VLOOKUP($A95,数出表_Excel!$A$6:$T$150,COLUMN()/2+1,FALSE))),"")</f>
        <v/>
      </c>
      <c r="K95" s="209"/>
      <c r="L95" s="147" t="str">
        <f ca="1">IFERROR(VALUE(IF(VLOOKUP($A95,数出表_Excel!$A$6:$T$150,COLUMN()/2+1,FALSE)=0,"",VLOOKUP($A95,数出表_Excel!$A$6:$T$150,COLUMN()/2+1,FALSE))),"")</f>
        <v/>
      </c>
      <c r="M95" s="142"/>
      <c r="N95" s="142" t="str">
        <f ca="1">IFERROR(VALUE(IF(VLOOKUP($A95,数出表_Excel!$A$6:$T$150,COLUMN()/2+1,FALSE)=0,"",VLOOKUP($A95,数出表_Excel!$A$6:$T$150,COLUMN()/2+1,FALSE))),"")</f>
        <v/>
      </c>
      <c r="O95" s="142"/>
      <c r="P95" s="142" t="str">
        <f ca="1">IFERROR(VALUE(IF(VLOOKUP($A95,数出表_Excel!$A$6:$T$150,COLUMN()/2+1,FALSE)=0,"",VLOOKUP($A95,数出表_Excel!$A$6:$T$150,COLUMN()/2+1,FALSE))),"")</f>
        <v/>
      </c>
      <c r="Q95" s="142"/>
      <c r="R95" s="142" t="str">
        <f ca="1">IFERROR(VALUE(IF(VLOOKUP($A95,数出表_Excel!$A$6:$T$150,COLUMN()/2+1,FALSE)=0,"",VLOOKUP($A95,数出表_Excel!$A$6:$T$150,COLUMN()/2+1,FALSE))),"")</f>
        <v/>
      </c>
      <c r="S95" s="142"/>
      <c r="T95" s="142" t="str">
        <f ca="1">IFERROR(VALUE(IF(VLOOKUP($A95,数出表_Excel!$A$6:$T$150,COLUMN()/2+1,FALSE)=0,"",VLOOKUP($A95,数出表_Excel!$A$6:$T$150,COLUMN()/2+1,FALSE))),"")</f>
        <v/>
      </c>
      <c r="U95" s="142"/>
      <c r="V95" s="146" t="str">
        <f ca="1">IFERROR(VALUE(IF(VLOOKUP($A95,数出表_Excel!$A$6:$T$150,COLUMN()/2+1,FALSE)=0,"",VLOOKUP($A95,数出表_Excel!$A$6:$T$150,COLUMN()/2+1,FALSE))),"")</f>
        <v/>
      </c>
      <c r="W95" s="142"/>
      <c r="X95" s="146" t="str">
        <f ca="1">IFERROR(VALUE(IF(VLOOKUP($A95,数出表_Excel!$A$6:$T$150,COLUMN()/2+1,FALSE)=0,"",VLOOKUP($A95,数出表_Excel!$A$6:$T$150,COLUMN()/2+1,FALSE))),"")</f>
        <v/>
      </c>
      <c r="Y95" s="142"/>
      <c r="Z95" s="146" t="str">
        <f ca="1">IFERROR(VALUE(IF(VLOOKUP($A95,数出表_Excel!$A$6:$T$150,COLUMN()/2+1,FALSE)=0,"",VLOOKUP($A95,数出表_Excel!$A$6:$T$150,COLUMN()/2+1,FALSE))),"")</f>
        <v/>
      </c>
      <c r="AA95" s="209"/>
      <c r="AB95" s="147" t="str">
        <f ca="1">IFERROR(VALUE(IF(VLOOKUP($A95,数出表_Excel!$A$6:$T$150,COLUMN()/2+1,FALSE)=0,"",VLOOKUP($A95,数出表_Excel!$A$6:$T$150,COLUMN()/2+1,FALSE))),"")</f>
        <v/>
      </c>
      <c r="AC95" s="142"/>
      <c r="AD95" s="146" t="str">
        <f ca="1">IFERROR(VALUE(IF(VLOOKUP($A95,数出表_Excel!$A$6:$T$150,COLUMN()/2+1,FALSE)=0,"",VLOOKUP($A95,数出表_Excel!$A$6:$T$150,COLUMN()/2+1,FALSE))),"")</f>
        <v/>
      </c>
      <c r="AE95" s="142"/>
      <c r="AF95" s="146" t="str">
        <f ca="1">IFERROR(VALUE(IF(VLOOKUP($A95,数出表_Excel!$A$6:$T$150,COLUMN()/2+1,FALSE)=0,"",VLOOKUP($A95,数出表_Excel!$A$6:$T$150,COLUMN()/2+1,FALSE))),"")</f>
        <v/>
      </c>
      <c r="AG95" s="142"/>
      <c r="AH95" s="146" t="str">
        <f ca="1">IFERROR(VALUE(IF(VLOOKUP($A95,数出表_Excel!$A$6:$T$150,COLUMN()/2+1,FALSE)=0,"",VLOOKUP($A95,数出表_Excel!$A$6:$T$150,COLUMN()/2+1,FALSE))),"")</f>
        <v/>
      </c>
      <c r="AI95" s="209"/>
      <c r="AJ95" s="147" t="str">
        <f ca="1">IFERROR(VALUE(IF(VLOOKUP($A95,数出表_Excel!$A$6:$T$150,COLUMN()/2+1,FALSE)=0,"",VLOOKUP($A95,数出表_Excel!$A$6:$T$150,COLUMN()/2+1,FALSE))),"")</f>
        <v/>
      </c>
      <c r="AK95" s="142"/>
      <c r="AL95" s="148" t="e">
        <f ca="1">IF(A95&lt;&gt;"",
IF(VLOOKUP($A95,数出表_Excel!$A$6:$T$150,COLUMN()/2+1,FALSE)=0,"",VLOOKUP($A95,数出表_Excel!$A$6:$T$150,COLUMN()/2+1,FALSE)),"")</f>
        <v>#N/A</v>
      </c>
      <c r="AM95" s="263">
        <f>数出表_Excel!V95</f>
        <v>0</v>
      </c>
      <c r="AN95" s="264">
        <f>数出表_Excel!W95</f>
        <v>0</v>
      </c>
    </row>
    <row r="96" spans="1:40" ht="16.2" customHeight="1" x14ac:dyDescent="0.45">
      <c r="A96" s="219" t="str">
        <f t="array" aca="1" ref="A96" ca="1">IF(OR(COUNTIF(A94,"*10002*"),COUNTIF(A94,"")),"",INDEX(貼り付け用!$A:$A,MATCH(A94,貼り付け用!$A:$A,0)+2,0))</f>
        <v>18900</v>
      </c>
      <c r="B96" s="204" t="str">
        <f ca="1">IFERROR(VALUE(IF(VLOOKUP($A96,数出表_Excel!$A$6:$T$150,COLUMN()/2+1,FALSE)=0,"",VLOOKUP($A96,数出表_Excel!$A$6:$T$150,COLUMN()/2+1,FALSE))),"")</f>
        <v/>
      </c>
      <c r="C96" s="141"/>
      <c r="D96" s="204" t="str">
        <f ca="1">IFERROR(VALUE(IF(VLOOKUP($A96,数出表_Excel!$A$6:$T$150,COLUMN()/2+1,FALSE)=0,"",VLOOKUP($A96,数出表_Excel!$A$6:$T$150,COLUMN()/2+1,FALSE))),"")</f>
        <v/>
      </c>
      <c r="E96" s="141"/>
      <c r="F96" s="207" t="str">
        <f ca="1">IFERROR(VALUE(IF(VLOOKUP($A96,数出表_Excel!$A$6:$T$150,COLUMN()/2+1,FALSE)=0,"",VLOOKUP($A96,数出表_Excel!$A$6:$T$150,COLUMN()/2+1,FALSE))),"")</f>
        <v/>
      </c>
      <c r="G96" s="141"/>
      <c r="H96" s="204" t="str">
        <f ca="1">IFERROR(VALUE(IF(VLOOKUP($A96,数出表_Excel!$A$6:$T$150,COLUMN()/2+1,FALSE)=0,"",VLOOKUP($A96,数出表_Excel!$A$6:$T$150,COLUMN()/2+1,FALSE))),"")</f>
        <v/>
      </c>
      <c r="I96" s="141"/>
      <c r="J96" s="204" t="str">
        <f ca="1">IFERROR(VALUE(IF(VLOOKUP($A96,数出表_Excel!$A$6:$T$150,COLUMN()/2+1,FALSE)=0,"",VLOOKUP($A96,数出表_Excel!$A$6:$T$150,COLUMN()/2+1,FALSE))),"")</f>
        <v/>
      </c>
      <c r="K96" s="208"/>
      <c r="L96" s="205" t="str">
        <f ca="1">IFERROR(VALUE(IF(VLOOKUP($A96,数出表_Excel!$A$6:$T$150,COLUMN()/2+1,FALSE)=0,"",VLOOKUP($A96,数出表_Excel!$A$6:$T$150,COLUMN()/2+1,FALSE))),"")</f>
        <v/>
      </c>
      <c r="M96" s="141"/>
      <c r="N96" s="204" t="str">
        <f ca="1">IFERROR(VALUE(IF(VLOOKUP($A96,数出表_Excel!$A$6:$T$150,COLUMN()/2+1,FALSE)=0,"",VLOOKUP($A96,数出表_Excel!$A$6:$T$150,COLUMN()/2+1,FALSE))),"")</f>
        <v/>
      </c>
      <c r="O96" s="141"/>
      <c r="P96" s="204" t="str">
        <f ca="1">IFERROR(VALUE(IF(VLOOKUP($A96,数出表_Excel!$A$6:$T$150,COLUMN()/2+1,FALSE)=0,"",VLOOKUP($A96,数出表_Excel!$A$6:$T$150,COLUMN()/2+1,FALSE))),"")</f>
        <v/>
      </c>
      <c r="Q96" s="141"/>
      <c r="R96" s="204" t="str">
        <f ca="1">IFERROR(VALUE(IF(VLOOKUP($A96,数出表_Excel!$A$6:$T$150,COLUMN()/2+1,FALSE)=0,"",VLOOKUP($A96,数出表_Excel!$A$6:$T$150,COLUMN()/2+1,FALSE))),"")</f>
        <v/>
      </c>
      <c r="S96" s="141"/>
      <c r="T96" s="204" t="str">
        <f ca="1">IFERROR(VALUE(IF(VLOOKUP($A96,数出表_Excel!$A$6:$T$150,COLUMN()/2+1,FALSE)=0,"",VLOOKUP($A96,数出表_Excel!$A$6:$T$150,COLUMN()/2+1,FALSE))),"")</f>
        <v/>
      </c>
      <c r="U96" s="141"/>
      <c r="V96" s="207" t="str">
        <f ca="1">IFERROR(VALUE(IF(VLOOKUP($A96,数出表_Excel!$A$6:$T$150,COLUMN()/2+1,FALSE)=0,"",VLOOKUP($A96,数出表_Excel!$A$6:$T$150,COLUMN()/2+1,FALSE))),"")</f>
        <v/>
      </c>
      <c r="W96" s="141"/>
      <c r="X96" s="207" t="str">
        <f ca="1">IFERROR(VALUE(IF(VLOOKUP($A96,数出表_Excel!$A$6:$T$150,COLUMN()/2+1,FALSE)=0,"",VLOOKUP($A96,数出表_Excel!$A$6:$T$150,COLUMN()/2+1,FALSE))),"")</f>
        <v/>
      </c>
      <c r="Y96" s="141"/>
      <c r="Z96" s="207" t="str">
        <f ca="1">IFERROR(VALUE(IF(VLOOKUP($A96,数出表_Excel!$A$6:$T$150,COLUMN()/2+1,FALSE)=0,"",VLOOKUP($A96,数出表_Excel!$A$6:$T$150,COLUMN()/2+1,FALSE))),"")</f>
        <v/>
      </c>
      <c r="AA96" s="208"/>
      <c r="AB96" s="205" t="str">
        <f ca="1">IFERROR(VALUE(IF(VLOOKUP($A96,数出表_Excel!$A$6:$T$150,COLUMN()/2+1,FALSE)=0,"",VLOOKUP($A96,数出表_Excel!$A$6:$T$150,COLUMN()/2+1,FALSE))),"")</f>
        <v/>
      </c>
      <c r="AC96" s="141"/>
      <c r="AD96" s="207" t="str">
        <f ca="1">IFERROR(VALUE(IF(VLOOKUP($A96,数出表_Excel!$A$6:$T$150,COLUMN()/2+1,FALSE)=0,"",VLOOKUP($A96,数出表_Excel!$A$6:$T$150,COLUMN()/2+1,FALSE))),"")</f>
        <v/>
      </c>
      <c r="AE96" s="141"/>
      <c r="AF96" s="207" t="str">
        <f ca="1">IFERROR(VALUE(IF(VLOOKUP($A96,数出表_Excel!$A$6:$T$150,COLUMN()/2+1,FALSE)=0,"",VLOOKUP($A96,数出表_Excel!$A$6:$T$150,COLUMN()/2+1,FALSE))),"")</f>
        <v/>
      </c>
      <c r="AG96" s="141"/>
      <c r="AH96" s="207" t="str">
        <f ca="1">IFERROR(VALUE(IF(VLOOKUP($A96,数出表_Excel!$A$6:$T$150,COLUMN()/2+1,FALSE)=0,"",VLOOKUP($A96,数出表_Excel!$A$6:$T$150,COLUMN()/2+1,FALSE))),"")</f>
        <v/>
      </c>
      <c r="AI96" s="208"/>
      <c r="AJ96" s="205" t="str">
        <f ca="1">IFERROR(VALUE(IF(VLOOKUP($A96,数出表_Excel!$A$6:$T$150,COLUMN()/2+1,FALSE)=0,"",VLOOKUP($A96,数出表_Excel!$A$6:$T$150,COLUMN()/2+1,FALSE))),"")</f>
        <v/>
      </c>
      <c r="AK96" s="141"/>
      <c r="AL96" s="145" t="e">
        <f ca="1">IF(A96&lt;&gt;"",
IF(VLOOKUP($A96,数出表_Excel!$A$6:$T$150,COLUMN()/2+1,FALSE)=0,"",VLOOKUP($A96,数出表_Excel!$A$6:$T$150,COLUMN()/2+1,FALSE)),"")</f>
        <v>#N/A</v>
      </c>
      <c r="AM96" s="261">
        <f>数出表_Excel!V96</f>
        <v>0</v>
      </c>
      <c r="AN96" s="262">
        <f>数出表_Excel!W96</f>
        <v>0</v>
      </c>
    </row>
    <row r="97" spans="1:40" ht="16.2" customHeight="1" x14ac:dyDescent="0.45">
      <c r="A97" s="220" t="str">
        <f t="array" aca="1" ref="A97" ca="1">IF(OR(COUNTIF(A95,"*1000*"),COUNTIF(A95,"")),"",INDEX(貼り付け用!$A:$A,MATCH(A95,貼り付け用!$A:$A,0)+2,0))</f>
        <v>イングリッシュスク―ル</v>
      </c>
      <c r="B97" s="142" t="str">
        <f ca="1">IFERROR(VALUE(IF(VLOOKUP($A97,数出表_Excel!$A$6:$T$150,COLUMN()/2+1,FALSE)=0,"",VLOOKUP($A97,数出表_Excel!$A$6:$T$150,COLUMN()/2+1,FALSE))),"")</f>
        <v/>
      </c>
      <c r="C97" s="142"/>
      <c r="D97" s="142" t="str">
        <f ca="1">IFERROR(VALUE(IF(VLOOKUP($A97,数出表_Excel!$A$6:$T$150,COLUMN()/2+1,FALSE)=0,"",VLOOKUP($A97,数出表_Excel!$A$6:$T$150,COLUMN()/2+1,FALSE))),"")</f>
        <v/>
      </c>
      <c r="E97" s="142"/>
      <c r="F97" s="146" t="str">
        <f ca="1">IFERROR(VALUE(IF(VLOOKUP($A97,数出表_Excel!$A$6:$T$150,COLUMN()/2+1,FALSE)=0,"",VLOOKUP($A97,数出表_Excel!$A$6:$T$150,COLUMN()/2+1,FALSE))),"")</f>
        <v/>
      </c>
      <c r="G97" s="142"/>
      <c r="H97" s="142" t="str">
        <f ca="1">IFERROR(VALUE(IF(VLOOKUP($A97,数出表_Excel!$A$6:$T$150,COLUMN()/2+1,FALSE)=0,"",VLOOKUP($A97,数出表_Excel!$A$6:$T$150,COLUMN()/2+1,FALSE))),"")</f>
        <v/>
      </c>
      <c r="I97" s="142"/>
      <c r="J97" s="142" t="str">
        <f ca="1">IFERROR(VALUE(IF(VLOOKUP($A97,数出表_Excel!$A$6:$T$150,COLUMN()/2+1,FALSE)=0,"",VLOOKUP($A97,数出表_Excel!$A$6:$T$150,COLUMN()/2+1,FALSE))),"")</f>
        <v/>
      </c>
      <c r="K97" s="209"/>
      <c r="L97" s="147" t="str">
        <f ca="1">IFERROR(VALUE(IF(VLOOKUP($A97,数出表_Excel!$A$6:$T$150,COLUMN()/2+1,FALSE)=0,"",VLOOKUP($A97,数出表_Excel!$A$6:$T$150,COLUMN()/2+1,FALSE))),"")</f>
        <v/>
      </c>
      <c r="M97" s="142"/>
      <c r="N97" s="142" t="str">
        <f ca="1">IFERROR(VALUE(IF(VLOOKUP($A97,数出表_Excel!$A$6:$T$150,COLUMN()/2+1,FALSE)=0,"",VLOOKUP($A97,数出表_Excel!$A$6:$T$150,COLUMN()/2+1,FALSE))),"")</f>
        <v/>
      </c>
      <c r="O97" s="142"/>
      <c r="P97" s="142" t="str">
        <f ca="1">IFERROR(VALUE(IF(VLOOKUP($A97,数出表_Excel!$A$6:$T$150,COLUMN()/2+1,FALSE)=0,"",VLOOKUP($A97,数出表_Excel!$A$6:$T$150,COLUMN()/2+1,FALSE))),"")</f>
        <v/>
      </c>
      <c r="Q97" s="142"/>
      <c r="R97" s="142" t="str">
        <f ca="1">IFERROR(VALUE(IF(VLOOKUP($A97,数出表_Excel!$A$6:$T$150,COLUMN()/2+1,FALSE)=0,"",VLOOKUP($A97,数出表_Excel!$A$6:$T$150,COLUMN()/2+1,FALSE))),"")</f>
        <v/>
      </c>
      <c r="S97" s="142"/>
      <c r="T97" s="142" t="str">
        <f ca="1">IFERROR(VALUE(IF(VLOOKUP($A97,数出表_Excel!$A$6:$T$150,COLUMN()/2+1,FALSE)=0,"",VLOOKUP($A97,数出表_Excel!$A$6:$T$150,COLUMN()/2+1,FALSE))),"")</f>
        <v/>
      </c>
      <c r="U97" s="142"/>
      <c r="V97" s="146" t="str">
        <f ca="1">IFERROR(VALUE(IF(VLOOKUP($A97,数出表_Excel!$A$6:$T$150,COLUMN()/2+1,FALSE)=0,"",VLOOKUP($A97,数出表_Excel!$A$6:$T$150,COLUMN()/2+1,FALSE))),"")</f>
        <v/>
      </c>
      <c r="W97" s="142"/>
      <c r="X97" s="146" t="str">
        <f ca="1">IFERROR(VALUE(IF(VLOOKUP($A97,数出表_Excel!$A$6:$T$150,COLUMN()/2+1,FALSE)=0,"",VLOOKUP($A97,数出表_Excel!$A$6:$T$150,COLUMN()/2+1,FALSE))),"")</f>
        <v/>
      </c>
      <c r="Y97" s="142"/>
      <c r="Z97" s="146" t="str">
        <f ca="1">IFERROR(VALUE(IF(VLOOKUP($A97,数出表_Excel!$A$6:$T$150,COLUMN()/2+1,FALSE)=0,"",VLOOKUP($A97,数出表_Excel!$A$6:$T$150,COLUMN()/2+1,FALSE))),"")</f>
        <v/>
      </c>
      <c r="AA97" s="209"/>
      <c r="AB97" s="147" t="str">
        <f ca="1">IFERROR(VALUE(IF(VLOOKUP($A97,数出表_Excel!$A$6:$T$150,COLUMN()/2+1,FALSE)=0,"",VLOOKUP($A97,数出表_Excel!$A$6:$T$150,COLUMN()/2+1,FALSE))),"")</f>
        <v/>
      </c>
      <c r="AC97" s="142"/>
      <c r="AD97" s="146" t="str">
        <f ca="1">IFERROR(VALUE(IF(VLOOKUP($A97,数出表_Excel!$A$6:$T$150,COLUMN()/2+1,FALSE)=0,"",VLOOKUP($A97,数出表_Excel!$A$6:$T$150,COLUMN()/2+1,FALSE))),"")</f>
        <v/>
      </c>
      <c r="AE97" s="142"/>
      <c r="AF97" s="146" t="str">
        <f ca="1">IFERROR(VALUE(IF(VLOOKUP($A97,数出表_Excel!$A$6:$T$150,COLUMN()/2+1,FALSE)=0,"",VLOOKUP($A97,数出表_Excel!$A$6:$T$150,COLUMN()/2+1,FALSE))),"")</f>
        <v/>
      </c>
      <c r="AG97" s="142"/>
      <c r="AH97" s="146" t="str">
        <f ca="1">IFERROR(VALUE(IF(VLOOKUP($A97,数出表_Excel!$A$6:$T$150,COLUMN()/2+1,FALSE)=0,"",VLOOKUP($A97,数出表_Excel!$A$6:$T$150,COLUMN()/2+1,FALSE))),"")</f>
        <v/>
      </c>
      <c r="AI97" s="209"/>
      <c r="AJ97" s="147" t="str">
        <f ca="1">IFERROR(VALUE(IF(VLOOKUP($A97,数出表_Excel!$A$6:$T$150,COLUMN()/2+1,FALSE)=0,"",VLOOKUP($A97,数出表_Excel!$A$6:$T$150,COLUMN()/2+1,FALSE))),"")</f>
        <v/>
      </c>
      <c r="AK97" s="142"/>
      <c r="AL97" s="148" t="e">
        <f ca="1">IF(A97&lt;&gt;"",
IF(VLOOKUP($A97,数出表_Excel!$A$6:$T$150,COLUMN()/2+1,FALSE)=0,"",VLOOKUP($A97,数出表_Excel!$A$6:$T$150,COLUMN()/2+1,FALSE)),"")</f>
        <v>#N/A</v>
      </c>
      <c r="AM97" s="263">
        <f>数出表_Excel!V97</f>
        <v>0</v>
      </c>
      <c r="AN97" s="264">
        <f>数出表_Excel!W97</f>
        <v>0</v>
      </c>
    </row>
    <row r="98" spans="1:40" ht="16.2" customHeight="1" x14ac:dyDescent="0.45">
      <c r="A98" s="219" t="str">
        <f t="array" aca="1" ref="A98" ca="1">IF(OR(COUNTIF(A96,"*10002*"),COUNTIF(A96,"")),"",INDEX(貼り付け用!$A:$A,MATCH(A96,貼り付け用!$A:$A,0)+2,0))</f>
        <v>14700</v>
      </c>
      <c r="B98" s="204" t="str">
        <f ca="1">IFERROR(VALUE(IF(VLOOKUP($A98,数出表_Excel!$A$6:$T$150,COLUMN()/2+1,FALSE)=0,"",VLOOKUP($A98,数出表_Excel!$A$6:$T$150,COLUMN()/2+1,FALSE))),"")</f>
        <v/>
      </c>
      <c r="C98" s="141"/>
      <c r="D98" s="204" t="str">
        <f ca="1">IFERROR(VALUE(IF(VLOOKUP($A98,数出表_Excel!$A$6:$T$150,COLUMN()/2+1,FALSE)=0,"",VLOOKUP($A98,数出表_Excel!$A$6:$T$150,COLUMN()/2+1,FALSE))),"")</f>
        <v/>
      </c>
      <c r="E98" s="141"/>
      <c r="F98" s="207" t="str">
        <f ca="1">IFERROR(VALUE(IF(VLOOKUP($A98,数出表_Excel!$A$6:$T$150,COLUMN()/2+1,FALSE)=0,"",VLOOKUP($A98,数出表_Excel!$A$6:$T$150,COLUMN()/2+1,FALSE))),"")</f>
        <v/>
      </c>
      <c r="G98" s="141"/>
      <c r="H98" s="204" t="str">
        <f ca="1">IFERROR(VALUE(IF(VLOOKUP($A98,数出表_Excel!$A$6:$T$150,COLUMN()/2+1,FALSE)=0,"",VLOOKUP($A98,数出表_Excel!$A$6:$T$150,COLUMN()/2+1,FALSE))),"")</f>
        <v/>
      </c>
      <c r="I98" s="141"/>
      <c r="J98" s="204" t="str">
        <f ca="1">IFERROR(VALUE(IF(VLOOKUP($A98,数出表_Excel!$A$6:$T$150,COLUMN()/2+1,FALSE)=0,"",VLOOKUP($A98,数出表_Excel!$A$6:$T$150,COLUMN()/2+1,FALSE))),"")</f>
        <v/>
      </c>
      <c r="K98" s="208"/>
      <c r="L98" s="205" t="str">
        <f ca="1">IFERROR(VALUE(IF(VLOOKUP($A98,数出表_Excel!$A$6:$T$150,COLUMN()/2+1,FALSE)=0,"",VLOOKUP($A98,数出表_Excel!$A$6:$T$150,COLUMN()/2+1,FALSE))),"")</f>
        <v/>
      </c>
      <c r="M98" s="141"/>
      <c r="N98" s="204" t="str">
        <f ca="1">IFERROR(VALUE(IF(VLOOKUP($A98,数出表_Excel!$A$6:$T$150,COLUMN()/2+1,FALSE)=0,"",VLOOKUP($A98,数出表_Excel!$A$6:$T$150,COLUMN()/2+1,FALSE))),"")</f>
        <v/>
      </c>
      <c r="O98" s="141"/>
      <c r="P98" s="204" t="str">
        <f ca="1">IFERROR(VALUE(IF(VLOOKUP($A98,数出表_Excel!$A$6:$T$150,COLUMN()/2+1,FALSE)=0,"",VLOOKUP($A98,数出表_Excel!$A$6:$T$150,COLUMN()/2+1,FALSE))),"")</f>
        <v/>
      </c>
      <c r="Q98" s="141"/>
      <c r="R98" s="204" t="str">
        <f ca="1">IFERROR(VALUE(IF(VLOOKUP($A98,数出表_Excel!$A$6:$T$150,COLUMN()/2+1,FALSE)=0,"",VLOOKUP($A98,数出表_Excel!$A$6:$T$150,COLUMN()/2+1,FALSE))),"")</f>
        <v/>
      </c>
      <c r="S98" s="141"/>
      <c r="T98" s="204" t="str">
        <f ca="1">IFERROR(VALUE(IF(VLOOKUP($A98,数出表_Excel!$A$6:$T$150,COLUMN()/2+1,FALSE)=0,"",VLOOKUP($A98,数出表_Excel!$A$6:$T$150,COLUMN()/2+1,FALSE))),"")</f>
        <v/>
      </c>
      <c r="U98" s="141"/>
      <c r="V98" s="207" t="str">
        <f ca="1">IFERROR(VALUE(IF(VLOOKUP($A98,数出表_Excel!$A$6:$T$150,COLUMN()/2+1,FALSE)=0,"",VLOOKUP($A98,数出表_Excel!$A$6:$T$150,COLUMN()/2+1,FALSE))),"")</f>
        <v/>
      </c>
      <c r="W98" s="141"/>
      <c r="X98" s="207" t="str">
        <f ca="1">IFERROR(VALUE(IF(VLOOKUP($A98,数出表_Excel!$A$6:$T$150,COLUMN()/2+1,FALSE)=0,"",VLOOKUP($A98,数出表_Excel!$A$6:$T$150,COLUMN()/2+1,FALSE))),"")</f>
        <v/>
      </c>
      <c r="Y98" s="141"/>
      <c r="Z98" s="207" t="str">
        <f ca="1">IFERROR(VALUE(IF(VLOOKUP($A98,数出表_Excel!$A$6:$T$150,COLUMN()/2+1,FALSE)=0,"",VLOOKUP($A98,数出表_Excel!$A$6:$T$150,COLUMN()/2+1,FALSE))),"")</f>
        <v/>
      </c>
      <c r="AA98" s="208"/>
      <c r="AB98" s="205" t="str">
        <f ca="1">IFERROR(VALUE(IF(VLOOKUP($A98,数出表_Excel!$A$6:$T$150,COLUMN()/2+1,FALSE)=0,"",VLOOKUP($A98,数出表_Excel!$A$6:$T$150,COLUMN()/2+1,FALSE))),"")</f>
        <v/>
      </c>
      <c r="AC98" s="141"/>
      <c r="AD98" s="207" t="str">
        <f ca="1">IFERROR(VALUE(IF(VLOOKUP($A98,数出表_Excel!$A$6:$T$150,COLUMN()/2+1,FALSE)=0,"",VLOOKUP($A98,数出表_Excel!$A$6:$T$150,COLUMN()/2+1,FALSE))),"")</f>
        <v/>
      </c>
      <c r="AE98" s="141"/>
      <c r="AF98" s="207" t="str">
        <f ca="1">IFERROR(VALUE(IF(VLOOKUP($A98,数出表_Excel!$A$6:$T$150,COLUMN()/2+1,FALSE)=0,"",VLOOKUP($A98,数出表_Excel!$A$6:$T$150,COLUMN()/2+1,FALSE))),"")</f>
        <v/>
      </c>
      <c r="AG98" s="141"/>
      <c r="AH98" s="207" t="str">
        <f ca="1">IFERROR(VALUE(IF(VLOOKUP($A98,数出表_Excel!$A$6:$T$150,COLUMN()/2+1,FALSE)=0,"",VLOOKUP($A98,数出表_Excel!$A$6:$T$150,COLUMN()/2+1,FALSE))),"")</f>
        <v/>
      </c>
      <c r="AI98" s="208"/>
      <c r="AJ98" s="205" t="str">
        <f ca="1">IFERROR(VALUE(IF(VLOOKUP($A98,数出表_Excel!$A$6:$T$150,COLUMN()/2+1,FALSE)=0,"",VLOOKUP($A98,数出表_Excel!$A$6:$T$150,COLUMN()/2+1,FALSE))),"")</f>
        <v/>
      </c>
      <c r="AK98" s="141"/>
      <c r="AL98" s="145" t="e">
        <f ca="1">IF(A98&lt;&gt;"",
IF(VLOOKUP($A98,数出表_Excel!$A$6:$T$150,COLUMN()/2+1,FALSE)=0,"",VLOOKUP($A98,数出表_Excel!$A$6:$T$150,COLUMN()/2+1,FALSE)),"")</f>
        <v>#N/A</v>
      </c>
      <c r="AM98" s="261">
        <f>数出表_Excel!V98</f>
        <v>0</v>
      </c>
      <c r="AN98" s="262">
        <f>数出表_Excel!W98</f>
        <v>0</v>
      </c>
    </row>
    <row r="99" spans="1:40" ht="16.2" customHeight="1" x14ac:dyDescent="0.45">
      <c r="A99" s="220" t="str">
        <f t="array" aca="1" ref="A99" ca="1">IF(OR(COUNTIF(A97,"*1000*"),COUNTIF(A97,"")),"",INDEX(貼り付け用!$A:$A,MATCH(A97,貼り付け用!$A:$A,0)+2,0))</f>
        <v>アメリカンチャターボックス</v>
      </c>
      <c r="B99" s="142" t="str">
        <f ca="1">IFERROR(VALUE(IF(VLOOKUP($A99,数出表_Excel!$A$6:$T$150,COLUMN()/2+1,FALSE)=0,"",VLOOKUP($A99,数出表_Excel!$A$6:$T$150,COLUMN()/2+1,FALSE))),"")</f>
        <v/>
      </c>
      <c r="C99" s="142"/>
      <c r="D99" s="142" t="str">
        <f ca="1">IFERROR(VALUE(IF(VLOOKUP($A99,数出表_Excel!$A$6:$T$150,COLUMN()/2+1,FALSE)=0,"",VLOOKUP($A99,数出表_Excel!$A$6:$T$150,COLUMN()/2+1,FALSE))),"")</f>
        <v/>
      </c>
      <c r="E99" s="142"/>
      <c r="F99" s="146" t="str">
        <f ca="1">IFERROR(VALUE(IF(VLOOKUP($A99,数出表_Excel!$A$6:$T$150,COLUMN()/2+1,FALSE)=0,"",VLOOKUP($A99,数出表_Excel!$A$6:$T$150,COLUMN()/2+1,FALSE))),"")</f>
        <v/>
      </c>
      <c r="G99" s="142"/>
      <c r="H99" s="142" t="str">
        <f ca="1">IFERROR(VALUE(IF(VLOOKUP($A99,数出表_Excel!$A$6:$T$150,COLUMN()/2+1,FALSE)=0,"",VLOOKUP($A99,数出表_Excel!$A$6:$T$150,COLUMN()/2+1,FALSE))),"")</f>
        <v/>
      </c>
      <c r="I99" s="142"/>
      <c r="J99" s="142" t="str">
        <f ca="1">IFERROR(VALUE(IF(VLOOKUP($A99,数出表_Excel!$A$6:$T$150,COLUMN()/2+1,FALSE)=0,"",VLOOKUP($A99,数出表_Excel!$A$6:$T$150,COLUMN()/2+1,FALSE))),"")</f>
        <v/>
      </c>
      <c r="K99" s="209"/>
      <c r="L99" s="147" t="str">
        <f ca="1">IFERROR(VALUE(IF(VLOOKUP($A99,数出表_Excel!$A$6:$T$150,COLUMN()/2+1,FALSE)=0,"",VLOOKUP($A99,数出表_Excel!$A$6:$T$150,COLUMN()/2+1,FALSE))),"")</f>
        <v/>
      </c>
      <c r="M99" s="142"/>
      <c r="N99" s="142" t="str">
        <f ca="1">IFERROR(VALUE(IF(VLOOKUP($A99,数出表_Excel!$A$6:$T$150,COLUMN()/2+1,FALSE)=0,"",VLOOKUP($A99,数出表_Excel!$A$6:$T$150,COLUMN()/2+1,FALSE))),"")</f>
        <v/>
      </c>
      <c r="O99" s="142"/>
      <c r="P99" s="142" t="str">
        <f ca="1">IFERROR(VALUE(IF(VLOOKUP($A99,数出表_Excel!$A$6:$T$150,COLUMN()/2+1,FALSE)=0,"",VLOOKUP($A99,数出表_Excel!$A$6:$T$150,COLUMN()/2+1,FALSE))),"")</f>
        <v/>
      </c>
      <c r="Q99" s="142"/>
      <c r="R99" s="142" t="str">
        <f ca="1">IFERROR(VALUE(IF(VLOOKUP($A99,数出表_Excel!$A$6:$T$150,COLUMN()/2+1,FALSE)=0,"",VLOOKUP($A99,数出表_Excel!$A$6:$T$150,COLUMN()/2+1,FALSE))),"")</f>
        <v/>
      </c>
      <c r="S99" s="142"/>
      <c r="T99" s="142" t="str">
        <f ca="1">IFERROR(VALUE(IF(VLOOKUP($A99,数出表_Excel!$A$6:$T$150,COLUMN()/2+1,FALSE)=0,"",VLOOKUP($A99,数出表_Excel!$A$6:$T$150,COLUMN()/2+1,FALSE))),"")</f>
        <v/>
      </c>
      <c r="U99" s="142"/>
      <c r="V99" s="146" t="str">
        <f ca="1">IFERROR(VALUE(IF(VLOOKUP($A99,数出表_Excel!$A$6:$T$150,COLUMN()/2+1,FALSE)=0,"",VLOOKUP($A99,数出表_Excel!$A$6:$T$150,COLUMN()/2+1,FALSE))),"")</f>
        <v/>
      </c>
      <c r="W99" s="142"/>
      <c r="X99" s="146" t="str">
        <f ca="1">IFERROR(VALUE(IF(VLOOKUP($A99,数出表_Excel!$A$6:$T$150,COLUMN()/2+1,FALSE)=0,"",VLOOKUP($A99,数出表_Excel!$A$6:$T$150,COLUMN()/2+1,FALSE))),"")</f>
        <v/>
      </c>
      <c r="Y99" s="142"/>
      <c r="Z99" s="146" t="str">
        <f ca="1">IFERROR(VALUE(IF(VLOOKUP($A99,数出表_Excel!$A$6:$T$150,COLUMN()/2+1,FALSE)=0,"",VLOOKUP($A99,数出表_Excel!$A$6:$T$150,COLUMN()/2+1,FALSE))),"")</f>
        <v/>
      </c>
      <c r="AA99" s="209"/>
      <c r="AB99" s="147" t="str">
        <f ca="1">IFERROR(VALUE(IF(VLOOKUP($A99,数出表_Excel!$A$6:$T$150,COLUMN()/2+1,FALSE)=0,"",VLOOKUP($A99,数出表_Excel!$A$6:$T$150,COLUMN()/2+1,FALSE))),"")</f>
        <v/>
      </c>
      <c r="AC99" s="142"/>
      <c r="AD99" s="146" t="str">
        <f ca="1">IFERROR(VALUE(IF(VLOOKUP($A99,数出表_Excel!$A$6:$T$150,COLUMN()/2+1,FALSE)=0,"",VLOOKUP($A99,数出表_Excel!$A$6:$T$150,COLUMN()/2+1,FALSE))),"")</f>
        <v/>
      </c>
      <c r="AE99" s="142"/>
      <c r="AF99" s="146" t="str">
        <f ca="1">IFERROR(VALUE(IF(VLOOKUP($A99,数出表_Excel!$A$6:$T$150,COLUMN()/2+1,FALSE)=0,"",VLOOKUP($A99,数出表_Excel!$A$6:$T$150,COLUMN()/2+1,FALSE))),"")</f>
        <v/>
      </c>
      <c r="AG99" s="142"/>
      <c r="AH99" s="146" t="str">
        <f ca="1">IFERROR(VALUE(IF(VLOOKUP($A99,数出表_Excel!$A$6:$T$150,COLUMN()/2+1,FALSE)=0,"",VLOOKUP($A99,数出表_Excel!$A$6:$T$150,COLUMN()/2+1,FALSE))),"")</f>
        <v/>
      </c>
      <c r="AI99" s="209"/>
      <c r="AJ99" s="147" t="str">
        <f ca="1">IFERROR(VALUE(IF(VLOOKUP($A99,数出表_Excel!$A$6:$T$150,COLUMN()/2+1,FALSE)=0,"",VLOOKUP($A99,数出表_Excel!$A$6:$T$150,COLUMN()/2+1,FALSE))),"")</f>
        <v/>
      </c>
      <c r="AK99" s="142"/>
      <c r="AL99" s="148" t="e">
        <f ca="1">IF(A99&lt;&gt;"",
IF(VLOOKUP($A99,数出表_Excel!$A$6:$T$150,COLUMN()/2+1,FALSE)=0,"",VLOOKUP($A99,数出表_Excel!$A$6:$T$150,COLUMN()/2+1,FALSE)),"")</f>
        <v>#N/A</v>
      </c>
      <c r="AM99" s="263">
        <f>数出表_Excel!V99</f>
        <v>0</v>
      </c>
      <c r="AN99" s="264">
        <f>数出表_Excel!W99</f>
        <v>0</v>
      </c>
    </row>
    <row r="100" spans="1:40" ht="16.2" customHeight="1" x14ac:dyDescent="0.45">
      <c r="A100" s="219" t="str">
        <f t="array" aca="1" ref="A100" ca="1">IF(OR(COUNTIF(A98,"*10002*"),COUNTIF(A98,"")),"",INDEX(貼り付け用!$A:$A,MATCH(A98,貼り付け用!$A:$A,0)+2,0))</f>
        <v>19100</v>
      </c>
      <c r="B100" s="204" t="str">
        <f ca="1">IFERROR(VALUE(IF(VLOOKUP($A100,数出表_Excel!$A$6:$T$150,COLUMN()/2+1,FALSE)=0,"",VLOOKUP($A100,数出表_Excel!$A$6:$T$150,COLUMN()/2+1,FALSE))),"")</f>
        <v/>
      </c>
      <c r="C100" s="141"/>
      <c r="D100" s="204" t="str">
        <f ca="1">IFERROR(VALUE(IF(VLOOKUP($A100,数出表_Excel!$A$6:$T$150,COLUMN()/2+1,FALSE)=0,"",VLOOKUP($A100,数出表_Excel!$A$6:$T$150,COLUMN()/2+1,FALSE))),"")</f>
        <v/>
      </c>
      <c r="E100" s="141"/>
      <c r="F100" s="207" t="str">
        <f ca="1">IFERROR(VALUE(IF(VLOOKUP($A100,数出表_Excel!$A$6:$T$150,COLUMN()/2+1,FALSE)=0,"",VLOOKUP($A100,数出表_Excel!$A$6:$T$150,COLUMN()/2+1,FALSE))),"")</f>
        <v/>
      </c>
      <c r="G100" s="141"/>
      <c r="H100" s="204" t="str">
        <f ca="1">IFERROR(VALUE(IF(VLOOKUP($A100,数出表_Excel!$A$6:$T$150,COLUMN()/2+1,FALSE)=0,"",VLOOKUP($A100,数出表_Excel!$A$6:$T$150,COLUMN()/2+1,FALSE))),"")</f>
        <v/>
      </c>
      <c r="I100" s="141"/>
      <c r="J100" s="204" t="str">
        <f ca="1">IFERROR(VALUE(IF(VLOOKUP($A100,数出表_Excel!$A$6:$T$150,COLUMN()/2+1,FALSE)=0,"",VLOOKUP($A100,数出表_Excel!$A$6:$T$150,COLUMN()/2+1,FALSE))),"")</f>
        <v/>
      </c>
      <c r="K100" s="208"/>
      <c r="L100" s="205" t="str">
        <f ca="1">IFERROR(VALUE(IF(VLOOKUP($A100,数出表_Excel!$A$6:$T$150,COLUMN()/2+1,FALSE)=0,"",VLOOKUP($A100,数出表_Excel!$A$6:$T$150,COLUMN()/2+1,FALSE))),"")</f>
        <v/>
      </c>
      <c r="M100" s="141"/>
      <c r="N100" s="204" t="str">
        <f ca="1">IFERROR(VALUE(IF(VLOOKUP($A100,数出表_Excel!$A$6:$T$150,COLUMN()/2+1,FALSE)=0,"",VLOOKUP($A100,数出表_Excel!$A$6:$T$150,COLUMN()/2+1,FALSE))),"")</f>
        <v/>
      </c>
      <c r="O100" s="141"/>
      <c r="P100" s="204" t="str">
        <f ca="1">IFERROR(VALUE(IF(VLOOKUP($A100,数出表_Excel!$A$6:$T$150,COLUMN()/2+1,FALSE)=0,"",VLOOKUP($A100,数出表_Excel!$A$6:$T$150,COLUMN()/2+1,FALSE))),"")</f>
        <v/>
      </c>
      <c r="Q100" s="141"/>
      <c r="R100" s="204" t="str">
        <f ca="1">IFERROR(VALUE(IF(VLOOKUP($A100,数出表_Excel!$A$6:$T$150,COLUMN()/2+1,FALSE)=0,"",VLOOKUP($A100,数出表_Excel!$A$6:$T$150,COLUMN()/2+1,FALSE))),"")</f>
        <v/>
      </c>
      <c r="S100" s="141"/>
      <c r="T100" s="204" t="str">
        <f ca="1">IFERROR(VALUE(IF(VLOOKUP($A100,数出表_Excel!$A$6:$T$150,COLUMN()/2+1,FALSE)=0,"",VLOOKUP($A100,数出表_Excel!$A$6:$T$150,COLUMN()/2+1,FALSE))),"")</f>
        <v/>
      </c>
      <c r="U100" s="141"/>
      <c r="V100" s="207" t="str">
        <f ca="1">IFERROR(VALUE(IF(VLOOKUP($A100,数出表_Excel!$A$6:$T$150,COLUMN()/2+1,FALSE)=0,"",VLOOKUP($A100,数出表_Excel!$A$6:$T$150,COLUMN()/2+1,FALSE))),"")</f>
        <v/>
      </c>
      <c r="W100" s="141"/>
      <c r="X100" s="207" t="str">
        <f ca="1">IFERROR(VALUE(IF(VLOOKUP($A100,数出表_Excel!$A$6:$T$150,COLUMN()/2+1,FALSE)=0,"",VLOOKUP($A100,数出表_Excel!$A$6:$T$150,COLUMN()/2+1,FALSE))),"")</f>
        <v/>
      </c>
      <c r="Y100" s="141"/>
      <c r="Z100" s="207" t="str">
        <f ca="1">IFERROR(VALUE(IF(VLOOKUP($A100,数出表_Excel!$A$6:$T$150,COLUMN()/2+1,FALSE)=0,"",VLOOKUP($A100,数出表_Excel!$A$6:$T$150,COLUMN()/2+1,FALSE))),"")</f>
        <v/>
      </c>
      <c r="AA100" s="208"/>
      <c r="AB100" s="205" t="str">
        <f ca="1">IFERROR(VALUE(IF(VLOOKUP($A100,数出表_Excel!$A$6:$T$150,COLUMN()/2+1,FALSE)=0,"",VLOOKUP($A100,数出表_Excel!$A$6:$T$150,COLUMN()/2+1,FALSE))),"")</f>
        <v/>
      </c>
      <c r="AC100" s="141"/>
      <c r="AD100" s="207" t="str">
        <f ca="1">IFERROR(VALUE(IF(VLOOKUP($A100,数出表_Excel!$A$6:$T$150,COLUMN()/2+1,FALSE)=0,"",VLOOKUP($A100,数出表_Excel!$A$6:$T$150,COLUMN()/2+1,FALSE))),"")</f>
        <v/>
      </c>
      <c r="AE100" s="141"/>
      <c r="AF100" s="207" t="str">
        <f ca="1">IFERROR(VALUE(IF(VLOOKUP($A100,数出表_Excel!$A$6:$T$150,COLUMN()/2+1,FALSE)=0,"",VLOOKUP($A100,数出表_Excel!$A$6:$T$150,COLUMN()/2+1,FALSE))),"")</f>
        <v/>
      </c>
      <c r="AG100" s="141"/>
      <c r="AH100" s="207" t="str">
        <f ca="1">IFERROR(VALUE(IF(VLOOKUP($A100,数出表_Excel!$A$6:$T$150,COLUMN()/2+1,FALSE)=0,"",VLOOKUP($A100,数出表_Excel!$A$6:$T$150,COLUMN()/2+1,FALSE))),"")</f>
        <v/>
      </c>
      <c r="AI100" s="208"/>
      <c r="AJ100" s="205" t="str">
        <f ca="1">IFERROR(VALUE(IF(VLOOKUP($A100,数出表_Excel!$A$6:$T$150,COLUMN()/2+1,FALSE)=0,"",VLOOKUP($A100,数出表_Excel!$A$6:$T$150,COLUMN()/2+1,FALSE))),"")</f>
        <v/>
      </c>
      <c r="AK100" s="141"/>
      <c r="AL100" s="145" t="e">
        <f ca="1">IF(A100&lt;&gt;"",
IF(VLOOKUP($A100,数出表_Excel!$A$6:$T$150,COLUMN()/2+1,FALSE)=0,"",VLOOKUP($A100,数出表_Excel!$A$6:$T$150,COLUMN()/2+1,FALSE)),"")</f>
        <v>#N/A</v>
      </c>
      <c r="AM100" s="261">
        <f>数出表_Excel!V100</f>
        <v>0</v>
      </c>
      <c r="AN100" s="262">
        <f>数出表_Excel!W100</f>
        <v>0</v>
      </c>
    </row>
    <row r="101" spans="1:40" ht="16.2" customHeight="1" x14ac:dyDescent="0.45">
      <c r="A101" s="220" t="str">
        <f t="array" aca="1" ref="A101" ca="1">IF(OR(COUNTIF(A99,"*1000*"),COUNTIF(A99,"")),"",INDEX(貼り付け用!$A:$A,MATCH(A99,貼り付け用!$A:$A,0)+2,0))</f>
        <v>コーナーズインターナショナル</v>
      </c>
      <c r="B101" s="142" t="str">
        <f ca="1">IFERROR(VALUE(IF(VLOOKUP($A101,数出表_Excel!$A$6:$T$150,COLUMN()/2+1,FALSE)=0,"",VLOOKUP($A101,数出表_Excel!$A$6:$T$150,COLUMN()/2+1,FALSE))),"")</f>
        <v/>
      </c>
      <c r="C101" s="142"/>
      <c r="D101" s="142" t="str">
        <f ca="1">IFERROR(VALUE(IF(VLOOKUP($A101,数出表_Excel!$A$6:$T$150,COLUMN()/2+1,FALSE)=0,"",VLOOKUP($A101,数出表_Excel!$A$6:$T$150,COLUMN()/2+1,FALSE))),"")</f>
        <v/>
      </c>
      <c r="E101" s="142"/>
      <c r="F101" s="146" t="str">
        <f ca="1">IFERROR(VALUE(IF(VLOOKUP($A101,数出表_Excel!$A$6:$T$150,COLUMN()/2+1,FALSE)=0,"",VLOOKUP($A101,数出表_Excel!$A$6:$T$150,COLUMN()/2+1,FALSE))),"")</f>
        <v/>
      </c>
      <c r="G101" s="142"/>
      <c r="H101" s="142" t="str">
        <f ca="1">IFERROR(VALUE(IF(VLOOKUP($A101,数出表_Excel!$A$6:$T$150,COLUMN()/2+1,FALSE)=0,"",VLOOKUP($A101,数出表_Excel!$A$6:$T$150,COLUMN()/2+1,FALSE))),"")</f>
        <v/>
      </c>
      <c r="I101" s="142"/>
      <c r="J101" s="142" t="str">
        <f ca="1">IFERROR(VALUE(IF(VLOOKUP($A101,数出表_Excel!$A$6:$T$150,COLUMN()/2+1,FALSE)=0,"",VLOOKUP($A101,数出表_Excel!$A$6:$T$150,COLUMN()/2+1,FALSE))),"")</f>
        <v/>
      </c>
      <c r="K101" s="209"/>
      <c r="L101" s="147" t="str">
        <f ca="1">IFERROR(VALUE(IF(VLOOKUP($A101,数出表_Excel!$A$6:$T$150,COLUMN()/2+1,FALSE)=0,"",VLOOKUP($A101,数出表_Excel!$A$6:$T$150,COLUMN()/2+1,FALSE))),"")</f>
        <v/>
      </c>
      <c r="M101" s="142"/>
      <c r="N101" s="142" t="str">
        <f ca="1">IFERROR(VALUE(IF(VLOOKUP($A101,数出表_Excel!$A$6:$T$150,COLUMN()/2+1,FALSE)=0,"",VLOOKUP($A101,数出表_Excel!$A$6:$T$150,COLUMN()/2+1,FALSE))),"")</f>
        <v/>
      </c>
      <c r="O101" s="142"/>
      <c r="P101" s="142" t="str">
        <f ca="1">IFERROR(VALUE(IF(VLOOKUP($A101,数出表_Excel!$A$6:$T$150,COLUMN()/2+1,FALSE)=0,"",VLOOKUP($A101,数出表_Excel!$A$6:$T$150,COLUMN()/2+1,FALSE))),"")</f>
        <v/>
      </c>
      <c r="Q101" s="142"/>
      <c r="R101" s="142" t="str">
        <f ca="1">IFERROR(VALUE(IF(VLOOKUP($A101,数出表_Excel!$A$6:$T$150,COLUMN()/2+1,FALSE)=0,"",VLOOKUP($A101,数出表_Excel!$A$6:$T$150,COLUMN()/2+1,FALSE))),"")</f>
        <v/>
      </c>
      <c r="S101" s="142"/>
      <c r="T101" s="142" t="str">
        <f ca="1">IFERROR(VALUE(IF(VLOOKUP($A101,数出表_Excel!$A$6:$T$150,COLUMN()/2+1,FALSE)=0,"",VLOOKUP($A101,数出表_Excel!$A$6:$T$150,COLUMN()/2+1,FALSE))),"")</f>
        <v/>
      </c>
      <c r="U101" s="142"/>
      <c r="V101" s="146" t="str">
        <f ca="1">IFERROR(VALUE(IF(VLOOKUP($A101,数出表_Excel!$A$6:$T$150,COLUMN()/2+1,FALSE)=0,"",VLOOKUP($A101,数出表_Excel!$A$6:$T$150,COLUMN()/2+1,FALSE))),"")</f>
        <v/>
      </c>
      <c r="W101" s="142"/>
      <c r="X101" s="146" t="str">
        <f ca="1">IFERROR(VALUE(IF(VLOOKUP($A101,数出表_Excel!$A$6:$T$150,COLUMN()/2+1,FALSE)=0,"",VLOOKUP($A101,数出表_Excel!$A$6:$T$150,COLUMN()/2+1,FALSE))),"")</f>
        <v/>
      </c>
      <c r="Y101" s="142"/>
      <c r="Z101" s="146" t="str">
        <f ca="1">IFERROR(VALUE(IF(VLOOKUP($A101,数出表_Excel!$A$6:$T$150,COLUMN()/2+1,FALSE)=0,"",VLOOKUP($A101,数出表_Excel!$A$6:$T$150,COLUMN()/2+1,FALSE))),"")</f>
        <v/>
      </c>
      <c r="AA101" s="209"/>
      <c r="AB101" s="147" t="str">
        <f ca="1">IFERROR(VALUE(IF(VLOOKUP($A101,数出表_Excel!$A$6:$T$150,COLUMN()/2+1,FALSE)=0,"",VLOOKUP($A101,数出表_Excel!$A$6:$T$150,COLUMN()/2+1,FALSE))),"")</f>
        <v/>
      </c>
      <c r="AC101" s="142"/>
      <c r="AD101" s="146" t="str">
        <f ca="1">IFERROR(VALUE(IF(VLOOKUP($A101,数出表_Excel!$A$6:$T$150,COLUMN()/2+1,FALSE)=0,"",VLOOKUP($A101,数出表_Excel!$A$6:$T$150,COLUMN()/2+1,FALSE))),"")</f>
        <v/>
      </c>
      <c r="AE101" s="142"/>
      <c r="AF101" s="146" t="str">
        <f ca="1">IFERROR(VALUE(IF(VLOOKUP($A101,数出表_Excel!$A$6:$T$150,COLUMN()/2+1,FALSE)=0,"",VLOOKUP($A101,数出表_Excel!$A$6:$T$150,COLUMN()/2+1,FALSE))),"")</f>
        <v/>
      </c>
      <c r="AG101" s="142"/>
      <c r="AH101" s="146" t="str">
        <f ca="1">IFERROR(VALUE(IF(VLOOKUP($A101,数出表_Excel!$A$6:$T$150,COLUMN()/2+1,FALSE)=0,"",VLOOKUP($A101,数出表_Excel!$A$6:$T$150,COLUMN()/2+1,FALSE))),"")</f>
        <v/>
      </c>
      <c r="AI101" s="209"/>
      <c r="AJ101" s="147" t="str">
        <f ca="1">IFERROR(VALUE(IF(VLOOKUP($A101,数出表_Excel!$A$6:$T$150,COLUMN()/2+1,FALSE)=0,"",VLOOKUP($A101,数出表_Excel!$A$6:$T$150,COLUMN()/2+1,FALSE))),"")</f>
        <v/>
      </c>
      <c r="AK101" s="142"/>
      <c r="AL101" s="148" t="e">
        <f ca="1">IF(A101&lt;&gt;"",
IF(VLOOKUP($A101,数出表_Excel!$A$6:$T$150,COLUMN()/2+1,FALSE)=0,"",VLOOKUP($A101,数出表_Excel!$A$6:$T$150,COLUMN()/2+1,FALSE)),"")</f>
        <v>#N/A</v>
      </c>
      <c r="AM101" s="263">
        <f>数出表_Excel!V101</f>
        <v>0</v>
      </c>
      <c r="AN101" s="264">
        <f>数出表_Excel!W101</f>
        <v>0</v>
      </c>
    </row>
    <row r="102" spans="1:40" ht="16.2" customHeight="1" x14ac:dyDescent="0.45">
      <c r="A102" s="219" t="str">
        <f t="array" aca="1" ref="A102" ca="1">IF(OR(COUNTIF(A100,"*10002*"),COUNTIF(A100,"")),"",INDEX(貼り付け用!$A:$A,MATCH(A100,貼り付け用!$A:$A,0)+2,0))</f>
        <v>7000</v>
      </c>
      <c r="B102" s="204" t="str">
        <f ca="1">IFERROR(VALUE(IF(VLOOKUP($A102,数出表_Excel!$A$6:$T$150,COLUMN()/2+1,FALSE)=0,"",VLOOKUP($A102,数出表_Excel!$A$6:$T$150,COLUMN()/2+1,FALSE))),"")</f>
        <v/>
      </c>
      <c r="C102" s="141"/>
      <c r="D102" s="204" t="str">
        <f ca="1">IFERROR(VALUE(IF(VLOOKUP($A102,数出表_Excel!$A$6:$T$150,COLUMN()/2+1,FALSE)=0,"",VLOOKUP($A102,数出表_Excel!$A$6:$T$150,COLUMN()/2+1,FALSE))),"")</f>
        <v/>
      </c>
      <c r="E102" s="141"/>
      <c r="F102" s="207" t="str">
        <f ca="1">IFERROR(VALUE(IF(VLOOKUP($A102,数出表_Excel!$A$6:$T$150,COLUMN()/2+1,FALSE)=0,"",VLOOKUP($A102,数出表_Excel!$A$6:$T$150,COLUMN()/2+1,FALSE))),"")</f>
        <v/>
      </c>
      <c r="G102" s="141"/>
      <c r="H102" s="204" t="str">
        <f ca="1">IFERROR(VALUE(IF(VLOOKUP($A102,数出表_Excel!$A$6:$T$150,COLUMN()/2+1,FALSE)=0,"",VLOOKUP($A102,数出表_Excel!$A$6:$T$150,COLUMN()/2+1,FALSE))),"")</f>
        <v/>
      </c>
      <c r="I102" s="141"/>
      <c r="J102" s="204" t="str">
        <f ca="1">IFERROR(VALUE(IF(VLOOKUP($A102,数出表_Excel!$A$6:$T$150,COLUMN()/2+1,FALSE)=0,"",VLOOKUP($A102,数出表_Excel!$A$6:$T$150,COLUMN()/2+1,FALSE))),"")</f>
        <v/>
      </c>
      <c r="K102" s="208"/>
      <c r="L102" s="205" t="str">
        <f ca="1">IFERROR(VALUE(IF(VLOOKUP($A102,数出表_Excel!$A$6:$T$150,COLUMN()/2+1,FALSE)=0,"",VLOOKUP($A102,数出表_Excel!$A$6:$T$150,COLUMN()/2+1,FALSE))),"")</f>
        <v/>
      </c>
      <c r="M102" s="141"/>
      <c r="N102" s="204" t="str">
        <f ca="1">IFERROR(VALUE(IF(VLOOKUP($A102,数出表_Excel!$A$6:$T$150,COLUMN()/2+1,FALSE)=0,"",VLOOKUP($A102,数出表_Excel!$A$6:$T$150,COLUMN()/2+1,FALSE))),"")</f>
        <v/>
      </c>
      <c r="O102" s="141"/>
      <c r="P102" s="204" t="str">
        <f ca="1">IFERROR(VALUE(IF(VLOOKUP($A102,数出表_Excel!$A$6:$T$150,COLUMN()/2+1,FALSE)=0,"",VLOOKUP($A102,数出表_Excel!$A$6:$T$150,COLUMN()/2+1,FALSE))),"")</f>
        <v/>
      </c>
      <c r="Q102" s="141"/>
      <c r="R102" s="204" t="str">
        <f ca="1">IFERROR(VALUE(IF(VLOOKUP($A102,数出表_Excel!$A$6:$T$150,COLUMN()/2+1,FALSE)=0,"",VLOOKUP($A102,数出表_Excel!$A$6:$T$150,COLUMN()/2+1,FALSE))),"")</f>
        <v/>
      </c>
      <c r="S102" s="141"/>
      <c r="T102" s="204" t="str">
        <f ca="1">IFERROR(VALUE(IF(VLOOKUP($A102,数出表_Excel!$A$6:$T$150,COLUMN()/2+1,FALSE)=0,"",VLOOKUP($A102,数出表_Excel!$A$6:$T$150,COLUMN()/2+1,FALSE))),"")</f>
        <v/>
      </c>
      <c r="U102" s="141"/>
      <c r="V102" s="207" t="str">
        <f ca="1">IFERROR(VALUE(IF(VLOOKUP($A102,数出表_Excel!$A$6:$T$150,COLUMN()/2+1,FALSE)=0,"",VLOOKUP($A102,数出表_Excel!$A$6:$T$150,COLUMN()/2+1,FALSE))),"")</f>
        <v/>
      </c>
      <c r="W102" s="141"/>
      <c r="X102" s="207" t="str">
        <f ca="1">IFERROR(VALUE(IF(VLOOKUP($A102,数出表_Excel!$A$6:$T$150,COLUMN()/2+1,FALSE)=0,"",VLOOKUP($A102,数出表_Excel!$A$6:$T$150,COLUMN()/2+1,FALSE))),"")</f>
        <v/>
      </c>
      <c r="Y102" s="141"/>
      <c r="Z102" s="207" t="str">
        <f ca="1">IFERROR(VALUE(IF(VLOOKUP($A102,数出表_Excel!$A$6:$T$150,COLUMN()/2+1,FALSE)=0,"",VLOOKUP($A102,数出表_Excel!$A$6:$T$150,COLUMN()/2+1,FALSE))),"")</f>
        <v/>
      </c>
      <c r="AA102" s="208"/>
      <c r="AB102" s="205" t="str">
        <f ca="1">IFERROR(VALUE(IF(VLOOKUP($A102,数出表_Excel!$A$6:$T$150,COLUMN()/2+1,FALSE)=0,"",VLOOKUP($A102,数出表_Excel!$A$6:$T$150,COLUMN()/2+1,FALSE))),"")</f>
        <v/>
      </c>
      <c r="AC102" s="141"/>
      <c r="AD102" s="207" t="str">
        <f ca="1">IFERROR(VALUE(IF(VLOOKUP($A102,数出表_Excel!$A$6:$T$150,COLUMN()/2+1,FALSE)=0,"",VLOOKUP($A102,数出表_Excel!$A$6:$T$150,COLUMN()/2+1,FALSE))),"")</f>
        <v/>
      </c>
      <c r="AE102" s="141"/>
      <c r="AF102" s="207" t="str">
        <f ca="1">IFERROR(VALUE(IF(VLOOKUP($A102,数出表_Excel!$A$6:$T$150,COLUMN()/2+1,FALSE)=0,"",VLOOKUP($A102,数出表_Excel!$A$6:$T$150,COLUMN()/2+1,FALSE))),"")</f>
        <v/>
      </c>
      <c r="AG102" s="141"/>
      <c r="AH102" s="207" t="str">
        <f ca="1">IFERROR(VALUE(IF(VLOOKUP($A102,数出表_Excel!$A$6:$T$150,COLUMN()/2+1,FALSE)=0,"",VLOOKUP($A102,数出表_Excel!$A$6:$T$150,COLUMN()/2+1,FALSE))),"")</f>
        <v/>
      </c>
      <c r="AI102" s="208"/>
      <c r="AJ102" s="205" t="str">
        <f ca="1">IFERROR(VALUE(IF(VLOOKUP($A102,数出表_Excel!$A$6:$T$150,COLUMN()/2+1,FALSE)=0,"",VLOOKUP($A102,数出表_Excel!$A$6:$T$150,COLUMN()/2+1,FALSE))),"")</f>
        <v/>
      </c>
      <c r="AK102" s="141"/>
      <c r="AL102" s="145" t="e">
        <f ca="1">IF(A102&lt;&gt;"",
IF(VLOOKUP($A102,数出表_Excel!$A$6:$T$150,COLUMN()/2+1,FALSE)=0,"",VLOOKUP($A102,数出表_Excel!$A$6:$T$150,COLUMN()/2+1,FALSE)),"")</f>
        <v>#N/A</v>
      </c>
      <c r="AM102" s="261">
        <f>数出表_Excel!V102</f>
        <v>0</v>
      </c>
      <c r="AN102" s="262">
        <f>数出表_Excel!W102</f>
        <v>0</v>
      </c>
    </row>
    <row r="103" spans="1:40" ht="16.2" customHeight="1" x14ac:dyDescent="0.45">
      <c r="A103" s="220" t="str">
        <f t="array" aca="1" ref="A103" ca="1">IF(OR(COUNTIF(A101,"*1000*"),COUNTIF(A101,"")),"",INDEX(貼り付け用!$A:$A,MATCH(A101,貼り付け用!$A:$A,0)+2,0))</f>
        <v>バディ筑紫野校</v>
      </c>
      <c r="B103" s="142" t="str">
        <f ca="1">IFERROR(VALUE(IF(VLOOKUP($A103,数出表_Excel!$A$6:$T$150,COLUMN()/2+1,FALSE)=0,"",VLOOKUP($A103,数出表_Excel!$A$6:$T$150,COLUMN()/2+1,FALSE))),"")</f>
        <v/>
      </c>
      <c r="C103" s="142"/>
      <c r="D103" s="142" t="str">
        <f ca="1">IFERROR(VALUE(IF(VLOOKUP($A103,数出表_Excel!$A$6:$T$150,COLUMN()/2+1,FALSE)=0,"",VLOOKUP($A103,数出表_Excel!$A$6:$T$150,COLUMN()/2+1,FALSE))),"")</f>
        <v/>
      </c>
      <c r="E103" s="142"/>
      <c r="F103" s="146" t="str">
        <f ca="1">IFERROR(VALUE(IF(VLOOKUP($A103,数出表_Excel!$A$6:$T$150,COLUMN()/2+1,FALSE)=0,"",VLOOKUP($A103,数出表_Excel!$A$6:$T$150,COLUMN()/2+1,FALSE))),"")</f>
        <v/>
      </c>
      <c r="G103" s="142"/>
      <c r="H103" s="142" t="str">
        <f ca="1">IFERROR(VALUE(IF(VLOOKUP($A103,数出表_Excel!$A$6:$T$150,COLUMN()/2+1,FALSE)=0,"",VLOOKUP($A103,数出表_Excel!$A$6:$T$150,COLUMN()/2+1,FALSE))),"")</f>
        <v/>
      </c>
      <c r="I103" s="142"/>
      <c r="J103" s="142" t="str">
        <f ca="1">IFERROR(VALUE(IF(VLOOKUP($A103,数出表_Excel!$A$6:$T$150,COLUMN()/2+1,FALSE)=0,"",VLOOKUP($A103,数出表_Excel!$A$6:$T$150,COLUMN()/2+1,FALSE))),"")</f>
        <v/>
      </c>
      <c r="K103" s="209"/>
      <c r="L103" s="147" t="str">
        <f ca="1">IFERROR(VALUE(IF(VLOOKUP($A103,数出表_Excel!$A$6:$T$150,COLUMN()/2+1,FALSE)=0,"",VLOOKUP($A103,数出表_Excel!$A$6:$T$150,COLUMN()/2+1,FALSE))),"")</f>
        <v/>
      </c>
      <c r="M103" s="142"/>
      <c r="N103" s="142" t="str">
        <f ca="1">IFERROR(VALUE(IF(VLOOKUP($A103,数出表_Excel!$A$6:$T$150,COLUMN()/2+1,FALSE)=0,"",VLOOKUP($A103,数出表_Excel!$A$6:$T$150,COLUMN()/2+1,FALSE))),"")</f>
        <v/>
      </c>
      <c r="O103" s="142"/>
      <c r="P103" s="142" t="str">
        <f ca="1">IFERROR(VALUE(IF(VLOOKUP($A103,数出表_Excel!$A$6:$T$150,COLUMN()/2+1,FALSE)=0,"",VLOOKUP($A103,数出表_Excel!$A$6:$T$150,COLUMN()/2+1,FALSE))),"")</f>
        <v/>
      </c>
      <c r="Q103" s="142"/>
      <c r="R103" s="142" t="str">
        <f ca="1">IFERROR(VALUE(IF(VLOOKUP($A103,数出表_Excel!$A$6:$T$150,COLUMN()/2+1,FALSE)=0,"",VLOOKUP($A103,数出表_Excel!$A$6:$T$150,COLUMN()/2+1,FALSE))),"")</f>
        <v/>
      </c>
      <c r="S103" s="142"/>
      <c r="T103" s="142" t="str">
        <f ca="1">IFERROR(VALUE(IF(VLOOKUP($A103,数出表_Excel!$A$6:$T$150,COLUMN()/2+1,FALSE)=0,"",VLOOKUP($A103,数出表_Excel!$A$6:$T$150,COLUMN()/2+1,FALSE))),"")</f>
        <v/>
      </c>
      <c r="U103" s="142"/>
      <c r="V103" s="146" t="str">
        <f ca="1">IFERROR(VALUE(IF(VLOOKUP($A103,数出表_Excel!$A$6:$T$150,COLUMN()/2+1,FALSE)=0,"",VLOOKUP($A103,数出表_Excel!$A$6:$T$150,COLUMN()/2+1,FALSE))),"")</f>
        <v/>
      </c>
      <c r="W103" s="142"/>
      <c r="X103" s="146" t="str">
        <f ca="1">IFERROR(VALUE(IF(VLOOKUP($A103,数出表_Excel!$A$6:$T$150,COLUMN()/2+1,FALSE)=0,"",VLOOKUP($A103,数出表_Excel!$A$6:$T$150,COLUMN()/2+1,FALSE))),"")</f>
        <v/>
      </c>
      <c r="Y103" s="142"/>
      <c r="Z103" s="146" t="str">
        <f ca="1">IFERROR(VALUE(IF(VLOOKUP($A103,数出表_Excel!$A$6:$T$150,COLUMN()/2+1,FALSE)=0,"",VLOOKUP($A103,数出表_Excel!$A$6:$T$150,COLUMN()/2+1,FALSE))),"")</f>
        <v/>
      </c>
      <c r="AA103" s="209"/>
      <c r="AB103" s="147" t="str">
        <f ca="1">IFERROR(VALUE(IF(VLOOKUP($A103,数出表_Excel!$A$6:$T$150,COLUMN()/2+1,FALSE)=0,"",VLOOKUP($A103,数出表_Excel!$A$6:$T$150,COLUMN()/2+1,FALSE))),"")</f>
        <v/>
      </c>
      <c r="AC103" s="142"/>
      <c r="AD103" s="146" t="str">
        <f ca="1">IFERROR(VALUE(IF(VLOOKUP($A103,数出表_Excel!$A$6:$T$150,COLUMN()/2+1,FALSE)=0,"",VLOOKUP($A103,数出表_Excel!$A$6:$T$150,COLUMN()/2+1,FALSE))),"")</f>
        <v/>
      </c>
      <c r="AE103" s="142"/>
      <c r="AF103" s="146" t="str">
        <f ca="1">IFERROR(VALUE(IF(VLOOKUP($A103,数出表_Excel!$A$6:$T$150,COLUMN()/2+1,FALSE)=0,"",VLOOKUP($A103,数出表_Excel!$A$6:$T$150,COLUMN()/2+1,FALSE))),"")</f>
        <v/>
      </c>
      <c r="AG103" s="142"/>
      <c r="AH103" s="146" t="str">
        <f ca="1">IFERROR(VALUE(IF(VLOOKUP($A103,数出表_Excel!$A$6:$T$150,COLUMN()/2+1,FALSE)=0,"",VLOOKUP($A103,数出表_Excel!$A$6:$T$150,COLUMN()/2+1,FALSE))),"")</f>
        <v/>
      </c>
      <c r="AI103" s="209"/>
      <c r="AJ103" s="147" t="str">
        <f ca="1">IFERROR(VALUE(IF(VLOOKUP($A103,数出表_Excel!$A$6:$T$150,COLUMN()/2+1,FALSE)=0,"",VLOOKUP($A103,数出表_Excel!$A$6:$T$150,COLUMN()/2+1,FALSE))),"")</f>
        <v/>
      </c>
      <c r="AK103" s="142"/>
      <c r="AL103" s="148" t="e">
        <f ca="1">IF(A103&lt;&gt;"",
IF(VLOOKUP($A103,数出表_Excel!$A$6:$T$150,COLUMN()/2+1,FALSE)=0,"",VLOOKUP($A103,数出表_Excel!$A$6:$T$150,COLUMN()/2+1,FALSE)),"")</f>
        <v>#N/A</v>
      </c>
      <c r="AM103" s="263">
        <f>数出表_Excel!V103</f>
        <v>0</v>
      </c>
      <c r="AN103" s="264">
        <f>数出表_Excel!W103</f>
        <v>0</v>
      </c>
    </row>
    <row r="104" spans="1:40" ht="16.2" customHeight="1" x14ac:dyDescent="0.45">
      <c r="A104" s="219" t="str">
        <f t="array" aca="1" ref="A104" ca="1">IF(OR(COUNTIF(A102,"*10002*"),COUNTIF(A102,"")),"",INDEX(貼り付け用!$A:$A,MATCH(A102,貼り付け用!$A:$A,0)+2,0))</f>
        <v>7003</v>
      </c>
      <c r="B104" s="204" t="str">
        <f ca="1">IFERROR(VALUE(IF(VLOOKUP($A104,数出表_Excel!$A$6:$T$150,COLUMN()/2+1,FALSE)=0,"",VLOOKUP($A104,数出表_Excel!$A$6:$T$150,COLUMN()/2+1,FALSE))),"")</f>
        <v/>
      </c>
      <c r="C104" s="141"/>
      <c r="D104" s="204" t="str">
        <f ca="1">IFERROR(VALUE(IF(VLOOKUP($A104,数出表_Excel!$A$6:$T$150,COLUMN()/2+1,FALSE)=0,"",VLOOKUP($A104,数出表_Excel!$A$6:$T$150,COLUMN()/2+1,FALSE))),"")</f>
        <v/>
      </c>
      <c r="E104" s="141"/>
      <c r="F104" s="207" t="str">
        <f ca="1">IFERROR(VALUE(IF(VLOOKUP($A104,数出表_Excel!$A$6:$T$150,COLUMN()/2+1,FALSE)=0,"",VLOOKUP($A104,数出表_Excel!$A$6:$T$150,COLUMN()/2+1,FALSE))),"")</f>
        <v/>
      </c>
      <c r="G104" s="141"/>
      <c r="H104" s="204" t="str">
        <f ca="1">IFERROR(VALUE(IF(VLOOKUP($A104,数出表_Excel!$A$6:$T$150,COLUMN()/2+1,FALSE)=0,"",VLOOKUP($A104,数出表_Excel!$A$6:$T$150,COLUMN()/2+1,FALSE))),"")</f>
        <v/>
      </c>
      <c r="I104" s="141"/>
      <c r="J104" s="204" t="str">
        <f ca="1">IFERROR(VALUE(IF(VLOOKUP($A104,数出表_Excel!$A$6:$T$150,COLUMN()/2+1,FALSE)=0,"",VLOOKUP($A104,数出表_Excel!$A$6:$T$150,COLUMN()/2+1,FALSE))),"")</f>
        <v/>
      </c>
      <c r="K104" s="208"/>
      <c r="L104" s="205" t="str">
        <f ca="1">IFERROR(VALUE(IF(VLOOKUP($A104,数出表_Excel!$A$6:$T$150,COLUMN()/2+1,FALSE)=0,"",VLOOKUP($A104,数出表_Excel!$A$6:$T$150,COLUMN()/2+1,FALSE))),"")</f>
        <v/>
      </c>
      <c r="M104" s="141"/>
      <c r="N104" s="204" t="str">
        <f ca="1">IFERROR(VALUE(IF(VLOOKUP($A104,数出表_Excel!$A$6:$T$150,COLUMN()/2+1,FALSE)=0,"",VLOOKUP($A104,数出表_Excel!$A$6:$T$150,COLUMN()/2+1,FALSE))),"")</f>
        <v/>
      </c>
      <c r="O104" s="141"/>
      <c r="P104" s="204" t="str">
        <f ca="1">IFERROR(VALUE(IF(VLOOKUP($A104,数出表_Excel!$A$6:$T$150,COLUMN()/2+1,FALSE)=0,"",VLOOKUP($A104,数出表_Excel!$A$6:$T$150,COLUMN()/2+1,FALSE))),"")</f>
        <v/>
      </c>
      <c r="Q104" s="141"/>
      <c r="R104" s="204" t="str">
        <f ca="1">IFERROR(VALUE(IF(VLOOKUP($A104,数出表_Excel!$A$6:$T$150,COLUMN()/2+1,FALSE)=0,"",VLOOKUP($A104,数出表_Excel!$A$6:$T$150,COLUMN()/2+1,FALSE))),"")</f>
        <v/>
      </c>
      <c r="S104" s="141"/>
      <c r="T104" s="204" t="str">
        <f ca="1">IFERROR(VALUE(IF(VLOOKUP($A104,数出表_Excel!$A$6:$T$150,COLUMN()/2+1,FALSE)=0,"",VLOOKUP($A104,数出表_Excel!$A$6:$T$150,COLUMN()/2+1,FALSE))),"")</f>
        <v/>
      </c>
      <c r="U104" s="141"/>
      <c r="V104" s="207" t="str">
        <f ca="1">IFERROR(VALUE(IF(VLOOKUP($A104,数出表_Excel!$A$6:$T$150,COLUMN()/2+1,FALSE)=0,"",VLOOKUP($A104,数出表_Excel!$A$6:$T$150,COLUMN()/2+1,FALSE))),"")</f>
        <v/>
      </c>
      <c r="W104" s="141"/>
      <c r="X104" s="207" t="str">
        <f ca="1">IFERROR(VALUE(IF(VLOOKUP($A104,数出表_Excel!$A$6:$T$150,COLUMN()/2+1,FALSE)=0,"",VLOOKUP($A104,数出表_Excel!$A$6:$T$150,COLUMN()/2+1,FALSE))),"")</f>
        <v/>
      </c>
      <c r="Y104" s="141"/>
      <c r="Z104" s="207" t="str">
        <f ca="1">IFERROR(VALUE(IF(VLOOKUP($A104,数出表_Excel!$A$6:$T$150,COLUMN()/2+1,FALSE)=0,"",VLOOKUP($A104,数出表_Excel!$A$6:$T$150,COLUMN()/2+1,FALSE))),"")</f>
        <v/>
      </c>
      <c r="AA104" s="208"/>
      <c r="AB104" s="205" t="str">
        <f ca="1">IFERROR(VALUE(IF(VLOOKUP($A104,数出表_Excel!$A$6:$T$150,COLUMN()/2+1,FALSE)=0,"",VLOOKUP($A104,数出表_Excel!$A$6:$T$150,COLUMN()/2+1,FALSE))),"")</f>
        <v/>
      </c>
      <c r="AC104" s="141"/>
      <c r="AD104" s="207" t="str">
        <f ca="1">IFERROR(VALUE(IF(VLOOKUP($A104,数出表_Excel!$A$6:$T$150,COLUMN()/2+1,FALSE)=0,"",VLOOKUP($A104,数出表_Excel!$A$6:$T$150,COLUMN()/2+1,FALSE))),"")</f>
        <v/>
      </c>
      <c r="AE104" s="141"/>
      <c r="AF104" s="207" t="str">
        <f ca="1">IFERROR(VALUE(IF(VLOOKUP($A104,数出表_Excel!$A$6:$T$150,COLUMN()/2+1,FALSE)=0,"",VLOOKUP($A104,数出表_Excel!$A$6:$T$150,COLUMN()/2+1,FALSE))),"")</f>
        <v/>
      </c>
      <c r="AG104" s="141"/>
      <c r="AH104" s="207" t="str">
        <f ca="1">IFERROR(VALUE(IF(VLOOKUP($A104,数出表_Excel!$A$6:$T$150,COLUMN()/2+1,FALSE)=0,"",VLOOKUP($A104,数出表_Excel!$A$6:$T$150,COLUMN()/2+1,FALSE))),"")</f>
        <v/>
      </c>
      <c r="AI104" s="208"/>
      <c r="AJ104" s="205" t="str">
        <f ca="1">IFERROR(VALUE(IF(VLOOKUP($A104,数出表_Excel!$A$6:$T$150,COLUMN()/2+1,FALSE)=0,"",VLOOKUP($A104,数出表_Excel!$A$6:$T$150,COLUMN()/2+1,FALSE))),"")</f>
        <v/>
      </c>
      <c r="AK104" s="141"/>
      <c r="AL104" s="145" t="e">
        <f ca="1">IF(A104&lt;&gt;"",
IF(VLOOKUP($A104,数出表_Excel!$A$6:$T$150,COLUMN()/2+1,FALSE)=0,"",VLOOKUP($A104,数出表_Excel!$A$6:$T$150,COLUMN()/2+1,FALSE)),"")</f>
        <v>#N/A</v>
      </c>
      <c r="AM104" s="261">
        <f>数出表_Excel!V104</f>
        <v>0</v>
      </c>
      <c r="AN104" s="262">
        <f>数出表_Excel!W104</f>
        <v>0</v>
      </c>
    </row>
    <row r="105" spans="1:40" ht="16.2" customHeight="1" x14ac:dyDescent="0.45">
      <c r="A105" s="220" t="str">
        <f t="array" aca="1" ref="A105" ca="1">IF(OR(COUNTIF(A103,"*1000*"),COUNTIF(A103,"")),"",INDEX(貼り付け用!$A:$A,MATCH(A103,貼り付け用!$A:$A,0)+2,0))</f>
        <v>バディ筑紫野校2号</v>
      </c>
      <c r="B105" s="142" t="str">
        <f ca="1">IFERROR(VALUE(IF(VLOOKUP($A105,数出表_Excel!$A$6:$T$150,COLUMN()/2+1,FALSE)=0,"",VLOOKUP($A105,数出表_Excel!$A$6:$T$150,COLUMN()/2+1,FALSE))),"")</f>
        <v/>
      </c>
      <c r="C105" s="142"/>
      <c r="D105" s="142" t="str">
        <f ca="1">IFERROR(VALUE(IF(VLOOKUP($A105,数出表_Excel!$A$6:$T$150,COLUMN()/2+1,FALSE)=0,"",VLOOKUP($A105,数出表_Excel!$A$6:$T$150,COLUMN()/2+1,FALSE))),"")</f>
        <v/>
      </c>
      <c r="E105" s="142"/>
      <c r="F105" s="146" t="str">
        <f ca="1">IFERROR(VALUE(IF(VLOOKUP($A105,数出表_Excel!$A$6:$T$150,COLUMN()/2+1,FALSE)=0,"",VLOOKUP($A105,数出表_Excel!$A$6:$T$150,COLUMN()/2+1,FALSE))),"")</f>
        <v/>
      </c>
      <c r="G105" s="142"/>
      <c r="H105" s="142" t="str">
        <f ca="1">IFERROR(VALUE(IF(VLOOKUP($A105,数出表_Excel!$A$6:$T$150,COLUMN()/2+1,FALSE)=0,"",VLOOKUP($A105,数出表_Excel!$A$6:$T$150,COLUMN()/2+1,FALSE))),"")</f>
        <v/>
      </c>
      <c r="I105" s="142"/>
      <c r="J105" s="142" t="str">
        <f ca="1">IFERROR(VALUE(IF(VLOOKUP($A105,数出表_Excel!$A$6:$T$150,COLUMN()/2+1,FALSE)=0,"",VLOOKUP($A105,数出表_Excel!$A$6:$T$150,COLUMN()/2+1,FALSE))),"")</f>
        <v/>
      </c>
      <c r="K105" s="209"/>
      <c r="L105" s="147" t="str">
        <f ca="1">IFERROR(VALUE(IF(VLOOKUP($A105,数出表_Excel!$A$6:$T$150,COLUMN()/2+1,FALSE)=0,"",VLOOKUP($A105,数出表_Excel!$A$6:$T$150,COLUMN()/2+1,FALSE))),"")</f>
        <v/>
      </c>
      <c r="M105" s="142"/>
      <c r="N105" s="142" t="str">
        <f ca="1">IFERROR(VALUE(IF(VLOOKUP($A105,数出表_Excel!$A$6:$T$150,COLUMN()/2+1,FALSE)=0,"",VLOOKUP($A105,数出表_Excel!$A$6:$T$150,COLUMN()/2+1,FALSE))),"")</f>
        <v/>
      </c>
      <c r="O105" s="142"/>
      <c r="P105" s="142" t="str">
        <f ca="1">IFERROR(VALUE(IF(VLOOKUP($A105,数出表_Excel!$A$6:$T$150,COLUMN()/2+1,FALSE)=0,"",VLOOKUP($A105,数出表_Excel!$A$6:$T$150,COLUMN()/2+1,FALSE))),"")</f>
        <v/>
      </c>
      <c r="Q105" s="142"/>
      <c r="R105" s="142" t="str">
        <f ca="1">IFERROR(VALUE(IF(VLOOKUP($A105,数出表_Excel!$A$6:$T$150,COLUMN()/2+1,FALSE)=0,"",VLOOKUP($A105,数出表_Excel!$A$6:$T$150,COLUMN()/2+1,FALSE))),"")</f>
        <v/>
      </c>
      <c r="S105" s="142"/>
      <c r="T105" s="142" t="str">
        <f ca="1">IFERROR(VALUE(IF(VLOOKUP($A105,数出表_Excel!$A$6:$T$150,COLUMN()/2+1,FALSE)=0,"",VLOOKUP($A105,数出表_Excel!$A$6:$T$150,COLUMN()/2+1,FALSE))),"")</f>
        <v/>
      </c>
      <c r="U105" s="142"/>
      <c r="V105" s="146" t="str">
        <f ca="1">IFERROR(VALUE(IF(VLOOKUP($A105,数出表_Excel!$A$6:$T$150,COLUMN()/2+1,FALSE)=0,"",VLOOKUP($A105,数出表_Excel!$A$6:$T$150,COLUMN()/2+1,FALSE))),"")</f>
        <v/>
      </c>
      <c r="W105" s="142"/>
      <c r="X105" s="146" t="str">
        <f ca="1">IFERROR(VALUE(IF(VLOOKUP($A105,数出表_Excel!$A$6:$T$150,COLUMN()/2+1,FALSE)=0,"",VLOOKUP($A105,数出表_Excel!$A$6:$T$150,COLUMN()/2+1,FALSE))),"")</f>
        <v/>
      </c>
      <c r="Y105" s="142"/>
      <c r="Z105" s="146" t="str">
        <f ca="1">IFERROR(VALUE(IF(VLOOKUP($A105,数出表_Excel!$A$6:$T$150,COLUMN()/2+1,FALSE)=0,"",VLOOKUP($A105,数出表_Excel!$A$6:$T$150,COLUMN()/2+1,FALSE))),"")</f>
        <v/>
      </c>
      <c r="AA105" s="209"/>
      <c r="AB105" s="147" t="str">
        <f ca="1">IFERROR(VALUE(IF(VLOOKUP($A105,数出表_Excel!$A$6:$T$150,COLUMN()/2+1,FALSE)=0,"",VLOOKUP($A105,数出表_Excel!$A$6:$T$150,COLUMN()/2+1,FALSE))),"")</f>
        <v/>
      </c>
      <c r="AC105" s="142"/>
      <c r="AD105" s="146" t="str">
        <f ca="1">IFERROR(VALUE(IF(VLOOKUP($A105,数出表_Excel!$A$6:$T$150,COLUMN()/2+1,FALSE)=0,"",VLOOKUP($A105,数出表_Excel!$A$6:$T$150,COLUMN()/2+1,FALSE))),"")</f>
        <v/>
      </c>
      <c r="AE105" s="142"/>
      <c r="AF105" s="146" t="str">
        <f ca="1">IFERROR(VALUE(IF(VLOOKUP($A105,数出表_Excel!$A$6:$T$150,COLUMN()/2+1,FALSE)=0,"",VLOOKUP($A105,数出表_Excel!$A$6:$T$150,COLUMN()/2+1,FALSE))),"")</f>
        <v/>
      </c>
      <c r="AG105" s="142"/>
      <c r="AH105" s="146" t="str">
        <f ca="1">IFERROR(VALUE(IF(VLOOKUP($A105,数出表_Excel!$A$6:$T$150,COLUMN()/2+1,FALSE)=0,"",VLOOKUP($A105,数出表_Excel!$A$6:$T$150,COLUMN()/2+1,FALSE))),"")</f>
        <v/>
      </c>
      <c r="AI105" s="209"/>
      <c r="AJ105" s="147" t="str">
        <f ca="1">IFERROR(VALUE(IF(VLOOKUP($A105,数出表_Excel!$A$6:$T$150,COLUMN()/2+1,FALSE)=0,"",VLOOKUP($A105,数出表_Excel!$A$6:$T$150,COLUMN()/2+1,FALSE))),"")</f>
        <v/>
      </c>
      <c r="AK105" s="142"/>
      <c r="AL105" s="148" t="e">
        <f ca="1">IF(A105&lt;&gt;"",
IF(VLOOKUP($A105,数出表_Excel!$A$6:$T$150,COLUMN()/2+1,FALSE)=0,"",VLOOKUP($A105,数出表_Excel!$A$6:$T$150,COLUMN()/2+1,FALSE)),"")</f>
        <v>#N/A</v>
      </c>
      <c r="AM105" s="263">
        <f>数出表_Excel!V105</f>
        <v>0</v>
      </c>
      <c r="AN105" s="264">
        <f>数出表_Excel!W105</f>
        <v>0</v>
      </c>
    </row>
    <row r="106" spans="1:40" ht="16.2" customHeight="1" x14ac:dyDescent="0.45">
      <c r="A106" s="219" t="str">
        <f t="array" aca="1" ref="A106" ca="1">IF(OR(COUNTIF(A104,"*10002*"),COUNTIF(A104,"")),"",INDEX(貼り付け用!$A:$A,MATCH(A104,貼り付け用!$A:$A,0)+2,0))</f>
        <v>7010</v>
      </c>
      <c r="B106" s="204" t="str">
        <f ca="1">IFERROR(VALUE(IF(VLOOKUP($A106,数出表_Excel!$A$6:$T$150,COLUMN()/2+1,FALSE)=0,"",VLOOKUP($A106,数出表_Excel!$A$6:$T$150,COLUMN()/2+1,FALSE))),"")</f>
        <v/>
      </c>
      <c r="C106" s="141"/>
      <c r="D106" s="204" t="str">
        <f ca="1">IFERROR(VALUE(IF(VLOOKUP($A106,数出表_Excel!$A$6:$T$150,COLUMN()/2+1,FALSE)=0,"",VLOOKUP($A106,数出表_Excel!$A$6:$T$150,COLUMN()/2+1,FALSE))),"")</f>
        <v/>
      </c>
      <c r="E106" s="141"/>
      <c r="F106" s="207" t="str">
        <f ca="1">IFERROR(VALUE(IF(VLOOKUP($A106,数出表_Excel!$A$6:$T$150,COLUMN()/2+1,FALSE)=0,"",VLOOKUP($A106,数出表_Excel!$A$6:$T$150,COLUMN()/2+1,FALSE))),"")</f>
        <v/>
      </c>
      <c r="G106" s="141"/>
      <c r="H106" s="204" t="str">
        <f ca="1">IFERROR(VALUE(IF(VLOOKUP($A106,数出表_Excel!$A$6:$T$150,COLUMN()/2+1,FALSE)=0,"",VLOOKUP($A106,数出表_Excel!$A$6:$T$150,COLUMN()/2+1,FALSE))),"")</f>
        <v/>
      </c>
      <c r="I106" s="141"/>
      <c r="J106" s="204" t="str">
        <f ca="1">IFERROR(VALUE(IF(VLOOKUP($A106,数出表_Excel!$A$6:$T$150,COLUMN()/2+1,FALSE)=0,"",VLOOKUP($A106,数出表_Excel!$A$6:$T$150,COLUMN()/2+1,FALSE))),"")</f>
        <v/>
      </c>
      <c r="K106" s="208"/>
      <c r="L106" s="205" t="str">
        <f ca="1">IFERROR(VALUE(IF(VLOOKUP($A106,数出表_Excel!$A$6:$T$150,COLUMN()/2+1,FALSE)=0,"",VLOOKUP($A106,数出表_Excel!$A$6:$T$150,COLUMN()/2+1,FALSE))),"")</f>
        <v/>
      </c>
      <c r="M106" s="141"/>
      <c r="N106" s="204" t="str">
        <f ca="1">IFERROR(VALUE(IF(VLOOKUP($A106,数出表_Excel!$A$6:$T$150,COLUMN()/2+1,FALSE)=0,"",VLOOKUP($A106,数出表_Excel!$A$6:$T$150,COLUMN()/2+1,FALSE))),"")</f>
        <v/>
      </c>
      <c r="O106" s="141"/>
      <c r="P106" s="204" t="str">
        <f ca="1">IFERROR(VALUE(IF(VLOOKUP($A106,数出表_Excel!$A$6:$T$150,COLUMN()/2+1,FALSE)=0,"",VLOOKUP($A106,数出表_Excel!$A$6:$T$150,COLUMN()/2+1,FALSE))),"")</f>
        <v/>
      </c>
      <c r="Q106" s="141"/>
      <c r="R106" s="204" t="str">
        <f ca="1">IFERROR(VALUE(IF(VLOOKUP($A106,数出表_Excel!$A$6:$T$150,COLUMN()/2+1,FALSE)=0,"",VLOOKUP($A106,数出表_Excel!$A$6:$T$150,COLUMN()/2+1,FALSE))),"")</f>
        <v/>
      </c>
      <c r="S106" s="141"/>
      <c r="T106" s="204" t="str">
        <f ca="1">IFERROR(VALUE(IF(VLOOKUP($A106,数出表_Excel!$A$6:$T$150,COLUMN()/2+1,FALSE)=0,"",VLOOKUP($A106,数出表_Excel!$A$6:$T$150,COLUMN()/2+1,FALSE))),"")</f>
        <v/>
      </c>
      <c r="U106" s="141"/>
      <c r="V106" s="207" t="str">
        <f ca="1">IFERROR(VALUE(IF(VLOOKUP($A106,数出表_Excel!$A$6:$T$150,COLUMN()/2+1,FALSE)=0,"",VLOOKUP($A106,数出表_Excel!$A$6:$T$150,COLUMN()/2+1,FALSE))),"")</f>
        <v/>
      </c>
      <c r="W106" s="141"/>
      <c r="X106" s="207" t="str">
        <f ca="1">IFERROR(VALUE(IF(VLOOKUP($A106,数出表_Excel!$A$6:$T$150,COLUMN()/2+1,FALSE)=0,"",VLOOKUP($A106,数出表_Excel!$A$6:$T$150,COLUMN()/2+1,FALSE))),"")</f>
        <v/>
      </c>
      <c r="Y106" s="141"/>
      <c r="Z106" s="207" t="str">
        <f ca="1">IFERROR(VALUE(IF(VLOOKUP($A106,数出表_Excel!$A$6:$T$150,COLUMN()/2+1,FALSE)=0,"",VLOOKUP($A106,数出表_Excel!$A$6:$T$150,COLUMN()/2+1,FALSE))),"")</f>
        <v/>
      </c>
      <c r="AA106" s="208"/>
      <c r="AB106" s="205" t="str">
        <f ca="1">IFERROR(VALUE(IF(VLOOKUP($A106,数出表_Excel!$A$6:$T$150,COLUMN()/2+1,FALSE)=0,"",VLOOKUP($A106,数出表_Excel!$A$6:$T$150,COLUMN()/2+1,FALSE))),"")</f>
        <v/>
      </c>
      <c r="AC106" s="141"/>
      <c r="AD106" s="207" t="str">
        <f ca="1">IFERROR(VALUE(IF(VLOOKUP($A106,数出表_Excel!$A$6:$T$150,COLUMN()/2+1,FALSE)=0,"",VLOOKUP($A106,数出表_Excel!$A$6:$T$150,COLUMN()/2+1,FALSE))),"")</f>
        <v/>
      </c>
      <c r="AE106" s="141"/>
      <c r="AF106" s="207" t="str">
        <f ca="1">IFERROR(VALUE(IF(VLOOKUP($A106,数出表_Excel!$A$6:$T$150,COLUMN()/2+1,FALSE)=0,"",VLOOKUP($A106,数出表_Excel!$A$6:$T$150,COLUMN()/2+1,FALSE))),"")</f>
        <v/>
      </c>
      <c r="AG106" s="141"/>
      <c r="AH106" s="207" t="str">
        <f ca="1">IFERROR(VALUE(IF(VLOOKUP($A106,数出表_Excel!$A$6:$T$150,COLUMN()/2+1,FALSE)=0,"",VLOOKUP($A106,数出表_Excel!$A$6:$T$150,COLUMN()/2+1,FALSE))),"")</f>
        <v/>
      </c>
      <c r="AI106" s="208"/>
      <c r="AJ106" s="205" t="str">
        <f ca="1">IFERROR(VALUE(IF(VLOOKUP($A106,数出表_Excel!$A$6:$T$150,COLUMN()/2+1,FALSE)=0,"",VLOOKUP($A106,数出表_Excel!$A$6:$T$150,COLUMN()/2+1,FALSE))),"")</f>
        <v/>
      </c>
      <c r="AK106" s="141"/>
      <c r="AL106" s="145" t="e">
        <f ca="1">IF(A106&lt;&gt;"",
IF(VLOOKUP($A106,数出表_Excel!$A$6:$T$150,COLUMN()/2+1,FALSE)=0,"",VLOOKUP($A106,数出表_Excel!$A$6:$T$150,COLUMN()/2+1,FALSE)),"")</f>
        <v>#N/A</v>
      </c>
      <c r="AM106" s="261">
        <f>数出表_Excel!V106</f>
        <v>0</v>
      </c>
      <c r="AN106" s="262">
        <f>数出表_Excel!W106</f>
        <v>0</v>
      </c>
    </row>
    <row r="107" spans="1:40" ht="16.2" customHeight="1" x14ac:dyDescent="0.45">
      <c r="A107" s="220" t="str">
        <f t="array" aca="1" ref="A107" ca="1">IF(OR(COUNTIF(A105,"*1000*"),COUNTIF(A105,"")),"",INDEX(貼り付け用!$A:$A,MATCH(A105,貼り付け用!$A:$A,0)+2,0))</f>
        <v>バディアカデミー</v>
      </c>
      <c r="B107" s="142" t="str">
        <f ca="1">IFERROR(VALUE(IF(VLOOKUP($A107,数出表_Excel!$A$6:$T$150,COLUMN()/2+1,FALSE)=0,"",VLOOKUP($A107,数出表_Excel!$A$6:$T$150,COLUMN()/2+1,FALSE))),"")</f>
        <v/>
      </c>
      <c r="C107" s="142"/>
      <c r="D107" s="142" t="str">
        <f ca="1">IFERROR(VALUE(IF(VLOOKUP($A107,数出表_Excel!$A$6:$T$150,COLUMN()/2+1,FALSE)=0,"",VLOOKUP($A107,数出表_Excel!$A$6:$T$150,COLUMN()/2+1,FALSE))),"")</f>
        <v/>
      </c>
      <c r="E107" s="142"/>
      <c r="F107" s="146" t="str">
        <f ca="1">IFERROR(VALUE(IF(VLOOKUP($A107,数出表_Excel!$A$6:$T$150,COLUMN()/2+1,FALSE)=0,"",VLOOKUP($A107,数出表_Excel!$A$6:$T$150,COLUMN()/2+1,FALSE))),"")</f>
        <v/>
      </c>
      <c r="G107" s="142"/>
      <c r="H107" s="142" t="str">
        <f ca="1">IFERROR(VALUE(IF(VLOOKUP($A107,数出表_Excel!$A$6:$T$150,COLUMN()/2+1,FALSE)=0,"",VLOOKUP($A107,数出表_Excel!$A$6:$T$150,COLUMN()/2+1,FALSE))),"")</f>
        <v/>
      </c>
      <c r="I107" s="142"/>
      <c r="J107" s="142" t="str">
        <f ca="1">IFERROR(VALUE(IF(VLOOKUP($A107,数出表_Excel!$A$6:$T$150,COLUMN()/2+1,FALSE)=0,"",VLOOKUP($A107,数出表_Excel!$A$6:$T$150,COLUMN()/2+1,FALSE))),"")</f>
        <v/>
      </c>
      <c r="K107" s="209"/>
      <c r="L107" s="147" t="str">
        <f ca="1">IFERROR(VALUE(IF(VLOOKUP($A107,数出表_Excel!$A$6:$T$150,COLUMN()/2+1,FALSE)=0,"",VLOOKUP($A107,数出表_Excel!$A$6:$T$150,COLUMN()/2+1,FALSE))),"")</f>
        <v/>
      </c>
      <c r="M107" s="142"/>
      <c r="N107" s="142" t="str">
        <f ca="1">IFERROR(VALUE(IF(VLOOKUP($A107,数出表_Excel!$A$6:$T$150,COLUMN()/2+1,FALSE)=0,"",VLOOKUP($A107,数出表_Excel!$A$6:$T$150,COLUMN()/2+1,FALSE))),"")</f>
        <v/>
      </c>
      <c r="O107" s="142"/>
      <c r="P107" s="142" t="str">
        <f ca="1">IFERROR(VALUE(IF(VLOOKUP($A107,数出表_Excel!$A$6:$T$150,COLUMN()/2+1,FALSE)=0,"",VLOOKUP($A107,数出表_Excel!$A$6:$T$150,COLUMN()/2+1,FALSE))),"")</f>
        <v/>
      </c>
      <c r="Q107" s="142"/>
      <c r="R107" s="142" t="str">
        <f ca="1">IFERROR(VALUE(IF(VLOOKUP($A107,数出表_Excel!$A$6:$T$150,COLUMN()/2+1,FALSE)=0,"",VLOOKUP($A107,数出表_Excel!$A$6:$T$150,COLUMN()/2+1,FALSE))),"")</f>
        <v/>
      </c>
      <c r="S107" s="142"/>
      <c r="T107" s="142" t="str">
        <f ca="1">IFERROR(VALUE(IF(VLOOKUP($A107,数出表_Excel!$A$6:$T$150,COLUMN()/2+1,FALSE)=0,"",VLOOKUP($A107,数出表_Excel!$A$6:$T$150,COLUMN()/2+1,FALSE))),"")</f>
        <v/>
      </c>
      <c r="U107" s="142"/>
      <c r="V107" s="146" t="str">
        <f ca="1">IFERROR(VALUE(IF(VLOOKUP($A107,数出表_Excel!$A$6:$T$150,COLUMN()/2+1,FALSE)=0,"",VLOOKUP($A107,数出表_Excel!$A$6:$T$150,COLUMN()/2+1,FALSE))),"")</f>
        <v/>
      </c>
      <c r="W107" s="142"/>
      <c r="X107" s="146" t="str">
        <f ca="1">IFERROR(VALUE(IF(VLOOKUP($A107,数出表_Excel!$A$6:$T$150,COLUMN()/2+1,FALSE)=0,"",VLOOKUP($A107,数出表_Excel!$A$6:$T$150,COLUMN()/2+1,FALSE))),"")</f>
        <v/>
      </c>
      <c r="Y107" s="142"/>
      <c r="Z107" s="146" t="str">
        <f ca="1">IFERROR(VALUE(IF(VLOOKUP($A107,数出表_Excel!$A$6:$T$150,COLUMN()/2+1,FALSE)=0,"",VLOOKUP($A107,数出表_Excel!$A$6:$T$150,COLUMN()/2+1,FALSE))),"")</f>
        <v/>
      </c>
      <c r="AA107" s="209"/>
      <c r="AB107" s="147" t="str">
        <f ca="1">IFERROR(VALUE(IF(VLOOKUP($A107,数出表_Excel!$A$6:$T$150,COLUMN()/2+1,FALSE)=0,"",VLOOKUP($A107,数出表_Excel!$A$6:$T$150,COLUMN()/2+1,FALSE))),"")</f>
        <v/>
      </c>
      <c r="AC107" s="142"/>
      <c r="AD107" s="146" t="str">
        <f ca="1">IFERROR(VALUE(IF(VLOOKUP($A107,数出表_Excel!$A$6:$T$150,COLUMN()/2+1,FALSE)=0,"",VLOOKUP($A107,数出表_Excel!$A$6:$T$150,COLUMN()/2+1,FALSE))),"")</f>
        <v/>
      </c>
      <c r="AE107" s="142"/>
      <c r="AF107" s="146" t="str">
        <f ca="1">IFERROR(VALUE(IF(VLOOKUP($A107,数出表_Excel!$A$6:$T$150,COLUMN()/2+1,FALSE)=0,"",VLOOKUP($A107,数出表_Excel!$A$6:$T$150,COLUMN()/2+1,FALSE))),"")</f>
        <v/>
      </c>
      <c r="AG107" s="142"/>
      <c r="AH107" s="146" t="str">
        <f ca="1">IFERROR(VALUE(IF(VLOOKUP($A107,数出表_Excel!$A$6:$T$150,COLUMN()/2+1,FALSE)=0,"",VLOOKUP($A107,数出表_Excel!$A$6:$T$150,COLUMN()/2+1,FALSE))),"")</f>
        <v/>
      </c>
      <c r="AI107" s="209"/>
      <c r="AJ107" s="147" t="str">
        <f ca="1">IFERROR(VALUE(IF(VLOOKUP($A107,数出表_Excel!$A$6:$T$150,COLUMN()/2+1,FALSE)=0,"",VLOOKUP($A107,数出表_Excel!$A$6:$T$150,COLUMN()/2+1,FALSE))),"")</f>
        <v/>
      </c>
      <c r="AK107" s="142"/>
      <c r="AL107" s="148" t="e">
        <f ca="1">IF(A107&lt;&gt;"",
IF(VLOOKUP($A107,数出表_Excel!$A$6:$T$150,COLUMN()/2+1,FALSE)=0,"",VLOOKUP($A107,数出表_Excel!$A$6:$T$150,COLUMN()/2+1,FALSE)),"")</f>
        <v>#N/A</v>
      </c>
      <c r="AM107" s="263">
        <f>数出表_Excel!V107</f>
        <v>0</v>
      </c>
      <c r="AN107" s="264">
        <f>数出表_Excel!W107</f>
        <v>0</v>
      </c>
    </row>
    <row r="108" spans="1:40" ht="16.2" customHeight="1" x14ac:dyDescent="0.45">
      <c r="A108" s="219" t="str">
        <f t="array" aca="1" ref="A108" ca="1">IF(OR(COUNTIF(A106,"*10002*"),COUNTIF(A106,"")),"",INDEX(貼り付け用!$A:$A,MATCH(A106,貼り付け用!$A:$A,0)+2,0))</f>
        <v>4700</v>
      </c>
      <c r="B108" s="204" t="str">
        <f ca="1">IFERROR(VALUE(IF(VLOOKUP($A108,数出表_Excel!$A$6:$T$150,COLUMN()/2+1,FALSE)=0,"",VLOOKUP($A108,数出表_Excel!$A$6:$T$150,COLUMN()/2+1,FALSE))),"")</f>
        <v/>
      </c>
      <c r="C108" s="141"/>
      <c r="D108" s="204" t="str">
        <f ca="1">IFERROR(VALUE(IF(VLOOKUP($A108,数出表_Excel!$A$6:$T$150,COLUMN()/2+1,FALSE)=0,"",VLOOKUP($A108,数出表_Excel!$A$6:$T$150,COLUMN()/2+1,FALSE))),"")</f>
        <v/>
      </c>
      <c r="E108" s="141"/>
      <c r="F108" s="207" t="str">
        <f ca="1">IFERROR(VALUE(IF(VLOOKUP($A108,数出表_Excel!$A$6:$T$150,COLUMN()/2+1,FALSE)=0,"",VLOOKUP($A108,数出表_Excel!$A$6:$T$150,COLUMN()/2+1,FALSE))),"")</f>
        <v/>
      </c>
      <c r="G108" s="141"/>
      <c r="H108" s="204" t="str">
        <f ca="1">IFERROR(VALUE(IF(VLOOKUP($A108,数出表_Excel!$A$6:$T$150,COLUMN()/2+1,FALSE)=0,"",VLOOKUP($A108,数出表_Excel!$A$6:$T$150,COLUMN()/2+1,FALSE))),"")</f>
        <v/>
      </c>
      <c r="I108" s="141"/>
      <c r="J108" s="204" t="str">
        <f ca="1">IFERROR(VALUE(IF(VLOOKUP($A108,数出表_Excel!$A$6:$T$150,COLUMN()/2+1,FALSE)=0,"",VLOOKUP($A108,数出表_Excel!$A$6:$T$150,COLUMN()/2+1,FALSE))),"")</f>
        <v/>
      </c>
      <c r="K108" s="208"/>
      <c r="L108" s="205" t="str">
        <f ca="1">IFERROR(VALUE(IF(VLOOKUP($A108,数出表_Excel!$A$6:$T$150,COLUMN()/2+1,FALSE)=0,"",VLOOKUP($A108,数出表_Excel!$A$6:$T$150,COLUMN()/2+1,FALSE))),"")</f>
        <v/>
      </c>
      <c r="M108" s="141"/>
      <c r="N108" s="204" t="str">
        <f ca="1">IFERROR(VALUE(IF(VLOOKUP($A108,数出表_Excel!$A$6:$T$150,COLUMN()/2+1,FALSE)=0,"",VLOOKUP($A108,数出表_Excel!$A$6:$T$150,COLUMN()/2+1,FALSE))),"")</f>
        <v/>
      </c>
      <c r="O108" s="141"/>
      <c r="P108" s="204" t="str">
        <f ca="1">IFERROR(VALUE(IF(VLOOKUP($A108,数出表_Excel!$A$6:$T$150,COLUMN()/2+1,FALSE)=0,"",VLOOKUP($A108,数出表_Excel!$A$6:$T$150,COLUMN()/2+1,FALSE))),"")</f>
        <v/>
      </c>
      <c r="Q108" s="141"/>
      <c r="R108" s="204" t="str">
        <f ca="1">IFERROR(VALUE(IF(VLOOKUP($A108,数出表_Excel!$A$6:$T$150,COLUMN()/2+1,FALSE)=0,"",VLOOKUP($A108,数出表_Excel!$A$6:$T$150,COLUMN()/2+1,FALSE))),"")</f>
        <v/>
      </c>
      <c r="S108" s="141"/>
      <c r="T108" s="204" t="str">
        <f ca="1">IFERROR(VALUE(IF(VLOOKUP($A108,数出表_Excel!$A$6:$T$150,COLUMN()/2+1,FALSE)=0,"",VLOOKUP($A108,数出表_Excel!$A$6:$T$150,COLUMN()/2+1,FALSE))),"")</f>
        <v/>
      </c>
      <c r="U108" s="141"/>
      <c r="V108" s="207" t="str">
        <f ca="1">IFERROR(VALUE(IF(VLOOKUP($A108,数出表_Excel!$A$6:$T$150,COLUMN()/2+1,FALSE)=0,"",VLOOKUP($A108,数出表_Excel!$A$6:$T$150,COLUMN()/2+1,FALSE))),"")</f>
        <v/>
      </c>
      <c r="W108" s="141"/>
      <c r="X108" s="207" t="str">
        <f ca="1">IFERROR(VALUE(IF(VLOOKUP($A108,数出表_Excel!$A$6:$T$150,COLUMN()/2+1,FALSE)=0,"",VLOOKUP($A108,数出表_Excel!$A$6:$T$150,COLUMN()/2+1,FALSE))),"")</f>
        <v/>
      </c>
      <c r="Y108" s="141"/>
      <c r="Z108" s="207" t="str">
        <f ca="1">IFERROR(VALUE(IF(VLOOKUP($A108,数出表_Excel!$A$6:$T$150,COLUMN()/2+1,FALSE)=0,"",VLOOKUP($A108,数出表_Excel!$A$6:$T$150,COLUMN()/2+1,FALSE))),"")</f>
        <v/>
      </c>
      <c r="AA108" s="208"/>
      <c r="AB108" s="205" t="str">
        <f ca="1">IFERROR(VALUE(IF(VLOOKUP($A108,数出表_Excel!$A$6:$T$150,COLUMN()/2+1,FALSE)=0,"",VLOOKUP($A108,数出表_Excel!$A$6:$T$150,COLUMN()/2+1,FALSE))),"")</f>
        <v/>
      </c>
      <c r="AC108" s="141"/>
      <c r="AD108" s="207" t="str">
        <f ca="1">IFERROR(VALUE(IF(VLOOKUP($A108,数出表_Excel!$A$6:$T$150,COLUMN()/2+1,FALSE)=0,"",VLOOKUP($A108,数出表_Excel!$A$6:$T$150,COLUMN()/2+1,FALSE))),"")</f>
        <v/>
      </c>
      <c r="AE108" s="141"/>
      <c r="AF108" s="207" t="str">
        <f ca="1">IFERROR(VALUE(IF(VLOOKUP($A108,数出表_Excel!$A$6:$T$150,COLUMN()/2+1,FALSE)=0,"",VLOOKUP($A108,数出表_Excel!$A$6:$T$150,COLUMN()/2+1,FALSE))),"")</f>
        <v/>
      </c>
      <c r="AG108" s="141"/>
      <c r="AH108" s="207" t="str">
        <f ca="1">IFERROR(VALUE(IF(VLOOKUP($A108,数出表_Excel!$A$6:$T$150,COLUMN()/2+1,FALSE)=0,"",VLOOKUP($A108,数出表_Excel!$A$6:$T$150,COLUMN()/2+1,FALSE))),"")</f>
        <v/>
      </c>
      <c r="AI108" s="208"/>
      <c r="AJ108" s="205" t="str">
        <f ca="1">IFERROR(VALUE(IF(VLOOKUP($A108,数出表_Excel!$A$6:$T$150,COLUMN()/2+1,FALSE)=0,"",VLOOKUP($A108,数出表_Excel!$A$6:$T$150,COLUMN()/2+1,FALSE))),"")</f>
        <v/>
      </c>
      <c r="AK108" s="141"/>
      <c r="AL108" s="145" t="e">
        <f ca="1">IF(A108&lt;&gt;"",
IF(VLOOKUP($A108,数出表_Excel!$A$6:$T$150,COLUMN()/2+1,FALSE)=0,"",VLOOKUP($A108,数出表_Excel!$A$6:$T$150,COLUMN()/2+1,FALSE)),"")</f>
        <v>#N/A</v>
      </c>
      <c r="AM108" s="261">
        <f>数出表_Excel!V108</f>
        <v>0</v>
      </c>
      <c r="AN108" s="262">
        <f>数出表_Excel!W108</f>
        <v>0</v>
      </c>
    </row>
    <row r="109" spans="1:40" ht="16.2" customHeight="1" x14ac:dyDescent="0.45">
      <c r="A109" s="220" t="str">
        <f t="array" aca="1" ref="A109" ca="1">IF(OR(COUNTIF(A107,"*1000*"),COUNTIF(A107,"")),"",INDEX(貼り付け用!$A:$A,MATCH(A107,貼り付け用!$A:$A,0)+2,0))</f>
        <v>はたなか</v>
      </c>
      <c r="B109" s="142" t="str">
        <f ca="1">IFERROR(VALUE(IF(VLOOKUP($A109,数出表_Excel!$A$6:$T$150,COLUMN()/2+1,FALSE)=0,"",VLOOKUP($A109,数出表_Excel!$A$6:$T$150,COLUMN()/2+1,FALSE))),"")</f>
        <v/>
      </c>
      <c r="C109" s="142"/>
      <c r="D109" s="142" t="str">
        <f ca="1">IFERROR(VALUE(IF(VLOOKUP($A109,数出表_Excel!$A$6:$T$150,COLUMN()/2+1,FALSE)=0,"",VLOOKUP($A109,数出表_Excel!$A$6:$T$150,COLUMN()/2+1,FALSE))),"")</f>
        <v/>
      </c>
      <c r="E109" s="142"/>
      <c r="F109" s="146" t="str">
        <f ca="1">IFERROR(VALUE(IF(VLOOKUP($A109,数出表_Excel!$A$6:$T$150,COLUMN()/2+1,FALSE)=0,"",VLOOKUP($A109,数出表_Excel!$A$6:$T$150,COLUMN()/2+1,FALSE))),"")</f>
        <v/>
      </c>
      <c r="G109" s="142"/>
      <c r="H109" s="142" t="str">
        <f ca="1">IFERROR(VALUE(IF(VLOOKUP($A109,数出表_Excel!$A$6:$T$150,COLUMN()/2+1,FALSE)=0,"",VLOOKUP($A109,数出表_Excel!$A$6:$T$150,COLUMN()/2+1,FALSE))),"")</f>
        <v/>
      </c>
      <c r="I109" s="142"/>
      <c r="J109" s="142" t="str">
        <f ca="1">IFERROR(VALUE(IF(VLOOKUP($A109,数出表_Excel!$A$6:$T$150,COLUMN()/2+1,FALSE)=0,"",VLOOKUP($A109,数出表_Excel!$A$6:$T$150,COLUMN()/2+1,FALSE))),"")</f>
        <v/>
      </c>
      <c r="K109" s="209"/>
      <c r="L109" s="147" t="str">
        <f ca="1">IFERROR(VALUE(IF(VLOOKUP($A109,数出表_Excel!$A$6:$T$150,COLUMN()/2+1,FALSE)=0,"",VLOOKUP($A109,数出表_Excel!$A$6:$T$150,COLUMN()/2+1,FALSE))),"")</f>
        <v/>
      </c>
      <c r="M109" s="142"/>
      <c r="N109" s="142" t="str">
        <f ca="1">IFERROR(VALUE(IF(VLOOKUP($A109,数出表_Excel!$A$6:$T$150,COLUMN()/2+1,FALSE)=0,"",VLOOKUP($A109,数出表_Excel!$A$6:$T$150,COLUMN()/2+1,FALSE))),"")</f>
        <v/>
      </c>
      <c r="O109" s="142"/>
      <c r="P109" s="142" t="str">
        <f ca="1">IFERROR(VALUE(IF(VLOOKUP($A109,数出表_Excel!$A$6:$T$150,COLUMN()/2+1,FALSE)=0,"",VLOOKUP($A109,数出表_Excel!$A$6:$T$150,COLUMN()/2+1,FALSE))),"")</f>
        <v/>
      </c>
      <c r="Q109" s="142"/>
      <c r="R109" s="142" t="str">
        <f ca="1">IFERROR(VALUE(IF(VLOOKUP($A109,数出表_Excel!$A$6:$T$150,COLUMN()/2+1,FALSE)=0,"",VLOOKUP($A109,数出表_Excel!$A$6:$T$150,COLUMN()/2+1,FALSE))),"")</f>
        <v/>
      </c>
      <c r="S109" s="142"/>
      <c r="T109" s="142" t="str">
        <f ca="1">IFERROR(VALUE(IF(VLOOKUP($A109,数出表_Excel!$A$6:$T$150,COLUMN()/2+1,FALSE)=0,"",VLOOKUP($A109,数出表_Excel!$A$6:$T$150,COLUMN()/2+1,FALSE))),"")</f>
        <v/>
      </c>
      <c r="U109" s="142"/>
      <c r="V109" s="146" t="str">
        <f ca="1">IFERROR(VALUE(IF(VLOOKUP($A109,数出表_Excel!$A$6:$T$150,COLUMN()/2+1,FALSE)=0,"",VLOOKUP($A109,数出表_Excel!$A$6:$T$150,COLUMN()/2+1,FALSE))),"")</f>
        <v/>
      </c>
      <c r="W109" s="142"/>
      <c r="X109" s="146" t="str">
        <f ca="1">IFERROR(VALUE(IF(VLOOKUP($A109,数出表_Excel!$A$6:$T$150,COLUMN()/2+1,FALSE)=0,"",VLOOKUP($A109,数出表_Excel!$A$6:$T$150,COLUMN()/2+1,FALSE))),"")</f>
        <v/>
      </c>
      <c r="Y109" s="142"/>
      <c r="Z109" s="146" t="str">
        <f ca="1">IFERROR(VALUE(IF(VLOOKUP($A109,数出表_Excel!$A$6:$T$150,COLUMN()/2+1,FALSE)=0,"",VLOOKUP($A109,数出表_Excel!$A$6:$T$150,COLUMN()/2+1,FALSE))),"")</f>
        <v/>
      </c>
      <c r="AA109" s="209"/>
      <c r="AB109" s="147" t="str">
        <f ca="1">IFERROR(VALUE(IF(VLOOKUP($A109,数出表_Excel!$A$6:$T$150,COLUMN()/2+1,FALSE)=0,"",VLOOKUP($A109,数出表_Excel!$A$6:$T$150,COLUMN()/2+1,FALSE))),"")</f>
        <v/>
      </c>
      <c r="AC109" s="142"/>
      <c r="AD109" s="146" t="str">
        <f ca="1">IFERROR(VALUE(IF(VLOOKUP($A109,数出表_Excel!$A$6:$T$150,COLUMN()/2+1,FALSE)=0,"",VLOOKUP($A109,数出表_Excel!$A$6:$T$150,COLUMN()/2+1,FALSE))),"")</f>
        <v/>
      </c>
      <c r="AE109" s="142"/>
      <c r="AF109" s="146" t="str">
        <f ca="1">IFERROR(VALUE(IF(VLOOKUP($A109,数出表_Excel!$A$6:$T$150,COLUMN()/2+1,FALSE)=0,"",VLOOKUP($A109,数出表_Excel!$A$6:$T$150,COLUMN()/2+1,FALSE))),"")</f>
        <v/>
      </c>
      <c r="AG109" s="142"/>
      <c r="AH109" s="146" t="str">
        <f ca="1">IFERROR(VALUE(IF(VLOOKUP($A109,数出表_Excel!$A$6:$T$150,COLUMN()/2+1,FALSE)=0,"",VLOOKUP($A109,数出表_Excel!$A$6:$T$150,COLUMN()/2+1,FALSE))),"")</f>
        <v/>
      </c>
      <c r="AI109" s="209"/>
      <c r="AJ109" s="147" t="str">
        <f ca="1">IFERROR(VALUE(IF(VLOOKUP($A109,数出表_Excel!$A$6:$T$150,COLUMN()/2+1,FALSE)=0,"",VLOOKUP($A109,数出表_Excel!$A$6:$T$150,COLUMN()/2+1,FALSE))),"")</f>
        <v/>
      </c>
      <c r="AK109" s="142"/>
      <c r="AL109" s="148" t="e">
        <f ca="1">IF(A109&lt;&gt;"",
IF(VLOOKUP($A109,数出表_Excel!$A$6:$T$150,COLUMN()/2+1,FALSE)=0,"",VLOOKUP($A109,数出表_Excel!$A$6:$T$150,COLUMN()/2+1,FALSE)),"")</f>
        <v>#N/A</v>
      </c>
      <c r="AM109" s="263">
        <f>数出表_Excel!V109</f>
        <v>0</v>
      </c>
      <c r="AN109" s="264">
        <f>数出表_Excel!W109</f>
        <v>0</v>
      </c>
    </row>
    <row r="110" spans="1:40" ht="16.2" customHeight="1" x14ac:dyDescent="0.45">
      <c r="A110" s="219" t="str">
        <f t="array" aca="1" ref="A110" ca="1">IF(OR(COUNTIF(A108,"*10002*"),COUNTIF(A108,"")),"",INDEX(貼り付け用!$A:$A,MATCH(A108,貼り付け用!$A:$A,0)+2,0))</f>
        <v>4800</v>
      </c>
      <c r="B110" s="204" t="str">
        <f ca="1">IFERROR(VALUE(IF(VLOOKUP($A110,数出表_Excel!$A$6:$T$150,COLUMN()/2+1,FALSE)=0,"",VLOOKUP($A110,数出表_Excel!$A$6:$T$150,COLUMN()/2+1,FALSE))),"")</f>
        <v/>
      </c>
      <c r="C110" s="141"/>
      <c r="D110" s="204" t="str">
        <f ca="1">IFERROR(VALUE(IF(VLOOKUP($A110,数出表_Excel!$A$6:$T$150,COLUMN()/2+1,FALSE)=0,"",VLOOKUP($A110,数出表_Excel!$A$6:$T$150,COLUMN()/2+1,FALSE))),"")</f>
        <v/>
      </c>
      <c r="E110" s="141"/>
      <c r="F110" s="207" t="str">
        <f ca="1">IFERROR(VALUE(IF(VLOOKUP($A110,数出表_Excel!$A$6:$T$150,COLUMN()/2+1,FALSE)=0,"",VLOOKUP($A110,数出表_Excel!$A$6:$T$150,COLUMN()/2+1,FALSE))),"")</f>
        <v/>
      </c>
      <c r="G110" s="141"/>
      <c r="H110" s="204" t="str">
        <f ca="1">IFERROR(VALUE(IF(VLOOKUP($A110,数出表_Excel!$A$6:$T$150,COLUMN()/2+1,FALSE)=0,"",VLOOKUP($A110,数出表_Excel!$A$6:$T$150,COLUMN()/2+1,FALSE))),"")</f>
        <v/>
      </c>
      <c r="I110" s="141"/>
      <c r="J110" s="204" t="str">
        <f ca="1">IFERROR(VALUE(IF(VLOOKUP($A110,数出表_Excel!$A$6:$T$150,COLUMN()/2+1,FALSE)=0,"",VLOOKUP($A110,数出表_Excel!$A$6:$T$150,COLUMN()/2+1,FALSE))),"")</f>
        <v/>
      </c>
      <c r="K110" s="208"/>
      <c r="L110" s="205" t="str">
        <f ca="1">IFERROR(VALUE(IF(VLOOKUP($A110,数出表_Excel!$A$6:$T$150,COLUMN()/2+1,FALSE)=0,"",VLOOKUP($A110,数出表_Excel!$A$6:$T$150,COLUMN()/2+1,FALSE))),"")</f>
        <v/>
      </c>
      <c r="M110" s="141"/>
      <c r="N110" s="204" t="str">
        <f ca="1">IFERROR(VALUE(IF(VLOOKUP($A110,数出表_Excel!$A$6:$T$150,COLUMN()/2+1,FALSE)=0,"",VLOOKUP($A110,数出表_Excel!$A$6:$T$150,COLUMN()/2+1,FALSE))),"")</f>
        <v/>
      </c>
      <c r="O110" s="141"/>
      <c r="P110" s="204" t="str">
        <f ca="1">IFERROR(VALUE(IF(VLOOKUP($A110,数出表_Excel!$A$6:$T$150,COLUMN()/2+1,FALSE)=0,"",VLOOKUP($A110,数出表_Excel!$A$6:$T$150,COLUMN()/2+1,FALSE))),"")</f>
        <v/>
      </c>
      <c r="Q110" s="141"/>
      <c r="R110" s="204" t="str">
        <f ca="1">IFERROR(VALUE(IF(VLOOKUP($A110,数出表_Excel!$A$6:$T$150,COLUMN()/2+1,FALSE)=0,"",VLOOKUP($A110,数出表_Excel!$A$6:$T$150,COLUMN()/2+1,FALSE))),"")</f>
        <v/>
      </c>
      <c r="S110" s="141"/>
      <c r="T110" s="204" t="str">
        <f ca="1">IFERROR(VALUE(IF(VLOOKUP($A110,数出表_Excel!$A$6:$T$150,COLUMN()/2+1,FALSE)=0,"",VLOOKUP($A110,数出表_Excel!$A$6:$T$150,COLUMN()/2+1,FALSE))),"")</f>
        <v/>
      </c>
      <c r="U110" s="141"/>
      <c r="V110" s="207" t="str">
        <f ca="1">IFERROR(VALUE(IF(VLOOKUP($A110,数出表_Excel!$A$6:$T$150,COLUMN()/2+1,FALSE)=0,"",VLOOKUP($A110,数出表_Excel!$A$6:$T$150,COLUMN()/2+1,FALSE))),"")</f>
        <v/>
      </c>
      <c r="W110" s="141"/>
      <c r="X110" s="207" t="str">
        <f ca="1">IFERROR(VALUE(IF(VLOOKUP($A110,数出表_Excel!$A$6:$T$150,COLUMN()/2+1,FALSE)=0,"",VLOOKUP($A110,数出表_Excel!$A$6:$T$150,COLUMN()/2+1,FALSE))),"")</f>
        <v/>
      </c>
      <c r="Y110" s="141"/>
      <c r="Z110" s="207" t="str">
        <f ca="1">IFERROR(VALUE(IF(VLOOKUP($A110,数出表_Excel!$A$6:$T$150,COLUMN()/2+1,FALSE)=0,"",VLOOKUP($A110,数出表_Excel!$A$6:$T$150,COLUMN()/2+1,FALSE))),"")</f>
        <v/>
      </c>
      <c r="AA110" s="208"/>
      <c r="AB110" s="205" t="str">
        <f ca="1">IFERROR(VALUE(IF(VLOOKUP($A110,数出表_Excel!$A$6:$T$150,COLUMN()/2+1,FALSE)=0,"",VLOOKUP($A110,数出表_Excel!$A$6:$T$150,COLUMN()/2+1,FALSE))),"")</f>
        <v/>
      </c>
      <c r="AC110" s="141"/>
      <c r="AD110" s="207" t="str">
        <f ca="1">IFERROR(VALUE(IF(VLOOKUP($A110,数出表_Excel!$A$6:$T$150,COLUMN()/2+1,FALSE)=0,"",VLOOKUP($A110,数出表_Excel!$A$6:$T$150,COLUMN()/2+1,FALSE))),"")</f>
        <v/>
      </c>
      <c r="AE110" s="141"/>
      <c r="AF110" s="207" t="str">
        <f ca="1">IFERROR(VALUE(IF(VLOOKUP($A110,数出表_Excel!$A$6:$T$150,COLUMN()/2+1,FALSE)=0,"",VLOOKUP($A110,数出表_Excel!$A$6:$T$150,COLUMN()/2+1,FALSE))),"")</f>
        <v/>
      </c>
      <c r="AG110" s="141"/>
      <c r="AH110" s="207" t="str">
        <f ca="1">IFERROR(VALUE(IF(VLOOKUP($A110,数出表_Excel!$A$6:$T$150,COLUMN()/2+1,FALSE)=0,"",VLOOKUP($A110,数出表_Excel!$A$6:$T$150,COLUMN()/2+1,FALSE))),"")</f>
        <v/>
      </c>
      <c r="AI110" s="208"/>
      <c r="AJ110" s="205" t="str">
        <f ca="1">IFERROR(VALUE(IF(VLOOKUP($A110,数出表_Excel!$A$6:$T$150,COLUMN()/2+1,FALSE)=0,"",VLOOKUP($A110,数出表_Excel!$A$6:$T$150,COLUMN()/2+1,FALSE))),"")</f>
        <v/>
      </c>
      <c r="AK110" s="141"/>
      <c r="AL110" s="145" t="e">
        <f ca="1">IF(A110&lt;&gt;"",
IF(VLOOKUP($A110,数出表_Excel!$A$6:$T$150,COLUMN()/2+1,FALSE)=0,"",VLOOKUP($A110,数出表_Excel!$A$6:$T$150,COLUMN()/2+1,FALSE)),"")</f>
        <v>#N/A</v>
      </c>
      <c r="AM110" s="261">
        <f>数出表_Excel!V110</f>
        <v>0</v>
      </c>
      <c r="AN110" s="262">
        <f>数出表_Excel!W110</f>
        <v>0</v>
      </c>
    </row>
    <row r="111" spans="1:40" ht="16.2" customHeight="1" x14ac:dyDescent="0.45">
      <c r="A111" s="220" t="str">
        <f t="array" aca="1" ref="A111" ca="1">IF(OR(COUNTIF(A109,"*1000*"),COUNTIF(A109,"")),"",INDEX(貼り付け用!$A:$A,MATCH(A109,貼り付け用!$A:$A,0)+2,0))</f>
        <v>社食</v>
      </c>
      <c r="B111" s="142" t="str">
        <f ca="1">IFERROR(VALUE(IF(VLOOKUP($A111,数出表_Excel!$A$6:$T$150,COLUMN()/2+1,FALSE)=0,"",VLOOKUP($A111,数出表_Excel!$A$6:$T$150,COLUMN()/2+1,FALSE))),"")</f>
        <v/>
      </c>
      <c r="C111" s="142"/>
      <c r="D111" s="142" t="str">
        <f ca="1">IFERROR(VALUE(IF(VLOOKUP($A111,数出表_Excel!$A$6:$T$150,COLUMN()/2+1,FALSE)=0,"",VLOOKUP($A111,数出表_Excel!$A$6:$T$150,COLUMN()/2+1,FALSE))),"")</f>
        <v/>
      </c>
      <c r="E111" s="142"/>
      <c r="F111" s="146" t="str">
        <f ca="1">IFERROR(VALUE(IF(VLOOKUP($A111,数出表_Excel!$A$6:$T$150,COLUMN()/2+1,FALSE)=0,"",VLOOKUP($A111,数出表_Excel!$A$6:$T$150,COLUMN()/2+1,FALSE))),"")</f>
        <v/>
      </c>
      <c r="G111" s="142"/>
      <c r="H111" s="142" t="str">
        <f ca="1">IFERROR(VALUE(IF(VLOOKUP($A111,数出表_Excel!$A$6:$T$150,COLUMN()/2+1,FALSE)=0,"",VLOOKUP($A111,数出表_Excel!$A$6:$T$150,COLUMN()/2+1,FALSE))),"")</f>
        <v/>
      </c>
      <c r="I111" s="142"/>
      <c r="J111" s="142" t="str">
        <f ca="1">IFERROR(VALUE(IF(VLOOKUP($A111,数出表_Excel!$A$6:$T$150,COLUMN()/2+1,FALSE)=0,"",VLOOKUP($A111,数出表_Excel!$A$6:$T$150,COLUMN()/2+1,FALSE))),"")</f>
        <v/>
      </c>
      <c r="K111" s="209"/>
      <c r="L111" s="147" t="str">
        <f ca="1">IFERROR(VALUE(IF(VLOOKUP($A111,数出表_Excel!$A$6:$T$150,COLUMN()/2+1,FALSE)=0,"",VLOOKUP($A111,数出表_Excel!$A$6:$T$150,COLUMN()/2+1,FALSE))),"")</f>
        <v/>
      </c>
      <c r="M111" s="142"/>
      <c r="N111" s="142" t="str">
        <f ca="1">IFERROR(VALUE(IF(VLOOKUP($A111,数出表_Excel!$A$6:$T$150,COLUMN()/2+1,FALSE)=0,"",VLOOKUP($A111,数出表_Excel!$A$6:$T$150,COLUMN()/2+1,FALSE))),"")</f>
        <v/>
      </c>
      <c r="O111" s="142"/>
      <c r="P111" s="142" t="str">
        <f ca="1">IFERROR(VALUE(IF(VLOOKUP($A111,数出表_Excel!$A$6:$T$150,COLUMN()/2+1,FALSE)=0,"",VLOOKUP($A111,数出表_Excel!$A$6:$T$150,COLUMN()/2+1,FALSE))),"")</f>
        <v/>
      </c>
      <c r="Q111" s="142"/>
      <c r="R111" s="142" t="str">
        <f ca="1">IFERROR(VALUE(IF(VLOOKUP($A111,数出表_Excel!$A$6:$T$150,COLUMN()/2+1,FALSE)=0,"",VLOOKUP($A111,数出表_Excel!$A$6:$T$150,COLUMN()/2+1,FALSE))),"")</f>
        <v/>
      </c>
      <c r="S111" s="142"/>
      <c r="T111" s="142" t="str">
        <f ca="1">IFERROR(VALUE(IF(VLOOKUP($A111,数出表_Excel!$A$6:$T$150,COLUMN()/2+1,FALSE)=0,"",VLOOKUP($A111,数出表_Excel!$A$6:$T$150,COLUMN()/2+1,FALSE))),"")</f>
        <v/>
      </c>
      <c r="U111" s="142"/>
      <c r="V111" s="146" t="str">
        <f ca="1">IFERROR(VALUE(IF(VLOOKUP($A111,数出表_Excel!$A$6:$T$150,COLUMN()/2+1,FALSE)=0,"",VLOOKUP($A111,数出表_Excel!$A$6:$T$150,COLUMN()/2+1,FALSE))),"")</f>
        <v/>
      </c>
      <c r="W111" s="142"/>
      <c r="X111" s="146" t="str">
        <f ca="1">IFERROR(VALUE(IF(VLOOKUP($A111,数出表_Excel!$A$6:$T$150,COLUMN()/2+1,FALSE)=0,"",VLOOKUP($A111,数出表_Excel!$A$6:$T$150,COLUMN()/2+1,FALSE))),"")</f>
        <v/>
      </c>
      <c r="Y111" s="142"/>
      <c r="Z111" s="146" t="str">
        <f ca="1">IFERROR(VALUE(IF(VLOOKUP($A111,数出表_Excel!$A$6:$T$150,COLUMN()/2+1,FALSE)=0,"",VLOOKUP($A111,数出表_Excel!$A$6:$T$150,COLUMN()/2+1,FALSE))),"")</f>
        <v/>
      </c>
      <c r="AA111" s="209"/>
      <c r="AB111" s="147" t="str">
        <f ca="1">IFERROR(VALUE(IF(VLOOKUP($A111,数出表_Excel!$A$6:$T$150,COLUMN()/2+1,FALSE)=0,"",VLOOKUP($A111,数出表_Excel!$A$6:$T$150,COLUMN()/2+1,FALSE))),"")</f>
        <v/>
      </c>
      <c r="AC111" s="142"/>
      <c r="AD111" s="146" t="str">
        <f ca="1">IFERROR(VALUE(IF(VLOOKUP($A111,数出表_Excel!$A$6:$T$150,COLUMN()/2+1,FALSE)=0,"",VLOOKUP($A111,数出表_Excel!$A$6:$T$150,COLUMN()/2+1,FALSE))),"")</f>
        <v/>
      </c>
      <c r="AE111" s="142"/>
      <c r="AF111" s="146" t="str">
        <f ca="1">IFERROR(VALUE(IF(VLOOKUP($A111,数出表_Excel!$A$6:$T$150,COLUMN()/2+1,FALSE)=0,"",VLOOKUP($A111,数出表_Excel!$A$6:$T$150,COLUMN()/2+1,FALSE))),"")</f>
        <v/>
      </c>
      <c r="AG111" s="142"/>
      <c r="AH111" s="146" t="str">
        <f ca="1">IFERROR(VALUE(IF(VLOOKUP($A111,数出表_Excel!$A$6:$T$150,COLUMN()/2+1,FALSE)=0,"",VLOOKUP($A111,数出表_Excel!$A$6:$T$150,COLUMN()/2+1,FALSE))),"")</f>
        <v/>
      </c>
      <c r="AI111" s="209"/>
      <c r="AJ111" s="147" t="str">
        <f ca="1">IFERROR(VALUE(IF(VLOOKUP($A111,数出表_Excel!$A$6:$T$150,COLUMN()/2+1,FALSE)=0,"",VLOOKUP($A111,数出表_Excel!$A$6:$T$150,COLUMN()/2+1,FALSE))),"")</f>
        <v/>
      </c>
      <c r="AK111" s="142"/>
      <c r="AL111" s="148" t="e">
        <f ca="1">IF(A111&lt;&gt;"",
IF(VLOOKUP($A111,数出表_Excel!$A$6:$T$150,COLUMN()/2+1,FALSE)=0,"",VLOOKUP($A111,数出表_Excel!$A$6:$T$150,COLUMN()/2+1,FALSE)),"")</f>
        <v>#N/A</v>
      </c>
      <c r="AM111" s="263">
        <f>数出表_Excel!V111</f>
        <v>0</v>
      </c>
      <c r="AN111" s="264">
        <f>数出表_Excel!W111</f>
        <v>0</v>
      </c>
    </row>
    <row r="112" spans="1:40" ht="16.2" customHeight="1" x14ac:dyDescent="0.45">
      <c r="A112" s="219" t="str">
        <f t="array" aca="1" ref="A112" ca="1">IF(OR(COUNTIF(A110,"*10002*"),COUNTIF(A110,"")),"",INDEX(貼り付け用!$A:$A,MATCH(A110,貼り付け用!$A:$A,0)+2,0))</f>
        <v>30001</v>
      </c>
      <c r="B112" s="204" t="str">
        <f ca="1">IFERROR(VALUE(IF(VLOOKUP($A112,数出表_Excel!$A$6:$T$150,COLUMN()/2+1,FALSE)=0,"",VLOOKUP($A112,数出表_Excel!$A$6:$T$150,COLUMN()/2+1,FALSE))),"")</f>
        <v/>
      </c>
      <c r="C112" s="141"/>
      <c r="D112" s="204" t="str">
        <f ca="1">IFERROR(VALUE(IF(VLOOKUP($A112,数出表_Excel!$A$6:$T$150,COLUMN()/2+1,FALSE)=0,"",VLOOKUP($A112,数出表_Excel!$A$6:$T$150,COLUMN()/2+1,FALSE))),"")</f>
        <v/>
      </c>
      <c r="E112" s="141"/>
      <c r="F112" s="207" t="str">
        <f ca="1">IFERROR(VALUE(IF(VLOOKUP($A112,数出表_Excel!$A$6:$T$150,COLUMN()/2+1,FALSE)=0,"",VLOOKUP($A112,数出表_Excel!$A$6:$T$150,COLUMN()/2+1,FALSE))),"")</f>
        <v/>
      </c>
      <c r="G112" s="141"/>
      <c r="H112" s="204" t="str">
        <f ca="1">IFERROR(VALUE(IF(VLOOKUP($A112,数出表_Excel!$A$6:$T$150,COLUMN()/2+1,FALSE)=0,"",VLOOKUP($A112,数出表_Excel!$A$6:$T$150,COLUMN()/2+1,FALSE))),"")</f>
        <v/>
      </c>
      <c r="I112" s="141"/>
      <c r="J112" s="204" t="str">
        <f ca="1">IFERROR(VALUE(IF(VLOOKUP($A112,数出表_Excel!$A$6:$T$150,COLUMN()/2+1,FALSE)=0,"",VLOOKUP($A112,数出表_Excel!$A$6:$T$150,COLUMN()/2+1,FALSE))),"")</f>
        <v/>
      </c>
      <c r="K112" s="208"/>
      <c r="L112" s="205" t="str">
        <f ca="1">IFERROR(VALUE(IF(VLOOKUP($A112,数出表_Excel!$A$6:$T$150,COLUMN()/2+1,FALSE)=0,"",VLOOKUP($A112,数出表_Excel!$A$6:$T$150,COLUMN()/2+1,FALSE))),"")</f>
        <v/>
      </c>
      <c r="M112" s="141"/>
      <c r="N112" s="204" t="str">
        <f ca="1">IFERROR(VALUE(IF(VLOOKUP($A112,数出表_Excel!$A$6:$T$150,COLUMN()/2+1,FALSE)=0,"",VLOOKUP($A112,数出表_Excel!$A$6:$T$150,COLUMN()/2+1,FALSE))),"")</f>
        <v/>
      </c>
      <c r="O112" s="141"/>
      <c r="P112" s="204" t="str">
        <f ca="1">IFERROR(VALUE(IF(VLOOKUP($A112,数出表_Excel!$A$6:$T$150,COLUMN()/2+1,FALSE)=0,"",VLOOKUP($A112,数出表_Excel!$A$6:$T$150,COLUMN()/2+1,FALSE))),"")</f>
        <v/>
      </c>
      <c r="Q112" s="141"/>
      <c r="R112" s="204" t="str">
        <f ca="1">IFERROR(VALUE(IF(VLOOKUP($A112,数出表_Excel!$A$6:$T$150,COLUMN()/2+1,FALSE)=0,"",VLOOKUP($A112,数出表_Excel!$A$6:$T$150,COLUMN()/2+1,FALSE))),"")</f>
        <v/>
      </c>
      <c r="S112" s="141"/>
      <c r="T112" s="204" t="str">
        <f ca="1">IFERROR(VALUE(IF(VLOOKUP($A112,数出表_Excel!$A$6:$T$150,COLUMN()/2+1,FALSE)=0,"",VLOOKUP($A112,数出表_Excel!$A$6:$T$150,COLUMN()/2+1,FALSE))),"")</f>
        <v/>
      </c>
      <c r="U112" s="141"/>
      <c r="V112" s="207" t="str">
        <f ca="1">IFERROR(VALUE(IF(VLOOKUP($A112,数出表_Excel!$A$6:$T$150,COLUMN()/2+1,FALSE)=0,"",VLOOKUP($A112,数出表_Excel!$A$6:$T$150,COLUMN()/2+1,FALSE))),"")</f>
        <v/>
      </c>
      <c r="W112" s="141"/>
      <c r="X112" s="207" t="str">
        <f ca="1">IFERROR(VALUE(IF(VLOOKUP($A112,数出表_Excel!$A$6:$T$150,COLUMN()/2+1,FALSE)=0,"",VLOOKUP($A112,数出表_Excel!$A$6:$T$150,COLUMN()/2+1,FALSE))),"")</f>
        <v/>
      </c>
      <c r="Y112" s="141"/>
      <c r="Z112" s="207" t="str">
        <f ca="1">IFERROR(VALUE(IF(VLOOKUP($A112,数出表_Excel!$A$6:$T$150,COLUMN()/2+1,FALSE)=0,"",VLOOKUP($A112,数出表_Excel!$A$6:$T$150,COLUMN()/2+1,FALSE))),"")</f>
        <v/>
      </c>
      <c r="AA112" s="208"/>
      <c r="AB112" s="205" t="str">
        <f ca="1">IFERROR(VALUE(IF(VLOOKUP($A112,数出表_Excel!$A$6:$T$150,COLUMN()/2+1,FALSE)=0,"",VLOOKUP($A112,数出表_Excel!$A$6:$T$150,COLUMN()/2+1,FALSE))),"")</f>
        <v/>
      </c>
      <c r="AC112" s="141"/>
      <c r="AD112" s="207" t="str">
        <f ca="1">IFERROR(VALUE(IF(VLOOKUP($A112,数出表_Excel!$A$6:$T$150,COLUMN()/2+1,FALSE)=0,"",VLOOKUP($A112,数出表_Excel!$A$6:$T$150,COLUMN()/2+1,FALSE))),"")</f>
        <v/>
      </c>
      <c r="AE112" s="141"/>
      <c r="AF112" s="207" t="str">
        <f ca="1">IFERROR(VALUE(IF(VLOOKUP($A112,数出表_Excel!$A$6:$T$150,COLUMN()/2+1,FALSE)=0,"",VLOOKUP($A112,数出表_Excel!$A$6:$T$150,COLUMN()/2+1,FALSE))),"")</f>
        <v/>
      </c>
      <c r="AG112" s="141"/>
      <c r="AH112" s="207" t="str">
        <f ca="1">IFERROR(VALUE(IF(VLOOKUP($A112,数出表_Excel!$A$6:$T$150,COLUMN()/2+1,FALSE)=0,"",VLOOKUP($A112,数出表_Excel!$A$6:$T$150,COLUMN()/2+1,FALSE))),"")</f>
        <v/>
      </c>
      <c r="AI112" s="208"/>
      <c r="AJ112" s="205" t="str">
        <f ca="1">IFERROR(VALUE(IF(VLOOKUP($A112,数出表_Excel!$A$6:$T$150,COLUMN()/2+1,FALSE)=0,"",VLOOKUP($A112,数出表_Excel!$A$6:$T$150,COLUMN()/2+1,FALSE))),"")</f>
        <v/>
      </c>
      <c r="AK112" s="141"/>
      <c r="AL112" s="145" t="e">
        <f ca="1">IF(A112&lt;&gt;"",
IF(VLOOKUP($A112,数出表_Excel!$A$6:$T$150,COLUMN()/2+1,FALSE)=0,"",VLOOKUP($A112,数出表_Excel!$A$6:$T$150,COLUMN()/2+1,FALSE)),"")</f>
        <v>#N/A</v>
      </c>
      <c r="AM112" s="261">
        <f>数出表_Excel!V112</f>
        <v>0</v>
      </c>
      <c r="AN112" s="262">
        <f>数出表_Excel!W112</f>
        <v>0</v>
      </c>
    </row>
    <row r="113" spans="1:40" ht="16.2" customHeight="1" x14ac:dyDescent="0.45">
      <c r="A113" s="220" t="str">
        <f t="array" aca="1" ref="A113" ca="1">IF(OR(COUNTIF(A111,"*1000*"),COUNTIF(A111,"")),"",INDEX(貼り付け用!$A:$A,MATCH(A111,貼り付け用!$A:$A,0)+2,0))</f>
        <v>セントラル はこぶね</v>
      </c>
      <c r="B113" s="142" t="str">
        <f ca="1">IFERROR(VALUE(IF(VLOOKUP($A113,数出表_Excel!$A$6:$T$150,COLUMN()/2+1,FALSE)=0,"",VLOOKUP($A113,数出表_Excel!$A$6:$T$150,COLUMN()/2+1,FALSE))),"")</f>
        <v/>
      </c>
      <c r="C113" s="142"/>
      <c r="D113" s="142" t="str">
        <f ca="1">IFERROR(VALUE(IF(VLOOKUP($A113,数出表_Excel!$A$6:$T$150,COLUMN()/2+1,FALSE)=0,"",VLOOKUP($A113,数出表_Excel!$A$6:$T$150,COLUMN()/2+1,FALSE))),"")</f>
        <v/>
      </c>
      <c r="E113" s="142"/>
      <c r="F113" s="146" t="str">
        <f ca="1">IFERROR(VALUE(IF(VLOOKUP($A113,数出表_Excel!$A$6:$T$150,COLUMN()/2+1,FALSE)=0,"",VLOOKUP($A113,数出表_Excel!$A$6:$T$150,COLUMN()/2+1,FALSE))),"")</f>
        <v/>
      </c>
      <c r="G113" s="142"/>
      <c r="H113" s="142" t="str">
        <f ca="1">IFERROR(VALUE(IF(VLOOKUP($A113,数出表_Excel!$A$6:$T$150,COLUMN()/2+1,FALSE)=0,"",VLOOKUP($A113,数出表_Excel!$A$6:$T$150,COLUMN()/2+1,FALSE))),"")</f>
        <v/>
      </c>
      <c r="I113" s="142"/>
      <c r="J113" s="142" t="str">
        <f ca="1">IFERROR(VALUE(IF(VLOOKUP($A113,数出表_Excel!$A$6:$T$150,COLUMN()/2+1,FALSE)=0,"",VLOOKUP($A113,数出表_Excel!$A$6:$T$150,COLUMN()/2+1,FALSE))),"")</f>
        <v/>
      </c>
      <c r="K113" s="209"/>
      <c r="L113" s="147" t="str">
        <f ca="1">IFERROR(VALUE(IF(VLOOKUP($A113,数出表_Excel!$A$6:$T$150,COLUMN()/2+1,FALSE)=0,"",VLOOKUP($A113,数出表_Excel!$A$6:$T$150,COLUMN()/2+1,FALSE))),"")</f>
        <v/>
      </c>
      <c r="M113" s="142"/>
      <c r="N113" s="142" t="str">
        <f ca="1">IFERROR(VALUE(IF(VLOOKUP($A113,数出表_Excel!$A$6:$T$150,COLUMN()/2+1,FALSE)=0,"",VLOOKUP($A113,数出表_Excel!$A$6:$T$150,COLUMN()/2+1,FALSE))),"")</f>
        <v/>
      </c>
      <c r="O113" s="142"/>
      <c r="P113" s="142" t="str">
        <f ca="1">IFERROR(VALUE(IF(VLOOKUP($A113,数出表_Excel!$A$6:$T$150,COLUMN()/2+1,FALSE)=0,"",VLOOKUP($A113,数出表_Excel!$A$6:$T$150,COLUMN()/2+1,FALSE))),"")</f>
        <v/>
      </c>
      <c r="Q113" s="142"/>
      <c r="R113" s="142" t="str">
        <f ca="1">IFERROR(VALUE(IF(VLOOKUP($A113,数出表_Excel!$A$6:$T$150,COLUMN()/2+1,FALSE)=0,"",VLOOKUP($A113,数出表_Excel!$A$6:$T$150,COLUMN()/2+1,FALSE))),"")</f>
        <v/>
      </c>
      <c r="S113" s="142"/>
      <c r="T113" s="142" t="str">
        <f ca="1">IFERROR(VALUE(IF(VLOOKUP($A113,数出表_Excel!$A$6:$T$150,COLUMN()/2+1,FALSE)=0,"",VLOOKUP($A113,数出表_Excel!$A$6:$T$150,COLUMN()/2+1,FALSE))),"")</f>
        <v/>
      </c>
      <c r="U113" s="142"/>
      <c r="V113" s="146" t="str">
        <f ca="1">IFERROR(VALUE(IF(VLOOKUP($A113,数出表_Excel!$A$6:$T$150,COLUMN()/2+1,FALSE)=0,"",VLOOKUP($A113,数出表_Excel!$A$6:$T$150,COLUMN()/2+1,FALSE))),"")</f>
        <v/>
      </c>
      <c r="W113" s="142"/>
      <c r="X113" s="146" t="str">
        <f ca="1">IFERROR(VALUE(IF(VLOOKUP($A113,数出表_Excel!$A$6:$T$150,COLUMN()/2+1,FALSE)=0,"",VLOOKUP($A113,数出表_Excel!$A$6:$T$150,COLUMN()/2+1,FALSE))),"")</f>
        <v/>
      </c>
      <c r="Y113" s="142"/>
      <c r="Z113" s="146" t="str">
        <f ca="1">IFERROR(VALUE(IF(VLOOKUP($A113,数出表_Excel!$A$6:$T$150,COLUMN()/2+1,FALSE)=0,"",VLOOKUP($A113,数出表_Excel!$A$6:$T$150,COLUMN()/2+1,FALSE))),"")</f>
        <v/>
      </c>
      <c r="AA113" s="209"/>
      <c r="AB113" s="147" t="str">
        <f ca="1">IFERROR(VALUE(IF(VLOOKUP($A113,数出表_Excel!$A$6:$T$150,COLUMN()/2+1,FALSE)=0,"",VLOOKUP($A113,数出表_Excel!$A$6:$T$150,COLUMN()/2+1,FALSE))),"")</f>
        <v/>
      </c>
      <c r="AC113" s="142"/>
      <c r="AD113" s="146" t="str">
        <f ca="1">IFERROR(VALUE(IF(VLOOKUP($A113,数出表_Excel!$A$6:$T$150,COLUMN()/2+1,FALSE)=0,"",VLOOKUP($A113,数出表_Excel!$A$6:$T$150,COLUMN()/2+1,FALSE))),"")</f>
        <v/>
      </c>
      <c r="AE113" s="142"/>
      <c r="AF113" s="146" t="str">
        <f ca="1">IFERROR(VALUE(IF(VLOOKUP($A113,数出表_Excel!$A$6:$T$150,COLUMN()/2+1,FALSE)=0,"",VLOOKUP($A113,数出表_Excel!$A$6:$T$150,COLUMN()/2+1,FALSE))),"")</f>
        <v/>
      </c>
      <c r="AG113" s="142"/>
      <c r="AH113" s="146" t="str">
        <f ca="1">IFERROR(VALUE(IF(VLOOKUP($A113,数出表_Excel!$A$6:$T$150,COLUMN()/2+1,FALSE)=0,"",VLOOKUP($A113,数出表_Excel!$A$6:$T$150,COLUMN()/2+1,FALSE))),"")</f>
        <v/>
      </c>
      <c r="AI113" s="209"/>
      <c r="AJ113" s="147" t="str">
        <f ca="1">IFERROR(VALUE(IF(VLOOKUP($A113,数出表_Excel!$A$6:$T$150,COLUMN()/2+1,FALSE)=0,"",VLOOKUP($A113,数出表_Excel!$A$6:$T$150,COLUMN()/2+1,FALSE))),"")</f>
        <v/>
      </c>
      <c r="AK113" s="142"/>
      <c r="AL113" s="148" t="e">
        <f ca="1">IF(A113&lt;&gt;"",
IF(VLOOKUP($A113,数出表_Excel!$A$6:$T$150,COLUMN()/2+1,FALSE)=0,"",VLOOKUP($A113,数出表_Excel!$A$6:$T$150,COLUMN()/2+1,FALSE)),"")</f>
        <v>#N/A</v>
      </c>
      <c r="AM113" s="263">
        <f>数出表_Excel!V113</f>
        <v>0</v>
      </c>
      <c r="AN113" s="264">
        <f>数出表_Excel!W113</f>
        <v>0</v>
      </c>
    </row>
    <row r="114" spans="1:40" ht="16.2" customHeight="1" x14ac:dyDescent="0.45">
      <c r="A114" s="219" t="str">
        <f t="array" aca="1" ref="A114" ca="1">IF(OR(COUNTIF(A112,"*10002*"),COUNTIF(A112,"")),"",INDEX(貼り付け用!$A:$A,MATCH(A112,貼り付け用!$A:$A,0)+2,0))</f>
        <v>800</v>
      </c>
      <c r="B114" s="204" t="str">
        <f ca="1">IFERROR(VALUE(IF(VLOOKUP($A114,数出表_Excel!$A$6:$T$150,COLUMN()/2+1,FALSE)=0,"",VLOOKUP($A114,数出表_Excel!$A$6:$T$150,COLUMN()/2+1,FALSE))),"")</f>
        <v/>
      </c>
      <c r="C114" s="141"/>
      <c r="D114" s="204" t="str">
        <f ca="1">IFERROR(VALUE(IF(VLOOKUP($A114,数出表_Excel!$A$6:$T$150,COLUMN()/2+1,FALSE)=0,"",VLOOKUP($A114,数出表_Excel!$A$6:$T$150,COLUMN()/2+1,FALSE))),"")</f>
        <v/>
      </c>
      <c r="E114" s="141"/>
      <c r="F114" s="207" t="str">
        <f ca="1">IFERROR(VALUE(IF(VLOOKUP($A114,数出表_Excel!$A$6:$T$150,COLUMN()/2+1,FALSE)=0,"",VLOOKUP($A114,数出表_Excel!$A$6:$T$150,COLUMN()/2+1,FALSE))),"")</f>
        <v/>
      </c>
      <c r="G114" s="141"/>
      <c r="H114" s="204" t="str">
        <f ca="1">IFERROR(VALUE(IF(VLOOKUP($A114,数出表_Excel!$A$6:$T$150,COLUMN()/2+1,FALSE)=0,"",VLOOKUP($A114,数出表_Excel!$A$6:$T$150,COLUMN()/2+1,FALSE))),"")</f>
        <v/>
      </c>
      <c r="I114" s="141"/>
      <c r="J114" s="204" t="str">
        <f ca="1">IFERROR(VALUE(IF(VLOOKUP($A114,数出表_Excel!$A$6:$T$150,COLUMN()/2+1,FALSE)=0,"",VLOOKUP($A114,数出表_Excel!$A$6:$T$150,COLUMN()/2+1,FALSE))),"")</f>
        <v/>
      </c>
      <c r="K114" s="208"/>
      <c r="L114" s="205" t="str">
        <f ca="1">IFERROR(VALUE(IF(VLOOKUP($A114,数出表_Excel!$A$6:$T$150,COLUMN()/2+1,FALSE)=0,"",VLOOKUP($A114,数出表_Excel!$A$6:$T$150,COLUMN()/2+1,FALSE))),"")</f>
        <v/>
      </c>
      <c r="M114" s="141"/>
      <c r="N114" s="204" t="str">
        <f ca="1">IFERROR(VALUE(IF(VLOOKUP($A114,数出表_Excel!$A$6:$T$150,COLUMN()/2+1,FALSE)=0,"",VLOOKUP($A114,数出表_Excel!$A$6:$T$150,COLUMN()/2+1,FALSE))),"")</f>
        <v/>
      </c>
      <c r="O114" s="141"/>
      <c r="P114" s="204" t="str">
        <f ca="1">IFERROR(VALUE(IF(VLOOKUP($A114,数出表_Excel!$A$6:$T$150,COLUMN()/2+1,FALSE)=0,"",VLOOKUP($A114,数出表_Excel!$A$6:$T$150,COLUMN()/2+1,FALSE))),"")</f>
        <v/>
      </c>
      <c r="Q114" s="141"/>
      <c r="R114" s="204" t="str">
        <f ca="1">IFERROR(VALUE(IF(VLOOKUP($A114,数出表_Excel!$A$6:$T$150,COLUMN()/2+1,FALSE)=0,"",VLOOKUP($A114,数出表_Excel!$A$6:$T$150,COLUMN()/2+1,FALSE))),"")</f>
        <v/>
      </c>
      <c r="S114" s="141"/>
      <c r="T114" s="204" t="str">
        <f ca="1">IFERROR(VALUE(IF(VLOOKUP($A114,数出表_Excel!$A$6:$T$150,COLUMN()/2+1,FALSE)=0,"",VLOOKUP($A114,数出表_Excel!$A$6:$T$150,COLUMN()/2+1,FALSE))),"")</f>
        <v/>
      </c>
      <c r="U114" s="141"/>
      <c r="V114" s="207" t="str">
        <f ca="1">IFERROR(VALUE(IF(VLOOKUP($A114,数出表_Excel!$A$6:$T$150,COLUMN()/2+1,FALSE)=0,"",VLOOKUP($A114,数出表_Excel!$A$6:$T$150,COLUMN()/2+1,FALSE))),"")</f>
        <v/>
      </c>
      <c r="W114" s="141"/>
      <c r="X114" s="207" t="str">
        <f ca="1">IFERROR(VALUE(IF(VLOOKUP($A114,数出表_Excel!$A$6:$T$150,COLUMN()/2+1,FALSE)=0,"",VLOOKUP($A114,数出表_Excel!$A$6:$T$150,COLUMN()/2+1,FALSE))),"")</f>
        <v/>
      </c>
      <c r="Y114" s="141"/>
      <c r="Z114" s="207" t="str">
        <f ca="1">IFERROR(VALUE(IF(VLOOKUP($A114,数出表_Excel!$A$6:$T$150,COLUMN()/2+1,FALSE)=0,"",VLOOKUP($A114,数出表_Excel!$A$6:$T$150,COLUMN()/2+1,FALSE))),"")</f>
        <v/>
      </c>
      <c r="AA114" s="208"/>
      <c r="AB114" s="205" t="str">
        <f ca="1">IFERROR(VALUE(IF(VLOOKUP($A114,数出表_Excel!$A$6:$T$150,COLUMN()/2+1,FALSE)=0,"",VLOOKUP($A114,数出表_Excel!$A$6:$T$150,COLUMN()/2+1,FALSE))),"")</f>
        <v/>
      </c>
      <c r="AC114" s="141"/>
      <c r="AD114" s="207" t="str">
        <f ca="1">IFERROR(VALUE(IF(VLOOKUP($A114,数出表_Excel!$A$6:$T$150,COLUMN()/2+1,FALSE)=0,"",VLOOKUP($A114,数出表_Excel!$A$6:$T$150,COLUMN()/2+1,FALSE))),"")</f>
        <v/>
      </c>
      <c r="AE114" s="141"/>
      <c r="AF114" s="207" t="str">
        <f ca="1">IFERROR(VALUE(IF(VLOOKUP($A114,数出表_Excel!$A$6:$T$150,COLUMN()/2+1,FALSE)=0,"",VLOOKUP($A114,数出表_Excel!$A$6:$T$150,COLUMN()/2+1,FALSE))),"")</f>
        <v/>
      </c>
      <c r="AG114" s="141"/>
      <c r="AH114" s="207" t="str">
        <f ca="1">IFERROR(VALUE(IF(VLOOKUP($A114,数出表_Excel!$A$6:$T$150,COLUMN()/2+1,FALSE)=0,"",VLOOKUP($A114,数出表_Excel!$A$6:$T$150,COLUMN()/2+1,FALSE))),"")</f>
        <v/>
      </c>
      <c r="AI114" s="208"/>
      <c r="AJ114" s="205" t="str">
        <f ca="1">IFERROR(VALUE(IF(VLOOKUP($A114,数出表_Excel!$A$6:$T$150,COLUMN()/2+1,FALSE)=0,"",VLOOKUP($A114,数出表_Excel!$A$6:$T$150,COLUMN()/2+1,FALSE))),"")</f>
        <v/>
      </c>
      <c r="AK114" s="141"/>
      <c r="AL114" s="145" t="e">
        <f ca="1">IF(A114&lt;&gt;"",
IF(VLOOKUP($A114,数出表_Excel!$A$6:$T$150,COLUMN()/2+1,FALSE)=0,"",VLOOKUP($A114,数出表_Excel!$A$6:$T$150,COLUMN()/2+1,FALSE)),"")</f>
        <v>#N/A</v>
      </c>
      <c r="AM114" s="261">
        <f>数出表_Excel!V114</f>
        <v>0</v>
      </c>
      <c r="AN114" s="262">
        <f>数出表_Excel!W114</f>
        <v>0</v>
      </c>
    </row>
    <row r="115" spans="1:40" ht="16.2" customHeight="1" x14ac:dyDescent="0.45">
      <c r="A115" s="220" t="str">
        <f t="array" aca="1" ref="A115" ca="1">IF(OR(COUNTIF(A113,"*1000*"),COUNTIF(A113,"")),"",INDEX(貼り付け用!$A:$A,MATCH(A113,貼り付け用!$A:$A,0)+2,0))</f>
        <v>吉塚ゆりの樹幼稚園</v>
      </c>
      <c r="B115" s="142" t="str">
        <f ca="1">IFERROR(VALUE(IF(VLOOKUP($A115,数出表_Excel!$A$6:$T$150,COLUMN()/2+1,FALSE)=0,"",VLOOKUP($A115,数出表_Excel!$A$6:$T$150,COLUMN()/2+1,FALSE))),"")</f>
        <v/>
      </c>
      <c r="C115" s="142"/>
      <c r="D115" s="142" t="str">
        <f ca="1">IFERROR(VALUE(IF(VLOOKUP($A115,数出表_Excel!$A$6:$T$150,COLUMN()/2+1,FALSE)=0,"",VLOOKUP($A115,数出表_Excel!$A$6:$T$150,COLUMN()/2+1,FALSE))),"")</f>
        <v/>
      </c>
      <c r="E115" s="142"/>
      <c r="F115" s="146" t="str">
        <f ca="1">IFERROR(VALUE(IF(VLOOKUP($A115,数出表_Excel!$A$6:$T$150,COLUMN()/2+1,FALSE)=0,"",VLOOKUP($A115,数出表_Excel!$A$6:$T$150,COLUMN()/2+1,FALSE))),"")</f>
        <v/>
      </c>
      <c r="G115" s="142"/>
      <c r="H115" s="142" t="str">
        <f ca="1">IFERROR(VALUE(IF(VLOOKUP($A115,数出表_Excel!$A$6:$T$150,COLUMN()/2+1,FALSE)=0,"",VLOOKUP($A115,数出表_Excel!$A$6:$T$150,COLUMN()/2+1,FALSE))),"")</f>
        <v/>
      </c>
      <c r="I115" s="142"/>
      <c r="J115" s="142" t="str">
        <f ca="1">IFERROR(VALUE(IF(VLOOKUP($A115,数出表_Excel!$A$6:$T$150,COLUMN()/2+1,FALSE)=0,"",VLOOKUP($A115,数出表_Excel!$A$6:$T$150,COLUMN()/2+1,FALSE))),"")</f>
        <v/>
      </c>
      <c r="K115" s="209"/>
      <c r="L115" s="147" t="str">
        <f ca="1">IFERROR(VALUE(IF(VLOOKUP($A115,数出表_Excel!$A$6:$T$150,COLUMN()/2+1,FALSE)=0,"",VLOOKUP($A115,数出表_Excel!$A$6:$T$150,COLUMN()/2+1,FALSE))),"")</f>
        <v/>
      </c>
      <c r="M115" s="142"/>
      <c r="N115" s="142" t="str">
        <f ca="1">IFERROR(VALUE(IF(VLOOKUP($A115,数出表_Excel!$A$6:$T$150,COLUMN()/2+1,FALSE)=0,"",VLOOKUP($A115,数出表_Excel!$A$6:$T$150,COLUMN()/2+1,FALSE))),"")</f>
        <v/>
      </c>
      <c r="O115" s="142"/>
      <c r="P115" s="142" t="str">
        <f ca="1">IFERROR(VALUE(IF(VLOOKUP($A115,数出表_Excel!$A$6:$T$150,COLUMN()/2+1,FALSE)=0,"",VLOOKUP($A115,数出表_Excel!$A$6:$T$150,COLUMN()/2+1,FALSE))),"")</f>
        <v/>
      </c>
      <c r="Q115" s="142"/>
      <c r="R115" s="142" t="str">
        <f ca="1">IFERROR(VALUE(IF(VLOOKUP($A115,数出表_Excel!$A$6:$T$150,COLUMN()/2+1,FALSE)=0,"",VLOOKUP($A115,数出表_Excel!$A$6:$T$150,COLUMN()/2+1,FALSE))),"")</f>
        <v/>
      </c>
      <c r="S115" s="142"/>
      <c r="T115" s="142" t="str">
        <f ca="1">IFERROR(VALUE(IF(VLOOKUP($A115,数出表_Excel!$A$6:$T$150,COLUMN()/2+1,FALSE)=0,"",VLOOKUP($A115,数出表_Excel!$A$6:$T$150,COLUMN()/2+1,FALSE))),"")</f>
        <v/>
      </c>
      <c r="U115" s="142"/>
      <c r="V115" s="146" t="str">
        <f ca="1">IFERROR(VALUE(IF(VLOOKUP($A115,数出表_Excel!$A$6:$T$150,COLUMN()/2+1,FALSE)=0,"",VLOOKUP($A115,数出表_Excel!$A$6:$T$150,COLUMN()/2+1,FALSE))),"")</f>
        <v/>
      </c>
      <c r="W115" s="142"/>
      <c r="X115" s="146" t="str">
        <f ca="1">IFERROR(VALUE(IF(VLOOKUP($A115,数出表_Excel!$A$6:$T$150,COLUMN()/2+1,FALSE)=0,"",VLOOKUP($A115,数出表_Excel!$A$6:$T$150,COLUMN()/2+1,FALSE))),"")</f>
        <v/>
      </c>
      <c r="Y115" s="142"/>
      <c r="Z115" s="146" t="str">
        <f ca="1">IFERROR(VALUE(IF(VLOOKUP($A115,数出表_Excel!$A$6:$T$150,COLUMN()/2+1,FALSE)=0,"",VLOOKUP($A115,数出表_Excel!$A$6:$T$150,COLUMN()/2+1,FALSE))),"")</f>
        <v/>
      </c>
      <c r="AA115" s="209"/>
      <c r="AB115" s="147" t="str">
        <f ca="1">IFERROR(VALUE(IF(VLOOKUP($A115,数出表_Excel!$A$6:$T$150,COLUMN()/2+1,FALSE)=0,"",VLOOKUP($A115,数出表_Excel!$A$6:$T$150,COLUMN()/2+1,FALSE))),"")</f>
        <v/>
      </c>
      <c r="AC115" s="142"/>
      <c r="AD115" s="146" t="str">
        <f ca="1">IFERROR(VALUE(IF(VLOOKUP($A115,数出表_Excel!$A$6:$T$150,COLUMN()/2+1,FALSE)=0,"",VLOOKUP($A115,数出表_Excel!$A$6:$T$150,COLUMN()/2+1,FALSE))),"")</f>
        <v/>
      </c>
      <c r="AE115" s="142"/>
      <c r="AF115" s="146" t="str">
        <f ca="1">IFERROR(VALUE(IF(VLOOKUP($A115,数出表_Excel!$A$6:$T$150,COLUMN()/2+1,FALSE)=0,"",VLOOKUP($A115,数出表_Excel!$A$6:$T$150,COLUMN()/2+1,FALSE))),"")</f>
        <v/>
      </c>
      <c r="AG115" s="142"/>
      <c r="AH115" s="146" t="str">
        <f ca="1">IFERROR(VALUE(IF(VLOOKUP($A115,数出表_Excel!$A$6:$T$150,COLUMN()/2+1,FALSE)=0,"",VLOOKUP($A115,数出表_Excel!$A$6:$T$150,COLUMN()/2+1,FALSE))),"")</f>
        <v/>
      </c>
      <c r="AI115" s="209"/>
      <c r="AJ115" s="147" t="str">
        <f ca="1">IFERROR(VALUE(IF(VLOOKUP($A115,数出表_Excel!$A$6:$T$150,COLUMN()/2+1,FALSE)=0,"",VLOOKUP($A115,数出表_Excel!$A$6:$T$150,COLUMN()/2+1,FALSE))),"")</f>
        <v/>
      </c>
      <c r="AK115" s="142"/>
      <c r="AL115" s="148" t="e">
        <f ca="1">IF(A115&lt;&gt;"",
IF(VLOOKUP($A115,数出表_Excel!$A$6:$T$150,COLUMN()/2+1,FALSE)=0,"",VLOOKUP($A115,数出表_Excel!$A$6:$T$150,COLUMN()/2+1,FALSE)),"")</f>
        <v>#N/A</v>
      </c>
      <c r="AM115" s="263">
        <f>数出表_Excel!V115</f>
        <v>0</v>
      </c>
      <c r="AN115" s="264">
        <f>数出表_Excel!W115</f>
        <v>0</v>
      </c>
    </row>
    <row r="116" spans="1:40" ht="16.2" customHeight="1" x14ac:dyDescent="0.45">
      <c r="A116" s="219" t="str">
        <f t="array" aca="1" ref="A116" ca="1">IF(OR(COUNTIF(A114,"*10002*"),COUNTIF(A114,"")),"",INDEX(貼り付け用!$A:$A,MATCH(A114,貼り付け用!$A:$A,0)+2,0))</f>
        <v>802</v>
      </c>
      <c r="B116" s="204" t="str">
        <f ca="1">IFERROR(VALUE(IF(VLOOKUP($A116,数出表_Excel!$A$6:$T$150,COLUMN()/2+1,FALSE)=0,"",VLOOKUP($A116,数出表_Excel!$A$6:$T$150,COLUMN()/2+1,FALSE))),"")</f>
        <v/>
      </c>
      <c r="C116" s="141"/>
      <c r="D116" s="204" t="str">
        <f ca="1">IFERROR(VALUE(IF(VLOOKUP($A116,数出表_Excel!$A$6:$T$150,COLUMN()/2+1,FALSE)=0,"",VLOOKUP($A116,数出表_Excel!$A$6:$T$150,COLUMN()/2+1,FALSE))),"")</f>
        <v/>
      </c>
      <c r="E116" s="141"/>
      <c r="F116" s="207" t="str">
        <f ca="1">IFERROR(VALUE(IF(VLOOKUP($A116,数出表_Excel!$A$6:$T$150,COLUMN()/2+1,FALSE)=0,"",VLOOKUP($A116,数出表_Excel!$A$6:$T$150,COLUMN()/2+1,FALSE))),"")</f>
        <v/>
      </c>
      <c r="G116" s="141"/>
      <c r="H116" s="204" t="str">
        <f ca="1">IFERROR(VALUE(IF(VLOOKUP($A116,数出表_Excel!$A$6:$T$150,COLUMN()/2+1,FALSE)=0,"",VLOOKUP($A116,数出表_Excel!$A$6:$T$150,COLUMN()/2+1,FALSE))),"")</f>
        <v/>
      </c>
      <c r="I116" s="141"/>
      <c r="J116" s="204" t="str">
        <f ca="1">IFERROR(VALUE(IF(VLOOKUP($A116,数出表_Excel!$A$6:$T$150,COLUMN()/2+1,FALSE)=0,"",VLOOKUP($A116,数出表_Excel!$A$6:$T$150,COLUMN()/2+1,FALSE))),"")</f>
        <v/>
      </c>
      <c r="K116" s="208"/>
      <c r="L116" s="205" t="str">
        <f ca="1">IFERROR(VALUE(IF(VLOOKUP($A116,数出表_Excel!$A$6:$T$150,COLUMN()/2+1,FALSE)=0,"",VLOOKUP($A116,数出表_Excel!$A$6:$T$150,COLUMN()/2+1,FALSE))),"")</f>
        <v/>
      </c>
      <c r="M116" s="141"/>
      <c r="N116" s="204" t="str">
        <f ca="1">IFERROR(VALUE(IF(VLOOKUP($A116,数出表_Excel!$A$6:$T$150,COLUMN()/2+1,FALSE)=0,"",VLOOKUP($A116,数出表_Excel!$A$6:$T$150,COLUMN()/2+1,FALSE))),"")</f>
        <v/>
      </c>
      <c r="O116" s="141"/>
      <c r="P116" s="204" t="str">
        <f ca="1">IFERROR(VALUE(IF(VLOOKUP($A116,数出表_Excel!$A$6:$T$150,COLUMN()/2+1,FALSE)=0,"",VLOOKUP($A116,数出表_Excel!$A$6:$T$150,COLUMN()/2+1,FALSE))),"")</f>
        <v/>
      </c>
      <c r="Q116" s="141"/>
      <c r="R116" s="204" t="str">
        <f ca="1">IFERROR(VALUE(IF(VLOOKUP($A116,数出表_Excel!$A$6:$T$150,COLUMN()/2+1,FALSE)=0,"",VLOOKUP($A116,数出表_Excel!$A$6:$T$150,COLUMN()/2+1,FALSE))),"")</f>
        <v/>
      </c>
      <c r="S116" s="141"/>
      <c r="T116" s="204" t="str">
        <f ca="1">IFERROR(VALUE(IF(VLOOKUP($A116,数出表_Excel!$A$6:$T$150,COLUMN()/2+1,FALSE)=0,"",VLOOKUP($A116,数出表_Excel!$A$6:$T$150,COLUMN()/2+1,FALSE))),"")</f>
        <v/>
      </c>
      <c r="U116" s="141"/>
      <c r="V116" s="207" t="str">
        <f ca="1">IFERROR(VALUE(IF(VLOOKUP($A116,数出表_Excel!$A$6:$T$150,COLUMN()/2+1,FALSE)=0,"",VLOOKUP($A116,数出表_Excel!$A$6:$T$150,COLUMN()/2+1,FALSE))),"")</f>
        <v/>
      </c>
      <c r="W116" s="141"/>
      <c r="X116" s="207" t="str">
        <f ca="1">IFERROR(VALUE(IF(VLOOKUP($A116,数出表_Excel!$A$6:$T$150,COLUMN()/2+1,FALSE)=0,"",VLOOKUP($A116,数出表_Excel!$A$6:$T$150,COLUMN()/2+1,FALSE))),"")</f>
        <v/>
      </c>
      <c r="Y116" s="141"/>
      <c r="Z116" s="207" t="str">
        <f ca="1">IFERROR(VALUE(IF(VLOOKUP($A116,数出表_Excel!$A$6:$T$150,COLUMN()/2+1,FALSE)=0,"",VLOOKUP($A116,数出表_Excel!$A$6:$T$150,COLUMN()/2+1,FALSE))),"")</f>
        <v/>
      </c>
      <c r="AA116" s="208"/>
      <c r="AB116" s="205" t="str">
        <f ca="1">IFERROR(VALUE(IF(VLOOKUP($A116,数出表_Excel!$A$6:$T$150,COLUMN()/2+1,FALSE)=0,"",VLOOKUP($A116,数出表_Excel!$A$6:$T$150,COLUMN()/2+1,FALSE))),"")</f>
        <v/>
      </c>
      <c r="AC116" s="141"/>
      <c r="AD116" s="207" t="str">
        <f ca="1">IFERROR(VALUE(IF(VLOOKUP($A116,数出表_Excel!$A$6:$T$150,COLUMN()/2+1,FALSE)=0,"",VLOOKUP($A116,数出表_Excel!$A$6:$T$150,COLUMN()/2+1,FALSE))),"")</f>
        <v/>
      </c>
      <c r="AE116" s="141"/>
      <c r="AF116" s="207" t="str">
        <f ca="1">IFERROR(VALUE(IF(VLOOKUP($A116,数出表_Excel!$A$6:$T$150,COLUMN()/2+1,FALSE)=0,"",VLOOKUP($A116,数出表_Excel!$A$6:$T$150,COLUMN()/2+1,FALSE))),"")</f>
        <v/>
      </c>
      <c r="AG116" s="141"/>
      <c r="AH116" s="207" t="str">
        <f ca="1">IFERROR(VALUE(IF(VLOOKUP($A116,数出表_Excel!$A$6:$T$150,COLUMN()/2+1,FALSE)=0,"",VLOOKUP($A116,数出表_Excel!$A$6:$T$150,COLUMN()/2+1,FALSE))),"")</f>
        <v/>
      </c>
      <c r="AI116" s="208"/>
      <c r="AJ116" s="205" t="str">
        <f ca="1">IFERROR(VALUE(IF(VLOOKUP($A116,数出表_Excel!$A$6:$T$150,COLUMN()/2+1,FALSE)=0,"",VLOOKUP($A116,数出表_Excel!$A$6:$T$150,COLUMN()/2+1,FALSE))),"")</f>
        <v/>
      </c>
      <c r="AK116" s="141"/>
      <c r="AL116" s="145" t="e">
        <f ca="1">IF(A116&lt;&gt;"",
IF(VLOOKUP($A116,数出表_Excel!$A$6:$T$150,COLUMN()/2+1,FALSE)=0,"",VLOOKUP($A116,数出表_Excel!$A$6:$T$150,COLUMN()/2+1,FALSE)),"")</f>
        <v>#N/A</v>
      </c>
      <c r="AM116" s="261">
        <f>数出表_Excel!V116</f>
        <v>0</v>
      </c>
      <c r="AN116" s="262">
        <f>数出表_Excel!W116</f>
        <v>0</v>
      </c>
    </row>
    <row r="117" spans="1:40" ht="16.2" customHeight="1" x14ac:dyDescent="0.45">
      <c r="A117" s="220" t="str">
        <f t="array" aca="1" ref="A117" ca="1">IF(OR(COUNTIF(A115,"*1000*"),COUNTIF(A115,"")),"",INDEX(貼り付け用!$A:$A,MATCH(A115,貼り付け用!$A:$A,0)+2,0))</f>
        <v>吉塚ゆりの樹幼稚園（別）</v>
      </c>
      <c r="B117" s="142" t="str">
        <f ca="1">IFERROR(VALUE(IF(VLOOKUP($A117,数出表_Excel!$A$6:$T$150,COLUMN()/2+1,FALSE)=0,"",VLOOKUP($A117,数出表_Excel!$A$6:$T$150,COLUMN()/2+1,FALSE))),"")</f>
        <v/>
      </c>
      <c r="C117" s="142"/>
      <c r="D117" s="142" t="str">
        <f ca="1">IFERROR(VALUE(IF(VLOOKUP($A117,数出表_Excel!$A$6:$T$150,COLUMN()/2+1,FALSE)=0,"",VLOOKUP($A117,数出表_Excel!$A$6:$T$150,COLUMN()/2+1,FALSE))),"")</f>
        <v/>
      </c>
      <c r="E117" s="142"/>
      <c r="F117" s="146" t="str">
        <f ca="1">IFERROR(VALUE(IF(VLOOKUP($A117,数出表_Excel!$A$6:$T$150,COLUMN()/2+1,FALSE)=0,"",VLOOKUP($A117,数出表_Excel!$A$6:$T$150,COLUMN()/2+1,FALSE))),"")</f>
        <v/>
      </c>
      <c r="G117" s="142"/>
      <c r="H117" s="142" t="str">
        <f ca="1">IFERROR(VALUE(IF(VLOOKUP($A117,数出表_Excel!$A$6:$T$150,COLUMN()/2+1,FALSE)=0,"",VLOOKUP($A117,数出表_Excel!$A$6:$T$150,COLUMN()/2+1,FALSE))),"")</f>
        <v/>
      </c>
      <c r="I117" s="142"/>
      <c r="J117" s="142" t="str">
        <f ca="1">IFERROR(VALUE(IF(VLOOKUP($A117,数出表_Excel!$A$6:$T$150,COLUMN()/2+1,FALSE)=0,"",VLOOKUP($A117,数出表_Excel!$A$6:$T$150,COLUMN()/2+1,FALSE))),"")</f>
        <v/>
      </c>
      <c r="K117" s="209"/>
      <c r="L117" s="147" t="str">
        <f ca="1">IFERROR(VALUE(IF(VLOOKUP($A117,数出表_Excel!$A$6:$T$150,COLUMN()/2+1,FALSE)=0,"",VLOOKUP($A117,数出表_Excel!$A$6:$T$150,COLUMN()/2+1,FALSE))),"")</f>
        <v/>
      </c>
      <c r="M117" s="142"/>
      <c r="N117" s="142" t="str">
        <f ca="1">IFERROR(VALUE(IF(VLOOKUP($A117,数出表_Excel!$A$6:$T$150,COLUMN()/2+1,FALSE)=0,"",VLOOKUP($A117,数出表_Excel!$A$6:$T$150,COLUMN()/2+1,FALSE))),"")</f>
        <v/>
      </c>
      <c r="O117" s="142"/>
      <c r="P117" s="142" t="str">
        <f ca="1">IFERROR(VALUE(IF(VLOOKUP($A117,数出表_Excel!$A$6:$T$150,COLUMN()/2+1,FALSE)=0,"",VLOOKUP($A117,数出表_Excel!$A$6:$T$150,COLUMN()/2+1,FALSE))),"")</f>
        <v/>
      </c>
      <c r="Q117" s="142"/>
      <c r="R117" s="142" t="str">
        <f ca="1">IFERROR(VALUE(IF(VLOOKUP($A117,数出表_Excel!$A$6:$T$150,COLUMN()/2+1,FALSE)=0,"",VLOOKUP($A117,数出表_Excel!$A$6:$T$150,COLUMN()/2+1,FALSE))),"")</f>
        <v/>
      </c>
      <c r="S117" s="142"/>
      <c r="T117" s="142" t="str">
        <f ca="1">IFERROR(VALUE(IF(VLOOKUP($A117,数出表_Excel!$A$6:$T$150,COLUMN()/2+1,FALSE)=0,"",VLOOKUP($A117,数出表_Excel!$A$6:$T$150,COLUMN()/2+1,FALSE))),"")</f>
        <v/>
      </c>
      <c r="U117" s="142"/>
      <c r="V117" s="146" t="str">
        <f ca="1">IFERROR(VALUE(IF(VLOOKUP($A117,数出表_Excel!$A$6:$T$150,COLUMN()/2+1,FALSE)=0,"",VLOOKUP($A117,数出表_Excel!$A$6:$T$150,COLUMN()/2+1,FALSE))),"")</f>
        <v/>
      </c>
      <c r="W117" s="142"/>
      <c r="X117" s="146" t="str">
        <f ca="1">IFERROR(VALUE(IF(VLOOKUP($A117,数出表_Excel!$A$6:$T$150,COLUMN()/2+1,FALSE)=0,"",VLOOKUP($A117,数出表_Excel!$A$6:$T$150,COLUMN()/2+1,FALSE))),"")</f>
        <v/>
      </c>
      <c r="Y117" s="142"/>
      <c r="Z117" s="146" t="str">
        <f ca="1">IFERROR(VALUE(IF(VLOOKUP($A117,数出表_Excel!$A$6:$T$150,COLUMN()/2+1,FALSE)=0,"",VLOOKUP($A117,数出表_Excel!$A$6:$T$150,COLUMN()/2+1,FALSE))),"")</f>
        <v/>
      </c>
      <c r="AA117" s="209"/>
      <c r="AB117" s="147" t="str">
        <f ca="1">IFERROR(VALUE(IF(VLOOKUP($A117,数出表_Excel!$A$6:$T$150,COLUMN()/2+1,FALSE)=0,"",VLOOKUP($A117,数出表_Excel!$A$6:$T$150,COLUMN()/2+1,FALSE))),"")</f>
        <v/>
      </c>
      <c r="AC117" s="142"/>
      <c r="AD117" s="146" t="str">
        <f ca="1">IFERROR(VALUE(IF(VLOOKUP($A117,数出表_Excel!$A$6:$T$150,COLUMN()/2+1,FALSE)=0,"",VLOOKUP($A117,数出表_Excel!$A$6:$T$150,COLUMN()/2+1,FALSE))),"")</f>
        <v/>
      </c>
      <c r="AE117" s="142"/>
      <c r="AF117" s="146" t="str">
        <f ca="1">IFERROR(VALUE(IF(VLOOKUP($A117,数出表_Excel!$A$6:$T$150,COLUMN()/2+1,FALSE)=0,"",VLOOKUP($A117,数出表_Excel!$A$6:$T$150,COLUMN()/2+1,FALSE))),"")</f>
        <v/>
      </c>
      <c r="AG117" s="142"/>
      <c r="AH117" s="146" t="str">
        <f ca="1">IFERROR(VALUE(IF(VLOOKUP($A117,数出表_Excel!$A$6:$T$150,COLUMN()/2+1,FALSE)=0,"",VLOOKUP($A117,数出表_Excel!$A$6:$T$150,COLUMN()/2+1,FALSE))),"")</f>
        <v/>
      </c>
      <c r="AI117" s="209"/>
      <c r="AJ117" s="147" t="str">
        <f ca="1">IFERROR(VALUE(IF(VLOOKUP($A117,数出表_Excel!$A$6:$T$150,COLUMN()/2+1,FALSE)=0,"",VLOOKUP($A117,数出表_Excel!$A$6:$T$150,COLUMN()/2+1,FALSE))),"")</f>
        <v/>
      </c>
      <c r="AK117" s="142"/>
      <c r="AL117" s="148" t="e">
        <f ca="1">IF(A117&lt;&gt;"",
IF(VLOOKUP($A117,数出表_Excel!$A$6:$T$150,COLUMN()/2+1,FALSE)=0,"",VLOOKUP($A117,数出表_Excel!$A$6:$T$150,COLUMN()/2+1,FALSE)),"")</f>
        <v>#N/A</v>
      </c>
      <c r="AM117" s="263">
        <f>数出表_Excel!V117</f>
        <v>0</v>
      </c>
      <c r="AN117" s="264">
        <f>数出表_Excel!W117</f>
        <v>0</v>
      </c>
    </row>
    <row r="118" spans="1:40" ht="16.2" customHeight="1" x14ac:dyDescent="0.45">
      <c r="A118" s="219" t="str">
        <f t="array" aca="1" ref="A118" ca="1">IF(OR(COUNTIF(A116,"*10002*"),COUNTIF(A116,"")),"",INDEX(貼り付け用!$A:$A,MATCH(A116,貼り付け用!$A:$A,0)+2,0))</f>
        <v>805</v>
      </c>
      <c r="B118" s="204" t="str">
        <f ca="1">IFERROR(VALUE(IF(VLOOKUP($A118,数出表_Excel!$A$6:$T$150,COLUMN()/2+1,FALSE)=0,"",VLOOKUP($A118,数出表_Excel!$A$6:$T$150,COLUMN()/2+1,FALSE))),"")</f>
        <v/>
      </c>
      <c r="C118" s="141"/>
      <c r="D118" s="204" t="str">
        <f ca="1">IFERROR(VALUE(IF(VLOOKUP($A118,数出表_Excel!$A$6:$T$150,COLUMN()/2+1,FALSE)=0,"",VLOOKUP($A118,数出表_Excel!$A$6:$T$150,COLUMN()/2+1,FALSE))),"")</f>
        <v/>
      </c>
      <c r="E118" s="141"/>
      <c r="F118" s="207" t="str">
        <f ca="1">IFERROR(VALUE(IF(VLOOKUP($A118,数出表_Excel!$A$6:$T$150,COLUMN()/2+1,FALSE)=0,"",VLOOKUP($A118,数出表_Excel!$A$6:$T$150,COLUMN()/2+1,FALSE))),"")</f>
        <v/>
      </c>
      <c r="G118" s="141">
        <v>2</v>
      </c>
      <c r="H118" s="204" t="str">
        <f ca="1">IFERROR(VALUE(IF(VLOOKUP($A118,数出表_Excel!$A$6:$T$150,COLUMN()/2+1,FALSE)=0,"",VLOOKUP($A118,数出表_Excel!$A$6:$T$150,COLUMN()/2+1,FALSE))),"")</f>
        <v/>
      </c>
      <c r="I118" s="141"/>
      <c r="J118" s="204" t="str">
        <f ca="1">IFERROR(VALUE(IF(VLOOKUP($A118,数出表_Excel!$A$6:$T$150,COLUMN()/2+1,FALSE)=0,"",VLOOKUP($A118,数出表_Excel!$A$6:$T$150,COLUMN()/2+1,FALSE))),"")</f>
        <v/>
      </c>
      <c r="K118" s="208"/>
      <c r="L118" s="205" t="str">
        <f ca="1">IFERROR(VALUE(IF(VLOOKUP($A118,数出表_Excel!$A$6:$T$150,COLUMN()/2+1,FALSE)=0,"",VLOOKUP($A118,数出表_Excel!$A$6:$T$150,COLUMN()/2+1,FALSE))),"")</f>
        <v/>
      </c>
      <c r="M118" s="141"/>
      <c r="N118" s="204" t="str">
        <f ca="1">IFERROR(VALUE(IF(VLOOKUP($A118,数出表_Excel!$A$6:$T$150,COLUMN()/2+1,FALSE)=0,"",VLOOKUP($A118,数出表_Excel!$A$6:$T$150,COLUMN()/2+1,FALSE))),"")</f>
        <v/>
      </c>
      <c r="O118" s="141"/>
      <c r="P118" s="204" t="str">
        <f ca="1">IFERROR(VALUE(IF(VLOOKUP($A118,数出表_Excel!$A$6:$T$150,COLUMN()/2+1,FALSE)=0,"",VLOOKUP($A118,数出表_Excel!$A$6:$T$150,COLUMN()/2+1,FALSE))),"")</f>
        <v/>
      </c>
      <c r="Q118" s="141"/>
      <c r="R118" s="204" t="str">
        <f ca="1">IFERROR(VALUE(IF(VLOOKUP($A118,数出表_Excel!$A$6:$T$150,COLUMN()/2+1,FALSE)=0,"",VLOOKUP($A118,数出表_Excel!$A$6:$T$150,COLUMN()/2+1,FALSE))),"")</f>
        <v/>
      </c>
      <c r="S118" s="141"/>
      <c r="T118" s="204" t="str">
        <f ca="1">IFERROR(VALUE(IF(VLOOKUP($A118,数出表_Excel!$A$6:$T$150,COLUMN()/2+1,FALSE)=0,"",VLOOKUP($A118,数出表_Excel!$A$6:$T$150,COLUMN()/2+1,FALSE))),"")</f>
        <v/>
      </c>
      <c r="U118" s="141"/>
      <c r="V118" s="207" t="str">
        <f ca="1">IFERROR(VALUE(IF(VLOOKUP($A118,数出表_Excel!$A$6:$T$150,COLUMN()/2+1,FALSE)=0,"",VLOOKUP($A118,数出表_Excel!$A$6:$T$150,COLUMN()/2+1,FALSE))),"")</f>
        <v/>
      </c>
      <c r="W118" s="141"/>
      <c r="X118" s="207" t="str">
        <f ca="1">IFERROR(VALUE(IF(VLOOKUP($A118,数出表_Excel!$A$6:$T$150,COLUMN()/2+1,FALSE)=0,"",VLOOKUP($A118,数出表_Excel!$A$6:$T$150,COLUMN()/2+1,FALSE))),"")</f>
        <v/>
      </c>
      <c r="Y118" s="141"/>
      <c r="Z118" s="207" t="str">
        <f ca="1">IFERROR(VALUE(IF(VLOOKUP($A118,数出表_Excel!$A$6:$T$150,COLUMN()/2+1,FALSE)=0,"",VLOOKUP($A118,数出表_Excel!$A$6:$T$150,COLUMN()/2+1,FALSE))),"")</f>
        <v/>
      </c>
      <c r="AA118" s="208"/>
      <c r="AB118" s="205" t="str">
        <f ca="1">IFERROR(VALUE(IF(VLOOKUP($A118,数出表_Excel!$A$6:$T$150,COLUMN()/2+1,FALSE)=0,"",VLOOKUP($A118,数出表_Excel!$A$6:$T$150,COLUMN()/2+1,FALSE))),"")</f>
        <v/>
      </c>
      <c r="AC118" s="141"/>
      <c r="AD118" s="207" t="str">
        <f ca="1">IFERROR(VALUE(IF(VLOOKUP($A118,数出表_Excel!$A$6:$T$150,COLUMN()/2+1,FALSE)=0,"",VLOOKUP($A118,数出表_Excel!$A$6:$T$150,COLUMN()/2+1,FALSE))),"")</f>
        <v/>
      </c>
      <c r="AE118" s="141"/>
      <c r="AF118" s="207" t="str">
        <f ca="1">IFERROR(VALUE(IF(VLOOKUP($A118,数出表_Excel!$A$6:$T$150,COLUMN()/2+1,FALSE)=0,"",VLOOKUP($A118,数出表_Excel!$A$6:$T$150,COLUMN()/2+1,FALSE))),"")</f>
        <v/>
      </c>
      <c r="AG118" s="141"/>
      <c r="AH118" s="207" t="str">
        <f ca="1">IFERROR(VALUE(IF(VLOOKUP($A118,数出表_Excel!$A$6:$T$150,COLUMN()/2+1,FALSE)=0,"",VLOOKUP($A118,数出表_Excel!$A$6:$T$150,COLUMN()/2+1,FALSE))),"")</f>
        <v/>
      </c>
      <c r="AI118" s="208"/>
      <c r="AJ118" s="205" t="str">
        <f ca="1">IFERROR(VALUE(IF(VLOOKUP($A118,数出表_Excel!$A$6:$T$150,COLUMN()/2+1,FALSE)=0,"",VLOOKUP($A118,数出表_Excel!$A$6:$T$150,COLUMN()/2+1,FALSE))),"")</f>
        <v/>
      </c>
      <c r="AK118" s="141"/>
      <c r="AL118" s="145" t="e">
        <f ca="1">IF(A118&lt;&gt;"",
IF(VLOOKUP($A118,数出表_Excel!$A$6:$T$150,COLUMN()/2+1,FALSE)=0,"",VLOOKUP($A118,数出表_Excel!$A$6:$T$150,COLUMN()/2+1,FALSE)),"")</f>
        <v>#N/A</v>
      </c>
      <c r="AM118" s="261">
        <f>数出表_Excel!V118</f>
        <v>0</v>
      </c>
      <c r="AN118" s="262">
        <f>数出表_Excel!W118</f>
        <v>0</v>
      </c>
    </row>
    <row r="119" spans="1:40" ht="16.2" customHeight="1" x14ac:dyDescent="0.45">
      <c r="A119" s="220" t="str">
        <f t="array" aca="1" ref="A119" ca="1">IF(OR(COUNTIF(A117,"*1000*"),COUNTIF(A117,"")),"",INDEX(貼り付け用!$A:$A,MATCH(A117,貼り付け用!$A:$A,0)+2,0))</f>
        <v>吉塚ゆりの樹 ママ ①</v>
      </c>
      <c r="B119" s="142" t="str">
        <f ca="1">IFERROR(VALUE(IF(VLOOKUP($A119,数出表_Excel!$A$6:$T$150,COLUMN()/2+1,FALSE)=0,"",VLOOKUP($A119,数出表_Excel!$A$6:$T$150,COLUMN()/2+1,FALSE))),"")</f>
        <v/>
      </c>
      <c r="C119" s="142"/>
      <c r="D119" s="142" t="str">
        <f ca="1">IFERROR(VALUE(IF(VLOOKUP($A119,数出表_Excel!$A$6:$T$150,COLUMN()/2+1,FALSE)=0,"",VLOOKUP($A119,数出表_Excel!$A$6:$T$150,COLUMN()/2+1,FALSE))),"")</f>
        <v/>
      </c>
      <c r="E119" s="142"/>
      <c r="F119" s="146" t="str">
        <f ca="1">IFERROR(VALUE(IF(VLOOKUP($A119,数出表_Excel!$A$6:$T$150,COLUMN()/2+1,FALSE)=0,"",VLOOKUP($A119,数出表_Excel!$A$6:$T$150,COLUMN()/2+1,FALSE))),"")</f>
        <v/>
      </c>
      <c r="G119" s="142"/>
      <c r="H119" s="142" t="str">
        <f ca="1">IFERROR(VALUE(IF(VLOOKUP($A119,数出表_Excel!$A$6:$T$150,COLUMN()/2+1,FALSE)=0,"",VLOOKUP($A119,数出表_Excel!$A$6:$T$150,COLUMN()/2+1,FALSE))),"")</f>
        <v/>
      </c>
      <c r="I119" s="142"/>
      <c r="J119" s="142" t="str">
        <f ca="1">IFERROR(VALUE(IF(VLOOKUP($A119,数出表_Excel!$A$6:$T$150,COLUMN()/2+1,FALSE)=0,"",VLOOKUP($A119,数出表_Excel!$A$6:$T$150,COLUMN()/2+1,FALSE))),"")</f>
        <v/>
      </c>
      <c r="K119" s="209"/>
      <c r="L119" s="147" t="str">
        <f ca="1">IFERROR(VALUE(IF(VLOOKUP($A119,数出表_Excel!$A$6:$T$150,COLUMN()/2+1,FALSE)=0,"",VLOOKUP($A119,数出表_Excel!$A$6:$T$150,COLUMN()/2+1,FALSE))),"")</f>
        <v/>
      </c>
      <c r="M119" s="142"/>
      <c r="N119" s="142" t="str">
        <f ca="1">IFERROR(VALUE(IF(VLOOKUP($A119,数出表_Excel!$A$6:$T$150,COLUMN()/2+1,FALSE)=0,"",VLOOKUP($A119,数出表_Excel!$A$6:$T$150,COLUMN()/2+1,FALSE))),"")</f>
        <v/>
      </c>
      <c r="O119" s="142"/>
      <c r="P119" s="142" t="str">
        <f ca="1">IFERROR(VALUE(IF(VLOOKUP($A119,数出表_Excel!$A$6:$T$150,COLUMN()/2+1,FALSE)=0,"",VLOOKUP($A119,数出表_Excel!$A$6:$T$150,COLUMN()/2+1,FALSE))),"")</f>
        <v/>
      </c>
      <c r="Q119" s="142"/>
      <c r="R119" s="142" t="str">
        <f ca="1">IFERROR(VALUE(IF(VLOOKUP($A119,数出表_Excel!$A$6:$T$150,COLUMN()/2+1,FALSE)=0,"",VLOOKUP($A119,数出表_Excel!$A$6:$T$150,COLUMN()/2+1,FALSE))),"")</f>
        <v/>
      </c>
      <c r="S119" s="142"/>
      <c r="T119" s="142" t="str">
        <f ca="1">IFERROR(VALUE(IF(VLOOKUP($A119,数出表_Excel!$A$6:$T$150,COLUMN()/2+1,FALSE)=0,"",VLOOKUP($A119,数出表_Excel!$A$6:$T$150,COLUMN()/2+1,FALSE))),"")</f>
        <v/>
      </c>
      <c r="U119" s="142"/>
      <c r="V119" s="146" t="str">
        <f ca="1">IFERROR(VALUE(IF(VLOOKUP($A119,数出表_Excel!$A$6:$T$150,COLUMN()/2+1,FALSE)=0,"",VLOOKUP($A119,数出表_Excel!$A$6:$T$150,COLUMN()/2+1,FALSE))),"")</f>
        <v/>
      </c>
      <c r="W119" s="142"/>
      <c r="X119" s="146" t="str">
        <f ca="1">IFERROR(VALUE(IF(VLOOKUP($A119,数出表_Excel!$A$6:$T$150,COLUMN()/2+1,FALSE)=0,"",VLOOKUP($A119,数出表_Excel!$A$6:$T$150,COLUMN()/2+1,FALSE))),"")</f>
        <v/>
      </c>
      <c r="Y119" s="142"/>
      <c r="Z119" s="146" t="str">
        <f ca="1">IFERROR(VALUE(IF(VLOOKUP($A119,数出表_Excel!$A$6:$T$150,COLUMN()/2+1,FALSE)=0,"",VLOOKUP($A119,数出表_Excel!$A$6:$T$150,COLUMN()/2+1,FALSE))),"")</f>
        <v/>
      </c>
      <c r="AA119" s="209"/>
      <c r="AB119" s="147" t="str">
        <f ca="1">IFERROR(VALUE(IF(VLOOKUP($A119,数出表_Excel!$A$6:$T$150,COLUMN()/2+1,FALSE)=0,"",VLOOKUP($A119,数出表_Excel!$A$6:$T$150,COLUMN()/2+1,FALSE))),"")</f>
        <v/>
      </c>
      <c r="AC119" s="142"/>
      <c r="AD119" s="146" t="str">
        <f ca="1">IFERROR(VALUE(IF(VLOOKUP($A119,数出表_Excel!$A$6:$T$150,COLUMN()/2+1,FALSE)=0,"",VLOOKUP($A119,数出表_Excel!$A$6:$T$150,COLUMN()/2+1,FALSE))),"")</f>
        <v/>
      </c>
      <c r="AE119" s="142"/>
      <c r="AF119" s="146" t="str">
        <f ca="1">IFERROR(VALUE(IF(VLOOKUP($A119,数出表_Excel!$A$6:$T$150,COLUMN()/2+1,FALSE)=0,"",VLOOKUP($A119,数出表_Excel!$A$6:$T$150,COLUMN()/2+1,FALSE))),"")</f>
        <v/>
      </c>
      <c r="AG119" s="142"/>
      <c r="AH119" s="146" t="str">
        <f ca="1">IFERROR(VALUE(IF(VLOOKUP($A119,数出表_Excel!$A$6:$T$150,COLUMN()/2+1,FALSE)=0,"",VLOOKUP($A119,数出表_Excel!$A$6:$T$150,COLUMN()/2+1,FALSE))),"")</f>
        <v/>
      </c>
      <c r="AI119" s="209"/>
      <c r="AJ119" s="147" t="str">
        <f ca="1">IFERROR(VALUE(IF(VLOOKUP($A119,数出表_Excel!$A$6:$T$150,COLUMN()/2+1,FALSE)=0,"",VLOOKUP($A119,数出表_Excel!$A$6:$T$150,COLUMN()/2+1,FALSE))),"")</f>
        <v/>
      </c>
      <c r="AK119" s="142"/>
      <c r="AL119" s="148" t="e">
        <f ca="1">IF(A119&lt;&gt;"",
IF(VLOOKUP($A119,数出表_Excel!$A$6:$T$150,COLUMN()/2+1,FALSE)=0,"",VLOOKUP($A119,数出表_Excel!$A$6:$T$150,COLUMN()/2+1,FALSE)),"")</f>
        <v>#N/A</v>
      </c>
      <c r="AM119" s="263">
        <f>数出表_Excel!V119</f>
        <v>0</v>
      </c>
      <c r="AN119" s="264">
        <f>数出表_Excel!W119</f>
        <v>0</v>
      </c>
    </row>
    <row r="120" spans="1:40" ht="16.2" customHeight="1" x14ac:dyDescent="0.45">
      <c r="A120" s="219" t="str">
        <f t="array" aca="1" ref="A120" ca="1">IF(OR(COUNTIF(A118,"*10002*"),COUNTIF(A118,"")),"",INDEX(貼り付け用!$A:$A,MATCH(A118,貼り付け用!$A:$A,0)+2,0))</f>
        <v>40000</v>
      </c>
      <c r="B120" s="204" t="str">
        <f ca="1">IFERROR(VALUE(IF(VLOOKUP($A120,数出表_Excel!$A$6:$T$150,COLUMN()/2+1,FALSE)=0,"",VLOOKUP($A120,数出表_Excel!$A$6:$T$150,COLUMN()/2+1,FALSE))),"")</f>
        <v/>
      </c>
      <c r="C120" s="141"/>
      <c r="D120" s="204" t="str">
        <f ca="1">IFERROR(VALUE(IF(VLOOKUP($A120,数出表_Excel!$A$6:$T$150,COLUMN()/2+1,FALSE)=0,"",VLOOKUP($A120,数出表_Excel!$A$6:$T$150,COLUMN()/2+1,FALSE))),"")</f>
        <v/>
      </c>
      <c r="E120" s="141"/>
      <c r="F120" s="207" t="str">
        <f ca="1">IFERROR(VALUE(IF(VLOOKUP($A120,数出表_Excel!$A$6:$T$150,COLUMN()/2+1,FALSE)=0,"",VLOOKUP($A120,数出表_Excel!$A$6:$T$150,COLUMN()/2+1,FALSE))),"")</f>
        <v/>
      </c>
      <c r="G120" s="141"/>
      <c r="H120" s="204" t="str">
        <f ca="1">IFERROR(VALUE(IF(VLOOKUP($A120,数出表_Excel!$A$6:$T$150,COLUMN()/2+1,FALSE)=0,"",VLOOKUP($A120,数出表_Excel!$A$6:$T$150,COLUMN()/2+1,FALSE))),"")</f>
        <v/>
      </c>
      <c r="I120" s="141"/>
      <c r="J120" s="204" t="str">
        <f ca="1">IFERROR(VALUE(IF(VLOOKUP($A120,数出表_Excel!$A$6:$T$150,COLUMN()/2+1,FALSE)=0,"",VLOOKUP($A120,数出表_Excel!$A$6:$T$150,COLUMN()/2+1,FALSE))),"")</f>
        <v/>
      </c>
      <c r="K120" s="208"/>
      <c r="L120" s="205" t="str">
        <f ca="1">IFERROR(VALUE(IF(VLOOKUP($A120,数出表_Excel!$A$6:$T$150,COLUMN()/2+1,FALSE)=0,"",VLOOKUP($A120,数出表_Excel!$A$6:$T$150,COLUMN()/2+1,FALSE))),"")</f>
        <v/>
      </c>
      <c r="M120" s="141"/>
      <c r="N120" s="204" t="str">
        <f ca="1">IFERROR(VALUE(IF(VLOOKUP($A120,数出表_Excel!$A$6:$T$150,COLUMN()/2+1,FALSE)=0,"",VLOOKUP($A120,数出表_Excel!$A$6:$T$150,COLUMN()/2+1,FALSE))),"")</f>
        <v/>
      </c>
      <c r="O120" s="141"/>
      <c r="P120" s="204" t="str">
        <f ca="1">IFERROR(VALUE(IF(VLOOKUP($A120,数出表_Excel!$A$6:$T$150,COLUMN()/2+1,FALSE)=0,"",VLOOKUP($A120,数出表_Excel!$A$6:$T$150,COLUMN()/2+1,FALSE))),"")</f>
        <v/>
      </c>
      <c r="Q120" s="141"/>
      <c r="R120" s="204" t="str">
        <f ca="1">IFERROR(VALUE(IF(VLOOKUP($A120,数出表_Excel!$A$6:$T$150,COLUMN()/2+1,FALSE)=0,"",VLOOKUP($A120,数出表_Excel!$A$6:$T$150,COLUMN()/2+1,FALSE))),"")</f>
        <v/>
      </c>
      <c r="S120" s="141"/>
      <c r="T120" s="204" t="str">
        <f ca="1">IFERROR(VALUE(IF(VLOOKUP($A120,数出表_Excel!$A$6:$T$150,COLUMN()/2+1,FALSE)=0,"",VLOOKUP($A120,数出表_Excel!$A$6:$T$150,COLUMN()/2+1,FALSE))),"")</f>
        <v/>
      </c>
      <c r="U120" s="141"/>
      <c r="V120" s="207" t="str">
        <f ca="1">IFERROR(VALUE(IF(VLOOKUP($A120,数出表_Excel!$A$6:$T$150,COLUMN()/2+1,FALSE)=0,"",VLOOKUP($A120,数出表_Excel!$A$6:$T$150,COLUMN()/2+1,FALSE))),"")</f>
        <v/>
      </c>
      <c r="W120" s="141"/>
      <c r="X120" s="207" t="str">
        <f ca="1">IFERROR(VALUE(IF(VLOOKUP($A120,数出表_Excel!$A$6:$T$150,COLUMN()/2+1,FALSE)=0,"",VLOOKUP($A120,数出表_Excel!$A$6:$T$150,COLUMN()/2+1,FALSE))),"")</f>
        <v/>
      </c>
      <c r="Y120" s="141"/>
      <c r="Z120" s="207" t="str">
        <f ca="1">IFERROR(VALUE(IF(VLOOKUP($A120,数出表_Excel!$A$6:$T$150,COLUMN()/2+1,FALSE)=0,"",VLOOKUP($A120,数出表_Excel!$A$6:$T$150,COLUMN()/2+1,FALSE))),"")</f>
        <v/>
      </c>
      <c r="AA120" s="208"/>
      <c r="AB120" s="205" t="str">
        <f ca="1">IFERROR(VALUE(IF(VLOOKUP($A120,数出表_Excel!$A$6:$T$150,COLUMN()/2+1,FALSE)=0,"",VLOOKUP($A120,数出表_Excel!$A$6:$T$150,COLUMN()/2+1,FALSE))),"")</f>
        <v/>
      </c>
      <c r="AC120" s="141"/>
      <c r="AD120" s="207" t="str">
        <f ca="1">IFERROR(VALUE(IF(VLOOKUP($A120,数出表_Excel!$A$6:$T$150,COLUMN()/2+1,FALSE)=0,"",VLOOKUP($A120,数出表_Excel!$A$6:$T$150,COLUMN()/2+1,FALSE))),"")</f>
        <v/>
      </c>
      <c r="AE120" s="141"/>
      <c r="AF120" s="207" t="str">
        <f ca="1">IFERROR(VALUE(IF(VLOOKUP($A120,数出表_Excel!$A$6:$T$150,COLUMN()/2+1,FALSE)=0,"",VLOOKUP($A120,数出表_Excel!$A$6:$T$150,COLUMN()/2+1,FALSE))),"")</f>
        <v/>
      </c>
      <c r="AG120" s="141"/>
      <c r="AH120" s="207" t="str">
        <f ca="1">IFERROR(VALUE(IF(VLOOKUP($A120,数出表_Excel!$A$6:$T$150,COLUMN()/2+1,FALSE)=0,"",VLOOKUP($A120,数出表_Excel!$A$6:$T$150,COLUMN()/2+1,FALSE))),"")</f>
        <v/>
      </c>
      <c r="AI120" s="208"/>
      <c r="AJ120" s="205" t="str">
        <f ca="1">IFERROR(VALUE(IF(VLOOKUP($A120,数出表_Excel!$A$6:$T$150,COLUMN()/2+1,FALSE)=0,"",VLOOKUP($A120,数出表_Excel!$A$6:$T$150,COLUMN()/2+1,FALSE))),"")</f>
        <v/>
      </c>
      <c r="AK120" s="141"/>
      <c r="AL120" s="145" t="e">
        <f ca="1">IF(A120&lt;&gt;"",
IF(VLOOKUP($A120,数出表_Excel!$A$6:$T$150,COLUMN()/2+1,FALSE)=0,"",VLOOKUP($A120,数出表_Excel!$A$6:$T$150,COLUMN()/2+1,FALSE)),"")</f>
        <v>#N/A</v>
      </c>
      <c r="AM120" s="261">
        <f>数出表_Excel!V120</f>
        <v>0</v>
      </c>
      <c r="AN120" s="262">
        <f>数出表_Excel!W120</f>
        <v>0</v>
      </c>
    </row>
    <row r="121" spans="1:40" ht="16.2" customHeight="1" x14ac:dyDescent="0.45">
      <c r="A121" s="220" t="str">
        <f t="array" aca="1" ref="A121" ca="1">IF(OR(COUNTIF(A119,"*1000*"),COUNTIF(A119,"")),"",INDEX(貼り付け用!$A:$A,MATCH(A119,貼り付け用!$A:$A,0)+2,0))</f>
        <v>スマイルぶろっこりー</v>
      </c>
      <c r="B121" s="142" t="str">
        <f ca="1">IFERROR(VALUE(IF(VLOOKUP($A121,数出表_Excel!$A$6:$T$150,COLUMN()/2+1,FALSE)=0,"",VLOOKUP($A121,数出表_Excel!$A$6:$T$150,COLUMN()/2+1,FALSE))),"")</f>
        <v/>
      </c>
      <c r="C121" s="142"/>
      <c r="D121" s="142" t="str">
        <f ca="1">IFERROR(VALUE(IF(VLOOKUP($A121,数出表_Excel!$A$6:$T$150,COLUMN()/2+1,FALSE)=0,"",VLOOKUP($A121,数出表_Excel!$A$6:$T$150,COLUMN()/2+1,FALSE))),"")</f>
        <v/>
      </c>
      <c r="E121" s="142"/>
      <c r="F121" s="146" t="str">
        <f ca="1">IFERROR(VALUE(IF(VLOOKUP($A121,数出表_Excel!$A$6:$T$150,COLUMN()/2+1,FALSE)=0,"",VLOOKUP($A121,数出表_Excel!$A$6:$T$150,COLUMN()/2+1,FALSE))),"")</f>
        <v/>
      </c>
      <c r="G121" s="142"/>
      <c r="H121" s="142" t="str">
        <f ca="1">IFERROR(VALUE(IF(VLOOKUP($A121,数出表_Excel!$A$6:$T$150,COLUMN()/2+1,FALSE)=0,"",VLOOKUP($A121,数出表_Excel!$A$6:$T$150,COLUMN()/2+1,FALSE))),"")</f>
        <v/>
      </c>
      <c r="I121" s="142"/>
      <c r="J121" s="142" t="str">
        <f ca="1">IFERROR(VALUE(IF(VLOOKUP($A121,数出表_Excel!$A$6:$T$150,COLUMN()/2+1,FALSE)=0,"",VLOOKUP($A121,数出表_Excel!$A$6:$T$150,COLUMN()/2+1,FALSE))),"")</f>
        <v/>
      </c>
      <c r="K121" s="209"/>
      <c r="L121" s="147" t="str">
        <f ca="1">IFERROR(VALUE(IF(VLOOKUP($A121,数出表_Excel!$A$6:$T$150,COLUMN()/2+1,FALSE)=0,"",VLOOKUP($A121,数出表_Excel!$A$6:$T$150,COLUMN()/2+1,FALSE))),"")</f>
        <v/>
      </c>
      <c r="M121" s="142"/>
      <c r="N121" s="142" t="str">
        <f ca="1">IFERROR(VALUE(IF(VLOOKUP($A121,数出表_Excel!$A$6:$T$150,COLUMN()/2+1,FALSE)=0,"",VLOOKUP($A121,数出表_Excel!$A$6:$T$150,COLUMN()/2+1,FALSE))),"")</f>
        <v/>
      </c>
      <c r="O121" s="142"/>
      <c r="P121" s="142" t="str">
        <f ca="1">IFERROR(VALUE(IF(VLOOKUP($A121,数出表_Excel!$A$6:$T$150,COLUMN()/2+1,FALSE)=0,"",VLOOKUP($A121,数出表_Excel!$A$6:$T$150,COLUMN()/2+1,FALSE))),"")</f>
        <v/>
      </c>
      <c r="Q121" s="142"/>
      <c r="R121" s="142" t="str">
        <f ca="1">IFERROR(VALUE(IF(VLOOKUP($A121,数出表_Excel!$A$6:$T$150,COLUMN()/2+1,FALSE)=0,"",VLOOKUP($A121,数出表_Excel!$A$6:$T$150,COLUMN()/2+1,FALSE))),"")</f>
        <v/>
      </c>
      <c r="S121" s="142"/>
      <c r="T121" s="142" t="str">
        <f ca="1">IFERROR(VALUE(IF(VLOOKUP($A121,数出表_Excel!$A$6:$T$150,COLUMN()/2+1,FALSE)=0,"",VLOOKUP($A121,数出表_Excel!$A$6:$T$150,COLUMN()/2+1,FALSE))),"")</f>
        <v/>
      </c>
      <c r="U121" s="142"/>
      <c r="V121" s="146" t="str">
        <f ca="1">IFERROR(VALUE(IF(VLOOKUP($A121,数出表_Excel!$A$6:$T$150,COLUMN()/2+1,FALSE)=0,"",VLOOKUP($A121,数出表_Excel!$A$6:$T$150,COLUMN()/2+1,FALSE))),"")</f>
        <v/>
      </c>
      <c r="W121" s="142"/>
      <c r="X121" s="146" t="str">
        <f ca="1">IFERROR(VALUE(IF(VLOOKUP($A121,数出表_Excel!$A$6:$T$150,COLUMN()/2+1,FALSE)=0,"",VLOOKUP($A121,数出表_Excel!$A$6:$T$150,COLUMN()/2+1,FALSE))),"")</f>
        <v/>
      </c>
      <c r="Y121" s="142"/>
      <c r="Z121" s="146" t="str">
        <f ca="1">IFERROR(VALUE(IF(VLOOKUP($A121,数出表_Excel!$A$6:$T$150,COLUMN()/2+1,FALSE)=0,"",VLOOKUP($A121,数出表_Excel!$A$6:$T$150,COLUMN()/2+1,FALSE))),"")</f>
        <v/>
      </c>
      <c r="AA121" s="209"/>
      <c r="AB121" s="147" t="str">
        <f ca="1">IFERROR(VALUE(IF(VLOOKUP($A121,数出表_Excel!$A$6:$T$150,COLUMN()/2+1,FALSE)=0,"",VLOOKUP($A121,数出表_Excel!$A$6:$T$150,COLUMN()/2+1,FALSE))),"")</f>
        <v/>
      </c>
      <c r="AC121" s="142"/>
      <c r="AD121" s="146" t="str">
        <f ca="1">IFERROR(VALUE(IF(VLOOKUP($A121,数出表_Excel!$A$6:$T$150,COLUMN()/2+1,FALSE)=0,"",VLOOKUP($A121,数出表_Excel!$A$6:$T$150,COLUMN()/2+1,FALSE))),"")</f>
        <v/>
      </c>
      <c r="AE121" s="142"/>
      <c r="AF121" s="146" t="str">
        <f ca="1">IFERROR(VALUE(IF(VLOOKUP($A121,数出表_Excel!$A$6:$T$150,COLUMN()/2+1,FALSE)=0,"",VLOOKUP($A121,数出表_Excel!$A$6:$T$150,COLUMN()/2+1,FALSE))),"")</f>
        <v/>
      </c>
      <c r="AG121" s="142"/>
      <c r="AH121" s="146" t="str">
        <f ca="1">IFERROR(VALUE(IF(VLOOKUP($A121,数出表_Excel!$A$6:$T$150,COLUMN()/2+1,FALSE)=0,"",VLOOKUP($A121,数出表_Excel!$A$6:$T$150,COLUMN()/2+1,FALSE))),"")</f>
        <v/>
      </c>
      <c r="AI121" s="209"/>
      <c r="AJ121" s="147" t="str">
        <f ca="1">IFERROR(VALUE(IF(VLOOKUP($A121,数出表_Excel!$A$6:$T$150,COLUMN()/2+1,FALSE)=0,"",VLOOKUP($A121,数出表_Excel!$A$6:$T$150,COLUMN()/2+1,FALSE))),"")</f>
        <v/>
      </c>
      <c r="AK121" s="142"/>
      <c r="AL121" s="148" t="e">
        <f ca="1">IF(A121&lt;&gt;"",
IF(VLOOKUP($A121,数出表_Excel!$A$6:$T$150,COLUMN()/2+1,FALSE)=0,"",VLOOKUP($A121,数出表_Excel!$A$6:$T$150,COLUMN()/2+1,FALSE)),"")</f>
        <v>#N/A</v>
      </c>
      <c r="AM121" s="263">
        <f>数出表_Excel!V121</f>
        <v>0</v>
      </c>
      <c r="AN121" s="264">
        <f>数出表_Excel!W121</f>
        <v>0</v>
      </c>
    </row>
    <row r="122" spans="1:40" ht="16.2" customHeight="1" x14ac:dyDescent="0.45">
      <c r="A122" s="219" t="str">
        <f t="array" aca="1" ref="A122" ca="1">IF(OR(COUNTIF(A120,"*10002*"),COUNTIF(A120,"")),"",INDEX(貼り付け用!$A:$A,MATCH(A120,貼り付け用!$A:$A,0)+2,0))</f>
        <v>40100</v>
      </c>
      <c r="B122" s="204" t="str">
        <f ca="1">IFERROR(VALUE(IF(VLOOKUP($A122,数出表_Excel!$A$6:$T$150,COLUMN()/2+1,FALSE)=0,"",VLOOKUP($A122,数出表_Excel!$A$6:$T$150,COLUMN()/2+1,FALSE))),"")</f>
        <v/>
      </c>
      <c r="C122" s="141"/>
      <c r="D122" s="204" t="str">
        <f ca="1">IFERROR(VALUE(IF(VLOOKUP($A122,数出表_Excel!$A$6:$T$150,COLUMN()/2+1,FALSE)=0,"",VLOOKUP($A122,数出表_Excel!$A$6:$T$150,COLUMN()/2+1,FALSE))),"")</f>
        <v/>
      </c>
      <c r="E122" s="141"/>
      <c r="F122" s="207" t="str">
        <f ca="1">IFERROR(VALUE(IF(VLOOKUP($A122,数出表_Excel!$A$6:$T$150,COLUMN()/2+1,FALSE)=0,"",VLOOKUP($A122,数出表_Excel!$A$6:$T$150,COLUMN()/2+1,FALSE))),"")</f>
        <v/>
      </c>
      <c r="G122" s="141"/>
      <c r="H122" s="204" t="str">
        <f ca="1">IFERROR(VALUE(IF(VLOOKUP($A122,数出表_Excel!$A$6:$T$150,COLUMN()/2+1,FALSE)=0,"",VLOOKUP($A122,数出表_Excel!$A$6:$T$150,COLUMN()/2+1,FALSE))),"")</f>
        <v/>
      </c>
      <c r="I122" s="141"/>
      <c r="J122" s="204" t="str">
        <f ca="1">IFERROR(VALUE(IF(VLOOKUP($A122,数出表_Excel!$A$6:$T$150,COLUMN()/2+1,FALSE)=0,"",VLOOKUP($A122,数出表_Excel!$A$6:$T$150,COLUMN()/2+1,FALSE))),"")</f>
        <v/>
      </c>
      <c r="K122" s="208"/>
      <c r="L122" s="205" t="str">
        <f ca="1">IFERROR(VALUE(IF(VLOOKUP($A122,数出表_Excel!$A$6:$T$150,COLUMN()/2+1,FALSE)=0,"",VLOOKUP($A122,数出表_Excel!$A$6:$T$150,COLUMN()/2+1,FALSE))),"")</f>
        <v/>
      </c>
      <c r="M122" s="141"/>
      <c r="N122" s="204" t="str">
        <f ca="1">IFERROR(VALUE(IF(VLOOKUP($A122,数出表_Excel!$A$6:$T$150,COLUMN()/2+1,FALSE)=0,"",VLOOKUP($A122,数出表_Excel!$A$6:$T$150,COLUMN()/2+1,FALSE))),"")</f>
        <v/>
      </c>
      <c r="O122" s="141"/>
      <c r="P122" s="204" t="str">
        <f ca="1">IFERROR(VALUE(IF(VLOOKUP($A122,数出表_Excel!$A$6:$T$150,COLUMN()/2+1,FALSE)=0,"",VLOOKUP($A122,数出表_Excel!$A$6:$T$150,COLUMN()/2+1,FALSE))),"")</f>
        <v/>
      </c>
      <c r="Q122" s="141"/>
      <c r="R122" s="204" t="str">
        <f ca="1">IFERROR(VALUE(IF(VLOOKUP($A122,数出表_Excel!$A$6:$T$150,COLUMN()/2+1,FALSE)=0,"",VLOOKUP($A122,数出表_Excel!$A$6:$T$150,COLUMN()/2+1,FALSE))),"")</f>
        <v/>
      </c>
      <c r="S122" s="141"/>
      <c r="T122" s="204" t="str">
        <f ca="1">IFERROR(VALUE(IF(VLOOKUP($A122,数出表_Excel!$A$6:$T$150,COLUMN()/2+1,FALSE)=0,"",VLOOKUP($A122,数出表_Excel!$A$6:$T$150,COLUMN()/2+1,FALSE))),"")</f>
        <v/>
      </c>
      <c r="U122" s="141"/>
      <c r="V122" s="207" t="str">
        <f ca="1">IFERROR(VALUE(IF(VLOOKUP($A122,数出表_Excel!$A$6:$T$150,COLUMN()/2+1,FALSE)=0,"",VLOOKUP($A122,数出表_Excel!$A$6:$T$150,COLUMN()/2+1,FALSE))),"")</f>
        <v/>
      </c>
      <c r="W122" s="141"/>
      <c r="X122" s="207" t="str">
        <f ca="1">IFERROR(VALUE(IF(VLOOKUP($A122,数出表_Excel!$A$6:$T$150,COLUMN()/2+1,FALSE)=0,"",VLOOKUP($A122,数出表_Excel!$A$6:$T$150,COLUMN()/2+1,FALSE))),"")</f>
        <v/>
      </c>
      <c r="Y122" s="141"/>
      <c r="Z122" s="207" t="str">
        <f ca="1">IFERROR(VALUE(IF(VLOOKUP($A122,数出表_Excel!$A$6:$T$150,COLUMN()/2+1,FALSE)=0,"",VLOOKUP($A122,数出表_Excel!$A$6:$T$150,COLUMN()/2+1,FALSE))),"")</f>
        <v/>
      </c>
      <c r="AA122" s="208"/>
      <c r="AB122" s="205" t="str">
        <f ca="1">IFERROR(VALUE(IF(VLOOKUP($A122,数出表_Excel!$A$6:$T$150,COLUMN()/2+1,FALSE)=0,"",VLOOKUP($A122,数出表_Excel!$A$6:$T$150,COLUMN()/2+1,FALSE))),"")</f>
        <v/>
      </c>
      <c r="AC122" s="141"/>
      <c r="AD122" s="207" t="str">
        <f ca="1">IFERROR(VALUE(IF(VLOOKUP($A122,数出表_Excel!$A$6:$T$150,COLUMN()/2+1,FALSE)=0,"",VLOOKUP($A122,数出表_Excel!$A$6:$T$150,COLUMN()/2+1,FALSE))),"")</f>
        <v/>
      </c>
      <c r="AE122" s="141"/>
      <c r="AF122" s="207" t="str">
        <f ca="1">IFERROR(VALUE(IF(VLOOKUP($A122,数出表_Excel!$A$6:$T$150,COLUMN()/2+1,FALSE)=0,"",VLOOKUP($A122,数出表_Excel!$A$6:$T$150,COLUMN()/2+1,FALSE))),"")</f>
        <v/>
      </c>
      <c r="AG122" s="141"/>
      <c r="AH122" s="207" t="str">
        <f ca="1">IFERROR(VALUE(IF(VLOOKUP($A122,数出表_Excel!$A$6:$T$150,COLUMN()/2+1,FALSE)=0,"",VLOOKUP($A122,数出表_Excel!$A$6:$T$150,COLUMN()/2+1,FALSE))),"")</f>
        <v/>
      </c>
      <c r="AI122" s="208"/>
      <c r="AJ122" s="205" t="str">
        <f ca="1">IFERROR(VALUE(IF(VLOOKUP($A122,数出表_Excel!$A$6:$T$150,COLUMN()/2+1,FALSE)=0,"",VLOOKUP($A122,数出表_Excel!$A$6:$T$150,COLUMN()/2+1,FALSE))),"")</f>
        <v/>
      </c>
      <c r="AK122" s="141"/>
      <c r="AL122" s="145" t="e">
        <f ca="1">IF(A122&lt;&gt;"",
IF(VLOOKUP($A122,数出表_Excel!$A$6:$T$150,COLUMN()/2+1,FALSE)=0,"",VLOOKUP($A122,数出表_Excel!$A$6:$T$150,COLUMN()/2+1,FALSE)),"")</f>
        <v>#N/A</v>
      </c>
      <c r="AM122" s="261">
        <f>数出表_Excel!V122</f>
        <v>0</v>
      </c>
      <c r="AN122" s="262">
        <f>数出表_Excel!W122</f>
        <v>0</v>
      </c>
    </row>
    <row r="123" spans="1:40" ht="16.2" customHeight="1" x14ac:dyDescent="0.45">
      <c r="A123" s="220" t="str">
        <f t="array" aca="1" ref="A123" ca="1">IF(OR(COUNTIF(A121,"*1000*"),COUNTIF(A121,"")),"",INDEX(貼り付け用!$A:$A,MATCH(A121,貼り付け用!$A:$A,0)+2,0))</f>
        <v>泉ヶ丘幼稚園</v>
      </c>
      <c r="B123" s="142" t="str">
        <f ca="1">IFERROR(VALUE(IF(VLOOKUP($A123,数出表_Excel!$A$6:$T$150,COLUMN()/2+1,FALSE)=0,"",VLOOKUP($A123,数出表_Excel!$A$6:$T$150,COLUMN()/2+1,FALSE))),"")</f>
        <v/>
      </c>
      <c r="C123" s="142"/>
      <c r="D123" s="142" t="str">
        <f ca="1">IFERROR(VALUE(IF(VLOOKUP($A123,数出表_Excel!$A$6:$T$150,COLUMN()/2+1,FALSE)=0,"",VLOOKUP($A123,数出表_Excel!$A$6:$T$150,COLUMN()/2+1,FALSE))),"")</f>
        <v/>
      </c>
      <c r="E123" s="142"/>
      <c r="F123" s="146" t="str">
        <f ca="1">IFERROR(VALUE(IF(VLOOKUP($A123,数出表_Excel!$A$6:$T$150,COLUMN()/2+1,FALSE)=0,"",VLOOKUP($A123,数出表_Excel!$A$6:$T$150,COLUMN()/2+1,FALSE))),"")</f>
        <v/>
      </c>
      <c r="G123" s="142"/>
      <c r="H123" s="142" t="str">
        <f ca="1">IFERROR(VALUE(IF(VLOOKUP($A123,数出表_Excel!$A$6:$T$150,COLUMN()/2+1,FALSE)=0,"",VLOOKUP($A123,数出表_Excel!$A$6:$T$150,COLUMN()/2+1,FALSE))),"")</f>
        <v/>
      </c>
      <c r="I123" s="142"/>
      <c r="J123" s="142" t="str">
        <f ca="1">IFERROR(VALUE(IF(VLOOKUP($A123,数出表_Excel!$A$6:$T$150,COLUMN()/2+1,FALSE)=0,"",VLOOKUP($A123,数出表_Excel!$A$6:$T$150,COLUMN()/2+1,FALSE))),"")</f>
        <v/>
      </c>
      <c r="K123" s="209"/>
      <c r="L123" s="147" t="str">
        <f ca="1">IFERROR(VALUE(IF(VLOOKUP($A123,数出表_Excel!$A$6:$T$150,COLUMN()/2+1,FALSE)=0,"",VLOOKUP($A123,数出表_Excel!$A$6:$T$150,COLUMN()/2+1,FALSE))),"")</f>
        <v/>
      </c>
      <c r="M123" s="142"/>
      <c r="N123" s="142" t="str">
        <f ca="1">IFERROR(VALUE(IF(VLOOKUP($A123,数出表_Excel!$A$6:$T$150,COLUMN()/2+1,FALSE)=0,"",VLOOKUP($A123,数出表_Excel!$A$6:$T$150,COLUMN()/2+1,FALSE))),"")</f>
        <v/>
      </c>
      <c r="O123" s="142"/>
      <c r="P123" s="142" t="str">
        <f ca="1">IFERROR(VALUE(IF(VLOOKUP($A123,数出表_Excel!$A$6:$T$150,COLUMN()/2+1,FALSE)=0,"",VLOOKUP($A123,数出表_Excel!$A$6:$T$150,COLUMN()/2+1,FALSE))),"")</f>
        <v/>
      </c>
      <c r="Q123" s="142"/>
      <c r="R123" s="142" t="str">
        <f ca="1">IFERROR(VALUE(IF(VLOOKUP($A123,数出表_Excel!$A$6:$T$150,COLUMN()/2+1,FALSE)=0,"",VLOOKUP($A123,数出表_Excel!$A$6:$T$150,COLUMN()/2+1,FALSE))),"")</f>
        <v/>
      </c>
      <c r="S123" s="142"/>
      <c r="T123" s="142" t="str">
        <f ca="1">IFERROR(VALUE(IF(VLOOKUP($A123,数出表_Excel!$A$6:$T$150,COLUMN()/2+1,FALSE)=0,"",VLOOKUP($A123,数出表_Excel!$A$6:$T$150,COLUMN()/2+1,FALSE))),"")</f>
        <v/>
      </c>
      <c r="U123" s="142"/>
      <c r="V123" s="146" t="str">
        <f ca="1">IFERROR(VALUE(IF(VLOOKUP($A123,数出表_Excel!$A$6:$T$150,COLUMN()/2+1,FALSE)=0,"",VLOOKUP($A123,数出表_Excel!$A$6:$T$150,COLUMN()/2+1,FALSE))),"")</f>
        <v/>
      </c>
      <c r="W123" s="142"/>
      <c r="X123" s="146" t="str">
        <f ca="1">IFERROR(VALUE(IF(VLOOKUP($A123,数出表_Excel!$A$6:$T$150,COLUMN()/2+1,FALSE)=0,"",VLOOKUP($A123,数出表_Excel!$A$6:$T$150,COLUMN()/2+1,FALSE))),"")</f>
        <v/>
      </c>
      <c r="Y123" s="142"/>
      <c r="Z123" s="146" t="str">
        <f ca="1">IFERROR(VALUE(IF(VLOOKUP($A123,数出表_Excel!$A$6:$T$150,COLUMN()/2+1,FALSE)=0,"",VLOOKUP($A123,数出表_Excel!$A$6:$T$150,COLUMN()/2+1,FALSE))),"")</f>
        <v/>
      </c>
      <c r="AA123" s="209"/>
      <c r="AB123" s="147" t="str">
        <f ca="1">IFERROR(VALUE(IF(VLOOKUP($A123,数出表_Excel!$A$6:$T$150,COLUMN()/2+1,FALSE)=0,"",VLOOKUP($A123,数出表_Excel!$A$6:$T$150,COLUMN()/2+1,FALSE))),"")</f>
        <v/>
      </c>
      <c r="AC123" s="142"/>
      <c r="AD123" s="146" t="str">
        <f ca="1">IFERROR(VALUE(IF(VLOOKUP($A123,数出表_Excel!$A$6:$T$150,COLUMN()/2+1,FALSE)=0,"",VLOOKUP($A123,数出表_Excel!$A$6:$T$150,COLUMN()/2+1,FALSE))),"")</f>
        <v/>
      </c>
      <c r="AE123" s="142"/>
      <c r="AF123" s="146" t="str">
        <f ca="1">IFERROR(VALUE(IF(VLOOKUP($A123,数出表_Excel!$A$6:$T$150,COLUMN()/2+1,FALSE)=0,"",VLOOKUP($A123,数出表_Excel!$A$6:$T$150,COLUMN()/2+1,FALSE))),"")</f>
        <v/>
      </c>
      <c r="AG123" s="142"/>
      <c r="AH123" s="146" t="str">
        <f ca="1">IFERROR(VALUE(IF(VLOOKUP($A123,数出表_Excel!$A$6:$T$150,COLUMN()/2+1,FALSE)=0,"",VLOOKUP($A123,数出表_Excel!$A$6:$T$150,COLUMN()/2+1,FALSE))),"")</f>
        <v/>
      </c>
      <c r="AI123" s="209"/>
      <c r="AJ123" s="147" t="str">
        <f ca="1">IFERROR(VALUE(IF(VLOOKUP($A123,数出表_Excel!$A$6:$T$150,COLUMN()/2+1,FALSE)=0,"",VLOOKUP($A123,数出表_Excel!$A$6:$T$150,COLUMN()/2+1,FALSE))),"")</f>
        <v/>
      </c>
      <c r="AK123" s="142"/>
      <c r="AL123" s="148" t="e">
        <f ca="1">IF(A123&lt;&gt;"",
IF(VLOOKUP($A123,数出表_Excel!$A$6:$T$150,COLUMN()/2+1,FALSE)=0,"",VLOOKUP($A123,数出表_Excel!$A$6:$T$150,COLUMN()/2+1,FALSE)),"")</f>
        <v>#N/A</v>
      </c>
      <c r="AM123" s="263">
        <f>数出表_Excel!V123</f>
        <v>0</v>
      </c>
      <c r="AN123" s="264">
        <f>数出表_Excel!W123</f>
        <v>0</v>
      </c>
    </row>
    <row r="124" spans="1:40" ht="16.2" customHeight="1" x14ac:dyDescent="0.45">
      <c r="A124" s="219" t="str">
        <f t="array" aca="1" ref="A124" ca="1">IF(OR(COUNTIF(A122,"*10002*"),COUNTIF(A122,"")),"",INDEX(貼り付け用!$A:$A,MATCH(A122,貼り付け用!$A:$A,0)+2,0))</f>
        <v>40102</v>
      </c>
      <c r="B124" s="204" t="str">
        <f ca="1">IFERROR(VALUE(IF(VLOOKUP($A124,数出表_Excel!$A$6:$T$150,COLUMN()/2+1,FALSE)=0,"",VLOOKUP($A124,数出表_Excel!$A$6:$T$150,COLUMN()/2+1,FALSE))),"")</f>
        <v/>
      </c>
      <c r="C124" s="141"/>
      <c r="D124" s="204" t="str">
        <f ca="1">IFERROR(VALUE(IF(VLOOKUP($A124,数出表_Excel!$A$6:$T$150,COLUMN()/2+1,FALSE)=0,"",VLOOKUP($A124,数出表_Excel!$A$6:$T$150,COLUMN()/2+1,FALSE))),"")</f>
        <v/>
      </c>
      <c r="E124" s="141"/>
      <c r="F124" s="207" t="str">
        <f ca="1">IFERROR(VALUE(IF(VLOOKUP($A124,数出表_Excel!$A$6:$T$150,COLUMN()/2+1,FALSE)=0,"",VLOOKUP($A124,数出表_Excel!$A$6:$T$150,COLUMN()/2+1,FALSE))),"")</f>
        <v/>
      </c>
      <c r="G124" s="141"/>
      <c r="H124" s="204" t="str">
        <f ca="1">IFERROR(VALUE(IF(VLOOKUP($A124,数出表_Excel!$A$6:$T$150,COLUMN()/2+1,FALSE)=0,"",VLOOKUP($A124,数出表_Excel!$A$6:$T$150,COLUMN()/2+1,FALSE))),"")</f>
        <v/>
      </c>
      <c r="I124" s="141"/>
      <c r="J124" s="204" t="str">
        <f ca="1">IFERROR(VALUE(IF(VLOOKUP($A124,数出表_Excel!$A$6:$T$150,COLUMN()/2+1,FALSE)=0,"",VLOOKUP($A124,数出表_Excel!$A$6:$T$150,COLUMN()/2+1,FALSE))),"")</f>
        <v/>
      </c>
      <c r="K124" s="208"/>
      <c r="L124" s="205" t="str">
        <f ca="1">IFERROR(VALUE(IF(VLOOKUP($A124,数出表_Excel!$A$6:$T$150,COLUMN()/2+1,FALSE)=0,"",VLOOKUP($A124,数出表_Excel!$A$6:$T$150,COLUMN()/2+1,FALSE))),"")</f>
        <v/>
      </c>
      <c r="M124" s="141"/>
      <c r="N124" s="204" t="str">
        <f ca="1">IFERROR(VALUE(IF(VLOOKUP($A124,数出表_Excel!$A$6:$T$150,COLUMN()/2+1,FALSE)=0,"",VLOOKUP($A124,数出表_Excel!$A$6:$T$150,COLUMN()/2+1,FALSE))),"")</f>
        <v/>
      </c>
      <c r="O124" s="141"/>
      <c r="P124" s="204" t="str">
        <f ca="1">IFERROR(VALUE(IF(VLOOKUP($A124,数出表_Excel!$A$6:$T$150,COLUMN()/2+1,FALSE)=0,"",VLOOKUP($A124,数出表_Excel!$A$6:$T$150,COLUMN()/2+1,FALSE))),"")</f>
        <v/>
      </c>
      <c r="Q124" s="141"/>
      <c r="R124" s="204" t="str">
        <f ca="1">IFERROR(VALUE(IF(VLOOKUP($A124,数出表_Excel!$A$6:$T$150,COLUMN()/2+1,FALSE)=0,"",VLOOKUP($A124,数出表_Excel!$A$6:$T$150,COLUMN()/2+1,FALSE))),"")</f>
        <v/>
      </c>
      <c r="S124" s="141"/>
      <c r="T124" s="204" t="str">
        <f ca="1">IFERROR(VALUE(IF(VLOOKUP($A124,数出表_Excel!$A$6:$T$150,COLUMN()/2+1,FALSE)=0,"",VLOOKUP($A124,数出表_Excel!$A$6:$T$150,COLUMN()/2+1,FALSE))),"")</f>
        <v/>
      </c>
      <c r="U124" s="141"/>
      <c r="V124" s="207" t="str">
        <f ca="1">IFERROR(VALUE(IF(VLOOKUP($A124,数出表_Excel!$A$6:$T$150,COLUMN()/2+1,FALSE)=0,"",VLOOKUP($A124,数出表_Excel!$A$6:$T$150,COLUMN()/2+1,FALSE))),"")</f>
        <v/>
      </c>
      <c r="W124" s="141"/>
      <c r="X124" s="207" t="str">
        <f ca="1">IFERROR(VALUE(IF(VLOOKUP($A124,数出表_Excel!$A$6:$T$150,COLUMN()/2+1,FALSE)=0,"",VLOOKUP($A124,数出表_Excel!$A$6:$T$150,COLUMN()/2+1,FALSE))),"")</f>
        <v/>
      </c>
      <c r="Y124" s="141"/>
      <c r="Z124" s="207" t="str">
        <f ca="1">IFERROR(VALUE(IF(VLOOKUP($A124,数出表_Excel!$A$6:$T$150,COLUMN()/2+1,FALSE)=0,"",VLOOKUP($A124,数出表_Excel!$A$6:$T$150,COLUMN()/2+1,FALSE))),"")</f>
        <v/>
      </c>
      <c r="AA124" s="208"/>
      <c r="AB124" s="205" t="str">
        <f ca="1">IFERROR(VALUE(IF(VLOOKUP($A124,数出表_Excel!$A$6:$T$150,COLUMN()/2+1,FALSE)=0,"",VLOOKUP($A124,数出表_Excel!$A$6:$T$150,COLUMN()/2+1,FALSE))),"")</f>
        <v/>
      </c>
      <c r="AC124" s="141"/>
      <c r="AD124" s="207" t="str">
        <f ca="1">IFERROR(VALUE(IF(VLOOKUP($A124,数出表_Excel!$A$6:$T$150,COLUMN()/2+1,FALSE)=0,"",VLOOKUP($A124,数出表_Excel!$A$6:$T$150,COLUMN()/2+1,FALSE))),"")</f>
        <v/>
      </c>
      <c r="AE124" s="141"/>
      <c r="AF124" s="207" t="str">
        <f ca="1">IFERROR(VALUE(IF(VLOOKUP($A124,数出表_Excel!$A$6:$T$150,COLUMN()/2+1,FALSE)=0,"",VLOOKUP($A124,数出表_Excel!$A$6:$T$150,COLUMN()/2+1,FALSE))),"")</f>
        <v/>
      </c>
      <c r="AG124" s="141"/>
      <c r="AH124" s="207" t="str">
        <f ca="1">IFERROR(VALUE(IF(VLOOKUP($A124,数出表_Excel!$A$6:$T$150,COLUMN()/2+1,FALSE)=0,"",VLOOKUP($A124,数出表_Excel!$A$6:$T$150,COLUMN()/2+1,FALSE))),"")</f>
        <v/>
      </c>
      <c r="AI124" s="208"/>
      <c r="AJ124" s="205" t="str">
        <f ca="1">IFERROR(VALUE(IF(VLOOKUP($A124,数出表_Excel!$A$6:$T$150,COLUMN()/2+1,FALSE)=0,"",VLOOKUP($A124,数出表_Excel!$A$6:$T$150,COLUMN()/2+1,FALSE))),"")</f>
        <v/>
      </c>
      <c r="AK124" s="141"/>
      <c r="AL124" s="145" t="e">
        <f ca="1">IF(A124&lt;&gt;"",
IF(VLOOKUP($A124,数出表_Excel!$A$6:$T$150,COLUMN()/2+1,FALSE)=0,"",VLOOKUP($A124,数出表_Excel!$A$6:$T$150,COLUMN()/2+1,FALSE)),"")</f>
        <v>#N/A</v>
      </c>
      <c r="AM124" s="261">
        <f>数出表_Excel!V124</f>
        <v>0</v>
      </c>
      <c r="AN124" s="262">
        <f>数出表_Excel!W124</f>
        <v>0</v>
      </c>
    </row>
    <row r="125" spans="1:40" ht="16.2" customHeight="1" x14ac:dyDescent="0.45">
      <c r="A125" s="220" t="str">
        <f t="array" aca="1" ref="A125" ca="1">IF(OR(COUNTIF(A123,"*1000*"),COUNTIF(A123,"")),"",INDEX(貼り付け用!$A:$A,MATCH(A123,貼り付け用!$A:$A,0)+2,0))</f>
        <v>泉ヶ丘幼稚園ぺんぎん組</v>
      </c>
      <c r="B125" s="142" t="str">
        <f ca="1">IFERROR(VALUE(IF(VLOOKUP($A125,数出表_Excel!$A$6:$T$150,COLUMN()/2+1,FALSE)=0,"",VLOOKUP($A125,数出表_Excel!$A$6:$T$150,COLUMN()/2+1,FALSE))),"")</f>
        <v/>
      </c>
      <c r="C125" s="142"/>
      <c r="D125" s="142" t="str">
        <f ca="1">IFERROR(VALUE(IF(VLOOKUP($A125,数出表_Excel!$A$6:$T$150,COLUMN()/2+1,FALSE)=0,"",VLOOKUP($A125,数出表_Excel!$A$6:$T$150,COLUMN()/2+1,FALSE))),"")</f>
        <v/>
      </c>
      <c r="E125" s="142"/>
      <c r="F125" s="146" t="str">
        <f ca="1">IFERROR(VALUE(IF(VLOOKUP($A125,数出表_Excel!$A$6:$T$150,COLUMN()/2+1,FALSE)=0,"",VLOOKUP($A125,数出表_Excel!$A$6:$T$150,COLUMN()/2+1,FALSE))),"")</f>
        <v/>
      </c>
      <c r="G125" s="142"/>
      <c r="H125" s="142" t="str">
        <f ca="1">IFERROR(VALUE(IF(VLOOKUP($A125,数出表_Excel!$A$6:$T$150,COLUMN()/2+1,FALSE)=0,"",VLOOKUP($A125,数出表_Excel!$A$6:$T$150,COLUMN()/2+1,FALSE))),"")</f>
        <v/>
      </c>
      <c r="I125" s="142"/>
      <c r="J125" s="142" t="str">
        <f ca="1">IFERROR(VALUE(IF(VLOOKUP($A125,数出表_Excel!$A$6:$T$150,COLUMN()/2+1,FALSE)=0,"",VLOOKUP($A125,数出表_Excel!$A$6:$T$150,COLUMN()/2+1,FALSE))),"")</f>
        <v/>
      </c>
      <c r="K125" s="209"/>
      <c r="L125" s="147" t="str">
        <f ca="1">IFERROR(VALUE(IF(VLOOKUP($A125,数出表_Excel!$A$6:$T$150,COLUMN()/2+1,FALSE)=0,"",VLOOKUP($A125,数出表_Excel!$A$6:$T$150,COLUMN()/2+1,FALSE))),"")</f>
        <v/>
      </c>
      <c r="M125" s="142"/>
      <c r="N125" s="142" t="str">
        <f ca="1">IFERROR(VALUE(IF(VLOOKUP($A125,数出表_Excel!$A$6:$T$150,COLUMN()/2+1,FALSE)=0,"",VLOOKUP($A125,数出表_Excel!$A$6:$T$150,COLUMN()/2+1,FALSE))),"")</f>
        <v/>
      </c>
      <c r="O125" s="142"/>
      <c r="P125" s="142" t="str">
        <f ca="1">IFERROR(VALUE(IF(VLOOKUP($A125,数出表_Excel!$A$6:$T$150,COLUMN()/2+1,FALSE)=0,"",VLOOKUP($A125,数出表_Excel!$A$6:$T$150,COLUMN()/2+1,FALSE))),"")</f>
        <v/>
      </c>
      <c r="Q125" s="142"/>
      <c r="R125" s="142" t="str">
        <f ca="1">IFERROR(VALUE(IF(VLOOKUP($A125,数出表_Excel!$A$6:$T$150,COLUMN()/2+1,FALSE)=0,"",VLOOKUP($A125,数出表_Excel!$A$6:$T$150,COLUMN()/2+1,FALSE))),"")</f>
        <v/>
      </c>
      <c r="S125" s="142"/>
      <c r="T125" s="142" t="str">
        <f ca="1">IFERROR(VALUE(IF(VLOOKUP($A125,数出表_Excel!$A$6:$T$150,COLUMN()/2+1,FALSE)=0,"",VLOOKUP($A125,数出表_Excel!$A$6:$T$150,COLUMN()/2+1,FALSE))),"")</f>
        <v/>
      </c>
      <c r="U125" s="142"/>
      <c r="V125" s="146" t="str">
        <f ca="1">IFERROR(VALUE(IF(VLOOKUP($A125,数出表_Excel!$A$6:$T$150,COLUMN()/2+1,FALSE)=0,"",VLOOKUP($A125,数出表_Excel!$A$6:$T$150,COLUMN()/2+1,FALSE))),"")</f>
        <v/>
      </c>
      <c r="W125" s="142"/>
      <c r="X125" s="146" t="str">
        <f ca="1">IFERROR(VALUE(IF(VLOOKUP($A125,数出表_Excel!$A$6:$T$150,COLUMN()/2+1,FALSE)=0,"",VLOOKUP($A125,数出表_Excel!$A$6:$T$150,COLUMN()/2+1,FALSE))),"")</f>
        <v/>
      </c>
      <c r="Y125" s="142"/>
      <c r="Z125" s="146" t="str">
        <f ca="1">IFERROR(VALUE(IF(VLOOKUP($A125,数出表_Excel!$A$6:$T$150,COLUMN()/2+1,FALSE)=0,"",VLOOKUP($A125,数出表_Excel!$A$6:$T$150,COLUMN()/2+1,FALSE))),"")</f>
        <v/>
      </c>
      <c r="AA125" s="209"/>
      <c r="AB125" s="147" t="str">
        <f ca="1">IFERROR(VALUE(IF(VLOOKUP($A125,数出表_Excel!$A$6:$T$150,COLUMN()/2+1,FALSE)=0,"",VLOOKUP($A125,数出表_Excel!$A$6:$T$150,COLUMN()/2+1,FALSE))),"")</f>
        <v/>
      </c>
      <c r="AC125" s="142"/>
      <c r="AD125" s="146" t="str">
        <f ca="1">IFERROR(VALUE(IF(VLOOKUP($A125,数出表_Excel!$A$6:$T$150,COLUMN()/2+1,FALSE)=0,"",VLOOKUP($A125,数出表_Excel!$A$6:$T$150,COLUMN()/2+1,FALSE))),"")</f>
        <v/>
      </c>
      <c r="AE125" s="142"/>
      <c r="AF125" s="146" t="str">
        <f ca="1">IFERROR(VALUE(IF(VLOOKUP($A125,数出表_Excel!$A$6:$T$150,COLUMN()/2+1,FALSE)=0,"",VLOOKUP($A125,数出表_Excel!$A$6:$T$150,COLUMN()/2+1,FALSE))),"")</f>
        <v/>
      </c>
      <c r="AG125" s="142"/>
      <c r="AH125" s="146" t="str">
        <f ca="1">IFERROR(VALUE(IF(VLOOKUP($A125,数出表_Excel!$A$6:$T$150,COLUMN()/2+1,FALSE)=0,"",VLOOKUP($A125,数出表_Excel!$A$6:$T$150,COLUMN()/2+1,FALSE))),"")</f>
        <v/>
      </c>
      <c r="AI125" s="209"/>
      <c r="AJ125" s="147" t="str">
        <f ca="1">IFERROR(VALUE(IF(VLOOKUP($A125,数出表_Excel!$A$6:$T$150,COLUMN()/2+1,FALSE)=0,"",VLOOKUP($A125,数出表_Excel!$A$6:$T$150,COLUMN()/2+1,FALSE))),"")</f>
        <v/>
      </c>
      <c r="AK125" s="142"/>
      <c r="AL125" s="148" t="e">
        <f ca="1">IF(A125&lt;&gt;"",
IF(VLOOKUP($A125,数出表_Excel!$A$6:$T$150,COLUMN()/2+1,FALSE)=0,"",VLOOKUP($A125,数出表_Excel!$A$6:$T$150,COLUMN()/2+1,FALSE)),"")</f>
        <v>#N/A</v>
      </c>
      <c r="AM125" s="263">
        <f>数出表_Excel!V125</f>
        <v>0</v>
      </c>
      <c r="AN125" s="264">
        <f>数出表_Excel!W125</f>
        <v>0</v>
      </c>
    </row>
    <row r="126" spans="1:40" ht="16.2" customHeight="1" x14ac:dyDescent="0.45">
      <c r="A126" s="219" t="str">
        <f t="array" aca="1" ref="A126" ca="1">IF(OR(COUNTIF(A124,"*10002*"),COUNTIF(A124,"")),"",INDEX(貼り付け用!$A:$A,MATCH(A124,貼り付け用!$A:$A,0)+2,0))</f>
        <v>40200</v>
      </c>
      <c r="B126" s="204" t="str">
        <f ca="1">IFERROR(VALUE(IF(VLOOKUP($A126,数出表_Excel!$A$6:$T$150,COLUMN()/2+1,FALSE)=0,"",VLOOKUP($A126,数出表_Excel!$A$6:$T$150,COLUMN()/2+1,FALSE))),"")</f>
        <v/>
      </c>
      <c r="C126" s="141"/>
      <c r="D126" s="204" t="str">
        <f ca="1">IFERROR(VALUE(IF(VLOOKUP($A126,数出表_Excel!$A$6:$T$150,COLUMN()/2+1,FALSE)=0,"",VLOOKUP($A126,数出表_Excel!$A$6:$T$150,COLUMN()/2+1,FALSE))),"")</f>
        <v/>
      </c>
      <c r="E126" s="141"/>
      <c r="F126" s="207" t="str">
        <f ca="1">IFERROR(VALUE(IF(VLOOKUP($A126,数出表_Excel!$A$6:$T$150,COLUMN()/2+1,FALSE)=0,"",VLOOKUP($A126,数出表_Excel!$A$6:$T$150,COLUMN()/2+1,FALSE))),"")</f>
        <v/>
      </c>
      <c r="G126" s="141"/>
      <c r="H126" s="204" t="str">
        <f ca="1">IFERROR(VALUE(IF(VLOOKUP($A126,数出表_Excel!$A$6:$T$150,COLUMN()/2+1,FALSE)=0,"",VLOOKUP($A126,数出表_Excel!$A$6:$T$150,COLUMN()/2+1,FALSE))),"")</f>
        <v/>
      </c>
      <c r="I126" s="141"/>
      <c r="J126" s="204" t="str">
        <f ca="1">IFERROR(VALUE(IF(VLOOKUP($A126,数出表_Excel!$A$6:$T$150,COLUMN()/2+1,FALSE)=0,"",VLOOKUP($A126,数出表_Excel!$A$6:$T$150,COLUMN()/2+1,FALSE))),"")</f>
        <v/>
      </c>
      <c r="K126" s="208"/>
      <c r="L126" s="205" t="str">
        <f ca="1">IFERROR(VALUE(IF(VLOOKUP($A126,数出表_Excel!$A$6:$T$150,COLUMN()/2+1,FALSE)=0,"",VLOOKUP($A126,数出表_Excel!$A$6:$T$150,COLUMN()/2+1,FALSE))),"")</f>
        <v/>
      </c>
      <c r="M126" s="141"/>
      <c r="N126" s="204" t="str">
        <f ca="1">IFERROR(VALUE(IF(VLOOKUP($A126,数出表_Excel!$A$6:$T$150,COLUMN()/2+1,FALSE)=0,"",VLOOKUP($A126,数出表_Excel!$A$6:$T$150,COLUMN()/2+1,FALSE))),"")</f>
        <v/>
      </c>
      <c r="O126" s="141"/>
      <c r="P126" s="204" t="str">
        <f ca="1">IFERROR(VALUE(IF(VLOOKUP($A126,数出表_Excel!$A$6:$T$150,COLUMN()/2+1,FALSE)=0,"",VLOOKUP($A126,数出表_Excel!$A$6:$T$150,COLUMN()/2+1,FALSE))),"")</f>
        <v/>
      </c>
      <c r="Q126" s="141"/>
      <c r="R126" s="204" t="str">
        <f ca="1">IFERROR(VALUE(IF(VLOOKUP($A126,数出表_Excel!$A$6:$T$150,COLUMN()/2+1,FALSE)=0,"",VLOOKUP($A126,数出表_Excel!$A$6:$T$150,COLUMN()/2+1,FALSE))),"")</f>
        <v/>
      </c>
      <c r="S126" s="141"/>
      <c r="T126" s="204" t="str">
        <f ca="1">IFERROR(VALUE(IF(VLOOKUP($A126,数出表_Excel!$A$6:$T$150,COLUMN()/2+1,FALSE)=0,"",VLOOKUP($A126,数出表_Excel!$A$6:$T$150,COLUMN()/2+1,FALSE))),"")</f>
        <v/>
      </c>
      <c r="U126" s="141"/>
      <c r="V126" s="207" t="str">
        <f ca="1">IFERROR(VALUE(IF(VLOOKUP($A126,数出表_Excel!$A$6:$T$150,COLUMN()/2+1,FALSE)=0,"",VLOOKUP($A126,数出表_Excel!$A$6:$T$150,COLUMN()/2+1,FALSE))),"")</f>
        <v/>
      </c>
      <c r="W126" s="141"/>
      <c r="X126" s="207" t="str">
        <f ca="1">IFERROR(VALUE(IF(VLOOKUP($A126,数出表_Excel!$A$6:$T$150,COLUMN()/2+1,FALSE)=0,"",VLOOKUP($A126,数出表_Excel!$A$6:$T$150,COLUMN()/2+1,FALSE))),"")</f>
        <v/>
      </c>
      <c r="Y126" s="141"/>
      <c r="Z126" s="207" t="str">
        <f ca="1">IFERROR(VALUE(IF(VLOOKUP($A126,数出表_Excel!$A$6:$T$150,COLUMN()/2+1,FALSE)=0,"",VLOOKUP($A126,数出表_Excel!$A$6:$T$150,COLUMN()/2+1,FALSE))),"")</f>
        <v/>
      </c>
      <c r="AA126" s="208"/>
      <c r="AB126" s="205" t="str">
        <f ca="1">IFERROR(VALUE(IF(VLOOKUP($A126,数出表_Excel!$A$6:$T$150,COLUMN()/2+1,FALSE)=0,"",VLOOKUP($A126,数出表_Excel!$A$6:$T$150,COLUMN()/2+1,FALSE))),"")</f>
        <v/>
      </c>
      <c r="AC126" s="141"/>
      <c r="AD126" s="207" t="str">
        <f ca="1">IFERROR(VALUE(IF(VLOOKUP($A126,数出表_Excel!$A$6:$T$150,COLUMN()/2+1,FALSE)=0,"",VLOOKUP($A126,数出表_Excel!$A$6:$T$150,COLUMN()/2+1,FALSE))),"")</f>
        <v/>
      </c>
      <c r="AE126" s="141"/>
      <c r="AF126" s="207" t="str">
        <f ca="1">IFERROR(VALUE(IF(VLOOKUP($A126,数出表_Excel!$A$6:$T$150,COLUMN()/2+1,FALSE)=0,"",VLOOKUP($A126,数出表_Excel!$A$6:$T$150,COLUMN()/2+1,FALSE))),"")</f>
        <v/>
      </c>
      <c r="AG126" s="141"/>
      <c r="AH126" s="207" t="str">
        <f ca="1">IFERROR(VALUE(IF(VLOOKUP($A126,数出表_Excel!$A$6:$T$150,COLUMN()/2+1,FALSE)=0,"",VLOOKUP($A126,数出表_Excel!$A$6:$T$150,COLUMN()/2+1,FALSE))),"")</f>
        <v/>
      </c>
      <c r="AI126" s="208"/>
      <c r="AJ126" s="205" t="str">
        <f ca="1">IFERROR(VALUE(IF(VLOOKUP($A126,数出表_Excel!$A$6:$T$150,COLUMN()/2+1,FALSE)=0,"",VLOOKUP($A126,数出表_Excel!$A$6:$T$150,COLUMN()/2+1,FALSE))),"")</f>
        <v/>
      </c>
      <c r="AK126" s="141"/>
      <c r="AL126" s="145" t="e">
        <f ca="1">IF(A126&lt;&gt;"",
IF(VLOOKUP($A126,数出表_Excel!$A$6:$T$150,COLUMN()/2+1,FALSE)=0,"",VLOOKUP($A126,数出表_Excel!$A$6:$T$150,COLUMN()/2+1,FALSE)),"")</f>
        <v>#N/A</v>
      </c>
      <c r="AM126" s="261">
        <f>数出表_Excel!V126</f>
        <v>0</v>
      </c>
      <c r="AN126" s="262">
        <f>数出表_Excel!W126</f>
        <v>0</v>
      </c>
    </row>
    <row r="127" spans="1:40" ht="16.2" customHeight="1" x14ac:dyDescent="0.45">
      <c r="A127" s="220" t="str">
        <f t="array" aca="1" ref="A127" ca="1">IF(OR(COUNTIF(A125,"*1000*"),COUNTIF(A125,"")),"",INDEX(貼り付け用!$A:$A,MATCH(A125,貼り付け用!$A:$A,0)+2,0))</f>
        <v>春日小鳩幼稚園</v>
      </c>
      <c r="B127" s="142" t="str">
        <f ca="1">IFERROR(VALUE(IF(VLOOKUP($A127,数出表_Excel!$A$6:$T$150,COLUMN()/2+1,FALSE)=0,"",VLOOKUP($A127,数出表_Excel!$A$6:$T$150,COLUMN()/2+1,FALSE))),"")</f>
        <v/>
      </c>
      <c r="C127" s="142"/>
      <c r="D127" s="142" t="str">
        <f ca="1">IFERROR(VALUE(IF(VLOOKUP($A127,数出表_Excel!$A$6:$T$150,COLUMN()/2+1,FALSE)=0,"",VLOOKUP($A127,数出表_Excel!$A$6:$T$150,COLUMN()/2+1,FALSE))),"")</f>
        <v/>
      </c>
      <c r="E127" s="142"/>
      <c r="F127" s="146" t="str">
        <f ca="1">IFERROR(VALUE(IF(VLOOKUP($A127,数出表_Excel!$A$6:$T$150,COLUMN()/2+1,FALSE)=0,"",VLOOKUP($A127,数出表_Excel!$A$6:$T$150,COLUMN()/2+1,FALSE))),"")</f>
        <v/>
      </c>
      <c r="G127" s="142"/>
      <c r="H127" s="142" t="str">
        <f ca="1">IFERROR(VALUE(IF(VLOOKUP($A127,数出表_Excel!$A$6:$T$150,COLUMN()/2+1,FALSE)=0,"",VLOOKUP($A127,数出表_Excel!$A$6:$T$150,COLUMN()/2+1,FALSE))),"")</f>
        <v/>
      </c>
      <c r="I127" s="142"/>
      <c r="J127" s="142" t="str">
        <f ca="1">IFERROR(VALUE(IF(VLOOKUP($A127,数出表_Excel!$A$6:$T$150,COLUMN()/2+1,FALSE)=0,"",VLOOKUP($A127,数出表_Excel!$A$6:$T$150,COLUMN()/2+1,FALSE))),"")</f>
        <v/>
      </c>
      <c r="K127" s="209"/>
      <c r="L127" s="147" t="str">
        <f ca="1">IFERROR(VALUE(IF(VLOOKUP($A127,数出表_Excel!$A$6:$T$150,COLUMN()/2+1,FALSE)=0,"",VLOOKUP($A127,数出表_Excel!$A$6:$T$150,COLUMN()/2+1,FALSE))),"")</f>
        <v/>
      </c>
      <c r="M127" s="142"/>
      <c r="N127" s="142" t="str">
        <f ca="1">IFERROR(VALUE(IF(VLOOKUP($A127,数出表_Excel!$A$6:$T$150,COLUMN()/2+1,FALSE)=0,"",VLOOKUP($A127,数出表_Excel!$A$6:$T$150,COLUMN()/2+1,FALSE))),"")</f>
        <v/>
      </c>
      <c r="O127" s="142"/>
      <c r="P127" s="142" t="str">
        <f ca="1">IFERROR(VALUE(IF(VLOOKUP($A127,数出表_Excel!$A$6:$T$150,COLUMN()/2+1,FALSE)=0,"",VLOOKUP($A127,数出表_Excel!$A$6:$T$150,COLUMN()/2+1,FALSE))),"")</f>
        <v/>
      </c>
      <c r="Q127" s="142"/>
      <c r="R127" s="142" t="str">
        <f ca="1">IFERROR(VALUE(IF(VLOOKUP($A127,数出表_Excel!$A$6:$T$150,COLUMN()/2+1,FALSE)=0,"",VLOOKUP($A127,数出表_Excel!$A$6:$T$150,COLUMN()/2+1,FALSE))),"")</f>
        <v/>
      </c>
      <c r="S127" s="142"/>
      <c r="T127" s="142" t="str">
        <f ca="1">IFERROR(VALUE(IF(VLOOKUP($A127,数出表_Excel!$A$6:$T$150,COLUMN()/2+1,FALSE)=0,"",VLOOKUP($A127,数出表_Excel!$A$6:$T$150,COLUMN()/2+1,FALSE))),"")</f>
        <v/>
      </c>
      <c r="U127" s="142"/>
      <c r="V127" s="146" t="str">
        <f ca="1">IFERROR(VALUE(IF(VLOOKUP($A127,数出表_Excel!$A$6:$T$150,COLUMN()/2+1,FALSE)=0,"",VLOOKUP($A127,数出表_Excel!$A$6:$T$150,COLUMN()/2+1,FALSE))),"")</f>
        <v/>
      </c>
      <c r="W127" s="142"/>
      <c r="X127" s="146" t="str">
        <f ca="1">IFERROR(VALUE(IF(VLOOKUP($A127,数出表_Excel!$A$6:$T$150,COLUMN()/2+1,FALSE)=0,"",VLOOKUP($A127,数出表_Excel!$A$6:$T$150,COLUMN()/2+1,FALSE))),"")</f>
        <v/>
      </c>
      <c r="Y127" s="142"/>
      <c r="Z127" s="146" t="str">
        <f ca="1">IFERROR(VALUE(IF(VLOOKUP($A127,数出表_Excel!$A$6:$T$150,COLUMN()/2+1,FALSE)=0,"",VLOOKUP($A127,数出表_Excel!$A$6:$T$150,COLUMN()/2+1,FALSE))),"")</f>
        <v/>
      </c>
      <c r="AA127" s="209"/>
      <c r="AB127" s="147" t="str">
        <f ca="1">IFERROR(VALUE(IF(VLOOKUP($A127,数出表_Excel!$A$6:$T$150,COLUMN()/2+1,FALSE)=0,"",VLOOKUP($A127,数出表_Excel!$A$6:$T$150,COLUMN()/2+1,FALSE))),"")</f>
        <v/>
      </c>
      <c r="AC127" s="142"/>
      <c r="AD127" s="146" t="str">
        <f ca="1">IFERROR(VALUE(IF(VLOOKUP($A127,数出表_Excel!$A$6:$T$150,COLUMN()/2+1,FALSE)=0,"",VLOOKUP($A127,数出表_Excel!$A$6:$T$150,COLUMN()/2+1,FALSE))),"")</f>
        <v/>
      </c>
      <c r="AE127" s="142"/>
      <c r="AF127" s="146" t="str">
        <f ca="1">IFERROR(VALUE(IF(VLOOKUP($A127,数出表_Excel!$A$6:$T$150,COLUMN()/2+1,FALSE)=0,"",VLOOKUP($A127,数出表_Excel!$A$6:$T$150,COLUMN()/2+1,FALSE))),"")</f>
        <v/>
      </c>
      <c r="AG127" s="142"/>
      <c r="AH127" s="146" t="str">
        <f ca="1">IFERROR(VALUE(IF(VLOOKUP($A127,数出表_Excel!$A$6:$T$150,COLUMN()/2+1,FALSE)=0,"",VLOOKUP($A127,数出表_Excel!$A$6:$T$150,COLUMN()/2+1,FALSE))),"")</f>
        <v/>
      </c>
      <c r="AI127" s="209"/>
      <c r="AJ127" s="147" t="str">
        <f ca="1">IFERROR(VALUE(IF(VLOOKUP($A127,数出表_Excel!$A$6:$T$150,COLUMN()/2+1,FALSE)=0,"",VLOOKUP($A127,数出表_Excel!$A$6:$T$150,COLUMN()/2+1,FALSE))),"")</f>
        <v/>
      </c>
      <c r="AK127" s="142"/>
      <c r="AL127" s="148" t="e">
        <f ca="1">IF(A127&lt;&gt;"",
IF(VLOOKUP($A127,数出表_Excel!$A$6:$T$150,COLUMN()/2+1,FALSE)=0,"",VLOOKUP($A127,数出表_Excel!$A$6:$T$150,COLUMN()/2+1,FALSE)),"")</f>
        <v>#N/A</v>
      </c>
      <c r="AM127" s="263">
        <f>数出表_Excel!V127</f>
        <v>0</v>
      </c>
      <c r="AN127" s="264">
        <f>数出表_Excel!W127</f>
        <v>0</v>
      </c>
    </row>
    <row r="128" spans="1:40" ht="16.2" customHeight="1" x14ac:dyDescent="0.45">
      <c r="A128" s="219" t="str">
        <f t="array" aca="1" ref="A128" ca="1">IF(OR(COUNTIF(A126,"*10002*"),COUNTIF(A126,"")),"",INDEX(貼り付け用!$A:$A,MATCH(A126,貼り付け用!$A:$A,0)+2,0))</f>
        <v>40250</v>
      </c>
      <c r="B128" s="204" t="str">
        <f ca="1">IFERROR(VALUE(IF(VLOOKUP($A128,数出表_Excel!$A$6:$T$150,COLUMN()/2+1,FALSE)=0,"",VLOOKUP($A128,数出表_Excel!$A$6:$T$150,COLUMN()/2+1,FALSE))),"")</f>
        <v/>
      </c>
      <c r="C128" s="141"/>
      <c r="D128" s="204" t="str">
        <f ca="1">IFERROR(VALUE(IF(VLOOKUP($A128,数出表_Excel!$A$6:$T$150,COLUMN()/2+1,FALSE)=0,"",VLOOKUP($A128,数出表_Excel!$A$6:$T$150,COLUMN()/2+1,FALSE))),"")</f>
        <v/>
      </c>
      <c r="E128" s="141"/>
      <c r="F128" s="207" t="str">
        <f ca="1">IFERROR(VALUE(IF(VLOOKUP($A128,数出表_Excel!$A$6:$T$150,COLUMN()/2+1,FALSE)=0,"",VLOOKUP($A128,数出表_Excel!$A$6:$T$150,COLUMN()/2+1,FALSE))),"")</f>
        <v/>
      </c>
      <c r="G128" s="141"/>
      <c r="H128" s="204" t="str">
        <f ca="1">IFERROR(VALUE(IF(VLOOKUP($A128,数出表_Excel!$A$6:$T$150,COLUMN()/2+1,FALSE)=0,"",VLOOKUP($A128,数出表_Excel!$A$6:$T$150,COLUMN()/2+1,FALSE))),"")</f>
        <v/>
      </c>
      <c r="I128" s="141"/>
      <c r="J128" s="204" t="str">
        <f ca="1">IFERROR(VALUE(IF(VLOOKUP($A128,数出表_Excel!$A$6:$T$150,COLUMN()/2+1,FALSE)=0,"",VLOOKUP($A128,数出表_Excel!$A$6:$T$150,COLUMN()/2+1,FALSE))),"")</f>
        <v/>
      </c>
      <c r="K128" s="208"/>
      <c r="L128" s="205" t="str">
        <f ca="1">IFERROR(VALUE(IF(VLOOKUP($A128,数出表_Excel!$A$6:$T$150,COLUMN()/2+1,FALSE)=0,"",VLOOKUP($A128,数出表_Excel!$A$6:$T$150,COLUMN()/2+1,FALSE))),"")</f>
        <v/>
      </c>
      <c r="M128" s="141"/>
      <c r="N128" s="204" t="str">
        <f ca="1">IFERROR(VALUE(IF(VLOOKUP($A128,数出表_Excel!$A$6:$T$150,COLUMN()/2+1,FALSE)=0,"",VLOOKUP($A128,数出表_Excel!$A$6:$T$150,COLUMN()/2+1,FALSE))),"")</f>
        <v/>
      </c>
      <c r="O128" s="141"/>
      <c r="P128" s="204" t="str">
        <f ca="1">IFERROR(VALUE(IF(VLOOKUP($A128,数出表_Excel!$A$6:$T$150,COLUMN()/2+1,FALSE)=0,"",VLOOKUP($A128,数出表_Excel!$A$6:$T$150,COLUMN()/2+1,FALSE))),"")</f>
        <v/>
      </c>
      <c r="Q128" s="141"/>
      <c r="R128" s="204" t="str">
        <f ca="1">IFERROR(VALUE(IF(VLOOKUP($A128,数出表_Excel!$A$6:$T$150,COLUMN()/2+1,FALSE)=0,"",VLOOKUP($A128,数出表_Excel!$A$6:$T$150,COLUMN()/2+1,FALSE))),"")</f>
        <v/>
      </c>
      <c r="S128" s="141"/>
      <c r="T128" s="204" t="str">
        <f ca="1">IFERROR(VALUE(IF(VLOOKUP($A128,数出表_Excel!$A$6:$T$150,COLUMN()/2+1,FALSE)=0,"",VLOOKUP($A128,数出表_Excel!$A$6:$T$150,COLUMN()/2+1,FALSE))),"")</f>
        <v/>
      </c>
      <c r="U128" s="141"/>
      <c r="V128" s="207" t="str">
        <f ca="1">IFERROR(VALUE(IF(VLOOKUP($A128,数出表_Excel!$A$6:$T$150,COLUMN()/2+1,FALSE)=0,"",VLOOKUP($A128,数出表_Excel!$A$6:$T$150,COLUMN()/2+1,FALSE))),"")</f>
        <v/>
      </c>
      <c r="W128" s="141"/>
      <c r="X128" s="207" t="str">
        <f ca="1">IFERROR(VALUE(IF(VLOOKUP($A128,数出表_Excel!$A$6:$T$150,COLUMN()/2+1,FALSE)=0,"",VLOOKUP($A128,数出表_Excel!$A$6:$T$150,COLUMN()/2+1,FALSE))),"")</f>
        <v/>
      </c>
      <c r="Y128" s="141"/>
      <c r="Z128" s="207" t="str">
        <f ca="1">IFERROR(VALUE(IF(VLOOKUP($A128,数出表_Excel!$A$6:$T$150,COLUMN()/2+1,FALSE)=0,"",VLOOKUP($A128,数出表_Excel!$A$6:$T$150,COLUMN()/2+1,FALSE))),"")</f>
        <v/>
      </c>
      <c r="AA128" s="208"/>
      <c r="AB128" s="205" t="str">
        <f ca="1">IFERROR(VALUE(IF(VLOOKUP($A128,数出表_Excel!$A$6:$T$150,COLUMN()/2+1,FALSE)=0,"",VLOOKUP($A128,数出表_Excel!$A$6:$T$150,COLUMN()/2+1,FALSE))),"")</f>
        <v/>
      </c>
      <c r="AC128" s="141"/>
      <c r="AD128" s="207" t="str">
        <f ca="1">IFERROR(VALUE(IF(VLOOKUP($A128,数出表_Excel!$A$6:$T$150,COLUMN()/2+1,FALSE)=0,"",VLOOKUP($A128,数出表_Excel!$A$6:$T$150,COLUMN()/2+1,FALSE))),"")</f>
        <v/>
      </c>
      <c r="AE128" s="141"/>
      <c r="AF128" s="207" t="str">
        <f ca="1">IFERROR(VALUE(IF(VLOOKUP($A128,数出表_Excel!$A$6:$T$150,COLUMN()/2+1,FALSE)=0,"",VLOOKUP($A128,数出表_Excel!$A$6:$T$150,COLUMN()/2+1,FALSE))),"")</f>
        <v/>
      </c>
      <c r="AG128" s="141"/>
      <c r="AH128" s="207" t="str">
        <f ca="1">IFERROR(VALUE(IF(VLOOKUP($A128,数出表_Excel!$A$6:$T$150,COLUMN()/2+1,FALSE)=0,"",VLOOKUP($A128,数出表_Excel!$A$6:$T$150,COLUMN()/2+1,FALSE))),"")</f>
        <v/>
      </c>
      <c r="AI128" s="208"/>
      <c r="AJ128" s="205" t="str">
        <f ca="1">IFERROR(VALUE(IF(VLOOKUP($A128,数出表_Excel!$A$6:$T$150,COLUMN()/2+1,FALSE)=0,"",VLOOKUP($A128,数出表_Excel!$A$6:$T$150,COLUMN()/2+1,FALSE))),"")</f>
        <v/>
      </c>
      <c r="AK128" s="141"/>
      <c r="AL128" s="145" t="e">
        <f ca="1">IF(A128&lt;&gt;"",
IF(VLOOKUP($A128,数出表_Excel!$A$6:$T$150,COLUMN()/2+1,FALSE)=0,"",VLOOKUP($A128,数出表_Excel!$A$6:$T$150,COLUMN()/2+1,FALSE)),"")</f>
        <v>#N/A</v>
      </c>
      <c r="AM128" s="261">
        <f>数出表_Excel!V128</f>
        <v>0</v>
      </c>
      <c r="AN128" s="262">
        <f>数出表_Excel!W128</f>
        <v>0</v>
      </c>
    </row>
    <row r="129" spans="1:40" ht="16.2" customHeight="1" x14ac:dyDescent="0.45">
      <c r="A129" s="220" t="str">
        <f t="array" aca="1" ref="A129" ca="1">IF(OR(COUNTIF(A127,"*1000*"),COUNTIF(A127,"")),"",INDEX(貼り付け用!$A:$A,MATCH(A127,貼り付け用!$A:$A,0)+2,0))</f>
        <v>かなやま幼稚園</v>
      </c>
      <c r="B129" s="142" t="str">
        <f ca="1">IFERROR(VALUE(IF(VLOOKUP($A129,数出表_Excel!$A$6:$T$150,COLUMN()/2+1,FALSE)=0,"",VLOOKUP($A129,数出表_Excel!$A$6:$T$150,COLUMN()/2+1,FALSE))),"")</f>
        <v/>
      </c>
      <c r="C129" s="142"/>
      <c r="D129" s="142" t="str">
        <f ca="1">IFERROR(VALUE(IF(VLOOKUP($A129,数出表_Excel!$A$6:$T$150,COLUMN()/2+1,FALSE)=0,"",VLOOKUP($A129,数出表_Excel!$A$6:$T$150,COLUMN()/2+1,FALSE))),"")</f>
        <v/>
      </c>
      <c r="E129" s="142"/>
      <c r="F129" s="146" t="str">
        <f ca="1">IFERROR(VALUE(IF(VLOOKUP($A129,数出表_Excel!$A$6:$T$150,COLUMN()/2+1,FALSE)=0,"",VLOOKUP($A129,数出表_Excel!$A$6:$T$150,COLUMN()/2+1,FALSE))),"")</f>
        <v/>
      </c>
      <c r="G129" s="142"/>
      <c r="H129" s="142" t="str">
        <f ca="1">IFERROR(VALUE(IF(VLOOKUP($A129,数出表_Excel!$A$6:$T$150,COLUMN()/2+1,FALSE)=0,"",VLOOKUP($A129,数出表_Excel!$A$6:$T$150,COLUMN()/2+1,FALSE))),"")</f>
        <v/>
      </c>
      <c r="I129" s="142"/>
      <c r="J129" s="142" t="str">
        <f ca="1">IFERROR(VALUE(IF(VLOOKUP($A129,数出表_Excel!$A$6:$T$150,COLUMN()/2+1,FALSE)=0,"",VLOOKUP($A129,数出表_Excel!$A$6:$T$150,COLUMN()/2+1,FALSE))),"")</f>
        <v/>
      </c>
      <c r="K129" s="209"/>
      <c r="L129" s="147" t="str">
        <f ca="1">IFERROR(VALUE(IF(VLOOKUP($A129,数出表_Excel!$A$6:$T$150,COLUMN()/2+1,FALSE)=0,"",VLOOKUP($A129,数出表_Excel!$A$6:$T$150,COLUMN()/2+1,FALSE))),"")</f>
        <v/>
      </c>
      <c r="M129" s="142"/>
      <c r="N129" s="142" t="str">
        <f ca="1">IFERROR(VALUE(IF(VLOOKUP($A129,数出表_Excel!$A$6:$T$150,COLUMN()/2+1,FALSE)=0,"",VLOOKUP($A129,数出表_Excel!$A$6:$T$150,COLUMN()/2+1,FALSE))),"")</f>
        <v/>
      </c>
      <c r="O129" s="142"/>
      <c r="P129" s="142" t="str">
        <f ca="1">IFERROR(VALUE(IF(VLOOKUP($A129,数出表_Excel!$A$6:$T$150,COLUMN()/2+1,FALSE)=0,"",VLOOKUP($A129,数出表_Excel!$A$6:$T$150,COLUMN()/2+1,FALSE))),"")</f>
        <v/>
      </c>
      <c r="Q129" s="142"/>
      <c r="R129" s="142" t="str">
        <f ca="1">IFERROR(VALUE(IF(VLOOKUP($A129,数出表_Excel!$A$6:$T$150,COLUMN()/2+1,FALSE)=0,"",VLOOKUP($A129,数出表_Excel!$A$6:$T$150,COLUMN()/2+1,FALSE))),"")</f>
        <v/>
      </c>
      <c r="S129" s="142"/>
      <c r="T129" s="142" t="str">
        <f ca="1">IFERROR(VALUE(IF(VLOOKUP($A129,数出表_Excel!$A$6:$T$150,COLUMN()/2+1,FALSE)=0,"",VLOOKUP($A129,数出表_Excel!$A$6:$T$150,COLUMN()/2+1,FALSE))),"")</f>
        <v/>
      </c>
      <c r="U129" s="142"/>
      <c r="V129" s="146" t="str">
        <f ca="1">IFERROR(VALUE(IF(VLOOKUP($A129,数出表_Excel!$A$6:$T$150,COLUMN()/2+1,FALSE)=0,"",VLOOKUP($A129,数出表_Excel!$A$6:$T$150,COLUMN()/2+1,FALSE))),"")</f>
        <v/>
      </c>
      <c r="W129" s="142"/>
      <c r="X129" s="146" t="str">
        <f ca="1">IFERROR(VALUE(IF(VLOOKUP($A129,数出表_Excel!$A$6:$T$150,COLUMN()/2+1,FALSE)=0,"",VLOOKUP($A129,数出表_Excel!$A$6:$T$150,COLUMN()/2+1,FALSE))),"")</f>
        <v/>
      </c>
      <c r="Y129" s="142"/>
      <c r="Z129" s="146" t="str">
        <f ca="1">IFERROR(VALUE(IF(VLOOKUP($A129,数出表_Excel!$A$6:$T$150,COLUMN()/2+1,FALSE)=0,"",VLOOKUP($A129,数出表_Excel!$A$6:$T$150,COLUMN()/2+1,FALSE))),"")</f>
        <v/>
      </c>
      <c r="AA129" s="209"/>
      <c r="AB129" s="147" t="str">
        <f ca="1">IFERROR(VALUE(IF(VLOOKUP($A129,数出表_Excel!$A$6:$T$150,COLUMN()/2+1,FALSE)=0,"",VLOOKUP($A129,数出表_Excel!$A$6:$T$150,COLUMN()/2+1,FALSE))),"")</f>
        <v/>
      </c>
      <c r="AC129" s="142"/>
      <c r="AD129" s="146" t="str">
        <f ca="1">IFERROR(VALUE(IF(VLOOKUP($A129,数出表_Excel!$A$6:$T$150,COLUMN()/2+1,FALSE)=0,"",VLOOKUP($A129,数出表_Excel!$A$6:$T$150,COLUMN()/2+1,FALSE))),"")</f>
        <v/>
      </c>
      <c r="AE129" s="142"/>
      <c r="AF129" s="146" t="str">
        <f ca="1">IFERROR(VALUE(IF(VLOOKUP($A129,数出表_Excel!$A$6:$T$150,COLUMN()/2+1,FALSE)=0,"",VLOOKUP($A129,数出表_Excel!$A$6:$T$150,COLUMN()/2+1,FALSE))),"")</f>
        <v/>
      </c>
      <c r="AG129" s="142"/>
      <c r="AH129" s="146" t="str">
        <f ca="1">IFERROR(VALUE(IF(VLOOKUP($A129,数出表_Excel!$A$6:$T$150,COLUMN()/2+1,FALSE)=0,"",VLOOKUP($A129,数出表_Excel!$A$6:$T$150,COLUMN()/2+1,FALSE))),"")</f>
        <v/>
      </c>
      <c r="AI129" s="209"/>
      <c r="AJ129" s="147" t="str">
        <f ca="1">IFERROR(VALUE(IF(VLOOKUP($A129,数出表_Excel!$A$6:$T$150,COLUMN()/2+1,FALSE)=0,"",VLOOKUP($A129,数出表_Excel!$A$6:$T$150,COLUMN()/2+1,FALSE))),"")</f>
        <v/>
      </c>
      <c r="AK129" s="142"/>
      <c r="AL129" s="148" t="e">
        <f ca="1">IF(A129&lt;&gt;"",
IF(VLOOKUP($A129,数出表_Excel!$A$6:$T$150,COLUMN()/2+1,FALSE)=0,"",VLOOKUP($A129,数出表_Excel!$A$6:$T$150,COLUMN()/2+1,FALSE)),"")</f>
        <v>#N/A</v>
      </c>
      <c r="AM129" s="263">
        <f>数出表_Excel!V129</f>
        <v>0</v>
      </c>
      <c r="AN129" s="264">
        <f>数出表_Excel!W129</f>
        <v>0</v>
      </c>
    </row>
    <row r="130" spans="1:40" ht="16.2" customHeight="1" x14ac:dyDescent="0.45">
      <c r="A130" s="219" t="str">
        <f t="array" aca="1" ref="A130" ca="1">IF(OR(COUNTIF(A128,"*10002*"),COUNTIF(A128,"")),"",INDEX(貼り付け用!$A:$A,MATCH(A128,貼り付け用!$A:$A,0)+2,0))</f>
        <v>40300</v>
      </c>
      <c r="B130" s="204" t="str">
        <f ca="1">IFERROR(VALUE(IF(VLOOKUP($A130,数出表_Excel!$A$6:$T$150,COLUMN()/2+1,FALSE)=0,"",VLOOKUP($A130,数出表_Excel!$A$6:$T$150,COLUMN()/2+1,FALSE))),"")</f>
        <v/>
      </c>
      <c r="C130" s="141"/>
      <c r="D130" s="204" t="str">
        <f ca="1">IFERROR(VALUE(IF(VLOOKUP($A130,数出表_Excel!$A$6:$T$150,COLUMN()/2+1,FALSE)=0,"",VLOOKUP($A130,数出表_Excel!$A$6:$T$150,COLUMN()/2+1,FALSE))),"")</f>
        <v/>
      </c>
      <c r="E130" s="141"/>
      <c r="F130" s="207" t="str">
        <f ca="1">IFERROR(VALUE(IF(VLOOKUP($A130,数出表_Excel!$A$6:$T$150,COLUMN()/2+1,FALSE)=0,"",VLOOKUP($A130,数出表_Excel!$A$6:$T$150,COLUMN()/2+1,FALSE))),"")</f>
        <v/>
      </c>
      <c r="G130" s="141"/>
      <c r="H130" s="204" t="str">
        <f ca="1">IFERROR(VALUE(IF(VLOOKUP($A130,数出表_Excel!$A$6:$T$150,COLUMN()/2+1,FALSE)=0,"",VLOOKUP($A130,数出表_Excel!$A$6:$T$150,COLUMN()/2+1,FALSE))),"")</f>
        <v/>
      </c>
      <c r="I130" s="141"/>
      <c r="J130" s="204" t="str">
        <f ca="1">IFERROR(VALUE(IF(VLOOKUP($A130,数出表_Excel!$A$6:$T$150,COLUMN()/2+1,FALSE)=0,"",VLOOKUP($A130,数出表_Excel!$A$6:$T$150,COLUMN()/2+1,FALSE))),"")</f>
        <v/>
      </c>
      <c r="K130" s="208"/>
      <c r="L130" s="205" t="str">
        <f ca="1">IFERROR(VALUE(IF(VLOOKUP($A130,数出表_Excel!$A$6:$T$150,COLUMN()/2+1,FALSE)=0,"",VLOOKUP($A130,数出表_Excel!$A$6:$T$150,COLUMN()/2+1,FALSE))),"")</f>
        <v/>
      </c>
      <c r="M130" s="141"/>
      <c r="N130" s="204" t="str">
        <f ca="1">IFERROR(VALUE(IF(VLOOKUP($A130,数出表_Excel!$A$6:$T$150,COLUMN()/2+1,FALSE)=0,"",VLOOKUP($A130,数出表_Excel!$A$6:$T$150,COLUMN()/2+1,FALSE))),"")</f>
        <v/>
      </c>
      <c r="O130" s="141"/>
      <c r="P130" s="204" t="str">
        <f ca="1">IFERROR(VALUE(IF(VLOOKUP($A130,数出表_Excel!$A$6:$T$150,COLUMN()/2+1,FALSE)=0,"",VLOOKUP($A130,数出表_Excel!$A$6:$T$150,COLUMN()/2+1,FALSE))),"")</f>
        <v/>
      </c>
      <c r="Q130" s="141"/>
      <c r="R130" s="204" t="str">
        <f ca="1">IFERROR(VALUE(IF(VLOOKUP($A130,数出表_Excel!$A$6:$T$150,COLUMN()/2+1,FALSE)=0,"",VLOOKUP($A130,数出表_Excel!$A$6:$T$150,COLUMN()/2+1,FALSE))),"")</f>
        <v/>
      </c>
      <c r="S130" s="141"/>
      <c r="T130" s="204" t="str">
        <f ca="1">IFERROR(VALUE(IF(VLOOKUP($A130,数出表_Excel!$A$6:$T$150,COLUMN()/2+1,FALSE)=0,"",VLOOKUP($A130,数出表_Excel!$A$6:$T$150,COLUMN()/2+1,FALSE))),"")</f>
        <v/>
      </c>
      <c r="U130" s="141"/>
      <c r="V130" s="207" t="str">
        <f ca="1">IFERROR(VALUE(IF(VLOOKUP($A130,数出表_Excel!$A$6:$T$150,COLUMN()/2+1,FALSE)=0,"",VLOOKUP($A130,数出表_Excel!$A$6:$T$150,COLUMN()/2+1,FALSE))),"")</f>
        <v/>
      </c>
      <c r="W130" s="141"/>
      <c r="X130" s="207" t="str">
        <f ca="1">IFERROR(VALUE(IF(VLOOKUP($A130,数出表_Excel!$A$6:$T$150,COLUMN()/2+1,FALSE)=0,"",VLOOKUP($A130,数出表_Excel!$A$6:$T$150,COLUMN()/2+1,FALSE))),"")</f>
        <v/>
      </c>
      <c r="Y130" s="141"/>
      <c r="Z130" s="207" t="str">
        <f ca="1">IFERROR(VALUE(IF(VLOOKUP($A130,数出表_Excel!$A$6:$T$150,COLUMN()/2+1,FALSE)=0,"",VLOOKUP($A130,数出表_Excel!$A$6:$T$150,COLUMN()/2+1,FALSE))),"")</f>
        <v/>
      </c>
      <c r="AA130" s="208"/>
      <c r="AB130" s="205" t="str">
        <f ca="1">IFERROR(VALUE(IF(VLOOKUP($A130,数出表_Excel!$A$6:$T$150,COLUMN()/2+1,FALSE)=0,"",VLOOKUP($A130,数出表_Excel!$A$6:$T$150,COLUMN()/2+1,FALSE))),"")</f>
        <v/>
      </c>
      <c r="AC130" s="141"/>
      <c r="AD130" s="207" t="str">
        <f ca="1">IFERROR(VALUE(IF(VLOOKUP($A130,数出表_Excel!$A$6:$T$150,COLUMN()/2+1,FALSE)=0,"",VLOOKUP($A130,数出表_Excel!$A$6:$T$150,COLUMN()/2+1,FALSE))),"")</f>
        <v/>
      </c>
      <c r="AE130" s="141"/>
      <c r="AF130" s="207" t="str">
        <f ca="1">IFERROR(VALUE(IF(VLOOKUP($A130,数出表_Excel!$A$6:$T$150,COLUMN()/2+1,FALSE)=0,"",VLOOKUP($A130,数出表_Excel!$A$6:$T$150,COLUMN()/2+1,FALSE))),"")</f>
        <v/>
      </c>
      <c r="AG130" s="141"/>
      <c r="AH130" s="207" t="str">
        <f ca="1">IFERROR(VALUE(IF(VLOOKUP($A130,数出表_Excel!$A$6:$T$150,COLUMN()/2+1,FALSE)=0,"",VLOOKUP($A130,数出表_Excel!$A$6:$T$150,COLUMN()/2+1,FALSE))),"")</f>
        <v/>
      </c>
      <c r="AI130" s="208"/>
      <c r="AJ130" s="205" t="str">
        <f ca="1">IFERROR(VALUE(IF(VLOOKUP($A130,数出表_Excel!$A$6:$T$150,COLUMN()/2+1,FALSE)=0,"",VLOOKUP($A130,数出表_Excel!$A$6:$T$150,COLUMN()/2+1,FALSE))),"")</f>
        <v/>
      </c>
      <c r="AK130" s="141"/>
      <c r="AL130" s="145" t="e">
        <f ca="1">IF(A130&lt;&gt;"",
IF(VLOOKUP($A130,数出表_Excel!$A$6:$T$150,COLUMN()/2+1,FALSE)=0,"",VLOOKUP($A130,数出表_Excel!$A$6:$T$150,COLUMN()/2+1,FALSE)),"")</f>
        <v>#N/A</v>
      </c>
      <c r="AM130" s="261">
        <f>数出表_Excel!V130</f>
        <v>0</v>
      </c>
      <c r="AN130" s="262">
        <f>数出表_Excel!W130</f>
        <v>0</v>
      </c>
    </row>
    <row r="131" spans="1:40" ht="16.2" customHeight="1" x14ac:dyDescent="0.45">
      <c r="A131" s="220" t="str">
        <f t="array" aca="1" ref="A131" ca="1">IF(OR(COUNTIF(A129,"*1000*"),COUNTIF(A129,"")),"",INDEX(貼り付け用!$A:$A,MATCH(A129,貼り付け用!$A:$A,0)+2,0))</f>
        <v>GREEN HILLSほいくえん</v>
      </c>
      <c r="B131" s="142" t="str">
        <f ca="1">IFERROR(VALUE(IF(VLOOKUP($A131,数出表_Excel!$A$6:$T$150,COLUMN()/2+1,FALSE)=0,"",VLOOKUP($A131,数出表_Excel!$A$6:$T$150,COLUMN()/2+1,FALSE))),"")</f>
        <v/>
      </c>
      <c r="C131" s="142"/>
      <c r="D131" s="142" t="str">
        <f ca="1">IFERROR(VALUE(IF(VLOOKUP($A131,数出表_Excel!$A$6:$T$150,COLUMN()/2+1,FALSE)=0,"",VLOOKUP($A131,数出表_Excel!$A$6:$T$150,COLUMN()/2+1,FALSE))),"")</f>
        <v/>
      </c>
      <c r="E131" s="142"/>
      <c r="F131" s="146" t="str">
        <f ca="1">IFERROR(VALUE(IF(VLOOKUP($A131,数出表_Excel!$A$6:$T$150,COLUMN()/2+1,FALSE)=0,"",VLOOKUP($A131,数出表_Excel!$A$6:$T$150,COLUMN()/2+1,FALSE))),"")</f>
        <v/>
      </c>
      <c r="G131" s="142"/>
      <c r="H131" s="142" t="str">
        <f ca="1">IFERROR(VALUE(IF(VLOOKUP($A131,数出表_Excel!$A$6:$T$150,COLUMN()/2+1,FALSE)=0,"",VLOOKUP($A131,数出表_Excel!$A$6:$T$150,COLUMN()/2+1,FALSE))),"")</f>
        <v/>
      </c>
      <c r="I131" s="142"/>
      <c r="J131" s="142" t="str">
        <f ca="1">IFERROR(VALUE(IF(VLOOKUP($A131,数出表_Excel!$A$6:$T$150,COLUMN()/2+1,FALSE)=0,"",VLOOKUP($A131,数出表_Excel!$A$6:$T$150,COLUMN()/2+1,FALSE))),"")</f>
        <v/>
      </c>
      <c r="K131" s="209"/>
      <c r="L131" s="147" t="str">
        <f ca="1">IFERROR(VALUE(IF(VLOOKUP($A131,数出表_Excel!$A$6:$T$150,COLUMN()/2+1,FALSE)=0,"",VLOOKUP($A131,数出表_Excel!$A$6:$T$150,COLUMN()/2+1,FALSE))),"")</f>
        <v/>
      </c>
      <c r="M131" s="142"/>
      <c r="N131" s="142" t="str">
        <f ca="1">IFERROR(VALUE(IF(VLOOKUP($A131,数出表_Excel!$A$6:$T$150,COLUMN()/2+1,FALSE)=0,"",VLOOKUP($A131,数出表_Excel!$A$6:$T$150,COLUMN()/2+1,FALSE))),"")</f>
        <v/>
      </c>
      <c r="O131" s="142"/>
      <c r="P131" s="142" t="str">
        <f ca="1">IFERROR(VALUE(IF(VLOOKUP($A131,数出表_Excel!$A$6:$T$150,COLUMN()/2+1,FALSE)=0,"",VLOOKUP($A131,数出表_Excel!$A$6:$T$150,COLUMN()/2+1,FALSE))),"")</f>
        <v/>
      </c>
      <c r="Q131" s="142"/>
      <c r="R131" s="142" t="str">
        <f ca="1">IFERROR(VALUE(IF(VLOOKUP($A131,数出表_Excel!$A$6:$T$150,COLUMN()/2+1,FALSE)=0,"",VLOOKUP($A131,数出表_Excel!$A$6:$T$150,COLUMN()/2+1,FALSE))),"")</f>
        <v/>
      </c>
      <c r="S131" s="142"/>
      <c r="T131" s="142" t="str">
        <f ca="1">IFERROR(VALUE(IF(VLOOKUP($A131,数出表_Excel!$A$6:$T$150,COLUMN()/2+1,FALSE)=0,"",VLOOKUP($A131,数出表_Excel!$A$6:$T$150,COLUMN()/2+1,FALSE))),"")</f>
        <v/>
      </c>
      <c r="U131" s="142"/>
      <c r="V131" s="146" t="str">
        <f ca="1">IFERROR(VALUE(IF(VLOOKUP($A131,数出表_Excel!$A$6:$T$150,COLUMN()/2+1,FALSE)=0,"",VLOOKUP($A131,数出表_Excel!$A$6:$T$150,COLUMN()/2+1,FALSE))),"")</f>
        <v/>
      </c>
      <c r="W131" s="142"/>
      <c r="X131" s="146" t="str">
        <f ca="1">IFERROR(VALUE(IF(VLOOKUP($A131,数出表_Excel!$A$6:$T$150,COLUMN()/2+1,FALSE)=0,"",VLOOKUP($A131,数出表_Excel!$A$6:$T$150,COLUMN()/2+1,FALSE))),"")</f>
        <v/>
      </c>
      <c r="Y131" s="142"/>
      <c r="Z131" s="146" t="str">
        <f ca="1">IFERROR(VALUE(IF(VLOOKUP($A131,数出表_Excel!$A$6:$T$150,COLUMN()/2+1,FALSE)=0,"",VLOOKUP($A131,数出表_Excel!$A$6:$T$150,COLUMN()/2+1,FALSE))),"")</f>
        <v/>
      </c>
      <c r="AA131" s="209"/>
      <c r="AB131" s="147" t="str">
        <f ca="1">IFERROR(VALUE(IF(VLOOKUP($A131,数出表_Excel!$A$6:$T$150,COLUMN()/2+1,FALSE)=0,"",VLOOKUP($A131,数出表_Excel!$A$6:$T$150,COLUMN()/2+1,FALSE))),"")</f>
        <v/>
      </c>
      <c r="AC131" s="142"/>
      <c r="AD131" s="146" t="str">
        <f ca="1">IFERROR(VALUE(IF(VLOOKUP($A131,数出表_Excel!$A$6:$T$150,COLUMN()/2+1,FALSE)=0,"",VLOOKUP($A131,数出表_Excel!$A$6:$T$150,COLUMN()/2+1,FALSE))),"")</f>
        <v/>
      </c>
      <c r="AE131" s="142"/>
      <c r="AF131" s="146" t="str">
        <f ca="1">IFERROR(VALUE(IF(VLOOKUP($A131,数出表_Excel!$A$6:$T$150,COLUMN()/2+1,FALSE)=0,"",VLOOKUP($A131,数出表_Excel!$A$6:$T$150,COLUMN()/2+1,FALSE))),"")</f>
        <v/>
      </c>
      <c r="AG131" s="142"/>
      <c r="AH131" s="146" t="str">
        <f ca="1">IFERROR(VALUE(IF(VLOOKUP($A131,数出表_Excel!$A$6:$T$150,COLUMN()/2+1,FALSE)=0,"",VLOOKUP($A131,数出表_Excel!$A$6:$T$150,COLUMN()/2+1,FALSE))),"")</f>
        <v/>
      </c>
      <c r="AI131" s="209"/>
      <c r="AJ131" s="147" t="str">
        <f ca="1">IFERROR(VALUE(IF(VLOOKUP($A131,数出表_Excel!$A$6:$T$150,COLUMN()/2+1,FALSE)=0,"",VLOOKUP($A131,数出表_Excel!$A$6:$T$150,COLUMN()/2+1,FALSE))),"")</f>
        <v/>
      </c>
      <c r="AK131" s="142"/>
      <c r="AL131" s="148" t="e">
        <f ca="1">IF(A131&lt;&gt;"",
IF(VLOOKUP($A131,数出表_Excel!$A$6:$T$150,COLUMN()/2+1,FALSE)=0,"",VLOOKUP($A131,数出表_Excel!$A$6:$T$150,COLUMN()/2+1,FALSE)),"")</f>
        <v>#N/A</v>
      </c>
      <c r="AM131" s="263">
        <f>数出表_Excel!V131</f>
        <v>0</v>
      </c>
      <c r="AN131" s="264">
        <f>数出表_Excel!W131</f>
        <v>0</v>
      </c>
    </row>
    <row r="132" spans="1:40" ht="16.2" customHeight="1" x14ac:dyDescent="0.45">
      <c r="A132" s="219" t="str">
        <f t="array" aca="1" ref="A132" ca="1">IF(OR(COUNTIF(A130,"*10002*"),COUNTIF(A130,"")),"",INDEX(貼り付け用!$A:$A,MATCH(A130,貼り付け用!$A:$A,0)+2,0))</f>
        <v>40350</v>
      </c>
      <c r="B132" s="204" t="str">
        <f ca="1">IFERROR(VALUE(IF(VLOOKUP($A132,数出表_Excel!$A$6:$T$150,COLUMN()/2+1,FALSE)=0,"",VLOOKUP($A132,数出表_Excel!$A$6:$T$150,COLUMN()/2+1,FALSE))),"")</f>
        <v/>
      </c>
      <c r="C132" s="141"/>
      <c r="D132" s="204" t="str">
        <f ca="1">IFERROR(VALUE(IF(VLOOKUP($A132,数出表_Excel!$A$6:$T$150,COLUMN()/2+1,FALSE)=0,"",VLOOKUP($A132,数出表_Excel!$A$6:$T$150,COLUMN()/2+1,FALSE))),"")</f>
        <v/>
      </c>
      <c r="E132" s="141"/>
      <c r="F132" s="207" t="str">
        <f ca="1">IFERROR(VALUE(IF(VLOOKUP($A132,数出表_Excel!$A$6:$T$150,COLUMN()/2+1,FALSE)=0,"",VLOOKUP($A132,数出表_Excel!$A$6:$T$150,COLUMN()/2+1,FALSE))),"")</f>
        <v/>
      </c>
      <c r="G132" s="141"/>
      <c r="H132" s="204" t="str">
        <f ca="1">IFERROR(VALUE(IF(VLOOKUP($A132,数出表_Excel!$A$6:$T$150,COLUMN()/2+1,FALSE)=0,"",VLOOKUP($A132,数出表_Excel!$A$6:$T$150,COLUMN()/2+1,FALSE))),"")</f>
        <v/>
      </c>
      <c r="I132" s="141"/>
      <c r="J132" s="204" t="str">
        <f ca="1">IFERROR(VALUE(IF(VLOOKUP($A132,数出表_Excel!$A$6:$T$150,COLUMN()/2+1,FALSE)=0,"",VLOOKUP($A132,数出表_Excel!$A$6:$T$150,COLUMN()/2+1,FALSE))),"")</f>
        <v/>
      </c>
      <c r="K132" s="208"/>
      <c r="L132" s="205" t="str">
        <f ca="1">IFERROR(VALUE(IF(VLOOKUP($A132,数出表_Excel!$A$6:$T$150,COLUMN()/2+1,FALSE)=0,"",VLOOKUP($A132,数出表_Excel!$A$6:$T$150,COLUMN()/2+1,FALSE))),"")</f>
        <v/>
      </c>
      <c r="M132" s="141"/>
      <c r="N132" s="204" t="str">
        <f ca="1">IFERROR(VALUE(IF(VLOOKUP($A132,数出表_Excel!$A$6:$T$150,COLUMN()/2+1,FALSE)=0,"",VLOOKUP($A132,数出表_Excel!$A$6:$T$150,COLUMN()/2+1,FALSE))),"")</f>
        <v/>
      </c>
      <c r="O132" s="141"/>
      <c r="P132" s="204" t="str">
        <f ca="1">IFERROR(VALUE(IF(VLOOKUP($A132,数出表_Excel!$A$6:$T$150,COLUMN()/2+1,FALSE)=0,"",VLOOKUP($A132,数出表_Excel!$A$6:$T$150,COLUMN()/2+1,FALSE))),"")</f>
        <v/>
      </c>
      <c r="Q132" s="141"/>
      <c r="R132" s="204" t="str">
        <f ca="1">IFERROR(VALUE(IF(VLOOKUP($A132,数出表_Excel!$A$6:$T$150,COLUMN()/2+1,FALSE)=0,"",VLOOKUP($A132,数出表_Excel!$A$6:$T$150,COLUMN()/2+1,FALSE))),"")</f>
        <v/>
      </c>
      <c r="S132" s="141"/>
      <c r="T132" s="204" t="str">
        <f ca="1">IFERROR(VALUE(IF(VLOOKUP($A132,数出表_Excel!$A$6:$T$150,COLUMN()/2+1,FALSE)=0,"",VLOOKUP($A132,数出表_Excel!$A$6:$T$150,COLUMN()/2+1,FALSE))),"")</f>
        <v/>
      </c>
      <c r="U132" s="141"/>
      <c r="V132" s="207" t="str">
        <f ca="1">IFERROR(VALUE(IF(VLOOKUP($A132,数出表_Excel!$A$6:$T$150,COLUMN()/2+1,FALSE)=0,"",VLOOKUP($A132,数出表_Excel!$A$6:$T$150,COLUMN()/2+1,FALSE))),"")</f>
        <v/>
      </c>
      <c r="W132" s="141"/>
      <c r="X132" s="207" t="str">
        <f ca="1">IFERROR(VALUE(IF(VLOOKUP($A132,数出表_Excel!$A$6:$T$150,COLUMN()/2+1,FALSE)=0,"",VLOOKUP($A132,数出表_Excel!$A$6:$T$150,COLUMN()/2+1,FALSE))),"")</f>
        <v/>
      </c>
      <c r="Y132" s="141"/>
      <c r="Z132" s="207" t="str">
        <f ca="1">IFERROR(VALUE(IF(VLOOKUP($A132,数出表_Excel!$A$6:$T$150,COLUMN()/2+1,FALSE)=0,"",VLOOKUP($A132,数出表_Excel!$A$6:$T$150,COLUMN()/2+1,FALSE))),"")</f>
        <v/>
      </c>
      <c r="AA132" s="208"/>
      <c r="AB132" s="205" t="str">
        <f ca="1">IFERROR(VALUE(IF(VLOOKUP($A132,数出表_Excel!$A$6:$T$150,COLUMN()/2+1,FALSE)=0,"",VLOOKUP($A132,数出表_Excel!$A$6:$T$150,COLUMN()/2+1,FALSE))),"")</f>
        <v/>
      </c>
      <c r="AC132" s="141"/>
      <c r="AD132" s="207" t="str">
        <f ca="1">IFERROR(VALUE(IF(VLOOKUP($A132,数出表_Excel!$A$6:$T$150,COLUMN()/2+1,FALSE)=0,"",VLOOKUP($A132,数出表_Excel!$A$6:$T$150,COLUMN()/2+1,FALSE))),"")</f>
        <v/>
      </c>
      <c r="AE132" s="141"/>
      <c r="AF132" s="207" t="str">
        <f ca="1">IFERROR(VALUE(IF(VLOOKUP($A132,数出表_Excel!$A$6:$T$150,COLUMN()/2+1,FALSE)=0,"",VLOOKUP($A132,数出表_Excel!$A$6:$T$150,COLUMN()/2+1,FALSE))),"")</f>
        <v/>
      </c>
      <c r="AG132" s="141"/>
      <c r="AH132" s="207" t="str">
        <f ca="1">IFERROR(VALUE(IF(VLOOKUP($A132,数出表_Excel!$A$6:$T$150,COLUMN()/2+1,FALSE)=0,"",VLOOKUP($A132,数出表_Excel!$A$6:$T$150,COLUMN()/2+1,FALSE))),"")</f>
        <v/>
      </c>
      <c r="AI132" s="208"/>
      <c r="AJ132" s="205" t="str">
        <f ca="1">IFERROR(VALUE(IF(VLOOKUP($A132,数出表_Excel!$A$6:$T$150,COLUMN()/2+1,FALSE)=0,"",VLOOKUP($A132,数出表_Excel!$A$6:$T$150,COLUMN()/2+1,FALSE))),"")</f>
        <v/>
      </c>
      <c r="AK132" s="141"/>
      <c r="AL132" s="145" t="e">
        <f ca="1">IF(A132&lt;&gt;"",
IF(VLOOKUP($A132,数出表_Excel!$A$6:$T$150,COLUMN()/2+1,FALSE)=0,"",VLOOKUP($A132,数出表_Excel!$A$6:$T$150,COLUMN()/2+1,FALSE)),"")</f>
        <v>#N/A</v>
      </c>
      <c r="AM132" s="261">
        <f>数出表_Excel!V132</f>
        <v>0</v>
      </c>
      <c r="AN132" s="262">
        <f>数出表_Excel!W132</f>
        <v>0</v>
      </c>
    </row>
    <row r="133" spans="1:40" ht="16.2" customHeight="1" x14ac:dyDescent="0.45">
      <c r="A133" s="220" t="str">
        <f t="array" aca="1" ref="A133" ca="1">IF(OR(COUNTIF(A131,"*1000*"),COUNTIF(A131,"")),"",INDEX(貼り付け用!$A:$A,MATCH(A131,貼り付け用!$A:$A,0)+2,0))</f>
        <v>山王幼稚園</v>
      </c>
      <c r="B133" s="142" t="str">
        <f ca="1">IFERROR(VALUE(IF(VLOOKUP($A133,数出表_Excel!$A$6:$T$150,COLUMN()/2+1,FALSE)=0,"",VLOOKUP($A133,数出表_Excel!$A$6:$T$150,COLUMN()/2+1,FALSE))),"")</f>
        <v/>
      </c>
      <c r="C133" s="142"/>
      <c r="D133" s="142" t="str">
        <f ca="1">IFERROR(VALUE(IF(VLOOKUP($A133,数出表_Excel!$A$6:$T$150,COLUMN()/2+1,FALSE)=0,"",VLOOKUP($A133,数出表_Excel!$A$6:$T$150,COLUMN()/2+1,FALSE))),"")</f>
        <v/>
      </c>
      <c r="E133" s="142"/>
      <c r="F133" s="146" t="str">
        <f ca="1">IFERROR(VALUE(IF(VLOOKUP($A133,数出表_Excel!$A$6:$T$150,COLUMN()/2+1,FALSE)=0,"",VLOOKUP($A133,数出表_Excel!$A$6:$T$150,COLUMN()/2+1,FALSE))),"")</f>
        <v/>
      </c>
      <c r="G133" s="142"/>
      <c r="H133" s="142" t="str">
        <f ca="1">IFERROR(VALUE(IF(VLOOKUP($A133,数出表_Excel!$A$6:$T$150,COLUMN()/2+1,FALSE)=0,"",VLOOKUP($A133,数出表_Excel!$A$6:$T$150,COLUMN()/2+1,FALSE))),"")</f>
        <v/>
      </c>
      <c r="I133" s="142"/>
      <c r="J133" s="142" t="str">
        <f ca="1">IFERROR(VALUE(IF(VLOOKUP($A133,数出表_Excel!$A$6:$T$150,COLUMN()/2+1,FALSE)=0,"",VLOOKUP($A133,数出表_Excel!$A$6:$T$150,COLUMN()/2+1,FALSE))),"")</f>
        <v/>
      </c>
      <c r="K133" s="209"/>
      <c r="L133" s="147" t="str">
        <f ca="1">IFERROR(VALUE(IF(VLOOKUP($A133,数出表_Excel!$A$6:$T$150,COLUMN()/2+1,FALSE)=0,"",VLOOKUP($A133,数出表_Excel!$A$6:$T$150,COLUMN()/2+1,FALSE))),"")</f>
        <v/>
      </c>
      <c r="M133" s="142"/>
      <c r="N133" s="142" t="str">
        <f ca="1">IFERROR(VALUE(IF(VLOOKUP($A133,数出表_Excel!$A$6:$T$150,COLUMN()/2+1,FALSE)=0,"",VLOOKUP($A133,数出表_Excel!$A$6:$T$150,COLUMN()/2+1,FALSE))),"")</f>
        <v/>
      </c>
      <c r="O133" s="142"/>
      <c r="P133" s="142" t="str">
        <f ca="1">IFERROR(VALUE(IF(VLOOKUP($A133,数出表_Excel!$A$6:$T$150,COLUMN()/2+1,FALSE)=0,"",VLOOKUP($A133,数出表_Excel!$A$6:$T$150,COLUMN()/2+1,FALSE))),"")</f>
        <v/>
      </c>
      <c r="Q133" s="142"/>
      <c r="R133" s="142" t="str">
        <f ca="1">IFERROR(VALUE(IF(VLOOKUP($A133,数出表_Excel!$A$6:$T$150,COLUMN()/2+1,FALSE)=0,"",VLOOKUP($A133,数出表_Excel!$A$6:$T$150,COLUMN()/2+1,FALSE))),"")</f>
        <v/>
      </c>
      <c r="S133" s="142"/>
      <c r="T133" s="142" t="str">
        <f ca="1">IFERROR(VALUE(IF(VLOOKUP($A133,数出表_Excel!$A$6:$T$150,COLUMN()/2+1,FALSE)=0,"",VLOOKUP($A133,数出表_Excel!$A$6:$T$150,COLUMN()/2+1,FALSE))),"")</f>
        <v/>
      </c>
      <c r="U133" s="142"/>
      <c r="V133" s="146" t="str">
        <f ca="1">IFERROR(VALUE(IF(VLOOKUP($A133,数出表_Excel!$A$6:$T$150,COLUMN()/2+1,FALSE)=0,"",VLOOKUP($A133,数出表_Excel!$A$6:$T$150,COLUMN()/2+1,FALSE))),"")</f>
        <v/>
      </c>
      <c r="W133" s="142"/>
      <c r="X133" s="146" t="str">
        <f ca="1">IFERROR(VALUE(IF(VLOOKUP($A133,数出表_Excel!$A$6:$T$150,COLUMN()/2+1,FALSE)=0,"",VLOOKUP($A133,数出表_Excel!$A$6:$T$150,COLUMN()/2+1,FALSE))),"")</f>
        <v/>
      </c>
      <c r="Y133" s="142"/>
      <c r="Z133" s="146" t="str">
        <f ca="1">IFERROR(VALUE(IF(VLOOKUP($A133,数出表_Excel!$A$6:$T$150,COLUMN()/2+1,FALSE)=0,"",VLOOKUP($A133,数出表_Excel!$A$6:$T$150,COLUMN()/2+1,FALSE))),"")</f>
        <v/>
      </c>
      <c r="AA133" s="209"/>
      <c r="AB133" s="147" t="str">
        <f ca="1">IFERROR(VALUE(IF(VLOOKUP($A133,数出表_Excel!$A$6:$T$150,COLUMN()/2+1,FALSE)=0,"",VLOOKUP($A133,数出表_Excel!$A$6:$T$150,COLUMN()/2+1,FALSE))),"")</f>
        <v/>
      </c>
      <c r="AC133" s="142"/>
      <c r="AD133" s="146" t="str">
        <f ca="1">IFERROR(VALUE(IF(VLOOKUP($A133,数出表_Excel!$A$6:$T$150,COLUMN()/2+1,FALSE)=0,"",VLOOKUP($A133,数出表_Excel!$A$6:$T$150,COLUMN()/2+1,FALSE))),"")</f>
        <v/>
      </c>
      <c r="AE133" s="142"/>
      <c r="AF133" s="146" t="str">
        <f ca="1">IFERROR(VALUE(IF(VLOOKUP($A133,数出表_Excel!$A$6:$T$150,COLUMN()/2+1,FALSE)=0,"",VLOOKUP($A133,数出表_Excel!$A$6:$T$150,COLUMN()/2+1,FALSE))),"")</f>
        <v/>
      </c>
      <c r="AG133" s="142"/>
      <c r="AH133" s="146" t="str">
        <f ca="1">IFERROR(VALUE(IF(VLOOKUP($A133,数出表_Excel!$A$6:$T$150,COLUMN()/2+1,FALSE)=0,"",VLOOKUP($A133,数出表_Excel!$A$6:$T$150,COLUMN()/2+1,FALSE))),"")</f>
        <v/>
      </c>
      <c r="AI133" s="209"/>
      <c r="AJ133" s="147" t="str">
        <f ca="1">IFERROR(VALUE(IF(VLOOKUP($A133,数出表_Excel!$A$6:$T$150,COLUMN()/2+1,FALSE)=0,"",VLOOKUP($A133,数出表_Excel!$A$6:$T$150,COLUMN()/2+1,FALSE))),"")</f>
        <v/>
      </c>
      <c r="AK133" s="142"/>
      <c r="AL133" s="148" t="e">
        <f ca="1">IF(A133&lt;&gt;"",
IF(VLOOKUP($A133,数出表_Excel!$A$6:$T$150,COLUMN()/2+1,FALSE)=0,"",VLOOKUP($A133,数出表_Excel!$A$6:$T$150,COLUMN()/2+1,FALSE)),"")</f>
        <v>#N/A</v>
      </c>
      <c r="AM133" s="263">
        <f>数出表_Excel!V133</f>
        <v>0</v>
      </c>
      <c r="AN133" s="264">
        <f>数出表_Excel!W133</f>
        <v>0</v>
      </c>
    </row>
    <row r="134" spans="1:40" ht="16.2" customHeight="1" x14ac:dyDescent="0.45">
      <c r="A134" s="219" t="str">
        <f t="array" aca="1" ref="A134" ca="1">IF(OR(COUNTIF(A132,"*10002*"),COUNTIF(A132,"")),"",INDEX(貼り付け用!$A:$A,MATCH(A132,貼り付け用!$A:$A,0)+2,0))</f>
        <v>40400</v>
      </c>
      <c r="B134" s="204" t="str">
        <f ca="1">IFERROR(VALUE(IF(VLOOKUP($A134,数出表_Excel!$A$6:$T$150,COLUMN()/2+1,FALSE)=0,"",VLOOKUP($A134,数出表_Excel!$A$6:$T$150,COLUMN()/2+1,FALSE))),"")</f>
        <v/>
      </c>
      <c r="C134" s="141"/>
      <c r="D134" s="204" t="str">
        <f ca="1">IFERROR(VALUE(IF(VLOOKUP($A134,数出表_Excel!$A$6:$T$150,COLUMN()/2+1,FALSE)=0,"",VLOOKUP($A134,数出表_Excel!$A$6:$T$150,COLUMN()/2+1,FALSE))),"")</f>
        <v/>
      </c>
      <c r="E134" s="141"/>
      <c r="F134" s="207" t="str">
        <f ca="1">IFERROR(VALUE(IF(VLOOKUP($A134,数出表_Excel!$A$6:$T$150,COLUMN()/2+1,FALSE)=0,"",VLOOKUP($A134,数出表_Excel!$A$6:$T$150,COLUMN()/2+1,FALSE))),"")</f>
        <v/>
      </c>
      <c r="G134" s="141"/>
      <c r="H134" s="204" t="str">
        <f ca="1">IFERROR(VALUE(IF(VLOOKUP($A134,数出表_Excel!$A$6:$T$150,COLUMN()/2+1,FALSE)=0,"",VLOOKUP($A134,数出表_Excel!$A$6:$T$150,COLUMN()/2+1,FALSE))),"")</f>
        <v/>
      </c>
      <c r="I134" s="141"/>
      <c r="J134" s="204" t="str">
        <f ca="1">IFERROR(VALUE(IF(VLOOKUP($A134,数出表_Excel!$A$6:$T$150,COLUMN()/2+1,FALSE)=0,"",VLOOKUP($A134,数出表_Excel!$A$6:$T$150,COLUMN()/2+1,FALSE))),"")</f>
        <v/>
      </c>
      <c r="K134" s="208"/>
      <c r="L134" s="205" t="str">
        <f ca="1">IFERROR(VALUE(IF(VLOOKUP($A134,数出表_Excel!$A$6:$T$150,COLUMN()/2+1,FALSE)=0,"",VLOOKUP($A134,数出表_Excel!$A$6:$T$150,COLUMN()/2+1,FALSE))),"")</f>
        <v/>
      </c>
      <c r="M134" s="141"/>
      <c r="N134" s="204" t="str">
        <f ca="1">IFERROR(VALUE(IF(VLOOKUP($A134,数出表_Excel!$A$6:$T$150,COLUMN()/2+1,FALSE)=0,"",VLOOKUP($A134,数出表_Excel!$A$6:$T$150,COLUMN()/2+1,FALSE))),"")</f>
        <v/>
      </c>
      <c r="O134" s="141"/>
      <c r="P134" s="204" t="str">
        <f ca="1">IFERROR(VALUE(IF(VLOOKUP($A134,数出表_Excel!$A$6:$T$150,COLUMN()/2+1,FALSE)=0,"",VLOOKUP($A134,数出表_Excel!$A$6:$T$150,COLUMN()/2+1,FALSE))),"")</f>
        <v/>
      </c>
      <c r="Q134" s="141"/>
      <c r="R134" s="204" t="str">
        <f ca="1">IFERROR(VALUE(IF(VLOOKUP($A134,数出表_Excel!$A$6:$T$150,COLUMN()/2+1,FALSE)=0,"",VLOOKUP($A134,数出表_Excel!$A$6:$T$150,COLUMN()/2+1,FALSE))),"")</f>
        <v/>
      </c>
      <c r="S134" s="141"/>
      <c r="T134" s="204" t="str">
        <f ca="1">IFERROR(VALUE(IF(VLOOKUP($A134,数出表_Excel!$A$6:$T$150,COLUMN()/2+1,FALSE)=0,"",VLOOKUP($A134,数出表_Excel!$A$6:$T$150,COLUMN()/2+1,FALSE))),"")</f>
        <v/>
      </c>
      <c r="U134" s="141"/>
      <c r="V134" s="207" t="str">
        <f ca="1">IFERROR(VALUE(IF(VLOOKUP($A134,数出表_Excel!$A$6:$T$150,COLUMN()/2+1,FALSE)=0,"",VLOOKUP($A134,数出表_Excel!$A$6:$T$150,COLUMN()/2+1,FALSE))),"")</f>
        <v/>
      </c>
      <c r="W134" s="141"/>
      <c r="X134" s="207" t="str">
        <f ca="1">IFERROR(VALUE(IF(VLOOKUP($A134,数出表_Excel!$A$6:$T$150,COLUMN()/2+1,FALSE)=0,"",VLOOKUP($A134,数出表_Excel!$A$6:$T$150,COLUMN()/2+1,FALSE))),"")</f>
        <v/>
      </c>
      <c r="Y134" s="141"/>
      <c r="Z134" s="207" t="str">
        <f ca="1">IFERROR(VALUE(IF(VLOOKUP($A134,数出表_Excel!$A$6:$T$150,COLUMN()/2+1,FALSE)=0,"",VLOOKUP($A134,数出表_Excel!$A$6:$T$150,COLUMN()/2+1,FALSE))),"")</f>
        <v/>
      </c>
      <c r="AA134" s="208"/>
      <c r="AB134" s="205" t="str">
        <f ca="1">IFERROR(VALUE(IF(VLOOKUP($A134,数出表_Excel!$A$6:$T$150,COLUMN()/2+1,FALSE)=0,"",VLOOKUP($A134,数出表_Excel!$A$6:$T$150,COLUMN()/2+1,FALSE))),"")</f>
        <v/>
      </c>
      <c r="AC134" s="141"/>
      <c r="AD134" s="207" t="str">
        <f ca="1">IFERROR(VALUE(IF(VLOOKUP($A134,数出表_Excel!$A$6:$T$150,COLUMN()/2+1,FALSE)=0,"",VLOOKUP($A134,数出表_Excel!$A$6:$T$150,COLUMN()/2+1,FALSE))),"")</f>
        <v/>
      </c>
      <c r="AE134" s="141"/>
      <c r="AF134" s="207" t="str">
        <f ca="1">IFERROR(VALUE(IF(VLOOKUP($A134,数出表_Excel!$A$6:$T$150,COLUMN()/2+1,FALSE)=0,"",VLOOKUP($A134,数出表_Excel!$A$6:$T$150,COLUMN()/2+1,FALSE))),"")</f>
        <v/>
      </c>
      <c r="AG134" s="141"/>
      <c r="AH134" s="207" t="str">
        <f ca="1">IFERROR(VALUE(IF(VLOOKUP($A134,数出表_Excel!$A$6:$T$150,COLUMN()/2+1,FALSE)=0,"",VLOOKUP($A134,数出表_Excel!$A$6:$T$150,COLUMN()/2+1,FALSE))),"")</f>
        <v/>
      </c>
      <c r="AI134" s="208"/>
      <c r="AJ134" s="205" t="str">
        <f ca="1">IFERROR(VALUE(IF(VLOOKUP($A134,数出表_Excel!$A$6:$T$150,COLUMN()/2+1,FALSE)=0,"",VLOOKUP($A134,数出表_Excel!$A$6:$T$150,COLUMN()/2+1,FALSE))),"")</f>
        <v/>
      </c>
      <c r="AK134" s="141"/>
      <c r="AL134" s="145" t="e">
        <f ca="1">IF(A134&lt;&gt;"",
IF(VLOOKUP($A134,数出表_Excel!$A$6:$T$150,COLUMN()/2+1,FALSE)=0,"",VLOOKUP($A134,数出表_Excel!$A$6:$T$150,COLUMN()/2+1,FALSE)),"")</f>
        <v>#N/A</v>
      </c>
      <c r="AM134" s="261">
        <f>数出表_Excel!V134</f>
        <v>0</v>
      </c>
      <c r="AN134" s="262">
        <f>数出表_Excel!W134</f>
        <v>0</v>
      </c>
    </row>
    <row r="135" spans="1:40" ht="16.2" customHeight="1" x14ac:dyDescent="0.45">
      <c r="A135" s="220" t="str">
        <f t="array" aca="1" ref="A135" ca="1">IF(OR(COUNTIF(A133,"*1000*"),COUNTIF(A133,"")),"",INDEX(貼り付け用!$A:$A,MATCH(A133,貼り付け用!$A:$A,0)+2,0))</f>
        <v>アイスクール幼稚園</v>
      </c>
      <c r="B135" s="142" t="str">
        <f ca="1">IFERROR(VALUE(IF(VLOOKUP($A135,数出表_Excel!$A$6:$T$150,COLUMN()/2+1,FALSE)=0,"",VLOOKUP($A135,数出表_Excel!$A$6:$T$150,COLUMN()/2+1,FALSE))),"")</f>
        <v/>
      </c>
      <c r="C135" s="142"/>
      <c r="D135" s="142" t="str">
        <f ca="1">IFERROR(VALUE(IF(VLOOKUP($A135,数出表_Excel!$A$6:$T$150,COLUMN()/2+1,FALSE)=0,"",VLOOKUP($A135,数出表_Excel!$A$6:$T$150,COLUMN()/2+1,FALSE))),"")</f>
        <v/>
      </c>
      <c r="E135" s="142"/>
      <c r="F135" s="146" t="str">
        <f ca="1">IFERROR(VALUE(IF(VLOOKUP($A135,数出表_Excel!$A$6:$T$150,COLUMN()/2+1,FALSE)=0,"",VLOOKUP($A135,数出表_Excel!$A$6:$T$150,COLUMN()/2+1,FALSE))),"")</f>
        <v/>
      </c>
      <c r="G135" s="142"/>
      <c r="H135" s="142" t="str">
        <f ca="1">IFERROR(VALUE(IF(VLOOKUP($A135,数出表_Excel!$A$6:$T$150,COLUMN()/2+1,FALSE)=0,"",VLOOKUP($A135,数出表_Excel!$A$6:$T$150,COLUMN()/2+1,FALSE))),"")</f>
        <v/>
      </c>
      <c r="I135" s="142"/>
      <c r="J135" s="142" t="str">
        <f ca="1">IFERROR(VALUE(IF(VLOOKUP($A135,数出表_Excel!$A$6:$T$150,COLUMN()/2+1,FALSE)=0,"",VLOOKUP($A135,数出表_Excel!$A$6:$T$150,COLUMN()/2+1,FALSE))),"")</f>
        <v/>
      </c>
      <c r="K135" s="209"/>
      <c r="L135" s="147" t="str">
        <f ca="1">IFERROR(VALUE(IF(VLOOKUP($A135,数出表_Excel!$A$6:$T$150,COLUMN()/2+1,FALSE)=0,"",VLOOKUP($A135,数出表_Excel!$A$6:$T$150,COLUMN()/2+1,FALSE))),"")</f>
        <v/>
      </c>
      <c r="M135" s="142"/>
      <c r="N135" s="142" t="str">
        <f ca="1">IFERROR(VALUE(IF(VLOOKUP($A135,数出表_Excel!$A$6:$T$150,COLUMN()/2+1,FALSE)=0,"",VLOOKUP($A135,数出表_Excel!$A$6:$T$150,COLUMN()/2+1,FALSE))),"")</f>
        <v/>
      </c>
      <c r="O135" s="142"/>
      <c r="P135" s="142" t="str">
        <f ca="1">IFERROR(VALUE(IF(VLOOKUP($A135,数出表_Excel!$A$6:$T$150,COLUMN()/2+1,FALSE)=0,"",VLOOKUP($A135,数出表_Excel!$A$6:$T$150,COLUMN()/2+1,FALSE))),"")</f>
        <v/>
      </c>
      <c r="Q135" s="142"/>
      <c r="R135" s="142" t="str">
        <f ca="1">IFERROR(VALUE(IF(VLOOKUP($A135,数出表_Excel!$A$6:$T$150,COLUMN()/2+1,FALSE)=0,"",VLOOKUP($A135,数出表_Excel!$A$6:$T$150,COLUMN()/2+1,FALSE))),"")</f>
        <v/>
      </c>
      <c r="S135" s="142"/>
      <c r="T135" s="142" t="str">
        <f ca="1">IFERROR(VALUE(IF(VLOOKUP($A135,数出表_Excel!$A$6:$T$150,COLUMN()/2+1,FALSE)=0,"",VLOOKUP($A135,数出表_Excel!$A$6:$T$150,COLUMN()/2+1,FALSE))),"")</f>
        <v/>
      </c>
      <c r="U135" s="142"/>
      <c r="V135" s="146" t="str">
        <f ca="1">IFERROR(VALUE(IF(VLOOKUP($A135,数出表_Excel!$A$6:$T$150,COLUMN()/2+1,FALSE)=0,"",VLOOKUP($A135,数出表_Excel!$A$6:$T$150,COLUMN()/2+1,FALSE))),"")</f>
        <v/>
      </c>
      <c r="W135" s="142"/>
      <c r="X135" s="146" t="str">
        <f ca="1">IFERROR(VALUE(IF(VLOOKUP($A135,数出表_Excel!$A$6:$T$150,COLUMN()/2+1,FALSE)=0,"",VLOOKUP($A135,数出表_Excel!$A$6:$T$150,COLUMN()/2+1,FALSE))),"")</f>
        <v/>
      </c>
      <c r="Y135" s="142"/>
      <c r="Z135" s="146" t="str">
        <f ca="1">IFERROR(VALUE(IF(VLOOKUP($A135,数出表_Excel!$A$6:$T$150,COLUMN()/2+1,FALSE)=0,"",VLOOKUP($A135,数出表_Excel!$A$6:$T$150,COLUMN()/2+1,FALSE))),"")</f>
        <v/>
      </c>
      <c r="AA135" s="209"/>
      <c r="AB135" s="147" t="str">
        <f ca="1">IFERROR(VALUE(IF(VLOOKUP($A135,数出表_Excel!$A$6:$T$150,COLUMN()/2+1,FALSE)=0,"",VLOOKUP($A135,数出表_Excel!$A$6:$T$150,COLUMN()/2+1,FALSE))),"")</f>
        <v/>
      </c>
      <c r="AC135" s="142"/>
      <c r="AD135" s="146" t="str">
        <f ca="1">IFERROR(VALUE(IF(VLOOKUP($A135,数出表_Excel!$A$6:$T$150,COLUMN()/2+1,FALSE)=0,"",VLOOKUP($A135,数出表_Excel!$A$6:$T$150,COLUMN()/2+1,FALSE))),"")</f>
        <v/>
      </c>
      <c r="AE135" s="142"/>
      <c r="AF135" s="146" t="str">
        <f ca="1">IFERROR(VALUE(IF(VLOOKUP($A135,数出表_Excel!$A$6:$T$150,COLUMN()/2+1,FALSE)=0,"",VLOOKUP($A135,数出表_Excel!$A$6:$T$150,COLUMN()/2+1,FALSE))),"")</f>
        <v/>
      </c>
      <c r="AG135" s="142"/>
      <c r="AH135" s="146" t="str">
        <f ca="1">IFERROR(VALUE(IF(VLOOKUP($A135,数出表_Excel!$A$6:$T$150,COLUMN()/2+1,FALSE)=0,"",VLOOKUP($A135,数出表_Excel!$A$6:$T$150,COLUMN()/2+1,FALSE))),"")</f>
        <v/>
      </c>
      <c r="AI135" s="209"/>
      <c r="AJ135" s="147" t="str">
        <f ca="1">IFERROR(VALUE(IF(VLOOKUP($A135,数出表_Excel!$A$6:$T$150,COLUMN()/2+1,FALSE)=0,"",VLOOKUP($A135,数出表_Excel!$A$6:$T$150,COLUMN()/2+1,FALSE))),"")</f>
        <v/>
      </c>
      <c r="AK135" s="142"/>
      <c r="AL135" s="148" t="e">
        <f ca="1">IF(A135&lt;&gt;"",
IF(VLOOKUP($A135,数出表_Excel!$A$6:$T$150,COLUMN()/2+1,FALSE)=0,"",VLOOKUP($A135,数出表_Excel!$A$6:$T$150,COLUMN()/2+1,FALSE)),"")</f>
        <v>#N/A</v>
      </c>
      <c r="AM135" s="263">
        <f>数出表_Excel!V135</f>
        <v>0</v>
      </c>
      <c r="AN135" s="264">
        <f>数出表_Excel!W135</f>
        <v>0</v>
      </c>
    </row>
    <row r="136" spans="1:40" ht="16.2" customHeight="1" x14ac:dyDescent="0.45">
      <c r="A136" s="219" t="str">
        <f t="array" aca="1" ref="A136" ca="1">IF(OR(COUNTIF(A134,"*10002*"),COUNTIF(A134,"")),"",INDEX(貼り付け用!$A:$A,MATCH(A134,貼り付け用!$A:$A,0)+2,0))</f>
        <v>10000</v>
      </c>
      <c r="B136" s="204" t="str">
        <f ca="1">IFERROR(VALUE(IF(VLOOKUP($A136,数出表_Excel!$A$6:$T$150,COLUMN()/2+1,FALSE)=0,"",VLOOKUP($A136,数出表_Excel!$A$6:$T$150,COLUMN()/2+1,FALSE))),"")</f>
        <v/>
      </c>
      <c r="C136" s="141"/>
      <c r="D136" s="204" t="str">
        <f ca="1">IFERROR(VALUE(IF(VLOOKUP($A136,数出表_Excel!$A$6:$T$150,COLUMN()/2+1,FALSE)=0,"",VLOOKUP($A136,数出表_Excel!$A$6:$T$150,COLUMN()/2+1,FALSE))),"")</f>
        <v/>
      </c>
      <c r="E136" s="141"/>
      <c r="F136" s="207" t="str">
        <f ca="1">IFERROR(VALUE(IF(VLOOKUP($A136,数出表_Excel!$A$6:$T$150,COLUMN()/2+1,FALSE)=0,"",VLOOKUP($A136,数出表_Excel!$A$6:$T$150,COLUMN()/2+1,FALSE))),"")</f>
        <v/>
      </c>
      <c r="G136" s="141"/>
      <c r="H136" s="204" t="str">
        <f ca="1">IFERROR(VALUE(IF(VLOOKUP($A136,数出表_Excel!$A$6:$T$150,COLUMN()/2+1,FALSE)=0,"",VLOOKUP($A136,数出表_Excel!$A$6:$T$150,COLUMN()/2+1,FALSE))),"")</f>
        <v/>
      </c>
      <c r="I136" s="141"/>
      <c r="J136" s="204" t="str">
        <f ca="1">IFERROR(VALUE(IF(VLOOKUP($A136,数出表_Excel!$A$6:$T$150,COLUMN()/2+1,FALSE)=0,"",VLOOKUP($A136,数出表_Excel!$A$6:$T$150,COLUMN()/2+1,FALSE))),"")</f>
        <v/>
      </c>
      <c r="K136" s="208"/>
      <c r="L136" s="205" t="str">
        <f ca="1">IFERROR(VALUE(IF(VLOOKUP($A136,数出表_Excel!$A$6:$T$150,COLUMN()/2+1,FALSE)=0,"",VLOOKUP($A136,数出表_Excel!$A$6:$T$150,COLUMN()/2+1,FALSE))),"")</f>
        <v/>
      </c>
      <c r="M136" s="141"/>
      <c r="N136" s="204" t="str">
        <f ca="1">IFERROR(VALUE(IF(VLOOKUP($A136,数出表_Excel!$A$6:$T$150,COLUMN()/2+1,FALSE)=0,"",VLOOKUP($A136,数出表_Excel!$A$6:$T$150,COLUMN()/2+1,FALSE))),"")</f>
        <v/>
      </c>
      <c r="O136" s="141"/>
      <c r="P136" s="204" t="str">
        <f ca="1">IFERROR(VALUE(IF(VLOOKUP($A136,数出表_Excel!$A$6:$T$150,COLUMN()/2+1,FALSE)=0,"",VLOOKUP($A136,数出表_Excel!$A$6:$T$150,COLUMN()/2+1,FALSE))),"")</f>
        <v/>
      </c>
      <c r="Q136" s="141"/>
      <c r="R136" s="204" t="str">
        <f ca="1">IFERROR(VALUE(IF(VLOOKUP($A136,数出表_Excel!$A$6:$T$150,COLUMN()/2+1,FALSE)=0,"",VLOOKUP($A136,数出表_Excel!$A$6:$T$150,COLUMN()/2+1,FALSE))),"")</f>
        <v/>
      </c>
      <c r="S136" s="141"/>
      <c r="T136" s="204" t="str">
        <f ca="1">IFERROR(VALUE(IF(VLOOKUP($A136,数出表_Excel!$A$6:$T$150,COLUMN()/2+1,FALSE)=0,"",VLOOKUP($A136,数出表_Excel!$A$6:$T$150,COLUMN()/2+1,FALSE))),"")</f>
        <v/>
      </c>
      <c r="U136" s="141"/>
      <c r="V136" s="207" t="str">
        <f ca="1">IFERROR(VALUE(IF(VLOOKUP($A136,数出表_Excel!$A$6:$T$150,COLUMN()/2+1,FALSE)=0,"",VLOOKUP($A136,数出表_Excel!$A$6:$T$150,COLUMN()/2+1,FALSE))),"")</f>
        <v/>
      </c>
      <c r="W136" s="141"/>
      <c r="X136" s="207" t="str">
        <f ca="1">IFERROR(VALUE(IF(VLOOKUP($A136,数出表_Excel!$A$6:$T$150,COLUMN()/2+1,FALSE)=0,"",VLOOKUP($A136,数出表_Excel!$A$6:$T$150,COLUMN()/2+1,FALSE))),"")</f>
        <v/>
      </c>
      <c r="Y136" s="141"/>
      <c r="Z136" s="207" t="str">
        <f ca="1">IFERROR(VALUE(IF(VLOOKUP($A136,数出表_Excel!$A$6:$T$150,COLUMN()/2+1,FALSE)=0,"",VLOOKUP($A136,数出表_Excel!$A$6:$T$150,COLUMN()/2+1,FALSE))),"")</f>
        <v/>
      </c>
      <c r="AA136" s="208"/>
      <c r="AB136" s="205" t="str">
        <f ca="1">IFERROR(VALUE(IF(VLOOKUP($A136,数出表_Excel!$A$6:$T$150,COLUMN()/2+1,FALSE)=0,"",VLOOKUP($A136,数出表_Excel!$A$6:$T$150,COLUMN()/2+1,FALSE))),"")</f>
        <v/>
      </c>
      <c r="AC136" s="141"/>
      <c r="AD136" s="207" t="str">
        <f ca="1">IFERROR(VALUE(IF(VLOOKUP($A136,数出表_Excel!$A$6:$T$150,COLUMN()/2+1,FALSE)=0,"",VLOOKUP($A136,数出表_Excel!$A$6:$T$150,COLUMN()/2+1,FALSE))),"")</f>
        <v/>
      </c>
      <c r="AE136" s="141"/>
      <c r="AF136" s="207" t="str">
        <f ca="1">IFERROR(VALUE(IF(VLOOKUP($A136,数出表_Excel!$A$6:$T$150,COLUMN()/2+1,FALSE)=0,"",VLOOKUP($A136,数出表_Excel!$A$6:$T$150,COLUMN()/2+1,FALSE))),"")</f>
        <v/>
      </c>
      <c r="AG136" s="141"/>
      <c r="AH136" s="207" t="str">
        <f ca="1">IFERROR(VALUE(IF(VLOOKUP($A136,数出表_Excel!$A$6:$T$150,COLUMN()/2+1,FALSE)=0,"",VLOOKUP($A136,数出表_Excel!$A$6:$T$150,COLUMN()/2+1,FALSE))),"")</f>
        <v/>
      </c>
      <c r="AI136" s="208"/>
      <c r="AJ136" s="205" t="str">
        <f ca="1">IFERROR(VALUE(IF(VLOOKUP($A136,数出表_Excel!$A$6:$T$150,COLUMN()/2+1,FALSE)=0,"",VLOOKUP($A136,数出表_Excel!$A$6:$T$150,COLUMN()/2+1,FALSE))),"")</f>
        <v/>
      </c>
      <c r="AK136" s="141"/>
      <c r="AL136" s="145" t="e">
        <f ca="1">IF(A136&lt;&gt;"",
IF(VLOOKUP($A136,数出表_Excel!$A$6:$T$150,COLUMN()/2+1,FALSE)=0,"",VLOOKUP($A136,数出表_Excel!$A$6:$T$150,COLUMN()/2+1,FALSE)),"")</f>
        <v>#N/A</v>
      </c>
      <c r="AM136" s="261">
        <f>数出表_Excel!V136</f>
        <v>0</v>
      </c>
      <c r="AN136" s="262">
        <f>数出表_Excel!W136</f>
        <v>0</v>
      </c>
    </row>
    <row r="137" spans="1:40" ht="16.2" customHeight="1" x14ac:dyDescent="0.45">
      <c r="A137" s="220" t="str">
        <f t="array" aca="1" ref="A137" ca="1">IF(OR(COUNTIF(A135,"*1000*"),COUNTIF(A135,"")),"",INDEX(貼り付け用!$A:$A,MATCH(A135,貼り付け用!$A:$A,0)+2,0))</f>
        <v>10001</v>
      </c>
      <c r="B137" s="142" t="str">
        <f ca="1">IFERROR(VALUE(IF(VLOOKUP($A137,数出表_Excel!$A$6:$T$150,COLUMN()/2+1,FALSE)=0,"",VLOOKUP($A137,数出表_Excel!$A$6:$T$150,COLUMN()/2+1,FALSE))),"")</f>
        <v/>
      </c>
      <c r="C137" s="142"/>
      <c r="D137" s="142" t="str">
        <f ca="1">IFERROR(VALUE(IF(VLOOKUP($A137,数出表_Excel!$A$6:$T$150,COLUMN()/2+1,FALSE)=0,"",VLOOKUP($A137,数出表_Excel!$A$6:$T$150,COLUMN()/2+1,FALSE))),"")</f>
        <v/>
      </c>
      <c r="E137" s="142"/>
      <c r="F137" s="146" t="str">
        <f ca="1">IFERROR(VALUE(IF(VLOOKUP($A137,数出表_Excel!$A$6:$T$150,COLUMN()/2+1,FALSE)=0,"",VLOOKUP($A137,数出表_Excel!$A$6:$T$150,COLUMN()/2+1,FALSE))),"")</f>
        <v/>
      </c>
      <c r="G137" s="142"/>
      <c r="H137" s="142" t="str">
        <f ca="1">IFERROR(VALUE(IF(VLOOKUP($A137,数出表_Excel!$A$6:$T$150,COLUMN()/2+1,FALSE)=0,"",VLOOKUP($A137,数出表_Excel!$A$6:$T$150,COLUMN()/2+1,FALSE))),"")</f>
        <v/>
      </c>
      <c r="I137" s="142"/>
      <c r="J137" s="142" t="str">
        <f ca="1">IFERROR(VALUE(IF(VLOOKUP($A137,数出表_Excel!$A$6:$T$150,COLUMN()/2+1,FALSE)=0,"",VLOOKUP($A137,数出表_Excel!$A$6:$T$150,COLUMN()/2+1,FALSE))),"")</f>
        <v/>
      </c>
      <c r="K137" s="209"/>
      <c r="L137" s="147" t="str">
        <f ca="1">IFERROR(VALUE(IF(VLOOKUP($A137,数出表_Excel!$A$6:$T$150,COLUMN()/2+1,FALSE)=0,"",VLOOKUP($A137,数出表_Excel!$A$6:$T$150,COLUMN()/2+1,FALSE))),"")</f>
        <v/>
      </c>
      <c r="M137" s="142"/>
      <c r="N137" s="142" t="str">
        <f ca="1">IFERROR(VALUE(IF(VLOOKUP($A137,数出表_Excel!$A$6:$T$150,COLUMN()/2+1,FALSE)=0,"",VLOOKUP($A137,数出表_Excel!$A$6:$T$150,COLUMN()/2+1,FALSE))),"")</f>
        <v/>
      </c>
      <c r="O137" s="142"/>
      <c r="P137" s="142" t="str">
        <f ca="1">IFERROR(VALUE(IF(VLOOKUP($A137,数出表_Excel!$A$6:$T$150,COLUMN()/2+1,FALSE)=0,"",VLOOKUP($A137,数出表_Excel!$A$6:$T$150,COLUMN()/2+1,FALSE))),"")</f>
        <v/>
      </c>
      <c r="Q137" s="142"/>
      <c r="R137" s="142" t="str">
        <f ca="1">IFERROR(VALUE(IF(VLOOKUP($A137,数出表_Excel!$A$6:$T$150,COLUMN()/2+1,FALSE)=0,"",VLOOKUP($A137,数出表_Excel!$A$6:$T$150,COLUMN()/2+1,FALSE))),"")</f>
        <v/>
      </c>
      <c r="S137" s="142"/>
      <c r="T137" s="142" t="str">
        <f ca="1">IFERROR(VALUE(IF(VLOOKUP($A137,数出表_Excel!$A$6:$T$150,COLUMN()/2+1,FALSE)=0,"",VLOOKUP($A137,数出表_Excel!$A$6:$T$150,COLUMN()/2+1,FALSE))),"")</f>
        <v/>
      </c>
      <c r="U137" s="142"/>
      <c r="V137" s="146" t="str">
        <f ca="1">IFERROR(VALUE(IF(VLOOKUP($A137,数出表_Excel!$A$6:$T$150,COLUMN()/2+1,FALSE)=0,"",VLOOKUP($A137,数出表_Excel!$A$6:$T$150,COLUMN()/2+1,FALSE))),"")</f>
        <v/>
      </c>
      <c r="W137" s="142"/>
      <c r="X137" s="146" t="str">
        <f ca="1">IFERROR(VALUE(IF(VLOOKUP($A137,数出表_Excel!$A$6:$T$150,COLUMN()/2+1,FALSE)=0,"",VLOOKUP($A137,数出表_Excel!$A$6:$T$150,COLUMN()/2+1,FALSE))),"")</f>
        <v/>
      </c>
      <c r="Y137" s="142"/>
      <c r="Z137" s="146" t="str">
        <f ca="1">IFERROR(VALUE(IF(VLOOKUP($A137,数出表_Excel!$A$6:$T$150,COLUMN()/2+1,FALSE)=0,"",VLOOKUP($A137,数出表_Excel!$A$6:$T$150,COLUMN()/2+1,FALSE))),"")</f>
        <v/>
      </c>
      <c r="AA137" s="209"/>
      <c r="AB137" s="147" t="str">
        <f ca="1">IFERROR(VALUE(IF(VLOOKUP($A137,数出表_Excel!$A$6:$T$150,COLUMN()/2+1,FALSE)=0,"",VLOOKUP($A137,数出表_Excel!$A$6:$T$150,COLUMN()/2+1,FALSE))),"")</f>
        <v/>
      </c>
      <c r="AC137" s="142"/>
      <c r="AD137" s="146" t="str">
        <f ca="1">IFERROR(VALUE(IF(VLOOKUP($A137,数出表_Excel!$A$6:$T$150,COLUMN()/2+1,FALSE)=0,"",VLOOKUP($A137,数出表_Excel!$A$6:$T$150,COLUMN()/2+1,FALSE))),"")</f>
        <v/>
      </c>
      <c r="AE137" s="142"/>
      <c r="AF137" s="146" t="str">
        <f ca="1">IFERROR(VALUE(IF(VLOOKUP($A137,数出表_Excel!$A$6:$T$150,COLUMN()/2+1,FALSE)=0,"",VLOOKUP($A137,数出表_Excel!$A$6:$T$150,COLUMN()/2+1,FALSE))),"")</f>
        <v/>
      </c>
      <c r="AG137" s="142"/>
      <c r="AH137" s="146" t="str">
        <f ca="1">IFERROR(VALUE(IF(VLOOKUP($A137,数出表_Excel!$A$6:$T$150,COLUMN()/2+1,FALSE)=0,"",VLOOKUP($A137,数出表_Excel!$A$6:$T$150,COLUMN()/2+1,FALSE))),"")</f>
        <v/>
      </c>
      <c r="AI137" s="209"/>
      <c r="AJ137" s="147" t="str">
        <f ca="1">IFERROR(VALUE(IF(VLOOKUP($A137,数出表_Excel!$A$6:$T$150,COLUMN()/2+1,FALSE)=0,"",VLOOKUP($A137,数出表_Excel!$A$6:$T$150,COLUMN()/2+1,FALSE))),"")</f>
        <v/>
      </c>
      <c r="AK137" s="142"/>
      <c r="AL137" s="148" t="e">
        <f ca="1">IF(A137&lt;&gt;"",
IF(VLOOKUP($A137,数出表_Excel!$A$6:$T$150,COLUMN()/2+1,FALSE)=0,"",VLOOKUP($A137,数出表_Excel!$A$6:$T$150,COLUMN()/2+1,FALSE)),"")</f>
        <v>#N/A</v>
      </c>
      <c r="AM137" s="263">
        <f>数出表_Excel!V137</f>
        <v>0</v>
      </c>
      <c r="AN137" s="264">
        <f>数出表_Excel!W137</f>
        <v>0</v>
      </c>
    </row>
    <row r="138" spans="1:40" ht="16.2" customHeight="1" x14ac:dyDescent="0.45">
      <c r="A138" s="219" t="str">
        <f t="array" aca="1" ref="A138" ca="1">IF(OR(COUNTIF(A136,"*10002*"),COUNTIF(A136,"")),"",INDEX(貼り付け用!$A:$A,MATCH(A136,貼り付け用!$A:$A,0)+2,0))</f>
        <v>10002</v>
      </c>
      <c r="B138" s="204" t="str">
        <f ca="1">IFERROR(VALUE(IF(VLOOKUP($A138,数出表_Excel!$A$6:$T$150,COLUMN()/2+1,FALSE)=0,"",VLOOKUP($A138,数出表_Excel!$A$6:$T$150,COLUMN()/2+1,FALSE))),"")</f>
        <v/>
      </c>
      <c r="C138" s="141"/>
      <c r="D138" s="204" t="str">
        <f ca="1">IFERROR(VALUE(IF(VLOOKUP($A138,数出表_Excel!$A$6:$T$150,COLUMN()/2+1,FALSE)=0,"",VLOOKUP($A138,数出表_Excel!$A$6:$T$150,COLUMN()/2+1,FALSE))),"")</f>
        <v/>
      </c>
      <c r="E138" s="141"/>
      <c r="F138" s="207" t="str">
        <f ca="1">IFERROR(VALUE(IF(VLOOKUP($A138,数出表_Excel!$A$6:$T$150,COLUMN()/2+1,FALSE)=0,"",VLOOKUP($A138,数出表_Excel!$A$6:$T$150,COLUMN()/2+1,FALSE))),"")</f>
        <v/>
      </c>
      <c r="G138" s="141"/>
      <c r="H138" s="204" t="str">
        <f ca="1">IFERROR(VALUE(IF(VLOOKUP($A138,数出表_Excel!$A$6:$T$150,COLUMN()/2+1,FALSE)=0,"",VLOOKUP($A138,数出表_Excel!$A$6:$T$150,COLUMN()/2+1,FALSE))),"")</f>
        <v/>
      </c>
      <c r="I138" s="141"/>
      <c r="J138" s="204" t="str">
        <f ca="1">IFERROR(VALUE(IF(VLOOKUP($A138,数出表_Excel!$A$6:$T$150,COLUMN()/2+1,FALSE)=0,"",VLOOKUP($A138,数出表_Excel!$A$6:$T$150,COLUMN()/2+1,FALSE))),"")</f>
        <v/>
      </c>
      <c r="K138" s="208"/>
      <c r="L138" s="205" t="str">
        <f ca="1">IFERROR(VALUE(IF(VLOOKUP($A138,数出表_Excel!$A$6:$T$150,COLUMN()/2+1,FALSE)=0,"",VLOOKUP($A138,数出表_Excel!$A$6:$T$150,COLUMN()/2+1,FALSE))),"")</f>
        <v/>
      </c>
      <c r="M138" s="141"/>
      <c r="N138" s="204" t="str">
        <f ca="1">IFERROR(VALUE(IF(VLOOKUP($A138,数出表_Excel!$A$6:$T$150,COLUMN()/2+1,FALSE)=0,"",VLOOKUP($A138,数出表_Excel!$A$6:$T$150,COLUMN()/2+1,FALSE))),"")</f>
        <v/>
      </c>
      <c r="O138" s="141"/>
      <c r="P138" s="204" t="str">
        <f ca="1">IFERROR(VALUE(IF(VLOOKUP($A138,数出表_Excel!$A$6:$T$150,COLUMN()/2+1,FALSE)=0,"",VLOOKUP($A138,数出表_Excel!$A$6:$T$150,COLUMN()/2+1,FALSE))),"")</f>
        <v/>
      </c>
      <c r="Q138" s="141"/>
      <c r="R138" s="204" t="str">
        <f ca="1">IFERROR(VALUE(IF(VLOOKUP($A138,数出表_Excel!$A$6:$T$150,COLUMN()/2+1,FALSE)=0,"",VLOOKUP($A138,数出表_Excel!$A$6:$T$150,COLUMN()/2+1,FALSE))),"")</f>
        <v/>
      </c>
      <c r="S138" s="141"/>
      <c r="T138" s="204" t="str">
        <f ca="1">IFERROR(VALUE(IF(VLOOKUP($A138,数出表_Excel!$A$6:$T$150,COLUMN()/2+1,FALSE)=0,"",VLOOKUP($A138,数出表_Excel!$A$6:$T$150,COLUMN()/2+1,FALSE))),"")</f>
        <v/>
      </c>
      <c r="U138" s="141"/>
      <c r="V138" s="207" t="str">
        <f ca="1">IFERROR(VALUE(IF(VLOOKUP($A138,数出表_Excel!$A$6:$T$150,COLUMN()/2+1,FALSE)=0,"",VLOOKUP($A138,数出表_Excel!$A$6:$T$150,COLUMN()/2+1,FALSE))),"")</f>
        <v/>
      </c>
      <c r="W138" s="141"/>
      <c r="X138" s="207" t="str">
        <f ca="1">IFERROR(VALUE(IF(VLOOKUP($A138,数出表_Excel!$A$6:$T$150,COLUMN()/2+1,FALSE)=0,"",VLOOKUP($A138,数出表_Excel!$A$6:$T$150,COLUMN()/2+1,FALSE))),"")</f>
        <v/>
      </c>
      <c r="Y138" s="141"/>
      <c r="Z138" s="207" t="str">
        <f ca="1">IFERROR(VALUE(IF(VLOOKUP($A138,数出表_Excel!$A$6:$T$150,COLUMN()/2+1,FALSE)=0,"",VLOOKUP($A138,数出表_Excel!$A$6:$T$150,COLUMN()/2+1,FALSE))),"")</f>
        <v/>
      </c>
      <c r="AA138" s="208"/>
      <c r="AB138" s="205" t="str">
        <f ca="1">IFERROR(VALUE(IF(VLOOKUP($A138,数出表_Excel!$A$6:$T$150,COLUMN()/2+1,FALSE)=0,"",VLOOKUP($A138,数出表_Excel!$A$6:$T$150,COLUMN()/2+1,FALSE))),"")</f>
        <v/>
      </c>
      <c r="AC138" s="141"/>
      <c r="AD138" s="207" t="str">
        <f ca="1">IFERROR(VALUE(IF(VLOOKUP($A138,数出表_Excel!$A$6:$T$150,COLUMN()/2+1,FALSE)=0,"",VLOOKUP($A138,数出表_Excel!$A$6:$T$150,COLUMN()/2+1,FALSE))),"")</f>
        <v/>
      </c>
      <c r="AE138" s="141"/>
      <c r="AF138" s="207" t="str">
        <f ca="1">IFERROR(VALUE(IF(VLOOKUP($A138,数出表_Excel!$A$6:$T$150,COLUMN()/2+1,FALSE)=0,"",VLOOKUP($A138,数出表_Excel!$A$6:$T$150,COLUMN()/2+1,FALSE))),"")</f>
        <v/>
      </c>
      <c r="AG138" s="141"/>
      <c r="AH138" s="207" t="str">
        <f ca="1">IFERROR(VALUE(IF(VLOOKUP($A138,数出表_Excel!$A$6:$T$150,COLUMN()/2+1,FALSE)=0,"",VLOOKUP($A138,数出表_Excel!$A$6:$T$150,COLUMN()/2+1,FALSE))),"")</f>
        <v/>
      </c>
      <c r="AI138" s="208"/>
      <c r="AJ138" s="205" t="str">
        <f ca="1">IFERROR(VALUE(IF(VLOOKUP($A138,数出表_Excel!$A$6:$T$150,COLUMN()/2+1,FALSE)=0,"",VLOOKUP($A138,数出表_Excel!$A$6:$T$150,COLUMN()/2+1,FALSE))),"")</f>
        <v/>
      </c>
      <c r="AK138" s="141"/>
      <c r="AL138" s="145" t="e">
        <f ca="1">IF(A138&lt;&gt;"",
IF(VLOOKUP($A138,数出表_Excel!$A$6:$T$150,COLUMN()/2+1,FALSE)=0,"",VLOOKUP($A138,数出表_Excel!$A$6:$T$150,COLUMN()/2+1,FALSE)),"")</f>
        <v>#N/A</v>
      </c>
      <c r="AM138" s="261">
        <f>数出表_Excel!V138</f>
        <v>0</v>
      </c>
      <c r="AN138" s="262">
        <f>数出表_Excel!W138</f>
        <v>0</v>
      </c>
    </row>
    <row r="139" spans="1:40" ht="16.2" customHeight="1" x14ac:dyDescent="0.45">
      <c r="A139" s="220" t="str">
        <f t="array" aca="1" ref="A139" ca="1">IF(OR(COUNTIF(A137,"*1000*"),COUNTIF(A137,"")),"",INDEX(貼り付け用!$A:$A,MATCH(A137,貼り付け用!$A:$A,0)+2,0))</f>
        <v/>
      </c>
      <c r="B139" s="142" t="str">
        <f ca="1">IFERROR(VALUE(IF(VLOOKUP($A139,数出表_Excel!$A$6:$T$150,COLUMN()/2+1,FALSE)=0,"",VLOOKUP($A139,数出表_Excel!$A$6:$T$150,COLUMN()/2+1,FALSE))),"")</f>
        <v/>
      </c>
      <c r="C139" s="142"/>
      <c r="D139" s="142" t="str">
        <f ca="1">IFERROR(VALUE(IF(VLOOKUP($A139,数出表_Excel!$A$6:$T$150,COLUMN()/2+1,FALSE)=0,"",VLOOKUP($A139,数出表_Excel!$A$6:$T$150,COLUMN()/2+1,FALSE))),"")</f>
        <v/>
      </c>
      <c r="E139" s="142"/>
      <c r="F139" s="146" t="str">
        <f ca="1">IFERROR(VALUE(IF(VLOOKUP($A139,数出表_Excel!$A$6:$T$150,COLUMN()/2+1,FALSE)=0,"",VLOOKUP($A139,数出表_Excel!$A$6:$T$150,COLUMN()/2+1,FALSE))),"")</f>
        <v/>
      </c>
      <c r="G139" s="142"/>
      <c r="H139" s="142" t="str">
        <f ca="1">IFERROR(VALUE(IF(VLOOKUP($A139,数出表_Excel!$A$6:$T$150,COLUMN()/2+1,FALSE)=0,"",VLOOKUP($A139,数出表_Excel!$A$6:$T$150,COLUMN()/2+1,FALSE))),"")</f>
        <v/>
      </c>
      <c r="I139" s="142"/>
      <c r="J139" s="142" t="str">
        <f ca="1">IFERROR(VALUE(IF(VLOOKUP($A139,数出表_Excel!$A$6:$T$150,COLUMN()/2+1,FALSE)=0,"",VLOOKUP($A139,数出表_Excel!$A$6:$T$150,COLUMN()/2+1,FALSE))),"")</f>
        <v/>
      </c>
      <c r="K139" s="209"/>
      <c r="L139" s="147" t="str">
        <f ca="1">IFERROR(VALUE(IF(VLOOKUP($A139,数出表_Excel!$A$6:$T$150,COLUMN()/2+1,FALSE)=0,"",VLOOKUP($A139,数出表_Excel!$A$6:$T$150,COLUMN()/2+1,FALSE))),"")</f>
        <v/>
      </c>
      <c r="M139" s="142"/>
      <c r="N139" s="142" t="str">
        <f ca="1">IFERROR(VALUE(IF(VLOOKUP($A139,数出表_Excel!$A$6:$T$150,COLUMN()/2+1,FALSE)=0,"",VLOOKUP($A139,数出表_Excel!$A$6:$T$150,COLUMN()/2+1,FALSE))),"")</f>
        <v/>
      </c>
      <c r="O139" s="142"/>
      <c r="P139" s="142" t="str">
        <f ca="1">IFERROR(VALUE(IF(VLOOKUP($A139,数出表_Excel!$A$6:$T$150,COLUMN()/2+1,FALSE)=0,"",VLOOKUP($A139,数出表_Excel!$A$6:$T$150,COLUMN()/2+1,FALSE))),"")</f>
        <v/>
      </c>
      <c r="Q139" s="142"/>
      <c r="R139" s="142" t="str">
        <f ca="1">IFERROR(VALUE(IF(VLOOKUP($A139,数出表_Excel!$A$6:$T$150,COLUMN()/2+1,FALSE)=0,"",VLOOKUP($A139,数出表_Excel!$A$6:$T$150,COLUMN()/2+1,FALSE))),"")</f>
        <v/>
      </c>
      <c r="S139" s="142"/>
      <c r="T139" s="142" t="str">
        <f ca="1">IFERROR(VALUE(IF(VLOOKUP($A139,数出表_Excel!$A$6:$T$150,COLUMN()/2+1,FALSE)=0,"",VLOOKUP($A139,数出表_Excel!$A$6:$T$150,COLUMN()/2+1,FALSE))),"")</f>
        <v/>
      </c>
      <c r="U139" s="142"/>
      <c r="V139" s="146" t="str">
        <f ca="1">IFERROR(VALUE(IF(VLOOKUP($A139,数出表_Excel!$A$6:$T$150,COLUMN()/2+1,FALSE)=0,"",VLOOKUP($A139,数出表_Excel!$A$6:$T$150,COLUMN()/2+1,FALSE))),"")</f>
        <v/>
      </c>
      <c r="W139" s="142"/>
      <c r="X139" s="146" t="str">
        <f ca="1">IFERROR(VALUE(IF(VLOOKUP($A139,数出表_Excel!$A$6:$T$150,COLUMN()/2+1,FALSE)=0,"",VLOOKUP($A139,数出表_Excel!$A$6:$T$150,COLUMN()/2+1,FALSE))),"")</f>
        <v/>
      </c>
      <c r="Y139" s="142"/>
      <c r="Z139" s="146" t="str">
        <f ca="1">IFERROR(VALUE(IF(VLOOKUP($A139,数出表_Excel!$A$6:$T$150,COLUMN()/2+1,FALSE)=0,"",VLOOKUP($A139,数出表_Excel!$A$6:$T$150,COLUMN()/2+1,FALSE))),"")</f>
        <v/>
      </c>
      <c r="AA139" s="209"/>
      <c r="AB139" s="147" t="str">
        <f ca="1">IFERROR(VALUE(IF(VLOOKUP($A139,数出表_Excel!$A$6:$T$150,COLUMN()/2+1,FALSE)=0,"",VLOOKUP($A139,数出表_Excel!$A$6:$T$150,COLUMN()/2+1,FALSE))),"")</f>
        <v/>
      </c>
      <c r="AC139" s="142"/>
      <c r="AD139" s="146" t="str">
        <f ca="1">IFERROR(VALUE(IF(VLOOKUP($A139,数出表_Excel!$A$6:$T$150,COLUMN()/2+1,FALSE)=0,"",VLOOKUP($A139,数出表_Excel!$A$6:$T$150,COLUMN()/2+1,FALSE))),"")</f>
        <v/>
      </c>
      <c r="AE139" s="142"/>
      <c r="AF139" s="146" t="str">
        <f ca="1">IFERROR(VALUE(IF(VLOOKUP($A139,数出表_Excel!$A$6:$T$150,COLUMN()/2+1,FALSE)=0,"",VLOOKUP($A139,数出表_Excel!$A$6:$T$150,COLUMN()/2+1,FALSE))),"")</f>
        <v/>
      </c>
      <c r="AG139" s="142"/>
      <c r="AH139" s="146" t="str">
        <f ca="1">IFERROR(VALUE(IF(VLOOKUP($A139,数出表_Excel!$A$6:$T$150,COLUMN()/2+1,FALSE)=0,"",VLOOKUP($A139,数出表_Excel!$A$6:$T$150,COLUMN()/2+1,FALSE))),"")</f>
        <v/>
      </c>
      <c r="AI139" s="209"/>
      <c r="AJ139" s="147" t="str">
        <f ca="1">IFERROR(VALUE(IF(VLOOKUP($A139,数出表_Excel!$A$6:$T$150,COLUMN()/2+1,FALSE)=0,"",VLOOKUP($A139,数出表_Excel!$A$6:$T$150,COLUMN()/2+1,FALSE))),"")</f>
        <v/>
      </c>
      <c r="AK139" s="142"/>
      <c r="AL139" s="148" t="str">
        <f ca="1">IF(A139&lt;&gt;"",
IF(VLOOKUP($A139,数出表_Excel!$A$6:$T$150,COLUMN()/2+1,FALSE)=0,"",VLOOKUP($A139,数出表_Excel!$A$6:$T$150,COLUMN()/2+1,FALSE)),"")</f>
        <v/>
      </c>
      <c r="AM139" s="263">
        <f>数出表_Excel!V139</f>
        <v>0</v>
      </c>
      <c r="AN139" s="264">
        <f>数出表_Excel!W139</f>
        <v>0</v>
      </c>
    </row>
    <row r="140" spans="1:40" ht="16.2" customHeight="1" x14ac:dyDescent="0.45">
      <c r="A140" s="219" t="str">
        <f t="array" aca="1" ref="A140" ca="1">IF(OR(COUNTIF(A138,"*10002*"),COUNTIF(A138,"")),"",INDEX(貼り付け用!$A:$A,MATCH(A138,貼り付け用!$A:$A,0)+2,0))</f>
        <v/>
      </c>
      <c r="B140" s="204" t="str">
        <f ca="1">IFERROR(VALUE(IF(VLOOKUP($A140,数出表_Excel!$A$6:$T$150,COLUMN()/2+1,FALSE)=0,"",VLOOKUP($A140,数出表_Excel!$A$6:$T$150,COLUMN()/2+1,FALSE))),"")</f>
        <v/>
      </c>
      <c r="C140" s="141"/>
      <c r="D140" s="204" t="str">
        <f ca="1">IFERROR(VALUE(IF(VLOOKUP($A140,数出表_Excel!$A$6:$T$150,COLUMN()/2+1,FALSE)=0,"",VLOOKUP($A140,数出表_Excel!$A$6:$T$150,COLUMN()/2+1,FALSE))),"")</f>
        <v/>
      </c>
      <c r="E140" s="141"/>
      <c r="F140" s="207" t="str">
        <f ca="1">IFERROR(VALUE(IF(VLOOKUP($A140,数出表_Excel!$A$6:$T$150,COLUMN()/2+1,FALSE)=0,"",VLOOKUP($A140,数出表_Excel!$A$6:$T$150,COLUMN()/2+1,FALSE))),"")</f>
        <v/>
      </c>
      <c r="G140" s="141"/>
      <c r="H140" s="204" t="str">
        <f ca="1">IFERROR(VALUE(IF(VLOOKUP($A140,数出表_Excel!$A$6:$T$150,COLUMN()/2+1,FALSE)=0,"",VLOOKUP($A140,数出表_Excel!$A$6:$T$150,COLUMN()/2+1,FALSE))),"")</f>
        <v/>
      </c>
      <c r="I140" s="141"/>
      <c r="J140" s="204" t="str">
        <f ca="1">IFERROR(VALUE(IF(VLOOKUP($A140,数出表_Excel!$A$6:$T$150,COLUMN()/2+1,FALSE)=0,"",VLOOKUP($A140,数出表_Excel!$A$6:$T$150,COLUMN()/2+1,FALSE))),"")</f>
        <v/>
      </c>
      <c r="K140" s="208"/>
      <c r="L140" s="205" t="str">
        <f ca="1">IFERROR(VALUE(IF(VLOOKUP($A140,数出表_Excel!$A$6:$T$150,COLUMN()/2+1,FALSE)=0,"",VLOOKUP($A140,数出表_Excel!$A$6:$T$150,COLUMN()/2+1,FALSE))),"")</f>
        <v/>
      </c>
      <c r="M140" s="141"/>
      <c r="N140" s="204" t="str">
        <f ca="1">IFERROR(VALUE(IF(VLOOKUP($A140,数出表_Excel!$A$6:$T$150,COLUMN()/2+1,FALSE)=0,"",VLOOKUP($A140,数出表_Excel!$A$6:$T$150,COLUMN()/2+1,FALSE))),"")</f>
        <v/>
      </c>
      <c r="O140" s="141"/>
      <c r="P140" s="204" t="str">
        <f ca="1">IFERROR(VALUE(IF(VLOOKUP($A140,数出表_Excel!$A$6:$T$150,COLUMN()/2+1,FALSE)=0,"",VLOOKUP($A140,数出表_Excel!$A$6:$T$150,COLUMN()/2+1,FALSE))),"")</f>
        <v/>
      </c>
      <c r="Q140" s="141"/>
      <c r="R140" s="204" t="str">
        <f ca="1">IFERROR(VALUE(IF(VLOOKUP($A140,数出表_Excel!$A$6:$T$150,COLUMN()/2+1,FALSE)=0,"",VLOOKUP($A140,数出表_Excel!$A$6:$T$150,COLUMN()/2+1,FALSE))),"")</f>
        <v/>
      </c>
      <c r="S140" s="141"/>
      <c r="T140" s="204" t="str">
        <f ca="1">IFERROR(VALUE(IF(VLOOKUP($A140,数出表_Excel!$A$6:$T$150,COLUMN()/2+1,FALSE)=0,"",VLOOKUP($A140,数出表_Excel!$A$6:$T$150,COLUMN()/2+1,FALSE))),"")</f>
        <v/>
      </c>
      <c r="U140" s="141"/>
      <c r="V140" s="207" t="str">
        <f ca="1">IFERROR(VALUE(IF(VLOOKUP($A140,数出表_Excel!$A$6:$T$150,COLUMN()/2+1,FALSE)=0,"",VLOOKUP($A140,数出表_Excel!$A$6:$T$150,COLUMN()/2+1,FALSE))),"")</f>
        <v/>
      </c>
      <c r="W140" s="141"/>
      <c r="X140" s="207" t="str">
        <f ca="1">IFERROR(VALUE(IF(VLOOKUP($A140,数出表_Excel!$A$6:$T$150,COLUMN()/2+1,FALSE)=0,"",VLOOKUP($A140,数出表_Excel!$A$6:$T$150,COLUMN()/2+1,FALSE))),"")</f>
        <v/>
      </c>
      <c r="Y140" s="141"/>
      <c r="Z140" s="207" t="str">
        <f ca="1">IFERROR(VALUE(IF(VLOOKUP($A140,数出表_Excel!$A$6:$T$150,COLUMN()/2+1,FALSE)=0,"",VLOOKUP($A140,数出表_Excel!$A$6:$T$150,COLUMN()/2+1,FALSE))),"")</f>
        <v/>
      </c>
      <c r="AA140" s="208"/>
      <c r="AB140" s="205" t="str">
        <f ca="1">IFERROR(VALUE(IF(VLOOKUP($A140,数出表_Excel!$A$6:$T$150,COLUMN()/2+1,FALSE)=0,"",VLOOKUP($A140,数出表_Excel!$A$6:$T$150,COLUMN()/2+1,FALSE))),"")</f>
        <v/>
      </c>
      <c r="AC140" s="141"/>
      <c r="AD140" s="207" t="str">
        <f ca="1">IFERROR(VALUE(IF(VLOOKUP($A140,数出表_Excel!$A$6:$T$150,COLUMN()/2+1,FALSE)=0,"",VLOOKUP($A140,数出表_Excel!$A$6:$T$150,COLUMN()/2+1,FALSE))),"")</f>
        <v/>
      </c>
      <c r="AE140" s="141"/>
      <c r="AF140" s="207" t="str">
        <f ca="1">IFERROR(VALUE(IF(VLOOKUP($A140,数出表_Excel!$A$6:$T$150,COLUMN()/2+1,FALSE)=0,"",VLOOKUP($A140,数出表_Excel!$A$6:$T$150,COLUMN()/2+1,FALSE))),"")</f>
        <v/>
      </c>
      <c r="AG140" s="141"/>
      <c r="AH140" s="207" t="str">
        <f ca="1">IFERROR(VALUE(IF(VLOOKUP($A140,数出表_Excel!$A$6:$T$150,COLUMN()/2+1,FALSE)=0,"",VLOOKUP($A140,数出表_Excel!$A$6:$T$150,COLUMN()/2+1,FALSE))),"")</f>
        <v/>
      </c>
      <c r="AI140" s="208"/>
      <c r="AJ140" s="205" t="str">
        <f ca="1">IFERROR(VALUE(IF(VLOOKUP($A140,数出表_Excel!$A$6:$T$150,COLUMN()/2+1,FALSE)=0,"",VLOOKUP($A140,数出表_Excel!$A$6:$T$150,COLUMN()/2+1,FALSE))),"")</f>
        <v/>
      </c>
      <c r="AK140" s="141"/>
      <c r="AL140" s="145" t="str">
        <f ca="1">IF(A140&lt;&gt;"",
IF(VLOOKUP($A140,数出表_Excel!$A$6:$T$150,COLUMN()/2+1,FALSE)=0,"",VLOOKUP($A140,数出表_Excel!$A$6:$T$150,COLUMN()/2+1,FALSE)),"")</f>
        <v/>
      </c>
      <c r="AM140" s="261">
        <f>数出表_Excel!V140</f>
        <v>0</v>
      </c>
      <c r="AN140" s="262">
        <f>数出表_Excel!W140</f>
        <v>0</v>
      </c>
    </row>
    <row r="141" spans="1:40" ht="16.2" customHeight="1" x14ac:dyDescent="0.45">
      <c r="A141" s="220" t="str">
        <f t="array" aca="1" ref="A141" ca="1">IF(OR(COUNTIF(A139,"*1000*"),COUNTIF(A139,"")),"",INDEX(貼り付け用!$A:$A,MATCH(A139,貼り付け用!$A:$A,0)+2,0))</f>
        <v/>
      </c>
      <c r="B141" s="142" t="str">
        <f ca="1">IFERROR(VALUE(IF(VLOOKUP($A141,数出表_Excel!$A$6:$T$150,COLUMN()/2+1,FALSE)=0,"",VLOOKUP($A141,数出表_Excel!$A$6:$T$150,COLUMN()/2+1,FALSE))),"")</f>
        <v/>
      </c>
      <c r="C141" s="142"/>
      <c r="D141" s="142" t="str">
        <f ca="1">IFERROR(VALUE(IF(VLOOKUP($A141,数出表_Excel!$A$6:$T$150,COLUMN()/2+1,FALSE)=0,"",VLOOKUP($A141,数出表_Excel!$A$6:$T$150,COLUMN()/2+1,FALSE))),"")</f>
        <v/>
      </c>
      <c r="E141" s="142"/>
      <c r="F141" s="146" t="str">
        <f ca="1">IFERROR(VALUE(IF(VLOOKUP($A141,数出表_Excel!$A$6:$T$150,COLUMN()/2+1,FALSE)=0,"",VLOOKUP($A141,数出表_Excel!$A$6:$T$150,COLUMN()/2+1,FALSE))),"")</f>
        <v/>
      </c>
      <c r="G141" s="142"/>
      <c r="H141" s="142" t="str">
        <f ca="1">IFERROR(VALUE(IF(VLOOKUP($A141,数出表_Excel!$A$6:$T$150,COLUMN()/2+1,FALSE)=0,"",VLOOKUP($A141,数出表_Excel!$A$6:$T$150,COLUMN()/2+1,FALSE))),"")</f>
        <v/>
      </c>
      <c r="I141" s="142"/>
      <c r="J141" s="142" t="str">
        <f ca="1">IFERROR(VALUE(IF(VLOOKUP($A141,数出表_Excel!$A$6:$T$150,COLUMN()/2+1,FALSE)=0,"",VLOOKUP($A141,数出表_Excel!$A$6:$T$150,COLUMN()/2+1,FALSE))),"")</f>
        <v/>
      </c>
      <c r="K141" s="209"/>
      <c r="L141" s="147" t="str">
        <f ca="1">IFERROR(VALUE(IF(VLOOKUP($A141,数出表_Excel!$A$6:$T$150,COLUMN()/2+1,FALSE)=0,"",VLOOKUP($A141,数出表_Excel!$A$6:$T$150,COLUMN()/2+1,FALSE))),"")</f>
        <v/>
      </c>
      <c r="M141" s="142"/>
      <c r="N141" s="142" t="str">
        <f ca="1">IFERROR(VALUE(IF(VLOOKUP($A141,数出表_Excel!$A$6:$T$150,COLUMN()/2+1,FALSE)=0,"",VLOOKUP($A141,数出表_Excel!$A$6:$T$150,COLUMN()/2+1,FALSE))),"")</f>
        <v/>
      </c>
      <c r="O141" s="142"/>
      <c r="P141" s="142" t="str">
        <f ca="1">IFERROR(VALUE(IF(VLOOKUP($A141,数出表_Excel!$A$6:$T$150,COLUMN()/2+1,FALSE)=0,"",VLOOKUP($A141,数出表_Excel!$A$6:$T$150,COLUMN()/2+1,FALSE))),"")</f>
        <v/>
      </c>
      <c r="Q141" s="142"/>
      <c r="R141" s="142" t="str">
        <f ca="1">IFERROR(VALUE(IF(VLOOKUP($A141,数出表_Excel!$A$6:$T$150,COLUMN()/2+1,FALSE)=0,"",VLOOKUP($A141,数出表_Excel!$A$6:$T$150,COLUMN()/2+1,FALSE))),"")</f>
        <v/>
      </c>
      <c r="S141" s="142"/>
      <c r="T141" s="142" t="str">
        <f ca="1">IFERROR(VALUE(IF(VLOOKUP($A141,数出表_Excel!$A$6:$T$150,COLUMN()/2+1,FALSE)=0,"",VLOOKUP($A141,数出表_Excel!$A$6:$T$150,COLUMN()/2+1,FALSE))),"")</f>
        <v/>
      </c>
      <c r="U141" s="142"/>
      <c r="V141" s="146" t="str">
        <f ca="1">IFERROR(VALUE(IF(VLOOKUP($A141,数出表_Excel!$A$6:$T$150,COLUMN()/2+1,FALSE)=0,"",VLOOKUP($A141,数出表_Excel!$A$6:$T$150,COLUMN()/2+1,FALSE))),"")</f>
        <v/>
      </c>
      <c r="W141" s="142"/>
      <c r="X141" s="146" t="str">
        <f ca="1">IFERROR(VALUE(IF(VLOOKUP($A141,数出表_Excel!$A$6:$T$150,COLUMN()/2+1,FALSE)=0,"",VLOOKUP($A141,数出表_Excel!$A$6:$T$150,COLUMN()/2+1,FALSE))),"")</f>
        <v/>
      </c>
      <c r="Y141" s="142"/>
      <c r="Z141" s="146" t="str">
        <f ca="1">IFERROR(VALUE(IF(VLOOKUP($A141,数出表_Excel!$A$6:$T$150,COLUMN()/2+1,FALSE)=0,"",VLOOKUP($A141,数出表_Excel!$A$6:$T$150,COLUMN()/2+1,FALSE))),"")</f>
        <v/>
      </c>
      <c r="AA141" s="209"/>
      <c r="AB141" s="147" t="str">
        <f ca="1">IFERROR(VALUE(IF(VLOOKUP($A141,数出表_Excel!$A$6:$T$150,COLUMN()/2+1,FALSE)=0,"",VLOOKUP($A141,数出表_Excel!$A$6:$T$150,COLUMN()/2+1,FALSE))),"")</f>
        <v/>
      </c>
      <c r="AC141" s="142"/>
      <c r="AD141" s="146" t="str">
        <f ca="1">IFERROR(VALUE(IF(VLOOKUP($A141,数出表_Excel!$A$6:$T$150,COLUMN()/2+1,FALSE)=0,"",VLOOKUP($A141,数出表_Excel!$A$6:$T$150,COLUMN()/2+1,FALSE))),"")</f>
        <v/>
      </c>
      <c r="AE141" s="142"/>
      <c r="AF141" s="146" t="str">
        <f ca="1">IFERROR(VALUE(IF(VLOOKUP($A141,数出表_Excel!$A$6:$T$150,COLUMN()/2+1,FALSE)=0,"",VLOOKUP($A141,数出表_Excel!$A$6:$T$150,COLUMN()/2+1,FALSE))),"")</f>
        <v/>
      </c>
      <c r="AG141" s="142"/>
      <c r="AH141" s="146" t="str">
        <f ca="1">IFERROR(VALUE(IF(VLOOKUP($A141,数出表_Excel!$A$6:$T$150,COLUMN()/2+1,FALSE)=0,"",VLOOKUP($A141,数出表_Excel!$A$6:$T$150,COLUMN()/2+1,FALSE))),"")</f>
        <v/>
      </c>
      <c r="AI141" s="209"/>
      <c r="AJ141" s="147" t="str">
        <f ca="1">IFERROR(VALUE(IF(VLOOKUP($A141,数出表_Excel!$A$6:$T$150,COLUMN()/2+1,FALSE)=0,"",VLOOKUP($A141,数出表_Excel!$A$6:$T$150,COLUMN()/2+1,FALSE))),"")</f>
        <v/>
      </c>
      <c r="AK141" s="142"/>
      <c r="AL141" s="148" t="str">
        <f ca="1">IF(A141&lt;&gt;"",
IF(VLOOKUP($A141,数出表_Excel!$A$6:$T$150,COLUMN()/2+1,FALSE)=0,"",VLOOKUP($A141,数出表_Excel!$A$6:$T$150,COLUMN()/2+1,FALSE)),"")</f>
        <v/>
      </c>
      <c r="AM141" s="263">
        <f>数出表_Excel!V141</f>
        <v>0</v>
      </c>
      <c r="AN141" s="264">
        <f>数出表_Excel!W141</f>
        <v>0</v>
      </c>
    </row>
    <row r="142" spans="1:40" ht="16.2" customHeight="1" x14ac:dyDescent="0.45">
      <c r="A142" s="219" t="str">
        <f t="array" aca="1" ref="A142" ca="1">IF(OR(COUNTIF(A140,"*10002*"),COUNTIF(A140,"")),"",INDEX(貼り付け用!$A:$A,MATCH(A140,貼り付け用!$A:$A,0)+2,0))</f>
        <v/>
      </c>
      <c r="B142" s="204" t="str">
        <f ca="1">IFERROR(VALUE(IF(VLOOKUP($A142,数出表_Excel!$A$6:$T$150,COLUMN()/2+1,FALSE)=0,"",VLOOKUP($A142,数出表_Excel!$A$6:$T$150,COLUMN()/2+1,FALSE))),"")</f>
        <v/>
      </c>
      <c r="C142" s="141"/>
      <c r="D142" s="204" t="str">
        <f ca="1">IFERROR(VALUE(IF(VLOOKUP($A142,数出表_Excel!$A$6:$T$150,COLUMN()/2+1,FALSE)=0,"",VLOOKUP($A142,数出表_Excel!$A$6:$T$150,COLUMN()/2+1,FALSE))),"")</f>
        <v/>
      </c>
      <c r="E142" s="141"/>
      <c r="F142" s="207" t="str">
        <f ca="1">IFERROR(VALUE(IF(VLOOKUP($A142,数出表_Excel!$A$6:$T$150,COLUMN()/2+1,FALSE)=0,"",VLOOKUP($A142,数出表_Excel!$A$6:$T$150,COLUMN()/2+1,FALSE))),"")</f>
        <v/>
      </c>
      <c r="G142" s="141"/>
      <c r="H142" s="204" t="str">
        <f ca="1">IFERROR(VALUE(IF(VLOOKUP($A142,数出表_Excel!$A$6:$T$150,COLUMN()/2+1,FALSE)=0,"",VLOOKUP($A142,数出表_Excel!$A$6:$T$150,COLUMN()/2+1,FALSE))),"")</f>
        <v/>
      </c>
      <c r="I142" s="141"/>
      <c r="J142" s="204" t="str">
        <f ca="1">IFERROR(VALUE(IF(VLOOKUP($A142,数出表_Excel!$A$6:$T$150,COLUMN()/2+1,FALSE)=0,"",VLOOKUP($A142,数出表_Excel!$A$6:$T$150,COLUMN()/2+1,FALSE))),"")</f>
        <v/>
      </c>
      <c r="K142" s="208"/>
      <c r="L142" s="205" t="str">
        <f ca="1">IFERROR(VALUE(IF(VLOOKUP($A142,数出表_Excel!$A$6:$T$150,COLUMN()/2+1,FALSE)=0,"",VLOOKUP($A142,数出表_Excel!$A$6:$T$150,COLUMN()/2+1,FALSE))),"")</f>
        <v/>
      </c>
      <c r="M142" s="141"/>
      <c r="N142" s="204" t="str">
        <f ca="1">IFERROR(VALUE(IF(VLOOKUP($A142,数出表_Excel!$A$6:$T$150,COLUMN()/2+1,FALSE)=0,"",VLOOKUP($A142,数出表_Excel!$A$6:$T$150,COLUMN()/2+1,FALSE))),"")</f>
        <v/>
      </c>
      <c r="O142" s="141"/>
      <c r="P142" s="204" t="str">
        <f ca="1">IFERROR(VALUE(IF(VLOOKUP($A142,数出表_Excel!$A$6:$T$150,COLUMN()/2+1,FALSE)=0,"",VLOOKUP($A142,数出表_Excel!$A$6:$T$150,COLUMN()/2+1,FALSE))),"")</f>
        <v/>
      </c>
      <c r="Q142" s="141"/>
      <c r="R142" s="204" t="str">
        <f ca="1">IFERROR(VALUE(IF(VLOOKUP($A142,数出表_Excel!$A$6:$T$150,COLUMN()/2+1,FALSE)=0,"",VLOOKUP($A142,数出表_Excel!$A$6:$T$150,COLUMN()/2+1,FALSE))),"")</f>
        <v/>
      </c>
      <c r="S142" s="141"/>
      <c r="T142" s="204" t="str">
        <f ca="1">IFERROR(VALUE(IF(VLOOKUP($A142,数出表_Excel!$A$6:$T$150,COLUMN()/2+1,FALSE)=0,"",VLOOKUP($A142,数出表_Excel!$A$6:$T$150,COLUMN()/2+1,FALSE))),"")</f>
        <v/>
      </c>
      <c r="U142" s="141"/>
      <c r="V142" s="207" t="str">
        <f ca="1">IFERROR(VALUE(IF(VLOOKUP($A142,数出表_Excel!$A$6:$T$150,COLUMN()/2+1,FALSE)=0,"",VLOOKUP($A142,数出表_Excel!$A$6:$T$150,COLUMN()/2+1,FALSE))),"")</f>
        <v/>
      </c>
      <c r="W142" s="141"/>
      <c r="X142" s="207" t="str">
        <f ca="1">IFERROR(VALUE(IF(VLOOKUP($A142,数出表_Excel!$A$6:$T$150,COLUMN()/2+1,FALSE)=0,"",VLOOKUP($A142,数出表_Excel!$A$6:$T$150,COLUMN()/2+1,FALSE))),"")</f>
        <v/>
      </c>
      <c r="Y142" s="141"/>
      <c r="Z142" s="207" t="str">
        <f ca="1">IFERROR(VALUE(IF(VLOOKUP($A142,数出表_Excel!$A$6:$T$150,COLUMN()/2+1,FALSE)=0,"",VLOOKUP($A142,数出表_Excel!$A$6:$T$150,COLUMN()/2+1,FALSE))),"")</f>
        <v/>
      </c>
      <c r="AA142" s="208"/>
      <c r="AB142" s="205" t="str">
        <f ca="1">IFERROR(VALUE(IF(VLOOKUP($A142,数出表_Excel!$A$6:$T$150,COLUMN()/2+1,FALSE)=0,"",VLOOKUP($A142,数出表_Excel!$A$6:$T$150,COLUMN()/2+1,FALSE))),"")</f>
        <v/>
      </c>
      <c r="AC142" s="141"/>
      <c r="AD142" s="207" t="str">
        <f ca="1">IFERROR(VALUE(IF(VLOOKUP($A142,数出表_Excel!$A$6:$T$150,COLUMN()/2+1,FALSE)=0,"",VLOOKUP($A142,数出表_Excel!$A$6:$T$150,COLUMN()/2+1,FALSE))),"")</f>
        <v/>
      </c>
      <c r="AE142" s="141"/>
      <c r="AF142" s="207" t="str">
        <f ca="1">IFERROR(VALUE(IF(VLOOKUP($A142,数出表_Excel!$A$6:$T$150,COLUMN()/2+1,FALSE)=0,"",VLOOKUP($A142,数出表_Excel!$A$6:$T$150,COLUMN()/2+1,FALSE))),"")</f>
        <v/>
      </c>
      <c r="AG142" s="141"/>
      <c r="AH142" s="207" t="str">
        <f ca="1">IFERROR(VALUE(IF(VLOOKUP($A142,数出表_Excel!$A$6:$T$150,COLUMN()/2+1,FALSE)=0,"",VLOOKUP($A142,数出表_Excel!$A$6:$T$150,COLUMN()/2+1,FALSE))),"")</f>
        <v/>
      </c>
      <c r="AI142" s="208"/>
      <c r="AJ142" s="205" t="str">
        <f ca="1">IFERROR(VALUE(IF(VLOOKUP($A142,数出表_Excel!$A$6:$T$150,COLUMN()/2+1,FALSE)=0,"",VLOOKUP($A142,数出表_Excel!$A$6:$T$150,COLUMN()/2+1,FALSE))),"")</f>
        <v/>
      </c>
      <c r="AK142" s="141"/>
      <c r="AL142" s="145" t="str">
        <f ca="1">IF(A142&lt;&gt;"",
IF(VLOOKUP($A142,数出表_Excel!$A$6:$T$150,COLUMN()/2+1,FALSE)=0,"",VLOOKUP($A142,数出表_Excel!$A$6:$T$150,COLUMN()/2+1,FALSE)),"")</f>
        <v/>
      </c>
      <c r="AM142" s="261">
        <f>数出表_Excel!V142</f>
        <v>0</v>
      </c>
      <c r="AN142" s="262">
        <f>数出表_Excel!W142</f>
        <v>0</v>
      </c>
    </row>
    <row r="143" spans="1:40" ht="16.2" customHeight="1" x14ac:dyDescent="0.45">
      <c r="A143" s="220" t="str">
        <f t="array" aca="1" ref="A143" ca="1">IF(OR(COUNTIF(A141,"*1000*"),COUNTIF(A141,"")),"",INDEX(貼り付け用!$A:$A,MATCH(A141,貼り付け用!$A:$A,0)+2,0))</f>
        <v/>
      </c>
      <c r="B143" s="142" t="str">
        <f ca="1">IFERROR(VALUE(IF(VLOOKUP($A143,数出表_Excel!$A$6:$T$150,COLUMN()/2+1,FALSE)=0,"",VLOOKUP($A143,数出表_Excel!$A$6:$T$150,COLUMN()/2+1,FALSE))),"")</f>
        <v/>
      </c>
      <c r="C143" s="142"/>
      <c r="D143" s="142" t="str">
        <f ca="1">IFERROR(VALUE(IF(VLOOKUP($A143,数出表_Excel!$A$6:$T$150,COLUMN()/2+1,FALSE)=0,"",VLOOKUP($A143,数出表_Excel!$A$6:$T$150,COLUMN()/2+1,FALSE))),"")</f>
        <v/>
      </c>
      <c r="E143" s="142"/>
      <c r="F143" s="146" t="str">
        <f ca="1">IFERROR(VALUE(IF(VLOOKUP($A143,数出表_Excel!$A$6:$T$150,COLUMN()/2+1,FALSE)=0,"",VLOOKUP($A143,数出表_Excel!$A$6:$T$150,COLUMN()/2+1,FALSE))),"")</f>
        <v/>
      </c>
      <c r="G143" s="142"/>
      <c r="H143" s="142" t="str">
        <f ca="1">IFERROR(VALUE(IF(VLOOKUP($A143,数出表_Excel!$A$6:$T$150,COLUMN()/2+1,FALSE)=0,"",VLOOKUP($A143,数出表_Excel!$A$6:$T$150,COLUMN()/2+1,FALSE))),"")</f>
        <v/>
      </c>
      <c r="I143" s="142"/>
      <c r="J143" s="142" t="str">
        <f ca="1">IFERROR(VALUE(IF(VLOOKUP($A143,数出表_Excel!$A$6:$T$150,COLUMN()/2+1,FALSE)=0,"",VLOOKUP($A143,数出表_Excel!$A$6:$T$150,COLUMN()/2+1,FALSE))),"")</f>
        <v/>
      </c>
      <c r="K143" s="209"/>
      <c r="L143" s="147" t="str">
        <f ca="1">IFERROR(VALUE(IF(VLOOKUP($A143,数出表_Excel!$A$6:$T$150,COLUMN()/2+1,FALSE)=0,"",VLOOKUP($A143,数出表_Excel!$A$6:$T$150,COLUMN()/2+1,FALSE))),"")</f>
        <v/>
      </c>
      <c r="M143" s="142"/>
      <c r="N143" s="142" t="str">
        <f ca="1">IFERROR(VALUE(IF(VLOOKUP($A143,数出表_Excel!$A$6:$T$150,COLUMN()/2+1,FALSE)=0,"",VLOOKUP($A143,数出表_Excel!$A$6:$T$150,COLUMN()/2+1,FALSE))),"")</f>
        <v/>
      </c>
      <c r="O143" s="142"/>
      <c r="P143" s="142" t="str">
        <f ca="1">IFERROR(VALUE(IF(VLOOKUP($A143,数出表_Excel!$A$6:$T$150,COLUMN()/2+1,FALSE)=0,"",VLOOKUP($A143,数出表_Excel!$A$6:$T$150,COLUMN()/2+1,FALSE))),"")</f>
        <v/>
      </c>
      <c r="Q143" s="142"/>
      <c r="R143" s="142" t="str">
        <f ca="1">IFERROR(VALUE(IF(VLOOKUP($A143,数出表_Excel!$A$6:$T$150,COLUMN()/2+1,FALSE)=0,"",VLOOKUP($A143,数出表_Excel!$A$6:$T$150,COLUMN()/2+1,FALSE))),"")</f>
        <v/>
      </c>
      <c r="S143" s="142"/>
      <c r="T143" s="142" t="str">
        <f ca="1">IFERROR(VALUE(IF(VLOOKUP($A143,数出表_Excel!$A$6:$T$150,COLUMN()/2+1,FALSE)=0,"",VLOOKUP($A143,数出表_Excel!$A$6:$T$150,COLUMN()/2+1,FALSE))),"")</f>
        <v/>
      </c>
      <c r="U143" s="142"/>
      <c r="V143" s="146" t="str">
        <f ca="1">IFERROR(VALUE(IF(VLOOKUP($A143,数出表_Excel!$A$6:$T$150,COLUMN()/2+1,FALSE)=0,"",VLOOKUP($A143,数出表_Excel!$A$6:$T$150,COLUMN()/2+1,FALSE))),"")</f>
        <v/>
      </c>
      <c r="W143" s="142"/>
      <c r="X143" s="146" t="str">
        <f ca="1">IFERROR(VALUE(IF(VLOOKUP($A143,数出表_Excel!$A$6:$T$150,COLUMN()/2+1,FALSE)=0,"",VLOOKUP($A143,数出表_Excel!$A$6:$T$150,COLUMN()/2+1,FALSE))),"")</f>
        <v/>
      </c>
      <c r="Y143" s="142"/>
      <c r="Z143" s="146" t="str">
        <f ca="1">IFERROR(VALUE(IF(VLOOKUP($A143,数出表_Excel!$A$6:$T$150,COLUMN()/2+1,FALSE)=0,"",VLOOKUP($A143,数出表_Excel!$A$6:$T$150,COLUMN()/2+1,FALSE))),"")</f>
        <v/>
      </c>
      <c r="AA143" s="209"/>
      <c r="AB143" s="147" t="str">
        <f ca="1">IFERROR(VALUE(IF(VLOOKUP($A143,数出表_Excel!$A$6:$T$150,COLUMN()/2+1,FALSE)=0,"",VLOOKUP($A143,数出表_Excel!$A$6:$T$150,COLUMN()/2+1,FALSE))),"")</f>
        <v/>
      </c>
      <c r="AC143" s="142"/>
      <c r="AD143" s="146" t="str">
        <f ca="1">IFERROR(VALUE(IF(VLOOKUP($A143,数出表_Excel!$A$6:$T$150,COLUMN()/2+1,FALSE)=0,"",VLOOKUP($A143,数出表_Excel!$A$6:$T$150,COLUMN()/2+1,FALSE))),"")</f>
        <v/>
      </c>
      <c r="AE143" s="142"/>
      <c r="AF143" s="146" t="str">
        <f ca="1">IFERROR(VALUE(IF(VLOOKUP($A143,数出表_Excel!$A$6:$T$150,COLUMN()/2+1,FALSE)=0,"",VLOOKUP($A143,数出表_Excel!$A$6:$T$150,COLUMN()/2+1,FALSE))),"")</f>
        <v/>
      </c>
      <c r="AG143" s="142"/>
      <c r="AH143" s="146" t="str">
        <f ca="1">IFERROR(VALUE(IF(VLOOKUP($A143,数出表_Excel!$A$6:$T$150,COLUMN()/2+1,FALSE)=0,"",VLOOKUP($A143,数出表_Excel!$A$6:$T$150,COLUMN()/2+1,FALSE))),"")</f>
        <v/>
      </c>
      <c r="AI143" s="209"/>
      <c r="AJ143" s="147" t="str">
        <f ca="1">IFERROR(VALUE(IF(VLOOKUP($A143,数出表_Excel!$A$6:$T$150,COLUMN()/2+1,FALSE)=0,"",VLOOKUP($A143,数出表_Excel!$A$6:$T$150,COLUMN()/2+1,FALSE))),"")</f>
        <v/>
      </c>
      <c r="AK143" s="142"/>
      <c r="AL143" s="148" t="str">
        <f ca="1">IF(A143&lt;&gt;"",
IF(VLOOKUP($A143,数出表_Excel!$A$6:$T$150,COLUMN()/2+1,FALSE)=0,"",VLOOKUP($A143,数出表_Excel!$A$6:$T$150,COLUMN()/2+1,FALSE)),"")</f>
        <v/>
      </c>
      <c r="AM143" s="263">
        <f>数出表_Excel!V143</f>
        <v>0</v>
      </c>
      <c r="AN143" s="264">
        <f>数出表_Excel!W143</f>
        <v>0</v>
      </c>
    </row>
    <row r="144" spans="1:40" ht="16.2" customHeight="1" x14ac:dyDescent="0.45">
      <c r="A144" s="219" t="str">
        <f t="array" aca="1" ref="A144" ca="1">IF(OR(COUNTIF(A142,"*10002*"),COUNTIF(A142,"")),"",INDEX(貼り付け用!$A:$A,MATCH(A142,貼り付け用!$A:$A,0)+2,0))</f>
        <v/>
      </c>
      <c r="B144" s="204" t="str">
        <f ca="1">IFERROR(VALUE(IF(VLOOKUP($A144,数出表_Excel!$A$6:$T$150,COLUMN()/2+1,FALSE)=0,"",VLOOKUP($A144,数出表_Excel!$A$6:$T$150,COLUMN()/2+1,FALSE))),"")</f>
        <v/>
      </c>
      <c r="C144" s="141"/>
      <c r="D144" s="204" t="str">
        <f ca="1">IFERROR(VALUE(IF(VLOOKUP($A144,数出表_Excel!$A$6:$T$150,COLUMN()/2+1,FALSE)=0,"",VLOOKUP($A144,数出表_Excel!$A$6:$T$150,COLUMN()/2+1,FALSE))),"")</f>
        <v/>
      </c>
      <c r="E144" s="141"/>
      <c r="F144" s="207" t="str">
        <f ca="1">IFERROR(VALUE(IF(VLOOKUP($A144,数出表_Excel!$A$6:$T$150,COLUMN()/2+1,FALSE)=0,"",VLOOKUP($A144,数出表_Excel!$A$6:$T$150,COLUMN()/2+1,FALSE))),"")</f>
        <v/>
      </c>
      <c r="G144" s="141"/>
      <c r="H144" s="204" t="str">
        <f ca="1">IFERROR(VALUE(IF(VLOOKUP($A144,数出表_Excel!$A$6:$T$150,COLUMN()/2+1,FALSE)=0,"",VLOOKUP($A144,数出表_Excel!$A$6:$T$150,COLUMN()/2+1,FALSE))),"")</f>
        <v/>
      </c>
      <c r="I144" s="141"/>
      <c r="J144" s="204" t="str">
        <f ca="1">IFERROR(VALUE(IF(VLOOKUP($A144,数出表_Excel!$A$6:$T$150,COLUMN()/2+1,FALSE)=0,"",VLOOKUP($A144,数出表_Excel!$A$6:$T$150,COLUMN()/2+1,FALSE))),"")</f>
        <v/>
      </c>
      <c r="K144" s="208"/>
      <c r="L144" s="205" t="str">
        <f ca="1">IFERROR(VALUE(IF(VLOOKUP($A144,数出表_Excel!$A$6:$T$150,COLUMN()/2+1,FALSE)=0,"",VLOOKUP($A144,数出表_Excel!$A$6:$T$150,COLUMN()/2+1,FALSE))),"")</f>
        <v/>
      </c>
      <c r="M144" s="141"/>
      <c r="N144" s="204" t="str">
        <f ca="1">IFERROR(VALUE(IF(VLOOKUP($A144,数出表_Excel!$A$6:$T$150,COLUMN()/2+1,FALSE)=0,"",VLOOKUP($A144,数出表_Excel!$A$6:$T$150,COLUMN()/2+1,FALSE))),"")</f>
        <v/>
      </c>
      <c r="O144" s="141"/>
      <c r="P144" s="204" t="str">
        <f ca="1">IFERROR(VALUE(IF(VLOOKUP($A144,数出表_Excel!$A$6:$T$150,COLUMN()/2+1,FALSE)=0,"",VLOOKUP($A144,数出表_Excel!$A$6:$T$150,COLUMN()/2+1,FALSE))),"")</f>
        <v/>
      </c>
      <c r="Q144" s="141"/>
      <c r="R144" s="204" t="str">
        <f ca="1">IFERROR(VALUE(IF(VLOOKUP($A144,数出表_Excel!$A$6:$T$150,COLUMN()/2+1,FALSE)=0,"",VLOOKUP($A144,数出表_Excel!$A$6:$T$150,COLUMN()/2+1,FALSE))),"")</f>
        <v/>
      </c>
      <c r="S144" s="141"/>
      <c r="T144" s="204" t="str">
        <f ca="1">IFERROR(VALUE(IF(VLOOKUP($A144,数出表_Excel!$A$6:$T$150,COLUMN()/2+1,FALSE)=0,"",VLOOKUP($A144,数出表_Excel!$A$6:$T$150,COLUMN()/2+1,FALSE))),"")</f>
        <v/>
      </c>
      <c r="U144" s="141"/>
      <c r="V144" s="207" t="str">
        <f ca="1">IFERROR(VALUE(IF(VLOOKUP($A144,数出表_Excel!$A$6:$T$150,COLUMN()/2+1,FALSE)=0,"",VLOOKUP($A144,数出表_Excel!$A$6:$T$150,COLUMN()/2+1,FALSE))),"")</f>
        <v/>
      </c>
      <c r="W144" s="141"/>
      <c r="X144" s="207" t="str">
        <f ca="1">IFERROR(VALUE(IF(VLOOKUP($A144,数出表_Excel!$A$6:$T$150,COLUMN()/2+1,FALSE)=0,"",VLOOKUP($A144,数出表_Excel!$A$6:$T$150,COLUMN()/2+1,FALSE))),"")</f>
        <v/>
      </c>
      <c r="Y144" s="141"/>
      <c r="Z144" s="207" t="str">
        <f ca="1">IFERROR(VALUE(IF(VLOOKUP($A144,数出表_Excel!$A$6:$T$150,COLUMN()/2+1,FALSE)=0,"",VLOOKUP($A144,数出表_Excel!$A$6:$T$150,COLUMN()/2+1,FALSE))),"")</f>
        <v/>
      </c>
      <c r="AA144" s="208"/>
      <c r="AB144" s="205" t="str">
        <f ca="1">IFERROR(VALUE(IF(VLOOKUP($A144,数出表_Excel!$A$6:$T$150,COLUMN()/2+1,FALSE)=0,"",VLOOKUP($A144,数出表_Excel!$A$6:$T$150,COLUMN()/2+1,FALSE))),"")</f>
        <v/>
      </c>
      <c r="AC144" s="141"/>
      <c r="AD144" s="207" t="str">
        <f ca="1">IFERROR(VALUE(IF(VLOOKUP($A144,数出表_Excel!$A$6:$T$150,COLUMN()/2+1,FALSE)=0,"",VLOOKUP($A144,数出表_Excel!$A$6:$T$150,COLUMN()/2+1,FALSE))),"")</f>
        <v/>
      </c>
      <c r="AE144" s="141"/>
      <c r="AF144" s="207" t="str">
        <f ca="1">IFERROR(VALUE(IF(VLOOKUP($A144,数出表_Excel!$A$6:$T$150,COLUMN()/2+1,FALSE)=0,"",VLOOKUP($A144,数出表_Excel!$A$6:$T$150,COLUMN()/2+1,FALSE))),"")</f>
        <v/>
      </c>
      <c r="AG144" s="141"/>
      <c r="AH144" s="207" t="str">
        <f ca="1">IFERROR(VALUE(IF(VLOOKUP($A144,数出表_Excel!$A$6:$T$150,COLUMN()/2+1,FALSE)=0,"",VLOOKUP($A144,数出表_Excel!$A$6:$T$150,COLUMN()/2+1,FALSE))),"")</f>
        <v/>
      </c>
      <c r="AI144" s="208"/>
      <c r="AJ144" s="205" t="str">
        <f ca="1">IFERROR(VALUE(IF(VLOOKUP($A144,数出表_Excel!$A$6:$T$150,COLUMN()/2+1,FALSE)=0,"",VLOOKUP($A144,数出表_Excel!$A$6:$T$150,COLUMN()/2+1,FALSE))),"")</f>
        <v/>
      </c>
      <c r="AK144" s="141"/>
      <c r="AL144" s="145" t="str">
        <f ca="1">IF(A144&lt;&gt;"",
IF(VLOOKUP($A144,数出表_Excel!$A$6:$T$150,COLUMN()/2+1,FALSE)=0,"",VLOOKUP($A144,数出表_Excel!$A$6:$T$150,COLUMN()/2+1,FALSE)),"")</f>
        <v/>
      </c>
      <c r="AM144" s="261">
        <f>数出表_Excel!V144</f>
        <v>0</v>
      </c>
      <c r="AN144" s="262">
        <f>数出表_Excel!W144</f>
        <v>0</v>
      </c>
    </row>
    <row r="145" spans="1:40" ht="16.2" customHeight="1" x14ac:dyDescent="0.45">
      <c r="A145" s="220" t="str">
        <f t="array" aca="1" ref="A145" ca="1">IF(OR(COUNTIF(A143,"*1000*"),COUNTIF(A143,"")),"",INDEX(貼り付け用!$A:$A,MATCH(A143,貼り付け用!$A:$A,0)+2,0))</f>
        <v/>
      </c>
      <c r="B145" s="142" t="str">
        <f ca="1">IFERROR(VALUE(IF(VLOOKUP($A145,数出表_Excel!$A$6:$T$150,COLUMN()/2+1,FALSE)=0,"",VLOOKUP($A145,数出表_Excel!$A$6:$T$150,COLUMN()/2+1,FALSE))),"")</f>
        <v/>
      </c>
      <c r="C145" s="142"/>
      <c r="D145" s="142" t="str">
        <f ca="1">IFERROR(VALUE(IF(VLOOKUP($A145,数出表_Excel!$A$6:$T$150,COLUMN()/2+1,FALSE)=0,"",VLOOKUP($A145,数出表_Excel!$A$6:$T$150,COLUMN()/2+1,FALSE))),"")</f>
        <v/>
      </c>
      <c r="E145" s="142"/>
      <c r="F145" s="146" t="str">
        <f ca="1">IFERROR(VALUE(IF(VLOOKUP($A145,数出表_Excel!$A$6:$T$150,COLUMN()/2+1,FALSE)=0,"",VLOOKUP($A145,数出表_Excel!$A$6:$T$150,COLUMN()/2+1,FALSE))),"")</f>
        <v/>
      </c>
      <c r="G145" s="142"/>
      <c r="H145" s="142" t="str">
        <f ca="1">IFERROR(VALUE(IF(VLOOKUP($A145,数出表_Excel!$A$6:$T$150,COLUMN()/2+1,FALSE)=0,"",VLOOKUP($A145,数出表_Excel!$A$6:$T$150,COLUMN()/2+1,FALSE))),"")</f>
        <v/>
      </c>
      <c r="I145" s="142"/>
      <c r="J145" s="142" t="str">
        <f ca="1">IFERROR(VALUE(IF(VLOOKUP($A145,数出表_Excel!$A$6:$T$150,COLUMN()/2+1,FALSE)=0,"",VLOOKUP($A145,数出表_Excel!$A$6:$T$150,COLUMN()/2+1,FALSE))),"")</f>
        <v/>
      </c>
      <c r="K145" s="209"/>
      <c r="L145" s="147" t="str">
        <f ca="1">IFERROR(VALUE(IF(VLOOKUP($A145,数出表_Excel!$A$6:$T$150,COLUMN()/2+1,FALSE)=0,"",VLOOKUP($A145,数出表_Excel!$A$6:$T$150,COLUMN()/2+1,FALSE))),"")</f>
        <v/>
      </c>
      <c r="M145" s="142"/>
      <c r="N145" s="142" t="str">
        <f ca="1">IFERROR(VALUE(IF(VLOOKUP($A145,数出表_Excel!$A$6:$T$150,COLUMN()/2+1,FALSE)=0,"",VLOOKUP($A145,数出表_Excel!$A$6:$T$150,COLUMN()/2+1,FALSE))),"")</f>
        <v/>
      </c>
      <c r="O145" s="142"/>
      <c r="P145" s="142" t="str">
        <f ca="1">IFERROR(VALUE(IF(VLOOKUP($A145,数出表_Excel!$A$6:$T$150,COLUMN()/2+1,FALSE)=0,"",VLOOKUP($A145,数出表_Excel!$A$6:$T$150,COLUMN()/2+1,FALSE))),"")</f>
        <v/>
      </c>
      <c r="Q145" s="142"/>
      <c r="R145" s="142" t="str">
        <f ca="1">IFERROR(VALUE(IF(VLOOKUP($A145,数出表_Excel!$A$6:$T$150,COLUMN()/2+1,FALSE)=0,"",VLOOKUP($A145,数出表_Excel!$A$6:$T$150,COLUMN()/2+1,FALSE))),"")</f>
        <v/>
      </c>
      <c r="S145" s="142"/>
      <c r="T145" s="142" t="str">
        <f ca="1">IFERROR(VALUE(IF(VLOOKUP($A145,数出表_Excel!$A$6:$T$150,COLUMN()/2+1,FALSE)=0,"",VLOOKUP($A145,数出表_Excel!$A$6:$T$150,COLUMN()/2+1,FALSE))),"")</f>
        <v/>
      </c>
      <c r="U145" s="142"/>
      <c r="V145" s="146" t="str">
        <f ca="1">IFERROR(VALUE(IF(VLOOKUP($A145,数出表_Excel!$A$6:$T$150,COLUMN()/2+1,FALSE)=0,"",VLOOKUP($A145,数出表_Excel!$A$6:$T$150,COLUMN()/2+1,FALSE))),"")</f>
        <v/>
      </c>
      <c r="W145" s="142"/>
      <c r="X145" s="146" t="str">
        <f ca="1">IFERROR(VALUE(IF(VLOOKUP($A145,数出表_Excel!$A$6:$T$150,COLUMN()/2+1,FALSE)=0,"",VLOOKUP($A145,数出表_Excel!$A$6:$T$150,COLUMN()/2+1,FALSE))),"")</f>
        <v/>
      </c>
      <c r="Y145" s="142"/>
      <c r="Z145" s="146" t="str">
        <f ca="1">IFERROR(VALUE(IF(VLOOKUP($A145,数出表_Excel!$A$6:$T$150,COLUMN()/2+1,FALSE)=0,"",VLOOKUP($A145,数出表_Excel!$A$6:$T$150,COLUMN()/2+1,FALSE))),"")</f>
        <v/>
      </c>
      <c r="AA145" s="209"/>
      <c r="AB145" s="147" t="str">
        <f ca="1">IFERROR(VALUE(IF(VLOOKUP($A145,数出表_Excel!$A$6:$T$150,COLUMN()/2+1,FALSE)=0,"",VLOOKUP($A145,数出表_Excel!$A$6:$T$150,COLUMN()/2+1,FALSE))),"")</f>
        <v/>
      </c>
      <c r="AC145" s="142"/>
      <c r="AD145" s="146" t="str">
        <f ca="1">IFERROR(VALUE(IF(VLOOKUP($A145,数出表_Excel!$A$6:$T$150,COLUMN()/2+1,FALSE)=0,"",VLOOKUP($A145,数出表_Excel!$A$6:$T$150,COLUMN()/2+1,FALSE))),"")</f>
        <v/>
      </c>
      <c r="AE145" s="142"/>
      <c r="AF145" s="146" t="str">
        <f ca="1">IFERROR(VALUE(IF(VLOOKUP($A145,数出表_Excel!$A$6:$T$150,COLUMN()/2+1,FALSE)=0,"",VLOOKUP($A145,数出表_Excel!$A$6:$T$150,COLUMN()/2+1,FALSE))),"")</f>
        <v/>
      </c>
      <c r="AG145" s="142"/>
      <c r="AH145" s="146" t="str">
        <f ca="1">IFERROR(VALUE(IF(VLOOKUP($A145,数出表_Excel!$A$6:$T$150,COLUMN()/2+1,FALSE)=0,"",VLOOKUP($A145,数出表_Excel!$A$6:$T$150,COLUMN()/2+1,FALSE))),"")</f>
        <v/>
      </c>
      <c r="AI145" s="209"/>
      <c r="AJ145" s="147" t="str">
        <f ca="1">IFERROR(VALUE(IF(VLOOKUP($A145,数出表_Excel!$A$6:$T$150,COLUMN()/2+1,FALSE)=0,"",VLOOKUP($A145,数出表_Excel!$A$6:$T$150,COLUMN()/2+1,FALSE))),"")</f>
        <v/>
      </c>
      <c r="AK145" s="142"/>
      <c r="AL145" s="148" t="str">
        <f ca="1">IF(A145&lt;&gt;"",
IF(VLOOKUP($A145,数出表_Excel!$A$6:$T$150,COLUMN()/2+1,FALSE)=0,"",VLOOKUP($A145,数出表_Excel!$A$6:$T$150,COLUMN()/2+1,FALSE)),"")</f>
        <v/>
      </c>
      <c r="AM145" s="263">
        <f>数出表_Excel!V145</f>
        <v>0</v>
      </c>
      <c r="AN145" s="264">
        <f>数出表_Excel!W145</f>
        <v>0</v>
      </c>
    </row>
    <row r="146" spans="1:40" ht="16.2" customHeight="1" x14ac:dyDescent="0.45">
      <c r="A146" s="219">
        <f>数出表_Excel!A146</f>
        <v>0</v>
      </c>
      <c r="B146" s="140" t="str" cm="1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75"/>
      <c r="D146" s="140" t="str" cm="1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75"/>
      <c r="F146" s="143" t="str" cm="1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75"/>
      <c r="H146" s="140" t="str" cm="1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75"/>
      <c r="J146" s="140" t="str" cm="1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210"/>
      <c r="L146" s="144" t="str" cm="1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75"/>
      <c r="N146" s="140" t="str" cm="1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75"/>
      <c r="P146" s="140" t="str" cm="1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75"/>
      <c r="R146" s="140" t="str" cm="1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75"/>
      <c r="T146" s="140" t="str" cm="1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75"/>
      <c r="V146" s="143" t="str" cm="1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210"/>
      <c r="X146" s="144" t="str" cm="1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75"/>
      <c r="Z146" s="143" t="str" cm="1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210"/>
      <c r="AB146" s="144" t="str" cm="1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75"/>
      <c r="AD146" s="143" t="str" cm="1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210"/>
      <c r="AF146" s="144" t="str" cm="1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75"/>
      <c r="AH146" s="143" t="str" cm="1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210"/>
      <c r="AJ146" s="144" t="str" cm="1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75"/>
      <c r="AL146" s="145">
        <f>数出表_Excel!T146</f>
        <v>0</v>
      </c>
      <c r="AM146" s="265">
        <f>数出表_Excel!V146</f>
        <v>0</v>
      </c>
      <c r="AN146" s="266">
        <f>数出表_Excel!W146</f>
        <v>0</v>
      </c>
    </row>
    <row r="147" spans="1:40" ht="16.2" customHeight="1" x14ac:dyDescent="0.45">
      <c r="A147" s="220">
        <f>数出表_Excel!A147</f>
        <v>0</v>
      </c>
      <c r="B147" s="142" t="str" cm="1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42"/>
      <c r="D147" s="142" t="str" cm="1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142"/>
      <c r="F147" s="146" t="str" cm="1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142"/>
      <c r="H147" s="142" t="str" cm="1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42"/>
      <c r="J147" s="142" t="str" cm="1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209"/>
      <c r="L147" s="147" t="str" cm="1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42"/>
      <c r="N147" s="142" t="str" cm="1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142"/>
      <c r="P147" s="142" t="str" cm="1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42"/>
      <c r="R147" s="142" t="str" cm="1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142"/>
      <c r="T147" s="142" t="str" cm="1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42"/>
      <c r="V147" s="146" t="str" cm="1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209"/>
      <c r="X147" s="147" t="str" cm="1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42"/>
      <c r="Z147" s="146" t="str" cm="1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209"/>
      <c r="AB147" s="147" t="str" cm="1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42"/>
      <c r="AD147" s="146" t="str" cm="1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209"/>
      <c r="AF147" s="147" t="str" cm="1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42"/>
      <c r="AH147" s="146" t="str" cm="1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209"/>
      <c r="AJ147" s="147" t="str" cm="1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42"/>
      <c r="AL147" s="148">
        <f>数出表_Excel!T147</f>
        <v>0</v>
      </c>
      <c r="AM147" s="267">
        <f>数出表_Excel!V147</f>
        <v>0</v>
      </c>
      <c r="AN147" s="268">
        <f>数出表_Excel!W147</f>
        <v>0</v>
      </c>
    </row>
    <row r="148" spans="1:40" ht="16.2" customHeight="1" x14ac:dyDescent="0.45">
      <c r="B148" s="149"/>
      <c r="C148" s="149"/>
      <c r="D148" s="149"/>
      <c r="E148" s="149"/>
      <c r="F148" s="150"/>
      <c r="G148" s="211"/>
      <c r="H148" s="211"/>
      <c r="I148" s="211"/>
      <c r="J148" s="211"/>
      <c r="K148" s="152"/>
      <c r="L148" s="149"/>
      <c r="M148" s="149"/>
      <c r="N148" s="149"/>
      <c r="O148" s="149"/>
      <c r="P148" s="149"/>
      <c r="Q148" s="149"/>
      <c r="R148" s="149"/>
      <c r="S148" s="149"/>
      <c r="T148" s="149"/>
      <c r="U148" s="149"/>
      <c r="V148" s="151"/>
      <c r="W148" s="152"/>
      <c r="X148" s="172"/>
      <c r="Y148" s="149"/>
      <c r="Z148" s="151"/>
      <c r="AA148" s="152"/>
      <c r="AB148" s="172"/>
      <c r="AC148" s="149"/>
      <c r="AD148" s="151"/>
      <c r="AE148" s="152"/>
      <c r="AF148" s="172"/>
      <c r="AG148" s="149"/>
      <c r="AH148" s="151"/>
      <c r="AI148" s="152"/>
      <c r="AJ148" s="172"/>
      <c r="AK148" s="149"/>
      <c r="AL148" s="153"/>
    </row>
    <row r="149" spans="1:40" ht="23.4" customHeight="1" x14ac:dyDescent="0.2">
      <c r="A149" s="222" t="s">
        <v>248</v>
      </c>
      <c r="B149" s="154"/>
      <c r="C149" s="154"/>
      <c r="D149" s="154"/>
      <c r="E149" s="154"/>
      <c r="F149" s="155" t="e">
        <f ca="1">IF(OR(F150&lt;&gt;"",F153&lt;&gt;""),F146-F150-F151-F152-F153,"")</f>
        <v>#VALUE!</v>
      </c>
      <c r="G149" s="156"/>
      <c r="H149" s="212" t="str">
        <f>IF(OR(H150&lt;&gt;"",H153&lt;&gt;""),H146-H150-H151-H152-H153,"")</f>
        <v/>
      </c>
      <c r="I149" s="156"/>
      <c r="J149" s="212" t="str">
        <f>IF(OR(J150&lt;&gt;"",J153&lt;&gt;""),J146-J150-J151-J152-J153,"")</f>
        <v/>
      </c>
      <c r="K149" s="157"/>
      <c r="L149" s="154" t="str">
        <f>IF(OR(L150&lt;&gt;"",L153&lt;&gt;""),L146-L150-L151-L152-L153,"")</f>
        <v/>
      </c>
      <c r="M149" s="156"/>
      <c r="N149" s="154" t="str">
        <f>IF(OR(N150&lt;&gt;"",N153&lt;&gt;""),N146-N150-N151-N152-N153,"")</f>
        <v/>
      </c>
      <c r="O149" s="156"/>
      <c r="P149" s="154" t="str">
        <f>IF(OR(P150&lt;&gt;"",P153&lt;&gt;""),P146-P150-P151-P152-P153,"")</f>
        <v/>
      </c>
      <c r="Q149" s="156"/>
      <c r="R149" s="154" t="str">
        <f>IF(OR(R150&lt;&gt;"",R153&lt;&gt;""),R146-R150-R151-R152-R153,"")</f>
        <v/>
      </c>
      <c r="S149" s="156"/>
      <c r="T149" s="154" t="str">
        <f>IF(OR(T150&lt;&gt;"",T153&lt;&gt;""),T146-T150-T151-T152-T153,"")</f>
        <v/>
      </c>
      <c r="U149" s="154"/>
      <c r="V149" s="155" t="str">
        <f>IF(OR(V150&lt;&gt;"",V153&lt;&gt;""),V146-V150-V151-V152-V153,"")</f>
        <v/>
      </c>
      <c r="W149" s="157"/>
      <c r="X149" s="154" t="str">
        <f>IF(OR(X150&lt;&gt;"",X153&lt;&gt;""),X146-X150-X151-X152-X153,"")</f>
        <v/>
      </c>
      <c r="Y149" s="154"/>
      <c r="Z149" s="155" t="str">
        <f>IF(OR(Z150&lt;&gt;"",Z153&lt;&gt;""),Z146-Z150-Z151-Z152-Z153,"")</f>
        <v/>
      </c>
      <c r="AA149" s="157"/>
      <c r="AB149" s="154" t="str">
        <f>IF(OR(AB150&lt;&gt;"",AB153&lt;&gt;""),AB146-AB150-AB151-AB152-AB153,"")</f>
        <v/>
      </c>
      <c r="AC149" s="154"/>
      <c r="AD149" s="155" t="str">
        <f>IF(OR(AD150&lt;&gt;"",AD153&lt;&gt;""),AD146-AD150-AD151-AD152-AD153,"")</f>
        <v/>
      </c>
      <c r="AE149" s="157"/>
      <c r="AF149" s="154" t="str">
        <f>IF(OR(AF150&lt;&gt;"",AF153&lt;&gt;""),AF146-AF150-AF151-AF152-AF153,"")</f>
        <v/>
      </c>
      <c r="AG149" s="154"/>
      <c r="AH149" s="155" t="str">
        <f>IF(OR(AH150&lt;&gt;"",AH153&lt;&gt;""),AH146-AH150-AH151-AH152-AH153,"")</f>
        <v/>
      </c>
      <c r="AI149" s="157"/>
      <c r="AJ149" s="154" t="str">
        <f>IF(OR(AJ150&lt;&gt;"",AJ153&lt;&gt;""),AJ146-AJ150-AJ151-AJ152-AJ153,"")</f>
        <v/>
      </c>
      <c r="AK149" s="154"/>
      <c r="AL149" s="174" t="str">
        <f>IF(OR(AL150&lt;&gt;"",AL153&lt;&gt;""),AL146-AL150-AL151-AL152-AL153,"")</f>
        <v/>
      </c>
    </row>
    <row r="150" spans="1:40" ht="16.2" customHeight="1" x14ac:dyDescent="0.45">
      <c r="A150" s="223" t="s">
        <v>249</v>
      </c>
      <c r="B150" s="158"/>
      <c r="C150" s="176">
        <f>SUM(C6:C145)</f>
        <v>4</v>
      </c>
      <c r="D150" s="158"/>
      <c r="E150" s="182">
        <f>SUM(E6:E145)</f>
        <v>2</v>
      </c>
      <c r="F150" s="159">
        <v>720</v>
      </c>
      <c r="G150" s="176">
        <f>SUM(G6:G145)</f>
        <v>19</v>
      </c>
      <c r="H150" s="160"/>
      <c r="I150" s="176">
        <f>SUM(I6:I145)</f>
        <v>0</v>
      </c>
      <c r="J150" s="160"/>
      <c r="K150" s="179">
        <f>SUM(K6:K145)</f>
        <v>0</v>
      </c>
      <c r="L150" s="161"/>
      <c r="M150" s="176">
        <f>SUM(M6:M145)</f>
        <v>0</v>
      </c>
      <c r="N150" s="158"/>
      <c r="O150" s="176">
        <f>SUM(O6:O145)</f>
        <v>0</v>
      </c>
      <c r="P150" s="160"/>
      <c r="Q150" s="176">
        <f>SUM(Q6:Q145)</f>
        <v>0</v>
      </c>
      <c r="R150" s="160"/>
      <c r="S150" s="176">
        <f>SUM(S6:S145)</f>
        <v>0</v>
      </c>
      <c r="T150" s="160"/>
      <c r="U150" s="182">
        <f>SUM(U6:U145)</f>
        <v>0</v>
      </c>
      <c r="V150" s="159"/>
      <c r="W150" s="179">
        <f>SUM(W6:W145)</f>
        <v>0</v>
      </c>
      <c r="X150" s="161"/>
      <c r="Y150" s="182">
        <f>SUM(Y6:Y145)</f>
        <v>0</v>
      </c>
      <c r="Z150" s="159"/>
      <c r="AA150" s="179">
        <f>SUM(AA6:AA145)</f>
        <v>0</v>
      </c>
      <c r="AB150" s="161"/>
      <c r="AC150" s="182">
        <f>SUM(AC6:AC145)</f>
        <v>0</v>
      </c>
      <c r="AD150" s="159"/>
      <c r="AE150" s="179">
        <f>SUM(AE6:AE145)</f>
        <v>0</v>
      </c>
      <c r="AF150" s="163"/>
      <c r="AG150" s="182">
        <f>SUM(AG6:AG145)</f>
        <v>0</v>
      </c>
      <c r="AH150" s="162"/>
      <c r="AI150" s="179">
        <f>SUM(AI6:AI145)</f>
        <v>0</v>
      </c>
      <c r="AJ150" s="163"/>
      <c r="AK150" s="182">
        <f>SUM(AK6:AK145)</f>
        <v>0</v>
      </c>
      <c r="AL150" s="164"/>
      <c r="AM150" s="269"/>
      <c r="AN150" s="270"/>
    </row>
    <row r="151" spans="1:40" ht="16.2" customHeight="1" x14ac:dyDescent="0.45">
      <c r="A151" s="223" t="s">
        <v>250</v>
      </c>
      <c r="B151" s="158"/>
      <c r="C151" s="177"/>
      <c r="D151" s="158"/>
      <c r="E151" s="183"/>
      <c r="F151" s="159"/>
      <c r="G151" s="177"/>
      <c r="H151" s="160"/>
      <c r="I151" s="177"/>
      <c r="J151" s="160"/>
      <c r="K151" s="180"/>
      <c r="L151" s="161"/>
      <c r="M151" s="177"/>
      <c r="N151" s="158"/>
      <c r="O151" s="177"/>
      <c r="P151" s="160"/>
      <c r="Q151" s="177"/>
      <c r="R151" s="160"/>
      <c r="S151" s="177"/>
      <c r="T151" s="160"/>
      <c r="U151" s="183"/>
      <c r="V151" s="159"/>
      <c r="W151" s="180"/>
      <c r="X151" s="161"/>
      <c r="Y151" s="183"/>
      <c r="Z151" s="159"/>
      <c r="AA151" s="180"/>
      <c r="AB151" s="161"/>
      <c r="AC151" s="183"/>
      <c r="AD151" s="159"/>
      <c r="AE151" s="180"/>
      <c r="AF151" s="163"/>
      <c r="AG151" s="183"/>
      <c r="AH151" s="162"/>
      <c r="AI151" s="180"/>
      <c r="AJ151" s="163"/>
      <c r="AK151" s="183"/>
      <c r="AL151" s="164"/>
      <c r="AM151" s="269"/>
      <c r="AN151" s="270"/>
    </row>
    <row r="152" spans="1:40" ht="16.2" customHeight="1" x14ac:dyDescent="0.45">
      <c r="A152" s="223" t="s">
        <v>251</v>
      </c>
      <c r="B152" s="158"/>
      <c r="C152" s="177"/>
      <c r="D152" s="158"/>
      <c r="E152" s="183"/>
      <c r="F152" s="159"/>
      <c r="G152" s="177"/>
      <c r="H152" s="160"/>
      <c r="I152" s="177"/>
      <c r="J152" s="160"/>
      <c r="K152" s="180"/>
      <c r="L152" s="161"/>
      <c r="M152" s="177"/>
      <c r="N152" s="158"/>
      <c r="O152" s="177"/>
      <c r="P152" s="160"/>
      <c r="Q152" s="177"/>
      <c r="R152" s="160"/>
      <c r="S152" s="177"/>
      <c r="T152" s="160"/>
      <c r="U152" s="183"/>
      <c r="V152" s="159"/>
      <c r="W152" s="180"/>
      <c r="X152" s="161"/>
      <c r="Y152" s="183"/>
      <c r="Z152" s="159"/>
      <c r="AA152" s="180"/>
      <c r="AB152" s="161"/>
      <c r="AC152" s="183"/>
      <c r="AD152" s="159"/>
      <c r="AE152" s="180"/>
      <c r="AF152" s="163"/>
      <c r="AG152" s="183"/>
      <c r="AH152" s="162"/>
      <c r="AI152" s="180"/>
      <c r="AJ152" s="163"/>
      <c r="AK152" s="183"/>
      <c r="AL152" s="164"/>
    </row>
    <row r="153" spans="1:40" s="132" customFormat="1" ht="16.2" customHeight="1" x14ac:dyDescent="0.45">
      <c r="A153" s="224" t="s">
        <v>252</v>
      </c>
      <c r="B153" s="165"/>
      <c r="C153" s="178"/>
      <c r="D153" s="165"/>
      <c r="E153" s="184"/>
      <c r="F153" s="166"/>
      <c r="G153" s="178"/>
      <c r="H153" s="167"/>
      <c r="I153" s="178"/>
      <c r="J153" s="167"/>
      <c r="K153" s="181"/>
      <c r="L153" s="168"/>
      <c r="M153" s="178"/>
      <c r="N153" s="165"/>
      <c r="O153" s="178"/>
      <c r="P153" s="167"/>
      <c r="Q153" s="178"/>
      <c r="R153" s="167"/>
      <c r="S153" s="178"/>
      <c r="T153" s="167"/>
      <c r="U153" s="184"/>
      <c r="V153" s="166"/>
      <c r="W153" s="181"/>
      <c r="X153" s="168"/>
      <c r="Y153" s="184"/>
      <c r="Z153" s="166"/>
      <c r="AA153" s="181"/>
      <c r="AB153" s="168"/>
      <c r="AC153" s="184"/>
      <c r="AD153" s="166"/>
      <c r="AE153" s="181"/>
      <c r="AF153" s="170"/>
      <c r="AG153" s="184"/>
      <c r="AH153" s="169"/>
      <c r="AI153" s="181"/>
      <c r="AJ153" s="170"/>
      <c r="AK153" s="184"/>
      <c r="AL153" s="171"/>
      <c r="AM153" s="271"/>
      <c r="AN153" s="271"/>
    </row>
    <row r="154" spans="1:40" ht="16.2" customHeight="1" x14ac:dyDescent="0.35">
      <c r="A154" s="225" t="s">
        <v>253</v>
      </c>
    </row>
  </sheetData>
  <mergeCells count="18">
    <mergeCell ref="C150:C153"/>
    <mergeCell ref="W150:W153"/>
    <mergeCell ref="I150:I153"/>
    <mergeCell ref="AK150:AK153"/>
    <mergeCell ref="AI150:AI153"/>
    <mergeCell ref="O150:O153"/>
    <mergeCell ref="U150:U153"/>
    <mergeCell ref="E150:E153"/>
    <mergeCell ref="Y150:Y153"/>
    <mergeCell ref="AC150:AC153"/>
    <mergeCell ref="AA150:AA153"/>
    <mergeCell ref="AE150:AE153"/>
    <mergeCell ref="S150:S153"/>
    <mergeCell ref="G150:G153"/>
    <mergeCell ref="M150:M153"/>
    <mergeCell ref="K150:K153"/>
    <mergeCell ref="AG150:AG153"/>
    <mergeCell ref="Q150:Q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HideEmptyRowsAndColumns">
                <anchor moveWithCells="1" sizeWithCells="1">
                  <from>
                    <xdr:col>39</xdr:col>
                    <xdr:colOff>167640</xdr:colOff>
                    <xdr:row>0</xdr:row>
                    <xdr:rowOff>76200</xdr:rowOff>
                  </from>
                  <to>
                    <xdr:col>39</xdr:col>
                    <xdr:colOff>967740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howAllRowsAndColumns">
                <anchor moveWithCells="1" sizeWithCells="1">
                  <from>
                    <xdr:col>39</xdr:col>
                    <xdr:colOff>1165860</xdr:colOff>
                    <xdr:row>0</xdr:row>
                    <xdr:rowOff>60960</xdr:rowOff>
                  </from>
                  <to>
                    <xdr:col>39</xdr:col>
                    <xdr:colOff>1905000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N9"/>
  <sheetViews>
    <sheetView workbookViewId="0">
      <selection activeCell="I5" sqref="I5:I8"/>
    </sheetView>
  </sheetViews>
  <sheetFormatPr defaultRowHeight="18" x14ac:dyDescent="0.45"/>
  <cols>
    <col min="1" max="1" width="23.8984375" style="57" customWidth="1"/>
    <col min="10" max="10" width="8.796875" style="125" customWidth="1"/>
  </cols>
  <sheetData>
    <row r="1" spans="1:14" x14ac:dyDescent="0.45">
      <c r="A1"/>
    </row>
    <row r="2" spans="1:14" x14ac:dyDescent="0.45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19</v>
      </c>
      <c r="E2">
        <f>IF('数出表_Excel（アレルギー入力）'!F153&lt;&gt;"",'数出表_Excel（アレルギー入力）'!F153,0)</f>
        <v>0</v>
      </c>
      <c r="F2">
        <f t="shared" ref="F2:H8" ca="1" si="0">IF(AND(K2&lt;&gt;0,K2&gt;-10,K2&lt;10),0,
IF(AND(L2&lt;&gt;0,L2&gt;-13,L2&lt;13),
K2+L2,K2))</f>
        <v>720</v>
      </c>
      <c r="G2">
        <f t="shared" ca="1" si="0"/>
        <v>-739</v>
      </c>
      <c r="H2" t="str">
        <f t="shared" si="0"/>
        <v/>
      </c>
      <c r="I2" t="str">
        <f t="shared" ref="I2:I8" si="1">IF(H2&lt;&gt;"",C2-D2-E2-K2-L2-M2,"")</f>
        <v/>
      </c>
      <c r="K2">
        <f>IF('数出表_Excel（アレルギー入力）'!F150=0,
C2-D2-E2,'数出表_Excel（アレルギー入力）'!F150)</f>
        <v>720</v>
      </c>
      <c r="L2">
        <f ca="1">IF('数出表_Excel（アレルギー入力）'!F150=0,"",
IF('数出表_Excel（アレルギー入力）'!F151=0,C2-D2-E2-'数出表_Excel（アレルギー入力）'!F150,'数出表_Excel（アレルギー入力）'!F151))</f>
        <v>-739</v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 x14ac:dyDescent="0.45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t="shared" ca="1" si="0"/>
        <v>0</v>
      </c>
      <c r="G3" t="str">
        <f t="shared" si="0"/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 x14ac:dyDescent="0.45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t="shared" ca="1" si="0"/>
        <v>0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 x14ac:dyDescent="0.45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>
        <f t="shared" ca="1" si="0"/>
        <v>0</v>
      </c>
      <c r="G5" t="str">
        <f t="shared" si="0"/>
        <v/>
      </c>
      <c r="H5" t="str">
        <f t="shared" si="0"/>
        <v/>
      </c>
      <c r="I5" t="str">
        <f t="shared" si="1"/>
        <v/>
      </c>
      <c r="K5">
        <f ca="1">IF('数出表_Excel（アレルギー入力）'!L150=0,
C5-D5-E5,'数出表_Excel（アレルギー入力）'!L150)</f>
        <v>0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t="shared" ca="1" si="0"/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t="shared" ca="1" si="0"/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 x14ac:dyDescent="0.45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>
        <f t="shared" ca="1" si="0"/>
        <v>0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 x14ac:dyDescent="0.45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R24"/>
  <sheetViews>
    <sheetView workbookViewId="0">
      <selection activeCell="E7" sqref="E7"/>
    </sheetView>
  </sheetViews>
  <sheetFormatPr defaultRowHeight="18" x14ac:dyDescent="0.45"/>
  <cols>
    <col min="1" max="1" width="17.3984375" customWidth="1"/>
  </cols>
  <sheetData>
    <row r="1" spans="1:18" x14ac:dyDescent="0.45">
      <c r="A1" s="125" t="e" cm="1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>#REF!</v>
      </c>
      <c r="B1" s="125" cm="1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125"/>
      <c r="D1" s="125"/>
      <c r="E1" s="125"/>
      <c r="F1" s="125" t="e" cm="1">
        <f t="array" aca="1" ref="F1" ca="1">IF(B1&lt;&gt;"",
INDIRECT("'数出表_Excel（アレルギー入力）'!"&amp;P1&amp;O1&amp;""),"")</f>
        <v>#REF!</v>
      </c>
      <c r="G1" s="125"/>
      <c r="H1" s="125"/>
      <c r="I1" s="125"/>
      <c r="J1" s="125"/>
      <c r="K1" s="125"/>
      <c r="L1" s="125"/>
      <c r="M1" s="125"/>
      <c r="N1" s="125"/>
      <c r="O1" cm="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817</v>
      </c>
    </row>
    <row r="2" spans="1:18" x14ac:dyDescent="0.45">
      <c r="A2" s="125" t="e" cm="1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>#REF!</v>
      </c>
      <c r="B2" s="125" cm="1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125"/>
      <c r="D2" s="125"/>
      <c r="E2" s="125"/>
      <c r="F2" s="125" t="e" cm="1">
        <f t="array" aca="1" ref="F2" ca="1">IF(B2&lt;&gt;"",
INDIRECT("'数出表_Excel（アレルギー入力）'!"&amp;P2&amp;O2&amp;""),"")</f>
        <v>#REF!</v>
      </c>
      <c r="G2" s="125"/>
      <c r="H2" s="125"/>
      <c r="I2" s="125"/>
      <c r="J2" s="125"/>
      <c r="K2" s="125"/>
      <c r="L2" s="125"/>
      <c r="M2" s="125"/>
      <c r="N2" s="125"/>
      <c r="O2" cm="1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818</v>
      </c>
    </row>
    <row r="3" spans="1:18" x14ac:dyDescent="0.45">
      <c r="A3" s="125" t="e" cm="1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>#REF!</v>
      </c>
      <c r="B3" s="125" cm="1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125"/>
      <c r="D3" s="125"/>
      <c r="E3" s="125"/>
      <c r="F3" s="125" t="e" cm="1">
        <f t="array" aca="1" ref="F3" ca="1">IF(B3&lt;&gt;"",
INDIRECT("'数出表_Excel（アレルギー入力）'!"&amp;P3&amp;O3&amp;""),"")</f>
        <v>#REF!</v>
      </c>
      <c r="G3" s="125"/>
      <c r="H3" s="125"/>
      <c r="I3" s="125"/>
      <c r="J3" s="125"/>
      <c r="K3" s="125"/>
      <c r="L3" s="125"/>
      <c r="M3" s="125"/>
      <c r="N3" s="125"/>
      <c r="O3" cm="1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819</v>
      </c>
    </row>
    <row r="4" spans="1:18" x14ac:dyDescent="0.45">
      <c r="A4" s="125" t="e" cm="1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>#REF!</v>
      </c>
      <c r="B4" s="125" cm="1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125"/>
      <c r="D4" s="125"/>
      <c r="E4" s="125"/>
      <c r="F4" s="125" t="e" cm="1">
        <f t="array" aca="1" ref="F4" ca="1">IF(B4&lt;&gt;"",
INDIRECT("'数出表_Excel（アレルギー入力）'!"&amp;P4&amp;O4&amp;""),"")</f>
        <v>#REF!</v>
      </c>
      <c r="G4" s="125"/>
      <c r="H4" s="125"/>
      <c r="I4" s="125"/>
      <c r="J4" s="125"/>
      <c r="K4" s="125"/>
      <c r="L4" s="125"/>
      <c r="M4" s="125"/>
      <c r="N4" s="125"/>
      <c r="O4" cm="1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820</v>
      </c>
    </row>
    <row r="5" spans="1:18" x14ac:dyDescent="0.45">
      <c r="A5" s="125" t="e" cm="1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>#REF!</v>
      </c>
      <c r="B5" s="125" cm="1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125"/>
      <c r="D5" s="125"/>
      <c r="E5" s="125"/>
      <c r="F5" s="125" t="e" cm="1">
        <f t="array" aca="1" ref="F5" ca="1">IF(B5&lt;&gt;"",
INDIRECT("'数出表_Excel（アレルギー入力）'!"&amp;P5&amp;O5&amp;""),"")</f>
        <v>#REF!</v>
      </c>
      <c r="G5" s="125"/>
      <c r="H5" s="125"/>
      <c r="I5" s="125"/>
      <c r="J5" s="125"/>
      <c r="K5" s="125"/>
      <c r="L5" s="125"/>
      <c r="M5" s="125"/>
      <c r="N5" s="125"/>
      <c r="O5" cm="1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821</v>
      </c>
      <c r="R5" t="str" cm="1">
        <f t="array" aca="1" ref="R5" ca="1">IFERROR(INDEX($A$1:$N$24,SMALL(IF($B$1:$B$24&lt;&gt;"",ROW($B$1:$B$24),""),ROW(A4)),COLUMN(A$1)),"")</f>
        <v/>
      </c>
    </row>
    <row r="6" spans="1:18" x14ac:dyDescent="0.45">
      <c r="A6" s="125" t="e" cm="1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>#REF!</v>
      </c>
      <c r="B6" s="125" cm="1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125"/>
      <c r="D6" s="125"/>
      <c r="E6" s="125"/>
      <c r="F6" s="125" t="e" cm="1">
        <f t="array" aca="1" ref="F6" ca="1">IF(B6&lt;&gt;"",
INDIRECT("'数出表_Excel（アレルギー入力）'!"&amp;P6&amp;O6&amp;""),"")</f>
        <v>#REF!</v>
      </c>
      <c r="G6" s="125"/>
      <c r="H6" s="125"/>
      <c r="I6" s="125"/>
      <c r="J6" s="125"/>
      <c r="K6" s="125"/>
      <c r="L6" s="125"/>
      <c r="M6" s="125"/>
      <c r="N6" s="125"/>
      <c r="O6" cm="1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822</v>
      </c>
      <c r="R6" t="str" cm="1">
        <f t="array" aca="1" ref="R6" ca="1">IFERROR(INDEX($A$1:$N$24,SMALL(IF($B$1:$B$24&lt;&gt;"",ROW($B$1:$B$24),""),ROW(A5)),COLUMN(A$1)),"")</f>
        <v/>
      </c>
    </row>
    <row r="7" spans="1:18" x14ac:dyDescent="0.45">
      <c r="A7" s="125" t="e" cm="1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>#REF!</v>
      </c>
      <c r="B7" s="125" cm="1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125"/>
      <c r="D7" s="125"/>
      <c r="E7" s="125"/>
      <c r="F7" s="125" t="e" cm="1">
        <f t="array" aca="1" ref="F7" ca="1">IF(B7&lt;&gt;"",
INDIRECT("'数出表_Excel（アレルギー入力）'!"&amp;P7&amp;O7&amp;""),"")</f>
        <v>#REF!</v>
      </c>
      <c r="G7" s="125"/>
      <c r="H7" s="125"/>
      <c r="I7" s="125"/>
      <c r="J7" s="125"/>
      <c r="K7" s="125"/>
      <c r="L7" s="125"/>
      <c r="M7" s="125"/>
      <c r="N7" s="125"/>
      <c r="O7" cm="1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823</v>
      </c>
      <c r="R7" t="str" cm="1">
        <f t="array" aca="1" ref="R7" ca="1">IFERROR(INDEX($A$1:$N$24,SMALL(IF($B$1:$B$24&lt;&gt;"",ROW($B$1:$B$24),""),ROW(A6)),COLUMN(A$1)),"")</f>
        <v/>
      </c>
    </row>
    <row r="8" spans="1:18" x14ac:dyDescent="0.45">
      <c r="A8" s="125" t="e" cm="1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>#REF!</v>
      </c>
      <c r="B8" s="125" cm="1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125"/>
      <c r="D8" s="125"/>
      <c r="E8" s="125"/>
      <c r="F8" s="125" t="e" cm="1">
        <f t="array" aca="1" ref="F8" ca="1">IF(B8&lt;&gt;"",
INDIRECT("'数出表_Excel（アレルギー入力）'!"&amp;P8&amp;O8&amp;""),"")</f>
        <v>#REF!</v>
      </c>
      <c r="G8" s="125"/>
      <c r="H8" s="125"/>
      <c r="I8" s="125"/>
      <c r="J8" s="125"/>
      <c r="K8" s="125"/>
      <c r="L8" s="125"/>
      <c r="M8" s="125"/>
      <c r="N8" s="125"/>
      <c r="O8" cm="1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824</v>
      </c>
      <c r="R8" t="str" cm="1">
        <f t="array" aca="1" ref="R8" ca="1">IFERROR(INDEX($A$1:$N$24,SMALL(IF($B$1:$B$24&lt;&gt;"",ROW($B$1:$B$24),""),ROW(A7)),COLUMN(A$1)),"")</f>
        <v/>
      </c>
    </row>
    <row r="9" spans="1:18" x14ac:dyDescent="0.45">
      <c r="A9" s="213" t="str" cm="1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213" t="str" cm="1">
        <f t="array" aca="1" ref="B9" ca="1">IF(AND(B1&lt;&gt;"",O9&lt;&gt;0),
IF(INDIRECT("'数出表_Excel（アレルギー入力）'!"&amp;P9&amp;"147")&lt;&gt;F1,B1,""),"")</f>
        <v/>
      </c>
      <c r="C9" s="213"/>
      <c r="D9" s="213"/>
      <c r="E9" s="213"/>
      <c r="F9" s="213" t="str" cm="1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213"/>
      <c r="H9" s="213"/>
      <c r="I9" s="213"/>
      <c r="J9" s="213"/>
      <c r="K9" s="213"/>
      <c r="L9" s="213"/>
      <c r="M9" s="213"/>
      <c r="N9" s="213"/>
      <c r="O9" cm="1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817</v>
      </c>
      <c r="R9" t="str" cm="1">
        <f t="array" aca="1" ref="R9" ca="1">IFERROR(INDEX($A$1:$N$24,SMALL(IF($B$1:$B$24&lt;&gt;"",ROW($B$1:$B$24),""),ROW(A8)),COLUMN(A$1)),"")</f>
        <v/>
      </c>
    </row>
    <row r="10" spans="1:18" x14ac:dyDescent="0.45">
      <c r="A10" s="213" t="str" cm="1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213" t="str" cm="1">
        <f t="array" aca="1" ref="B10" ca="1">IF(AND(B2&lt;&gt;"",O10&lt;&gt;0),
IF(INDIRECT("'数出表_Excel（アレルギー入力）'!"&amp;P10&amp;"147")&lt;&gt;F2,B2,""),"")</f>
        <v/>
      </c>
      <c r="C10" s="213"/>
      <c r="D10" s="213"/>
      <c r="E10" s="213"/>
      <c r="F10" s="213" t="str" cm="1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213"/>
      <c r="H10" s="213"/>
      <c r="I10" s="213"/>
      <c r="J10" s="213"/>
      <c r="K10" s="213"/>
      <c r="L10" s="213"/>
      <c r="M10" s="213"/>
      <c r="N10" s="213"/>
      <c r="O10" cm="1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818</v>
      </c>
    </row>
    <row r="11" spans="1:18" x14ac:dyDescent="0.45">
      <c r="A11" s="213" t="str" cm="1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213" t="str" cm="1">
        <f t="array" aca="1" ref="B11" ca="1">IF(AND(B3&lt;&gt;"",O11&lt;&gt;0),
IF(INDIRECT("'数出表_Excel（アレルギー入力）'!"&amp;P11&amp;"147")&lt;&gt;F3,B3,""),"")</f>
        <v/>
      </c>
      <c r="C11" s="213"/>
      <c r="D11" s="213"/>
      <c r="E11" s="213"/>
      <c r="F11" s="213" t="str" cm="1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213"/>
      <c r="H11" s="213"/>
      <c r="I11" s="213"/>
      <c r="J11" s="213"/>
      <c r="K11" s="213"/>
      <c r="L11" s="213"/>
      <c r="M11" s="213"/>
      <c r="N11" s="213"/>
      <c r="O11" cm="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819</v>
      </c>
    </row>
    <row r="12" spans="1:18" x14ac:dyDescent="0.45">
      <c r="A12" s="213" t="str" cm="1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213" t="str" cm="1">
        <f t="array" aca="1" ref="B12" ca="1">IF(AND(B4&lt;&gt;"",O12&lt;&gt;0),
IF(INDIRECT("'数出表_Excel（アレルギー入力）'!"&amp;P12&amp;"147")&lt;&gt;F4,B4,""),"")</f>
        <v/>
      </c>
      <c r="C12" s="213"/>
      <c r="D12" s="213"/>
      <c r="E12" s="213"/>
      <c r="F12" s="213" t="str" cm="1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213"/>
      <c r="H12" s="213"/>
      <c r="I12" s="213"/>
      <c r="J12" s="213"/>
      <c r="K12" s="213"/>
      <c r="L12" s="213"/>
      <c r="M12" s="213"/>
      <c r="N12" s="213"/>
      <c r="O12" cm="1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820</v>
      </c>
    </row>
    <row r="13" spans="1:18" x14ac:dyDescent="0.45">
      <c r="A13" s="213" t="str" cm="1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213" t="str" cm="1">
        <f t="array" aca="1" ref="B13" ca="1">IF(AND(B5&lt;&gt;"",O13&lt;&gt;0),
IF(INDIRECT("'数出表_Excel（アレルギー入力）'!"&amp;P13&amp;"147")&lt;&gt;F5,B5,""),"")</f>
        <v/>
      </c>
      <c r="C13" s="213"/>
      <c r="D13" s="213"/>
      <c r="E13" s="213"/>
      <c r="F13" s="213" t="str" cm="1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213"/>
      <c r="H13" s="213"/>
      <c r="I13" s="213"/>
      <c r="J13" s="213"/>
      <c r="K13" s="213"/>
      <c r="L13" s="213"/>
      <c r="M13" s="213"/>
      <c r="N13" s="213"/>
      <c r="O13" cm="1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821</v>
      </c>
    </row>
    <row r="14" spans="1:18" x14ac:dyDescent="0.45">
      <c r="A14" s="213" t="str" cm="1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213" t="str" cm="1">
        <f t="array" aca="1" ref="B14" ca="1">IF(AND(B6&lt;&gt;"",O14&lt;&gt;0),
IF(INDIRECT("'数出表_Excel（アレルギー入力）'!"&amp;P14&amp;"147")&lt;&gt;F6,B6,""),"")</f>
        <v/>
      </c>
      <c r="C14" s="213"/>
      <c r="D14" s="213"/>
      <c r="E14" s="213"/>
      <c r="F14" s="213" t="str" cm="1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213"/>
      <c r="H14" s="213"/>
      <c r="I14" s="213"/>
      <c r="J14" s="213"/>
      <c r="K14" s="213"/>
      <c r="L14" s="213"/>
      <c r="M14" s="213"/>
      <c r="N14" s="213"/>
      <c r="O14" cm="1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822</v>
      </c>
    </row>
    <row r="15" spans="1:18" x14ac:dyDescent="0.45">
      <c r="A15" s="213" t="str" cm="1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213" t="str" cm="1">
        <f t="array" aca="1" ref="B15" ca="1">IF(AND(B7&lt;&gt;"",O15&lt;&gt;0),
IF(INDIRECT("'数出表_Excel（アレルギー入力）'!"&amp;P15&amp;"147")&lt;&gt;F7,B7,""),"")</f>
        <v/>
      </c>
      <c r="C15" s="213"/>
      <c r="D15" s="213"/>
      <c r="E15" s="213"/>
      <c r="F15" s="213" t="str" cm="1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213"/>
      <c r="H15" s="213"/>
      <c r="I15" s="213"/>
      <c r="J15" s="213"/>
      <c r="K15" s="213"/>
      <c r="L15" s="213"/>
      <c r="M15" s="213"/>
      <c r="N15" s="213"/>
      <c r="O15" cm="1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823</v>
      </c>
    </row>
    <row r="16" spans="1:18" x14ac:dyDescent="0.45">
      <c r="A16" s="213" t="str" cm="1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213" t="str" cm="1">
        <f t="array" aca="1" ref="B16" ca="1">IF(AND(B8&lt;&gt;"",O16&lt;&gt;0),
IF(INDIRECT("'数出表_Excel（アレルギー入力）'!"&amp;P16&amp;"147")&lt;&gt;F8,B8,""),"")</f>
        <v/>
      </c>
      <c r="C16" s="213"/>
      <c r="D16" s="213"/>
      <c r="E16" s="213"/>
      <c r="F16" s="213" t="str" cm="1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213"/>
      <c r="H16" s="213"/>
      <c r="I16" s="213"/>
      <c r="J16" s="213"/>
      <c r="K16" s="213"/>
      <c r="L16" s="213"/>
      <c r="M16" s="213"/>
      <c r="N16" s="213"/>
      <c r="O16" cm="1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824</v>
      </c>
    </row>
    <row r="17" spans="1:16" x14ac:dyDescent="0.45">
      <c r="A17" s="214" t="str" cm="1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214" t="str" cm="1">
        <f t="array" aca="1" ref="B17" ca="1">IF(AND(B9&lt;&gt;"",O17&lt;&gt;0),
IF(INDIRECT("'数出表_Excel（アレルギー入力）'!"&amp;P17&amp;"147")&lt;&gt;F9,B9,""),"")</f>
        <v/>
      </c>
      <c r="C17" s="214"/>
      <c r="D17" s="214"/>
      <c r="E17" s="214"/>
      <c r="F17" s="214" t="str" cm="1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214"/>
      <c r="H17" s="214"/>
      <c r="I17" s="214"/>
      <c r="J17" s="214"/>
      <c r="K17" s="214"/>
      <c r="L17" s="214"/>
      <c r="M17" s="214"/>
      <c r="N17" s="214"/>
      <c r="O17" cm="1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817</v>
      </c>
    </row>
    <row r="18" spans="1:16" x14ac:dyDescent="0.45">
      <c r="A18" s="214" t="str" cm="1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214" t="str" cm="1">
        <f t="array" aca="1" ref="B18" ca="1">IF(AND(B10&lt;&gt;"",O18&lt;&gt;0),
IF(INDIRECT("'数出表_Excel（アレルギー入力）'!"&amp;P18&amp;"147")&lt;&gt;F10,B10,""),"")</f>
        <v/>
      </c>
      <c r="C18" s="214"/>
      <c r="D18" s="214"/>
      <c r="E18" s="214"/>
      <c r="F18" s="214" t="str" cm="1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214"/>
      <c r="H18" s="214"/>
      <c r="I18" s="214"/>
      <c r="J18" s="214"/>
      <c r="K18" s="214"/>
      <c r="L18" s="214"/>
      <c r="M18" s="214"/>
      <c r="N18" s="214"/>
      <c r="O18" cm="1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818</v>
      </c>
    </row>
    <row r="19" spans="1:16" x14ac:dyDescent="0.45">
      <c r="A19" s="214" t="str" cm="1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214" t="str" cm="1">
        <f t="array" aca="1" ref="B19" ca="1">IF(AND(B11&lt;&gt;"",O19&lt;&gt;0),
IF(INDIRECT("'数出表_Excel（アレルギー入力）'!"&amp;P19&amp;"147")&lt;&gt;F11,B11,""),"")</f>
        <v/>
      </c>
      <c r="C19" s="214"/>
      <c r="D19" s="214"/>
      <c r="E19" s="214"/>
      <c r="F19" s="214" t="str" cm="1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214"/>
      <c r="H19" s="214"/>
      <c r="I19" s="214"/>
      <c r="J19" s="214"/>
      <c r="K19" s="214"/>
      <c r="L19" s="214"/>
      <c r="M19" s="214"/>
      <c r="N19" s="214"/>
      <c r="O19" cm="1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819</v>
      </c>
    </row>
    <row r="20" spans="1:16" x14ac:dyDescent="0.45">
      <c r="A20" s="214" t="str" cm="1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214" t="str" cm="1">
        <f t="array" aca="1" ref="B20" ca="1">IF(AND(B12&lt;&gt;"",O20&lt;&gt;0),
IF(INDIRECT("'数出表_Excel（アレルギー入力）'!"&amp;P20&amp;"147")&lt;&gt;F12,B12,""),"")</f>
        <v/>
      </c>
      <c r="C20" s="214"/>
      <c r="D20" s="214"/>
      <c r="E20" s="214"/>
      <c r="F20" s="214" t="str" cm="1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214"/>
      <c r="H20" s="214"/>
      <c r="I20" s="214"/>
      <c r="J20" s="214"/>
      <c r="K20" s="214"/>
      <c r="L20" s="214"/>
      <c r="M20" s="214"/>
      <c r="N20" s="214"/>
      <c r="O20" cm="1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820</v>
      </c>
    </row>
    <row r="21" spans="1:16" x14ac:dyDescent="0.45">
      <c r="A21" s="214" t="str" cm="1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214" t="str" cm="1">
        <f t="array" aca="1" ref="B21" ca="1">IF(AND(B13&lt;&gt;"",O21&lt;&gt;0),
IF(INDIRECT("'数出表_Excel（アレルギー入力）'!"&amp;P21&amp;"147")&lt;&gt;F13,B13,""),"")</f>
        <v/>
      </c>
      <c r="C21" s="214"/>
      <c r="D21" s="214"/>
      <c r="E21" s="214"/>
      <c r="F21" s="214" t="str" cm="1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214"/>
      <c r="H21" s="214"/>
      <c r="I21" s="214"/>
      <c r="J21" s="214"/>
      <c r="K21" s="214"/>
      <c r="L21" s="214"/>
      <c r="M21" s="214"/>
      <c r="N21" s="214"/>
      <c r="O21" cm="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821</v>
      </c>
    </row>
    <row r="22" spans="1:16" x14ac:dyDescent="0.45">
      <c r="A22" s="214" t="str" cm="1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214" t="str" cm="1">
        <f t="array" aca="1" ref="B22" ca="1">IF(AND(B14&lt;&gt;"",O22&lt;&gt;0),
IF(INDIRECT("'数出表_Excel（アレルギー入力）'!"&amp;P22&amp;"147")&lt;&gt;F14,B14,""),"")</f>
        <v/>
      </c>
      <c r="C22" s="214"/>
      <c r="D22" s="214"/>
      <c r="E22" s="214"/>
      <c r="F22" s="214" t="str" cm="1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214"/>
      <c r="H22" s="214"/>
      <c r="I22" s="214"/>
      <c r="J22" s="214"/>
      <c r="K22" s="214"/>
      <c r="L22" s="214"/>
      <c r="M22" s="214"/>
      <c r="N22" s="214"/>
      <c r="O22" cm="1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822</v>
      </c>
    </row>
    <row r="23" spans="1:16" x14ac:dyDescent="0.45">
      <c r="A23" s="214" t="str" cm="1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214" t="str" cm="1">
        <f t="array" aca="1" ref="B23" ca="1">IF(AND(B15&lt;&gt;"",O23&lt;&gt;0),
IF(INDIRECT("'数出表_Excel（アレルギー入力）'!"&amp;P23&amp;"147")&lt;&gt;F15,B15,""),"")</f>
        <v/>
      </c>
      <c r="C23" s="214"/>
      <c r="D23" s="214"/>
      <c r="E23" s="214"/>
      <c r="F23" s="214" t="str" cm="1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214"/>
      <c r="H23" s="214"/>
      <c r="I23" s="214"/>
      <c r="J23" s="214"/>
      <c r="K23" s="214"/>
      <c r="L23" s="214"/>
      <c r="M23" s="214"/>
      <c r="N23" s="214"/>
      <c r="O23" cm="1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823</v>
      </c>
    </row>
    <row r="24" spans="1:16" x14ac:dyDescent="0.45">
      <c r="A24" s="214" t="str" cm="1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214" t="str" cm="1">
        <f t="array" aca="1" ref="B24" ca="1">IF(AND(B16&lt;&gt;"",O24&lt;&gt;0),
IF(INDIRECT("'数出表_Excel（アレルギー入力）'!"&amp;P24&amp;"147")&lt;&gt;F16,B16,""),"")</f>
        <v/>
      </c>
      <c r="C24" s="214"/>
      <c r="D24" s="214"/>
      <c r="E24" s="214"/>
      <c r="F24" s="214" t="str" cm="1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214"/>
      <c r="H24" s="214"/>
      <c r="I24" s="214"/>
      <c r="J24" s="214"/>
      <c r="K24" s="214"/>
      <c r="L24" s="214"/>
      <c r="M24" s="214"/>
      <c r="N24" s="214"/>
      <c r="O24" cm="1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824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J8"/>
  <sheetViews>
    <sheetView workbookViewId="0">
      <selection activeCell="F8" sqref="F8"/>
    </sheetView>
  </sheetViews>
  <sheetFormatPr defaultRowHeight="18" x14ac:dyDescent="0.45"/>
  <sheetData>
    <row r="1" spans="1:10" x14ac:dyDescent="0.45">
      <c r="A1" t="s">
        <v>194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G1" t="e">
        <f ca="1">IF(A1&lt;&gt;"",
IF(OR(COUNTIF(H1,"*キャラ*"),COUNTIF(H1,"*赤*")),24,
VLOOKUP(H1,商品マスタ一覧!$D:$I,6,FALSE)),"")</f>
        <v>#N/A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 x14ac:dyDescent="0.45">
      <c r="A2" t="s">
        <v>194</v>
      </c>
      <c r="F2" t="e">
        <f t="array" aca="1" ref="F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G2" t="e">
        <f ca="1">IF(A2&lt;&gt;"",
IF(OR(COUNTIF(H2,"*キャラ*"),COUNTIF(H2,"*赤*")),24,
VLOOKUP(H2,商品マスタ一覧!$D:$I,6,FALSE)),"")</f>
        <v>#N/A</v>
      </c>
      <c r="H2" t="str">
        <f t="array" aca="1" ref="H2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 x14ac:dyDescent="0.45">
      <c r="A3" t="s">
        <v>254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 x14ac:dyDescent="0.45">
      <c r="A4" t="s">
        <v>255</v>
      </c>
      <c r="E4" t="e">
        <f ca="1">MID(B3,FIND("新日本",B3)+3,FIND("ニシム",B3)-1-(FIND("新日本",B3)+3))</f>
        <v>#N/A</v>
      </c>
    </row>
    <row r="5" spans="1:10" x14ac:dyDescent="0.45">
      <c r="A5" t="s">
        <v>256</v>
      </c>
      <c r="E5">
        <v>2</v>
      </c>
    </row>
    <row r="6" spans="1:10" x14ac:dyDescent="0.45">
      <c r="A6" t="s">
        <v>257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+IF('数出表_Excel（アレルギー入力）'!T147&lt;&gt;"",'数出表_Excel（アレルギー入力）'!T147,0))-F2-E3-E4-E5</f>
        <v>#N/A</v>
      </c>
      <c r="G6">
        <v>12</v>
      </c>
      <c r="H6">
        <v>30</v>
      </c>
    </row>
    <row r="7" spans="1:10" x14ac:dyDescent="0.45">
      <c r="A7" t="str">
        <f ca="1">IF(E7&lt;&gt;"","社食","")</f>
        <v/>
      </c>
      <c r="E7" t="str" cm="1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VLOOKUP(H7,商品マスタ一覧!$D:$I,6,FALSE)),""),"")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 x14ac:dyDescent="0.45">
      <c r="A8" t="str">
        <f ca="1">IF(F8&lt;&gt;"","社食","")</f>
        <v/>
      </c>
      <c r="F8" t="str" cm="1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VLOOKUP(H8,商品マスタ一覧!$D:$I,6,FALSE)),""),"")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FS168"/>
  <sheetViews>
    <sheetView topLeftCell="EM129" zoomScale="55" zoomScaleNormal="55" zoomScalePageLayoutView="55" workbookViewId="0">
      <selection activeCell="FB157" sqref="FB157:FB164"/>
    </sheetView>
  </sheetViews>
  <sheetFormatPr defaultRowHeight="18" x14ac:dyDescent="0.45"/>
  <cols>
    <col min="1" max="1" width="6.3984375" style="89" customWidth="1"/>
    <col min="2" max="6" width="7.19921875" style="89" customWidth="1"/>
    <col min="7" max="7" width="7.59765625" style="103" customWidth="1"/>
    <col min="8" max="9" width="7.59765625" style="89" customWidth="1"/>
    <col min="10" max="13" width="7.19921875" style="89" customWidth="1"/>
    <col min="14" max="14" width="7.19921875" style="98" customWidth="1"/>
    <col min="15" max="15" width="3.59765625" style="89" customWidth="1"/>
    <col min="16" max="16" width="7" style="89" customWidth="1"/>
    <col min="17" max="21" width="7.19921875" style="89" customWidth="1"/>
    <col min="22" max="22" width="7.59765625" style="103" customWidth="1"/>
    <col min="23" max="24" width="7.59765625" style="89" customWidth="1"/>
    <col min="25" max="28" width="7.19921875" style="89" customWidth="1"/>
    <col min="29" max="29" width="7.19921875" style="98" customWidth="1"/>
    <col min="30" max="30" width="3.59765625" style="89" customWidth="1"/>
    <col min="31" max="31" width="7" style="89" customWidth="1"/>
    <col min="32" max="36" width="7.19921875" style="89" customWidth="1"/>
    <col min="37" max="37" width="7.59765625" style="103" customWidth="1"/>
    <col min="38" max="39" width="7.59765625" style="89" customWidth="1"/>
    <col min="40" max="43" width="7.19921875" style="89" customWidth="1"/>
    <col min="44" max="44" width="7.19921875" style="98" customWidth="1"/>
    <col min="45" max="45" width="3.59765625" style="89" customWidth="1"/>
    <col min="46" max="46" width="7" style="89" customWidth="1"/>
    <col min="47" max="51" width="7.19921875" style="89" customWidth="1"/>
    <col min="52" max="52" width="7.59765625" style="103" customWidth="1"/>
    <col min="53" max="54" width="7.59765625" style="89" customWidth="1"/>
    <col min="55" max="58" width="7.19921875" style="89" customWidth="1"/>
    <col min="59" max="59" width="7.19921875" style="98" customWidth="1"/>
    <col min="60" max="60" width="3.59765625" style="89" customWidth="1"/>
    <col min="61" max="61" width="7" style="89" customWidth="1"/>
    <col min="62" max="66" width="7.19921875" style="89" customWidth="1"/>
    <col min="67" max="67" width="7.59765625" style="103" customWidth="1"/>
    <col min="68" max="69" width="7.59765625" style="89" customWidth="1"/>
    <col min="70" max="73" width="7.19921875" style="89" customWidth="1"/>
    <col min="74" max="74" width="7.19921875" style="98" customWidth="1"/>
    <col min="75" max="75" width="3.59765625" style="89" customWidth="1"/>
    <col min="76" max="76" width="7" style="89" customWidth="1"/>
    <col min="77" max="81" width="7.19921875" style="89" customWidth="1"/>
    <col min="82" max="82" width="7.59765625" style="103" customWidth="1"/>
    <col min="83" max="84" width="7.59765625" style="89" customWidth="1"/>
    <col min="85" max="88" width="7.19921875" style="89" customWidth="1"/>
    <col min="89" max="89" width="7.19921875" style="98" customWidth="1"/>
    <col min="90" max="90" width="3.59765625" style="89" customWidth="1"/>
    <col min="91" max="91" width="7" style="89" customWidth="1"/>
    <col min="92" max="96" width="7.19921875" style="89" customWidth="1"/>
    <col min="97" max="97" width="7.59765625" style="103" customWidth="1"/>
    <col min="98" max="99" width="7.59765625" style="89" customWidth="1"/>
    <col min="100" max="103" width="7.19921875" style="89" customWidth="1"/>
    <col min="104" max="104" width="7.19921875" style="98" customWidth="1"/>
    <col min="105" max="105" width="3.59765625" style="89" customWidth="1"/>
    <col min="106" max="106" width="7" style="89" customWidth="1"/>
    <col min="107" max="111" width="7.19921875" style="89" customWidth="1"/>
    <col min="112" max="112" width="7.59765625" style="103" customWidth="1"/>
    <col min="113" max="114" width="7.59765625" style="89" customWidth="1"/>
    <col min="115" max="118" width="7.19921875" style="89" customWidth="1"/>
    <col min="119" max="119" width="7.19921875" style="98" customWidth="1"/>
    <col min="120" max="120" width="3.59765625" style="89" customWidth="1"/>
    <col min="121" max="121" width="7" style="89" customWidth="1"/>
    <col min="122" max="126" width="7.19921875" style="89" customWidth="1"/>
    <col min="127" max="127" width="7.59765625" style="103" customWidth="1"/>
    <col min="128" max="129" width="7.59765625" style="89" customWidth="1"/>
    <col min="130" max="133" width="7.19921875" style="89" customWidth="1"/>
    <col min="134" max="134" width="7.19921875" style="98" customWidth="1"/>
    <col min="135" max="135" width="3.59765625" style="89" customWidth="1"/>
    <col min="136" max="136" width="7" style="89" customWidth="1"/>
    <col min="137" max="141" width="7.19921875" style="89" customWidth="1"/>
    <col min="142" max="142" width="7.59765625" style="103" customWidth="1"/>
    <col min="143" max="144" width="7.59765625" style="89" customWidth="1"/>
    <col min="145" max="148" width="7.19921875" style="89" customWidth="1"/>
    <col min="149" max="150" width="7.19921875" style="98" customWidth="1"/>
    <col min="151" max="151" width="8.796875" style="91" customWidth="1"/>
    <col min="152" max="152" width="17.09765625" style="89" bestFit="1" customWidth="1"/>
    <col min="153" max="156" width="11.69921875" style="89" customWidth="1"/>
    <col min="157" max="165" width="8.796875" style="91" customWidth="1"/>
    <col min="166" max="166" width="39.3984375" style="89" bestFit="1" customWidth="1"/>
    <col min="167" max="168" width="8.796875" style="91" customWidth="1"/>
    <col min="169" max="169" width="17.69921875" style="91" customWidth="1"/>
    <col min="170" max="184" width="8.796875" style="91" customWidth="1"/>
    <col min="185" max="16384" width="8.796875" style="91"/>
  </cols>
  <sheetData>
    <row r="1" spans="1:175" s="82" customFormat="1" ht="18" customHeight="1" x14ac:dyDescent="0.55000000000000004">
      <c r="A1" s="80">
        <v>7</v>
      </c>
      <c r="B1" s="81">
        <f t="array" ref="B1">GetResult(A1)</f>
        <v>7</v>
      </c>
      <c r="C1" s="191" t="str">
        <f ca="1">IF(C2&lt;&gt;"",
IF(LEFT(G1,2)="博多",
LEFT(G1,FIND("週",G1)-1),
G1),"")</f>
        <v/>
      </c>
      <c r="D1" s="192"/>
      <c r="E1" s="192"/>
      <c r="F1" s="192"/>
      <c r="G1" s="99">
        <f t="array" aca="1" ref="G1" ca="1">INDIRECT("数出表_Excel!A"&amp;B1)</f>
        <v>0</v>
      </c>
      <c r="H1" s="80">
        <f t="array" aca="1" ref="H1" ca="1">IF(AND(LEFT(G1,2)="博多",LEFT(INDIRECT("数出表_Excel!A"&amp;B1-1),2)=LEFT(INDIRECT("数出表_Excel!A"&amp;B1+1),2)),
IF(AND(LEFT(INDIRECT("数出表_Excel!A"&amp;B1+2),2)="博多",LEFT(INDIRECT("数出表_Excel!A"&amp;B1+1),2)=LEFT(INDIRECT("数出表_Excel!A"&amp;B1+3),2)),
IF(AND(LEFT(INDIRECT("数出表_Excel!A"&amp;B1+4),2)="博多",LEFT(INDIRECT("数出表_Excel!A"&amp;B1+3),2)=LEFT(INDIRECT("数出表_Excel!A"&amp;B1+5),2)),
B1+8,
B1+6),
B1+4),
IF(LEFT(G1,3)="奈良屋",
IF(LEFT(INDIRECT("数出表_Excel!A"&amp;B1+2),3)="奈良屋",
IF(LEFT(INDIRECT("数出表_Excel!A"&amp;B1+4),3)="奈良屋",
B1+6,
B1+4),
B1+2),
B1+2))</f>
        <v>9</v>
      </c>
      <c r="I1" s="81">
        <f t="array" aca="1" ref="I1" ca="1">GetResult(H2)</f>
        <v>9</v>
      </c>
      <c r="J1" s="191" t="str">
        <f ca="1">IF(J2&lt;&gt;"",
IF(LEFT(N1,2)="博多",
LEFT(N1,FIND("週",N1)-1),
N1),"")</f>
        <v/>
      </c>
      <c r="K1" s="192"/>
      <c r="L1" s="192"/>
      <c r="M1" s="192"/>
      <c r="N1" s="95">
        <f t="array" aca="1" ref="N1" ca="1">INDIRECT("数出表_Excel!A"&amp;I1)</f>
        <v>0</v>
      </c>
      <c r="O1" s="80"/>
      <c r="P1" s="80">
        <f t="array" aca="1" ref="P1" ca="1">IF(AND(G36&lt;&gt;"社食",N36="社食"),I36,
IF(AND(LEFT(N36,2)="博多",LEFT(INDIRECT("数出表_Excel!A"&amp;I36-1),2)=LEFT(INDIRECT("数出表_Excel!A"&amp;I36+1),2)),
IF(AND(LEFT(INDIRECT("数出表_Excel!A"&amp;I36+2),2)="博多",LEFT(INDIRECT("数出表_Excel!A"&amp;I36+1),2)=LEFT(INDIRECT("数出表_Excel!A"&amp;I36+3),2)),
IF(AND(LEFT(INDIRECT("数出表_Excel!A"&amp;I36+4),2)="博多",LEFT(INDIRECT("数出表_Excel!A"&amp;I36+3),2)=LEFT(INDIRECT("数出表_Excel!A"&amp;I36+5),2)),
I36+8,
I36+6),
I36+4),
IF(LEFT(N36,3)="奈良屋",
IF(LEFT(INDIRECT("数出表_Excel!A"&amp;I36+2),3)="奈良屋",
IF(LEFT(INDIRECT("数出表_Excel!A"&amp;I36+4),3)="奈良屋",
I36+6,
I36+4),
I36+2),
I36+2)))</f>
        <v>31</v>
      </c>
      <c r="Q1" s="81">
        <f t="array" aca="1" ref="Q1" ca="1">GetResult(P2)</f>
        <v>31</v>
      </c>
      <c r="R1" s="191" t="str">
        <f ca="1">IF(R2&lt;&gt;"",
IF(LEFT(V1,2)="博多",
LEFT(V1,FIND("週",V1)-1),
V1),"")</f>
        <v/>
      </c>
      <c r="S1" s="192"/>
      <c r="T1" s="192"/>
      <c r="U1" s="192"/>
      <c r="V1" s="99">
        <f t="array" aca="1" ref="V1" ca="1">INDIRECT("数出表_Excel!A"&amp;Q1)</f>
        <v>0</v>
      </c>
      <c r="W1" s="80">
        <f t="array" aca="1" ref="W1" ca="1">IF(AND(LEFT(V1,2)="博多",LEFT(INDIRECT("数出表_Excel!A"&amp;Q1-1),2)=LEFT(INDIRECT("数出表_Excel!A"&amp;Q1+1),2)),
IF(AND(LEFT(INDIRECT("数出表_Excel!A"&amp;Q1+2),2)="博多",LEFT(INDIRECT("数出表_Excel!A"&amp;Q1+1),2)=LEFT(INDIRECT("数出表_Excel!A"&amp;Q1+3),2)),
IF(AND(LEFT(INDIRECT("数出表_Excel!A"&amp;Q1+4),2)="博多",LEFT(INDIRECT("数出表_Excel!A"&amp;Q1+3),2)=LEFT(INDIRECT("数出表_Excel!A"&amp;Q1+5),2)),
Q1+8,
Q1+6),
Q1+4),
IF(LEFT(V1,3)="奈良屋",
IF(LEFT(INDIRECT("数出表_Excel!A"&amp;Q1+2),3)="奈良屋",
IF(LEFT(INDIRECT("数出表_Excel!A"&amp;Q1+4),3)="奈良屋",
Q1+6,
Q1+4),
Q1+2),
Q1+2))</f>
        <v>33</v>
      </c>
      <c r="X1" s="81">
        <f t="array" aca="1" ref="X1" ca="1">GetResult(W2)</f>
        <v>33</v>
      </c>
      <c r="Y1" s="191" t="str">
        <f ca="1">IF(Y2&lt;&gt;"",
IF(LEFT(AC1,2)="博多",
LEFT(AC1,FIND("週",AC1)-1),
AC1),"")</f>
        <v/>
      </c>
      <c r="Z1" s="192"/>
      <c r="AA1" s="192"/>
      <c r="AB1" s="192"/>
      <c r="AC1" s="95">
        <f t="array" aca="1" ref="AC1" ca="1">INDIRECT("数出表_Excel!A"&amp;X1)</f>
        <v>0</v>
      </c>
      <c r="AD1" s="80"/>
      <c r="AE1" s="80">
        <f t="array" aca="1" ref="AE1" ca="1">IF(AND(V36&lt;&gt;"社食",AC36="社食"),X36,
IF(AND(LEFT(AC36,2)="博多",LEFT(INDIRECT("数出表_Excel!A"&amp;X36-1),2)=LEFT(INDIRECT("数出表_Excel!A"&amp;X36+1),2)),
IF(AND(LEFT(INDIRECT("数出表_Excel!A"&amp;X36+2),2)="博多",LEFT(INDIRECT("数出表_Excel!A"&amp;X36+1),2)=LEFT(INDIRECT("数出表_Excel!A"&amp;X36+3),2)),
IF(AND(LEFT(INDIRECT("数出表_Excel!A"&amp;X36+4),2)="博多",LEFT(INDIRECT("数出表_Excel!A"&amp;X36+3),2)=LEFT(INDIRECT("数出表_Excel!A"&amp;X36+5),2)),
X36+8,
X36+6),
X36+4),
IF(LEFT(AC36,3)="奈良屋",
IF(LEFT(INDIRECT("数出表_Excel!A"&amp;X36+2),3)="奈良屋",
IF(LEFT(INDIRECT("数出表_Excel!A"&amp;X36+4),3)="奈良屋",
X36+6,
X36+4),
X36+2),
X36+2)))</f>
        <v>55</v>
      </c>
      <c r="AF1" s="81">
        <f t="array" aca="1" ref="AF1" ca="1">GetResult(AE2)</f>
        <v>55</v>
      </c>
      <c r="AG1" s="191" t="str">
        <f ca="1">IF(AG2&lt;&gt;"",
IF(LEFT(AK1,2)="博多",
LEFT(AK1,FIND("週",AK1)-1),
AK1),"")</f>
        <v/>
      </c>
      <c r="AH1" s="192"/>
      <c r="AI1" s="192"/>
      <c r="AJ1" s="192"/>
      <c r="AK1" s="99">
        <f t="array" aca="1" ref="AK1" ca="1">INDIRECT("数出表_Excel!A"&amp;AF1)</f>
        <v>0</v>
      </c>
      <c r="AL1" s="80">
        <f t="array" aca="1" ref="AL1" ca="1">IF(AND(LEFT(AK1,2)="博多",LEFT(INDIRECT("数出表_Excel!A"&amp;AF1-1),2)=LEFT(INDIRECT("数出表_Excel!A"&amp;AF1+1),2)),
IF(AND(LEFT(INDIRECT("数出表_Excel!A"&amp;AF1+2),2)="博多",LEFT(INDIRECT("数出表_Excel!A"&amp;AF1+1),2)=LEFT(INDIRECT("数出表_Excel!A"&amp;AF1+3),2)),
IF(AND(LEFT(INDIRECT("数出表_Excel!A"&amp;AF1+4),2)="博多",LEFT(INDIRECT("数出表_Excel!A"&amp;AF1+3),2)=LEFT(INDIRECT("数出表_Excel!A"&amp;AF1+5),2)),
AF1+8,
AF1+6),
AF1+4),
IF(LEFT(AK1,3)="奈良屋",
IF(LEFT(INDIRECT("数出表_Excel!A"&amp;AF1+2),3)="奈良屋",
IF(LEFT(INDIRECT("数出表_Excel!A"&amp;AF1+4),3)="奈良屋",
AF1+6,
AF1+4),
AF1+2),
AF1+2))</f>
        <v>57</v>
      </c>
      <c r="AM1" s="81">
        <f t="array" aca="1" ref="AM1" ca="1">GetResult(AL2)</f>
        <v>57</v>
      </c>
      <c r="AN1" s="191" t="str">
        <f ca="1">IF(AN2&lt;&gt;"",
IF(LEFT(AR1,2)="博多",
LEFT(AR1,FIND("週",AR1)-1),
AR1),"")</f>
        <v/>
      </c>
      <c r="AO1" s="192"/>
      <c r="AP1" s="192"/>
      <c r="AQ1" s="192"/>
      <c r="AR1" s="95">
        <f t="array" aca="1" ref="AR1" ca="1">INDIRECT("数出表_Excel!A"&amp;AM1)</f>
        <v>0</v>
      </c>
      <c r="AS1" s="80"/>
      <c r="AT1" s="80">
        <f t="array" aca="1" ref="AT1" ca="1">IF(AND(AK36&lt;&gt;"社食",AR36="社食"),AM36,
IF(AND(LEFT(AR36,2)="博多",LEFT(INDIRECT("数出表_Excel!A"&amp;AM36-1),2)=LEFT(INDIRECT("数出表_Excel!A"&amp;AM36+1),2)),
IF(AND(LEFT(INDIRECT("数出表_Excel!A"&amp;AM36+2),2)="博多",LEFT(INDIRECT("数出表_Excel!A"&amp;AM36+1),2)=LEFT(INDIRECT("数出表_Excel!A"&amp;AM36+3),2)),
IF(AND(LEFT(INDIRECT("数出表_Excel!A"&amp;AM36+4),2)="博多",LEFT(INDIRECT("数出表_Excel!A"&amp;AM36+3),2)=LEFT(INDIRECT("数出表_Excel!A"&amp;AM36+5),2)),
AM36+8,
AM36+6),
AM36+4),
IF(LEFT(AR36,3)="奈良屋",
IF(LEFT(INDIRECT("数出表_Excel!A"&amp;AM36+2),3)="奈良屋",
IF(LEFT(INDIRECT("数出表_Excel!A"&amp;AM36+4),3)="奈良屋",
AM36+6,
AM36+4),
AM36+2),
AM36+2)))</f>
        <v>79</v>
      </c>
      <c r="AU1" s="81">
        <f t="array" aca="1" ref="AU1" ca="1">GetResult(AT2)</f>
        <v>79</v>
      </c>
      <c r="AV1" s="191" t="str">
        <f ca="1">IF(AV2&lt;&gt;"",
IF(LEFT(AZ1,2)="博多",
LEFT(AZ1,FIND("週",AZ1)-1),
AZ1),"")</f>
        <v/>
      </c>
      <c r="AW1" s="192"/>
      <c r="AX1" s="192"/>
      <c r="AY1" s="192"/>
      <c r="AZ1" s="99">
        <f t="array" aca="1" ref="AZ1" ca="1">INDIRECT("数出表_Excel!A"&amp;AU1)</f>
        <v>0</v>
      </c>
      <c r="BA1" s="80">
        <f t="array" aca="1" ref="BA1" ca="1">IF(AND(LEFT(AZ1,2)="博多",LEFT(INDIRECT("数出表_Excel!A"&amp;AU1-1),2)=LEFT(INDIRECT("数出表_Excel!A"&amp;AU1+1),2)),
IF(AND(LEFT(INDIRECT("数出表_Excel!A"&amp;AU1+2),2)="博多",LEFT(INDIRECT("数出表_Excel!A"&amp;AU1+1),2)=LEFT(INDIRECT("数出表_Excel!A"&amp;AU1+3),2)),
IF(AND(LEFT(INDIRECT("数出表_Excel!A"&amp;AU1+4),2)="博多",LEFT(INDIRECT("数出表_Excel!A"&amp;AU1+3),2)=LEFT(INDIRECT("数出表_Excel!A"&amp;AU1+5),2)),
AU1+8,
AU1+6),
AU1+4),
IF(LEFT(AZ1,3)="奈良屋",
IF(LEFT(INDIRECT("数出表_Excel!A"&amp;AU1+2),3)="奈良屋",
IF(LEFT(INDIRECT("数出表_Excel!A"&amp;AU1+4),3)="奈良屋",
AU1+6,
AU1+4),
AU1+2),
AU1+2))</f>
        <v>81</v>
      </c>
      <c r="BB1" s="81">
        <f t="array" aca="1" ref="BB1" ca="1">GetResult(BA2)</f>
        <v>81</v>
      </c>
      <c r="BC1" s="191" t="str">
        <f ca="1">IF(BC2&lt;&gt;"",
IF(LEFT(BG1,2)="博多",
LEFT(BG1,FIND("週",BG1)-1),
BG1),"")</f>
        <v/>
      </c>
      <c r="BD1" s="192"/>
      <c r="BE1" s="192"/>
      <c r="BF1" s="192"/>
      <c r="BG1" s="95">
        <f t="array" aca="1" ref="BG1" ca="1">INDIRECT("数出表_Excel!A"&amp;BB1)</f>
        <v>0</v>
      </c>
      <c r="BH1" s="80"/>
      <c r="BI1" s="80">
        <f t="array" aca="1" ref="BI1" ca="1">IF(AND(AZ36&lt;&gt;"社食",BG36="社食"),BB36,
IF(AND(LEFT(BG36,2)="博多",LEFT(INDIRECT("数出表_Excel!A"&amp;BB36-1),2)=LEFT(INDIRECT("数出表_Excel!A"&amp;BB36+1),2)),
IF(AND(LEFT(INDIRECT("数出表_Excel!A"&amp;BB36+2),2)="博多",LEFT(INDIRECT("数出表_Excel!A"&amp;BB36+1),2)=LEFT(INDIRECT("数出表_Excel!A"&amp;BB36+3),2)),
IF(AND(LEFT(INDIRECT("数出表_Excel!A"&amp;BB36+4),2)="博多",LEFT(INDIRECT("数出表_Excel!A"&amp;BB36+3),2)=LEFT(INDIRECT("数出表_Excel!A"&amp;BB36+5),2)),
BB36+8,
BB36+6),
BB36+4),
IF(LEFT(BG36,3)="奈良屋",
IF(LEFT(INDIRECT("数出表_Excel!A"&amp;BB36+2),3)="奈良屋",
IF(LEFT(INDIRECT("数出表_Excel!A"&amp;BB36+4),3)="奈良屋",
BB36+6,
BB36+4),
BB36+2),
BB36+2)))</f>
        <v>103</v>
      </c>
      <c r="BJ1" s="81">
        <f t="array" aca="1" ref="BJ1" ca="1">GetResult(BI2)</f>
        <v>103</v>
      </c>
      <c r="BK1" s="191" t="str">
        <f ca="1">IF(BK2&lt;&gt;"",
IF(LEFT(BO1,2)="博多",
LEFT(BO1,FIND("週",BO1)-1),
BO1),"")</f>
        <v/>
      </c>
      <c r="BL1" s="192"/>
      <c r="BM1" s="192"/>
      <c r="BN1" s="192"/>
      <c r="BO1" s="99">
        <f t="array" aca="1" ref="BO1" ca="1">INDIRECT("数出表_Excel!A"&amp;BJ1)</f>
        <v>0</v>
      </c>
      <c r="BP1" s="80">
        <f t="array" aca="1" ref="BP1" ca="1">IF(AND(LEFT(BO1,2)="博多",LEFT(INDIRECT("数出表_Excel!A"&amp;BJ1-1),2)=LEFT(INDIRECT("数出表_Excel!A"&amp;BJ1+1),2)),
IF(AND(LEFT(INDIRECT("数出表_Excel!A"&amp;BJ1+2),2)="博多",LEFT(INDIRECT("数出表_Excel!A"&amp;BJ1+1),2)=LEFT(INDIRECT("数出表_Excel!A"&amp;BJ1+3),2)),
IF(AND(LEFT(INDIRECT("数出表_Excel!A"&amp;BJ1+4),2)="博多",LEFT(INDIRECT("数出表_Excel!A"&amp;BJ1+3),2)=LEFT(INDIRECT("数出表_Excel!A"&amp;BJ1+5),2)),
BJ1+8,
BJ1+6),
BJ1+4),
IF(LEFT(BO1,3)="奈良屋",
IF(LEFT(INDIRECT("数出表_Excel!A"&amp;BJ1+2),3)="奈良屋",
IF(LEFT(INDIRECT("数出表_Excel!A"&amp;BJ1+4),3)="奈良屋",
BJ1+6,
BJ1+4),
BJ1+2),
BJ1+2))</f>
        <v>105</v>
      </c>
      <c r="BQ1" s="81">
        <f t="array" aca="1" ref="BQ1" ca="1">GetResult(BP2)</f>
        <v>105</v>
      </c>
      <c r="BR1" s="191" t="str">
        <f ca="1">IF(BR2&lt;&gt;"",
IF(LEFT(BV1,2)="博多",
LEFT(BV1,FIND("週",BV1)-1),
BV1),"")</f>
        <v/>
      </c>
      <c r="BS1" s="192"/>
      <c r="BT1" s="192"/>
      <c r="BU1" s="192"/>
      <c r="BV1" s="95">
        <f t="array" aca="1" ref="BV1" ca="1">INDIRECT("数出表_Excel!A"&amp;BQ1)</f>
        <v>0</v>
      </c>
      <c r="BW1" s="80"/>
      <c r="BX1" s="80">
        <f t="array" aca="1" ref="BX1" ca="1">IF(AND(BO36&lt;&gt;"社食",BV36="社食"),BQ36,
IF(AND(LEFT(BV36,2)="博多",LEFT(INDIRECT("数出表_Excel!A"&amp;BQ36-1),2)=LEFT(INDIRECT("数出表_Excel!A"&amp;BQ36+1),2)),
IF(AND(LEFT(INDIRECT("数出表_Excel!A"&amp;BQ36+2),2)="博多",LEFT(INDIRECT("数出表_Excel!A"&amp;BQ36+1),2)=LEFT(INDIRECT("数出表_Excel!A"&amp;BQ36+3),2)),
IF(AND(LEFT(INDIRECT("数出表_Excel!A"&amp;BQ36+4),2)="博多",LEFT(INDIRECT("数出表_Excel!A"&amp;BQ36+3),2)=LEFT(INDIRECT("数出表_Excel!A"&amp;BQ36+5),2)),
BQ36+8,
BQ36+6),
BQ36+4),
IF(LEFT(BV36,3)="奈良屋",
IF(LEFT(INDIRECT("数出表_Excel!A"&amp;BQ36+2),3)="奈良屋",
IF(LEFT(INDIRECT("数出表_Excel!A"&amp;BQ36+4),3)="奈良屋",
BQ36+6,
BQ36+4),
BQ36+2),
BQ36+2)))</f>
        <v>127</v>
      </c>
      <c r="BY1" s="81">
        <f t="array" aca="1" ref="BY1" ca="1">GetResult(BX2)</f>
        <v>127</v>
      </c>
      <c r="BZ1" s="191" t="str">
        <f ca="1">IF(BZ2&lt;&gt;"",
IF(LEFT(CD1,2)="博多",
LEFT(CD1,FIND("週",CD1)-1),
CD1),"")</f>
        <v/>
      </c>
      <c r="CA1" s="192"/>
      <c r="CB1" s="192"/>
      <c r="CC1" s="192"/>
      <c r="CD1" s="99">
        <f t="array" aca="1" ref="CD1" ca="1">INDIRECT("数出表_Excel!A"&amp;BY1)</f>
        <v>0</v>
      </c>
      <c r="CE1" s="80">
        <f t="array" aca="1" ref="CE1" ca="1">IF(AND(LEFT(CD1,2)="博多",LEFT(INDIRECT("数出表_Excel!A"&amp;BY1-1),2)=LEFT(INDIRECT("数出表_Excel!A"&amp;BY1+1),2)),
IF(AND(LEFT(INDIRECT("数出表_Excel!A"&amp;BY1+2),2)="博多",LEFT(INDIRECT("数出表_Excel!A"&amp;BY1+1),2)=LEFT(INDIRECT("数出表_Excel!A"&amp;BY1+3),2)),
IF(AND(LEFT(INDIRECT("数出表_Excel!A"&amp;BY1+4),2)="博多",LEFT(INDIRECT("数出表_Excel!A"&amp;BY1+3),2)=LEFT(INDIRECT("数出表_Excel!A"&amp;BY1+5),2)),
BY1+8,
BY1+6),
BY1+4),
IF(LEFT(CD1,3)="奈良屋",
IF(LEFT(INDIRECT("数出表_Excel!A"&amp;BY1+2),3)="奈良屋",
IF(LEFT(INDIRECT("数出表_Excel!A"&amp;BY1+4),3)="奈良屋",
BY1+6,
BY1+4),
BY1+2),
BY1+2))</f>
        <v>129</v>
      </c>
      <c r="CF1" s="81">
        <f t="array" aca="1" ref="CF1" ca="1">GetResult(CE2)</f>
        <v>129</v>
      </c>
      <c r="CG1" s="191" t="str">
        <f ca="1">IF(CG2&lt;&gt;"",
IF(LEFT(CK1,2)="博多",
LEFT(CK1,FIND("週",CK1)-1),
CK1),"")</f>
        <v/>
      </c>
      <c r="CH1" s="192"/>
      <c r="CI1" s="192"/>
      <c r="CJ1" s="192"/>
      <c r="CK1" s="95">
        <f t="array" aca="1" ref="CK1" ca="1">INDIRECT("数出表_Excel!A"&amp;CF1)</f>
        <v>0</v>
      </c>
      <c r="CL1" s="80"/>
      <c r="CM1" s="80">
        <f t="array" aca="1" ref="CM1" ca="1">IF(AND(CD36&lt;&gt;"社食",CK36="社食"),CF36,
IF(AND(LEFT(CK36,2)="博多",LEFT(INDIRECT("数出表_Excel!A"&amp;CF36-1),2)=LEFT(INDIRECT("数出表_Excel!A"&amp;CF36+1),2)),
IF(AND(LEFT(INDIRECT("数出表_Excel!A"&amp;CF36+2),2)="博多",LEFT(INDIRECT("数出表_Excel!A"&amp;CF36+1),2)=LEFT(INDIRECT("数出表_Excel!A"&amp;CF36+3),2)),
IF(AND(LEFT(INDIRECT("数出表_Excel!A"&amp;CF36+4),2)="博多",LEFT(INDIRECT("数出表_Excel!A"&amp;CF36+3),2)=LEFT(INDIRECT("数出表_Excel!A"&amp;CF36+5),2)),
CF36+8,
CF36+6),
CF36+4),
IF(LEFT(CK36,3)="奈良屋",
IF(LEFT(INDIRECT("数出表_Excel!A"&amp;CF36+2),3)="奈良屋",
IF(LEFT(INDIRECT("数出表_Excel!A"&amp;CF36+4),3)="奈良屋",
CF36+6,
CF36+4),
CF36+2),
CF36+2)))</f>
        <v>151</v>
      </c>
      <c r="CN1" s="81">
        <f t="array" aca="1" ref="CN1" ca="1">GetResult(CM2)</f>
        <v>151</v>
      </c>
      <c r="CO1" s="191" t="str">
        <f ca="1">IF(CO2&lt;&gt;"",
IF(LEFT(CS1,2)="博多",
LEFT(CS1,FIND("週",CS1)-1),
CS1),"")</f>
        <v/>
      </c>
      <c r="CP1" s="192"/>
      <c r="CQ1" s="192"/>
      <c r="CR1" s="192"/>
      <c r="CS1" s="99">
        <f t="array" aca="1" ref="CS1" ca="1">INDIRECT("数出表_Excel!A"&amp;CN1)</f>
        <v>0</v>
      </c>
      <c r="CT1" s="80">
        <f t="array" aca="1" ref="CT1" ca="1">IF(AND(LEFT(CS1,2)="博多",LEFT(INDIRECT("数出表_Excel!A"&amp;CN1-1),2)=LEFT(INDIRECT("数出表_Excel!A"&amp;CN1+1),2)),
IF(AND(LEFT(INDIRECT("数出表_Excel!A"&amp;CN1+2),2)="博多",LEFT(INDIRECT("数出表_Excel!A"&amp;CN1+1),2)=LEFT(INDIRECT("数出表_Excel!A"&amp;CN1+3),2)),
IF(AND(LEFT(INDIRECT("数出表_Excel!A"&amp;CN1+4),2)="博多",LEFT(INDIRECT("数出表_Excel!A"&amp;CN1+3),2)=LEFT(INDIRECT("数出表_Excel!A"&amp;CN1+5),2)),
CN1+8,
CN1+6),
CN1+4),
IF(LEFT(CS1,3)="奈良屋",
IF(LEFT(INDIRECT("数出表_Excel!A"&amp;CN1+2),3)="奈良屋",
IF(LEFT(INDIRECT("数出表_Excel!A"&amp;CN1+4),3)="奈良屋",
CN1+6,
CN1+4),
CN1+2),
CN1+2))</f>
        <v>153</v>
      </c>
      <c r="CU1" s="81">
        <f t="array" aca="1" ref="CU1" ca="1">GetResult(CT2)</f>
        <v>153</v>
      </c>
      <c r="CV1" s="191" t="str">
        <f ca="1">IF(CV2&lt;&gt;"",
IF(LEFT(CZ1,2)="博多",
LEFT(CZ1,FIND("週",CZ1)-1),
CZ1),"")</f>
        <v/>
      </c>
      <c r="CW1" s="192"/>
      <c r="CX1" s="192"/>
      <c r="CY1" s="192"/>
      <c r="CZ1" s="95">
        <f t="array" aca="1" ref="CZ1" ca="1">INDIRECT("数出表_Excel!A"&amp;CU1)</f>
        <v>0</v>
      </c>
      <c r="DA1" s="80"/>
      <c r="DB1" s="80">
        <f t="array" aca="1" ref="DB1" ca="1">IF(AND(CS36&lt;&gt;"社食",CZ36="社食"),CU36,
IF(AND(LEFT(CZ36,2)="博多",LEFT(INDIRECT("数出表_Excel!A"&amp;CU36-1),2)=LEFT(INDIRECT("数出表_Excel!A"&amp;CU36+1),2)),
IF(AND(LEFT(INDIRECT("数出表_Excel!A"&amp;CU36+2),2)="博多",LEFT(INDIRECT("数出表_Excel!A"&amp;CU36+1),2)=LEFT(INDIRECT("数出表_Excel!A"&amp;CU36+3),2)),
IF(AND(LEFT(INDIRECT("数出表_Excel!A"&amp;CU36+4),2)="博多",LEFT(INDIRECT("数出表_Excel!A"&amp;CU36+3),2)=LEFT(INDIRECT("数出表_Excel!A"&amp;CU36+5),2)),
CU36+8,
CU36+6),
CU36+4),
IF(LEFT(CZ36,3)="奈良屋",
IF(LEFT(INDIRECT("数出表_Excel!A"&amp;CU36+2),3)="奈良屋",
IF(LEFT(INDIRECT("数出表_Excel!A"&amp;CU36+4),3)="奈良屋",
CU36+6,
CU36+4),
CU36+2),
CU36+2)))</f>
        <v>175</v>
      </c>
      <c r="DC1" s="81">
        <f t="array" aca="1" ref="DC1" ca="1">GetResult(DB2)</f>
        <v>175</v>
      </c>
      <c r="DD1" s="191" t="str">
        <f ca="1">IF(DD2&lt;&gt;"",
IF(LEFT(DH1,2)="博多",
LEFT(DH1,FIND("週",DH1)-1),
DH1),"")</f>
        <v/>
      </c>
      <c r="DE1" s="192"/>
      <c r="DF1" s="192"/>
      <c r="DG1" s="192"/>
      <c r="DH1" s="99">
        <f t="array" aca="1" ref="DH1" ca="1">INDIRECT("数出表_Excel!A"&amp;DC1)</f>
        <v>0</v>
      </c>
      <c r="DI1" s="80">
        <f t="array" aca="1" ref="DI1" ca="1">IF(AND(LEFT(DH1,2)="博多",LEFT(INDIRECT("数出表_Excel!A"&amp;DC1-1),2)=LEFT(INDIRECT("数出表_Excel!A"&amp;DC1+1),2)),
IF(AND(LEFT(INDIRECT("数出表_Excel!A"&amp;DC1+2),2)="博多",LEFT(INDIRECT("数出表_Excel!A"&amp;DC1+1),2)=LEFT(INDIRECT("数出表_Excel!A"&amp;DC1+3),2)),
IF(AND(LEFT(INDIRECT("数出表_Excel!A"&amp;DC1+4),2)="博多",LEFT(INDIRECT("数出表_Excel!A"&amp;DC1+3),2)=LEFT(INDIRECT("数出表_Excel!A"&amp;DC1+5),2)),
DC1+8,
DC1+6),
DC1+4),
IF(LEFT(DH1,3)="奈良屋",
IF(LEFT(INDIRECT("数出表_Excel!A"&amp;DC1+2),3)="奈良屋",
IF(LEFT(INDIRECT("数出表_Excel!A"&amp;DC1+4),3)="奈良屋",
DC1+6,
DC1+4),
DC1+2),
DC1+2))</f>
        <v>177</v>
      </c>
      <c r="DJ1" s="81">
        <f t="array" aca="1" ref="DJ1" ca="1">GetResult(DI2)</f>
        <v>177</v>
      </c>
      <c r="DK1" s="191" t="str">
        <f ca="1">IF(DK2&lt;&gt;"",
IF(LEFT(DO1,2)="博多",
LEFT(DO1,FIND("週",DO1)-1),
DO1),"")</f>
        <v/>
      </c>
      <c r="DL1" s="192"/>
      <c r="DM1" s="192"/>
      <c r="DN1" s="192"/>
      <c r="DO1" s="95">
        <f t="array" aca="1" ref="DO1" ca="1">INDIRECT("数出表_Excel!A"&amp;DJ1)</f>
        <v>0</v>
      </c>
      <c r="DP1" s="80"/>
      <c r="DQ1" s="80">
        <f t="array" aca="1" ref="DQ1" ca="1">IF(AND(DH36&lt;&gt;"社食",DO36="社食"),DJ36,
IF(AND(LEFT(DO36,2)="博多",LEFT(INDIRECT("数出表_Excel!A"&amp;DJ36-1),2)=LEFT(INDIRECT("数出表_Excel!A"&amp;DJ36+1),2)),
IF(AND(LEFT(INDIRECT("数出表_Excel!A"&amp;DJ36+2),2)="博多",LEFT(INDIRECT("数出表_Excel!A"&amp;DJ36+1),2)=LEFT(INDIRECT("数出表_Excel!A"&amp;DJ36+3),2)),
IF(AND(LEFT(INDIRECT("数出表_Excel!A"&amp;DJ36+4),2)="博多",LEFT(INDIRECT("数出表_Excel!A"&amp;DJ36+3),2)=LEFT(INDIRECT("数出表_Excel!A"&amp;DJ36+5),2)),
DJ36+8,
DJ36+6),
DJ36+4),
IF(LEFT(DO36,3)="奈良屋",
IF(LEFT(INDIRECT("数出表_Excel!A"&amp;DJ36+2),3)="奈良屋",
IF(LEFT(INDIRECT("数出表_Excel!A"&amp;DJ36+4),3)="奈良屋",
DJ36+6,
DJ36+4),
DJ36+2),
DJ36+2)))</f>
        <v>199</v>
      </c>
      <c r="DR1" s="81">
        <f t="array" aca="1" ref="DR1" ca="1">GetResult(DQ2)</f>
        <v>199</v>
      </c>
      <c r="DS1" s="191" t="str">
        <f ca="1">IF(DS2&lt;&gt;"",
IF(LEFT(DW1,2)="博多",
LEFT(DW1,FIND("週",DW1)-1),
DW1),"")</f>
        <v/>
      </c>
      <c r="DT1" s="192"/>
      <c r="DU1" s="192"/>
      <c r="DV1" s="192"/>
      <c r="DW1" s="99">
        <f t="array" aca="1" ref="DW1" ca="1">INDIRECT("数出表_Excel!A"&amp;DR1)</f>
        <v>0</v>
      </c>
      <c r="DX1" s="80">
        <f t="array" aca="1" ref="DX1" ca="1">IF(AND(LEFT(DW1,2)="博多",LEFT(INDIRECT("数出表_Excel!A"&amp;DR1-1),2)=LEFT(INDIRECT("数出表_Excel!A"&amp;DR1+1),2)),
IF(AND(LEFT(INDIRECT("数出表_Excel!A"&amp;DR1+2),2)="博多",LEFT(INDIRECT("数出表_Excel!A"&amp;DR1+1),2)=LEFT(INDIRECT("数出表_Excel!A"&amp;DR1+3),2)),
IF(AND(LEFT(INDIRECT("数出表_Excel!A"&amp;DR1+4),2)="博多",LEFT(INDIRECT("数出表_Excel!A"&amp;DR1+3),2)=LEFT(INDIRECT("数出表_Excel!A"&amp;DR1+5),2)),
DR1+8,
DR1+6),
DR1+4),
IF(LEFT(DW1,3)="奈良屋",
IF(LEFT(INDIRECT("数出表_Excel!A"&amp;DR1+2),3)="奈良屋",
IF(LEFT(INDIRECT("数出表_Excel!A"&amp;DR1+4),3)="奈良屋",
DR1+6,
DR1+4),
DR1+2),
DR1+2))</f>
        <v>201</v>
      </c>
      <c r="DY1" s="81">
        <f t="array" aca="1" ref="DY1" ca="1">GetResult(DX2)</f>
        <v>201</v>
      </c>
      <c r="DZ1" s="191" t="str">
        <f ca="1">IF(DZ2&lt;&gt;"",
IF(LEFT(ED1,2)="博多",
LEFT(ED1,FIND("週",ED1)-1),
ED1),"")</f>
        <v/>
      </c>
      <c r="EA1" s="192"/>
      <c r="EB1" s="192"/>
      <c r="EC1" s="192"/>
      <c r="ED1" s="95">
        <f t="array" aca="1" ref="ED1" ca="1">INDIRECT("数出表_Excel!A"&amp;DY1)</f>
        <v>0</v>
      </c>
      <c r="EE1" s="80"/>
      <c r="EF1" s="80">
        <f t="array" aca="1" ref="EF1" ca="1">IF(AND(DW36&lt;&gt;"社食",ED36="社食"),DY36,
IF(AND(LEFT(ED36,2)="博多",LEFT(INDIRECT("数出表_Excel!A"&amp;DY36-1),2)=LEFT(INDIRECT("数出表_Excel!A"&amp;DY36+1),2)),
IF(AND(LEFT(INDIRECT("数出表_Excel!A"&amp;DY36+2),2)="博多",LEFT(INDIRECT("数出表_Excel!A"&amp;DY36+1),2)=LEFT(INDIRECT("数出表_Excel!A"&amp;DY36+3),2)),
IF(AND(LEFT(INDIRECT("数出表_Excel!A"&amp;DY36+4),2)="博多",LEFT(INDIRECT("数出表_Excel!A"&amp;DY36+3),2)=LEFT(INDIRECT("数出表_Excel!A"&amp;DY36+5),2)),
DY36+8,
DY36+6),
DY36+4),
IF(LEFT(ED36,3)="奈良屋",
IF(LEFT(INDIRECT("数出表_Excel!A"&amp;DY36+2),3)="奈良屋",
IF(LEFT(INDIRECT("数出表_Excel!A"&amp;DY36+4),3)="奈良屋",
DY36+6,
DY36+4),
DY36+2),
DY36+2)))</f>
        <v>223</v>
      </c>
      <c r="EG1" s="81">
        <f t="array" aca="1" ref="EG1" ca="1">GetResult(EF2)</f>
        <v>223</v>
      </c>
      <c r="EH1" s="191" t="str">
        <f ca="1">IF(EH2&lt;&gt;"",
IF(LEFT(EL1,2)="博多",
LEFT(EL1,FIND("週",EL1)-1),
EL1),"")</f>
        <v/>
      </c>
      <c r="EI1" s="192"/>
      <c r="EJ1" s="192"/>
      <c r="EK1" s="192"/>
      <c r="EL1" s="99">
        <f t="array" aca="1" ref="EL1" ca="1">INDIRECT("数出表_Excel!A"&amp;EG1)</f>
        <v>0</v>
      </c>
      <c r="EM1" s="80">
        <f t="array" aca="1" ref="EM1" ca="1">IF(AND(LEFT(EL1,2)="博多",LEFT(INDIRECT("数出表_Excel!A"&amp;EG1-1),2)=LEFT(INDIRECT("数出表_Excel!A"&amp;EG1+1),2)),
IF(AND(LEFT(INDIRECT("数出表_Excel!A"&amp;EG1+2),2)="博多",LEFT(INDIRECT("数出表_Excel!A"&amp;EG1+1),2)=LEFT(INDIRECT("数出表_Excel!A"&amp;EG1+3),2)),
IF(AND(LEFT(INDIRECT("数出表_Excel!A"&amp;EG1+4),2)="博多",LEFT(INDIRECT("数出表_Excel!A"&amp;EG1+3),2)=LEFT(INDIRECT("数出表_Excel!A"&amp;EG1+5),2)),
EG1+8,
EG1+6),
EG1+4),
IF(LEFT(EL1,3)="奈良屋",
IF(LEFT(INDIRECT("数出表_Excel!A"&amp;EG1+2),3)="奈良屋",
IF(LEFT(INDIRECT("数出表_Excel!A"&amp;EG1+4),3)="奈良屋",
EG1+6,
EG1+4),
EG1+2),
EG1+2))</f>
        <v>225</v>
      </c>
      <c r="EN1" s="81">
        <f t="array" aca="1" ref="EN1" ca="1">GetResult(EM2)</f>
        <v>225</v>
      </c>
      <c r="EO1" s="191" t="str">
        <f ca="1">IF(EO2&lt;&gt;"",
IF(LEFT(ES1,2)="博多",
LEFT(ES1,FIND("週",ES1)-1),
ES1),"")</f>
        <v/>
      </c>
      <c r="EP1" s="192"/>
      <c r="EQ1" s="192"/>
      <c r="ER1" s="192"/>
      <c r="ES1" s="95">
        <f t="array" aca="1" ref="ES1" ca="1">INDIRECT("数出表_Excel!A"&amp;EN1)</f>
        <v>0</v>
      </c>
      <c r="ET1" s="110"/>
      <c r="EV1" s="83" t="str">
        <f ca="1">C1</f>
        <v/>
      </c>
      <c r="EW1" s="83" t="str">
        <f ca="1">C2</f>
        <v/>
      </c>
      <c r="EX1" s="83" t="str">
        <f ca="1">E2</f>
        <v/>
      </c>
      <c r="EY1" s="84" t="str">
        <f ca="1">F2</f>
        <v/>
      </c>
      <c r="EZ1" s="84" t="str">
        <f ca="1">G2</f>
        <v/>
      </c>
      <c r="FA1" s="83" t="e">
        <f ca="1">C4</f>
        <v>#VALUE!</v>
      </c>
      <c r="FB1" s="83" t="str">
        <f ca="1">E4</f>
        <v/>
      </c>
      <c r="FC1" s="83" t="str">
        <f ca="1">C6</f>
        <v/>
      </c>
      <c r="FD1" s="83" t="e">
        <f ca="1">B7</f>
        <v>#VALUE!</v>
      </c>
      <c r="FE1" s="83" t="str">
        <f ca="1">D7</f>
        <v/>
      </c>
      <c r="FF1" s="83" t="e">
        <f ca="1">F7</f>
        <v>#N/A</v>
      </c>
      <c r="FG1" s="82">
        <f t="shared" ref="FG1:FG32" ca="1" si="0">IF(COUNTIF(FH1,"TRUE"),ROW(),0)</f>
        <v>0</v>
      </c>
      <c r="FH1" s="82" t="e">
        <f t="array" aca="1" ref="FH1" ca="1">IF(COUNTIF(EV1,"社食"),"FALSE",SUMPRODUCT((LEN(EV1:FF1)&gt;0)*1)&gt;0)</f>
        <v>#VALUE!</v>
      </c>
      <c r="FI1" s="82" cm="1">
        <f t="array" aca="1" ref="FI1" ca="1">IFERROR(SMALL(IF(FG$1:FG$173&lt;&gt;0,FG$1:FG$173),ROW(A1)),"")</f>
        <v>121</v>
      </c>
      <c r="FJ1" s="82" t="str" cm="1">
        <f t="array" aca="1" ref="FJ1" ca="1">IF($FI1&lt;&gt;"",
INDIRECT(""&amp;IF(COLUMN(EV1)&lt;=26,CHAR(COLUMN(EV1)+64),CHAR(INT((COLUMN(EV1)-1)/26)+64)&amp;CHAR(MOD(COLUMN(EV1)-1,26)+65))&amp;$FI1&amp;""),"")</f>
        <v>ニシム</v>
      </c>
      <c r="FK1" s="82" cm="1">
        <f t="array" aca="1" ref="FK1" ca="1">IF($FI1&lt;&gt;"",
INDIRECT(""&amp;IF(COLUMN(EW1)&lt;=26,CHAR(COLUMN(EW1)+64),CHAR(INT((COLUMN(EW1)-1)/26)+64)&amp;CHAR(MOD(COLUMN(EW1)-1,26)+65))&amp;$FI1&amp;""),"")</f>
        <v>0</v>
      </c>
      <c r="FL1" s="82" cm="1">
        <f t="array" aca="1" ref="FL1" ca="1">IF($FI1&lt;&gt;"",
INDIRECT(""&amp;IF(COLUMN(EX1)&lt;=26,CHAR(COLUMN(EX1)+64),CHAR(INT((COLUMN(EX1)-1)/26)+64)&amp;CHAR(MOD(COLUMN(EX1)-1,26)+65))&amp;$FI1&amp;""),"")</f>
        <v>0</v>
      </c>
      <c r="FM1" s="82" t="str" cm="1">
        <f t="array" aca="1" ref="FM1" ca="1">IF($FI1&lt;&gt;"",
IF(FL1="",
IF(INDIRECT("EY"&amp;$FI1&amp;"")&lt;&gt;"",
INDIRECT("EY"&amp;$FI1&amp;"")&amp;"箱"
&amp;INDIRECT("EZ"&amp;$FI1&amp;""),""),""),"")</f>
        <v/>
      </c>
      <c r="FN1" s="82" t="e" cm="1">
        <f t="array" aca="1" ref="FN1" ca="1">IF($FI1&lt;&gt;"",
INDIRECT(""&amp;IF(COLUMN(FA1)&lt;=26,CHAR(COLUMN(FA1)+64),CHAR(INT((COLUMN(FA1)-1)/26)+64)&amp;CHAR(MOD(COLUMN(FA1)-1,26)+65))&amp;$FI1&amp;""),"")</f>
        <v>#N/A</v>
      </c>
      <c r="FO1" s="82" cm="1">
        <f t="array" aca="1" ref="FO1" ca="1">IF($FI1&lt;&gt;"",
INDIRECT(""&amp;IF(COLUMN(FB1)&lt;=26,CHAR(COLUMN(FB1)+64),CHAR(INT((COLUMN(FB1)-1)/26)+64)&amp;CHAR(MOD(COLUMN(FB1)-1,26)+65))&amp;$FI1&amp;""),"")</f>
        <v>0</v>
      </c>
      <c r="FP1" s="82" cm="1">
        <f t="array" aca="1" ref="FP1" ca="1">IF($FI1&lt;&gt;"",
INDIRECT(""&amp;IF(COLUMN(FC1)&lt;=26,CHAR(COLUMN(FC1)+64),CHAR(INT((COLUMN(FC1)-1)/26)+64)&amp;CHAR(MOD(COLUMN(FC1)-1,26)+65))&amp;$FI1&amp;""),"")</f>
        <v>0</v>
      </c>
      <c r="FQ1" s="82" cm="1">
        <f t="array" aca="1" ref="FQ1" ca="1">IF($FI1&lt;&gt;"",
INDIRECT(""&amp;IF(COLUMN(FD1)&lt;=26,CHAR(COLUMN(FD1)+64),CHAR(INT((COLUMN(FD1)-1)/26)+64)&amp;CHAR(MOD(COLUMN(FD1)-1,26)+65))&amp;$FI1&amp;""),"")</f>
        <v>0</v>
      </c>
      <c r="FR1" s="82" cm="1">
        <f t="array" aca="1" ref="FR1" ca="1">IF($FI1&lt;&gt;"",
INDIRECT(""&amp;IF(COLUMN(FE1)&lt;=26,CHAR(COLUMN(FE1)+64),CHAR(INT((COLUMN(FE1)-1)/26)+64)&amp;CHAR(MOD(COLUMN(FE1)-1,26)+65))&amp;$FI1&amp;""),"")</f>
        <v>0</v>
      </c>
      <c r="FS1" s="82" cm="1">
        <f t="array" aca="1" ref="FS1" ca="1">IF($FI1&lt;&gt;"",
INDIRECT(""&amp;IF(COLUMN(FF1)&lt;=26,CHAR(COLUMN(FF1)+64),CHAR(INT((COLUMN(FF1)-1)/26)+64)&amp;CHAR(MOD(COLUMN(FF1)-1,26)+65))&amp;$FI1&amp;""),"")</f>
        <v>0</v>
      </c>
    </row>
    <row r="2" spans="1:175" s="82" customFormat="1" ht="18" customHeight="1" x14ac:dyDescent="0.55000000000000004">
      <c r="A2" s="80"/>
      <c r="B2" s="85" t="e">
        <f t="array" aca="1" ref="B2" ca="1">IF(C4&lt;&gt;"",MATCH(TRUE,INDIRECT("数出表_Excel!B"&amp;MATCH(G1,数出表_Excel!$A:$A,0)-1&amp;":U"&amp;MATCH(G1,数出表_Excel!$A:$A,0)-1&amp;"")&lt;&gt;"",0)+1,"")</f>
        <v>#VALUE!</v>
      </c>
      <c r="C2" s="62" t="str">
        <f t="array" aca="1" ref="C2" ca="1">IF(COUNTIF(G1,"*合計*"),"",
IF(IFERROR(INDIRECT("数出表_Excel!" &amp;
CHAR(MATCH(TRUE,
ISNUMBER(--INDIRECT("数出表_Excel!B"&amp;MATCH(G1,数出表_Excel!$A:$A,0)-1&amp;":U"&amp;MATCH(G1,数出表_Excel!$A:$A,0)-1&amp;"")),0)+65) &amp; "3"),0)=0,"",
IFERROR(INDIRECT("数出表_Excel!" &amp;
CHAR(MATCH(TRUE,
ISNUMBER(--INDIRECT("数出表_Excel!B"&amp;MATCH(G1,数出表_Excel!$A:$A,0)-1&amp;":U"&amp;MATCH(G1,数出表_Excel!$A:$A,0)-1&amp;"")),0)+65) &amp; "3"),"")))</f>
        <v/>
      </c>
      <c r="D2" s="80"/>
      <c r="E2" s="86" t="str">
        <f t="array" aca="1" ref="E2" ca="1">IF(F2&lt;&gt;"","",
IF(COUNTIF(C1,"*雙葉*"),"",
IF(C1&lt;&gt;"",
IFERROR(
INDEX('数出表_Excel（アレルギー入力）'!$4:$4,
 1,
MATCH(TRUE,INDIRECT("'数出表_Excel（アレルギー入力）'!B"&amp;MATCH(G1,'数出表_Excel（アレルギー入力）'!$A:$A,0)-1&amp;":U"&amp;MATCH(G1,'数出表_Excel（アレルギー入力）'!$A:$A,0)-1&amp;"")&lt;&gt;"",0)+1
),
 "")
&amp;IFERROR(
INDEX('数出表_Excel（アレルギー入力）'!$5:$5,
 1,
MATCH(TRUE,INDIRECT("'数出表_Excel（アレルギー入力）'!B"&amp;MATCH(G1,'数出表_Excel（アレルギー入力）'!$A:$A,0)-1&amp;":U"&amp;MATCH(G1,'数出表_Excel（アレルギー入力）'!$A:$A,0)-1&amp;"")&lt;&gt;"",0)+1),
 ""),"")))</f>
        <v/>
      </c>
      <c r="F2" s="87" t="str">
        <f t="array" aca="1" ref="F2" ca="1">IF(C2&lt;&gt;"",
IF(COUNTIF(C1,"*雙葉*"),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VLOOKUP('盛付札（関数）'!C2,商品マスタ一覧!$D:$J,7,FALSE))),0)),
IF(MATCH(TRUE,
ISNUMBER(--INDIRECT("数出表_Excel!B"&amp;MATCH(G1,数出表_Excel!$A:$A,0)-1&amp;":U"&amp;MATCH(G1,数出表_Excel!$A:$A,0)-1&amp;"")),0)&gt;10,
IF(C2&lt;&gt;"",
IF(IF(COUNTIF('盛付札（関数）'!C2,"*キャラ*"),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VLOOKUP('盛付札（関数）'!C2,商品マスタ一覧!$D:$J,7,FALSE)))=0,"",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VLOOKUP('盛付札（関数）'!C2,商品マスタ一覧!$D:$J,7,FALSE))),0))),""),"")),"")</f>
        <v/>
      </c>
      <c r="G2" s="100" t="str">
        <f ca="1">IF(F2&lt;&gt;"",IF(VALUE(IF(F7&lt;&gt;"",C4-F7,C4))&gt;VALUE(IF(COUNTIF('盛付札（関数）'!C2,"*キャラ*"),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
"+"&amp;IF(F7&lt;&gt;"",C4-F7,C4)-IF(COUNTIF('盛付札（関数）'!C2,"*キャラ*"),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VLOOKUP('盛付札（関数）'!C2,商品マスタ一覧!$D:$J,7,FALSE)))*F2,
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VLOOKUP('盛付札（関数）'!C2,商品マスタ一覧!$D:$J,7,FALSE)))*F2),"")</f>
        <v/>
      </c>
      <c r="H2" s="80">
        <f t="array" aca="1" ref="H2" ca="1">IF(INDIRECT("数出表_Excel!A"&amp;GetResult(H1))="社食",
GetResult(H1)+2,GetResult(H1))</f>
        <v>9</v>
      </c>
      <c r="I2" s="85" t="e">
        <f t="array" aca="1" ref="I2" ca="1">IF(J4&lt;&gt;"",MATCH(TRUE,INDIRECT("数出表_Excel!B"&amp;MATCH(N1,数出表_Excel!$A:$A,0)-1&amp;":U"&amp;MATCH(N1,数出表_Excel!$A:$A,0)-1&amp;"")&lt;&gt;"",0)+1,"")</f>
        <v>#VALUE!</v>
      </c>
      <c r="J2" s="62" t="str">
        <f t="array" aca="1" ref="J2" ca="1">IF(COUNTIF(N1,"*合計*"),"",
IF(IFERROR(INDIRECT("数出表_Excel!" &amp;
CHAR(MATCH(TRUE,
ISNUMBER(--INDIRECT("数出表_Excel!B"&amp;MATCH(N1,数出表_Excel!$A:$A,0)-1&amp;":U"&amp;MATCH(N1,数出表_Excel!$A:$A,0)-1&amp;"")),0)+65) &amp; "3"),0)=0,"",
IFERROR(INDIRECT("数出表_Excel!" &amp;
CHAR(MATCH(TRUE,
ISNUMBER(--INDIRECT("数出表_Excel!B"&amp;MATCH(N1,数出表_Excel!$A:$A,0)-1&amp;":U"&amp;MATCH(N1,数出表_Excel!$A:$A,0)-1&amp;"")),0)+65) &amp; "3"),"")))</f>
        <v/>
      </c>
      <c r="K2" s="80"/>
      <c r="L2" s="86" t="str">
        <f t="array" aca="1" ref="L2" ca="1">IF(M2&lt;&gt;"","",
IF(COUNTIF(J1,"*雙葉*"),"",
IF(J1&lt;&gt;"",
IFERROR(
INDEX('数出表_Excel（アレルギー入力）'!$4:$4,
 1,
MATCH(TRUE,INDIRECT("'数出表_Excel（アレルギー入力）'!B"&amp;MATCH(N1,数出表_Excel!$A:$A,0)-1&amp;":U"&amp;MATCH(N1,'数出表_Excel（アレルギー入力）'!$A:$A,0)-1&amp;"")&lt;&gt;"",0)+1
),
 "")
&amp;IFERROR(
INDEX('数出表_Excel（アレルギー入力）'!$5:$5,
 1,
MATCH(TRUE,INDIRECT("'数出表_Excel（アレルギー入力）'!B"&amp;MATCH(N1,数出表_Excel!$A:$A,0)-1&amp;":U"&amp;MATCH(N1,'数出表_Excel（アレルギー入力）'!$A:$A,0)-1&amp;"")&lt;&gt;"",0)+1),
 ""),"")))</f>
        <v/>
      </c>
      <c r="M2" s="87" t="str">
        <f t="array" aca="1" ref="M2" ca="1">IF(J2&lt;&gt;"",
IF(COUNTIF(J1,"*雙葉*"),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VLOOKUP('盛付札（関数）'!J2,商品マスタ一覧!$D:$J,7,FALSE))),0)),
IF(MATCH(TRUE,
ISNUMBER(--INDIRECT("数出表_Excel!B"&amp;MATCH(N1,数出表_Excel!$A:$A,0)-1&amp;":U"&amp;MATCH(N1,数出表_Excel!$A:$A,0)-1&amp;"")),0)&gt;10,
IF(J2&lt;&gt;"",
IF(IF(COUNTIF('盛付札（関数）'!J2,"*キャラ*"),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VLOOKUP('盛付札（関数）'!J2,商品マスタ一覧!$D:$J,7,FALSE)))=0,"",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VLOOKUP('盛付札（関数）'!J2,商品マスタ一覧!$D:$J,7,FALSE))),0))),""),"")),"")</f>
        <v/>
      </c>
      <c r="N2" s="96" t="str">
        <f ca="1">IF(M2&lt;&gt;"",IF(VALUE(IF(M7&lt;&gt;"",J4-M7,J4))&gt;VALUE(IF(COUNTIF('盛付札（関数）'!J2,"*キャラ*"),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
"+"&amp;IF(M7&lt;&gt;"",J4-M7,J4)-IF(COUNTIF('盛付札（関数）'!J2,"*キャラ*"),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VLOOKUP('盛付札（関数）'!J2,商品マスタ一覧!$D:$J,7,FALSE)))*M2,
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VLOOKUP('盛付札（関数）'!J2,商品マスタ一覧!$D:$J,7,FALSE)))*M2),"")</f>
        <v/>
      </c>
      <c r="O2" s="80"/>
      <c r="P2" s="80">
        <f t="array" aca="1" ref="P2" ca="1">IF(INDIRECT("数出表_Excel!A"&amp;GetResult(P1))="社食",
GetResult(P1)+2,GetResult(P1))</f>
        <v>31</v>
      </c>
      <c r="Q2" s="85" t="e">
        <f t="array" aca="1" ref="Q2" ca="1">IF(R4&lt;&gt;"",MATCH(TRUE,INDIRECT("数出表_Excel!B"&amp;MATCH(V1,数出表_Excel!$A:$A,0)-1&amp;":U"&amp;MATCH(V1,数出表_Excel!$A:$A,0)-1&amp;"")&lt;&gt;"",0)+1,"")</f>
        <v>#VALUE!</v>
      </c>
      <c r="R2" s="62" t="str">
        <f t="array" aca="1" ref="R2" ca="1">IF(COUNTIF(V1,"*合計*"),"",
IF(IFERROR(INDIRECT("数出表_Excel!" &amp;
CHAR(MATCH(TRUE,
ISNUMBER(--INDIRECT("数出表_Excel!B"&amp;MATCH(V1,数出表_Excel!$A:$A,0)-1&amp;":U"&amp;MATCH(V1,数出表_Excel!$A:$A,0)-1&amp;"")),0)+65) &amp; "3"),0)=0,"",
IFERROR(INDIRECT("数出表_Excel!" &amp;
CHAR(MATCH(TRUE,
ISNUMBER(--INDIRECT("数出表_Excel!B"&amp;MATCH(V1,数出表_Excel!$A:$A,0)-1&amp;":U"&amp;MATCH(V1,数出表_Excel!$A:$A,0)-1&amp;"")),0)+65) &amp; "3"),"")))</f>
        <v/>
      </c>
      <c r="S2" s="80"/>
      <c r="T2" s="86" t="str">
        <f t="array" aca="1" ref="T2" ca="1">IF(U2&lt;&gt;"","",
IF(COUNTIF(R1,"*雙葉*"),"",
IF(R1&lt;&gt;"",
IFERROR(
INDEX('数出表_Excel（アレルギー入力）'!$4:$4,
 1,
MATCH(TRUE,INDIRECT("'数出表_Excel（アレルギー入力）'!B"&amp;MATCH(V1,数出表_Excel!$A:$A,0)-1&amp;":U"&amp;MATCH(V1,'数出表_Excel（アレルギー入力）'!$A:$A,0)-1&amp;"")&lt;&gt;"",0)+1
),
 "")
&amp;IFERROR(
INDEX('数出表_Excel（アレルギー入力）'!$5:$5,
 1,
MATCH(TRUE,INDIRECT("'数出表_Excel（アレルギー入力）'!B"&amp;MATCH(V1,数出表_Excel!$A:$A,0)-1&amp;":U"&amp;MATCH(V1,'数出表_Excel（アレルギー入力）'!$A:$A,0)-1&amp;"")&lt;&gt;"",0)+1),
 ""),"")))</f>
        <v/>
      </c>
      <c r="U2" s="87" t="str">
        <f t="array" aca="1" ref="U2" ca="1">IF(R2&lt;&gt;"",
IF(COUNTIF(R1,"*雙葉*"),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VLOOKUP('盛付札（関数）'!R2,商品マスタ一覧!$D:$J,7,FALSE))),0)),
IF(MATCH(TRUE,
ISNUMBER(--INDIRECT("数出表_Excel!B"&amp;MATCH(V1,数出表_Excel!$A:$A,0)-1&amp;":U"&amp;MATCH(V1,数出表_Excel!$A:$A,0)-1&amp;"")),0)&gt;10,
IF(R2&lt;&gt;"",
IF(IF(COUNTIF('盛付札（関数）'!R2,"*キャラ*"),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VLOOKUP('盛付札（関数）'!R2,商品マスタ一覧!$D:$J,7,FALSE)))=0,"",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VLOOKUP('盛付札（関数）'!R2,商品マスタ一覧!$D:$J,7,FALSE))),0))),""),"")),"")</f>
        <v/>
      </c>
      <c r="V2" s="100" t="str">
        <f ca="1">IF(U2&lt;&gt;"",IF(VALUE(IF(U7&lt;&gt;"",R4-U7,R4))&gt;VALUE(IF(COUNTIF('盛付札（関数）'!R2,"*キャラ*"),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
"+"&amp;IF(U7&lt;&gt;"",R4-U7,R4)-IF(COUNTIF('盛付札（関数）'!R2,"*キャラ*"),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VLOOKUP('盛付札（関数）'!R2,商品マスタ一覧!$D:$J,7,FALSE)))*U2,
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VLOOKUP('盛付札（関数）'!R2,商品マスタ一覧!$D:$J,7,FALSE)))*U2),"")</f>
        <v/>
      </c>
      <c r="W2" s="80">
        <f t="array" aca="1" ref="W2" ca="1">IF(INDIRECT("数出表_Excel!A"&amp;GetResult(W1))="社食",
GetResult(W1)+2,GetResult(W1))</f>
        <v>33</v>
      </c>
      <c r="X2" s="85" t="e">
        <f t="array" aca="1" ref="X2" ca="1">IF(Y4&lt;&gt;"",MATCH(TRUE,INDIRECT("数出表_Excel!B"&amp;MATCH(AC1,数出表_Excel!$A:$A,0)-1&amp;":U"&amp;MATCH(AC1,数出表_Excel!$A:$A,0)-1&amp;"")&lt;&gt;"",0)+1,"")</f>
        <v>#VALUE!</v>
      </c>
      <c r="Y2" s="62" t="str">
        <f t="array" aca="1" ref="Y2" ca="1">IF(COUNTIF(AC1,"*合計*"),"",
IF(IFERROR(INDIRECT("数出表_Excel!" &amp;
CHAR(MATCH(TRUE,
ISNUMBER(--INDIRECT("数出表_Excel!B"&amp;MATCH(AC1,数出表_Excel!$A:$A,0)-1&amp;":U"&amp;MATCH(AC1,数出表_Excel!$A:$A,0)-1&amp;"")),0)+65) &amp; "3"),0)=0,"",
IFERROR(INDIRECT("数出表_Excel!" &amp;
CHAR(MATCH(TRUE,
ISNUMBER(--INDIRECT("数出表_Excel!B"&amp;MATCH(AC1,数出表_Excel!$A:$A,0)-1&amp;":U"&amp;MATCH(AC1,数出表_Excel!$A:$A,0)-1&amp;"")),0)+65) &amp; "3"),"")))</f>
        <v/>
      </c>
      <c r="Z2" s="80"/>
      <c r="AA2" s="86" t="str">
        <f t="array" aca="1" ref="AA2" ca="1">IF(AB2&lt;&gt;"","",
IF(COUNTIF(Y1,"*雙葉*"),"",
IF(Y1&lt;&gt;"",
IFERROR(
INDEX('数出表_Excel（アレルギー入力）'!$4:$4,
 1,
MATCH(TRUE,INDIRECT("'数出表_Excel（アレルギー入力）'!B"&amp;MATCH(AC1,数出表_Excel!$A:$A,0)-1&amp;":U"&amp;MATCH(AC1,'数出表_Excel（アレルギー入力）'!$A:$A,0)-1&amp;"")&lt;&gt;"",0)+1
),
 "")
&amp;IFERROR(
INDEX('数出表_Excel（アレルギー入力）'!$5:$5,
 1,
MATCH(TRUE,INDIRECT("'数出表_Excel（アレルギー入力）'!B"&amp;MATCH(AC1,数出表_Excel!$A:$A,0)-1&amp;":U"&amp;MATCH(AC1,'数出表_Excel（アレルギー入力）'!$A:$A,0)-1&amp;"")&lt;&gt;"",0)+1),
 ""),"")))</f>
        <v/>
      </c>
      <c r="AB2" s="87" t="str">
        <f t="array" aca="1" ref="AB2" ca="1">IF(Y2&lt;&gt;"",
IF(COUNTIF(Y1,"*雙葉*"),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VLOOKUP('盛付札（関数）'!Y2,商品マスタ一覧!$D:$J,7,FALSE))),0)),
IF(MATCH(TRUE,
ISNUMBER(--INDIRECT("数出表_Excel!B"&amp;MATCH(AC1,数出表_Excel!$A:$A,0)-1&amp;":U"&amp;MATCH(AC1,数出表_Excel!$A:$A,0)-1&amp;"")),0)&gt;10,
IF(Y2&lt;&gt;"",
IF(IF(COUNTIF('盛付札（関数）'!Y2,"*キャラ*"),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VLOOKUP('盛付札（関数）'!Y2,商品マスタ一覧!$D:$J,7,FALSE)))=0,"",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VLOOKUP('盛付札（関数）'!Y2,商品マスタ一覧!$D:$J,7,FALSE))),0))),""),"")),"")</f>
        <v/>
      </c>
      <c r="AC2" s="96" t="str">
        <f ca="1">IF(AB2&lt;&gt;"",IF(VALUE(IF(AB7&lt;&gt;"",Y4-AB7,Y4))&gt;VALUE(IF(COUNTIF('盛付札（関数）'!Y2,"*キャラ*"),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
"+"&amp;IF(AB7&lt;&gt;"",Y4-AB7,Y4)-IF(COUNTIF('盛付札（関数）'!Y2,"*キャラ*"),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VLOOKUP('盛付札（関数）'!Y2,商品マスタ一覧!$D:$J,7,FALSE)))*AB2,
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VLOOKUP('盛付札（関数）'!Y2,商品マスタ一覧!$D:$J,7,FALSE)))*AB2),"")</f>
        <v/>
      </c>
      <c r="AD2" s="80"/>
      <c r="AE2" s="80">
        <f t="array" aca="1" ref="AE2" ca="1">IF(INDIRECT("数出表_Excel!A"&amp;GetResult(AE1))="社食",
GetResult(AE1)+2,GetResult(AE1))</f>
        <v>55</v>
      </c>
      <c r="AF2" s="85" t="e">
        <f t="array" aca="1" ref="AF2" ca="1">IF(AG4&lt;&gt;"",MATCH(TRUE,INDIRECT("数出表_Excel!B"&amp;MATCH(AK1,数出表_Excel!$A:$A,0)-1&amp;":U"&amp;MATCH(AK1,数出表_Excel!$A:$A,0)-1&amp;"")&lt;&gt;"",0)+1,"")</f>
        <v>#VALUE!</v>
      </c>
      <c r="AG2" s="62" t="str">
        <f t="array" aca="1" ref="AG2" ca="1">IF(COUNTIF(AK1,"*合計*"),"",
IF(IFERROR(INDIRECT("数出表_Excel!" &amp;
CHAR(MATCH(TRUE,
ISNUMBER(--INDIRECT("数出表_Excel!B"&amp;MATCH(AK1,数出表_Excel!$A:$A,0)-1&amp;":U"&amp;MATCH(AK1,数出表_Excel!$A:$A,0)-1&amp;"")),0)+65) &amp; "3"),0)=0,"",
IFERROR(INDIRECT("数出表_Excel!" &amp;
CHAR(MATCH(TRUE,
ISNUMBER(--INDIRECT("数出表_Excel!B"&amp;MATCH(AK1,数出表_Excel!$A:$A,0)-1&amp;":U"&amp;MATCH(AK1,数出表_Excel!$A:$A,0)-1&amp;"")),0)+65) &amp; "3"),"")))</f>
        <v/>
      </c>
      <c r="AH2" s="80"/>
      <c r="AI2" s="86" t="str">
        <f t="array" aca="1" ref="AI2" ca="1">IF(AJ2&lt;&gt;"","",
IF(COUNTIF(AG1,"*雙葉*"),"",
IF(AG1&lt;&gt;"",
IFERROR(
INDEX('数出表_Excel（アレルギー入力）'!$4:$4,
 1,
MATCH(TRUE,INDIRECT("'数出表_Excel（アレルギー入力）'!B"&amp;MATCH(AK1,数出表_Excel!$A:$A,0)-1&amp;":U"&amp;MATCH(AK1,'数出表_Excel（アレルギー入力）'!$A:$A,0)-1&amp;"")&lt;&gt;"",0)+1
),
 "")
&amp;IFERROR(
INDEX('数出表_Excel（アレルギー入力）'!$5:$5,
 1,
MATCH(TRUE,INDIRECT("'数出表_Excel（アレルギー入力）'!B"&amp;MATCH(AK1,数出表_Excel!$A:$A,0)-1&amp;":U"&amp;MATCH(AK1,'数出表_Excel（アレルギー入力）'!$A:$A,0)-1&amp;"")&lt;&gt;"",0)+1),
 ""),"")))</f>
        <v/>
      </c>
      <c r="AJ2" s="87" t="str">
        <f t="array" aca="1" ref="AJ2" ca="1">IF(AG2&lt;&gt;"",
IF(COUNTIF(AG1,"*雙葉*"),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VLOOKUP('盛付札（関数）'!AG2,商品マスタ一覧!$D:$J,7,FALSE))),0)),
IF(MATCH(TRUE,
ISNUMBER(--INDIRECT("数出表_Excel!B"&amp;MATCH(AK1,数出表_Excel!$A:$A,0)-1&amp;":U"&amp;MATCH(AK1,数出表_Excel!$A:$A,0)-1&amp;"")),0)&gt;10,
IF(AG2&lt;&gt;"",
IF(IF(COUNTIF('盛付札（関数）'!AG2,"*キャラ*"),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VLOOKUP('盛付札（関数）'!AG2,商品マスタ一覧!$D:$J,7,FALSE)))=0,"",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VLOOKUP('盛付札（関数）'!AG2,商品マスタ一覧!$D:$J,7,FALSE))),0))),""),"")),"")</f>
        <v/>
      </c>
      <c r="AK2" s="100" t="str">
        <f ca="1">IF(AJ2&lt;&gt;"",IF(VALUE(IF(AJ7&lt;&gt;"",AG4-AJ7,AG4))&gt;VALUE(IF(COUNTIF('盛付札（関数）'!AG2,"*キャラ*"),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
"+"&amp;IF(AJ7&lt;&gt;"",AG4-AJ7,AG4)-IF(COUNTIF('盛付札（関数）'!AG2,"*キャラ*"),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VLOOKUP('盛付札（関数）'!AG2,商品マスタ一覧!$D:$J,7,FALSE)))*AJ2,
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VLOOKUP('盛付札（関数）'!AG2,商品マスタ一覧!$D:$J,7,FALSE)))*AJ2),"")</f>
        <v/>
      </c>
      <c r="AL2" s="80">
        <f t="array" aca="1" ref="AL2" ca="1">IF(INDIRECT("数出表_Excel!A"&amp;GetResult(AL1))="社食",
GetResult(AL1)+2,GetResult(AL1))</f>
        <v>57</v>
      </c>
      <c r="AM2" s="85" t="e">
        <f t="array" aca="1" ref="AM2" ca="1">IF(AN4&lt;&gt;"",MATCH(TRUE,INDIRECT("数出表_Excel!B"&amp;MATCH(AR1,数出表_Excel!$A:$A,0)-1&amp;":U"&amp;MATCH(AR1,数出表_Excel!$A:$A,0)-1&amp;"")&lt;&gt;"",0)+1,"")</f>
        <v>#VALUE!</v>
      </c>
      <c r="AN2" s="62" t="str">
        <f t="array" aca="1" ref="AN2" ca="1">IF(COUNTIF(AR1,"*合計*"),"",
IF(IFERROR(INDIRECT("数出表_Excel!" &amp;
CHAR(MATCH(TRUE,
ISNUMBER(--INDIRECT("数出表_Excel!B"&amp;MATCH(AR1,数出表_Excel!$A:$A,0)-1&amp;":U"&amp;MATCH(AR1,数出表_Excel!$A:$A,0)-1&amp;"")),0)+65) &amp; "3"),0)=0,"",
IFERROR(INDIRECT("数出表_Excel!" &amp;
CHAR(MATCH(TRUE,
ISNUMBER(--INDIRECT("数出表_Excel!B"&amp;MATCH(AR1,数出表_Excel!$A:$A,0)-1&amp;":U"&amp;MATCH(AR1,数出表_Excel!$A:$A,0)-1&amp;"")),0)+65) &amp; "3"),"")))</f>
        <v/>
      </c>
      <c r="AO2" s="80"/>
      <c r="AP2" s="86" t="str">
        <f t="array" aca="1" ref="AP2" ca="1">IF(AQ2&lt;&gt;"","",
IF(COUNTIF(AN1,"*雙葉*"),"",
IF(AN1&lt;&gt;"",
IFERROR(
INDEX('数出表_Excel（アレルギー入力）'!$4:$4,
 1,
MATCH(TRUE,INDIRECT("'数出表_Excel（アレルギー入力）'!B"&amp;MATCH(AR1,数出表_Excel!$A:$A,0)-1&amp;":U"&amp;MATCH(AR1,'数出表_Excel（アレルギー入力）'!$A:$A,0)-1&amp;"")&lt;&gt;"",0)+1
),
 "")
&amp;IFERROR(
INDEX('数出表_Excel（アレルギー入力）'!$5:$5,
 1,
MATCH(TRUE,INDIRECT("'数出表_Excel（アレルギー入力）'!B"&amp;MATCH(AR1,数出表_Excel!$A:$A,0)-1&amp;":U"&amp;MATCH(AR1,'数出表_Excel（アレルギー入力）'!$A:$A,0)-1&amp;"")&lt;&gt;"",0)+1),
 ""),"")))</f>
        <v/>
      </c>
      <c r="AQ2" s="87" t="str">
        <f t="array" aca="1" ref="AQ2" ca="1">IF(AN2&lt;&gt;"",
IF(COUNTIF(AN1,"*雙葉*"),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VLOOKUP('盛付札（関数）'!AN2,商品マスタ一覧!$D:$J,7,FALSE))),0)),
IF(MATCH(TRUE,
ISNUMBER(--INDIRECT("数出表_Excel!B"&amp;MATCH(AR1,数出表_Excel!$A:$A,0)-1&amp;":U"&amp;MATCH(AR1,数出表_Excel!$A:$A,0)-1&amp;"")),0)&gt;10,
IF(AN2&lt;&gt;"",
IF(IF(COUNTIF('盛付札（関数）'!AN2,"*キャラ*"),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VLOOKUP('盛付札（関数）'!AN2,商品マスタ一覧!$D:$J,7,FALSE)))=0,"",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VLOOKUP('盛付札（関数）'!AN2,商品マスタ一覧!$D:$J,7,FALSE))),0))),""),"")),"")</f>
        <v/>
      </c>
      <c r="AR2" s="96" t="str">
        <f ca="1">IF(AQ2&lt;&gt;"",IF(VALUE(IF(AQ7&lt;&gt;"",AN4-AQ7,AN4))&gt;VALUE(IF(COUNTIF('盛付札（関数）'!AN2,"*キャラ*"),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
"+"&amp;IF(AQ7&lt;&gt;"",AN4-AQ7,AN4)-IF(COUNTIF('盛付札（関数）'!AN2,"*キャラ*"),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VLOOKUP('盛付札（関数）'!AN2,商品マスタ一覧!$D:$J,7,FALSE)))*AQ2,
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VLOOKUP('盛付札（関数）'!AN2,商品マスタ一覧!$D:$J,7,FALSE)))*AQ2),"")</f>
        <v/>
      </c>
      <c r="AS2" s="80"/>
      <c r="AT2" s="80">
        <f t="array" aca="1" ref="AT2" ca="1">IF(INDIRECT("数出表_Excel!A"&amp;GetResult(AT1))="社食",
GetResult(AT1)+2,GetResult(AT1))</f>
        <v>79</v>
      </c>
      <c r="AU2" s="85" t="e">
        <f t="array" aca="1" ref="AU2" ca="1">IF(AV4&lt;&gt;"",MATCH(TRUE,INDIRECT("数出表_Excel!B"&amp;MATCH(AZ1,数出表_Excel!$A:$A,0)-1&amp;":U"&amp;MATCH(AZ1,数出表_Excel!$A:$A,0)-1&amp;"")&lt;&gt;"",0)+1,"")</f>
        <v>#VALUE!</v>
      </c>
      <c r="AV2" s="62" t="str">
        <f t="array" aca="1" ref="AV2" ca="1">IF(COUNTIF(AZ1,"*合計*"),"",
IF(IFERROR(INDIRECT("数出表_Excel!" &amp;
CHAR(MATCH(TRUE,
ISNUMBER(--INDIRECT("数出表_Excel!B"&amp;MATCH(AZ1,数出表_Excel!$A:$A,0)-1&amp;":U"&amp;MATCH(AZ1,数出表_Excel!$A:$A,0)-1&amp;"")),0)+65) &amp; "3"),0)=0,"",
IFERROR(INDIRECT("数出表_Excel!" &amp;
CHAR(MATCH(TRUE,
ISNUMBER(--INDIRECT("数出表_Excel!B"&amp;MATCH(AZ1,数出表_Excel!$A:$A,0)-1&amp;":U"&amp;MATCH(AZ1,数出表_Excel!$A:$A,0)-1&amp;"")),0)+65) &amp; "3"),"")))</f>
        <v/>
      </c>
      <c r="AW2" s="80"/>
      <c r="AX2" s="86" t="str">
        <f t="array" aca="1" ref="AX2" ca="1">IF(AY2&lt;&gt;"","",
IF(COUNTIF(AV1,"*雙葉*"),"",
IF(AV1&lt;&gt;"",
IFERROR(
INDEX('数出表_Excel（アレルギー入力）'!$4:$4,
 1,
MATCH(TRUE,INDIRECT("'数出表_Excel（アレルギー入力）'!B"&amp;MATCH(AZ1,数出表_Excel!$A:$A,0)-1&amp;":U"&amp;MATCH(AZ1,'数出表_Excel（アレルギー入力）'!$A:$A,0)-1&amp;"")&lt;&gt;"",0)+1
),
 "")
&amp;IFERROR(
INDEX('数出表_Excel（アレルギー入力）'!$5:$5,
 1,
MATCH(TRUE,INDIRECT("'数出表_Excel（アレルギー入力）'!B"&amp;MATCH(AZ1,数出表_Excel!$A:$A,0)-1&amp;":U"&amp;MATCH(AZ1,'数出表_Excel（アレルギー入力）'!$A:$A,0)-1&amp;"")&lt;&gt;"",0)+1),
 ""),"")))</f>
        <v/>
      </c>
      <c r="AY2" s="87" t="str">
        <f t="array" aca="1" ref="AY2" ca="1">IF(AV2&lt;&gt;"",
IF(COUNTIF(AV1,"*雙葉*"),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VLOOKUP('盛付札（関数）'!AV2,商品マスタ一覧!$D:$J,7,FALSE))),0)),
IF(MATCH(TRUE,
ISNUMBER(--INDIRECT("数出表_Excel!B"&amp;MATCH(AZ1,数出表_Excel!$A:$A,0)-1&amp;":U"&amp;MATCH(AZ1,数出表_Excel!$A:$A,0)-1&amp;"")),0)&gt;10,
IF(AV2&lt;&gt;"",
IF(IF(COUNTIF('盛付札（関数）'!AV2,"*キャラ*"),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VLOOKUP('盛付札（関数）'!AV2,商品マスタ一覧!$D:$J,7,FALSE)))=0,"",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VLOOKUP('盛付札（関数）'!AV2,商品マスタ一覧!$D:$J,7,FALSE))),0))),""),"")),"")</f>
        <v/>
      </c>
      <c r="AZ2" s="100" t="str">
        <f ca="1">IF(AY2&lt;&gt;"",IF(VALUE(IF(AY7&lt;&gt;"",AV4-AY7,AV4))&gt;VALUE(IF(COUNTIF('盛付札（関数）'!AV2,"*キャラ*"),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
"+"&amp;IF(AY7&lt;&gt;"",AV4-AY7,AV4)-IF(COUNTIF('盛付札（関数）'!AV2,"*キャラ*"),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VLOOKUP('盛付札（関数）'!AV2,商品マスタ一覧!$D:$J,7,FALSE)))*AY2,
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VLOOKUP('盛付札（関数）'!AV2,商品マスタ一覧!$D:$J,7,FALSE)))*AY2),"")</f>
        <v/>
      </c>
      <c r="BA2" s="80">
        <f t="array" aca="1" ref="BA2" ca="1">IF(INDIRECT("数出表_Excel!A"&amp;GetResult(BA1))="社食",
GetResult(BA1)+2,GetResult(BA1))</f>
        <v>81</v>
      </c>
      <c r="BB2" s="85" t="e">
        <f t="array" aca="1" ref="BB2" ca="1">IF(BC4&lt;&gt;"",MATCH(TRUE,INDIRECT("数出表_Excel!B"&amp;MATCH(BG1,数出表_Excel!$A:$A,0)-1&amp;":U"&amp;MATCH(BG1,数出表_Excel!$A:$A,0)-1&amp;"")&lt;&gt;"",0)+1,"")</f>
        <v>#VALUE!</v>
      </c>
      <c r="BC2" s="62" t="str">
        <f t="array" aca="1" ref="BC2" ca="1">IF(COUNTIF(BG1,"*合計*"),"",
IF(IFERROR(INDIRECT("数出表_Excel!" &amp;
CHAR(MATCH(TRUE,
ISNUMBER(--INDIRECT("数出表_Excel!B"&amp;MATCH(BG1,数出表_Excel!$A:$A,0)-1&amp;":U"&amp;MATCH(BG1,数出表_Excel!$A:$A,0)-1&amp;"")),0)+65) &amp; "3"),0)=0,"",
IFERROR(INDIRECT("数出表_Excel!" &amp;
CHAR(MATCH(TRUE,
ISNUMBER(--INDIRECT("数出表_Excel!B"&amp;MATCH(BG1,数出表_Excel!$A:$A,0)-1&amp;":U"&amp;MATCH(BG1,数出表_Excel!$A:$A,0)-1&amp;"")),0)+65) &amp; "3"),"")))</f>
        <v/>
      </c>
      <c r="BD2" s="80"/>
      <c r="BE2" s="86" t="str">
        <f t="array" aca="1" ref="BE2" ca="1">IF(BF2&lt;&gt;"","",
IF(COUNTIF(BC1,"*雙葉*"),"",
IF(BC1&lt;&gt;"",
IFERROR(
INDEX('数出表_Excel（アレルギー入力）'!$4:$4,
 1,
MATCH(TRUE,INDIRECT("'数出表_Excel（アレルギー入力）'!B"&amp;MATCH(BG1,数出表_Excel!$A:$A,0)-1&amp;":U"&amp;MATCH(BG1,'数出表_Excel（アレルギー入力）'!$A:$A,0)-1&amp;"")&lt;&gt;"",0)+1
),
 "")
&amp;IFERROR(
INDEX('数出表_Excel（アレルギー入力）'!$5:$5,
 1,
MATCH(TRUE,INDIRECT("'数出表_Excel（アレルギー入力）'!B"&amp;MATCH(BG1,数出表_Excel!$A:$A,0)-1&amp;":U"&amp;MATCH(BG1,'数出表_Excel（アレルギー入力）'!$A:$A,0)-1&amp;"")&lt;&gt;"",0)+1),
 ""),"")))</f>
        <v/>
      </c>
      <c r="BF2" s="87" t="str">
        <f t="array" aca="1" ref="BF2" ca="1">IF(BC2&lt;&gt;"",
IF(COUNTIF(BC1,"*雙葉*"),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VLOOKUP('盛付札（関数）'!BC2,商品マスタ一覧!$D:$J,7,FALSE))),0)),
IF(MATCH(TRUE,
ISNUMBER(--INDIRECT("数出表_Excel!B"&amp;MATCH(BG1,数出表_Excel!$A:$A,0)-1&amp;":U"&amp;MATCH(BG1,数出表_Excel!$A:$A,0)-1&amp;"")),0)&gt;10,
IF(BC2&lt;&gt;"",
IF(IF(COUNTIF('盛付札（関数）'!BC2,"*キャラ*"),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VLOOKUP('盛付札（関数）'!BC2,商品マスタ一覧!$D:$J,7,FALSE)))=0,"",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VLOOKUP('盛付札（関数）'!BC2,商品マスタ一覧!$D:$J,7,FALSE))),0))),""),"")),"")</f>
        <v/>
      </c>
      <c r="BG2" s="96" t="str">
        <f ca="1">IF(BF2&lt;&gt;"",IF(VALUE(IF(BF7&lt;&gt;"",BC4-BF7,BC4))&gt;VALUE(IF(COUNTIF('盛付札（関数）'!BC2,"*キャラ*"),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
"+"&amp;IF(BF7&lt;&gt;"",BC4-BF7,BC4)-IF(COUNTIF('盛付札（関数）'!BC2,"*キャラ*"),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VLOOKUP('盛付札（関数）'!BC2,商品マスタ一覧!$D:$J,7,FALSE)))*BF2,
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VLOOKUP('盛付札（関数）'!BC2,商品マスタ一覧!$D:$J,7,FALSE)))*BF2),"")</f>
        <v/>
      </c>
      <c r="BH2" s="80"/>
      <c r="BI2" s="80">
        <f t="array" aca="1" ref="BI2" ca="1">IF(INDIRECT("数出表_Excel!A"&amp;GetResult(BI1))="社食",
GetResult(BI1)+2,GetResult(BI1))</f>
        <v>103</v>
      </c>
      <c r="BJ2" s="85" t="e">
        <f t="array" aca="1" ref="BJ2" ca="1">IF(BK4&lt;&gt;"",MATCH(TRUE,INDIRECT("数出表_Excel!B"&amp;MATCH(BO1,数出表_Excel!$A:$A,0)-1&amp;":U"&amp;MATCH(BO1,数出表_Excel!$A:$A,0)-1&amp;"")&lt;&gt;"",0)+1,"")</f>
        <v>#VALUE!</v>
      </c>
      <c r="BK2" s="62" t="str">
        <f t="array" aca="1" ref="BK2" ca="1">IF(COUNTIF(BO1,"*合計*"),"",
IF(IFERROR(INDIRECT("数出表_Excel!" &amp;
CHAR(MATCH(TRUE,
ISNUMBER(--INDIRECT("数出表_Excel!B"&amp;MATCH(BO1,数出表_Excel!$A:$A,0)-1&amp;":U"&amp;MATCH(BO1,数出表_Excel!$A:$A,0)-1&amp;"")),0)+65) &amp; "3"),0)=0,"",
IFERROR(INDIRECT("数出表_Excel!" &amp;
CHAR(MATCH(TRUE,
ISNUMBER(--INDIRECT("数出表_Excel!B"&amp;MATCH(BO1,数出表_Excel!$A:$A,0)-1&amp;":U"&amp;MATCH(BO1,数出表_Excel!$A:$A,0)-1&amp;"")),0)+65) &amp; "3"),"")))</f>
        <v/>
      </c>
      <c r="BL2" s="80"/>
      <c r="BM2" s="86" t="str">
        <f t="array" aca="1" ref="BM2" ca="1">IF(BN2&lt;&gt;"","",
IF(COUNTIF(BK1,"*雙葉*"),"",
IF(BK1&lt;&gt;"",
IFERROR(
INDEX('数出表_Excel（アレルギー入力）'!$4:$4,
 1,
MATCH(TRUE,INDIRECT("'数出表_Excel（アレルギー入力）'!B"&amp;MATCH(BO1,数出表_Excel!$A:$A,0)-1&amp;":U"&amp;MATCH(BO1,'数出表_Excel（アレルギー入力）'!$A:$A,0)-1&amp;"")&lt;&gt;"",0)+1
),
 "")
&amp;IFERROR(
INDEX('数出表_Excel（アレルギー入力）'!$5:$5,
 1,
MATCH(TRUE,INDIRECT("'数出表_Excel（アレルギー入力）'!B"&amp;MATCH(BO1,数出表_Excel!$A:$A,0)-1&amp;":U"&amp;MATCH(BO1,'数出表_Excel（アレルギー入力）'!$A:$A,0)-1&amp;"")&lt;&gt;"",0)+1),
 ""),"")))</f>
        <v/>
      </c>
      <c r="BN2" s="87" t="str">
        <f t="array" aca="1" ref="BN2" ca="1">IF(BK2&lt;&gt;"",
IF(COUNTIF(BK1,"*雙葉*"),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VLOOKUP('盛付札（関数）'!BK2,商品マスタ一覧!$D:$J,7,FALSE))),0)),
IF(MATCH(TRUE,
ISNUMBER(--INDIRECT("数出表_Excel!B"&amp;MATCH(BO1,数出表_Excel!$A:$A,0)-1&amp;":U"&amp;MATCH(BO1,数出表_Excel!$A:$A,0)-1&amp;"")),0)&gt;10,
IF(BK2&lt;&gt;"",
IF(IF(COUNTIF('盛付札（関数）'!BK2,"*キャラ*"),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VLOOKUP('盛付札（関数）'!BK2,商品マスタ一覧!$D:$J,7,FALSE)))=0,"",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VLOOKUP('盛付札（関数）'!BK2,商品マスタ一覧!$D:$J,7,FALSE))),0))),""),"")),"")</f>
        <v/>
      </c>
      <c r="BO2" s="100" t="str">
        <f ca="1">IF(BN2&lt;&gt;"",IF(VALUE(IF(BN7&lt;&gt;"",BK4-BN7,BK4))&gt;VALUE(IF(COUNTIF('盛付札（関数）'!BK2,"*キャラ*"),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
"+"&amp;IF(BN7&lt;&gt;"",BK4-BN7,BK4)-IF(COUNTIF('盛付札（関数）'!BK2,"*キャラ*"),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VLOOKUP('盛付札（関数）'!BK2,商品マスタ一覧!$D:$J,7,FALSE)))*BN2,
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VLOOKUP('盛付札（関数）'!BK2,商品マスタ一覧!$D:$J,7,FALSE)))*BN2),"")</f>
        <v/>
      </c>
      <c r="BP2" s="80">
        <f t="array" aca="1" ref="BP2" ca="1">IF(INDIRECT("数出表_Excel!A"&amp;GetResult(BP1))="社食",
GetResult(BP1)+2,GetResult(BP1))</f>
        <v>105</v>
      </c>
      <c r="BQ2" s="85" t="e">
        <f t="array" aca="1" ref="BQ2" ca="1">IF(BR4&lt;&gt;"",MATCH(TRUE,INDIRECT("数出表_Excel!B"&amp;MATCH(BV1,数出表_Excel!$A:$A,0)-1&amp;":U"&amp;MATCH(BV1,数出表_Excel!$A:$A,0)-1&amp;"")&lt;&gt;"",0)+1,"")</f>
        <v>#VALUE!</v>
      </c>
      <c r="BR2" s="62" t="str">
        <f t="array" aca="1" ref="BR2" ca="1">IF(COUNTIF(BV1,"*合計*"),"",
IF(IFERROR(INDIRECT("数出表_Excel!" &amp;
CHAR(MATCH(TRUE,
ISNUMBER(--INDIRECT("数出表_Excel!B"&amp;MATCH(BV1,数出表_Excel!$A:$A,0)-1&amp;":U"&amp;MATCH(BV1,数出表_Excel!$A:$A,0)-1&amp;"")),0)+65) &amp; "3"),0)=0,"",
IFERROR(INDIRECT("数出表_Excel!" &amp;
CHAR(MATCH(TRUE,
ISNUMBER(--INDIRECT("数出表_Excel!B"&amp;MATCH(BV1,数出表_Excel!$A:$A,0)-1&amp;":U"&amp;MATCH(BV1,数出表_Excel!$A:$A,0)-1&amp;"")),0)+65) &amp; "3"),"")))</f>
        <v/>
      </c>
      <c r="BS2" s="80"/>
      <c r="BT2" s="86" t="str">
        <f t="array" aca="1" ref="BT2" ca="1">IF(BU2&lt;&gt;"","",
IF(COUNTIF(BR1,"*雙葉*"),"",
IF(BR1&lt;&gt;"",
IFERROR(
INDEX('数出表_Excel（アレルギー入力）'!$4:$4,
 1,
MATCH(TRUE,INDIRECT("'数出表_Excel（アレルギー入力）'!B"&amp;MATCH(BV1,数出表_Excel!$A:$A,0)-1&amp;":U"&amp;MATCH(BV1,'数出表_Excel（アレルギー入力）'!$A:$A,0)-1&amp;"")&lt;&gt;"",0)+1
),
 "")
&amp;IFERROR(
INDEX('数出表_Excel（アレルギー入力）'!$5:$5,
 1,
MATCH(TRUE,INDIRECT("'数出表_Excel（アレルギー入力）'!B"&amp;MATCH(BV1,数出表_Excel!$A:$A,0)-1&amp;":U"&amp;MATCH(BV1,'数出表_Excel（アレルギー入力）'!$A:$A,0)-1&amp;"")&lt;&gt;"",0)+1),
 ""),"")))</f>
        <v/>
      </c>
      <c r="BU2" s="87" t="str">
        <f t="array" aca="1" ref="BU2" ca="1">IF(BR2&lt;&gt;"",
IF(COUNTIF(BR1,"*雙葉*"),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VLOOKUP('盛付札（関数）'!BR2,商品マスタ一覧!$D:$J,7,FALSE))),0)),
IF(MATCH(TRUE,
ISNUMBER(--INDIRECT("数出表_Excel!B"&amp;MATCH(BV1,数出表_Excel!$A:$A,0)-1&amp;":U"&amp;MATCH(BV1,数出表_Excel!$A:$A,0)-1&amp;"")),0)&gt;10,
IF(BR2&lt;&gt;"",
IF(IF(COUNTIF('盛付札（関数）'!BR2,"*キャラ*"),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VLOOKUP('盛付札（関数）'!BR2,商品マスタ一覧!$D:$J,7,FALSE)))=0,"",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VLOOKUP('盛付札（関数）'!BR2,商品マスタ一覧!$D:$J,7,FALSE))),0))),""),"")),"")</f>
        <v/>
      </c>
      <c r="BV2" s="96" t="str">
        <f ca="1">IF(BU2&lt;&gt;"",IF(VALUE(IF(BU7&lt;&gt;"",BR4-BU7,BR4))&gt;VALUE(IF(COUNTIF('盛付札（関数）'!BR2,"*キャラ*"),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
"+"&amp;IF(BU7&lt;&gt;"",BR4-BU7,BR4)-IF(COUNTIF('盛付札（関数）'!BR2,"*キャラ*"),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VLOOKUP('盛付札（関数）'!BR2,商品マスタ一覧!$D:$J,7,FALSE)))*BU2,
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VLOOKUP('盛付札（関数）'!BR2,商品マスタ一覧!$D:$J,7,FALSE)))*BU2),"")</f>
        <v/>
      </c>
      <c r="BW2" s="80"/>
      <c r="BX2" s="80">
        <f t="array" aca="1" ref="BX2" ca="1">IF(INDIRECT("数出表_Excel!A"&amp;GetResult(BX1))="社食",
GetResult(BX1)+2,GetResult(BX1))</f>
        <v>127</v>
      </c>
      <c r="BY2" s="85" t="e">
        <f t="array" aca="1" ref="BY2" ca="1">IF(BZ4&lt;&gt;"",MATCH(TRUE,INDIRECT("数出表_Excel!B"&amp;MATCH(CD1,数出表_Excel!$A:$A,0)-1&amp;":U"&amp;MATCH(CD1,数出表_Excel!$A:$A,0)-1&amp;"")&lt;&gt;"",0)+1,"")</f>
        <v>#VALUE!</v>
      </c>
      <c r="BZ2" s="62" t="str">
        <f t="array" aca="1" ref="BZ2" ca="1">IF(COUNTIF(CD1,"*合計*"),"",
IF(IFERROR(INDIRECT("数出表_Excel!" &amp;
CHAR(MATCH(TRUE,
ISNUMBER(--INDIRECT("数出表_Excel!B"&amp;MATCH(CD1,数出表_Excel!$A:$A,0)-1&amp;":U"&amp;MATCH(CD1,数出表_Excel!$A:$A,0)-1&amp;"")),0)+65) &amp; "3"),0)=0,"",
IFERROR(INDIRECT("数出表_Excel!" &amp;
CHAR(MATCH(TRUE,
ISNUMBER(--INDIRECT("数出表_Excel!B"&amp;MATCH(CD1,数出表_Excel!$A:$A,0)-1&amp;":U"&amp;MATCH(CD1,数出表_Excel!$A:$A,0)-1&amp;"")),0)+65) &amp; "3"),"")))</f>
        <v/>
      </c>
      <c r="CA2" s="80"/>
      <c r="CB2" s="86" t="str">
        <f t="array" aca="1" ref="CB2" ca="1">IF(CC2&lt;&gt;"","",
IF(COUNTIF(BZ1,"*雙葉*"),"",
IF(BZ1&lt;&gt;"",
IFERROR(
INDEX('数出表_Excel（アレルギー入力）'!$4:$4,
 1,
MATCH(TRUE,INDIRECT("'数出表_Excel（アレルギー入力）'!B"&amp;MATCH(CD1,数出表_Excel!$A:$A,0)-1&amp;":U"&amp;MATCH(CD1,'数出表_Excel（アレルギー入力）'!$A:$A,0)-1&amp;"")&lt;&gt;"",0)+1
),
 "")
&amp;IFERROR(
INDEX('数出表_Excel（アレルギー入力）'!$5:$5,
 1,
MATCH(TRUE,INDIRECT("'数出表_Excel（アレルギー入力）'!B"&amp;MATCH(CD1,数出表_Excel!$A:$A,0)-1&amp;":U"&amp;MATCH(CD1,'数出表_Excel（アレルギー入力）'!$A:$A,0)-1&amp;"")&lt;&gt;"",0)+1),
 ""),"")))</f>
        <v/>
      </c>
      <c r="CC2" s="87" t="str">
        <f t="array" aca="1" ref="CC2" ca="1">IF(BZ2&lt;&gt;"",
IF(COUNTIF(BZ1,"*雙葉*"),
IF(ROUND(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VLOOKUP('盛付札（関数）'!BZ2,商品マスタ一覧!$D:$J,7,FALSE))),0)&lt;=0,1,
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VLOOKUP('盛付札（関数）'!BZ2,商品マスタ一覧!$D:$J,7,FALSE))),0)),
IF(MATCH(TRUE,
ISNUMBER(--INDIRECT("数出表_Excel!B"&amp;MATCH(CD1,数出表_Excel!$A:$A,0)-1&amp;":U"&amp;MATCH(CD1,数出表_Excel!$A:$A,0)-1&amp;"")),0)&gt;10,
IF(BZ2&lt;&gt;"",
IF(IF(COUNTIF('盛付札（関数）'!BZ2,"*キャラ*"),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VLOOKUP('盛付札（関数）'!BZ2,商品マスタ一覧!$D:$J,7,FALSE)))=0,"",
IF(ROUND(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VLOOKUP('盛付札（関数）'!BZ2,商品マスタ一覧!$D:$J,7,FALSE))),0)&lt;=0,1,
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VLOOKUP('盛付札（関数）'!BZ2,商品マスタ一覧!$D:$J,7,FALSE))),0))),""),"")),"")</f>
        <v/>
      </c>
      <c r="CD2" s="100" t="str">
        <f ca="1">IF(CC2&lt;&gt;"",IF(VALUE(IF(CC7&lt;&gt;"",BZ4-CC7,BZ4))&gt;VALUE(IF(COUNTIF('盛付札（関数）'!BZ2,"*キャラ*"),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VLOOKUP('盛付札（関数）'!BZ2,商品マスタ一覧!$D:$J,7,FALSE)))*CC2),
"+"&amp;IF(CC7&lt;&gt;"",BZ4-CC7,BZ4)-IF(COUNTIF('盛付札（関数）'!BZ2,"*キャラ*"),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VLOOKUP('盛付札（関数）'!BZ2,商品マスタ一覧!$D:$J,7,FALSE)))*CC2,
IF(CC7&lt;&gt;"",BZ4-CC7,BZ4)-IF(COUNTIF('盛付札（関数）'!BZ2,"*キャラ*"),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VLOOKUP('盛付札（関数）'!BZ2,商品マスタ一覧!$D:$J,7,FALSE)))*CC2),"")</f>
        <v/>
      </c>
      <c r="CE2" s="80">
        <f t="array" aca="1" ref="CE2" ca="1">IF(INDIRECT("数出表_Excel!A"&amp;GetResult(CE1))="社食",
GetResult(CE1)+2,GetResult(CE1))</f>
        <v>129</v>
      </c>
      <c r="CF2" s="85" t="e">
        <f t="array" aca="1" ref="CF2" ca="1">IF(CG4&lt;&gt;"",MATCH(TRUE,INDIRECT("数出表_Excel!B"&amp;MATCH(CK1,数出表_Excel!$A:$A,0)-1&amp;":U"&amp;MATCH(CK1,数出表_Excel!$A:$A,0)-1&amp;"")&lt;&gt;"",0)+1,"")</f>
        <v>#VALUE!</v>
      </c>
      <c r="CG2" s="62" t="str">
        <f t="array" aca="1" ref="CG2" ca="1">IF(COUNTIF(CK1,"*合計*"),"",
IF(IFERROR(INDIRECT("数出表_Excel!" &amp;
CHAR(MATCH(TRUE,
ISNUMBER(--INDIRECT("数出表_Excel!B"&amp;MATCH(CK1,数出表_Excel!$A:$A,0)-1&amp;":U"&amp;MATCH(CK1,数出表_Excel!$A:$A,0)-1&amp;"")),0)+65) &amp; "3"),0)=0,"",
IFERROR(INDIRECT("数出表_Excel!" &amp;
CHAR(MATCH(TRUE,
ISNUMBER(--INDIRECT("数出表_Excel!B"&amp;MATCH(CK1,数出表_Excel!$A:$A,0)-1&amp;":U"&amp;MATCH(CK1,数出表_Excel!$A:$A,0)-1&amp;"")),0)+65) &amp; "3"),"")))</f>
        <v/>
      </c>
      <c r="CH2" s="80"/>
      <c r="CI2" s="86" t="str">
        <f t="array" aca="1" ref="CI2" ca="1">IF(CJ2&lt;&gt;"","",
IF(COUNTIF(CG1,"*雙葉*"),"",
IF(CG1&lt;&gt;"",
IFERROR(
INDEX('数出表_Excel（アレルギー入力）'!$4:$4,
 1,
MATCH(TRUE,INDIRECT("'数出表_Excel（アレルギー入力）'!B"&amp;MATCH(CK1,数出表_Excel!$A:$A,0)-1&amp;":U"&amp;MATCH(CK1,'数出表_Excel（アレルギー入力）'!$A:$A,0)-1&amp;"")&lt;&gt;"",0)+1
),
 "")
&amp;IFERROR(
INDEX('数出表_Excel（アレルギー入力）'!$5:$5,
 1,
MATCH(TRUE,INDIRECT("'数出表_Excel（アレルギー入力）'!B"&amp;MATCH(CK1,数出表_Excel!$A:$A,0)-1&amp;":U"&amp;MATCH(CK1,'数出表_Excel（アレルギー入力）'!$A:$A,0)-1&amp;"")&lt;&gt;"",0)+1),
 ""),"")))</f>
        <v/>
      </c>
      <c r="CJ2" s="87" t="str">
        <f t="array" aca="1" ref="CJ2" ca="1">IF(CG2&lt;&gt;"",
IF(COUNTIF(CG1,"*雙葉*"),
IF(ROUND(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VLOOKUP('盛付札（関数）'!CG2,商品マスタ一覧!$D:$J,7,FALSE))),0)&lt;=0,1,
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VLOOKUP('盛付札（関数）'!CG2,商品マスタ一覧!$D:$J,7,FALSE))),0)),
IF(MATCH(TRUE,
ISNUMBER(--INDIRECT("数出表_Excel!B"&amp;MATCH(CK1,数出表_Excel!$A:$A,0)-1&amp;":U"&amp;MATCH(CK1,数出表_Excel!$A:$A,0)-1&amp;"")),0)&gt;10,
IF(CG2&lt;&gt;"",
IF(IF(COUNTIF('盛付札（関数）'!CG2,"*キャラ*"),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VLOOKUP('盛付札（関数）'!CG2,商品マスタ一覧!$D:$J,7,FALSE)))=0,"",
IF(ROUND(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VLOOKUP('盛付札（関数）'!CG2,商品マスタ一覧!$D:$J,7,FALSE))),0)&lt;=0,1,
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VLOOKUP('盛付札（関数）'!CG2,商品マスタ一覧!$D:$J,7,FALSE))),0))),""),"")),"")</f>
        <v/>
      </c>
      <c r="CK2" s="96" t="str">
        <f ca="1">IF(CJ2&lt;&gt;"",IF(VALUE(IF(CJ7&lt;&gt;"",CG4-CJ7,CG4))&gt;VALUE(IF(COUNTIF('盛付札（関数）'!CG2,"*キャラ*"),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VLOOKUP('盛付札（関数）'!CG2,商品マスタ一覧!$D:$J,7,FALSE)))*CJ2),
"+"&amp;IF(CJ7&lt;&gt;"",CG4-CJ7,CG4)-IF(COUNTIF('盛付札（関数）'!CG2,"*キャラ*"),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VLOOKUP('盛付札（関数）'!CG2,商品マスタ一覧!$D:$J,7,FALSE)))*CJ2,
IF(CJ7&lt;&gt;"",CG4-CJ7,CG4)-IF(COUNTIF('盛付札（関数）'!CG2,"*キャラ*"),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VLOOKUP('盛付札（関数）'!CG2,商品マスタ一覧!$D:$J,7,FALSE)))*CJ2),"")</f>
        <v/>
      </c>
      <c r="CL2" s="80"/>
      <c r="CM2" s="80">
        <f t="array" aca="1" ref="CM2" ca="1">IF(INDIRECT("数出表_Excel!A"&amp;GetResult(CM1))="社食",
GetResult(CM1)+2,GetResult(CM1))</f>
        <v>151</v>
      </c>
      <c r="CN2" s="85" t="e">
        <f t="array" aca="1" ref="CN2" ca="1">IF(CO4&lt;&gt;"",MATCH(TRUE,INDIRECT("数出表_Excel!B"&amp;MATCH(CS1,数出表_Excel!$A:$A,0)-1&amp;":U"&amp;MATCH(CS1,数出表_Excel!$A:$A,0)-1&amp;"")&lt;&gt;"",0)+1,"")</f>
        <v>#VALUE!</v>
      </c>
      <c r="CO2" s="62" t="str">
        <f t="array" aca="1" ref="CO2" ca="1">IF(COUNTIF(CS1,"*合計*"),"",
IF(IFERROR(INDIRECT("数出表_Excel!" &amp;
CHAR(MATCH(TRUE,
ISNUMBER(--INDIRECT("数出表_Excel!B"&amp;MATCH(CS1,数出表_Excel!$A:$A,0)-1&amp;":U"&amp;MATCH(CS1,数出表_Excel!$A:$A,0)-1&amp;"")),0)+65) &amp; "3"),0)=0,"",
IFERROR(INDIRECT("数出表_Excel!" &amp;
CHAR(MATCH(TRUE,
ISNUMBER(--INDIRECT("数出表_Excel!B"&amp;MATCH(CS1,数出表_Excel!$A:$A,0)-1&amp;":U"&amp;MATCH(CS1,数出表_Excel!$A:$A,0)-1&amp;"")),0)+65) &amp; "3"),"")))</f>
        <v/>
      </c>
      <c r="CP2" s="80"/>
      <c r="CQ2" s="86" t="str">
        <f t="array" aca="1" ref="CQ2" ca="1">IF(CR2&lt;&gt;"","",
IF(COUNTIF(CO1,"*雙葉*"),"",
IF(CO1&lt;&gt;"",
IFERROR(
INDEX('数出表_Excel（アレルギー入力）'!$4:$4,
 1,
MATCH(TRUE,INDIRECT("'数出表_Excel（アレルギー入力）'!B"&amp;MATCH(CS1,数出表_Excel!$A:$A,0)-1&amp;":U"&amp;MATCH(CS1,'数出表_Excel（アレルギー入力）'!$A:$A,0)-1&amp;"")&lt;&gt;"",0)+1
),
 "")
&amp;IFERROR(
INDEX('数出表_Excel（アレルギー入力）'!$5:$5,
 1,
MATCH(TRUE,INDIRECT("'数出表_Excel（アレルギー入力）'!B"&amp;MATCH(CS1,数出表_Excel!$A:$A,0)-1&amp;":U"&amp;MATCH(CS1,'数出表_Excel（アレルギー入力）'!$A:$A,0)-1&amp;"")&lt;&gt;"",0)+1),
 ""),"")))</f>
        <v/>
      </c>
      <c r="CR2" s="87" t="str">
        <f t="array" aca="1" ref="CR2" ca="1">IF(CO2&lt;&gt;"",
IF(COUNTIF(CO1,"*雙葉*"),
IF(ROUND(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VLOOKUP('盛付札（関数）'!CO2,商品マスタ一覧!$D:$J,7,FALSE))),0)&lt;=0,1,
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VLOOKUP('盛付札（関数）'!CO2,商品マスタ一覧!$D:$J,7,FALSE))),0)),
IF(MATCH(TRUE,
ISNUMBER(--INDIRECT("数出表_Excel!B"&amp;MATCH(CS1,数出表_Excel!$A:$A,0)-1&amp;":U"&amp;MATCH(CS1,数出表_Excel!$A:$A,0)-1&amp;"")),0)&gt;10,
IF(CO2&lt;&gt;"",
IF(IF(COUNTIF('盛付札（関数）'!CO2,"*キャラ*"),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VLOOKUP('盛付札（関数）'!CO2,商品マスタ一覧!$D:$J,7,FALSE)))=0,"",
IF(ROUND(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VLOOKUP('盛付札（関数）'!CO2,商品マスタ一覧!$D:$J,7,FALSE))),0)&lt;=0,1,
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VLOOKUP('盛付札（関数）'!CO2,商品マスタ一覧!$D:$J,7,FALSE))),0))),""),"")),"")</f>
        <v/>
      </c>
      <c r="CS2" s="100" t="str">
        <f ca="1">IF(CR2&lt;&gt;"",IF(VALUE(IF(CR7&lt;&gt;"",CO4-CR7,CO4))&gt;VALUE(IF(COUNTIF('盛付札（関数）'!CO2,"*キャラ*"),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VLOOKUP('盛付札（関数）'!CO2,商品マスタ一覧!$D:$J,7,FALSE)))*CR2),
"+"&amp;IF(CR7&lt;&gt;"",CO4-CR7,CO4)-IF(COUNTIF('盛付札（関数）'!CO2,"*キャラ*"),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VLOOKUP('盛付札（関数）'!CO2,商品マスタ一覧!$D:$J,7,FALSE)))*CR2,
IF(CR7&lt;&gt;"",CO4-CR7,CO4)-IF(COUNTIF('盛付札（関数）'!CO2,"*キャラ*"),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VLOOKUP('盛付札（関数）'!CO2,商品マスタ一覧!$D:$J,7,FALSE)))*CR2),"")</f>
        <v/>
      </c>
      <c r="CT2" s="80">
        <f t="array" aca="1" ref="CT2" ca="1">IF(INDIRECT("数出表_Excel!A"&amp;GetResult(CT1))="社食",
GetResult(CT1)+2,GetResult(CT1))</f>
        <v>153</v>
      </c>
      <c r="CU2" s="85" t="e">
        <f t="array" aca="1" ref="CU2" ca="1">IF(CV4&lt;&gt;"",MATCH(TRUE,INDIRECT("数出表_Excel!B"&amp;MATCH(CZ1,数出表_Excel!$A:$A,0)-1&amp;":U"&amp;MATCH(CZ1,数出表_Excel!$A:$A,0)-1&amp;"")&lt;&gt;"",0)+1,"")</f>
        <v>#VALUE!</v>
      </c>
      <c r="CV2" s="62" t="str">
        <f t="array" aca="1" ref="CV2" ca="1">IF(COUNTIF(CZ1,"*合計*"),"",
IF(IFERROR(INDIRECT("数出表_Excel!" &amp;
CHAR(MATCH(TRUE,
ISNUMBER(--INDIRECT("数出表_Excel!B"&amp;MATCH(CZ1,数出表_Excel!$A:$A,0)-1&amp;":U"&amp;MATCH(CZ1,数出表_Excel!$A:$A,0)-1&amp;"")),0)+65) &amp; "3"),0)=0,"",
IFERROR(INDIRECT("数出表_Excel!" &amp;
CHAR(MATCH(TRUE,
ISNUMBER(--INDIRECT("数出表_Excel!B"&amp;MATCH(CZ1,数出表_Excel!$A:$A,0)-1&amp;":U"&amp;MATCH(CZ1,数出表_Excel!$A:$A,0)-1&amp;"")),0)+65) &amp; "3"),"")))</f>
        <v/>
      </c>
      <c r="CW2" s="80"/>
      <c r="CX2" s="86" t="str">
        <f t="array" aca="1" ref="CX2" ca="1">IF(CY2&lt;&gt;"","",
IF(COUNTIF(CV1,"*雙葉*"),"",
IF(CV1&lt;&gt;"",
IFERROR(
INDEX('数出表_Excel（アレルギー入力）'!$4:$4,
 1,
MATCH(TRUE,INDIRECT("'数出表_Excel（アレルギー入力）'!B"&amp;MATCH(CZ1,数出表_Excel!$A:$A,0)-1&amp;":U"&amp;MATCH(CZ1,'数出表_Excel（アレルギー入力）'!$A:$A,0)-1&amp;"")&lt;&gt;"",0)+1
),
 "")
&amp;IFERROR(
INDEX('数出表_Excel（アレルギー入力）'!$5:$5,
 1,
MATCH(TRUE,INDIRECT("'数出表_Excel（アレルギー入力）'!B"&amp;MATCH(CZ1,数出表_Excel!$A:$A,0)-1&amp;":U"&amp;MATCH(CZ1,'数出表_Excel（アレルギー入力）'!$A:$A,0)-1&amp;"")&lt;&gt;"",0)+1),
 ""),"")))</f>
        <v/>
      </c>
      <c r="CY2" s="87" t="str">
        <f t="array" aca="1" ref="CY2" ca="1">IF(CV2&lt;&gt;"",
IF(COUNTIF(CV1,"*雙葉*"),
IF(ROUND(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VLOOKUP('盛付札（関数）'!CV2,商品マスタ一覧!$D:$J,7,FALSE))),0)&lt;=0,1,
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VLOOKUP('盛付札（関数）'!CV2,商品マスタ一覧!$D:$J,7,FALSE))),0)),
IF(MATCH(TRUE,
ISNUMBER(--INDIRECT("数出表_Excel!B"&amp;MATCH(CZ1,数出表_Excel!$A:$A,0)-1&amp;":U"&amp;MATCH(CZ1,数出表_Excel!$A:$A,0)-1&amp;"")),0)&gt;10,
IF(CV2&lt;&gt;"",
IF(IF(COUNTIF('盛付札（関数）'!CV2,"*キャラ*"),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VLOOKUP('盛付札（関数）'!CV2,商品マスタ一覧!$D:$J,7,FALSE)))=0,"",
IF(ROUND(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VLOOKUP('盛付札（関数）'!CV2,商品マスタ一覧!$D:$J,7,FALSE))),0)&lt;=0,1,
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VLOOKUP('盛付札（関数）'!CV2,商品マスタ一覧!$D:$J,7,FALSE))),0))),""),"")),"")</f>
        <v/>
      </c>
      <c r="CZ2" s="96" t="str">
        <f ca="1">IF(CY2&lt;&gt;"",IF(VALUE(IF(CY7&lt;&gt;"",CV4-CY7,CV4))&gt;VALUE(IF(COUNTIF('盛付札（関数）'!CV2,"*キャラ*"),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VLOOKUP('盛付札（関数）'!CV2,商品マスタ一覧!$D:$J,7,FALSE)))*CY2),
"+"&amp;IF(CY7&lt;&gt;"",CV4-CY7,CV4)-IF(COUNTIF('盛付札（関数）'!CV2,"*キャラ*"),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VLOOKUP('盛付札（関数）'!CV2,商品マスタ一覧!$D:$J,7,FALSE)))*CY2,
IF(CY7&lt;&gt;"",CV4-CY7,CV4)-IF(COUNTIF('盛付札（関数）'!CV2,"*キャラ*"),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VLOOKUP('盛付札（関数）'!CV2,商品マスタ一覧!$D:$J,7,FALSE)))*CY2),"")</f>
        <v/>
      </c>
      <c r="DA2" s="80"/>
      <c r="DB2" s="80">
        <f t="array" aca="1" ref="DB2" ca="1">IF(INDIRECT("数出表_Excel!A"&amp;GetResult(DB1))="社食",
GetResult(DB1)+2,GetResult(DB1))</f>
        <v>175</v>
      </c>
      <c r="DC2" s="85" t="e">
        <f t="array" aca="1" ref="DC2" ca="1">IF(DD4&lt;&gt;"",MATCH(TRUE,INDIRECT("数出表_Excel!B"&amp;MATCH(DH1,数出表_Excel!$A:$A,0)-1&amp;":U"&amp;MATCH(DH1,数出表_Excel!$A:$A,0)-1&amp;"")&lt;&gt;"",0)+1,"")</f>
        <v>#VALUE!</v>
      </c>
      <c r="DD2" s="62" t="str">
        <f t="array" aca="1" ref="DD2" ca="1">IF(COUNTIF(DH1,"*合計*"),"",
IF(IFERROR(INDIRECT("数出表_Excel!" &amp;
CHAR(MATCH(TRUE,
ISNUMBER(--INDIRECT("数出表_Excel!B"&amp;MATCH(DH1,数出表_Excel!$A:$A,0)-1&amp;":U"&amp;MATCH(DH1,数出表_Excel!$A:$A,0)-1&amp;"")),0)+65) &amp; "3"),0)=0,"",
IFERROR(INDIRECT("数出表_Excel!" &amp;
CHAR(MATCH(TRUE,
ISNUMBER(--INDIRECT("数出表_Excel!B"&amp;MATCH(DH1,数出表_Excel!$A:$A,0)-1&amp;":U"&amp;MATCH(DH1,数出表_Excel!$A:$A,0)-1&amp;"")),0)+65) &amp; "3"),"")))</f>
        <v/>
      </c>
      <c r="DE2" s="80"/>
      <c r="DF2" s="86" t="str">
        <f t="array" aca="1" ref="DF2" ca="1">IF(DG2&lt;&gt;"","",
IF(COUNTIF(DD1,"*雙葉*"),"",
IF(DD1&lt;&gt;"",
IFERROR(
INDEX('数出表_Excel（アレルギー入力）'!$4:$4,
 1,
MATCH(TRUE,INDIRECT("'数出表_Excel（アレルギー入力）'!B"&amp;MATCH(DH1,数出表_Excel!$A:$A,0)-1&amp;":U"&amp;MATCH(DH1,'数出表_Excel（アレルギー入力）'!$A:$A,0)-1&amp;"")&lt;&gt;"",0)+1
),
 "")
&amp;IFERROR(
INDEX('数出表_Excel（アレルギー入力）'!$5:$5,
 1,
MATCH(TRUE,INDIRECT("'数出表_Excel（アレルギー入力）'!B"&amp;MATCH(DH1,数出表_Excel!$A:$A,0)-1&amp;":U"&amp;MATCH(DH1,'数出表_Excel（アレルギー入力）'!$A:$A,0)-1&amp;"")&lt;&gt;"",0)+1),
 ""),"")))</f>
        <v/>
      </c>
      <c r="DG2" s="87" t="str">
        <f t="array" aca="1" ref="DG2" ca="1">IF(DD2&lt;&gt;"",
IF(COUNTIF(DD1,"*雙葉*"),
IF(ROUND(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VLOOKUP('盛付札（関数）'!DD2,商品マスタ一覧!$D:$J,7,FALSE))),0)&lt;=0,1,
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VLOOKUP('盛付札（関数）'!DD2,商品マスタ一覧!$D:$J,7,FALSE))),0)),
IF(MATCH(TRUE,
ISNUMBER(--INDIRECT("数出表_Excel!B"&amp;MATCH(DH1,数出表_Excel!$A:$A,0)-1&amp;":U"&amp;MATCH(DH1,数出表_Excel!$A:$A,0)-1&amp;"")),0)&gt;10,
IF(DD2&lt;&gt;"",
IF(IF(COUNTIF('盛付札（関数）'!DD2,"*キャラ*"),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VLOOKUP('盛付札（関数）'!DD2,商品マスタ一覧!$D:$J,7,FALSE)))=0,"",
IF(ROUND(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VLOOKUP('盛付札（関数）'!DD2,商品マスタ一覧!$D:$J,7,FALSE))),0)&lt;=0,1,
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VLOOKUP('盛付札（関数）'!DD2,商品マスタ一覧!$D:$J,7,FALSE))),0))),""),"")),"")</f>
        <v/>
      </c>
      <c r="DH2" s="100" t="str">
        <f ca="1">IF(DG2&lt;&gt;"",IF(VALUE(IF(DG7&lt;&gt;"",DD4-DG7,DD4))&gt;VALUE(IF(COUNTIF('盛付札（関数）'!DD2,"*キャラ*"),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VLOOKUP('盛付札（関数）'!DD2,商品マスタ一覧!$D:$J,7,FALSE)))*DG2),
"+"&amp;IF(DG7&lt;&gt;"",DD4-DG7,DD4)-IF(COUNTIF('盛付札（関数）'!DD2,"*キャラ*"),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VLOOKUP('盛付札（関数）'!DD2,商品マスタ一覧!$D:$J,7,FALSE)))*DG2,
IF(DG7&lt;&gt;"",DD4-DG7,DD4)-IF(COUNTIF('盛付札（関数）'!DD2,"*キャラ*"),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VLOOKUP('盛付札（関数）'!DD2,商品マスタ一覧!$D:$J,7,FALSE)))*DG2),"")</f>
        <v/>
      </c>
      <c r="DI2" s="80">
        <f t="array" aca="1" ref="DI2" ca="1">IF(INDIRECT("数出表_Excel!A"&amp;GetResult(DI1))="社食",
GetResult(DI1)+2,GetResult(DI1))</f>
        <v>177</v>
      </c>
      <c r="DJ2" s="85" t="e">
        <f t="array" aca="1" ref="DJ2" ca="1">IF(DK4&lt;&gt;"",MATCH(TRUE,INDIRECT("数出表_Excel!B"&amp;MATCH(DO1,数出表_Excel!$A:$A,0)-1&amp;":U"&amp;MATCH(DO1,数出表_Excel!$A:$A,0)-1&amp;"")&lt;&gt;"",0)+1,"")</f>
        <v>#VALUE!</v>
      </c>
      <c r="DK2" s="62" t="str">
        <f t="array" aca="1" ref="DK2" ca="1">IF(COUNTIF(DO1,"*合計*"),"",
IF(IFERROR(INDIRECT("数出表_Excel!" &amp;
CHAR(MATCH(TRUE,
ISNUMBER(--INDIRECT("数出表_Excel!B"&amp;MATCH(DO1,数出表_Excel!$A:$A,0)-1&amp;":U"&amp;MATCH(DO1,数出表_Excel!$A:$A,0)-1&amp;"")),0)+65) &amp; "3"),0)=0,"",
IFERROR(INDIRECT("数出表_Excel!" &amp;
CHAR(MATCH(TRUE,
ISNUMBER(--INDIRECT("数出表_Excel!B"&amp;MATCH(DO1,数出表_Excel!$A:$A,0)-1&amp;":U"&amp;MATCH(DO1,数出表_Excel!$A:$A,0)-1&amp;"")),0)+65) &amp; "3"),"")))</f>
        <v/>
      </c>
      <c r="DL2" s="80"/>
      <c r="DM2" s="86" t="str">
        <f t="array" aca="1" ref="DM2" ca="1">IF(DN2&lt;&gt;"","",
IF(COUNTIF(DK1,"*雙葉*"),"",
IF(DK1&lt;&gt;"",
IFERROR(
INDEX('数出表_Excel（アレルギー入力）'!$4:$4,
 1,
MATCH(TRUE,INDIRECT("'数出表_Excel（アレルギー入力）'!B"&amp;MATCH(DO1,数出表_Excel!$A:$A,0)-1&amp;":U"&amp;MATCH(DO1,'数出表_Excel（アレルギー入力）'!$A:$A,0)-1&amp;"")&lt;&gt;"",0)+1
),
 "")
&amp;IFERROR(
INDEX('数出表_Excel（アレルギー入力）'!$5:$5,
 1,
MATCH(TRUE,INDIRECT("'数出表_Excel（アレルギー入力）'!B"&amp;MATCH(DO1,数出表_Excel!$A:$A,0)-1&amp;":U"&amp;MATCH(DO1,'数出表_Excel（アレルギー入力）'!$A:$A,0)-1&amp;"")&lt;&gt;"",0)+1),
 ""),"")))</f>
        <v/>
      </c>
      <c r="DN2" s="87" t="str">
        <f t="array" aca="1" ref="DN2" ca="1">IF(DK2&lt;&gt;"",
IF(COUNTIF(DK1,"*雙葉*"),
IF(ROUND(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VLOOKUP('盛付札（関数）'!DK2,商品マスタ一覧!$D:$J,7,FALSE))),0)&lt;=0,1,
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VLOOKUP('盛付札（関数）'!DK2,商品マスタ一覧!$D:$J,7,FALSE))),0)),
IF(MATCH(TRUE,
ISNUMBER(--INDIRECT("数出表_Excel!B"&amp;MATCH(DO1,数出表_Excel!$A:$A,0)-1&amp;":U"&amp;MATCH(DO1,数出表_Excel!$A:$A,0)-1&amp;"")),0)&gt;10,
IF(DK2&lt;&gt;"",
IF(IF(COUNTIF('盛付札（関数）'!DK2,"*キャラ*"),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VLOOKUP('盛付札（関数）'!DK2,商品マスタ一覧!$D:$J,7,FALSE)))=0,"",
IF(ROUND(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VLOOKUP('盛付札（関数）'!DK2,商品マスタ一覧!$D:$J,7,FALSE))),0)&lt;=0,1,
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VLOOKUP('盛付札（関数）'!DK2,商品マスタ一覧!$D:$J,7,FALSE))),0))),""),"")),"")</f>
        <v/>
      </c>
      <c r="DO2" s="96" t="str">
        <f ca="1">IF(DN2&lt;&gt;"",IF(VALUE(IF(DN7&lt;&gt;"",DK4-DN7,DK4))&gt;VALUE(IF(COUNTIF('盛付札（関数）'!DK2,"*キャラ*"),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VLOOKUP('盛付札（関数）'!DK2,商品マスタ一覧!$D:$J,7,FALSE)))*DN2),
"+"&amp;IF(DN7&lt;&gt;"",DK4-DN7,DK4)-IF(COUNTIF('盛付札（関数）'!DK2,"*キャラ*"),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VLOOKUP('盛付札（関数）'!DK2,商品マスタ一覧!$D:$J,7,FALSE)))*DN2,
IF(DN7&lt;&gt;"",DK4-DN7,DK4)-IF(COUNTIF('盛付札（関数）'!DK2,"*キャラ*"),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VLOOKUP('盛付札（関数）'!DK2,商品マスタ一覧!$D:$J,7,FALSE)))*DN2),"")</f>
        <v/>
      </c>
      <c r="DP2" s="80"/>
      <c r="DQ2" s="80">
        <f t="array" aca="1" ref="DQ2" ca="1">IF(INDIRECT("数出表_Excel!A"&amp;GetResult(DQ1))="社食",
GetResult(DQ1)+2,GetResult(DQ1))</f>
        <v>199</v>
      </c>
      <c r="DR2" s="85" t="e">
        <f t="array" aca="1" ref="DR2" ca="1">IF(DS4&lt;&gt;"",MATCH(TRUE,INDIRECT("数出表_Excel!B"&amp;MATCH(DW1,数出表_Excel!$A:$A,0)-1&amp;":U"&amp;MATCH(DW1,数出表_Excel!$A:$A,0)-1&amp;"")&lt;&gt;"",0)+1,"")</f>
        <v>#VALUE!</v>
      </c>
      <c r="DS2" s="62" t="str">
        <f t="array" aca="1" ref="DS2" ca="1">IF(COUNTIF(DW1,"*合計*"),"",
IF(IFERROR(INDIRECT("数出表_Excel!" &amp;
CHAR(MATCH(TRUE,
ISNUMBER(--INDIRECT("数出表_Excel!B"&amp;MATCH(DW1,数出表_Excel!$A:$A,0)-1&amp;":U"&amp;MATCH(DW1,数出表_Excel!$A:$A,0)-1&amp;"")),0)+65) &amp; "3"),0)=0,"",
IFERROR(INDIRECT("数出表_Excel!" &amp;
CHAR(MATCH(TRUE,
ISNUMBER(--INDIRECT("数出表_Excel!B"&amp;MATCH(DW1,数出表_Excel!$A:$A,0)-1&amp;":U"&amp;MATCH(DW1,数出表_Excel!$A:$A,0)-1&amp;"")),0)+65) &amp; "3"),"")))</f>
        <v/>
      </c>
      <c r="DT2" s="80"/>
      <c r="DU2" s="86" t="str">
        <f t="array" aca="1" ref="DU2" ca="1">IF(DV2&lt;&gt;"","",
IF(COUNTIF(DS1,"*雙葉*"),"",
IF(DS1&lt;&gt;"",
IFERROR(
INDEX('数出表_Excel（アレルギー入力）'!$4:$4,
 1,
MATCH(TRUE,INDIRECT("'数出表_Excel（アレルギー入力）'!B"&amp;MATCH(DW1,数出表_Excel!$A:$A,0)-1&amp;":U"&amp;MATCH(DW1,'数出表_Excel（アレルギー入力）'!$A:$A,0)-1&amp;"")&lt;&gt;"",0)+1
),
 "")
&amp;IFERROR(
INDEX('数出表_Excel（アレルギー入力）'!$5:$5,
 1,
MATCH(TRUE,INDIRECT("'数出表_Excel（アレルギー入力）'!B"&amp;MATCH(DW1,数出表_Excel!$A:$A,0)-1&amp;":U"&amp;MATCH(DW1,'数出表_Excel（アレルギー入力）'!$A:$A,0)-1&amp;"")&lt;&gt;"",0)+1),
 ""),"")))</f>
        <v/>
      </c>
      <c r="DV2" s="87" t="str">
        <f t="array" aca="1" ref="DV2" ca="1">IF(DS2&lt;&gt;"",
IF(COUNTIF(DS1,"*雙葉*"),
IF(ROUND(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VLOOKUP('盛付札（関数）'!DS2,商品マスタ一覧!$D:$J,7,FALSE))),0)&lt;=0,1,
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VLOOKUP('盛付札（関数）'!DS2,商品マスタ一覧!$D:$J,7,FALSE))),0)),
IF(MATCH(TRUE,
ISNUMBER(--INDIRECT("数出表_Excel!B"&amp;MATCH(DW1,数出表_Excel!$A:$A,0)-1&amp;":U"&amp;MATCH(DW1,数出表_Excel!$A:$A,0)-1&amp;"")),0)&gt;10,
IF(DS2&lt;&gt;"",
IF(IF(COUNTIF('盛付札（関数）'!DS2,"*キャラ*"),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VLOOKUP('盛付札（関数）'!DS2,商品マスタ一覧!$D:$J,7,FALSE)))=0,"",
IF(ROUND(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VLOOKUP('盛付札（関数）'!DS2,商品マスタ一覧!$D:$J,7,FALSE))),0)&lt;=0,1,
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VLOOKUP('盛付札（関数）'!DS2,商品マスタ一覧!$D:$J,7,FALSE))),0))),""),"")),"")</f>
        <v/>
      </c>
      <c r="DW2" s="100" t="str">
        <f ca="1">IF(DV2&lt;&gt;"",IF(VALUE(IF(DV7&lt;&gt;"",DS4-DV7,DS4))&gt;VALUE(IF(COUNTIF('盛付札（関数）'!DS2,"*キャラ*"),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VLOOKUP('盛付札（関数）'!DS2,商品マスタ一覧!$D:$J,7,FALSE)))*DV2),
"+"&amp;IF(DV7&lt;&gt;"",DS4-DV7,DS4)-IF(COUNTIF('盛付札（関数）'!DS2,"*キャラ*"),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VLOOKUP('盛付札（関数）'!DS2,商品マスタ一覧!$D:$J,7,FALSE)))*DV2,
IF(DV7&lt;&gt;"",DS4-DV7,DS4)-IF(COUNTIF('盛付札（関数）'!DS2,"*キャラ*"),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VLOOKUP('盛付札（関数）'!DS2,商品マスタ一覧!$D:$J,7,FALSE)))*DV2),"")</f>
        <v/>
      </c>
      <c r="DX2" s="80">
        <f t="array" aca="1" ref="DX2" ca="1">IF(INDIRECT("数出表_Excel!A"&amp;GetResult(DX1))="社食",
GetResult(DX1)+2,GetResult(DX1))</f>
        <v>201</v>
      </c>
      <c r="DY2" s="85" t="e">
        <f t="array" aca="1" ref="DY2" ca="1">IF(DZ4&lt;&gt;"",MATCH(TRUE,INDIRECT("数出表_Excel!B"&amp;MATCH(ED1,数出表_Excel!$A:$A,0)-1&amp;":U"&amp;MATCH(ED1,数出表_Excel!$A:$A,0)-1&amp;"")&lt;&gt;"",0)+1,"")</f>
        <v>#VALUE!</v>
      </c>
      <c r="DZ2" s="62" t="str">
        <f t="array" aca="1" ref="DZ2" ca="1">IF(COUNTIF(ED1,"*合計*"),"",
IF(IFERROR(INDIRECT("数出表_Excel!" &amp;
CHAR(MATCH(TRUE,
ISNUMBER(--INDIRECT("数出表_Excel!B"&amp;MATCH(ED1,数出表_Excel!$A:$A,0)-1&amp;":U"&amp;MATCH(ED1,数出表_Excel!$A:$A,0)-1&amp;"")),0)+65) &amp; "3"),0)=0,"",
IFERROR(INDIRECT("数出表_Excel!" &amp;
CHAR(MATCH(TRUE,
ISNUMBER(--INDIRECT("数出表_Excel!B"&amp;MATCH(ED1,数出表_Excel!$A:$A,0)-1&amp;":U"&amp;MATCH(ED1,数出表_Excel!$A:$A,0)-1&amp;"")),0)+65) &amp; "3"),"")))</f>
        <v/>
      </c>
      <c r="EA2" s="80"/>
      <c r="EB2" s="86" t="str">
        <f t="array" aca="1" ref="EB2" ca="1">IF(EC2&lt;&gt;"","",
IF(COUNTIF(DZ1,"*雙葉*"),"",
IF(DZ1&lt;&gt;"",
IFERROR(
INDEX('数出表_Excel（アレルギー入力）'!$4:$4,
 1,
MATCH(TRUE,INDIRECT("'数出表_Excel（アレルギー入力）'!B"&amp;MATCH(ED1,数出表_Excel!$A:$A,0)-1&amp;":U"&amp;MATCH(ED1,'数出表_Excel（アレルギー入力）'!$A:$A,0)-1&amp;"")&lt;&gt;"",0)+1
),
 "")
&amp;IFERROR(
INDEX('数出表_Excel（アレルギー入力）'!$5:$5,
 1,
MATCH(TRUE,INDIRECT("'数出表_Excel（アレルギー入力）'!B"&amp;MATCH(ED1,数出表_Excel!$A:$A,0)-1&amp;":U"&amp;MATCH(ED1,'数出表_Excel（アレルギー入力）'!$A:$A,0)-1&amp;"")&lt;&gt;"",0)+1),
 ""),"")))</f>
        <v/>
      </c>
      <c r="EC2" s="87" t="str">
        <f t="array" aca="1" ref="EC2" ca="1">IF(DZ2&lt;&gt;"",
IF(COUNTIF(DZ1,"*雙葉*"),
IF(ROUND(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VLOOKUP('盛付札（関数）'!DZ2,商品マスタ一覧!$D:$J,7,FALSE))),0)&lt;=0,1,
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VLOOKUP('盛付札（関数）'!DZ2,商品マスタ一覧!$D:$J,7,FALSE))),0)),
IF(MATCH(TRUE,
ISNUMBER(--INDIRECT("数出表_Excel!B"&amp;MATCH(ED1,数出表_Excel!$A:$A,0)-1&amp;":U"&amp;MATCH(ED1,数出表_Excel!$A:$A,0)-1&amp;"")),0)&gt;10,
IF(DZ2&lt;&gt;"",
IF(IF(COUNTIF('盛付札（関数）'!DZ2,"*キャラ*"),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VLOOKUP('盛付札（関数）'!DZ2,商品マスタ一覧!$D:$J,7,FALSE)))=0,"",
IF(ROUND(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VLOOKUP('盛付札（関数）'!DZ2,商品マスタ一覧!$D:$J,7,FALSE))),0)&lt;=0,1,
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VLOOKUP('盛付札（関数）'!DZ2,商品マスタ一覧!$D:$J,7,FALSE))),0))),""),"")),"")</f>
        <v/>
      </c>
      <c r="ED2" s="96" t="str">
        <f ca="1">IF(EC2&lt;&gt;"",IF(VALUE(IF(EC7&lt;&gt;"",DZ4-EC7,DZ4))&gt;VALUE(IF(COUNTIF('盛付札（関数）'!DZ2,"*キャラ*"),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VLOOKUP('盛付札（関数）'!DZ2,商品マスタ一覧!$D:$J,7,FALSE)))*EC2),
"+"&amp;IF(EC7&lt;&gt;"",DZ4-EC7,DZ4)-IF(COUNTIF('盛付札（関数）'!DZ2,"*キャラ*"),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VLOOKUP('盛付札（関数）'!DZ2,商品マスタ一覧!$D:$J,7,FALSE)))*EC2,
IF(EC7&lt;&gt;"",DZ4-EC7,DZ4)-IF(COUNTIF('盛付札（関数）'!DZ2,"*キャラ*"),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VLOOKUP('盛付札（関数）'!DZ2,商品マスタ一覧!$D:$J,7,FALSE)))*EC2),"")</f>
        <v/>
      </c>
      <c r="EE2" s="80"/>
      <c r="EF2" s="80">
        <f t="array" aca="1" ref="EF2" ca="1">IF(INDIRECT("数出表_Excel!A"&amp;GetResult(EF1))="社食",
GetResult(EF1)+2,GetResult(EF1))</f>
        <v>223</v>
      </c>
      <c r="EG2" s="85" t="e">
        <f t="array" aca="1" ref="EG2" ca="1">IF(EH4&lt;&gt;"",MATCH(TRUE,INDIRECT("数出表_Excel!B"&amp;MATCH(EL1,数出表_Excel!$A:$A,0)-1&amp;":U"&amp;MATCH(EL1,数出表_Excel!$A:$A,0)-1&amp;"")&lt;&gt;"",0)+1,"")</f>
        <v>#VALUE!</v>
      </c>
      <c r="EH2" s="62" t="str">
        <f t="array" aca="1" ref="EH2" ca="1">IF(COUNTIF(EL1,"*合計*"),"",
IF(IFERROR(INDIRECT("数出表_Excel!" &amp;
CHAR(MATCH(TRUE,
ISNUMBER(--INDIRECT("数出表_Excel!B"&amp;MATCH(EL1,数出表_Excel!$A:$A,0)-1&amp;":U"&amp;MATCH(EL1,数出表_Excel!$A:$A,0)-1&amp;"")),0)+65) &amp; "3"),0)=0,"",
IFERROR(INDIRECT("数出表_Excel!" &amp;
CHAR(MATCH(TRUE,
ISNUMBER(--INDIRECT("数出表_Excel!B"&amp;MATCH(EL1,数出表_Excel!$A:$A,0)-1&amp;":U"&amp;MATCH(EL1,数出表_Excel!$A:$A,0)-1&amp;"")),0)+65) &amp; "3"),"")))</f>
        <v/>
      </c>
      <c r="EI2" s="80"/>
      <c r="EJ2" s="86" t="str">
        <f t="array" aca="1" ref="EJ2" ca="1">IF(EK2&lt;&gt;"","",
IF(COUNTIF(EH1,"*雙葉*"),"",
IF(EH1&lt;&gt;"",
IFERROR(
INDEX('数出表_Excel（アレルギー入力）'!$4:$4,
 1,
MATCH(TRUE,INDIRECT("'数出表_Excel（アレルギー入力）'!B"&amp;MATCH(EL1,数出表_Excel!$A:$A,0)-1&amp;":U"&amp;MATCH(EL1,'数出表_Excel（アレルギー入力）'!$A:$A,0)-1&amp;"")&lt;&gt;"",0)+1
),
 "")
&amp;IFERROR(
INDEX('数出表_Excel（アレルギー入力）'!$5:$5,
 1,
MATCH(TRUE,INDIRECT("'数出表_Excel（アレルギー入力）'!B"&amp;MATCH(EL1,数出表_Excel!$A:$A,0)-1&amp;":U"&amp;MATCH(EL1,'数出表_Excel（アレルギー入力）'!$A:$A,0)-1&amp;"")&lt;&gt;"",0)+1),
 ""),"")))</f>
        <v/>
      </c>
      <c r="EK2" s="87" t="str">
        <f t="array" aca="1" ref="EK2" ca="1">IF(EH2&lt;&gt;"",
IF(COUNTIF(EH1,"*雙葉*"),
IF(ROUND(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VLOOKUP('盛付札（関数）'!EH2,商品マスタ一覧!$D:$J,7,FALSE))),0)&lt;=0,1,
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VLOOKUP('盛付札（関数）'!EH2,商品マスタ一覧!$D:$J,7,FALSE))),0)),
IF(MATCH(TRUE,
ISNUMBER(--INDIRECT("数出表_Excel!B"&amp;MATCH(EL1,数出表_Excel!$A:$A,0)-1&amp;":U"&amp;MATCH(EL1,数出表_Excel!$A:$A,0)-1&amp;"")),0)&gt;10,
IF(EH2&lt;&gt;"",
IF(IF(COUNTIF('盛付札（関数）'!EH2,"*キャラ*"),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VLOOKUP('盛付札（関数）'!EH2,商品マスタ一覧!$D:$J,7,FALSE)))=0,"",
IF(ROUND(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VLOOKUP('盛付札（関数）'!EH2,商品マスタ一覧!$D:$J,7,FALSE))),0)&lt;=0,1,
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VLOOKUP('盛付札（関数）'!EH2,商品マスタ一覧!$D:$J,7,FALSE))),0))),""),"")),"")</f>
        <v/>
      </c>
      <c r="EL2" s="100" t="str">
        <f ca="1">IF(EK2&lt;&gt;"",IF(VALUE(IF(EK7&lt;&gt;"",EH4-EK7,EH4))&gt;VALUE(IF(COUNTIF('盛付札（関数）'!EH2,"*キャラ*"),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VLOOKUP('盛付札（関数）'!EH2,商品マスタ一覧!$D:$J,7,FALSE)))*EK2),
"+"&amp;IF(EK7&lt;&gt;"",EH4-EK7,EH4)-IF(COUNTIF('盛付札（関数）'!EH2,"*キャラ*"),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VLOOKUP('盛付札（関数）'!EH2,商品マスタ一覧!$D:$J,7,FALSE)))*EK2,
IF(EK7&lt;&gt;"",EH4-EK7,EH4)-IF(COUNTIF('盛付札（関数）'!EH2,"*キャラ*"),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VLOOKUP('盛付札（関数）'!EH2,商品マスタ一覧!$D:$J,7,FALSE)))*EK2),"")</f>
        <v/>
      </c>
      <c r="EM2" s="80">
        <f t="array" aca="1" ref="EM2" ca="1">IF(INDIRECT("数出表_Excel!A"&amp;GetResult(EM1))="社食",
GetResult(EM1)+2,GetResult(EM1))</f>
        <v>225</v>
      </c>
      <c r="EN2" s="85" t="e">
        <f t="array" aca="1" ref="EN2" ca="1">IF(EO4&lt;&gt;"",MATCH(TRUE,INDIRECT("数出表_Excel!B"&amp;MATCH(ES1,数出表_Excel!$A:$A,0)-1&amp;":U"&amp;MATCH(ES1,数出表_Excel!$A:$A,0)-1&amp;"")&lt;&gt;"",0)+1,"")</f>
        <v>#VALUE!</v>
      </c>
      <c r="EO2" s="62" t="str">
        <f t="array" aca="1" ref="EO2" ca="1">IF(COUNTIF(ES1,"*合計*"),"",
IF(IFERROR(INDIRECT("数出表_Excel!" &amp;
CHAR(MATCH(TRUE,
ISNUMBER(--INDIRECT("数出表_Excel!B"&amp;MATCH(ES1,数出表_Excel!$A:$A,0)-1&amp;":U"&amp;MATCH(ES1,数出表_Excel!$A:$A,0)-1&amp;"")),0)+65) &amp; "3"),0)=0,"",
IFERROR(INDIRECT("数出表_Excel!" &amp;
CHAR(MATCH(TRUE,
ISNUMBER(--INDIRECT("数出表_Excel!B"&amp;MATCH(ES1,数出表_Excel!$A:$A,0)-1&amp;":U"&amp;MATCH(ES1,数出表_Excel!$A:$A,0)-1&amp;"")),0)+65) &amp; "3"),"")))</f>
        <v/>
      </c>
      <c r="EP2" s="80"/>
      <c r="EQ2" s="86" t="str">
        <f t="array" aca="1" ref="EQ2" ca="1">IF(ER2&lt;&gt;"","",
IF(COUNTIF(EO1,"*雙葉*"),"",
IF(EO1&lt;&gt;"",
IFERROR(
INDEX('数出表_Excel（アレルギー入力）'!$4:$4,
 1,
MATCH(TRUE,INDIRECT("'数出表_Excel（アレルギー入力）'!B"&amp;MATCH(ES1,数出表_Excel!$A:$A,0)-1&amp;":U"&amp;MATCH(ES1,'数出表_Excel（アレルギー入力）'!$A:$A,0)-1&amp;"")&lt;&gt;"",0)+1
),
 "")
&amp;IFERROR(
INDEX('数出表_Excel（アレルギー入力）'!$5:$5,
 1,
MATCH(TRUE,INDIRECT("'数出表_Excel（アレルギー入力）'!B"&amp;MATCH(ES1,数出表_Excel!$A:$A,0)-1&amp;":U"&amp;MATCH(ES1,'数出表_Excel（アレルギー入力）'!$A:$A,0)-1&amp;"")&lt;&gt;"",0)+1),
 ""),"")))</f>
        <v/>
      </c>
      <c r="ER2" s="87" t="str">
        <f t="array" aca="1" ref="ER2" ca="1">IF(EO2&lt;&gt;"",
IF(COUNTIF(EO1,"*雙葉*"),
IF(ROUND(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VLOOKUP('盛付札（関数）'!EO2,商品マスタ一覧!$D:$J,7,FALSE))),0)&lt;=0,1,
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VLOOKUP('盛付札（関数）'!EO2,商品マスタ一覧!$D:$J,7,FALSE))),0)),
IF(MATCH(TRUE,
ISNUMBER(--INDIRECT("数出表_Excel!B"&amp;MATCH(ES1,数出表_Excel!$A:$A,0)-1&amp;":U"&amp;MATCH(ES1,数出表_Excel!$A:$A,0)-1&amp;"")),0)&gt;10,
IF(EO2&lt;&gt;"",
IF(IF(COUNTIF('盛付札（関数）'!EO2,"*キャラ*"),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VLOOKUP('盛付札（関数）'!EO2,商品マスタ一覧!$D:$J,7,FALSE)))=0,"",
IF(ROUND(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VLOOKUP('盛付札（関数）'!EO2,商品マスタ一覧!$D:$J,7,FALSE))),0)&lt;=0,1,
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VLOOKUP('盛付札（関数）'!EO2,商品マスタ一覧!$D:$J,7,FALSE))),0))),""),"")),"")</f>
        <v/>
      </c>
      <c r="ES2" s="96" t="str">
        <f ca="1">IF(ER2&lt;&gt;"",IF(VALUE(IF(ER7&lt;&gt;"",EO4-ER7,EO4))&gt;VALUE(IF(COUNTIF('盛付札（関数）'!EO2,"*キャラ*"),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VLOOKUP('盛付札（関数）'!EO2,商品マスタ一覧!$D:$J,7,FALSE)))*ER2),
"+"&amp;IF(ER7&lt;&gt;"",EO4-ER7,EO4)-IF(COUNTIF('盛付札（関数）'!EO2,"*キャラ*"),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VLOOKUP('盛付札（関数）'!EO2,商品マスタ一覧!$D:$J,7,FALSE)))*ER2,
IF(ER7&lt;&gt;"",EO4-ER7,EO4)-IF(COUNTIF('盛付札（関数）'!EO2,"*キャラ*"),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VLOOKUP('盛付札（関数）'!EO2,商品マスタ一覧!$D:$J,7,FALSE)))*ER2),"")</f>
        <v/>
      </c>
      <c r="ET2" s="111"/>
      <c r="EU2" s="82">
        <v>42</v>
      </c>
      <c r="EV2" s="82" t="str">
        <f t="array" aca="1" ref="EV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LEN(SUBSTITUTE(_xlfn.FORMULATEXT(EV$1),"=","")))+$EU2)</f>
        <v/>
      </c>
      <c r="EW2" s="82" t="str">
        <f t="array" aca="1" ref="EW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LEN(SUBSTITUTE(_xlfn.FORMULATEXT(EW$1),"=","")))+$EU2)</f>
        <v/>
      </c>
      <c r="EX2" s="82" t="str">
        <f t="array" aca="1" ref="EX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LEN(SUBSTITUTE(_xlfn.FORMULATEXT(EX$1),"=","")))+$EU2)</f>
        <v/>
      </c>
      <c r="EY2" s="82" t="str">
        <f t="array" aca="1" ref="EY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LEN(SUBSTITUTE(_xlfn.FORMULATEXT(EY$1),"=","")))+$EU2)</f>
        <v/>
      </c>
      <c r="EZ2" s="82" t="str">
        <f t="array" aca="1" ref="EZ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LEN(SUBSTITUTE(_xlfn.FORMULATEXT(EZ$1),"=","")))+$EU2)</f>
        <v/>
      </c>
      <c r="FA2" s="82" t="str">
        <f t="array" aca="1" ref="FA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LEN(SUBSTITUTE(_xlfn.FORMULATEXT(FA$1),"=","")))+$EU2)</f>
        <v/>
      </c>
      <c r="FB2" s="82" t="str">
        <f t="array" aca="1" ref="FB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LEN(SUBSTITUTE(_xlfn.FORMULATEXT(FB$1),"=","")))+$EU2)</f>
        <v/>
      </c>
      <c r="FC2" s="82" t="str">
        <f t="array" aca="1" ref="FC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LEN(SUBSTITUTE(_xlfn.FORMULATEXT(FC$1),"=","")))+$EU2)</f>
        <v/>
      </c>
      <c r="FD2" s="82" t="str">
        <f t="array" aca="1" ref="FD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LEN(SUBSTITUTE(_xlfn.FORMULATEXT(FD$1),"=","")))+$EU2)</f>
        <v/>
      </c>
      <c r="FE2" s="82" t="str">
        <f t="array" aca="1" ref="FE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LEN(SUBSTITUTE(_xlfn.FORMULATEXT(FE$1),"=","")))+$EU2)</f>
        <v/>
      </c>
      <c r="FF2" s="82" t="str">
        <f t="array" aca="1" ref="FF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LEN(SUBSTITUTE(_xlfn.FORMULATEXT(FF$1),"=","")))+$EU2)</f>
        <v/>
      </c>
      <c r="FG2" s="82">
        <f t="shared" ca="1" si="0"/>
        <v>0</v>
      </c>
      <c r="FH2" s="82" t="b">
        <f t="array" aca="1" ref="FH2" ca="1">SUMPRODUCT((LEN(EV2:FF2)&gt;0)*1)&gt;0</f>
        <v>0</v>
      </c>
      <c r="FI2" s="82">
        <f t="array" aca="1" ref="FI2" ca="1">IFERROR(SMALL(IF(FG$1:FG$173&lt;&gt;0,FG$1:FG$173),ROW(A2)),"")</f>
        <v>122</v>
      </c>
      <c r="FJ2" s="82" t="str">
        <f t="array" aca="1" ref="FJ2" ca="1">IF($FI2&lt;&gt;"",
INDIRECT(""&amp;IF(COLUMN(EV2)&lt;=26,CHAR(COLUMN(EV2)+64),CHAR(INT((COLUMN(EV2)-1)/26)+64)&amp;CHAR(MOD(COLUMN(EV2)-1,26)+65))&amp;$FI2&amp;""),"")</f>
        <v>新日本製薬</v>
      </c>
      <c r="FK2" s="82">
        <f t="array" aca="1" ref="FK2" ca="1">IF($FI2&lt;&gt;"",
INDIRECT(""&amp;IF(COLUMN(EW2)&lt;=26,CHAR(COLUMN(EW2)+64),CHAR(INT((COLUMN(EW2)-1)/26)+64)&amp;CHAR(MOD(COLUMN(EW2)-1,26)+65))&amp;$FI2&amp;""),"")</f>
        <v>0</v>
      </c>
      <c r="FL2" s="82">
        <f t="array" aca="1" ref="FL2" ca="1">IF($FI2&lt;&gt;"",
INDIRECT(""&amp;IF(COLUMN(EX2)&lt;=26,CHAR(COLUMN(EX2)+64),CHAR(INT((COLUMN(EX2)-1)/26)+64)&amp;CHAR(MOD(COLUMN(EX2)-1,26)+65))&amp;$FI2&amp;""),"")</f>
        <v>0</v>
      </c>
      <c r="FM2" s="82" t="str">
        <f t="array" aca="1" ref="FM2" ca="1">IF($FI2&lt;&gt;"",
IF(FL2="",
IF(INDIRECT("EY"&amp;$FI2&amp;"")&lt;&gt;"",
INDIRECT("EY"&amp;$FI2&amp;"")&amp;"箱"
&amp;INDIRECT("EZ"&amp;$FI2&amp;""),""),""),"")</f>
        <v/>
      </c>
      <c r="FN2" s="82" t="e">
        <f t="array" aca="1" ref="FN2" ca="1">IF($FI2&lt;&gt;"",
INDIRECT(""&amp;IF(COLUMN(FA2)&lt;=26,CHAR(COLUMN(FA2)+64),CHAR(INT((COLUMN(FA2)-1)/26)+64)&amp;CHAR(MOD(COLUMN(FA2)-1,26)+65))&amp;$FI2&amp;""),"")</f>
        <v>#N/A</v>
      </c>
      <c r="FO2" s="82">
        <f t="array" aca="1" ref="FO2" ca="1">IF($FI2&lt;&gt;"",
INDIRECT(""&amp;IF(COLUMN(FB2)&lt;=26,CHAR(COLUMN(FB2)+64),CHAR(INT((COLUMN(FB2)-1)/26)+64)&amp;CHAR(MOD(COLUMN(FB2)-1,26)+65))&amp;$FI2&amp;""),"")</f>
        <v>0</v>
      </c>
      <c r="FP2" s="82">
        <f t="array" aca="1" ref="FP2" ca="1">IF($FI2&lt;&gt;"",
INDIRECT(""&amp;IF(COLUMN(FC2)&lt;=26,CHAR(COLUMN(FC2)+64),CHAR(INT((COLUMN(FC2)-1)/26)+64)&amp;CHAR(MOD(COLUMN(FC2)-1,26)+65))&amp;$FI2&amp;""),"")</f>
        <v>0</v>
      </c>
      <c r="FQ2" s="82">
        <f t="array" aca="1" ref="FQ2" ca="1">IF($FI2&lt;&gt;"",
INDIRECT(""&amp;IF(COLUMN(FD2)&lt;=26,CHAR(COLUMN(FD2)+64),CHAR(INT((COLUMN(FD2)-1)/26)+64)&amp;CHAR(MOD(COLUMN(FD2)-1,26)+65))&amp;$FI2&amp;""),"")</f>
        <v>0</v>
      </c>
      <c r="FR2" s="82">
        <f t="array" aca="1" ref="FR2" ca="1">IF($FI2&lt;&gt;"",
INDIRECT(""&amp;IF(COLUMN(FE2)&lt;=26,CHAR(COLUMN(FE2)+64),CHAR(INT((COLUMN(FE2)-1)/26)+64)&amp;CHAR(MOD(COLUMN(FE2)-1,26)+65))&amp;$FI2&amp;""),"")</f>
        <v>0</v>
      </c>
      <c r="FS2" s="82">
        <f t="array" aca="1" ref="FS2" ca="1">IF($FI2&lt;&gt;"",
INDIRECT(""&amp;IF(COLUMN(FF2)&lt;=26,CHAR(COLUMN(FF2)+64),CHAR(INT((COLUMN(FF2)-1)/26)+64)&amp;CHAR(MOD(COLUMN(FF2)-1,26)+65))&amp;$FI2&amp;""),"")</f>
        <v>0</v>
      </c>
    </row>
    <row r="3" spans="1:175" s="82" customFormat="1" ht="22.2" customHeight="1" x14ac:dyDescent="0.55000000000000004">
      <c r="A3" s="80"/>
      <c r="B3" s="88" t="e">
        <f t="array" aca="1" ref="B3" ca="1">IF(AND(LEFT(G1,2)="博多",
LEFT(INDIRECT("数出表_Excel!A"&amp;MATCH(G1,数出表_Excel!$A:$A,0)-1),2)
=LEFT(INDIRECT("数出表_Excel!A"&amp;MATCH(G1,数出表_Excel!$A:$A,0)+1),2)),100,
IF(AND(LEFT(G1,3)="奈良屋",
LEFT(INDIRECT("数出表_Excel!A"&amp;MATCH(G1,数出表_Excel!$A:$A,0)-1),2)
=LEFT(INDIRECT("数出表_Excel!A"&amp;MATCH(G1,数出表_Excel!$A:$A,0)+1),2)),200,""))</f>
        <v>#N/A</v>
      </c>
      <c r="C3" s="189" t="str">
        <f ca="1">IF(C2&lt;&gt;"",
"園児","")</f>
        <v/>
      </c>
      <c r="D3" s="190"/>
      <c r="E3" s="193" t="str">
        <f ca="1">IF(C2&lt;&gt;"",
"先生","")</f>
        <v/>
      </c>
      <c r="F3" s="190"/>
      <c r="G3" s="101">
        <f t="array" aca="1" ref="G3" ca="1">IF(C1&lt;&gt;"",
IF(IFERROR(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"")&lt;&gt;0,
IF(IFERROR(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"")="",
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""),
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"")),0),0)</f>
        <v>0</v>
      </c>
      <c r="H3" s="80"/>
      <c r="I3" s="88" t="e">
        <f t="array" aca="1" ref="I3" ca="1">IF(AND(LEFT(N1,2)="博多",
LEFT(INDIRECT("数出表_Excel!A"&amp;MATCH(N1,数出表_Excel!$A:$A,0)-1),2)
=LEFT(INDIRECT("数出表_Excel!A"&amp;MATCH(N1,数出表_Excel!$A:$A,0)+1),2)),100,
IF(AND(LEFT(N1,3)="奈良屋",
LEFT(INDIRECT("数出表_Excel!A"&amp;MATCH(N1,数出表_Excel!$A:$A,0)-1),2)
=LEFT(INDIRECT("数出表_Excel!A"&amp;MATCH(N1,数出表_Excel!$A:$A,0)+1),2)),200,""))</f>
        <v>#N/A</v>
      </c>
      <c r="J3" s="189" t="str">
        <f ca="1">IF(J2&lt;&gt;"",
"園児","")</f>
        <v/>
      </c>
      <c r="K3" s="190"/>
      <c r="L3" s="193" t="str">
        <f ca="1">IF(J2&lt;&gt;"",
"先生","")</f>
        <v/>
      </c>
      <c r="M3" s="190"/>
      <c r="N3" s="101">
        <f t="array" aca="1" ref="N3" ca="1">IF(J1&lt;&gt;"",
IF(IFERROR(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"")&lt;&gt;0,
IF(IFERROR(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"")="",
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""),
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"")),0),0)</f>
        <v>0</v>
      </c>
      <c r="O3" s="80"/>
      <c r="P3" s="80"/>
      <c r="Q3" s="88" t="e">
        <f t="array" aca="1" ref="Q3" ca="1">IF(AND(LEFT(V1,2)="博多",
LEFT(INDIRECT("数出表_Excel!A"&amp;MATCH(V1,数出表_Excel!$A:$A,0)-1),2)
=LEFT(INDIRECT("数出表_Excel!A"&amp;MATCH(V1,数出表_Excel!$A:$A,0)+1),2)),100,
IF(AND(LEFT(V1,3)="奈良屋",
LEFT(INDIRECT("数出表_Excel!A"&amp;MATCH(V1,数出表_Excel!$A:$A,0)-1),2)
=LEFT(INDIRECT("数出表_Excel!A"&amp;MATCH(V1,数出表_Excel!$A:$A,0)+1),2)),200,""))</f>
        <v>#N/A</v>
      </c>
      <c r="R3" s="189" t="str">
        <f ca="1">IF(R2&lt;&gt;"",
"園児","")</f>
        <v/>
      </c>
      <c r="S3" s="190"/>
      <c r="T3" s="193" t="str">
        <f ca="1">IF(R2&lt;&gt;"",
"先生","")</f>
        <v/>
      </c>
      <c r="U3" s="190"/>
      <c r="V3" s="101">
        <f t="array" aca="1" ref="V3" ca="1">IF(R1&lt;&gt;"",
IF(IFERROR(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"")&lt;&gt;0,
IF(IFERROR(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"")="",
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""),
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"")),0),0)</f>
        <v>0</v>
      </c>
      <c r="W3" s="80"/>
      <c r="X3" s="88" t="e">
        <f t="array" aca="1" ref="X3" ca="1">IF(AND(LEFT(AC1,2)="博多",
LEFT(INDIRECT("数出表_Excel!A"&amp;MATCH(AC1,数出表_Excel!$A:$A,0)-1),2)
=LEFT(INDIRECT("数出表_Excel!A"&amp;MATCH(AC1,数出表_Excel!$A:$A,0)+1),2)),100,
IF(AND(LEFT(AC1,3)="奈良屋",
LEFT(INDIRECT("数出表_Excel!A"&amp;MATCH(AC1,数出表_Excel!$A:$A,0)-1),2)
=LEFT(INDIRECT("数出表_Excel!A"&amp;MATCH(AC1,数出表_Excel!$A:$A,0)+1),2)),200,""))</f>
        <v>#N/A</v>
      </c>
      <c r="Y3" s="189" t="str">
        <f ca="1">IF(Y2&lt;&gt;"",
"園児","")</f>
        <v/>
      </c>
      <c r="Z3" s="190"/>
      <c r="AA3" s="193" t="str">
        <f ca="1">IF(Y2&lt;&gt;"",
"先生","")</f>
        <v/>
      </c>
      <c r="AB3" s="190"/>
      <c r="AC3" s="101">
        <f t="array" aca="1" ref="AC3" ca="1">IF(Y1&lt;&gt;"",
IF(IFERROR(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"")&lt;&gt;0,
IF(IFERROR(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"")="",
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""),
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"")),0),0)</f>
        <v>0</v>
      </c>
      <c r="AD3" s="80"/>
      <c r="AE3" s="80"/>
      <c r="AF3" s="88" t="e">
        <f t="array" aca="1" ref="AF3" ca="1">IF(AND(LEFT(AK1,2)="博多",
LEFT(INDIRECT("数出表_Excel!A"&amp;MATCH(AK1,数出表_Excel!$A:$A,0)-1),2)
=LEFT(INDIRECT("数出表_Excel!A"&amp;MATCH(AK1,数出表_Excel!$A:$A,0)+1),2)),100,
IF(AND(LEFT(AK1,3)="奈良屋",
LEFT(INDIRECT("数出表_Excel!A"&amp;MATCH(AK1,数出表_Excel!$A:$A,0)-1),2)
=LEFT(INDIRECT("数出表_Excel!A"&amp;MATCH(AK1,数出表_Excel!$A:$A,0)+1),2)),200,""))</f>
        <v>#N/A</v>
      </c>
      <c r="AG3" s="189" t="str">
        <f ca="1">IF(AG2&lt;&gt;"",
"園児","")</f>
        <v/>
      </c>
      <c r="AH3" s="190"/>
      <c r="AI3" s="193" t="str">
        <f ca="1">IF(AG2&lt;&gt;"",
"先生","")</f>
        <v/>
      </c>
      <c r="AJ3" s="190"/>
      <c r="AK3" s="101">
        <f t="array" aca="1" ref="AK3" ca="1">IF(AG1&lt;&gt;"",
IF(IFERROR(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"")&lt;&gt;0,
IF(IFERROR(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"")="",
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""),
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"")),0),0)</f>
        <v>0</v>
      </c>
      <c r="AL3" s="80"/>
      <c r="AM3" s="88" t="e">
        <f t="array" aca="1" ref="AM3" ca="1">IF(AND(LEFT(AR1,2)="博多",
LEFT(INDIRECT("数出表_Excel!A"&amp;MATCH(AR1,数出表_Excel!$A:$A,0)-1),2)
=LEFT(INDIRECT("数出表_Excel!A"&amp;MATCH(AR1,数出表_Excel!$A:$A,0)+1),2)),100,
IF(AND(LEFT(AR1,3)="奈良屋",
LEFT(INDIRECT("数出表_Excel!A"&amp;MATCH(AR1,数出表_Excel!$A:$A,0)-1),2)
=LEFT(INDIRECT("数出表_Excel!A"&amp;MATCH(AR1,数出表_Excel!$A:$A,0)+1),2)),200,""))</f>
        <v>#N/A</v>
      </c>
      <c r="AN3" s="189" t="str">
        <f ca="1">IF(AN2&lt;&gt;"",
"園児","")</f>
        <v/>
      </c>
      <c r="AO3" s="190"/>
      <c r="AP3" s="193" t="str">
        <f ca="1">IF(AN2&lt;&gt;"",
"先生","")</f>
        <v/>
      </c>
      <c r="AQ3" s="190"/>
      <c r="AR3" s="101">
        <f t="array" aca="1" ref="AR3" ca="1">IF(AN1&lt;&gt;"",
IF(IFERROR(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"")&lt;&gt;0,
IF(IFERROR(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"")="",
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""),
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"")),0),0)</f>
        <v>0</v>
      </c>
      <c r="AS3" s="80"/>
      <c r="AT3" s="80"/>
      <c r="AU3" s="88" t="e">
        <f t="array" aca="1" ref="AU3" ca="1">IF(AND(LEFT(AZ1,2)="博多",
LEFT(INDIRECT("数出表_Excel!A"&amp;MATCH(AZ1,数出表_Excel!$A:$A,0)-1),2)
=LEFT(INDIRECT("数出表_Excel!A"&amp;MATCH(AZ1,数出表_Excel!$A:$A,0)+1),2)),100,
IF(AND(LEFT(AZ1,3)="奈良屋",
LEFT(INDIRECT("数出表_Excel!A"&amp;MATCH(AZ1,数出表_Excel!$A:$A,0)-1),2)
=LEFT(INDIRECT("数出表_Excel!A"&amp;MATCH(AZ1,数出表_Excel!$A:$A,0)+1),2)),200,""))</f>
        <v>#N/A</v>
      </c>
      <c r="AV3" s="189" t="str">
        <f ca="1">IF(AV2&lt;&gt;"",
"園児","")</f>
        <v/>
      </c>
      <c r="AW3" s="190"/>
      <c r="AX3" s="193" t="str">
        <f ca="1">IF(AV2&lt;&gt;"",
"先生","")</f>
        <v/>
      </c>
      <c r="AY3" s="190"/>
      <c r="AZ3" s="101">
        <f t="array" aca="1" ref="AZ3" ca="1">IF(AV1&lt;&gt;"",
IF(IFERROR(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"")&lt;&gt;0,
IF(IFERROR(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"")="",
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""),
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"")),0),0)</f>
        <v>0</v>
      </c>
      <c r="BA3" s="80"/>
      <c r="BB3" s="88" t="e">
        <f t="array" aca="1" ref="BB3" ca="1">IF(AND(LEFT(BG1,2)="博多",
LEFT(INDIRECT("数出表_Excel!A"&amp;MATCH(BG1,数出表_Excel!$A:$A,0)-1),2)
=LEFT(INDIRECT("数出表_Excel!A"&amp;MATCH(BG1,数出表_Excel!$A:$A,0)+1),2)),100,
IF(AND(LEFT(BG1,3)="奈良屋",
LEFT(INDIRECT("数出表_Excel!A"&amp;MATCH(BG1,数出表_Excel!$A:$A,0)-1),2)
=LEFT(INDIRECT("数出表_Excel!A"&amp;MATCH(BG1,数出表_Excel!$A:$A,0)+1),2)),200,""))</f>
        <v>#N/A</v>
      </c>
      <c r="BC3" s="189" t="str">
        <f ca="1">IF(BC2&lt;&gt;"",
"園児","")</f>
        <v/>
      </c>
      <c r="BD3" s="190"/>
      <c r="BE3" s="193" t="str">
        <f ca="1">IF(BC2&lt;&gt;"",
"先生","")</f>
        <v/>
      </c>
      <c r="BF3" s="190"/>
      <c r="BG3" s="101">
        <f t="array" aca="1" ref="BG3" ca="1">IF(BC1&lt;&gt;"",
IF(IFERROR(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"")&lt;&gt;0,
IF(IFERROR(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"")="",
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""),
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"")),0),0)</f>
        <v>0</v>
      </c>
      <c r="BH3" s="80"/>
      <c r="BI3" s="80"/>
      <c r="BJ3" s="88" t="e">
        <f t="array" aca="1" ref="BJ3" ca="1">IF(AND(LEFT(BO1,2)="博多",
LEFT(INDIRECT("数出表_Excel!A"&amp;MATCH(BO1,数出表_Excel!$A:$A,0)-1),2)
=LEFT(INDIRECT("数出表_Excel!A"&amp;MATCH(BO1,数出表_Excel!$A:$A,0)+1),2)),100,
IF(AND(LEFT(BO1,3)="奈良屋",
LEFT(INDIRECT("数出表_Excel!A"&amp;MATCH(BO1,数出表_Excel!$A:$A,0)-1),2)
=LEFT(INDIRECT("数出表_Excel!A"&amp;MATCH(BO1,数出表_Excel!$A:$A,0)+1),2)),200,""))</f>
        <v>#N/A</v>
      </c>
      <c r="BK3" s="189" t="str">
        <f ca="1">IF(BK2&lt;&gt;"",
"園児","")</f>
        <v/>
      </c>
      <c r="BL3" s="190"/>
      <c r="BM3" s="193" t="str">
        <f ca="1">IF(BK2&lt;&gt;"",
"先生","")</f>
        <v/>
      </c>
      <c r="BN3" s="190"/>
      <c r="BO3" s="101">
        <f t="array" aca="1" ref="BO3" ca="1">IF(BK1&lt;&gt;"",
IF(IFERROR(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"")&lt;&gt;0,
IF(IFERROR(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"")="",
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""),
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"")),0),0)</f>
        <v>0</v>
      </c>
      <c r="BP3" s="80"/>
      <c r="BQ3" s="88" t="e">
        <f t="array" aca="1" ref="BQ3" ca="1">IF(AND(LEFT(BV1,2)="博多",
LEFT(INDIRECT("数出表_Excel!A"&amp;MATCH(BV1,数出表_Excel!$A:$A,0)-1),2)
=LEFT(INDIRECT("数出表_Excel!A"&amp;MATCH(BV1,数出表_Excel!$A:$A,0)+1),2)),100,
IF(AND(LEFT(BV1,3)="奈良屋",
LEFT(INDIRECT("数出表_Excel!A"&amp;MATCH(BV1,数出表_Excel!$A:$A,0)-1),2)
=LEFT(INDIRECT("数出表_Excel!A"&amp;MATCH(BV1,数出表_Excel!$A:$A,0)+1),2)),200,""))</f>
        <v>#N/A</v>
      </c>
      <c r="BR3" s="189" t="str">
        <f ca="1">IF(BR2&lt;&gt;"",
"園児","")</f>
        <v/>
      </c>
      <c r="BS3" s="190"/>
      <c r="BT3" s="193" t="str">
        <f ca="1">IF(BR2&lt;&gt;"",
"先生","")</f>
        <v/>
      </c>
      <c r="BU3" s="190"/>
      <c r="BV3" s="101">
        <f t="array" aca="1" ref="BV3" ca="1">IF(BR1&lt;&gt;"",
IF(IFERROR(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"")&lt;&gt;0,
IF(IFERROR(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"")="",
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""),
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"")),0),0)</f>
        <v>0</v>
      </c>
      <c r="BW3" s="80"/>
      <c r="BX3" s="80"/>
      <c r="BY3" s="88" t="e">
        <f t="array" aca="1" ref="BY3" ca="1">IF(AND(LEFT(CD1,2)="博多",
LEFT(INDIRECT("数出表_Excel!A"&amp;MATCH(CD1,数出表_Excel!$A:$A,0)-1),2)
=LEFT(INDIRECT("数出表_Excel!A"&amp;MATCH(CD1,数出表_Excel!$A:$A,0)+1),2)),100,
IF(AND(LEFT(CD1,3)="奈良屋",
LEFT(INDIRECT("数出表_Excel!A"&amp;MATCH(CD1,数出表_Excel!$A:$A,0)-1),2)
=LEFT(INDIRECT("数出表_Excel!A"&amp;MATCH(CD1,数出表_Excel!$A:$A,0)+1),2)),200,""))</f>
        <v>#N/A</v>
      </c>
      <c r="BZ3" s="189" t="str">
        <f ca="1">IF(BZ2&lt;&gt;"",
"園児","")</f>
        <v/>
      </c>
      <c r="CA3" s="190"/>
      <c r="CB3" s="193" t="str">
        <f ca="1">IF(BZ2&lt;&gt;"",
"先生","")</f>
        <v/>
      </c>
      <c r="CC3" s="190"/>
      <c r="CD3" s="101">
        <f t="array" aca="1" ref="CD3" ca="1">IF(BZ1&lt;&gt;"",
IF(IFERROR(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"")&lt;&gt;0,
IF(IFERROR(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"")="",
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""),
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"")),0),0)</f>
        <v>0</v>
      </c>
      <c r="CE3" s="80"/>
      <c r="CF3" s="88" t="e">
        <f t="array" aca="1" ref="CF3" ca="1">IF(AND(LEFT(CK1,2)="博多",
LEFT(INDIRECT("数出表_Excel!A"&amp;MATCH(CK1,数出表_Excel!$A:$A,0)-1),2)
=LEFT(INDIRECT("数出表_Excel!A"&amp;MATCH(CK1,数出表_Excel!$A:$A,0)+1),2)),100,
IF(AND(LEFT(CK1,3)="奈良屋",
LEFT(INDIRECT("数出表_Excel!A"&amp;MATCH(CK1,数出表_Excel!$A:$A,0)-1),2)
=LEFT(INDIRECT("数出表_Excel!A"&amp;MATCH(CK1,数出表_Excel!$A:$A,0)+1),2)),200,""))</f>
        <v>#N/A</v>
      </c>
      <c r="CG3" s="189" t="str">
        <f ca="1">IF(CG2&lt;&gt;"",
"園児","")</f>
        <v/>
      </c>
      <c r="CH3" s="190"/>
      <c r="CI3" s="193" t="str">
        <f ca="1">IF(CG2&lt;&gt;"",
"先生","")</f>
        <v/>
      </c>
      <c r="CJ3" s="190"/>
      <c r="CK3" s="101">
        <f t="array" aca="1" ref="CK3" ca="1">IF(CG1&lt;&gt;"",
IF(IFERROR(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"")&lt;&gt;0,
IF(IFERROR(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"")="",
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""),
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"")),0),0)</f>
        <v>0</v>
      </c>
      <c r="CL3" s="80"/>
      <c r="CM3" s="80"/>
      <c r="CN3" s="88" t="e">
        <f t="array" aca="1" ref="CN3" ca="1">IF(AND(LEFT(CS1,2)="博多",
LEFT(INDIRECT("数出表_Excel!A"&amp;MATCH(CS1,数出表_Excel!$A:$A,0)-1),2)
=LEFT(INDIRECT("数出表_Excel!A"&amp;MATCH(CS1,数出表_Excel!$A:$A,0)+1),2)),100,
IF(AND(LEFT(CS1,3)="奈良屋",
LEFT(INDIRECT("数出表_Excel!A"&amp;MATCH(CS1,数出表_Excel!$A:$A,0)-1),2)
=LEFT(INDIRECT("数出表_Excel!A"&amp;MATCH(CS1,数出表_Excel!$A:$A,0)+1),2)),200,""))</f>
        <v>#N/A</v>
      </c>
      <c r="CO3" s="189" t="str">
        <f ca="1">IF(CO2&lt;&gt;"",
"園児","")</f>
        <v/>
      </c>
      <c r="CP3" s="190"/>
      <c r="CQ3" s="193" t="str">
        <f ca="1">IF(CO2&lt;&gt;"",
"先生","")</f>
        <v/>
      </c>
      <c r="CR3" s="190"/>
      <c r="CS3" s="101">
        <f t="array" aca="1" ref="CS3" ca="1">IF(CO1&lt;&gt;"",
IF(IFERROR(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"")&lt;&gt;0,
IF(IFERROR(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"")="",
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""),
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"")),0),0)</f>
        <v>0</v>
      </c>
      <c r="CT3" s="80"/>
      <c r="CU3" s="88" t="e">
        <f t="array" aca="1" ref="CU3" ca="1">IF(AND(LEFT(CZ1,2)="博多",
LEFT(INDIRECT("数出表_Excel!A"&amp;MATCH(CZ1,数出表_Excel!$A:$A,0)-1),2)
=LEFT(INDIRECT("数出表_Excel!A"&amp;MATCH(CZ1,数出表_Excel!$A:$A,0)+1),2)),100,
IF(AND(LEFT(CZ1,3)="奈良屋",
LEFT(INDIRECT("数出表_Excel!A"&amp;MATCH(CZ1,数出表_Excel!$A:$A,0)-1),2)
=LEFT(INDIRECT("数出表_Excel!A"&amp;MATCH(CZ1,数出表_Excel!$A:$A,0)+1),2)),200,""))</f>
        <v>#N/A</v>
      </c>
      <c r="CV3" s="189" t="str">
        <f ca="1">IF(CV2&lt;&gt;"",
"園児","")</f>
        <v/>
      </c>
      <c r="CW3" s="190"/>
      <c r="CX3" s="193" t="str">
        <f ca="1">IF(CV2&lt;&gt;"",
"先生","")</f>
        <v/>
      </c>
      <c r="CY3" s="190"/>
      <c r="CZ3" s="101">
        <f t="array" aca="1" ref="CZ3" ca="1">IF(CV1&lt;&gt;"",
IF(IFERROR(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"")&lt;&gt;0,
IF(IFERROR(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"")="",
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""),
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"")),0),0)</f>
        <v>0</v>
      </c>
      <c r="DA3" s="80"/>
      <c r="DB3" s="80"/>
      <c r="DC3" s="88" t="e">
        <f t="array" aca="1" ref="DC3" ca="1">IF(AND(LEFT(DH1,2)="博多",
LEFT(INDIRECT("数出表_Excel!A"&amp;MATCH(DH1,数出表_Excel!$A:$A,0)-1),2)
=LEFT(INDIRECT("数出表_Excel!A"&amp;MATCH(DH1,数出表_Excel!$A:$A,0)+1),2)),100,
IF(AND(LEFT(DH1,3)="奈良屋",
LEFT(INDIRECT("数出表_Excel!A"&amp;MATCH(DH1,数出表_Excel!$A:$A,0)-1),2)
=LEFT(INDIRECT("数出表_Excel!A"&amp;MATCH(DH1,数出表_Excel!$A:$A,0)+1),2)),200,""))</f>
        <v>#N/A</v>
      </c>
      <c r="DD3" s="189" t="str">
        <f ca="1">IF(DD2&lt;&gt;"",
"園児","")</f>
        <v/>
      </c>
      <c r="DE3" s="190"/>
      <c r="DF3" s="193" t="str">
        <f ca="1">IF(DD2&lt;&gt;"",
"先生","")</f>
        <v/>
      </c>
      <c r="DG3" s="190"/>
      <c r="DH3" s="101">
        <f t="array" aca="1" ref="DH3" ca="1">IF(DD1&lt;&gt;"",
IF(IFERROR(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"")&lt;&gt;0,
IF(IFERROR(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"")="",
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""),
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"")),0),0)</f>
        <v>0</v>
      </c>
      <c r="DI3" s="80"/>
      <c r="DJ3" s="88" t="e">
        <f t="array" aca="1" ref="DJ3" ca="1">IF(AND(LEFT(DO1,2)="博多",
LEFT(INDIRECT("数出表_Excel!A"&amp;MATCH(DO1,数出表_Excel!$A:$A,0)-1),2)
=LEFT(INDIRECT("数出表_Excel!A"&amp;MATCH(DO1,数出表_Excel!$A:$A,0)+1),2)),100,
IF(AND(LEFT(DO1,3)="奈良屋",
LEFT(INDIRECT("数出表_Excel!A"&amp;MATCH(DO1,数出表_Excel!$A:$A,0)-1),2)
=LEFT(INDIRECT("数出表_Excel!A"&amp;MATCH(DO1,数出表_Excel!$A:$A,0)+1),2)),200,""))</f>
        <v>#N/A</v>
      </c>
      <c r="DK3" s="189" t="str">
        <f ca="1">IF(DK2&lt;&gt;"",
"園児","")</f>
        <v/>
      </c>
      <c r="DL3" s="190"/>
      <c r="DM3" s="193" t="str">
        <f ca="1">IF(DK2&lt;&gt;"",
"先生","")</f>
        <v/>
      </c>
      <c r="DN3" s="190"/>
      <c r="DO3" s="101">
        <f t="array" aca="1" ref="DO3" ca="1">IF(DK1&lt;&gt;"",
IF(IFERROR(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"")&lt;&gt;0,
IF(IFERROR(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"")="",
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""),
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"")),0),0)</f>
        <v>0</v>
      </c>
      <c r="DP3" s="80"/>
      <c r="DQ3" s="80"/>
      <c r="DR3" s="88" t="e">
        <f t="array" aca="1" ref="DR3" ca="1">IF(AND(LEFT(DW1,2)="博多",
LEFT(INDIRECT("数出表_Excel!A"&amp;MATCH(DW1,数出表_Excel!$A:$A,0)-1),2)
=LEFT(INDIRECT("数出表_Excel!A"&amp;MATCH(DW1,数出表_Excel!$A:$A,0)+1),2)),100,
IF(AND(LEFT(DW1,3)="奈良屋",
LEFT(INDIRECT("数出表_Excel!A"&amp;MATCH(DW1,数出表_Excel!$A:$A,0)-1),2)
=LEFT(INDIRECT("数出表_Excel!A"&amp;MATCH(DW1,数出表_Excel!$A:$A,0)+1),2)),200,""))</f>
        <v>#N/A</v>
      </c>
      <c r="DS3" s="189" t="str">
        <f ca="1">IF(DS2&lt;&gt;"",
"園児","")</f>
        <v/>
      </c>
      <c r="DT3" s="190"/>
      <c r="DU3" s="193" t="str">
        <f ca="1">IF(DS2&lt;&gt;"",
"先生","")</f>
        <v/>
      </c>
      <c r="DV3" s="190"/>
      <c r="DW3" s="101">
        <f t="array" aca="1" ref="DW3" ca="1">IF(DS1&lt;&gt;"",
IF(IFERROR(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"")&lt;&gt;0,
IF(IFERROR(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"")="",
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""),
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"")),0),0)</f>
        <v>0</v>
      </c>
      <c r="DX3" s="80"/>
      <c r="DY3" s="88" t="e">
        <f t="array" aca="1" ref="DY3" ca="1">IF(AND(LEFT(ED1,2)="博多",
LEFT(INDIRECT("数出表_Excel!A"&amp;MATCH(ED1,数出表_Excel!$A:$A,0)-1),2)
=LEFT(INDIRECT("数出表_Excel!A"&amp;MATCH(ED1,数出表_Excel!$A:$A,0)+1),2)),100,
IF(AND(LEFT(ED1,3)="奈良屋",
LEFT(INDIRECT("数出表_Excel!A"&amp;MATCH(ED1,数出表_Excel!$A:$A,0)-1),2)
=LEFT(INDIRECT("数出表_Excel!A"&amp;MATCH(ED1,数出表_Excel!$A:$A,0)+1),2)),200,""))</f>
        <v>#N/A</v>
      </c>
      <c r="DZ3" s="189" t="str">
        <f ca="1">IF(DZ2&lt;&gt;"",
"園児","")</f>
        <v/>
      </c>
      <c r="EA3" s="190"/>
      <c r="EB3" s="193" t="str">
        <f ca="1">IF(DZ2&lt;&gt;"",
"先生","")</f>
        <v/>
      </c>
      <c r="EC3" s="190"/>
      <c r="ED3" s="101">
        <f t="array" aca="1" ref="ED3" ca="1">IF(DZ1&lt;&gt;"",
IF(IFERROR(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"")&lt;&gt;0,
IF(IFERROR(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"")="",
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""),
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"")),0),0)</f>
        <v>0</v>
      </c>
      <c r="EE3" s="80"/>
      <c r="EF3" s="80"/>
      <c r="EG3" s="88" t="e">
        <f t="array" aca="1" ref="EG3" ca="1">IF(AND(LEFT(EL1,2)="博多",
LEFT(INDIRECT("数出表_Excel!A"&amp;MATCH(EL1,数出表_Excel!$A:$A,0)-1),2)
=LEFT(INDIRECT("数出表_Excel!A"&amp;MATCH(EL1,数出表_Excel!$A:$A,0)+1),2)),100,
IF(AND(LEFT(EL1,3)="奈良屋",
LEFT(INDIRECT("数出表_Excel!A"&amp;MATCH(EL1,数出表_Excel!$A:$A,0)-1),2)
=LEFT(INDIRECT("数出表_Excel!A"&amp;MATCH(EL1,数出表_Excel!$A:$A,0)+1),2)),200,""))</f>
        <v>#N/A</v>
      </c>
      <c r="EH3" s="189" t="str">
        <f ca="1">IF(EH2&lt;&gt;"",
"園児","")</f>
        <v/>
      </c>
      <c r="EI3" s="190"/>
      <c r="EJ3" s="193" t="str">
        <f ca="1">IF(EH2&lt;&gt;"",
"先生","")</f>
        <v/>
      </c>
      <c r="EK3" s="190"/>
      <c r="EL3" s="101">
        <f t="array" aca="1" ref="EL3" ca="1">IF(EH1&lt;&gt;"",
IF(IFERROR(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"")&lt;&gt;0,
IF(IFERROR(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"")="",
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""),
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"")),0),0)</f>
        <v>0</v>
      </c>
      <c r="EM3" s="80"/>
      <c r="EN3" s="88" t="e">
        <f t="array" aca="1" ref="EN3" ca="1">IF(AND(LEFT(ES1,2)="博多",
LEFT(INDIRECT("数出表_Excel!A"&amp;MATCH(ES1,数出表_Excel!$A:$A,0)-1),2)
=LEFT(INDIRECT("数出表_Excel!A"&amp;MATCH(ES1,数出表_Excel!$A:$A,0)+1),2)),100,
IF(AND(LEFT(ES1,3)="奈良屋",
LEFT(INDIRECT("数出表_Excel!A"&amp;MATCH(ES1,数出表_Excel!$A:$A,0)-1),2)
=LEFT(INDIRECT("数出表_Excel!A"&amp;MATCH(ES1,数出表_Excel!$A:$A,0)+1),2)),200,""))</f>
        <v>#N/A</v>
      </c>
      <c r="EO3" s="189" t="str">
        <f ca="1">IF(EO2&lt;&gt;"",
"園児","")</f>
        <v/>
      </c>
      <c r="EP3" s="190"/>
      <c r="EQ3" s="193" t="str">
        <f ca="1">IF(EO2&lt;&gt;"",
"先生","")</f>
        <v/>
      </c>
      <c r="ER3" s="190"/>
      <c r="ES3" s="101">
        <f t="array" aca="1" ref="ES3" ca="1">IF(EO1&lt;&gt;"",
IF(IFERROR(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"")&lt;&gt;0,
IF(IFERROR(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"")="",
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""),
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"")),0),0)</f>
        <v>0</v>
      </c>
      <c r="ET3" s="110"/>
      <c r="EV3" s="83" t="str">
        <f ca="1">J1</f>
        <v/>
      </c>
      <c r="EW3" s="83" t="str">
        <f ca="1">J2</f>
        <v/>
      </c>
      <c r="EX3" s="83" t="str">
        <f ca="1">L2</f>
        <v/>
      </c>
      <c r="EY3" s="84" t="str">
        <f ca="1">M2</f>
        <v/>
      </c>
      <c r="EZ3" s="84" t="str">
        <f ca="1">N2</f>
        <v/>
      </c>
      <c r="FA3" s="83" t="e">
        <f ca="1">J4</f>
        <v>#VALUE!</v>
      </c>
      <c r="FB3" s="83" t="str">
        <f ca="1">L4</f>
        <v/>
      </c>
      <c r="FC3" s="83" t="str">
        <f ca="1">J6</f>
        <v/>
      </c>
      <c r="FD3" s="83" t="e">
        <f ca="1">I7</f>
        <v>#VALUE!</v>
      </c>
      <c r="FE3" s="83" t="str">
        <f ca="1">K7</f>
        <v/>
      </c>
      <c r="FF3" s="83" t="e">
        <f ca="1">M7</f>
        <v>#N/A</v>
      </c>
      <c r="FG3" s="82">
        <f t="shared" ca="1" si="0"/>
        <v>0</v>
      </c>
      <c r="FH3" s="82" t="e">
        <f t="array" aca="1" ref="FH3" ca="1">SUMPRODUCT((LEN(EV3:FF3)&gt;0)*1)&gt;0</f>
        <v>#VALUE!</v>
      </c>
      <c r="FI3" s="82">
        <f t="array" aca="1" ref="FI3" ca="1">IFERROR(SMALL(IF(FG$1:FG$173&lt;&gt;0,FG$1:FG$173),ROW(A3)),"")</f>
        <v>123</v>
      </c>
      <c r="FJ3" s="82" t="str">
        <f t="array" aca="1" ref="FJ3" ca="1">IF($FI3&lt;&gt;"",
INDIRECT(""&amp;IF(COLUMN(EV3)&lt;=26,CHAR(COLUMN(EV3)+64),CHAR(INT((COLUMN(EV3)-1)/26)+64)&amp;CHAR(MOD(COLUMN(EV3)-1,26)+65))&amp;$FI3&amp;""),"")</f>
        <v>配送</v>
      </c>
      <c r="FK3" s="82">
        <f t="array" aca="1" ref="FK3" ca="1">IF($FI3&lt;&gt;"",
INDIRECT(""&amp;IF(COLUMN(EW3)&lt;=26,CHAR(COLUMN(EW3)+64),CHAR(INT((COLUMN(EW3)-1)/26)+64)&amp;CHAR(MOD(COLUMN(EW3)-1,26)+65))&amp;$FI3&amp;""),"")</f>
        <v>0</v>
      </c>
      <c r="FL3" s="82">
        <f t="array" aca="1" ref="FL3" ca="1">IF($FI3&lt;&gt;"",
INDIRECT(""&amp;IF(COLUMN(EX3)&lt;=26,CHAR(COLUMN(EX3)+64),CHAR(INT((COLUMN(EX3)-1)/26)+64)&amp;CHAR(MOD(COLUMN(EX3)-1,26)+65))&amp;$FI3&amp;""),"")</f>
        <v>0</v>
      </c>
      <c r="FM3" s="82" t="str">
        <f t="array" aca="1" ref="FM3" ca="1">IF($FI3&lt;&gt;"",
IF(FL3="",
IF(INDIRECT("EY"&amp;$FI3&amp;"")&lt;&gt;"",
INDIRECT("EY"&amp;$FI3&amp;"")&amp;"箱"
&amp;INDIRECT("EZ"&amp;$FI3&amp;""),""),""),"")</f>
        <v/>
      </c>
      <c r="FN3" s="82">
        <f t="array" aca="1" ref="FN3" ca="1">IF($FI3&lt;&gt;"",
INDIRECT(""&amp;IF(COLUMN(FA3)&lt;=26,CHAR(COLUMN(FA3)+64),CHAR(INT((COLUMN(FA3)-1)/26)+64)&amp;CHAR(MOD(COLUMN(FA3)-1,26)+65))&amp;$FI3&amp;""),"")</f>
        <v>2</v>
      </c>
      <c r="FO3" s="82">
        <f t="array" aca="1" ref="FO3" ca="1">IF($FI3&lt;&gt;"",
INDIRECT(""&amp;IF(COLUMN(FB3)&lt;=26,CHAR(COLUMN(FB3)+64),CHAR(INT((COLUMN(FB3)-1)/26)+64)&amp;CHAR(MOD(COLUMN(FB3)-1,26)+65))&amp;$FI3&amp;""),"")</f>
        <v>0</v>
      </c>
      <c r="FP3" s="82">
        <f t="array" aca="1" ref="FP3" ca="1">IF($FI3&lt;&gt;"",
INDIRECT(""&amp;IF(COLUMN(FC3)&lt;=26,CHAR(COLUMN(FC3)+64),CHAR(INT((COLUMN(FC3)-1)/26)+64)&amp;CHAR(MOD(COLUMN(FC3)-1,26)+65))&amp;$FI3&amp;""),"")</f>
        <v>0</v>
      </c>
      <c r="FQ3" s="82">
        <f t="array" aca="1" ref="FQ3" ca="1">IF($FI3&lt;&gt;"",
INDIRECT(""&amp;IF(COLUMN(FD3)&lt;=26,CHAR(COLUMN(FD3)+64),CHAR(INT((COLUMN(FD3)-1)/26)+64)&amp;CHAR(MOD(COLUMN(FD3)-1,26)+65))&amp;$FI3&amp;""),"")</f>
        <v>0</v>
      </c>
      <c r="FR3" s="82">
        <f t="array" aca="1" ref="FR3" ca="1">IF($FI3&lt;&gt;"",
INDIRECT(""&amp;IF(COLUMN(FE3)&lt;=26,CHAR(COLUMN(FE3)+64),CHAR(INT((COLUMN(FE3)-1)/26)+64)&amp;CHAR(MOD(COLUMN(FE3)-1,26)+65))&amp;$FI3&amp;""),"")</f>
        <v>0</v>
      </c>
      <c r="FS3" s="82">
        <f t="array" aca="1" ref="FS3" ca="1">IF($FI3&lt;&gt;"",
INDIRECT(""&amp;IF(COLUMN(FF3)&lt;=26,CHAR(COLUMN(FF3)+64),CHAR(INT((COLUMN(FF3)-1)/26)+64)&amp;CHAR(MOD(COLUMN(FF3)-1,26)+65))&amp;$FI3&amp;""),"")</f>
        <v>0</v>
      </c>
    </row>
    <row r="4" spans="1:175" ht="18" customHeight="1" x14ac:dyDescent="0.45">
      <c r="B4" s="90"/>
      <c r="C4" s="185" t="e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""))))),"")+B4</f>
        <v>#VALUE!</v>
      </c>
      <c r="D4" s="186"/>
      <c r="E4" s="188" t="str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186"/>
      <c r="G4" s="101" t="e">
        <f t="array" aca="1" ref="G4" ca="1">IF(B3=100,
IF(C1&lt;&gt;"",
IF(IFERROR(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0)&lt;&gt;0,
IF(IFERROR(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0)="",
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0),
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0)),0),""),0)</f>
        <v>#N/A</v>
      </c>
      <c r="I4" s="90"/>
      <c r="J4" s="185" t="e">
        <f t="array" aca="1" ref="J4" ca="1">IF(AND(G1="社食",N1="社食"),"",
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IF(I3=100,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""))))),"")+I4)</f>
        <v>#VALUE!</v>
      </c>
      <c r="K4" s="186"/>
      <c r="L4" s="188" t="str">
        <f t="array" aca="1" ref="L4" ca="1">IF(AND(N1="社食",G8="社食"),"",
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"")),""))</f>
        <v/>
      </c>
      <c r="M4" s="186"/>
      <c r="N4" s="101" t="e">
        <f t="array" aca="1" ref="N4" ca="1">IF(I3=100,
IF(J1&lt;&gt;"",
IF(IFERROR(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0)&lt;&gt;0,
IF(IFERROR(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0)="",
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0),
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0)),0),""),0)</f>
        <v>#N/A</v>
      </c>
      <c r="Q4" s="90"/>
      <c r="R4" s="185" t="e">
        <f t="array" aca="1" ref="R4" ca="1">IF(AND(N36="社食",V1="社食"),"",
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IF(Q3=100,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""))))),"")+Q4)</f>
        <v>#VALUE!</v>
      </c>
      <c r="S4" s="186"/>
      <c r="T4" s="188" t="str">
        <f t="array" aca="1" ref="T4" ca="1">IF(AND(V1="社食",AC1="社食"),"",
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"")),""))</f>
        <v/>
      </c>
      <c r="U4" s="186"/>
      <c r="V4" s="101" t="e">
        <f t="array" aca="1" ref="V4" ca="1">IF(Q3=100,
IF(R1&lt;&gt;"",
IF(IFERROR(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0)&lt;&gt;0,
IF(IFERROR(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0)="",
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0),
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0)),0),""),0)</f>
        <v>#N/A</v>
      </c>
      <c r="X4" s="90"/>
      <c r="Y4" s="185" t="e">
        <f t="array" aca="1" ref="Y4" ca="1">IF(AND(V1="社食",AC1="社食"),"",
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IF(X3=100,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""))))),"")+X4)</f>
        <v>#VALUE!</v>
      </c>
      <c r="Z4" s="186"/>
      <c r="AA4" s="188" t="str">
        <f t="array" aca="1" ref="AA4" ca="1">IF(AND(AC1="社食",V8="社食"),"",
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"")),""))</f>
        <v/>
      </c>
      <c r="AB4" s="186"/>
      <c r="AC4" s="101" t="e">
        <f t="array" aca="1" ref="AC4" ca="1">IF(X3=100,
IF(Y1&lt;&gt;"",
IF(IFERROR(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0)&lt;&gt;0,
IF(IFERROR(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0)="",
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0),
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0)),0),""),0)</f>
        <v>#N/A</v>
      </c>
      <c r="AF4" s="90"/>
      <c r="AG4" s="185" t="e">
        <f t="array" aca="1" ref="AG4" ca="1">IF(AND(AC36="社食",AK1="社食"),"",
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IF(AF3=100,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""))))),"")+AF4)</f>
        <v>#VALUE!</v>
      </c>
      <c r="AH4" s="186"/>
      <c r="AI4" s="188" t="str">
        <f t="array" aca="1" ref="AI4" ca="1">IF(AND(AK1="社食",AR1="社食"),"",
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"")),""))</f>
        <v/>
      </c>
      <c r="AJ4" s="186"/>
      <c r="AK4" s="101" t="e">
        <f t="array" aca="1" ref="AK4" ca="1">IF(AF3=100,
IF(AG1&lt;&gt;"",
IF(IFERROR(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0)&lt;&gt;0,
IF(IFERROR(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0)="",
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0),
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0)),0),""),0)</f>
        <v>#N/A</v>
      </c>
      <c r="AM4" s="90"/>
      <c r="AN4" s="185" t="e">
        <f t="array" aca="1" ref="AN4" ca="1">IF(AND(AK1="社食",AR1="社食"),"",
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IF(AM3=100,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""))))),"")+AM4)</f>
        <v>#VALUE!</v>
      </c>
      <c r="AO4" s="186"/>
      <c r="AP4" s="188" t="str">
        <f t="array" aca="1" ref="AP4" ca="1">IF(AND(AR1="社食",AK8="社食"),"",
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"")),""))</f>
        <v/>
      </c>
      <c r="AQ4" s="186"/>
      <c r="AR4" s="101" t="e">
        <f t="array" aca="1" ref="AR4" ca="1">IF(AM3=100,
IF(AN1&lt;&gt;"",
IF(IFERROR(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0)&lt;&gt;0,
IF(IFERROR(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0)="",
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0),
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0)),0),""),0)</f>
        <v>#N/A</v>
      </c>
      <c r="AU4" s="90"/>
      <c r="AV4" s="185" t="e">
        <f t="array" aca="1" ref="AV4" ca="1">IF(AND(AR36="社食",AZ1="社食"),"",
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IF(AU3=100,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""))))),"")+AU4)</f>
        <v>#VALUE!</v>
      </c>
      <c r="AW4" s="186"/>
      <c r="AX4" s="188" t="str">
        <f t="array" aca="1" ref="AX4" ca="1">IF(AND(AZ1="社食",BG1="社食"),"",
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"")),""))</f>
        <v/>
      </c>
      <c r="AY4" s="186"/>
      <c r="AZ4" s="101" t="e">
        <f t="array" aca="1" ref="AZ4" ca="1">IF(AU3=100,
IF(AV1&lt;&gt;"",
IF(IFERROR(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0)&lt;&gt;0,
IF(IFERROR(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0)="",
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0),
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0)),0),""),0)</f>
        <v>#N/A</v>
      </c>
      <c r="BB4" s="90"/>
      <c r="BC4" s="185" t="e">
        <f t="array" aca="1" ref="BC4" ca="1">IF(AND(AZ1="社食",BG1="社食"),"",
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IF(BB3=100,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""))))),"")+BB4)</f>
        <v>#VALUE!</v>
      </c>
      <c r="BD4" s="186"/>
      <c r="BE4" s="188" t="str">
        <f t="array" aca="1" ref="BE4" ca="1">IF(AND(BG1="社食",AZ8="社食"),"",
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"")),""))</f>
        <v/>
      </c>
      <c r="BF4" s="186"/>
      <c r="BG4" s="101" t="e">
        <f t="array" aca="1" ref="BG4" ca="1">IF(BB3=100,
IF(BC1&lt;&gt;"",
IF(IFERROR(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0)&lt;&gt;0,
IF(IFERROR(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0)="",
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0),
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0)),0),""),0)</f>
        <v>#N/A</v>
      </c>
      <c r="BJ4" s="90"/>
      <c r="BK4" s="185" t="e">
        <f t="array" aca="1" ref="BK4" ca="1">IF(AND(BG36="社食",BO1="社食"),"",
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IF(BJ3=100,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""))))),"")+BJ4)</f>
        <v>#VALUE!</v>
      </c>
      <c r="BL4" s="186"/>
      <c r="BM4" s="188" t="str">
        <f t="array" aca="1" ref="BM4" ca="1">IF(AND(BO1="社食",BV1="社食"),"",
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"")),""))</f>
        <v/>
      </c>
      <c r="BN4" s="186"/>
      <c r="BO4" s="101" t="e">
        <f t="array" aca="1" ref="BO4" ca="1">IF(BJ3=100,
IF(BK1&lt;&gt;"",
IF(IFERROR(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0)&lt;&gt;0,
IF(IFERROR(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0)="",
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0),
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0)),0),""),0)</f>
        <v>#N/A</v>
      </c>
      <c r="BQ4" s="90"/>
      <c r="BR4" s="185" t="e">
        <f t="array" aca="1" ref="BR4" ca="1">IF(AND(BO1="社食",BV1="社食"),"",
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IF(BQ3=100,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""))))),"")+BQ4)</f>
        <v>#VALUE!</v>
      </c>
      <c r="BS4" s="186"/>
      <c r="BT4" s="188" t="str">
        <f t="array" aca="1" ref="BT4" ca="1">IF(AND(BV1="社食",BO8="社食"),"",
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"")),""))</f>
        <v/>
      </c>
      <c r="BU4" s="186"/>
      <c r="BV4" s="101" t="e">
        <f t="array" aca="1" ref="BV4" ca="1">IF(BQ3=100,
IF(BR1&lt;&gt;"",
IF(IFERROR(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0)&lt;&gt;0,
IF(IFERROR(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0)="",
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0),
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0)),0),""),0)</f>
        <v>#N/A</v>
      </c>
      <c r="BY4" s="90"/>
      <c r="BZ4" s="185" t="e">
        <f t="array" aca="1" ref="BZ4" ca="1">IF(AND(BV36="社食",CD1="社食"),"",
IF(BZ2&lt;&gt;"",
IF(IFERROR(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"")=0,"",
IF(BY3=100,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""),
IF(AND(BY3=200,COUNTIF(数出表_Excel!$A:$A,"*奈良屋*")=2),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""),
IF(AND(BY3=200,COUNTIF(数出表_Excel!$A:$A,"*奈良屋*")=3),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
+IFERROR(
INDEX(INDIRECT("数出表_Excel!B"&amp;MATCH(CD1,数出表_Excel!$A:$A,0)-1+4&amp;":U"&amp;MATCH(CD1,数出表_Excel!$A:$A,0)-1+4&amp;""),
 1,
 MATCH(TRUE, ISNUMBER(--INDIRECT("数出表_Excel!B"&amp;MATCH(CD1,数出表_Excel!$A:$A,0)-1+4&amp;":U"&amp;MATCH(CD1,数出表_Excel!$A:$A,0)-1+4&amp;"")), 0)),
 ""),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""))))),"")+BY4)</f>
        <v>#VALUE!</v>
      </c>
      <c r="CA4" s="186"/>
      <c r="CB4" s="188" t="str">
        <f t="array" aca="1" ref="CB4" ca="1">IF(AND(CD1="社食",CK1="社食"),"",
IF(BZ2&lt;&gt;"",
IF(IFERROR(
INDEX(INDIRECT("数出表_Excel!B"&amp;MATCH(CD1,数出表_Excel!$A:$A,0)&amp;":U"&amp;MATCH(CD1,数出表_Excel!$A:$A,0)&amp;""),
 1,BY2-1),
 "")=0,"",
IFERROR(
INDEX(INDIRECT("数出表_Excel!B"&amp;MATCH(CD1,数出表_Excel!$A:$A,0)&amp;":U"&amp;MATCH(CD1,数出表_Excel!$A:$A,0)&amp;""),
 1,BY2-1),
 "")),""))</f>
        <v/>
      </c>
      <c r="CC4" s="186"/>
      <c r="CD4" s="101" t="e">
        <f t="array" aca="1" ref="CD4" ca="1">IF(BY3=100,
IF(BZ1&lt;&gt;"",
IF(IFERROR(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0)&lt;&gt;0,
IF(IFERROR(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0)="",
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0),
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0)),0),""),0)</f>
        <v>#N/A</v>
      </c>
      <c r="CF4" s="90"/>
      <c r="CG4" s="185" t="e">
        <f t="array" aca="1" ref="CG4" ca="1">IF(AND(CD1="社食",CK1="社食"),"",
IF(CG2&lt;&gt;"",
IF(IFERROR(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"")=0,"",
IF(CF3=100,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""),
IF(AND(CF3=200,COUNTIF(数出表_Excel!$A:$A,"*奈良屋*")=2),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""),
IF(AND(CF3=200,COUNTIF(数出表_Excel!$A:$A,"*奈良屋*")=3),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
+IFERROR(
INDEX(INDIRECT("数出表_Excel!B"&amp;MATCH(CK1,数出表_Excel!$A:$A,0)-1+4&amp;":U"&amp;MATCH(CK1,数出表_Excel!$A:$A,0)-1+4&amp;""),
 1,
 MATCH(TRUE, ISNUMBER(--INDIRECT("数出表_Excel!B"&amp;MATCH(CK1,数出表_Excel!$A:$A,0)-1+4&amp;":U"&amp;MATCH(CK1,数出表_Excel!$A:$A,0)-1+4&amp;"")), 0)),
 ""),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""))))),"")+CF4)</f>
        <v>#VALUE!</v>
      </c>
      <c r="CH4" s="186"/>
      <c r="CI4" s="188" t="str">
        <f t="array" aca="1" ref="CI4" ca="1">IF(AND(CK1="社食",CD8="社食"),"",
IF(CG2&lt;&gt;"",
IF(IFERROR(
INDEX(INDIRECT("数出表_Excel!B"&amp;MATCH(CK1,数出表_Excel!$A:$A,0)&amp;":U"&amp;MATCH(CK1,数出表_Excel!$A:$A,0)&amp;""),
 1,CF2-1),
 "")=0,"",
IFERROR(
INDEX(INDIRECT("数出表_Excel!B"&amp;MATCH(CK1,数出表_Excel!$A:$A,0)&amp;":U"&amp;MATCH(CK1,数出表_Excel!$A:$A,0)&amp;""),
 1,CF2-1),
 "")),""))</f>
        <v/>
      </c>
      <c r="CJ4" s="186"/>
      <c r="CK4" s="101" t="e">
        <f t="array" aca="1" ref="CK4" ca="1">IF(CF3=100,
IF(CG1&lt;&gt;"",
IF(IFERROR(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0)&lt;&gt;0,
IF(IFERROR(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0)="",
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0),
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0)),0),""),0)</f>
        <v>#N/A</v>
      </c>
      <c r="CN4" s="90"/>
      <c r="CO4" s="185" t="e">
        <f t="array" aca="1" ref="CO4" ca="1">IF(AND(CK36="社食",CS1="社食"),"",
IF(CO2&lt;&gt;"",
IF(IFERROR(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"")=0,"",
IF(CN3=100,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""),
IF(AND(CN3=200,COUNTIF(数出表_Excel!$A:$A,"*奈良屋*")=2),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""),
IF(AND(CN3=200,COUNTIF(数出表_Excel!$A:$A,"*奈良屋*")=3),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
+IFERROR(
INDEX(INDIRECT("数出表_Excel!B"&amp;MATCH(CS1,数出表_Excel!$A:$A,0)-1+4&amp;":U"&amp;MATCH(CS1,数出表_Excel!$A:$A,0)-1+4&amp;""),
 1,
 MATCH(TRUE, ISNUMBER(--INDIRECT("数出表_Excel!B"&amp;MATCH(CS1,数出表_Excel!$A:$A,0)-1+4&amp;":U"&amp;MATCH(CS1,数出表_Excel!$A:$A,0)-1+4&amp;"")), 0)),
 ""),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""))))),"")+CN4)</f>
        <v>#VALUE!</v>
      </c>
      <c r="CP4" s="186"/>
      <c r="CQ4" s="188" t="str">
        <f t="array" aca="1" ref="CQ4" ca="1">IF(AND(CS1="社食",CZ1="社食"),"",
IF(CO2&lt;&gt;"",
IF(IFERROR(
INDEX(INDIRECT("数出表_Excel!B"&amp;MATCH(CS1,数出表_Excel!$A:$A,0)&amp;":U"&amp;MATCH(CS1,数出表_Excel!$A:$A,0)&amp;""),
 1,CN2-1),
 "")=0,"",
IFERROR(
INDEX(INDIRECT("数出表_Excel!B"&amp;MATCH(CS1,数出表_Excel!$A:$A,0)&amp;":U"&amp;MATCH(CS1,数出表_Excel!$A:$A,0)&amp;""),
 1,CN2-1),
 "")),""))</f>
        <v/>
      </c>
      <c r="CR4" s="186"/>
      <c r="CS4" s="101" t="e">
        <f t="array" aca="1" ref="CS4" ca="1">IF(CN3=100,
IF(CO1&lt;&gt;"",
IF(IFERROR(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0)&lt;&gt;0,
IF(IFERROR(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0)="",
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0),
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0)),0),""),0)</f>
        <v>#N/A</v>
      </c>
      <c r="CU4" s="90"/>
      <c r="CV4" s="185" t="e">
        <f t="array" aca="1" ref="CV4" ca="1">IF(AND(CS1="社食",CZ1="社食"),"",
IF(CV2&lt;&gt;"",
IF(IFERROR(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"")=0,"",
IF(CU3=100,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""),
IF(AND(CU3=200,COUNTIF(数出表_Excel!$A:$A,"*奈良屋*")=2),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""),
IF(AND(CU3=200,COUNTIF(数出表_Excel!$A:$A,"*奈良屋*")=3),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
+IFERROR(
INDEX(INDIRECT("数出表_Excel!B"&amp;MATCH(CZ1,数出表_Excel!$A:$A,0)-1+4&amp;":U"&amp;MATCH(CZ1,数出表_Excel!$A:$A,0)-1+4&amp;""),
 1,
 MATCH(TRUE, ISNUMBER(--INDIRECT("数出表_Excel!B"&amp;MATCH(CZ1,数出表_Excel!$A:$A,0)-1+4&amp;":U"&amp;MATCH(CZ1,数出表_Excel!$A:$A,0)-1+4&amp;"")), 0)),
 ""),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""))))),"")+CU4)</f>
        <v>#VALUE!</v>
      </c>
      <c r="CW4" s="186"/>
      <c r="CX4" s="188" t="str">
        <f t="array" aca="1" ref="CX4" ca="1">IF(AND(CZ1="社食",CS8="社食"),"",
IF(CV2&lt;&gt;"",
IF(IFERROR(
INDEX(INDIRECT("数出表_Excel!B"&amp;MATCH(CZ1,数出表_Excel!$A:$A,0)&amp;":U"&amp;MATCH(CZ1,数出表_Excel!$A:$A,0)&amp;""),
 1,CU2-1),
 "")=0,"",
IFERROR(
INDEX(INDIRECT("数出表_Excel!B"&amp;MATCH(CZ1,数出表_Excel!$A:$A,0)&amp;":U"&amp;MATCH(CZ1,数出表_Excel!$A:$A,0)&amp;""),
 1,CU2-1),
 "")),""))</f>
        <v/>
      </c>
      <c r="CY4" s="186"/>
      <c r="CZ4" s="101" t="e">
        <f t="array" aca="1" ref="CZ4" ca="1">IF(CU3=100,
IF(CV1&lt;&gt;"",
IF(IFERROR(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0)&lt;&gt;0,
IF(IFERROR(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0)="",
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0),
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0)),0),""),0)</f>
        <v>#N/A</v>
      </c>
      <c r="DC4" s="90"/>
      <c r="DD4" s="185" t="e">
        <f t="array" aca="1" ref="DD4" ca="1">IF(AND(CZ36="社食",DH1="社食"),"",
IF(DD2&lt;&gt;"",
IF(IFERROR(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"")=0,"",
IF(DC3=100,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""),
IF(AND(DC3=200,COUNTIF(数出表_Excel!$A:$A,"*奈良屋*")=2),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""),
IF(AND(DC3=200,COUNTIF(数出表_Excel!$A:$A,"*奈良屋*")=3),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
+IFERROR(
INDEX(INDIRECT("数出表_Excel!B"&amp;MATCH(DH1,数出表_Excel!$A:$A,0)-1+4&amp;":U"&amp;MATCH(DH1,数出表_Excel!$A:$A,0)-1+4&amp;""),
 1,
 MATCH(TRUE, ISNUMBER(--INDIRECT("数出表_Excel!B"&amp;MATCH(DH1,数出表_Excel!$A:$A,0)-1+4&amp;":U"&amp;MATCH(DH1,数出表_Excel!$A:$A,0)-1+4&amp;"")), 0)),
 ""),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""))))),"")+DC4)</f>
        <v>#VALUE!</v>
      </c>
      <c r="DE4" s="186"/>
      <c r="DF4" s="188" t="str">
        <f t="array" aca="1" ref="DF4" ca="1">IF(AND(DH1="社食",DO1="社食"),"",
IF(DD2&lt;&gt;"",
IF(IFERROR(
INDEX(INDIRECT("数出表_Excel!B"&amp;MATCH(DH1,数出表_Excel!$A:$A,0)&amp;":U"&amp;MATCH(DH1,数出表_Excel!$A:$A,0)&amp;""),
 1,DC2-1),
 "")=0,"",
IFERROR(
INDEX(INDIRECT("数出表_Excel!B"&amp;MATCH(DH1,数出表_Excel!$A:$A,0)&amp;":U"&amp;MATCH(DH1,数出表_Excel!$A:$A,0)&amp;""),
 1,DC2-1),
 "")),""))</f>
        <v/>
      </c>
      <c r="DG4" s="186"/>
      <c r="DH4" s="101" t="e">
        <f t="array" aca="1" ref="DH4" ca="1">IF(DC3=100,
IF(DD1&lt;&gt;"",
IF(IFERROR(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0)&lt;&gt;0,
IF(IFERROR(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0)="",
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0),
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0)),0),""),0)</f>
        <v>#N/A</v>
      </c>
      <c r="DJ4" s="90"/>
      <c r="DK4" s="185" t="e">
        <f t="array" aca="1" ref="DK4" ca="1">IF(AND(DH1="社食",DO1="社食"),"",
IF(DK2&lt;&gt;"",
IF(IFERROR(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"")=0,"",
IF(DJ3=100,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""),
IF(AND(DJ3=200,COUNTIF(数出表_Excel!$A:$A,"*奈良屋*")=2),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""),
IF(AND(DJ3=200,COUNTIF(数出表_Excel!$A:$A,"*奈良屋*")=3),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
+IFERROR(
INDEX(INDIRECT("数出表_Excel!B"&amp;MATCH(DO1,数出表_Excel!$A:$A,0)-1+4&amp;":U"&amp;MATCH(DO1,数出表_Excel!$A:$A,0)-1+4&amp;""),
 1,
 MATCH(TRUE, ISNUMBER(--INDIRECT("数出表_Excel!B"&amp;MATCH(DO1,数出表_Excel!$A:$A,0)-1+4&amp;":U"&amp;MATCH(DO1,数出表_Excel!$A:$A,0)-1+4&amp;"")), 0)),
 ""),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""))))),"")+DJ4)</f>
        <v>#VALUE!</v>
      </c>
      <c r="DL4" s="186"/>
      <c r="DM4" s="188" t="str">
        <f t="array" aca="1" ref="DM4" ca="1">IF(AND(DO1="社食",DH8="社食"),"",
IF(DK2&lt;&gt;"",
IF(IFERROR(
INDEX(INDIRECT("数出表_Excel!B"&amp;MATCH(DO1,数出表_Excel!$A:$A,0)&amp;":U"&amp;MATCH(DO1,数出表_Excel!$A:$A,0)&amp;""),
 1,DJ2-1),
 "")=0,"",
IFERROR(
INDEX(INDIRECT("数出表_Excel!B"&amp;MATCH(DO1,数出表_Excel!$A:$A,0)&amp;":U"&amp;MATCH(DO1,数出表_Excel!$A:$A,0)&amp;""),
 1,DJ2-1),
 "")),""))</f>
        <v/>
      </c>
      <c r="DN4" s="186"/>
      <c r="DO4" s="101" t="e">
        <f t="array" aca="1" ref="DO4" ca="1">IF(DJ3=100,
IF(DK1&lt;&gt;"",
IF(IFERROR(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0)&lt;&gt;0,
IF(IFERROR(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0)="",
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0),
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0)),0),""),0)</f>
        <v>#N/A</v>
      </c>
      <c r="DR4" s="90"/>
      <c r="DS4" s="185" t="e">
        <f t="array" aca="1" ref="DS4" ca="1">IF(AND(DO36="社食",DW1="社食"),"",
IF(DS2&lt;&gt;"",
IF(IFERROR(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"")=0,"",
IF(DR3=100,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""),
IF(AND(DR3=200,COUNTIF(数出表_Excel!$A:$A,"*奈良屋*")=2),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""),
IF(AND(DR3=200,COUNTIF(数出表_Excel!$A:$A,"*奈良屋*")=3),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
+IFERROR(
INDEX(INDIRECT("数出表_Excel!B"&amp;MATCH(DW1,数出表_Excel!$A:$A,0)-1+4&amp;":U"&amp;MATCH(DW1,数出表_Excel!$A:$A,0)-1+4&amp;""),
 1,
 MATCH(TRUE, ISNUMBER(--INDIRECT("数出表_Excel!B"&amp;MATCH(DW1,数出表_Excel!$A:$A,0)-1+4&amp;":U"&amp;MATCH(DW1,数出表_Excel!$A:$A,0)-1+4&amp;"")), 0)),
 ""),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""))))),"")+DR4)</f>
        <v>#VALUE!</v>
      </c>
      <c r="DT4" s="186"/>
      <c r="DU4" s="188" t="str">
        <f t="array" aca="1" ref="DU4" ca="1">IF(AND(DW1="社食",ED1="社食"),"",
IF(DS2&lt;&gt;"",
IF(IFERROR(
INDEX(INDIRECT("数出表_Excel!B"&amp;MATCH(DW1,数出表_Excel!$A:$A,0)&amp;":U"&amp;MATCH(DW1,数出表_Excel!$A:$A,0)&amp;""),
 1,DR2-1),
 "")=0,"",
IFERROR(
INDEX(INDIRECT("数出表_Excel!B"&amp;MATCH(DW1,数出表_Excel!$A:$A,0)&amp;":U"&amp;MATCH(DW1,数出表_Excel!$A:$A,0)&amp;""),
 1,DR2-1),
 "")),""))</f>
        <v/>
      </c>
      <c r="DV4" s="186"/>
      <c r="DW4" s="101" t="e">
        <f t="array" aca="1" ref="DW4" ca="1">IF(DR3=100,
IF(DS1&lt;&gt;"",
IF(IFERROR(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0)&lt;&gt;0,
IF(IFERROR(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0)="",
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0),
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0)),0),""),0)</f>
        <v>#N/A</v>
      </c>
      <c r="DY4" s="90"/>
      <c r="DZ4" s="185" t="e">
        <f t="array" aca="1" ref="DZ4" ca="1">IF(AND(DW1="社食",ED1="社食"),"",
IF(DZ2&lt;&gt;"",
IF(IFERROR(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"")=0,"",
IF(DY3=100,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""),
IF(AND(DY3=200,COUNTIF(数出表_Excel!$A:$A,"*奈良屋*")=2),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""),
IF(AND(DY3=200,COUNTIF(数出表_Excel!$A:$A,"*奈良屋*")=3),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
+IFERROR(
INDEX(INDIRECT("数出表_Excel!B"&amp;MATCH(ED1,数出表_Excel!$A:$A,0)-1+4&amp;":U"&amp;MATCH(ED1,数出表_Excel!$A:$A,0)-1+4&amp;""),
 1,
 MATCH(TRUE, ISNUMBER(--INDIRECT("数出表_Excel!B"&amp;MATCH(ED1,数出表_Excel!$A:$A,0)-1+4&amp;":U"&amp;MATCH(ED1,数出表_Excel!$A:$A,0)-1+4&amp;"")), 0)),
 ""),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""))))),"")+DY4)</f>
        <v>#VALUE!</v>
      </c>
      <c r="EA4" s="186"/>
      <c r="EB4" s="188" t="str">
        <f t="array" aca="1" ref="EB4" ca="1">IF(AND(ED1="社食",DW8="社食"),"",
IF(DZ2&lt;&gt;"",
IF(IFERROR(
INDEX(INDIRECT("数出表_Excel!B"&amp;MATCH(ED1,数出表_Excel!$A:$A,0)&amp;":U"&amp;MATCH(ED1,数出表_Excel!$A:$A,0)&amp;""),
 1,DY2-1),
 "")=0,"",
IFERROR(
INDEX(INDIRECT("数出表_Excel!B"&amp;MATCH(ED1,数出表_Excel!$A:$A,0)&amp;":U"&amp;MATCH(ED1,数出表_Excel!$A:$A,0)&amp;""),
 1,DY2-1),
 "")),""))</f>
        <v/>
      </c>
      <c r="EC4" s="186"/>
      <c r="ED4" s="101" t="e">
        <f t="array" aca="1" ref="ED4" ca="1">IF(DY3=100,
IF(DZ1&lt;&gt;"",
IF(IFERROR(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0)&lt;&gt;0,
IF(IFERROR(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0)="",
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0),
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0)),0),""),0)</f>
        <v>#N/A</v>
      </c>
      <c r="EG4" s="90"/>
      <c r="EH4" s="185" t="e">
        <f t="array" aca="1" ref="EH4" ca="1">IF(AND(ED36="社食",EL1="社食"),"",
IF(EH2&lt;&gt;"",
IF(IFERROR(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"")=0,"",
IF(EG3=100,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""),
IF(AND(EG3=200,COUNTIF(数出表_Excel!$A:$A,"*奈良屋*")=2),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""),
IF(AND(EG3=200,COUNTIF(数出表_Excel!$A:$A,"*奈良屋*")=3),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
+IFERROR(
INDEX(INDIRECT("数出表_Excel!B"&amp;MATCH(EL1,数出表_Excel!$A:$A,0)-1+4&amp;":U"&amp;MATCH(EL1,数出表_Excel!$A:$A,0)-1+4&amp;""),
 1,
 MATCH(TRUE, ISNUMBER(--INDIRECT("数出表_Excel!B"&amp;MATCH(EL1,数出表_Excel!$A:$A,0)-1+4&amp;":U"&amp;MATCH(EL1,数出表_Excel!$A:$A,0)-1+4&amp;"")), 0)),
 ""),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""))))),"")+EG4)</f>
        <v>#VALUE!</v>
      </c>
      <c r="EI4" s="186"/>
      <c r="EJ4" s="188" t="str">
        <f t="array" aca="1" ref="EJ4" ca="1">IF(AND(EL1="社食",ES1="社食"),"",
IF(EH2&lt;&gt;"",
IF(IFERROR(
INDEX(INDIRECT("数出表_Excel!B"&amp;MATCH(EL1,数出表_Excel!$A:$A,0)&amp;":U"&amp;MATCH(EL1,数出表_Excel!$A:$A,0)&amp;""),
 1,EG2-1),
 "")=0,"",
IFERROR(
INDEX(INDIRECT("数出表_Excel!B"&amp;MATCH(EL1,数出表_Excel!$A:$A,0)&amp;":U"&amp;MATCH(EL1,数出表_Excel!$A:$A,0)&amp;""),
 1,EG2-1),
 "")),""))</f>
        <v/>
      </c>
      <c r="EK4" s="186"/>
      <c r="EL4" s="101" t="e">
        <f t="array" aca="1" ref="EL4" ca="1">IF(EG3=100,
IF(EH1&lt;&gt;"",
IF(IFERROR(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0)&lt;&gt;0,
IF(IFERROR(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0)="",
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0),
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0)),0),""),0)</f>
        <v>#N/A</v>
      </c>
      <c r="EN4" s="90"/>
      <c r="EO4" s="185" t="e">
        <f t="array" aca="1" ref="EO4" ca="1">IF(AND(EL1="社食",ES1="社食"),"",
IF(EO2&lt;&gt;"",
IF(IFERROR(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"")=0,"",
IF(EN3=100,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""),
IF(AND(EN3=200,COUNTIF(数出表_Excel!$A:$A,"*奈良屋*")=2),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""),
IF(AND(EN3=200,COUNTIF(数出表_Excel!$A:$A,"*奈良屋*")=3),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
+IFERROR(
INDEX(INDIRECT("数出表_Excel!B"&amp;MATCH(ES1,数出表_Excel!$A:$A,0)-1+4&amp;":U"&amp;MATCH(ES1,数出表_Excel!$A:$A,0)-1+4&amp;""),
 1,
 MATCH(TRUE, ISNUMBER(--INDIRECT("数出表_Excel!B"&amp;MATCH(ES1,数出表_Excel!$A:$A,0)-1+4&amp;":U"&amp;MATCH(ES1,数出表_Excel!$A:$A,0)-1+4&amp;"")), 0)),
 ""),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""))))),"")+EN4)</f>
        <v>#VALUE!</v>
      </c>
      <c r="EP4" s="186"/>
      <c r="EQ4" s="188" t="str">
        <f t="array" aca="1" ref="EQ4" ca="1">IF(AND(ES1="社食",EL8="社食"),"",
IF(EO2&lt;&gt;"",
IF(IFERROR(
INDEX(INDIRECT("数出表_Excel!B"&amp;MATCH(ES1,数出表_Excel!$A:$A,0)&amp;":U"&amp;MATCH(ES1,数出表_Excel!$A:$A,0)&amp;""),
 1,EN2-1),
 "")=0,"",
IFERROR(
INDEX(INDIRECT("数出表_Excel!B"&amp;MATCH(ES1,数出表_Excel!$A:$A,0)&amp;":U"&amp;MATCH(ES1,数出表_Excel!$A:$A,0)&amp;""),
 1,EN2-1),
 "")),""))</f>
        <v/>
      </c>
      <c r="ER4" s="186"/>
      <c r="ES4" s="101" t="e">
        <f t="array" aca="1" ref="ES4" ca="1">IF(EN3=100,
IF(EO1&lt;&gt;"",
IF(IFERROR(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0)&lt;&gt;0,
IF(IFERROR(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0)="",
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0),
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0)),0),""),0)</f>
        <v>#N/A</v>
      </c>
      <c r="ET4" s="110"/>
      <c r="EU4" s="82">
        <v>42</v>
      </c>
      <c r="EV4" s="82" t="str">
        <f t="array" aca="1" ref="EV4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LEN(SUBSTITUTE(_xlfn.FORMULATEXT(EV$3),"=","")))+$EU4)</f>
        <v/>
      </c>
      <c r="EW4" s="82" t="str">
        <f t="array" aca="1" ref="EW4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LEN(SUBSTITUTE(_xlfn.FORMULATEXT(EW$3),"=","")))+$EU4)</f>
        <v/>
      </c>
      <c r="EX4" s="82" t="str">
        <f t="array" aca="1" ref="EX4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LEN(SUBSTITUTE(_xlfn.FORMULATEXT(EX$3),"=","")))+$EU4)</f>
        <v/>
      </c>
      <c r="EY4" s="82" t="str">
        <f t="array" aca="1" ref="EY4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LEN(SUBSTITUTE(_xlfn.FORMULATEXT(EY$3),"=","")))+$EU4)</f>
        <v/>
      </c>
      <c r="EZ4" s="82" t="str">
        <f t="array" aca="1" ref="EZ4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LEN(SUBSTITUTE(_xlfn.FORMULATEXT(EZ$3),"=","")))+$EU4)</f>
        <v/>
      </c>
      <c r="FA4" s="82" t="str">
        <f t="array" aca="1" ref="FA4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LEN(SUBSTITUTE(_xlfn.FORMULATEXT(FA$3),"=","")))+$EU4)</f>
        <v/>
      </c>
      <c r="FB4" s="82" t="str">
        <f t="array" aca="1" ref="FB4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LEN(SUBSTITUTE(_xlfn.FORMULATEXT(FB$3),"=","")))+$EU4)</f>
        <v/>
      </c>
      <c r="FC4" s="82" t="str">
        <f t="array" aca="1" ref="FC4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LEN(SUBSTITUTE(_xlfn.FORMULATEXT(FC$3),"=","")))+$EU4)</f>
        <v/>
      </c>
      <c r="FD4" s="82" t="str">
        <f t="array" aca="1" ref="FD4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LEN(SUBSTITUTE(_xlfn.FORMULATEXT(FD$3),"=","")))+$EU4)</f>
        <v/>
      </c>
      <c r="FE4" s="82" t="str">
        <f t="array" aca="1" ref="FE4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LEN(SUBSTITUTE(_xlfn.FORMULATEXT(FE$3),"=","")))+$EU4)</f>
        <v/>
      </c>
      <c r="FF4" s="82" t="str">
        <f t="array" aca="1" ref="FF4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LEN(SUBSTITUTE(_xlfn.FORMULATEXT(FF$3),"=","")))+$EU4)</f>
        <v/>
      </c>
      <c r="FG4" s="82">
        <f t="shared" ca="1" si="0"/>
        <v>0</v>
      </c>
      <c r="FH4" s="82" t="b">
        <f t="array" aca="1" ref="FH4" ca="1">SUMPRODUCT((LEN(EV4:FF4)&gt;0)*1)&gt;0</f>
        <v>0</v>
      </c>
      <c r="FI4" s="82">
        <f t="array" aca="1" ref="FI4" ca="1">IFERROR(SMALL(IF(FG$1:FG$173&lt;&gt;0,FG$1:FG$173),ROW(A4)),"")</f>
        <v>124</v>
      </c>
      <c r="FJ4" s="82" t="str">
        <f t="array" aca="1" ref="FJ4" ca="1">IF($FI4&lt;&gt;"",
INDIRECT(""&amp;IF(COLUMN(EV4)&lt;=26,CHAR(COLUMN(EV4)+64),CHAR(INT((COLUMN(EV4)-1)/26)+64)&amp;CHAR(MOD(COLUMN(EV4)-1,26)+65))&amp;$FI4&amp;""),"")</f>
        <v>先生用</v>
      </c>
      <c r="FK4" s="82">
        <f t="array" aca="1" ref="FK4" ca="1">IF($FI4&lt;&gt;"",
INDIRECT(""&amp;IF(COLUMN(EW4)&lt;=26,CHAR(COLUMN(EW4)+64),CHAR(INT((COLUMN(EW4)-1)/26)+64)&amp;CHAR(MOD(COLUMN(EW4)-1,26)+65))&amp;$FI4&amp;""),"")</f>
        <v>0</v>
      </c>
      <c r="FL4" s="82" t="str">
        <f t="array" aca="1" ref="FL4" ca="1">IF($FI4&lt;&gt;"",
INDIRECT(""&amp;IF(COLUMN(EX4)&lt;=26,CHAR(COLUMN(EX4)+64),CHAR(INT((COLUMN(EX4)-1)/26)+64)&amp;CHAR(MOD(COLUMN(EX4)-1,26)+65))&amp;$FI4&amp;""),"")</f>
        <v/>
      </c>
      <c r="FM4" s="82" t="e">
        <f t="array" aca="1" ref="FM4" ca="1">IF($FI4&lt;&gt;"",
IF(FL4="",
IF(INDIRECT("EY"&amp;$FI4&amp;"")&lt;&gt;"",
INDIRECT("EY"&amp;$FI4&amp;"")&amp;"箱"
&amp;INDIRECT("EZ"&amp;$FI4&amp;""),""),""),"")</f>
        <v>#N/A</v>
      </c>
      <c r="FN4" s="82" t="e">
        <f t="array" aca="1" ref="FN4" ca="1">IF($FI4&lt;&gt;"",
INDIRECT(""&amp;IF(COLUMN(FA4)&lt;=26,CHAR(COLUMN(FA4)+64),CHAR(INT((COLUMN(FA4)-1)/26)+64)&amp;CHAR(MOD(COLUMN(FA4)-1,26)+65))&amp;$FI4&amp;""),"")</f>
        <v>#N/A</v>
      </c>
      <c r="FO4" s="82">
        <f t="array" aca="1" ref="FO4" ca="1">IF($FI4&lt;&gt;"",
INDIRECT(""&amp;IF(COLUMN(FB4)&lt;=26,CHAR(COLUMN(FB4)+64),CHAR(INT((COLUMN(FB4)-1)/26)+64)&amp;CHAR(MOD(COLUMN(FB4)-1,26)+65))&amp;$FI4&amp;""),"")</f>
        <v>0</v>
      </c>
      <c r="FP4" s="82">
        <f t="array" aca="1" ref="FP4" ca="1">IF($FI4&lt;&gt;"",
INDIRECT(""&amp;IF(COLUMN(FC4)&lt;=26,CHAR(COLUMN(FC4)+64),CHAR(INT((COLUMN(FC4)-1)/26)+64)&amp;CHAR(MOD(COLUMN(FC4)-1,26)+65))&amp;$FI4&amp;""),"")</f>
        <v>12</v>
      </c>
      <c r="FQ4" s="82">
        <f t="array" aca="1" ref="FQ4" ca="1">IF($FI4&lt;&gt;"",
INDIRECT(""&amp;IF(COLUMN(FD4)&lt;=26,CHAR(COLUMN(FD4)+64),CHAR(INT((COLUMN(FD4)-1)/26)+64)&amp;CHAR(MOD(COLUMN(FD4)-1,26)+65))&amp;$FI4&amp;""),"")</f>
        <v>30</v>
      </c>
      <c r="FR4" s="82">
        <f t="array" aca="1" ref="FR4" ca="1">IF($FI4&lt;&gt;"",
INDIRECT(""&amp;IF(COLUMN(FE4)&lt;=26,CHAR(COLUMN(FE4)+64),CHAR(INT((COLUMN(FE4)-1)/26)+64)&amp;CHAR(MOD(COLUMN(FE4)-1,26)+65))&amp;$FI4&amp;""),"")</f>
        <v>0</v>
      </c>
      <c r="FS4" s="82">
        <f t="array" aca="1" ref="FS4" ca="1">IF($FI4&lt;&gt;"",
INDIRECT(""&amp;IF(COLUMN(FF4)&lt;=26,CHAR(COLUMN(FF4)+64),CHAR(INT((COLUMN(FF4)-1)/26)+64)&amp;CHAR(MOD(COLUMN(FF4)-1,26)+65))&amp;$FI4&amp;""),"")</f>
        <v>0</v>
      </c>
    </row>
    <row r="5" spans="1:175" ht="18" customHeight="1" x14ac:dyDescent="0.45">
      <c r="B5" s="118" t="s">
        <v>258</v>
      </c>
      <c r="C5" s="187"/>
      <c r="D5" s="187"/>
      <c r="E5" s="187"/>
      <c r="F5" s="187"/>
      <c r="G5" s="102" t="str">
        <f>SUBSTITUTE(SUBSTITUTE(ADDRESS(1,MATCH("おやつ",'数出表_Excel（アレルギー入力）'!$3:$3,0)),1,""),"$","")</f>
        <v>AL</v>
      </c>
      <c r="I5" s="118" t="s">
        <v>258</v>
      </c>
      <c r="J5" s="187"/>
      <c r="K5" s="187"/>
      <c r="L5" s="187"/>
      <c r="M5" s="187"/>
      <c r="N5" s="102" t="str">
        <f>SUBSTITUTE(SUBSTITUTE(ADDRESS(1,MATCH("おやつ",'数出表_Excel（アレルギー入力）'!$3:$3,0)),1,""),"$","")</f>
        <v>AL</v>
      </c>
      <c r="Q5" s="118" t="s">
        <v>258</v>
      </c>
      <c r="R5" s="187"/>
      <c r="S5" s="187"/>
      <c r="T5" s="187"/>
      <c r="U5" s="187"/>
      <c r="V5" s="102" t="str">
        <f>SUBSTITUTE(SUBSTITUTE(ADDRESS(1,MATCH("おやつ",'数出表_Excel（アレルギー入力）'!$3:$3,0)),1,""),"$","")</f>
        <v>AL</v>
      </c>
      <c r="X5" s="118" t="s">
        <v>258</v>
      </c>
      <c r="Y5" s="187"/>
      <c r="Z5" s="187"/>
      <c r="AA5" s="187"/>
      <c r="AB5" s="187"/>
      <c r="AC5" s="102" t="str">
        <f>SUBSTITUTE(SUBSTITUTE(ADDRESS(1,MATCH("おやつ",'数出表_Excel（アレルギー入力）'!$3:$3,0)),1,""),"$","")</f>
        <v>AL</v>
      </c>
      <c r="AF5" s="118" t="s">
        <v>258</v>
      </c>
      <c r="AG5" s="187"/>
      <c r="AH5" s="187"/>
      <c r="AI5" s="187"/>
      <c r="AJ5" s="187"/>
      <c r="AK5" s="102" t="str">
        <f>SUBSTITUTE(SUBSTITUTE(ADDRESS(1,MATCH("おやつ",'数出表_Excel（アレルギー入力）'!$3:$3,0)),1,""),"$","")</f>
        <v>AL</v>
      </c>
      <c r="AM5" s="118" t="s">
        <v>258</v>
      </c>
      <c r="AN5" s="187"/>
      <c r="AO5" s="187"/>
      <c r="AP5" s="187"/>
      <c r="AQ5" s="187"/>
      <c r="AR5" s="102" t="str">
        <f>SUBSTITUTE(SUBSTITUTE(ADDRESS(1,MATCH("おやつ",'数出表_Excel（アレルギー入力）'!$3:$3,0)),1,""),"$","")</f>
        <v>AL</v>
      </c>
      <c r="AU5" s="118" t="s">
        <v>258</v>
      </c>
      <c r="AV5" s="187"/>
      <c r="AW5" s="187"/>
      <c r="AX5" s="187"/>
      <c r="AY5" s="187"/>
      <c r="AZ5" s="102" t="str">
        <f>SUBSTITUTE(SUBSTITUTE(ADDRESS(1,MATCH("おやつ",'数出表_Excel（アレルギー入力）'!$3:$3,0)),1,""),"$","")</f>
        <v>AL</v>
      </c>
      <c r="BB5" s="118" t="s">
        <v>258</v>
      </c>
      <c r="BC5" s="187"/>
      <c r="BD5" s="187"/>
      <c r="BE5" s="187"/>
      <c r="BF5" s="187"/>
      <c r="BG5" s="102" t="str">
        <f>SUBSTITUTE(SUBSTITUTE(ADDRESS(1,MATCH("おやつ",'数出表_Excel（アレルギー入力）'!$3:$3,0)),1,""),"$","")</f>
        <v>AL</v>
      </c>
      <c r="BJ5" s="118" t="s">
        <v>258</v>
      </c>
      <c r="BK5" s="187"/>
      <c r="BL5" s="187"/>
      <c r="BM5" s="187"/>
      <c r="BN5" s="187"/>
      <c r="BO5" s="102" t="str">
        <f>SUBSTITUTE(SUBSTITUTE(ADDRESS(1,MATCH("おやつ",'数出表_Excel（アレルギー入力）'!$3:$3,0)),1,""),"$","")</f>
        <v>AL</v>
      </c>
      <c r="BQ5" s="118" t="s">
        <v>258</v>
      </c>
      <c r="BR5" s="187"/>
      <c r="BS5" s="187"/>
      <c r="BT5" s="187"/>
      <c r="BU5" s="187"/>
      <c r="BV5" s="102" t="str">
        <f>SUBSTITUTE(SUBSTITUTE(ADDRESS(1,MATCH("おやつ",'数出表_Excel（アレルギー入力）'!$3:$3,0)),1,""),"$","")</f>
        <v>AL</v>
      </c>
      <c r="BY5" s="118" t="s">
        <v>258</v>
      </c>
      <c r="BZ5" s="187"/>
      <c r="CA5" s="187"/>
      <c r="CB5" s="187"/>
      <c r="CC5" s="187"/>
      <c r="CD5" s="102" t="str">
        <f>SUBSTITUTE(SUBSTITUTE(ADDRESS(1,MATCH("おやつ",'数出表_Excel（アレルギー入力）'!$3:$3,0)),1,""),"$","")</f>
        <v>AL</v>
      </c>
      <c r="CF5" s="118" t="s">
        <v>258</v>
      </c>
      <c r="CG5" s="187"/>
      <c r="CH5" s="187"/>
      <c r="CI5" s="187"/>
      <c r="CJ5" s="187"/>
      <c r="CK5" s="102" t="str">
        <f>SUBSTITUTE(SUBSTITUTE(ADDRESS(1,MATCH("おやつ",'数出表_Excel（アレルギー入力）'!$3:$3,0)),1,""),"$","")</f>
        <v>AL</v>
      </c>
      <c r="CN5" s="118" t="s">
        <v>258</v>
      </c>
      <c r="CO5" s="187"/>
      <c r="CP5" s="187"/>
      <c r="CQ5" s="187"/>
      <c r="CR5" s="187"/>
      <c r="CS5" s="102" t="str">
        <f>SUBSTITUTE(SUBSTITUTE(ADDRESS(1,MATCH("おやつ",'数出表_Excel（アレルギー入力）'!$3:$3,0)),1,""),"$","")</f>
        <v>AL</v>
      </c>
      <c r="CU5" s="118" t="s">
        <v>258</v>
      </c>
      <c r="CV5" s="187"/>
      <c r="CW5" s="187"/>
      <c r="CX5" s="187"/>
      <c r="CY5" s="187"/>
      <c r="CZ5" s="102" t="str">
        <f>SUBSTITUTE(SUBSTITUTE(ADDRESS(1,MATCH("おやつ",'数出表_Excel（アレルギー入力）'!$3:$3,0)),1,""),"$","")</f>
        <v>AL</v>
      </c>
      <c r="DC5" s="118" t="s">
        <v>258</v>
      </c>
      <c r="DD5" s="187"/>
      <c r="DE5" s="187"/>
      <c r="DF5" s="187"/>
      <c r="DG5" s="187"/>
      <c r="DH5" s="102" t="str">
        <f>SUBSTITUTE(SUBSTITUTE(ADDRESS(1,MATCH("おやつ",'数出表_Excel（アレルギー入力）'!$3:$3,0)),1,""),"$","")</f>
        <v>AL</v>
      </c>
      <c r="DJ5" s="118" t="s">
        <v>258</v>
      </c>
      <c r="DK5" s="187"/>
      <c r="DL5" s="187"/>
      <c r="DM5" s="187"/>
      <c r="DN5" s="187"/>
      <c r="DO5" s="102" t="str">
        <f>SUBSTITUTE(SUBSTITUTE(ADDRESS(1,MATCH("おやつ",'数出表_Excel（アレルギー入力）'!$3:$3,0)),1,""),"$","")</f>
        <v>AL</v>
      </c>
      <c r="DR5" s="118" t="s">
        <v>258</v>
      </c>
      <c r="DS5" s="187"/>
      <c r="DT5" s="187"/>
      <c r="DU5" s="187"/>
      <c r="DV5" s="187"/>
      <c r="DW5" s="102" t="str">
        <f>SUBSTITUTE(SUBSTITUTE(ADDRESS(1,MATCH("おやつ",'数出表_Excel（アレルギー入力）'!$3:$3,0)),1,""),"$","")</f>
        <v>AL</v>
      </c>
      <c r="DY5" s="118" t="s">
        <v>258</v>
      </c>
      <c r="DZ5" s="187"/>
      <c r="EA5" s="187"/>
      <c r="EB5" s="187"/>
      <c r="EC5" s="187"/>
      <c r="ED5" s="102" t="str">
        <f>SUBSTITUTE(SUBSTITUTE(ADDRESS(1,MATCH("おやつ",'数出表_Excel（アレルギー入力）'!$3:$3,0)),1,""),"$","")</f>
        <v>AL</v>
      </c>
      <c r="EG5" s="118" t="s">
        <v>258</v>
      </c>
      <c r="EH5" s="187"/>
      <c r="EI5" s="187"/>
      <c r="EJ5" s="187"/>
      <c r="EK5" s="187"/>
      <c r="EL5" s="102" t="str">
        <f>SUBSTITUTE(SUBSTITUTE(ADDRESS(1,MATCH("おやつ",'数出表_Excel（アレルギー入力）'!$3:$3,0)),1,""),"$","")</f>
        <v>AL</v>
      </c>
      <c r="EN5" s="118" t="s">
        <v>258</v>
      </c>
      <c r="EO5" s="187"/>
      <c r="EP5" s="187"/>
      <c r="EQ5" s="187"/>
      <c r="ER5" s="187"/>
      <c r="ES5" s="102" t="str">
        <f>SUBSTITUTE(SUBSTITUTE(ADDRESS(1,MATCH("おやつ",'数出表_Excel（アレルギー入力）'!$3:$3,0)),1,""),"$","")</f>
        <v>AL</v>
      </c>
      <c r="ET5" s="110"/>
      <c r="EU5" s="91">
        <v>7</v>
      </c>
      <c r="EV5" s="82" t="str">
        <f t="array" aca="1" ref="EV5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LEN(SUBSTITUTE(_xlfn.FORMULATEXT(EV$1),"=","")))+$EU5)</f>
        <v/>
      </c>
      <c r="EW5" s="82" t="str">
        <f t="array" aca="1" ref="EW5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LEN(SUBSTITUTE(_xlfn.FORMULATEXT(EW$1),"=","")))+$EU5)</f>
        <v/>
      </c>
      <c r="EX5" s="82" t="str">
        <f t="array" aca="1" ref="EX5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LEN(SUBSTITUTE(_xlfn.FORMULATEXT(EX$1),"=","")))+$EU5)</f>
        <v/>
      </c>
      <c r="EY5" s="82" t="str">
        <f t="array" aca="1" ref="EY5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LEN(SUBSTITUTE(_xlfn.FORMULATEXT(EY$1),"=","")))+$EU5)</f>
        <v/>
      </c>
      <c r="EZ5" s="82" t="str">
        <f t="array" aca="1" ref="EZ5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LEN(SUBSTITUTE(_xlfn.FORMULATEXT(EZ$1),"=","")))+$EU5)</f>
        <v/>
      </c>
      <c r="FA5" s="82" t="e">
        <f t="array" aca="1" ref="FA5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LEN(SUBSTITUTE(_xlfn.FORMULATEXT(FA$1),"=","")))+$EU5)</f>
        <v>#VALUE!</v>
      </c>
      <c r="FB5" s="82" t="str">
        <f t="array" aca="1" ref="FB5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LEN(SUBSTITUTE(_xlfn.FORMULATEXT(FB$1),"=","")))+$EU5)</f>
        <v/>
      </c>
      <c r="FC5" s="82" t="str">
        <f t="array" aca="1" ref="FC5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LEN(SUBSTITUTE(_xlfn.FORMULATEXT(FC$1),"=","")))+$EU5)</f>
        <v/>
      </c>
      <c r="FD5" s="82" t="e">
        <f t="array" aca="1" ref="FD5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LEN(SUBSTITUTE(_xlfn.FORMULATEXT(FD$1),"=","")))+$EU5)</f>
        <v>#VALUE!</v>
      </c>
      <c r="FE5" s="82" t="str">
        <f t="array" aca="1" ref="FE5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LEN(SUBSTITUTE(_xlfn.FORMULATEXT(FE$1),"=","")))+$EU5)</f>
        <v/>
      </c>
      <c r="FF5" s="82" t="e">
        <f t="array" aca="1" ref="FF5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LEN(SUBSTITUTE(_xlfn.FORMULATEXT(FF$1),"=","")))+$EU5)</f>
        <v>#N/A</v>
      </c>
      <c r="FG5" s="82">
        <f t="shared" ca="1" si="0"/>
        <v>0</v>
      </c>
      <c r="FH5" s="82" t="e">
        <f t="array" aca="1" ref="FH5" ca="1">SUMPRODUCT((LEN(EV5:FF5)&gt;0)*1)&gt;0</f>
        <v>#VALUE!</v>
      </c>
      <c r="FI5" s="82">
        <f t="array" aca="1" ref="FI5" ca="1">IFERROR(SMALL(IF(FG$1:FG$173&lt;&gt;0,FG$1:FG$173),ROW(A5)),"")</f>
        <v>125</v>
      </c>
      <c r="FJ5" s="82" t="str">
        <f t="array" aca="1" ref="FJ5" ca="1">IF($FI5&lt;&gt;"",
INDIRECT(""&amp;IF(COLUMN(EV5)&lt;=26,CHAR(COLUMN(EV5)+64),CHAR(INT((COLUMN(EV5)-1)/26)+64)&amp;CHAR(MOD(COLUMN(EV5)-1,26)+65))&amp;$FI5&amp;""),"")</f>
        <v>キャラ弁当 飯あり【1】</v>
      </c>
      <c r="FK5" s="82">
        <f t="array" aca="1" ref="FK5" ca="1">IF($FI5&lt;&gt;"",
INDIRECT(""&amp;IF(COLUMN(EW5)&lt;=26,CHAR(COLUMN(EW5)+64),CHAR(INT((COLUMN(EW5)-1)/26)+64)&amp;CHAR(MOD(COLUMN(EW5)-1,26)+65))&amp;$FI5&amp;""),"")</f>
        <v>0</v>
      </c>
      <c r="FL5" s="82" t="str">
        <f t="array" aca="1" ref="FL5" ca="1">IF($FI5&lt;&gt;"",
INDIRECT(""&amp;IF(COLUMN(EX5)&lt;=26,CHAR(COLUMN(EX5)+64),CHAR(INT((COLUMN(EX5)-1)/26)+64)&amp;CHAR(MOD(COLUMN(EX5)-1,26)+65))&amp;$FI5&amp;""),"")</f>
        <v/>
      </c>
      <c r="FM5" s="82" t="str">
        <f t="array" aca="1" ref="FM5" ca="1">IF($FI5&lt;&gt;"",
IF(FL5="",
IF(INDIRECT("EY"&amp;$FI5&amp;"")&lt;&gt;"",
INDIRECT("EY"&amp;$FI5&amp;"")&amp;"箱"
&amp;INDIRECT("EZ"&amp;$FI5&amp;""),""),""),"")</f>
        <v>10箱+10</v>
      </c>
      <c r="FN5" s="82">
        <f t="array" aca="1" ref="FN5" ca="1">IF($FI5&lt;&gt;"",
INDIRECT(""&amp;IF(COLUMN(FA5)&lt;=26,CHAR(COLUMN(FA5)+64),CHAR(INT((COLUMN(FA5)-1)/26)+64)&amp;CHAR(MOD(COLUMN(FA5)-1,26)+65))&amp;$FI5&amp;""),"")</f>
        <v>720</v>
      </c>
      <c r="FO5" s="82">
        <f t="array" aca="1" ref="FO5" ca="1">IF($FI5&lt;&gt;"",
INDIRECT(""&amp;IF(COLUMN(FB5)&lt;=26,CHAR(COLUMN(FB5)+64),CHAR(INT((COLUMN(FB5)-1)/26)+64)&amp;CHAR(MOD(COLUMN(FB5)-1,26)+65))&amp;$FI5&amp;""),"")</f>
        <v>0</v>
      </c>
      <c r="FP5" s="82">
        <f t="array" aca="1" ref="FP5" ca="1">IF($FI5&lt;&gt;"",
INDIRECT(""&amp;IF(COLUMN(FC5)&lt;=26,CHAR(COLUMN(FC5)+64),CHAR(INT((COLUMN(FC5)-1)/26)+64)&amp;CHAR(MOD(COLUMN(FC5)-1,26)+65))&amp;$FI5&amp;""),"")</f>
        <v>24</v>
      </c>
      <c r="FQ5" s="82">
        <f t="array" aca="1" ref="FQ5" ca="1">IF($FI5&lt;&gt;"",
INDIRECT(""&amp;IF(COLUMN(FD5)&lt;=26,CHAR(COLUMN(FD5)+64),CHAR(INT((COLUMN(FD5)-1)/26)+64)&amp;CHAR(MOD(COLUMN(FD5)-1,26)+65))&amp;$FI5&amp;""),"")</f>
        <v>30</v>
      </c>
      <c r="FR5" s="82">
        <f t="array" aca="1" ref="FR5" ca="1">IF($FI5&lt;&gt;"",
INDIRECT(""&amp;IF(COLUMN(FE5)&lt;=26,CHAR(COLUMN(FE5)+64),CHAR(INT((COLUMN(FE5)-1)/26)+64)&amp;CHAR(MOD(COLUMN(FE5)-1,26)+65))&amp;$FI5&amp;""),"")</f>
        <v>0</v>
      </c>
      <c r="FS5" s="82">
        <f t="array" aca="1" ref="FS5" ca="1">IF($FI5&lt;&gt;"",
INDIRECT(""&amp;IF(COLUMN(FF5)&lt;=26,CHAR(COLUMN(FF5)+64),CHAR(INT((COLUMN(FF5)-1)/26)+64)&amp;CHAR(MOD(COLUMN(FF5)-1,26)+65))&amp;$FI5&amp;""),"")</f>
        <v>0</v>
      </c>
    </row>
    <row r="6" spans="1:175" s="82" customFormat="1" ht="22.2" customHeight="1" x14ac:dyDescent="0.55000000000000004">
      <c r="A6" s="80"/>
      <c r="B6" s="93" t="str">
        <f ca="1">IF(C2&lt;&gt;"",
"パン箱","")</f>
        <v/>
      </c>
      <c r="C6" s="94" t="str">
        <f ca="1">IF(C2&lt;&gt;"",
IF(OR(COUNTIF('盛付札（関数）'!C2,"*キャラ*"),COUNTIF('盛付札（関数）'!C2,"*赤*")),24,
VLOOKUP('盛付札（関数）'!C2,商品マスタ一覧!$D:$I,6,FALSE)),"")</f>
        <v/>
      </c>
      <c r="D6" s="93" t="str">
        <f ca="1">IF(C2&lt;&gt;"",
" 端数","")</f>
        <v/>
      </c>
      <c r="E6" s="94"/>
      <c r="F6" s="93" t="str">
        <f ca="1">IF(C2&lt;&gt;"",
"アレルギー","")</f>
        <v/>
      </c>
      <c r="G6" s="101"/>
      <c r="H6" s="80"/>
      <c r="I6" s="93" t="str">
        <f ca="1">IF(J2&lt;&gt;"",
"パン箱","")</f>
        <v/>
      </c>
      <c r="J6" s="94" t="str">
        <f ca="1">IF(J2&lt;&gt;"",
IF(OR(COUNTIF('盛付札（関数）'!J2,"*キャラ*"),COUNTIF('盛付札（関数）'!J2,"*赤*")),24,
VLOOKUP('盛付札（関数）'!J2,商品マスタ一覧!$D:$I,6,FALSE)),"")</f>
        <v/>
      </c>
      <c r="K6" s="93" t="str">
        <f ca="1">IF(J2&lt;&gt;"",
" 端数","")</f>
        <v/>
      </c>
      <c r="L6" s="94"/>
      <c r="M6" s="93" t="str">
        <f ca="1">IF(J2&lt;&gt;"",
"アレルギー","")</f>
        <v/>
      </c>
      <c r="N6" s="97"/>
      <c r="O6" s="80"/>
      <c r="P6" s="80"/>
      <c r="Q6" s="93" t="str">
        <f ca="1">IF(R2&lt;&gt;"",
"パン箱","")</f>
        <v/>
      </c>
      <c r="R6" s="94" t="str">
        <f ca="1">IF(R2&lt;&gt;"",
IF(OR(COUNTIF('盛付札（関数）'!R2,"*キャラ*"),COUNTIF('盛付札（関数）'!R2,"*赤*")),24,
VLOOKUP('盛付札（関数）'!R2,商品マスタ一覧!$D:$I,6,FALSE)),"")</f>
        <v/>
      </c>
      <c r="S6" s="93" t="str">
        <f ca="1">IF(R2&lt;&gt;"",
" 端数","")</f>
        <v/>
      </c>
      <c r="T6" s="94"/>
      <c r="U6" s="93" t="str">
        <f ca="1">IF(R2&lt;&gt;"",
"アレルギー","")</f>
        <v/>
      </c>
      <c r="V6" s="101"/>
      <c r="W6" s="80"/>
      <c r="X6" s="93" t="str">
        <f ca="1">IF(Y2&lt;&gt;"",
"パン箱","")</f>
        <v/>
      </c>
      <c r="Y6" s="94" t="str">
        <f ca="1">IF(Y2&lt;&gt;"",
IF(OR(COUNTIF('盛付札（関数）'!Y2,"*キャラ*"),COUNTIF('盛付札（関数）'!Y2,"*赤*")),24,
VLOOKUP('盛付札（関数）'!Y2,商品マスタ一覧!$D:$I,6,FALSE)),"")</f>
        <v/>
      </c>
      <c r="Z6" s="93" t="str">
        <f ca="1">IF(Y2&lt;&gt;"",
" 端数","")</f>
        <v/>
      </c>
      <c r="AA6" s="94"/>
      <c r="AB6" s="93" t="str">
        <f ca="1">IF(Y2&lt;&gt;"",
"アレルギー","")</f>
        <v/>
      </c>
      <c r="AC6" s="97"/>
      <c r="AD6" s="80"/>
      <c r="AE6" s="80"/>
      <c r="AF6" s="93" t="str">
        <f ca="1">IF(AG2&lt;&gt;"",
"パン箱","")</f>
        <v/>
      </c>
      <c r="AG6" s="94" t="str">
        <f ca="1">IF(AG2&lt;&gt;"",
IF(OR(COUNTIF('盛付札（関数）'!AG2,"*キャラ*"),COUNTIF('盛付札（関数）'!AG2,"*赤*")),24,
VLOOKUP('盛付札（関数）'!AG2,商品マスタ一覧!$D:$I,6,FALSE)),"")</f>
        <v/>
      </c>
      <c r="AH6" s="93" t="str">
        <f ca="1">IF(AG2&lt;&gt;"",
" 端数","")</f>
        <v/>
      </c>
      <c r="AI6" s="94"/>
      <c r="AJ6" s="93" t="str">
        <f ca="1">IF(AG2&lt;&gt;"",
"アレルギー","")</f>
        <v/>
      </c>
      <c r="AK6" s="101"/>
      <c r="AL6" s="80"/>
      <c r="AM6" s="93" t="str">
        <f ca="1">IF(AN2&lt;&gt;"",
"パン箱","")</f>
        <v/>
      </c>
      <c r="AN6" s="94" t="str">
        <f ca="1">IF(AN2&lt;&gt;"",
IF(OR(COUNTIF('盛付札（関数）'!AN2,"*キャラ*"),COUNTIF('盛付札（関数）'!AN2,"*赤*")),24,
VLOOKUP('盛付札（関数）'!AN2,商品マスタ一覧!$D:$I,6,FALSE)),"")</f>
        <v/>
      </c>
      <c r="AO6" s="93" t="str">
        <f ca="1">IF(AN2&lt;&gt;"",
" 端数","")</f>
        <v/>
      </c>
      <c r="AP6" s="94"/>
      <c r="AQ6" s="93" t="str">
        <f ca="1">IF(AN2&lt;&gt;"",
"アレルギー","")</f>
        <v/>
      </c>
      <c r="AR6" s="97"/>
      <c r="AS6" s="80"/>
      <c r="AT6" s="80"/>
      <c r="AU6" s="93" t="str">
        <f ca="1">IF(AV2&lt;&gt;"",
"パン箱","")</f>
        <v/>
      </c>
      <c r="AV6" s="94" t="str">
        <f ca="1">IF(AV2&lt;&gt;"",
IF(OR(COUNTIF('盛付札（関数）'!AV2,"*キャラ*"),COUNTIF('盛付札（関数）'!AV2,"*赤*")),24,
VLOOKUP('盛付札（関数）'!AV2,商品マスタ一覧!$D:$I,6,FALSE)),"")</f>
        <v/>
      </c>
      <c r="AW6" s="93" t="str">
        <f ca="1">IF(AV2&lt;&gt;"",
" 端数","")</f>
        <v/>
      </c>
      <c r="AX6" s="94"/>
      <c r="AY6" s="93" t="str">
        <f ca="1">IF(AV2&lt;&gt;"",
"アレルギー","")</f>
        <v/>
      </c>
      <c r="AZ6" s="101"/>
      <c r="BA6" s="80"/>
      <c r="BB6" s="93" t="str">
        <f ca="1">IF(BC2&lt;&gt;"",
"パン箱","")</f>
        <v/>
      </c>
      <c r="BC6" s="94" t="str">
        <f ca="1">IF(BC2&lt;&gt;"",
IF(OR(COUNTIF('盛付札（関数）'!BC2,"*キャラ*"),COUNTIF('盛付札（関数）'!BC2,"*赤*")),24,
VLOOKUP('盛付札（関数）'!BC2,商品マスタ一覧!$D:$I,6,FALSE)),"")</f>
        <v/>
      </c>
      <c r="BD6" s="93" t="str">
        <f ca="1">IF(BC2&lt;&gt;"",
" 端数","")</f>
        <v/>
      </c>
      <c r="BE6" s="94"/>
      <c r="BF6" s="93" t="str">
        <f ca="1">IF(BC2&lt;&gt;"",
"アレルギー","")</f>
        <v/>
      </c>
      <c r="BG6" s="97"/>
      <c r="BH6" s="80"/>
      <c r="BI6" s="80"/>
      <c r="BJ6" s="93" t="str">
        <f ca="1">IF(BK2&lt;&gt;"",
"パン箱","")</f>
        <v/>
      </c>
      <c r="BK6" s="94" t="str">
        <f ca="1">IF(BK2&lt;&gt;"",
IF(OR(COUNTIF('盛付札（関数）'!BK2,"*キャラ*"),COUNTIF('盛付札（関数）'!BK2,"*赤*")),24,
VLOOKUP('盛付札（関数）'!BK2,商品マスタ一覧!$D:$I,6,FALSE)),"")</f>
        <v/>
      </c>
      <c r="BL6" s="93" t="str">
        <f ca="1">IF(BK2&lt;&gt;"",
" 端数","")</f>
        <v/>
      </c>
      <c r="BM6" s="94"/>
      <c r="BN6" s="93" t="str">
        <f ca="1">IF(BK2&lt;&gt;"",
"アレルギー","")</f>
        <v/>
      </c>
      <c r="BO6" s="101"/>
      <c r="BP6" s="80"/>
      <c r="BQ6" s="93" t="str">
        <f ca="1">IF(BR2&lt;&gt;"",
"パン箱","")</f>
        <v/>
      </c>
      <c r="BR6" s="94" t="str">
        <f ca="1">IF(BR2&lt;&gt;"",
IF(OR(COUNTIF('盛付札（関数）'!BR2,"*キャラ*"),COUNTIF('盛付札（関数）'!BR2,"*赤*")),24,
VLOOKUP('盛付札（関数）'!BR2,商品マスタ一覧!$D:$I,6,FALSE)),"")</f>
        <v/>
      </c>
      <c r="BS6" s="93" t="str">
        <f ca="1">IF(BR2&lt;&gt;"",
" 端数","")</f>
        <v/>
      </c>
      <c r="BT6" s="94"/>
      <c r="BU6" s="93" t="str">
        <f ca="1">IF(BR2&lt;&gt;"",
"アレルギー","")</f>
        <v/>
      </c>
      <c r="BV6" s="97"/>
      <c r="BW6" s="80"/>
      <c r="BX6" s="80"/>
      <c r="BY6" s="93" t="str">
        <f ca="1">IF(BZ2&lt;&gt;"",
"パン箱","")</f>
        <v/>
      </c>
      <c r="BZ6" s="94" t="str">
        <f ca="1">IF(BZ2&lt;&gt;"",
IF(OR(COUNTIF('盛付札（関数）'!BZ2,"*キャラ*"),COUNTIF('盛付札（関数）'!BZ2,"*赤*")),24,
VLOOKUP('盛付札（関数）'!BZ2,商品マスタ一覧!$D:$I,6,FALSE)),"")</f>
        <v/>
      </c>
      <c r="CA6" s="93" t="str">
        <f ca="1">IF(BZ2&lt;&gt;"",
" 端数","")</f>
        <v/>
      </c>
      <c r="CB6" s="94"/>
      <c r="CC6" s="93" t="str">
        <f ca="1">IF(BZ2&lt;&gt;"",
"アレルギー","")</f>
        <v/>
      </c>
      <c r="CD6" s="101"/>
      <c r="CE6" s="80"/>
      <c r="CF6" s="93" t="str">
        <f ca="1">IF(CG2&lt;&gt;"",
"パン箱","")</f>
        <v/>
      </c>
      <c r="CG6" s="94" t="str">
        <f ca="1">IF(CG2&lt;&gt;"",
IF(OR(COUNTIF('盛付札（関数）'!CG2,"*キャラ*"),COUNTIF('盛付札（関数）'!CG2,"*赤*")),24,
VLOOKUP('盛付札（関数）'!CG2,商品マスタ一覧!$D:$I,6,FALSE)),"")</f>
        <v/>
      </c>
      <c r="CH6" s="93" t="str">
        <f ca="1">IF(CG2&lt;&gt;"",
" 端数","")</f>
        <v/>
      </c>
      <c r="CI6" s="94"/>
      <c r="CJ6" s="93" t="str">
        <f ca="1">IF(CG2&lt;&gt;"",
"アレルギー","")</f>
        <v/>
      </c>
      <c r="CK6" s="97"/>
      <c r="CL6" s="80"/>
      <c r="CM6" s="80"/>
      <c r="CN6" s="93" t="str">
        <f ca="1">IF(CO2&lt;&gt;"",
"パン箱","")</f>
        <v/>
      </c>
      <c r="CO6" s="94" t="str">
        <f ca="1">IF(CO2&lt;&gt;"",
IF(OR(COUNTIF('盛付札（関数）'!CO2,"*キャラ*"),COUNTIF('盛付札（関数）'!CO2,"*赤*")),24,
VLOOKUP('盛付札（関数）'!CO2,商品マスタ一覧!$D:$I,6,FALSE)),"")</f>
        <v/>
      </c>
      <c r="CP6" s="93" t="str">
        <f ca="1">IF(CO2&lt;&gt;"",
" 端数","")</f>
        <v/>
      </c>
      <c r="CQ6" s="94"/>
      <c r="CR6" s="93" t="str">
        <f ca="1">IF(CO2&lt;&gt;"",
"アレルギー","")</f>
        <v/>
      </c>
      <c r="CS6" s="101"/>
      <c r="CT6" s="80"/>
      <c r="CU6" s="93" t="str">
        <f ca="1">IF(CV2&lt;&gt;"",
"パン箱","")</f>
        <v/>
      </c>
      <c r="CV6" s="94" t="str">
        <f ca="1">IF(CV2&lt;&gt;"",
IF(OR(COUNTIF('盛付札（関数）'!CV2,"*キャラ*"),COUNTIF('盛付札（関数）'!CV2,"*赤*")),24,
VLOOKUP('盛付札（関数）'!CV2,商品マスタ一覧!$D:$I,6,FALSE)),"")</f>
        <v/>
      </c>
      <c r="CW6" s="93" t="str">
        <f ca="1">IF(CV2&lt;&gt;"",
" 端数","")</f>
        <v/>
      </c>
      <c r="CX6" s="94"/>
      <c r="CY6" s="93" t="str">
        <f ca="1">IF(CV2&lt;&gt;"",
"アレルギー","")</f>
        <v/>
      </c>
      <c r="CZ6" s="97"/>
      <c r="DA6" s="80"/>
      <c r="DB6" s="80"/>
      <c r="DC6" s="93" t="str">
        <f ca="1">IF(DD2&lt;&gt;"",
"パン箱","")</f>
        <v/>
      </c>
      <c r="DD6" s="94" t="str">
        <f ca="1">IF(DD2&lt;&gt;"",
IF(OR(COUNTIF('盛付札（関数）'!DD2,"*キャラ*"),COUNTIF('盛付札（関数）'!DD2,"*赤*")),24,
VLOOKUP('盛付札（関数）'!DD2,商品マスタ一覧!$D:$I,6,FALSE)),"")</f>
        <v/>
      </c>
      <c r="DE6" s="93" t="str">
        <f ca="1">IF(DD2&lt;&gt;"",
" 端数","")</f>
        <v/>
      </c>
      <c r="DF6" s="94"/>
      <c r="DG6" s="93" t="str">
        <f ca="1">IF(DD2&lt;&gt;"",
"アレルギー","")</f>
        <v/>
      </c>
      <c r="DH6" s="101"/>
      <c r="DI6" s="80"/>
      <c r="DJ6" s="93" t="str">
        <f ca="1">IF(DK2&lt;&gt;"",
"パン箱","")</f>
        <v/>
      </c>
      <c r="DK6" s="94" t="str">
        <f ca="1">IF(DK2&lt;&gt;"",
IF(OR(COUNTIF('盛付札（関数）'!DK2,"*キャラ*"),COUNTIF('盛付札（関数）'!DK2,"*赤*")),24,
VLOOKUP('盛付札（関数）'!DK2,商品マスタ一覧!$D:$I,6,FALSE)),"")</f>
        <v/>
      </c>
      <c r="DL6" s="93" t="str">
        <f ca="1">IF(DK2&lt;&gt;"",
" 端数","")</f>
        <v/>
      </c>
      <c r="DM6" s="94"/>
      <c r="DN6" s="93" t="str">
        <f ca="1">IF(DK2&lt;&gt;"",
"アレルギー","")</f>
        <v/>
      </c>
      <c r="DO6" s="97"/>
      <c r="DP6" s="80"/>
      <c r="DQ6" s="80"/>
      <c r="DR6" s="93" t="str">
        <f ca="1">IF(DS2&lt;&gt;"",
"パン箱","")</f>
        <v/>
      </c>
      <c r="DS6" s="94" t="str">
        <f ca="1">IF(DS2&lt;&gt;"",
IF(OR(COUNTIF('盛付札（関数）'!DS2,"*キャラ*"),COUNTIF('盛付札（関数）'!DS2,"*赤*")),24,
VLOOKUP('盛付札（関数）'!DS2,商品マスタ一覧!$D:$I,6,FALSE)),"")</f>
        <v/>
      </c>
      <c r="DT6" s="93" t="str">
        <f ca="1">IF(DS2&lt;&gt;"",
" 端数","")</f>
        <v/>
      </c>
      <c r="DU6" s="94"/>
      <c r="DV6" s="93" t="str">
        <f ca="1">IF(DS2&lt;&gt;"",
"アレルギー","")</f>
        <v/>
      </c>
      <c r="DW6" s="101"/>
      <c r="DX6" s="80"/>
      <c r="DY6" s="93" t="str">
        <f ca="1">IF(DZ2&lt;&gt;"",
"パン箱","")</f>
        <v/>
      </c>
      <c r="DZ6" s="94" t="str">
        <f ca="1">IF(DZ2&lt;&gt;"",
IF(OR(COUNTIF('盛付札（関数）'!DZ2,"*キャラ*"),COUNTIF('盛付札（関数）'!DZ2,"*赤*")),24,
VLOOKUP('盛付札（関数）'!DZ2,商品マスタ一覧!$D:$I,6,FALSE)),"")</f>
        <v/>
      </c>
      <c r="EA6" s="93" t="str">
        <f ca="1">IF(DZ2&lt;&gt;"",
" 端数","")</f>
        <v/>
      </c>
      <c r="EB6" s="94"/>
      <c r="EC6" s="93" t="str">
        <f ca="1">IF(DZ2&lt;&gt;"",
"アレルギー","")</f>
        <v/>
      </c>
      <c r="ED6" s="97"/>
      <c r="EE6" s="80"/>
      <c r="EF6" s="80"/>
      <c r="EG6" s="93" t="str">
        <f ca="1">IF(EH2&lt;&gt;"",
"パン箱","")</f>
        <v/>
      </c>
      <c r="EH6" s="94" t="str">
        <f ca="1">IF(EH2&lt;&gt;"",
IF(OR(COUNTIF('盛付札（関数）'!EH2,"*キャラ*"),COUNTIF('盛付札（関数）'!EH2,"*赤*")),24,
VLOOKUP('盛付札（関数）'!EH2,商品マスタ一覧!$D:$I,6,FALSE)),"")</f>
        <v/>
      </c>
      <c r="EI6" s="93" t="str">
        <f ca="1">IF(EH2&lt;&gt;"",
" 端数","")</f>
        <v/>
      </c>
      <c r="EJ6" s="94"/>
      <c r="EK6" s="93" t="str">
        <f ca="1">IF(EH2&lt;&gt;"",
"アレルギー","")</f>
        <v/>
      </c>
      <c r="EL6" s="101"/>
      <c r="EM6" s="80"/>
      <c r="EN6" s="93" t="str">
        <f ca="1">IF(EO2&lt;&gt;"",
"パン箱","")</f>
        <v/>
      </c>
      <c r="EO6" s="94" t="str">
        <f ca="1">IF(EO2&lt;&gt;"",
IF(OR(COUNTIF('盛付札（関数）'!EO2,"*キャラ*"),COUNTIF('盛付札（関数）'!EO2,"*赤*")),24,
VLOOKUP('盛付札（関数）'!EO2,商品マスタ一覧!$D:$I,6,FALSE)),"")</f>
        <v/>
      </c>
      <c r="EP6" s="93" t="str">
        <f ca="1">IF(EO2&lt;&gt;"",
" 端数","")</f>
        <v/>
      </c>
      <c r="EQ6" s="94"/>
      <c r="ER6" s="93" t="str">
        <f ca="1">IF(EO2&lt;&gt;"",
"アレルギー","")</f>
        <v/>
      </c>
      <c r="ES6" s="97"/>
      <c r="ET6" s="110"/>
      <c r="EU6" s="82">
        <f>EU2+7</f>
        <v>49</v>
      </c>
      <c r="EV6" s="82" t="str">
        <f t="array" aca="1" ref="EV6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LEN(SUBSTITUTE(_xlfn.FORMULATEXT(EV$1),"=","")))+$EU6)</f>
        <v/>
      </c>
      <c r="EW6" s="82" t="str">
        <f t="array" aca="1" ref="EW6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LEN(SUBSTITUTE(_xlfn.FORMULATEXT(EW$1),"=","")))+$EU6)</f>
        <v/>
      </c>
      <c r="EX6" s="82" t="str">
        <f t="array" aca="1" ref="EX6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LEN(SUBSTITUTE(_xlfn.FORMULATEXT(EX$1),"=","")))+$EU6)</f>
        <v/>
      </c>
      <c r="EY6" s="82" t="str">
        <f t="array" aca="1" ref="EY6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LEN(SUBSTITUTE(_xlfn.FORMULATEXT(EY$1),"=","")))+$EU6)</f>
        <v/>
      </c>
      <c r="EZ6" s="82" t="str">
        <f t="array" aca="1" ref="EZ6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LEN(SUBSTITUTE(_xlfn.FORMULATEXT(EZ$1),"=","")))+$EU6)</f>
        <v/>
      </c>
      <c r="FA6" s="82" t="str">
        <f t="array" aca="1" ref="FA6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LEN(SUBSTITUTE(_xlfn.FORMULATEXT(FA$1),"=","")))+$EU6)</f>
        <v/>
      </c>
      <c r="FB6" s="82" t="str">
        <f t="array" aca="1" ref="FB6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LEN(SUBSTITUTE(_xlfn.FORMULATEXT(FB$1),"=","")))+$EU6)</f>
        <v/>
      </c>
      <c r="FC6" s="82" t="str">
        <f t="array" aca="1" ref="FC6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LEN(SUBSTITUTE(_xlfn.FORMULATEXT(FC$1),"=","")))+$EU6)</f>
        <v/>
      </c>
      <c r="FD6" s="82" t="str">
        <f t="array" aca="1" ref="FD6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LEN(SUBSTITUTE(_xlfn.FORMULATEXT(FD$1),"=","")))+$EU6)</f>
        <v/>
      </c>
      <c r="FE6" s="82" t="str">
        <f t="array" aca="1" ref="FE6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LEN(SUBSTITUTE(_xlfn.FORMULATEXT(FE$1),"=","")))+$EU6)</f>
        <v/>
      </c>
      <c r="FF6" s="82" t="str">
        <f t="array" aca="1" ref="FF6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LEN(SUBSTITUTE(_xlfn.FORMULATEXT(FF$1),"=","")))+$EU6)</f>
        <v/>
      </c>
      <c r="FG6" s="82">
        <f t="shared" ca="1" si="0"/>
        <v>0</v>
      </c>
      <c r="FH6" s="82" t="b">
        <f t="array" aca="1" ref="FH6" ca="1">SUMPRODUCT((LEN(EV6:FF6)&gt;0)*1)&gt;0</f>
        <v>0</v>
      </c>
      <c r="FI6" s="82">
        <f t="array" aca="1" ref="FI6" ca="1">IFERROR(SMALL(IF(FG$1:FG$173&lt;&gt;0,FG$1:FG$173),ROW(A6)),"")</f>
        <v>126</v>
      </c>
      <c r="FJ6" s="82" t="str">
        <f t="array" aca="1" ref="FJ6" ca="1">IF($FI6&lt;&gt;"",
INDIRECT(""&amp;IF(COLUMN(EV6)&lt;=26,CHAR(COLUMN(EV6)+64),CHAR(INT((COLUMN(EV6)-1)/26)+64)&amp;CHAR(MOD(COLUMN(EV6)-1,26)+65))&amp;$FI6&amp;""),"")</f>
        <v>キャラ弁当 飯あり【2】</v>
      </c>
      <c r="FK6" s="82">
        <f t="array" aca="1" ref="FK6" ca="1">IF($FI6&lt;&gt;"",
INDIRECT(""&amp;IF(COLUMN(EW6)&lt;=26,CHAR(COLUMN(EW6)+64),CHAR(INT((COLUMN(EW6)-1)/26)+64)&amp;CHAR(MOD(COLUMN(EW6)-1,26)+65))&amp;$FI6&amp;""),"")</f>
        <v>0</v>
      </c>
      <c r="FL6" s="82" t="str">
        <f t="array" aca="1" ref="FL6" ca="1">IF($FI6&lt;&gt;"",
INDIRECT(""&amp;IF(COLUMN(EX6)&lt;=26,CHAR(COLUMN(EX6)+64),CHAR(INT((COLUMN(EX6)-1)/26)+64)&amp;CHAR(MOD(COLUMN(EX6)-1,26)+65))&amp;$FI6&amp;""),"")</f>
        <v/>
      </c>
      <c r="FM6" s="82" t="str">
        <f t="array" aca="1" ref="FM6" ca="1">IF($FI6&lt;&gt;"",
IF(FL6="",
IF(INDIRECT("EY"&amp;$FI6&amp;"")&lt;&gt;"",
INDIRECT("EY"&amp;$FI6&amp;"")&amp;"箱"
&amp;INDIRECT("EZ"&amp;$FI6&amp;""),""),""),"")</f>
        <v>1箱-810</v>
      </c>
      <c r="FN6" s="82">
        <f t="array" aca="1" ref="FN6" ca="1">IF($FI6&lt;&gt;"",
INDIRECT(""&amp;IF(COLUMN(FA6)&lt;=26,CHAR(COLUMN(FA6)+64),CHAR(INT((COLUMN(FA6)-1)/26)+64)&amp;CHAR(MOD(COLUMN(FA6)-1,26)+65))&amp;$FI6&amp;""),"")</f>
        <v>-739</v>
      </c>
      <c r="FO6" s="82">
        <f t="array" aca="1" ref="FO6" ca="1">IF($FI6&lt;&gt;"",
INDIRECT(""&amp;IF(COLUMN(FB6)&lt;=26,CHAR(COLUMN(FB6)+64),CHAR(INT((COLUMN(FB6)-1)/26)+64)&amp;CHAR(MOD(COLUMN(FB6)-1,26)+65))&amp;$FI6&amp;""),"")</f>
        <v>0</v>
      </c>
      <c r="FP6" s="82">
        <f t="array" aca="1" ref="FP6" ca="1">IF($FI6&lt;&gt;"",
INDIRECT(""&amp;IF(COLUMN(FC6)&lt;=26,CHAR(COLUMN(FC6)+64),CHAR(INT((COLUMN(FC6)-1)/26)+64)&amp;CHAR(MOD(COLUMN(FC6)-1,26)+65))&amp;$FI6&amp;""),"")</f>
        <v>24</v>
      </c>
      <c r="FQ6" s="82">
        <f t="array" aca="1" ref="FQ6" ca="1">IF($FI6&lt;&gt;"",
INDIRECT(""&amp;IF(COLUMN(FD6)&lt;=26,CHAR(COLUMN(FD6)+64),CHAR(INT((COLUMN(FD6)-1)/26)+64)&amp;CHAR(MOD(COLUMN(FD6)-1,26)+65))&amp;$FI6&amp;""),"")</f>
        <v>-31</v>
      </c>
      <c r="FR6" s="82">
        <f t="array" aca="1" ref="FR6" ca="1">IF($FI6&lt;&gt;"",
INDIRECT(""&amp;IF(COLUMN(FE6)&lt;=26,CHAR(COLUMN(FE6)+64),CHAR(INT((COLUMN(FE6)-1)/26)+64)&amp;CHAR(MOD(COLUMN(FE6)-1,26)+65))&amp;$FI6&amp;""),"")</f>
        <v>-26</v>
      </c>
      <c r="FS6" s="82">
        <f t="array" aca="1" ref="FS6" ca="1">IF($FI6&lt;&gt;"",
INDIRECT(""&amp;IF(COLUMN(FF6)&lt;=26,CHAR(COLUMN(FF6)+64),CHAR(INT((COLUMN(FF6)-1)/26)+64)&amp;CHAR(MOD(COLUMN(FF6)-1,26)+65))&amp;$FI6&amp;""),"")</f>
        <v>0</v>
      </c>
    </row>
    <row r="7" spans="1:175" ht="21" customHeight="1" x14ac:dyDescent="0.45">
      <c r="B7" s="196" t="e">
        <f ca="1">IF(C4&lt;&gt;"",
IFERROR(INT(C4/C6),""),"")</f>
        <v>#VALUE!</v>
      </c>
      <c r="C7" s="195"/>
      <c r="D7" s="196" t="str">
        <f ca="1">IFERROR(MOD(C4,C6),"")</f>
        <v/>
      </c>
      <c r="E7" s="195"/>
      <c r="F7" s="194" t="e">
        <f ca="1">G3+G4</f>
        <v>#N/A</v>
      </c>
      <c r="G7" s="195"/>
      <c r="I7" s="196" t="e">
        <f ca="1">IF(J4&lt;&gt;"",
IFERROR(INT(J4/J6),""),"")</f>
        <v>#VALUE!</v>
      </c>
      <c r="J7" s="195"/>
      <c r="K7" s="196" t="str">
        <f ca="1">IFERROR(MOD(J4,J6),"")</f>
        <v/>
      </c>
      <c r="L7" s="195"/>
      <c r="M7" s="194" t="e">
        <f ca="1">N3+N4</f>
        <v>#N/A</v>
      </c>
      <c r="N7" s="195"/>
      <c r="Q7" s="196" t="e">
        <f ca="1">IF(R4&lt;&gt;"",
IFERROR(INT(R4/R6),""),"")</f>
        <v>#VALUE!</v>
      </c>
      <c r="R7" s="195"/>
      <c r="S7" s="196" t="str">
        <f ca="1">IFERROR(MOD(R4,R6),"")</f>
        <v/>
      </c>
      <c r="T7" s="195"/>
      <c r="U7" s="194" t="e">
        <f ca="1">V3+V4</f>
        <v>#N/A</v>
      </c>
      <c r="V7" s="195"/>
      <c r="X7" s="196" t="e">
        <f ca="1">IF(Y4&lt;&gt;"",
IFERROR(INT(Y4/Y6),""),"")</f>
        <v>#VALUE!</v>
      </c>
      <c r="Y7" s="195"/>
      <c r="Z7" s="196" t="str">
        <f ca="1">IFERROR(MOD(Y4,Y6),"")</f>
        <v/>
      </c>
      <c r="AA7" s="195"/>
      <c r="AB7" s="194" t="e">
        <f ca="1">AC3+AC4</f>
        <v>#N/A</v>
      </c>
      <c r="AC7" s="195"/>
      <c r="AF7" s="196" t="e">
        <f ca="1">IF(AG4&lt;&gt;"",
IFERROR(INT(AG4/AG6),""),"")</f>
        <v>#VALUE!</v>
      </c>
      <c r="AG7" s="195"/>
      <c r="AH7" s="196" t="str">
        <f ca="1">IFERROR(MOD(AG4,AG6),"")</f>
        <v/>
      </c>
      <c r="AI7" s="195"/>
      <c r="AJ7" s="194" t="e">
        <f ca="1">AK3+AK4</f>
        <v>#N/A</v>
      </c>
      <c r="AK7" s="195"/>
      <c r="AM7" s="196" t="e">
        <f ca="1">IF(AN4&lt;&gt;"",
IFERROR(INT(AN4/AN6),""),"")</f>
        <v>#VALUE!</v>
      </c>
      <c r="AN7" s="195"/>
      <c r="AO7" s="196" t="str">
        <f ca="1">IFERROR(MOD(AN4,AN6),"")</f>
        <v/>
      </c>
      <c r="AP7" s="195"/>
      <c r="AQ7" s="194" t="e">
        <f ca="1">AR3+AR4</f>
        <v>#N/A</v>
      </c>
      <c r="AR7" s="195"/>
      <c r="AU7" s="196" t="e">
        <f ca="1">IF(AV4&lt;&gt;"",
IFERROR(INT(AV4/AV6),""),"")</f>
        <v>#VALUE!</v>
      </c>
      <c r="AV7" s="195"/>
      <c r="AW7" s="196" t="str">
        <f ca="1">IFERROR(MOD(AV4,AV6),"")</f>
        <v/>
      </c>
      <c r="AX7" s="195"/>
      <c r="AY7" s="194" t="e">
        <f ca="1">AZ3+AZ4</f>
        <v>#N/A</v>
      </c>
      <c r="AZ7" s="195"/>
      <c r="BB7" s="196" t="e">
        <f ca="1">IF(BC4&lt;&gt;"",
IFERROR(INT(BC4/BC6),""),"")</f>
        <v>#VALUE!</v>
      </c>
      <c r="BC7" s="195"/>
      <c r="BD7" s="196" t="str">
        <f ca="1">IFERROR(MOD(BC4,BC6),"")</f>
        <v/>
      </c>
      <c r="BE7" s="195"/>
      <c r="BF7" s="194" t="e">
        <f ca="1">BG3+BG4</f>
        <v>#N/A</v>
      </c>
      <c r="BG7" s="195"/>
      <c r="BJ7" s="196" t="e">
        <f ca="1">IF(BK4&lt;&gt;"",
IFERROR(INT(BK4/BK6),""),"")</f>
        <v>#VALUE!</v>
      </c>
      <c r="BK7" s="195"/>
      <c r="BL7" s="196" t="str">
        <f ca="1">IFERROR(MOD(BK4,BK6),"")</f>
        <v/>
      </c>
      <c r="BM7" s="195"/>
      <c r="BN7" s="194" t="e">
        <f ca="1">BO3+BO4</f>
        <v>#N/A</v>
      </c>
      <c r="BO7" s="195"/>
      <c r="BQ7" s="196" t="e">
        <f ca="1">IF(BR4&lt;&gt;"",
IFERROR(INT(BR4/BR6),""),"")</f>
        <v>#VALUE!</v>
      </c>
      <c r="BR7" s="195"/>
      <c r="BS7" s="196" t="str">
        <f ca="1">IFERROR(MOD(BR4,BR6),"")</f>
        <v/>
      </c>
      <c r="BT7" s="195"/>
      <c r="BU7" s="194" t="e">
        <f ca="1">BV3+BV4</f>
        <v>#N/A</v>
      </c>
      <c r="BV7" s="195"/>
      <c r="BY7" s="196" t="e">
        <f ca="1">IF(BZ4&lt;&gt;"",
IFERROR(INT(BZ4/BZ6),""),"")</f>
        <v>#VALUE!</v>
      </c>
      <c r="BZ7" s="195"/>
      <c r="CA7" s="196" t="str">
        <f ca="1">IFERROR(MOD(BZ4,BZ6),"")</f>
        <v/>
      </c>
      <c r="CB7" s="195"/>
      <c r="CC7" s="194" t="e">
        <f ca="1">CD3+CD4</f>
        <v>#N/A</v>
      </c>
      <c r="CD7" s="195"/>
      <c r="CF7" s="196" t="e">
        <f ca="1">IF(CG4&lt;&gt;"",
IFERROR(INT(CG4/CG6),""),"")</f>
        <v>#VALUE!</v>
      </c>
      <c r="CG7" s="195"/>
      <c r="CH7" s="196" t="str">
        <f ca="1">IFERROR(MOD(CG4,CG6),"")</f>
        <v/>
      </c>
      <c r="CI7" s="195"/>
      <c r="CJ7" s="194" t="e">
        <f ca="1">CK3+CK4</f>
        <v>#N/A</v>
      </c>
      <c r="CK7" s="195"/>
      <c r="CN7" s="196" t="e">
        <f ca="1">IF(CO4&lt;&gt;"",
IFERROR(INT(CO4/CO6),""),"")</f>
        <v>#VALUE!</v>
      </c>
      <c r="CO7" s="195"/>
      <c r="CP7" s="196" t="str">
        <f ca="1">IFERROR(MOD(CO4,CO6),"")</f>
        <v/>
      </c>
      <c r="CQ7" s="195"/>
      <c r="CR7" s="194" t="e">
        <f ca="1">CS3+CS4</f>
        <v>#N/A</v>
      </c>
      <c r="CS7" s="195"/>
      <c r="CU7" s="196" t="e">
        <f ca="1">IF(CV4&lt;&gt;"",
IFERROR(INT(CV4/CV6),""),"")</f>
        <v>#VALUE!</v>
      </c>
      <c r="CV7" s="195"/>
      <c r="CW7" s="196" t="str">
        <f ca="1">IFERROR(MOD(CV4,CV6),"")</f>
        <v/>
      </c>
      <c r="CX7" s="195"/>
      <c r="CY7" s="194" t="e">
        <f ca="1">CZ3+CZ4</f>
        <v>#N/A</v>
      </c>
      <c r="CZ7" s="195"/>
      <c r="DC7" s="196" t="e">
        <f ca="1">IF(DD4&lt;&gt;"",
IFERROR(INT(DD4/DD6),""),"")</f>
        <v>#VALUE!</v>
      </c>
      <c r="DD7" s="195"/>
      <c r="DE7" s="196" t="str">
        <f ca="1">IFERROR(MOD(DD4,DD6),"")</f>
        <v/>
      </c>
      <c r="DF7" s="195"/>
      <c r="DG7" s="194" t="e">
        <f ca="1">DH3+DH4</f>
        <v>#N/A</v>
      </c>
      <c r="DH7" s="195"/>
      <c r="DJ7" s="196" t="e">
        <f ca="1">IF(DK4&lt;&gt;"",
IFERROR(INT(DK4/DK6),""),"")</f>
        <v>#VALUE!</v>
      </c>
      <c r="DK7" s="195"/>
      <c r="DL7" s="196" t="str">
        <f ca="1">IFERROR(MOD(DK4,DK6),"")</f>
        <v/>
      </c>
      <c r="DM7" s="195"/>
      <c r="DN7" s="194" t="e">
        <f ca="1">DO3+DO4</f>
        <v>#N/A</v>
      </c>
      <c r="DO7" s="195"/>
      <c r="DR7" s="196" t="e">
        <f ca="1">IF(DS4&lt;&gt;"",
IFERROR(INT(DS4/DS6),""),"")</f>
        <v>#VALUE!</v>
      </c>
      <c r="DS7" s="195"/>
      <c r="DT7" s="196" t="str">
        <f ca="1">IFERROR(MOD(DS4,DS6),"")</f>
        <v/>
      </c>
      <c r="DU7" s="195"/>
      <c r="DV7" s="194" t="e">
        <f ca="1">DW3+DW4</f>
        <v>#N/A</v>
      </c>
      <c r="DW7" s="195"/>
      <c r="DY7" s="196" t="e">
        <f ca="1">IF(DZ4&lt;&gt;"",
IFERROR(INT(DZ4/DZ6),""),"")</f>
        <v>#VALUE!</v>
      </c>
      <c r="DZ7" s="195"/>
      <c r="EA7" s="196" t="str">
        <f ca="1">IFERROR(MOD(DZ4,DZ6),"")</f>
        <v/>
      </c>
      <c r="EB7" s="195"/>
      <c r="EC7" s="194" t="e">
        <f ca="1">ED3+ED4</f>
        <v>#N/A</v>
      </c>
      <c r="ED7" s="195"/>
      <c r="EG7" s="196" t="e">
        <f ca="1">IF(EH4&lt;&gt;"",
IFERROR(INT(EH4/EH6),""),"")</f>
        <v>#VALUE!</v>
      </c>
      <c r="EH7" s="195"/>
      <c r="EI7" s="196" t="str">
        <f ca="1">IFERROR(MOD(EH4,EH6),"")</f>
        <v/>
      </c>
      <c r="EJ7" s="195"/>
      <c r="EK7" s="194" t="e">
        <f ca="1">EL3+EL4</f>
        <v>#N/A</v>
      </c>
      <c r="EL7" s="195"/>
      <c r="EN7" s="196" t="e">
        <f ca="1">IF(EO4&lt;&gt;"",
IFERROR(INT(EO4/EO6),""),"")</f>
        <v>#VALUE!</v>
      </c>
      <c r="EO7" s="195"/>
      <c r="EP7" s="196" t="str">
        <f ca="1">IFERROR(MOD(EO4,EO6),"")</f>
        <v/>
      </c>
      <c r="EQ7" s="195"/>
      <c r="ER7" s="194" t="e">
        <f ca="1">ES3+ES4</f>
        <v>#N/A</v>
      </c>
      <c r="ES7" s="195"/>
      <c r="ET7" s="75"/>
      <c r="EU7" s="82">
        <v>7</v>
      </c>
      <c r="EV7" s="82" t="str">
        <f t="array" aca="1" ref="EV7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LEN(SUBSTITUTE(_xlfn.FORMULATEXT(EV$3),"=","")))+$EU7)</f>
        <v/>
      </c>
      <c r="EW7" s="82" t="str">
        <f t="array" aca="1" ref="EW7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LEN(SUBSTITUTE(_xlfn.FORMULATEXT(EW$3),"=","")))+$EU7)</f>
        <v/>
      </c>
      <c r="EX7" s="82" t="str">
        <f t="array" aca="1" ref="EX7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LEN(SUBSTITUTE(_xlfn.FORMULATEXT(EX$3),"=","")))+$EU7)</f>
        <v/>
      </c>
      <c r="EY7" s="82" t="str">
        <f t="array" aca="1" ref="EY7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LEN(SUBSTITUTE(_xlfn.FORMULATEXT(EY$3),"=","")))+$EU7)</f>
        <v/>
      </c>
      <c r="EZ7" s="82" t="str">
        <f t="array" aca="1" ref="EZ7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LEN(SUBSTITUTE(_xlfn.FORMULATEXT(EZ$3),"=","")))+$EU7)</f>
        <v/>
      </c>
      <c r="FA7" s="82" t="e">
        <f t="array" aca="1" ref="FA7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LEN(SUBSTITUTE(_xlfn.FORMULATEXT(FA$3),"=","")))+$EU7)</f>
        <v>#VALUE!</v>
      </c>
      <c r="FB7" s="82" t="str">
        <f t="array" aca="1" ref="FB7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LEN(SUBSTITUTE(_xlfn.FORMULATEXT(FB$3),"=","")))+$EU7)</f>
        <v/>
      </c>
      <c r="FC7" s="82" t="str">
        <f t="array" aca="1" ref="FC7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LEN(SUBSTITUTE(_xlfn.FORMULATEXT(FC$3),"=","")))+$EU7)</f>
        <v/>
      </c>
      <c r="FD7" s="82" t="e">
        <f t="array" aca="1" ref="FD7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LEN(SUBSTITUTE(_xlfn.FORMULATEXT(FD$3),"=","")))+$EU7)</f>
        <v>#VALUE!</v>
      </c>
      <c r="FE7" s="82" t="str">
        <f t="array" aca="1" ref="FE7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LEN(SUBSTITUTE(_xlfn.FORMULATEXT(FE$3),"=","")))+$EU7)</f>
        <v/>
      </c>
      <c r="FF7" s="82" t="e">
        <f t="array" aca="1" ref="FF7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LEN(SUBSTITUTE(_xlfn.FORMULATEXT(FF$3),"=","")))+$EU7)</f>
        <v>#N/A</v>
      </c>
      <c r="FG7" s="82">
        <f t="shared" ca="1" si="0"/>
        <v>0</v>
      </c>
      <c r="FH7" s="82" t="e">
        <f t="array" aca="1" ref="FH7" ca="1">SUMPRODUCT((LEN(EV7:FF7)&gt;0)*1)&gt;0</f>
        <v>#VALUE!</v>
      </c>
      <c r="FI7" s="82">
        <f t="array" aca="1" ref="FI7" ca="1">IFERROR(SMALL(IF(FG$1:FG$173&lt;&gt;0,FG$1:FG$173),ROW(A7)),"")</f>
        <v>165</v>
      </c>
      <c r="FJ7" s="82" t="str">
        <f t="array" aca="1" ref="FJ7" ca="1">IF($FI7&lt;&gt;"",
INDIRECT(""&amp;IF(COLUMN(EV7)&lt;=26,CHAR(COLUMN(EV7)+64),CHAR(INT((COLUMN(EV7)-1)/26)+64)&amp;CHAR(MOD(COLUMN(EV7)-1,26)+65))&amp;$FI7&amp;""),"")</f>
        <v>社食</v>
      </c>
      <c r="FK7" s="82" t="str">
        <f t="array" aca="1" ref="FK7" ca="1">IF($FI7&lt;&gt;"",
INDIRECT(""&amp;IF(COLUMN(EW7)&lt;=26,CHAR(COLUMN(EW7)+64),CHAR(INT((COLUMN(EW7)-1)/26)+64)&amp;CHAR(MOD(COLUMN(EW7)-1,26)+65))&amp;$FI7&amp;""),"")</f>
        <v/>
      </c>
      <c r="FL7" s="82" t="str">
        <f t="array" aca="1" ref="FL7" ca="1">IF($FI7&lt;&gt;"",
INDIRECT(""&amp;IF(COLUMN(EX7)&lt;=26,CHAR(COLUMN(EX7)+64),CHAR(INT((COLUMN(EX7)-1)/26)+64)&amp;CHAR(MOD(COLUMN(EX7)-1,26)+65))&amp;$FI7&amp;""),"")</f>
        <v/>
      </c>
      <c r="FM7" s="82" t="str">
        <f t="array" aca="1" ref="FM7" ca="1">IF($FI7&lt;&gt;"",
IF(FL7="",
IF(INDIRECT("EY"&amp;$FI7&amp;"")&lt;&gt;"",
INDIRECT("EY"&amp;$FI7&amp;"")&amp;"箱"
&amp;INDIRECT("EZ"&amp;$FI7&amp;""),""),""),"")</f>
        <v/>
      </c>
      <c r="FN7" s="82" t="e">
        <f t="array" aca="1" ref="FN7" ca="1">IF($FI7&lt;&gt;"",
INDIRECT(""&amp;IF(COLUMN(FA7)&lt;=26,CHAR(COLUMN(FA7)+64),CHAR(INT((COLUMN(FA7)-1)/26)+64)&amp;CHAR(MOD(COLUMN(FA7)-1,26)+65))&amp;$FI7&amp;""),"")</f>
        <v>#N/A</v>
      </c>
      <c r="FO7" s="82" t="str">
        <f t="array" aca="1" ref="FO7" ca="1">IF($FI7&lt;&gt;"",
INDIRECT(""&amp;IF(COLUMN(FB7)&lt;=26,CHAR(COLUMN(FB7)+64),CHAR(INT((COLUMN(FB7)-1)/26)+64)&amp;CHAR(MOD(COLUMN(FB7)-1,26)+65))&amp;$FI7&amp;""),"")</f>
        <v/>
      </c>
      <c r="FP7" s="82" t="e">
        <f t="array" aca="1" ref="FP7" ca="1">IF($FI7&lt;&gt;"",
INDIRECT(""&amp;IF(COLUMN(FC7)&lt;=26,CHAR(COLUMN(FC7)+64),CHAR(INT((COLUMN(FC7)-1)/26)+64)&amp;CHAR(MOD(COLUMN(FC7)-1,26)+65))&amp;$FI7&amp;""),"")</f>
        <v>#N/A</v>
      </c>
      <c r="FQ7" s="82">
        <f t="array" aca="1" ref="FQ7" ca="1">IF($FI7&lt;&gt;"",
INDIRECT(""&amp;IF(COLUMN(FD7)&lt;=26,CHAR(COLUMN(FD7)+64),CHAR(INT((COLUMN(FD7)-1)/26)+64)&amp;CHAR(MOD(COLUMN(FD7)-1,26)+65))&amp;$FI7&amp;""),"")</f>
        <v>0</v>
      </c>
      <c r="FR7" s="82" t="str">
        <f t="array" aca="1" ref="FR7" ca="1">IF($FI7&lt;&gt;"",
INDIRECT(""&amp;IF(COLUMN(FE7)&lt;=26,CHAR(COLUMN(FE7)+64),CHAR(INT((COLUMN(FE7)-1)/26)+64)&amp;CHAR(MOD(COLUMN(FE7)-1,26)+65))&amp;$FI7&amp;""),"")</f>
        <v/>
      </c>
      <c r="FS7" s="82">
        <f t="array" aca="1" ref="FS7" ca="1">IF($FI7&lt;&gt;"",
INDIRECT(""&amp;IF(COLUMN(FF7)&lt;=26,CHAR(COLUMN(FF7)+64),CHAR(INT((COLUMN(FF7)-1)/26)+64)&amp;CHAR(MOD(COLUMN(FF7)-1,26)+65))&amp;$FI7&amp;""),"")</f>
        <v>0</v>
      </c>
    </row>
    <row r="8" spans="1:175" s="82" customFormat="1" ht="18" customHeight="1" x14ac:dyDescent="0.55000000000000004">
      <c r="A8" s="80">
        <f t="array" aca="1" ref="A8" ca="1">IF(AND(G1&lt;&gt;"社食",N1="社食"),I1,
IF(AND(LEFT(N1,2)="博多",LEFT(INDIRECT("数出表_Excel!A"&amp;I1-1),2)=LEFT(INDIRECT("数出表_Excel!A"&amp;I1+1),2)),
IF(AND(LEFT(INDIRECT("数出表_Excel!A"&amp;I1+2),2)="博多",LEFT(INDIRECT("数出表_Excel!A"&amp;I1+1),2)=LEFT(INDIRECT("数出表_Excel!A"&amp;I1+3),2)),
IF(AND(LEFT(INDIRECT("数出表_Excel!A"&amp;I1+4),2)="博多",LEFT(INDIRECT("数出表_Excel!A"&amp;I1+3),2)=LEFT(INDIRECT("数出表_Excel!A"&amp;I1+5),2)),
I1+8,
I1+6),
I1+4),
IF(LEFT(N1,3)="奈良屋",
IF(LEFT(INDIRECT("数出表_Excel!A"&amp;I1+2),3)="奈良屋",
IF(LEFT(INDIRECT("数出表_Excel!A"&amp;I1+4),3)="奈良屋",
I1+6,
I1+4),
I1+2),
I1+2)))</f>
        <v>11</v>
      </c>
      <c r="B8" s="81">
        <f t="array" aca="1" ref="B8" ca="1">GetResult(A9)</f>
        <v>11</v>
      </c>
      <c r="C8" s="191" t="str">
        <f ca="1">IF(C9&lt;&gt;"",
IF(LEFT(G8,2)="博多",
LEFT(G8,FIND("週",G8)-1),
G8),"")</f>
        <v/>
      </c>
      <c r="D8" s="192"/>
      <c r="E8" s="192"/>
      <c r="F8" s="192"/>
      <c r="G8" s="99">
        <f t="array" aca="1" ref="G8" ca="1">INDIRECT("数出表_Excel!A"&amp;B8)</f>
        <v>0</v>
      </c>
      <c r="H8" s="80">
        <f t="array" aca="1" ref="H8" ca="1">IF(AND(N1&lt;&gt;"社食",G8="社食"),B8,
IF(AND(LEFT(G8,2)="博多",LEFT(INDIRECT("数出表_Excel!A"&amp;B8-1),2)=LEFT(INDIRECT("数出表_Excel!A"&amp;B8+1),2)),
IF(AND(LEFT(INDIRECT("数出表_Excel!A"&amp;B8+2),2)="博多",LEFT(INDIRECT("数出表_Excel!A"&amp;B8+1),2)=LEFT(INDIRECT("数出表_Excel!A"&amp;B8+3),2)),
IF(AND(LEFT(INDIRECT("数出表_Excel!A"&amp;B8+4),2)="博多",LEFT(INDIRECT("数出表_Excel!A"&amp;B8+3),2)=LEFT(INDIRECT("数出表_Excel!A"&amp;B8+5),2)),
B8+8,
B8+6),
B8+4),
IF(LEFT(G8,3)="奈良屋",
IF(LEFT(INDIRECT("数出表_Excel!A"&amp;B8+2),3)="奈良屋",
IF(LEFT(INDIRECT("数出表_Excel!A"&amp;B8+4),3)="奈良屋",
B8+6,
B8+4),
B8+2),
B8+2)))</f>
        <v>13</v>
      </c>
      <c r="I8" s="81">
        <f t="array" aca="1" ref="I8" ca="1">GetResult(H9)</f>
        <v>13</v>
      </c>
      <c r="J8" s="191" t="str">
        <f ca="1">IF(J9&lt;&gt;"",
IF(LEFT(N8,2)="博多",
LEFT(N8,FIND("週",N8)-1),
N8),"")</f>
        <v/>
      </c>
      <c r="K8" s="192"/>
      <c r="L8" s="192"/>
      <c r="M8" s="192"/>
      <c r="N8" s="95">
        <f t="array" aca="1" ref="N8" ca="1">INDIRECT("数出表_Excel!A"&amp;I8)</f>
        <v>0</v>
      </c>
      <c r="O8" s="80"/>
      <c r="P8" s="80">
        <f t="array" aca="1" ref="P8" ca="1">IF(AND(V1&lt;&gt;"社食",AC1="社食"),X1,
IF(AND(LEFT(AC1,2)="博多",LEFT(INDIRECT("数出表_Excel!A"&amp;X1-1),2)=LEFT(INDIRECT("数出表_Excel!A"&amp;X1+1),2)),
IF(AND(LEFT(INDIRECT("数出表_Excel!A"&amp;X1+2),2)="博多",LEFT(INDIRECT("数出表_Excel!A"&amp;X1+1),2)=LEFT(INDIRECT("数出表_Excel!A"&amp;X1+3),2)),
IF(AND(LEFT(INDIRECT("数出表_Excel!A"&amp;X1+4),2)="博多",LEFT(INDIRECT("数出表_Excel!A"&amp;X1+3),2)=LEFT(INDIRECT("数出表_Excel!A"&amp;X1+5),2)),
X1+8,
X1+6),
X1+4),
IF(LEFT(AC1,3)="奈良屋",
IF(LEFT(INDIRECT("数出表_Excel!A"&amp;X1+2),3)="奈良屋",
IF(LEFT(INDIRECT("数出表_Excel!A"&amp;X1+4),3)="奈良屋",
X1+6,
X1+4),
X1+2),
X1+2)))</f>
        <v>35</v>
      </c>
      <c r="Q8" s="81">
        <f t="array" aca="1" ref="Q8" ca="1">GetResult(P9)</f>
        <v>35</v>
      </c>
      <c r="R8" s="191" t="str">
        <f ca="1">IF(R9&lt;&gt;"",
IF(LEFT(V8,2)="博多",
LEFT(V8,FIND("週",V8)-1),
V8),"")</f>
        <v/>
      </c>
      <c r="S8" s="192"/>
      <c r="T8" s="192"/>
      <c r="U8" s="192"/>
      <c r="V8" s="99">
        <f t="array" aca="1" ref="V8" ca="1">INDIRECT("数出表_Excel!A"&amp;Q8)</f>
        <v>0</v>
      </c>
      <c r="W8" s="80">
        <f t="array" aca="1" ref="W8" ca="1">IF(AND(AC1&lt;&gt;"社食",V8="社食"),Q8,
IF(AND(LEFT(V8,2)="博多",LEFT(INDIRECT("数出表_Excel!A"&amp;Q8-1),2)=LEFT(INDIRECT("数出表_Excel!A"&amp;Q8+1),2)),
IF(AND(LEFT(INDIRECT("数出表_Excel!A"&amp;Q8+2),2)="博多",LEFT(INDIRECT("数出表_Excel!A"&amp;Q8+1),2)=LEFT(INDIRECT("数出表_Excel!A"&amp;Q8+3),2)),
IF(AND(LEFT(INDIRECT("数出表_Excel!A"&amp;Q8+4),2)="博多",LEFT(INDIRECT("数出表_Excel!A"&amp;Q8+3),2)=LEFT(INDIRECT("数出表_Excel!A"&amp;Q8+5),2)),
Q8+8,
Q8+6),
Q8+4),
IF(LEFT(V8,3)="奈良屋",
IF(LEFT(INDIRECT("数出表_Excel!A"&amp;Q8+2),3)="奈良屋",
IF(LEFT(INDIRECT("数出表_Excel!A"&amp;Q8+4),3)="奈良屋",
Q8+6,
Q8+4),
Q8+2),
Q8+2)))</f>
        <v>37</v>
      </c>
      <c r="X8" s="81">
        <f t="array" aca="1" ref="X8" ca="1">GetResult(W9)</f>
        <v>37</v>
      </c>
      <c r="Y8" s="191" t="str">
        <f ca="1">IF(Y9&lt;&gt;"",
IF(LEFT(AC8,2)="博多",
LEFT(AC8,FIND("週",AC8)-1),
AC8),"")</f>
        <v/>
      </c>
      <c r="Z8" s="192"/>
      <c r="AA8" s="192"/>
      <c r="AB8" s="192"/>
      <c r="AC8" s="95">
        <f t="array" aca="1" ref="AC8" ca="1">INDIRECT("数出表_Excel!A"&amp;X8)</f>
        <v>0</v>
      </c>
      <c r="AD8" s="80"/>
      <c r="AE8" s="80">
        <f t="array" aca="1" ref="AE8" ca="1">IF(AND(AK1&lt;&gt;"社食",AR1="社食"),AM1,
IF(AND(LEFT(AR1,2)="博多",LEFT(INDIRECT("数出表_Excel!A"&amp;AM1-1),2)=LEFT(INDIRECT("数出表_Excel!A"&amp;AM1+1),2)),
IF(AND(LEFT(INDIRECT("数出表_Excel!A"&amp;AM1+2),2)="博多",LEFT(INDIRECT("数出表_Excel!A"&amp;AM1+1),2)=LEFT(INDIRECT("数出表_Excel!A"&amp;AM1+3),2)),
IF(AND(LEFT(INDIRECT("数出表_Excel!A"&amp;AM1+4),2)="博多",LEFT(INDIRECT("数出表_Excel!A"&amp;AM1+3),2)=LEFT(INDIRECT("数出表_Excel!A"&amp;AM1+5),2)),
AM1+8,
AM1+6),
AM1+4),
IF(LEFT(AR1,3)="奈良屋",
IF(LEFT(INDIRECT("数出表_Excel!A"&amp;AM1+2),3)="奈良屋",
IF(LEFT(INDIRECT("数出表_Excel!A"&amp;AM1+4),3)="奈良屋",
AM1+6,
AM1+4),
AM1+2),
AM1+2)))</f>
        <v>59</v>
      </c>
      <c r="AF8" s="81">
        <f t="array" aca="1" ref="AF8" ca="1">GetResult(AE9)</f>
        <v>59</v>
      </c>
      <c r="AG8" s="191" t="str">
        <f ca="1">IF(AG9&lt;&gt;"",
IF(LEFT(AK8,2)="博多",
LEFT(AK8,FIND("週",AK8)-1),
AK8),"")</f>
        <v/>
      </c>
      <c r="AH8" s="192"/>
      <c r="AI8" s="192"/>
      <c r="AJ8" s="192"/>
      <c r="AK8" s="99">
        <f t="array" aca="1" ref="AK8" ca="1">INDIRECT("数出表_Excel!A"&amp;AF8)</f>
        <v>0</v>
      </c>
      <c r="AL8" s="80">
        <f t="array" aca="1" ref="AL8" ca="1">IF(AND(AR1&lt;&gt;"社食",AK8="社食"),AF8,
IF(AND(LEFT(AK8,2)="博多",LEFT(INDIRECT("数出表_Excel!A"&amp;AF8-1),2)=LEFT(INDIRECT("数出表_Excel!A"&amp;AF8+1),2)),
IF(AND(LEFT(INDIRECT("数出表_Excel!A"&amp;AF8+2),2)="博多",LEFT(INDIRECT("数出表_Excel!A"&amp;AF8+1),2)=LEFT(INDIRECT("数出表_Excel!A"&amp;AF8+3),2)),
IF(AND(LEFT(INDIRECT("数出表_Excel!A"&amp;AF8+4),2)="博多",LEFT(INDIRECT("数出表_Excel!A"&amp;AF8+3),2)=LEFT(INDIRECT("数出表_Excel!A"&amp;AF8+5),2)),
AF8+8,
AF8+6),
AF8+4),
IF(LEFT(AK8,3)="奈良屋",
IF(LEFT(INDIRECT("数出表_Excel!A"&amp;AF8+2),3)="奈良屋",
IF(LEFT(INDIRECT("数出表_Excel!A"&amp;AF8+4),3)="奈良屋",
AF8+6,
AF8+4),
AF8+2),
AF8+2)))</f>
        <v>61</v>
      </c>
      <c r="AM8" s="81">
        <f t="array" aca="1" ref="AM8" ca="1">GetResult(AL9)</f>
        <v>61</v>
      </c>
      <c r="AN8" s="191" t="str">
        <f ca="1">IF(AN9&lt;&gt;"",
IF(LEFT(AR8,2)="博多",
LEFT(AR8,FIND("週",AR8)-1),
AR8),"")</f>
        <v/>
      </c>
      <c r="AO8" s="192"/>
      <c r="AP8" s="192"/>
      <c r="AQ8" s="192"/>
      <c r="AR8" s="95">
        <f t="array" aca="1" ref="AR8" ca="1">INDIRECT("数出表_Excel!A"&amp;AM8)</f>
        <v>0</v>
      </c>
      <c r="AS8" s="80"/>
      <c r="AT8" s="80">
        <f t="array" aca="1" ref="AT8" ca="1">IF(AND(AZ1&lt;&gt;"社食",BG1="社食"),BB1,
IF(AND(LEFT(BG1,2)="博多",LEFT(INDIRECT("数出表_Excel!A"&amp;BB1-1),2)=LEFT(INDIRECT("数出表_Excel!A"&amp;BB1+1),2)),
IF(AND(LEFT(INDIRECT("数出表_Excel!A"&amp;BB1+2),2)="博多",LEFT(INDIRECT("数出表_Excel!A"&amp;BB1+1),2)=LEFT(INDIRECT("数出表_Excel!A"&amp;BB1+3),2)),
IF(AND(LEFT(INDIRECT("数出表_Excel!A"&amp;BB1+4),2)="博多",LEFT(INDIRECT("数出表_Excel!A"&amp;BB1+3),2)=LEFT(INDIRECT("数出表_Excel!A"&amp;BB1+5),2)),
BB1+8,
BB1+6),
BB1+4),
IF(LEFT(BG1,3)="奈良屋",
IF(LEFT(INDIRECT("数出表_Excel!A"&amp;BB1+2),3)="奈良屋",
IF(LEFT(INDIRECT("数出表_Excel!A"&amp;BB1+4),3)="奈良屋",
BB1+6,
BB1+4),
BB1+2),
BB1+2)))</f>
        <v>83</v>
      </c>
      <c r="AU8" s="81">
        <f t="array" aca="1" ref="AU8" ca="1">GetResult(AT9)</f>
        <v>83</v>
      </c>
      <c r="AV8" s="191" t="str">
        <f ca="1">IF(AV9&lt;&gt;"",
IF(LEFT(AZ8,2)="博多",
LEFT(AZ8,FIND("週",AZ8)-1),
AZ8),"")</f>
        <v/>
      </c>
      <c r="AW8" s="192"/>
      <c r="AX8" s="192"/>
      <c r="AY8" s="192"/>
      <c r="AZ8" s="99">
        <f t="array" aca="1" ref="AZ8" ca="1">INDIRECT("数出表_Excel!A"&amp;AU8)</f>
        <v>0</v>
      </c>
      <c r="BA8" s="80">
        <f t="array" aca="1" ref="BA8" ca="1">IF(AND(BG1&lt;&gt;"社食",AZ8="社食"),AU8,
IF(AND(LEFT(AZ8,2)="博多",LEFT(INDIRECT("数出表_Excel!A"&amp;AU8-1),2)=LEFT(INDIRECT("数出表_Excel!A"&amp;AU8+1),2)),
IF(AND(LEFT(INDIRECT("数出表_Excel!A"&amp;AU8+2),2)="博多",LEFT(INDIRECT("数出表_Excel!A"&amp;AU8+1),2)=LEFT(INDIRECT("数出表_Excel!A"&amp;AU8+3),2)),
IF(AND(LEFT(INDIRECT("数出表_Excel!A"&amp;AU8+4),2)="博多",LEFT(INDIRECT("数出表_Excel!A"&amp;AU8+3),2)=LEFT(INDIRECT("数出表_Excel!A"&amp;AU8+5),2)),
AU8+8,
AU8+6),
AU8+4),
IF(LEFT(AZ8,3)="奈良屋",
IF(LEFT(INDIRECT("数出表_Excel!A"&amp;AU8+2),3)="奈良屋",
IF(LEFT(INDIRECT("数出表_Excel!A"&amp;AU8+4),3)="奈良屋",
AU8+6,
AU8+4),
AU8+2),
AU8+2)))</f>
        <v>85</v>
      </c>
      <c r="BB8" s="81">
        <f t="array" aca="1" ref="BB8" ca="1">GetResult(BA9)</f>
        <v>85</v>
      </c>
      <c r="BC8" s="191" t="str">
        <f ca="1">IF(BC9&lt;&gt;"",
IF(LEFT(BG8,2)="博多",
LEFT(BG8,FIND("週",BG8)-1),
BG8),"")</f>
        <v/>
      </c>
      <c r="BD8" s="192"/>
      <c r="BE8" s="192"/>
      <c r="BF8" s="192"/>
      <c r="BG8" s="95">
        <f t="array" aca="1" ref="BG8" ca="1">INDIRECT("数出表_Excel!A"&amp;BB8)</f>
        <v>0</v>
      </c>
      <c r="BH8" s="80"/>
      <c r="BI8" s="80">
        <f t="array" aca="1" ref="BI8" ca="1">IF(AND(BO1&lt;&gt;"社食",BV1="社食"),BQ1,
IF(AND(LEFT(BV1,2)="博多",LEFT(INDIRECT("数出表_Excel!A"&amp;BQ1-1),2)=LEFT(INDIRECT("数出表_Excel!A"&amp;BQ1+1),2)),
IF(AND(LEFT(INDIRECT("数出表_Excel!A"&amp;BQ1+2),2)="博多",LEFT(INDIRECT("数出表_Excel!A"&amp;BQ1+1),2)=LEFT(INDIRECT("数出表_Excel!A"&amp;BQ1+3),2)),
IF(AND(LEFT(INDIRECT("数出表_Excel!A"&amp;BQ1+4),2)="博多",LEFT(INDIRECT("数出表_Excel!A"&amp;BQ1+3),2)=LEFT(INDIRECT("数出表_Excel!A"&amp;BQ1+5),2)),
BQ1+8,
BQ1+6),
BQ1+4),
IF(LEFT(BV1,3)="奈良屋",
IF(LEFT(INDIRECT("数出表_Excel!A"&amp;BQ1+2),3)="奈良屋",
IF(LEFT(INDIRECT("数出表_Excel!A"&amp;BQ1+4),3)="奈良屋",
BQ1+6,
BQ1+4),
BQ1+2),
BQ1+2)))</f>
        <v>107</v>
      </c>
      <c r="BJ8" s="81">
        <f t="array" aca="1" ref="BJ8" ca="1">GetResult(BI9)</f>
        <v>107</v>
      </c>
      <c r="BK8" s="191" t="str">
        <f ca="1">IF(BK9&lt;&gt;"",
IF(LEFT(BO8,2)="博多",
LEFT(BO8,FIND("週",BO8)-1),
BO8),"")</f>
        <v/>
      </c>
      <c r="BL8" s="192"/>
      <c r="BM8" s="192"/>
      <c r="BN8" s="192"/>
      <c r="BO8" s="99">
        <f t="array" aca="1" ref="BO8" ca="1">INDIRECT("数出表_Excel!A"&amp;BJ8)</f>
        <v>0</v>
      </c>
      <c r="BP8" s="80">
        <f t="array" aca="1" ref="BP8" ca="1">IF(AND(BV1&lt;&gt;"社食",BO8="社食"),BJ8,
IF(AND(LEFT(BO8,2)="博多",LEFT(INDIRECT("数出表_Excel!A"&amp;BJ8-1),2)=LEFT(INDIRECT("数出表_Excel!A"&amp;BJ8+1),2)),
IF(AND(LEFT(INDIRECT("数出表_Excel!A"&amp;BJ8+2),2)="博多",LEFT(INDIRECT("数出表_Excel!A"&amp;BJ8+1),2)=LEFT(INDIRECT("数出表_Excel!A"&amp;BJ8+3),2)),
IF(AND(LEFT(INDIRECT("数出表_Excel!A"&amp;BJ8+4),2)="博多",LEFT(INDIRECT("数出表_Excel!A"&amp;BJ8+3),2)=LEFT(INDIRECT("数出表_Excel!A"&amp;BJ8+5),2)),
BJ8+8,
BJ8+6),
BJ8+4),
IF(LEFT(BO8,3)="奈良屋",
IF(LEFT(INDIRECT("数出表_Excel!A"&amp;BJ8+2),3)="奈良屋",
IF(LEFT(INDIRECT("数出表_Excel!A"&amp;BJ8+4),3)="奈良屋",
BJ8+6,
BJ8+4),
BJ8+2),
BJ8+2)))</f>
        <v>109</v>
      </c>
      <c r="BQ8" s="81">
        <f t="array" aca="1" ref="BQ8" ca="1">GetResult(BP9)</f>
        <v>109</v>
      </c>
      <c r="BR8" s="191" t="str">
        <f ca="1">IF(BR9&lt;&gt;"",
IF(LEFT(BV8,2)="博多",
LEFT(BV8,FIND("週",BV8)-1),
BV8),"")</f>
        <v/>
      </c>
      <c r="BS8" s="192"/>
      <c r="BT8" s="192"/>
      <c r="BU8" s="192"/>
      <c r="BV8" s="95">
        <f t="array" aca="1" ref="BV8" ca="1">INDIRECT("数出表_Excel!A"&amp;BQ8)</f>
        <v>0</v>
      </c>
      <c r="BW8" s="80"/>
      <c r="BX8" s="80">
        <f t="array" aca="1" ref="BX8" ca="1">IF(AND(CD1&lt;&gt;"社食",CK1="社食"),CF1,
IF(AND(LEFT(CK1,2)="博多",LEFT(INDIRECT("数出表_Excel!A"&amp;CF1-1),2)=LEFT(INDIRECT("数出表_Excel!A"&amp;CF1+1),2)),
IF(AND(LEFT(INDIRECT("数出表_Excel!A"&amp;CF1+2),2)="博多",LEFT(INDIRECT("数出表_Excel!A"&amp;CF1+1),2)=LEFT(INDIRECT("数出表_Excel!A"&amp;CF1+3),2)),
IF(AND(LEFT(INDIRECT("数出表_Excel!A"&amp;CF1+4),2)="博多",LEFT(INDIRECT("数出表_Excel!A"&amp;CF1+3),2)=LEFT(INDIRECT("数出表_Excel!A"&amp;CF1+5),2)),
CF1+8,
CF1+6),
CF1+4),
IF(LEFT(CK1,3)="奈良屋",
IF(LEFT(INDIRECT("数出表_Excel!A"&amp;CF1+2),3)="奈良屋",
IF(LEFT(INDIRECT("数出表_Excel!A"&amp;CF1+4),3)="奈良屋",
CF1+6,
CF1+4),
CF1+2),
CF1+2)))</f>
        <v>131</v>
      </c>
      <c r="BY8" s="81">
        <f t="array" aca="1" ref="BY8" ca="1">GetResult(BX9)</f>
        <v>131</v>
      </c>
      <c r="BZ8" s="191" t="str">
        <f ca="1">IF(BZ9&lt;&gt;"",
IF(LEFT(CD8,2)="博多",
LEFT(CD8,FIND("週",CD8)-1),
CD8),"")</f>
        <v/>
      </c>
      <c r="CA8" s="192"/>
      <c r="CB8" s="192"/>
      <c r="CC8" s="192"/>
      <c r="CD8" s="99">
        <f t="array" aca="1" ref="CD8" ca="1">INDIRECT("数出表_Excel!A"&amp;BY8)</f>
        <v>0</v>
      </c>
      <c r="CE8" s="80">
        <f t="array" aca="1" ref="CE8" ca="1">IF(AND(CK1&lt;&gt;"社食",CD8="社食"),BY8,
IF(AND(LEFT(CD8,2)="博多",LEFT(INDIRECT("数出表_Excel!A"&amp;BY8-1),2)=LEFT(INDIRECT("数出表_Excel!A"&amp;BY8+1),2)),
IF(AND(LEFT(INDIRECT("数出表_Excel!A"&amp;BY8+2),2)="博多",LEFT(INDIRECT("数出表_Excel!A"&amp;BY8+1),2)=LEFT(INDIRECT("数出表_Excel!A"&amp;BY8+3),2)),
IF(AND(LEFT(INDIRECT("数出表_Excel!A"&amp;BY8+4),2)="博多",LEFT(INDIRECT("数出表_Excel!A"&amp;BY8+3),2)=LEFT(INDIRECT("数出表_Excel!A"&amp;BY8+5),2)),
BY8+8,
BY8+6),
BY8+4),
IF(LEFT(CD8,3)="奈良屋",
IF(LEFT(INDIRECT("数出表_Excel!A"&amp;BY8+2),3)="奈良屋",
IF(LEFT(INDIRECT("数出表_Excel!A"&amp;BY8+4),3)="奈良屋",
BY8+6,
BY8+4),
BY8+2),
BY8+2)))</f>
        <v>133</v>
      </c>
      <c r="CF8" s="81">
        <f t="array" aca="1" ref="CF8" ca="1">GetResult(CE9)</f>
        <v>133</v>
      </c>
      <c r="CG8" s="191" t="str">
        <f ca="1">IF(CG9&lt;&gt;"",
IF(LEFT(CK8,2)="博多",
LEFT(CK8,FIND("週",CK8)-1),
CK8),"")</f>
        <v/>
      </c>
      <c r="CH8" s="192"/>
      <c r="CI8" s="192"/>
      <c r="CJ8" s="192"/>
      <c r="CK8" s="95">
        <f t="array" aca="1" ref="CK8" ca="1">INDIRECT("数出表_Excel!A"&amp;CF8)</f>
        <v>0</v>
      </c>
      <c r="CL8" s="80"/>
      <c r="CM8" s="80">
        <f t="array" aca="1" ref="CM8" ca="1">IF(AND(CS1&lt;&gt;"社食",CZ1="社食"),CU1,
IF(AND(LEFT(CZ1,2)="博多",LEFT(INDIRECT("数出表_Excel!A"&amp;CU1-1),2)=LEFT(INDIRECT("数出表_Excel!A"&amp;CU1+1),2)),
IF(AND(LEFT(INDIRECT("数出表_Excel!A"&amp;CU1+2),2)="博多",LEFT(INDIRECT("数出表_Excel!A"&amp;CU1+1),2)=LEFT(INDIRECT("数出表_Excel!A"&amp;CU1+3),2)),
IF(AND(LEFT(INDIRECT("数出表_Excel!A"&amp;CU1+4),2)="博多",LEFT(INDIRECT("数出表_Excel!A"&amp;CU1+3),2)=LEFT(INDIRECT("数出表_Excel!A"&amp;CU1+5),2)),
CU1+8,
CU1+6),
CU1+4),
IF(LEFT(CZ1,3)="奈良屋",
IF(LEFT(INDIRECT("数出表_Excel!A"&amp;CU1+2),3)="奈良屋",
IF(LEFT(INDIRECT("数出表_Excel!A"&amp;CU1+4),3)="奈良屋",
CU1+6,
CU1+4),
CU1+2),
CU1+2)))</f>
        <v>155</v>
      </c>
      <c r="CN8" s="81">
        <f t="array" aca="1" ref="CN8" ca="1">GetResult(CM9)</f>
        <v>155</v>
      </c>
      <c r="CO8" s="191" t="str">
        <f ca="1">IF(CO9&lt;&gt;"",
IF(LEFT(CS8,2)="博多",
LEFT(CS8,FIND("週",CS8)-1),
CS8),"")</f>
        <v/>
      </c>
      <c r="CP8" s="192"/>
      <c r="CQ8" s="192"/>
      <c r="CR8" s="192"/>
      <c r="CS8" s="99">
        <f t="array" aca="1" ref="CS8" ca="1">INDIRECT("数出表_Excel!A"&amp;CN8)</f>
        <v>0</v>
      </c>
      <c r="CT8" s="80">
        <f t="array" aca="1" ref="CT8" ca="1">IF(AND(CZ1&lt;&gt;"社食",CS8="社食"),CN8,
IF(AND(LEFT(CS8,2)="博多",LEFT(INDIRECT("数出表_Excel!A"&amp;CN8-1),2)=LEFT(INDIRECT("数出表_Excel!A"&amp;CN8+1),2)),
IF(AND(LEFT(INDIRECT("数出表_Excel!A"&amp;CN8+2),2)="博多",LEFT(INDIRECT("数出表_Excel!A"&amp;CN8+1),2)=LEFT(INDIRECT("数出表_Excel!A"&amp;CN8+3),2)),
IF(AND(LEFT(INDIRECT("数出表_Excel!A"&amp;CN8+4),2)="博多",LEFT(INDIRECT("数出表_Excel!A"&amp;CN8+3),2)=LEFT(INDIRECT("数出表_Excel!A"&amp;CN8+5),2)),
CN8+8,
CN8+6),
CN8+4),
IF(LEFT(CS8,3)="奈良屋",
IF(LEFT(INDIRECT("数出表_Excel!A"&amp;CN8+2),3)="奈良屋",
IF(LEFT(INDIRECT("数出表_Excel!A"&amp;CN8+4),3)="奈良屋",
CN8+6,
CN8+4),
CN8+2),
CN8+2)))</f>
        <v>157</v>
      </c>
      <c r="CU8" s="81">
        <f t="array" aca="1" ref="CU8" ca="1">GetResult(CT9)</f>
        <v>157</v>
      </c>
      <c r="CV8" s="191" t="str">
        <f ca="1">IF(CV9&lt;&gt;"",
IF(LEFT(CZ8,2)="博多",
LEFT(CZ8,FIND("週",CZ8)-1),
CZ8),"")</f>
        <v/>
      </c>
      <c r="CW8" s="192"/>
      <c r="CX8" s="192"/>
      <c r="CY8" s="192"/>
      <c r="CZ8" s="95">
        <f t="array" aca="1" ref="CZ8" ca="1">INDIRECT("数出表_Excel!A"&amp;CU8)</f>
        <v>0</v>
      </c>
      <c r="DA8" s="80"/>
      <c r="DB8" s="80">
        <f t="array" aca="1" ref="DB8" ca="1">IF(AND(DH1&lt;&gt;"社食",DO1="社食"),DJ1,
IF(AND(LEFT(DO1,2)="博多",LEFT(INDIRECT("数出表_Excel!A"&amp;DJ1-1),2)=LEFT(INDIRECT("数出表_Excel!A"&amp;DJ1+1),2)),
IF(AND(LEFT(INDIRECT("数出表_Excel!A"&amp;DJ1+2),2)="博多",LEFT(INDIRECT("数出表_Excel!A"&amp;DJ1+1),2)=LEFT(INDIRECT("数出表_Excel!A"&amp;DJ1+3),2)),
IF(AND(LEFT(INDIRECT("数出表_Excel!A"&amp;DJ1+4),2)="博多",LEFT(INDIRECT("数出表_Excel!A"&amp;DJ1+3),2)=LEFT(INDIRECT("数出表_Excel!A"&amp;DJ1+5),2)),
DJ1+8,
DJ1+6),
DJ1+4),
IF(LEFT(DO1,3)="奈良屋",
IF(LEFT(INDIRECT("数出表_Excel!A"&amp;DJ1+2),3)="奈良屋",
IF(LEFT(INDIRECT("数出表_Excel!A"&amp;DJ1+4),3)="奈良屋",
DJ1+6,
DJ1+4),
DJ1+2),
DJ1+2)))</f>
        <v>179</v>
      </c>
      <c r="DC8" s="81">
        <f t="array" aca="1" ref="DC8" ca="1">GetResult(DB9)</f>
        <v>179</v>
      </c>
      <c r="DD8" s="191" t="str">
        <f ca="1">IF(DD9&lt;&gt;"",
IF(LEFT(DH8,2)="博多",
LEFT(DH8,FIND("週",DH8)-1),
DH8),"")</f>
        <v/>
      </c>
      <c r="DE8" s="192"/>
      <c r="DF8" s="192"/>
      <c r="DG8" s="192"/>
      <c r="DH8" s="99">
        <f t="array" aca="1" ref="DH8" ca="1">INDIRECT("数出表_Excel!A"&amp;DC8)</f>
        <v>0</v>
      </c>
      <c r="DI8" s="80">
        <f t="array" aca="1" ref="DI8" ca="1">IF(AND(DO1&lt;&gt;"社食",DH8="社食"),DC8,
IF(AND(LEFT(DH8,2)="博多",LEFT(INDIRECT("数出表_Excel!A"&amp;DC8-1),2)=LEFT(INDIRECT("数出表_Excel!A"&amp;DC8+1),2)),
IF(AND(LEFT(INDIRECT("数出表_Excel!A"&amp;DC8+2),2)="博多",LEFT(INDIRECT("数出表_Excel!A"&amp;DC8+1),2)=LEFT(INDIRECT("数出表_Excel!A"&amp;DC8+3),2)),
IF(AND(LEFT(INDIRECT("数出表_Excel!A"&amp;DC8+4),2)="博多",LEFT(INDIRECT("数出表_Excel!A"&amp;DC8+3),2)=LEFT(INDIRECT("数出表_Excel!A"&amp;DC8+5),2)),
DC8+8,
DC8+6),
DC8+4),
IF(LEFT(DH8,3)="奈良屋",
IF(LEFT(INDIRECT("数出表_Excel!A"&amp;DC8+2),3)="奈良屋",
IF(LEFT(INDIRECT("数出表_Excel!A"&amp;DC8+4),3)="奈良屋",
DC8+6,
DC8+4),
DC8+2),
DC8+2)))</f>
        <v>181</v>
      </c>
      <c r="DJ8" s="81">
        <f t="array" aca="1" ref="DJ8" ca="1">GetResult(DI9)</f>
        <v>181</v>
      </c>
      <c r="DK8" s="191" t="str">
        <f ca="1">IF(DK9&lt;&gt;"",
IF(LEFT(DO8,2)="博多",
LEFT(DO8,FIND("週",DO8)-1),
DO8),"")</f>
        <v/>
      </c>
      <c r="DL8" s="192"/>
      <c r="DM8" s="192"/>
      <c r="DN8" s="192"/>
      <c r="DO8" s="95">
        <f t="array" aca="1" ref="DO8" ca="1">INDIRECT("数出表_Excel!A"&amp;DJ8)</f>
        <v>0</v>
      </c>
      <c r="DP8" s="80"/>
      <c r="DQ8" s="80">
        <f t="array" aca="1" ref="DQ8" ca="1">IF(AND(DW1&lt;&gt;"社食",ED1="社食"),DY1,
IF(AND(LEFT(ED1,2)="博多",LEFT(INDIRECT("数出表_Excel!A"&amp;DY1-1),2)=LEFT(INDIRECT("数出表_Excel!A"&amp;DY1+1),2)),
IF(AND(LEFT(INDIRECT("数出表_Excel!A"&amp;DY1+2),2)="博多",LEFT(INDIRECT("数出表_Excel!A"&amp;DY1+1),2)=LEFT(INDIRECT("数出表_Excel!A"&amp;DY1+3),2)),
IF(AND(LEFT(INDIRECT("数出表_Excel!A"&amp;DY1+4),2)="博多",LEFT(INDIRECT("数出表_Excel!A"&amp;DY1+3),2)=LEFT(INDIRECT("数出表_Excel!A"&amp;DY1+5),2)),
DY1+8,
DY1+6),
DY1+4),
IF(LEFT(ED1,3)="奈良屋",
IF(LEFT(INDIRECT("数出表_Excel!A"&amp;DY1+2),3)="奈良屋",
IF(LEFT(INDIRECT("数出表_Excel!A"&amp;DY1+4),3)="奈良屋",
DY1+6,
DY1+4),
DY1+2),
DY1+2)))</f>
        <v>203</v>
      </c>
      <c r="DR8" s="81">
        <f t="array" aca="1" ref="DR8" ca="1">GetResult(DQ9)</f>
        <v>203</v>
      </c>
      <c r="DS8" s="191" t="str">
        <f ca="1">IF(DS9&lt;&gt;"",
IF(LEFT(DW8,2)="博多",
LEFT(DW8,FIND("週",DW8)-1),
DW8),"")</f>
        <v/>
      </c>
      <c r="DT8" s="192"/>
      <c r="DU8" s="192"/>
      <c r="DV8" s="192"/>
      <c r="DW8" s="99">
        <f t="array" aca="1" ref="DW8" ca="1">INDIRECT("数出表_Excel!A"&amp;DR8)</f>
        <v>0</v>
      </c>
      <c r="DX8" s="80">
        <f t="array" aca="1" ref="DX8" ca="1">IF(AND(ED1&lt;&gt;"社食",DW8="社食"),DR8,
IF(AND(LEFT(DW8,2)="博多",LEFT(INDIRECT("数出表_Excel!A"&amp;DR8-1),2)=LEFT(INDIRECT("数出表_Excel!A"&amp;DR8+1),2)),
IF(AND(LEFT(INDIRECT("数出表_Excel!A"&amp;DR8+2),2)="博多",LEFT(INDIRECT("数出表_Excel!A"&amp;DR8+1),2)=LEFT(INDIRECT("数出表_Excel!A"&amp;DR8+3),2)),
IF(AND(LEFT(INDIRECT("数出表_Excel!A"&amp;DR8+4),2)="博多",LEFT(INDIRECT("数出表_Excel!A"&amp;DR8+3),2)=LEFT(INDIRECT("数出表_Excel!A"&amp;DR8+5),2)),
DR8+8,
DR8+6),
DR8+4),
IF(LEFT(DW8,3)="奈良屋",
IF(LEFT(INDIRECT("数出表_Excel!A"&amp;DR8+2),3)="奈良屋",
IF(LEFT(INDIRECT("数出表_Excel!A"&amp;DR8+4),3)="奈良屋",
DR8+6,
DR8+4),
DR8+2),
DR8+2)))</f>
        <v>205</v>
      </c>
      <c r="DY8" s="81">
        <f t="array" aca="1" ref="DY8" ca="1">GetResult(DX9)</f>
        <v>205</v>
      </c>
      <c r="DZ8" s="191" t="str">
        <f ca="1">IF(DZ9&lt;&gt;"",
IF(LEFT(ED8,2)="博多",
LEFT(ED8,FIND("週",ED8)-1),
ED8),"")</f>
        <v/>
      </c>
      <c r="EA8" s="192"/>
      <c r="EB8" s="192"/>
      <c r="EC8" s="192"/>
      <c r="ED8" s="95">
        <f t="array" aca="1" ref="ED8" ca="1">INDIRECT("数出表_Excel!A"&amp;DY8)</f>
        <v>0</v>
      </c>
      <c r="EE8" s="80"/>
      <c r="EF8" s="80">
        <f t="array" aca="1" ref="EF8" ca="1">IF(AND(EL1&lt;&gt;"社食",ES1="社食"),EN1,
IF(AND(LEFT(ES1,2)="博多",LEFT(INDIRECT("数出表_Excel!A"&amp;EN1-1),2)=LEFT(INDIRECT("数出表_Excel!A"&amp;EN1+1),2)),
IF(AND(LEFT(INDIRECT("数出表_Excel!A"&amp;EN1+2),2)="博多",LEFT(INDIRECT("数出表_Excel!A"&amp;EN1+1),2)=LEFT(INDIRECT("数出表_Excel!A"&amp;EN1+3),2)),
IF(AND(LEFT(INDIRECT("数出表_Excel!A"&amp;EN1+4),2)="博多",LEFT(INDIRECT("数出表_Excel!A"&amp;EN1+3),2)=LEFT(INDIRECT("数出表_Excel!A"&amp;EN1+5),2)),
EN1+8,
EN1+6),
EN1+4),
IF(LEFT(ES1,3)="奈良屋",
IF(LEFT(INDIRECT("数出表_Excel!A"&amp;EN1+2),3)="奈良屋",
IF(LEFT(INDIRECT("数出表_Excel!A"&amp;EN1+4),3)="奈良屋",
EN1+6,
EN1+4),
EN1+2),
EN1+2)))</f>
        <v>227</v>
      </c>
      <c r="EG8" s="81">
        <f t="array" aca="1" ref="EG8" ca="1">GetResult(EF9)</f>
        <v>227</v>
      </c>
      <c r="EH8" s="191" t="str">
        <f ca="1">IF(EH9&lt;&gt;"",
IF(LEFT(EL8,2)="博多",
LEFT(EL8,FIND("週",EL8)-1),
EL8),"")</f>
        <v/>
      </c>
      <c r="EI8" s="192"/>
      <c r="EJ8" s="192"/>
      <c r="EK8" s="192"/>
      <c r="EL8" s="99">
        <f t="array" aca="1" ref="EL8" ca="1">INDIRECT("数出表_Excel!A"&amp;EG8)</f>
        <v>0</v>
      </c>
      <c r="EM8" s="80">
        <f t="array" aca="1" ref="EM8" ca="1">IF(AND(ES1&lt;&gt;"社食",EL8="社食"),EG8,
IF(AND(LEFT(EL8,2)="博多",LEFT(INDIRECT("数出表_Excel!A"&amp;EG8-1),2)=LEFT(INDIRECT("数出表_Excel!A"&amp;EG8+1),2)),
IF(AND(LEFT(INDIRECT("数出表_Excel!A"&amp;EG8+2),2)="博多",LEFT(INDIRECT("数出表_Excel!A"&amp;EG8+1),2)=LEFT(INDIRECT("数出表_Excel!A"&amp;EG8+3),2)),
IF(AND(LEFT(INDIRECT("数出表_Excel!A"&amp;EG8+4),2)="博多",LEFT(INDIRECT("数出表_Excel!A"&amp;EG8+3),2)=LEFT(INDIRECT("数出表_Excel!A"&amp;EG8+5),2)),
EG8+8,
EG8+6),
EG8+4),
IF(LEFT(EL8,3)="奈良屋",
IF(LEFT(INDIRECT("数出表_Excel!A"&amp;EG8+2),3)="奈良屋",
IF(LEFT(INDIRECT("数出表_Excel!A"&amp;EG8+4),3)="奈良屋",
EG8+6,
EG8+4),
EG8+2),
EG8+2)))</f>
        <v>229</v>
      </c>
      <c r="EN8" s="81">
        <f t="array" aca="1" ref="EN8" ca="1">GetResult(EM9)</f>
        <v>229</v>
      </c>
      <c r="EO8" s="191" t="str">
        <f ca="1">IF(EO9&lt;&gt;"",
IF(LEFT(ES8,2)="博多",
LEFT(ES8,FIND("週",ES8)-1),
ES8),"")</f>
        <v/>
      </c>
      <c r="EP8" s="192"/>
      <c r="EQ8" s="192"/>
      <c r="ER8" s="192"/>
      <c r="ES8" s="95">
        <f t="array" aca="1" ref="ES8" ca="1">INDIRECT("数出表_Excel!A"&amp;EN8)</f>
        <v>0</v>
      </c>
      <c r="ET8" s="110"/>
      <c r="EU8" s="82">
        <f t="shared" ref="EU8:EU24" si="1">EU4+7</f>
        <v>49</v>
      </c>
      <c r="EV8" s="82" t="str">
        <f t="array" aca="1" ref="EV8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LEN(SUBSTITUTE(_xlfn.FORMULATEXT(EV$3),"=","")))+$EU8)</f>
        <v/>
      </c>
      <c r="EW8" s="82" t="str">
        <f t="array" aca="1" ref="EW8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LEN(SUBSTITUTE(_xlfn.FORMULATEXT(EW$3),"=","")))+$EU8)</f>
        <v/>
      </c>
      <c r="EX8" s="82" t="str">
        <f t="array" aca="1" ref="EX8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LEN(SUBSTITUTE(_xlfn.FORMULATEXT(EX$3),"=","")))+$EU8)</f>
        <v/>
      </c>
      <c r="EY8" s="82" t="str">
        <f t="array" aca="1" ref="EY8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LEN(SUBSTITUTE(_xlfn.FORMULATEXT(EY$3),"=","")))+$EU8)</f>
        <v/>
      </c>
      <c r="EZ8" s="82" t="str">
        <f t="array" aca="1" ref="EZ8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LEN(SUBSTITUTE(_xlfn.FORMULATEXT(EZ$3),"=","")))+$EU8)</f>
        <v/>
      </c>
      <c r="FA8" s="82" t="str">
        <f t="array" aca="1" ref="FA8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LEN(SUBSTITUTE(_xlfn.FORMULATEXT(FA$3),"=","")))+$EU8)</f>
        <v/>
      </c>
      <c r="FB8" s="82" t="str">
        <f t="array" aca="1" ref="FB8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LEN(SUBSTITUTE(_xlfn.FORMULATEXT(FB$3),"=","")))+$EU8)</f>
        <v/>
      </c>
      <c r="FC8" s="82" t="str">
        <f t="array" aca="1" ref="FC8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LEN(SUBSTITUTE(_xlfn.FORMULATEXT(FC$3),"=","")))+$EU8)</f>
        <v/>
      </c>
      <c r="FD8" s="82" t="str">
        <f t="array" aca="1" ref="FD8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LEN(SUBSTITUTE(_xlfn.FORMULATEXT(FD$3),"=","")))+$EU8)</f>
        <v/>
      </c>
      <c r="FE8" s="82" t="str">
        <f t="array" aca="1" ref="FE8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LEN(SUBSTITUTE(_xlfn.FORMULATEXT(FE$3),"=","")))+$EU8)</f>
        <v/>
      </c>
      <c r="FF8" s="82" t="str">
        <f t="array" aca="1" ref="FF8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LEN(SUBSTITUTE(_xlfn.FORMULATEXT(FF$3),"=","")))+$EU8)</f>
        <v/>
      </c>
      <c r="FG8" s="82">
        <f t="shared" ca="1" si="0"/>
        <v>0</v>
      </c>
      <c r="FH8" s="82" t="b">
        <f t="array" aca="1" ref="FH8" ca="1">SUMPRODUCT((LEN(EV8:FF8)&gt;0)*1)&gt;0</f>
        <v>0</v>
      </c>
      <c r="FI8" s="82">
        <f t="array" aca="1" ref="FI8" ca="1">IFERROR(SMALL(IF(FG$1:FG$173&lt;&gt;0,FG$1:FG$173),ROW(A8)),"")</f>
        <v>166</v>
      </c>
      <c r="FJ8" s="82" t="str">
        <f t="array" aca="1" ref="FJ8" ca="1">IF($FI8&lt;&gt;"",
INDIRECT(""&amp;IF(COLUMN(EV8)&lt;=26,CHAR(COLUMN(EV8)+64),CHAR(INT((COLUMN(EV8)-1)/26)+64)&amp;CHAR(MOD(COLUMN(EV8)-1,26)+65))&amp;$FI8&amp;""),"")</f>
        <v>社食</v>
      </c>
      <c r="FK8" s="82" t="str">
        <f t="array" aca="1" ref="FK8" ca="1">IF($FI8&lt;&gt;"",
INDIRECT(""&amp;IF(COLUMN(EW8)&lt;=26,CHAR(COLUMN(EW8)+64),CHAR(INT((COLUMN(EW8)-1)/26)+64)&amp;CHAR(MOD(COLUMN(EW8)-1,26)+65))&amp;$FI8&amp;""),"")</f>
        <v/>
      </c>
      <c r="FL8" s="82" t="str">
        <f t="array" aca="1" ref="FL8" ca="1">IF($FI8&lt;&gt;"",
INDIRECT(""&amp;IF(COLUMN(EX8)&lt;=26,CHAR(COLUMN(EX8)+64),CHAR(INT((COLUMN(EX8)-1)/26)+64)&amp;CHAR(MOD(COLUMN(EX8)-1,26)+65))&amp;$FI8&amp;""),"")</f>
        <v/>
      </c>
      <c r="FM8" s="82" t="str">
        <f t="array" aca="1" ref="FM8" ca="1">IF($FI8&lt;&gt;"",
IF(FL8="",
IF(INDIRECT("EY"&amp;$FI8&amp;"")&lt;&gt;"",
INDIRECT("EY"&amp;$FI8&amp;"")&amp;"箱"
&amp;INDIRECT("EZ"&amp;$FI8&amp;""),""),""),"")</f>
        <v/>
      </c>
      <c r="FN8" s="82" t="str">
        <f t="array" aca="1" ref="FN8" ca="1">IF($FI8&lt;&gt;"",
INDIRECT(""&amp;IF(COLUMN(FA8)&lt;=26,CHAR(COLUMN(FA8)+64),CHAR(INT((COLUMN(FA8)-1)/26)+64)&amp;CHAR(MOD(COLUMN(FA8)-1,26)+65))&amp;$FI8&amp;""),"")</f>
        <v/>
      </c>
      <c r="FO8" s="82" t="e">
        <f t="array" aca="1" ref="FO8" ca="1">IF($FI8&lt;&gt;"",
INDIRECT(""&amp;IF(COLUMN(FB8)&lt;=26,CHAR(COLUMN(FB8)+64),CHAR(INT((COLUMN(FB8)-1)/26)+64)&amp;CHAR(MOD(COLUMN(FB8)-1,26)+65))&amp;$FI8&amp;""),"")</f>
        <v>#N/A</v>
      </c>
      <c r="FP8" s="82" t="e">
        <f t="array" aca="1" ref="FP8" ca="1">IF($FI8&lt;&gt;"",
INDIRECT(""&amp;IF(COLUMN(FC8)&lt;=26,CHAR(COLUMN(FC8)+64),CHAR(INT((COLUMN(FC8)-1)/26)+64)&amp;CHAR(MOD(COLUMN(FC8)-1,26)+65))&amp;$FI8&amp;""),"")</f>
        <v>#N/A</v>
      </c>
      <c r="FQ8" s="82">
        <f t="array" aca="1" ref="FQ8" ca="1">IF($FI8&lt;&gt;"",
INDIRECT(""&amp;IF(COLUMN(FD8)&lt;=26,CHAR(COLUMN(FD8)+64),CHAR(INT((COLUMN(FD8)-1)/26)+64)&amp;CHAR(MOD(COLUMN(FD8)-1,26)+65))&amp;$FI8&amp;""),"")</f>
        <v>0</v>
      </c>
      <c r="FR8" s="82" t="str">
        <f t="array" aca="1" ref="FR8" ca="1">IF($FI8&lt;&gt;"",
INDIRECT(""&amp;IF(COLUMN(FE8)&lt;=26,CHAR(COLUMN(FE8)+64),CHAR(INT((COLUMN(FE8)-1)/26)+64)&amp;CHAR(MOD(COLUMN(FE8)-1,26)+65))&amp;$FI8&amp;""),"")</f>
        <v/>
      </c>
      <c r="FS8" s="82">
        <f t="array" aca="1" ref="FS8" ca="1">IF($FI8&lt;&gt;"",
INDIRECT(""&amp;IF(COLUMN(FF8)&lt;=26,CHAR(COLUMN(FF8)+64),CHAR(INT((COLUMN(FF8)-1)/26)+64)&amp;CHAR(MOD(COLUMN(FF8)-1,26)+65))&amp;$FI8&amp;""),"")</f>
        <v>0</v>
      </c>
    </row>
    <row r="9" spans="1:175" s="82" customFormat="1" ht="18" customHeight="1" x14ac:dyDescent="0.55000000000000004">
      <c r="A9" s="80">
        <f t="array" aca="1" ref="A9" ca="1">IF(INDIRECT("数出表_Excel!A"&amp;GetResult(A8))="社食",
GetResult(A8)+2,GetResult(A8))</f>
        <v>11</v>
      </c>
      <c r="B9" s="85" t="str">
        <f t="array" aca="1" ref="B9" ca="1">IF(C8&lt;&gt;"",MATCH(TRUE,INDIRECT("数出表_Excel!B"&amp;MATCH(G8,数出表_Excel!$A:$A,0)-1&amp;":U"&amp;MATCH(G8,数出表_Excel!$A:$A,0)-1&amp;"")&lt;&gt;"",0)+1,"")</f>
        <v/>
      </c>
      <c r="C9" s="62" t="str">
        <f t="array" aca="1" ref="C9" ca="1">IF(COUNTIF(G8,"*合計*"),"",
IF(IFERROR(INDIRECT("数出表_Excel!" &amp;
CHAR(MATCH(TRUE,
ISNUMBER(--INDIRECT("数出表_Excel!B"&amp;MATCH(G8,数出表_Excel!$A:$A,0)-1&amp;":U"&amp;MATCH(G8,数出表_Excel!$A:$A,0)-1&amp;"")),0)+65) &amp; "3"),0)=0,"",
IFERROR(INDIRECT("数出表_Excel!" &amp;
CHAR(MATCH(TRUE,
ISNUMBER(--INDIRECT("数出表_Excel!B"&amp;MATCH(G8,数出表_Excel!$A:$A,0)-1&amp;":U"&amp;MATCH(G8,数出表_Excel!$A:$A,0)-1&amp;"")),0)+65) &amp; "3"),"")))</f>
        <v/>
      </c>
      <c r="D9" s="80"/>
      <c r="E9" s="86" t="str">
        <f t="array" aca="1" ref="E9" ca="1">IF(F9&lt;&gt;"","",
IF(COUNTIF(C8,"*雙葉*"),"",
IF(C8&lt;&gt;"",
IFERROR(
INDEX('数出表_Excel（アレルギー入力）'!$4:$4,
 1,
MATCH(TRUE,INDIRECT("'数出表_Excel（アレルギー入力）'!B"&amp;MATCH(G8,'数出表_Excel（アレルギー入力）'!$A:$A,0)-1&amp;":U"&amp;MATCH(G8,'数出表_Excel（アレルギー入力）'!$A:$A,0)-1&amp;"")&lt;&gt;"",0)+1
),
 "")
&amp;IFERROR(
INDEX('数出表_Excel（アレルギー入力）'!$5:$5,
 1,
MATCH(TRUE,INDIRECT("'数出表_Excel（アレルギー入力）'!B"&amp;MATCH(G8,'数出表_Excel（アレルギー入力）'!$A:$A,0)-1&amp;":U"&amp;MATCH(G8,'数出表_Excel（アレルギー入力）'!$A:$A,0)-1&amp;"")&lt;&gt;"",0)+1),
 ""),"")))</f>
        <v/>
      </c>
      <c r="F9" s="87" t="str">
        <f t="array" aca="1" ref="F9" ca="1">IF(C9&lt;&gt;"",
IF(COUNTIF(C8,"*雙葉*"),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VLOOKUP('盛付札（関数）'!C9,商品マスタ一覧!$D:$J,7,FALSE))),0)),
IF(MATCH(TRUE,
ISNUMBER(--INDIRECT("数出表_Excel!B"&amp;MATCH(G8,数出表_Excel!$A:$A,0)-1&amp;":U"&amp;MATCH(G8,数出表_Excel!$A:$A,0)-1&amp;"")),0)&gt;10,
IF(C9&lt;&gt;"",
IF(IF(COUNTIF('盛付札（関数）'!C9,"*キャラ*"),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VLOOKUP('盛付札（関数）'!C9,商品マスタ一覧!$D:$J,7,FALSE)))=0,"",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VLOOKUP('盛付札（関数）'!C9,商品マスタ一覧!$D:$J,7,FALSE))),0))),""),"")),"")</f>
        <v/>
      </c>
      <c r="G9" s="100" t="str">
        <f ca="1">IF(F9&lt;&gt;"",IF(VALUE(IF(F14&lt;&gt;"",C11-F14,C11))&gt;VALUE(IF(COUNTIF('盛付札（関数）'!C9,"*キャラ*"),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
"+"&amp;IF(F14&lt;&gt;"",C11-F14,C11)-IF(COUNTIF('盛付札（関数）'!C9,"*キャラ*"),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VLOOKUP('盛付札（関数）'!C9,商品マスタ一覧!$D:$J,7,FALSE)))*F9,
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VLOOKUP('盛付札（関数）'!C9,商品マスタ一覧!$D:$J,7,FALSE)))*F9),"")</f>
        <v/>
      </c>
      <c r="H9" s="80">
        <f t="array" aca="1" ref="H9" ca="1">IF(INDIRECT("数出表_Excel!A"&amp;GetResult(H8))="社食",
GetResult(H8)+2,GetResult(H8))</f>
        <v>13</v>
      </c>
      <c r="I9" s="85" t="str">
        <f t="array" aca="1" ref="I9" ca="1">IF(J8&lt;&gt;"",MATCH(TRUE,INDIRECT("数出表_Excel!B"&amp;MATCH(N8,数出表_Excel!$A:$A,0)-1&amp;":U"&amp;MATCH(N8,数出表_Excel!$A:$A,0)-1&amp;"")&lt;&gt;"",0)+1,"")</f>
        <v/>
      </c>
      <c r="J9" s="62" t="str">
        <f t="array" aca="1" ref="J9" ca="1">IF(COUNTIF(N8,"*合計*"),"",
IF(IFERROR(INDIRECT("数出表_Excel!" &amp;
CHAR(MATCH(TRUE,
ISNUMBER(--INDIRECT("数出表_Excel!B"&amp;MATCH(N8,数出表_Excel!$A:$A,0)-1&amp;":U"&amp;MATCH(N8,数出表_Excel!$A:$A,0)-1&amp;"")),0)+65) &amp; "3"),0)=0,"",
IFERROR(INDIRECT("数出表_Excel!" &amp;
CHAR(MATCH(TRUE,
ISNUMBER(--INDIRECT("数出表_Excel!B"&amp;MATCH(N8,数出表_Excel!$A:$A,0)-1&amp;":U"&amp;MATCH(N8,数出表_Excel!$A:$A,0)-1&amp;"")),0)+65) &amp; "3"),"")))</f>
        <v/>
      </c>
      <c r="K9" s="80"/>
      <c r="L9" s="86" t="str">
        <f t="array" aca="1" ref="L9" ca="1">IF(M9&lt;&gt;"","",
IF(COUNTIF(J8,"*雙葉*"),"",
IF(J8&lt;&gt;"",
IFERROR(
INDEX('数出表_Excel（アレルギー入力）'!$4:$4,
 1,
MATCH(TRUE,INDIRECT("'数出表_Excel（アレルギー入力）'!B"&amp;MATCH(N8,'数出表_Excel（アレルギー入力）'!$A:$A,0)-1&amp;":U"&amp;MATCH(N8,'数出表_Excel（アレルギー入力）'!$A:$A,0)-1&amp;"")&lt;&gt;"",0)+1
),
 "")
&amp;IFERROR(
INDEX('数出表_Excel（アレルギー入力）'!$5:$5,
 1,
MATCH(TRUE,INDIRECT("'数出表_Excel（アレルギー入力）'!B"&amp;MATCH(N8,'数出表_Excel（アレルギー入力）'!$A:$A,0)-1&amp;":U"&amp;MATCH(N8,'数出表_Excel（アレルギー入力）'!$A:$A,0)-1&amp;"")&lt;&gt;"",0)+1),
 ""),"")))</f>
        <v/>
      </c>
      <c r="M9" s="87" t="str">
        <f t="array" aca="1" ref="M9" ca="1">IF(J9&lt;&gt;"",
IF(COUNTIF(J8,"*雙葉*"),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VLOOKUP('盛付札（関数）'!J9,商品マスタ一覧!$D:$J,7,FALSE))),0)),
IF(MATCH(TRUE,
ISNUMBER(--INDIRECT("数出表_Excel!B"&amp;MATCH(N8,数出表_Excel!$A:$A,0)-1&amp;":U"&amp;MATCH(N8,数出表_Excel!$A:$A,0)-1&amp;"")),0)&gt;10,
IF(J9&lt;&gt;"",
IF(IF(COUNTIF('盛付札（関数）'!J9,"*キャラ*"),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VLOOKUP('盛付札（関数）'!J9,商品マスタ一覧!$D:$J,7,FALSE)))=0,"",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VLOOKUP('盛付札（関数）'!J9,商品マスタ一覧!$D:$J,7,FALSE))),0))),""),"")),"")</f>
        <v/>
      </c>
      <c r="N9" s="96" t="str">
        <f ca="1">IF(M9&lt;&gt;"",IF(VALUE(IF(M14&lt;&gt;"",J11-M14,J11))&gt;VALUE(IF(COUNTIF('盛付札（関数）'!J9,"*キャラ*"),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
"+"&amp;IF(M14&lt;&gt;"",J11-M14,J11)-IF(COUNTIF('盛付札（関数）'!J9,"*キャラ*"),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VLOOKUP('盛付札（関数）'!J9,商品マスタ一覧!$D:$J,7,FALSE)))*M9,
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VLOOKUP('盛付札（関数）'!J9,商品マスタ一覧!$D:$J,7,FALSE)))*M9),"")</f>
        <v/>
      </c>
      <c r="O9" s="80"/>
      <c r="P9" s="80">
        <f t="array" aca="1" ref="P9" ca="1">IF(INDIRECT("数出表_Excel!A"&amp;GetResult(P8))="社食",
GetResult(P8)+2,GetResult(P8))</f>
        <v>35</v>
      </c>
      <c r="Q9" s="85" t="str">
        <f t="array" aca="1" ref="Q9" ca="1">IF(R8&lt;&gt;"",MATCH(TRUE,INDIRECT("数出表_Excel!B"&amp;MATCH(V8,数出表_Excel!$A:$A,0)-1&amp;":U"&amp;MATCH(V8,数出表_Excel!$A:$A,0)-1&amp;"")&lt;&gt;"",0)+1,"")</f>
        <v/>
      </c>
      <c r="R9" s="62" t="str">
        <f t="array" aca="1" ref="R9" ca="1">IF(COUNTIF(V8,"*合計*"),"",
IF(IFERROR(INDIRECT("数出表_Excel!" &amp;
CHAR(MATCH(TRUE,
ISNUMBER(--INDIRECT("数出表_Excel!B"&amp;MATCH(V8,数出表_Excel!$A:$A,0)-1&amp;":U"&amp;MATCH(V8,数出表_Excel!$A:$A,0)-1&amp;"")),0)+65) &amp; "3"),0)=0,"",
IFERROR(INDIRECT("数出表_Excel!" &amp;
CHAR(MATCH(TRUE,
ISNUMBER(--INDIRECT("数出表_Excel!B"&amp;MATCH(V8,数出表_Excel!$A:$A,0)-1&amp;":U"&amp;MATCH(V8,数出表_Excel!$A:$A,0)-1&amp;"")),0)+65) &amp; "3"),"")))</f>
        <v/>
      </c>
      <c r="S9" s="80"/>
      <c r="T9" s="86" t="str">
        <f t="array" aca="1" ref="T9" ca="1">IF(U9&lt;&gt;"","",
IF(COUNTIF(R8,"*雙葉*"),"",
IF(R8&lt;&gt;"",
IFERROR(
INDEX('数出表_Excel（アレルギー入力）'!$4:$4,
 1,
MATCH(TRUE,INDIRECT("'数出表_Excel（アレルギー入力）'!B"&amp;MATCH(V8,'数出表_Excel（アレルギー入力）'!$A:$A,0)-1&amp;":U"&amp;MATCH(V8,'数出表_Excel（アレルギー入力）'!$A:$A,0)-1&amp;"")&lt;&gt;"",0)+1
),
 "")
&amp;IFERROR(
INDEX('数出表_Excel（アレルギー入力）'!$5:$5,
 1,
MATCH(TRUE,INDIRECT("'数出表_Excel（アレルギー入力）'!B"&amp;MATCH(V8,'数出表_Excel（アレルギー入力）'!$A:$A,0)-1&amp;":U"&amp;MATCH(V8,'数出表_Excel（アレルギー入力）'!$A:$A,0)-1&amp;"")&lt;&gt;"",0)+1),
 ""),"")))</f>
        <v/>
      </c>
      <c r="U9" s="87" t="str">
        <f t="array" aca="1" ref="U9" ca="1">IF(R9&lt;&gt;"",
IF(COUNTIF(R8,"*雙葉*"),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VLOOKUP('盛付札（関数）'!R9,商品マスタ一覧!$D:$J,7,FALSE))),0)),
IF(MATCH(TRUE,
ISNUMBER(--INDIRECT("数出表_Excel!B"&amp;MATCH(V8,数出表_Excel!$A:$A,0)-1&amp;":U"&amp;MATCH(V8,数出表_Excel!$A:$A,0)-1&amp;"")),0)&gt;10,
IF(R9&lt;&gt;"",
IF(IF(COUNTIF('盛付札（関数）'!R9,"*キャラ*"),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VLOOKUP('盛付札（関数）'!R9,商品マスタ一覧!$D:$J,7,FALSE)))=0,"",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VLOOKUP('盛付札（関数）'!R9,商品マスタ一覧!$D:$J,7,FALSE))),0))),""),"")),"")</f>
        <v/>
      </c>
      <c r="V9" s="100" t="str">
        <f ca="1">IF(U9&lt;&gt;"",IF(VALUE(IF(U14&lt;&gt;"",R11-U14,R11))&gt;VALUE(IF(COUNTIF('盛付札（関数）'!R9,"*キャラ*"),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
"+"&amp;IF(U14&lt;&gt;"",R11-U14,R11)-IF(COUNTIF('盛付札（関数）'!R9,"*キャラ*"),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VLOOKUP('盛付札（関数）'!R9,商品マスタ一覧!$D:$J,7,FALSE)))*U9,
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VLOOKUP('盛付札（関数）'!R9,商品マスタ一覧!$D:$J,7,FALSE)))*U9),"")</f>
        <v/>
      </c>
      <c r="W9" s="80">
        <f t="array" aca="1" ref="W9" ca="1">IF(INDIRECT("数出表_Excel!A"&amp;GetResult(W8))="社食",
GetResult(W8)+2,GetResult(W8))</f>
        <v>37</v>
      </c>
      <c r="X9" s="85" t="str">
        <f t="array" aca="1" ref="X9" ca="1">IF(Y8&lt;&gt;"",MATCH(TRUE,INDIRECT("数出表_Excel!B"&amp;MATCH(AC8,数出表_Excel!$A:$A,0)-1&amp;":U"&amp;MATCH(AC8,数出表_Excel!$A:$A,0)-1&amp;"")&lt;&gt;"",0)+1,"")</f>
        <v/>
      </c>
      <c r="Y9" s="62" t="str">
        <f t="array" aca="1" ref="Y9" ca="1">IF(COUNTIF(AC8,"*合計*"),"",
IF(IFERROR(INDIRECT("数出表_Excel!" &amp;
CHAR(MATCH(TRUE,
ISNUMBER(--INDIRECT("数出表_Excel!B"&amp;MATCH(AC8,数出表_Excel!$A:$A,0)-1&amp;":U"&amp;MATCH(AC8,数出表_Excel!$A:$A,0)-1&amp;"")),0)+65) &amp; "3"),0)=0,"",
IFERROR(INDIRECT("数出表_Excel!" &amp;
CHAR(MATCH(TRUE,
ISNUMBER(--INDIRECT("数出表_Excel!B"&amp;MATCH(AC8,数出表_Excel!$A:$A,0)-1&amp;":U"&amp;MATCH(AC8,数出表_Excel!$A:$A,0)-1&amp;"")),0)+65) &amp; "3"),"")))</f>
        <v/>
      </c>
      <c r="Z9" s="80"/>
      <c r="AA9" s="86" t="str">
        <f t="array" aca="1" ref="AA9" ca="1">IF(AB9&lt;&gt;"","",
IF(COUNTIF(Y8,"*雙葉*"),"",
IF(Y8&lt;&gt;"",
IFERROR(
INDEX('数出表_Excel（アレルギー入力）'!$4:$4,
 1,
MATCH(TRUE,INDIRECT("'数出表_Excel（アレルギー入力）'!B"&amp;MATCH(AC8,'数出表_Excel（アレルギー入力）'!$A:$A,0)-1&amp;":U"&amp;MATCH(AC8,'数出表_Excel（アレルギー入力）'!$A:$A,0)-1&amp;"")&lt;&gt;"",0)+1
),
 "")
&amp;IFERROR(
INDEX('数出表_Excel（アレルギー入力）'!$5:$5,
 1,
MATCH(TRUE,INDIRECT("'数出表_Excel（アレルギー入力）'!B"&amp;MATCH(AC8,'数出表_Excel（アレルギー入力）'!$A:$A,0)-1&amp;":U"&amp;MATCH(AC8,'数出表_Excel（アレルギー入力）'!$A:$A,0)-1&amp;"")&lt;&gt;"",0)+1),
 ""),"")))</f>
        <v/>
      </c>
      <c r="AB9" s="87" t="str">
        <f t="array" aca="1" ref="AB9" ca="1">IF(Y9&lt;&gt;"",
IF(COUNTIF(Y8,"*雙葉*"),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VLOOKUP('盛付札（関数）'!Y9,商品マスタ一覧!$D:$J,7,FALSE))),0)),
IF(MATCH(TRUE,
ISNUMBER(--INDIRECT("数出表_Excel!B"&amp;MATCH(AC8,数出表_Excel!$A:$A,0)-1&amp;":U"&amp;MATCH(AC8,数出表_Excel!$A:$A,0)-1&amp;"")),0)&gt;10,
IF(Y9&lt;&gt;"",
IF(IF(COUNTIF('盛付札（関数）'!Y9,"*キャラ*"),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VLOOKUP('盛付札（関数）'!Y9,商品マスタ一覧!$D:$J,7,FALSE)))=0,"",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VLOOKUP('盛付札（関数）'!Y9,商品マスタ一覧!$D:$J,7,FALSE))),0))),""),"")),"")</f>
        <v/>
      </c>
      <c r="AC9" s="96" t="str">
        <f ca="1">IF(AB9&lt;&gt;"",IF(VALUE(IF(AB14&lt;&gt;"",Y11-AB14,Y11))&gt;VALUE(IF(COUNTIF('盛付札（関数）'!Y9,"*キャラ*"),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
"+"&amp;IF(AB14&lt;&gt;"",Y11-AB14,Y11)-IF(COUNTIF('盛付札（関数）'!Y9,"*キャラ*"),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VLOOKUP('盛付札（関数）'!Y9,商品マスタ一覧!$D:$J,7,FALSE)))*AB9,
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VLOOKUP('盛付札（関数）'!Y9,商品マスタ一覧!$D:$J,7,FALSE)))*AB9),"")</f>
        <v/>
      </c>
      <c r="AD9" s="80"/>
      <c r="AE9" s="80">
        <f t="array" aca="1" ref="AE9" ca="1">IF(INDIRECT("数出表_Excel!A"&amp;GetResult(AE8))="社食",
GetResult(AE8)+2,GetResult(AE8))</f>
        <v>59</v>
      </c>
      <c r="AF9" s="85" t="str">
        <f t="array" aca="1" ref="AF9" ca="1">IF(AG8&lt;&gt;"",MATCH(TRUE,INDIRECT("数出表_Excel!B"&amp;MATCH(AK8,数出表_Excel!$A:$A,0)-1&amp;":U"&amp;MATCH(AK8,数出表_Excel!$A:$A,0)-1&amp;"")&lt;&gt;"",0)+1,"")</f>
        <v/>
      </c>
      <c r="AG9" s="62" t="str">
        <f t="array" aca="1" ref="AG9" ca="1">IF(COUNTIF(AK8,"*合計*"),"",
IF(IFERROR(INDIRECT("数出表_Excel!" &amp;
CHAR(MATCH(TRUE,
ISNUMBER(--INDIRECT("数出表_Excel!B"&amp;MATCH(AK8,数出表_Excel!$A:$A,0)-1&amp;":U"&amp;MATCH(AK8,数出表_Excel!$A:$A,0)-1&amp;"")),0)+65) &amp; "3"),0)=0,"",
IFERROR(INDIRECT("数出表_Excel!" &amp;
CHAR(MATCH(TRUE,
ISNUMBER(--INDIRECT("数出表_Excel!B"&amp;MATCH(AK8,数出表_Excel!$A:$A,0)-1&amp;":U"&amp;MATCH(AK8,数出表_Excel!$A:$A,0)-1&amp;"")),0)+65) &amp; "3"),"")))</f>
        <v/>
      </c>
      <c r="AH9" s="80"/>
      <c r="AI9" s="86" t="str">
        <f t="array" aca="1" ref="AI9" ca="1">IF(AJ9&lt;&gt;"","",
IF(COUNTIF(AG8,"*雙葉*"),"",
IF(AG8&lt;&gt;"",
IFERROR(
INDEX('数出表_Excel（アレルギー入力）'!$4:$4,
 1,
MATCH(TRUE,INDIRECT("'数出表_Excel（アレルギー入力）'!B"&amp;MATCH(AK8,'数出表_Excel（アレルギー入力）'!$A:$A,0)-1&amp;":U"&amp;MATCH(AK8,'数出表_Excel（アレルギー入力）'!$A:$A,0)-1&amp;"")&lt;&gt;"",0)+1
),
 "")
&amp;IFERROR(
INDEX('数出表_Excel（アレルギー入力）'!$5:$5,
 1,
MATCH(TRUE,INDIRECT("'数出表_Excel（アレルギー入力）'!B"&amp;MATCH(AK8,'数出表_Excel（アレルギー入力）'!$A:$A,0)-1&amp;":U"&amp;MATCH(AK8,'数出表_Excel（アレルギー入力）'!$A:$A,0)-1&amp;"")&lt;&gt;"",0)+1),
 ""),"")))</f>
        <v/>
      </c>
      <c r="AJ9" s="87" t="str">
        <f t="array" aca="1" ref="AJ9" ca="1">IF(AG9&lt;&gt;"",
IF(COUNTIF(AG8,"*雙葉*"),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VLOOKUP('盛付札（関数）'!AG9,商品マスタ一覧!$D:$J,7,FALSE))),0)),
IF(MATCH(TRUE,
ISNUMBER(--INDIRECT("数出表_Excel!B"&amp;MATCH(AK8,数出表_Excel!$A:$A,0)-1&amp;":U"&amp;MATCH(AK8,数出表_Excel!$A:$A,0)-1&amp;"")),0)&gt;10,
IF(AG9&lt;&gt;"",
IF(IF(COUNTIF('盛付札（関数）'!AG9,"*キャラ*"),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VLOOKUP('盛付札（関数）'!AG9,商品マスタ一覧!$D:$J,7,FALSE)))=0,"",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VLOOKUP('盛付札（関数）'!AG9,商品マスタ一覧!$D:$J,7,FALSE))),0))),""),"")),"")</f>
        <v/>
      </c>
      <c r="AK9" s="100" t="str">
        <f ca="1">IF(AJ9&lt;&gt;"",IF(VALUE(IF(AJ14&lt;&gt;"",AG11-AJ14,AG11))&gt;VALUE(IF(COUNTIF('盛付札（関数）'!AG9,"*キャラ*"),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
"+"&amp;IF(AJ14&lt;&gt;"",AG11-AJ14,AG11)-IF(COUNTIF('盛付札（関数）'!AG9,"*キャラ*"),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VLOOKUP('盛付札（関数）'!AG9,商品マスタ一覧!$D:$J,7,FALSE)))*AJ9,
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VLOOKUP('盛付札（関数）'!AG9,商品マスタ一覧!$D:$J,7,FALSE)))*AJ9),"")</f>
        <v/>
      </c>
      <c r="AL9" s="80">
        <f t="array" aca="1" ref="AL9" ca="1">IF(INDIRECT("数出表_Excel!A"&amp;GetResult(AL8))="社食",
GetResult(AL8)+2,GetResult(AL8))</f>
        <v>61</v>
      </c>
      <c r="AM9" s="85" t="str">
        <f t="array" aca="1" ref="AM9" ca="1">IF(AN8&lt;&gt;"",MATCH(TRUE,INDIRECT("数出表_Excel!B"&amp;MATCH(AR8,数出表_Excel!$A:$A,0)-1&amp;":U"&amp;MATCH(AR8,数出表_Excel!$A:$A,0)-1&amp;"")&lt;&gt;"",0)+1,"")</f>
        <v/>
      </c>
      <c r="AN9" s="62" t="str">
        <f t="array" aca="1" ref="AN9" ca="1">IF(COUNTIF(AR8,"*合計*"),"",
IF(IFERROR(INDIRECT("数出表_Excel!" &amp;
CHAR(MATCH(TRUE,
ISNUMBER(--INDIRECT("数出表_Excel!B"&amp;MATCH(AR8,数出表_Excel!$A:$A,0)-1&amp;":U"&amp;MATCH(AR8,数出表_Excel!$A:$A,0)-1&amp;"")),0)+65) &amp; "3"),0)=0,"",
IFERROR(INDIRECT("数出表_Excel!" &amp;
CHAR(MATCH(TRUE,
ISNUMBER(--INDIRECT("数出表_Excel!B"&amp;MATCH(AR8,数出表_Excel!$A:$A,0)-1&amp;":U"&amp;MATCH(AR8,数出表_Excel!$A:$A,0)-1&amp;"")),0)+65) &amp; "3"),"")))</f>
        <v/>
      </c>
      <c r="AO9" s="80"/>
      <c r="AP9" s="86" t="str">
        <f t="array" aca="1" ref="AP9" ca="1">IF(AQ9&lt;&gt;"","",
IF(COUNTIF(AN8,"*雙葉*"),"",
IF(AN8&lt;&gt;"",
IFERROR(
INDEX('数出表_Excel（アレルギー入力）'!$4:$4,
 1,
MATCH(TRUE,INDIRECT("'数出表_Excel（アレルギー入力）'!B"&amp;MATCH(AR8,'数出表_Excel（アレルギー入力）'!$A:$A,0)-1&amp;":U"&amp;MATCH(AR8,'数出表_Excel（アレルギー入力）'!$A:$A,0)-1&amp;"")&lt;&gt;"",0)+1
),
 "")
&amp;IFERROR(
INDEX('数出表_Excel（アレルギー入力）'!$5:$5,
 1,
MATCH(TRUE,INDIRECT("'数出表_Excel（アレルギー入力）'!B"&amp;MATCH(AR8,'数出表_Excel（アレルギー入力）'!$A:$A,0)-1&amp;":U"&amp;MATCH(AR8,'数出表_Excel（アレルギー入力）'!$A:$A,0)-1&amp;"")&lt;&gt;"",0)+1),
 ""),"")))</f>
        <v/>
      </c>
      <c r="AQ9" s="87" t="str">
        <f t="array" aca="1" ref="AQ9" ca="1">IF(AN9&lt;&gt;"",
IF(COUNTIF(AN8,"*雙葉*"),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VLOOKUP('盛付札（関数）'!AN9,商品マスタ一覧!$D:$J,7,FALSE))),0)),
IF(MATCH(TRUE,
ISNUMBER(--INDIRECT("数出表_Excel!B"&amp;MATCH(AR8,数出表_Excel!$A:$A,0)-1&amp;":U"&amp;MATCH(AR8,数出表_Excel!$A:$A,0)-1&amp;"")),0)&gt;10,
IF(AN9&lt;&gt;"",
IF(IF(COUNTIF('盛付札（関数）'!AN9,"*キャラ*"),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VLOOKUP('盛付札（関数）'!AN9,商品マスタ一覧!$D:$J,7,FALSE)))=0,"",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VLOOKUP('盛付札（関数）'!AN9,商品マスタ一覧!$D:$J,7,FALSE))),0))),""),"")),"")</f>
        <v/>
      </c>
      <c r="AR9" s="96" t="str">
        <f ca="1">IF(AQ9&lt;&gt;"",IF(VALUE(IF(AQ14&lt;&gt;"",AN11-AQ14,AN11))&gt;VALUE(IF(COUNTIF('盛付札（関数）'!AN9,"*キャラ*"),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
"+"&amp;IF(AQ14&lt;&gt;"",AN11-AQ14,AN11)-IF(COUNTIF('盛付札（関数）'!AN9,"*キャラ*"),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VLOOKUP('盛付札（関数）'!AN9,商品マスタ一覧!$D:$J,7,FALSE)))*AQ9,
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VLOOKUP('盛付札（関数）'!AN9,商品マスタ一覧!$D:$J,7,FALSE)))*AQ9),"")</f>
        <v/>
      </c>
      <c r="AS9" s="80"/>
      <c r="AT9" s="80">
        <f t="array" aca="1" ref="AT9" ca="1">IF(INDIRECT("数出表_Excel!A"&amp;GetResult(AT8))="社食",
GetResult(AT8)+2,GetResult(AT8))</f>
        <v>83</v>
      </c>
      <c r="AU9" s="85" t="str">
        <f t="array" aca="1" ref="AU9" ca="1">IF(AV8&lt;&gt;"",MATCH(TRUE,INDIRECT("数出表_Excel!B"&amp;MATCH(AZ8,数出表_Excel!$A:$A,0)-1&amp;":U"&amp;MATCH(AZ8,数出表_Excel!$A:$A,0)-1&amp;"")&lt;&gt;"",0)+1,"")</f>
        <v/>
      </c>
      <c r="AV9" s="62" t="str">
        <f t="array" aca="1" ref="AV9" ca="1">IF(COUNTIF(AZ8,"*合計*"),"",
IF(IFERROR(INDIRECT("数出表_Excel!" &amp;
CHAR(MATCH(TRUE,
ISNUMBER(--INDIRECT("数出表_Excel!B"&amp;MATCH(AZ8,数出表_Excel!$A:$A,0)-1&amp;":U"&amp;MATCH(AZ8,数出表_Excel!$A:$A,0)-1&amp;"")),0)+65) &amp; "3"),0)=0,"",
IFERROR(INDIRECT("数出表_Excel!" &amp;
CHAR(MATCH(TRUE,
ISNUMBER(--INDIRECT("数出表_Excel!B"&amp;MATCH(AZ8,数出表_Excel!$A:$A,0)-1&amp;":U"&amp;MATCH(AZ8,数出表_Excel!$A:$A,0)-1&amp;"")),0)+65) &amp; "3"),"")))</f>
        <v/>
      </c>
      <c r="AW9" s="80"/>
      <c r="AX9" s="86" t="str">
        <f t="array" aca="1" ref="AX9" ca="1">IF(AY9&lt;&gt;"","",
IF(COUNTIF(AV8,"*雙葉*"),"",
IF(AV8&lt;&gt;"",
IFERROR(
INDEX('数出表_Excel（アレルギー入力）'!$4:$4,
 1,
MATCH(TRUE,INDIRECT("'数出表_Excel（アレルギー入力）'!B"&amp;MATCH(AZ8,'数出表_Excel（アレルギー入力）'!$A:$A,0)-1&amp;":U"&amp;MATCH(AZ8,'数出表_Excel（アレルギー入力）'!$A:$A,0)-1&amp;"")&lt;&gt;"",0)+1
),
 "")
&amp;IFERROR(
INDEX('数出表_Excel（アレルギー入力）'!$5:$5,
 1,
MATCH(TRUE,INDIRECT("'数出表_Excel（アレルギー入力）'!B"&amp;MATCH(AZ8,'数出表_Excel（アレルギー入力）'!$A:$A,0)-1&amp;":U"&amp;MATCH(AZ8,'数出表_Excel（アレルギー入力）'!$A:$A,0)-1&amp;"")&lt;&gt;"",0)+1),
 ""),"")))</f>
        <v/>
      </c>
      <c r="AY9" s="87" t="str">
        <f t="array" aca="1" ref="AY9" ca="1">IF(AV9&lt;&gt;"",
IF(COUNTIF(AV8,"*雙葉*"),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VLOOKUP('盛付札（関数）'!AV9,商品マスタ一覧!$D:$J,7,FALSE))),0)),
IF(MATCH(TRUE,
ISNUMBER(--INDIRECT("数出表_Excel!B"&amp;MATCH(AZ8,数出表_Excel!$A:$A,0)-1&amp;":U"&amp;MATCH(AZ8,数出表_Excel!$A:$A,0)-1&amp;"")),0)&gt;10,
IF(AV9&lt;&gt;"",
IF(IF(COUNTIF('盛付札（関数）'!AV9,"*キャラ*"),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VLOOKUP('盛付札（関数）'!AV9,商品マスタ一覧!$D:$J,7,FALSE)))=0,"",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VLOOKUP('盛付札（関数）'!AV9,商品マスタ一覧!$D:$J,7,FALSE))),0))),""),"")),"")</f>
        <v/>
      </c>
      <c r="AZ9" s="100" t="str">
        <f ca="1">IF(AY9&lt;&gt;"",IF(VALUE(IF(AY14&lt;&gt;"",AV11-AY14,AV11))&gt;VALUE(IF(COUNTIF('盛付札（関数）'!AV9,"*キャラ*"),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
"+"&amp;IF(AY14&lt;&gt;"",AV11-AY14,AV11)-IF(COUNTIF('盛付札（関数）'!AV9,"*キャラ*"),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VLOOKUP('盛付札（関数）'!AV9,商品マスタ一覧!$D:$J,7,FALSE)))*AY9,
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VLOOKUP('盛付札（関数）'!AV9,商品マスタ一覧!$D:$J,7,FALSE)))*AY9),"")</f>
        <v/>
      </c>
      <c r="BA9" s="80">
        <f t="array" aca="1" ref="BA9" ca="1">IF(INDIRECT("数出表_Excel!A"&amp;GetResult(BA8))="社食",
GetResult(BA8)+2,GetResult(BA8))</f>
        <v>85</v>
      </c>
      <c r="BB9" s="85" t="str">
        <f t="array" aca="1" ref="BB9" ca="1">IF(BC8&lt;&gt;"",MATCH(TRUE,INDIRECT("数出表_Excel!B"&amp;MATCH(BG8,数出表_Excel!$A:$A,0)-1&amp;":U"&amp;MATCH(BG8,数出表_Excel!$A:$A,0)-1&amp;"")&lt;&gt;"",0)+1,"")</f>
        <v/>
      </c>
      <c r="BC9" s="62" t="str">
        <f t="array" aca="1" ref="BC9" ca="1">IF(COUNTIF(BG8,"*合計*"),"",
IF(IFERROR(INDIRECT("数出表_Excel!" &amp;
CHAR(MATCH(TRUE,
ISNUMBER(--INDIRECT("数出表_Excel!B"&amp;MATCH(BG8,数出表_Excel!$A:$A,0)-1&amp;":U"&amp;MATCH(BG8,数出表_Excel!$A:$A,0)-1&amp;"")),0)+65) &amp; "3"),0)=0,"",
IFERROR(INDIRECT("数出表_Excel!" &amp;
CHAR(MATCH(TRUE,
ISNUMBER(--INDIRECT("数出表_Excel!B"&amp;MATCH(BG8,数出表_Excel!$A:$A,0)-1&amp;":U"&amp;MATCH(BG8,数出表_Excel!$A:$A,0)-1&amp;"")),0)+65) &amp; "3"),"")))</f>
        <v/>
      </c>
      <c r="BD9" s="80"/>
      <c r="BE9" s="86" t="str">
        <f t="array" aca="1" ref="BE9" ca="1">IF(BF9&lt;&gt;"","",
IF(COUNTIF(BC8,"*雙葉*"),"",
IF(BC8&lt;&gt;"",
IFERROR(
INDEX('数出表_Excel（アレルギー入力）'!$4:$4,
 1,
MATCH(TRUE,INDIRECT("'数出表_Excel（アレルギー入力）'!B"&amp;MATCH(BG8,'数出表_Excel（アレルギー入力）'!$A:$A,0)-1&amp;":U"&amp;MATCH(BG8,'数出表_Excel（アレルギー入力）'!$A:$A,0)-1&amp;"")&lt;&gt;"",0)+1
),
 "")
&amp;IFERROR(
INDEX('数出表_Excel（アレルギー入力）'!$5:$5,
 1,
MATCH(TRUE,INDIRECT("'数出表_Excel（アレルギー入力）'!B"&amp;MATCH(BG8,'数出表_Excel（アレルギー入力）'!$A:$A,0)-1&amp;":U"&amp;MATCH(BG8,'数出表_Excel（アレルギー入力）'!$A:$A,0)-1&amp;"")&lt;&gt;"",0)+1),
 ""),"")))</f>
        <v/>
      </c>
      <c r="BF9" s="87" t="str">
        <f t="array" aca="1" ref="BF9" ca="1">IF(BC9&lt;&gt;"",
IF(COUNTIF(BC8,"*雙葉*"),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VLOOKUP('盛付札（関数）'!BC9,商品マスタ一覧!$D:$J,7,FALSE))),0)),
IF(MATCH(TRUE,
ISNUMBER(--INDIRECT("数出表_Excel!B"&amp;MATCH(BG8,数出表_Excel!$A:$A,0)-1&amp;":U"&amp;MATCH(BG8,数出表_Excel!$A:$A,0)-1&amp;"")),0)&gt;10,
IF(BC9&lt;&gt;"",
IF(IF(COUNTIF('盛付札（関数）'!BC9,"*キャラ*"),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VLOOKUP('盛付札（関数）'!BC9,商品マスタ一覧!$D:$J,7,FALSE)))=0,"",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VLOOKUP('盛付札（関数）'!BC9,商品マスタ一覧!$D:$J,7,FALSE))),0))),""),"")),"")</f>
        <v/>
      </c>
      <c r="BG9" s="96" t="str">
        <f ca="1">IF(BF9&lt;&gt;"",IF(VALUE(IF(BF14&lt;&gt;"",BC11-BF14,BC11))&gt;VALUE(IF(COUNTIF('盛付札（関数）'!BC9,"*キャラ*"),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
"+"&amp;IF(BF14&lt;&gt;"",BC11-BF14,BC11)-IF(COUNTIF('盛付札（関数）'!BC9,"*キャラ*"),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VLOOKUP('盛付札（関数）'!BC9,商品マスタ一覧!$D:$J,7,FALSE)))*BF9,
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VLOOKUP('盛付札（関数）'!BC9,商品マスタ一覧!$D:$J,7,FALSE)))*BF9),"")</f>
        <v/>
      </c>
      <c r="BH9" s="80"/>
      <c r="BI9" s="80">
        <f t="array" aca="1" ref="BI9" ca="1">IF(INDIRECT("数出表_Excel!A"&amp;GetResult(BI8))="社食",
GetResult(BI8)+2,GetResult(BI8))</f>
        <v>107</v>
      </c>
      <c r="BJ9" s="85" t="str">
        <f t="array" aca="1" ref="BJ9" ca="1">IF(BK8&lt;&gt;"",MATCH(TRUE,INDIRECT("数出表_Excel!B"&amp;MATCH(BO8,数出表_Excel!$A:$A,0)-1&amp;":U"&amp;MATCH(BO8,数出表_Excel!$A:$A,0)-1&amp;"")&lt;&gt;"",0)+1,"")</f>
        <v/>
      </c>
      <c r="BK9" s="62" t="str">
        <f t="array" aca="1" ref="BK9" ca="1">IF(COUNTIF(BO8,"*合計*"),"",
IF(IFERROR(INDIRECT("数出表_Excel!" &amp;
CHAR(MATCH(TRUE,
ISNUMBER(--INDIRECT("数出表_Excel!B"&amp;MATCH(BO8,数出表_Excel!$A:$A,0)-1&amp;":U"&amp;MATCH(BO8,数出表_Excel!$A:$A,0)-1&amp;"")),0)+65) &amp; "3"),0)=0,"",
IFERROR(INDIRECT("数出表_Excel!" &amp;
CHAR(MATCH(TRUE,
ISNUMBER(--INDIRECT("数出表_Excel!B"&amp;MATCH(BO8,数出表_Excel!$A:$A,0)-1&amp;":U"&amp;MATCH(BO8,数出表_Excel!$A:$A,0)-1&amp;"")),0)+65) &amp; "3"),"")))</f>
        <v/>
      </c>
      <c r="BL9" s="80"/>
      <c r="BM9" s="86" t="str">
        <f t="array" aca="1" ref="BM9" ca="1">IF(BN9&lt;&gt;"","",
IF(COUNTIF(BK8,"*雙葉*"),"",
IF(BK8&lt;&gt;"",
IFERROR(
INDEX('数出表_Excel（アレルギー入力）'!$4:$4,
 1,
MATCH(TRUE,INDIRECT("'数出表_Excel（アレルギー入力）'!B"&amp;MATCH(BO8,'数出表_Excel（アレルギー入力）'!$A:$A,0)-1&amp;":U"&amp;MATCH(BO8,'数出表_Excel（アレルギー入力）'!$A:$A,0)-1&amp;"")&lt;&gt;"",0)+1
),
 "")
&amp;IFERROR(
INDEX('数出表_Excel（アレルギー入力）'!$5:$5,
 1,
MATCH(TRUE,INDIRECT("'数出表_Excel（アレルギー入力）'!B"&amp;MATCH(BO8,'数出表_Excel（アレルギー入力）'!$A:$A,0)-1&amp;":U"&amp;MATCH(BO8,'数出表_Excel（アレルギー入力）'!$A:$A,0)-1&amp;"")&lt;&gt;"",0)+1),
 ""),"")))</f>
        <v/>
      </c>
      <c r="BN9" s="87" t="str">
        <f t="array" aca="1" ref="BN9" ca="1">IF(BK9&lt;&gt;"",
IF(COUNTIF(BK8,"*雙葉*"),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VLOOKUP('盛付札（関数）'!BK9,商品マスタ一覧!$D:$J,7,FALSE))),0)),
IF(MATCH(TRUE,
ISNUMBER(--INDIRECT("数出表_Excel!B"&amp;MATCH(BO8,数出表_Excel!$A:$A,0)-1&amp;":U"&amp;MATCH(BO8,数出表_Excel!$A:$A,0)-1&amp;"")),0)&gt;10,
IF(BK9&lt;&gt;"",
IF(IF(COUNTIF('盛付札（関数）'!BK9,"*キャラ*"),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VLOOKUP('盛付札（関数）'!BK9,商品マスタ一覧!$D:$J,7,FALSE)))=0,"",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VLOOKUP('盛付札（関数）'!BK9,商品マスタ一覧!$D:$J,7,FALSE))),0))),""),"")),"")</f>
        <v/>
      </c>
      <c r="BO9" s="100" t="str">
        <f ca="1">IF(BN9&lt;&gt;"",IF(VALUE(IF(BN14&lt;&gt;"",BK11-BN14,BK11))&gt;VALUE(IF(COUNTIF('盛付札（関数）'!BK9,"*キャラ*"),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
"+"&amp;IF(BN14&lt;&gt;"",BK11-BN14,BK11)-IF(COUNTIF('盛付札（関数）'!BK9,"*キャラ*"),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VLOOKUP('盛付札（関数）'!BK9,商品マスタ一覧!$D:$J,7,FALSE)))*BN9,
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VLOOKUP('盛付札（関数）'!BK9,商品マスタ一覧!$D:$J,7,FALSE)))*BN9),"")</f>
        <v/>
      </c>
      <c r="BP9" s="80">
        <f t="array" aca="1" ref="BP9" ca="1">IF(INDIRECT("数出表_Excel!A"&amp;GetResult(BP8))="社食",
GetResult(BP8)+2,GetResult(BP8))</f>
        <v>109</v>
      </c>
      <c r="BQ9" s="85" t="str">
        <f t="array" aca="1" ref="BQ9" ca="1">IF(BR8&lt;&gt;"",MATCH(TRUE,INDIRECT("数出表_Excel!B"&amp;MATCH(BV8,数出表_Excel!$A:$A,0)-1&amp;":U"&amp;MATCH(BV8,数出表_Excel!$A:$A,0)-1&amp;"")&lt;&gt;"",0)+1,"")</f>
        <v/>
      </c>
      <c r="BR9" s="62" t="str">
        <f t="array" aca="1" ref="BR9" ca="1">IF(COUNTIF(BV8,"*合計*"),"",
IF(IFERROR(INDIRECT("数出表_Excel!" &amp;
CHAR(MATCH(TRUE,
ISNUMBER(--INDIRECT("数出表_Excel!B"&amp;MATCH(BV8,数出表_Excel!$A:$A,0)-1&amp;":U"&amp;MATCH(BV8,数出表_Excel!$A:$A,0)-1&amp;"")),0)+65) &amp; "3"),0)=0,"",
IFERROR(INDIRECT("数出表_Excel!" &amp;
CHAR(MATCH(TRUE,
ISNUMBER(--INDIRECT("数出表_Excel!B"&amp;MATCH(BV8,数出表_Excel!$A:$A,0)-1&amp;":U"&amp;MATCH(BV8,数出表_Excel!$A:$A,0)-1&amp;"")),0)+65) &amp; "3"),"")))</f>
        <v/>
      </c>
      <c r="BS9" s="80"/>
      <c r="BT9" s="86" t="str">
        <f t="array" aca="1" ref="BT9" ca="1">IF(BU9&lt;&gt;"","",
IF(COUNTIF(BR8,"*雙葉*"),"",
IF(BR8&lt;&gt;"",
IFERROR(
INDEX('数出表_Excel（アレルギー入力）'!$4:$4,
 1,
MATCH(TRUE,INDIRECT("'数出表_Excel（アレルギー入力）'!B"&amp;MATCH(BV8,'数出表_Excel（アレルギー入力）'!$A:$A,0)-1&amp;":U"&amp;MATCH(BV8,'数出表_Excel（アレルギー入力）'!$A:$A,0)-1&amp;"")&lt;&gt;"",0)+1
),
 "")
&amp;IFERROR(
INDEX('数出表_Excel（アレルギー入力）'!$5:$5,
 1,
MATCH(TRUE,INDIRECT("'数出表_Excel（アレルギー入力）'!B"&amp;MATCH(BV8,'数出表_Excel（アレルギー入力）'!$A:$A,0)-1&amp;":U"&amp;MATCH(BV8,'数出表_Excel（アレルギー入力）'!$A:$A,0)-1&amp;"")&lt;&gt;"",0)+1),
 ""),"")))</f>
        <v/>
      </c>
      <c r="BU9" s="87" t="str">
        <f t="array" aca="1" ref="BU9" ca="1">IF(BR9&lt;&gt;"",
IF(COUNTIF(BR8,"*雙葉*"),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VLOOKUP('盛付札（関数）'!BR9,商品マスタ一覧!$D:$J,7,FALSE))),0)),
IF(MATCH(TRUE,
ISNUMBER(--INDIRECT("数出表_Excel!B"&amp;MATCH(BV8,数出表_Excel!$A:$A,0)-1&amp;":U"&amp;MATCH(BV8,数出表_Excel!$A:$A,0)-1&amp;"")),0)&gt;10,
IF(BR9&lt;&gt;"",
IF(IF(COUNTIF('盛付札（関数）'!BR9,"*キャラ*"),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VLOOKUP('盛付札（関数）'!BR9,商品マスタ一覧!$D:$J,7,FALSE)))=0,"",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VLOOKUP('盛付札（関数）'!BR9,商品マスタ一覧!$D:$J,7,FALSE))),0))),""),"")),"")</f>
        <v/>
      </c>
      <c r="BV9" s="96" t="str">
        <f ca="1">IF(BU9&lt;&gt;"",IF(VALUE(IF(BU14&lt;&gt;"",BR11-BU14,BR11))&gt;VALUE(IF(COUNTIF('盛付札（関数）'!BR9,"*キャラ*"),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
"+"&amp;IF(BU14&lt;&gt;"",BR11-BU14,BR11)-IF(COUNTIF('盛付札（関数）'!BR9,"*キャラ*"),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VLOOKUP('盛付札（関数）'!BR9,商品マスタ一覧!$D:$J,7,FALSE)))*BU9,
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VLOOKUP('盛付札（関数）'!BR9,商品マスタ一覧!$D:$J,7,FALSE)))*BU9),"")</f>
        <v/>
      </c>
      <c r="BW9" s="80"/>
      <c r="BX9" s="80">
        <f t="array" aca="1" ref="BX9" ca="1">IF(INDIRECT("数出表_Excel!A"&amp;GetResult(BX8))="社食",
GetResult(BX8)+2,GetResult(BX8))</f>
        <v>131</v>
      </c>
      <c r="BY9" s="85" t="str">
        <f t="array" aca="1" ref="BY9" ca="1">IF(BZ8&lt;&gt;"",MATCH(TRUE,INDIRECT("数出表_Excel!B"&amp;MATCH(CD8,数出表_Excel!$A:$A,0)-1&amp;":U"&amp;MATCH(CD8,数出表_Excel!$A:$A,0)-1&amp;"")&lt;&gt;"",0)+1,"")</f>
        <v/>
      </c>
      <c r="BZ9" s="62" t="str">
        <f t="array" aca="1" ref="BZ9" ca="1">IF(COUNTIF(CD8,"*合計*"),"",
IF(IFERROR(INDIRECT("数出表_Excel!" &amp;
CHAR(MATCH(TRUE,
ISNUMBER(--INDIRECT("数出表_Excel!B"&amp;MATCH(CD8,数出表_Excel!$A:$A,0)-1&amp;":U"&amp;MATCH(CD8,数出表_Excel!$A:$A,0)-1&amp;"")),0)+65) &amp; "3"),0)=0,"",
IFERROR(INDIRECT("数出表_Excel!" &amp;
CHAR(MATCH(TRUE,
ISNUMBER(--INDIRECT("数出表_Excel!B"&amp;MATCH(CD8,数出表_Excel!$A:$A,0)-1&amp;":U"&amp;MATCH(CD8,数出表_Excel!$A:$A,0)-1&amp;"")),0)+65) &amp; "3"),"")))</f>
        <v/>
      </c>
      <c r="CA9" s="80"/>
      <c r="CB9" s="86" t="str">
        <f t="array" aca="1" ref="CB9" ca="1">IF(CC9&lt;&gt;"","",
IF(COUNTIF(BZ8,"*雙葉*"),"",
IF(BZ8&lt;&gt;"",
IFERROR(
INDEX('数出表_Excel（アレルギー入力）'!$4:$4,
 1,
MATCH(TRUE,INDIRECT("'数出表_Excel（アレルギー入力）'!B"&amp;MATCH(CD8,'数出表_Excel（アレルギー入力）'!$A:$A,0)-1&amp;":U"&amp;MATCH(CD8,'数出表_Excel（アレルギー入力）'!$A:$A,0)-1&amp;"")&lt;&gt;"",0)+1
),
 "")
&amp;IFERROR(
INDEX('数出表_Excel（アレルギー入力）'!$5:$5,
 1,
MATCH(TRUE,INDIRECT("'数出表_Excel（アレルギー入力）'!B"&amp;MATCH(CD8,'数出表_Excel（アレルギー入力）'!$A:$A,0)-1&amp;":U"&amp;MATCH(CD8,'数出表_Excel（アレルギー入力）'!$A:$A,0)-1&amp;"")&lt;&gt;"",0)+1),
 ""),"")))</f>
        <v/>
      </c>
      <c r="CC9" s="87" t="str">
        <f t="array" aca="1" ref="CC9" ca="1">IF(BZ9&lt;&gt;"",
IF(COUNTIF(BZ8,"*雙葉*"),
IF(ROUND(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VLOOKUP('盛付札（関数）'!BZ9,商品マスタ一覧!$D:$J,7,FALSE))),0)&lt;=0,1,
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VLOOKUP('盛付札（関数）'!BZ9,商品マスタ一覧!$D:$J,7,FALSE))),0)),
IF(MATCH(TRUE,
ISNUMBER(--INDIRECT("数出表_Excel!B"&amp;MATCH(CD8,数出表_Excel!$A:$A,0)-1&amp;":U"&amp;MATCH(CD8,数出表_Excel!$A:$A,0)-1&amp;"")),0)&gt;10,
IF(BZ9&lt;&gt;"",
IF(IF(COUNTIF('盛付札（関数）'!BZ9,"*キャラ*"),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VLOOKUP('盛付札（関数）'!BZ9,商品マスタ一覧!$D:$J,7,FALSE)))=0,"",
IF(ROUND(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VLOOKUP('盛付札（関数）'!BZ9,商品マスタ一覧!$D:$J,7,FALSE))),0)&lt;=0,1,
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VLOOKUP('盛付札（関数）'!BZ9,商品マスタ一覧!$D:$J,7,FALSE))),0))),""),"")),"")</f>
        <v/>
      </c>
      <c r="CD9" s="100" t="str">
        <f ca="1">IF(CC9&lt;&gt;"",IF(VALUE(IF(CC14&lt;&gt;"",BZ11-CC14,BZ11))&gt;VALUE(IF(COUNTIF('盛付札（関数）'!BZ9,"*キャラ*"),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VLOOKUP('盛付札（関数）'!BZ9,商品マスタ一覧!$D:$J,7,FALSE)))*CC9),
"+"&amp;IF(CC14&lt;&gt;"",BZ11-CC14,BZ11)-IF(COUNTIF('盛付札（関数）'!BZ9,"*キャラ*"),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VLOOKUP('盛付札（関数）'!BZ9,商品マスタ一覧!$D:$J,7,FALSE)))*CC9,
IF(CC14&lt;&gt;"",BZ11-CC14,BZ11)-IF(COUNTIF('盛付札（関数）'!BZ9,"*キャラ*"),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VLOOKUP('盛付札（関数）'!BZ9,商品マスタ一覧!$D:$J,7,FALSE)))*CC9),"")</f>
        <v/>
      </c>
      <c r="CE9" s="80">
        <f t="array" aca="1" ref="CE9" ca="1">IF(INDIRECT("数出表_Excel!A"&amp;GetResult(CE8))="社食",
GetResult(CE8)+2,GetResult(CE8))</f>
        <v>133</v>
      </c>
      <c r="CF9" s="85" t="str">
        <f t="array" aca="1" ref="CF9" ca="1">IF(CG8&lt;&gt;"",MATCH(TRUE,INDIRECT("数出表_Excel!B"&amp;MATCH(CK8,数出表_Excel!$A:$A,0)-1&amp;":U"&amp;MATCH(CK8,数出表_Excel!$A:$A,0)-1&amp;"")&lt;&gt;"",0)+1,"")</f>
        <v/>
      </c>
      <c r="CG9" s="62" t="str">
        <f t="array" aca="1" ref="CG9" ca="1">IF(COUNTIF(CK8,"*合計*"),"",
IF(IFERROR(INDIRECT("数出表_Excel!" &amp;
CHAR(MATCH(TRUE,
ISNUMBER(--INDIRECT("数出表_Excel!B"&amp;MATCH(CK8,数出表_Excel!$A:$A,0)-1&amp;":U"&amp;MATCH(CK8,数出表_Excel!$A:$A,0)-1&amp;"")),0)+65) &amp; "3"),0)=0,"",
IFERROR(INDIRECT("数出表_Excel!" &amp;
CHAR(MATCH(TRUE,
ISNUMBER(--INDIRECT("数出表_Excel!B"&amp;MATCH(CK8,数出表_Excel!$A:$A,0)-1&amp;":U"&amp;MATCH(CK8,数出表_Excel!$A:$A,0)-1&amp;"")),0)+65) &amp; "3"),"")))</f>
        <v/>
      </c>
      <c r="CH9" s="80"/>
      <c r="CI9" s="86" t="str">
        <f t="array" aca="1" ref="CI9" ca="1">IF(CJ9&lt;&gt;"","",
IF(COUNTIF(CG8,"*雙葉*"),"",
IF(CG8&lt;&gt;"",
IFERROR(
INDEX('数出表_Excel（アレルギー入力）'!$4:$4,
 1,
MATCH(TRUE,INDIRECT("'数出表_Excel（アレルギー入力）'!B"&amp;MATCH(CK8,'数出表_Excel（アレルギー入力）'!$A:$A,0)-1&amp;":U"&amp;MATCH(CK8,'数出表_Excel（アレルギー入力）'!$A:$A,0)-1&amp;"")&lt;&gt;"",0)+1
),
 "")
&amp;IFERROR(
INDEX('数出表_Excel（アレルギー入力）'!$5:$5,
 1,
MATCH(TRUE,INDIRECT("'数出表_Excel（アレルギー入力）'!B"&amp;MATCH(CK8,'数出表_Excel（アレルギー入力）'!$A:$A,0)-1&amp;":U"&amp;MATCH(CK8,'数出表_Excel（アレルギー入力）'!$A:$A,0)-1&amp;"")&lt;&gt;"",0)+1),
 ""),"")))</f>
        <v/>
      </c>
      <c r="CJ9" s="87" t="str">
        <f t="array" aca="1" ref="CJ9" ca="1">IF(CG9&lt;&gt;"",
IF(COUNTIF(CG8,"*雙葉*"),
IF(ROUND(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VLOOKUP('盛付札（関数）'!CG9,商品マスタ一覧!$D:$J,7,FALSE))),0)&lt;=0,1,
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VLOOKUP('盛付札（関数）'!CG9,商品マスタ一覧!$D:$J,7,FALSE))),0)),
IF(MATCH(TRUE,
ISNUMBER(--INDIRECT("数出表_Excel!B"&amp;MATCH(CK8,数出表_Excel!$A:$A,0)-1&amp;":U"&amp;MATCH(CK8,数出表_Excel!$A:$A,0)-1&amp;"")),0)&gt;10,
IF(CG9&lt;&gt;"",
IF(IF(COUNTIF('盛付札（関数）'!CG9,"*キャラ*"),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VLOOKUP('盛付札（関数）'!CG9,商品マスタ一覧!$D:$J,7,FALSE)))=0,"",
IF(ROUND(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VLOOKUP('盛付札（関数）'!CG9,商品マスタ一覧!$D:$J,7,FALSE))),0)&lt;=0,1,
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VLOOKUP('盛付札（関数）'!CG9,商品マスタ一覧!$D:$J,7,FALSE))),0))),""),"")),"")</f>
        <v/>
      </c>
      <c r="CK9" s="96" t="str">
        <f ca="1">IF(CJ9&lt;&gt;"",IF(VALUE(IF(CJ14&lt;&gt;"",CG11-CJ14,CG11))&gt;VALUE(IF(COUNTIF('盛付札（関数）'!CG9,"*キャラ*"),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VLOOKUP('盛付札（関数）'!CG9,商品マスタ一覧!$D:$J,7,FALSE)))*CJ9),
"+"&amp;IF(CJ14&lt;&gt;"",CG11-CJ14,CG11)-IF(COUNTIF('盛付札（関数）'!CG9,"*キャラ*"),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VLOOKUP('盛付札（関数）'!CG9,商品マスタ一覧!$D:$J,7,FALSE)))*CJ9,
IF(CJ14&lt;&gt;"",CG11-CJ14,CG11)-IF(COUNTIF('盛付札（関数）'!CG9,"*キャラ*"),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VLOOKUP('盛付札（関数）'!CG9,商品マスタ一覧!$D:$J,7,FALSE)))*CJ9),"")</f>
        <v/>
      </c>
      <c r="CL9" s="80"/>
      <c r="CM9" s="80">
        <f t="array" aca="1" ref="CM9" ca="1">IF(INDIRECT("数出表_Excel!A"&amp;GetResult(CM8))="社食",
GetResult(CM8)+2,GetResult(CM8))</f>
        <v>155</v>
      </c>
      <c r="CN9" s="85" t="str">
        <f t="array" aca="1" ref="CN9" ca="1">IF(CO8&lt;&gt;"",MATCH(TRUE,INDIRECT("数出表_Excel!B"&amp;MATCH(CS8,数出表_Excel!$A:$A,0)-1&amp;":U"&amp;MATCH(CS8,数出表_Excel!$A:$A,0)-1&amp;"")&lt;&gt;"",0)+1,"")</f>
        <v/>
      </c>
      <c r="CO9" s="62" t="str">
        <f t="array" aca="1" ref="CO9" ca="1">IF(COUNTIF(CS8,"*合計*"),"",
IF(IFERROR(INDIRECT("数出表_Excel!" &amp;
CHAR(MATCH(TRUE,
ISNUMBER(--INDIRECT("数出表_Excel!B"&amp;MATCH(CS8,数出表_Excel!$A:$A,0)-1&amp;":U"&amp;MATCH(CS8,数出表_Excel!$A:$A,0)-1&amp;"")),0)+65) &amp; "3"),0)=0,"",
IFERROR(INDIRECT("数出表_Excel!" &amp;
CHAR(MATCH(TRUE,
ISNUMBER(--INDIRECT("数出表_Excel!B"&amp;MATCH(CS8,数出表_Excel!$A:$A,0)-1&amp;":U"&amp;MATCH(CS8,数出表_Excel!$A:$A,0)-1&amp;"")),0)+65) &amp; "3"),"")))</f>
        <v/>
      </c>
      <c r="CP9" s="80"/>
      <c r="CQ9" s="86" t="str">
        <f t="array" aca="1" ref="CQ9" ca="1">IF(CR9&lt;&gt;"","",
IF(COUNTIF(CO8,"*雙葉*"),"",
IF(CO8&lt;&gt;"",
IFERROR(
INDEX('数出表_Excel（アレルギー入力）'!$4:$4,
 1,
MATCH(TRUE,INDIRECT("'数出表_Excel（アレルギー入力）'!B"&amp;MATCH(CS8,'数出表_Excel（アレルギー入力）'!$A:$A,0)-1&amp;":U"&amp;MATCH(CS8,'数出表_Excel（アレルギー入力）'!$A:$A,0)-1&amp;"")&lt;&gt;"",0)+1
),
 "")
&amp;IFERROR(
INDEX('数出表_Excel（アレルギー入力）'!$5:$5,
 1,
MATCH(TRUE,INDIRECT("'数出表_Excel（アレルギー入力）'!B"&amp;MATCH(CS8,'数出表_Excel（アレルギー入力）'!$A:$A,0)-1&amp;":U"&amp;MATCH(CS8,'数出表_Excel（アレルギー入力）'!$A:$A,0)-1&amp;"")&lt;&gt;"",0)+1),
 ""),"")))</f>
        <v/>
      </c>
      <c r="CR9" s="87" t="str">
        <f t="array" aca="1" ref="CR9" ca="1">IF(CO9&lt;&gt;"",
IF(COUNTIF(CO8,"*雙葉*"),
IF(ROUND(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VLOOKUP('盛付札（関数）'!CO9,商品マスタ一覧!$D:$J,7,FALSE))),0)&lt;=0,1,
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VLOOKUP('盛付札（関数）'!CO9,商品マスタ一覧!$D:$J,7,FALSE))),0)),
IF(MATCH(TRUE,
ISNUMBER(--INDIRECT("数出表_Excel!B"&amp;MATCH(CS8,数出表_Excel!$A:$A,0)-1&amp;":U"&amp;MATCH(CS8,数出表_Excel!$A:$A,0)-1&amp;"")),0)&gt;10,
IF(CO9&lt;&gt;"",
IF(IF(COUNTIF('盛付札（関数）'!CO9,"*キャラ*"),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VLOOKUP('盛付札（関数）'!CO9,商品マスタ一覧!$D:$J,7,FALSE)))=0,"",
IF(ROUND(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VLOOKUP('盛付札（関数）'!CO9,商品マスタ一覧!$D:$J,7,FALSE))),0)&lt;=0,1,
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VLOOKUP('盛付札（関数）'!CO9,商品マスタ一覧!$D:$J,7,FALSE))),0))),""),"")),"")</f>
        <v/>
      </c>
      <c r="CS9" s="100" t="str">
        <f ca="1">IF(CR9&lt;&gt;"",IF(VALUE(IF(CR14&lt;&gt;"",CO11-CR14,CO11))&gt;VALUE(IF(COUNTIF('盛付札（関数）'!CO9,"*キャラ*"),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VLOOKUP('盛付札（関数）'!CO9,商品マスタ一覧!$D:$J,7,FALSE)))*CR9),
"+"&amp;IF(CR14&lt;&gt;"",CO11-CR14,CO11)-IF(COUNTIF('盛付札（関数）'!CO9,"*キャラ*"),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VLOOKUP('盛付札（関数）'!CO9,商品マスタ一覧!$D:$J,7,FALSE)))*CR9,
IF(CR14&lt;&gt;"",CO11-CR14,CO11)-IF(COUNTIF('盛付札（関数）'!CO9,"*キャラ*"),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VLOOKUP('盛付札（関数）'!CO9,商品マスタ一覧!$D:$J,7,FALSE)))*CR9),"")</f>
        <v/>
      </c>
      <c r="CT9" s="80">
        <f t="array" aca="1" ref="CT9" ca="1">IF(INDIRECT("数出表_Excel!A"&amp;GetResult(CT8))="社食",
GetResult(CT8)+2,GetResult(CT8))</f>
        <v>157</v>
      </c>
      <c r="CU9" s="85" t="str">
        <f t="array" aca="1" ref="CU9" ca="1">IF(CV8&lt;&gt;"",MATCH(TRUE,INDIRECT("数出表_Excel!B"&amp;MATCH(CZ8,数出表_Excel!$A:$A,0)-1&amp;":U"&amp;MATCH(CZ8,数出表_Excel!$A:$A,0)-1&amp;"")&lt;&gt;"",0)+1,"")</f>
        <v/>
      </c>
      <c r="CV9" s="62" t="str">
        <f t="array" aca="1" ref="CV9" ca="1">IF(COUNTIF(CZ8,"*合計*"),"",
IF(IFERROR(INDIRECT("数出表_Excel!" &amp;
CHAR(MATCH(TRUE,
ISNUMBER(--INDIRECT("数出表_Excel!B"&amp;MATCH(CZ8,数出表_Excel!$A:$A,0)-1&amp;":U"&amp;MATCH(CZ8,数出表_Excel!$A:$A,0)-1&amp;"")),0)+65) &amp; "3"),0)=0,"",
IFERROR(INDIRECT("数出表_Excel!" &amp;
CHAR(MATCH(TRUE,
ISNUMBER(--INDIRECT("数出表_Excel!B"&amp;MATCH(CZ8,数出表_Excel!$A:$A,0)-1&amp;":U"&amp;MATCH(CZ8,数出表_Excel!$A:$A,0)-1&amp;"")),0)+65) &amp; "3"),"")))</f>
        <v/>
      </c>
      <c r="CW9" s="80"/>
      <c r="CX9" s="86" t="str">
        <f t="array" aca="1" ref="CX9" ca="1">IF(CY9&lt;&gt;"","",
IF(COUNTIF(CV8,"*雙葉*"),"",
IF(CV8&lt;&gt;"",
IFERROR(
INDEX('数出表_Excel（アレルギー入力）'!$4:$4,
 1,
MATCH(TRUE,INDIRECT("'数出表_Excel（アレルギー入力）'!B"&amp;MATCH(CZ8,'数出表_Excel（アレルギー入力）'!$A:$A,0)-1&amp;":U"&amp;MATCH(CZ8,'数出表_Excel（アレルギー入力）'!$A:$A,0)-1&amp;"")&lt;&gt;"",0)+1
),
 "")
&amp;IFERROR(
INDEX('数出表_Excel（アレルギー入力）'!$5:$5,
 1,
MATCH(TRUE,INDIRECT("'数出表_Excel（アレルギー入力）'!B"&amp;MATCH(CZ8,'数出表_Excel（アレルギー入力）'!$A:$A,0)-1&amp;":U"&amp;MATCH(CZ8,'数出表_Excel（アレルギー入力）'!$A:$A,0)-1&amp;"")&lt;&gt;"",0)+1),
 ""),"")))</f>
        <v/>
      </c>
      <c r="CY9" s="87" t="str">
        <f t="array" aca="1" ref="CY9" ca="1">IF(CV9&lt;&gt;"",
IF(COUNTIF(CV8,"*雙葉*"),
IF(ROUND(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VLOOKUP('盛付札（関数）'!CV9,商品マスタ一覧!$D:$J,7,FALSE))),0)&lt;=0,1,
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VLOOKUP('盛付札（関数）'!CV9,商品マスタ一覧!$D:$J,7,FALSE))),0)),
IF(MATCH(TRUE,
ISNUMBER(--INDIRECT("数出表_Excel!B"&amp;MATCH(CZ8,数出表_Excel!$A:$A,0)-1&amp;":U"&amp;MATCH(CZ8,数出表_Excel!$A:$A,0)-1&amp;"")),0)&gt;10,
IF(CV9&lt;&gt;"",
IF(IF(COUNTIF('盛付札（関数）'!CV9,"*キャラ*"),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VLOOKUP('盛付札（関数）'!CV9,商品マスタ一覧!$D:$J,7,FALSE)))=0,"",
IF(ROUND(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VLOOKUP('盛付札（関数）'!CV9,商品マスタ一覧!$D:$J,7,FALSE))),0)&lt;=0,1,
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VLOOKUP('盛付札（関数）'!CV9,商品マスタ一覧!$D:$J,7,FALSE))),0))),""),"")),"")</f>
        <v/>
      </c>
      <c r="CZ9" s="96" t="str">
        <f ca="1">IF(CY9&lt;&gt;"",IF(VALUE(IF(CY14&lt;&gt;"",CV11-CY14,CV11))&gt;VALUE(IF(COUNTIF('盛付札（関数）'!CV9,"*キャラ*"),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VLOOKUP('盛付札（関数）'!CV9,商品マスタ一覧!$D:$J,7,FALSE)))*CY9),
"+"&amp;IF(CY14&lt;&gt;"",CV11-CY14,CV11)-IF(COUNTIF('盛付札（関数）'!CV9,"*キャラ*"),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VLOOKUP('盛付札（関数）'!CV9,商品マスタ一覧!$D:$J,7,FALSE)))*CY9,
IF(CY14&lt;&gt;"",CV11-CY14,CV11)-IF(COUNTIF('盛付札（関数）'!CV9,"*キャラ*"),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VLOOKUP('盛付札（関数）'!CV9,商品マスタ一覧!$D:$J,7,FALSE)))*CY9),"")</f>
        <v/>
      </c>
      <c r="DA9" s="80"/>
      <c r="DB9" s="80">
        <f t="array" aca="1" ref="DB9" ca="1">IF(INDIRECT("数出表_Excel!A"&amp;GetResult(DB8))="社食",
GetResult(DB8)+2,GetResult(DB8))</f>
        <v>179</v>
      </c>
      <c r="DC9" s="85" t="str">
        <f t="array" aca="1" ref="DC9" ca="1">IF(DD8&lt;&gt;"",MATCH(TRUE,INDIRECT("数出表_Excel!B"&amp;MATCH(DH8,数出表_Excel!$A:$A,0)-1&amp;":U"&amp;MATCH(DH8,数出表_Excel!$A:$A,0)-1&amp;"")&lt;&gt;"",0)+1,"")</f>
        <v/>
      </c>
      <c r="DD9" s="62" t="str">
        <f t="array" aca="1" ref="DD9" ca="1">IF(COUNTIF(DH8,"*合計*"),"",
IF(IFERROR(INDIRECT("数出表_Excel!" &amp;
CHAR(MATCH(TRUE,
ISNUMBER(--INDIRECT("数出表_Excel!B"&amp;MATCH(DH8,数出表_Excel!$A:$A,0)-1&amp;":U"&amp;MATCH(DH8,数出表_Excel!$A:$A,0)-1&amp;"")),0)+65) &amp; "3"),0)=0,"",
IFERROR(INDIRECT("数出表_Excel!" &amp;
CHAR(MATCH(TRUE,
ISNUMBER(--INDIRECT("数出表_Excel!B"&amp;MATCH(DH8,数出表_Excel!$A:$A,0)-1&amp;":U"&amp;MATCH(DH8,数出表_Excel!$A:$A,0)-1&amp;"")),0)+65) &amp; "3"),"")))</f>
        <v/>
      </c>
      <c r="DE9" s="80"/>
      <c r="DF9" s="86" t="str">
        <f t="array" aca="1" ref="DF9" ca="1">IF(DG9&lt;&gt;"","",
IF(COUNTIF(DD8,"*雙葉*"),"",
IF(DD8&lt;&gt;"",
IFERROR(
INDEX('数出表_Excel（アレルギー入力）'!$4:$4,
 1,
MATCH(TRUE,INDIRECT("'数出表_Excel（アレルギー入力）'!B"&amp;MATCH(DH8,'数出表_Excel（アレルギー入力）'!$A:$A,0)-1&amp;":U"&amp;MATCH(DH8,'数出表_Excel（アレルギー入力）'!$A:$A,0)-1&amp;"")&lt;&gt;"",0)+1
),
 "")
&amp;IFERROR(
INDEX('数出表_Excel（アレルギー入力）'!$5:$5,
 1,
MATCH(TRUE,INDIRECT("'数出表_Excel（アレルギー入力）'!B"&amp;MATCH(DH8,'数出表_Excel（アレルギー入力）'!$A:$A,0)-1&amp;":U"&amp;MATCH(DH8,'数出表_Excel（アレルギー入力）'!$A:$A,0)-1&amp;"")&lt;&gt;"",0)+1),
 ""),"")))</f>
        <v/>
      </c>
      <c r="DG9" s="87" t="str">
        <f t="array" aca="1" ref="DG9" ca="1">IF(DD9&lt;&gt;"",
IF(COUNTIF(DD8,"*雙葉*"),
IF(ROUND(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VLOOKUP('盛付札（関数）'!DD9,商品マスタ一覧!$D:$J,7,FALSE))),0)&lt;=0,1,
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VLOOKUP('盛付札（関数）'!DD9,商品マスタ一覧!$D:$J,7,FALSE))),0)),
IF(MATCH(TRUE,
ISNUMBER(--INDIRECT("数出表_Excel!B"&amp;MATCH(DH8,数出表_Excel!$A:$A,0)-1&amp;":U"&amp;MATCH(DH8,数出表_Excel!$A:$A,0)-1&amp;"")),0)&gt;10,
IF(DD9&lt;&gt;"",
IF(IF(COUNTIF('盛付札（関数）'!DD9,"*キャラ*"),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VLOOKUP('盛付札（関数）'!DD9,商品マスタ一覧!$D:$J,7,FALSE)))=0,"",
IF(ROUND(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VLOOKUP('盛付札（関数）'!DD9,商品マスタ一覧!$D:$J,7,FALSE))),0)&lt;=0,1,
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VLOOKUP('盛付札（関数）'!DD9,商品マスタ一覧!$D:$J,7,FALSE))),0))),""),"")),"")</f>
        <v/>
      </c>
      <c r="DH9" s="100" t="str">
        <f ca="1">IF(DG9&lt;&gt;"",IF(VALUE(IF(DG14&lt;&gt;"",DD11-DG14,DD11))&gt;VALUE(IF(COUNTIF('盛付札（関数）'!DD9,"*キャラ*"),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VLOOKUP('盛付札（関数）'!DD9,商品マスタ一覧!$D:$J,7,FALSE)))*DG9),
"+"&amp;IF(DG14&lt;&gt;"",DD11-DG14,DD11)-IF(COUNTIF('盛付札（関数）'!DD9,"*キャラ*"),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VLOOKUP('盛付札（関数）'!DD9,商品マスタ一覧!$D:$J,7,FALSE)))*DG9,
IF(DG14&lt;&gt;"",DD11-DG14,DD11)-IF(COUNTIF('盛付札（関数）'!DD9,"*キャラ*"),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VLOOKUP('盛付札（関数）'!DD9,商品マスタ一覧!$D:$J,7,FALSE)))*DG9),"")</f>
        <v/>
      </c>
      <c r="DI9" s="80">
        <f t="array" aca="1" ref="DI9" ca="1">IF(INDIRECT("数出表_Excel!A"&amp;GetResult(DI8))="社食",
GetResult(DI8)+2,GetResult(DI8))</f>
        <v>181</v>
      </c>
      <c r="DJ9" s="85" t="str">
        <f t="array" aca="1" ref="DJ9" ca="1">IF(DK8&lt;&gt;"",MATCH(TRUE,INDIRECT("数出表_Excel!B"&amp;MATCH(DO8,数出表_Excel!$A:$A,0)-1&amp;":U"&amp;MATCH(DO8,数出表_Excel!$A:$A,0)-1&amp;"")&lt;&gt;"",0)+1,"")</f>
        <v/>
      </c>
      <c r="DK9" s="62" t="str">
        <f t="array" aca="1" ref="DK9" ca="1">IF(COUNTIF(DO8,"*合計*"),"",
IF(IFERROR(INDIRECT("数出表_Excel!" &amp;
CHAR(MATCH(TRUE,
ISNUMBER(--INDIRECT("数出表_Excel!B"&amp;MATCH(DO8,数出表_Excel!$A:$A,0)-1&amp;":U"&amp;MATCH(DO8,数出表_Excel!$A:$A,0)-1&amp;"")),0)+65) &amp; "3"),0)=0,"",
IFERROR(INDIRECT("数出表_Excel!" &amp;
CHAR(MATCH(TRUE,
ISNUMBER(--INDIRECT("数出表_Excel!B"&amp;MATCH(DO8,数出表_Excel!$A:$A,0)-1&amp;":U"&amp;MATCH(DO8,数出表_Excel!$A:$A,0)-1&amp;"")),0)+65) &amp; "3"),"")))</f>
        <v/>
      </c>
      <c r="DL9" s="80"/>
      <c r="DM9" s="86" t="str">
        <f t="array" aca="1" ref="DM9" ca="1">IF(DN9&lt;&gt;"","",
IF(COUNTIF(DK8,"*雙葉*"),"",
IF(DK8&lt;&gt;"",
IFERROR(
INDEX('数出表_Excel（アレルギー入力）'!$4:$4,
 1,
MATCH(TRUE,INDIRECT("'数出表_Excel（アレルギー入力）'!B"&amp;MATCH(DO8,'数出表_Excel（アレルギー入力）'!$A:$A,0)-1&amp;":U"&amp;MATCH(DO8,'数出表_Excel（アレルギー入力）'!$A:$A,0)-1&amp;"")&lt;&gt;"",0)+1
),
 "")
&amp;IFERROR(
INDEX('数出表_Excel（アレルギー入力）'!$5:$5,
 1,
MATCH(TRUE,INDIRECT("'数出表_Excel（アレルギー入力）'!B"&amp;MATCH(DO8,'数出表_Excel（アレルギー入力）'!$A:$A,0)-1&amp;":U"&amp;MATCH(DO8,'数出表_Excel（アレルギー入力）'!$A:$A,0)-1&amp;"")&lt;&gt;"",0)+1),
 ""),"")))</f>
        <v/>
      </c>
      <c r="DN9" s="87" t="str">
        <f t="array" aca="1" ref="DN9" ca="1">IF(DK9&lt;&gt;"",
IF(COUNTIF(DK8,"*雙葉*"),
IF(ROUND(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VLOOKUP('盛付札（関数）'!DK9,商品マスタ一覧!$D:$J,7,FALSE))),0)&lt;=0,1,
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VLOOKUP('盛付札（関数）'!DK9,商品マスタ一覧!$D:$J,7,FALSE))),0)),
IF(MATCH(TRUE,
ISNUMBER(--INDIRECT("数出表_Excel!B"&amp;MATCH(DO8,数出表_Excel!$A:$A,0)-1&amp;":U"&amp;MATCH(DO8,数出表_Excel!$A:$A,0)-1&amp;"")),0)&gt;10,
IF(DK9&lt;&gt;"",
IF(IF(COUNTIF('盛付札（関数）'!DK9,"*キャラ*"),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VLOOKUP('盛付札（関数）'!DK9,商品マスタ一覧!$D:$J,7,FALSE)))=0,"",
IF(ROUND(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VLOOKUP('盛付札（関数）'!DK9,商品マスタ一覧!$D:$J,7,FALSE))),0)&lt;=0,1,
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VLOOKUP('盛付札（関数）'!DK9,商品マスタ一覧!$D:$J,7,FALSE))),0))),""),"")),"")</f>
        <v/>
      </c>
      <c r="DO9" s="96" t="str">
        <f ca="1">IF(DN9&lt;&gt;"",IF(VALUE(IF(DN14&lt;&gt;"",DK11-DN14,DK11))&gt;VALUE(IF(COUNTIF('盛付札（関数）'!DK9,"*キャラ*"),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VLOOKUP('盛付札（関数）'!DK9,商品マスタ一覧!$D:$J,7,FALSE)))*DN9),
"+"&amp;IF(DN14&lt;&gt;"",DK11-DN14,DK11)-IF(COUNTIF('盛付札（関数）'!DK9,"*キャラ*"),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VLOOKUP('盛付札（関数）'!DK9,商品マスタ一覧!$D:$J,7,FALSE)))*DN9,
IF(DN14&lt;&gt;"",DK11-DN14,DK11)-IF(COUNTIF('盛付札（関数）'!DK9,"*キャラ*"),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VLOOKUP('盛付札（関数）'!DK9,商品マスタ一覧!$D:$J,7,FALSE)))*DN9),"")</f>
        <v/>
      </c>
      <c r="DP9" s="80"/>
      <c r="DQ9" s="80">
        <f t="array" aca="1" ref="DQ9" ca="1">IF(INDIRECT("数出表_Excel!A"&amp;GetResult(DQ8))="社食",
GetResult(DQ8)+2,GetResult(DQ8))</f>
        <v>203</v>
      </c>
      <c r="DR9" s="85" t="str">
        <f t="array" aca="1" ref="DR9" ca="1">IF(DS8&lt;&gt;"",MATCH(TRUE,INDIRECT("数出表_Excel!B"&amp;MATCH(DW8,数出表_Excel!$A:$A,0)-1&amp;":U"&amp;MATCH(DW8,数出表_Excel!$A:$A,0)-1&amp;"")&lt;&gt;"",0)+1,"")</f>
        <v/>
      </c>
      <c r="DS9" s="62" t="str">
        <f t="array" aca="1" ref="DS9" ca="1">IF(COUNTIF(DW8,"*合計*"),"",
IF(IFERROR(INDIRECT("数出表_Excel!" &amp;
CHAR(MATCH(TRUE,
ISNUMBER(--INDIRECT("数出表_Excel!B"&amp;MATCH(DW8,数出表_Excel!$A:$A,0)-1&amp;":U"&amp;MATCH(DW8,数出表_Excel!$A:$A,0)-1&amp;"")),0)+65) &amp; "3"),0)=0,"",
IFERROR(INDIRECT("数出表_Excel!" &amp;
CHAR(MATCH(TRUE,
ISNUMBER(--INDIRECT("数出表_Excel!B"&amp;MATCH(DW8,数出表_Excel!$A:$A,0)-1&amp;":U"&amp;MATCH(DW8,数出表_Excel!$A:$A,0)-1&amp;"")),0)+65) &amp; "3"),"")))</f>
        <v/>
      </c>
      <c r="DT9" s="80"/>
      <c r="DU9" s="86" t="str">
        <f t="array" aca="1" ref="DU9" ca="1">IF(DV9&lt;&gt;"","",
IF(COUNTIF(DS8,"*雙葉*"),"",
IF(DS8&lt;&gt;"",
IFERROR(
INDEX('数出表_Excel（アレルギー入力）'!$4:$4,
 1,
MATCH(TRUE,INDIRECT("'数出表_Excel（アレルギー入力）'!B"&amp;MATCH(DW8,'数出表_Excel（アレルギー入力）'!$A:$A,0)-1&amp;":U"&amp;MATCH(DW8,'数出表_Excel（アレルギー入力）'!$A:$A,0)-1&amp;"")&lt;&gt;"",0)+1
),
 "")
&amp;IFERROR(
INDEX('数出表_Excel（アレルギー入力）'!$5:$5,
 1,
MATCH(TRUE,INDIRECT("'数出表_Excel（アレルギー入力）'!B"&amp;MATCH(DW8,'数出表_Excel（アレルギー入力）'!$A:$A,0)-1&amp;":U"&amp;MATCH(DW8,'数出表_Excel（アレルギー入力）'!$A:$A,0)-1&amp;"")&lt;&gt;"",0)+1),
 ""),"")))</f>
        <v/>
      </c>
      <c r="DV9" s="87" t="str">
        <f t="array" aca="1" ref="DV9" ca="1">IF(DS9&lt;&gt;"",
IF(COUNTIF(DS8,"*雙葉*"),
IF(ROUND(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VLOOKUP('盛付札（関数）'!DS9,商品マスタ一覧!$D:$J,7,FALSE))),0)&lt;=0,1,
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VLOOKUP('盛付札（関数）'!DS9,商品マスタ一覧!$D:$J,7,FALSE))),0)),
IF(MATCH(TRUE,
ISNUMBER(--INDIRECT("数出表_Excel!B"&amp;MATCH(DW8,数出表_Excel!$A:$A,0)-1&amp;":U"&amp;MATCH(DW8,数出表_Excel!$A:$A,0)-1&amp;"")),0)&gt;10,
IF(DS9&lt;&gt;"",
IF(IF(COUNTIF('盛付札（関数）'!DS9,"*キャラ*"),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VLOOKUP('盛付札（関数）'!DS9,商品マスタ一覧!$D:$J,7,FALSE)))=0,"",
IF(ROUND(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VLOOKUP('盛付札（関数）'!DS9,商品マスタ一覧!$D:$J,7,FALSE))),0)&lt;=0,1,
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VLOOKUP('盛付札（関数）'!DS9,商品マスタ一覧!$D:$J,7,FALSE))),0))),""),"")),"")</f>
        <v/>
      </c>
      <c r="DW9" s="100" t="str">
        <f ca="1">IF(DV9&lt;&gt;"",IF(VALUE(IF(DV14&lt;&gt;"",DS11-DV14,DS11))&gt;VALUE(IF(COUNTIF('盛付札（関数）'!DS9,"*キャラ*"),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VLOOKUP('盛付札（関数）'!DS9,商品マスタ一覧!$D:$J,7,FALSE)))*DV9),
"+"&amp;IF(DV14&lt;&gt;"",DS11-DV14,DS11)-IF(COUNTIF('盛付札（関数）'!DS9,"*キャラ*"),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VLOOKUP('盛付札（関数）'!DS9,商品マスタ一覧!$D:$J,7,FALSE)))*DV9,
IF(DV14&lt;&gt;"",DS11-DV14,DS11)-IF(COUNTIF('盛付札（関数）'!DS9,"*キャラ*"),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VLOOKUP('盛付札（関数）'!DS9,商品マスタ一覧!$D:$J,7,FALSE)))*DV9),"")</f>
        <v/>
      </c>
      <c r="DX9" s="80">
        <f t="array" aca="1" ref="DX9" ca="1">IF(INDIRECT("数出表_Excel!A"&amp;GetResult(DX8))="社食",
GetResult(DX8)+2,GetResult(DX8))</f>
        <v>205</v>
      </c>
      <c r="DY9" s="85" t="str">
        <f t="array" aca="1" ref="DY9" ca="1">IF(DZ8&lt;&gt;"",MATCH(TRUE,INDIRECT("数出表_Excel!B"&amp;MATCH(ED8,数出表_Excel!$A:$A,0)-1&amp;":U"&amp;MATCH(ED8,数出表_Excel!$A:$A,0)-1&amp;"")&lt;&gt;"",0)+1,"")</f>
        <v/>
      </c>
      <c r="DZ9" s="62" t="str">
        <f t="array" aca="1" ref="DZ9" ca="1">IF(COUNTIF(ED8,"*合計*"),"",
IF(IFERROR(INDIRECT("数出表_Excel!" &amp;
CHAR(MATCH(TRUE,
ISNUMBER(--INDIRECT("数出表_Excel!B"&amp;MATCH(ED8,数出表_Excel!$A:$A,0)-1&amp;":U"&amp;MATCH(ED8,数出表_Excel!$A:$A,0)-1&amp;"")),0)+65) &amp; "3"),0)=0,"",
IFERROR(INDIRECT("数出表_Excel!" &amp;
CHAR(MATCH(TRUE,
ISNUMBER(--INDIRECT("数出表_Excel!B"&amp;MATCH(ED8,数出表_Excel!$A:$A,0)-1&amp;":U"&amp;MATCH(ED8,数出表_Excel!$A:$A,0)-1&amp;"")),0)+65) &amp; "3"),"")))</f>
        <v/>
      </c>
      <c r="EA9" s="80"/>
      <c r="EB9" s="86" t="str">
        <f t="array" aca="1" ref="EB9" ca="1">IF(EC9&lt;&gt;"","",
IF(COUNTIF(DZ8,"*雙葉*"),"",
IF(DZ8&lt;&gt;"",
IFERROR(
INDEX('数出表_Excel（アレルギー入力）'!$4:$4,
 1,
MATCH(TRUE,INDIRECT("'数出表_Excel（アレルギー入力）'!B"&amp;MATCH(ED8,'数出表_Excel（アレルギー入力）'!$A:$A,0)-1&amp;":U"&amp;MATCH(ED8,'数出表_Excel（アレルギー入力）'!$A:$A,0)-1&amp;"")&lt;&gt;"",0)+1
),
 "")
&amp;IFERROR(
INDEX('数出表_Excel（アレルギー入力）'!$5:$5,
 1,
MATCH(TRUE,INDIRECT("'数出表_Excel（アレルギー入力）'!B"&amp;MATCH(ED8,'数出表_Excel（アレルギー入力）'!$A:$A,0)-1&amp;":U"&amp;MATCH(ED8,'数出表_Excel（アレルギー入力）'!$A:$A,0)-1&amp;"")&lt;&gt;"",0)+1),
 ""),"")))</f>
        <v/>
      </c>
      <c r="EC9" s="87" t="str">
        <f t="array" aca="1" ref="EC9" ca="1">IF(DZ9&lt;&gt;"",
IF(COUNTIF(DZ8,"*雙葉*"),
IF(ROUND(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VLOOKUP('盛付札（関数）'!DZ9,商品マスタ一覧!$D:$J,7,FALSE))),0)&lt;=0,1,
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VLOOKUP('盛付札（関数）'!DZ9,商品マスタ一覧!$D:$J,7,FALSE))),0)),
IF(MATCH(TRUE,
ISNUMBER(--INDIRECT("数出表_Excel!B"&amp;MATCH(ED8,数出表_Excel!$A:$A,0)-1&amp;":U"&amp;MATCH(ED8,数出表_Excel!$A:$A,0)-1&amp;"")),0)&gt;10,
IF(DZ9&lt;&gt;"",
IF(IF(COUNTIF('盛付札（関数）'!DZ9,"*キャラ*"),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VLOOKUP('盛付札（関数）'!DZ9,商品マスタ一覧!$D:$J,7,FALSE)))=0,"",
IF(ROUND(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VLOOKUP('盛付札（関数）'!DZ9,商品マスタ一覧!$D:$J,7,FALSE))),0)&lt;=0,1,
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VLOOKUP('盛付札（関数）'!DZ9,商品マスタ一覧!$D:$J,7,FALSE))),0))),""),"")),"")</f>
        <v/>
      </c>
      <c r="ED9" s="96" t="str">
        <f ca="1">IF(EC9&lt;&gt;"",IF(VALUE(IF(EC14&lt;&gt;"",DZ11-EC14,DZ11))&gt;VALUE(IF(COUNTIF('盛付札（関数）'!DZ9,"*キャラ*"),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VLOOKUP('盛付札（関数）'!DZ9,商品マスタ一覧!$D:$J,7,FALSE)))*EC9),
"+"&amp;IF(EC14&lt;&gt;"",DZ11-EC14,DZ11)-IF(COUNTIF('盛付札（関数）'!DZ9,"*キャラ*"),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VLOOKUP('盛付札（関数）'!DZ9,商品マスタ一覧!$D:$J,7,FALSE)))*EC9,
IF(EC14&lt;&gt;"",DZ11-EC14,DZ11)-IF(COUNTIF('盛付札（関数）'!DZ9,"*キャラ*"),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VLOOKUP('盛付札（関数）'!DZ9,商品マスタ一覧!$D:$J,7,FALSE)))*EC9),"")</f>
        <v/>
      </c>
      <c r="EE9" s="80"/>
      <c r="EF9" s="80">
        <f t="array" aca="1" ref="EF9" ca="1">IF(INDIRECT("数出表_Excel!A"&amp;GetResult(EF8))="社食",
GetResult(EF8)+2,GetResult(EF8))</f>
        <v>227</v>
      </c>
      <c r="EG9" s="85" t="str">
        <f t="array" aca="1" ref="EG9" ca="1">IF(EH8&lt;&gt;"",MATCH(TRUE,INDIRECT("数出表_Excel!B"&amp;MATCH(EL8,数出表_Excel!$A:$A,0)-1&amp;":U"&amp;MATCH(EL8,数出表_Excel!$A:$A,0)-1&amp;"")&lt;&gt;"",0)+1,"")</f>
        <v/>
      </c>
      <c r="EH9" s="62" t="str">
        <f t="array" aca="1" ref="EH9" ca="1">IF(COUNTIF(EL8,"*合計*"),"",
IF(IFERROR(INDIRECT("数出表_Excel!" &amp;
CHAR(MATCH(TRUE,
ISNUMBER(--INDIRECT("数出表_Excel!B"&amp;MATCH(EL8,数出表_Excel!$A:$A,0)-1&amp;":U"&amp;MATCH(EL8,数出表_Excel!$A:$A,0)-1&amp;"")),0)+65) &amp; "3"),0)=0,"",
IFERROR(INDIRECT("数出表_Excel!" &amp;
CHAR(MATCH(TRUE,
ISNUMBER(--INDIRECT("数出表_Excel!B"&amp;MATCH(EL8,数出表_Excel!$A:$A,0)-1&amp;":U"&amp;MATCH(EL8,数出表_Excel!$A:$A,0)-1&amp;"")),0)+65) &amp; "3"),"")))</f>
        <v/>
      </c>
      <c r="EI9" s="80"/>
      <c r="EJ9" s="86" t="str">
        <f t="array" aca="1" ref="EJ9" ca="1">IF(EK9&lt;&gt;"","",
IF(COUNTIF(EH8,"*雙葉*"),"",
IF(EH8&lt;&gt;"",
IFERROR(
INDEX('数出表_Excel（アレルギー入力）'!$4:$4,
 1,
MATCH(TRUE,INDIRECT("'数出表_Excel（アレルギー入力）'!B"&amp;MATCH(EL8,'数出表_Excel（アレルギー入力）'!$A:$A,0)-1&amp;":U"&amp;MATCH(EL8,'数出表_Excel（アレルギー入力）'!$A:$A,0)-1&amp;"")&lt;&gt;"",0)+1
),
 "")
&amp;IFERROR(
INDEX('数出表_Excel（アレルギー入力）'!$5:$5,
 1,
MATCH(TRUE,INDIRECT("'数出表_Excel（アレルギー入力）'!B"&amp;MATCH(EL8,'数出表_Excel（アレルギー入力）'!$A:$A,0)-1&amp;":U"&amp;MATCH(EL8,'数出表_Excel（アレルギー入力）'!$A:$A,0)-1&amp;"")&lt;&gt;"",0)+1),
 ""),"")))</f>
        <v/>
      </c>
      <c r="EK9" s="87" t="str">
        <f t="array" aca="1" ref="EK9" ca="1">IF(EH9&lt;&gt;"",
IF(COUNTIF(EH8,"*雙葉*"),
IF(ROUND(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VLOOKUP('盛付札（関数）'!EH9,商品マスタ一覧!$D:$J,7,FALSE))),0)&lt;=0,1,
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VLOOKUP('盛付札（関数）'!EH9,商品マスタ一覧!$D:$J,7,FALSE))),0)),
IF(MATCH(TRUE,
ISNUMBER(--INDIRECT("数出表_Excel!B"&amp;MATCH(EL8,数出表_Excel!$A:$A,0)-1&amp;":U"&amp;MATCH(EL8,数出表_Excel!$A:$A,0)-1&amp;"")),0)&gt;10,
IF(EH9&lt;&gt;"",
IF(IF(COUNTIF('盛付札（関数）'!EH9,"*キャラ*"),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VLOOKUP('盛付札（関数）'!EH9,商品マスタ一覧!$D:$J,7,FALSE)))=0,"",
IF(ROUND(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VLOOKUP('盛付札（関数）'!EH9,商品マスタ一覧!$D:$J,7,FALSE))),0)&lt;=0,1,
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VLOOKUP('盛付札（関数）'!EH9,商品マスタ一覧!$D:$J,7,FALSE))),0))),""),"")),"")</f>
        <v/>
      </c>
      <c r="EL9" s="100" t="str">
        <f ca="1">IF(EK9&lt;&gt;"",IF(VALUE(IF(EK14&lt;&gt;"",EH11-EK14,EH11))&gt;VALUE(IF(COUNTIF('盛付札（関数）'!EH9,"*キャラ*"),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VLOOKUP('盛付札（関数）'!EH9,商品マスタ一覧!$D:$J,7,FALSE)))*EK9),
"+"&amp;IF(EK14&lt;&gt;"",EH11-EK14,EH11)-IF(COUNTIF('盛付札（関数）'!EH9,"*キャラ*"),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VLOOKUP('盛付札（関数）'!EH9,商品マスタ一覧!$D:$J,7,FALSE)))*EK9,
IF(EK14&lt;&gt;"",EH11-EK14,EH11)-IF(COUNTIF('盛付札（関数）'!EH9,"*キャラ*"),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VLOOKUP('盛付札（関数）'!EH9,商品マスタ一覧!$D:$J,7,FALSE)))*EK9),"")</f>
        <v/>
      </c>
      <c r="EM9" s="80">
        <f t="array" aca="1" ref="EM9" ca="1">IF(INDIRECT("数出表_Excel!A"&amp;GetResult(EM8))="社食",
GetResult(EM8)+2,GetResult(EM8))</f>
        <v>229</v>
      </c>
      <c r="EN9" s="85" t="str">
        <f t="array" aca="1" ref="EN9" ca="1">IF(EO8&lt;&gt;"",MATCH(TRUE,INDIRECT("数出表_Excel!B"&amp;MATCH(ES8,数出表_Excel!$A:$A,0)-1&amp;":U"&amp;MATCH(ES8,数出表_Excel!$A:$A,0)-1&amp;"")&lt;&gt;"",0)+1,"")</f>
        <v/>
      </c>
      <c r="EO9" s="62" t="str">
        <f t="array" aca="1" ref="EO9" ca="1">IF(COUNTIF(ES8,"*合計*"),"",
IF(IFERROR(INDIRECT("数出表_Excel!" &amp;
CHAR(MATCH(TRUE,
ISNUMBER(--INDIRECT("数出表_Excel!B"&amp;MATCH(ES8,数出表_Excel!$A:$A,0)-1&amp;":U"&amp;MATCH(ES8,数出表_Excel!$A:$A,0)-1&amp;"")),0)+65) &amp; "3"),0)=0,"",
IFERROR(INDIRECT("数出表_Excel!" &amp;
CHAR(MATCH(TRUE,
ISNUMBER(--INDIRECT("数出表_Excel!B"&amp;MATCH(ES8,数出表_Excel!$A:$A,0)-1&amp;":U"&amp;MATCH(ES8,数出表_Excel!$A:$A,0)-1&amp;"")),0)+65) &amp; "3"),"")))</f>
        <v/>
      </c>
      <c r="EP9" s="80"/>
      <c r="EQ9" s="86" t="str">
        <f t="array" aca="1" ref="EQ9" ca="1">IF(ER9&lt;&gt;"","",
IF(COUNTIF(EO8,"*雙葉*"),"",
IF(EO8&lt;&gt;"",
IFERROR(
INDEX('数出表_Excel（アレルギー入力）'!$4:$4,
 1,
MATCH(TRUE,INDIRECT("'数出表_Excel（アレルギー入力）'!B"&amp;MATCH(ES8,'数出表_Excel（アレルギー入力）'!$A:$A,0)-1&amp;":U"&amp;MATCH(ES8,'数出表_Excel（アレルギー入力）'!$A:$A,0)-1&amp;"")&lt;&gt;"",0)+1
),
 "")
&amp;IFERROR(
INDEX('数出表_Excel（アレルギー入力）'!$5:$5,
 1,
MATCH(TRUE,INDIRECT("'数出表_Excel（アレルギー入力）'!B"&amp;MATCH(ES8,'数出表_Excel（アレルギー入力）'!$A:$A,0)-1&amp;":U"&amp;MATCH(ES8,'数出表_Excel（アレルギー入力）'!$A:$A,0)-1&amp;"")&lt;&gt;"",0)+1),
 ""),"")))</f>
        <v/>
      </c>
      <c r="ER9" s="87" t="str">
        <f t="array" aca="1" ref="ER9" ca="1">IF(EO9&lt;&gt;"",
IF(COUNTIF(EO8,"*雙葉*"),
IF(ROUND(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VLOOKUP('盛付札（関数）'!EO9,商品マスタ一覧!$D:$J,7,FALSE))),0)&lt;=0,1,
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VLOOKUP('盛付札（関数）'!EO9,商品マスタ一覧!$D:$J,7,FALSE))),0)),
IF(MATCH(TRUE,
ISNUMBER(--INDIRECT("数出表_Excel!B"&amp;MATCH(ES8,数出表_Excel!$A:$A,0)-1&amp;":U"&amp;MATCH(ES8,数出表_Excel!$A:$A,0)-1&amp;"")),0)&gt;10,
IF(EO9&lt;&gt;"",
IF(IF(COUNTIF('盛付札（関数）'!EO9,"*キャラ*"),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VLOOKUP('盛付札（関数）'!EO9,商品マスタ一覧!$D:$J,7,FALSE)))=0,"",
IF(ROUND(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VLOOKUP('盛付札（関数）'!EO9,商品マスタ一覧!$D:$J,7,FALSE))),0)&lt;=0,1,
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VLOOKUP('盛付札（関数）'!EO9,商品マスタ一覧!$D:$J,7,FALSE))),0))),""),"")),"")</f>
        <v/>
      </c>
      <c r="ES9" s="96" t="str">
        <f ca="1">IF(ER9&lt;&gt;"",IF(VALUE(IF(ER14&lt;&gt;"",EO11-ER14,EO11))&gt;VALUE(IF(COUNTIF('盛付札（関数）'!EO9,"*キャラ*"),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VLOOKUP('盛付札（関数）'!EO9,商品マスタ一覧!$D:$J,7,FALSE)))*ER9),
"+"&amp;IF(ER14&lt;&gt;"",EO11-ER14,EO11)-IF(COUNTIF('盛付札（関数）'!EO9,"*キャラ*"),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VLOOKUP('盛付札（関数）'!EO9,商品マスタ一覧!$D:$J,7,FALSE)))*ER9,
IF(ER14&lt;&gt;"",EO11-ER14,EO11)-IF(COUNTIF('盛付札（関数）'!EO9,"*キャラ*"),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VLOOKUP('盛付札（関数）'!EO9,商品マスタ一覧!$D:$J,7,FALSE)))*ER9),"")</f>
        <v/>
      </c>
      <c r="ET9" s="111"/>
      <c r="EU9" s="82">
        <f t="shared" si="1"/>
        <v>14</v>
      </c>
      <c r="EV9" s="82" t="str">
        <f t="array" aca="1" ref="EV9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LEN(SUBSTITUTE(_xlfn.FORMULATEXT(EV$1),"=","")))+$EU9)</f>
        <v/>
      </c>
      <c r="EW9" s="82" t="str">
        <f t="array" aca="1" ref="EW9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LEN(SUBSTITUTE(_xlfn.FORMULATEXT(EW$1),"=","")))+$EU9)</f>
        <v/>
      </c>
      <c r="EX9" s="82" t="str">
        <f t="array" aca="1" ref="EX9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LEN(SUBSTITUTE(_xlfn.FORMULATEXT(EX$1),"=","")))+$EU9)</f>
        <v/>
      </c>
      <c r="EY9" s="82" t="str">
        <f t="array" aca="1" ref="EY9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LEN(SUBSTITUTE(_xlfn.FORMULATEXT(EY$1),"=","")))+$EU9)</f>
        <v/>
      </c>
      <c r="EZ9" s="82" t="str">
        <f t="array" aca="1" ref="EZ9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LEN(SUBSTITUTE(_xlfn.FORMULATEXT(EZ$1),"=","")))+$EU9)</f>
        <v/>
      </c>
      <c r="FA9" s="82" t="e">
        <f t="array" aca="1" ref="FA9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LEN(SUBSTITUTE(_xlfn.FORMULATEXT(FA$1),"=","")))+$EU9)</f>
        <v>#VALUE!</v>
      </c>
      <c r="FB9" s="82" t="str">
        <f t="array" aca="1" ref="FB9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LEN(SUBSTITUTE(_xlfn.FORMULATEXT(FB$1),"=","")))+$EU9)</f>
        <v/>
      </c>
      <c r="FC9" s="82" t="str">
        <f t="array" aca="1" ref="FC9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LEN(SUBSTITUTE(_xlfn.FORMULATEXT(FC$1),"=","")))+$EU9)</f>
        <v/>
      </c>
      <c r="FD9" s="82" t="e">
        <f t="array" aca="1" ref="FD9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LEN(SUBSTITUTE(_xlfn.FORMULATEXT(FD$1),"=","")))+$EU9)</f>
        <v>#VALUE!</v>
      </c>
      <c r="FE9" s="82" t="str">
        <f t="array" aca="1" ref="FE9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LEN(SUBSTITUTE(_xlfn.FORMULATEXT(FE$1),"=","")))+$EU9)</f>
        <v/>
      </c>
      <c r="FF9" s="82" t="e">
        <f t="array" aca="1" ref="FF9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LEN(SUBSTITUTE(_xlfn.FORMULATEXT(FF$1),"=","")))+$EU9)</f>
        <v>#N/A</v>
      </c>
      <c r="FG9" s="82">
        <f t="shared" ca="1" si="0"/>
        <v>0</v>
      </c>
      <c r="FH9" s="82" t="e">
        <f t="array" aca="1" ref="FH9" ca="1">SUMPRODUCT((LEN(EV9:FF9)&gt;0)*1)&gt;0</f>
        <v>#VALUE!</v>
      </c>
      <c r="FI9" s="82" t="str">
        <f t="array" aca="1" ref="FI9" ca="1">IFERROR(SMALL(IF(FG$1:FG$173&lt;&gt;0,FG$1:FG$173),ROW(A9)),"")</f>
        <v/>
      </c>
      <c r="FJ9" s="82" t="str">
        <f t="array" aca="1" ref="FJ9" ca="1">IF($FI9&lt;&gt;"",
INDIRECT(""&amp;IF(COLUMN(EV9)&lt;=26,CHAR(COLUMN(EV9)+64),CHAR(INT((COLUMN(EV9)-1)/26)+64)&amp;CHAR(MOD(COLUMN(EV9)-1,26)+65))&amp;$FI9&amp;""),"")</f>
        <v/>
      </c>
      <c r="FK9" s="82" t="str">
        <f t="array" aca="1" ref="FK9" ca="1">IF($FI9&lt;&gt;"",
INDIRECT(""&amp;IF(COLUMN(EW9)&lt;=26,CHAR(COLUMN(EW9)+64),CHAR(INT((COLUMN(EW9)-1)/26)+64)&amp;CHAR(MOD(COLUMN(EW9)-1,26)+65))&amp;$FI9&amp;""),"")</f>
        <v/>
      </c>
      <c r="FL9" s="82" t="str">
        <f t="array" aca="1" ref="FL9" ca="1">IF($FI9&lt;&gt;"",
INDIRECT(""&amp;IF(COLUMN(EX9)&lt;=26,CHAR(COLUMN(EX9)+64),CHAR(INT((COLUMN(EX9)-1)/26)+64)&amp;CHAR(MOD(COLUMN(EX9)-1,26)+65))&amp;$FI9&amp;""),"")</f>
        <v/>
      </c>
      <c r="FM9" s="82" t="str">
        <f t="array" aca="1" ref="FM9" ca="1">IF($FI9&lt;&gt;"",
IF(FL9="",
IF(INDIRECT("EY"&amp;$FI9&amp;"")&lt;&gt;"",
INDIRECT("EY"&amp;$FI9&amp;"")&amp;"箱"
&amp;INDIRECT("EZ"&amp;$FI9&amp;""),""),""),"")</f>
        <v/>
      </c>
      <c r="FN9" s="82" t="str">
        <f t="array" aca="1" ref="FN9" ca="1">IF($FI9&lt;&gt;"",
INDIRECT(""&amp;IF(COLUMN(FA9)&lt;=26,CHAR(COLUMN(FA9)+64),CHAR(INT((COLUMN(FA9)-1)/26)+64)&amp;CHAR(MOD(COLUMN(FA9)-1,26)+65))&amp;$FI9&amp;""),"")</f>
        <v/>
      </c>
      <c r="FO9" s="82" t="str">
        <f t="array" aca="1" ref="FO9" ca="1">IF($FI9&lt;&gt;"",
INDIRECT(""&amp;IF(COLUMN(FB9)&lt;=26,CHAR(COLUMN(FB9)+64),CHAR(INT((COLUMN(FB9)-1)/26)+64)&amp;CHAR(MOD(COLUMN(FB9)-1,26)+65))&amp;$FI9&amp;""),"")</f>
        <v/>
      </c>
      <c r="FP9" s="82" t="str">
        <f t="array" aca="1" ref="FP9" ca="1">IF($FI9&lt;&gt;"",
INDIRECT(""&amp;IF(COLUMN(FC9)&lt;=26,CHAR(COLUMN(FC9)+64),CHAR(INT((COLUMN(FC9)-1)/26)+64)&amp;CHAR(MOD(COLUMN(FC9)-1,26)+65))&amp;$FI9&amp;""),"")</f>
        <v/>
      </c>
      <c r="FQ9" s="82" t="str">
        <f t="array" aca="1" ref="FQ9" ca="1">IF($FI9&lt;&gt;"",
INDIRECT(""&amp;IF(COLUMN(FD9)&lt;=26,CHAR(COLUMN(FD9)+64),CHAR(INT((COLUMN(FD9)-1)/26)+64)&amp;CHAR(MOD(COLUMN(FD9)-1,26)+65))&amp;$FI9&amp;""),"")</f>
        <v/>
      </c>
      <c r="FR9" s="82" t="str">
        <f t="array" aca="1" ref="FR9" ca="1">IF($FI9&lt;&gt;"",
INDIRECT(""&amp;IF(COLUMN(FE9)&lt;=26,CHAR(COLUMN(FE9)+64),CHAR(INT((COLUMN(FE9)-1)/26)+64)&amp;CHAR(MOD(COLUMN(FE9)-1,26)+65))&amp;$FI9&amp;""),"")</f>
        <v/>
      </c>
      <c r="FS9" s="82" t="str">
        <f t="array" aca="1" ref="FS9" ca="1">IF($FI9&lt;&gt;"",
INDIRECT(""&amp;IF(COLUMN(FF9)&lt;=26,CHAR(COLUMN(FF9)+64),CHAR(INT((COLUMN(FF9)-1)/26)+64)&amp;CHAR(MOD(COLUMN(FF9)-1,26)+65))&amp;$FI9&amp;""),"")</f>
        <v/>
      </c>
    </row>
    <row r="10" spans="1:175" s="82" customFormat="1" ht="22.2" customHeight="1" x14ac:dyDescent="0.55000000000000004">
      <c r="A10" s="80"/>
      <c r="B10" s="88" t="e">
        <f t="array" aca="1" ref="B10" ca="1">IF(AND(LEFT(G8,2)="博多",
LEFT(INDIRECT("数出表_Excel!A"&amp;MATCH(G8,数出表_Excel!$A:$A,0)-1),2)
=LEFT(INDIRECT("数出表_Excel!A"&amp;MATCH(G8,数出表_Excel!$A:$A,0)+1),2)),100,
IF(AND(LEFT(G8,3)="奈良屋",
LEFT(INDIRECT("数出表_Excel!A"&amp;MATCH(G8,数出表_Excel!$A:$A,0)-1),2)
=LEFT(INDIRECT("数出表_Excel!A"&amp;MATCH(G8,数出表_Excel!$A:$A,0)+1),2)),200,""))</f>
        <v>#N/A</v>
      </c>
      <c r="C10" s="189" t="str">
        <f ca="1">IF(C9&lt;&gt;"",
"園児","")</f>
        <v/>
      </c>
      <c r="D10" s="190"/>
      <c r="E10" s="193" t="str">
        <f ca="1">IF(C9&lt;&gt;"",
"先生","")</f>
        <v/>
      </c>
      <c r="F10" s="190"/>
      <c r="G10" s="101">
        <f t="array" aca="1" ref="G10" ca="1">IF(C8&lt;&gt;"",
IF(IFERROR(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"")&lt;&gt;0,
IF(IFERROR(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"")="",
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""),
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"")),0),0)</f>
        <v>0</v>
      </c>
      <c r="H10" s="80"/>
      <c r="I10" s="88" t="e">
        <f t="array" aca="1" ref="I10" ca="1">IF(AND(LEFT(N8,2)="博多",
LEFT(INDIRECT("数出表_Excel!A"&amp;MATCH(N8,数出表_Excel!$A:$A,0)-1),2)
=LEFT(INDIRECT("数出表_Excel!A"&amp;MATCH(N8,数出表_Excel!$A:$A,0)+1),2)),100,
IF(AND(LEFT(N8,3)="奈良屋",
LEFT(INDIRECT("数出表_Excel!A"&amp;MATCH(N8,数出表_Excel!$A:$A,0)-1),2)
=LEFT(INDIRECT("数出表_Excel!A"&amp;MATCH(N8,数出表_Excel!$A:$A,0)+1),2)),200,""))</f>
        <v>#N/A</v>
      </c>
      <c r="J10" s="189" t="str">
        <f ca="1">IF(J9&lt;&gt;"",
"園児","")</f>
        <v/>
      </c>
      <c r="K10" s="190"/>
      <c r="L10" s="193" t="str">
        <f ca="1">IF(J9&lt;&gt;"",
"先生","")</f>
        <v/>
      </c>
      <c r="M10" s="190"/>
      <c r="N10" s="101">
        <f t="array" aca="1" ref="N10" ca="1">IF(J8&lt;&gt;"",
IF(IFERROR(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"")&lt;&gt;0,
IF(IFERROR(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"")="",
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""),
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"")),0),0)</f>
        <v>0</v>
      </c>
      <c r="O10" s="80"/>
      <c r="P10" s="80"/>
      <c r="Q10" s="88" t="e">
        <f t="array" aca="1" ref="Q10" ca="1">IF(AND(LEFT(V8,2)="博多",
LEFT(INDIRECT("数出表_Excel!A"&amp;MATCH(V8,数出表_Excel!$A:$A,0)-1),2)
=LEFT(INDIRECT("数出表_Excel!A"&amp;MATCH(V8,数出表_Excel!$A:$A,0)+1),2)),100,
IF(AND(LEFT(V8,3)="奈良屋",
LEFT(INDIRECT("数出表_Excel!A"&amp;MATCH(V8,数出表_Excel!$A:$A,0)-1),2)
=LEFT(INDIRECT("数出表_Excel!A"&amp;MATCH(V8,数出表_Excel!$A:$A,0)+1),2)),200,""))</f>
        <v>#N/A</v>
      </c>
      <c r="R10" s="189" t="str">
        <f ca="1">IF(R9&lt;&gt;"",
"園児","")</f>
        <v/>
      </c>
      <c r="S10" s="190"/>
      <c r="T10" s="193" t="str">
        <f ca="1">IF(R9&lt;&gt;"",
"先生","")</f>
        <v/>
      </c>
      <c r="U10" s="190"/>
      <c r="V10" s="101">
        <f t="array" aca="1" ref="V10" ca="1">IF(R8&lt;&gt;"",
IF(IFERROR(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"")&lt;&gt;0,
IF(IFERROR(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"")="",
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""),
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"")),0),0)</f>
        <v>0</v>
      </c>
      <c r="W10" s="80"/>
      <c r="X10" s="88" t="e">
        <f t="array" aca="1" ref="X10" ca="1">IF(AND(LEFT(AC8,2)="博多",
LEFT(INDIRECT("数出表_Excel!A"&amp;MATCH(AC8,数出表_Excel!$A:$A,0)-1),2)
=LEFT(INDIRECT("数出表_Excel!A"&amp;MATCH(AC8,数出表_Excel!$A:$A,0)+1),2)),100,
IF(AND(LEFT(AC8,3)="奈良屋",
LEFT(INDIRECT("数出表_Excel!A"&amp;MATCH(AC8,数出表_Excel!$A:$A,0)-1),2)
=LEFT(INDIRECT("数出表_Excel!A"&amp;MATCH(AC8,数出表_Excel!$A:$A,0)+1),2)),200,""))</f>
        <v>#N/A</v>
      </c>
      <c r="Y10" s="189" t="str">
        <f ca="1">IF(Y9&lt;&gt;"",
"園児","")</f>
        <v/>
      </c>
      <c r="Z10" s="190"/>
      <c r="AA10" s="193" t="str">
        <f ca="1">IF(Y9&lt;&gt;"",
"先生","")</f>
        <v/>
      </c>
      <c r="AB10" s="190"/>
      <c r="AC10" s="101">
        <f t="array" aca="1" ref="AC10" ca="1">IF(Y8&lt;&gt;"",
IF(IFERROR(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"")&lt;&gt;0,
IF(IFERROR(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"")="",
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""),
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"")),0),0)</f>
        <v>0</v>
      </c>
      <c r="AD10" s="80"/>
      <c r="AE10" s="80"/>
      <c r="AF10" s="88" t="e">
        <f t="array" aca="1" ref="AF10" ca="1">IF(AND(LEFT(AK8,2)="博多",
LEFT(INDIRECT("数出表_Excel!A"&amp;MATCH(AK8,数出表_Excel!$A:$A,0)-1),2)
=LEFT(INDIRECT("数出表_Excel!A"&amp;MATCH(AK8,数出表_Excel!$A:$A,0)+1),2)),100,
IF(AND(LEFT(AK8,3)="奈良屋",
LEFT(INDIRECT("数出表_Excel!A"&amp;MATCH(AK8,数出表_Excel!$A:$A,0)-1),2)
=LEFT(INDIRECT("数出表_Excel!A"&amp;MATCH(AK8,数出表_Excel!$A:$A,0)+1),2)),200,""))</f>
        <v>#N/A</v>
      </c>
      <c r="AG10" s="189" t="str">
        <f ca="1">IF(AG9&lt;&gt;"",
"園児","")</f>
        <v/>
      </c>
      <c r="AH10" s="190"/>
      <c r="AI10" s="193" t="str">
        <f ca="1">IF(AG9&lt;&gt;"",
"先生","")</f>
        <v/>
      </c>
      <c r="AJ10" s="190"/>
      <c r="AK10" s="101">
        <f t="array" aca="1" ref="AK10" ca="1">IF(AG8&lt;&gt;"",
IF(IFERROR(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"")&lt;&gt;0,
IF(IFERROR(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"")="",
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""),
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"")),0),0)</f>
        <v>0</v>
      </c>
      <c r="AL10" s="80"/>
      <c r="AM10" s="88" t="e">
        <f t="array" aca="1" ref="AM10" ca="1">IF(AND(LEFT(AR8,2)="博多",
LEFT(INDIRECT("数出表_Excel!A"&amp;MATCH(AR8,数出表_Excel!$A:$A,0)-1),2)
=LEFT(INDIRECT("数出表_Excel!A"&amp;MATCH(AR8,数出表_Excel!$A:$A,0)+1),2)),100,
IF(AND(LEFT(AR8,3)="奈良屋",
LEFT(INDIRECT("数出表_Excel!A"&amp;MATCH(AR8,数出表_Excel!$A:$A,0)-1),2)
=LEFT(INDIRECT("数出表_Excel!A"&amp;MATCH(AR8,数出表_Excel!$A:$A,0)+1),2)),200,""))</f>
        <v>#N/A</v>
      </c>
      <c r="AN10" s="189" t="str">
        <f ca="1">IF(AN9&lt;&gt;"",
"園児","")</f>
        <v/>
      </c>
      <c r="AO10" s="190"/>
      <c r="AP10" s="193" t="str">
        <f ca="1">IF(AN9&lt;&gt;"",
"先生","")</f>
        <v/>
      </c>
      <c r="AQ10" s="190"/>
      <c r="AR10" s="101">
        <f t="array" aca="1" ref="AR10" ca="1">IF(AN8&lt;&gt;"",
IF(IFERROR(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"")&lt;&gt;0,
IF(IFERROR(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"")="",
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""),
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"")),0),0)</f>
        <v>0</v>
      </c>
      <c r="AS10" s="80"/>
      <c r="AT10" s="80"/>
      <c r="AU10" s="88" t="e">
        <f t="array" aca="1" ref="AU10" ca="1">IF(AND(LEFT(AZ8,2)="博多",
LEFT(INDIRECT("数出表_Excel!A"&amp;MATCH(AZ8,数出表_Excel!$A:$A,0)-1),2)
=LEFT(INDIRECT("数出表_Excel!A"&amp;MATCH(AZ8,数出表_Excel!$A:$A,0)+1),2)),100,
IF(AND(LEFT(AZ8,3)="奈良屋",
LEFT(INDIRECT("数出表_Excel!A"&amp;MATCH(AZ8,数出表_Excel!$A:$A,0)-1),2)
=LEFT(INDIRECT("数出表_Excel!A"&amp;MATCH(AZ8,数出表_Excel!$A:$A,0)+1),2)),200,""))</f>
        <v>#N/A</v>
      </c>
      <c r="AV10" s="189" t="str">
        <f ca="1">IF(AV9&lt;&gt;"",
"園児","")</f>
        <v/>
      </c>
      <c r="AW10" s="190"/>
      <c r="AX10" s="193" t="str">
        <f ca="1">IF(AV9&lt;&gt;"",
"先生","")</f>
        <v/>
      </c>
      <c r="AY10" s="190"/>
      <c r="AZ10" s="101">
        <f t="array" aca="1" ref="AZ10" ca="1">IF(AV8&lt;&gt;"",
IF(IFERROR(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"")&lt;&gt;0,
IF(IFERROR(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"")="",
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""),
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"")),0),0)</f>
        <v>0</v>
      </c>
      <c r="BA10" s="80"/>
      <c r="BB10" s="88" t="e">
        <f t="array" aca="1" ref="BB10" ca="1">IF(AND(LEFT(BG8,2)="博多",
LEFT(INDIRECT("数出表_Excel!A"&amp;MATCH(BG8,数出表_Excel!$A:$A,0)-1),2)
=LEFT(INDIRECT("数出表_Excel!A"&amp;MATCH(BG8,数出表_Excel!$A:$A,0)+1),2)),100,
IF(AND(LEFT(BG8,3)="奈良屋",
LEFT(INDIRECT("数出表_Excel!A"&amp;MATCH(BG8,数出表_Excel!$A:$A,0)-1),2)
=LEFT(INDIRECT("数出表_Excel!A"&amp;MATCH(BG8,数出表_Excel!$A:$A,0)+1),2)),200,""))</f>
        <v>#N/A</v>
      </c>
      <c r="BC10" s="189" t="str">
        <f ca="1">IF(BC9&lt;&gt;"",
"園児","")</f>
        <v/>
      </c>
      <c r="BD10" s="190"/>
      <c r="BE10" s="193" t="str">
        <f ca="1">IF(BC9&lt;&gt;"",
"先生","")</f>
        <v/>
      </c>
      <c r="BF10" s="190"/>
      <c r="BG10" s="101">
        <f t="array" aca="1" ref="BG10" ca="1">IF(BC8&lt;&gt;"",
IF(IFERROR(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"")&lt;&gt;0,
IF(IFERROR(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"")="",
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""),
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"")),0),0)</f>
        <v>0</v>
      </c>
      <c r="BH10" s="80"/>
      <c r="BI10" s="80"/>
      <c r="BJ10" s="88" t="e">
        <f t="array" aca="1" ref="BJ10" ca="1">IF(AND(LEFT(BO8,2)="博多",
LEFT(INDIRECT("数出表_Excel!A"&amp;MATCH(BO8,数出表_Excel!$A:$A,0)-1),2)
=LEFT(INDIRECT("数出表_Excel!A"&amp;MATCH(BO8,数出表_Excel!$A:$A,0)+1),2)),100,
IF(AND(LEFT(BO8,3)="奈良屋",
LEFT(INDIRECT("数出表_Excel!A"&amp;MATCH(BO8,数出表_Excel!$A:$A,0)-1),2)
=LEFT(INDIRECT("数出表_Excel!A"&amp;MATCH(BO8,数出表_Excel!$A:$A,0)+1),2)),200,""))</f>
        <v>#N/A</v>
      </c>
      <c r="BK10" s="189" t="str">
        <f ca="1">IF(BK9&lt;&gt;"",
"園児","")</f>
        <v/>
      </c>
      <c r="BL10" s="190"/>
      <c r="BM10" s="193" t="str">
        <f ca="1">IF(BK9&lt;&gt;"",
"先生","")</f>
        <v/>
      </c>
      <c r="BN10" s="190"/>
      <c r="BO10" s="101">
        <f t="array" aca="1" ref="BO10" ca="1">IF(BK8&lt;&gt;"",
IF(IFERROR(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"")&lt;&gt;0,
IF(IFERROR(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"")="",
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""),
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"")),0),0)</f>
        <v>0</v>
      </c>
      <c r="BP10" s="80"/>
      <c r="BQ10" s="88" t="e">
        <f t="array" aca="1" ref="BQ10" ca="1">IF(AND(LEFT(BV8,2)="博多",
LEFT(INDIRECT("数出表_Excel!A"&amp;MATCH(BV8,数出表_Excel!$A:$A,0)-1),2)
=LEFT(INDIRECT("数出表_Excel!A"&amp;MATCH(BV8,数出表_Excel!$A:$A,0)+1),2)),100,
IF(AND(LEFT(BV8,3)="奈良屋",
LEFT(INDIRECT("数出表_Excel!A"&amp;MATCH(BV8,数出表_Excel!$A:$A,0)-1),2)
=LEFT(INDIRECT("数出表_Excel!A"&amp;MATCH(BV8,数出表_Excel!$A:$A,0)+1),2)),200,""))</f>
        <v>#N/A</v>
      </c>
      <c r="BR10" s="189" t="str">
        <f ca="1">IF(BR9&lt;&gt;"",
"園児","")</f>
        <v/>
      </c>
      <c r="BS10" s="190"/>
      <c r="BT10" s="193" t="str">
        <f ca="1">IF(BR9&lt;&gt;"",
"先生","")</f>
        <v/>
      </c>
      <c r="BU10" s="190"/>
      <c r="BV10" s="101">
        <f t="array" aca="1" ref="BV10" ca="1">IF(BR8&lt;&gt;"",
IF(IFERROR(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"")&lt;&gt;0,
IF(IFERROR(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"")="",
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""),
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"")),0),0)</f>
        <v>0</v>
      </c>
      <c r="BW10" s="80"/>
      <c r="BX10" s="80"/>
      <c r="BY10" s="88" t="e">
        <f t="array" aca="1" ref="BY10" ca="1">IF(AND(LEFT(CD8,2)="博多",
LEFT(INDIRECT("数出表_Excel!A"&amp;MATCH(CD8,数出表_Excel!$A:$A,0)-1),2)
=LEFT(INDIRECT("数出表_Excel!A"&amp;MATCH(CD8,数出表_Excel!$A:$A,0)+1),2)),100,
IF(AND(LEFT(CD8,3)="奈良屋",
LEFT(INDIRECT("数出表_Excel!A"&amp;MATCH(CD8,数出表_Excel!$A:$A,0)-1),2)
=LEFT(INDIRECT("数出表_Excel!A"&amp;MATCH(CD8,数出表_Excel!$A:$A,0)+1),2)),200,""))</f>
        <v>#N/A</v>
      </c>
      <c r="BZ10" s="189" t="str">
        <f ca="1">IF(BZ9&lt;&gt;"",
"園児","")</f>
        <v/>
      </c>
      <c r="CA10" s="190"/>
      <c r="CB10" s="193" t="str">
        <f ca="1">IF(BZ9&lt;&gt;"",
"先生","")</f>
        <v/>
      </c>
      <c r="CC10" s="190"/>
      <c r="CD10" s="101">
        <f t="array" aca="1" ref="CD10" ca="1">IF(BZ8&lt;&gt;"",
IF(IFERROR(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"")&lt;&gt;0,
IF(IFERROR(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"")="",
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""),
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"")),0),0)</f>
        <v>0</v>
      </c>
      <c r="CE10" s="80"/>
      <c r="CF10" s="88" t="e">
        <f t="array" aca="1" ref="CF10" ca="1">IF(AND(LEFT(CK8,2)="博多",
LEFT(INDIRECT("数出表_Excel!A"&amp;MATCH(CK8,数出表_Excel!$A:$A,0)-1),2)
=LEFT(INDIRECT("数出表_Excel!A"&amp;MATCH(CK8,数出表_Excel!$A:$A,0)+1),2)),100,
IF(AND(LEFT(CK8,3)="奈良屋",
LEFT(INDIRECT("数出表_Excel!A"&amp;MATCH(CK8,数出表_Excel!$A:$A,0)-1),2)
=LEFT(INDIRECT("数出表_Excel!A"&amp;MATCH(CK8,数出表_Excel!$A:$A,0)+1),2)),200,""))</f>
        <v>#N/A</v>
      </c>
      <c r="CG10" s="189" t="str">
        <f ca="1">IF(CG9&lt;&gt;"",
"園児","")</f>
        <v/>
      </c>
      <c r="CH10" s="190"/>
      <c r="CI10" s="193" t="str">
        <f ca="1">IF(CG9&lt;&gt;"",
"先生","")</f>
        <v/>
      </c>
      <c r="CJ10" s="190"/>
      <c r="CK10" s="101">
        <f t="array" aca="1" ref="CK10" ca="1">IF(CG8&lt;&gt;"",
IF(IFERROR(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"")&lt;&gt;0,
IF(IFERROR(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"")="",
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""),
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"")),0),0)</f>
        <v>0</v>
      </c>
      <c r="CL10" s="80"/>
      <c r="CM10" s="80"/>
      <c r="CN10" s="88" t="e">
        <f t="array" aca="1" ref="CN10" ca="1">IF(AND(LEFT(CS8,2)="博多",
LEFT(INDIRECT("数出表_Excel!A"&amp;MATCH(CS8,数出表_Excel!$A:$A,0)-1),2)
=LEFT(INDIRECT("数出表_Excel!A"&amp;MATCH(CS8,数出表_Excel!$A:$A,0)+1),2)),100,
IF(AND(LEFT(CS8,3)="奈良屋",
LEFT(INDIRECT("数出表_Excel!A"&amp;MATCH(CS8,数出表_Excel!$A:$A,0)-1),2)
=LEFT(INDIRECT("数出表_Excel!A"&amp;MATCH(CS8,数出表_Excel!$A:$A,0)+1),2)),200,""))</f>
        <v>#N/A</v>
      </c>
      <c r="CO10" s="189" t="str">
        <f ca="1">IF(CO9&lt;&gt;"",
"園児","")</f>
        <v/>
      </c>
      <c r="CP10" s="190"/>
      <c r="CQ10" s="193" t="str">
        <f ca="1">IF(CO9&lt;&gt;"",
"先生","")</f>
        <v/>
      </c>
      <c r="CR10" s="190"/>
      <c r="CS10" s="101">
        <f t="array" aca="1" ref="CS10" ca="1">IF(CO8&lt;&gt;"",
IF(IFERROR(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"")&lt;&gt;0,
IF(IFERROR(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"")="",
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""),
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"")),0),0)</f>
        <v>0</v>
      </c>
      <c r="CT10" s="80"/>
      <c r="CU10" s="88" t="e">
        <f t="array" aca="1" ref="CU10" ca="1">IF(AND(LEFT(CZ8,2)="博多",
LEFT(INDIRECT("数出表_Excel!A"&amp;MATCH(CZ8,数出表_Excel!$A:$A,0)-1),2)
=LEFT(INDIRECT("数出表_Excel!A"&amp;MATCH(CZ8,数出表_Excel!$A:$A,0)+1),2)),100,
IF(AND(LEFT(CZ8,3)="奈良屋",
LEFT(INDIRECT("数出表_Excel!A"&amp;MATCH(CZ8,数出表_Excel!$A:$A,0)-1),2)
=LEFT(INDIRECT("数出表_Excel!A"&amp;MATCH(CZ8,数出表_Excel!$A:$A,0)+1),2)),200,""))</f>
        <v>#N/A</v>
      </c>
      <c r="CV10" s="189" t="str">
        <f ca="1">IF(CV9&lt;&gt;"",
"園児","")</f>
        <v/>
      </c>
      <c r="CW10" s="190"/>
      <c r="CX10" s="193" t="str">
        <f ca="1">IF(CV9&lt;&gt;"",
"先生","")</f>
        <v/>
      </c>
      <c r="CY10" s="190"/>
      <c r="CZ10" s="101">
        <f t="array" aca="1" ref="CZ10" ca="1">IF(CV8&lt;&gt;"",
IF(IFERROR(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"")&lt;&gt;0,
IF(IFERROR(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"")="",
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""),
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"")),0),0)</f>
        <v>0</v>
      </c>
      <c r="DA10" s="80"/>
      <c r="DB10" s="80"/>
      <c r="DC10" s="88" t="e">
        <f t="array" aca="1" ref="DC10" ca="1">IF(AND(LEFT(DH8,2)="博多",
LEFT(INDIRECT("数出表_Excel!A"&amp;MATCH(DH8,数出表_Excel!$A:$A,0)-1),2)
=LEFT(INDIRECT("数出表_Excel!A"&amp;MATCH(DH8,数出表_Excel!$A:$A,0)+1),2)),100,
IF(AND(LEFT(DH8,3)="奈良屋",
LEFT(INDIRECT("数出表_Excel!A"&amp;MATCH(DH8,数出表_Excel!$A:$A,0)-1),2)
=LEFT(INDIRECT("数出表_Excel!A"&amp;MATCH(DH8,数出表_Excel!$A:$A,0)+1),2)),200,""))</f>
        <v>#N/A</v>
      </c>
      <c r="DD10" s="189" t="str">
        <f ca="1">IF(DD9&lt;&gt;"",
"園児","")</f>
        <v/>
      </c>
      <c r="DE10" s="190"/>
      <c r="DF10" s="193" t="str">
        <f ca="1">IF(DD9&lt;&gt;"",
"先生","")</f>
        <v/>
      </c>
      <c r="DG10" s="190"/>
      <c r="DH10" s="101">
        <f t="array" aca="1" ref="DH10" ca="1">IF(DD8&lt;&gt;"",
IF(IFERROR(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"")&lt;&gt;0,
IF(IFERROR(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"")="",
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""),
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"")),0),0)</f>
        <v>0</v>
      </c>
      <c r="DI10" s="80"/>
      <c r="DJ10" s="88" t="e">
        <f t="array" aca="1" ref="DJ10" ca="1">IF(AND(LEFT(DO8,2)="博多",
LEFT(INDIRECT("数出表_Excel!A"&amp;MATCH(DO8,数出表_Excel!$A:$A,0)-1),2)
=LEFT(INDIRECT("数出表_Excel!A"&amp;MATCH(DO8,数出表_Excel!$A:$A,0)+1),2)),100,
IF(AND(LEFT(DO8,3)="奈良屋",
LEFT(INDIRECT("数出表_Excel!A"&amp;MATCH(DO8,数出表_Excel!$A:$A,0)-1),2)
=LEFT(INDIRECT("数出表_Excel!A"&amp;MATCH(DO8,数出表_Excel!$A:$A,0)+1),2)),200,""))</f>
        <v>#N/A</v>
      </c>
      <c r="DK10" s="189" t="str">
        <f ca="1">IF(DK9&lt;&gt;"",
"園児","")</f>
        <v/>
      </c>
      <c r="DL10" s="190"/>
      <c r="DM10" s="193" t="str">
        <f ca="1">IF(DK9&lt;&gt;"",
"先生","")</f>
        <v/>
      </c>
      <c r="DN10" s="190"/>
      <c r="DO10" s="101">
        <f t="array" aca="1" ref="DO10" ca="1">IF(DK8&lt;&gt;"",
IF(IFERROR(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"")&lt;&gt;0,
IF(IFERROR(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"")="",
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""),
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"")),0),0)</f>
        <v>0</v>
      </c>
      <c r="DP10" s="80"/>
      <c r="DQ10" s="80"/>
      <c r="DR10" s="88" t="e">
        <f t="array" aca="1" ref="DR10" ca="1">IF(AND(LEFT(DW8,2)="博多",
LEFT(INDIRECT("数出表_Excel!A"&amp;MATCH(DW8,数出表_Excel!$A:$A,0)-1),2)
=LEFT(INDIRECT("数出表_Excel!A"&amp;MATCH(DW8,数出表_Excel!$A:$A,0)+1),2)),100,
IF(AND(LEFT(DW8,3)="奈良屋",
LEFT(INDIRECT("数出表_Excel!A"&amp;MATCH(DW8,数出表_Excel!$A:$A,0)-1),2)
=LEFT(INDIRECT("数出表_Excel!A"&amp;MATCH(DW8,数出表_Excel!$A:$A,0)+1),2)),200,""))</f>
        <v>#N/A</v>
      </c>
      <c r="DS10" s="189" t="str">
        <f ca="1">IF(DS9&lt;&gt;"",
"園児","")</f>
        <v/>
      </c>
      <c r="DT10" s="190"/>
      <c r="DU10" s="193" t="str">
        <f ca="1">IF(DS9&lt;&gt;"",
"先生","")</f>
        <v/>
      </c>
      <c r="DV10" s="190"/>
      <c r="DW10" s="101">
        <f t="array" aca="1" ref="DW10" ca="1">IF(DS8&lt;&gt;"",
IF(IFERROR(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"")&lt;&gt;0,
IF(IFERROR(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"")="",
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""),
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"")),0),0)</f>
        <v>0</v>
      </c>
      <c r="DX10" s="80"/>
      <c r="DY10" s="88" t="e">
        <f t="array" aca="1" ref="DY10" ca="1">IF(AND(LEFT(ED8,2)="博多",
LEFT(INDIRECT("数出表_Excel!A"&amp;MATCH(ED8,数出表_Excel!$A:$A,0)-1),2)
=LEFT(INDIRECT("数出表_Excel!A"&amp;MATCH(ED8,数出表_Excel!$A:$A,0)+1),2)),100,
IF(AND(LEFT(ED8,3)="奈良屋",
LEFT(INDIRECT("数出表_Excel!A"&amp;MATCH(ED8,数出表_Excel!$A:$A,0)-1),2)
=LEFT(INDIRECT("数出表_Excel!A"&amp;MATCH(ED8,数出表_Excel!$A:$A,0)+1),2)),200,""))</f>
        <v>#N/A</v>
      </c>
      <c r="DZ10" s="189" t="str">
        <f ca="1">IF(DZ9&lt;&gt;"",
"園児","")</f>
        <v/>
      </c>
      <c r="EA10" s="190"/>
      <c r="EB10" s="193" t="str">
        <f ca="1">IF(DZ9&lt;&gt;"",
"先生","")</f>
        <v/>
      </c>
      <c r="EC10" s="190"/>
      <c r="ED10" s="101">
        <f t="array" aca="1" ref="ED10" ca="1">IF(DZ8&lt;&gt;"",
IF(IFERROR(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"")&lt;&gt;0,
IF(IFERROR(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"")="",
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""),
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"")),0),0)</f>
        <v>0</v>
      </c>
      <c r="EE10" s="80"/>
      <c r="EF10" s="80"/>
      <c r="EG10" s="88" t="e">
        <f t="array" aca="1" ref="EG10" ca="1">IF(AND(LEFT(EL8,2)="博多",
LEFT(INDIRECT("数出表_Excel!A"&amp;MATCH(EL8,数出表_Excel!$A:$A,0)-1),2)
=LEFT(INDIRECT("数出表_Excel!A"&amp;MATCH(EL8,数出表_Excel!$A:$A,0)+1),2)),100,
IF(AND(LEFT(EL8,3)="奈良屋",
LEFT(INDIRECT("数出表_Excel!A"&amp;MATCH(EL8,数出表_Excel!$A:$A,0)-1),2)
=LEFT(INDIRECT("数出表_Excel!A"&amp;MATCH(EL8,数出表_Excel!$A:$A,0)+1),2)),200,""))</f>
        <v>#N/A</v>
      </c>
      <c r="EH10" s="189" t="str">
        <f ca="1">IF(EH9&lt;&gt;"",
"園児","")</f>
        <v/>
      </c>
      <c r="EI10" s="190"/>
      <c r="EJ10" s="193" t="str">
        <f ca="1">IF(EH9&lt;&gt;"",
"先生","")</f>
        <v/>
      </c>
      <c r="EK10" s="190"/>
      <c r="EL10" s="101">
        <f t="array" aca="1" ref="EL10" ca="1">IF(EH8&lt;&gt;"",
IF(IFERROR(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"")&lt;&gt;0,
IF(IFERROR(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"")="",
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""),
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"")),0),0)</f>
        <v>0</v>
      </c>
      <c r="EM10" s="80"/>
      <c r="EN10" s="88" t="e">
        <f t="array" aca="1" ref="EN10" ca="1">IF(AND(LEFT(ES8,2)="博多",
LEFT(INDIRECT("数出表_Excel!A"&amp;MATCH(ES8,数出表_Excel!$A:$A,0)-1),2)
=LEFT(INDIRECT("数出表_Excel!A"&amp;MATCH(ES8,数出表_Excel!$A:$A,0)+1),2)),100,
IF(AND(LEFT(ES8,3)="奈良屋",
LEFT(INDIRECT("数出表_Excel!A"&amp;MATCH(ES8,数出表_Excel!$A:$A,0)-1),2)
=LEFT(INDIRECT("数出表_Excel!A"&amp;MATCH(ES8,数出表_Excel!$A:$A,0)+1),2)),200,""))</f>
        <v>#N/A</v>
      </c>
      <c r="EO10" s="189" t="str">
        <f ca="1">IF(EO9&lt;&gt;"",
"園児","")</f>
        <v/>
      </c>
      <c r="EP10" s="190"/>
      <c r="EQ10" s="193" t="str">
        <f ca="1">IF(EO9&lt;&gt;"",
"先生","")</f>
        <v/>
      </c>
      <c r="ER10" s="190"/>
      <c r="ES10" s="101">
        <f t="array" aca="1" ref="ES10" ca="1">IF(EO8&lt;&gt;"",
IF(IFERROR(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"")&lt;&gt;0,
IF(IFERROR(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"")="",
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""),
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"")),0),0)</f>
        <v>0</v>
      </c>
      <c r="ET10" s="110"/>
      <c r="EU10" s="82">
        <f t="shared" si="1"/>
        <v>56</v>
      </c>
      <c r="EV10" s="82" t="str">
        <f t="array" aca="1" ref="EV10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LEN(SUBSTITUTE(_xlfn.FORMULATEXT(EV$1),"=","")))+$EU10)</f>
        <v/>
      </c>
      <c r="EW10" s="82" t="str">
        <f t="array" aca="1" ref="EW10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LEN(SUBSTITUTE(_xlfn.FORMULATEXT(EW$1),"=","")))+$EU10)</f>
        <v/>
      </c>
      <c r="EX10" s="82" t="str">
        <f t="array" aca="1" ref="EX10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LEN(SUBSTITUTE(_xlfn.FORMULATEXT(EX$1),"=","")))+$EU10)</f>
        <v/>
      </c>
      <c r="EY10" s="82" t="str">
        <f t="array" aca="1" ref="EY10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LEN(SUBSTITUTE(_xlfn.FORMULATEXT(EY$1),"=","")))+$EU10)</f>
        <v/>
      </c>
      <c r="EZ10" s="82" t="str">
        <f t="array" aca="1" ref="EZ10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LEN(SUBSTITUTE(_xlfn.FORMULATEXT(EZ$1),"=","")))+$EU10)</f>
        <v/>
      </c>
      <c r="FA10" s="82" t="str">
        <f t="array" aca="1" ref="FA10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LEN(SUBSTITUTE(_xlfn.FORMULATEXT(FA$1),"=","")))+$EU10)</f>
        <v/>
      </c>
      <c r="FB10" s="82" t="str">
        <f t="array" aca="1" ref="FB10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LEN(SUBSTITUTE(_xlfn.FORMULATEXT(FB$1),"=","")))+$EU10)</f>
        <v/>
      </c>
      <c r="FC10" s="82" t="str">
        <f t="array" aca="1" ref="FC10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LEN(SUBSTITUTE(_xlfn.FORMULATEXT(FC$1),"=","")))+$EU10)</f>
        <v/>
      </c>
      <c r="FD10" s="82" t="str">
        <f t="array" aca="1" ref="FD10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LEN(SUBSTITUTE(_xlfn.FORMULATEXT(FD$1),"=","")))+$EU10)</f>
        <v/>
      </c>
      <c r="FE10" s="82" t="str">
        <f t="array" aca="1" ref="FE10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LEN(SUBSTITUTE(_xlfn.FORMULATEXT(FE$1),"=","")))+$EU10)</f>
        <v/>
      </c>
      <c r="FF10" s="82" t="str">
        <f t="array" aca="1" ref="FF10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LEN(SUBSTITUTE(_xlfn.FORMULATEXT(FF$1),"=","")))+$EU10)</f>
        <v/>
      </c>
      <c r="FG10" s="82">
        <f t="shared" ca="1" si="0"/>
        <v>0</v>
      </c>
      <c r="FH10" s="82" t="b">
        <f t="array" aca="1" ref="FH10" ca="1">SUMPRODUCT((LEN(EV10:FF10)&gt;0)*1)&gt;0</f>
        <v>0</v>
      </c>
      <c r="FI10" s="82" t="str">
        <f t="array" aca="1" ref="FI10" ca="1">IFERROR(SMALL(IF(FG$1:FG$173&lt;&gt;0,FG$1:FG$173),ROW(A10)),"")</f>
        <v/>
      </c>
      <c r="FJ10" s="82" t="str">
        <f t="array" aca="1" ref="FJ10" ca="1">IF($FI10&lt;&gt;"",
INDIRECT(""&amp;IF(COLUMN(EV10)&lt;=26,CHAR(COLUMN(EV10)+64),CHAR(INT((COLUMN(EV10)-1)/26)+64)&amp;CHAR(MOD(COLUMN(EV10)-1,26)+65))&amp;$FI10&amp;""),"")</f>
        <v/>
      </c>
      <c r="FK10" s="82" t="str">
        <f t="array" aca="1" ref="FK10" ca="1">IF($FI10&lt;&gt;"",
INDIRECT(""&amp;IF(COLUMN(EW10)&lt;=26,CHAR(COLUMN(EW10)+64),CHAR(INT((COLUMN(EW10)-1)/26)+64)&amp;CHAR(MOD(COLUMN(EW10)-1,26)+65))&amp;$FI10&amp;""),"")</f>
        <v/>
      </c>
      <c r="FL10" s="82" t="str">
        <f t="array" aca="1" ref="FL10" ca="1">IF($FI10&lt;&gt;"",
INDIRECT(""&amp;IF(COLUMN(EX10)&lt;=26,CHAR(COLUMN(EX10)+64),CHAR(INT((COLUMN(EX10)-1)/26)+64)&amp;CHAR(MOD(COLUMN(EX10)-1,26)+65))&amp;$FI10&amp;""),"")</f>
        <v/>
      </c>
      <c r="FM10" s="82" t="str">
        <f t="array" aca="1" ref="FM10" ca="1">IF($FI10&lt;&gt;"",
IF(FL10="",
IF(INDIRECT("EY"&amp;$FI10&amp;"")&lt;&gt;"",
INDIRECT("EY"&amp;$FI10&amp;"")&amp;"箱"
&amp;INDIRECT("EZ"&amp;$FI10&amp;""),""),""),"")</f>
        <v/>
      </c>
      <c r="FN10" s="82" t="str">
        <f t="array" aca="1" ref="FN10" ca="1">IF($FI10&lt;&gt;"",
INDIRECT(""&amp;IF(COLUMN(FA10)&lt;=26,CHAR(COLUMN(FA10)+64),CHAR(INT((COLUMN(FA10)-1)/26)+64)&amp;CHAR(MOD(COLUMN(FA10)-1,26)+65))&amp;$FI10&amp;""),"")</f>
        <v/>
      </c>
      <c r="FO10" s="82" t="str">
        <f t="array" aca="1" ref="FO10" ca="1">IF($FI10&lt;&gt;"",
INDIRECT(""&amp;IF(COLUMN(FB10)&lt;=26,CHAR(COLUMN(FB10)+64),CHAR(INT((COLUMN(FB10)-1)/26)+64)&amp;CHAR(MOD(COLUMN(FB10)-1,26)+65))&amp;$FI10&amp;""),"")</f>
        <v/>
      </c>
      <c r="FP10" s="82" t="str">
        <f t="array" aca="1" ref="FP10" ca="1">IF($FI10&lt;&gt;"",
INDIRECT(""&amp;IF(COLUMN(FC10)&lt;=26,CHAR(COLUMN(FC10)+64),CHAR(INT((COLUMN(FC10)-1)/26)+64)&amp;CHAR(MOD(COLUMN(FC10)-1,26)+65))&amp;$FI10&amp;""),"")</f>
        <v/>
      </c>
      <c r="FQ10" s="82" t="str">
        <f t="array" aca="1" ref="FQ10" ca="1">IF($FI10&lt;&gt;"",
INDIRECT(""&amp;IF(COLUMN(FD10)&lt;=26,CHAR(COLUMN(FD10)+64),CHAR(INT((COLUMN(FD10)-1)/26)+64)&amp;CHAR(MOD(COLUMN(FD10)-1,26)+65))&amp;$FI10&amp;""),"")</f>
        <v/>
      </c>
      <c r="FR10" s="82" t="str">
        <f t="array" aca="1" ref="FR10" ca="1">IF($FI10&lt;&gt;"",
INDIRECT(""&amp;IF(COLUMN(FE10)&lt;=26,CHAR(COLUMN(FE10)+64),CHAR(INT((COLUMN(FE10)-1)/26)+64)&amp;CHAR(MOD(COLUMN(FE10)-1,26)+65))&amp;$FI10&amp;""),"")</f>
        <v/>
      </c>
      <c r="FS10" s="82" t="str">
        <f t="array" aca="1" ref="FS10" ca="1">IF($FI10&lt;&gt;"",
INDIRECT(""&amp;IF(COLUMN(FF10)&lt;=26,CHAR(COLUMN(FF10)+64),CHAR(INT((COLUMN(FF10)-1)/26)+64)&amp;CHAR(MOD(COLUMN(FF10)-1,26)+65))&amp;$FI10&amp;""),"")</f>
        <v/>
      </c>
    </row>
    <row r="11" spans="1:175" ht="18" customHeight="1" x14ac:dyDescent="0.45">
      <c r="B11" s="90"/>
      <c r="C11" s="185" t="e">
        <f t="array" aca="1" ref="C11" ca="1">IF(AND(N1="社食",G8="社食"),"",
IF(C9&lt;&gt;"",
IF(IFERROR(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"")=0,"",
IF(B10=100,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IF(AND(B10=200,COUNTIF(数出表_Excel!$A:$A,"*奈良屋*")=2),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IF(AND(B10=200,COUNTIF(数出表_Excel!$A:$A,"*奈良屋*")=3),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
+IFERROR(
INDEX(INDIRECT("数出表_Excel!B"&amp;MATCH(G8,数出表_Excel!$A:$A,0)-1+4&amp;":U"&amp;MATCH(G8,数出表_Excel!$A:$A,0)-1+4&amp;""),
 1,
 MATCH(TRUE, ISNUMBER(--INDIRECT("数出表_Excel!B"&amp;MATCH(G8,数出表_Excel!$A:$A,0)-1+4&amp;":U"&amp;MATCH(G8,数出表_Excel!$A:$A,0)-1+4&amp;"")), 0)),
 ""),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""))))),"")+B11)</f>
        <v>#VALUE!</v>
      </c>
      <c r="D11" s="186"/>
      <c r="E11" s="188" t="str">
        <f t="array" aca="1" ref="E11" ca="1">IF(AND(G8="社食",N8="社食"),"",
IF(C9&lt;&gt;"",
IF(IFERROR(
INDEX(INDIRECT("数出表_Excel!B"&amp;MATCH(G8,数出表_Excel!$A:$A,0)&amp;":U"&amp;MATCH(G8,数出表_Excel!$A:$A,0)&amp;""),
 1,B9-1),
 "")=0,"",
IFERROR(
INDEX(INDIRECT("数出表_Excel!B"&amp;MATCH(G8,数出表_Excel!$A:$A,0)&amp;":U"&amp;MATCH(G8,数出表_Excel!$A:$A,0)&amp;""),
 1,B9-1),
 "")),""))</f>
        <v/>
      </c>
      <c r="F11" s="186"/>
      <c r="G11" s="101" t="e">
        <f t="array" aca="1" ref="G11" ca="1">IF(B10=100,
IF(C8&lt;&gt;"",
IF(IFERROR(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0)&lt;&gt;0,
IF(IFERROR(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0)="",
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0),
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0)),0),""),0)</f>
        <v>#N/A</v>
      </c>
      <c r="I11" s="90"/>
      <c r="J11" s="185" t="e">
        <f t="array" aca="1" ref="J11" ca="1">IF(AND(G8="社食",N8="社食"),"",
IF(J9&lt;&gt;"",
IF(IFERROR(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"")=0,"",
IF(I10=100,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IF(AND(I10=200,COUNTIF(数出表_Excel!$A:$A,"*奈良屋*")=2),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IF(AND(I10=200,COUNTIF(数出表_Excel!$A:$A,"*奈良屋*")=3),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
+IFERROR(
INDEX(INDIRECT("数出表_Excel!B"&amp;MATCH(N8,数出表_Excel!$A:$A,0)-1+4&amp;":U"&amp;MATCH(N8,数出表_Excel!$A:$A,0)-1+4&amp;""),
 1,
 MATCH(TRUE, ISNUMBER(--INDIRECT("数出表_Excel!B"&amp;MATCH(N8,数出表_Excel!$A:$A,0)-1+4&amp;":U"&amp;MATCH(N8,数出表_Excel!$A:$A,0)-1+4&amp;"")), 0)),
 ""),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""))))),"")+I11)</f>
        <v>#VALUE!</v>
      </c>
      <c r="K11" s="186"/>
      <c r="L11" s="188" t="str">
        <f t="array" aca="1" ref="L11" ca="1">IF(AND(N8="社食",G15="社食"),"",
IF(J9&lt;&gt;"",
IF(IFERROR(
INDEX(INDIRECT("数出表_Excel!B"&amp;MATCH(N8,数出表_Excel!$A:$A,0)&amp;":U"&amp;MATCH(N8,数出表_Excel!$A:$A,0)&amp;""),
 1,I9-1),
 "")=0,"",
IFERROR(
INDEX(INDIRECT("数出表_Excel!B"&amp;MATCH(N8,数出表_Excel!$A:$A,0)&amp;":U"&amp;MATCH(N8,数出表_Excel!$A:$A,0)&amp;""),
 1,I9-1),
 "")),""))</f>
        <v/>
      </c>
      <c r="M11" s="186"/>
      <c r="N11" s="101" t="e">
        <f t="array" aca="1" ref="N11" ca="1">IF(I10=100,
IF(J8&lt;&gt;"",
IF(IFERROR(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0)&lt;&gt;0,
IF(IFERROR(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0)="",
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0),
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0)),0),""),0)</f>
        <v>#N/A</v>
      </c>
      <c r="Q11" s="90"/>
      <c r="R11" s="185" t="e">
        <f t="array" aca="1" ref="R11" ca="1">IF(AND(AC1="社食",V8="社食"),"",
IF(R9&lt;&gt;"",
IF(IFERROR(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"")=0,"",
IF(Q10=100,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IF(AND(Q10=200,COUNTIF(数出表_Excel!$A:$A,"*奈良屋*")=2),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IF(AND(Q10=200,COUNTIF(数出表_Excel!$A:$A,"*奈良屋*")=3),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
+IFERROR(
INDEX(INDIRECT("数出表_Excel!B"&amp;MATCH(V8,数出表_Excel!$A:$A,0)-1+4&amp;":U"&amp;MATCH(V8,数出表_Excel!$A:$A,0)-1+4&amp;""),
 1,
 MATCH(TRUE, ISNUMBER(--INDIRECT("数出表_Excel!B"&amp;MATCH(V8,数出表_Excel!$A:$A,0)-1+4&amp;":U"&amp;MATCH(V8,数出表_Excel!$A:$A,0)-1+4&amp;"")), 0)),
 ""),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""))))),"")+Q11)</f>
        <v>#VALUE!</v>
      </c>
      <c r="S11" s="186"/>
      <c r="T11" s="188" t="str">
        <f t="array" aca="1" ref="T11" ca="1">IF(AND(V8="社食",AC8="社食"),"",
IF(R9&lt;&gt;"",
IF(IFERROR(
INDEX(INDIRECT("数出表_Excel!B"&amp;MATCH(V8,数出表_Excel!$A:$A,0)&amp;":U"&amp;MATCH(V8,数出表_Excel!$A:$A,0)&amp;""),
 1,Q9-1),
 "")=0,"",
IFERROR(
INDEX(INDIRECT("数出表_Excel!B"&amp;MATCH(V8,数出表_Excel!$A:$A,0)&amp;":U"&amp;MATCH(V8,数出表_Excel!$A:$A,0)&amp;""),
 1,Q9-1),
 "")),""))</f>
        <v/>
      </c>
      <c r="U11" s="186"/>
      <c r="V11" s="101" t="e">
        <f t="array" aca="1" ref="V11" ca="1">IF(Q10=100,
IF(R8&lt;&gt;"",
IF(IFERROR(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0)&lt;&gt;0,
IF(IFERROR(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0)="",
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0),
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0)),0),""),0)</f>
        <v>#N/A</v>
      </c>
      <c r="X11" s="90"/>
      <c r="Y11" s="185" t="e">
        <f t="array" aca="1" ref="Y11" ca="1">IF(AND(V8="社食",AC8="社食"),"",
IF(Y9&lt;&gt;"",
IF(IFERROR(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"")=0,"",
IF(X10=100,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IF(AND(X10=200,COUNTIF(数出表_Excel!$A:$A,"*奈良屋*")=2),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IF(AND(X10=200,COUNTIF(数出表_Excel!$A:$A,"*奈良屋*")=3),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
+IFERROR(
INDEX(INDIRECT("数出表_Excel!B"&amp;MATCH(AC8,数出表_Excel!$A:$A,0)-1+4&amp;":U"&amp;MATCH(AC8,数出表_Excel!$A:$A,0)-1+4&amp;""),
 1,
 MATCH(TRUE, ISNUMBER(--INDIRECT("数出表_Excel!B"&amp;MATCH(AC8,数出表_Excel!$A:$A,0)-1+4&amp;":U"&amp;MATCH(AC8,数出表_Excel!$A:$A,0)-1+4&amp;"")), 0)),
 ""),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""))))),"")+X11)</f>
        <v>#VALUE!</v>
      </c>
      <c r="Z11" s="186"/>
      <c r="AA11" s="188" t="str">
        <f t="array" aca="1" ref="AA11" ca="1">IF(AND(AC8="社食",V15="社食"),"",
IF(Y9&lt;&gt;"",
IF(IFERROR(
INDEX(INDIRECT("数出表_Excel!B"&amp;MATCH(AC8,数出表_Excel!$A:$A,0)&amp;":U"&amp;MATCH(AC8,数出表_Excel!$A:$A,0)&amp;""),
 1,X9-1),
 "")=0,"",
IFERROR(
INDEX(INDIRECT("数出表_Excel!B"&amp;MATCH(AC8,数出表_Excel!$A:$A,0)&amp;":U"&amp;MATCH(AC8,数出表_Excel!$A:$A,0)&amp;""),
 1,X9-1),
 "")),""))</f>
        <v/>
      </c>
      <c r="AB11" s="186"/>
      <c r="AC11" s="101" t="e">
        <f t="array" aca="1" ref="AC11" ca="1">IF(X10=100,
IF(Y8&lt;&gt;"",
IF(IFERROR(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0)&lt;&gt;0,
IF(IFERROR(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0)="",
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0),
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0)),0),""),0)</f>
        <v>#N/A</v>
      </c>
      <c r="AF11" s="90"/>
      <c r="AG11" s="185" t="e">
        <f t="array" aca="1" ref="AG11" ca="1">IF(AND(AR1="社食",AK8="社食"),"",
IF(AG9&lt;&gt;"",
IF(IFERROR(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"")=0,"",
IF(AF10=100,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IF(AND(AF10=200,COUNTIF(数出表_Excel!$A:$A,"*奈良屋*")=2),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IF(AND(AF10=200,COUNTIF(数出表_Excel!$A:$A,"*奈良屋*")=3),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
+IFERROR(
INDEX(INDIRECT("数出表_Excel!B"&amp;MATCH(AK8,数出表_Excel!$A:$A,0)-1+4&amp;":U"&amp;MATCH(AK8,数出表_Excel!$A:$A,0)-1+4&amp;""),
 1,
 MATCH(TRUE, ISNUMBER(--INDIRECT("数出表_Excel!B"&amp;MATCH(AK8,数出表_Excel!$A:$A,0)-1+4&amp;":U"&amp;MATCH(AK8,数出表_Excel!$A:$A,0)-1+4&amp;"")), 0)),
 ""),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""))))),"")+AF11)</f>
        <v>#VALUE!</v>
      </c>
      <c r="AH11" s="186"/>
      <c r="AI11" s="188" t="str">
        <f t="array" aca="1" ref="AI11" ca="1">IF(AND(AK8="社食",AR8="社食"),"",
IF(AG9&lt;&gt;"",
IF(IFERROR(
INDEX(INDIRECT("数出表_Excel!B"&amp;MATCH(AK8,数出表_Excel!$A:$A,0)&amp;":U"&amp;MATCH(AK8,数出表_Excel!$A:$A,0)&amp;""),
 1,AF9-1),
 "")=0,"",
IFERROR(
INDEX(INDIRECT("数出表_Excel!B"&amp;MATCH(AK8,数出表_Excel!$A:$A,0)&amp;":U"&amp;MATCH(AK8,数出表_Excel!$A:$A,0)&amp;""),
 1,AF9-1),
 "")),""))</f>
        <v/>
      </c>
      <c r="AJ11" s="186"/>
      <c r="AK11" s="101" t="e">
        <f t="array" aca="1" ref="AK11" ca="1">IF(AF10=100,
IF(AG8&lt;&gt;"",
IF(IFERROR(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0)&lt;&gt;0,
IF(IFERROR(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0)="",
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0),
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0)),0),""),0)</f>
        <v>#N/A</v>
      </c>
      <c r="AM11" s="90"/>
      <c r="AN11" s="185" t="e">
        <f t="array" aca="1" ref="AN11" ca="1">IF(AND(AK8="社食",AR8="社食"),"",
IF(AN9&lt;&gt;"",
IF(IFERROR(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"")=0,"",
IF(AM10=100,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IF(AND(AM10=200,COUNTIF(数出表_Excel!$A:$A,"*奈良屋*")=2),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IF(AND(AM10=200,COUNTIF(数出表_Excel!$A:$A,"*奈良屋*")=3),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
+IFERROR(
INDEX(INDIRECT("数出表_Excel!B"&amp;MATCH(AR8,数出表_Excel!$A:$A,0)-1+4&amp;":U"&amp;MATCH(AR8,数出表_Excel!$A:$A,0)-1+4&amp;""),
 1,
 MATCH(TRUE, ISNUMBER(--INDIRECT("数出表_Excel!B"&amp;MATCH(AR8,数出表_Excel!$A:$A,0)-1+4&amp;":U"&amp;MATCH(AR8,数出表_Excel!$A:$A,0)-1+4&amp;"")), 0)),
 ""),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""))))),"")+AM11)</f>
        <v>#VALUE!</v>
      </c>
      <c r="AO11" s="186"/>
      <c r="AP11" s="188" t="str">
        <f t="array" aca="1" ref="AP11" ca="1">IF(AND(AR8="社食",AK15="社食"),"",
IF(AN9&lt;&gt;"",
IF(IFERROR(
INDEX(INDIRECT("数出表_Excel!B"&amp;MATCH(AR8,数出表_Excel!$A:$A,0)&amp;":U"&amp;MATCH(AR8,数出表_Excel!$A:$A,0)&amp;""),
 1,AM9-1),
 "")=0,"",
IFERROR(
INDEX(INDIRECT("数出表_Excel!B"&amp;MATCH(AR8,数出表_Excel!$A:$A,0)&amp;":U"&amp;MATCH(AR8,数出表_Excel!$A:$A,0)&amp;""),
 1,AM9-1),
 "")),""))</f>
        <v/>
      </c>
      <c r="AQ11" s="186"/>
      <c r="AR11" s="101" t="e">
        <f t="array" aca="1" ref="AR11" ca="1">IF(AM10=100,
IF(AN8&lt;&gt;"",
IF(IFERROR(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0)&lt;&gt;0,
IF(IFERROR(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0)="",
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0),
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0)),0),""),0)</f>
        <v>#N/A</v>
      </c>
      <c r="AU11" s="90"/>
      <c r="AV11" s="185" t="e">
        <f t="array" aca="1" ref="AV11" ca="1">IF(AND(BG1="社食",AZ8="社食"),"",
IF(AV9&lt;&gt;"",
IF(IFERROR(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"")=0,"",
IF(AU10=100,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IF(AND(AU10=200,COUNTIF(数出表_Excel!$A:$A,"*奈良屋*")=2),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IF(AND(AU10=200,COUNTIF(数出表_Excel!$A:$A,"*奈良屋*")=3),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
+IFERROR(
INDEX(INDIRECT("数出表_Excel!B"&amp;MATCH(AZ8,数出表_Excel!$A:$A,0)-1+4&amp;":U"&amp;MATCH(AZ8,数出表_Excel!$A:$A,0)-1+4&amp;""),
 1,
 MATCH(TRUE, ISNUMBER(--INDIRECT("数出表_Excel!B"&amp;MATCH(AZ8,数出表_Excel!$A:$A,0)-1+4&amp;":U"&amp;MATCH(AZ8,数出表_Excel!$A:$A,0)-1+4&amp;"")), 0)),
 ""),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""))))),"")+AU11)</f>
        <v>#VALUE!</v>
      </c>
      <c r="AW11" s="186"/>
      <c r="AX11" s="188" t="str">
        <f t="array" aca="1" ref="AX11" ca="1">IF(AND(AZ8="社食",BG8="社食"),"",
IF(AV9&lt;&gt;"",
IF(IFERROR(
INDEX(INDIRECT("数出表_Excel!B"&amp;MATCH(AZ8,数出表_Excel!$A:$A,0)&amp;":U"&amp;MATCH(AZ8,数出表_Excel!$A:$A,0)&amp;""),
 1,AU9-1),
 "")=0,"",
IFERROR(
INDEX(INDIRECT("数出表_Excel!B"&amp;MATCH(AZ8,数出表_Excel!$A:$A,0)&amp;":U"&amp;MATCH(AZ8,数出表_Excel!$A:$A,0)&amp;""),
 1,AU9-1),
 "")),""))</f>
        <v/>
      </c>
      <c r="AY11" s="186"/>
      <c r="AZ11" s="101" t="e">
        <f t="array" aca="1" ref="AZ11" ca="1">IF(AU10=100,
IF(AV8&lt;&gt;"",
IF(IFERROR(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0)&lt;&gt;0,
IF(IFERROR(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0)="",
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0),
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0)),0),""),0)</f>
        <v>#N/A</v>
      </c>
      <c r="BB11" s="90"/>
      <c r="BC11" s="185" t="e">
        <f t="array" aca="1" ref="BC11" ca="1">IF(AND(AZ8="社食",BG8="社食"),"",
IF(BC9&lt;&gt;"",
IF(IFERROR(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"")=0,"",
IF(BB10=100,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IF(AND(BB10=200,COUNTIF(数出表_Excel!$A:$A,"*奈良屋*")=2),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IF(AND(BB10=200,COUNTIF(数出表_Excel!$A:$A,"*奈良屋*")=3),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
+IFERROR(
INDEX(INDIRECT("数出表_Excel!B"&amp;MATCH(BG8,数出表_Excel!$A:$A,0)-1+4&amp;":U"&amp;MATCH(BG8,数出表_Excel!$A:$A,0)-1+4&amp;""),
 1,
 MATCH(TRUE, ISNUMBER(--INDIRECT("数出表_Excel!B"&amp;MATCH(BG8,数出表_Excel!$A:$A,0)-1+4&amp;":U"&amp;MATCH(BG8,数出表_Excel!$A:$A,0)-1+4&amp;"")), 0)),
 ""),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""))))),"")+BB11)</f>
        <v>#VALUE!</v>
      </c>
      <c r="BD11" s="186"/>
      <c r="BE11" s="188" t="str">
        <f t="array" aca="1" ref="BE11" ca="1">IF(AND(BG8="社食",AZ15="社食"),"",
IF(BC9&lt;&gt;"",
IF(IFERROR(
INDEX(INDIRECT("数出表_Excel!B"&amp;MATCH(BG8,数出表_Excel!$A:$A,0)&amp;":U"&amp;MATCH(BG8,数出表_Excel!$A:$A,0)&amp;""),
 1,BB9-1),
 "")=0,"",
IFERROR(
INDEX(INDIRECT("数出表_Excel!B"&amp;MATCH(BG8,数出表_Excel!$A:$A,0)&amp;":U"&amp;MATCH(BG8,数出表_Excel!$A:$A,0)&amp;""),
 1,BB9-1),
 "")),""))</f>
        <v/>
      </c>
      <c r="BF11" s="186"/>
      <c r="BG11" s="101" t="e">
        <f t="array" aca="1" ref="BG11" ca="1">IF(BB10=100,
IF(BC8&lt;&gt;"",
IF(IFERROR(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0)&lt;&gt;0,
IF(IFERROR(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0)="",
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0),
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0)),0),""),0)</f>
        <v>#N/A</v>
      </c>
      <c r="BJ11" s="90"/>
      <c r="BK11" s="185" t="e">
        <f t="array" aca="1" ref="BK11" ca="1">IF(AND(BV1="社食",BO8="社食"),"",
IF(BK9&lt;&gt;"",
IF(IFERROR(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"")=0,"",
IF(BJ10=100,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IF(AND(BJ10=200,COUNTIF(数出表_Excel!$A:$A,"*奈良屋*")=2),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IF(AND(BJ10=200,COUNTIF(数出表_Excel!$A:$A,"*奈良屋*")=3),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
+IFERROR(
INDEX(INDIRECT("数出表_Excel!B"&amp;MATCH(BO8,数出表_Excel!$A:$A,0)-1+4&amp;":U"&amp;MATCH(BO8,数出表_Excel!$A:$A,0)-1+4&amp;""),
 1,
 MATCH(TRUE, ISNUMBER(--INDIRECT("数出表_Excel!B"&amp;MATCH(BO8,数出表_Excel!$A:$A,0)-1+4&amp;":U"&amp;MATCH(BO8,数出表_Excel!$A:$A,0)-1+4&amp;"")), 0)),
 ""),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""))))),"")+BJ11)</f>
        <v>#VALUE!</v>
      </c>
      <c r="BL11" s="186"/>
      <c r="BM11" s="188" t="str">
        <f t="array" aca="1" ref="BM11" ca="1">IF(AND(BO8="社食",BV8="社食"),"",
IF(BK9&lt;&gt;"",
IF(IFERROR(
INDEX(INDIRECT("数出表_Excel!B"&amp;MATCH(BO8,数出表_Excel!$A:$A,0)&amp;":U"&amp;MATCH(BO8,数出表_Excel!$A:$A,0)&amp;""),
 1,BJ9-1),
 "")=0,"",
IFERROR(
INDEX(INDIRECT("数出表_Excel!B"&amp;MATCH(BO8,数出表_Excel!$A:$A,0)&amp;":U"&amp;MATCH(BO8,数出表_Excel!$A:$A,0)&amp;""),
 1,BJ9-1),
 "")),""))</f>
        <v/>
      </c>
      <c r="BN11" s="186"/>
      <c r="BO11" s="101" t="e">
        <f t="array" aca="1" ref="BO11" ca="1">IF(BJ10=100,
IF(BK8&lt;&gt;"",
IF(IFERROR(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0)&lt;&gt;0,
IF(IFERROR(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0)="",
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0),
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0)),0),""),0)</f>
        <v>#N/A</v>
      </c>
      <c r="BQ11" s="90"/>
      <c r="BR11" s="185" t="e">
        <f t="array" aca="1" ref="BR11" ca="1">IF(AND(BO8="社食",BV8="社食"),"",
IF(BR9&lt;&gt;"",
IF(IFERROR(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"")=0,"",
IF(BQ10=100,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IF(AND(BQ10=200,COUNTIF(数出表_Excel!$A:$A,"*奈良屋*")=2),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IF(AND(BQ10=200,COUNTIF(数出表_Excel!$A:$A,"*奈良屋*")=3),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
+IFERROR(
INDEX(INDIRECT("数出表_Excel!B"&amp;MATCH(BV8,数出表_Excel!$A:$A,0)-1+4&amp;":U"&amp;MATCH(BV8,数出表_Excel!$A:$A,0)-1+4&amp;""),
 1,
 MATCH(TRUE, ISNUMBER(--INDIRECT("数出表_Excel!B"&amp;MATCH(BV8,数出表_Excel!$A:$A,0)-1+4&amp;":U"&amp;MATCH(BV8,数出表_Excel!$A:$A,0)-1+4&amp;"")), 0)),
 ""),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""))))),"")+BQ11)</f>
        <v>#VALUE!</v>
      </c>
      <c r="BS11" s="186"/>
      <c r="BT11" s="188" t="str">
        <f t="array" aca="1" ref="BT11" ca="1">IF(AND(BV8="社食",BO15="社食"),"",
IF(BR9&lt;&gt;"",
IF(IFERROR(
INDEX(INDIRECT("数出表_Excel!B"&amp;MATCH(BV8,数出表_Excel!$A:$A,0)&amp;":U"&amp;MATCH(BV8,数出表_Excel!$A:$A,0)&amp;""),
 1,BQ9-1),
 "")=0,"",
IFERROR(
INDEX(INDIRECT("数出表_Excel!B"&amp;MATCH(BV8,数出表_Excel!$A:$A,0)&amp;":U"&amp;MATCH(BV8,数出表_Excel!$A:$A,0)&amp;""),
 1,BQ9-1),
 "")),""))</f>
        <v/>
      </c>
      <c r="BU11" s="186"/>
      <c r="BV11" s="101" t="e">
        <f t="array" aca="1" ref="BV11" ca="1">IF(BQ10=100,
IF(BR8&lt;&gt;"",
IF(IFERROR(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0)&lt;&gt;0,
IF(IFERROR(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0)="",
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0),
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0)),0),""),0)</f>
        <v>#N/A</v>
      </c>
      <c r="BY11" s="90"/>
      <c r="BZ11" s="185" t="e">
        <f t="array" aca="1" ref="BZ11" ca="1">IF(AND(CK1="社食",CD8="社食"),"",
IF(BZ9&lt;&gt;"",
IF(IFERROR(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"")=0,"",
IF(BY10=100,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""),
IF(AND(BY10=200,COUNTIF(数出表_Excel!$A:$A,"*奈良屋*")=2),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""),
IF(AND(BY10=200,COUNTIF(数出表_Excel!$A:$A,"*奈良屋*")=3),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
+IFERROR(
INDEX(INDIRECT("数出表_Excel!B"&amp;MATCH(CD8,数出表_Excel!$A:$A,0)-1+4&amp;":U"&amp;MATCH(CD8,数出表_Excel!$A:$A,0)-1+4&amp;""),
 1,
 MATCH(TRUE, ISNUMBER(--INDIRECT("数出表_Excel!B"&amp;MATCH(CD8,数出表_Excel!$A:$A,0)-1+4&amp;":U"&amp;MATCH(CD8,数出表_Excel!$A:$A,0)-1+4&amp;"")), 0)),
 ""),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""))))),"")+BY11)</f>
        <v>#VALUE!</v>
      </c>
      <c r="CA11" s="186"/>
      <c r="CB11" s="188" t="str">
        <f t="array" aca="1" ref="CB11" ca="1">IF(AND(CD8="社食",CK8="社食"),"",
IF(BZ9&lt;&gt;"",
IF(IFERROR(
INDEX(INDIRECT("数出表_Excel!B"&amp;MATCH(CD8,数出表_Excel!$A:$A,0)&amp;":U"&amp;MATCH(CD8,数出表_Excel!$A:$A,0)&amp;""),
 1,BY9-1),
 "")=0,"",
IFERROR(
INDEX(INDIRECT("数出表_Excel!B"&amp;MATCH(CD8,数出表_Excel!$A:$A,0)&amp;":U"&amp;MATCH(CD8,数出表_Excel!$A:$A,0)&amp;""),
 1,BY9-1),
 "")),""))</f>
        <v/>
      </c>
      <c r="CC11" s="186"/>
      <c r="CD11" s="101" t="e">
        <f t="array" aca="1" ref="CD11" ca="1">IF(BY10=100,
IF(BZ8&lt;&gt;"",
IF(IFERROR(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0)&lt;&gt;0,
IF(IFERROR(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0)="",
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0),
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0)),0),""),0)</f>
        <v>#N/A</v>
      </c>
      <c r="CF11" s="90"/>
      <c r="CG11" s="185" t="e">
        <f t="array" aca="1" ref="CG11" ca="1">IF(AND(CD8="社食",CK8="社食"),"",
IF(CG9&lt;&gt;"",
IF(IFERROR(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"")=0,"",
IF(CF10=100,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""),
IF(AND(CF10=200,COUNTIF(数出表_Excel!$A:$A,"*奈良屋*")=2),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""),
IF(AND(CF10=200,COUNTIF(数出表_Excel!$A:$A,"*奈良屋*")=3),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
+IFERROR(
INDEX(INDIRECT("数出表_Excel!B"&amp;MATCH(CK8,数出表_Excel!$A:$A,0)-1+4&amp;":U"&amp;MATCH(CK8,数出表_Excel!$A:$A,0)-1+4&amp;""),
 1,
 MATCH(TRUE, ISNUMBER(--INDIRECT("数出表_Excel!B"&amp;MATCH(CK8,数出表_Excel!$A:$A,0)-1+4&amp;":U"&amp;MATCH(CK8,数出表_Excel!$A:$A,0)-1+4&amp;"")), 0)),
 ""),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""))))),"")+CF11)</f>
        <v>#VALUE!</v>
      </c>
      <c r="CH11" s="186"/>
      <c r="CI11" s="188" t="str">
        <f t="array" aca="1" ref="CI11" ca="1">IF(AND(CK8="社食",CD15="社食"),"",
IF(CG9&lt;&gt;"",
IF(IFERROR(
INDEX(INDIRECT("数出表_Excel!B"&amp;MATCH(CK8,数出表_Excel!$A:$A,0)&amp;":U"&amp;MATCH(CK8,数出表_Excel!$A:$A,0)&amp;""),
 1,CF9-1),
 "")=0,"",
IFERROR(
INDEX(INDIRECT("数出表_Excel!B"&amp;MATCH(CK8,数出表_Excel!$A:$A,0)&amp;":U"&amp;MATCH(CK8,数出表_Excel!$A:$A,0)&amp;""),
 1,CF9-1),
 "")),""))</f>
        <v/>
      </c>
      <c r="CJ11" s="186"/>
      <c r="CK11" s="101" t="e">
        <f t="array" aca="1" ref="CK11" ca="1">IF(CF10=100,
IF(CG8&lt;&gt;"",
IF(IFERROR(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0)&lt;&gt;0,
IF(IFERROR(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0)="",
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0),
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0)),0),""),0)</f>
        <v>#N/A</v>
      </c>
      <c r="CN11" s="90"/>
      <c r="CO11" s="185" t="e">
        <f t="array" aca="1" ref="CO11" ca="1">IF(AND(CZ1="社食",CS8="社食"),"",
IF(CO9&lt;&gt;"",
IF(IFERROR(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"")=0,"",
IF(CN10=100,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""),
IF(AND(CN10=200,COUNTIF(数出表_Excel!$A:$A,"*奈良屋*")=2),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""),
IF(AND(CN10=200,COUNTIF(数出表_Excel!$A:$A,"*奈良屋*")=3),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
+IFERROR(
INDEX(INDIRECT("数出表_Excel!B"&amp;MATCH(CS8,数出表_Excel!$A:$A,0)-1+4&amp;":U"&amp;MATCH(CS8,数出表_Excel!$A:$A,0)-1+4&amp;""),
 1,
 MATCH(TRUE, ISNUMBER(--INDIRECT("数出表_Excel!B"&amp;MATCH(CS8,数出表_Excel!$A:$A,0)-1+4&amp;":U"&amp;MATCH(CS8,数出表_Excel!$A:$A,0)-1+4&amp;"")), 0)),
 ""),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""))))),"")+CN11)</f>
        <v>#VALUE!</v>
      </c>
      <c r="CP11" s="186"/>
      <c r="CQ11" s="188" t="str">
        <f t="array" aca="1" ref="CQ11" ca="1">IF(AND(CS8="社食",CZ8="社食"),"",
IF(CO9&lt;&gt;"",
IF(IFERROR(
INDEX(INDIRECT("数出表_Excel!B"&amp;MATCH(CS8,数出表_Excel!$A:$A,0)&amp;":U"&amp;MATCH(CS8,数出表_Excel!$A:$A,0)&amp;""),
 1,CN9-1),
 "")=0,"",
IFERROR(
INDEX(INDIRECT("数出表_Excel!B"&amp;MATCH(CS8,数出表_Excel!$A:$A,0)&amp;":U"&amp;MATCH(CS8,数出表_Excel!$A:$A,0)&amp;""),
 1,CN9-1),
 "")),""))</f>
        <v/>
      </c>
      <c r="CR11" s="186"/>
      <c r="CS11" s="101" t="e">
        <f t="array" aca="1" ref="CS11" ca="1">IF(CN10=100,
IF(CO8&lt;&gt;"",
IF(IFERROR(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0)&lt;&gt;0,
IF(IFERROR(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0)="",
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0),
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0)),0),""),0)</f>
        <v>#N/A</v>
      </c>
      <c r="CU11" s="90"/>
      <c r="CV11" s="185" t="e">
        <f t="array" aca="1" ref="CV11" ca="1">IF(AND(CS8="社食",CZ8="社食"),"",
IF(CV9&lt;&gt;"",
IF(IFERROR(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"")=0,"",
IF(CU10=100,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""),
IF(AND(CU10=200,COUNTIF(数出表_Excel!$A:$A,"*奈良屋*")=2),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""),
IF(AND(CU10=200,COUNTIF(数出表_Excel!$A:$A,"*奈良屋*")=3),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
+IFERROR(
INDEX(INDIRECT("数出表_Excel!B"&amp;MATCH(CZ8,数出表_Excel!$A:$A,0)-1+4&amp;":U"&amp;MATCH(CZ8,数出表_Excel!$A:$A,0)-1+4&amp;""),
 1,
 MATCH(TRUE, ISNUMBER(--INDIRECT("数出表_Excel!B"&amp;MATCH(CZ8,数出表_Excel!$A:$A,0)-1+4&amp;":U"&amp;MATCH(CZ8,数出表_Excel!$A:$A,0)-1+4&amp;"")), 0)),
 ""),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""))))),"")+CU11)</f>
        <v>#VALUE!</v>
      </c>
      <c r="CW11" s="186"/>
      <c r="CX11" s="188" t="str">
        <f t="array" aca="1" ref="CX11" ca="1">IF(AND(CZ8="社食",CS15="社食"),"",
IF(CV9&lt;&gt;"",
IF(IFERROR(
INDEX(INDIRECT("数出表_Excel!B"&amp;MATCH(CZ8,数出表_Excel!$A:$A,0)&amp;":U"&amp;MATCH(CZ8,数出表_Excel!$A:$A,0)&amp;""),
 1,CU9-1),
 "")=0,"",
IFERROR(
INDEX(INDIRECT("数出表_Excel!B"&amp;MATCH(CZ8,数出表_Excel!$A:$A,0)&amp;":U"&amp;MATCH(CZ8,数出表_Excel!$A:$A,0)&amp;""),
 1,CU9-1),
 "")),""))</f>
        <v/>
      </c>
      <c r="CY11" s="186"/>
      <c r="CZ11" s="101" t="e">
        <f t="array" aca="1" ref="CZ11" ca="1">IF(CU10=100,
IF(CV8&lt;&gt;"",
IF(IFERROR(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0)&lt;&gt;0,
IF(IFERROR(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0)="",
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0),
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0)),0),""),0)</f>
        <v>#N/A</v>
      </c>
      <c r="DC11" s="90"/>
      <c r="DD11" s="185" t="e">
        <f t="array" aca="1" ref="DD11" ca="1">IF(AND(DO1="社食",DH8="社食"),"",
IF(DD9&lt;&gt;"",
IF(IFERROR(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"")=0,"",
IF(DC10=100,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""),
IF(AND(DC10=200,COUNTIF(数出表_Excel!$A:$A,"*奈良屋*")=2),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""),
IF(AND(DC10=200,COUNTIF(数出表_Excel!$A:$A,"*奈良屋*")=3),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
+IFERROR(
INDEX(INDIRECT("数出表_Excel!B"&amp;MATCH(DH8,数出表_Excel!$A:$A,0)-1+4&amp;":U"&amp;MATCH(DH8,数出表_Excel!$A:$A,0)-1+4&amp;""),
 1,
 MATCH(TRUE, ISNUMBER(--INDIRECT("数出表_Excel!B"&amp;MATCH(DH8,数出表_Excel!$A:$A,0)-1+4&amp;":U"&amp;MATCH(DH8,数出表_Excel!$A:$A,0)-1+4&amp;"")), 0)),
 ""),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""))))),"")+DC11)</f>
        <v>#VALUE!</v>
      </c>
      <c r="DE11" s="186"/>
      <c r="DF11" s="188" t="str">
        <f t="array" aca="1" ref="DF11" ca="1">IF(AND(DH8="社食",DO8="社食"),"",
IF(DD9&lt;&gt;"",
IF(IFERROR(
INDEX(INDIRECT("数出表_Excel!B"&amp;MATCH(DH8,数出表_Excel!$A:$A,0)&amp;":U"&amp;MATCH(DH8,数出表_Excel!$A:$A,0)&amp;""),
 1,DC9-1),
 "")=0,"",
IFERROR(
INDEX(INDIRECT("数出表_Excel!B"&amp;MATCH(DH8,数出表_Excel!$A:$A,0)&amp;":U"&amp;MATCH(DH8,数出表_Excel!$A:$A,0)&amp;""),
 1,DC9-1),
 "")),""))</f>
        <v/>
      </c>
      <c r="DG11" s="186"/>
      <c r="DH11" s="101" t="e">
        <f t="array" aca="1" ref="DH11" ca="1">IF(DC10=100,
IF(DD8&lt;&gt;"",
IF(IFERROR(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0)&lt;&gt;0,
IF(IFERROR(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0)="",
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0),
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0)),0),""),0)</f>
        <v>#N/A</v>
      </c>
      <c r="DJ11" s="90"/>
      <c r="DK11" s="185" t="e">
        <f t="array" aca="1" ref="DK11" ca="1">IF(AND(DH8="社食",DO8="社食"),"",
IF(DK9&lt;&gt;"",
IF(IFERROR(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"")=0,"",
IF(DJ10=100,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""),
IF(AND(DJ10=200,COUNTIF(数出表_Excel!$A:$A,"*奈良屋*")=2),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""),
IF(AND(DJ10=200,COUNTIF(数出表_Excel!$A:$A,"*奈良屋*")=3),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
+IFERROR(
INDEX(INDIRECT("数出表_Excel!B"&amp;MATCH(DO8,数出表_Excel!$A:$A,0)-1+4&amp;":U"&amp;MATCH(DO8,数出表_Excel!$A:$A,0)-1+4&amp;""),
 1,
 MATCH(TRUE, ISNUMBER(--INDIRECT("数出表_Excel!B"&amp;MATCH(DO8,数出表_Excel!$A:$A,0)-1+4&amp;":U"&amp;MATCH(DO8,数出表_Excel!$A:$A,0)-1+4&amp;"")), 0)),
 ""),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""))))),"")+DJ11)</f>
        <v>#VALUE!</v>
      </c>
      <c r="DL11" s="186"/>
      <c r="DM11" s="188" t="str">
        <f t="array" aca="1" ref="DM11" ca="1">IF(AND(DO8="社食",DH15="社食"),"",
IF(DK9&lt;&gt;"",
IF(IFERROR(
INDEX(INDIRECT("数出表_Excel!B"&amp;MATCH(DO8,数出表_Excel!$A:$A,0)&amp;":U"&amp;MATCH(DO8,数出表_Excel!$A:$A,0)&amp;""),
 1,DJ9-1),
 "")=0,"",
IFERROR(
INDEX(INDIRECT("数出表_Excel!B"&amp;MATCH(DO8,数出表_Excel!$A:$A,0)&amp;":U"&amp;MATCH(DO8,数出表_Excel!$A:$A,0)&amp;""),
 1,DJ9-1),
 "")),""))</f>
        <v/>
      </c>
      <c r="DN11" s="186"/>
      <c r="DO11" s="101" t="e">
        <f t="array" aca="1" ref="DO11" ca="1">IF(DJ10=100,
IF(DK8&lt;&gt;"",
IF(IFERROR(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0)&lt;&gt;0,
IF(IFERROR(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0)="",
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0),
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0)),0),""),0)</f>
        <v>#N/A</v>
      </c>
      <c r="DR11" s="90"/>
      <c r="DS11" s="185" t="e">
        <f t="array" aca="1" ref="DS11" ca="1">IF(AND(ED1="社食",DW8="社食"),"",
IF(DS9&lt;&gt;"",
IF(IFERROR(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"")=0,"",
IF(DR10=100,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""),
IF(AND(DR10=200,COUNTIF(数出表_Excel!$A:$A,"*奈良屋*")=2),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""),
IF(AND(DR10=200,COUNTIF(数出表_Excel!$A:$A,"*奈良屋*")=3),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
+IFERROR(
INDEX(INDIRECT("数出表_Excel!B"&amp;MATCH(DW8,数出表_Excel!$A:$A,0)-1+4&amp;":U"&amp;MATCH(DW8,数出表_Excel!$A:$A,0)-1+4&amp;""),
 1,
 MATCH(TRUE, ISNUMBER(--INDIRECT("数出表_Excel!B"&amp;MATCH(DW8,数出表_Excel!$A:$A,0)-1+4&amp;":U"&amp;MATCH(DW8,数出表_Excel!$A:$A,0)-1+4&amp;"")), 0)),
 ""),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""))))),"")+DR11)</f>
        <v>#VALUE!</v>
      </c>
      <c r="DT11" s="186"/>
      <c r="DU11" s="188" t="str">
        <f t="array" aca="1" ref="DU11" ca="1">IF(AND(DW8="社食",ED8="社食"),"",
IF(DS9&lt;&gt;"",
IF(IFERROR(
INDEX(INDIRECT("数出表_Excel!B"&amp;MATCH(DW8,数出表_Excel!$A:$A,0)&amp;":U"&amp;MATCH(DW8,数出表_Excel!$A:$A,0)&amp;""),
 1,DR9-1),
 "")=0,"",
IFERROR(
INDEX(INDIRECT("数出表_Excel!B"&amp;MATCH(DW8,数出表_Excel!$A:$A,0)&amp;":U"&amp;MATCH(DW8,数出表_Excel!$A:$A,0)&amp;""),
 1,DR9-1),
 "")),""))</f>
        <v/>
      </c>
      <c r="DV11" s="186"/>
      <c r="DW11" s="101" t="e">
        <f t="array" aca="1" ref="DW11" ca="1">IF(DR10=100,
IF(DS8&lt;&gt;"",
IF(IFERROR(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0)&lt;&gt;0,
IF(IFERROR(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0)="",
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0),
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0)),0),""),0)</f>
        <v>#N/A</v>
      </c>
      <c r="DY11" s="90"/>
      <c r="DZ11" s="185" t="e">
        <f t="array" aca="1" ref="DZ11" ca="1">IF(AND(DW8="社食",ED8="社食"),"",
IF(DZ9&lt;&gt;"",
IF(IFERROR(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"")=0,"",
IF(DY10=100,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""),
IF(AND(DY10=200,COUNTIF(数出表_Excel!$A:$A,"*奈良屋*")=2),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""),
IF(AND(DY10=200,COUNTIF(数出表_Excel!$A:$A,"*奈良屋*")=3),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
+IFERROR(
INDEX(INDIRECT("数出表_Excel!B"&amp;MATCH(ED8,数出表_Excel!$A:$A,0)-1+4&amp;":U"&amp;MATCH(ED8,数出表_Excel!$A:$A,0)-1+4&amp;""),
 1,
 MATCH(TRUE, ISNUMBER(--INDIRECT("数出表_Excel!B"&amp;MATCH(ED8,数出表_Excel!$A:$A,0)-1+4&amp;":U"&amp;MATCH(ED8,数出表_Excel!$A:$A,0)-1+4&amp;"")), 0)),
 ""),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""))))),"")+DY11)</f>
        <v>#VALUE!</v>
      </c>
      <c r="EA11" s="186"/>
      <c r="EB11" s="188" t="str">
        <f t="array" aca="1" ref="EB11" ca="1">IF(AND(ED8="社食",DW15="社食"),"",
IF(DZ9&lt;&gt;"",
IF(IFERROR(
INDEX(INDIRECT("数出表_Excel!B"&amp;MATCH(ED8,数出表_Excel!$A:$A,0)&amp;":U"&amp;MATCH(ED8,数出表_Excel!$A:$A,0)&amp;""),
 1,DY9-1),
 "")=0,"",
IFERROR(
INDEX(INDIRECT("数出表_Excel!B"&amp;MATCH(ED8,数出表_Excel!$A:$A,0)&amp;":U"&amp;MATCH(ED8,数出表_Excel!$A:$A,0)&amp;""),
 1,DY9-1),
 "")),""))</f>
        <v/>
      </c>
      <c r="EC11" s="186"/>
      <c r="ED11" s="101" t="e">
        <f t="array" aca="1" ref="ED11" ca="1">IF(DY10=100,
IF(DZ8&lt;&gt;"",
IF(IFERROR(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0)&lt;&gt;0,
IF(IFERROR(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0)="",
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0),
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0)),0),""),0)</f>
        <v>#N/A</v>
      </c>
      <c r="EG11" s="90"/>
      <c r="EH11" s="185" t="e">
        <f t="array" aca="1" ref="EH11" ca="1">IF(AND(ES1="社食",EL8="社食"),"",
IF(EH9&lt;&gt;"",
IF(IFERROR(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"")=0,"",
IF(EG10=100,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""),
IF(AND(EG10=200,COUNTIF(数出表_Excel!$A:$A,"*奈良屋*")=2),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""),
IF(AND(EG10=200,COUNTIF(数出表_Excel!$A:$A,"*奈良屋*")=3),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
+IFERROR(
INDEX(INDIRECT("数出表_Excel!B"&amp;MATCH(EL8,数出表_Excel!$A:$A,0)-1+4&amp;":U"&amp;MATCH(EL8,数出表_Excel!$A:$A,0)-1+4&amp;""),
 1,
 MATCH(TRUE, ISNUMBER(--INDIRECT("数出表_Excel!B"&amp;MATCH(EL8,数出表_Excel!$A:$A,0)-1+4&amp;":U"&amp;MATCH(EL8,数出表_Excel!$A:$A,0)-1+4&amp;"")), 0)),
 ""),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""))))),"")+EG11)</f>
        <v>#VALUE!</v>
      </c>
      <c r="EI11" s="186"/>
      <c r="EJ11" s="188" t="str">
        <f t="array" aca="1" ref="EJ11" ca="1">IF(AND(EL8="社食",ES8="社食"),"",
IF(EH9&lt;&gt;"",
IF(IFERROR(
INDEX(INDIRECT("数出表_Excel!B"&amp;MATCH(EL8,数出表_Excel!$A:$A,0)&amp;":U"&amp;MATCH(EL8,数出表_Excel!$A:$A,0)&amp;""),
 1,EG9-1),
 "")=0,"",
IFERROR(
INDEX(INDIRECT("数出表_Excel!B"&amp;MATCH(EL8,数出表_Excel!$A:$A,0)&amp;":U"&amp;MATCH(EL8,数出表_Excel!$A:$A,0)&amp;""),
 1,EG9-1),
 "")),""))</f>
        <v/>
      </c>
      <c r="EK11" s="186"/>
      <c r="EL11" s="101" t="e">
        <f t="array" aca="1" ref="EL11" ca="1">IF(EG10=100,
IF(EH8&lt;&gt;"",
IF(IFERROR(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0)&lt;&gt;0,
IF(IFERROR(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0)="",
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0),
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0)),0),""),0)</f>
        <v>#N/A</v>
      </c>
      <c r="EN11" s="90"/>
      <c r="EO11" s="185" t="e">
        <f t="array" aca="1" ref="EO11" ca="1">IF(AND(EL8="社食",ES8="社食"),"",
IF(EO9&lt;&gt;"",
IF(IFERROR(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"")=0,"",
IF(EN10=100,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""),
IF(AND(EN10=200,COUNTIF(数出表_Excel!$A:$A,"*奈良屋*")=2),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""),
IF(AND(EN10=200,COUNTIF(数出表_Excel!$A:$A,"*奈良屋*")=3),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
+IFERROR(
INDEX(INDIRECT("数出表_Excel!B"&amp;MATCH(ES8,数出表_Excel!$A:$A,0)-1+4&amp;":U"&amp;MATCH(ES8,数出表_Excel!$A:$A,0)-1+4&amp;""),
 1,
 MATCH(TRUE, ISNUMBER(--INDIRECT("数出表_Excel!B"&amp;MATCH(ES8,数出表_Excel!$A:$A,0)-1+4&amp;":U"&amp;MATCH(ES8,数出表_Excel!$A:$A,0)-1+4&amp;"")), 0)),
 ""),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""))))),"")+EN11)</f>
        <v>#VALUE!</v>
      </c>
      <c r="EP11" s="186"/>
      <c r="EQ11" s="188" t="str">
        <f t="array" aca="1" ref="EQ11" ca="1">IF(AND(ES8="社食",EL15="社食"),"",
IF(EO9&lt;&gt;"",
IF(IFERROR(
INDEX(INDIRECT("数出表_Excel!B"&amp;MATCH(ES8,数出表_Excel!$A:$A,0)&amp;":U"&amp;MATCH(ES8,数出表_Excel!$A:$A,0)&amp;""),
 1,EN9-1),
 "")=0,"",
IFERROR(
INDEX(INDIRECT("数出表_Excel!B"&amp;MATCH(ES8,数出表_Excel!$A:$A,0)&amp;":U"&amp;MATCH(ES8,数出表_Excel!$A:$A,0)&amp;""),
 1,EN9-1),
 "")),""))</f>
        <v/>
      </c>
      <c r="ER11" s="186"/>
      <c r="ES11" s="101" t="e">
        <f t="array" aca="1" ref="ES11" ca="1">IF(EN10=100,
IF(EO8&lt;&gt;"",
IF(IFERROR(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0)&lt;&gt;0,
IF(IFERROR(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0)="",
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0),
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0)),0),""),0)</f>
        <v>#N/A</v>
      </c>
      <c r="ET11" s="110"/>
      <c r="EU11" s="91">
        <f t="shared" si="1"/>
        <v>14</v>
      </c>
      <c r="EV11" s="82" t="str">
        <f t="array" aca="1" ref="EV11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LEN(SUBSTITUTE(_xlfn.FORMULATEXT(EV$3),"=","")))+$EU11)</f>
        <v/>
      </c>
      <c r="EW11" s="82" t="str">
        <f t="array" aca="1" ref="EW11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LEN(SUBSTITUTE(_xlfn.FORMULATEXT(EW$3),"=","")))+$EU11)</f>
        <v/>
      </c>
      <c r="EX11" s="82" t="str">
        <f t="array" aca="1" ref="EX11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LEN(SUBSTITUTE(_xlfn.FORMULATEXT(EX$3),"=","")))+$EU11)</f>
        <v/>
      </c>
      <c r="EY11" s="82" t="str">
        <f t="array" aca="1" ref="EY11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LEN(SUBSTITUTE(_xlfn.FORMULATEXT(EY$3),"=","")))+$EU11)</f>
        <v/>
      </c>
      <c r="EZ11" s="82" t="str">
        <f t="array" aca="1" ref="EZ11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LEN(SUBSTITUTE(_xlfn.FORMULATEXT(EZ$3),"=","")))+$EU11)</f>
        <v/>
      </c>
      <c r="FA11" s="82" t="e">
        <f t="array" aca="1" ref="FA11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LEN(SUBSTITUTE(_xlfn.FORMULATEXT(FA$3),"=","")))+$EU11)</f>
        <v>#VALUE!</v>
      </c>
      <c r="FB11" s="82" t="str">
        <f t="array" aca="1" ref="FB11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LEN(SUBSTITUTE(_xlfn.FORMULATEXT(FB$3),"=","")))+$EU11)</f>
        <v/>
      </c>
      <c r="FC11" s="82" t="str">
        <f t="array" aca="1" ref="FC11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LEN(SUBSTITUTE(_xlfn.FORMULATEXT(FC$3),"=","")))+$EU11)</f>
        <v/>
      </c>
      <c r="FD11" s="82" t="e">
        <f t="array" aca="1" ref="FD11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LEN(SUBSTITUTE(_xlfn.FORMULATEXT(FD$3),"=","")))+$EU11)</f>
        <v>#VALUE!</v>
      </c>
      <c r="FE11" s="82" t="str">
        <f t="array" aca="1" ref="FE11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LEN(SUBSTITUTE(_xlfn.FORMULATEXT(FE$3),"=","")))+$EU11)</f>
        <v/>
      </c>
      <c r="FF11" s="82" t="e">
        <f t="array" aca="1" ref="FF11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LEN(SUBSTITUTE(_xlfn.FORMULATEXT(FF$3),"=","")))+$EU11)</f>
        <v>#N/A</v>
      </c>
      <c r="FG11" s="82">
        <f t="shared" ca="1" si="0"/>
        <v>0</v>
      </c>
      <c r="FH11" s="82" t="e">
        <f t="array" aca="1" ref="FH11" ca="1">SUMPRODUCT((LEN(EV11:FF11)&gt;0)*1)&gt;0</f>
        <v>#VALUE!</v>
      </c>
      <c r="FI11" s="82" t="str">
        <f t="array" aca="1" ref="FI11" ca="1">IFERROR(SMALL(IF(FG$1:FG$173&lt;&gt;0,FG$1:FG$173),ROW(A11)),"")</f>
        <v/>
      </c>
      <c r="FJ11" s="82" t="str">
        <f t="array" aca="1" ref="FJ11" ca="1">IF($FI11&lt;&gt;"",
INDIRECT(""&amp;IF(COLUMN(EV11)&lt;=26,CHAR(COLUMN(EV11)+64),CHAR(INT((COLUMN(EV11)-1)/26)+64)&amp;CHAR(MOD(COLUMN(EV11)-1,26)+65))&amp;$FI11&amp;""),"")</f>
        <v/>
      </c>
      <c r="FK11" s="82" t="str">
        <f t="array" aca="1" ref="FK11" ca="1">IF($FI11&lt;&gt;"",
INDIRECT(""&amp;IF(COLUMN(EW11)&lt;=26,CHAR(COLUMN(EW11)+64),CHAR(INT((COLUMN(EW11)-1)/26)+64)&amp;CHAR(MOD(COLUMN(EW11)-1,26)+65))&amp;$FI11&amp;""),"")</f>
        <v/>
      </c>
      <c r="FL11" s="82" t="str">
        <f t="array" aca="1" ref="FL11" ca="1">IF($FI11&lt;&gt;"",
INDIRECT(""&amp;IF(COLUMN(EX11)&lt;=26,CHAR(COLUMN(EX11)+64),CHAR(INT((COLUMN(EX11)-1)/26)+64)&amp;CHAR(MOD(COLUMN(EX11)-1,26)+65))&amp;$FI11&amp;""),"")</f>
        <v/>
      </c>
      <c r="FM11" s="82" t="str">
        <f t="array" aca="1" ref="FM11" ca="1">IF($FI11&lt;&gt;"",
IF(FL11="",
IF(INDIRECT("EY"&amp;$FI11&amp;"")&lt;&gt;"",
INDIRECT("EY"&amp;$FI11&amp;"")&amp;"箱"
&amp;INDIRECT("EZ"&amp;$FI11&amp;""),""),""),"")</f>
        <v/>
      </c>
      <c r="FN11" s="82" t="str">
        <f t="array" aca="1" ref="FN11" ca="1">IF($FI11&lt;&gt;"",
INDIRECT(""&amp;IF(COLUMN(FA11)&lt;=26,CHAR(COLUMN(FA11)+64),CHAR(INT((COLUMN(FA11)-1)/26)+64)&amp;CHAR(MOD(COLUMN(FA11)-1,26)+65))&amp;$FI11&amp;""),"")</f>
        <v/>
      </c>
      <c r="FO11" s="82" t="str">
        <f t="array" aca="1" ref="FO11" ca="1">IF($FI11&lt;&gt;"",
INDIRECT(""&amp;IF(COLUMN(FB11)&lt;=26,CHAR(COLUMN(FB11)+64),CHAR(INT((COLUMN(FB11)-1)/26)+64)&amp;CHAR(MOD(COLUMN(FB11)-1,26)+65))&amp;$FI11&amp;""),"")</f>
        <v/>
      </c>
      <c r="FP11" s="82" t="str">
        <f t="array" aca="1" ref="FP11" ca="1">IF($FI11&lt;&gt;"",
INDIRECT(""&amp;IF(COLUMN(FC11)&lt;=26,CHAR(COLUMN(FC11)+64),CHAR(INT((COLUMN(FC11)-1)/26)+64)&amp;CHAR(MOD(COLUMN(FC11)-1,26)+65))&amp;$FI11&amp;""),"")</f>
        <v/>
      </c>
      <c r="FQ11" s="82" t="str">
        <f t="array" aca="1" ref="FQ11" ca="1">IF($FI11&lt;&gt;"",
INDIRECT(""&amp;IF(COLUMN(FD11)&lt;=26,CHAR(COLUMN(FD11)+64),CHAR(INT((COLUMN(FD11)-1)/26)+64)&amp;CHAR(MOD(COLUMN(FD11)-1,26)+65))&amp;$FI11&amp;""),"")</f>
        <v/>
      </c>
      <c r="FR11" s="82" t="str">
        <f t="array" aca="1" ref="FR11" ca="1">IF($FI11&lt;&gt;"",
INDIRECT(""&amp;IF(COLUMN(FE11)&lt;=26,CHAR(COLUMN(FE11)+64),CHAR(INT((COLUMN(FE11)-1)/26)+64)&amp;CHAR(MOD(COLUMN(FE11)-1,26)+65))&amp;$FI11&amp;""),"")</f>
        <v/>
      </c>
      <c r="FS11" s="82" t="str">
        <f t="array" aca="1" ref="FS11" ca="1">IF($FI11&lt;&gt;"",
INDIRECT(""&amp;IF(COLUMN(FF11)&lt;=26,CHAR(COLUMN(FF11)+64),CHAR(INT((COLUMN(FF11)-1)/26)+64)&amp;CHAR(MOD(COLUMN(FF11)-1,26)+65))&amp;$FI11&amp;""),"")</f>
        <v/>
      </c>
    </row>
    <row r="12" spans="1:175" ht="18" customHeight="1" x14ac:dyDescent="0.45">
      <c r="B12" s="118" t="s">
        <v>258</v>
      </c>
      <c r="C12" s="187"/>
      <c r="D12" s="187"/>
      <c r="E12" s="187"/>
      <c r="F12" s="187"/>
      <c r="G12" s="102" t="str">
        <f>SUBSTITUTE(SUBSTITUTE(ADDRESS(1,MATCH("おやつ",'数出表_Excel（アレルギー入力）'!$3:$3,0)),1,""),"$","")</f>
        <v>AL</v>
      </c>
      <c r="I12" s="118" t="s">
        <v>258</v>
      </c>
      <c r="J12" s="187"/>
      <c r="K12" s="187"/>
      <c r="L12" s="187"/>
      <c r="M12" s="187"/>
      <c r="N12" s="102" t="str">
        <f>SUBSTITUTE(SUBSTITUTE(ADDRESS(1,MATCH("おやつ",'数出表_Excel（アレルギー入力）'!$3:$3,0)),1,""),"$","")</f>
        <v>AL</v>
      </c>
      <c r="Q12" s="118" t="s">
        <v>258</v>
      </c>
      <c r="R12" s="187"/>
      <c r="S12" s="187"/>
      <c r="T12" s="187"/>
      <c r="U12" s="187"/>
      <c r="V12" s="102" t="str">
        <f>SUBSTITUTE(SUBSTITUTE(ADDRESS(1,MATCH("おやつ",'数出表_Excel（アレルギー入力）'!$3:$3,0)),1,""),"$","")</f>
        <v>AL</v>
      </c>
      <c r="X12" s="118" t="s">
        <v>258</v>
      </c>
      <c r="Y12" s="187"/>
      <c r="Z12" s="187"/>
      <c r="AA12" s="187"/>
      <c r="AB12" s="187"/>
      <c r="AC12" s="102" t="str">
        <f>SUBSTITUTE(SUBSTITUTE(ADDRESS(1,MATCH("おやつ",'数出表_Excel（アレルギー入力）'!$3:$3,0)),1,""),"$","")</f>
        <v>AL</v>
      </c>
      <c r="AF12" s="118" t="s">
        <v>258</v>
      </c>
      <c r="AG12" s="187"/>
      <c r="AH12" s="187"/>
      <c r="AI12" s="187"/>
      <c r="AJ12" s="187"/>
      <c r="AK12" s="102" t="str">
        <f>SUBSTITUTE(SUBSTITUTE(ADDRESS(1,MATCH("おやつ",'数出表_Excel（アレルギー入力）'!$3:$3,0)),1,""),"$","")</f>
        <v>AL</v>
      </c>
      <c r="AM12" s="118" t="s">
        <v>258</v>
      </c>
      <c r="AN12" s="187"/>
      <c r="AO12" s="187"/>
      <c r="AP12" s="187"/>
      <c r="AQ12" s="187"/>
      <c r="AR12" s="102" t="str">
        <f>SUBSTITUTE(SUBSTITUTE(ADDRESS(1,MATCH("おやつ",'数出表_Excel（アレルギー入力）'!$3:$3,0)),1,""),"$","")</f>
        <v>AL</v>
      </c>
      <c r="AU12" s="118" t="s">
        <v>258</v>
      </c>
      <c r="AV12" s="187"/>
      <c r="AW12" s="187"/>
      <c r="AX12" s="187"/>
      <c r="AY12" s="187"/>
      <c r="AZ12" s="102" t="str">
        <f>SUBSTITUTE(SUBSTITUTE(ADDRESS(1,MATCH("おやつ",'数出表_Excel（アレルギー入力）'!$3:$3,0)),1,""),"$","")</f>
        <v>AL</v>
      </c>
      <c r="BB12" s="118" t="s">
        <v>258</v>
      </c>
      <c r="BC12" s="187"/>
      <c r="BD12" s="187"/>
      <c r="BE12" s="187"/>
      <c r="BF12" s="187"/>
      <c r="BG12" s="102" t="str">
        <f>SUBSTITUTE(SUBSTITUTE(ADDRESS(1,MATCH("おやつ",'数出表_Excel（アレルギー入力）'!$3:$3,0)),1,""),"$","")</f>
        <v>AL</v>
      </c>
      <c r="BJ12" s="118" t="s">
        <v>258</v>
      </c>
      <c r="BK12" s="187"/>
      <c r="BL12" s="187"/>
      <c r="BM12" s="187"/>
      <c r="BN12" s="187"/>
      <c r="BO12" s="102" t="str">
        <f>SUBSTITUTE(SUBSTITUTE(ADDRESS(1,MATCH("おやつ",'数出表_Excel（アレルギー入力）'!$3:$3,0)),1,""),"$","")</f>
        <v>AL</v>
      </c>
      <c r="BQ12" s="118" t="s">
        <v>258</v>
      </c>
      <c r="BR12" s="187"/>
      <c r="BS12" s="187"/>
      <c r="BT12" s="187"/>
      <c r="BU12" s="187"/>
      <c r="BV12" s="102" t="str">
        <f>SUBSTITUTE(SUBSTITUTE(ADDRESS(1,MATCH("おやつ",'数出表_Excel（アレルギー入力）'!$3:$3,0)),1,""),"$","")</f>
        <v>AL</v>
      </c>
      <c r="BY12" s="118" t="s">
        <v>258</v>
      </c>
      <c r="BZ12" s="187"/>
      <c r="CA12" s="187"/>
      <c r="CB12" s="187"/>
      <c r="CC12" s="187"/>
      <c r="CD12" s="102" t="str">
        <f>SUBSTITUTE(SUBSTITUTE(ADDRESS(1,MATCH("おやつ",'数出表_Excel（アレルギー入力）'!$3:$3,0)),1,""),"$","")</f>
        <v>AL</v>
      </c>
      <c r="CF12" s="118" t="s">
        <v>258</v>
      </c>
      <c r="CG12" s="187"/>
      <c r="CH12" s="187"/>
      <c r="CI12" s="187"/>
      <c r="CJ12" s="187"/>
      <c r="CK12" s="102" t="str">
        <f>SUBSTITUTE(SUBSTITUTE(ADDRESS(1,MATCH("おやつ",'数出表_Excel（アレルギー入力）'!$3:$3,0)),1,""),"$","")</f>
        <v>AL</v>
      </c>
      <c r="CN12" s="118" t="s">
        <v>258</v>
      </c>
      <c r="CO12" s="187"/>
      <c r="CP12" s="187"/>
      <c r="CQ12" s="187"/>
      <c r="CR12" s="187"/>
      <c r="CS12" s="102" t="str">
        <f>SUBSTITUTE(SUBSTITUTE(ADDRESS(1,MATCH("おやつ",'数出表_Excel（アレルギー入力）'!$3:$3,0)),1,""),"$","")</f>
        <v>AL</v>
      </c>
      <c r="CU12" s="118" t="s">
        <v>258</v>
      </c>
      <c r="CV12" s="187"/>
      <c r="CW12" s="187"/>
      <c r="CX12" s="187"/>
      <c r="CY12" s="187"/>
      <c r="CZ12" s="102" t="str">
        <f>SUBSTITUTE(SUBSTITUTE(ADDRESS(1,MATCH("おやつ",'数出表_Excel（アレルギー入力）'!$3:$3,0)),1,""),"$","")</f>
        <v>AL</v>
      </c>
      <c r="DC12" s="118" t="s">
        <v>258</v>
      </c>
      <c r="DD12" s="187"/>
      <c r="DE12" s="187"/>
      <c r="DF12" s="187"/>
      <c r="DG12" s="187"/>
      <c r="DH12" s="102" t="str">
        <f>SUBSTITUTE(SUBSTITUTE(ADDRESS(1,MATCH("おやつ",'数出表_Excel（アレルギー入力）'!$3:$3,0)),1,""),"$","")</f>
        <v>AL</v>
      </c>
      <c r="DJ12" s="118" t="s">
        <v>258</v>
      </c>
      <c r="DK12" s="187"/>
      <c r="DL12" s="187"/>
      <c r="DM12" s="187"/>
      <c r="DN12" s="187"/>
      <c r="DO12" s="102" t="str">
        <f>SUBSTITUTE(SUBSTITUTE(ADDRESS(1,MATCH("おやつ",'数出表_Excel（アレルギー入力）'!$3:$3,0)),1,""),"$","")</f>
        <v>AL</v>
      </c>
      <c r="DR12" s="118" t="s">
        <v>258</v>
      </c>
      <c r="DS12" s="187"/>
      <c r="DT12" s="187"/>
      <c r="DU12" s="187"/>
      <c r="DV12" s="187"/>
      <c r="DW12" s="102" t="str">
        <f>SUBSTITUTE(SUBSTITUTE(ADDRESS(1,MATCH("おやつ",'数出表_Excel（アレルギー入力）'!$3:$3,0)),1,""),"$","")</f>
        <v>AL</v>
      </c>
      <c r="DY12" s="118" t="s">
        <v>258</v>
      </c>
      <c r="DZ12" s="187"/>
      <c r="EA12" s="187"/>
      <c r="EB12" s="187"/>
      <c r="EC12" s="187"/>
      <c r="ED12" s="102" t="str">
        <f>SUBSTITUTE(SUBSTITUTE(ADDRESS(1,MATCH("おやつ",'数出表_Excel（アレルギー入力）'!$3:$3,0)),1,""),"$","")</f>
        <v>AL</v>
      </c>
      <c r="EG12" s="118" t="s">
        <v>258</v>
      </c>
      <c r="EH12" s="187"/>
      <c r="EI12" s="187"/>
      <c r="EJ12" s="187"/>
      <c r="EK12" s="187"/>
      <c r="EL12" s="102" t="str">
        <f>SUBSTITUTE(SUBSTITUTE(ADDRESS(1,MATCH("おやつ",'数出表_Excel（アレルギー入力）'!$3:$3,0)),1,""),"$","")</f>
        <v>AL</v>
      </c>
      <c r="EN12" s="118" t="s">
        <v>258</v>
      </c>
      <c r="EO12" s="187"/>
      <c r="EP12" s="187"/>
      <c r="EQ12" s="187"/>
      <c r="ER12" s="187"/>
      <c r="ES12" s="102" t="str">
        <f>SUBSTITUTE(SUBSTITUTE(ADDRESS(1,MATCH("おやつ",'数出表_Excel（アレルギー入力）'!$3:$3,0)),1,""),"$","")</f>
        <v>AL</v>
      </c>
      <c r="ET12" s="110"/>
      <c r="EU12" s="82">
        <f t="shared" si="1"/>
        <v>56</v>
      </c>
      <c r="EV12" s="82" t="str">
        <f t="array" aca="1" ref="EV12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LEN(SUBSTITUTE(_xlfn.FORMULATEXT(EV$3),"=","")))+$EU12)</f>
        <v/>
      </c>
      <c r="EW12" s="82" t="str">
        <f t="array" aca="1" ref="EW12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LEN(SUBSTITUTE(_xlfn.FORMULATEXT(EW$3),"=","")))+$EU12)</f>
        <v/>
      </c>
      <c r="EX12" s="82" t="str">
        <f t="array" aca="1" ref="EX12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LEN(SUBSTITUTE(_xlfn.FORMULATEXT(EX$3),"=","")))+$EU12)</f>
        <v/>
      </c>
      <c r="EY12" s="82" t="str">
        <f t="array" aca="1" ref="EY12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LEN(SUBSTITUTE(_xlfn.FORMULATEXT(EY$3),"=","")))+$EU12)</f>
        <v/>
      </c>
      <c r="EZ12" s="82" t="str">
        <f t="array" aca="1" ref="EZ12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LEN(SUBSTITUTE(_xlfn.FORMULATEXT(EZ$3),"=","")))+$EU12)</f>
        <v/>
      </c>
      <c r="FA12" s="82" t="str">
        <f t="array" aca="1" ref="FA12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LEN(SUBSTITUTE(_xlfn.FORMULATEXT(FA$3),"=","")))+$EU12)</f>
        <v/>
      </c>
      <c r="FB12" s="82" t="str">
        <f t="array" aca="1" ref="FB12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LEN(SUBSTITUTE(_xlfn.FORMULATEXT(FB$3),"=","")))+$EU12)</f>
        <v/>
      </c>
      <c r="FC12" s="82" t="str">
        <f t="array" aca="1" ref="FC12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LEN(SUBSTITUTE(_xlfn.FORMULATEXT(FC$3),"=","")))+$EU12)</f>
        <v/>
      </c>
      <c r="FD12" s="82" t="str">
        <f t="array" aca="1" ref="FD12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LEN(SUBSTITUTE(_xlfn.FORMULATEXT(FD$3),"=","")))+$EU12)</f>
        <v/>
      </c>
      <c r="FE12" s="82" t="str">
        <f t="array" aca="1" ref="FE12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LEN(SUBSTITUTE(_xlfn.FORMULATEXT(FE$3),"=","")))+$EU12)</f>
        <v/>
      </c>
      <c r="FF12" s="82" t="str">
        <f t="array" aca="1" ref="FF12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LEN(SUBSTITUTE(_xlfn.FORMULATEXT(FF$3),"=","")))+$EU12)</f>
        <v/>
      </c>
      <c r="FG12" s="82">
        <f t="shared" ca="1" si="0"/>
        <v>0</v>
      </c>
      <c r="FH12" s="82" t="b">
        <f t="array" aca="1" ref="FH12" ca="1">SUMPRODUCT((LEN(EV12:FF12)&gt;0)*1)&gt;0</f>
        <v>0</v>
      </c>
      <c r="FI12" s="82" t="str">
        <f t="array" aca="1" ref="FI12" ca="1">IFERROR(SMALL(IF(FG$1:FG$173&lt;&gt;0,FG$1:FG$173),ROW(A12)),"")</f>
        <v/>
      </c>
      <c r="FJ12" s="82" t="str">
        <f t="array" aca="1" ref="FJ12" ca="1">IF($FI12&lt;&gt;"",
INDIRECT(""&amp;IF(COLUMN(EV12)&lt;=26,CHAR(COLUMN(EV12)+64),CHAR(INT((COLUMN(EV12)-1)/26)+64)&amp;CHAR(MOD(COLUMN(EV12)-1,26)+65))&amp;$FI12&amp;""),"")</f>
        <v/>
      </c>
      <c r="FK12" s="82" t="str">
        <f t="array" aca="1" ref="FK12" ca="1">IF($FI12&lt;&gt;"",
INDIRECT(""&amp;IF(COLUMN(EW12)&lt;=26,CHAR(COLUMN(EW12)+64),CHAR(INT((COLUMN(EW12)-1)/26)+64)&amp;CHAR(MOD(COLUMN(EW12)-1,26)+65))&amp;$FI12&amp;""),"")</f>
        <v/>
      </c>
      <c r="FL12" s="82" t="str">
        <f t="array" aca="1" ref="FL12" ca="1">IF($FI12&lt;&gt;"",
INDIRECT(""&amp;IF(COLUMN(EX12)&lt;=26,CHAR(COLUMN(EX12)+64),CHAR(INT((COLUMN(EX12)-1)/26)+64)&amp;CHAR(MOD(COLUMN(EX12)-1,26)+65))&amp;$FI12&amp;""),"")</f>
        <v/>
      </c>
      <c r="FM12" s="82" t="str">
        <f t="array" aca="1" ref="FM12" ca="1">IF($FI12&lt;&gt;"",
IF(FL12="",
IF(INDIRECT("EY"&amp;$FI12&amp;"")&lt;&gt;"",
INDIRECT("EY"&amp;$FI12&amp;"")&amp;"箱"
&amp;INDIRECT("EZ"&amp;$FI12&amp;""),""),""),"")</f>
        <v/>
      </c>
      <c r="FN12" s="82" t="str">
        <f t="array" aca="1" ref="FN12" ca="1">IF($FI12&lt;&gt;"",
INDIRECT(""&amp;IF(COLUMN(FA12)&lt;=26,CHAR(COLUMN(FA12)+64),CHAR(INT((COLUMN(FA12)-1)/26)+64)&amp;CHAR(MOD(COLUMN(FA12)-1,26)+65))&amp;$FI12&amp;""),"")</f>
        <v/>
      </c>
      <c r="FO12" s="82" t="str">
        <f t="array" aca="1" ref="FO12" ca="1">IF($FI12&lt;&gt;"",
INDIRECT(""&amp;IF(COLUMN(FB12)&lt;=26,CHAR(COLUMN(FB12)+64),CHAR(INT((COLUMN(FB12)-1)/26)+64)&amp;CHAR(MOD(COLUMN(FB12)-1,26)+65))&amp;$FI12&amp;""),"")</f>
        <v/>
      </c>
      <c r="FP12" s="82" t="str">
        <f t="array" aca="1" ref="FP12" ca="1">IF($FI12&lt;&gt;"",
INDIRECT(""&amp;IF(COLUMN(FC12)&lt;=26,CHAR(COLUMN(FC12)+64),CHAR(INT((COLUMN(FC12)-1)/26)+64)&amp;CHAR(MOD(COLUMN(FC12)-1,26)+65))&amp;$FI12&amp;""),"")</f>
        <v/>
      </c>
      <c r="FQ12" s="82" t="str">
        <f t="array" aca="1" ref="FQ12" ca="1">IF($FI12&lt;&gt;"",
INDIRECT(""&amp;IF(COLUMN(FD12)&lt;=26,CHAR(COLUMN(FD12)+64),CHAR(INT((COLUMN(FD12)-1)/26)+64)&amp;CHAR(MOD(COLUMN(FD12)-1,26)+65))&amp;$FI12&amp;""),"")</f>
        <v/>
      </c>
      <c r="FR12" s="82" t="str">
        <f t="array" aca="1" ref="FR12" ca="1">IF($FI12&lt;&gt;"",
INDIRECT(""&amp;IF(COLUMN(FE12)&lt;=26,CHAR(COLUMN(FE12)+64),CHAR(INT((COLUMN(FE12)-1)/26)+64)&amp;CHAR(MOD(COLUMN(FE12)-1,26)+65))&amp;$FI12&amp;""),"")</f>
        <v/>
      </c>
      <c r="FS12" s="82" t="str">
        <f t="array" aca="1" ref="FS12" ca="1">IF($FI12&lt;&gt;"",
INDIRECT(""&amp;IF(COLUMN(FF12)&lt;=26,CHAR(COLUMN(FF12)+64),CHAR(INT((COLUMN(FF12)-1)/26)+64)&amp;CHAR(MOD(COLUMN(FF12)-1,26)+65))&amp;$FI12&amp;""),"")</f>
        <v/>
      </c>
    </row>
    <row r="13" spans="1:175" s="82" customFormat="1" ht="22.2" customHeight="1" x14ac:dyDescent="0.55000000000000004">
      <c r="A13" s="80"/>
      <c r="B13" s="93" t="str">
        <f ca="1">IF(C9&lt;&gt;"",
"パン箱","")</f>
        <v/>
      </c>
      <c r="C13" s="94" t="str">
        <f ca="1">IF(C9&lt;&gt;"",
IF(OR(COUNTIF('盛付札（関数）'!C9,"*キャラ*"),COUNTIF('盛付札（関数）'!C9,"*赤*")),24,
VLOOKUP('盛付札（関数）'!C9,商品マスタ一覧!$D:$I,6,FALSE)),"")</f>
        <v/>
      </c>
      <c r="D13" s="93" t="str">
        <f ca="1">IF(C9&lt;&gt;"",
" 端数","")</f>
        <v/>
      </c>
      <c r="E13" s="94"/>
      <c r="F13" s="93" t="str">
        <f ca="1">IF(C9&lt;&gt;"",
"アレルギー","")</f>
        <v/>
      </c>
      <c r="G13" s="101"/>
      <c r="H13" s="80"/>
      <c r="I13" s="93" t="str">
        <f ca="1">IF(J9&lt;&gt;"",
"パン箱","")</f>
        <v/>
      </c>
      <c r="J13" s="94" t="str">
        <f ca="1">IF(J9&lt;&gt;"",
IF(OR(COUNTIF('盛付札（関数）'!J9,"*キャラ*"),COUNTIF('盛付札（関数）'!J9,"*赤*")),24,
VLOOKUP('盛付札（関数）'!J9,商品マスタ一覧!$D:$I,6,FALSE)),"")</f>
        <v/>
      </c>
      <c r="K13" s="93" t="str">
        <f ca="1">IF(J9&lt;&gt;"",
" 端数","")</f>
        <v/>
      </c>
      <c r="L13" s="94"/>
      <c r="M13" s="93" t="str">
        <f ca="1">IF(J9&lt;&gt;"",
"アレルギー","")</f>
        <v/>
      </c>
      <c r="N13" s="101"/>
      <c r="O13" s="80"/>
      <c r="P13" s="80"/>
      <c r="Q13" s="93" t="str">
        <f ca="1">IF(R9&lt;&gt;"",
"パン箱","")</f>
        <v/>
      </c>
      <c r="R13" s="94" t="str">
        <f ca="1">IF(R9&lt;&gt;"",
IF(OR(COUNTIF('盛付札（関数）'!R9,"*キャラ*"),COUNTIF('盛付札（関数）'!R9,"*赤*")),24,
VLOOKUP('盛付札（関数）'!R9,商品マスタ一覧!$D:$I,6,FALSE)),"")</f>
        <v/>
      </c>
      <c r="S13" s="93" t="str">
        <f ca="1">IF(R9&lt;&gt;"",
" 端数","")</f>
        <v/>
      </c>
      <c r="T13" s="94"/>
      <c r="U13" s="93" t="str">
        <f ca="1">IF(R9&lt;&gt;"",
"アレルギー","")</f>
        <v/>
      </c>
      <c r="V13" s="101"/>
      <c r="W13" s="80"/>
      <c r="X13" s="93" t="str">
        <f ca="1">IF(Y9&lt;&gt;"",
"パン箱","")</f>
        <v/>
      </c>
      <c r="Y13" s="94" t="str">
        <f ca="1">IF(Y9&lt;&gt;"",
IF(OR(COUNTIF('盛付札（関数）'!Y9,"*キャラ*"),COUNTIF('盛付札（関数）'!Y9,"*赤*")),24,
VLOOKUP('盛付札（関数）'!Y9,商品マスタ一覧!$D:$I,6,FALSE)),"")</f>
        <v/>
      </c>
      <c r="Z13" s="93" t="str">
        <f ca="1">IF(Y9&lt;&gt;"",
" 端数","")</f>
        <v/>
      </c>
      <c r="AA13" s="94"/>
      <c r="AB13" s="93" t="str">
        <f ca="1">IF(Y9&lt;&gt;"",
"アレルギー","")</f>
        <v/>
      </c>
      <c r="AC13" s="101"/>
      <c r="AD13" s="80"/>
      <c r="AE13" s="80"/>
      <c r="AF13" s="93" t="str">
        <f ca="1">IF(AG9&lt;&gt;"",
"パン箱","")</f>
        <v/>
      </c>
      <c r="AG13" s="94" t="str">
        <f ca="1">IF(AG9&lt;&gt;"",
IF(OR(COUNTIF('盛付札（関数）'!AG9,"*キャラ*"),COUNTIF('盛付札（関数）'!AG9,"*赤*")),24,
VLOOKUP('盛付札（関数）'!AG9,商品マスタ一覧!$D:$I,6,FALSE)),"")</f>
        <v/>
      </c>
      <c r="AH13" s="93" t="str">
        <f ca="1">IF(AG9&lt;&gt;"",
" 端数","")</f>
        <v/>
      </c>
      <c r="AI13" s="94"/>
      <c r="AJ13" s="93" t="str">
        <f ca="1">IF(AG9&lt;&gt;"",
"アレルギー","")</f>
        <v/>
      </c>
      <c r="AK13" s="101"/>
      <c r="AL13" s="80"/>
      <c r="AM13" s="93" t="str">
        <f ca="1">IF(AN9&lt;&gt;"",
"パン箱","")</f>
        <v/>
      </c>
      <c r="AN13" s="94" t="str">
        <f ca="1">IF(AN9&lt;&gt;"",
IF(OR(COUNTIF('盛付札（関数）'!AN9,"*キャラ*"),COUNTIF('盛付札（関数）'!AN9,"*赤*")),24,
VLOOKUP('盛付札（関数）'!AN9,商品マスタ一覧!$D:$I,6,FALSE)),"")</f>
        <v/>
      </c>
      <c r="AO13" s="93" t="str">
        <f ca="1">IF(AN9&lt;&gt;"",
" 端数","")</f>
        <v/>
      </c>
      <c r="AP13" s="94"/>
      <c r="AQ13" s="93" t="str">
        <f ca="1">IF(AN9&lt;&gt;"",
"アレルギー","")</f>
        <v/>
      </c>
      <c r="AR13" s="101"/>
      <c r="AS13" s="80"/>
      <c r="AT13" s="80"/>
      <c r="AU13" s="93" t="str">
        <f ca="1">IF(AV9&lt;&gt;"",
"パン箱","")</f>
        <v/>
      </c>
      <c r="AV13" s="94" t="str">
        <f ca="1">IF(AV9&lt;&gt;"",
IF(OR(COUNTIF('盛付札（関数）'!AV9,"*キャラ*"),COUNTIF('盛付札（関数）'!AV9,"*赤*")),24,
VLOOKUP('盛付札（関数）'!AV9,商品マスタ一覧!$D:$I,6,FALSE)),"")</f>
        <v/>
      </c>
      <c r="AW13" s="93" t="str">
        <f ca="1">IF(AV9&lt;&gt;"",
" 端数","")</f>
        <v/>
      </c>
      <c r="AX13" s="94"/>
      <c r="AY13" s="93" t="str">
        <f ca="1">IF(AV9&lt;&gt;"",
"アレルギー","")</f>
        <v/>
      </c>
      <c r="AZ13" s="101"/>
      <c r="BA13" s="80"/>
      <c r="BB13" s="93" t="str">
        <f ca="1">IF(BC9&lt;&gt;"",
"パン箱","")</f>
        <v/>
      </c>
      <c r="BC13" s="94" t="str">
        <f ca="1">IF(BC9&lt;&gt;"",
IF(OR(COUNTIF('盛付札（関数）'!BC9,"*キャラ*"),COUNTIF('盛付札（関数）'!BC9,"*赤*")),24,
VLOOKUP('盛付札（関数）'!BC9,商品マスタ一覧!$D:$I,6,FALSE)),"")</f>
        <v/>
      </c>
      <c r="BD13" s="93" t="str">
        <f ca="1">IF(BC9&lt;&gt;"",
" 端数","")</f>
        <v/>
      </c>
      <c r="BE13" s="94"/>
      <c r="BF13" s="93" t="str">
        <f ca="1">IF(BC9&lt;&gt;"",
"アレルギー","")</f>
        <v/>
      </c>
      <c r="BG13" s="101"/>
      <c r="BH13" s="80"/>
      <c r="BI13" s="80"/>
      <c r="BJ13" s="93" t="str">
        <f ca="1">IF(BK9&lt;&gt;"",
"パン箱","")</f>
        <v/>
      </c>
      <c r="BK13" s="94" t="str">
        <f ca="1">IF(BK9&lt;&gt;"",
IF(OR(COUNTIF('盛付札（関数）'!BK9,"*キャラ*"),COUNTIF('盛付札（関数）'!BK9,"*赤*")),24,
VLOOKUP('盛付札（関数）'!BK9,商品マスタ一覧!$D:$I,6,FALSE)),"")</f>
        <v/>
      </c>
      <c r="BL13" s="93" t="str">
        <f ca="1">IF(BK9&lt;&gt;"",
" 端数","")</f>
        <v/>
      </c>
      <c r="BM13" s="94"/>
      <c r="BN13" s="93" t="str">
        <f ca="1">IF(BK9&lt;&gt;"",
"アレルギー","")</f>
        <v/>
      </c>
      <c r="BO13" s="101"/>
      <c r="BP13" s="80"/>
      <c r="BQ13" s="93" t="str">
        <f ca="1">IF(BR9&lt;&gt;"",
"パン箱","")</f>
        <v/>
      </c>
      <c r="BR13" s="94" t="str">
        <f ca="1">IF(BR9&lt;&gt;"",
IF(OR(COUNTIF('盛付札（関数）'!BR9,"*キャラ*"),COUNTIF('盛付札（関数）'!BR9,"*赤*")),24,
VLOOKUP('盛付札（関数）'!BR9,商品マスタ一覧!$D:$I,6,FALSE)),"")</f>
        <v/>
      </c>
      <c r="BS13" s="93" t="str">
        <f ca="1">IF(BR9&lt;&gt;"",
" 端数","")</f>
        <v/>
      </c>
      <c r="BT13" s="94"/>
      <c r="BU13" s="93" t="str">
        <f ca="1">IF(BR9&lt;&gt;"",
"アレルギー","")</f>
        <v/>
      </c>
      <c r="BV13" s="101"/>
      <c r="BW13" s="80"/>
      <c r="BX13" s="80"/>
      <c r="BY13" s="93" t="str">
        <f ca="1">IF(BZ9&lt;&gt;"",
"パン箱","")</f>
        <v/>
      </c>
      <c r="BZ13" s="94" t="str">
        <f ca="1">IF(BZ9&lt;&gt;"",
IF(OR(COUNTIF('盛付札（関数）'!BZ9,"*キャラ*"),COUNTIF('盛付札（関数）'!BZ9,"*赤*")),24,
VLOOKUP('盛付札（関数）'!BZ9,商品マスタ一覧!$D:$I,6,FALSE)),"")</f>
        <v/>
      </c>
      <c r="CA13" s="93" t="str">
        <f ca="1">IF(BZ9&lt;&gt;"",
" 端数","")</f>
        <v/>
      </c>
      <c r="CB13" s="94"/>
      <c r="CC13" s="93" t="str">
        <f ca="1">IF(BZ9&lt;&gt;"",
"アレルギー","")</f>
        <v/>
      </c>
      <c r="CD13" s="101"/>
      <c r="CE13" s="80"/>
      <c r="CF13" s="93" t="str">
        <f ca="1">IF(CG9&lt;&gt;"",
"パン箱","")</f>
        <v/>
      </c>
      <c r="CG13" s="94" t="str">
        <f ca="1">IF(CG9&lt;&gt;"",
IF(OR(COUNTIF('盛付札（関数）'!CG9,"*キャラ*"),COUNTIF('盛付札（関数）'!CG9,"*赤*")),24,
VLOOKUP('盛付札（関数）'!CG9,商品マスタ一覧!$D:$I,6,FALSE)),"")</f>
        <v/>
      </c>
      <c r="CH13" s="93" t="str">
        <f ca="1">IF(CG9&lt;&gt;"",
" 端数","")</f>
        <v/>
      </c>
      <c r="CI13" s="94"/>
      <c r="CJ13" s="93" t="str">
        <f ca="1">IF(CG9&lt;&gt;"",
"アレルギー","")</f>
        <v/>
      </c>
      <c r="CK13" s="101"/>
      <c r="CL13" s="80"/>
      <c r="CM13" s="80"/>
      <c r="CN13" s="93" t="str">
        <f ca="1">IF(CO9&lt;&gt;"",
"パン箱","")</f>
        <v/>
      </c>
      <c r="CO13" s="94" t="str">
        <f ca="1">IF(CO9&lt;&gt;"",
IF(OR(COUNTIF('盛付札（関数）'!CO9,"*キャラ*"),COUNTIF('盛付札（関数）'!CO9,"*赤*")),24,
VLOOKUP('盛付札（関数）'!CO9,商品マスタ一覧!$D:$I,6,FALSE)),"")</f>
        <v/>
      </c>
      <c r="CP13" s="93" t="str">
        <f ca="1">IF(CO9&lt;&gt;"",
" 端数","")</f>
        <v/>
      </c>
      <c r="CQ13" s="94"/>
      <c r="CR13" s="93" t="str">
        <f ca="1">IF(CO9&lt;&gt;"",
"アレルギー","")</f>
        <v/>
      </c>
      <c r="CS13" s="101"/>
      <c r="CT13" s="80"/>
      <c r="CU13" s="93" t="str">
        <f ca="1">IF(CV9&lt;&gt;"",
"パン箱","")</f>
        <v/>
      </c>
      <c r="CV13" s="94" t="str">
        <f ca="1">IF(CV9&lt;&gt;"",
IF(OR(COUNTIF('盛付札（関数）'!CV9,"*キャラ*"),COUNTIF('盛付札（関数）'!CV9,"*赤*")),24,
VLOOKUP('盛付札（関数）'!CV9,商品マスタ一覧!$D:$I,6,FALSE)),"")</f>
        <v/>
      </c>
      <c r="CW13" s="93" t="str">
        <f ca="1">IF(CV9&lt;&gt;"",
" 端数","")</f>
        <v/>
      </c>
      <c r="CX13" s="94"/>
      <c r="CY13" s="93" t="str">
        <f ca="1">IF(CV9&lt;&gt;"",
"アレルギー","")</f>
        <v/>
      </c>
      <c r="CZ13" s="101"/>
      <c r="DA13" s="80"/>
      <c r="DB13" s="80"/>
      <c r="DC13" s="93" t="str">
        <f ca="1">IF(DD9&lt;&gt;"",
"パン箱","")</f>
        <v/>
      </c>
      <c r="DD13" s="94" t="str">
        <f ca="1">IF(DD9&lt;&gt;"",
IF(OR(COUNTIF('盛付札（関数）'!DD9,"*キャラ*"),COUNTIF('盛付札（関数）'!DD9,"*赤*")),24,
VLOOKUP('盛付札（関数）'!DD9,商品マスタ一覧!$D:$I,6,FALSE)),"")</f>
        <v/>
      </c>
      <c r="DE13" s="93" t="str">
        <f ca="1">IF(DD9&lt;&gt;"",
" 端数","")</f>
        <v/>
      </c>
      <c r="DF13" s="94"/>
      <c r="DG13" s="93" t="str">
        <f ca="1">IF(DD9&lt;&gt;"",
"アレルギー","")</f>
        <v/>
      </c>
      <c r="DH13" s="101"/>
      <c r="DI13" s="80"/>
      <c r="DJ13" s="93" t="str">
        <f ca="1">IF(DK9&lt;&gt;"",
"パン箱","")</f>
        <v/>
      </c>
      <c r="DK13" s="94" t="str">
        <f ca="1">IF(DK9&lt;&gt;"",
IF(OR(COUNTIF('盛付札（関数）'!DK9,"*キャラ*"),COUNTIF('盛付札（関数）'!DK9,"*赤*")),24,
VLOOKUP('盛付札（関数）'!DK9,商品マスタ一覧!$D:$I,6,FALSE)),"")</f>
        <v/>
      </c>
      <c r="DL13" s="93" t="str">
        <f ca="1">IF(DK9&lt;&gt;"",
" 端数","")</f>
        <v/>
      </c>
      <c r="DM13" s="94"/>
      <c r="DN13" s="93" t="str">
        <f ca="1">IF(DK9&lt;&gt;"",
"アレルギー","")</f>
        <v/>
      </c>
      <c r="DO13" s="101"/>
      <c r="DP13" s="80"/>
      <c r="DQ13" s="80"/>
      <c r="DR13" s="93" t="str">
        <f ca="1">IF(DS9&lt;&gt;"",
"パン箱","")</f>
        <v/>
      </c>
      <c r="DS13" s="94" t="str">
        <f ca="1">IF(DS9&lt;&gt;"",
IF(OR(COUNTIF('盛付札（関数）'!DS9,"*キャラ*"),COUNTIF('盛付札（関数）'!DS9,"*赤*")),24,
VLOOKUP('盛付札（関数）'!DS9,商品マスタ一覧!$D:$I,6,FALSE)),"")</f>
        <v/>
      </c>
      <c r="DT13" s="93" t="str">
        <f ca="1">IF(DS9&lt;&gt;"",
" 端数","")</f>
        <v/>
      </c>
      <c r="DU13" s="94"/>
      <c r="DV13" s="93" t="str">
        <f ca="1">IF(DS9&lt;&gt;"",
"アレルギー","")</f>
        <v/>
      </c>
      <c r="DW13" s="101"/>
      <c r="DX13" s="80"/>
      <c r="DY13" s="93" t="str">
        <f ca="1">IF(DZ9&lt;&gt;"",
"パン箱","")</f>
        <v/>
      </c>
      <c r="DZ13" s="94" t="str">
        <f ca="1">IF(DZ9&lt;&gt;"",
IF(OR(COUNTIF('盛付札（関数）'!DZ9,"*キャラ*"),COUNTIF('盛付札（関数）'!DZ9,"*赤*")),24,
VLOOKUP('盛付札（関数）'!DZ9,商品マスタ一覧!$D:$I,6,FALSE)),"")</f>
        <v/>
      </c>
      <c r="EA13" s="93" t="str">
        <f ca="1">IF(DZ9&lt;&gt;"",
" 端数","")</f>
        <v/>
      </c>
      <c r="EB13" s="94"/>
      <c r="EC13" s="93" t="str">
        <f ca="1">IF(DZ9&lt;&gt;"",
"アレルギー","")</f>
        <v/>
      </c>
      <c r="ED13" s="101"/>
      <c r="EE13" s="80"/>
      <c r="EF13" s="80"/>
      <c r="EG13" s="93" t="str">
        <f ca="1">IF(EH9&lt;&gt;"",
"パン箱","")</f>
        <v/>
      </c>
      <c r="EH13" s="94" t="str">
        <f ca="1">IF(EH9&lt;&gt;"",
IF(OR(COUNTIF('盛付札（関数）'!EH9,"*キャラ*"),COUNTIF('盛付札（関数）'!EH9,"*赤*")),24,
VLOOKUP('盛付札（関数）'!EH9,商品マスタ一覧!$D:$I,6,FALSE)),"")</f>
        <v/>
      </c>
      <c r="EI13" s="93" t="str">
        <f ca="1">IF(EH9&lt;&gt;"",
" 端数","")</f>
        <v/>
      </c>
      <c r="EJ13" s="94"/>
      <c r="EK13" s="93" t="str">
        <f ca="1">IF(EH9&lt;&gt;"",
"アレルギー","")</f>
        <v/>
      </c>
      <c r="EL13" s="101"/>
      <c r="EM13" s="80"/>
      <c r="EN13" s="93" t="str">
        <f ca="1">IF(EO9&lt;&gt;"",
"パン箱","")</f>
        <v/>
      </c>
      <c r="EO13" s="94" t="str">
        <f ca="1">IF(EO9&lt;&gt;"",
IF(OR(COUNTIF('盛付札（関数）'!EO9,"*キャラ*"),COUNTIF('盛付札（関数）'!EO9,"*赤*")),24,
VLOOKUP('盛付札（関数）'!EO9,商品マスタ一覧!$D:$I,6,FALSE)),"")</f>
        <v/>
      </c>
      <c r="EP13" s="93" t="str">
        <f ca="1">IF(EO9&lt;&gt;"",
" 端数","")</f>
        <v/>
      </c>
      <c r="EQ13" s="94"/>
      <c r="ER13" s="93" t="str">
        <f ca="1">IF(EO9&lt;&gt;"",
"アレルギー","")</f>
        <v/>
      </c>
      <c r="ES13" s="101"/>
      <c r="ET13" s="110"/>
      <c r="EU13" s="82">
        <f t="shared" si="1"/>
        <v>21</v>
      </c>
      <c r="EV13" s="82" t="str">
        <f t="array" aca="1" ref="EV13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LEN(SUBSTITUTE(_xlfn.FORMULATEXT(EV$1),"=","")))+$EU13)</f>
        <v/>
      </c>
      <c r="EW13" s="82" t="str">
        <f t="array" aca="1" ref="EW13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LEN(SUBSTITUTE(_xlfn.FORMULATEXT(EW$1),"=","")))+$EU13)</f>
        <v/>
      </c>
      <c r="EX13" s="82" t="str">
        <f t="array" aca="1" ref="EX13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LEN(SUBSTITUTE(_xlfn.FORMULATEXT(EX$1),"=","")))+$EU13)</f>
        <v/>
      </c>
      <c r="EY13" s="82" t="str">
        <f t="array" aca="1" ref="EY13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LEN(SUBSTITUTE(_xlfn.FORMULATEXT(EY$1),"=","")))+$EU13)</f>
        <v/>
      </c>
      <c r="EZ13" s="82" t="str">
        <f t="array" aca="1" ref="EZ13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LEN(SUBSTITUTE(_xlfn.FORMULATEXT(EZ$1),"=","")))+$EU13)</f>
        <v/>
      </c>
      <c r="FA13" s="82" t="e">
        <f t="array" aca="1" ref="FA13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LEN(SUBSTITUTE(_xlfn.FORMULATEXT(FA$1),"=","")))+$EU13)</f>
        <v>#VALUE!</v>
      </c>
      <c r="FB13" s="82" t="str">
        <f t="array" aca="1" ref="FB13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LEN(SUBSTITUTE(_xlfn.FORMULATEXT(FB$1),"=","")))+$EU13)</f>
        <v/>
      </c>
      <c r="FC13" s="82" t="str">
        <f t="array" aca="1" ref="FC13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LEN(SUBSTITUTE(_xlfn.FORMULATEXT(FC$1),"=","")))+$EU13)</f>
        <v/>
      </c>
      <c r="FD13" s="82" t="e">
        <f t="array" aca="1" ref="FD13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LEN(SUBSTITUTE(_xlfn.FORMULATEXT(FD$1),"=","")))+$EU13)</f>
        <v>#VALUE!</v>
      </c>
      <c r="FE13" s="82" t="str">
        <f t="array" aca="1" ref="FE13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LEN(SUBSTITUTE(_xlfn.FORMULATEXT(FE$1),"=","")))+$EU13)</f>
        <v/>
      </c>
      <c r="FF13" s="82" t="e">
        <f t="array" aca="1" ref="FF13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LEN(SUBSTITUTE(_xlfn.FORMULATEXT(FF$1),"=","")))+$EU13)</f>
        <v>#N/A</v>
      </c>
      <c r="FG13" s="82">
        <f t="shared" ca="1" si="0"/>
        <v>0</v>
      </c>
      <c r="FH13" s="82" t="e">
        <f t="array" aca="1" ref="FH13" ca="1">SUMPRODUCT((LEN(EV13:FF13)&gt;0)*1)&gt;0</f>
        <v>#VALUE!</v>
      </c>
      <c r="FI13" s="82" t="str">
        <f t="array" aca="1" ref="FI13" ca="1">IFERROR(SMALL(IF(FG$1:FG$173&lt;&gt;0,FG$1:FG$173),ROW(A13)),"")</f>
        <v/>
      </c>
      <c r="FJ13" s="82" t="str">
        <f t="array" aca="1" ref="FJ13" ca="1">IF($FI13&lt;&gt;"",
INDIRECT(""&amp;IF(COLUMN(EV13)&lt;=26,CHAR(COLUMN(EV13)+64),CHAR(INT((COLUMN(EV13)-1)/26)+64)&amp;CHAR(MOD(COLUMN(EV13)-1,26)+65))&amp;$FI13&amp;""),"")</f>
        <v/>
      </c>
      <c r="FK13" s="82" t="str">
        <f t="array" aca="1" ref="FK13" ca="1">IF($FI13&lt;&gt;"",
INDIRECT(""&amp;IF(COLUMN(EW13)&lt;=26,CHAR(COLUMN(EW13)+64),CHAR(INT((COLUMN(EW13)-1)/26)+64)&amp;CHAR(MOD(COLUMN(EW13)-1,26)+65))&amp;$FI13&amp;""),"")</f>
        <v/>
      </c>
      <c r="FL13" s="82" t="str">
        <f t="array" aca="1" ref="FL13" ca="1">IF($FI13&lt;&gt;"",
INDIRECT(""&amp;IF(COLUMN(EX13)&lt;=26,CHAR(COLUMN(EX13)+64),CHAR(INT((COLUMN(EX13)-1)/26)+64)&amp;CHAR(MOD(COLUMN(EX13)-1,26)+65))&amp;$FI13&amp;""),"")</f>
        <v/>
      </c>
      <c r="FM13" s="82" t="str">
        <f t="array" aca="1" ref="FM13" ca="1">IF($FI13&lt;&gt;"",
IF(FL13="",
IF(INDIRECT("EY"&amp;$FI13&amp;"")&lt;&gt;"",
INDIRECT("EY"&amp;$FI13&amp;"")&amp;"箱"
&amp;INDIRECT("EZ"&amp;$FI13&amp;""),""),""),"")</f>
        <v/>
      </c>
      <c r="FN13" s="82" t="str">
        <f t="array" aca="1" ref="FN13" ca="1">IF($FI13&lt;&gt;"",
INDIRECT(""&amp;IF(COLUMN(FA13)&lt;=26,CHAR(COLUMN(FA13)+64),CHAR(INT((COLUMN(FA13)-1)/26)+64)&amp;CHAR(MOD(COLUMN(FA13)-1,26)+65))&amp;$FI13&amp;""),"")</f>
        <v/>
      </c>
      <c r="FO13" s="82" t="str">
        <f t="array" aca="1" ref="FO13" ca="1">IF($FI13&lt;&gt;"",
INDIRECT(""&amp;IF(COLUMN(FB13)&lt;=26,CHAR(COLUMN(FB13)+64),CHAR(INT((COLUMN(FB13)-1)/26)+64)&amp;CHAR(MOD(COLUMN(FB13)-1,26)+65))&amp;$FI13&amp;""),"")</f>
        <v/>
      </c>
      <c r="FP13" s="82" t="str">
        <f t="array" aca="1" ref="FP13" ca="1">IF($FI13&lt;&gt;"",
INDIRECT(""&amp;IF(COLUMN(FC13)&lt;=26,CHAR(COLUMN(FC13)+64),CHAR(INT((COLUMN(FC13)-1)/26)+64)&amp;CHAR(MOD(COLUMN(FC13)-1,26)+65))&amp;$FI13&amp;""),"")</f>
        <v/>
      </c>
      <c r="FQ13" s="82" t="str">
        <f t="array" aca="1" ref="FQ13" ca="1">IF($FI13&lt;&gt;"",
INDIRECT(""&amp;IF(COLUMN(FD13)&lt;=26,CHAR(COLUMN(FD13)+64),CHAR(INT((COLUMN(FD13)-1)/26)+64)&amp;CHAR(MOD(COLUMN(FD13)-1,26)+65))&amp;$FI13&amp;""),"")</f>
        <v/>
      </c>
      <c r="FR13" s="82" t="str">
        <f t="array" aca="1" ref="FR13" ca="1">IF($FI13&lt;&gt;"",
INDIRECT(""&amp;IF(COLUMN(FE13)&lt;=26,CHAR(COLUMN(FE13)+64),CHAR(INT((COLUMN(FE13)-1)/26)+64)&amp;CHAR(MOD(COLUMN(FE13)-1,26)+65))&amp;$FI13&amp;""),"")</f>
        <v/>
      </c>
      <c r="FS13" s="82" t="str">
        <f t="array" aca="1" ref="FS13" ca="1">IF($FI13&lt;&gt;"",
INDIRECT(""&amp;IF(COLUMN(FF13)&lt;=26,CHAR(COLUMN(FF13)+64),CHAR(INT((COLUMN(FF13)-1)/26)+64)&amp;CHAR(MOD(COLUMN(FF13)-1,26)+65))&amp;$FI13&amp;""),"")</f>
        <v/>
      </c>
    </row>
    <row r="14" spans="1:175" ht="21" customHeight="1" x14ac:dyDescent="0.45">
      <c r="B14" s="196" t="e">
        <f ca="1">IF(C11&lt;&gt;"",
IFERROR(INT(C11/C13),""),"")</f>
        <v>#VALUE!</v>
      </c>
      <c r="C14" s="195"/>
      <c r="D14" s="196" t="str">
        <f ca="1">IFERROR(MOD(C11,C13),"")</f>
        <v/>
      </c>
      <c r="E14" s="195"/>
      <c r="F14" s="194" t="e">
        <f ca="1">G10+G11</f>
        <v>#N/A</v>
      </c>
      <c r="G14" s="195"/>
      <c r="I14" s="196" t="e">
        <f ca="1">IF(J11&lt;&gt;"",
IFERROR(INT(J11/J13),""),"")</f>
        <v>#VALUE!</v>
      </c>
      <c r="J14" s="195"/>
      <c r="K14" s="196" t="str">
        <f ca="1">IFERROR(MOD(J11,J13),"")</f>
        <v/>
      </c>
      <c r="L14" s="195"/>
      <c r="M14" s="194" t="e">
        <f ca="1">N10+N11</f>
        <v>#N/A</v>
      </c>
      <c r="N14" s="195"/>
      <c r="Q14" s="196" t="e">
        <f ca="1">IF(R11&lt;&gt;"",
IFERROR(INT(R11/R13),""),"")</f>
        <v>#VALUE!</v>
      </c>
      <c r="R14" s="195"/>
      <c r="S14" s="196" t="str">
        <f ca="1">IFERROR(MOD(R11,R13),"")</f>
        <v/>
      </c>
      <c r="T14" s="195"/>
      <c r="U14" s="194" t="e">
        <f ca="1">V10+V11</f>
        <v>#N/A</v>
      </c>
      <c r="V14" s="195"/>
      <c r="X14" s="196" t="e">
        <f ca="1">IF(Y11&lt;&gt;"",
IFERROR(INT(Y11/Y13),""),"")</f>
        <v>#VALUE!</v>
      </c>
      <c r="Y14" s="195"/>
      <c r="Z14" s="196" t="str">
        <f ca="1">IFERROR(MOD(Y11,Y13),"")</f>
        <v/>
      </c>
      <c r="AA14" s="195"/>
      <c r="AB14" s="194" t="e">
        <f ca="1">AC10+AC11</f>
        <v>#N/A</v>
      </c>
      <c r="AC14" s="195"/>
      <c r="AF14" s="196" t="e">
        <f ca="1">IF(AG11&lt;&gt;"",
IFERROR(INT(AG11/AG13),""),"")</f>
        <v>#VALUE!</v>
      </c>
      <c r="AG14" s="195"/>
      <c r="AH14" s="196" t="str">
        <f ca="1">IFERROR(MOD(AG11,AG13),"")</f>
        <v/>
      </c>
      <c r="AI14" s="195"/>
      <c r="AJ14" s="194" t="e">
        <f ca="1">AK10+AK11</f>
        <v>#N/A</v>
      </c>
      <c r="AK14" s="195"/>
      <c r="AM14" s="196" t="e">
        <f ca="1">IF(AN11&lt;&gt;"",
IFERROR(INT(AN11/AN13),""),"")</f>
        <v>#VALUE!</v>
      </c>
      <c r="AN14" s="195"/>
      <c r="AO14" s="196" t="str">
        <f ca="1">IFERROR(MOD(AN11,AN13),"")</f>
        <v/>
      </c>
      <c r="AP14" s="195"/>
      <c r="AQ14" s="194" t="e">
        <f ca="1">AR10+AR11</f>
        <v>#N/A</v>
      </c>
      <c r="AR14" s="195"/>
      <c r="AU14" s="196" t="e">
        <f ca="1">IF(AV11&lt;&gt;"",
IFERROR(INT(AV11/AV13),""),"")</f>
        <v>#VALUE!</v>
      </c>
      <c r="AV14" s="195"/>
      <c r="AW14" s="196" t="str">
        <f ca="1">IFERROR(MOD(AV11,AV13),"")</f>
        <v/>
      </c>
      <c r="AX14" s="195"/>
      <c r="AY14" s="194" t="e">
        <f ca="1">AZ10+AZ11</f>
        <v>#N/A</v>
      </c>
      <c r="AZ14" s="195"/>
      <c r="BB14" s="196" t="e">
        <f ca="1">IF(BC11&lt;&gt;"",
IFERROR(INT(BC11/BC13),""),"")</f>
        <v>#VALUE!</v>
      </c>
      <c r="BC14" s="195"/>
      <c r="BD14" s="196" t="str">
        <f ca="1">IFERROR(MOD(BC11,BC13),"")</f>
        <v/>
      </c>
      <c r="BE14" s="195"/>
      <c r="BF14" s="194" t="e">
        <f ca="1">BG10+BG11</f>
        <v>#N/A</v>
      </c>
      <c r="BG14" s="195"/>
      <c r="BJ14" s="196" t="e">
        <f ca="1">IF(BK11&lt;&gt;"",
IFERROR(INT(BK11/BK13),""),"")</f>
        <v>#VALUE!</v>
      </c>
      <c r="BK14" s="195"/>
      <c r="BL14" s="196" t="str">
        <f ca="1">IFERROR(MOD(BK11,BK13),"")</f>
        <v/>
      </c>
      <c r="BM14" s="195"/>
      <c r="BN14" s="194" t="e">
        <f ca="1">BO10+BO11</f>
        <v>#N/A</v>
      </c>
      <c r="BO14" s="195"/>
      <c r="BQ14" s="196" t="e">
        <f ca="1">IF(BR11&lt;&gt;"",
IFERROR(INT(BR11/BR13),""),"")</f>
        <v>#VALUE!</v>
      </c>
      <c r="BR14" s="195"/>
      <c r="BS14" s="196" t="str">
        <f ca="1">IFERROR(MOD(BR11,BR13),"")</f>
        <v/>
      </c>
      <c r="BT14" s="195"/>
      <c r="BU14" s="194" t="e">
        <f ca="1">BV10+BV11</f>
        <v>#N/A</v>
      </c>
      <c r="BV14" s="195"/>
      <c r="BY14" s="196" t="e">
        <f ca="1">IF(BZ11&lt;&gt;"",
IFERROR(INT(BZ11/BZ13),""),"")</f>
        <v>#VALUE!</v>
      </c>
      <c r="BZ14" s="195"/>
      <c r="CA14" s="196" t="str">
        <f ca="1">IFERROR(MOD(BZ11,BZ13),"")</f>
        <v/>
      </c>
      <c r="CB14" s="195"/>
      <c r="CC14" s="194" t="e">
        <f ca="1">CD10+CD11</f>
        <v>#N/A</v>
      </c>
      <c r="CD14" s="195"/>
      <c r="CF14" s="196" t="e">
        <f ca="1">IF(CG11&lt;&gt;"",
IFERROR(INT(CG11/CG13),""),"")</f>
        <v>#VALUE!</v>
      </c>
      <c r="CG14" s="195"/>
      <c r="CH14" s="196" t="str">
        <f ca="1">IFERROR(MOD(CG11,CG13),"")</f>
        <v/>
      </c>
      <c r="CI14" s="195"/>
      <c r="CJ14" s="194" t="e">
        <f ca="1">CK10+CK11</f>
        <v>#N/A</v>
      </c>
      <c r="CK14" s="195"/>
      <c r="CN14" s="196" t="e">
        <f ca="1">IF(CO11&lt;&gt;"",
IFERROR(INT(CO11/CO13),""),"")</f>
        <v>#VALUE!</v>
      </c>
      <c r="CO14" s="195"/>
      <c r="CP14" s="196" t="str">
        <f ca="1">IFERROR(MOD(CO11,CO13),"")</f>
        <v/>
      </c>
      <c r="CQ14" s="195"/>
      <c r="CR14" s="194" t="e">
        <f ca="1">CS10+CS11</f>
        <v>#N/A</v>
      </c>
      <c r="CS14" s="195"/>
      <c r="CU14" s="196" t="e">
        <f ca="1">IF(CV11&lt;&gt;"",
IFERROR(INT(CV11/CV13),""),"")</f>
        <v>#VALUE!</v>
      </c>
      <c r="CV14" s="195"/>
      <c r="CW14" s="196" t="str">
        <f ca="1">IFERROR(MOD(CV11,CV13),"")</f>
        <v/>
      </c>
      <c r="CX14" s="195"/>
      <c r="CY14" s="194" t="e">
        <f ca="1">CZ10+CZ11</f>
        <v>#N/A</v>
      </c>
      <c r="CZ14" s="195"/>
      <c r="DC14" s="196" t="e">
        <f ca="1">IF(DD11&lt;&gt;"",
IFERROR(INT(DD11/DD13),""),"")</f>
        <v>#VALUE!</v>
      </c>
      <c r="DD14" s="195"/>
      <c r="DE14" s="196" t="str">
        <f ca="1">IFERROR(MOD(DD11,DD13),"")</f>
        <v/>
      </c>
      <c r="DF14" s="195"/>
      <c r="DG14" s="194" t="e">
        <f ca="1">DH10+DH11</f>
        <v>#N/A</v>
      </c>
      <c r="DH14" s="195"/>
      <c r="DJ14" s="196" t="e">
        <f ca="1">IF(DK11&lt;&gt;"",
IFERROR(INT(DK11/DK13),""),"")</f>
        <v>#VALUE!</v>
      </c>
      <c r="DK14" s="195"/>
      <c r="DL14" s="196" t="str">
        <f ca="1">IFERROR(MOD(DK11,DK13),"")</f>
        <v/>
      </c>
      <c r="DM14" s="195"/>
      <c r="DN14" s="194" t="e">
        <f ca="1">DO10+DO11</f>
        <v>#N/A</v>
      </c>
      <c r="DO14" s="195"/>
      <c r="DR14" s="196" t="e">
        <f ca="1">IF(DS11&lt;&gt;"",
IFERROR(INT(DS11/DS13),""),"")</f>
        <v>#VALUE!</v>
      </c>
      <c r="DS14" s="195"/>
      <c r="DT14" s="196" t="str">
        <f ca="1">IFERROR(MOD(DS11,DS13),"")</f>
        <v/>
      </c>
      <c r="DU14" s="195"/>
      <c r="DV14" s="194" t="e">
        <f ca="1">DW10+DW11</f>
        <v>#N/A</v>
      </c>
      <c r="DW14" s="195"/>
      <c r="DY14" s="196" t="e">
        <f ca="1">IF(DZ11&lt;&gt;"",
IFERROR(INT(DZ11/DZ13),""),"")</f>
        <v>#VALUE!</v>
      </c>
      <c r="DZ14" s="195"/>
      <c r="EA14" s="196" t="str">
        <f ca="1">IFERROR(MOD(DZ11,DZ13),"")</f>
        <v/>
      </c>
      <c r="EB14" s="195"/>
      <c r="EC14" s="194" t="e">
        <f ca="1">ED10+ED11</f>
        <v>#N/A</v>
      </c>
      <c r="ED14" s="195"/>
      <c r="EG14" s="196" t="e">
        <f ca="1">IF(EH11&lt;&gt;"",
IFERROR(INT(EH11/EH13),""),"")</f>
        <v>#VALUE!</v>
      </c>
      <c r="EH14" s="195"/>
      <c r="EI14" s="196" t="str">
        <f ca="1">IFERROR(MOD(EH11,EH13),"")</f>
        <v/>
      </c>
      <c r="EJ14" s="195"/>
      <c r="EK14" s="194" t="e">
        <f ca="1">EL10+EL11</f>
        <v>#N/A</v>
      </c>
      <c r="EL14" s="195"/>
      <c r="EN14" s="196" t="e">
        <f ca="1">IF(EO11&lt;&gt;"",
IFERROR(INT(EO11/EO13),""),"")</f>
        <v>#VALUE!</v>
      </c>
      <c r="EO14" s="195"/>
      <c r="EP14" s="196" t="str">
        <f ca="1">IFERROR(MOD(EO11,EO13),"")</f>
        <v/>
      </c>
      <c r="EQ14" s="195"/>
      <c r="ER14" s="194" t="e">
        <f ca="1">ES10+ES11</f>
        <v>#N/A</v>
      </c>
      <c r="ES14" s="195"/>
      <c r="ET14" s="75"/>
      <c r="EU14" s="82">
        <f t="shared" si="1"/>
        <v>63</v>
      </c>
      <c r="EV14" s="82" t="str">
        <f t="array" aca="1" ref="EV14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LEN(SUBSTITUTE(_xlfn.FORMULATEXT(EV$1),"=","")))+$EU14)</f>
        <v/>
      </c>
      <c r="EW14" s="82" t="str">
        <f t="array" aca="1" ref="EW14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LEN(SUBSTITUTE(_xlfn.FORMULATEXT(EW$1),"=","")))+$EU14)</f>
        <v/>
      </c>
      <c r="EX14" s="82" t="str">
        <f t="array" aca="1" ref="EX14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LEN(SUBSTITUTE(_xlfn.FORMULATEXT(EX$1),"=","")))+$EU14)</f>
        <v/>
      </c>
      <c r="EY14" s="82" t="str">
        <f t="array" aca="1" ref="EY14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LEN(SUBSTITUTE(_xlfn.FORMULATEXT(EY$1),"=","")))+$EU14)</f>
        <v/>
      </c>
      <c r="EZ14" s="82" t="str">
        <f t="array" aca="1" ref="EZ14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LEN(SUBSTITUTE(_xlfn.FORMULATEXT(EZ$1),"=","")))+$EU14)</f>
        <v/>
      </c>
      <c r="FA14" s="82" t="str">
        <f t="array" aca="1" ref="FA14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LEN(SUBSTITUTE(_xlfn.FORMULATEXT(FA$1),"=","")))+$EU14)</f>
        <v/>
      </c>
      <c r="FB14" s="82" t="str">
        <f t="array" aca="1" ref="FB14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LEN(SUBSTITUTE(_xlfn.FORMULATEXT(FB$1),"=","")))+$EU14)</f>
        <v/>
      </c>
      <c r="FC14" s="82" t="str">
        <f t="array" aca="1" ref="FC14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LEN(SUBSTITUTE(_xlfn.FORMULATEXT(FC$1),"=","")))+$EU14)</f>
        <v/>
      </c>
      <c r="FD14" s="82" t="str">
        <f t="array" aca="1" ref="FD14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LEN(SUBSTITUTE(_xlfn.FORMULATEXT(FD$1),"=","")))+$EU14)</f>
        <v/>
      </c>
      <c r="FE14" s="82" t="str">
        <f t="array" aca="1" ref="FE14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LEN(SUBSTITUTE(_xlfn.FORMULATEXT(FE$1),"=","")))+$EU14)</f>
        <v/>
      </c>
      <c r="FF14" s="82" t="str">
        <f t="array" aca="1" ref="FF14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LEN(SUBSTITUTE(_xlfn.FORMULATEXT(FF$1),"=","")))+$EU14)</f>
        <v/>
      </c>
      <c r="FG14" s="82">
        <f t="shared" ca="1" si="0"/>
        <v>0</v>
      </c>
      <c r="FH14" s="82" t="b">
        <f t="array" aca="1" ref="FH14" ca="1">SUMPRODUCT((LEN(EV14:FF14)&gt;0)*1)&gt;0</f>
        <v>0</v>
      </c>
      <c r="FI14" s="82" t="str">
        <f t="array" aca="1" ref="FI14" ca="1">IFERROR(SMALL(IF(FG$1:FG$173&lt;&gt;0,FG$1:FG$173),ROW(A14)),"")</f>
        <v/>
      </c>
      <c r="FJ14" s="82" t="str">
        <f t="array" aca="1" ref="FJ14" ca="1">IF($FI14&lt;&gt;"",
INDIRECT(""&amp;IF(COLUMN(EV14)&lt;=26,CHAR(COLUMN(EV14)+64),CHAR(INT((COLUMN(EV14)-1)/26)+64)&amp;CHAR(MOD(COLUMN(EV14)-1,26)+65))&amp;$FI14&amp;""),"")</f>
        <v/>
      </c>
      <c r="FK14" s="82" t="str">
        <f t="array" aca="1" ref="FK14" ca="1">IF($FI14&lt;&gt;"",
INDIRECT(""&amp;IF(COLUMN(EW14)&lt;=26,CHAR(COLUMN(EW14)+64),CHAR(INT((COLUMN(EW14)-1)/26)+64)&amp;CHAR(MOD(COLUMN(EW14)-1,26)+65))&amp;$FI14&amp;""),"")</f>
        <v/>
      </c>
      <c r="FL14" s="82" t="str">
        <f t="array" aca="1" ref="FL14" ca="1">IF($FI14&lt;&gt;"",
INDIRECT(""&amp;IF(COLUMN(EX14)&lt;=26,CHAR(COLUMN(EX14)+64),CHAR(INT((COLUMN(EX14)-1)/26)+64)&amp;CHAR(MOD(COLUMN(EX14)-1,26)+65))&amp;$FI14&amp;""),"")</f>
        <v/>
      </c>
      <c r="FM14" s="82" t="str">
        <f t="array" aca="1" ref="FM14" ca="1">IF($FI14&lt;&gt;"",
IF(FL14="",
IF(INDIRECT("EY"&amp;$FI14&amp;"")&lt;&gt;"",
INDIRECT("EY"&amp;$FI14&amp;"")&amp;"箱"
&amp;INDIRECT("EZ"&amp;$FI14&amp;""),""),""),"")</f>
        <v/>
      </c>
      <c r="FN14" s="82" t="str">
        <f t="array" aca="1" ref="FN14" ca="1">IF($FI14&lt;&gt;"",
INDIRECT(""&amp;IF(COLUMN(FA14)&lt;=26,CHAR(COLUMN(FA14)+64),CHAR(INT((COLUMN(FA14)-1)/26)+64)&amp;CHAR(MOD(COLUMN(FA14)-1,26)+65))&amp;$FI14&amp;""),"")</f>
        <v/>
      </c>
      <c r="FO14" s="82" t="str">
        <f t="array" aca="1" ref="FO14" ca="1">IF($FI14&lt;&gt;"",
INDIRECT(""&amp;IF(COLUMN(FB14)&lt;=26,CHAR(COLUMN(FB14)+64),CHAR(INT((COLUMN(FB14)-1)/26)+64)&amp;CHAR(MOD(COLUMN(FB14)-1,26)+65))&amp;$FI14&amp;""),"")</f>
        <v/>
      </c>
      <c r="FP14" s="82" t="str">
        <f t="array" aca="1" ref="FP14" ca="1">IF($FI14&lt;&gt;"",
INDIRECT(""&amp;IF(COLUMN(FC14)&lt;=26,CHAR(COLUMN(FC14)+64),CHAR(INT((COLUMN(FC14)-1)/26)+64)&amp;CHAR(MOD(COLUMN(FC14)-1,26)+65))&amp;$FI14&amp;""),"")</f>
        <v/>
      </c>
      <c r="FQ14" s="82" t="str">
        <f t="array" aca="1" ref="FQ14" ca="1">IF($FI14&lt;&gt;"",
INDIRECT(""&amp;IF(COLUMN(FD14)&lt;=26,CHAR(COLUMN(FD14)+64),CHAR(INT((COLUMN(FD14)-1)/26)+64)&amp;CHAR(MOD(COLUMN(FD14)-1,26)+65))&amp;$FI14&amp;""),"")</f>
        <v/>
      </c>
      <c r="FR14" s="82" t="str">
        <f t="array" aca="1" ref="FR14" ca="1">IF($FI14&lt;&gt;"",
INDIRECT(""&amp;IF(COLUMN(FE14)&lt;=26,CHAR(COLUMN(FE14)+64),CHAR(INT((COLUMN(FE14)-1)/26)+64)&amp;CHAR(MOD(COLUMN(FE14)-1,26)+65))&amp;$FI14&amp;""),"")</f>
        <v/>
      </c>
      <c r="FS14" s="82" t="str">
        <f t="array" aca="1" ref="FS14" ca="1">IF($FI14&lt;&gt;"",
INDIRECT(""&amp;IF(COLUMN(FF14)&lt;=26,CHAR(COLUMN(FF14)+64),CHAR(INT((COLUMN(FF14)-1)/26)+64)&amp;CHAR(MOD(COLUMN(FF14)-1,26)+65))&amp;$FI14&amp;""),"")</f>
        <v/>
      </c>
    </row>
    <row r="15" spans="1:175" s="82" customFormat="1" ht="18" customHeight="1" x14ac:dyDescent="0.55000000000000004">
      <c r="A15" s="80">
        <f t="array" aca="1" ref="A15" ca="1">IF(AND(G8&lt;&gt;"社食",N8="社食"),I8,
IF(AND(LEFT(N8,2)="博多",LEFT(INDIRECT("数出表_Excel!A"&amp;I8-1),2)=LEFT(INDIRECT("数出表_Excel!A"&amp;I8+1),2)),
IF(AND(LEFT(INDIRECT("数出表_Excel!A"&amp;I8+2),2)="博多",LEFT(INDIRECT("数出表_Excel!A"&amp;I8+1),2)=LEFT(INDIRECT("数出表_Excel!A"&amp;I8+3),2)),
IF(AND(LEFT(INDIRECT("数出表_Excel!A"&amp;I8+4),2)="博多",LEFT(INDIRECT("数出表_Excel!A"&amp;I8+3),2)=LEFT(INDIRECT("数出表_Excel!A"&amp;I8+5),2)),
I8+8,
I8+6),
I8+4),
IF(LEFT(N8,3)="奈良屋",
IF(LEFT(INDIRECT("数出表_Excel!A"&amp;I8+2),3)="奈良屋",
IF(LEFT(INDIRECT("数出表_Excel!A"&amp;I8+4),3)="奈良屋",
I8+6,
I8+4),
I8+2),
I8+2)))</f>
        <v>15</v>
      </c>
      <c r="B15" s="81">
        <f t="array" aca="1" ref="B15" ca="1">GetResult(A16)</f>
        <v>15</v>
      </c>
      <c r="C15" s="191" t="str">
        <f ca="1">IF(C16&lt;&gt;"",
IF(LEFT(G15,2)="博多",
LEFT(G15,FIND("週",G15)-1),
G15),"")</f>
        <v/>
      </c>
      <c r="D15" s="192"/>
      <c r="E15" s="192"/>
      <c r="F15" s="192"/>
      <c r="G15" s="99">
        <f t="array" aca="1" ref="G15" ca="1">INDIRECT("数出表_Excel!A"&amp;B15)</f>
        <v>0</v>
      </c>
      <c r="H15" s="80">
        <f t="array" aca="1" ref="H15" ca="1">IF(AND(N8&lt;&gt;"社食",G15="社食"),B15,
IF(AND(LEFT(G15,2)="博多",LEFT(INDIRECT("数出表_Excel!A"&amp;B15-1),2)=LEFT(INDIRECT("数出表_Excel!A"&amp;B15+1),2)),
IF(AND(LEFT(INDIRECT("数出表_Excel!A"&amp;B15+2),2)="博多",LEFT(INDIRECT("数出表_Excel!A"&amp;B15+1),2)=LEFT(INDIRECT("数出表_Excel!A"&amp;B15+3),2)),
IF(AND(LEFT(INDIRECT("数出表_Excel!A"&amp;B15+4),2)="博多",LEFT(INDIRECT("数出表_Excel!A"&amp;B15+3),2)=LEFT(INDIRECT("数出表_Excel!A"&amp;B15+5),2)),
B15+8,
B15+6),
B15+4),
IF(LEFT(G15,3)="奈良屋",
IF(LEFT(INDIRECT("数出表_Excel!A"&amp;B15+2),3)="奈良屋",
IF(LEFT(INDIRECT("数出表_Excel!A"&amp;B15+4),3)="奈良屋",
B15+6,
B15+4),
B15+2),
B15+2)))</f>
        <v>17</v>
      </c>
      <c r="I15" s="81">
        <f t="array" aca="1" ref="I15" ca="1">GetResult(H16)</f>
        <v>17</v>
      </c>
      <c r="J15" s="191" t="str">
        <f ca="1">IF(J16&lt;&gt;"",
IF(LEFT(N15,2)="博多",
LEFT(N15,FIND("週",N15)-1),
N15),"")</f>
        <v/>
      </c>
      <c r="K15" s="192"/>
      <c r="L15" s="192"/>
      <c r="M15" s="192"/>
      <c r="N15" s="95" cm="1">
        <f t="array" aca="1" ref="N15" ca="1">INDIRECT("数出表_Excel!A"&amp;I15)</f>
        <v>0</v>
      </c>
      <c r="O15" s="80"/>
      <c r="P15" s="80">
        <f t="array" aca="1" ref="P15" ca="1">IF(AND(V8&lt;&gt;"社食",AC8="社食"),X8,
IF(AND(LEFT(AC8,2)="博多",LEFT(INDIRECT("数出表_Excel!A"&amp;X8-1),2)=LEFT(INDIRECT("数出表_Excel!A"&amp;X8+1),2)),
IF(AND(LEFT(INDIRECT("数出表_Excel!A"&amp;X8+2),2)="博多",LEFT(INDIRECT("数出表_Excel!A"&amp;X8+1),2)=LEFT(INDIRECT("数出表_Excel!A"&amp;X8+3),2)),
IF(AND(LEFT(INDIRECT("数出表_Excel!A"&amp;X8+4),2)="博多",LEFT(INDIRECT("数出表_Excel!A"&amp;X8+3),2)=LEFT(INDIRECT("数出表_Excel!A"&amp;X8+5),2)),
X8+8,
X8+6),
X8+4),
IF(LEFT(AC8,3)="奈良屋",
IF(LEFT(INDIRECT("数出表_Excel!A"&amp;X8+2),3)="奈良屋",
IF(LEFT(INDIRECT("数出表_Excel!A"&amp;X8+4),3)="奈良屋",
X8+6,
X8+4),
X8+2),
X8+2)))</f>
        <v>39</v>
      </c>
      <c r="Q15" s="81">
        <f t="array" aca="1" ref="Q15" ca="1">GetResult(P16)</f>
        <v>39</v>
      </c>
      <c r="R15" s="191" t="str">
        <f ca="1">IF(R16&lt;&gt;"",
IF(LEFT(V15,2)="博多",
LEFT(V15,FIND("週",V15)-1),
V15),"")</f>
        <v/>
      </c>
      <c r="S15" s="192"/>
      <c r="T15" s="192"/>
      <c r="U15" s="192"/>
      <c r="V15" s="99">
        <f t="array" aca="1" ref="V15" ca="1">INDIRECT("数出表_Excel!A"&amp;Q15)</f>
        <v>0</v>
      </c>
      <c r="W15" s="80">
        <f t="array" aca="1" ref="W15" ca="1">IF(AND(AC8&lt;&gt;"社食",V15="社食"),Q15,
IF(AND(LEFT(V15,2)="博多",LEFT(INDIRECT("数出表_Excel!A"&amp;Q15-1),2)=LEFT(INDIRECT("数出表_Excel!A"&amp;Q15+1),2)),
IF(AND(LEFT(INDIRECT("数出表_Excel!A"&amp;Q15+2),2)="博多",LEFT(INDIRECT("数出表_Excel!A"&amp;Q15+1),2)=LEFT(INDIRECT("数出表_Excel!A"&amp;Q15+3),2)),
IF(AND(LEFT(INDIRECT("数出表_Excel!A"&amp;Q15+4),2)="博多",LEFT(INDIRECT("数出表_Excel!A"&amp;Q15+3),2)=LEFT(INDIRECT("数出表_Excel!A"&amp;Q15+5),2)),
Q15+8,
Q15+6),
Q15+4),
IF(LEFT(V15,3)="奈良屋",
IF(LEFT(INDIRECT("数出表_Excel!A"&amp;Q15+2),3)="奈良屋",
IF(LEFT(INDIRECT("数出表_Excel!A"&amp;Q15+4),3)="奈良屋",
Q15+6,
Q15+4),
Q15+2),
Q15+2)))</f>
        <v>41</v>
      </c>
      <c r="X15" s="81">
        <f t="array" aca="1" ref="X15" ca="1">GetResult(W16)</f>
        <v>41</v>
      </c>
      <c r="Y15" s="191" t="str">
        <f ca="1">IF(Y16&lt;&gt;"",
IF(LEFT(AC15,2)="博多",
LEFT(AC15,FIND("週",AC15)-1),
AC15),"")</f>
        <v/>
      </c>
      <c r="Z15" s="192"/>
      <c r="AA15" s="192"/>
      <c r="AB15" s="192"/>
      <c r="AC15" s="95">
        <f t="array" aca="1" ref="AC15" ca="1">INDIRECT("数出表_Excel!A"&amp;X15)</f>
        <v>0</v>
      </c>
      <c r="AD15" s="80"/>
      <c r="AE15" s="80">
        <f t="array" aca="1" ref="AE15" ca="1">IF(AND(AK8&lt;&gt;"社食",AR8="社食"),AM8,
IF(AND(LEFT(AR8,2)="博多",LEFT(INDIRECT("数出表_Excel!A"&amp;AM8-1),2)=LEFT(INDIRECT("数出表_Excel!A"&amp;AM8+1),2)),
IF(AND(LEFT(INDIRECT("数出表_Excel!A"&amp;AM8+2),2)="博多",LEFT(INDIRECT("数出表_Excel!A"&amp;AM8+1),2)=LEFT(INDIRECT("数出表_Excel!A"&amp;AM8+3),2)),
IF(AND(LEFT(INDIRECT("数出表_Excel!A"&amp;AM8+4),2)="博多",LEFT(INDIRECT("数出表_Excel!A"&amp;AM8+3),2)=LEFT(INDIRECT("数出表_Excel!A"&amp;AM8+5),2)),
AM8+8,
AM8+6),
AM8+4),
IF(LEFT(AR8,3)="奈良屋",
IF(LEFT(INDIRECT("数出表_Excel!A"&amp;AM8+2),3)="奈良屋",
IF(LEFT(INDIRECT("数出表_Excel!A"&amp;AM8+4),3)="奈良屋",
AM8+6,
AM8+4),
AM8+2),
AM8+2)))</f>
        <v>63</v>
      </c>
      <c r="AF15" s="81">
        <f t="array" aca="1" ref="AF15" ca="1">GetResult(AE16)</f>
        <v>63</v>
      </c>
      <c r="AG15" s="191" t="str">
        <f ca="1">IF(AG16&lt;&gt;"",
IF(LEFT(AK15,2)="博多",
LEFT(AK15,FIND("週",AK15)-1),
AK15),"")</f>
        <v/>
      </c>
      <c r="AH15" s="192"/>
      <c r="AI15" s="192"/>
      <c r="AJ15" s="192"/>
      <c r="AK15" s="99">
        <f t="array" aca="1" ref="AK15" ca="1">INDIRECT("数出表_Excel!A"&amp;AF15)</f>
        <v>0</v>
      </c>
      <c r="AL15" s="80">
        <f t="array" aca="1" ref="AL15" ca="1">IF(AND(AR8&lt;&gt;"社食",AK15="社食"),AF15,
IF(AND(LEFT(AK15,2)="博多",LEFT(INDIRECT("数出表_Excel!A"&amp;AF15-1),2)=LEFT(INDIRECT("数出表_Excel!A"&amp;AF15+1),2)),
IF(AND(LEFT(INDIRECT("数出表_Excel!A"&amp;AF15+2),2)="博多",LEFT(INDIRECT("数出表_Excel!A"&amp;AF15+1),2)=LEFT(INDIRECT("数出表_Excel!A"&amp;AF15+3),2)),
IF(AND(LEFT(INDIRECT("数出表_Excel!A"&amp;AF15+4),2)="博多",LEFT(INDIRECT("数出表_Excel!A"&amp;AF15+3),2)=LEFT(INDIRECT("数出表_Excel!A"&amp;AF15+5),2)),
AF15+8,
AF15+6),
AF15+4),
IF(LEFT(AK15,3)="奈良屋",
IF(LEFT(INDIRECT("数出表_Excel!A"&amp;AF15+2),3)="奈良屋",
IF(LEFT(INDIRECT("数出表_Excel!A"&amp;AF15+4),3)="奈良屋",
AF15+6,
AF15+4),
AF15+2),
AF15+2)))</f>
        <v>65</v>
      </c>
      <c r="AM15" s="81">
        <f t="array" aca="1" ref="AM15" ca="1">GetResult(AL16)</f>
        <v>65</v>
      </c>
      <c r="AN15" s="191" t="str">
        <f ca="1">IF(AN16&lt;&gt;"",
IF(LEFT(AR15,2)="博多",
LEFT(AR15,FIND("週",AR15)-1),
AR15),"")</f>
        <v/>
      </c>
      <c r="AO15" s="192"/>
      <c r="AP15" s="192"/>
      <c r="AQ15" s="192"/>
      <c r="AR15" s="95">
        <f t="array" aca="1" ref="AR15" ca="1">INDIRECT("数出表_Excel!A"&amp;AM15)</f>
        <v>0</v>
      </c>
      <c r="AS15" s="80"/>
      <c r="AT15" s="80">
        <f t="array" aca="1" ref="AT15" ca="1">IF(AND(AZ8&lt;&gt;"社食",BG8="社食"),BB8,
IF(AND(LEFT(BG8,2)="博多",LEFT(INDIRECT("数出表_Excel!A"&amp;BB8-1),2)=LEFT(INDIRECT("数出表_Excel!A"&amp;BB8+1),2)),
IF(AND(LEFT(INDIRECT("数出表_Excel!A"&amp;BB8+2),2)="博多",LEFT(INDIRECT("数出表_Excel!A"&amp;BB8+1),2)=LEFT(INDIRECT("数出表_Excel!A"&amp;BB8+3),2)),
IF(AND(LEFT(INDIRECT("数出表_Excel!A"&amp;BB8+4),2)="博多",LEFT(INDIRECT("数出表_Excel!A"&amp;BB8+3),2)=LEFT(INDIRECT("数出表_Excel!A"&amp;BB8+5),2)),
BB8+8,
BB8+6),
BB8+4),
IF(LEFT(BG8,3)="奈良屋",
IF(LEFT(INDIRECT("数出表_Excel!A"&amp;BB8+2),3)="奈良屋",
IF(LEFT(INDIRECT("数出表_Excel!A"&amp;BB8+4),3)="奈良屋",
BB8+6,
BB8+4),
BB8+2),
BB8+2)))</f>
        <v>87</v>
      </c>
      <c r="AU15" s="81">
        <f t="array" aca="1" ref="AU15" ca="1">GetResult(AT16)</f>
        <v>87</v>
      </c>
      <c r="AV15" s="191" t="str">
        <f ca="1">IF(AV16&lt;&gt;"",
IF(LEFT(AZ15,2)="博多",
LEFT(AZ15,FIND("週",AZ15)-1),
AZ15),"")</f>
        <v/>
      </c>
      <c r="AW15" s="192"/>
      <c r="AX15" s="192"/>
      <c r="AY15" s="192"/>
      <c r="AZ15" s="99">
        <f t="array" aca="1" ref="AZ15" ca="1">INDIRECT("数出表_Excel!A"&amp;AU15)</f>
        <v>0</v>
      </c>
      <c r="BA15" s="80">
        <f t="array" aca="1" ref="BA15" ca="1">IF(AND(BG8&lt;&gt;"社食",AZ15="社食"),AU15,
IF(AND(LEFT(AZ15,2)="博多",LEFT(INDIRECT("数出表_Excel!A"&amp;AU15-1),2)=LEFT(INDIRECT("数出表_Excel!A"&amp;AU15+1),2)),
IF(AND(LEFT(INDIRECT("数出表_Excel!A"&amp;AU15+2),2)="博多",LEFT(INDIRECT("数出表_Excel!A"&amp;AU15+1),2)=LEFT(INDIRECT("数出表_Excel!A"&amp;AU15+3),2)),
IF(AND(LEFT(INDIRECT("数出表_Excel!A"&amp;AU15+4),2)="博多",LEFT(INDIRECT("数出表_Excel!A"&amp;AU15+3),2)=LEFT(INDIRECT("数出表_Excel!A"&amp;AU15+5),2)),
AU15+8,
AU15+6),
AU15+4),
IF(LEFT(AZ15,3)="奈良屋",
IF(LEFT(INDIRECT("数出表_Excel!A"&amp;AU15+2),3)="奈良屋",
IF(LEFT(INDIRECT("数出表_Excel!A"&amp;AU15+4),3)="奈良屋",
AU15+6,
AU15+4),
AU15+2),
AU15+2)))</f>
        <v>89</v>
      </c>
      <c r="BB15" s="81">
        <f t="array" aca="1" ref="BB15" ca="1">GetResult(BA16)</f>
        <v>89</v>
      </c>
      <c r="BC15" s="191" t="str">
        <f ca="1">IF(BC16&lt;&gt;"",
IF(LEFT(BG15,2)="博多",
LEFT(BG15,FIND("週",BG15)-1),
BG15),"")</f>
        <v/>
      </c>
      <c r="BD15" s="192"/>
      <c r="BE15" s="192"/>
      <c r="BF15" s="192"/>
      <c r="BG15" s="95">
        <f t="array" aca="1" ref="BG15" ca="1">INDIRECT("数出表_Excel!A"&amp;BB15)</f>
        <v>0</v>
      </c>
      <c r="BH15" s="80"/>
      <c r="BI15" s="80">
        <f t="array" aca="1" ref="BI15" ca="1">IF(AND(BO8&lt;&gt;"社食",BV8="社食"),BQ8,
IF(AND(LEFT(BV8,2)="博多",LEFT(INDIRECT("数出表_Excel!A"&amp;BQ8-1),2)=LEFT(INDIRECT("数出表_Excel!A"&amp;BQ8+1),2)),
IF(AND(LEFT(INDIRECT("数出表_Excel!A"&amp;BQ8+2),2)="博多",LEFT(INDIRECT("数出表_Excel!A"&amp;BQ8+1),2)=LEFT(INDIRECT("数出表_Excel!A"&amp;BQ8+3),2)),
IF(AND(LEFT(INDIRECT("数出表_Excel!A"&amp;BQ8+4),2)="博多",LEFT(INDIRECT("数出表_Excel!A"&amp;BQ8+3),2)=LEFT(INDIRECT("数出表_Excel!A"&amp;BQ8+5),2)),
BQ8+8,
BQ8+6),
BQ8+4),
IF(LEFT(BV8,3)="奈良屋",
IF(LEFT(INDIRECT("数出表_Excel!A"&amp;BQ8+2),3)="奈良屋",
IF(LEFT(INDIRECT("数出表_Excel!A"&amp;BQ8+4),3)="奈良屋",
BQ8+6,
BQ8+4),
BQ8+2),
BQ8+2)))</f>
        <v>111</v>
      </c>
      <c r="BJ15" s="81">
        <f t="array" aca="1" ref="BJ15" ca="1">GetResult(BI16)</f>
        <v>111</v>
      </c>
      <c r="BK15" s="191" t="str">
        <f ca="1">IF(BK16&lt;&gt;"",
IF(LEFT(BO15,2)="博多",
LEFT(BO15,FIND("週",BO15)-1),
BO15),"")</f>
        <v/>
      </c>
      <c r="BL15" s="192"/>
      <c r="BM15" s="192"/>
      <c r="BN15" s="192"/>
      <c r="BO15" s="99">
        <f t="array" aca="1" ref="BO15" ca="1">INDIRECT("数出表_Excel!A"&amp;BJ15)</f>
        <v>0</v>
      </c>
      <c r="BP15" s="80">
        <f t="array" aca="1" ref="BP15" ca="1">IF(AND(BV8&lt;&gt;"社食",BO15="社食"),BJ15,
IF(AND(LEFT(BO15,2)="博多",LEFT(INDIRECT("数出表_Excel!A"&amp;BJ15-1),2)=LEFT(INDIRECT("数出表_Excel!A"&amp;BJ15+1),2)),
IF(AND(LEFT(INDIRECT("数出表_Excel!A"&amp;BJ15+2),2)="博多",LEFT(INDIRECT("数出表_Excel!A"&amp;BJ15+1),2)=LEFT(INDIRECT("数出表_Excel!A"&amp;BJ15+3),2)),
IF(AND(LEFT(INDIRECT("数出表_Excel!A"&amp;BJ15+4),2)="博多",LEFT(INDIRECT("数出表_Excel!A"&amp;BJ15+3),2)=LEFT(INDIRECT("数出表_Excel!A"&amp;BJ15+5),2)),
BJ15+8,
BJ15+6),
BJ15+4),
IF(LEFT(BO15,3)="奈良屋",
IF(LEFT(INDIRECT("数出表_Excel!A"&amp;BJ15+2),3)="奈良屋",
IF(LEFT(INDIRECT("数出表_Excel!A"&amp;BJ15+4),3)="奈良屋",
BJ15+6,
BJ15+4),
BJ15+2),
BJ15+2)))</f>
        <v>113</v>
      </c>
      <c r="BQ15" s="81">
        <f t="array" aca="1" ref="BQ15" ca="1">GetResult(BP16)</f>
        <v>113</v>
      </c>
      <c r="BR15" s="191" t="str">
        <f ca="1">IF(BR16&lt;&gt;"",
IF(LEFT(BV15,2)="博多",
LEFT(BV15,FIND("週",BV15)-1),
BV15),"")</f>
        <v/>
      </c>
      <c r="BS15" s="192"/>
      <c r="BT15" s="192"/>
      <c r="BU15" s="192"/>
      <c r="BV15" s="95">
        <f t="array" aca="1" ref="BV15" ca="1">INDIRECT("数出表_Excel!A"&amp;BQ15)</f>
        <v>0</v>
      </c>
      <c r="BW15" s="80"/>
      <c r="BX15" s="80">
        <f t="array" aca="1" ref="BX15" ca="1">IF(AND(CD8&lt;&gt;"社食",CK8="社食"),CF8,
IF(AND(LEFT(CK8,2)="博多",LEFT(INDIRECT("数出表_Excel!A"&amp;CF8-1),2)=LEFT(INDIRECT("数出表_Excel!A"&amp;CF8+1),2)),
IF(AND(LEFT(INDIRECT("数出表_Excel!A"&amp;CF8+2),2)="博多",LEFT(INDIRECT("数出表_Excel!A"&amp;CF8+1),2)=LEFT(INDIRECT("数出表_Excel!A"&amp;CF8+3),2)),
IF(AND(LEFT(INDIRECT("数出表_Excel!A"&amp;CF8+4),2)="博多",LEFT(INDIRECT("数出表_Excel!A"&amp;CF8+3),2)=LEFT(INDIRECT("数出表_Excel!A"&amp;CF8+5),2)),
CF8+8,
CF8+6),
CF8+4),
IF(LEFT(CK8,3)="奈良屋",
IF(LEFT(INDIRECT("数出表_Excel!A"&amp;CF8+2),3)="奈良屋",
IF(LEFT(INDIRECT("数出表_Excel!A"&amp;CF8+4),3)="奈良屋",
CF8+6,
CF8+4),
CF8+2),
CF8+2)))</f>
        <v>135</v>
      </c>
      <c r="BY15" s="81">
        <f t="array" aca="1" ref="BY15" ca="1">GetResult(BX16)</f>
        <v>135</v>
      </c>
      <c r="BZ15" s="191" t="str">
        <f ca="1">IF(BZ16&lt;&gt;"",
IF(LEFT(CD15,2)="博多",
LEFT(CD15,FIND("週",CD15)-1),
CD15),"")</f>
        <v/>
      </c>
      <c r="CA15" s="192"/>
      <c r="CB15" s="192"/>
      <c r="CC15" s="192"/>
      <c r="CD15" s="99">
        <f t="array" aca="1" ref="CD15" ca="1">INDIRECT("数出表_Excel!A"&amp;BY15)</f>
        <v>0</v>
      </c>
      <c r="CE15" s="80">
        <f t="array" aca="1" ref="CE15" ca="1">IF(AND(CK8&lt;&gt;"社食",CD15="社食"),BY15,
IF(AND(LEFT(CD15,2)="博多",LEFT(INDIRECT("数出表_Excel!A"&amp;BY15-1),2)=LEFT(INDIRECT("数出表_Excel!A"&amp;BY15+1),2)),
IF(AND(LEFT(INDIRECT("数出表_Excel!A"&amp;BY15+2),2)="博多",LEFT(INDIRECT("数出表_Excel!A"&amp;BY15+1),2)=LEFT(INDIRECT("数出表_Excel!A"&amp;BY15+3),2)),
IF(AND(LEFT(INDIRECT("数出表_Excel!A"&amp;BY15+4),2)="博多",LEFT(INDIRECT("数出表_Excel!A"&amp;BY15+3),2)=LEFT(INDIRECT("数出表_Excel!A"&amp;BY15+5),2)),
BY15+8,
BY15+6),
BY15+4),
IF(LEFT(CD15,3)="奈良屋",
IF(LEFT(INDIRECT("数出表_Excel!A"&amp;BY15+2),3)="奈良屋",
IF(LEFT(INDIRECT("数出表_Excel!A"&amp;BY15+4),3)="奈良屋",
BY15+6,
BY15+4),
BY15+2),
BY15+2)))</f>
        <v>137</v>
      </c>
      <c r="CF15" s="81">
        <f t="array" aca="1" ref="CF15" ca="1">GetResult(CE16)</f>
        <v>137</v>
      </c>
      <c r="CG15" s="191" t="str">
        <f ca="1">IF(CG16&lt;&gt;"",
IF(LEFT(CK15,2)="博多",
LEFT(CK15,FIND("週",CK15)-1),
CK15),"")</f>
        <v/>
      </c>
      <c r="CH15" s="192"/>
      <c r="CI15" s="192"/>
      <c r="CJ15" s="192"/>
      <c r="CK15" s="95">
        <f t="array" aca="1" ref="CK15" ca="1">INDIRECT("数出表_Excel!A"&amp;CF15)</f>
        <v>0</v>
      </c>
      <c r="CL15" s="80"/>
      <c r="CM15" s="80">
        <f t="array" aca="1" ref="CM15" ca="1">IF(AND(CS8&lt;&gt;"社食",CZ8="社食"),CU8,
IF(AND(LEFT(CZ8,2)="博多",LEFT(INDIRECT("数出表_Excel!A"&amp;CU8-1),2)=LEFT(INDIRECT("数出表_Excel!A"&amp;CU8+1),2)),
IF(AND(LEFT(INDIRECT("数出表_Excel!A"&amp;CU8+2),2)="博多",LEFT(INDIRECT("数出表_Excel!A"&amp;CU8+1),2)=LEFT(INDIRECT("数出表_Excel!A"&amp;CU8+3),2)),
IF(AND(LEFT(INDIRECT("数出表_Excel!A"&amp;CU8+4),2)="博多",LEFT(INDIRECT("数出表_Excel!A"&amp;CU8+3),2)=LEFT(INDIRECT("数出表_Excel!A"&amp;CU8+5),2)),
CU8+8,
CU8+6),
CU8+4),
IF(LEFT(CZ8,3)="奈良屋",
IF(LEFT(INDIRECT("数出表_Excel!A"&amp;CU8+2),3)="奈良屋",
IF(LEFT(INDIRECT("数出表_Excel!A"&amp;CU8+4),3)="奈良屋",
CU8+6,
CU8+4),
CU8+2),
CU8+2)))</f>
        <v>159</v>
      </c>
      <c r="CN15" s="81">
        <f t="array" aca="1" ref="CN15" ca="1">GetResult(CM16)</f>
        <v>159</v>
      </c>
      <c r="CO15" s="191" t="str">
        <f ca="1">IF(CO16&lt;&gt;"",
IF(LEFT(CS15,2)="博多",
LEFT(CS15,FIND("週",CS15)-1),
CS15),"")</f>
        <v/>
      </c>
      <c r="CP15" s="192"/>
      <c r="CQ15" s="192"/>
      <c r="CR15" s="192"/>
      <c r="CS15" s="99">
        <f t="array" aca="1" ref="CS15" ca="1">INDIRECT("数出表_Excel!A"&amp;CN15)</f>
        <v>0</v>
      </c>
      <c r="CT15" s="80">
        <f t="array" aca="1" ref="CT15" ca="1">IF(AND(CZ8&lt;&gt;"社食",CS15="社食"),CN15,
IF(AND(LEFT(CS15,2)="博多",LEFT(INDIRECT("数出表_Excel!A"&amp;CN15-1),2)=LEFT(INDIRECT("数出表_Excel!A"&amp;CN15+1),2)),
IF(AND(LEFT(INDIRECT("数出表_Excel!A"&amp;CN15+2),2)="博多",LEFT(INDIRECT("数出表_Excel!A"&amp;CN15+1),2)=LEFT(INDIRECT("数出表_Excel!A"&amp;CN15+3),2)),
IF(AND(LEFT(INDIRECT("数出表_Excel!A"&amp;CN15+4),2)="博多",LEFT(INDIRECT("数出表_Excel!A"&amp;CN15+3),2)=LEFT(INDIRECT("数出表_Excel!A"&amp;CN15+5),2)),
CN15+8,
CN15+6),
CN15+4),
IF(LEFT(CS15,3)="奈良屋",
IF(LEFT(INDIRECT("数出表_Excel!A"&amp;CN15+2),3)="奈良屋",
IF(LEFT(INDIRECT("数出表_Excel!A"&amp;CN15+4),3)="奈良屋",
CN15+6,
CN15+4),
CN15+2),
CN15+2)))</f>
        <v>161</v>
      </c>
      <c r="CU15" s="81">
        <f t="array" aca="1" ref="CU15" ca="1">GetResult(CT16)</f>
        <v>161</v>
      </c>
      <c r="CV15" s="191" t="str">
        <f ca="1">IF(CV16&lt;&gt;"",
IF(LEFT(CZ15,2)="博多",
LEFT(CZ15,FIND("週",CZ15)-1),
CZ15),"")</f>
        <v/>
      </c>
      <c r="CW15" s="192"/>
      <c r="CX15" s="192"/>
      <c r="CY15" s="192"/>
      <c r="CZ15" s="95">
        <f t="array" aca="1" ref="CZ15" ca="1">INDIRECT("数出表_Excel!A"&amp;CU15)</f>
        <v>0</v>
      </c>
      <c r="DA15" s="80"/>
      <c r="DB15" s="80">
        <f t="array" aca="1" ref="DB15" ca="1">IF(AND(DH8&lt;&gt;"社食",DO8="社食"),DJ8,
IF(AND(LEFT(DO8,2)="博多",LEFT(INDIRECT("数出表_Excel!A"&amp;DJ8-1),2)=LEFT(INDIRECT("数出表_Excel!A"&amp;DJ8+1),2)),
IF(AND(LEFT(INDIRECT("数出表_Excel!A"&amp;DJ8+2),2)="博多",LEFT(INDIRECT("数出表_Excel!A"&amp;DJ8+1),2)=LEFT(INDIRECT("数出表_Excel!A"&amp;DJ8+3),2)),
IF(AND(LEFT(INDIRECT("数出表_Excel!A"&amp;DJ8+4),2)="博多",LEFT(INDIRECT("数出表_Excel!A"&amp;DJ8+3),2)=LEFT(INDIRECT("数出表_Excel!A"&amp;DJ8+5),2)),
DJ8+8,
DJ8+6),
DJ8+4),
IF(LEFT(DO8,3)="奈良屋",
IF(LEFT(INDIRECT("数出表_Excel!A"&amp;DJ8+2),3)="奈良屋",
IF(LEFT(INDIRECT("数出表_Excel!A"&amp;DJ8+4),3)="奈良屋",
DJ8+6,
DJ8+4),
DJ8+2),
DJ8+2)))</f>
        <v>183</v>
      </c>
      <c r="DC15" s="81">
        <f t="array" aca="1" ref="DC15" ca="1">GetResult(DB16)</f>
        <v>183</v>
      </c>
      <c r="DD15" s="191" t="str">
        <f ca="1">IF(DD16&lt;&gt;"",
IF(LEFT(DH15,2)="博多",
LEFT(DH15,FIND("週",DH15)-1),
DH15),"")</f>
        <v/>
      </c>
      <c r="DE15" s="192"/>
      <c r="DF15" s="192"/>
      <c r="DG15" s="192"/>
      <c r="DH15" s="99">
        <f t="array" aca="1" ref="DH15" ca="1">INDIRECT("数出表_Excel!A"&amp;DC15)</f>
        <v>0</v>
      </c>
      <c r="DI15" s="80">
        <f t="array" aca="1" ref="DI15" ca="1">IF(AND(DO8&lt;&gt;"社食",DH15="社食"),DC15,
IF(AND(LEFT(DH15,2)="博多",LEFT(INDIRECT("数出表_Excel!A"&amp;DC15-1),2)=LEFT(INDIRECT("数出表_Excel!A"&amp;DC15+1),2)),
IF(AND(LEFT(INDIRECT("数出表_Excel!A"&amp;DC15+2),2)="博多",LEFT(INDIRECT("数出表_Excel!A"&amp;DC15+1),2)=LEFT(INDIRECT("数出表_Excel!A"&amp;DC15+3),2)),
IF(AND(LEFT(INDIRECT("数出表_Excel!A"&amp;DC15+4),2)="博多",LEFT(INDIRECT("数出表_Excel!A"&amp;DC15+3),2)=LEFT(INDIRECT("数出表_Excel!A"&amp;DC15+5),2)),
DC15+8,
DC15+6),
DC15+4),
IF(LEFT(DH15,3)="奈良屋",
IF(LEFT(INDIRECT("数出表_Excel!A"&amp;DC15+2),3)="奈良屋",
IF(LEFT(INDIRECT("数出表_Excel!A"&amp;DC15+4),3)="奈良屋",
DC15+6,
DC15+4),
DC15+2),
DC15+2)))</f>
        <v>185</v>
      </c>
      <c r="DJ15" s="81">
        <f t="array" aca="1" ref="DJ15" ca="1">GetResult(DI16)</f>
        <v>185</v>
      </c>
      <c r="DK15" s="191" t="str">
        <f ca="1">IF(DK16&lt;&gt;"",
IF(LEFT(DO15,2)="博多",
LEFT(DO15,FIND("週",DO15)-1),
DO15),"")</f>
        <v/>
      </c>
      <c r="DL15" s="192"/>
      <c r="DM15" s="192"/>
      <c r="DN15" s="192"/>
      <c r="DO15" s="95">
        <f t="array" aca="1" ref="DO15" ca="1">INDIRECT("数出表_Excel!A"&amp;DJ15)</f>
        <v>0</v>
      </c>
      <c r="DP15" s="80"/>
      <c r="DQ15" s="80">
        <f t="array" aca="1" ref="DQ15" ca="1">IF(AND(DW8&lt;&gt;"社食",ED8="社食"),DY8,
IF(AND(LEFT(ED8,2)="博多",LEFT(INDIRECT("数出表_Excel!A"&amp;DY8-1),2)=LEFT(INDIRECT("数出表_Excel!A"&amp;DY8+1),2)),
IF(AND(LEFT(INDIRECT("数出表_Excel!A"&amp;DY8+2),2)="博多",LEFT(INDIRECT("数出表_Excel!A"&amp;DY8+1),2)=LEFT(INDIRECT("数出表_Excel!A"&amp;DY8+3),2)),
IF(AND(LEFT(INDIRECT("数出表_Excel!A"&amp;DY8+4),2)="博多",LEFT(INDIRECT("数出表_Excel!A"&amp;DY8+3),2)=LEFT(INDIRECT("数出表_Excel!A"&amp;DY8+5),2)),
DY8+8,
DY8+6),
DY8+4),
IF(LEFT(ED8,3)="奈良屋",
IF(LEFT(INDIRECT("数出表_Excel!A"&amp;DY8+2),3)="奈良屋",
IF(LEFT(INDIRECT("数出表_Excel!A"&amp;DY8+4),3)="奈良屋",
DY8+6,
DY8+4),
DY8+2),
DY8+2)))</f>
        <v>207</v>
      </c>
      <c r="DR15" s="81">
        <f t="array" aca="1" ref="DR15" ca="1">GetResult(DQ16)</f>
        <v>207</v>
      </c>
      <c r="DS15" s="191" t="str">
        <f ca="1">IF(DS16&lt;&gt;"",
IF(LEFT(DW15,2)="博多",
LEFT(DW15,FIND("週",DW15)-1),
DW15),"")</f>
        <v/>
      </c>
      <c r="DT15" s="192"/>
      <c r="DU15" s="192"/>
      <c r="DV15" s="192"/>
      <c r="DW15" s="99">
        <f t="array" aca="1" ref="DW15" ca="1">INDIRECT("数出表_Excel!A"&amp;DR15)</f>
        <v>0</v>
      </c>
      <c r="DX15" s="80">
        <f t="array" aca="1" ref="DX15" ca="1">IF(AND(ED8&lt;&gt;"社食",DW15="社食"),DR15,
IF(AND(LEFT(DW15,2)="博多",LEFT(INDIRECT("数出表_Excel!A"&amp;DR15-1),2)=LEFT(INDIRECT("数出表_Excel!A"&amp;DR15+1),2)),
IF(AND(LEFT(INDIRECT("数出表_Excel!A"&amp;DR15+2),2)="博多",LEFT(INDIRECT("数出表_Excel!A"&amp;DR15+1),2)=LEFT(INDIRECT("数出表_Excel!A"&amp;DR15+3),2)),
IF(AND(LEFT(INDIRECT("数出表_Excel!A"&amp;DR15+4),2)="博多",LEFT(INDIRECT("数出表_Excel!A"&amp;DR15+3),2)=LEFT(INDIRECT("数出表_Excel!A"&amp;DR15+5),2)),
DR15+8,
DR15+6),
DR15+4),
IF(LEFT(DW15,3)="奈良屋",
IF(LEFT(INDIRECT("数出表_Excel!A"&amp;DR15+2),3)="奈良屋",
IF(LEFT(INDIRECT("数出表_Excel!A"&amp;DR15+4),3)="奈良屋",
DR15+6,
DR15+4),
DR15+2),
DR15+2)))</f>
        <v>209</v>
      </c>
      <c r="DY15" s="81">
        <f t="array" aca="1" ref="DY15" ca="1">GetResult(DX16)</f>
        <v>209</v>
      </c>
      <c r="DZ15" s="191" t="str">
        <f ca="1">IF(DZ16&lt;&gt;"",
IF(LEFT(ED15,2)="博多",
LEFT(ED15,FIND("週",ED15)-1),
ED15),"")</f>
        <v/>
      </c>
      <c r="EA15" s="192"/>
      <c r="EB15" s="192"/>
      <c r="EC15" s="192"/>
      <c r="ED15" s="95">
        <f t="array" aca="1" ref="ED15" ca="1">INDIRECT("数出表_Excel!A"&amp;DY15)</f>
        <v>0</v>
      </c>
      <c r="EE15" s="80"/>
      <c r="EF15" s="80">
        <f t="array" aca="1" ref="EF15" ca="1">IF(AND(EL8&lt;&gt;"社食",ES8="社食"),EN8,
IF(AND(LEFT(ES8,2)="博多",LEFT(INDIRECT("数出表_Excel!A"&amp;EN8-1),2)=LEFT(INDIRECT("数出表_Excel!A"&amp;EN8+1),2)),
IF(AND(LEFT(INDIRECT("数出表_Excel!A"&amp;EN8+2),2)="博多",LEFT(INDIRECT("数出表_Excel!A"&amp;EN8+1),2)=LEFT(INDIRECT("数出表_Excel!A"&amp;EN8+3),2)),
IF(AND(LEFT(INDIRECT("数出表_Excel!A"&amp;EN8+4),2)="博多",LEFT(INDIRECT("数出表_Excel!A"&amp;EN8+3),2)=LEFT(INDIRECT("数出表_Excel!A"&amp;EN8+5),2)),
EN8+8,
EN8+6),
EN8+4),
IF(LEFT(ES8,3)="奈良屋",
IF(LEFT(INDIRECT("数出表_Excel!A"&amp;EN8+2),3)="奈良屋",
IF(LEFT(INDIRECT("数出表_Excel!A"&amp;EN8+4),3)="奈良屋",
EN8+6,
EN8+4),
EN8+2),
EN8+2)))</f>
        <v>231</v>
      </c>
      <c r="EG15" s="81">
        <f t="array" aca="1" ref="EG15" ca="1">GetResult(EF16)</f>
        <v>231</v>
      </c>
      <c r="EH15" s="191" t="str">
        <f ca="1">IF(EH16&lt;&gt;"",
IF(LEFT(EL15,2)="博多",
LEFT(EL15,FIND("週",EL15)-1),
EL15),"")</f>
        <v/>
      </c>
      <c r="EI15" s="192"/>
      <c r="EJ15" s="192"/>
      <c r="EK15" s="192"/>
      <c r="EL15" s="99">
        <f t="array" aca="1" ref="EL15" ca="1">INDIRECT("数出表_Excel!A"&amp;EG15)</f>
        <v>0</v>
      </c>
      <c r="EM15" s="80">
        <f t="array" aca="1" ref="EM15" ca="1">IF(AND(ES8&lt;&gt;"社食",EL15="社食"),EG15,
IF(AND(LEFT(EL15,2)="博多",LEFT(INDIRECT("数出表_Excel!A"&amp;EG15-1),2)=LEFT(INDIRECT("数出表_Excel!A"&amp;EG15+1),2)),
IF(AND(LEFT(INDIRECT("数出表_Excel!A"&amp;EG15+2),2)="博多",LEFT(INDIRECT("数出表_Excel!A"&amp;EG15+1),2)=LEFT(INDIRECT("数出表_Excel!A"&amp;EG15+3),2)),
IF(AND(LEFT(INDIRECT("数出表_Excel!A"&amp;EG15+4),2)="博多",LEFT(INDIRECT("数出表_Excel!A"&amp;EG15+3),2)=LEFT(INDIRECT("数出表_Excel!A"&amp;EG15+5),2)),
EG15+8,
EG15+6),
EG15+4),
IF(LEFT(EL15,3)="奈良屋",
IF(LEFT(INDIRECT("数出表_Excel!A"&amp;EG15+2),3)="奈良屋",
IF(LEFT(INDIRECT("数出表_Excel!A"&amp;EG15+4),3)="奈良屋",
EG15+6,
EG15+4),
EG15+2),
EG15+2)))</f>
        <v>233</v>
      </c>
      <c r="EN15" s="81">
        <f t="array" aca="1" ref="EN15" ca="1">GetResult(EM16)</f>
        <v>233</v>
      </c>
      <c r="EO15" s="191" t="str">
        <f ca="1">IF(EO16&lt;&gt;"",
IF(LEFT(ES15,2)="博多",
LEFT(ES15,FIND("週",ES15)-1),
ES15),"")</f>
        <v/>
      </c>
      <c r="EP15" s="192"/>
      <c r="EQ15" s="192"/>
      <c r="ER15" s="192"/>
      <c r="ES15" s="95">
        <f t="array" aca="1" ref="ES15" ca="1">INDIRECT("数出表_Excel!A"&amp;EN15)</f>
        <v>0</v>
      </c>
      <c r="ET15" s="110"/>
      <c r="EU15" s="91">
        <f t="shared" si="1"/>
        <v>21</v>
      </c>
      <c r="EV15" s="82" t="str">
        <f t="array" aca="1" ref="EV15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LEN(SUBSTITUTE(_xlfn.FORMULATEXT(EV$3),"=","")))+$EU15)</f>
        <v/>
      </c>
      <c r="EW15" s="82" t="str">
        <f t="array" aca="1" ref="EW15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LEN(SUBSTITUTE(_xlfn.FORMULATEXT(EW$3),"=","")))+$EU15)</f>
        <v/>
      </c>
      <c r="EX15" s="82" t="str">
        <f t="array" aca="1" ref="EX15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LEN(SUBSTITUTE(_xlfn.FORMULATEXT(EX$3),"=","")))+$EU15)</f>
        <v/>
      </c>
      <c r="EY15" s="82" t="str">
        <f t="array" aca="1" ref="EY15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LEN(SUBSTITUTE(_xlfn.FORMULATEXT(EY$3),"=","")))+$EU15)</f>
        <v/>
      </c>
      <c r="EZ15" s="82" t="str">
        <f t="array" aca="1" ref="EZ15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LEN(SUBSTITUTE(_xlfn.FORMULATEXT(EZ$3),"=","")))+$EU15)</f>
        <v/>
      </c>
      <c r="FA15" s="82" t="e">
        <f t="array" aca="1" ref="FA15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LEN(SUBSTITUTE(_xlfn.FORMULATEXT(FA$3),"=","")))+$EU15)</f>
        <v>#VALUE!</v>
      </c>
      <c r="FB15" s="82" t="str">
        <f t="array" aca="1" ref="FB15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LEN(SUBSTITUTE(_xlfn.FORMULATEXT(FB$3),"=","")))+$EU15)</f>
        <v/>
      </c>
      <c r="FC15" s="82" t="str">
        <f t="array" aca="1" ref="FC15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LEN(SUBSTITUTE(_xlfn.FORMULATEXT(FC$3),"=","")))+$EU15)</f>
        <v/>
      </c>
      <c r="FD15" s="82" t="e">
        <f t="array" aca="1" ref="FD15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LEN(SUBSTITUTE(_xlfn.FORMULATEXT(FD$3),"=","")))+$EU15)</f>
        <v>#VALUE!</v>
      </c>
      <c r="FE15" s="82" t="str">
        <f t="array" aca="1" ref="FE15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LEN(SUBSTITUTE(_xlfn.FORMULATEXT(FE$3),"=","")))+$EU15)</f>
        <v/>
      </c>
      <c r="FF15" s="82" t="e">
        <f t="array" aca="1" ref="FF15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LEN(SUBSTITUTE(_xlfn.FORMULATEXT(FF$3),"=","")))+$EU15)</f>
        <v>#N/A</v>
      </c>
      <c r="FG15" s="82">
        <f t="shared" ca="1" si="0"/>
        <v>0</v>
      </c>
      <c r="FH15" s="82" t="e">
        <f t="array" aca="1" ref="FH15" ca="1">SUMPRODUCT((LEN(EV15:FF15)&gt;0)*1)&gt;0</f>
        <v>#VALUE!</v>
      </c>
      <c r="FI15" s="82" t="str">
        <f t="array" aca="1" ref="FI15" ca="1">IFERROR(SMALL(IF(FG$1:FG$173&lt;&gt;0,FG$1:FG$173),ROW(A15)),"")</f>
        <v/>
      </c>
      <c r="FJ15" s="82" t="str">
        <f t="array" aca="1" ref="FJ15" ca="1">IF($FI15&lt;&gt;"",
INDIRECT(""&amp;IF(COLUMN(EV15)&lt;=26,CHAR(COLUMN(EV15)+64),CHAR(INT((COLUMN(EV15)-1)/26)+64)&amp;CHAR(MOD(COLUMN(EV15)-1,26)+65))&amp;$FI15&amp;""),"")</f>
        <v/>
      </c>
      <c r="FK15" s="82" t="str">
        <f t="array" aca="1" ref="FK15" ca="1">IF($FI15&lt;&gt;"",
INDIRECT(""&amp;IF(COLUMN(EW15)&lt;=26,CHAR(COLUMN(EW15)+64),CHAR(INT((COLUMN(EW15)-1)/26)+64)&amp;CHAR(MOD(COLUMN(EW15)-1,26)+65))&amp;$FI15&amp;""),"")</f>
        <v/>
      </c>
      <c r="FL15" s="82" t="str">
        <f t="array" aca="1" ref="FL15" ca="1">IF($FI15&lt;&gt;"",
INDIRECT(""&amp;IF(COLUMN(EX15)&lt;=26,CHAR(COLUMN(EX15)+64),CHAR(INT((COLUMN(EX15)-1)/26)+64)&amp;CHAR(MOD(COLUMN(EX15)-1,26)+65))&amp;$FI15&amp;""),"")</f>
        <v/>
      </c>
      <c r="FM15" s="82" t="str">
        <f t="array" aca="1" ref="FM15" ca="1">IF($FI15&lt;&gt;"",
IF(FL15="",
IF(INDIRECT("EY"&amp;$FI15&amp;"")&lt;&gt;"",
INDIRECT("EY"&amp;$FI15&amp;"")&amp;"箱"
&amp;INDIRECT("EZ"&amp;$FI15&amp;""),""),""),"")</f>
        <v/>
      </c>
      <c r="FN15" s="82" t="str">
        <f t="array" aca="1" ref="FN15" ca="1">IF($FI15&lt;&gt;"",
INDIRECT(""&amp;IF(COLUMN(FA15)&lt;=26,CHAR(COLUMN(FA15)+64),CHAR(INT((COLUMN(FA15)-1)/26)+64)&amp;CHAR(MOD(COLUMN(FA15)-1,26)+65))&amp;$FI15&amp;""),"")</f>
        <v/>
      </c>
      <c r="FO15" s="82" t="str">
        <f t="array" aca="1" ref="FO15" ca="1">IF($FI15&lt;&gt;"",
INDIRECT(""&amp;IF(COLUMN(FB15)&lt;=26,CHAR(COLUMN(FB15)+64),CHAR(INT((COLUMN(FB15)-1)/26)+64)&amp;CHAR(MOD(COLUMN(FB15)-1,26)+65))&amp;$FI15&amp;""),"")</f>
        <v/>
      </c>
      <c r="FP15" s="82" t="str">
        <f t="array" aca="1" ref="FP15" ca="1">IF($FI15&lt;&gt;"",
INDIRECT(""&amp;IF(COLUMN(FC15)&lt;=26,CHAR(COLUMN(FC15)+64),CHAR(INT((COLUMN(FC15)-1)/26)+64)&amp;CHAR(MOD(COLUMN(FC15)-1,26)+65))&amp;$FI15&amp;""),"")</f>
        <v/>
      </c>
      <c r="FQ15" s="82" t="str">
        <f t="array" aca="1" ref="FQ15" ca="1">IF($FI15&lt;&gt;"",
INDIRECT(""&amp;IF(COLUMN(FD15)&lt;=26,CHAR(COLUMN(FD15)+64),CHAR(INT((COLUMN(FD15)-1)/26)+64)&amp;CHAR(MOD(COLUMN(FD15)-1,26)+65))&amp;$FI15&amp;""),"")</f>
        <v/>
      </c>
      <c r="FR15" s="82" t="str">
        <f t="array" aca="1" ref="FR15" ca="1">IF($FI15&lt;&gt;"",
INDIRECT(""&amp;IF(COLUMN(FE15)&lt;=26,CHAR(COLUMN(FE15)+64),CHAR(INT((COLUMN(FE15)-1)/26)+64)&amp;CHAR(MOD(COLUMN(FE15)-1,26)+65))&amp;$FI15&amp;""),"")</f>
        <v/>
      </c>
      <c r="FS15" s="82" t="str">
        <f t="array" aca="1" ref="FS15" ca="1">IF($FI15&lt;&gt;"",
INDIRECT(""&amp;IF(COLUMN(FF15)&lt;=26,CHAR(COLUMN(FF15)+64),CHAR(INT((COLUMN(FF15)-1)/26)+64)&amp;CHAR(MOD(COLUMN(FF15)-1,26)+65))&amp;$FI15&amp;""),"")</f>
        <v/>
      </c>
    </row>
    <row r="16" spans="1:175" s="82" customFormat="1" ht="18" customHeight="1" x14ac:dyDescent="0.55000000000000004">
      <c r="A16" s="80">
        <f t="array" aca="1" ref="A16" ca="1">IF(INDIRECT("数出表_Excel!A"&amp;GetResult(A15))="社食",
GetResult(A15)+2,GetResult(A15))</f>
        <v>15</v>
      </c>
      <c r="B16" s="85" t="str">
        <f t="array" aca="1" ref="B16" ca="1">IF(C15&lt;&gt;"",MATCH(TRUE,INDIRECT("数出表_Excel!B"&amp;MATCH(G15,数出表_Excel!$A:$A,0)-1&amp;":U"&amp;MATCH(G15,数出表_Excel!$A:$A,0)-1&amp;"")&lt;&gt;"",0)+1,"")</f>
        <v/>
      </c>
      <c r="C16" s="62" t="str">
        <f t="array" aca="1" ref="C16" ca="1">IF(COUNTIF(G15,"*合計*"),"",
IF(IFERROR(INDIRECT("数出表_Excel!" &amp;
CHAR(MATCH(TRUE,
ISNUMBER(--INDIRECT("数出表_Excel!B"&amp;MATCH(G15,数出表_Excel!$A:$A,0)-1&amp;":U"&amp;MATCH(G15,数出表_Excel!$A:$A,0)-1&amp;"")),0)+65) &amp; "3"),0)=0,"",
IFERROR(INDIRECT("数出表_Excel!" &amp;
CHAR(MATCH(TRUE,
ISNUMBER(--INDIRECT("数出表_Excel!B"&amp;MATCH(G15,数出表_Excel!$A:$A,0)-1&amp;":U"&amp;MATCH(G15,数出表_Excel!$A:$A,0)-1&amp;"")),0)+65) &amp; "3"),"")))</f>
        <v/>
      </c>
      <c r="D16" s="80"/>
      <c r="E16" s="86" t="str">
        <f t="array" aca="1" ref="E16" ca="1">IF(F16&lt;&gt;"","",
IF(COUNTIF(C15,"*雙葉*"),"",
IF(C15&lt;&gt;"",
IFERROR(
INDEX('数出表_Excel（アレルギー入力）'!$4:$4,
 1,
MATCH(TRUE,INDIRECT("'数出表_Excel（アレルギー入力）'!B"&amp;MATCH(G15,'数出表_Excel（アレルギー入力）'!$A:$A,0)-1&amp;":U"&amp;MATCH(G15,'数出表_Excel（アレルギー入力）'!$A:$A,0)-1&amp;"")&lt;&gt;"",0)+1
),
 "")
&amp;IFERROR(
INDEX('数出表_Excel（アレルギー入力）'!$5:$5,
 1,
MATCH(TRUE,INDIRECT("'数出表_Excel（アレルギー入力）'!B"&amp;MATCH(G15,'数出表_Excel（アレルギー入力）'!$A:$A,0)-1&amp;":U"&amp;MATCH(G15,'数出表_Excel（アレルギー入力）'!$A:$A,0)-1&amp;"")&lt;&gt;"",0)+1),
 ""),"")))</f>
        <v/>
      </c>
      <c r="F16" s="87" t="str">
        <f t="array" aca="1" ref="F16" ca="1">IF(C16&lt;&gt;"",
IF(COUNTIF(C15,"*雙葉*"),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VLOOKUP('盛付札（関数）'!C16,商品マスタ一覧!$D:$J,7,FALSE))),0)),
IF(MATCH(TRUE,
ISNUMBER(--INDIRECT("数出表_Excel!B"&amp;MATCH(G15,数出表_Excel!$A:$A,0)-1&amp;":U"&amp;MATCH(G15,数出表_Excel!$A:$A,0)-1&amp;"")),0)&gt;10,
IF(C16&lt;&gt;"",
IF(IF(COUNTIF('盛付札（関数）'!C16,"*キャラ*"),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VLOOKUP('盛付札（関数）'!C16,商品マスタ一覧!$D:$J,7,FALSE)))=0,"",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VLOOKUP('盛付札（関数）'!C16,商品マスタ一覧!$D:$J,7,FALSE))),0))),""),"")),"")</f>
        <v/>
      </c>
      <c r="G16" s="100" t="str">
        <f ca="1">IF(F16&lt;&gt;"",IF(VALUE(IF(F21&lt;&gt;"",C18-F21,C18))&gt;VALUE(IF(COUNTIF('盛付札（関数）'!C16,"*キャラ*"),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
"+"&amp;IF(F21&lt;&gt;"",C18-F21,C18)-IF(COUNTIF('盛付札（関数）'!C16,"*キャラ*"),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VLOOKUP('盛付札（関数）'!C16,商品マスタ一覧!$D:$J,7,FALSE)))*F16,
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VLOOKUP('盛付札（関数）'!C16,商品マスタ一覧!$D:$J,7,FALSE)))*F16),"")</f>
        <v/>
      </c>
      <c r="H16" s="80">
        <f t="array" aca="1" ref="H16" ca="1">IF(INDIRECT("数出表_Excel!A"&amp;GetResult(H15))="社食",
GetResult(H15)+2,GetResult(H15))</f>
        <v>17</v>
      </c>
      <c r="I16" s="85" t="str">
        <f t="array" aca="1" ref="I16" ca="1">IF(J15&lt;&gt;"",MATCH(TRUE,INDIRECT("数出表_Excel!B"&amp;MATCH(N15,数出表_Excel!$A:$A,0)-1&amp;":U"&amp;MATCH(N15,数出表_Excel!$A:$A,0)-1&amp;"")&lt;&gt;"",0)+1,"")</f>
        <v/>
      </c>
      <c r="J16" s="62" t="str">
        <f t="array" aca="1" ref="J16" ca="1">IF(COUNTIF(N15,"*合計*"),"",
IF(IFERROR(INDIRECT("数出表_Excel!" &amp;
CHAR(MATCH(TRUE,
ISNUMBER(--INDIRECT("数出表_Excel!B"&amp;MATCH(N15,数出表_Excel!$A:$A,0)-1&amp;":U"&amp;MATCH(N15,数出表_Excel!$A:$A,0)-1&amp;"")),0)+65) &amp; "3"),0)=0,"",
IFERROR(INDIRECT("数出表_Excel!" &amp;
CHAR(MATCH(TRUE,
ISNUMBER(--INDIRECT("数出表_Excel!B"&amp;MATCH(N15,数出表_Excel!$A:$A,0)-1&amp;":U"&amp;MATCH(N15,数出表_Excel!$A:$A,0)-1&amp;"")),0)+65) &amp; "3"),"")))</f>
        <v/>
      </c>
      <c r="K16" s="80"/>
      <c r="L16" s="86" t="str">
        <f t="array" aca="1" ref="L16" ca="1">IF(M16&lt;&gt;"","",
IF(COUNTIF(J15,"*雙葉*"),"",
IF(J15&lt;&gt;"",
IFERROR(
INDEX('数出表_Excel（アレルギー入力）'!$4:$4,
 1,
MATCH(TRUE,INDIRECT("'数出表_Excel（アレルギー入力）'!B"&amp;MATCH(N15,'数出表_Excel（アレルギー入力）'!$A:$A,0)-1&amp;":U"&amp;MATCH(N15,'数出表_Excel（アレルギー入力）'!$A:$A,0)-1&amp;"")&lt;&gt;"",0)+1
),
 "")
&amp;IFERROR(
INDEX('数出表_Excel（アレルギー入力）'!$5:$5,
 1,
MATCH(TRUE,INDIRECT("'数出表_Excel（アレルギー入力）'!B"&amp;MATCH(N15,'数出表_Excel（アレルギー入力）'!$A:$A,0)-1&amp;":U"&amp;MATCH(N15,'数出表_Excel（アレルギー入力）'!$A:$A,0)-1&amp;"")&lt;&gt;"",0)+1),
 ""),"")))</f>
        <v/>
      </c>
      <c r="M16" s="87" t="str">
        <f t="array" aca="1" ref="M16" ca="1">IF(J16&lt;&gt;"",
IF(COUNTIF(J15,"*雙葉*"),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VLOOKUP('盛付札（関数）'!J16,商品マスタ一覧!$D:$J,7,FALSE))),0)),
IF(MATCH(TRUE,
ISNUMBER(--INDIRECT("数出表_Excel!B"&amp;MATCH(N15,数出表_Excel!$A:$A,0)-1&amp;":U"&amp;MATCH(N15,数出表_Excel!$A:$A,0)-1&amp;"")),0)&gt;10,
IF(J16&lt;&gt;"",
IF(IF(COUNTIF('盛付札（関数）'!J16,"*キャラ*"),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VLOOKUP('盛付札（関数）'!J16,商品マスタ一覧!$D:$J,7,FALSE)))=0,"",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VLOOKUP('盛付札（関数）'!J16,商品マスタ一覧!$D:$J,7,FALSE))),0))),""),"")),"")</f>
        <v/>
      </c>
      <c r="N16" s="96" t="str">
        <f ca="1">IF(M16&lt;&gt;"",IF(VALUE(IF(M21&lt;&gt;"",J18-M21,J18))&gt;VALUE(IF(COUNTIF('盛付札（関数）'!J16,"*キャラ*"),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
"+"&amp;IF(M21&lt;&gt;"",J18-M21,J18)-IF(COUNTIF('盛付札（関数）'!J16,"*キャラ*"),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VLOOKUP('盛付札（関数）'!J16,商品マスタ一覧!$D:$J,7,FALSE)))*M16,
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VLOOKUP('盛付札（関数）'!J16,商品マスタ一覧!$D:$J,7,FALSE)))*M16),"")</f>
        <v/>
      </c>
      <c r="O16" s="80"/>
      <c r="P16" s="80">
        <f t="array" aca="1" ref="P16" ca="1">IF(INDIRECT("数出表_Excel!A"&amp;GetResult(P15))="社食",
GetResult(P15)+2,GetResult(P15))</f>
        <v>39</v>
      </c>
      <c r="Q16" s="85" t="str">
        <f t="array" aca="1" ref="Q16" ca="1">IF(R15&lt;&gt;"",MATCH(TRUE,INDIRECT("数出表_Excel!B"&amp;MATCH(V15,数出表_Excel!$A:$A,0)-1&amp;":U"&amp;MATCH(V15,数出表_Excel!$A:$A,0)-1&amp;"")&lt;&gt;"",0)+1,"")</f>
        <v/>
      </c>
      <c r="R16" s="62" t="str">
        <f t="array" aca="1" ref="R16" ca="1">IF(COUNTIF(V15,"*合計*"),"",
IF(IFERROR(INDIRECT("数出表_Excel!" &amp;
CHAR(MATCH(TRUE,
ISNUMBER(--INDIRECT("数出表_Excel!B"&amp;MATCH(V15,数出表_Excel!$A:$A,0)-1&amp;":U"&amp;MATCH(V15,数出表_Excel!$A:$A,0)-1&amp;"")),0)+65) &amp; "3"),0)=0,"",
IFERROR(INDIRECT("数出表_Excel!" &amp;
CHAR(MATCH(TRUE,
ISNUMBER(--INDIRECT("数出表_Excel!B"&amp;MATCH(V15,数出表_Excel!$A:$A,0)-1&amp;":U"&amp;MATCH(V15,数出表_Excel!$A:$A,0)-1&amp;"")),0)+65) &amp; "3"),"")))</f>
        <v/>
      </c>
      <c r="S16" s="80"/>
      <c r="T16" s="86" t="str">
        <f t="array" aca="1" ref="T16" ca="1">IF(U16&lt;&gt;"","",
IF(COUNTIF(R15,"*雙葉*"),"",
IF(R15&lt;&gt;"",
IFERROR(
INDEX('数出表_Excel（アレルギー入力）'!$4:$4,
 1,
MATCH(TRUE,INDIRECT("'数出表_Excel（アレルギー入力）'!B"&amp;MATCH(V15,'数出表_Excel（アレルギー入力）'!$A:$A,0)-1&amp;":U"&amp;MATCH(V15,'数出表_Excel（アレルギー入力）'!$A:$A,0)-1&amp;"")&lt;&gt;"",0)+1
),
 "")
&amp;IFERROR(
INDEX('数出表_Excel（アレルギー入力）'!$5:$5,
 1,
MATCH(TRUE,INDIRECT("'数出表_Excel（アレルギー入力）'!B"&amp;MATCH(V15,'数出表_Excel（アレルギー入力）'!$A:$A,0)-1&amp;":U"&amp;MATCH(V15,'数出表_Excel（アレルギー入力）'!$A:$A,0)-1&amp;"")&lt;&gt;"",0)+1),
 ""),"")))</f>
        <v/>
      </c>
      <c r="U16" s="87" t="str">
        <f t="array" aca="1" ref="U16" ca="1">IF(R16&lt;&gt;"",
IF(COUNTIF(R15,"*雙葉*"),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VLOOKUP('盛付札（関数）'!R16,商品マスタ一覧!$D:$J,7,FALSE))),0)),
IF(MATCH(TRUE,
ISNUMBER(--INDIRECT("数出表_Excel!B"&amp;MATCH(V15,数出表_Excel!$A:$A,0)-1&amp;":U"&amp;MATCH(V15,数出表_Excel!$A:$A,0)-1&amp;"")),0)&gt;10,
IF(R16&lt;&gt;"",
IF(IF(COUNTIF('盛付札（関数）'!R16,"*キャラ*"),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VLOOKUP('盛付札（関数）'!R16,商品マスタ一覧!$D:$J,7,FALSE)))=0,"",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VLOOKUP('盛付札（関数）'!R16,商品マスタ一覧!$D:$J,7,FALSE))),0))),""),"")),"")</f>
        <v/>
      </c>
      <c r="V16" s="100" t="str">
        <f ca="1">IF(U16&lt;&gt;"",IF(VALUE(IF(U21&lt;&gt;"",R18-U21,R18))&gt;VALUE(IF(COUNTIF('盛付札（関数）'!R16,"*キャラ*"),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
"+"&amp;IF(U21&lt;&gt;"",R18-U21,R18)-IF(COUNTIF('盛付札（関数）'!R16,"*キャラ*"),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VLOOKUP('盛付札（関数）'!R16,商品マスタ一覧!$D:$J,7,FALSE)))*U16,
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VLOOKUP('盛付札（関数）'!R16,商品マスタ一覧!$D:$J,7,FALSE)))*U16),"")</f>
        <v/>
      </c>
      <c r="W16" s="80">
        <f t="array" aca="1" ref="W16" ca="1">IF(INDIRECT("数出表_Excel!A"&amp;GetResult(W15))="社食",
GetResult(W15)+2,GetResult(W15))</f>
        <v>41</v>
      </c>
      <c r="X16" s="85" t="str">
        <f t="array" aca="1" ref="X16" ca="1">IF(Y15&lt;&gt;"",MATCH(TRUE,INDIRECT("数出表_Excel!B"&amp;MATCH(AC15,数出表_Excel!$A:$A,0)-1&amp;":U"&amp;MATCH(AC15,数出表_Excel!$A:$A,0)-1&amp;"")&lt;&gt;"",0)+1,"")</f>
        <v/>
      </c>
      <c r="Y16" s="62" t="str">
        <f t="array" aca="1" ref="Y16" ca="1">IF(COUNTIF(AC15,"*合計*"),"",
IF(IFERROR(INDIRECT("数出表_Excel!" &amp;
CHAR(MATCH(TRUE,
ISNUMBER(--INDIRECT("数出表_Excel!B"&amp;MATCH(AC15,数出表_Excel!$A:$A,0)-1&amp;":U"&amp;MATCH(AC15,数出表_Excel!$A:$A,0)-1&amp;"")),0)+65) &amp; "3"),0)=0,"",
IFERROR(INDIRECT("数出表_Excel!" &amp;
CHAR(MATCH(TRUE,
ISNUMBER(--INDIRECT("数出表_Excel!B"&amp;MATCH(AC15,数出表_Excel!$A:$A,0)-1&amp;":U"&amp;MATCH(AC15,数出表_Excel!$A:$A,0)-1&amp;"")),0)+65) &amp; "3"),"")))</f>
        <v/>
      </c>
      <c r="Z16" s="80"/>
      <c r="AA16" s="86" t="str">
        <f t="array" aca="1" ref="AA16" ca="1">IF(AB16&lt;&gt;"","",
IF(COUNTIF(Y15,"*雙葉*"),"",
IF(Y15&lt;&gt;"",
IFERROR(
INDEX('数出表_Excel（アレルギー入力）'!$4:$4,
 1,
MATCH(TRUE,INDIRECT("'数出表_Excel（アレルギー入力）'!B"&amp;MATCH(AC15,'数出表_Excel（アレルギー入力）'!$A:$A,0)-1&amp;":U"&amp;MATCH(AC15,'数出表_Excel（アレルギー入力）'!$A:$A,0)-1&amp;"")&lt;&gt;"",0)+1
),
 "")
&amp;IFERROR(
INDEX('数出表_Excel（アレルギー入力）'!$5:$5,
 1,
MATCH(TRUE,INDIRECT("'数出表_Excel（アレルギー入力）'!B"&amp;MATCH(AC15,'数出表_Excel（アレルギー入力）'!$A:$A,0)-1&amp;":U"&amp;MATCH(AC15,'数出表_Excel（アレルギー入力）'!$A:$A,0)-1&amp;"")&lt;&gt;"",0)+1),
 ""),"")))</f>
        <v/>
      </c>
      <c r="AB16" s="87" t="str">
        <f t="array" aca="1" ref="AB16" ca="1">IF(Y16&lt;&gt;"",
IF(COUNTIF(Y15,"*雙葉*"),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VLOOKUP('盛付札（関数）'!Y16,商品マスタ一覧!$D:$J,7,FALSE))),0)),
IF(MATCH(TRUE,
ISNUMBER(--INDIRECT("数出表_Excel!B"&amp;MATCH(AC15,数出表_Excel!$A:$A,0)-1&amp;":U"&amp;MATCH(AC15,数出表_Excel!$A:$A,0)-1&amp;"")),0)&gt;10,
IF(Y16&lt;&gt;"",
IF(IF(COUNTIF('盛付札（関数）'!Y16,"*キャラ*"),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VLOOKUP('盛付札（関数）'!Y16,商品マスタ一覧!$D:$J,7,FALSE)))=0,"",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VLOOKUP('盛付札（関数）'!Y16,商品マスタ一覧!$D:$J,7,FALSE))),0))),""),"")),"")</f>
        <v/>
      </c>
      <c r="AC16" s="96" t="str">
        <f ca="1">IF(AB16&lt;&gt;"",IF(VALUE(IF(AB21&lt;&gt;"",Y18-AB21,Y18))&gt;VALUE(IF(COUNTIF('盛付札（関数）'!Y16,"*キャラ*"),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
"+"&amp;IF(AB21&lt;&gt;"",Y18-AB21,Y18)-IF(COUNTIF('盛付札（関数）'!Y16,"*キャラ*"),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VLOOKUP('盛付札（関数）'!Y16,商品マスタ一覧!$D:$J,7,FALSE)))*AB16,
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VLOOKUP('盛付札（関数）'!Y16,商品マスタ一覧!$D:$J,7,FALSE)))*AB16),"")</f>
        <v/>
      </c>
      <c r="AD16" s="80"/>
      <c r="AE16" s="80">
        <f t="array" aca="1" ref="AE16" ca="1">IF(INDIRECT("数出表_Excel!A"&amp;GetResult(AE15))="社食",
GetResult(AE15)+2,GetResult(AE15))</f>
        <v>63</v>
      </c>
      <c r="AF16" s="85" t="str">
        <f t="array" aca="1" ref="AF16" ca="1">IF(AG15&lt;&gt;"",MATCH(TRUE,INDIRECT("数出表_Excel!B"&amp;MATCH(AK15,数出表_Excel!$A:$A,0)-1&amp;":U"&amp;MATCH(AK15,数出表_Excel!$A:$A,0)-1&amp;"")&lt;&gt;"",0)+1,"")</f>
        <v/>
      </c>
      <c r="AG16" s="62" t="str">
        <f t="array" aca="1" ref="AG16" ca="1">IF(COUNTIF(AK15,"*合計*"),"",
IF(IFERROR(INDIRECT("数出表_Excel!" &amp;
CHAR(MATCH(TRUE,
ISNUMBER(--INDIRECT("数出表_Excel!B"&amp;MATCH(AK15,数出表_Excel!$A:$A,0)-1&amp;":U"&amp;MATCH(AK15,数出表_Excel!$A:$A,0)-1&amp;"")),0)+65) &amp; "3"),0)=0,"",
IFERROR(INDIRECT("数出表_Excel!" &amp;
CHAR(MATCH(TRUE,
ISNUMBER(--INDIRECT("数出表_Excel!B"&amp;MATCH(AK15,数出表_Excel!$A:$A,0)-1&amp;":U"&amp;MATCH(AK15,数出表_Excel!$A:$A,0)-1&amp;"")),0)+65) &amp; "3"),"")))</f>
        <v/>
      </c>
      <c r="AH16" s="80"/>
      <c r="AI16" s="86" t="str">
        <f t="array" aca="1" ref="AI16" ca="1">IF(AJ16&lt;&gt;"","",
IF(COUNTIF(AG15,"*雙葉*"),"",
IF(AG15&lt;&gt;"",
IFERROR(
INDEX('数出表_Excel（アレルギー入力）'!$4:$4,
 1,
MATCH(TRUE,INDIRECT("'数出表_Excel（アレルギー入力）'!B"&amp;MATCH(AK15,'数出表_Excel（アレルギー入力）'!$A:$A,0)-1&amp;":U"&amp;MATCH(AK15,'数出表_Excel（アレルギー入力）'!$A:$A,0)-1&amp;"")&lt;&gt;"",0)+1
),
 "")
&amp;IFERROR(
INDEX('数出表_Excel（アレルギー入力）'!$5:$5,
 1,
MATCH(TRUE,INDIRECT("'数出表_Excel（アレルギー入力）'!B"&amp;MATCH(AK15,'数出表_Excel（アレルギー入力）'!$A:$A,0)-1&amp;":U"&amp;MATCH(AK15,'数出表_Excel（アレルギー入力）'!$A:$A,0)-1&amp;"")&lt;&gt;"",0)+1),
 ""),"")))</f>
        <v/>
      </c>
      <c r="AJ16" s="87" t="str">
        <f t="array" aca="1" ref="AJ16" ca="1">IF(AG16&lt;&gt;"",
IF(COUNTIF(AG15,"*雙葉*"),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VLOOKUP('盛付札（関数）'!AG16,商品マスタ一覧!$D:$J,7,FALSE))),0)),
IF(MATCH(TRUE,
ISNUMBER(--INDIRECT("数出表_Excel!B"&amp;MATCH(AK15,数出表_Excel!$A:$A,0)-1&amp;":U"&amp;MATCH(AK15,数出表_Excel!$A:$A,0)-1&amp;"")),0)&gt;10,
IF(AG16&lt;&gt;"",
IF(IF(COUNTIF('盛付札（関数）'!AG16,"*キャラ*"),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VLOOKUP('盛付札（関数）'!AG16,商品マスタ一覧!$D:$J,7,FALSE)))=0,"",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VLOOKUP('盛付札（関数）'!AG16,商品マスタ一覧!$D:$J,7,FALSE))),0))),""),"")),"")</f>
        <v/>
      </c>
      <c r="AK16" s="100" t="str">
        <f ca="1">IF(AJ16&lt;&gt;"",IF(VALUE(IF(AJ21&lt;&gt;"",AG18-AJ21,AG18))&gt;VALUE(IF(COUNTIF('盛付札（関数）'!AG16,"*キャラ*"),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
"+"&amp;IF(AJ21&lt;&gt;"",AG18-AJ21,AG18)-IF(COUNTIF('盛付札（関数）'!AG16,"*キャラ*"),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VLOOKUP('盛付札（関数）'!AG16,商品マスタ一覧!$D:$J,7,FALSE)))*AJ16,
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VLOOKUP('盛付札（関数）'!AG16,商品マスタ一覧!$D:$J,7,FALSE)))*AJ16),"")</f>
        <v/>
      </c>
      <c r="AL16" s="80">
        <f t="array" aca="1" ref="AL16" ca="1">IF(INDIRECT("数出表_Excel!A"&amp;GetResult(AL15))="社食",
GetResult(AL15)+2,GetResult(AL15))</f>
        <v>65</v>
      </c>
      <c r="AM16" s="85" t="str">
        <f t="array" aca="1" ref="AM16" ca="1">IF(AN15&lt;&gt;"",MATCH(TRUE,INDIRECT("数出表_Excel!B"&amp;MATCH(AR15,数出表_Excel!$A:$A,0)-1&amp;":U"&amp;MATCH(AR15,数出表_Excel!$A:$A,0)-1&amp;"")&lt;&gt;"",0)+1,"")</f>
        <v/>
      </c>
      <c r="AN16" s="62" t="str">
        <f t="array" aca="1" ref="AN16" ca="1">IF(COUNTIF(AR15,"*合計*"),"",
IF(IFERROR(INDIRECT("数出表_Excel!" &amp;
CHAR(MATCH(TRUE,
ISNUMBER(--INDIRECT("数出表_Excel!B"&amp;MATCH(AR15,数出表_Excel!$A:$A,0)-1&amp;":U"&amp;MATCH(AR15,数出表_Excel!$A:$A,0)-1&amp;"")),0)+65) &amp; "3"),0)=0,"",
IFERROR(INDIRECT("数出表_Excel!" &amp;
CHAR(MATCH(TRUE,
ISNUMBER(--INDIRECT("数出表_Excel!B"&amp;MATCH(AR15,数出表_Excel!$A:$A,0)-1&amp;":U"&amp;MATCH(AR15,数出表_Excel!$A:$A,0)-1&amp;"")),0)+65) &amp; "3"),"")))</f>
        <v/>
      </c>
      <c r="AO16" s="80"/>
      <c r="AP16" s="86" t="str">
        <f t="array" aca="1" ref="AP16" ca="1">IF(AQ16&lt;&gt;"","",
IF(COUNTIF(AN15,"*雙葉*"),"",
IF(AN15&lt;&gt;"",
IFERROR(
INDEX('数出表_Excel（アレルギー入力）'!$4:$4,
 1,
MATCH(TRUE,INDIRECT("'数出表_Excel（アレルギー入力）'!B"&amp;MATCH(AR15,'数出表_Excel（アレルギー入力）'!$A:$A,0)-1&amp;":U"&amp;MATCH(AR15,'数出表_Excel（アレルギー入力）'!$A:$A,0)-1&amp;"")&lt;&gt;"",0)+1
),
 "")
&amp;IFERROR(
INDEX('数出表_Excel（アレルギー入力）'!$5:$5,
 1,
MATCH(TRUE,INDIRECT("'数出表_Excel（アレルギー入力）'!B"&amp;MATCH(AR15,'数出表_Excel（アレルギー入力）'!$A:$A,0)-1&amp;":U"&amp;MATCH(AR15,'数出表_Excel（アレルギー入力）'!$A:$A,0)-1&amp;"")&lt;&gt;"",0)+1),
 ""),"")))</f>
        <v/>
      </c>
      <c r="AQ16" s="87" t="str">
        <f t="array" aca="1" ref="AQ16" ca="1">IF(AN16&lt;&gt;"",
IF(COUNTIF(AN15,"*雙葉*"),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VLOOKUP('盛付札（関数）'!AN16,商品マスタ一覧!$D:$J,7,FALSE))),0)),
IF(MATCH(TRUE,
ISNUMBER(--INDIRECT("数出表_Excel!B"&amp;MATCH(AR15,数出表_Excel!$A:$A,0)-1&amp;":U"&amp;MATCH(AR15,数出表_Excel!$A:$A,0)-1&amp;"")),0)&gt;10,
IF(AN16&lt;&gt;"",
IF(IF(COUNTIF('盛付札（関数）'!AN16,"*キャラ*"),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VLOOKUP('盛付札（関数）'!AN16,商品マスタ一覧!$D:$J,7,FALSE)))=0,"",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VLOOKUP('盛付札（関数）'!AN16,商品マスタ一覧!$D:$J,7,FALSE))),0))),""),"")),"")</f>
        <v/>
      </c>
      <c r="AR16" s="96" t="str">
        <f ca="1">IF(AQ16&lt;&gt;"",IF(VALUE(IF(AQ21&lt;&gt;"",AN18-AQ21,AN18))&gt;VALUE(IF(COUNTIF('盛付札（関数）'!AN16,"*キャラ*"),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
"+"&amp;IF(AQ21&lt;&gt;"",AN18-AQ21,AN18)-IF(COUNTIF('盛付札（関数）'!AN16,"*キャラ*"),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VLOOKUP('盛付札（関数）'!AN16,商品マスタ一覧!$D:$J,7,FALSE)))*AQ16,
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VLOOKUP('盛付札（関数）'!AN16,商品マスタ一覧!$D:$J,7,FALSE)))*AQ16),"")</f>
        <v/>
      </c>
      <c r="AS16" s="80"/>
      <c r="AT16" s="80">
        <f t="array" aca="1" ref="AT16" ca="1">IF(INDIRECT("数出表_Excel!A"&amp;GetResult(AT15))="社食",
GetResult(AT15)+2,GetResult(AT15))</f>
        <v>87</v>
      </c>
      <c r="AU16" s="85" t="str">
        <f t="array" aca="1" ref="AU16" ca="1">IF(AV15&lt;&gt;"",MATCH(TRUE,INDIRECT("数出表_Excel!B"&amp;MATCH(AZ15,数出表_Excel!$A:$A,0)-1&amp;":U"&amp;MATCH(AZ15,数出表_Excel!$A:$A,0)-1&amp;"")&lt;&gt;"",0)+1,"")</f>
        <v/>
      </c>
      <c r="AV16" s="62" t="str">
        <f t="array" aca="1" ref="AV16" ca="1">IF(COUNTIF(AZ15,"*合計*"),"",
IF(IFERROR(INDIRECT("数出表_Excel!" &amp;
CHAR(MATCH(TRUE,
ISNUMBER(--INDIRECT("数出表_Excel!B"&amp;MATCH(AZ15,数出表_Excel!$A:$A,0)-1&amp;":U"&amp;MATCH(AZ15,数出表_Excel!$A:$A,0)-1&amp;"")),0)+65) &amp; "3"),0)=0,"",
IFERROR(INDIRECT("数出表_Excel!" &amp;
CHAR(MATCH(TRUE,
ISNUMBER(--INDIRECT("数出表_Excel!B"&amp;MATCH(AZ15,数出表_Excel!$A:$A,0)-1&amp;":U"&amp;MATCH(AZ15,数出表_Excel!$A:$A,0)-1&amp;"")),0)+65) &amp; "3"),"")))</f>
        <v/>
      </c>
      <c r="AW16" s="80"/>
      <c r="AX16" s="86" t="str">
        <f t="array" aca="1" ref="AX16" ca="1">IF(AY16&lt;&gt;"","",
IF(COUNTIF(AV15,"*雙葉*"),"",
IF(AV15&lt;&gt;"",
IFERROR(
INDEX('数出表_Excel（アレルギー入力）'!$4:$4,
 1,
MATCH(TRUE,INDIRECT("'数出表_Excel（アレルギー入力）'!B"&amp;MATCH(AZ15,'数出表_Excel（アレルギー入力）'!$A:$A,0)-1&amp;":U"&amp;MATCH(AZ15,'数出表_Excel（アレルギー入力）'!$A:$A,0)-1&amp;"")&lt;&gt;"",0)+1
),
 "")
&amp;IFERROR(
INDEX('数出表_Excel（アレルギー入力）'!$5:$5,
 1,
MATCH(TRUE,INDIRECT("'数出表_Excel（アレルギー入力）'!B"&amp;MATCH(AZ15,'数出表_Excel（アレルギー入力）'!$A:$A,0)-1&amp;":U"&amp;MATCH(AZ15,'数出表_Excel（アレルギー入力）'!$A:$A,0)-1&amp;"")&lt;&gt;"",0)+1),
 ""),"")))</f>
        <v/>
      </c>
      <c r="AY16" s="87" t="str">
        <f t="array" aca="1" ref="AY16" ca="1">IF(AV16&lt;&gt;"",
IF(COUNTIF(AV15,"*雙葉*"),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VLOOKUP('盛付札（関数）'!AV16,商品マスタ一覧!$D:$J,7,FALSE))),0)),
IF(MATCH(TRUE,
ISNUMBER(--INDIRECT("数出表_Excel!B"&amp;MATCH(AZ15,数出表_Excel!$A:$A,0)-1&amp;":U"&amp;MATCH(AZ15,数出表_Excel!$A:$A,0)-1&amp;"")),0)&gt;10,
IF(AV16&lt;&gt;"",
IF(IF(COUNTIF('盛付札（関数）'!AV16,"*キャラ*"),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VLOOKUP('盛付札（関数）'!AV16,商品マスタ一覧!$D:$J,7,FALSE)))=0,"",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VLOOKUP('盛付札（関数）'!AV16,商品マスタ一覧!$D:$J,7,FALSE))),0))),""),"")),"")</f>
        <v/>
      </c>
      <c r="AZ16" s="100" t="str">
        <f ca="1">IF(AY16&lt;&gt;"",IF(VALUE(IF(AY21&lt;&gt;"",AV18-AY21,AV18))&gt;VALUE(IF(COUNTIF('盛付札（関数）'!AV16,"*キャラ*"),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
"+"&amp;IF(AY21&lt;&gt;"",AV18-AY21,AV18)-IF(COUNTIF('盛付札（関数）'!AV16,"*キャラ*"),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VLOOKUP('盛付札（関数）'!AV16,商品マスタ一覧!$D:$J,7,FALSE)))*AY16,
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VLOOKUP('盛付札（関数）'!AV16,商品マスタ一覧!$D:$J,7,FALSE)))*AY16),"")</f>
        <v/>
      </c>
      <c r="BA16" s="80">
        <f t="array" aca="1" ref="BA16" ca="1">IF(INDIRECT("数出表_Excel!A"&amp;GetResult(BA15))="社食",
GetResult(BA15)+2,GetResult(BA15))</f>
        <v>89</v>
      </c>
      <c r="BB16" s="85" t="str">
        <f t="array" aca="1" ref="BB16" ca="1">IF(BC15&lt;&gt;"",MATCH(TRUE,INDIRECT("数出表_Excel!B"&amp;MATCH(BG15,数出表_Excel!$A:$A,0)-1&amp;":U"&amp;MATCH(BG15,数出表_Excel!$A:$A,0)-1&amp;"")&lt;&gt;"",0)+1,"")</f>
        <v/>
      </c>
      <c r="BC16" s="62" t="str">
        <f t="array" aca="1" ref="BC16" ca="1">IF(COUNTIF(BG15,"*合計*"),"",
IF(IFERROR(INDIRECT("数出表_Excel!" &amp;
CHAR(MATCH(TRUE,
ISNUMBER(--INDIRECT("数出表_Excel!B"&amp;MATCH(BG15,数出表_Excel!$A:$A,0)-1&amp;":U"&amp;MATCH(BG15,数出表_Excel!$A:$A,0)-1&amp;"")),0)+65) &amp; "3"),0)=0,"",
IFERROR(INDIRECT("数出表_Excel!" &amp;
CHAR(MATCH(TRUE,
ISNUMBER(--INDIRECT("数出表_Excel!B"&amp;MATCH(BG15,数出表_Excel!$A:$A,0)-1&amp;":U"&amp;MATCH(BG15,数出表_Excel!$A:$A,0)-1&amp;"")),0)+65) &amp; "3"),"")))</f>
        <v/>
      </c>
      <c r="BD16" s="80"/>
      <c r="BE16" s="86" t="str">
        <f t="array" aca="1" ref="BE16" ca="1">IF(BF16&lt;&gt;"","",
IF(COUNTIF(BC15,"*雙葉*"),"",
IF(BC15&lt;&gt;"",
IFERROR(
INDEX('数出表_Excel（アレルギー入力）'!$4:$4,
 1,
MATCH(TRUE,INDIRECT("'数出表_Excel（アレルギー入力）'!B"&amp;MATCH(BG15,'数出表_Excel（アレルギー入力）'!$A:$A,0)-1&amp;":U"&amp;MATCH(BG15,'数出表_Excel（アレルギー入力）'!$A:$A,0)-1&amp;"")&lt;&gt;"",0)+1
),
 "")
&amp;IFERROR(
INDEX('数出表_Excel（アレルギー入力）'!$5:$5,
 1,
MATCH(TRUE,INDIRECT("'数出表_Excel（アレルギー入力）'!B"&amp;MATCH(BG15,'数出表_Excel（アレルギー入力）'!$A:$A,0)-1&amp;":U"&amp;MATCH(BG15,'数出表_Excel（アレルギー入力）'!$A:$A,0)-1&amp;"")&lt;&gt;"",0)+1),
 ""),"")))</f>
        <v/>
      </c>
      <c r="BF16" s="87" t="str">
        <f t="array" aca="1" ref="BF16" ca="1">IF(BC16&lt;&gt;"",
IF(COUNTIF(BC15,"*雙葉*"),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VLOOKUP('盛付札（関数）'!BC16,商品マスタ一覧!$D:$J,7,FALSE))),0)),
IF(MATCH(TRUE,
ISNUMBER(--INDIRECT("数出表_Excel!B"&amp;MATCH(BG15,数出表_Excel!$A:$A,0)-1&amp;":U"&amp;MATCH(BG15,数出表_Excel!$A:$A,0)-1&amp;"")),0)&gt;10,
IF(BC16&lt;&gt;"",
IF(IF(COUNTIF('盛付札（関数）'!BC16,"*キャラ*"),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VLOOKUP('盛付札（関数）'!BC16,商品マスタ一覧!$D:$J,7,FALSE)))=0,"",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VLOOKUP('盛付札（関数）'!BC16,商品マスタ一覧!$D:$J,7,FALSE))),0))),""),"")),"")</f>
        <v/>
      </c>
      <c r="BG16" s="96" t="str">
        <f ca="1">IF(BF16&lt;&gt;"",IF(VALUE(IF(BF21&lt;&gt;"",BC18-BF21,BC18))&gt;VALUE(IF(COUNTIF('盛付札（関数）'!BC16,"*キャラ*"),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
"+"&amp;IF(BF21&lt;&gt;"",BC18-BF21,BC18)-IF(COUNTIF('盛付札（関数）'!BC16,"*キャラ*"),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VLOOKUP('盛付札（関数）'!BC16,商品マスタ一覧!$D:$J,7,FALSE)))*BF16,
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VLOOKUP('盛付札（関数）'!BC16,商品マスタ一覧!$D:$J,7,FALSE)))*BF16),"")</f>
        <v/>
      </c>
      <c r="BH16" s="80"/>
      <c r="BI16" s="80">
        <f t="array" aca="1" ref="BI16" ca="1">IF(INDIRECT("数出表_Excel!A"&amp;GetResult(BI15))="社食",
GetResult(BI15)+2,GetResult(BI15))</f>
        <v>111</v>
      </c>
      <c r="BJ16" s="85" t="str">
        <f t="array" aca="1" ref="BJ16" ca="1">IF(BK15&lt;&gt;"",MATCH(TRUE,INDIRECT("数出表_Excel!B"&amp;MATCH(BO15,数出表_Excel!$A:$A,0)-1&amp;":U"&amp;MATCH(BO15,数出表_Excel!$A:$A,0)-1&amp;"")&lt;&gt;"",0)+1,"")</f>
        <v/>
      </c>
      <c r="BK16" s="62" t="str">
        <f t="array" aca="1" ref="BK16" ca="1">IF(COUNTIF(BO15,"*合計*"),"",
IF(IFERROR(INDIRECT("数出表_Excel!" &amp;
CHAR(MATCH(TRUE,
ISNUMBER(--INDIRECT("数出表_Excel!B"&amp;MATCH(BO15,数出表_Excel!$A:$A,0)-1&amp;":U"&amp;MATCH(BO15,数出表_Excel!$A:$A,0)-1&amp;"")),0)+65) &amp; "3"),0)=0,"",
IFERROR(INDIRECT("数出表_Excel!" &amp;
CHAR(MATCH(TRUE,
ISNUMBER(--INDIRECT("数出表_Excel!B"&amp;MATCH(BO15,数出表_Excel!$A:$A,0)-1&amp;":U"&amp;MATCH(BO15,数出表_Excel!$A:$A,0)-1&amp;"")),0)+65) &amp; "3"),"")))</f>
        <v/>
      </c>
      <c r="BL16" s="80"/>
      <c r="BM16" s="86" t="str">
        <f t="array" aca="1" ref="BM16" ca="1">IF(BN16&lt;&gt;"","",
IF(COUNTIF(BK15,"*雙葉*"),"",
IF(BK15&lt;&gt;"",
IFERROR(
INDEX('数出表_Excel（アレルギー入力）'!$4:$4,
 1,
MATCH(TRUE,INDIRECT("'数出表_Excel（アレルギー入力）'!B"&amp;MATCH(BO15,'数出表_Excel（アレルギー入力）'!$A:$A,0)-1&amp;":U"&amp;MATCH(BO15,'数出表_Excel（アレルギー入力）'!$A:$A,0)-1&amp;"")&lt;&gt;"",0)+1
),
 "")
&amp;IFERROR(
INDEX('数出表_Excel（アレルギー入力）'!$5:$5,
 1,
MATCH(TRUE,INDIRECT("'数出表_Excel（アレルギー入力）'!B"&amp;MATCH(BO15,'数出表_Excel（アレルギー入力）'!$A:$A,0)-1&amp;":U"&amp;MATCH(BO15,'数出表_Excel（アレルギー入力）'!$A:$A,0)-1&amp;"")&lt;&gt;"",0)+1),
 ""),"")))</f>
        <v/>
      </c>
      <c r="BN16" s="87" t="str">
        <f t="array" aca="1" ref="BN16" ca="1">IF(BK16&lt;&gt;"",
IF(COUNTIF(BK15,"*雙葉*"),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VLOOKUP('盛付札（関数）'!BK16,商品マスタ一覧!$D:$J,7,FALSE))),0)),
IF(MATCH(TRUE,
ISNUMBER(--INDIRECT("数出表_Excel!B"&amp;MATCH(BO15,数出表_Excel!$A:$A,0)-1&amp;":U"&amp;MATCH(BO15,数出表_Excel!$A:$A,0)-1&amp;"")),0)&gt;10,
IF(BK16&lt;&gt;"",
IF(IF(COUNTIF('盛付札（関数）'!BK16,"*キャラ*"),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VLOOKUP('盛付札（関数）'!BK16,商品マスタ一覧!$D:$J,7,FALSE)))=0,"",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VLOOKUP('盛付札（関数）'!BK16,商品マスタ一覧!$D:$J,7,FALSE))),0))),""),"")),"")</f>
        <v/>
      </c>
      <c r="BO16" s="100" t="str">
        <f ca="1">IF(BN16&lt;&gt;"",IF(VALUE(IF(BN21&lt;&gt;"",BK18-BN21,BK18))&gt;VALUE(IF(COUNTIF('盛付札（関数）'!BK16,"*キャラ*"),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
"+"&amp;IF(BN21&lt;&gt;"",BK18-BN21,BK18)-IF(COUNTIF('盛付札（関数）'!BK16,"*キャラ*"),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VLOOKUP('盛付札（関数）'!BK16,商品マスタ一覧!$D:$J,7,FALSE)))*BN16,
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VLOOKUP('盛付札（関数）'!BK16,商品マスタ一覧!$D:$J,7,FALSE)))*BN16),"")</f>
        <v/>
      </c>
      <c r="BP16" s="80">
        <f t="array" aca="1" ref="BP16" ca="1">IF(INDIRECT("数出表_Excel!A"&amp;GetResult(BP15))="社食",
GetResult(BP15)+2,GetResult(BP15))</f>
        <v>113</v>
      </c>
      <c r="BQ16" s="85" t="str">
        <f t="array" aca="1" ref="BQ16" ca="1">IF(BR15&lt;&gt;"",MATCH(TRUE,INDIRECT("数出表_Excel!B"&amp;MATCH(BV15,数出表_Excel!$A:$A,0)-1&amp;":U"&amp;MATCH(BV15,数出表_Excel!$A:$A,0)-1&amp;"")&lt;&gt;"",0)+1,"")</f>
        <v/>
      </c>
      <c r="BR16" s="62" t="str">
        <f t="array" aca="1" ref="BR16" ca="1">IF(COUNTIF(BV15,"*合計*"),"",
IF(IFERROR(INDIRECT("数出表_Excel!" &amp;
CHAR(MATCH(TRUE,
ISNUMBER(--INDIRECT("数出表_Excel!B"&amp;MATCH(BV15,数出表_Excel!$A:$A,0)-1&amp;":U"&amp;MATCH(BV15,数出表_Excel!$A:$A,0)-1&amp;"")),0)+65) &amp; "3"),0)=0,"",
IFERROR(INDIRECT("数出表_Excel!" &amp;
CHAR(MATCH(TRUE,
ISNUMBER(--INDIRECT("数出表_Excel!B"&amp;MATCH(BV15,数出表_Excel!$A:$A,0)-1&amp;":U"&amp;MATCH(BV15,数出表_Excel!$A:$A,0)-1&amp;"")),0)+65) &amp; "3"),"")))</f>
        <v/>
      </c>
      <c r="BS16" s="80"/>
      <c r="BT16" s="86" t="str">
        <f t="array" aca="1" ref="BT16" ca="1">IF(BU16&lt;&gt;"","",
IF(COUNTIF(BR15,"*雙葉*"),"",
IF(BR15&lt;&gt;"",
IFERROR(
INDEX('数出表_Excel（アレルギー入力）'!$4:$4,
 1,
MATCH(TRUE,INDIRECT("'数出表_Excel（アレルギー入力）'!B"&amp;MATCH(BV15,'数出表_Excel（アレルギー入力）'!$A:$A,0)-1&amp;":U"&amp;MATCH(BV15,'数出表_Excel（アレルギー入力）'!$A:$A,0)-1&amp;"")&lt;&gt;"",0)+1
),
 "")
&amp;IFERROR(
INDEX('数出表_Excel（アレルギー入力）'!$5:$5,
 1,
MATCH(TRUE,INDIRECT("'数出表_Excel（アレルギー入力）'!B"&amp;MATCH(BV15,'数出表_Excel（アレルギー入力）'!$A:$A,0)-1&amp;":U"&amp;MATCH(BV15,'数出表_Excel（アレルギー入力）'!$A:$A,0)-1&amp;"")&lt;&gt;"",0)+1),
 ""),"")))</f>
        <v/>
      </c>
      <c r="BU16" s="87" t="str">
        <f t="array" aca="1" ref="BU16" ca="1">IF(BR16&lt;&gt;"",
IF(COUNTIF(BR15,"*雙葉*"),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VLOOKUP('盛付札（関数）'!BR16,商品マスタ一覧!$D:$J,7,FALSE))),0)),
IF(MATCH(TRUE,
ISNUMBER(--INDIRECT("数出表_Excel!B"&amp;MATCH(BV15,数出表_Excel!$A:$A,0)-1&amp;":U"&amp;MATCH(BV15,数出表_Excel!$A:$A,0)-1&amp;"")),0)&gt;10,
IF(BR16&lt;&gt;"",
IF(IF(COUNTIF('盛付札（関数）'!BR16,"*キャラ*"),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VLOOKUP('盛付札（関数）'!BR16,商品マスタ一覧!$D:$J,7,FALSE)))=0,"",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VLOOKUP('盛付札（関数）'!BR16,商品マスタ一覧!$D:$J,7,FALSE))),0))),""),"")),"")</f>
        <v/>
      </c>
      <c r="BV16" s="96" t="str">
        <f ca="1">IF(BU16&lt;&gt;"",IF(VALUE(IF(BU21&lt;&gt;"",BR18-BU21,BR18))&gt;VALUE(IF(COUNTIF('盛付札（関数）'!BR16,"*キャラ*"),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
"+"&amp;IF(BU21&lt;&gt;"",BR18-BU21,BR18)-IF(COUNTIF('盛付札（関数）'!BR16,"*キャラ*"),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VLOOKUP('盛付札（関数）'!BR16,商品マスタ一覧!$D:$J,7,FALSE)))*BU16,
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VLOOKUP('盛付札（関数）'!BR16,商品マスタ一覧!$D:$J,7,FALSE)))*BU16),"")</f>
        <v/>
      </c>
      <c r="BW16" s="80"/>
      <c r="BX16" s="80">
        <f t="array" aca="1" ref="BX16" ca="1">IF(INDIRECT("数出表_Excel!A"&amp;GetResult(BX15))="社食",
GetResult(BX15)+2,GetResult(BX15))</f>
        <v>135</v>
      </c>
      <c r="BY16" s="85" t="str">
        <f t="array" aca="1" ref="BY16" ca="1">IF(BZ15&lt;&gt;"",MATCH(TRUE,INDIRECT("数出表_Excel!B"&amp;MATCH(CD15,数出表_Excel!$A:$A,0)-1&amp;":U"&amp;MATCH(CD15,数出表_Excel!$A:$A,0)-1&amp;"")&lt;&gt;"",0)+1,"")</f>
        <v/>
      </c>
      <c r="BZ16" s="62" t="str">
        <f t="array" aca="1" ref="BZ16" ca="1">IF(COUNTIF(CD15,"*合計*"),"",
IF(IFERROR(INDIRECT("数出表_Excel!" &amp;
CHAR(MATCH(TRUE,
ISNUMBER(--INDIRECT("数出表_Excel!B"&amp;MATCH(CD15,数出表_Excel!$A:$A,0)-1&amp;":U"&amp;MATCH(CD15,数出表_Excel!$A:$A,0)-1&amp;"")),0)+65) &amp; "3"),0)=0,"",
IFERROR(INDIRECT("数出表_Excel!" &amp;
CHAR(MATCH(TRUE,
ISNUMBER(--INDIRECT("数出表_Excel!B"&amp;MATCH(CD15,数出表_Excel!$A:$A,0)-1&amp;":U"&amp;MATCH(CD15,数出表_Excel!$A:$A,0)-1&amp;"")),0)+65) &amp; "3"),"")))</f>
        <v/>
      </c>
      <c r="CA16" s="80"/>
      <c r="CB16" s="86" t="str">
        <f t="array" aca="1" ref="CB16" ca="1">IF(CC16&lt;&gt;"","",
IF(COUNTIF(BZ15,"*雙葉*"),"",
IF(BZ15&lt;&gt;"",
IFERROR(
INDEX('数出表_Excel（アレルギー入力）'!$4:$4,
 1,
MATCH(TRUE,INDIRECT("'数出表_Excel（アレルギー入力）'!B"&amp;MATCH(CD15,'数出表_Excel（アレルギー入力）'!$A:$A,0)-1&amp;":U"&amp;MATCH(CD15,'数出表_Excel（アレルギー入力）'!$A:$A,0)-1&amp;"")&lt;&gt;"",0)+1
),
 "")
&amp;IFERROR(
INDEX('数出表_Excel（アレルギー入力）'!$5:$5,
 1,
MATCH(TRUE,INDIRECT("'数出表_Excel（アレルギー入力）'!B"&amp;MATCH(CD15,'数出表_Excel（アレルギー入力）'!$A:$A,0)-1&amp;":U"&amp;MATCH(CD15,'数出表_Excel（アレルギー入力）'!$A:$A,0)-1&amp;"")&lt;&gt;"",0)+1),
 ""),"")))</f>
        <v/>
      </c>
      <c r="CC16" s="87" t="str">
        <f t="array" aca="1" ref="CC16" ca="1">IF(BZ16&lt;&gt;"",
IF(COUNTIF(BZ15,"*雙葉*"),
IF(ROUND(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VLOOKUP('盛付札（関数）'!BZ16,商品マスタ一覧!$D:$J,7,FALSE))),0)&lt;=0,1,
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VLOOKUP('盛付札（関数）'!BZ16,商品マスタ一覧!$D:$J,7,FALSE))),0)),
IF(MATCH(TRUE,
ISNUMBER(--INDIRECT("数出表_Excel!B"&amp;MATCH(CD15,数出表_Excel!$A:$A,0)-1&amp;":U"&amp;MATCH(CD15,数出表_Excel!$A:$A,0)-1&amp;"")),0)&gt;10,
IF(BZ16&lt;&gt;"",
IF(IF(COUNTIF('盛付札（関数）'!BZ16,"*キャラ*"),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VLOOKUP('盛付札（関数）'!BZ16,商品マスタ一覧!$D:$J,7,FALSE)))=0,"",
IF(ROUND(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VLOOKUP('盛付札（関数）'!BZ16,商品マスタ一覧!$D:$J,7,FALSE))),0)&lt;=0,1,
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VLOOKUP('盛付札（関数）'!BZ16,商品マスタ一覧!$D:$J,7,FALSE))),0))),""),"")),"")</f>
        <v/>
      </c>
      <c r="CD16" s="100" t="str">
        <f ca="1">IF(CC16&lt;&gt;"",IF(VALUE(IF(CC21&lt;&gt;"",BZ18-CC21,BZ18))&gt;VALUE(IF(COUNTIF('盛付札（関数）'!BZ16,"*キャラ*"),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VLOOKUP('盛付札（関数）'!BZ16,商品マスタ一覧!$D:$J,7,FALSE)))*CC16),
"+"&amp;IF(CC21&lt;&gt;"",BZ18-CC21,BZ18)-IF(COUNTIF('盛付札（関数）'!BZ16,"*キャラ*"),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VLOOKUP('盛付札（関数）'!BZ16,商品マスタ一覧!$D:$J,7,FALSE)))*CC16,
IF(CC21&lt;&gt;"",BZ18-CC21,BZ18)-IF(COUNTIF('盛付札（関数）'!BZ16,"*キャラ*"),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VLOOKUP('盛付札（関数）'!BZ16,商品マスタ一覧!$D:$J,7,FALSE)))*CC16),"")</f>
        <v/>
      </c>
      <c r="CE16" s="80">
        <f t="array" aca="1" ref="CE16" ca="1">IF(INDIRECT("数出表_Excel!A"&amp;GetResult(CE15))="社食",
GetResult(CE15)+2,GetResult(CE15))</f>
        <v>137</v>
      </c>
      <c r="CF16" s="85" t="str">
        <f t="array" aca="1" ref="CF16" ca="1">IF(CG15&lt;&gt;"",MATCH(TRUE,INDIRECT("数出表_Excel!B"&amp;MATCH(CK15,数出表_Excel!$A:$A,0)-1&amp;":U"&amp;MATCH(CK15,数出表_Excel!$A:$A,0)-1&amp;"")&lt;&gt;"",0)+1,"")</f>
        <v/>
      </c>
      <c r="CG16" s="62" t="str">
        <f t="array" aca="1" ref="CG16" ca="1">IF(COUNTIF(CK15,"*合計*"),"",
IF(IFERROR(INDIRECT("数出表_Excel!" &amp;
CHAR(MATCH(TRUE,
ISNUMBER(--INDIRECT("数出表_Excel!B"&amp;MATCH(CK15,数出表_Excel!$A:$A,0)-1&amp;":U"&amp;MATCH(CK15,数出表_Excel!$A:$A,0)-1&amp;"")),0)+65) &amp; "3"),0)=0,"",
IFERROR(INDIRECT("数出表_Excel!" &amp;
CHAR(MATCH(TRUE,
ISNUMBER(--INDIRECT("数出表_Excel!B"&amp;MATCH(CK15,数出表_Excel!$A:$A,0)-1&amp;":U"&amp;MATCH(CK15,数出表_Excel!$A:$A,0)-1&amp;"")),0)+65) &amp; "3"),"")))</f>
        <v/>
      </c>
      <c r="CH16" s="80"/>
      <c r="CI16" s="86" t="str">
        <f t="array" aca="1" ref="CI16" ca="1">IF(CJ16&lt;&gt;"","",
IF(COUNTIF(CG15,"*雙葉*"),"",
IF(CG15&lt;&gt;"",
IFERROR(
INDEX('数出表_Excel（アレルギー入力）'!$4:$4,
 1,
MATCH(TRUE,INDIRECT("'数出表_Excel（アレルギー入力）'!B"&amp;MATCH(CK15,'数出表_Excel（アレルギー入力）'!$A:$A,0)-1&amp;":U"&amp;MATCH(CK15,'数出表_Excel（アレルギー入力）'!$A:$A,0)-1&amp;"")&lt;&gt;"",0)+1
),
 "")
&amp;IFERROR(
INDEX('数出表_Excel（アレルギー入力）'!$5:$5,
 1,
MATCH(TRUE,INDIRECT("'数出表_Excel（アレルギー入力）'!B"&amp;MATCH(CK15,'数出表_Excel（アレルギー入力）'!$A:$A,0)-1&amp;":U"&amp;MATCH(CK15,'数出表_Excel（アレルギー入力）'!$A:$A,0)-1&amp;"")&lt;&gt;"",0)+1),
 ""),"")))</f>
        <v/>
      </c>
      <c r="CJ16" s="87" t="str">
        <f t="array" aca="1" ref="CJ16" ca="1">IF(CG16&lt;&gt;"",
IF(COUNTIF(CG15,"*雙葉*"),
IF(ROUND(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VLOOKUP('盛付札（関数）'!CG16,商品マスタ一覧!$D:$J,7,FALSE))),0)&lt;=0,1,
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VLOOKUP('盛付札（関数）'!CG16,商品マスタ一覧!$D:$J,7,FALSE))),0)),
IF(MATCH(TRUE,
ISNUMBER(--INDIRECT("数出表_Excel!B"&amp;MATCH(CK15,数出表_Excel!$A:$A,0)-1&amp;":U"&amp;MATCH(CK15,数出表_Excel!$A:$A,0)-1&amp;"")),0)&gt;10,
IF(CG16&lt;&gt;"",
IF(IF(COUNTIF('盛付札（関数）'!CG16,"*キャラ*"),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VLOOKUP('盛付札（関数）'!CG16,商品マスタ一覧!$D:$J,7,FALSE)))=0,"",
IF(ROUND(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VLOOKUP('盛付札（関数）'!CG16,商品マスタ一覧!$D:$J,7,FALSE))),0)&lt;=0,1,
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VLOOKUP('盛付札（関数）'!CG16,商品マスタ一覧!$D:$J,7,FALSE))),0))),""),"")),"")</f>
        <v/>
      </c>
      <c r="CK16" s="96" t="str">
        <f ca="1">IF(CJ16&lt;&gt;"",IF(VALUE(IF(CJ21&lt;&gt;"",CG18-CJ21,CG18))&gt;VALUE(IF(COUNTIF('盛付札（関数）'!CG16,"*キャラ*"),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VLOOKUP('盛付札（関数）'!CG16,商品マスタ一覧!$D:$J,7,FALSE)))*CJ16),
"+"&amp;IF(CJ21&lt;&gt;"",CG18-CJ21,CG18)-IF(COUNTIF('盛付札（関数）'!CG16,"*キャラ*"),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VLOOKUP('盛付札（関数）'!CG16,商品マスタ一覧!$D:$J,7,FALSE)))*CJ16,
IF(CJ21&lt;&gt;"",CG18-CJ21,CG18)-IF(COUNTIF('盛付札（関数）'!CG16,"*キャラ*"),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VLOOKUP('盛付札（関数）'!CG16,商品マスタ一覧!$D:$J,7,FALSE)))*CJ16),"")</f>
        <v/>
      </c>
      <c r="CL16" s="80"/>
      <c r="CM16" s="80">
        <f t="array" aca="1" ref="CM16" ca="1">IF(INDIRECT("数出表_Excel!A"&amp;GetResult(CM15))="社食",
GetResult(CM15)+2,GetResult(CM15))</f>
        <v>159</v>
      </c>
      <c r="CN16" s="85" t="str">
        <f t="array" aca="1" ref="CN16" ca="1">IF(CO15&lt;&gt;"",MATCH(TRUE,INDIRECT("数出表_Excel!B"&amp;MATCH(CS15,数出表_Excel!$A:$A,0)-1&amp;":U"&amp;MATCH(CS15,数出表_Excel!$A:$A,0)-1&amp;"")&lt;&gt;"",0)+1,"")</f>
        <v/>
      </c>
      <c r="CO16" s="62" t="str">
        <f t="array" aca="1" ref="CO16" ca="1">IF(COUNTIF(CS15,"*合計*"),"",
IF(IFERROR(INDIRECT("数出表_Excel!" &amp;
CHAR(MATCH(TRUE,
ISNUMBER(--INDIRECT("数出表_Excel!B"&amp;MATCH(CS15,数出表_Excel!$A:$A,0)-1&amp;":U"&amp;MATCH(CS15,数出表_Excel!$A:$A,0)-1&amp;"")),0)+65) &amp; "3"),0)=0,"",
IFERROR(INDIRECT("数出表_Excel!" &amp;
CHAR(MATCH(TRUE,
ISNUMBER(--INDIRECT("数出表_Excel!B"&amp;MATCH(CS15,数出表_Excel!$A:$A,0)-1&amp;":U"&amp;MATCH(CS15,数出表_Excel!$A:$A,0)-1&amp;"")),0)+65) &amp; "3"),"")))</f>
        <v/>
      </c>
      <c r="CP16" s="80"/>
      <c r="CQ16" s="86" t="str">
        <f t="array" aca="1" ref="CQ16" ca="1">IF(CR16&lt;&gt;"","",
IF(COUNTIF(CO15,"*雙葉*"),"",
IF(CO15&lt;&gt;"",
IFERROR(
INDEX('数出表_Excel（アレルギー入力）'!$4:$4,
 1,
MATCH(TRUE,INDIRECT("'数出表_Excel（アレルギー入力）'!B"&amp;MATCH(CS15,'数出表_Excel（アレルギー入力）'!$A:$A,0)-1&amp;":U"&amp;MATCH(CS15,'数出表_Excel（アレルギー入力）'!$A:$A,0)-1&amp;"")&lt;&gt;"",0)+1
),
 "")
&amp;IFERROR(
INDEX('数出表_Excel（アレルギー入力）'!$5:$5,
 1,
MATCH(TRUE,INDIRECT("'数出表_Excel（アレルギー入力）'!B"&amp;MATCH(CS15,'数出表_Excel（アレルギー入力）'!$A:$A,0)-1&amp;":U"&amp;MATCH(CS15,'数出表_Excel（アレルギー入力）'!$A:$A,0)-1&amp;"")&lt;&gt;"",0)+1),
 ""),"")))</f>
        <v/>
      </c>
      <c r="CR16" s="87" t="str">
        <f t="array" aca="1" ref="CR16" ca="1">IF(CO16&lt;&gt;"",
IF(COUNTIF(CO15,"*雙葉*"),
IF(ROUND(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VLOOKUP('盛付札（関数）'!CO16,商品マスタ一覧!$D:$J,7,FALSE))),0)&lt;=0,1,
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VLOOKUP('盛付札（関数）'!CO16,商品マスタ一覧!$D:$J,7,FALSE))),0)),
IF(MATCH(TRUE,
ISNUMBER(--INDIRECT("数出表_Excel!B"&amp;MATCH(CS15,数出表_Excel!$A:$A,0)-1&amp;":U"&amp;MATCH(CS15,数出表_Excel!$A:$A,0)-1&amp;"")),0)&gt;10,
IF(CO16&lt;&gt;"",
IF(IF(COUNTIF('盛付札（関数）'!CO16,"*キャラ*"),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VLOOKUP('盛付札（関数）'!CO16,商品マスタ一覧!$D:$J,7,FALSE)))=0,"",
IF(ROUND(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VLOOKUP('盛付札（関数）'!CO16,商品マスタ一覧!$D:$J,7,FALSE))),0)&lt;=0,1,
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VLOOKUP('盛付札（関数）'!CO16,商品マスタ一覧!$D:$J,7,FALSE))),0))),""),"")),"")</f>
        <v/>
      </c>
      <c r="CS16" s="100" t="str">
        <f ca="1">IF(CR16&lt;&gt;"",IF(VALUE(IF(CR21&lt;&gt;"",CO18-CR21,CO18))&gt;VALUE(IF(COUNTIF('盛付札（関数）'!CO16,"*キャラ*"),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VLOOKUP('盛付札（関数）'!CO16,商品マスタ一覧!$D:$J,7,FALSE)))*CR16),
"+"&amp;IF(CR21&lt;&gt;"",CO18-CR21,CO18)-IF(COUNTIF('盛付札（関数）'!CO16,"*キャラ*"),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VLOOKUP('盛付札（関数）'!CO16,商品マスタ一覧!$D:$J,7,FALSE)))*CR16,
IF(CR21&lt;&gt;"",CO18-CR21,CO18)-IF(COUNTIF('盛付札（関数）'!CO16,"*キャラ*"),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VLOOKUP('盛付札（関数）'!CO16,商品マスタ一覧!$D:$J,7,FALSE)))*CR16),"")</f>
        <v/>
      </c>
      <c r="CT16" s="80">
        <f t="array" aca="1" ref="CT16" ca="1">IF(INDIRECT("数出表_Excel!A"&amp;GetResult(CT15))="社食",
GetResult(CT15)+2,GetResult(CT15))</f>
        <v>161</v>
      </c>
      <c r="CU16" s="85" t="str">
        <f t="array" aca="1" ref="CU16" ca="1">IF(CV15&lt;&gt;"",MATCH(TRUE,INDIRECT("数出表_Excel!B"&amp;MATCH(CZ15,数出表_Excel!$A:$A,0)-1&amp;":U"&amp;MATCH(CZ15,数出表_Excel!$A:$A,0)-1&amp;"")&lt;&gt;"",0)+1,"")</f>
        <v/>
      </c>
      <c r="CV16" s="62" t="str">
        <f t="array" aca="1" ref="CV16" ca="1">IF(COUNTIF(CZ15,"*合計*"),"",
IF(IFERROR(INDIRECT("数出表_Excel!" &amp;
CHAR(MATCH(TRUE,
ISNUMBER(--INDIRECT("数出表_Excel!B"&amp;MATCH(CZ15,数出表_Excel!$A:$A,0)-1&amp;":U"&amp;MATCH(CZ15,数出表_Excel!$A:$A,0)-1&amp;"")),0)+65) &amp; "3"),0)=0,"",
IFERROR(INDIRECT("数出表_Excel!" &amp;
CHAR(MATCH(TRUE,
ISNUMBER(--INDIRECT("数出表_Excel!B"&amp;MATCH(CZ15,数出表_Excel!$A:$A,0)-1&amp;":U"&amp;MATCH(CZ15,数出表_Excel!$A:$A,0)-1&amp;"")),0)+65) &amp; "3"),"")))</f>
        <v/>
      </c>
      <c r="CW16" s="80"/>
      <c r="CX16" s="86" t="str">
        <f t="array" aca="1" ref="CX16" ca="1">IF(CY16&lt;&gt;"","",
IF(COUNTIF(CV15,"*雙葉*"),"",
IF(CV15&lt;&gt;"",
IFERROR(
INDEX('数出表_Excel（アレルギー入力）'!$4:$4,
 1,
MATCH(TRUE,INDIRECT("'数出表_Excel（アレルギー入力）'!B"&amp;MATCH(CZ15,'数出表_Excel（アレルギー入力）'!$A:$A,0)-1&amp;":U"&amp;MATCH(CZ15,'数出表_Excel（アレルギー入力）'!$A:$A,0)-1&amp;"")&lt;&gt;"",0)+1
),
 "")
&amp;IFERROR(
INDEX('数出表_Excel（アレルギー入力）'!$5:$5,
 1,
MATCH(TRUE,INDIRECT("'数出表_Excel（アレルギー入力）'!B"&amp;MATCH(CZ15,'数出表_Excel（アレルギー入力）'!$A:$A,0)-1&amp;":U"&amp;MATCH(CZ15,'数出表_Excel（アレルギー入力）'!$A:$A,0)-1&amp;"")&lt;&gt;"",0)+1),
 ""),"")))</f>
        <v/>
      </c>
      <c r="CY16" s="87" t="str">
        <f t="array" aca="1" ref="CY16" ca="1">IF(CV16&lt;&gt;"",
IF(COUNTIF(CV15,"*雙葉*"),
IF(ROUND(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VLOOKUP('盛付札（関数）'!CV16,商品マスタ一覧!$D:$J,7,FALSE))),0)&lt;=0,1,
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VLOOKUP('盛付札（関数）'!CV16,商品マスタ一覧!$D:$J,7,FALSE))),0)),
IF(MATCH(TRUE,
ISNUMBER(--INDIRECT("数出表_Excel!B"&amp;MATCH(CZ15,数出表_Excel!$A:$A,0)-1&amp;":U"&amp;MATCH(CZ15,数出表_Excel!$A:$A,0)-1&amp;"")),0)&gt;10,
IF(CV16&lt;&gt;"",
IF(IF(COUNTIF('盛付札（関数）'!CV16,"*キャラ*"),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VLOOKUP('盛付札（関数）'!CV16,商品マスタ一覧!$D:$J,7,FALSE)))=0,"",
IF(ROUND(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VLOOKUP('盛付札（関数）'!CV16,商品マスタ一覧!$D:$J,7,FALSE))),0)&lt;=0,1,
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VLOOKUP('盛付札（関数）'!CV16,商品マスタ一覧!$D:$J,7,FALSE))),0))),""),"")),"")</f>
        <v/>
      </c>
      <c r="CZ16" s="96" t="str">
        <f ca="1">IF(CY16&lt;&gt;"",IF(VALUE(IF(CY21&lt;&gt;"",CV18-CY21,CV18))&gt;VALUE(IF(COUNTIF('盛付札（関数）'!CV16,"*キャラ*"),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VLOOKUP('盛付札（関数）'!CV16,商品マスタ一覧!$D:$J,7,FALSE)))*CY16),
"+"&amp;IF(CY21&lt;&gt;"",CV18-CY21,CV18)-IF(COUNTIF('盛付札（関数）'!CV16,"*キャラ*"),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VLOOKUP('盛付札（関数）'!CV16,商品マスタ一覧!$D:$J,7,FALSE)))*CY16,
IF(CY21&lt;&gt;"",CV18-CY21,CV18)-IF(COUNTIF('盛付札（関数）'!CV16,"*キャラ*"),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VLOOKUP('盛付札（関数）'!CV16,商品マスタ一覧!$D:$J,7,FALSE)))*CY16),"")</f>
        <v/>
      </c>
      <c r="DA16" s="80"/>
      <c r="DB16" s="80">
        <f t="array" aca="1" ref="DB16" ca="1">IF(INDIRECT("数出表_Excel!A"&amp;GetResult(DB15))="社食",
GetResult(DB15)+2,GetResult(DB15))</f>
        <v>183</v>
      </c>
      <c r="DC16" s="85" t="str">
        <f t="array" aca="1" ref="DC16" ca="1">IF(DD15&lt;&gt;"",MATCH(TRUE,INDIRECT("数出表_Excel!B"&amp;MATCH(DH15,数出表_Excel!$A:$A,0)-1&amp;":U"&amp;MATCH(DH15,数出表_Excel!$A:$A,0)-1&amp;"")&lt;&gt;"",0)+1,"")</f>
        <v/>
      </c>
      <c r="DD16" s="62" t="str">
        <f t="array" aca="1" ref="DD16" ca="1">IF(COUNTIF(DH15,"*合計*"),"",
IF(IFERROR(INDIRECT("数出表_Excel!" &amp;
CHAR(MATCH(TRUE,
ISNUMBER(--INDIRECT("数出表_Excel!B"&amp;MATCH(DH15,数出表_Excel!$A:$A,0)-1&amp;":U"&amp;MATCH(DH15,数出表_Excel!$A:$A,0)-1&amp;"")),0)+65) &amp; "3"),0)=0,"",
IFERROR(INDIRECT("数出表_Excel!" &amp;
CHAR(MATCH(TRUE,
ISNUMBER(--INDIRECT("数出表_Excel!B"&amp;MATCH(DH15,数出表_Excel!$A:$A,0)-1&amp;":U"&amp;MATCH(DH15,数出表_Excel!$A:$A,0)-1&amp;"")),0)+65) &amp; "3"),"")))</f>
        <v/>
      </c>
      <c r="DE16" s="80"/>
      <c r="DF16" s="86" t="str">
        <f t="array" aca="1" ref="DF16" ca="1">IF(DG16&lt;&gt;"","",
IF(COUNTIF(DD15,"*雙葉*"),"",
IF(DD15&lt;&gt;"",
IFERROR(
INDEX('数出表_Excel（アレルギー入力）'!$4:$4,
 1,
MATCH(TRUE,INDIRECT("'数出表_Excel（アレルギー入力）'!B"&amp;MATCH(DH15,'数出表_Excel（アレルギー入力）'!$A:$A,0)-1&amp;":U"&amp;MATCH(DH15,'数出表_Excel（アレルギー入力）'!$A:$A,0)-1&amp;"")&lt;&gt;"",0)+1
),
 "")
&amp;IFERROR(
INDEX('数出表_Excel（アレルギー入力）'!$5:$5,
 1,
MATCH(TRUE,INDIRECT("'数出表_Excel（アレルギー入力）'!B"&amp;MATCH(DH15,'数出表_Excel（アレルギー入力）'!$A:$A,0)-1&amp;":U"&amp;MATCH(DH15,'数出表_Excel（アレルギー入力）'!$A:$A,0)-1&amp;"")&lt;&gt;"",0)+1),
 ""),"")))</f>
        <v/>
      </c>
      <c r="DG16" s="87" t="str">
        <f t="array" aca="1" ref="DG16" ca="1">IF(DD16&lt;&gt;"",
IF(COUNTIF(DD15,"*雙葉*"),
IF(ROUND(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VLOOKUP('盛付札（関数）'!DD16,商品マスタ一覧!$D:$J,7,FALSE))),0)&lt;=0,1,
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VLOOKUP('盛付札（関数）'!DD16,商品マスタ一覧!$D:$J,7,FALSE))),0)),
IF(MATCH(TRUE,
ISNUMBER(--INDIRECT("数出表_Excel!B"&amp;MATCH(DH15,数出表_Excel!$A:$A,0)-1&amp;":U"&amp;MATCH(DH15,数出表_Excel!$A:$A,0)-1&amp;"")),0)&gt;10,
IF(DD16&lt;&gt;"",
IF(IF(COUNTIF('盛付札（関数）'!DD16,"*キャラ*"),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VLOOKUP('盛付札（関数）'!DD16,商品マスタ一覧!$D:$J,7,FALSE)))=0,"",
IF(ROUND(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VLOOKUP('盛付札（関数）'!DD16,商品マスタ一覧!$D:$J,7,FALSE))),0)&lt;=0,1,
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VLOOKUP('盛付札（関数）'!DD16,商品マスタ一覧!$D:$J,7,FALSE))),0))),""),"")),"")</f>
        <v/>
      </c>
      <c r="DH16" s="100" t="str">
        <f ca="1">IF(DG16&lt;&gt;"",IF(VALUE(IF(DG21&lt;&gt;"",DD18-DG21,DD18))&gt;VALUE(IF(COUNTIF('盛付札（関数）'!DD16,"*キャラ*"),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VLOOKUP('盛付札（関数）'!DD16,商品マスタ一覧!$D:$J,7,FALSE)))*DG16),
"+"&amp;IF(DG21&lt;&gt;"",DD18-DG21,DD18)-IF(COUNTIF('盛付札（関数）'!DD16,"*キャラ*"),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VLOOKUP('盛付札（関数）'!DD16,商品マスタ一覧!$D:$J,7,FALSE)))*DG16,
IF(DG21&lt;&gt;"",DD18-DG21,DD18)-IF(COUNTIF('盛付札（関数）'!DD16,"*キャラ*"),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VLOOKUP('盛付札（関数）'!DD16,商品マスタ一覧!$D:$J,7,FALSE)))*DG16),"")</f>
        <v/>
      </c>
      <c r="DI16" s="80">
        <f t="array" aca="1" ref="DI16" ca="1">IF(INDIRECT("数出表_Excel!A"&amp;GetResult(DI15))="社食",
GetResult(DI15)+2,GetResult(DI15))</f>
        <v>185</v>
      </c>
      <c r="DJ16" s="85" t="str">
        <f t="array" aca="1" ref="DJ16" ca="1">IF(DK15&lt;&gt;"",MATCH(TRUE,INDIRECT("数出表_Excel!B"&amp;MATCH(DO15,数出表_Excel!$A:$A,0)-1&amp;":U"&amp;MATCH(DO15,数出表_Excel!$A:$A,0)-1&amp;"")&lt;&gt;"",0)+1,"")</f>
        <v/>
      </c>
      <c r="DK16" s="62" t="str">
        <f t="array" aca="1" ref="DK16" ca="1">IF(COUNTIF(DO15,"*合計*"),"",
IF(IFERROR(INDIRECT("数出表_Excel!" &amp;
CHAR(MATCH(TRUE,
ISNUMBER(--INDIRECT("数出表_Excel!B"&amp;MATCH(DO15,数出表_Excel!$A:$A,0)-1&amp;":U"&amp;MATCH(DO15,数出表_Excel!$A:$A,0)-1&amp;"")),0)+65) &amp; "3"),0)=0,"",
IFERROR(INDIRECT("数出表_Excel!" &amp;
CHAR(MATCH(TRUE,
ISNUMBER(--INDIRECT("数出表_Excel!B"&amp;MATCH(DO15,数出表_Excel!$A:$A,0)-1&amp;":U"&amp;MATCH(DO15,数出表_Excel!$A:$A,0)-1&amp;"")),0)+65) &amp; "3"),"")))</f>
        <v/>
      </c>
      <c r="DL16" s="80"/>
      <c r="DM16" s="86" t="str">
        <f t="array" aca="1" ref="DM16" ca="1">IF(DN16&lt;&gt;"","",
IF(COUNTIF(DK15,"*雙葉*"),"",
IF(DK15&lt;&gt;"",
IFERROR(
INDEX('数出表_Excel（アレルギー入力）'!$4:$4,
 1,
MATCH(TRUE,INDIRECT("'数出表_Excel（アレルギー入力）'!B"&amp;MATCH(DO15,'数出表_Excel（アレルギー入力）'!$A:$A,0)-1&amp;":U"&amp;MATCH(DO15,'数出表_Excel（アレルギー入力）'!$A:$A,0)-1&amp;"")&lt;&gt;"",0)+1
),
 "")
&amp;IFERROR(
INDEX('数出表_Excel（アレルギー入力）'!$5:$5,
 1,
MATCH(TRUE,INDIRECT("'数出表_Excel（アレルギー入力）'!B"&amp;MATCH(DO15,'数出表_Excel（アレルギー入力）'!$A:$A,0)-1&amp;":U"&amp;MATCH(DO15,'数出表_Excel（アレルギー入力）'!$A:$A,0)-1&amp;"")&lt;&gt;"",0)+1),
 ""),"")))</f>
        <v/>
      </c>
      <c r="DN16" s="87" t="str">
        <f t="array" aca="1" ref="DN16" ca="1">IF(DK16&lt;&gt;"",
IF(COUNTIF(DK15,"*雙葉*"),
IF(ROUND(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VLOOKUP('盛付札（関数）'!DK16,商品マスタ一覧!$D:$J,7,FALSE))),0)&lt;=0,1,
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VLOOKUP('盛付札（関数）'!DK16,商品マスタ一覧!$D:$J,7,FALSE))),0)),
IF(MATCH(TRUE,
ISNUMBER(--INDIRECT("数出表_Excel!B"&amp;MATCH(DO15,数出表_Excel!$A:$A,0)-1&amp;":U"&amp;MATCH(DO15,数出表_Excel!$A:$A,0)-1&amp;"")),0)&gt;10,
IF(DK16&lt;&gt;"",
IF(IF(COUNTIF('盛付札（関数）'!DK16,"*キャラ*"),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VLOOKUP('盛付札（関数）'!DK16,商品マスタ一覧!$D:$J,7,FALSE)))=0,"",
IF(ROUND(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VLOOKUP('盛付札（関数）'!DK16,商品マスタ一覧!$D:$J,7,FALSE))),0)&lt;=0,1,
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VLOOKUP('盛付札（関数）'!DK16,商品マスタ一覧!$D:$J,7,FALSE))),0))),""),"")),"")</f>
        <v/>
      </c>
      <c r="DO16" s="96" t="str">
        <f ca="1">IF(DN16&lt;&gt;"",IF(VALUE(IF(DN21&lt;&gt;"",DK18-DN21,DK18))&gt;VALUE(IF(COUNTIF('盛付札（関数）'!DK16,"*キャラ*"),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VLOOKUP('盛付札（関数）'!DK16,商品マスタ一覧!$D:$J,7,FALSE)))*DN16),
"+"&amp;IF(DN21&lt;&gt;"",DK18-DN21,DK18)-IF(COUNTIF('盛付札（関数）'!DK16,"*キャラ*"),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VLOOKUP('盛付札（関数）'!DK16,商品マスタ一覧!$D:$J,7,FALSE)))*DN16,
IF(DN21&lt;&gt;"",DK18-DN21,DK18)-IF(COUNTIF('盛付札（関数）'!DK16,"*キャラ*"),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VLOOKUP('盛付札（関数）'!DK16,商品マスタ一覧!$D:$J,7,FALSE)))*DN16),"")</f>
        <v/>
      </c>
      <c r="DP16" s="80"/>
      <c r="DQ16" s="80">
        <f t="array" aca="1" ref="DQ16" ca="1">IF(INDIRECT("数出表_Excel!A"&amp;GetResult(DQ15))="社食",
GetResult(DQ15)+2,GetResult(DQ15))</f>
        <v>207</v>
      </c>
      <c r="DR16" s="85" t="str">
        <f t="array" aca="1" ref="DR16" ca="1">IF(DS15&lt;&gt;"",MATCH(TRUE,INDIRECT("数出表_Excel!B"&amp;MATCH(DW15,数出表_Excel!$A:$A,0)-1&amp;":U"&amp;MATCH(DW15,数出表_Excel!$A:$A,0)-1&amp;"")&lt;&gt;"",0)+1,"")</f>
        <v/>
      </c>
      <c r="DS16" s="62" t="str">
        <f t="array" aca="1" ref="DS16" ca="1">IF(COUNTIF(DW15,"*合計*"),"",
IF(IFERROR(INDIRECT("数出表_Excel!" &amp;
CHAR(MATCH(TRUE,
ISNUMBER(--INDIRECT("数出表_Excel!B"&amp;MATCH(DW15,数出表_Excel!$A:$A,0)-1&amp;":U"&amp;MATCH(DW15,数出表_Excel!$A:$A,0)-1&amp;"")),0)+65) &amp; "3"),0)=0,"",
IFERROR(INDIRECT("数出表_Excel!" &amp;
CHAR(MATCH(TRUE,
ISNUMBER(--INDIRECT("数出表_Excel!B"&amp;MATCH(DW15,数出表_Excel!$A:$A,0)-1&amp;":U"&amp;MATCH(DW15,数出表_Excel!$A:$A,0)-1&amp;"")),0)+65) &amp; "3"),"")))</f>
        <v/>
      </c>
      <c r="DT16" s="80"/>
      <c r="DU16" s="86" t="str">
        <f t="array" aca="1" ref="DU16" ca="1">IF(DV16&lt;&gt;"","",
IF(COUNTIF(DS15,"*雙葉*"),"",
IF(DS15&lt;&gt;"",
IFERROR(
INDEX('数出表_Excel（アレルギー入力）'!$4:$4,
 1,
MATCH(TRUE,INDIRECT("'数出表_Excel（アレルギー入力）'!B"&amp;MATCH(DW15,'数出表_Excel（アレルギー入力）'!$A:$A,0)-1&amp;":U"&amp;MATCH(DW15,'数出表_Excel（アレルギー入力）'!$A:$A,0)-1&amp;"")&lt;&gt;"",0)+1
),
 "")
&amp;IFERROR(
INDEX('数出表_Excel（アレルギー入力）'!$5:$5,
 1,
MATCH(TRUE,INDIRECT("'数出表_Excel（アレルギー入力）'!B"&amp;MATCH(DW15,'数出表_Excel（アレルギー入力）'!$A:$A,0)-1&amp;":U"&amp;MATCH(DW15,'数出表_Excel（アレルギー入力）'!$A:$A,0)-1&amp;"")&lt;&gt;"",0)+1),
 ""),"")))</f>
        <v/>
      </c>
      <c r="DV16" s="87" t="str">
        <f t="array" aca="1" ref="DV16" ca="1">IF(DS16&lt;&gt;"",
IF(COUNTIF(DS15,"*雙葉*"),
IF(ROUND(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VLOOKUP('盛付札（関数）'!DS16,商品マスタ一覧!$D:$J,7,FALSE))),0)&lt;=0,1,
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VLOOKUP('盛付札（関数）'!DS16,商品マスタ一覧!$D:$J,7,FALSE))),0)),
IF(MATCH(TRUE,
ISNUMBER(--INDIRECT("数出表_Excel!B"&amp;MATCH(DW15,数出表_Excel!$A:$A,0)-1&amp;":U"&amp;MATCH(DW15,数出表_Excel!$A:$A,0)-1&amp;"")),0)&gt;10,
IF(DS16&lt;&gt;"",
IF(IF(COUNTIF('盛付札（関数）'!DS16,"*キャラ*"),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VLOOKUP('盛付札（関数）'!DS16,商品マスタ一覧!$D:$J,7,FALSE)))=0,"",
IF(ROUND(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VLOOKUP('盛付札（関数）'!DS16,商品マスタ一覧!$D:$J,7,FALSE))),0)&lt;=0,1,
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VLOOKUP('盛付札（関数）'!DS16,商品マスタ一覧!$D:$J,7,FALSE))),0))),""),"")),"")</f>
        <v/>
      </c>
      <c r="DW16" s="100" t="str">
        <f ca="1">IF(DV16&lt;&gt;"",IF(VALUE(IF(DV21&lt;&gt;"",DS18-DV21,DS18))&gt;VALUE(IF(COUNTIF('盛付札（関数）'!DS16,"*キャラ*"),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VLOOKUP('盛付札（関数）'!DS16,商品マスタ一覧!$D:$J,7,FALSE)))*DV16),
"+"&amp;IF(DV21&lt;&gt;"",DS18-DV21,DS18)-IF(COUNTIF('盛付札（関数）'!DS16,"*キャラ*"),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VLOOKUP('盛付札（関数）'!DS16,商品マスタ一覧!$D:$J,7,FALSE)))*DV16,
IF(DV21&lt;&gt;"",DS18-DV21,DS18)-IF(COUNTIF('盛付札（関数）'!DS16,"*キャラ*"),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VLOOKUP('盛付札（関数）'!DS16,商品マスタ一覧!$D:$J,7,FALSE)))*DV16),"")</f>
        <v/>
      </c>
      <c r="DX16" s="80">
        <f t="array" aca="1" ref="DX16" ca="1">IF(INDIRECT("数出表_Excel!A"&amp;GetResult(DX15))="社食",
GetResult(DX15)+2,GetResult(DX15))</f>
        <v>209</v>
      </c>
      <c r="DY16" s="85" t="str">
        <f t="array" aca="1" ref="DY16" ca="1">IF(DZ15&lt;&gt;"",MATCH(TRUE,INDIRECT("数出表_Excel!B"&amp;MATCH(ED15,数出表_Excel!$A:$A,0)-1&amp;":U"&amp;MATCH(ED15,数出表_Excel!$A:$A,0)-1&amp;"")&lt;&gt;"",0)+1,"")</f>
        <v/>
      </c>
      <c r="DZ16" s="62" t="str">
        <f t="array" aca="1" ref="DZ16" ca="1">IF(COUNTIF(ED15,"*合計*"),"",
IF(IFERROR(INDIRECT("数出表_Excel!" &amp;
CHAR(MATCH(TRUE,
ISNUMBER(--INDIRECT("数出表_Excel!B"&amp;MATCH(ED15,数出表_Excel!$A:$A,0)-1&amp;":U"&amp;MATCH(ED15,数出表_Excel!$A:$A,0)-1&amp;"")),0)+65) &amp; "3"),0)=0,"",
IFERROR(INDIRECT("数出表_Excel!" &amp;
CHAR(MATCH(TRUE,
ISNUMBER(--INDIRECT("数出表_Excel!B"&amp;MATCH(ED15,数出表_Excel!$A:$A,0)-1&amp;":U"&amp;MATCH(ED15,数出表_Excel!$A:$A,0)-1&amp;"")),0)+65) &amp; "3"),"")))</f>
        <v/>
      </c>
      <c r="EA16" s="80"/>
      <c r="EB16" s="86" t="str">
        <f t="array" aca="1" ref="EB16" ca="1">IF(EC16&lt;&gt;"","",
IF(COUNTIF(DZ15,"*雙葉*"),"",
IF(DZ15&lt;&gt;"",
IFERROR(
INDEX('数出表_Excel（アレルギー入力）'!$4:$4,
 1,
MATCH(TRUE,INDIRECT("'数出表_Excel（アレルギー入力）'!B"&amp;MATCH(ED15,'数出表_Excel（アレルギー入力）'!$A:$A,0)-1&amp;":U"&amp;MATCH(ED15,'数出表_Excel（アレルギー入力）'!$A:$A,0)-1&amp;"")&lt;&gt;"",0)+1
),
 "")
&amp;IFERROR(
INDEX('数出表_Excel（アレルギー入力）'!$5:$5,
 1,
MATCH(TRUE,INDIRECT("'数出表_Excel（アレルギー入力）'!B"&amp;MATCH(ED15,'数出表_Excel（アレルギー入力）'!$A:$A,0)-1&amp;":U"&amp;MATCH(ED15,'数出表_Excel（アレルギー入力）'!$A:$A,0)-1&amp;"")&lt;&gt;"",0)+1),
 ""),"")))</f>
        <v/>
      </c>
      <c r="EC16" s="87" t="str">
        <f t="array" aca="1" ref="EC16" ca="1">IF(DZ16&lt;&gt;"",
IF(COUNTIF(DZ15,"*雙葉*"),
IF(ROUND(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VLOOKUP('盛付札（関数）'!DZ16,商品マスタ一覧!$D:$J,7,FALSE))),0)&lt;=0,1,
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VLOOKUP('盛付札（関数）'!DZ16,商品マスタ一覧!$D:$J,7,FALSE))),0)),
IF(MATCH(TRUE,
ISNUMBER(--INDIRECT("数出表_Excel!B"&amp;MATCH(ED15,数出表_Excel!$A:$A,0)-1&amp;":U"&amp;MATCH(ED15,数出表_Excel!$A:$A,0)-1&amp;"")),0)&gt;10,
IF(DZ16&lt;&gt;"",
IF(IF(COUNTIF('盛付札（関数）'!DZ16,"*キャラ*"),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VLOOKUP('盛付札（関数）'!DZ16,商品マスタ一覧!$D:$J,7,FALSE)))=0,"",
IF(ROUND(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VLOOKUP('盛付札（関数）'!DZ16,商品マスタ一覧!$D:$J,7,FALSE))),0)&lt;=0,1,
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VLOOKUP('盛付札（関数）'!DZ16,商品マスタ一覧!$D:$J,7,FALSE))),0))),""),"")),"")</f>
        <v/>
      </c>
      <c r="ED16" s="96" t="str">
        <f ca="1">IF(EC16&lt;&gt;"",IF(VALUE(IF(EC21&lt;&gt;"",DZ18-EC21,DZ18))&gt;VALUE(IF(COUNTIF('盛付札（関数）'!DZ16,"*キャラ*"),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VLOOKUP('盛付札（関数）'!DZ16,商品マスタ一覧!$D:$J,7,FALSE)))*EC16),
"+"&amp;IF(EC21&lt;&gt;"",DZ18-EC21,DZ18)-IF(COUNTIF('盛付札（関数）'!DZ16,"*キャラ*"),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VLOOKUP('盛付札（関数）'!DZ16,商品マスタ一覧!$D:$J,7,FALSE)))*EC16,
IF(EC21&lt;&gt;"",DZ18-EC21,DZ18)-IF(COUNTIF('盛付札（関数）'!DZ16,"*キャラ*"),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VLOOKUP('盛付札（関数）'!DZ16,商品マスタ一覧!$D:$J,7,FALSE)))*EC16),"")</f>
        <v/>
      </c>
      <c r="EE16" s="80"/>
      <c r="EF16" s="80">
        <f t="array" aca="1" ref="EF16" ca="1">IF(INDIRECT("数出表_Excel!A"&amp;GetResult(EF15))="社食",
GetResult(EF15)+2,GetResult(EF15))</f>
        <v>231</v>
      </c>
      <c r="EG16" s="85" t="str">
        <f t="array" aca="1" ref="EG16" ca="1">IF(EH15&lt;&gt;"",MATCH(TRUE,INDIRECT("数出表_Excel!B"&amp;MATCH(EL15,数出表_Excel!$A:$A,0)-1&amp;":U"&amp;MATCH(EL15,数出表_Excel!$A:$A,0)-1&amp;"")&lt;&gt;"",0)+1,"")</f>
        <v/>
      </c>
      <c r="EH16" s="62" t="str">
        <f t="array" aca="1" ref="EH16" ca="1">IF(COUNTIF(EL15,"*合計*"),"",
IF(IFERROR(INDIRECT("数出表_Excel!" &amp;
CHAR(MATCH(TRUE,
ISNUMBER(--INDIRECT("数出表_Excel!B"&amp;MATCH(EL15,数出表_Excel!$A:$A,0)-1&amp;":U"&amp;MATCH(EL15,数出表_Excel!$A:$A,0)-1&amp;"")),0)+65) &amp; "3"),0)=0,"",
IFERROR(INDIRECT("数出表_Excel!" &amp;
CHAR(MATCH(TRUE,
ISNUMBER(--INDIRECT("数出表_Excel!B"&amp;MATCH(EL15,数出表_Excel!$A:$A,0)-1&amp;":U"&amp;MATCH(EL15,数出表_Excel!$A:$A,0)-1&amp;"")),0)+65) &amp; "3"),"")))</f>
        <v/>
      </c>
      <c r="EI16" s="80"/>
      <c r="EJ16" s="86" t="str">
        <f t="array" aca="1" ref="EJ16" ca="1">IF(EK16&lt;&gt;"","",
IF(COUNTIF(EH15,"*雙葉*"),"",
IF(EH15&lt;&gt;"",
IFERROR(
INDEX('数出表_Excel（アレルギー入力）'!$4:$4,
 1,
MATCH(TRUE,INDIRECT("'数出表_Excel（アレルギー入力）'!B"&amp;MATCH(EL15,'数出表_Excel（アレルギー入力）'!$A:$A,0)-1&amp;":U"&amp;MATCH(EL15,'数出表_Excel（アレルギー入力）'!$A:$A,0)-1&amp;"")&lt;&gt;"",0)+1
),
 "")
&amp;IFERROR(
INDEX('数出表_Excel（アレルギー入力）'!$5:$5,
 1,
MATCH(TRUE,INDIRECT("'数出表_Excel（アレルギー入力）'!B"&amp;MATCH(EL15,'数出表_Excel（アレルギー入力）'!$A:$A,0)-1&amp;":U"&amp;MATCH(EL15,'数出表_Excel（アレルギー入力）'!$A:$A,0)-1&amp;"")&lt;&gt;"",0)+1),
 ""),"")))</f>
        <v/>
      </c>
      <c r="EK16" s="87" t="str">
        <f t="array" aca="1" ref="EK16" ca="1">IF(EH16&lt;&gt;"",
IF(COUNTIF(EH15,"*雙葉*"),
IF(ROUND(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VLOOKUP('盛付札（関数）'!EH16,商品マスタ一覧!$D:$J,7,FALSE))),0)&lt;=0,1,
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VLOOKUP('盛付札（関数）'!EH16,商品マスタ一覧!$D:$J,7,FALSE))),0)),
IF(MATCH(TRUE,
ISNUMBER(--INDIRECT("数出表_Excel!B"&amp;MATCH(EL15,数出表_Excel!$A:$A,0)-1&amp;":U"&amp;MATCH(EL15,数出表_Excel!$A:$A,0)-1&amp;"")),0)&gt;10,
IF(EH16&lt;&gt;"",
IF(IF(COUNTIF('盛付札（関数）'!EH16,"*キャラ*"),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VLOOKUP('盛付札（関数）'!EH16,商品マスタ一覧!$D:$J,7,FALSE)))=0,"",
IF(ROUND(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VLOOKUP('盛付札（関数）'!EH16,商品マスタ一覧!$D:$J,7,FALSE))),0)&lt;=0,1,
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VLOOKUP('盛付札（関数）'!EH16,商品マスタ一覧!$D:$J,7,FALSE))),0))),""),"")),"")</f>
        <v/>
      </c>
      <c r="EL16" s="100" t="str">
        <f ca="1">IF(EK16&lt;&gt;"",IF(VALUE(IF(EK21&lt;&gt;"",EH18-EK21,EH18))&gt;VALUE(IF(COUNTIF('盛付札（関数）'!EH16,"*キャラ*"),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VLOOKUP('盛付札（関数）'!EH16,商品マスタ一覧!$D:$J,7,FALSE)))*EK16),
"+"&amp;IF(EK21&lt;&gt;"",EH18-EK21,EH18)-IF(COUNTIF('盛付札（関数）'!EH16,"*キャラ*"),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VLOOKUP('盛付札（関数）'!EH16,商品マスタ一覧!$D:$J,7,FALSE)))*EK16,
IF(EK21&lt;&gt;"",EH18-EK21,EH18)-IF(COUNTIF('盛付札（関数）'!EH16,"*キャラ*"),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VLOOKUP('盛付札（関数）'!EH16,商品マスタ一覧!$D:$J,7,FALSE)))*EK16),"")</f>
        <v/>
      </c>
      <c r="EM16" s="80">
        <f t="array" aca="1" ref="EM16" ca="1">IF(INDIRECT("数出表_Excel!A"&amp;GetResult(EM15))="社食",
GetResult(EM15)+2,GetResult(EM15))</f>
        <v>233</v>
      </c>
      <c r="EN16" s="85" t="str">
        <f t="array" aca="1" ref="EN16" ca="1">IF(EO15&lt;&gt;"",MATCH(TRUE,INDIRECT("数出表_Excel!B"&amp;MATCH(ES15,数出表_Excel!$A:$A,0)-1&amp;":U"&amp;MATCH(ES15,数出表_Excel!$A:$A,0)-1&amp;"")&lt;&gt;"",0)+1,"")</f>
        <v/>
      </c>
      <c r="EO16" s="62" t="str">
        <f t="array" aca="1" ref="EO16" ca="1">IF(COUNTIF(ES15,"*合計*"),"",
IF(IFERROR(INDIRECT("数出表_Excel!" &amp;
CHAR(MATCH(TRUE,
ISNUMBER(--INDIRECT("数出表_Excel!B"&amp;MATCH(ES15,数出表_Excel!$A:$A,0)-1&amp;":U"&amp;MATCH(ES15,数出表_Excel!$A:$A,0)-1&amp;"")),0)+65) &amp; "3"),0)=0,"",
IFERROR(INDIRECT("数出表_Excel!" &amp;
CHAR(MATCH(TRUE,
ISNUMBER(--INDIRECT("数出表_Excel!B"&amp;MATCH(ES15,数出表_Excel!$A:$A,0)-1&amp;":U"&amp;MATCH(ES15,数出表_Excel!$A:$A,0)-1&amp;"")),0)+65) &amp; "3"),"")))</f>
        <v/>
      </c>
      <c r="EP16" s="80"/>
      <c r="EQ16" s="86" t="str">
        <f t="array" aca="1" ref="EQ16" ca="1">IF(ER16&lt;&gt;"","",
IF(COUNTIF(EO15,"*雙葉*"),"",
IF(EO15&lt;&gt;"",
IFERROR(
INDEX('数出表_Excel（アレルギー入力）'!$4:$4,
 1,
MATCH(TRUE,INDIRECT("'数出表_Excel（アレルギー入力）'!B"&amp;MATCH(ES15,'数出表_Excel（アレルギー入力）'!$A:$A,0)-1&amp;":U"&amp;MATCH(ES15,'数出表_Excel（アレルギー入力）'!$A:$A,0)-1&amp;"")&lt;&gt;"",0)+1
),
 "")
&amp;IFERROR(
INDEX('数出表_Excel（アレルギー入力）'!$5:$5,
 1,
MATCH(TRUE,INDIRECT("'数出表_Excel（アレルギー入力）'!B"&amp;MATCH(ES15,'数出表_Excel（アレルギー入力）'!$A:$A,0)-1&amp;":U"&amp;MATCH(ES15,'数出表_Excel（アレルギー入力）'!$A:$A,0)-1&amp;"")&lt;&gt;"",0)+1),
 ""),"")))</f>
        <v/>
      </c>
      <c r="ER16" s="87" t="str">
        <f t="array" aca="1" ref="ER16" ca="1">IF(EO16&lt;&gt;"",
IF(COUNTIF(EO15,"*雙葉*"),
IF(ROUND(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VLOOKUP('盛付札（関数）'!EO16,商品マスタ一覧!$D:$J,7,FALSE))),0)&lt;=0,1,
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VLOOKUP('盛付札（関数）'!EO16,商品マスタ一覧!$D:$J,7,FALSE))),0)),
IF(MATCH(TRUE,
ISNUMBER(--INDIRECT("数出表_Excel!B"&amp;MATCH(ES15,数出表_Excel!$A:$A,0)-1&amp;":U"&amp;MATCH(ES15,数出表_Excel!$A:$A,0)-1&amp;"")),0)&gt;10,
IF(EO16&lt;&gt;"",
IF(IF(COUNTIF('盛付札（関数）'!EO16,"*キャラ*"),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VLOOKUP('盛付札（関数）'!EO16,商品マスタ一覧!$D:$J,7,FALSE)))=0,"",
IF(ROUND(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VLOOKUP('盛付札（関数）'!EO16,商品マスタ一覧!$D:$J,7,FALSE))),0)&lt;=0,1,
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VLOOKUP('盛付札（関数）'!EO16,商品マスタ一覧!$D:$J,7,FALSE))),0))),""),"")),"")</f>
        <v/>
      </c>
      <c r="ES16" s="96" t="str">
        <f ca="1">IF(ER16&lt;&gt;"",IF(VALUE(IF(ER21&lt;&gt;"",EO18-ER21,EO18))&gt;VALUE(IF(COUNTIF('盛付札（関数）'!EO16,"*キャラ*"),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VLOOKUP('盛付札（関数）'!EO16,商品マスタ一覧!$D:$J,7,FALSE)))*ER16),
"+"&amp;IF(ER21&lt;&gt;"",EO18-ER21,EO18)-IF(COUNTIF('盛付札（関数）'!EO16,"*キャラ*"),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VLOOKUP('盛付札（関数）'!EO16,商品マスタ一覧!$D:$J,7,FALSE)))*ER16,
IF(ER21&lt;&gt;"",EO18-ER21,EO18)-IF(COUNTIF('盛付札（関数）'!EO16,"*キャラ*"),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VLOOKUP('盛付札（関数）'!EO16,商品マスタ一覧!$D:$J,7,FALSE)))*ER16),"")</f>
        <v/>
      </c>
      <c r="ET16" s="111"/>
      <c r="EU16" s="82">
        <f t="shared" si="1"/>
        <v>63</v>
      </c>
      <c r="EV16" s="82" t="str">
        <f t="array" aca="1" ref="EV16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LEN(SUBSTITUTE(_xlfn.FORMULATEXT(EV$3),"=","")))+$EU16)</f>
        <v/>
      </c>
      <c r="EW16" s="82" t="str">
        <f t="array" aca="1" ref="EW16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LEN(SUBSTITUTE(_xlfn.FORMULATEXT(EW$3),"=","")))+$EU16)</f>
        <v/>
      </c>
      <c r="EX16" s="82" t="str">
        <f t="array" aca="1" ref="EX16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LEN(SUBSTITUTE(_xlfn.FORMULATEXT(EX$3),"=","")))+$EU16)</f>
        <v/>
      </c>
      <c r="EY16" s="82" t="str">
        <f t="array" aca="1" ref="EY16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LEN(SUBSTITUTE(_xlfn.FORMULATEXT(EY$3),"=","")))+$EU16)</f>
        <v/>
      </c>
      <c r="EZ16" s="82" t="str">
        <f t="array" aca="1" ref="EZ16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LEN(SUBSTITUTE(_xlfn.FORMULATEXT(EZ$3),"=","")))+$EU16)</f>
        <v/>
      </c>
      <c r="FA16" s="82" t="str">
        <f t="array" aca="1" ref="FA16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LEN(SUBSTITUTE(_xlfn.FORMULATEXT(FA$3),"=","")))+$EU16)</f>
        <v/>
      </c>
      <c r="FB16" s="82" t="str">
        <f t="array" aca="1" ref="FB16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LEN(SUBSTITUTE(_xlfn.FORMULATEXT(FB$3),"=","")))+$EU16)</f>
        <v/>
      </c>
      <c r="FC16" s="82" t="str">
        <f t="array" aca="1" ref="FC16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LEN(SUBSTITUTE(_xlfn.FORMULATEXT(FC$3),"=","")))+$EU16)</f>
        <v/>
      </c>
      <c r="FD16" s="82" t="str">
        <f t="array" aca="1" ref="FD16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LEN(SUBSTITUTE(_xlfn.FORMULATEXT(FD$3),"=","")))+$EU16)</f>
        <v/>
      </c>
      <c r="FE16" s="82" t="str">
        <f t="array" aca="1" ref="FE16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LEN(SUBSTITUTE(_xlfn.FORMULATEXT(FE$3),"=","")))+$EU16)</f>
        <v/>
      </c>
      <c r="FF16" s="82" t="str">
        <f t="array" aca="1" ref="FF16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LEN(SUBSTITUTE(_xlfn.FORMULATEXT(FF$3),"=","")))+$EU16)</f>
        <v/>
      </c>
      <c r="FG16" s="82">
        <f t="shared" ca="1" si="0"/>
        <v>0</v>
      </c>
      <c r="FH16" s="82" t="b">
        <f t="array" aca="1" ref="FH16" ca="1">SUMPRODUCT((LEN(EV16:FF16)&gt;0)*1)&gt;0</f>
        <v>0</v>
      </c>
      <c r="FI16" s="82" t="str">
        <f t="array" aca="1" ref="FI16" ca="1">IFERROR(SMALL(IF(FG$1:FG$173&lt;&gt;0,FG$1:FG$173),ROW(A16)),"")</f>
        <v/>
      </c>
      <c r="FJ16" s="82" t="str">
        <f t="array" aca="1" ref="FJ16" ca="1">IF($FI16&lt;&gt;"",
INDIRECT(""&amp;IF(COLUMN(EV16)&lt;=26,CHAR(COLUMN(EV16)+64),CHAR(INT((COLUMN(EV16)-1)/26)+64)&amp;CHAR(MOD(COLUMN(EV16)-1,26)+65))&amp;$FI16&amp;""),"")</f>
        <v/>
      </c>
      <c r="FK16" s="82" t="str">
        <f t="array" aca="1" ref="FK16" ca="1">IF($FI16&lt;&gt;"",
INDIRECT(""&amp;IF(COLUMN(EW16)&lt;=26,CHAR(COLUMN(EW16)+64),CHAR(INT((COLUMN(EW16)-1)/26)+64)&amp;CHAR(MOD(COLUMN(EW16)-1,26)+65))&amp;$FI16&amp;""),"")</f>
        <v/>
      </c>
      <c r="FL16" s="82" t="str">
        <f t="array" aca="1" ref="FL16" ca="1">IF($FI16&lt;&gt;"",
INDIRECT(""&amp;IF(COLUMN(EX16)&lt;=26,CHAR(COLUMN(EX16)+64),CHAR(INT((COLUMN(EX16)-1)/26)+64)&amp;CHAR(MOD(COLUMN(EX16)-1,26)+65))&amp;$FI16&amp;""),"")</f>
        <v/>
      </c>
      <c r="FM16" s="82" t="str">
        <f t="array" aca="1" ref="FM16" ca="1">IF($FI16&lt;&gt;"",
IF(FL16="",
IF(INDIRECT("EY"&amp;$FI16&amp;"")&lt;&gt;"",
INDIRECT("EY"&amp;$FI16&amp;"")&amp;"箱"
&amp;INDIRECT("EZ"&amp;$FI16&amp;""),""),""),"")</f>
        <v/>
      </c>
      <c r="FN16" s="82" t="str">
        <f t="array" aca="1" ref="FN16" ca="1">IF($FI16&lt;&gt;"",
INDIRECT(""&amp;IF(COLUMN(FA16)&lt;=26,CHAR(COLUMN(FA16)+64),CHAR(INT((COLUMN(FA16)-1)/26)+64)&amp;CHAR(MOD(COLUMN(FA16)-1,26)+65))&amp;$FI16&amp;""),"")</f>
        <v/>
      </c>
      <c r="FO16" s="82" t="str">
        <f t="array" aca="1" ref="FO16" ca="1">IF($FI16&lt;&gt;"",
INDIRECT(""&amp;IF(COLUMN(FB16)&lt;=26,CHAR(COLUMN(FB16)+64),CHAR(INT((COLUMN(FB16)-1)/26)+64)&amp;CHAR(MOD(COLUMN(FB16)-1,26)+65))&amp;$FI16&amp;""),"")</f>
        <v/>
      </c>
      <c r="FP16" s="82" t="str">
        <f t="array" aca="1" ref="FP16" ca="1">IF($FI16&lt;&gt;"",
INDIRECT(""&amp;IF(COLUMN(FC16)&lt;=26,CHAR(COLUMN(FC16)+64),CHAR(INT((COLUMN(FC16)-1)/26)+64)&amp;CHAR(MOD(COLUMN(FC16)-1,26)+65))&amp;$FI16&amp;""),"")</f>
        <v/>
      </c>
      <c r="FQ16" s="82" t="str">
        <f t="array" aca="1" ref="FQ16" ca="1">IF($FI16&lt;&gt;"",
INDIRECT(""&amp;IF(COLUMN(FD16)&lt;=26,CHAR(COLUMN(FD16)+64),CHAR(INT((COLUMN(FD16)-1)/26)+64)&amp;CHAR(MOD(COLUMN(FD16)-1,26)+65))&amp;$FI16&amp;""),"")</f>
        <v/>
      </c>
      <c r="FR16" s="82" t="str">
        <f t="array" aca="1" ref="FR16" ca="1">IF($FI16&lt;&gt;"",
INDIRECT(""&amp;IF(COLUMN(FE16)&lt;=26,CHAR(COLUMN(FE16)+64),CHAR(INT((COLUMN(FE16)-1)/26)+64)&amp;CHAR(MOD(COLUMN(FE16)-1,26)+65))&amp;$FI16&amp;""),"")</f>
        <v/>
      </c>
      <c r="FS16" s="82" t="str">
        <f t="array" aca="1" ref="FS16" ca="1">IF($FI16&lt;&gt;"",
INDIRECT(""&amp;IF(COLUMN(FF16)&lt;=26,CHAR(COLUMN(FF16)+64),CHAR(INT((COLUMN(FF16)-1)/26)+64)&amp;CHAR(MOD(COLUMN(FF16)-1,26)+65))&amp;$FI16&amp;""),"")</f>
        <v/>
      </c>
    </row>
    <row r="17" spans="1:175" s="82" customFormat="1" ht="22.2" customHeight="1" x14ac:dyDescent="0.55000000000000004">
      <c r="A17" s="80"/>
      <c r="B17" s="88" t="e">
        <f t="array" aca="1" ref="B17" ca="1">IF(AND(LEFT(G15,2)="博多",
LEFT(INDIRECT("数出表_Excel!A"&amp;MATCH(G15,数出表_Excel!$A:$A,0)-1),2)
=LEFT(INDIRECT("数出表_Excel!A"&amp;MATCH(G15,数出表_Excel!$A:$A,0)+1),2)),100,
IF(AND(LEFT(G15,3)="奈良屋",
LEFT(INDIRECT("数出表_Excel!A"&amp;MATCH(G15,数出表_Excel!$A:$A,0)-1),2)
=LEFT(INDIRECT("数出表_Excel!A"&amp;MATCH(G15,数出表_Excel!$A:$A,0)+1),2)),200,""))</f>
        <v>#N/A</v>
      </c>
      <c r="C17" s="189" t="str">
        <f ca="1">IF(C16&lt;&gt;"",
"園児","")</f>
        <v/>
      </c>
      <c r="D17" s="190"/>
      <c r="E17" s="193" t="str">
        <f ca="1">IF(C16&lt;&gt;"",
"先生","")</f>
        <v/>
      </c>
      <c r="F17" s="190"/>
      <c r="G17" s="101">
        <f t="array" aca="1" ref="G17" ca="1">IF(C15&lt;&gt;"",
IF(IFERROR(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"")&lt;&gt;0,
IF(IFERROR(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"")="",
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""),
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"")),0),0)</f>
        <v>0</v>
      </c>
      <c r="H17" s="80"/>
      <c r="I17" s="88" t="e">
        <f t="array" aca="1" ref="I17" ca="1">IF(AND(LEFT(N15,2)="博多",
LEFT(INDIRECT("数出表_Excel!A"&amp;MATCH(N15,数出表_Excel!$A:$A,0)-1),2)
=LEFT(INDIRECT("数出表_Excel!A"&amp;MATCH(N15,数出表_Excel!$A:$A,0)+1),2)),100,
IF(AND(LEFT(N15,3)="奈良屋",
LEFT(INDIRECT("数出表_Excel!A"&amp;MATCH(N15,数出表_Excel!$A:$A,0)-1),2)
=LEFT(INDIRECT("数出表_Excel!A"&amp;MATCH(N15,数出表_Excel!$A:$A,0)+1),2)),200,""))</f>
        <v>#N/A</v>
      </c>
      <c r="J17" s="189" t="str">
        <f ca="1">IF(J16&lt;&gt;"",
"園児","")</f>
        <v/>
      </c>
      <c r="K17" s="190"/>
      <c r="L17" s="193" t="str">
        <f ca="1">IF(J16&lt;&gt;"",
"先生","")</f>
        <v/>
      </c>
      <c r="M17" s="190"/>
      <c r="N17" s="101">
        <f t="array" aca="1" ref="N17" ca="1">IF(J15&lt;&gt;"",
IF(IFERROR(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"")&lt;&gt;0,
IF(IFERROR(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"")="",
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""),
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"")),0),0)</f>
        <v>0</v>
      </c>
      <c r="O17" s="80"/>
      <c r="P17" s="80"/>
      <c r="Q17" s="88" t="e">
        <f t="array" aca="1" ref="Q17" ca="1">IF(AND(LEFT(V15,2)="博多",
LEFT(INDIRECT("数出表_Excel!A"&amp;MATCH(V15,数出表_Excel!$A:$A,0)-1),2)
=LEFT(INDIRECT("数出表_Excel!A"&amp;MATCH(V15,数出表_Excel!$A:$A,0)+1),2)),100,
IF(AND(LEFT(V15,3)="奈良屋",
LEFT(INDIRECT("数出表_Excel!A"&amp;MATCH(V15,数出表_Excel!$A:$A,0)-1),2)
=LEFT(INDIRECT("数出表_Excel!A"&amp;MATCH(V15,数出表_Excel!$A:$A,0)+1),2)),200,""))</f>
        <v>#N/A</v>
      </c>
      <c r="R17" s="189" t="str">
        <f ca="1">IF(R16&lt;&gt;"",
"園児","")</f>
        <v/>
      </c>
      <c r="S17" s="190"/>
      <c r="T17" s="193" t="str">
        <f ca="1">IF(R16&lt;&gt;"",
"先生","")</f>
        <v/>
      </c>
      <c r="U17" s="190"/>
      <c r="V17" s="101">
        <f t="array" aca="1" ref="V17" ca="1">IF(R15&lt;&gt;"",
IF(IFERROR(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"")&lt;&gt;0,
IF(IFERROR(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"")="",
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""),
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"")),0),0)</f>
        <v>0</v>
      </c>
      <c r="W17" s="80"/>
      <c r="X17" s="88" t="e">
        <f t="array" aca="1" ref="X17" ca="1">IF(AND(LEFT(AC15,2)="博多",
LEFT(INDIRECT("数出表_Excel!A"&amp;MATCH(AC15,数出表_Excel!$A:$A,0)-1),2)
=LEFT(INDIRECT("数出表_Excel!A"&amp;MATCH(AC15,数出表_Excel!$A:$A,0)+1),2)),100,
IF(AND(LEFT(AC15,3)="奈良屋",
LEFT(INDIRECT("数出表_Excel!A"&amp;MATCH(AC15,数出表_Excel!$A:$A,0)-1),2)
=LEFT(INDIRECT("数出表_Excel!A"&amp;MATCH(AC15,数出表_Excel!$A:$A,0)+1),2)),200,""))</f>
        <v>#N/A</v>
      </c>
      <c r="Y17" s="189" t="str">
        <f ca="1">IF(Y16&lt;&gt;"",
"園児","")</f>
        <v/>
      </c>
      <c r="Z17" s="190"/>
      <c r="AA17" s="193" t="str">
        <f ca="1">IF(Y16&lt;&gt;"",
"先生","")</f>
        <v/>
      </c>
      <c r="AB17" s="190"/>
      <c r="AC17" s="101">
        <f t="array" aca="1" ref="AC17" ca="1">IF(Y15&lt;&gt;"",
IF(IFERROR(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"")&lt;&gt;0,
IF(IFERROR(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"")="",
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""),
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"")),0),0)</f>
        <v>0</v>
      </c>
      <c r="AD17" s="80"/>
      <c r="AE17" s="80"/>
      <c r="AF17" s="88" t="e">
        <f t="array" aca="1" ref="AF17" ca="1">IF(AND(LEFT(AK15,2)="博多",
LEFT(INDIRECT("数出表_Excel!A"&amp;MATCH(AK15,数出表_Excel!$A:$A,0)-1),2)
=LEFT(INDIRECT("数出表_Excel!A"&amp;MATCH(AK15,数出表_Excel!$A:$A,0)+1),2)),100,
IF(AND(LEFT(AK15,3)="奈良屋",
LEFT(INDIRECT("数出表_Excel!A"&amp;MATCH(AK15,数出表_Excel!$A:$A,0)-1),2)
=LEFT(INDIRECT("数出表_Excel!A"&amp;MATCH(AK15,数出表_Excel!$A:$A,0)+1),2)),200,""))</f>
        <v>#N/A</v>
      </c>
      <c r="AG17" s="189" t="str">
        <f ca="1">IF(AG16&lt;&gt;"",
"園児","")</f>
        <v/>
      </c>
      <c r="AH17" s="190"/>
      <c r="AI17" s="193" t="str">
        <f ca="1">IF(AG16&lt;&gt;"",
"先生","")</f>
        <v/>
      </c>
      <c r="AJ17" s="190"/>
      <c r="AK17" s="101">
        <f t="array" aca="1" ref="AK17" ca="1">IF(AG15&lt;&gt;"",
IF(IFERROR(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"")&lt;&gt;0,
IF(IFERROR(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"")="",
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""),
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"")),0),0)</f>
        <v>0</v>
      </c>
      <c r="AL17" s="80"/>
      <c r="AM17" s="88" t="e">
        <f t="array" aca="1" ref="AM17" ca="1">IF(AND(LEFT(AR15,2)="博多",
LEFT(INDIRECT("数出表_Excel!A"&amp;MATCH(AR15,数出表_Excel!$A:$A,0)-1),2)
=LEFT(INDIRECT("数出表_Excel!A"&amp;MATCH(AR15,数出表_Excel!$A:$A,0)+1),2)),100,
IF(AND(LEFT(AR15,3)="奈良屋",
LEFT(INDIRECT("数出表_Excel!A"&amp;MATCH(AR15,数出表_Excel!$A:$A,0)-1),2)
=LEFT(INDIRECT("数出表_Excel!A"&amp;MATCH(AR15,数出表_Excel!$A:$A,0)+1),2)),200,""))</f>
        <v>#N/A</v>
      </c>
      <c r="AN17" s="189" t="str">
        <f ca="1">IF(AN16&lt;&gt;"",
"園児","")</f>
        <v/>
      </c>
      <c r="AO17" s="190"/>
      <c r="AP17" s="193" t="str">
        <f ca="1">IF(AN16&lt;&gt;"",
"先生","")</f>
        <v/>
      </c>
      <c r="AQ17" s="190"/>
      <c r="AR17" s="101">
        <f t="array" aca="1" ref="AR17" ca="1">IF(AN15&lt;&gt;"",
IF(IFERROR(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"")&lt;&gt;0,
IF(IFERROR(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"")="",
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""),
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"")),0),0)</f>
        <v>0</v>
      </c>
      <c r="AS17" s="80"/>
      <c r="AT17" s="80"/>
      <c r="AU17" s="88" t="e">
        <f t="array" aca="1" ref="AU17" ca="1">IF(AND(LEFT(AZ15,2)="博多",
LEFT(INDIRECT("数出表_Excel!A"&amp;MATCH(AZ15,数出表_Excel!$A:$A,0)-1),2)
=LEFT(INDIRECT("数出表_Excel!A"&amp;MATCH(AZ15,数出表_Excel!$A:$A,0)+1),2)),100,
IF(AND(LEFT(AZ15,3)="奈良屋",
LEFT(INDIRECT("数出表_Excel!A"&amp;MATCH(AZ15,数出表_Excel!$A:$A,0)-1),2)
=LEFT(INDIRECT("数出表_Excel!A"&amp;MATCH(AZ15,数出表_Excel!$A:$A,0)+1),2)),200,""))</f>
        <v>#N/A</v>
      </c>
      <c r="AV17" s="189" t="str">
        <f ca="1">IF(AV16&lt;&gt;"",
"園児","")</f>
        <v/>
      </c>
      <c r="AW17" s="190"/>
      <c r="AX17" s="193" t="str">
        <f ca="1">IF(AV16&lt;&gt;"",
"先生","")</f>
        <v/>
      </c>
      <c r="AY17" s="190"/>
      <c r="AZ17" s="101">
        <f t="array" aca="1" ref="AZ17" ca="1">IF(AV15&lt;&gt;"",
IF(IFERROR(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"")&lt;&gt;0,
IF(IFERROR(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"")="",
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""),
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"")),0),0)</f>
        <v>0</v>
      </c>
      <c r="BA17" s="80"/>
      <c r="BB17" s="88" t="e">
        <f t="array" aca="1" ref="BB17" ca="1">IF(AND(LEFT(BG15,2)="博多",
LEFT(INDIRECT("数出表_Excel!A"&amp;MATCH(BG15,数出表_Excel!$A:$A,0)-1),2)
=LEFT(INDIRECT("数出表_Excel!A"&amp;MATCH(BG15,数出表_Excel!$A:$A,0)+1),2)),100,
IF(AND(LEFT(BG15,3)="奈良屋",
LEFT(INDIRECT("数出表_Excel!A"&amp;MATCH(BG15,数出表_Excel!$A:$A,0)-1),2)
=LEFT(INDIRECT("数出表_Excel!A"&amp;MATCH(BG15,数出表_Excel!$A:$A,0)+1),2)),200,""))</f>
        <v>#N/A</v>
      </c>
      <c r="BC17" s="189" t="str">
        <f ca="1">IF(BC16&lt;&gt;"",
"園児","")</f>
        <v/>
      </c>
      <c r="BD17" s="190"/>
      <c r="BE17" s="193" t="str">
        <f ca="1">IF(BC16&lt;&gt;"",
"先生","")</f>
        <v/>
      </c>
      <c r="BF17" s="190"/>
      <c r="BG17" s="101">
        <f t="array" aca="1" ref="BG17" ca="1">IF(BC15&lt;&gt;"",
IF(IFERROR(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"")&lt;&gt;0,
IF(IFERROR(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"")="",
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""),
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"")),0),0)</f>
        <v>0</v>
      </c>
      <c r="BH17" s="80"/>
      <c r="BI17" s="80"/>
      <c r="BJ17" s="88" t="e">
        <f t="array" aca="1" ref="BJ17" ca="1">IF(AND(LEFT(BO15,2)="博多",
LEFT(INDIRECT("数出表_Excel!A"&amp;MATCH(BO15,数出表_Excel!$A:$A,0)-1),2)
=LEFT(INDIRECT("数出表_Excel!A"&amp;MATCH(BO15,数出表_Excel!$A:$A,0)+1),2)),100,
IF(AND(LEFT(BO15,3)="奈良屋",
LEFT(INDIRECT("数出表_Excel!A"&amp;MATCH(BO15,数出表_Excel!$A:$A,0)-1),2)
=LEFT(INDIRECT("数出表_Excel!A"&amp;MATCH(BO15,数出表_Excel!$A:$A,0)+1),2)),200,""))</f>
        <v>#N/A</v>
      </c>
      <c r="BK17" s="189" t="str">
        <f ca="1">IF(BK16&lt;&gt;"",
"園児","")</f>
        <v/>
      </c>
      <c r="BL17" s="190"/>
      <c r="BM17" s="193" t="str">
        <f ca="1">IF(BK16&lt;&gt;"",
"先生","")</f>
        <v/>
      </c>
      <c r="BN17" s="190"/>
      <c r="BO17" s="101">
        <f t="array" aca="1" ref="BO17" ca="1">IF(BK15&lt;&gt;"",
IF(IFERROR(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"")&lt;&gt;0,
IF(IFERROR(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"")="",
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""),
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"")),0),0)</f>
        <v>0</v>
      </c>
      <c r="BP17" s="80"/>
      <c r="BQ17" s="88" t="e">
        <f t="array" aca="1" ref="BQ17" ca="1">IF(AND(LEFT(BV15,2)="博多",
LEFT(INDIRECT("数出表_Excel!A"&amp;MATCH(BV15,数出表_Excel!$A:$A,0)-1),2)
=LEFT(INDIRECT("数出表_Excel!A"&amp;MATCH(BV15,数出表_Excel!$A:$A,0)+1),2)),100,
IF(AND(LEFT(BV15,3)="奈良屋",
LEFT(INDIRECT("数出表_Excel!A"&amp;MATCH(BV15,数出表_Excel!$A:$A,0)-1),2)
=LEFT(INDIRECT("数出表_Excel!A"&amp;MATCH(BV15,数出表_Excel!$A:$A,0)+1),2)),200,""))</f>
        <v>#N/A</v>
      </c>
      <c r="BR17" s="189" t="str">
        <f ca="1">IF(BR16&lt;&gt;"",
"園児","")</f>
        <v/>
      </c>
      <c r="BS17" s="190"/>
      <c r="BT17" s="193" t="str">
        <f ca="1">IF(BR16&lt;&gt;"",
"先生","")</f>
        <v/>
      </c>
      <c r="BU17" s="190"/>
      <c r="BV17" s="101">
        <f t="array" aca="1" ref="BV17" ca="1">IF(BR15&lt;&gt;"",
IF(IFERROR(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"")&lt;&gt;0,
IF(IFERROR(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"")="",
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""),
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"")),0),0)</f>
        <v>0</v>
      </c>
      <c r="BW17" s="80"/>
      <c r="BX17" s="80"/>
      <c r="BY17" s="88" t="e">
        <f t="array" aca="1" ref="BY17" ca="1">IF(AND(LEFT(CD15,2)="博多",
LEFT(INDIRECT("数出表_Excel!A"&amp;MATCH(CD15,数出表_Excel!$A:$A,0)-1),2)
=LEFT(INDIRECT("数出表_Excel!A"&amp;MATCH(CD15,数出表_Excel!$A:$A,0)+1),2)),100,
IF(AND(LEFT(CD15,3)="奈良屋",
LEFT(INDIRECT("数出表_Excel!A"&amp;MATCH(CD15,数出表_Excel!$A:$A,0)-1),2)
=LEFT(INDIRECT("数出表_Excel!A"&amp;MATCH(CD15,数出表_Excel!$A:$A,0)+1),2)),200,""))</f>
        <v>#N/A</v>
      </c>
      <c r="BZ17" s="189" t="str">
        <f ca="1">IF(BZ16&lt;&gt;"",
"園児","")</f>
        <v/>
      </c>
      <c r="CA17" s="190"/>
      <c r="CB17" s="193" t="str">
        <f ca="1">IF(BZ16&lt;&gt;"",
"先生","")</f>
        <v/>
      </c>
      <c r="CC17" s="190"/>
      <c r="CD17" s="101">
        <f t="array" aca="1" ref="CD17" ca="1">IF(BZ15&lt;&gt;"",
IF(IFERROR(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"")&lt;&gt;0,
IF(IFERROR(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"")="",
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""),
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"")),0),0)</f>
        <v>0</v>
      </c>
      <c r="CE17" s="80"/>
      <c r="CF17" s="88" t="e">
        <f t="array" aca="1" ref="CF17" ca="1">IF(AND(LEFT(CK15,2)="博多",
LEFT(INDIRECT("数出表_Excel!A"&amp;MATCH(CK15,数出表_Excel!$A:$A,0)-1),2)
=LEFT(INDIRECT("数出表_Excel!A"&amp;MATCH(CK15,数出表_Excel!$A:$A,0)+1),2)),100,
IF(AND(LEFT(CK15,3)="奈良屋",
LEFT(INDIRECT("数出表_Excel!A"&amp;MATCH(CK15,数出表_Excel!$A:$A,0)-1),2)
=LEFT(INDIRECT("数出表_Excel!A"&amp;MATCH(CK15,数出表_Excel!$A:$A,0)+1),2)),200,""))</f>
        <v>#N/A</v>
      </c>
      <c r="CG17" s="189" t="str">
        <f ca="1">IF(CG16&lt;&gt;"",
"園児","")</f>
        <v/>
      </c>
      <c r="CH17" s="190"/>
      <c r="CI17" s="193" t="str">
        <f ca="1">IF(CG16&lt;&gt;"",
"先生","")</f>
        <v/>
      </c>
      <c r="CJ17" s="190"/>
      <c r="CK17" s="101">
        <f t="array" aca="1" ref="CK17" ca="1">IF(CG15&lt;&gt;"",
IF(IFERROR(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"")&lt;&gt;0,
IF(IFERROR(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"")="",
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""),
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"")),0),0)</f>
        <v>0</v>
      </c>
      <c r="CL17" s="80"/>
      <c r="CM17" s="80"/>
      <c r="CN17" s="88" t="e">
        <f t="array" aca="1" ref="CN17" ca="1">IF(AND(LEFT(CS15,2)="博多",
LEFT(INDIRECT("数出表_Excel!A"&amp;MATCH(CS15,数出表_Excel!$A:$A,0)-1),2)
=LEFT(INDIRECT("数出表_Excel!A"&amp;MATCH(CS15,数出表_Excel!$A:$A,0)+1),2)),100,
IF(AND(LEFT(CS15,3)="奈良屋",
LEFT(INDIRECT("数出表_Excel!A"&amp;MATCH(CS15,数出表_Excel!$A:$A,0)-1),2)
=LEFT(INDIRECT("数出表_Excel!A"&amp;MATCH(CS15,数出表_Excel!$A:$A,0)+1),2)),200,""))</f>
        <v>#N/A</v>
      </c>
      <c r="CO17" s="189" t="str">
        <f ca="1">IF(CO16&lt;&gt;"",
"園児","")</f>
        <v/>
      </c>
      <c r="CP17" s="190"/>
      <c r="CQ17" s="193" t="str">
        <f ca="1">IF(CO16&lt;&gt;"",
"先生","")</f>
        <v/>
      </c>
      <c r="CR17" s="190"/>
      <c r="CS17" s="101">
        <f t="array" aca="1" ref="CS17" ca="1">IF(CO15&lt;&gt;"",
IF(IFERROR(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"")&lt;&gt;0,
IF(IFERROR(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"")="",
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""),
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"")),0),0)</f>
        <v>0</v>
      </c>
      <c r="CT17" s="80"/>
      <c r="CU17" s="88" t="e">
        <f t="array" aca="1" ref="CU17" ca="1">IF(AND(LEFT(CZ15,2)="博多",
LEFT(INDIRECT("数出表_Excel!A"&amp;MATCH(CZ15,数出表_Excel!$A:$A,0)-1),2)
=LEFT(INDIRECT("数出表_Excel!A"&amp;MATCH(CZ15,数出表_Excel!$A:$A,0)+1),2)),100,
IF(AND(LEFT(CZ15,3)="奈良屋",
LEFT(INDIRECT("数出表_Excel!A"&amp;MATCH(CZ15,数出表_Excel!$A:$A,0)-1),2)
=LEFT(INDIRECT("数出表_Excel!A"&amp;MATCH(CZ15,数出表_Excel!$A:$A,0)+1),2)),200,""))</f>
        <v>#N/A</v>
      </c>
      <c r="CV17" s="189" t="str">
        <f ca="1">IF(CV16&lt;&gt;"",
"園児","")</f>
        <v/>
      </c>
      <c r="CW17" s="190"/>
      <c r="CX17" s="193" t="str">
        <f ca="1">IF(CV16&lt;&gt;"",
"先生","")</f>
        <v/>
      </c>
      <c r="CY17" s="190"/>
      <c r="CZ17" s="101">
        <f t="array" aca="1" ref="CZ17" ca="1">IF(CV15&lt;&gt;"",
IF(IFERROR(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"")&lt;&gt;0,
IF(IFERROR(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"")="",
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""),
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"")),0),0)</f>
        <v>0</v>
      </c>
      <c r="DA17" s="80"/>
      <c r="DB17" s="80"/>
      <c r="DC17" s="88" t="e">
        <f t="array" aca="1" ref="DC17" ca="1">IF(AND(LEFT(DH15,2)="博多",
LEFT(INDIRECT("数出表_Excel!A"&amp;MATCH(DH15,数出表_Excel!$A:$A,0)-1),2)
=LEFT(INDIRECT("数出表_Excel!A"&amp;MATCH(DH15,数出表_Excel!$A:$A,0)+1),2)),100,
IF(AND(LEFT(DH15,3)="奈良屋",
LEFT(INDIRECT("数出表_Excel!A"&amp;MATCH(DH15,数出表_Excel!$A:$A,0)-1),2)
=LEFT(INDIRECT("数出表_Excel!A"&amp;MATCH(DH15,数出表_Excel!$A:$A,0)+1),2)),200,""))</f>
        <v>#N/A</v>
      </c>
      <c r="DD17" s="189" t="str">
        <f ca="1">IF(DD16&lt;&gt;"",
"園児","")</f>
        <v/>
      </c>
      <c r="DE17" s="190"/>
      <c r="DF17" s="193" t="str">
        <f ca="1">IF(DD16&lt;&gt;"",
"先生","")</f>
        <v/>
      </c>
      <c r="DG17" s="190"/>
      <c r="DH17" s="101">
        <f t="array" aca="1" ref="DH17" ca="1">IF(DD15&lt;&gt;"",
IF(IFERROR(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"")&lt;&gt;0,
IF(IFERROR(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"")="",
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""),
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"")),0),0)</f>
        <v>0</v>
      </c>
      <c r="DI17" s="80"/>
      <c r="DJ17" s="88" t="e">
        <f t="array" aca="1" ref="DJ17" ca="1">IF(AND(LEFT(DO15,2)="博多",
LEFT(INDIRECT("数出表_Excel!A"&amp;MATCH(DO15,数出表_Excel!$A:$A,0)-1),2)
=LEFT(INDIRECT("数出表_Excel!A"&amp;MATCH(DO15,数出表_Excel!$A:$A,0)+1),2)),100,
IF(AND(LEFT(DO15,3)="奈良屋",
LEFT(INDIRECT("数出表_Excel!A"&amp;MATCH(DO15,数出表_Excel!$A:$A,0)-1),2)
=LEFT(INDIRECT("数出表_Excel!A"&amp;MATCH(DO15,数出表_Excel!$A:$A,0)+1),2)),200,""))</f>
        <v>#N/A</v>
      </c>
      <c r="DK17" s="189" t="str">
        <f ca="1">IF(DK16&lt;&gt;"",
"園児","")</f>
        <v/>
      </c>
      <c r="DL17" s="190"/>
      <c r="DM17" s="193" t="str">
        <f ca="1">IF(DK16&lt;&gt;"",
"先生","")</f>
        <v/>
      </c>
      <c r="DN17" s="190"/>
      <c r="DO17" s="101">
        <f t="array" aca="1" ref="DO17" ca="1">IF(DK15&lt;&gt;"",
IF(IFERROR(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"")&lt;&gt;0,
IF(IFERROR(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"")="",
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""),
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"")),0),0)</f>
        <v>0</v>
      </c>
      <c r="DP17" s="80"/>
      <c r="DQ17" s="80"/>
      <c r="DR17" s="88" t="e">
        <f t="array" aca="1" ref="DR17" ca="1">IF(AND(LEFT(DW15,2)="博多",
LEFT(INDIRECT("数出表_Excel!A"&amp;MATCH(DW15,数出表_Excel!$A:$A,0)-1),2)
=LEFT(INDIRECT("数出表_Excel!A"&amp;MATCH(DW15,数出表_Excel!$A:$A,0)+1),2)),100,
IF(AND(LEFT(DW15,3)="奈良屋",
LEFT(INDIRECT("数出表_Excel!A"&amp;MATCH(DW15,数出表_Excel!$A:$A,0)-1),2)
=LEFT(INDIRECT("数出表_Excel!A"&amp;MATCH(DW15,数出表_Excel!$A:$A,0)+1),2)),200,""))</f>
        <v>#N/A</v>
      </c>
      <c r="DS17" s="189" t="str">
        <f ca="1">IF(DS16&lt;&gt;"",
"園児","")</f>
        <v/>
      </c>
      <c r="DT17" s="190"/>
      <c r="DU17" s="193" t="str">
        <f ca="1">IF(DS16&lt;&gt;"",
"先生","")</f>
        <v/>
      </c>
      <c r="DV17" s="190"/>
      <c r="DW17" s="101">
        <f t="array" aca="1" ref="DW17" ca="1">IF(DS15&lt;&gt;"",
IF(IFERROR(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"")&lt;&gt;0,
IF(IFERROR(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"")="",
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""),
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"")),0),0)</f>
        <v>0</v>
      </c>
      <c r="DX17" s="80"/>
      <c r="DY17" s="88" t="e">
        <f t="array" aca="1" ref="DY17" ca="1">IF(AND(LEFT(ED15,2)="博多",
LEFT(INDIRECT("数出表_Excel!A"&amp;MATCH(ED15,数出表_Excel!$A:$A,0)-1),2)
=LEFT(INDIRECT("数出表_Excel!A"&amp;MATCH(ED15,数出表_Excel!$A:$A,0)+1),2)),100,
IF(AND(LEFT(ED15,3)="奈良屋",
LEFT(INDIRECT("数出表_Excel!A"&amp;MATCH(ED15,数出表_Excel!$A:$A,0)-1),2)
=LEFT(INDIRECT("数出表_Excel!A"&amp;MATCH(ED15,数出表_Excel!$A:$A,0)+1),2)),200,""))</f>
        <v>#N/A</v>
      </c>
      <c r="DZ17" s="189" t="str">
        <f ca="1">IF(DZ16&lt;&gt;"",
"園児","")</f>
        <v/>
      </c>
      <c r="EA17" s="190"/>
      <c r="EB17" s="193" t="str">
        <f ca="1">IF(DZ16&lt;&gt;"",
"先生","")</f>
        <v/>
      </c>
      <c r="EC17" s="190"/>
      <c r="ED17" s="101">
        <f t="array" aca="1" ref="ED17" ca="1">IF(DZ15&lt;&gt;"",
IF(IFERROR(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"")&lt;&gt;0,
IF(IFERROR(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"")="",
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""),
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"")),0),0)</f>
        <v>0</v>
      </c>
      <c r="EE17" s="80"/>
      <c r="EF17" s="80"/>
      <c r="EG17" s="88" t="e">
        <f t="array" aca="1" ref="EG17" ca="1">IF(AND(LEFT(EL15,2)="博多",
LEFT(INDIRECT("数出表_Excel!A"&amp;MATCH(EL15,数出表_Excel!$A:$A,0)-1),2)
=LEFT(INDIRECT("数出表_Excel!A"&amp;MATCH(EL15,数出表_Excel!$A:$A,0)+1),2)),100,
IF(AND(LEFT(EL15,3)="奈良屋",
LEFT(INDIRECT("数出表_Excel!A"&amp;MATCH(EL15,数出表_Excel!$A:$A,0)-1),2)
=LEFT(INDIRECT("数出表_Excel!A"&amp;MATCH(EL15,数出表_Excel!$A:$A,0)+1),2)),200,""))</f>
        <v>#N/A</v>
      </c>
      <c r="EH17" s="189" t="str">
        <f ca="1">IF(EH16&lt;&gt;"",
"園児","")</f>
        <v/>
      </c>
      <c r="EI17" s="190"/>
      <c r="EJ17" s="193" t="str">
        <f ca="1">IF(EH16&lt;&gt;"",
"先生","")</f>
        <v/>
      </c>
      <c r="EK17" s="190"/>
      <c r="EL17" s="101">
        <f t="array" aca="1" ref="EL17" ca="1">IF(EH15&lt;&gt;"",
IF(IFERROR(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"")&lt;&gt;0,
IF(IFERROR(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"")="",
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""),
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"")),0),0)</f>
        <v>0</v>
      </c>
      <c r="EM17" s="80"/>
      <c r="EN17" s="88" t="e">
        <f t="array" aca="1" ref="EN17" ca="1">IF(AND(LEFT(ES15,2)="博多",
LEFT(INDIRECT("数出表_Excel!A"&amp;MATCH(ES15,数出表_Excel!$A:$A,0)-1),2)
=LEFT(INDIRECT("数出表_Excel!A"&amp;MATCH(ES15,数出表_Excel!$A:$A,0)+1),2)),100,
IF(AND(LEFT(ES15,3)="奈良屋",
LEFT(INDIRECT("数出表_Excel!A"&amp;MATCH(ES15,数出表_Excel!$A:$A,0)-1),2)
=LEFT(INDIRECT("数出表_Excel!A"&amp;MATCH(ES15,数出表_Excel!$A:$A,0)+1),2)),200,""))</f>
        <v>#N/A</v>
      </c>
      <c r="EO17" s="189" t="str">
        <f ca="1">IF(EO16&lt;&gt;"",
"園児","")</f>
        <v/>
      </c>
      <c r="EP17" s="190"/>
      <c r="EQ17" s="193" t="str">
        <f ca="1">IF(EO16&lt;&gt;"",
"先生","")</f>
        <v/>
      </c>
      <c r="ER17" s="190"/>
      <c r="ES17" s="101">
        <f t="array" aca="1" ref="ES17" ca="1">IF(EO15&lt;&gt;"",
IF(IFERROR(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"")&lt;&gt;0,
IF(IFERROR(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"")="",
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""),
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"")),0),0)</f>
        <v>0</v>
      </c>
      <c r="ET17" s="110"/>
      <c r="EU17" s="82">
        <f t="shared" si="1"/>
        <v>28</v>
      </c>
      <c r="EV17" s="82" t="str">
        <f t="array" aca="1" ref="EV17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LEN(SUBSTITUTE(_xlfn.FORMULATEXT(EV$1),"=","")))+$EU17)</f>
        <v/>
      </c>
      <c r="EW17" s="82" t="str">
        <f t="array" aca="1" ref="EW17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LEN(SUBSTITUTE(_xlfn.FORMULATEXT(EW$1),"=","")))+$EU17)</f>
        <v/>
      </c>
      <c r="EX17" s="82" t="str">
        <f t="array" aca="1" ref="EX17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LEN(SUBSTITUTE(_xlfn.FORMULATEXT(EX$1),"=","")))+$EU17)</f>
        <v/>
      </c>
      <c r="EY17" s="82" t="str">
        <f t="array" aca="1" ref="EY17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LEN(SUBSTITUTE(_xlfn.FORMULATEXT(EY$1),"=","")))+$EU17)</f>
        <v/>
      </c>
      <c r="EZ17" s="82" t="str">
        <f t="array" aca="1" ref="EZ17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LEN(SUBSTITUTE(_xlfn.FORMULATEXT(EZ$1),"=","")))+$EU17)</f>
        <v/>
      </c>
      <c r="FA17" s="82" t="e">
        <f t="array" aca="1" ref="FA17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LEN(SUBSTITUTE(_xlfn.FORMULATEXT(FA$1),"=","")))+$EU17)</f>
        <v>#VALUE!</v>
      </c>
      <c r="FB17" s="82" t="str">
        <f t="array" aca="1" ref="FB17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LEN(SUBSTITUTE(_xlfn.FORMULATEXT(FB$1),"=","")))+$EU17)</f>
        <v/>
      </c>
      <c r="FC17" s="82" t="str">
        <f t="array" aca="1" ref="FC17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LEN(SUBSTITUTE(_xlfn.FORMULATEXT(FC$1),"=","")))+$EU17)</f>
        <v/>
      </c>
      <c r="FD17" s="82" t="e">
        <f t="array" aca="1" ref="FD17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LEN(SUBSTITUTE(_xlfn.FORMULATEXT(FD$1),"=","")))+$EU17)</f>
        <v>#VALUE!</v>
      </c>
      <c r="FE17" s="82" t="str">
        <f t="array" aca="1" ref="FE17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LEN(SUBSTITUTE(_xlfn.FORMULATEXT(FE$1),"=","")))+$EU17)</f>
        <v/>
      </c>
      <c r="FF17" s="82" t="e">
        <f t="array" aca="1" ref="FF17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LEN(SUBSTITUTE(_xlfn.FORMULATEXT(FF$1),"=","")))+$EU17)</f>
        <v>#N/A</v>
      </c>
      <c r="FG17" s="82">
        <f t="shared" ca="1" si="0"/>
        <v>0</v>
      </c>
      <c r="FH17" s="82" t="e">
        <f t="array" aca="1" ref="FH17" ca="1">SUMPRODUCT((LEN(EV17:FF17)&gt;0)*1)&gt;0</f>
        <v>#VALUE!</v>
      </c>
      <c r="FI17" s="82" t="str">
        <f t="array" aca="1" ref="FI17" ca="1">IFERROR(SMALL(IF(FG$1:FG$173&lt;&gt;0,FG$1:FG$173),ROW(A17)),"")</f>
        <v/>
      </c>
      <c r="FJ17" s="82" t="str">
        <f t="array" aca="1" ref="FJ17" ca="1">IF($FI17&lt;&gt;"",
INDIRECT(""&amp;IF(COLUMN(EV17)&lt;=26,CHAR(COLUMN(EV17)+64),CHAR(INT((COLUMN(EV17)-1)/26)+64)&amp;CHAR(MOD(COLUMN(EV17)-1,26)+65))&amp;$FI17&amp;""),"")</f>
        <v/>
      </c>
      <c r="FK17" s="82" t="str">
        <f t="array" aca="1" ref="FK17" ca="1">IF($FI17&lt;&gt;"",
INDIRECT(""&amp;IF(COLUMN(EW17)&lt;=26,CHAR(COLUMN(EW17)+64),CHAR(INT((COLUMN(EW17)-1)/26)+64)&amp;CHAR(MOD(COLUMN(EW17)-1,26)+65))&amp;$FI17&amp;""),"")</f>
        <v/>
      </c>
      <c r="FL17" s="82" t="str">
        <f t="array" aca="1" ref="FL17" ca="1">IF($FI17&lt;&gt;"",
INDIRECT(""&amp;IF(COLUMN(EX17)&lt;=26,CHAR(COLUMN(EX17)+64),CHAR(INT((COLUMN(EX17)-1)/26)+64)&amp;CHAR(MOD(COLUMN(EX17)-1,26)+65))&amp;$FI17&amp;""),"")</f>
        <v/>
      </c>
      <c r="FM17" s="82" t="str">
        <f t="array" aca="1" ref="FM17" ca="1">IF($FI17&lt;&gt;"",
IF(FL17="",
IF(INDIRECT("EY"&amp;$FI17&amp;"")&lt;&gt;"",
INDIRECT("EY"&amp;$FI17&amp;"")&amp;"箱"
&amp;INDIRECT("EZ"&amp;$FI17&amp;""),""),""),"")</f>
        <v/>
      </c>
      <c r="FN17" s="82" t="str">
        <f t="array" aca="1" ref="FN17" ca="1">IF($FI17&lt;&gt;"",
INDIRECT(""&amp;IF(COLUMN(FA17)&lt;=26,CHAR(COLUMN(FA17)+64),CHAR(INT((COLUMN(FA17)-1)/26)+64)&amp;CHAR(MOD(COLUMN(FA17)-1,26)+65))&amp;$FI17&amp;""),"")</f>
        <v/>
      </c>
      <c r="FO17" s="82" t="str">
        <f t="array" aca="1" ref="FO17" ca="1">IF($FI17&lt;&gt;"",
INDIRECT(""&amp;IF(COLUMN(FB17)&lt;=26,CHAR(COLUMN(FB17)+64),CHAR(INT((COLUMN(FB17)-1)/26)+64)&amp;CHAR(MOD(COLUMN(FB17)-1,26)+65))&amp;$FI17&amp;""),"")</f>
        <v/>
      </c>
      <c r="FP17" s="82" t="str">
        <f t="array" aca="1" ref="FP17" ca="1">IF($FI17&lt;&gt;"",
INDIRECT(""&amp;IF(COLUMN(FC17)&lt;=26,CHAR(COLUMN(FC17)+64),CHAR(INT((COLUMN(FC17)-1)/26)+64)&amp;CHAR(MOD(COLUMN(FC17)-1,26)+65))&amp;$FI17&amp;""),"")</f>
        <v/>
      </c>
      <c r="FQ17" s="82" t="str">
        <f t="array" aca="1" ref="FQ17" ca="1">IF($FI17&lt;&gt;"",
INDIRECT(""&amp;IF(COLUMN(FD17)&lt;=26,CHAR(COLUMN(FD17)+64),CHAR(INT((COLUMN(FD17)-1)/26)+64)&amp;CHAR(MOD(COLUMN(FD17)-1,26)+65))&amp;$FI17&amp;""),"")</f>
        <v/>
      </c>
      <c r="FR17" s="82" t="str">
        <f t="array" aca="1" ref="FR17" ca="1">IF($FI17&lt;&gt;"",
INDIRECT(""&amp;IF(COLUMN(FE17)&lt;=26,CHAR(COLUMN(FE17)+64),CHAR(INT((COLUMN(FE17)-1)/26)+64)&amp;CHAR(MOD(COLUMN(FE17)-1,26)+65))&amp;$FI17&amp;""),"")</f>
        <v/>
      </c>
      <c r="FS17" s="82" t="str">
        <f t="array" aca="1" ref="FS17" ca="1">IF($FI17&lt;&gt;"",
INDIRECT(""&amp;IF(COLUMN(FF17)&lt;=26,CHAR(COLUMN(FF17)+64),CHAR(INT((COLUMN(FF17)-1)/26)+64)&amp;CHAR(MOD(COLUMN(FF17)-1,26)+65))&amp;$FI17&amp;""),"")</f>
        <v/>
      </c>
    </row>
    <row r="18" spans="1:175" ht="18" customHeight="1" x14ac:dyDescent="0.45">
      <c r="B18" s="90"/>
      <c r="C18" s="185" t="e">
        <f t="array" aca="1" ref="C18" ca="1">IF(AND(N8="社食",G15="社食"),"",
IF(C16&lt;&gt;"",
IF(IFERROR(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"")=0,"",
IF(B17=100,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IF(AND(B17=200,COUNTIF(数出表_Excel!$A:$A,"*奈良屋*")=2),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IF(AND(B17=200,COUNTIF(数出表_Excel!$A:$A,"*奈良屋*")=3),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
+IFERROR(
INDEX(INDIRECT("数出表_Excel!B"&amp;MATCH(G15,数出表_Excel!$A:$A,0)-1+4&amp;":U"&amp;MATCH(G15,数出表_Excel!$A:$A,0)-1+4&amp;""),
 1,
 MATCH(TRUE, ISNUMBER(--INDIRECT("数出表_Excel!B"&amp;MATCH(G15,数出表_Excel!$A:$A,0)-1+4&amp;":U"&amp;MATCH(G15,数出表_Excel!$A:$A,0)-1+4&amp;"")), 0)),
 ""),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""))))),"")+B18)</f>
        <v>#VALUE!</v>
      </c>
      <c r="D18" s="186"/>
      <c r="E18" s="188" t="str">
        <f t="array" aca="1" ref="E18" ca="1">IF(AND(G15="社食",N15="社食"),"",
IF(C16&lt;&gt;"",
IF(IFERROR(
INDEX(INDIRECT("数出表_Excel!B"&amp;MATCH(G15,数出表_Excel!$A:$A,0)&amp;":U"&amp;MATCH(G15,数出表_Excel!$A:$A,0)&amp;""),
 1,B16-1),
 "")=0,"",
IFERROR(
INDEX(INDIRECT("数出表_Excel!B"&amp;MATCH(G15,数出表_Excel!$A:$A,0)&amp;":U"&amp;MATCH(G15,数出表_Excel!$A:$A,0)&amp;""),
 1,B16-1),
 "")),""))</f>
        <v/>
      </c>
      <c r="F18" s="186"/>
      <c r="G18" s="101" t="e">
        <f t="array" aca="1" ref="G18" ca="1">IF(B17=100,
IF(C15&lt;&gt;"",
IF(IFERROR(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0)&lt;&gt;0,
IF(IFERROR(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0)="",
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0),
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0)),0),""),0)</f>
        <v>#N/A</v>
      </c>
      <c r="I18" s="90"/>
      <c r="J18" s="185" t="e">
        <f t="array" aca="1" ref="J18" ca="1">IF(AND(G15="社食",N15="社食"),"",
IF(J16&lt;&gt;"",
IF(IFERROR(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"")=0,"",
IF(I17=100,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IF(AND(I17=200,COUNTIF(数出表_Excel!$A:$A,"*奈良屋*")=2),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IF(AND(I17=200,COUNTIF(数出表_Excel!$A:$A,"*奈良屋*")=3),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
+IFERROR(
INDEX(INDIRECT("数出表_Excel!B"&amp;MATCH(N15,数出表_Excel!$A:$A,0)-1+4&amp;":U"&amp;MATCH(N15,数出表_Excel!$A:$A,0)-1+4&amp;""),
 1,
 MATCH(TRUE, ISNUMBER(--INDIRECT("数出表_Excel!B"&amp;MATCH(N15,数出表_Excel!$A:$A,0)-1+4&amp;":U"&amp;MATCH(N15,数出表_Excel!$A:$A,0)-1+4&amp;"")), 0)),
 ""),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""))))),"")+I18)</f>
        <v>#VALUE!</v>
      </c>
      <c r="K18" s="186"/>
      <c r="L18" s="188" t="str">
        <f t="array" aca="1" ref="L18" ca="1">IF(AND(N15="社食",G22="社食"),"",
IF(J16&lt;&gt;"",
IF(IFERROR(
INDEX(INDIRECT("数出表_Excel!B"&amp;MATCH(N15,数出表_Excel!$A:$A,0)&amp;":U"&amp;MATCH(N15,数出表_Excel!$A:$A,0)&amp;""),
 1,I16-1),
 "")=0,"",
IFERROR(
INDEX(INDIRECT("数出表_Excel!B"&amp;MATCH(N15,数出表_Excel!$A:$A,0)&amp;":U"&amp;MATCH(N15,数出表_Excel!$A:$A,0)&amp;""),
 1,I16-1),
 "")),""))</f>
        <v/>
      </c>
      <c r="M18" s="186"/>
      <c r="N18" s="101" t="e">
        <f t="array" aca="1" ref="N18" ca="1">IF(I17=100,
IF(J15&lt;&gt;"",
IF(IFERROR(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0)&lt;&gt;0,
IF(IFERROR(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0)="",
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0),
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0)),0),""),0)</f>
        <v>#N/A</v>
      </c>
      <c r="Q18" s="90"/>
      <c r="R18" s="185" t="e">
        <f t="array" aca="1" ref="R18" ca="1">IF(AND(AC8="社食",V15="社食"),"",
IF(R16&lt;&gt;"",
IF(IFERROR(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"")=0,"",
IF(Q17=100,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IF(AND(Q17=200,COUNTIF(数出表_Excel!$A:$A,"*奈良屋*")=2),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IF(AND(Q17=200,COUNTIF(数出表_Excel!$A:$A,"*奈良屋*")=3),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
+IFERROR(
INDEX(INDIRECT("数出表_Excel!B"&amp;MATCH(V15,数出表_Excel!$A:$A,0)-1+4&amp;":U"&amp;MATCH(V15,数出表_Excel!$A:$A,0)-1+4&amp;""),
 1,
 MATCH(TRUE, ISNUMBER(--INDIRECT("数出表_Excel!B"&amp;MATCH(V15,数出表_Excel!$A:$A,0)-1+4&amp;":U"&amp;MATCH(V15,数出表_Excel!$A:$A,0)-1+4&amp;"")), 0)),
 ""),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""))))),"")+Q18)</f>
        <v>#VALUE!</v>
      </c>
      <c r="S18" s="186"/>
      <c r="T18" s="188" t="str">
        <f t="array" aca="1" ref="T18" ca="1">IF(AND(V15="社食",AC15="社食"),"",
IF(R16&lt;&gt;"",
IF(IFERROR(
INDEX(INDIRECT("数出表_Excel!B"&amp;MATCH(V15,数出表_Excel!$A:$A,0)&amp;":U"&amp;MATCH(V15,数出表_Excel!$A:$A,0)&amp;""),
 1,Q16-1),
 "")=0,"",
IFERROR(
INDEX(INDIRECT("数出表_Excel!B"&amp;MATCH(V15,数出表_Excel!$A:$A,0)&amp;":U"&amp;MATCH(V15,数出表_Excel!$A:$A,0)&amp;""),
 1,Q16-1),
 "")),""))</f>
        <v/>
      </c>
      <c r="U18" s="186"/>
      <c r="V18" s="101" t="e">
        <f t="array" aca="1" ref="V18" ca="1">IF(Q17=100,
IF(R15&lt;&gt;"",
IF(IFERROR(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0)&lt;&gt;0,
IF(IFERROR(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0)="",
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0),
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0)),0),""),0)</f>
        <v>#N/A</v>
      </c>
      <c r="X18" s="90"/>
      <c r="Y18" s="185" t="e">
        <f t="array" aca="1" ref="Y18" ca="1">IF(AND(V15="社食",AC15="社食"),"",
IF(Y16&lt;&gt;"",
IF(IFERROR(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"")=0,"",
IF(X17=100,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IF(AND(X17=200,COUNTIF(数出表_Excel!$A:$A,"*奈良屋*")=2),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IF(AND(X17=200,COUNTIF(数出表_Excel!$A:$A,"*奈良屋*")=3),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
+IFERROR(
INDEX(INDIRECT("数出表_Excel!B"&amp;MATCH(AC15,数出表_Excel!$A:$A,0)-1+4&amp;":U"&amp;MATCH(AC15,数出表_Excel!$A:$A,0)-1+4&amp;""),
 1,
 MATCH(TRUE, ISNUMBER(--INDIRECT("数出表_Excel!B"&amp;MATCH(AC15,数出表_Excel!$A:$A,0)-1+4&amp;":U"&amp;MATCH(AC15,数出表_Excel!$A:$A,0)-1+4&amp;"")), 0)),
 ""),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""))))),"")+X18)</f>
        <v>#VALUE!</v>
      </c>
      <c r="Z18" s="186"/>
      <c r="AA18" s="188" t="str">
        <f t="array" aca="1" ref="AA18" ca="1">IF(AND(AC15="社食",V22="社食"),"",
IF(Y16&lt;&gt;"",
IF(IFERROR(
INDEX(INDIRECT("数出表_Excel!B"&amp;MATCH(AC15,数出表_Excel!$A:$A,0)&amp;":U"&amp;MATCH(AC15,数出表_Excel!$A:$A,0)&amp;""),
 1,X16-1),
 "")=0,"",
IFERROR(
INDEX(INDIRECT("数出表_Excel!B"&amp;MATCH(AC15,数出表_Excel!$A:$A,0)&amp;":U"&amp;MATCH(AC15,数出表_Excel!$A:$A,0)&amp;""),
 1,X16-1),
 "")),""))</f>
        <v/>
      </c>
      <c r="AB18" s="186"/>
      <c r="AC18" s="101" t="e">
        <f t="array" aca="1" ref="AC18" ca="1">IF(X17=100,
IF(Y15&lt;&gt;"",
IF(IFERROR(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0)&lt;&gt;0,
IF(IFERROR(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0)="",
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0),
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0)),0),""),0)</f>
        <v>#N/A</v>
      </c>
      <c r="AF18" s="90"/>
      <c r="AG18" s="185" t="e">
        <f t="array" aca="1" ref="AG18" ca="1">IF(AND(AR8="社食",AK15="社食"),"",
IF(AG16&lt;&gt;"",
IF(IFERROR(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"")=0,"",
IF(AF17=100,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IF(AND(AF17=200,COUNTIF(数出表_Excel!$A:$A,"*奈良屋*")=2),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IF(AND(AF17=200,COUNTIF(数出表_Excel!$A:$A,"*奈良屋*")=3),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
+IFERROR(
INDEX(INDIRECT("数出表_Excel!B"&amp;MATCH(AK15,数出表_Excel!$A:$A,0)-1+4&amp;":U"&amp;MATCH(AK15,数出表_Excel!$A:$A,0)-1+4&amp;""),
 1,
 MATCH(TRUE, ISNUMBER(--INDIRECT("数出表_Excel!B"&amp;MATCH(AK15,数出表_Excel!$A:$A,0)-1+4&amp;":U"&amp;MATCH(AK15,数出表_Excel!$A:$A,0)-1+4&amp;"")), 0)),
 ""),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""))))),"")+AF18)</f>
        <v>#VALUE!</v>
      </c>
      <c r="AH18" s="186"/>
      <c r="AI18" s="188" t="str">
        <f t="array" aca="1" ref="AI18" ca="1">IF(AND(AK15="社食",AR15="社食"),"",
IF(AG16&lt;&gt;"",
IF(IFERROR(
INDEX(INDIRECT("数出表_Excel!B"&amp;MATCH(AK15,数出表_Excel!$A:$A,0)&amp;":U"&amp;MATCH(AK15,数出表_Excel!$A:$A,0)&amp;""),
 1,AF16-1),
 "")=0,"",
IFERROR(
INDEX(INDIRECT("数出表_Excel!B"&amp;MATCH(AK15,数出表_Excel!$A:$A,0)&amp;":U"&amp;MATCH(AK15,数出表_Excel!$A:$A,0)&amp;""),
 1,AF16-1),
 "")),""))</f>
        <v/>
      </c>
      <c r="AJ18" s="186"/>
      <c r="AK18" s="101" t="e">
        <f t="array" aca="1" ref="AK18" ca="1">IF(AF17=100,
IF(AG15&lt;&gt;"",
IF(IFERROR(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0)&lt;&gt;0,
IF(IFERROR(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0)="",
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0),
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0)),0),""),0)</f>
        <v>#N/A</v>
      </c>
      <c r="AM18" s="90"/>
      <c r="AN18" s="185" t="e">
        <f t="array" aca="1" ref="AN18" ca="1">IF(AND(AK15="社食",AR15="社食"),"",
IF(AN16&lt;&gt;"",
IF(IFERROR(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"")=0,"",
IF(AM17=100,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IF(AND(AM17=200,COUNTIF(数出表_Excel!$A:$A,"*奈良屋*")=2),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IF(AND(AM17=200,COUNTIF(数出表_Excel!$A:$A,"*奈良屋*")=3),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
+IFERROR(
INDEX(INDIRECT("数出表_Excel!B"&amp;MATCH(AR15,数出表_Excel!$A:$A,0)-1+4&amp;":U"&amp;MATCH(AR15,数出表_Excel!$A:$A,0)-1+4&amp;""),
 1,
 MATCH(TRUE, ISNUMBER(--INDIRECT("数出表_Excel!B"&amp;MATCH(AR15,数出表_Excel!$A:$A,0)-1+4&amp;":U"&amp;MATCH(AR15,数出表_Excel!$A:$A,0)-1+4&amp;"")), 0)),
 ""),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""))))),"")+AM18)</f>
        <v>#VALUE!</v>
      </c>
      <c r="AO18" s="186"/>
      <c r="AP18" s="188" t="str">
        <f t="array" aca="1" ref="AP18" ca="1">IF(AND(AR15="社食",AK22="社食"),"",
IF(AN16&lt;&gt;"",
IF(IFERROR(
INDEX(INDIRECT("数出表_Excel!B"&amp;MATCH(AR15,数出表_Excel!$A:$A,0)&amp;":U"&amp;MATCH(AR15,数出表_Excel!$A:$A,0)&amp;""),
 1,AM16-1),
 "")=0,"",
IFERROR(
INDEX(INDIRECT("数出表_Excel!B"&amp;MATCH(AR15,数出表_Excel!$A:$A,0)&amp;":U"&amp;MATCH(AR15,数出表_Excel!$A:$A,0)&amp;""),
 1,AM16-1),
 "")),""))</f>
        <v/>
      </c>
      <c r="AQ18" s="186"/>
      <c r="AR18" s="101" t="e">
        <f t="array" aca="1" ref="AR18" ca="1">IF(AM17=100,
IF(AN15&lt;&gt;"",
IF(IFERROR(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0)&lt;&gt;0,
IF(IFERROR(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0)="",
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0),
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0)),0),""),0)</f>
        <v>#N/A</v>
      </c>
      <c r="AU18" s="90"/>
      <c r="AV18" s="185" t="e">
        <f t="array" aca="1" ref="AV18" ca="1">IF(AND(BG8="社食",AZ15="社食"),"",
IF(AV16&lt;&gt;"",
IF(IFERROR(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"")=0,"",
IF(AU17=100,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IF(AND(AU17=200,COUNTIF(数出表_Excel!$A:$A,"*奈良屋*")=2),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IF(AND(AU17=200,COUNTIF(数出表_Excel!$A:$A,"*奈良屋*")=3),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
+IFERROR(
INDEX(INDIRECT("数出表_Excel!B"&amp;MATCH(AZ15,数出表_Excel!$A:$A,0)-1+4&amp;":U"&amp;MATCH(AZ15,数出表_Excel!$A:$A,0)-1+4&amp;""),
 1,
 MATCH(TRUE, ISNUMBER(--INDIRECT("数出表_Excel!B"&amp;MATCH(AZ15,数出表_Excel!$A:$A,0)-1+4&amp;":U"&amp;MATCH(AZ15,数出表_Excel!$A:$A,0)-1+4&amp;"")), 0)),
 ""),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""))))),"")+AU18)</f>
        <v>#VALUE!</v>
      </c>
      <c r="AW18" s="186"/>
      <c r="AX18" s="188" t="str">
        <f t="array" aca="1" ref="AX18" ca="1">IF(AND(AZ15="社食",BG15="社食"),"",
IF(AV16&lt;&gt;"",
IF(IFERROR(
INDEX(INDIRECT("数出表_Excel!B"&amp;MATCH(AZ15,数出表_Excel!$A:$A,0)&amp;":U"&amp;MATCH(AZ15,数出表_Excel!$A:$A,0)&amp;""),
 1,AU16-1),
 "")=0,"",
IFERROR(
INDEX(INDIRECT("数出表_Excel!B"&amp;MATCH(AZ15,数出表_Excel!$A:$A,0)&amp;":U"&amp;MATCH(AZ15,数出表_Excel!$A:$A,0)&amp;""),
 1,AU16-1),
 "")),""))</f>
        <v/>
      </c>
      <c r="AY18" s="186"/>
      <c r="AZ18" s="101" t="e">
        <f t="array" aca="1" ref="AZ18" ca="1">IF(AU17=100,
IF(AV15&lt;&gt;"",
IF(IFERROR(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0)&lt;&gt;0,
IF(IFERROR(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0)="",
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0),
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0)),0),""),0)</f>
        <v>#N/A</v>
      </c>
      <c r="BB18" s="90"/>
      <c r="BC18" s="185" t="e">
        <f t="array" aca="1" ref="BC18" ca="1">IF(AND(AZ15="社食",BG15="社食"),"",
IF(BC16&lt;&gt;"",
IF(IFERROR(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"")=0,"",
IF(BB17=100,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IF(AND(BB17=200,COUNTIF(数出表_Excel!$A:$A,"*奈良屋*")=2),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IF(AND(BB17=200,COUNTIF(数出表_Excel!$A:$A,"*奈良屋*")=3),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
+IFERROR(
INDEX(INDIRECT("数出表_Excel!B"&amp;MATCH(BG15,数出表_Excel!$A:$A,0)-1+4&amp;":U"&amp;MATCH(BG15,数出表_Excel!$A:$A,0)-1+4&amp;""),
 1,
 MATCH(TRUE, ISNUMBER(--INDIRECT("数出表_Excel!B"&amp;MATCH(BG15,数出表_Excel!$A:$A,0)-1+4&amp;":U"&amp;MATCH(BG15,数出表_Excel!$A:$A,0)-1+4&amp;"")), 0)),
 ""),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""))))),"")+BB18)</f>
        <v>#VALUE!</v>
      </c>
      <c r="BD18" s="186"/>
      <c r="BE18" s="188" t="str">
        <f t="array" aca="1" ref="BE18" ca="1">IF(AND(BG15="社食",AZ22="社食"),"",
IF(BC16&lt;&gt;"",
IF(IFERROR(
INDEX(INDIRECT("数出表_Excel!B"&amp;MATCH(BG15,数出表_Excel!$A:$A,0)&amp;":U"&amp;MATCH(BG15,数出表_Excel!$A:$A,0)&amp;""),
 1,BB16-1),
 "")=0,"",
IFERROR(
INDEX(INDIRECT("数出表_Excel!B"&amp;MATCH(BG15,数出表_Excel!$A:$A,0)&amp;":U"&amp;MATCH(BG15,数出表_Excel!$A:$A,0)&amp;""),
 1,BB16-1),
 "")),""))</f>
        <v/>
      </c>
      <c r="BF18" s="186"/>
      <c r="BG18" s="101" t="e">
        <f t="array" aca="1" ref="BG18" ca="1">IF(BB17=100,
IF(BC15&lt;&gt;"",
IF(IFERROR(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0)&lt;&gt;0,
IF(IFERROR(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0)="",
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0),
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0)),0),""),0)</f>
        <v>#N/A</v>
      </c>
      <c r="BJ18" s="90"/>
      <c r="BK18" s="185" t="e">
        <f t="array" aca="1" ref="BK18" ca="1">IF(AND(BV8="社食",BO15="社食"),"",
IF(BK16&lt;&gt;"",
IF(IFERROR(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"")=0,"",
IF(BJ17=100,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IF(AND(BJ17=200,COUNTIF(数出表_Excel!$A:$A,"*奈良屋*")=2),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IF(AND(BJ17=200,COUNTIF(数出表_Excel!$A:$A,"*奈良屋*")=3),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
+IFERROR(
INDEX(INDIRECT("数出表_Excel!B"&amp;MATCH(BO15,数出表_Excel!$A:$A,0)-1+4&amp;":U"&amp;MATCH(BO15,数出表_Excel!$A:$A,0)-1+4&amp;""),
 1,
 MATCH(TRUE, ISNUMBER(--INDIRECT("数出表_Excel!B"&amp;MATCH(BO15,数出表_Excel!$A:$A,0)-1+4&amp;":U"&amp;MATCH(BO15,数出表_Excel!$A:$A,0)-1+4&amp;"")), 0)),
 ""),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""))))),"")+BJ18)</f>
        <v>#VALUE!</v>
      </c>
      <c r="BL18" s="186"/>
      <c r="BM18" s="188" t="str">
        <f t="array" aca="1" ref="BM18" ca="1">IF(AND(BO15="社食",BV15="社食"),"",
IF(BK16&lt;&gt;"",
IF(IFERROR(
INDEX(INDIRECT("数出表_Excel!B"&amp;MATCH(BO15,数出表_Excel!$A:$A,0)&amp;":U"&amp;MATCH(BO15,数出表_Excel!$A:$A,0)&amp;""),
 1,BJ16-1),
 "")=0,"",
IFERROR(
INDEX(INDIRECT("数出表_Excel!B"&amp;MATCH(BO15,数出表_Excel!$A:$A,0)&amp;":U"&amp;MATCH(BO15,数出表_Excel!$A:$A,0)&amp;""),
 1,BJ16-1),
 "")),""))</f>
        <v/>
      </c>
      <c r="BN18" s="186"/>
      <c r="BO18" s="101" t="e">
        <f t="array" aca="1" ref="BO18" ca="1">IF(BJ17=100,
IF(BK15&lt;&gt;"",
IF(IFERROR(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0)&lt;&gt;0,
IF(IFERROR(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0)="",
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0),
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0)),0),""),0)</f>
        <v>#N/A</v>
      </c>
      <c r="BQ18" s="90"/>
      <c r="BR18" s="185" t="e">
        <f t="array" aca="1" ref="BR18" ca="1">IF(AND(BO15="社食",BV15="社食"),"",
IF(BR16&lt;&gt;"",
IF(IFERROR(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"")=0,"",
IF(BQ17=100,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IF(AND(BQ17=200,COUNTIF(数出表_Excel!$A:$A,"*奈良屋*")=2),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IF(AND(BQ17=200,COUNTIF(数出表_Excel!$A:$A,"*奈良屋*")=3),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
+IFERROR(
INDEX(INDIRECT("数出表_Excel!B"&amp;MATCH(BV15,数出表_Excel!$A:$A,0)-1+4&amp;":U"&amp;MATCH(BV15,数出表_Excel!$A:$A,0)-1+4&amp;""),
 1,
 MATCH(TRUE, ISNUMBER(--INDIRECT("数出表_Excel!B"&amp;MATCH(BV15,数出表_Excel!$A:$A,0)-1+4&amp;":U"&amp;MATCH(BV15,数出表_Excel!$A:$A,0)-1+4&amp;"")), 0)),
 ""),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""))))),"")+BQ18)</f>
        <v>#VALUE!</v>
      </c>
      <c r="BS18" s="186"/>
      <c r="BT18" s="188" t="str">
        <f t="array" aca="1" ref="BT18" ca="1">IF(AND(BV15="社食",BO22="社食"),"",
IF(BR16&lt;&gt;"",
IF(IFERROR(
INDEX(INDIRECT("数出表_Excel!B"&amp;MATCH(BV15,数出表_Excel!$A:$A,0)&amp;":U"&amp;MATCH(BV15,数出表_Excel!$A:$A,0)&amp;""),
 1,BQ16-1),
 "")=0,"",
IFERROR(
INDEX(INDIRECT("数出表_Excel!B"&amp;MATCH(BV15,数出表_Excel!$A:$A,0)&amp;":U"&amp;MATCH(BV15,数出表_Excel!$A:$A,0)&amp;""),
 1,BQ16-1),
 "")),""))</f>
        <v/>
      </c>
      <c r="BU18" s="186"/>
      <c r="BV18" s="101" t="e">
        <f t="array" aca="1" ref="BV18" ca="1">IF(BQ17=100,
IF(BR15&lt;&gt;"",
IF(IFERROR(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0)&lt;&gt;0,
IF(IFERROR(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0)="",
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0),
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0)),0),""),0)</f>
        <v>#N/A</v>
      </c>
      <c r="BY18" s="90"/>
      <c r="BZ18" s="185" t="e">
        <f t="array" aca="1" ref="BZ18" ca="1">IF(AND(CK8="社食",CD15="社食"),"",
IF(BZ16&lt;&gt;"",
IF(IFERROR(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"")=0,"",
IF(BY17=100,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""),
IF(AND(BY17=200,COUNTIF(数出表_Excel!$A:$A,"*奈良屋*")=2),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""),
IF(AND(BY17=200,COUNTIF(数出表_Excel!$A:$A,"*奈良屋*")=3),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
+IFERROR(
INDEX(INDIRECT("数出表_Excel!B"&amp;MATCH(CD15,数出表_Excel!$A:$A,0)-1+4&amp;":U"&amp;MATCH(CD15,数出表_Excel!$A:$A,0)-1+4&amp;""),
 1,
 MATCH(TRUE, ISNUMBER(--INDIRECT("数出表_Excel!B"&amp;MATCH(CD15,数出表_Excel!$A:$A,0)-1+4&amp;":U"&amp;MATCH(CD15,数出表_Excel!$A:$A,0)-1+4&amp;"")), 0)),
 ""),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""))))),"")+BY18)</f>
        <v>#VALUE!</v>
      </c>
      <c r="CA18" s="186"/>
      <c r="CB18" s="188" t="str">
        <f t="array" aca="1" ref="CB18" ca="1">IF(AND(CD15="社食",CK15="社食"),"",
IF(BZ16&lt;&gt;"",
IF(IFERROR(
INDEX(INDIRECT("数出表_Excel!B"&amp;MATCH(CD15,数出表_Excel!$A:$A,0)&amp;":U"&amp;MATCH(CD15,数出表_Excel!$A:$A,0)&amp;""),
 1,BY16-1),
 "")=0,"",
IFERROR(
INDEX(INDIRECT("数出表_Excel!B"&amp;MATCH(CD15,数出表_Excel!$A:$A,0)&amp;":U"&amp;MATCH(CD15,数出表_Excel!$A:$A,0)&amp;""),
 1,BY16-1),
 "")),""))</f>
        <v/>
      </c>
      <c r="CC18" s="186"/>
      <c r="CD18" s="101" t="e">
        <f t="array" aca="1" ref="CD18" ca="1">IF(BY17=100,
IF(BZ15&lt;&gt;"",
IF(IFERROR(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0)&lt;&gt;0,
IF(IFERROR(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0)="",
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0),
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0)),0),""),0)</f>
        <v>#N/A</v>
      </c>
      <c r="CF18" s="90"/>
      <c r="CG18" s="185" t="e">
        <f t="array" aca="1" ref="CG18" ca="1">IF(AND(CD15="社食",CK15="社食"),"",
IF(CG16&lt;&gt;"",
IF(IFERROR(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"")=0,"",
IF(CF17=100,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""),
IF(AND(CF17=200,COUNTIF(数出表_Excel!$A:$A,"*奈良屋*")=2),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""),
IF(AND(CF17=200,COUNTIF(数出表_Excel!$A:$A,"*奈良屋*")=3),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
+IFERROR(
INDEX(INDIRECT("数出表_Excel!B"&amp;MATCH(CK15,数出表_Excel!$A:$A,0)-1+4&amp;":U"&amp;MATCH(CK15,数出表_Excel!$A:$A,0)-1+4&amp;""),
 1,
 MATCH(TRUE, ISNUMBER(--INDIRECT("数出表_Excel!B"&amp;MATCH(CK15,数出表_Excel!$A:$A,0)-1+4&amp;":U"&amp;MATCH(CK15,数出表_Excel!$A:$A,0)-1+4&amp;"")), 0)),
 ""),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""))))),"")+CF18)</f>
        <v>#VALUE!</v>
      </c>
      <c r="CH18" s="186"/>
      <c r="CI18" s="188" t="str">
        <f t="array" aca="1" ref="CI18" ca="1">IF(AND(CK15="社食",CD22="社食"),"",
IF(CG16&lt;&gt;"",
IF(IFERROR(
INDEX(INDIRECT("数出表_Excel!B"&amp;MATCH(CK15,数出表_Excel!$A:$A,0)&amp;":U"&amp;MATCH(CK15,数出表_Excel!$A:$A,0)&amp;""),
 1,CF16-1),
 "")=0,"",
IFERROR(
INDEX(INDIRECT("数出表_Excel!B"&amp;MATCH(CK15,数出表_Excel!$A:$A,0)&amp;":U"&amp;MATCH(CK15,数出表_Excel!$A:$A,0)&amp;""),
 1,CF16-1),
 "")),""))</f>
        <v/>
      </c>
      <c r="CJ18" s="186"/>
      <c r="CK18" s="101" t="e">
        <f t="array" aca="1" ref="CK18" ca="1">IF(CF17=100,
IF(CG15&lt;&gt;"",
IF(IFERROR(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0)&lt;&gt;0,
IF(IFERROR(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0)="",
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0),
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0)),0),""),0)</f>
        <v>#N/A</v>
      </c>
      <c r="CN18" s="90"/>
      <c r="CO18" s="185" t="e">
        <f t="array" aca="1" ref="CO18" ca="1">IF(AND(CZ8="社食",CS15="社食"),"",
IF(CO16&lt;&gt;"",
IF(IFERROR(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"")=0,"",
IF(CN17=100,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""),
IF(AND(CN17=200,COUNTIF(数出表_Excel!$A:$A,"*奈良屋*")=2),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""),
IF(AND(CN17=200,COUNTIF(数出表_Excel!$A:$A,"*奈良屋*")=3),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
+IFERROR(
INDEX(INDIRECT("数出表_Excel!B"&amp;MATCH(CS15,数出表_Excel!$A:$A,0)-1+4&amp;":U"&amp;MATCH(CS15,数出表_Excel!$A:$A,0)-1+4&amp;""),
 1,
 MATCH(TRUE, ISNUMBER(--INDIRECT("数出表_Excel!B"&amp;MATCH(CS15,数出表_Excel!$A:$A,0)-1+4&amp;":U"&amp;MATCH(CS15,数出表_Excel!$A:$A,0)-1+4&amp;"")), 0)),
 ""),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""))))),"")+CN18)</f>
        <v>#VALUE!</v>
      </c>
      <c r="CP18" s="186"/>
      <c r="CQ18" s="188" t="str">
        <f t="array" aca="1" ref="CQ18" ca="1">IF(AND(CS15="社食",CZ15="社食"),"",
IF(CO16&lt;&gt;"",
IF(IFERROR(
INDEX(INDIRECT("数出表_Excel!B"&amp;MATCH(CS15,数出表_Excel!$A:$A,0)&amp;":U"&amp;MATCH(CS15,数出表_Excel!$A:$A,0)&amp;""),
 1,CN16-1),
 "")=0,"",
IFERROR(
INDEX(INDIRECT("数出表_Excel!B"&amp;MATCH(CS15,数出表_Excel!$A:$A,0)&amp;":U"&amp;MATCH(CS15,数出表_Excel!$A:$A,0)&amp;""),
 1,CN16-1),
 "")),""))</f>
        <v/>
      </c>
      <c r="CR18" s="186"/>
      <c r="CS18" s="101" t="e">
        <f t="array" aca="1" ref="CS18" ca="1">IF(CN17=100,
IF(CO15&lt;&gt;"",
IF(IFERROR(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0)&lt;&gt;0,
IF(IFERROR(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0)="",
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0),
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0)),0),""),0)</f>
        <v>#N/A</v>
      </c>
      <c r="CU18" s="90"/>
      <c r="CV18" s="185" t="e">
        <f t="array" aca="1" ref="CV18" ca="1">IF(AND(CS15="社食",CZ15="社食"),"",
IF(CV16&lt;&gt;"",
IF(IFERROR(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"")=0,"",
IF(CU17=100,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""),
IF(AND(CU17=200,COUNTIF(数出表_Excel!$A:$A,"*奈良屋*")=2),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""),
IF(AND(CU17=200,COUNTIF(数出表_Excel!$A:$A,"*奈良屋*")=3),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
+IFERROR(
INDEX(INDIRECT("数出表_Excel!B"&amp;MATCH(CZ15,数出表_Excel!$A:$A,0)-1+4&amp;":U"&amp;MATCH(CZ15,数出表_Excel!$A:$A,0)-1+4&amp;""),
 1,
 MATCH(TRUE, ISNUMBER(--INDIRECT("数出表_Excel!B"&amp;MATCH(CZ15,数出表_Excel!$A:$A,0)-1+4&amp;":U"&amp;MATCH(CZ15,数出表_Excel!$A:$A,0)-1+4&amp;"")), 0)),
 ""),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""))))),"")+CU18)</f>
        <v>#VALUE!</v>
      </c>
      <c r="CW18" s="186"/>
      <c r="CX18" s="188" t="str">
        <f t="array" aca="1" ref="CX18" ca="1">IF(AND(CZ15="社食",CS22="社食"),"",
IF(CV16&lt;&gt;"",
IF(IFERROR(
INDEX(INDIRECT("数出表_Excel!B"&amp;MATCH(CZ15,数出表_Excel!$A:$A,0)&amp;":U"&amp;MATCH(CZ15,数出表_Excel!$A:$A,0)&amp;""),
 1,CU16-1),
 "")=0,"",
IFERROR(
INDEX(INDIRECT("数出表_Excel!B"&amp;MATCH(CZ15,数出表_Excel!$A:$A,0)&amp;":U"&amp;MATCH(CZ15,数出表_Excel!$A:$A,0)&amp;""),
 1,CU16-1),
 "")),""))</f>
        <v/>
      </c>
      <c r="CY18" s="186"/>
      <c r="CZ18" s="101" t="e">
        <f t="array" aca="1" ref="CZ18" ca="1">IF(CU17=100,
IF(CV15&lt;&gt;"",
IF(IFERROR(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0)&lt;&gt;0,
IF(IFERROR(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0)="",
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0),
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0)),0),""),0)</f>
        <v>#N/A</v>
      </c>
      <c r="DC18" s="90"/>
      <c r="DD18" s="185" t="e">
        <f t="array" aca="1" ref="DD18" ca="1">IF(AND(DO8="社食",DH15="社食"),"",
IF(DD16&lt;&gt;"",
IF(IFERROR(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"")=0,"",
IF(DC17=100,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""),
IF(AND(DC17=200,COUNTIF(数出表_Excel!$A:$A,"*奈良屋*")=2),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""),
IF(AND(DC17=200,COUNTIF(数出表_Excel!$A:$A,"*奈良屋*")=3),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
+IFERROR(
INDEX(INDIRECT("数出表_Excel!B"&amp;MATCH(DH15,数出表_Excel!$A:$A,0)-1+4&amp;":U"&amp;MATCH(DH15,数出表_Excel!$A:$A,0)-1+4&amp;""),
 1,
 MATCH(TRUE, ISNUMBER(--INDIRECT("数出表_Excel!B"&amp;MATCH(DH15,数出表_Excel!$A:$A,0)-1+4&amp;":U"&amp;MATCH(DH15,数出表_Excel!$A:$A,0)-1+4&amp;"")), 0)),
 ""),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""))))),"")+DC18)</f>
        <v>#VALUE!</v>
      </c>
      <c r="DE18" s="186"/>
      <c r="DF18" s="188" t="str">
        <f t="array" aca="1" ref="DF18" ca="1">IF(AND(DH15="社食",DO15="社食"),"",
IF(DD16&lt;&gt;"",
IF(IFERROR(
INDEX(INDIRECT("数出表_Excel!B"&amp;MATCH(DH15,数出表_Excel!$A:$A,0)&amp;":U"&amp;MATCH(DH15,数出表_Excel!$A:$A,0)&amp;""),
 1,DC16-1),
 "")=0,"",
IFERROR(
INDEX(INDIRECT("数出表_Excel!B"&amp;MATCH(DH15,数出表_Excel!$A:$A,0)&amp;":U"&amp;MATCH(DH15,数出表_Excel!$A:$A,0)&amp;""),
 1,DC16-1),
 "")),""))</f>
        <v/>
      </c>
      <c r="DG18" s="186"/>
      <c r="DH18" s="101" t="e">
        <f t="array" aca="1" ref="DH18" ca="1">IF(DC17=100,
IF(DD15&lt;&gt;"",
IF(IFERROR(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0)&lt;&gt;0,
IF(IFERROR(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0)="",
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0),
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0)),0),""),0)</f>
        <v>#N/A</v>
      </c>
      <c r="DJ18" s="90"/>
      <c r="DK18" s="185" t="e">
        <f t="array" aca="1" ref="DK18" ca="1">IF(AND(DH15="社食",DO15="社食"),"",
IF(DK16&lt;&gt;"",
IF(IFERROR(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"")=0,"",
IF(DJ17=100,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""),
IF(AND(DJ17=200,COUNTIF(数出表_Excel!$A:$A,"*奈良屋*")=2),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""),
IF(AND(DJ17=200,COUNTIF(数出表_Excel!$A:$A,"*奈良屋*")=3),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
+IFERROR(
INDEX(INDIRECT("数出表_Excel!B"&amp;MATCH(DO15,数出表_Excel!$A:$A,0)-1+4&amp;":U"&amp;MATCH(DO15,数出表_Excel!$A:$A,0)-1+4&amp;""),
 1,
 MATCH(TRUE, ISNUMBER(--INDIRECT("数出表_Excel!B"&amp;MATCH(DO15,数出表_Excel!$A:$A,0)-1+4&amp;":U"&amp;MATCH(DO15,数出表_Excel!$A:$A,0)-1+4&amp;"")), 0)),
 ""),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""))))),"")+DJ18)</f>
        <v>#VALUE!</v>
      </c>
      <c r="DL18" s="186"/>
      <c r="DM18" s="188" t="str">
        <f t="array" aca="1" ref="DM18" ca="1">IF(AND(DO15="社食",DH22="社食"),"",
IF(DK16&lt;&gt;"",
IF(IFERROR(
INDEX(INDIRECT("数出表_Excel!B"&amp;MATCH(DO15,数出表_Excel!$A:$A,0)&amp;":U"&amp;MATCH(DO15,数出表_Excel!$A:$A,0)&amp;""),
 1,DJ16-1),
 "")=0,"",
IFERROR(
INDEX(INDIRECT("数出表_Excel!B"&amp;MATCH(DO15,数出表_Excel!$A:$A,0)&amp;":U"&amp;MATCH(DO15,数出表_Excel!$A:$A,0)&amp;""),
 1,DJ16-1),
 "")),""))</f>
        <v/>
      </c>
      <c r="DN18" s="186"/>
      <c r="DO18" s="101" t="e">
        <f t="array" aca="1" ref="DO18" ca="1">IF(DJ17=100,
IF(DK15&lt;&gt;"",
IF(IFERROR(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0)&lt;&gt;0,
IF(IFERROR(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0)="",
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0),
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0)),0),""),0)</f>
        <v>#N/A</v>
      </c>
      <c r="DR18" s="90"/>
      <c r="DS18" s="185" t="e">
        <f t="array" aca="1" ref="DS18" ca="1">IF(AND(ED8="社食",DW15="社食"),"",
IF(DS16&lt;&gt;"",
IF(IFERROR(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"")=0,"",
IF(DR17=100,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""),
IF(AND(DR17=200,COUNTIF(数出表_Excel!$A:$A,"*奈良屋*")=2),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""),
IF(AND(DR17=200,COUNTIF(数出表_Excel!$A:$A,"*奈良屋*")=3),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
+IFERROR(
INDEX(INDIRECT("数出表_Excel!B"&amp;MATCH(DW15,数出表_Excel!$A:$A,0)-1+4&amp;":U"&amp;MATCH(DW15,数出表_Excel!$A:$A,0)-1+4&amp;""),
 1,
 MATCH(TRUE, ISNUMBER(--INDIRECT("数出表_Excel!B"&amp;MATCH(DW15,数出表_Excel!$A:$A,0)-1+4&amp;":U"&amp;MATCH(DW15,数出表_Excel!$A:$A,0)-1+4&amp;"")), 0)),
 ""),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""))))),"")+DR18)</f>
        <v>#VALUE!</v>
      </c>
      <c r="DT18" s="186"/>
      <c r="DU18" s="188" t="str">
        <f t="array" aca="1" ref="DU18" ca="1">IF(AND(DW15="社食",ED15="社食"),"",
IF(DS16&lt;&gt;"",
IF(IFERROR(
INDEX(INDIRECT("数出表_Excel!B"&amp;MATCH(DW15,数出表_Excel!$A:$A,0)&amp;":U"&amp;MATCH(DW15,数出表_Excel!$A:$A,0)&amp;""),
 1,DR16-1),
 "")=0,"",
IFERROR(
INDEX(INDIRECT("数出表_Excel!B"&amp;MATCH(DW15,数出表_Excel!$A:$A,0)&amp;":U"&amp;MATCH(DW15,数出表_Excel!$A:$A,0)&amp;""),
 1,DR16-1),
 "")),""))</f>
        <v/>
      </c>
      <c r="DV18" s="186"/>
      <c r="DW18" s="101" t="e">
        <f t="array" aca="1" ref="DW18" ca="1">IF(DR17=100,
IF(DS15&lt;&gt;"",
IF(IFERROR(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0)&lt;&gt;0,
IF(IFERROR(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0)="",
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0),
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0)),0),""),0)</f>
        <v>#N/A</v>
      </c>
      <c r="DY18" s="90"/>
      <c r="DZ18" s="185" t="e">
        <f t="array" aca="1" ref="DZ18" ca="1">IF(AND(DW15="社食",ED15="社食"),"",
IF(DZ16&lt;&gt;"",
IF(IFERROR(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"")=0,"",
IF(DY17=100,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""),
IF(AND(DY17=200,COUNTIF(数出表_Excel!$A:$A,"*奈良屋*")=2),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""),
IF(AND(DY17=200,COUNTIF(数出表_Excel!$A:$A,"*奈良屋*")=3),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
+IFERROR(
INDEX(INDIRECT("数出表_Excel!B"&amp;MATCH(ED15,数出表_Excel!$A:$A,0)-1+4&amp;":U"&amp;MATCH(ED15,数出表_Excel!$A:$A,0)-1+4&amp;""),
 1,
 MATCH(TRUE, ISNUMBER(--INDIRECT("数出表_Excel!B"&amp;MATCH(ED15,数出表_Excel!$A:$A,0)-1+4&amp;":U"&amp;MATCH(ED15,数出表_Excel!$A:$A,0)-1+4&amp;"")), 0)),
 ""),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""))))),"")+DY18)</f>
        <v>#VALUE!</v>
      </c>
      <c r="EA18" s="186"/>
      <c r="EB18" s="188" t="str">
        <f t="array" aca="1" ref="EB18" ca="1">IF(AND(ED15="社食",DW22="社食"),"",
IF(DZ16&lt;&gt;"",
IF(IFERROR(
INDEX(INDIRECT("数出表_Excel!B"&amp;MATCH(ED15,数出表_Excel!$A:$A,0)&amp;":U"&amp;MATCH(ED15,数出表_Excel!$A:$A,0)&amp;""),
 1,DY16-1),
 "")=0,"",
IFERROR(
INDEX(INDIRECT("数出表_Excel!B"&amp;MATCH(ED15,数出表_Excel!$A:$A,0)&amp;":U"&amp;MATCH(ED15,数出表_Excel!$A:$A,0)&amp;""),
 1,DY16-1),
 "")),""))</f>
        <v/>
      </c>
      <c r="EC18" s="186"/>
      <c r="ED18" s="101" t="e">
        <f t="array" aca="1" ref="ED18" ca="1">IF(DY17=100,
IF(DZ15&lt;&gt;"",
IF(IFERROR(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0)&lt;&gt;0,
IF(IFERROR(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0)="",
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0),
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0)),0),""),0)</f>
        <v>#N/A</v>
      </c>
      <c r="EG18" s="90"/>
      <c r="EH18" s="185" t="e">
        <f t="array" aca="1" ref="EH18" ca="1">IF(AND(ES8="社食",EL15="社食"),"",
IF(EH16&lt;&gt;"",
IF(IFERROR(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"")=0,"",
IF(EG17=100,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""),
IF(AND(EG17=200,COUNTIF(数出表_Excel!$A:$A,"*奈良屋*")=2),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""),
IF(AND(EG17=200,COUNTIF(数出表_Excel!$A:$A,"*奈良屋*")=3),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
+IFERROR(
INDEX(INDIRECT("数出表_Excel!B"&amp;MATCH(EL15,数出表_Excel!$A:$A,0)-1+4&amp;":U"&amp;MATCH(EL15,数出表_Excel!$A:$A,0)-1+4&amp;""),
 1,
 MATCH(TRUE, ISNUMBER(--INDIRECT("数出表_Excel!B"&amp;MATCH(EL15,数出表_Excel!$A:$A,0)-1+4&amp;":U"&amp;MATCH(EL15,数出表_Excel!$A:$A,0)-1+4&amp;"")), 0)),
 ""),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""))))),"")+EG18)</f>
        <v>#VALUE!</v>
      </c>
      <c r="EI18" s="186"/>
      <c r="EJ18" s="188" t="str">
        <f t="array" aca="1" ref="EJ18" ca="1">IF(AND(EL15="社食",ES15="社食"),"",
IF(EH16&lt;&gt;"",
IF(IFERROR(
INDEX(INDIRECT("数出表_Excel!B"&amp;MATCH(EL15,数出表_Excel!$A:$A,0)&amp;":U"&amp;MATCH(EL15,数出表_Excel!$A:$A,0)&amp;""),
 1,EG16-1),
 "")=0,"",
IFERROR(
INDEX(INDIRECT("数出表_Excel!B"&amp;MATCH(EL15,数出表_Excel!$A:$A,0)&amp;":U"&amp;MATCH(EL15,数出表_Excel!$A:$A,0)&amp;""),
 1,EG16-1),
 "")),""))</f>
        <v/>
      </c>
      <c r="EK18" s="186"/>
      <c r="EL18" s="101" t="e">
        <f t="array" aca="1" ref="EL18" ca="1">IF(EG17=100,
IF(EH15&lt;&gt;"",
IF(IFERROR(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0)&lt;&gt;0,
IF(IFERROR(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0)="",
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0),
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0)),0),""),0)</f>
        <v>#N/A</v>
      </c>
      <c r="EN18" s="90"/>
      <c r="EO18" s="185" t="e">
        <f t="array" aca="1" ref="EO18" ca="1">IF(AND(EL15="社食",ES15="社食"),"",
IF(EO16&lt;&gt;"",
IF(IFERROR(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"")=0,"",
IF(EN17=100,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""),
IF(AND(EN17=200,COUNTIF(数出表_Excel!$A:$A,"*奈良屋*")=2),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""),
IF(AND(EN17=200,COUNTIF(数出表_Excel!$A:$A,"*奈良屋*")=3),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
+IFERROR(
INDEX(INDIRECT("数出表_Excel!B"&amp;MATCH(ES15,数出表_Excel!$A:$A,0)-1+4&amp;":U"&amp;MATCH(ES15,数出表_Excel!$A:$A,0)-1+4&amp;""),
 1,
 MATCH(TRUE, ISNUMBER(--INDIRECT("数出表_Excel!B"&amp;MATCH(ES15,数出表_Excel!$A:$A,0)-1+4&amp;":U"&amp;MATCH(ES15,数出表_Excel!$A:$A,0)-1+4&amp;"")), 0)),
 ""),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""))))),"")+EN18)</f>
        <v>#VALUE!</v>
      </c>
      <c r="EP18" s="186"/>
      <c r="EQ18" s="188" t="str">
        <f t="array" aca="1" ref="EQ18" ca="1">IF(AND(ES15="社食",EL22="社食"),"",
IF(EO16&lt;&gt;"",
IF(IFERROR(
INDEX(INDIRECT("数出表_Excel!B"&amp;MATCH(ES15,数出表_Excel!$A:$A,0)&amp;":U"&amp;MATCH(ES15,数出表_Excel!$A:$A,0)&amp;""),
 1,EN16-1),
 "")=0,"",
IFERROR(
INDEX(INDIRECT("数出表_Excel!B"&amp;MATCH(ES15,数出表_Excel!$A:$A,0)&amp;":U"&amp;MATCH(ES15,数出表_Excel!$A:$A,0)&amp;""),
 1,EN16-1),
 "")),""))</f>
        <v/>
      </c>
      <c r="ER18" s="186"/>
      <c r="ES18" s="101" t="e">
        <f t="array" aca="1" ref="ES18" ca="1">IF(EN17=100,
IF(EO15&lt;&gt;"",
IF(IFERROR(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0)&lt;&gt;0,
IF(IFERROR(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0)="",
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0),
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0)),0),""),0)</f>
        <v>#N/A</v>
      </c>
      <c r="ET18" s="110"/>
      <c r="EU18" s="82">
        <f t="shared" si="1"/>
        <v>70</v>
      </c>
      <c r="EV18" s="82" t="str">
        <f t="array" aca="1" ref="EV18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LEN(SUBSTITUTE(_xlfn.FORMULATEXT(EV$1),"=","")))+$EU18)</f>
        <v/>
      </c>
      <c r="EW18" s="82" t="str">
        <f t="array" aca="1" ref="EW18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LEN(SUBSTITUTE(_xlfn.FORMULATEXT(EW$1),"=","")))+$EU18)</f>
        <v/>
      </c>
      <c r="EX18" s="82" t="str">
        <f t="array" aca="1" ref="EX18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LEN(SUBSTITUTE(_xlfn.FORMULATEXT(EX$1),"=","")))+$EU18)</f>
        <v/>
      </c>
      <c r="EY18" s="82" t="str">
        <f t="array" aca="1" ref="EY18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LEN(SUBSTITUTE(_xlfn.FORMULATEXT(EY$1),"=","")))+$EU18)</f>
        <v/>
      </c>
      <c r="EZ18" s="82" t="str">
        <f t="array" aca="1" ref="EZ18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LEN(SUBSTITUTE(_xlfn.FORMULATEXT(EZ$1),"=","")))+$EU18)</f>
        <v/>
      </c>
      <c r="FA18" s="82" t="str">
        <f t="array" aca="1" ref="FA18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LEN(SUBSTITUTE(_xlfn.FORMULATEXT(FA$1),"=","")))+$EU18)</f>
        <v/>
      </c>
      <c r="FB18" s="82" t="str">
        <f t="array" aca="1" ref="FB18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LEN(SUBSTITUTE(_xlfn.FORMULATEXT(FB$1),"=","")))+$EU18)</f>
        <v/>
      </c>
      <c r="FC18" s="82" t="str">
        <f t="array" aca="1" ref="FC18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LEN(SUBSTITUTE(_xlfn.FORMULATEXT(FC$1),"=","")))+$EU18)</f>
        <v/>
      </c>
      <c r="FD18" s="82" t="str">
        <f t="array" aca="1" ref="FD18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LEN(SUBSTITUTE(_xlfn.FORMULATEXT(FD$1),"=","")))+$EU18)</f>
        <v/>
      </c>
      <c r="FE18" s="82" t="str">
        <f t="array" aca="1" ref="FE18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LEN(SUBSTITUTE(_xlfn.FORMULATEXT(FE$1),"=","")))+$EU18)</f>
        <v/>
      </c>
      <c r="FF18" s="82" t="str">
        <f t="array" aca="1" ref="FF18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LEN(SUBSTITUTE(_xlfn.FORMULATEXT(FF$1),"=","")))+$EU18)</f>
        <v/>
      </c>
      <c r="FG18" s="82">
        <f t="shared" ca="1" si="0"/>
        <v>0</v>
      </c>
      <c r="FH18" s="82" t="b">
        <f t="array" aca="1" ref="FH18" ca="1">SUMPRODUCT((LEN(EV18:FF18)&gt;0)*1)&gt;0</f>
        <v>0</v>
      </c>
      <c r="FI18" s="82" t="str">
        <f t="array" aca="1" ref="FI18" ca="1">IFERROR(SMALL(IF(FG$1:FG$173&lt;&gt;0,FG$1:FG$173),ROW(A18)),"")</f>
        <v/>
      </c>
      <c r="FJ18" s="82" t="str">
        <f t="array" aca="1" ref="FJ18" ca="1">IF($FI18&lt;&gt;"",
INDIRECT(""&amp;IF(COLUMN(EV18)&lt;=26,CHAR(COLUMN(EV18)+64),CHAR(INT((COLUMN(EV18)-1)/26)+64)&amp;CHAR(MOD(COLUMN(EV18)-1,26)+65))&amp;$FI18&amp;""),"")</f>
        <v/>
      </c>
      <c r="FK18" s="82" t="str">
        <f t="array" aca="1" ref="FK18" ca="1">IF($FI18&lt;&gt;"",
INDIRECT(""&amp;IF(COLUMN(EW18)&lt;=26,CHAR(COLUMN(EW18)+64),CHAR(INT((COLUMN(EW18)-1)/26)+64)&amp;CHAR(MOD(COLUMN(EW18)-1,26)+65))&amp;$FI18&amp;""),"")</f>
        <v/>
      </c>
      <c r="FL18" s="82" t="str">
        <f t="array" aca="1" ref="FL18" ca="1">IF($FI18&lt;&gt;"",
INDIRECT(""&amp;IF(COLUMN(EX18)&lt;=26,CHAR(COLUMN(EX18)+64),CHAR(INT((COLUMN(EX18)-1)/26)+64)&amp;CHAR(MOD(COLUMN(EX18)-1,26)+65))&amp;$FI18&amp;""),"")</f>
        <v/>
      </c>
      <c r="FM18" s="82" t="str">
        <f t="array" aca="1" ref="FM18" ca="1">IF($FI18&lt;&gt;"",
IF(FL18="",
IF(INDIRECT("EY"&amp;$FI18&amp;"")&lt;&gt;"",
INDIRECT("EY"&amp;$FI18&amp;"")&amp;"箱"
&amp;INDIRECT("EZ"&amp;$FI18&amp;""),""),""),"")</f>
        <v/>
      </c>
      <c r="FN18" s="82" t="str">
        <f t="array" aca="1" ref="FN18" ca="1">IF($FI18&lt;&gt;"",
INDIRECT(""&amp;IF(COLUMN(FA18)&lt;=26,CHAR(COLUMN(FA18)+64),CHAR(INT((COLUMN(FA18)-1)/26)+64)&amp;CHAR(MOD(COLUMN(FA18)-1,26)+65))&amp;$FI18&amp;""),"")</f>
        <v/>
      </c>
      <c r="FO18" s="82" t="str">
        <f t="array" aca="1" ref="FO18" ca="1">IF($FI18&lt;&gt;"",
INDIRECT(""&amp;IF(COLUMN(FB18)&lt;=26,CHAR(COLUMN(FB18)+64),CHAR(INT((COLUMN(FB18)-1)/26)+64)&amp;CHAR(MOD(COLUMN(FB18)-1,26)+65))&amp;$FI18&amp;""),"")</f>
        <v/>
      </c>
      <c r="FP18" s="82" t="str">
        <f t="array" aca="1" ref="FP18" ca="1">IF($FI18&lt;&gt;"",
INDIRECT(""&amp;IF(COLUMN(FC18)&lt;=26,CHAR(COLUMN(FC18)+64),CHAR(INT((COLUMN(FC18)-1)/26)+64)&amp;CHAR(MOD(COLUMN(FC18)-1,26)+65))&amp;$FI18&amp;""),"")</f>
        <v/>
      </c>
      <c r="FQ18" s="82" t="str">
        <f t="array" aca="1" ref="FQ18" ca="1">IF($FI18&lt;&gt;"",
INDIRECT(""&amp;IF(COLUMN(FD18)&lt;=26,CHAR(COLUMN(FD18)+64),CHAR(INT((COLUMN(FD18)-1)/26)+64)&amp;CHAR(MOD(COLUMN(FD18)-1,26)+65))&amp;$FI18&amp;""),"")</f>
        <v/>
      </c>
      <c r="FR18" s="82" t="str">
        <f t="array" aca="1" ref="FR18" ca="1">IF($FI18&lt;&gt;"",
INDIRECT(""&amp;IF(COLUMN(FE18)&lt;=26,CHAR(COLUMN(FE18)+64),CHAR(INT((COLUMN(FE18)-1)/26)+64)&amp;CHAR(MOD(COLUMN(FE18)-1,26)+65))&amp;$FI18&amp;""),"")</f>
        <v/>
      </c>
      <c r="FS18" s="82" t="str">
        <f t="array" aca="1" ref="FS18" ca="1">IF($FI18&lt;&gt;"",
INDIRECT(""&amp;IF(COLUMN(FF18)&lt;=26,CHAR(COLUMN(FF18)+64),CHAR(INT((COLUMN(FF18)-1)/26)+64)&amp;CHAR(MOD(COLUMN(FF18)-1,26)+65))&amp;$FI18&amp;""),"")</f>
        <v/>
      </c>
    </row>
    <row r="19" spans="1:175" ht="18" customHeight="1" x14ac:dyDescent="0.45">
      <c r="B19" s="118" t="s">
        <v>258</v>
      </c>
      <c r="C19" s="187"/>
      <c r="D19" s="187"/>
      <c r="E19" s="187"/>
      <c r="F19" s="187"/>
      <c r="G19" s="102" t="str">
        <f>SUBSTITUTE(SUBSTITUTE(ADDRESS(1,MATCH("おやつ",'数出表_Excel（アレルギー入力）'!$3:$3,0)),1,""),"$","")</f>
        <v>AL</v>
      </c>
      <c r="I19" s="118" t="s">
        <v>258</v>
      </c>
      <c r="J19" s="187"/>
      <c r="K19" s="187"/>
      <c r="L19" s="187"/>
      <c r="M19" s="187"/>
      <c r="N19" s="102" t="str">
        <f>SUBSTITUTE(SUBSTITUTE(ADDRESS(1,MATCH("おやつ",'数出表_Excel（アレルギー入力）'!$3:$3,0)),1,""),"$","")</f>
        <v>AL</v>
      </c>
      <c r="Q19" s="118" t="s">
        <v>258</v>
      </c>
      <c r="R19" s="187"/>
      <c r="S19" s="187"/>
      <c r="T19" s="187"/>
      <c r="U19" s="187"/>
      <c r="V19" s="102" t="str">
        <f>SUBSTITUTE(SUBSTITUTE(ADDRESS(1,MATCH("おやつ",'数出表_Excel（アレルギー入力）'!$3:$3,0)),1,""),"$","")</f>
        <v>AL</v>
      </c>
      <c r="X19" s="118" t="s">
        <v>258</v>
      </c>
      <c r="Y19" s="187"/>
      <c r="Z19" s="187"/>
      <c r="AA19" s="187"/>
      <c r="AB19" s="187"/>
      <c r="AC19" s="102" t="str">
        <f>SUBSTITUTE(SUBSTITUTE(ADDRESS(1,MATCH("おやつ",'数出表_Excel（アレルギー入力）'!$3:$3,0)),1,""),"$","")</f>
        <v>AL</v>
      </c>
      <c r="AF19" s="118" t="s">
        <v>258</v>
      </c>
      <c r="AG19" s="187"/>
      <c r="AH19" s="187"/>
      <c r="AI19" s="187"/>
      <c r="AJ19" s="187"/>
      <c r="AK19" s="102" t="str">
        <f>SUBSTITUTE(SUBSTITUTE(ADDRESS(1,MATCH("おやつ",'数出表_Excel（アレルギー入力）'!$3:$3,0)),1,""),"$","")</f>
        <v>AL</v>
      </c>
      <c r="AM19" s="118" t="s">
        <v>258</v>
      </c>
      <c r="AN19" s="187"/>
      <c r="AO19" s="187"/>
      <c r="AP19" s="187"/>
      <c r="AQ19" s="187"/>
      <c r="AR19" s="102" t="str">
        <f>SUBSTITUTE(SUBSTITUTE(ADDRESS(1,MATCH("おやつ",'数出表_Excel（アレルギー入力）'!$3:$3,0)),1,""),"$","")</f>
        <v>AL</v>
      </c>
      <c r="AU19" s="118" t="s">
        <v>258</v>
      </c>
      <c r="AV19" s="187"/>
      <c r="AW19" s="187"/>
      <c r="AX19" s="187"/>
      <c r="AY19" s="187"/>
      <c r="AZ19" s="102" t="str">
        <f>SUBSTITUTE(SUBSTITUTE(ADDRESS(1,MATCH("おやつ",'数出表_Excel（アレルギー入力）'!$3:$3,0)),1,""),"$","")</f>
        <v>AL</v>
      </c>
      <c r="BB19" s="118" t="s">
        <v>258</v>
      </c>
      <c r="BC19" s="187"/>
      <c r="BD19" s="187"/>
      <c r="BE19" s="187"/>
      <c r="BF19" s="187"/>
      <c r="BG19" s="102" t="str">
        <f>SUBSTITUTE(SUBSTITUTE(ADDRESS(1,MATCH("おやつ",'数出表_Excel（アレルギー入力）'!$3:$3,0)),1,""),"$","")</f>
        <v>AL</v>
      </c>
      <c r="BJ19" s="118" t="s">
        <v>258</v>
      </c>
      <c r="BK19" s="187"/>
      <c r="BL19" s="187"/>
      <c r="BM19" s="187"/>
      <c r="BN19" s="187"/>
      <c r="BO19" s="102" t="str">
        <f>SUBSTITUTE(SUBSTITUTE(ADDRESS(1,MATCH("おやつ",'数出表_Excel（アレルギー入力）'!$3:$3,0)),1,""),"$","")</f>
        <v>AL</v>
      </c>
      <c r="BQ19" s="118" t="s">
        <v>258</v>
      </c>
      <c r="BR19" s="187"/>
      <c r="BS19" s="187"/>
      <c r="BT19" s="187"/>
      <c r="BU19" s="187"/>
      <c r="BV19" s="102" t="str">
        <f>SUBSTITUTE(SUBSTITUTE(ADDRESS(1,MATCH("おやつ",'数出表_Excel（アレルギー入力）'!$3:$3,0)),1,""),"$","")</f>
        <v>AL</v>
      </c>
      <c r="BY19" s="118" t="s">
        <v>258</v>
      </c>
      <c r="BZ19" s="187"/>
      <c r="CA19" s="187"/>
      <c r="CB19" s="187"/>
      <c r="CC19" s="187"/>
      <c r="CD19" s="102" t="str">
        <f>SUBSTITUTE(SUBSTITUTE(ADDRESS(1,MATCH("おやつ",'数出表_Excel（アレルギー入力）'!$3:$3,0)),1,""),"$","")</f>
        <v>AL</v>
      </c>
      <c r="CF19" s="118" t="s">
        <v>258</v>
      </c>
      <c r="CG19" s="187"/>
      <c r="CH19" s="187"/>
      <c r="CI19" s="187"/>
      <c r="CJ19" s="187"/>
      <c r="CK19" s="102" t="str">
        <f>SUBSTITUTE(SUBSTITUTE(ADDRESS(1,MATCH("おやつ",'数出表_Excel（アレルギー入力）'!$3:$3,0)),1,""),"$","")</f>
        <v>AL</v>
      </c>
      <c r="CN19" s="118" t="s">
        <v>258</v>
      </c>
      <c r="CO19" s="187"/>
      <c r="CP19" s="187"/>
      <c r="CQ19" s="187"/>
      <c r="CR19" s="187"/>
      <c r="CS19" s="102" t="str">
        <f>SUBSTITUTE(SUBSTITUTE(ADDRESS(1,MATCH("おやつ",'数出表_Excel（アレルギー入力）'!$3:$3,0)),1,""),"$","")</f>
        <v>AL</v>
      </c>
      <c r="CU19" s="118" t="s">
        <v>258</v>
      </c>
      <c r="CV19" s="187"/>
      <c r="CW19" s="187"/>
      <c r="CX19" s="187"/>
      <c r="CY19" s="187"/>
      <c r="CZ19" s="102" t="str">
        <f>SUBSTITUTE(SUBSTITUTE(ADDRESS(1,MATCH("おやつ",'数出表_Excel（アレルギー入力）'!$3:$3,0)),1,""),"$","")</f>
        <v>AL</v>
      </c>
      <c r="DC19" s="118" t="s">
        <v>258</v>
      </c>
      <c r="DD19" s="187"/>
      <c r="DE19" s="187"/>
      <c r="DF19" s="187"/>
      <c r="DG19" s="187"/>
      <c r="DH19" s="102" t="str">
        <f>SUBSTITUTE(SUBSTITUTE(ADDRESS(1,MATCH("おやつ",'数出表_Excel（アレルギー入力）'!$3:$3,0)),1,""),"$","")</f>
        <v>AL</v>
      </c>
      <c r="DJ19" s="118" t="s">
        <v>258</v>
      </c>
      <c r="DK19" s="187"/>
      <c r="DL19" s="187"/>
      <c r="DM19" s="187"/>
      <c r="DN19" s="187"/>
      <c r="DO19" s="102" t="str">
        <f>SUBSTITUTE(SUBSTITUTE(ADDRESS(1,MATCH("おやつ",'数出表_Excel（アレルギー入力）'!$3:$3,0)),1,""),"$","")</f>
        <v>AL</v>
      </c>
      <c r="DR19" s="118" t="s">
        <v>258</v>
      </c>
      <c r="DS19" s="187"/>
      <c r="DT19" s="187"/>
      <c r="DU19" s="187"/>
      <c r="DV19" s="187"/>
      <c r="DW19" s="102" t="str">
        <f>SUBSTITUTE(SUBSTITUTE(ADDRESS(1,MATCH("おやつ",'数出表_Excel（アレルギー入力）'!$3:$3,0)),1,""),"$","")</f>
        <v>AL</v>
      </c>
      <c r="DY19" s="118" t="s">
        <v>258</v>
      </c>
      <c r="DZ19" s="187"/>
      <c r="EA19" s="187"/>
      <c r="EB19" s="187"/>
      <c r="EC19" s="187"/>
      <c r="ED19" s="102" t="str">
        <f>SUBSTITUTE(SUBSTITUTE(ADDRESS(1,MATCH("おやつ",'数出表_Excel（アレルギー入力）'!$3:$3,0)),1,""),"$","")</f>
        <v>AL</v>
      </c>
      <c r="EG19" s="118" t="s">
        <v>258</v>
      </c>
      <c r="EH19" s="187"/>
      <c r="EI19" s="187"/>
      <c r="EJ19" s="187"/>
      <c r="EK19" s="187"/>
      <c r="EL19" s="102" t="str">
        <f>SUBSTITUTE(SUBSTITUTE(ADDRESS(1,MATCH("おやつ",'数出表_Excel（アレルギー入力）'!$3:$3,0)),1,""),"$","")</f>
        <v>AL</v>
      </c>
      <c r="EN19" s="118" t="s">
        <v>258</v>
      </c>
      <c r="EO19" s="187"/>
      <c r="EP19" s="187"/>
      <c r="EQ19" s="187"/>
      <c r="ER19" s="187"/>
      <c r="ES19" s="102" t="str">
        <f>SUBSTITUTE(SUBSTITUTE(ADDRESS(1,MATCH("おやつ",'数出表_Excel（アレルギー入力）'!$3:$3,0)),1,""),"$","")</f>
        <v>AL</v>
      </c>
      <c r="ET19" s="110"/>
      <c r="EU19" s="91">
        <f t="shared" si="1"/>
        <v>28</v>
      </c>
      <c r="EV19" s="82" t="str">
        <f t="array" aca="1" ref="EV19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LEN(SUBSTITUTE(_xlfn.FORMULATEXT(EV$3),"=","")))+$EU19)</f>
        <v/>
      </c>
      <c r="EW19" s="82" t="str">
        <f t="array" aca="1" ref="EW19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LEN(SUBSTITUTE(_xlfn.FORMULATEXT(EW$3),"=","")))+$EU19)</f>
        <v/>
      </c>
      <c r="EX19" s="82" t="str">
        <f t="array" aca="1" ref="EX19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LEN(SUBSTITUTE(_xlfn.FORMULATEXT(EX$3),"=","")))+$EU19)</f>
        <v/>
      </c>
      <c r="EY19" s="82" t="str">
        <f t="array" aca="1" ref="EY19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LEN(SUBSTITUTE(_xlfn.FORMULATEXT(EY$3),"=","")))+$EU19)</f>
        <v/>
      </c>
      <c r="EZ19" s="82" t="str">
        <f t="array" aca="1" ref="EZ19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LEN(SUBSTITUTE(_xlfn.FORMULATEXT(EZ$3),"=","")))+$EU19)</f>
        <v/>
      </c>
      <c r="FA19" s="82" t="e">
        <f t="array" aca="1" ref="FA19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LEN(SUBSTITUTE(_xlfn.FORMULATEXT(FA$3),"=","")))+$EU19)</f>
        <v>#VALUE!</v>
      </c>
      <c r="FB19" s="82" t="str">
        <f t="array" aca="1" ref="FB19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LEN(SUBSTITUTE(_xlfn.FORMULATEXT(FB$3),"=","")))+$EU19)</f>
        <v/>
      </c>
      <c r="FC19" s="82" t="str">
        <f t="array" aca="1" ref="FC19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LEN(SUBSTITUTE(_xlfn.FORMULATEXT(FC$3),"=","")))+$EU19)</f>
        <v/>
      </c>
      <c r="FD19" s="82" t="e">
        <f t="array" aca="1" ref="FD19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LEN(SUBSTITUTE(_xlfn.FORMULATEXT(FD$3),"=","")))+$EU19)</f>
        <v>#VALUE!</v>
      </c>
      <c r="FE19" s="82" t="str">
        <f t="array" aca="1" ref="FE19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LEN(SUBSTITUTE(_xlfn.FORMULATEXT(FE$3),"=","")))+$EU19)</f>
        <v/>
      </c>
      <c r="FF19" s="82" t="e">
        <f t="array" aca="1" ref="FF19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LEN(SUBSTITUTE(_xlfn.FORMULATEXT(FF$3),"=","")))+$EU19)</f>
        <v>#N/A</v>
      </c>
      <c r="FG19" s="82">
        <f t="shared" ca="1" si="0"/>
        <v>0</v>
      </c>
      <c r="FH19" s="82" t="e">
        <f t="array" aca="1" ref="FH19" ca="1">SUMPRODUCT((LEN(EV19:FF19)&gt;0)*1)&gt;0</f>
        <v>#VALUE!</v>
      </c>
      <c r="FI19" s="82" t="str">
        <f t="array" aca="1" ref="FI19" ca="1">IFERROR(SMALL(IF(FG$1:FG$173&lt;&gt;0,FG$1:FG$173),ROW(A19)),"")</f>
        <v/>
      </c>
      <c r="FJ19" s="82" t="str">
        <f t="array" aca="1" ref="FJ19" ca="1">IF($FI19&lt;&gt;"",
INDIRECT(""&amp;IF(COLUMN(EV19)&lt;=26,CHAR(COLUMN(EV19)+64),CHAR(INT((COLUMN(EV19)-1)/26)+64)&amp;CHAR(MOD(COLUMN(EV19)-1,26)+65))&amp;$FI19&amp;""),"")</f>
        <v/>
      </c>
      <c r="FK19" s="82" t="str">
        <f t="array" aca="1" ref="FK19" ca="1">IF($FI19&lt;&gt;"",
INDIRECT(""&amp;IF(COLUMN(EW19)&lt;=26,CHAR(COLUMN(EW19)+64),CHAR(INT((COLUMN(EW19)-1)/26)+64)&amp;CHAR(MOD(COLUMN(EW19)-1,26)+65))&amp;$FI19&amp;""),"")</f>
        <v/>
      </c>
      <c r="FL19" s="82" t="str">
        <f t="array" aca="1" ref="FL19" ca="1">IF($FI19&lt;&gt;"",
INDIRECT(""&amp;IF(COLUMN(EX19)&lt;=26,CHAR(COLUMN(EX19)+64),CHAR(INT((COLUMN(EX19)-1)/26)+64)&amp;CHAR(MOD(COLUMN(EX19)-1,26)+65))&amp;$FI19&amp;""),"")</f>
        <v/>
      </c>
      <c r="FM19" s="82" t="str">
        <f t="array" aca="1" ref="FM19" ca="1">IF($FI19&lt;&gt;"",
IF(FL19="",
IF(INDIRECT("EY"&amp;$FI19&amp;"")&lt;&gt;"",
INDIRECT("EY"&amp;$FI19&amp;"")&amp;"箱"
&amp;INDIRECT("EZ"&amp;$FI19&amp;""),""),""),"")</f>
        <v/>
      </c>
      <c r="FN19" s="82" t="str">
        <f t="array" aca="1" ref="FN19" ca="1">IF($FI19&lt;&gt;"",
INDIRECT(""&amp;IF(COLUMN(FA19)&lt;=26,CHAR(COLUMN(FA19)+64),CHAR(INT((COLUMN(FA19)-1)/26)+64)&amp;CHAR(MOD(COLUMN(FA19)-1,26)+65))&amp;$FI19&amp;""),"")</f>
        <v/>
      </c>
      <c r="FO19" s="82" t="str">
        <f t="array" aca="1" ref="FO19" ca="1">IF($FI19&lt;&gt;"",
INDIRECT(""&amp;IF(COLUMN(FB19)&lt;=26,CHAR(COLUMN(FB19)+64),CHAR(INT((COLUMN(FB19)-1)/26)+64)&amp;CHAR(MOD(COLUMN(FB19)-1,26)+65))&amp;$FI19&amp;""),"")</f>
        <v/>
      </c>
      <c r="FP19" s="82" t="str">
        <f t="array" aca="1" ref="FP19" ca="1">IF($FI19&lt;&gt;"",
INDIRECT(""&amp;IF(COLUMN(FC19)&lt;=26,CHAR(COLUMN(FC19)+64),CHAR(INT((COLUMN(FC19)-1)/26)+64)&amp;CHAR(MOD(COLUMN(FC19)-1,26)+65))&amp;$FI19&amp;""),"")</f>
        <v/>
      </c>
      <c r="FQ19" s="82" t="str">
        <f t="array" aca="1" ref="FQ19" ca="1">IF($FI19&lt;&gt;"",
INDIRECT(""&amp;IF(COLUMN(FD19)&lt;=26,CHAR(COLUMN(FD19)+64),CHAR(INT((COLUMN(FD19)-1)/26)+64)&amp;CHAR(MOD(COLUMN(FD19)-1,26)+65))&amp;$FI19&amp;""),"")</f>
        <v/>
      </c>
      <c r="FR19" s="82" t="str">
        <f t="array" aca="1" ref="FR19" ca="1">IF($FI19&lt;&gt;"",
INDIRECT(""&amp;IF(COLUMN(FE19)&lt;=26,CHAR(COLUMN(FE19)+64),CHAR(INT((COLUMN(FE19)-1)/26)+64)&amp;CHAR(MOD(COLUMN(FE19)-1,26)+65))&amp;$FI19&amp;""),"")</f>
        <v/>
      </c>
      <c r="FS19" s="82" t="str">
        <f t="array" aca="1" ref="FS19" ca="1">IF($FI19&lt;&gt;"",
INDIRECT(""&amp;IF(COLUMN(FF19)&lt;=26,CHAR(COLUMN(FF19)+64),CHAR(INT((COLUMN(FF19)-1)/26)+64)&amp;CHAR(MOD(COLUMN(FF19)-1,26)+65))&amp;$FI19&amp;""),"")</f>
        <v/>
      </c>
    </row>
    <row r="20" spans="1:175" s="82" customFormat="1" ht="22.2" customHeight="1" x14ac:dyDescent="0.55000000000000004">
      <c r="A20" s="80"/>
      <c r="B20" s="93" t="str">
        <f ca="1">IF(C16&lt;&gt;"",
"パン箱","")</f>
        <v/>
      </c>
      <c r="C20" s="94" t="str">
        <f ca="1">IF(C16&lt;&gt;"",
IF(OR(COUNTIF('盛付札（関数）'!C16,"*キャラ*"),COUNTIF('盛付札（関数）'!C16,"*赤*")),24,
VLOOKUP('盛付札（関数）'!C16,商品マスタ一覧!$D:$I,6,FALSE)),"")</f>
        <v/>
      </c>
      <c r="D20" s="93" t="str">
        <f ca="1">IF(C16&lt;&gt;"",
" 端数","")</f>
        <v/>
      </c>
      <c r="E20" s="94"/>
      <c r="F20" s="93" t="str">
        <f ca="1">IF(C16&lt;&gt;"",
"アレルギー","")</f>
        <v/>
      </c>
      <c r="G20" s="101"/>
      <c r="H20" s="80"/>
      <c r="I20" s="93" t="str">
        <f ca="1">IF(J16&lt;&gt;"",
"パン箱","")</f>
        <v/>
      </c>
      <c r="J20" s="94" t="str">
        <f ca="1">IF(J16&lt;&gt;"",
IF(OR(COUNTIF('盛付札（関数）'!J16,"*キャラ*"),COUNTIF('盛付札（関数）'!J16,"*赤*")),24,
VLOOKUP('盛付札（関数）'!J16,商品マスタ一覧!$D:$I,6,FALSE)),"")</f>
        <v/>
      </c>
      <c r="K20" s="93" t="str">
        <f ca="1">IF(J16&lt;&gt;"",
" 端数","")</f>
        <v/>
      </c>
      <c r="L20" s="94"/>
      <c r="M20" s="93" t="str">
        <f ca="1">IF(J16&lt;&gt;"",
"アレルギー","")</f>
        <v/>
      </c>
      <c r="N20" s="101"/>
      <c r="O20" s="80"/>
      <c r="P20" s="80"/>
      <c r="Q20" s="93" t="str">
        <f ca="1">IF(R16&lt;&gt;"",
"パン箱","")</f>
        <v/>
      </c>
      <c r="R20" s="94" t="str">
        <f ca="1">IF(R16&lt;&gt;"",
IF(OR(COUNTIF('盛付札（関数）'!R16,"*キャラ*"),COUNTIF('盛付札（関数）'!R16,"*赤*")),24,
VLOOKUP('盛付札（関数）'!R16,商品マスタ一覧!$D:$I,6,FALSE)),"")</f>
        <v/>
      </c>
      <c r="S20" s="93" t="str">
        <f ca="1">IF(R16&lt;&gt;"",
" 端数","")</f>
        <v/>
      </c>
      <c r="T20" s="94"/>
      <c r="U20" s="93" t="str">
        <f ca="1">IF(R16&lt;&gt;"",
"アレルギー","")</f>
        <v/>
      </c>
      <c r="V20" s="101"/>
      <c r="W20" s="80"/>
      <c r="X20" s="93" t="str">
        <f ca="1">IF(Y16&lt;&gt;"",
"パン箱","")</f>
        <v/>
      </c>
      <c r="Y20" s="94" t="str">
        <f ca="1">IF(Y16&lt;&gt;"",
IF(OR(COUNTIF('盛付札（関数）'!Y16,"*キャラ*"),COUNTIF('盛付札（関数）'!Y16,"*赤*")),24,
VLOOKUP('盛付札（関数）'!Y16,商品マスタ一覧!$D:$I,6,FALSE)),"")</f>
        <v/>
      </c>
      <c r="Z20" s="93" t="str">
        <f ca="1">IF(Y16&lt;&gt;"",
" 端数","")</f>
        <v/>
      </c>
      <c r="AA20" s="94"/>
      <c r="AB20" s="93" t="str">
        <f ca="1">IF(Y16&lt;&gt;"",
"アレルギー","")</f>
        <v/>
      </c>
      <c r="AC20" s="101"/>
      <c r="AD20" s="80"/>
      <c r="AE20" s="80"/>
      <c r="AF20" s="93" t="str">
        <f ca="1">IF(AG16&lt;&gt;"",
"パン箱","")</f>
        <v/>
      </c>
      <c r="AG20" s="94" t="str">
        <f ca="1">IF(AG16&lt;&gt;"",
IF(OR(COUNTIF('盛付札（関数）'!AG16,"*キャラ*"),COUNTIF('盛付札（関数）'!AG16,"*赤*")),24,
VLOOKUP('盛付札（関数）'!AG16,商品マスタ一覧!$D:$I,6,FALSE)),"")</f>
        <v/>
      </c>
      <c r="AH20" s="93" t="str">
        <f ca="1">IF(AG16&lt;&gt;"",
" 端数","")</f>
        <v/>
      </c>
      <c r="AI20" s="94"/>
      <c r="AJ20" s="93" t="str">
        <f ca="1">IF(AG16&lt;&gt;"",
"アレルギー","")</f>
        <v/>
      </c>
      <c r="AK20" s="101"/>
      <c r="AL20" s="80"/>
      <c r="AM20" s="93" t="str">
        <f ca="1">IF(AN16&lt;&gt;"",
"パン箱","")</f>
        <v/>
      </c>
      <c r="AN20" s="94" t="str">
        <f ca="1">IF(AN16&lt;&gt;"",
IF(OR(COUNTIF('盛付札（関数）'!AN16,"*キャラ*"),COUNTIF('盛付札（関数）'!AN16,"*赤*")),24,
VLOOKUP('盛付札（関数）'!AN16,商品マスタ一覧!$D:$I,6,FALSE)),"")</f>
        <v/>
      </c>
      <c r="AO20" s="93" t="str">
        <f ca="1">IF(AN16&lt;&gt;"",
" 端数","")</f>
        <v/>
      </c>
      <c r="AP20" s="94"/>
      <c r="AQ20" s="93" t="str">
        <f ca="1">IF(AN16&lt;&gt;"",
"アレルギー","")</f>
        <v/>
      </c>
      <c r="AR20" s="101"/>
      <c r="AS20" s="80"/>
      <c r="AT20" s="80"/>
      <c r="AU20" s="93" t="str">
        <f ca="1">IF(AV16&lt;&gt;"",
"パン箱","")</f>
        <v/>
      </c>
      <c r="AV20" s="94" t="str">
        <f ca="1">IF(AV16&lt;&gt;"",
IF(OR(COUNTIF('盛付札（関数）'!AV16,"*キャラ*"),COUNTIF('盛付札（関数）'!AV16,"*赤*")),24,
VLOOKUP('盛付札（関数）'!AV16,商品マスタ一覧!$D:$I,6,FALSE)),"")</f>
        <v/>
      </c>
      <c r="AW20" s="93" t="str">
        <f ca="1">IF(AV16&lt;&gt;"",
" 端数","")</f>
        <v/>
      </c>
      <c r="AX20" s="94"/>
      <c r="AY20" s="93" t="str">
        <f ca="1">IF(AV16&lt;&gt;"",
"アレルギー","")</f>
        <v/>
      </c>
      <c r="AZ20" s="101"/>
      <c r="BA20" s="80"/>
      <c r="BB20" s="93" t="str">
        <f ca="1">IF(BC16&lt;&gt;"",
"パン箱","")</f>
        <v/>
      </c>
      <c r="BC20" s="94" t="str">
        <f ca="1">IF(BC16&lt;&gt;"",
IF(OR(COUNTIF('盛付札（関数）'!BC16,"*キャラ*"),COUNTIF('盛付札（関数）'!BC16,"*赤*")),24,
VLOOKUP('盛付札（関数）'!BC16,商品マスタ一覧!$D:$I,6,FALSE)),"")</f>
        <v/>
      </c>
      <c r="BD20" s="93" t="str">
        <f ca="1">IF(BC16&lt;&gt;"",
" 端数","")</f>
        <v/>
      </c>
      <c r="BE20" s="94"/>
      <c r="BF20" s="93" t="str">
        <f ca="1">IF(BC16&lt;&gt;"",
"アレルギー","")</f>
        <v/>
      </c>
      <c r="BG20" s="101"/>
      <c r="BH20" s="80"/>
      <c r="BI20" s="80"/>
      <c r="BJ20" s="93" t="str">
        <f ca="1">IF(BK16&lt;&gt;"",
"パン箱","")</f>
        <v/>
      </c>
      <c r="BK20" s="94" t="str">
        <f ca="1">IF(BK16&lt;&gt;"",
IF(OR(COUNTIF('盛付札（関数）'!BK16,"*キャラ*"),COUNTIF('盛付札（関数）'!BK16,"*赤*")),24,
VLOOKUP('盛付札（関数）'!BK16,商品マスタ一覧!$D:$I,6,FALSE)),"")</f>
        <v/>
      </c>
      <c r="BL20" s="93" t="str">
        <f ca="1">IF(BK16&lt;&gt;"",
" 端数","")</f>
        <v/>
      </c>
      <c r="BM20" s="94"/>
      <c r="BN20" s="93" t="str">
        <f ca="1">IF(BK16&lt;&gt;"",
"アレルギー","")</f>
        <v/>
      </c>
      <c r="BO20" s="101"/>
      <c r="BP20" s="80"/>
      <c r="BQ20" s="93" t="str">
        <f ca="1">IF(BR16&lt;&gt;"",
"パン箱","")</f>
        <v/>
      </c>
      <c r="BR20" s="94" t="str">
        <f ca="1">IF(BR16&lt;&gt;"",
IF(OR(COUNTIF('盛付札（関数）'!BR16,"*キャラ*"),COUNTIF('盛付札（関数）'!BR16,"*赤*")),24,
VLOOKUP('盛付札（関数）'!BR16,商品マスタ一覧!$D:$I,6,FALSE)),"")</f>
        <v/>
      </c>
      <c r="BS20" s="93" t="str">
        <f ca="1">IF(BR16&lt;&gt;"",
" 端数","")</f>
        <v/>
      </c>
      <c r="BT20" s="94"/>
      <c r="BU20" s="93" t="str">
        <f ca="1">IF(BR16&lt;&gt;"",
"アレルギー","")</f>
        <v/>
      </c>
      <c r="BV20" s="101"/>
      <c r="BW20" s="80"/>
      <c r="BX20" s="80"/>
      <c r="BY20" s="93" t="str">
        <f ca="1">IF(BZ16&lt;&gt;"",
"パン箱","")</f>
        <v/>
      </c>
      <c r="BZ20" s="94" t="str">
        <f ca="1">IF(BZ16&lt;&gt;"",
IF(OR(COUNTIF('盛付札（関数）'!BZ16,"*キャラ*"),COUNTIF('盛付札（関数）'!BZ16,"*赤*")),24,
VLOOKUP('盛付札（関数）'!BZ16,商品マスタ一覧!$D:$I,6,FALSE)),"")</f>
        <v/>
      </c>
      <c r="CA20" s="93" t="str">
        <f ca="1">IF(BZ16&lt;&gt;"",
" 端数","")</f>
        <v/>
      </c>
      <c r="CB20" s="94"/>
      <c r="CC20" s="93" t="str">
        <f ca="1">IF(BZ16&lt;&gt;"",
"アレルギー","")</f>
        <v/>
      </c>
      <c r="CD20" s="101"/>
      <c r="CE20" s="80"/>
      <c r="CF20" s="93" t="str">
        <f ca="1">IF(CG16&lt;&gt;"",
"パン箱","")</f>
        <v/>
      </c>
      <c r="CG20" s="94" t="str">
        <f ca="1">IF(CG16&lt;&gt;"",
IF(OR(COUNTIF('盛付札（関数）'!CG16,"*キャラ*"),COUNTIF('盛付札（関数）'!CG16,"*赤*")),24,
VLOOKUP('盛付札（関数）'!CG16,商品マスタ一覧!$D:$I,6,FALSE)),"")</f>
        <v/>
      </c>
      <c r="CH20" s="93" t="str">
        <f ca="1">IF(CG16&lt;&gt;"",
" 端数","")</f>
        <v/>
      </c>
      <c r="CI20" s="94"/>
      <c r="CJ20" s="93" t="str">
        <f ca="1">IF(CG16&lt;&gt;"",
"アレルギー","")</f>
        <v/>
      </c>
      <c r="CK20" s="101"/>
      <c r="CL20" s="80"/>
      <c r="CM20" s="80"/>
      <c r="CN20" s="93" t="str">
        <f ca="1">IF(CO16&lt;&gt;"",
"パン箱","")</f>
        <v/>
      </c>
      <c r="CO20" s="94" t="str">
        <f ca="1">IF(CO16&lt;&gt;"",
IF(OR(COUNTIF('盛付札（関数）'!CO16,"*キャラ*"),COUNTIF('盛付札（関数）'!CO16,"*赤*")),24,
VLOOKUP('盛付札（関数）'!CO16,商品マスタ一覧!$D:$I,6,FALSE)),"")</f>
        <v/>
      </c>
      <c r="CP20" s="93" t="str">
        <f ca="1">IF(CO16&lt;&gt;"",
" 端数","")</f>
        <v/>
      </c>
      <c r="CQ20" s="94"/>
      <c r="CR20" s="93" t="str">
        <f ca="1">IF(CO16&lt;&gt;"",
"アレルギー","")</f>
        <v/>
      </c>
      <c r="CS20" s="101"/>
      <c r="CT20" s="80"/>
      <c r="CU20" s="93" t="str">
        <f ca="1">IF(CV16&lt;&gt;"",
"パン箱","")</f>
        <v/>
      </c>
      <c r="CV20" s="94" t="str">
        <f ca="1">IF(CV16&lt;&gt;"",
IF(OR(COUNTIF('盛付札（関数）'!CV16,"*キャラ*"),COUNTIF('盛付札（関数）'!CV16,"*赤*")),24,
VLOOKUP('盛付札（関数）'!CV16,商品マスタ一覧!$D:$I,6,FALSE)),"")</f>
        <v/>
      </c>
      <c r="CW20" s="93" t="str">
        <f ca="1">IF(CV16&lt;&gt;"",
" 端数","")</f>
        <v/>
      </c>
      <c r="CX20" s="94"/>
      <c r="CY20" s="93" t="str">
        <f ca="1">IF(CV16&lt;&gt;"",
"アレルギー","")</f>
        <v/>
      </c>
      <c r="CZ20" s="101"/>
      <c r="DA20" s="80"/>
      <c r="DB20" s="80"/>
      <c r="DC20" s="93" t="str">
        <f ca="1">IF(DD16&lt;&gt;"",
"パン箱","")</f>
        <v/>
      </c>
      <c r="DD20" s="94" t="str">
        <f ca="1">IF(DD16&lt;&gt;"",
IF(OR(COUNTIF('盛付札（関数）'!DD16,"*キャラ*"),COUNTIF('盛付札（関数）'!DD16,"*赤*")),24,
VLOOKUP('盛付札（関数）'!DD16,商品マスタ一覧!$D:$I,6,FALSE)),"")</f>
        <v/>
      </c>
      <c r="DE20" s="93" t="str">
        <f ca="1">IF(DD16&lt;&gt;"",
" 端数","")</f>
        <v/>
      </c>
      <c r="DF20" s="94"/>
      <c r="DG20" s="93" t="str">
        <f ca="1">IF(DD16&lt;&gt;"",
"アレルギー","")</f>
        <v/>
      </c>
      <c r="DH20" s="101"/>
      <c r="DI20" s="80"/>
      <c r="DJ20" s="93" t="str">
        <f ca="1">IF(DK16&lt;&gt;"",
"パン箱","")</f>
        <v/>
      </c>
      <c r="DK20" s="94" t="str">
        <f ca="1">IF(DK16&lt;&gt;"",
IF(OR(COUNTIF('盛付札（関数）'!DK16,"*キャラ*"),COUNTIF('盛付札（関数）'!DK16,"*赤*")),24,
VLOOKUP('盛付札（関数）'!DK16,商品マスタ一覧!$D:$I,6,FALSE)),"")</f>
        <v/>
      </c>
      <c r="DL20" s="93" t="str">
        <f ca="1">IF(DK16&lt;&gt;"",
" 端数","")</f>
        <v/>
      </c>
      <c r="DM20" s="94"/>
      <c r="DN20" s="93" t="str">
        <f ca="1">IF(DK16&lt;&gt;"",
"アレルギー","")</f>
        <v/>
      </c>
      <c r="DO20" s="101"/>
      <c r="DP20" s="80"/>
      <c r="DQ20" s="80"/>
      <c r="DR20" s="93" t="str">
        <f ca="1">IF(DS16&lt;&gt;"",
"パン箱","")</f>
        <v/>
      </c>
      <c r="DS20" s="94" t="str">
        <f ca="1">IF(DS16&lt;&gt;"",
IF(OR(COUNTIF('盛付札（関数）'!DS16,"*キャラ*"),COUNTIF('盛付札（関数）'!DS16,"*赤*")),24,
VLOOKUP('盛付札（関数）'!DS16,商品マスタ一覧!$D:$I,6,FALSE)),"")</f>
        <v/>
      </c>
      <c r="DT20" s="93" t="str">
        <f ca="1">IF(DS16&lt;&gt;"",
" 端数","")</f>
        <v/>
      </c>
      <c r="DU20" s="94"/>
      <c r="DV20" s="93" t="str">
        <f ca="1">IF(DS16&lt;&gt;"",
"アレルギー","")</f>
        <v/>
      </c>
      <c r="DW20" s="101"/>
      <c r="DX20" s="80"/>
      <c r="DY20" s="93" t="str">
        <f ca="1">IF(DZ16&lt;&gt;"",
"パン箱","")</f>
        <v/>
      </c>
      <c r="DZ20" s="94" t="str">
        <f ca="1">IF(DZ16&lt;&gt;"",
IF(OR(COUNTIF('盛付札（関数）'!DZ16,"*キャラ*"),COUNTIF('盛付札（関数）'!DZ16,"*赤*")),24,
VLOOKUP('盛付札（関数）'!DZ16,商品マスタ一覧!$D:$I,6,FALSE)),"")</f>
        <v/>
      </c>
      <c r="EA20" s="93" t="str">
        <f ca="1">IF(DZ16&lt;&gt;"",
" 端数","")</f>
        <v/>
      </c>
      <c r="EB20" s="94"/>
      <c r="EC20" s="93" t="str">
        <f ca="1">IF(DZ16&lt;&gt;"",
"アレルギー","")</f>
        <v/>
      </c>
      <c r="ED20" s="101"/>
      <c r="EE20" s="80"/>
      <c r="EF20" s="80"/>
      <c r="EG20" s="93" t="str">
        <f ca="1">IF(EH16&lt;&gt;"",
"パン箱","")</f>
        <v/>
      </c>
      <c r="EH20" s="94" t="str">
        <f ca="1">IF(EH16&lt;&gt;"",
IF(OR(COUNTIF('盛付札（関数）'!EH16,"*キャラ*"),COUNTIF('盛付札（関数）'!EH16,"*赤*")),24,
VLOOKUP('盛付札（関数）'!EH16,商品マスタ一覧!$D:$I,6,FALSE)),"")</f>
        <v/>
      </c>
      <c r="EI20" s="93" t="str">
        <f ca="1">IF(EH16&lt;&gt;"",
" 端数","")</f>
        <v/>
      </c>
      <c r="EJ20" s="94"/>
      <c r="EK20" s="93" t="str">
        <f ca="1">IF(EH16&lt;&gt;"",
"アレルギー","")</f>
        <v/>
      </c>
      <c r="EL20" s="101"/>
      <c r="EM20" s="80"/>
      <c r="EN20" s="93" t="str">
        <f ca="1">IF(EO16&lt;&gt;"",
"パン箱","")</f>
        <v/>
      </c>
      <c r="EO20" s="94" t="str">
        <f ca="1">IF(EO16&lt;&gt;"",
IF(OR(COUNTIF('盛付札（関数）'!EO16,"*キャラ*"),COUNTIF('盛付札（関数）'!EO16,"*赤*")),24,
VLOOKUP('盛付札（関数）'!EO16,商品マスタ一覧!$D:$I,6,FALSE)),"")</f>
        <v/>
      </c>
      <c r="EP20" s="93" t="str">
        <f ca="1">IF(EO16&lt;&gt;"",
" 端数","")</f>
        <v/>
      </c>
      <c r="EQ20" s="94"/>
      <c r="ER20" s="93" t="str">
        <f ca="1">IF(EO16&lt;&gt;"",
"アレルギー","")</f>
        <v/>
      </c>
      <c r="ES20" s="101"/>
      <c r="ET20" s="110"/>
      <c r="EU20" s="82">
        <f t="shared" si="1"/>
        <v>70</v>
      </c>
      <c r="EV20" s="82" t="str">
        <f t="array" aca="1" ref="EV20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LEN(SUBSTITUTE(_xlfn.FORMULATEXT(EV$3),"=","")))+$EU20)</f>
        <v/>
      </c>
      <c r="EW20" s="82" t="str">
        <f t="array" aca="1" ref="EW20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LEN(SUBSTITUTE(_xlfn.FORMULATEXT(EW$3),"=","")))+$EU20)</f>
        <v/>
      </c>
      <c r="EX20" s="82" t="str">
        <f t="array" aca="1" ref="EX20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LEN(SUBSTITUTE(_xlfn.FORMULATEXT(EX$3),"=","")))+$EU20)</f>
        <v/>
      </c>
      <c r="EY20" s="82" t="str">
        <f t="array" aca="1" ref="EY20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LEN(SUBSTITUTE(_xlfn.FORMULATEXT(EY$3),"=","")))+$EU20)</f>
        <v/>
      </c>
      <c r="EZ20" s="82" t="str">
        <f t="array" aca="1" ref="EZ20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LEN(SUBSTITUTE(_xlfn.FORMULATEXT(EZ$3),"=","")))+$EU20)</f>
        <v/>
      </c>
      <c r="FA20" s="82" t="str">
        <f t="array" aca="1" ref="FA20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LEN(SUBSTITUTE(_xlfn.FORMULATEXT(FA$3),"=","")))+$EU20)</f>
        <v/>
      </c>
      <c r="FB20" s="82" t="str">
        <f t="array" aca="1" ref="FB20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LEN(SUBSTITUTE(_xlfn.FORMULATEXT(FB$3),"=","")))+$EU20)</f>
        <v/>
      </c>
      <c r="FC20" s="82" t="str">
        <f t="array" aca="1" ref="FC20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LEN(SUBSTITUTE(_xlfn.FORMULATEXT(FC$3),"=","")))+$EU20)</f>
        <v/>
      </c>
      <c r="FD20" s="82" t="str">
        <f t="array" aca="1" ref="FD20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LEN(SUBSTITUTE(_xlfn.FORMULATEXT(FD$3),"=","")))+$EU20)</f>
        <v/>
      </c>
      <c r="FE20" s="82" t="str">
        <f t="array" aca="1" ref="FE20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LEN(SUBSTITUTE(_xlfn.FORMULATEXT(FE$3),"=","")))+$EU20)</f>
        <v/>
      </c>
      <c r="FF20" s="82" t="str">
        <f t="array" aca="1" ref="FF20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LEN(SUBSTITUTE(_xlfn.FORMULATEXT(FF$3),"=","")))+$EU20)</f>
        <v/>
      </c>
      <c r="FG20" s="82">
        <f t="shared" ca="1" si="0"/>
        <v>0</v>
      </c>
      <c r="FH20" s="82" t="b">
        <f t="array" aca="1" ref="FH20" ca="1">SUMPRODUCT((LEN(EV20:FF20)&gt;0)*1)&gt;0</f>
        <v>0</v>
      </c>
      <c r="FI20" s="82" t="str">
        <f t="array" aca="1" ref="FI20" ca="1">IFERROR(SMALL(IF(FG$1:FG$173&lt;&gt;0,FG$1:FG$173),ROW(A20)),"")</f>
        <v/>
      </c>
      <c r="FJ20" s="82" t="str">
        <f t="array" aca="1" ref="FJ20" ca="1">IF($FI20&lt;&gt;"",
INDIRECT(""&amp;IF(COLUMN(EV20)&lt;=26,CHAR(COLUMN(EV20)+64),CHAR(INT((COLUMN(EV20)-1)/26)+64)&amp;CHAR(MOD(COLUMN(EV20)-1,26)+65))&amp;$FI20&amp;""),"")</f>
        <v/>
      </c>
      <c r="FK20" s="82" t="str">
        <f t="array" aca="1" ref="FK20" ca="1">IF($FI20&lt;&gt;"",
INDIRECT(""&amp;IF(COLUMN(EW20)&lt;=26,CHAR(COLUMN(EW20)+64),CHAR(INT((COLUMN(EW20)-1)/26)+64)&amp;CHAR(MOD(COLUMN(EW20)-1,26)+65))&amp;$FI20&amp;""),"")</f>
        <v/>
      </c>
      <c r="FL20" s="82" t="str">
        <f t="array" aca="1" ref="FL20" ca="1">IF($FI20&lt;&gt;"",
INDIRECT(""&amp;IF(COLUMN(EX20)&lt;=26,CHAR(COLUMN(EX20)+64),CHAR(INT((COLUMN(EX20)-1)/26)+64)&amp;CHAR(MOD(COLUMN(EX20)-1,26)+65))&amp;$FI20&amp;""),"")</f>
        <v/>
      </c>
      <c r="FM20" s="82" t="str">
        <f t="array" aca="1" ref="FM20" ca="1">IF($FI20&lt;&gt;"",
IF(FL20="",
IF(INDIRECT("EY"&amp;$FI20&amp;"")&lt;&gt;"",
INDIRECT("EY"&amp;$FI20&amp;"")&amp;"箱"
&amp;INDIRECT("EZ"&amp;$FI20&amp;""),""),""),"")</f>
        <v/>
      </c>
      <c r="FN20" s="82" t="str">
        <f t="array" aca="1" ref="FN20" ca="1">IF($FI20&lt;&gt;"",
INDIRECT(""&amp;IF(COLUMN(FA20)&lt;=26,CHAR(COLUMN(FA20)+64),CHAR(INT((COLUMN(FA20)-1)/26)+64)&amp;CHAR(MOD(COLUMN(FA20)-1,26)+65))&amp;$FI20&amp;""),"")</f>
        <v/>
      </c>
      <c r="FO20" s="82" t="str">
        <f t="array" aca="1" ref="FO20" ca="1">IF($FI20&lt;&gt;"",
INDIRECT(""&amp;IF(COLUMN(FB20)&lt;=26,CHAR(COLUMN(FB20)+64),CHAR(INT((COLUMN(FB20)-1)/26)+64)&amp;CHAR(MOD(COLUMN(FB20)-1,26)+65))&amp;$FI20&amp;""),"")</f>
        <v/>
      </c>
      <c r="FP20" s="82" t="str">
        <f t="array" aca="1" ref="FP20" ca="1">IF($FI20&lt;&gt;"",
INDIRECT(""&amp;IF(COLUMN(FC20)&lt;=26,CHAR(COLUMN(FC20)+64),CHAR(INT((COLUMN(FC20)-1)/26)+64)&amp;CHAR(MOD(COLUMN(FC20)-1,26)+65))&amp;$FI20&amp;""),"")</f>
        <v/>
      </c>
      <c r="FQ20" s="82" t="str">
        <f t="array" aca="1" ref="FQ20" ca="1">IF($FI20&lt;&gt;"",
INDIRECT(""&amp;IF(COLUMN(FD20)&lt;=26,CHAR(COLUMN(FD20)+64),CHAR(INT((COLUMN(FD20)-1)/26)+64)&amp;CHAR(MOD(COLUMN(FD20)-1,26)+65))&amp;$FI20&amp;""),"")</f>
        <v/>
      </c>
      <c r="FR20" s="82" t="str">
        <f t="array" aca="1" ref="FR20" ca="1">IF($FI20&lt;&gt;"",
INDIRECT(""&amp;IF(COLUMN(FE20)&lt;=26,CHAR(COLUMN(FE20)+64),CHAR(INT((COLUMN(FE20)-1)/26)+64)&amp;CHAR(MOD(COLUMN(FE20)-1,26)+65))&amp;$FI20&amp;""),"")</f>
        <v/>
      </c>
      <c r="FS20" s="82" t="str">
        <f t="array" aca="1" ref="FS20" ca="1">IF($FI20&lt;&gt;"",
INDIRECT(""&amp;IF(COLUMN(FF20)&lt;=26,CHAR(COLUMN(FF20)+64),CHAR(INT((COLUMN(FF20)-1)/26)+64)&amp;CHAR(MOD(COLUMN(FF20)-1,26)+65))&amp;$FI20&amp;""),"")</f>
        <v/>
      </c>
    </row>
    <row r="21" spans="1:175" ht="21" customHeight="1" x14ac:dyDescent="0.45">
      <c r="B21" s="196" t="e">
        <f ca="1">IF(C18&lt;&gt;"",
IFERROR(INT(C18/C20),""),"")</f>
        <v>#VALUE!</v>
      </c>
      <c r="C21" s="195"/>
      <c r="D21" s="196" t="str">
        <f ca="1">IFERROR(MOD(C18,C20),"")</f>
        <v/>
      </c>
      <c r="E21" s="195"/>
      <c r="F21" s="194" t="e">
        <f ca="1">G17+G18</f>
        <v>#N/A</v>
      </c>
      <c r="G21" s="195"/>
      <c r="I21" s="196" t="e">
        <f ca="1">IF(J18&lt;&gt;"",
IFERROR(INT(J18/J20),""),"")</f>
        <v>#VALUE!</v>
      </c>
      <c r="J21" s="195"/>
      <c r="K21" s="196" t="str">
        <f ca="1">IFERROR(MOD(J18,J20),"")</f>
        <v/>
      </c>
      <c r="L21" s="195"/>
      <c r="M21" s="194" t="e">
        <f ca="1">N17+N18</f>
        <v>#N/A</v>
      </c>
      <c r="N21" s="195"/>
      <c r="Q21" s="196" t="e">
        <f ca="1">IF(R18&lt;&gt;"",
IFERROR(INT(R18/R20),""),"")</f>
        <v>#VALUE!</v>
      </c>
      <c r="R21" s="195"/>
      <c r="S21" s="196" t="str">
        <f ca="1">IFERROR(MOD(R18,R20),"")</f>
        <v/>
      </c>
      <c r="T21" s="195"/>
      <c r="U21" s="194" t="e">
        <f ca="1">V17+V18</f>
        <v>#N/A</v>
      </c>
      <c r="V21" s="195"/>
      <c r="X21" s="196" t="e">
        <f ca="1">IF(Y18&lt;&gt;"",
IFERROR(INT(Y18/Y20),""),"")</f>
        <v>#VALUE!</v>
      </c>
      <c r="Y21" s="195"/>
      <c r="Z21" s="196" t="str">
        <f ca="1">IFERROR(MOD(Y18,Y20),"")</f>
        <v/>
      </c>
      <c r="AA21" s="195"/>
      <c r="AB21" s="194" t="e">
        <f ca="1">AC17+AC18</f>
        <v>#N/A</v>
      </c>
      <c r="AC21" s="195"/>
      <c r="AF21" s="196" t="e">
        <f ca="1">IF(AG18&lt;&gt;"",
IFERROR(INT(AG18/AG20),""),"")</f>
        <v>#VALUE!</v>
      </c>
      <c r="AG21" s="195"/>
      <c r="AH21" s="196" t="str">
        <f ca="1">IFERROR(MOD(AG18,AG20),"")</f>
        <v/>
      </c>
      <c r="AI21" s="195"/>
      <c r="AJ21" s="194" t="e">
        <f ca="1">AK17+AK18</f>
        <v>#N/A</v>
      </c>
      <c r="AK21" s="195"/>
      <c r="AM21" s="196" t="e">
        <f ca="1">IF(AN18&lt;&gt;"",
IFERROR(INT(AN18/AN20),""),"")</f>
        <v>#VALUE!</v>
      </c>
      <c r="AN21" s="195"/>
      <c r="AO21" s="196" t="str">
        <f ca="1">IFERROR(MOD(AN18,AN20),"")</f>
        <v/>
      </c>
      <c r="AP21" s="195"/>
      <c r="AQ21" s="194" t="e">
        <f ca="1">AR17+AR18</f>
        <v>#N/A</v>
      </c>
      <c r="AR21" s="195"/>
      <c r="AU21" s="196" t="e">
        <f ca="1">IF(AV18&lt;&gt;"",
IFERROR(INT(AV18/AV20),""),"")</f>
        <v>#VALUE!</v>
      </c>
      <c r="AV21" s="195"/>
      <c r="AW21" s="196" t="str">
        <f ca="1">IFERROR(MOD(AV18,AV20),"")</f>
        <v/>
      </c>
      <c r="AX21" s="195"/>
      <c r="AY21" s="194" t="e">
        <f ca="1">AZ17+AZ18</f>
        <v>#N/A</v>
      </c>
      <c r="AZ21" s="195"/>
      <c r="BB21" s="196" t="e">
        <f ca="1">IF(BC18&lt;&gt;"",
IFERROR(INT(BC18/BC20),""),"")</f>
        <v>#VALUE!</v>
      </c>
      <c r="BC21" s="195"/>
      <c r="BD21" s="196" t="str">
        <f ca="1">IFERROR(MOD(BC18,BC20),"")</f>
        <v/>
      </c>
      <c r="BE21" s="195"/>
      <c r="BF21" s="194" t="e">
        <f ca="1">BG17+BG18</f>
        <v>#N/A</v>
      </c>
      <c r="BG21" s="195"/>
      <c r="BJ21" s="196" t="e">
        <f ca="1">IF(BK18&lt;&gt;"",
IFERROR(INT(BK18/BK20),""),"")</f>
        <v>#VALUE!</v>
      </c>
      <c r="BK21" s="195"/>
      <c r="BL21" s="196" t="str">
        <f ca="1">IFERROR(MOD(BK18,BK20),"")</f>
        <v/>
      </c>
      <c r="BM21" s="195"/>
      <c r="BN21" s="194" t="e">
        <f ca="1">BO17+BO18</f>
        <v>#N/A</v>
      </c>
      <c r="BO21" s="195"/>
      <c r="BQ21" s="196" t="e">
        <f ca="1">IF(BR18&lt;&gt;"",
IFERROR(INT(BR18/BR20),""),"")</f>
        <v>#VALUE!</v>
      </c>
      <c r="BR21" s="195"/>
      <c r="BS21" s="196" t="str">
        <f ca="1">IFERROR(MOD(BR18,BR20),"")</f>
        <v/>
      </c>
      <c r="BT21" s="195"/>
      <c r="BU21" s="194" t="e">
        <f ca="1">BV17+BV18</f>
        <v>#N/A</v>
      </c>
      <c r="BV21" s="195"/>
      <c r="BY21" s="196" t="e">
        <f ca="1">IF(BZ18&lt;&gt;"",
IFERROR(INT(BZ18/BZ20),""),"")</f>
        <v>#VALUE!</v>
      </c>
      <c r="BZ21" s="195"/>
      <c r="CA21" s="196" t="str">
        <f ca="1">IFERROR(MOD(BZ18,BZ20),"")</f>
        <v/>
      </c>
      <c r="CB21" s="195"/>
      <c r="CC21" s="194" t="e">
        <f ca="1">CD17+CD18</f>
        <v>#N/A</v>
      </c>
      <c r="CD21" s="195"/>
      <c r="CF21" s="196" t="e">
        <f ca="1">IF(CG18&lt;&gt;"",
IFERROR(INT(CG18/CG20),""),"")</f>
        <v>#VALUE!</v>
      </c>
      <c r="CG21" s="195"/>
      <c r="CH21" s="196" t="str">
        <f ca="1">IFERROR(MOD(CG18,CG20),"")</f>
        <v/>
      </c>
      <c r="CI21" s="195"/>
      <c r="CJ21" s="194" t="e">
        <f ca="1">CK17+CK18</f>
        <v>#N/A</v>
      </c>
      <c r="CK21" s="195"/>
      <c r="CN21" s="196" t="e">
        <f ca="1">IF(CO18&lt;&gt;"",
IFERROR(INT(CO18/CO20),""),"")</f>
        <v>#VALUE!</v>
      </c>
      <c r="CO21" s="195"/>
      <c r="CP21" s="196" t="str">
        <f ca="1">IFERROR(MOD(CO18,CO20),"")</f>
        <v/>
      </c>
      <c r="CQ21" s="195"/>
      <c r="CR21" s="194" t="e">
        <f ca="1">CS17+CS18</f>
        <v>#N/A</v>
      </c>
      <c r="CS21" s="195"/>
      <c r="CU21" s="196" t="e">
        <f ca="1">IF(CV18&lt;&gt;"",
IFERROR(INT(CV18/CV20),""),"")</f>
        <v>#VALUE!</v>
      </c>
      <c r="CV21" s="195"/>
      <c r="CW21" s="196" t="str">
        <f ca="1">IFERROR(MOD(CV18,CV20),"")</f>
        <v/>
      </c>
      <c r="CX21" s="195"/>
      <c r="CY21" s="194" t="e">
        <f ca="1">CZ17+CZ18</f>
        <v>#N/A</v>
      </c>
      <c r="CZ21" s="195"/>
      <c r="DC21" s="196" t="e">
        <f ca="1">IF(DD18&lt;&gt;"",
IFERROR(INT(DD18/DD20),""),"")</f>
        <v>#VALUE!</v>
      </c>
      <c r="DD21" s="195"/>
      <c r="DE21" s="196" t="str">
        <f ca="1">IFERROR(MOD(DD18,DD20),"")</f>
        <v/>
      </c>
      <c r="DF21" s="195"/>
      <c r="DG21" s="194" t="e">
        <f ca="1">DH17+DH18</f>
        <v>#N/A</v>
      </c>
      <c r="DH21" s="195"/>
      <c r="DJ21" s="196" t="e">
        <f ca="1">IF(DK18&lt;&gt;"",
IFERROR(INT(DK18/DK20),""),"")</f>
        <v>#VALUE!</v>
      </c>
      <c r="DK21" s="195"/>
      <c r="DL21" s="196" t="str">
        <f ca="1">IFERROR(MOD(DK18,DK20),"")</f>
        <v/>
      </c>
      <c r="DM21" s="195"/>
      <c r="DN21" s="194" t="e">
        <f ca="1">DO17+DO18</f>
        <v>#N/A</v>
      </c>
      <c r="DO21" s="195"/>
      <c r="DR21" s="196" t="e">
        <f ca="1">IF(DS18&lt;&gt;"",
IFERROR(INT(DS18/DS20),""),"")</f>
        <v>#VALUE!</v>
      </c>
      <c r="DS21" s="195"/>
      <c r="DT21" s="196" t="str">
        <f ca="1">IFERROR(MOD(DS18,DS20),"")</f>
        <v/>
      </c>
      <c r="DU21" s="195"/>
      <c r="DV21" s="194" t="e">
        <f ca="1">DW17+DW18</f>
        <v>#N/A</v>
      </c>
      <c r="DW21" s="195"/>
      <c r="DY21" s="196" t="e">
        <f ca="1">IF(DZ18&lt;&gt;"",
IFERROR(INT(DZ18/DZ20),""),"")</f>
        <v>#VALUE!</v>
      </c>
      <c r="DZ21" s="195"/>
      <c r="EA21" s="196" t="str">
        <f ca="1">IFERROR(MOD(DZ18,DZ20),"")</f>
        <v/>
      </c>
      <c r="EB21" s="195"/>
      <c r="EC21" s="194" t="e">
        <f ca="1">ED17+ED18</f>
        <v>#N/A</v>
      </c>
      <c r="ED21" s="195"/>
      <c r="EG21" s="196" t="e">
        <f ca="1">IF(EH18&lt;&gt;"",
IFERROR(INT(EH18/EH20),""),"")</f>
        <v>#VALUE!</v>
      </c>
      <c r="EH21" s="195"/>
      <c r="EI21" s="196" t="str">
        <f ca="1">IFERROR(MOD(EH18,EH20),"")</f>
        <v/>
      </c>
      <c r="EJ21" s="195"/>
      <c r="EK21" s="194" t="e">
        <f ca="1">EL17+EL18</f>
        <v>#N/A</v>
      </c>
      <c r="EL21" s="195"/>
      <c r="EN21" s="196" t="e">
        <f ca="1">IF(EO18&lt;&gt;"",
IFERROR(INT(EO18/EO20),""),"")</f>
        <v>#VALUE!</v>
      </c>
      <c r="EO21" s="195"/>
      <c r="EP21" s="196" t="str">
        <f ca="1">IFERROR(MOD(EO18,EO20),"")</f>
        <v/>
      </c>
      <c r="EQ21" s="195"/>
      <c r="ER21" s="194" t="e">
        <f ca="1">ES17+ES18</f>
        <v>#N/A</v>
      </c>
      <c r="ES21" s="195"/>
      <c r="ET21" s="75"/>
      <c r="EU21" s="82">
        <f t="shared" si="1"/>
        <v>35</v>
      </c>
      <c r="EV21" s="82" t="str">
        <f t="array" aca="1" ref="EV21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LEN(SUBSTITUTE(_xlfn.FORMULATEXT(EV$1),"=","")))+$EU21)</f>
        <v/>
      </c>
      <c r="EW21" s="82" t="str">
        <f t="array" aca="1" ref="EW21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LEN(SUBSTITUTE(_xlfn.FORMULATEXT(EW$1),"=","")))+$EU21)</f>
        <v/>
      </c>
      <c r="EX21" s="82" t="str">
        <f t="array" aca="1" ref="EX21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LEN(SUBSTITUTE(_xlfn.FORMULATEXT(EX$1),"=","")))+$EU21)</f>
        <v/>
      </c>
      <c r="EY21" s="82" t="str">
        <f t="array" aca="1" ref="EY21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LEN(SUBSTITUTE(_xlfn.FORMULATEXT(EY$1),"=","")))+$EU21)</f>
        <v/>
      </c>
      <c r="EZ21" s="82" t="str">
        <f t="array" aca="1" ref="EZ21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LEN(SUBSTITUTE(_xlfn.FORMULATEXT(EZ$1),"=","")))+$EU21)</f>
        <v/>
      </c>
      <c r="FA21" s="82" t="e">
        <f t="array" aca="1" ref="FA21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LEN(SUBSTITUTE(_xlfn.FORMULATEXT(FA$1),"=","")))+$EU21)</f>
        <v>#VALUE!</v>
      </c>
      <c r="FB21" s="82" t="str">
        <f t="array" aca="1" ref="FB21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LEN(SUBSTITUTE(_xlfn.FORMULATEXT(FB$1),"=","")))+$EU21)</f>
        <v/>
      </c>
      <c r="FC21" s="82" t="str">
        <f t="array" aca="1" ref="FC21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LEN(SUBSTITUTE(_xlfn.FORMULATEXT(FC$1),"=","")))+$EU21)</f>
        <v/>
      </c>
      <c r="FD21" s="82" t="e">
        <f t="array" aca="1" ref="FD21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LEN(SUBSTITUTE(_xlfn.FORMULATEXT(FD$1),"=","")))+$EU21)</f>
        <v>#VALUE!</v>
      </c>
      <c r="FE21" s="82" t="str">
        <f t="array" aca="1" ref="FE21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LEN(SUBSTITUTE(_xlfn.FORMULATEXT(FE$1),"=","")))+$EU21)</f>
        <v/>
      </c>
      <c r="FF21" s="82" t="e">
        <f t="array" aca="1" ref="FF21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LEN(SUBSTITUTE(_xlfn.FORMULATEXT(FF$1),"=","")))+$EU21)</f>
        <v>#N/A</v>
      </c>
      <c r="FG21" s="82">
        <f t="shared" ca="1" si="0"/>
        <v>0</v>
      </c>
      <c r="FH21" s="82" t="e">
        <f t="array" aca="1" ref="FH21" ca="1">SUMPRODUCT((LEN(EV21:FF21)&gt;0)*1)&gt;0</f>
        <v>#VALUE!</v>
      </c>
      <c r="FI21" s="82" t="str">
        <f t="array" aca="1" ref="FI21" ca="1">IFERROR(SMALL(IF(FG$1:FG$173&lt;&gt;0,FG$1:FG$173),ROW(A21)),"")</f>
        <v/>
      </c>
      <c r="FJ21" s="82" t="str">
        <f t="array" aca="1" ref="FJ21" ca="1">IF($FI21&lt;&gt;"",
INDIRECT(""&amp;IF(COLUMN(EV21)&lt;=26,CHAR(COLUMN(EV21)+64),CHAR(INT((COLUMN(EV21)-1)/26)+64)&amp;CHAR(MOD(COLUMN(EV21)-1,26)+65))&amp;$FI21&amp;""),"")</f>
        <v/>
      </c>
      <c r="FK21" s="82" t="str">
        <f t="array" aca="1" ref="FK21" ca="1">IF($FI21&lt;&gt;"",
INDIRECT(""&amp;IF(COLUMN(EW21)&lt;=26,CHAR(COLUMN(EW21)+64),CHAR(INT((COLUMN(EW21)-1)/26)+64)&amp;CHAR(MOD(COLUMN(EW21)-1,26)+65))&amp;$FI21&amp;""),"")</f>
        <v/>
      </c>
      <c r="FL21" s="82" t="str">
        <f t="array" aca="1" ref="FL21" ca="1">IF($FI21&lt;&gt;"",
INDIRECT(""&amp;IF(COLUMN(EX21)&lt;=26,CHAR(COLUMN(EX21)+64),CHAR(INT((COLUMN(EX21)-1)/26)+64)&amp;CHAR(MOD(COLUMN(EX21)-1,26)+65))&amp;$FI21&amp;""),"")</f>
        <v/>
      </c>
      <c r="FM21" s="82" t="str">
        <f t="array" aca="1" ref="FM21" ca="1">IF($FI21&lt;&gt;"",
IF(FL21="",
IF(INDIRECT("EY"&amp;$FI21&amp;"")&lt;&gt;"",
INDIRECT("EY"&amp;$FI21&amp;"")&amp;"箱"
&amp;INDIRECT("EZ"&amp;$FI21&amp;""),""),""),"")</f>
        <v/>
      </c>
      <c r="FN21" s="82" t="str">
        <f t="array" aca="1" ref="FN21" ca="1">IF($FI21&lt;&gt;"",
INDIRECT(""&amp;IF(COLUMN(FA21)&lt;=26,CHAR(COLUMN(FA21)+64),CHAR(INT((COLUMN(FA21)-1)/26)+64)&amp;CHAR(MOD(COLUMN(FA21)-1,26)+65))&amp;$FI21&amp;""),"")</f>
        <v/>
      </c>
      <c r="FO21" s="82" t="str">
        <f t="array" aca="1" ref="FO21" ca="1">IF($FI21&lt;&gt;"",
INDIRECT(""&amp;IF(COLUMN(FB21)&lt;=26,CHAR(COLUMN(FB21)+64),CHAR(INT((COLUMN(FB21)-1)/26)+64)&amp;CHAR(MOD(COLUMN(FB21)-1,26)+65))&amp;$FI21&amp;""),"")</f>
        <v/>
      </c>
      <c r="FP21" s="82" t="str">
        <f t="array" aca="1" ref="FP21" ca="1">IF($FI21&lt;&gt;"",
INDIRECT(""&amp;IF(COLUMN(FC21)&lt;=26,CHAR(COLUMN(FC21)+64),CHAR(INT((COLUMN(FC21)-1)/26)+64)&amp;CHAR(MOD(COLUMN(FC21)-1,26)+65))&amp;$FI21&amp;""),"")</f>
        <v/>
      </c>
      <c r="FQ21" s="82" t="str">
        <f t="array" aca="1" ref="FQ21" ca="1">IF($FI21&lt;&gt;"",
INDIRECT(""&amp;IF(COLUMN(FD21)&lt;=26,CHAR(COLUMN(FD21)+64),CHAR(INT((COLUMN(FD21)-1)/26)+64)&amp;CHAR(MOD(COLUMN(FD21)-1,26)+65))&amp;$FI21&amp;""),"")</f>
        <v/>
      </c>
      <c r="FR21" s="82" t="str">
        <f t="array" aca="1" ref="FR21" ca="1">IF($FI21&lt;&gt;"",
INDIRECT(""&amp;IF(COLUMN(FE21)&lt;=26,CHAR(COLUMN(FE21)+64),CHAR(INT((COLUMN(FE21)-1)/26)+64)&amp;CHAR(MOD(COLUMN(FE21)-1,26)+65))&amp;$FI21&amp;""),"")</f>
        <v/>
      </c>
      <c r="FS21" s="82" t="str">
        <f t="array" aca="1" ref="FS21" ca="1">IF($FI21&lt;&gt;"",
INDIRECT(""&amp;IF(COLUMN(FF21)&lt;=26,CHAR(COLUMN(FF21)+64),CHAR(INT((COLUMN(FF21)-1)/26)+64)&amp;CHAR(MOD(COLUMN(FF21)-1,26)+65))&amp;$FI21&amp;""),"")</f>
        <v/>
      </c>
    </row>
    <row r="22" spans="1:175" s="82" customFormat="1" ht="18" customHeight="1" x14ac:dyDescent="0.55000000000000004">
      <c r="A22" s="80">
        <f t="array" aca="1" ref="A22" ca="1">IF(AND(G15&lt;&gt;"社食",N15="社食"),I15,
IF(AND(LEFT(N15,2)="博多",LEFT(INDIRECT("数出表_Excel!A"&amp;I15-1),2)=LEFT(INDIRECT("数出表_Excel!A"&amp;I15+1),2)),
IF(AND(LEFT(INDIRECT("数出表_Excel!A"&amp;I15+2),2)="博多",LEFT(INDIRECT("数出表_Excel!A"&amp;I15+1),2)=LEFT(INDIRECT("数出表_Excel!A"&amp;I15+3),2)),
IF(AND(LEFT(INDIRECT("数出表_Excel!A"&amp;I15+4),2)="博多",LEFT(INDIRECT("数出表_Excel!A"&amp;I15+3),2)=LEFT(INDIRECT("数出表_Excel!A"&amp;I15+5),2)),
I15+8,
I15+6),
I15+4),
IF(LEFT(N15,3)="奈良屋",
IF(LEFT(INDIRECT("数出表_Excel!A"&amp;I15+2),3)="奈良屋",
IF(LEFT(INDIRECT("数出表_Excel!A"&amp;I15+4),3)="奈良屋",
I15+6,
I15+4),
I15+2),
I15+2)))</f>
        <v>19</v>
      </c>
      <c r="B22" s="81">
        <f t="array" aca="1" ref="B22" ca="1">GetResult(A23)</f>
        <v>19</v>
      </c>
      <c r="C22" s="191" t="str">
        <f ca="1">IF(C23&lt;&gt;"",
IF(LEFT(G22,2)="博多",
LEFT(G22,FIND("週",G22)-1),
G22),"")</f>
        <v/>
      </c>
      <c r="D22" s="192"/>
      <c r="E22" s="192"/>
      <c r="F22" s="192"/>
      <c r="G22" s="99">
        <f t="array" aca="1" ref="G22" ca="1">INDIRECT("数出表_Excel!A"&amp;B22)</f>
        <v>0</v>
      </c>
      <c r="H22" s="80">
        <f t="array" aca="1" ref="H22" ca="1">IF(AND(N15&lt;&gt;"社食",G22="社食"),B22,
IF(AND(LEFT(G22,2)="博多",LEFT(INDIRECT("数出表_Excel!A"&amp;B22-1),2)=LEFT(INDIRECT("数出表_Excel!A"&amp;B22+1),2)),
IF(AND(LEFT(INDIRECT("数出表_Excel!A"&amp;B22+2),2)="博多",LEFT(INDIRECT("数出表_Excel!A"&amp;B22+1),2)=LEFT(INDIRECT("数出表_Excel!A"&amp;B22+3),2)),
IF(AND(LEFT(INDIRECT("数出表_Excel!A"&amp;B22+4),2)="博多",LEFT(INDIRECT("数出表_Excel!A"&amp;B22+3),2)=LEFT(INDIRECT("数出表_Excel!A"&amp;B22+5),2)),
B22+8,
B22+6),
B22+4),
IF(LEFT(G22,3)="奈良屋",
IF(LEFT(INDIRECT("数出表_Excel!A"&amp;B22+2),3)="奈良屋",
IF(LEFT(INDIRECT("数出表_Excel!A"&amp;B22+4),3)="奈良屋",
B22+6,
B22+4),
B22+2),
B22+2)))</f>
        <v>21</v>
      </c>
      <c r="I22" s="81">
        <f t="array" aca="1" ref="I22" ca="1">GetResult(H23)</f>
        <v>21</v>
      </c>
      <c r="J22" s="191" t="str">
        <f ca="1">IF(J23&lt;&gt;"",
IF(LEFT(N22,2)="博多",
LEFT(N22,FIND("週",N22)-1),
N22),"")</f>
        <v/>
      </c>
      <c r="K22" s="192"/>
      <c r="L22" s="192"/>
      <c r="M22" s="192"/>
      <c r="N22" s="95">
        <f t="array" aca="1" ref="N22" ca="1">INDIRECT("数出表_Excel!A"&amp;I22)</f>
        <v>0</v>
      </c>
      <c r="O22" s="80"/>
      <c r="P22" s="80">
        <f t="array" aca="1" ref="P22" ca="1">IF(AND(V15&lt;&gt;"社食",AC15="社食"),X15,
IF(AND(LEFT(AC15,2)="博多",LEFT(INDIRECT("数出表_Excel!A"&amp;X15-1),2)=LEFT(INDIRECT("数出表_Excel!A"&amp;X15+1),2)),
IF(AND(LEFT(INDIRECT("数出表_Excel!A"&amp;X15+2),2)="博多",LEFT(INDIRECT("数出表_Excel!A"&amp;X15+1),2)=LEFT(INDIRECT("数出表_Excel!A"&amp;X15+3),2)),
IF(AND(LEFT(INDIRECT("数出表_Excel!A"&amp;X15+4),2)="博多",LEFT(INDIRECT("数出表_Excel!A"&amp;X15+3),2)=LEFT(INDIRECT("数出表_Excel!A"&amp;X15+5),2)),
X15+8,
X15+6),
X15+4),
IF(LEFT(AC15,3)="奈良屋",
IF(LEFT(INDIRECT("数出表_Excel!A"&amp;X15+2),3)="奈良屋",
IF(LEFT(INDIRECT("数出表_Excel!A"&amp;X15+4),3)="奈良屋",
X15+6,
X15+4),
X15+2),
X15+2)))</f>
        <v>43</v>
      </c>
      <c r="Q22" s="81">
        <f t="array" aca="1" ref="Q22" ca="1">GetResult(P23)</f>
        <v>43</v>
      </c>
      <c r="R22" s="191" t="str">
        <f ca="1">IF(R23&lt;&gt;"",
IF(LEFT(V22,2)="博多",
LEFT(V22,FIND("週",V22)-1),
V22),"")</f>
        <v/>
      </c>
      <c r="S22" s="192"/>
      <c r="T22" s="192"/>
      <c r="U22" s="192"/>
      <c r="V22" s="99">
        <f t="array" aca="1" ref="V22" ca="1">INDIRECT("数出表_Excel!A"&amp;Q22)</f>
        <v>0</v>
      </c>
      <c r="W22" s="80">
        <f t="array" aca="1" ref="W22" ca="1">IF(AND(AC15&lt;&gt;"社食",V22="社食"),Q22,
IF(AND(LEFT(V22,2)="博多",LEFT(INDIRECT("数出表_Excel!A"&amp;Q22-1),2)=LEFT(INDIRECT("数出表_Excel!A"&amp;Q22+1),2)),
IF(AND(LEFT(INDIRECT("数出表_Excel!A"&amp;Q22+2),2)="博多",LEFT(INDIRECT("数出表_Excel!A"&amp;Q22+1),2)=LEFT(INDIRECT("数出表_Excel!A"&amp;Q22+3),2)),
IF(AND(LEFT(INDIRECT("数出表_Excel!A"&amp;Q22+4),2)="博多",LEFT(INDIRECT("数出表_Excel!A"&amp;Q22+3),2)=LEFT(INDIRECT("数出表_Excel!A"&amp;Q22+5),2)),
Q22+8,
Q22+6),
Q22+4),
IF(LEFT(V22,3)="奈良屋",
IF(LEFT(INDIRECT("数出表_Excel!A"&amp;Q22+2),3)="奈良屋",
IF(LEFT(INDIRECT("数出表_Excel!A"&amp;Q22+4),3)="奈良屋",
Q22+6,
Q22+4),
Q22+2),
Q22+2)))</f>
        <v>45</v>
      </c>
      <c r="X22" s="81">
        <f t="array" aca="1" ref="X22" ca="1">GetResult(W23)</f>
        <v>45</v>
      </c>
      <c r="Y22" s="191" t="str">
        <f ca="1">IF(Y23&lt;&gt;"",
IF(LEFT(AC22,2)="博多",
LEFT(AC22,FIND("週",AC22)-1),
AC22),"")</f>
        <v/>
      </c>
      <c r="Z22" s="192"/>
      <c r="AA22" s="192"/>
      <c r="AB22" s="192"/>
      <c r="AC22" s="95">
        <f t="array" aca="1" ref="AC22" ca="1">INDIRECT("数出表_Excel!A"&amp;X22)</f>
        <v>0</v>
      </c>
      <c r="AD22" s="80"/>
      <c r="AE22" s="80">
        <f t="array" aca="1" ref="AE22" ca="1">IF(AND(AK15&lt;&gt;"社食",AR15="社食"),AM15,
IF(AND(LEFT(AR15,2)="博多",LEFT(INDIRECT("数出表_Excel!A"&amp;AM15-1),2)=LEFT(INDIRECT("数出表_Excel!A"&amp;AM15+1),2)),
IF(AND(LEFT(INDIRECT("数出表_Excel!A"&amp;AM15+2),2)="博多",LEFT(INDIRECT("数出表_Excel!A"&amp;AM15+1),2)=LEFT(INDIRECT("数出表_Excel!A"&amp;AM15+3),2)),
IF(AND(LEFT(INDIRECT("数出表_Excel!A"&amp;AM15+4),2)="博多",LEFT(INDIRECT("数出表_Excel!A"&amp;AM15+3),2)=LEFT(INDIRECT("数出表_Excel!A"&amp;AM15+5),2)),
AM15+8,
AM15+6),
AM15+4),
IF(LEFT(AR15,3)="奈良屋",
IF(LEFT(INDIRECT("数出表_Excel!A"&amp;AM15+2),3)="奈良屋",
IF(LEFT(INDIRECT("数出表_Excel!A"&amp;AM15+4),3)="奈良屋",
AM15+6,
AM15+4),
AM15+2),
AM15+2)))</f>
        <v>67</v>
      </c>
      <c r="AF22" s="81">
        <f t="array" aca="1" ref="AF22" ca="1">GetResult(AE23)</f>
        <v>67</v>
      </c>
      <c r="AG22" s="191" t="str">
        <f ca="1">IF(AG23&lt;&gt;"",
IF(LEFT(AK22,2)="博多",
LEFT(AK22,FIND("週",AK22)-1),
AK22),"")</f>
        <v/>
      </c>
      <c r="AH22" s="192"/>
      <c r="AI22" s="192"/>
      <c r="AJ22" s="192"/>
      <c r="AK22" s="99">
        <f t="array" aca="1" ref="AK22" ca="1">INDIRECT("数出表_Excel!A"&amp;AF22)</f>
        <v>0</v>
      </c>
      <c r="AL22" s="80">
        <f t="array" aca="1" ref="AL22" ca="1">IF(AND(AR15&lt;&gt;"社食",AK22="社食"),AF22,
IF(AND(LEFT(AK22,2)="博多",LEFT(INDIRECT("数出表_Excel!A"&amp;AF22-1),2)=LEFT(INDIRECT("数出表_Excel!A"&amp;AF22+1),2)),
IF(AND(LEFT(INDIRECT("数出表_Excel!A"&amp;AF22+2),2)="博多",LEFT(INDIRECT("数出表_Excel!A"&amp;AF22+1),2)=LEFT(INDIRECT("数出表_Excel!A"&amp;AF22+3),2)),
IF(AND(LEFT(INDIRECT("数出表_Excel!A"&amp;AF22+4),2)="博多",LEFT(INDIRECT("数出表_Excel!A"&amp;AF22+3),2)=LEFT(INDIRECT("数出表_Excel!A"&amp;AF22+5),2)),
AF22+8,
AF22+6),
AF22+4),
IF(LEFT(AK22,3)="奈良屋",
IF(LEFT(INDIRECT("数出表_Excel!A"&amp;AF22+2),3)="奈良屋",
IF(LEFT(INDIRECT("数出表_Excel!A"&amp;AF22+4),3)="奈良屋",
AF22+6,
AF22+4),
AF22+2),
AF22+2)))</f>
        <v>69</v>
      </c>
      <c r="AM22" s="81">
        <f t="array" aca="1" ref="AM22" ca="1">GetResult(AL23)</f>
        <v>69</v>
      </c>
      <c r="AN22" s="191" t="str">
        <f ca="1">IF(AN23&lt;&gt;"",
IF(LEFT(AR22,2)="博多",
LEFT(AR22,FIND("週",AR22)-1),
AR22),"")</f>
        <v/>
      </c>
      <c r="AO22" s="192"/>
      <c r="AP22" s="192"/>
      <c r="AQ22" s="192"/>
      <c r="AR22" s="95">
        <f t="array" aca="1" ref="AR22" ca="1">INDIRECT("数出表_Excel!A"&amp;AM22)</f>
        <v>0</v>
      </c>
      <c r="AS22" s="80"/>
      <c r="AT22" s="80">
        <f t="array" aca="1" ref="AT22" ca="1">IF(AND(AZ15&lt;&gt;"社食",BG15="社食"),BB15,
IF(AND(LEFT(BG15,2)="博多",LEFT(INDIRECT("数出表_Excel!A"&amp;BB15-1),2)=LEFT(INDIRECT("数出表_Excel!A"&amp;BB15+1),2)),
IF(AND(LEFT(INDIRECT("数出表_Excel!A"&amp;BB15+2),2)="博多",LEFT(INDIRECT("数出表_Excel!A"&amp;BB15+1),2)=LEFT(INDIRECT("数出表_Excel!A"&amp;BB15+3),2)),
IF(AND(LEFT(INDIRECT("数出表_Excel!A"&amp;BB15+4),2)="博多",LEFT(INDIRECT("数出表_Excel!A"&amp;BB15+3),2)=LEFT(INDIRECT("数出表_Excel!A"&amp;BB15+5),2)),
BB15+8,
BB15+6),
BB15+4),
IF(LEFT(BG15,3)="奈良屋",
IF(LEFT(INDIRECT("数出表_Excel!A"&amp;BB15+2),3)="奈良屋",
IF(LEFT(INDIRECT("数出表_Excel!A"&amp;BB15+4),3)="奈良屋",
BB15+6,
BB15+4),
BB15+2),
BB15+2)))</f>
        <v>91</v>
      </c>
      <c r="AU22" s="81">
        <f t="array" aca="1" ref="AU22" ca="1">GetResult(AT23)</f>
        <v>91</v>
      </c>
      <c r="AV22" s="191" t="str">
        <f ca="1">IF(AV23&lt;&gt;"",
IF(LEFT(AZ22,2)="博多",
LEFT(AZ22,FIND("週",AZ22)-1),
AZ22),"")</f>
        <v/>
      </c>
      <c r="AW22" s="192"/>
      <c r="AX22" s="192"/>
      <c r="AY22" s="192"/>
      <c r="AZ22" s="99">
        <f t="array" aca="1" ref="AZ22" ca="1">INDIRECT("数出表_Excel!A"&amp;AU22)</f>
        <v>0</v>
      </c>
      <c r="BA22" s="80">
        <f t="array" aca="1" ref="BA22" ca="1">IF(AND(BG15&lt;&gt;"社食",AZ22="社食"),AU22,
IF(AND(LEFT(AZ22,2)="博多",LEFT(INDIRECT("数出表_Excel!A"&amp;AU22-1),2)=LEFT(INDIRECT("数出表_Excel!A"&amp;AU22+1),2)),
IF(AND(LEFT(INDIRECT("数出表_Excel!A"&amp;AU22+2),2)="博多",LEFT(INDIRECT("数出表_Excel!A"&amp;AU22+1),2)=LEFT(INDIRECT("数出表_Excel!A"&amp;AU22+3),2)),
IF(AND(LEFT(INDIRECT("数出表_Excel!A"&amp;AU22+4),2)="博多",LEFT(INDIRECT("数出表_Excel!A"&amp;AU22+3),2)=LEFT(INDIRECT("数出表_Excel!A"&amp;AU22+5),2)),
AU22+8,
AU22+6),
AU22+4),
IF(LEFT(AZ22,3)="奈良屋",
IF(LEFT(INDIRECT("数出表_Excel!A"&amp;AU22+2),3)="奈良屋",
IF(LEFT(INDIRECT("数出表_Excel!A"&amp;AU22+4),3)="奈良屋",
AU22+6,
AU22+4),
AU22+2),
AU22+2)))</f>
        <v>93</v>
      </c>
      <c r="BB22" s="81">
        <f t="array" aca="1" ref="BB22" ca="1">GetResult(BA23)</f>
        <v>93</v>
      </c>
      <c r="BC22" s="191" t="str">
        <f ca="1">IF(BC23&lt;&gt;"",
IF(LEFT(BG22,2)="博多",
LEFT(BG22,FIND("週",BG22)-1),
BG22),"")</f>
        <v/>
      </c>
      <c r="BD22" s="192"/>
      <c r="BE22" s="192"/>
      <c r="BF22" s="192"/>
      <c r="BG22" s="95">
        <f t="array" aca="1" ref="BG22" ca="1">INDIRECT("数出表_Excel!A"&amp;BB22)</f>
        <v>0</v>
      </c>
      <c r="BH22" s="80"/>
      <c r="BI22" s="80">
        <f t="array" aca="1" ref="BI22" ca="1">IF(AND(BO15&lt;&gt;"社食",BV15="社食"),BQ15,
IF(AND(LEFT(BV15,2)="博多",LEFT(INDIRECT("数出表_Excel!A"&amp;BQ15-1),2)=LEFT(INDIRECT("数出表_Excel!A"&amp;BQ15+1),2)),
IF(AND(LEFT(INDIRECT("数出表_Excel!A"&amp;BQ15+2),2)="博多",LEFT(INDIRECT("数出表_Excel!A"&amp;BQ15+1),2)=LEFT(INDIRECT("数出表_Excel!A"&amp;BQ15+3),2)),
IF(AND(LEFT(INDIRECT("数出表_Excel!A"&amp;BQ15+4),2)="博多",LEFT(INDIRECT("数出表_Excel!A"&amp;BQ15+3),2)=LEFT(INDIRECT("数出表_Excel!A"&amp;BQ15+5),2)),
BQ15+8,
BQ15+6),
BQ15+4),
IF(LEFT(BV15,3)="奈良屋",
IF(LEFT(INDIRECT("数出表_Excel!A"&amp;BQ15+2),3)="奈良屋",
IF(LEFT(INDIRECT("数出表_Excel!A"&amp;BQ15+4),3)="奈良屋",
BQ15+6,
BQ15+4),
BQ15+2),
BQ15+2)))</f>
        <v>115</v>
      </c>
      <c r="BJ22" s="81">
        <f t="array" aca="1" ref="BJ22" ca="1">GetResult(BI23)</f>
        <v>115</v>
      </c>
      <c r="BK22" s="191" t="str">
        <f ca="1">IF(BK23&lt;&gt;"",
IF(LEFT(BO22,2)="博多",
LEFT(BO22,FIND("週",BO22)-1),
BO22),"")</f>
        <v/>
      </c>
      <c r="BL22" s="192"/>
      <c r="BM22" s="192"/>
      <c r="BN22" s="192"/>
      <c r="BO22" s="99">
        <f t="array" aca="1" ref="BO22" ca="1">INDIRECT("数出表_Excel!A"&amp;BJ22)</f>
        <v>0</v>
      </c>
      <c r="BP22" s="80">
        <f t="array" aca="1" ref="BP22" ca="1">IF(AND(BV15&lt;&gt;"社食",BO22="社食"),BJ22,
IF(AND(LEFT(BO22,2)="博多",LEFT(INDIRECT("数出表_Excel!A"&amp;BJ22-1),2)=LEFT(INDIRECT("数出表_Excel!A"&amp;BJ22+1),2)),
IF(AND(LEFT(INDIRECT("数出表_Excel!A"&amp;BJ22+2),2)="博多",LEFT(INDIRECT("数出表_Excel!A"&amp;BJ22+1),2)=LEFT(INDIRECT("数出表_Excel!A"&amp;BJ22+3),2)),
IF(AND(LEFT(INDIRECT("数出表_Excel!A"&amp;BJ22+4),2)="博多",LEFT(INDIRECT("数出表_Excel!A"&amp;BJ22+3),2)=LEFT(INDIRECT("数出表_Excel!A"&amp;BJ22+5),2)),
BJ22+8,
BJ22+6),
BJ22+4),
IF(LEFT(BO22,3)="奈良屋",
IF(LEFT(INDIRECT("数出表_Excel!A"&amp;BJ22+2),3)="奈良屋",
IF(LEFT(INDIRECT("数出表_Excel!A"&amp;BJ22+4),3)="奈良屋",
BJ22+6,
BJ22+4),
BJ22+2),
BJ22+2)))</f>
        <v>117</v>
      </c>
      <c r="BQ22" s="81">
        <f t="array" aca="1" ref="BQ22" ca="1">GetResult(BP23)</f>
        <v>117</v>
      </c>
      <c r="BR22" s="191" t="str">
        <f ca="1">IF(BR23&lt;&gt;"",
IF(LEFT(BV22,2)="博多",
LEFT(BV22,FIND("週",BV22)-1),
BV22),"")</f>
        <v/>
      </c>
      <c r="BS22" s="192"/>
      <c r="BT22" s="192"/>
      <c r="BU22" s="192"/>
      <c r="BV22" s="95">
        <f t="array" aca="1" ref="BV22" ca="1">INDIRECT("数出表_Excel!A"&amp;BQ22)</f>
        <v>0</v>
      </c>
      <c r="BW22" s="80"/>
      <c r="BX22" s="80">
        <f t="array" aca="1" ref="BX22" ca="1">IF(AND(CD15&lt;&gt;"社食",CK15="社食"),CF15,
IF(AND(LEFT(CK15,2)="博多",LEFT(INDIRECT("数出表_Excel!A"&amp;CF15-1),2)=LEFT(INDIRECT("数出表_Excel!A"&amp;CF15+1),2)),
IF(AND(LEFT(INDIRECT("数出表_Excel!A"&amp;CF15+2),2)="博多",LEFT(INDIRECT("数出表_Excel!A"&amp;CF15+1),2)=LEFT(INDIRECT("数出表_Excel!A"&amp;CF15+3),2)),
IF(AND(LEFT(INDIRECT("数出表_Excel!A"&amp;CF15+4),2)="博多",LEFT(INDIRECT("数出表_Excel!A"&amp;CF15+3),2)=LEFT(INDIRECT("数出表_Excel!A"&amp;CF15+5),2)),
CF15+8,
CF15+6),
CF15+4),
IF(LEFT(CK15,3)="奈良屋",
IF(LEFT(INDIRECT("数出表_Excel!A"&amp;CF15+2),3)="奈良屋",
IF(LEFT(INDIRECT("数出表_Excel!A"&amp;CF15+4),3)="奈良屋",
CF15+6,
CF15+4),
CF15+2),
CF15+2)))</f>
        <v>139</v>
      </c>
      <c r="BY22" s="81">
        <f t="array" aca="1" ref="BY22" ca="1">GetResult(BX23)</f>
        <v>139</v>
      </c>
      <c r="BZ22" s="191" t="str">
        <f ca="1">IF(BZ23&lt;&gt;"",
IF(LEFT(CD22,2)="博多",
LEFT(CD22,FIND("週",CD22)-1),
CD22),"")</f>
        <v/>
      </c>
      <c r="CA22" s="192"/>
      <c r="CB22" s="192"/>
      <c r="CC22" s="192"/>
      <c r="CD22" s="99">
        <f t="array" aca="1" ref="CD22" ca="1">INDIRECT("数出表_Excel!A"&amp;BY22)</f>
        <v>0</v>
      </c>
      <c r="CE22" s="80">
        <f t="array" aca="1" ref="CE22" ca="1">IF(AND(CK15&lt;&gt;"社食",CD22="社食"),BY22,
IF(AND(LEFT(CD22,2)="博多",LEFT(INDIRECT("数出表_Excel!A"&amp;BY22-1),2)=LEFT(INDIRECT("数出表_Excel!A"&amp;BY22+1),2)),
IF(AND(LEFT(INDIRECT("数出表_Excel!A"&amp;BY22+2),2)="博多",LEFT(INDIRECT("数出表_Excel!A"&amp;BY22+1),2)=LEFT(INDIRECT("数出表_Excel!A"&amp;BY22+3),2)),
IF(AND(LEFT(INDIRECT("数出表_Excel!A"&amp;BY22+4),2)="博多",LEFT(INDIRECT("数出表_Excel!A"&amp;BY22+3),2)=LEFT(INDIRECT("数出表_Excel!A"&amp;BY22+5),2)),
BY22+8,
BY22+6),
BY22+4),
IF(LEFT(CD22,3)="奈良屋",
IF(LEFT(INDIRECT("数出表_Excel!A"&amp;BY22+2),3)="奈良屋",
IF(LEFT(INDIRECT("数出表_Excel!A"&amp;BY22+4),3)="奈良屋",
BY22+6,
BY22+4),
BY22+2),
BY22+2)))</f>
        <v>141</v>
      </c>
      <c r="CF22" s="81">
        <f t="array" aca="1" ref="CF22" ca="1">GetResult(CE23)</f>
        <v>141</v>
      </c>
      <c r="CG22" s="191" t="str">
        <f ca="1">IF(CG23&lt;&gt;"",
IF(LEFT(CK22,2)="博多",
LEFT(CK22,FIND("週",CK22)-1),
CK22),"")</f>
        <v/>
      </c>
      <c r="CH22" s="192"/>
      <c r="CI22" s="192"/>
      <c r="CJ22" s="192"/>
      <c r="CK22" s="95">
        <f t="array" aca="1" ref="CK22" ca="1">INDIRECT("数出表_Excel!A"&amp;CF22)</f>
        <v>0</v>
      </c>
      <c r="CL22" s="80"/>
      <c r="CM22" s="80">
        <f t="array" aca="1" ref="CM22" ca="1">IF(AND(CS15&lt;&gt;"社食",CZ15="社食"),CU15,
IF(AND(LEFT(CZ15,2)="博多",LEFT(INDIRECT("数出表_Excel!A"&amp;CU15-1),2)=LEFT(INDIRECT("数出表_Excel!A"&amp;CU15+1),2)),
IF(AND(LEFT(INDIRECT("数出表_Excel!A"&amp;CU15+2),2)="博多",LEFT(INDIRECT("数出表_Excel!A"&amp;CU15+1),2)=LEFT(INDIRECT("数出表_Excel!A"&amp;CU15+3),2)),
IF(AND(LEFT(INDIRECT("数出表_Excel!A"&amp;CU15+4),2)="博多",LEFT(INDIRECT("数出表_Excel!A"&amp;CU15+3),2)=LEFT(INDIRECT("数出表_Excel!A"&amp;CU15+5),2)),
CU15+8,
CU15+6),
CU15+4),
IF(LEFT(CZ15,3)="奈良屋",
IF(LEFT(INDIRECT("数出表_Excel!A"&amp;CU15+2),3)="奈良屋",
IF(LEFT(INDIRECT("数出表_Excel!A"&amp;CU15+4),3)="奈良屋",
CU15+6,
CU15+4),
CU15+2),
CU15+2)))</f>
        <v>163</v>
      </c>
      <c r="CN22" s="81">
        <f t="array" aca="1" ref="CN22" ca="1">GetResult(CM23)</f>
        <v>163</v>
      </c>
      <c r="CO22" s="191" t="str">
        <f ca="1">IF(CO23&lt;&gt;"",
IF(LEFT(CS22,2)="博多",
LEFT(CS22,FIND("週",CS22)-1),
CS22),"")</f>
        <v/>
      </c>
      <c r="CP22" s="192"/>
      <c r="CQ22" s="192"/>
      <c r="CR22" s="192"/>
      <c r="CS22" s="99">
        <f t="array" aca="1" ref="CS22" ca="1">INDIRECT("数出表_Excel!A"&amp;CN22)</f>
        <v>0</v>
      </c>
      <c r="CT22" s="80">
        <f t="array" aca="1" ref="CT22" ca="1">IF(AND(CZ15&lt;&gt;"社食",CS22="社食"),CN22,
IF(AND(LEFT(CS22,2)="博多",LEFT(INDIRECT("数出表_Excel!A"&amp;CN22-1),2)=LEFT(INDIRECT("数出表_Excel!A"&amp;CN22+1),2)),
IF(AND(LEFT(INDIRECT("数出表_Excel!A"&amp;CN22+2),2)="博多",LEFT(INDIRECT("数出表_Excel!A"&amp;CN22+1),2)=LEFT(INDIRECT("数出表_Excel!A"&amp;CN22+3),2)),
IF(AND(LEFT(INDIRECT("数出表_Excel!A"&amp;CN22+4),2)="博多",LEFT(INDIRECT("数出表_Excel!A"&amp;CN22+3),2)=LEFT(INDIRECT("数出表_Excel!A"&amp;CN22+5),2)),
CN22+8,
CN22+6),
CN22+4),
IF(LEFT(CS22,3)="奈良屋",
IF(LEFT(INDIRECT("数出表_Excel!A"&amp;CN22+2),3)="奈良屋",
IF(LEFT(INDIRECT("数出表_Excel!A"&amp;CN22+4),3)="奈良屋",
CN22+6,
CN22+4),
CN22+2),
CN22+2)))</f>
        <v>165</v>
      </c>
      <c r="CU22" s="81">
        <f t="array" aca="1" ref="CU22" ca="1">GetResult(CT23)</f>
        <v>165</v>
      </c>
      <c r="CV22" s="191" t="str">
        <f ca="1">IF(CV23&lt;&gt;"",
IF(LEFT(CZ22,2)="博多",
LEFT(CZ22,FIND("週",CZ22)-1),
CZ22),"")</f>
        <v/>
      </c>
      <c r="CW22" s="192"/>
      <c r="CX22" s="192"/>
      <c r="CY22" s="192"/>
      <c r="CZ22" s="95">
        <f t="array" aca="1" ref="CZ22" ca="1">INDIRECT("数出表_Excel!A"&amp;CU22)</f>
        <v>0</v>
      </c>
      <c r="DA22" s="80"/>
      <c r="DB22" s="80">
        <f t="array" aca="1" ref="DB22" ca="1">IF(AND(DH15&lt;&gt;"社食",DO15="社食"),DJ15,
IF(AND(LEFT(DO15,2)="博多",LEFT(INDIRECT("数出表_Excel!A"&amp;DJ15-1),2)=LEFT(INDIRECT("数出表_Excel!A"&amp;DJ15+1),2)),
IF(AND(LEFT(INDIRECT("数出表_Excel!A"&amp;DJ15+2),2)="博多",LEFT(INDIRECT("数出表_Excel!A"&amp;DJ15+1),2)=LEFT(INDIRECT("数出表_Excel!A"&amp;DJ15+3),2)),
IF(AND(LEFT(INDIRECT("数出表_Excel!A"&amp;DJ15+4),2)="博多",LEFT(INDIRECT("数出表_Excel!A"&amp;DJ15+3),2)=LEFT(INDIRECT("数出表_Excel!A"&amp;DJ15+5),2)),
DJ15+8,
DJ15+6),
DJ15+4),
IF(LEFT(DO15,3)="奈良屋",
IF(LEFT(INDIRECT("数出表_Excel!A"&amp;DJ15+2),3)="奈良屋",
IF(LEFT(INDIRECT("数出表_Excel!A"&amp;DJ15+4),3)="奈良屋",
DJ15+6,
DJ15+4),
DJ15+2),
DJ15+2)))</f>
        <v>187</v>
      </c>
      <c r="DC22" s="81">
        <f t="array" aca="1" ref="DC22" ca="1">GetResult(DB23)</f>
        <v>187</v>
      </c>
      <c r="DD22" s="191" t="str">
        <f ca="1">IF(DD23&lt;&gt;"",
IF(LEFT(DH22,2)="博多",
LEFT(DH22,FIND("週",DH22)-1),
DH22),"")</f>
        <v/>
      </c>
      <c r="DE22" s="192"/>
      <c r="DF22" s="192"/>
      <c r="DG22" s="192"/>
      <c r="DH22" s="99">
        <f t="array" aca="1" ref="DH22" ca="1">INDIRECT("数出表_Excel!A"&amp;DC22)</f>
        <v>0</v>
      </c>
      <c r="DI22" s="80">
        <f t="array" aca="1" ref="DI22" ca="1">IF(AND(DO15&lt;&gt;"社食",DH22="社食"),DC22,
IF(AND(LEFT(DH22,2)="博多",LEFT(INDIRECT("数出表_Excel!A"&amp;DC22-1),2)=LEFT(INDIRECT("数出表_Excel!A"&amp;DC22+1),2)),
IF(AND(LEFT(INDIRECT("数出表_Excel!A"&amp;DC22+2),2)="博多",LEFT(INDIRECT("数出表_Excel!A"&amp;DC22+1),2)=LEFT(INDIRECT("数出表_Excel!A"&amp;DC22+3),2)),
IF(AND(LEFT(INDIRECT("数出表_Excel!A"&amp;DC22+4),2)="博多",LEFT(INDIRECT("数出表_Excel!A"&amp;DC22+3),2)=LEFT(INDIRECT("数出表_Excel!A"&amp;DC22+5),2)),
DC22+8,
DC22+6),
DC22+4),
IF(LEFT(DH22,3)="奈良屋",
IF(LEFT(INDIRECT("数出表_Excel!A"&amp;DC22+2),3)="奈良屋",
IF(LEFT(INDIRECT("数出表_Excel!A"&amp;DC22+4),3)="奈良屋",
DC22+6,
DC22+4),
DC22+2),
DC22+2)))</f>
        <v>189</v>
      </c>
      <c r="DJ22" s="81">
        <f t="array" aca="1" ref="DJ22" ca="1">GetResult(DI23)</f>
        <v>189</v>
      </c>
      <c r="DK22" s="191" t="str">
        <f ca="1">IF(DK23&lt;&gt;"",
IF(LEFT(DO22,2)="博多",
LEFT(DO22,FIND("週",DO22)-1),
DO22),"")</f>
        <v/>
      </c>
      <c r="DL22" s="192"/>
      <c r="DM22" s="192"/>
      <c r="DN22" s="192"/>
      <c r="DO22" s="95">
        <f t="array" aca="1" ref="DO22" ca="1">INDIRECT("数出表_Excel!A"&amp;DJ22)</f>
        <v>0</v>
      </c>
      <c r="DP22" s="80"/>
      <c r="DQ22" s="80">
        <f t="array" aca="1" ref="DQ22" ca="1">IF(AND(DW15&lt;&gt;"社食",ED15="社食"),DY15,
IF(AND(LEFT(ED15,2)="博多",LEFT(INDIRECT("数出表_Excel!A"&amp;DY15-1),2)=LEFT(INDIRECT("数出表_Excel!A"&amp;DY15+1),2)),
IF(AND(LEFT(INDIRECT("数出表_Excel!A"&amp;DY15+2),2)="博多",LEFT(INDIRECT("数出表_Excel!A"&amp;DY15+1),2)=LEFT(INDIRECT("数出表_Excel!A"&amp;DY15+3),2)),
IF(AND(LEFT(INDIRECT("数出表_Excel!A"&amp;DY15+4),2)="博多",LEFT(INDIRECT("数出表_Excel!A"&amp;DY15+3),2)=LEFT(INDIRECT("数出表_Excel!A"&amp;DY15+5),2)),
DY15+8,
DY15+6),
DY15+4),
IF(LEFT(ED15,3)="奈良屋",
IF(LEFT(INDIRECT("数出表_Excel!A"&amp;DY15+2),3)="奈良屋",
IF(LEFT(INDIRECT("数出表_Excel!A"&amp;DY15+4),3)="奈良屋",
DY15+6,
DY15+4),
DY15+2),
DY15+2)))</f>
        <v>211</v>
      </c>
      <c r="DR22" s="81">
        <f t="array" aca="1" ref="DR22" ca="1">GetResult(DQ23)</f>
        <v>211</v>
      </c>
      <c r="DS22" s="191" t="str">
        <f ca="1">IF(DS23&lt;&gt;"",
IF(LEFT(DW22,2)="博多",
LEFT(DW22,FIND("週",DW22)-1),
DW22),"")</f>
        <v/>
      </c>
      <c r="DT22" s="192"/>
      <c r="DU22" s="192"/>
      <c r="DV22" s="192"/>
      <c r="DW22" s="99">
        <f t="array" aca="1" ref="DW22" ca="1">INDIRECT("数出表_Excel!A"&amp;DR22)</f>
        <v>0</v>
      </c>
      <c r="DX22" s="80">
        <f t="array" aca="1" ref="DX22" ca="1">IF(AND(ED15&lt;&gt;"社食",DW22="社食"),DR22,
IF(AND(LEFT(DW22,2)="博多",LEFT(INDIRECT("数出表_Excel!A"&amp;DR22-1),2)=LEFT(INDIRECT("数出表_Excel!A"&amp;DR22+1),2)),
IF(AND(LEFT(INDIRECT("数出表_Excel!A"&amp;DR22+2),2)="博多",LEFT(INDIRECT("数出表_Excel!A"&amp;DR22+1),2)=LEFT(INDIRECT("数出表_Excel!A"&amp;DR22+3),2)),
IF(AND(LEFT(INDIRECT("数出表_Excel!A"&amp;DR22+4),2)="博多",LEFT(INDIRECT("数出表_Excel!A"&amp;DR22+3),2)=LEFT(INDIRECT("数出表_Excel!A"&amp;DR22+5),2)),
DR22+8,
DR22+6),
DR22+4),
IF(LEFT(DW22,3)="奈良屋",
IF(LEFT(INDIRECT("数出表_Excel!A"&amp;DR22+2),3)="奈良屋",
IF(LEFT(INDIRECT("数出表_Excel!A"&amp;DR22+4),3)="奈良屋",
DR22+6,
DR22+4),
DR22+2),
DR22+2)))</f>
        <v>213</v>
      </c>
      <c r="DY22" s="81">
        <f t="array" aca="1" ref="DY22" ca="1">GetResult(DX23)</f>
        <v>213</v>
      </c>
      <c r="DZ22" s="191" t="str">
        <f ca="1">IF(DZ23&lt;&gt;"",
IF(LEFT(ED22,2)="博多",
LEFT(ED22,FIND("週",ED22)-1),
ED22),"")</f>
        <v/>
      </c>
      <c r="EA22" s="192"/>
      <c r="EB22" s="192"/>
      <c r="EC22" s="192"/>
      <c r="ED22" s="95">
        <f t="array" aca="1" ref="ED22" ca="1">INDIRECT("数出表_Excel!A"&amp;DY22)</f>
        <v>0</v>
      </c>
      <c r="EE22" s="80"/>
      <c r="EF22" s="80">
        <f t="array" aca="1" ref="EF22" ca="1">IF(AND(EL15&lt;&gt;"社食",ES15="社食"),EN15,
IF(AND(LEFT(ES15,2)="博多",LEFT(INDIRECT("数出表_Excel!A"&amp;EN15-1),2)=LEFT(INDIRECT("数出表_Excel!A"&amp;EN15+1),2)),
IF(AND(LEFT(INDIRECT("数出表_Excel!A"&amp;EN15+2),2)="博多",LEFT(INDIRECT("数出表_Excel!A"&amp;EN15+1),2)=LEFT(INDIRECT("数出表_Excel!A"&amp;EN15+3),2)),
IF(AND(LEFT(INDIRECT("数出表_Excel!A"&amp;EN15+4),2)="博多",LEFT(INDIRECT("数出表_Excel!A"&amp;EN15+3),2)=LEFT(INDIRECT("数出表_Excel!A"&amp;EN15+5),2)),
EN15+8,
EN15+6),
EN15+4),
IF(LEFT(ES15,3)="奈良屋",
IF(LEFT(INDIRECT("数出表_Excel!A"&amp;EN15+2),3)="奈良屋",
IF(LEFT(INDIRECT("数出表_Excel!A"&amp;EN15+4),3)="奈良屋",
EN15+6,
EN15+4),
EN15+2),
EN15+2)))</f>
        <v>235</v>
      </c>
      <c r="EG22" s="81">
        <f t="array" aca="1" ref="EG22" ca="1">GetResult(EF23)</f>
        <v>235</v>
      </c>
      <c r="EH22" s="191" t="str">
        <f ca="1">IF(EH23&lt;&gt;"",
IF(LEFT(EL22,2)="博多",
LEFT(EL22,FIND("週",EL22)-1),
EL22),"")</f>
        <v/>
      </c>
      <c r="EI22" s="192"/>
      <c r="EJ22" s="192"/>
      <c r="EK22" s="192"/>
      <c r="EL22" s="99">
        <f t="array" aca="1" ref="EL22" ca="1">INDIRECT("数出表_Excel!A"&amp;EG22)</f>
        <v>0</v>
      </c>
      <c r="EM22" s="80">
        <f t="array" aca="1" ref="EM22" ca="1">IF(AND(ES15&lt;&gt;"社食",EL22="社食"),EG22,
IF(AND(LEFT(EL22,2)="博多",LEFT(INDIRECT("数出表_Excel!A"&amp;EG22-1),2)=LEFT(INDIRECT("数出表_Excel!A"&amp;EG22+1),2)),
IF(AND(LEFT(INDIRECT("数出表_Excel!A"&amp;EG22+2),2)="博多",LEFT(INDIRECT("数出表_Excel!A"&amp;EG22+1),2)=LEFT(INDIRECT("数出表_Excel!A"&amp;EG22+3),2)),
IF(AND(LEFT(INDIRECT("数出表_Excel!A"&amp;EG22+4),2)="博多",LEFT(INDIRECT("数出表_Excel!A"&amp;EG22+3),2)=LEFT(INDIRECT("数出表_Excel!A"&amp;EG22+5),2)),
EG22+8,
EG22+6),
EG22+4),
IF(LEFT(EL22,3)="奈良屋",
IF(LEFT(INDIRECT("数出表_Excel!A"&amp;EG22+2),3)="奈良屋",
IF(LEFT(INDIRECT("数出表_Excel!A"&amp;EG22+4),3)="奈良屋",
EG22+6,
EG22+4),
EG22+2),
EG22+2)))</f>
        <v>237</v>
      </c>
      <c r="EN22" s="81">
        <f t="array" aca="1" ref="EN22" ca="1">GetResult(EM23)</f>
        <v>237</v>
      </c>
      <c r="EO22" s="191" t="str">
        <f ca="1">IF(EO23&lt;&gt;"",
IF(LEFT(ES22,2)="博多",
LEFT(ES22,FIND("週",ES22)-1),
ES22),"")</f>
        <v/>
      </c>
      <c r="EP22" s="192"/>
      <c r="EQ22" s="192"/>
      <c r="ER22" s="192"/>
      <c r="ES22" s="95">
        <f t="array" aca="1" ref="ES22" ca="1">INDIRECT("数出表_Excel!A"&amp;EN22)</f>
        <v>0</v>
      </c>
      <c r="ET22" s="110"/>
      <c r="EU22" s="82">
        <f t="shared" si="1"/>
        <v>77</v>
      </c>
      <c r="EV22" s="82" t="str">
        <f t="array" aca="1" ref="EV2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LEN(SUBSTITUTE(_xlfn.FORMULATEXT(EV$1),"=","")))+$EU22)</f>
        <v/>
      </c>
      <c r="EW22" s="82" t="str">
        <f t="array" aca="1" ref="EW2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LEN(SUBSTITUTE(_xlfn.FORMULATEXT(EW$1),"=","")))+$EU22)</f>
        <v/>
      </c>
      <c r="EX22" s="82" t="str">
        <f t="array" aca="1" ref="EX2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LEN(SUBSTITUTE(_xlfn.FORMULATEXT(EX$1),"=","")))+$EU22)</f>
        <v/>
      </c>
      <c r="EY22" s="82" t="str">
        <f t="array" aca="1" ref="EY2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LEN(SUBSTITUTE(_xlfn.FORMULATEXT(EY$1),"=","")))+$EU22)</f>
        <v/>
      </c>
      <c r="EZ22" s="82" t="str">
        <f t="array" aca="1" ref="EZ2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LEN(SUBSTITUTE(_xlfn.FORMULATEXT(EZ$1),"=","")))+$EU22)</f>
        <v/>
      </c>
      <c r="FA22" s="82" t="str">
        <f t="array" aca="1" ref="FA2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LEN(SUBSTITUTE(_xlfn.FORMULATEXT(FA$1),"=","")))+$EU22)</f>
        <v/>
      </c>
      <c r="FB22" s="82" t="str">
        <f t="array" aca="1" ref="FB2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LEN(SUBSTITUTE(_xlfn.FORMULATEXT(FB$1),"=","")))+$EU22)</f>
        <v/>
      </c>
      <c r="FC22" s="82" t="str">
        <f t="array" aca="1" ref="FC2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LEN(SUBSTITUTE(_xlfn.FORMULATEXT(FC$1),"=","")))+$EU22)</f>
        <v/>
      </c>
      <c r="FD22" s="82" t="str">
        <f t="array" aca="1" ref="FD2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LEN(SUBSTITUTE(_xlfn.FORMULATEXT(FD$1),"=","")))+$EU22)</f>
        <v/>
      </c>
      <c r="FE22" s="82" t="str">
        <f t="array" aca="1" ref="FE2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LEN(SUBSTITUTE(_xlfn.FORMULATEXT(FE$1),"=","")))+$EU22)</f>
        <v/>
      </c>
      <c r="FF22" s="82" t="str">
        <f t="array" aca="1" ref="FF2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LEN(SUBSTITUTE(_xlfn.FORMULATEXT(FF$1),"=","")))+$EU22)</f>
        <v/>
      </c>
      <c r="FG22" s="82">
        <f t="shared" ca="1" si="0"/>
        <v>0</v>
      </c>
      <c r="FH22" s="82" t="b">
        <f t="array" aca="1" ref="FH22" ca="1">SUMPRODUCT((LEN(EV22:FF22)&gt;0)*1)&gt;0</f>
        <v>0</v>
      </c>
      <c r="FI22" s="82" t="str">
        <f t="array" aca="1" ref="FI22" ca="1">IFERROR(SMALL(IF(FG$1:FG$173&lt;&gt;0,FG$1:FG$173),ROW(A22)),"")</f>
        <v/>
      </c>
      <c r="FJ22" s="82" t="str">
        <f t="array" aca="1" ref="FJ22" ca="1">IF($FI22&lt;&gt;"",
INDIRECT(""&amp;IF(COLUMN(EV22)&lt;=26,CHAR(COLUMN(EV22)+64),CHAR(INT((COLUMN(EV22)-1)/26)+64)&amp;CHAR(MOD(COLUMN(EV22)-1,26)+65))&amp;$FI22&amp;""),"")</f>
        <v/>
      </c>
      <c r="FK22" s="82" t="str">
        <f t="array" aca="1" ref="FK22" ca="1">IF($FI22&lt;&gt;"",
INDIRECT(""&amp;IF(COLUMN(EW22)&lt;=26,CHAR(COLUMN(EW22)+64),CHAR(INT((COLUMN(EW22)-1)/26)+64)&amp;CHAR(MOD(COLUMN(EW22)-1,26)+65))&amp;$FI22&amp;""),"")</f>
        <v/>
      </c>
      <c r="FL22" s="82" t="str">
        <f t="array" aca="1" ref="FL22" ca="1">IF($FI22&lt;&gt;"",
INDIRECT(""&amp;IF(COLUMN(EX22)&lt;=26,CHAR(COLUMN(EX22)+64),CHAR(INT((COLUMN(EX22)-1)/26)+64)&amp;CHAR(MOD(COLUMN(EX22)-1,26)+65))&amp;$FI22&amp;""),"")</f>
        <v/>
      </c>
      <c r="FM22" s="82" t="str">
        <f t="array" aca="1" ref="FM22" ca="1">IF($FI22&lt;&gt;"",
IF(FL22="",
IF(INDIRECT("EY"&amp;$FI22&amp;"")&lt;&gt;"",
INDIRECT("EY"&amp;$FI22&amp;"")&amp;"箱"
&amp;INDIRECT("EZ"&amp;$FI22&amp;""),""),""),"")</f>
        <v/>
      </c>
      <c r="FN22" s="82" t="str">
        <f t="array" aca="1" ref="FN22" ca="1">IF($FI22&lt;&gt;"",
INDIRECT(""&amp;IF(COLUMN(FA22)&lt;=26,CHAR(COLUMN(FA22)+64),CHAR(INT((COLUMN(FA22)-1)/26)+64)&amp;CHAR(MOD(COLUMN(FA22)-1,26)+65))&amp;$FI22&amp;""),"")</f>
        <v/>
      </c>
      <c r="FO22" s="82" t="str">
        <f t="array" aca="1" ref="FO22" ca="1">IF($FI22&lt;&gt;"",
INDIRECT(""&amp;IF(COLUMN(FB22)&lt;=26,CHAR(COLUMN(FB22)+64),CHAR(INT((COLUMN(FB22)-1)/26)+64)&amp;CHAR(MOD(COLUMN(FB22)-1,26)+65))&amp;$FI22&amp;""),"")</f>
        <v/>
      </c>
      <c r="FP22" s="82" t="str">
        <f t="array" aca="1" ref="FP22" ca="1">IF($FI22&lt;&gt;"",
INDIRECT(""&amp;IF(COLUMN(FC22)&lt;=26,CHAR(COLUMN(FC22)+64),CHAR(INT((COLUMN(FC22)-1)/26)+64)&amp;CHAR(MOD(COLUMN(FC22)-1,26)+65))&amp;$FI22&amp;""),"")</f>
        <v/>
      </c>
      <c r="FQ22" s="82" t="str">
        <f t="array" aca="1" ref="FQ22" ca="1">IF($FI22&lt;&gt;"",
INDIRECT(""&amp;IF(COLUMN(FD22)&lt;=26,CHAR(COLUMN(FD22)+64),CHAR(INT((COLUMN(FD22)-1)/26)+64)&amp;CHAR(MOD(COLUMN(FD22)-1,26)+65))&amp;$FI22&amp;""),"")</f>
        <v/>
      </c>
      <c r="FR22" s="82" t="str">
        <f t="array" aca="1" ref="FR22" ca="1">IF($FI22&lt;&gt;"",
INDIRECT(""&amp;IF(COLUMN(FE22)&lt;=26,CHAR(COLUMN(FE22)+64),CHAR(INT((COLUMN(FE22)-1)/26)+64)&amp;CHAR(MOD(COLUMN(FE22)-1,26)+65))&amp;$FI22&amp;""),"")</f>
        <v/>
      </c>
      <c r="FS22" s="82" t="str">
        <f t="array" aca="1" ref="FS22" ca="1">IF($FI22&lt;&gt;"",
INDIRECT(""&amp;IF(COLUMN(FF22)&lt;=26,CHAR(COLUMN(FF22)+64),CHAR(INT((COLUMN(FF22)-1)/26)+64)&amp;CHAR(MOD(COLUMN(FF22)-1,26)+65))&amp;$FI22&amp;""),"")</f>
        <v/>
      </c>
    </row>
    <row r="23" spans="1:175" s="82" customFormat="1" ht="18" customHeight="1" x14ac:dyDescent="0.55000000000000004">
      <c r="A23" s="80">
        <f t="array" aca="1" ref="A23" ca="1">IF(INDIRECT("数出表_Excel!A"&amp;GetResult(A22))="社食",
GetResult(A22)+2,GetResult(A22))</f>
        <v>19</v>
      </c>
      <c r="B23" s="85" t="str">
        <f t="array" aca="1" ref="B23" ca="1">IF(C22&lt;&gt;"",MATCH(TRUE,INDIRECT("数出表_Excel!B"&amp;MATCH(G22,数出表_Excel!$A:$A,0)-1&amp;":U"&amp;MATCH(G22,数出表_Excel!$A:$A,0)-1&amp;"")&lt;&gt;"",0)+1,"")</f>
        <v/>
      </c>
      <c r="C23" s="62" t="str">
        <f t="array" aca="1" ref="C23" ca="1">IF(COUNTIF(G22,"*合計*"),"",
IF(IFERROR(INDIRECT("数出表_Excel!" &amp;
CHAR(MATCH(TRUE,
ISNUMBER(--INDIRECT("数出表_Excel!B"&amp;MATCH(G22,数出表_Excel!$A:$A,0)-1&amp;":U"&amp;MATCH(G22,数出表_Excel!$A:$A,0)-1&amp;"")),0)+65) &amp; "3"),0)=0,"",
IFERROR(INDIRECT("数出表_Excel!" &amp;
CHAR(MATCH(TRUE,
ISNUMBER(--INDIRECT("数出表_Excel!B"&amp;MATCH(G22,数出表_Excel!$A:$A,0)-1&amp;":U"&amp;MATCH(G22,数出表_Excel!$A:$A,0)-1&amp;"")),0)+65) &amp; "3"),"")))</f>
        <v/>
      </c>
      <c r="D23" s="80"/>
      <c r="E23" s="86" t="str">
        <f t="array" aca="1" ref="E23" ca="1">IF(F23&lt;&gt;"","",
IF(COUNTIF(C22,"*雙葉*"),"",
IF(C22&lt;&gt;"",
IFERROR(
INDEX('数出表_Excel（アレルギー入力）'!$4:$4,
 1,
MATCH(TRUE,INDIRECT("'数出表_Excel（アレルギー入力）'!B"&amp;MATCH(G22,'数出表_Excel（アレルギー入力）'!$A:$A,0)-1&amp;":U"&amp;MATCH(G22,'数出表_Excel（アレルギー入力）'!$A:$A,0)-1&amp;"")&lt;&gt;"",0)+1
),
 "")
&amp;IFERROR(
INDEX('数出表_Excel（アレルギー入力）'!$5:$5,
 1,
MATCH(TRUE,INDIRECT("'数出表_Excel（アレルギー入力）'!B"&amp;MATCH(G22,'数出表_Excel（アレルギー入力）'!$A:$A,0)-1&amp;":U"&amp;MATCH(G22,'数出表_Excel（アレルギー入力）'!$A:$A,0)-1&amp;"")&lt;&gt;"",0)+1),
 ""),"")))</f>
        <v/>
      </c>
      <c r="F23" s="87" t="str">
        <f t="array" aca="1" ref="F23" ca="1">IF(C23&lt;&gt;"",
IF(COUNTIF(C22,"*雙葉*"),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VLOOKUP('盛付札（関数）'!C23,商品マスタ一覧!$D:$J,7,FALSE))),0)),
IF(MATCH(TRUE,
ISNUMBER(--INDIRECT("数出表_Excel!B"&amp;MATCH(G22,数出表_Excel!$A:$A,0)-1&amp;":U"&amp;MATCH(G22,数出表_Excel!$A:$A,0)-1&amp;"")),0)&gt;10,
IF(C23&lt;&gt;"",
IF(IF(COUNTIF('盛付札（関数）'!C23,"*キャラ*"),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VLOOKUP('盛付札（関数）'!C23,商品マスタ一覧!$D:$J,7,FALSE)))=0,"",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VLOOKUP('盛付札（関数）'!C23,商品マスタ一覧!$D:$J,7,FALSE))),0))),""),"")),"")</f>
        <v/>
      </c>
      <c r="G23" s="100" t="str">
        <f ca="1">IF(F23&lt;&gt;"",IF(VALUE(IF(F28&lt;&gt;"",C25-F28,C25))&gt;VALUE(IF(COUNTIF('盛付札（関数）'!C23,"*キャラ*"),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
"+"&amp;IF(F28&lt;&gt;"",C25-F28,C25)-IF(COUNTIF('盛付札（関数）'!C23,"*キャラ*"),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VLOOKUP('盛付札（関数）'!C23,商品マスタ一覧!$D:$J,7,FALSE)))*F23,
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VLOOKUP('盛付札（関数）'!C23,商品マスタ一覧!$D:$J,7,FALSE)))*F23),"")</f>
        <v/>
      </c>
      <c r="H23" s="80">
        <f t="array" aca="1" ref="H23" ca="1">IF(INDIRECT("数出表_Excel!A"&amp;GetResult(H22))="社食",
GetResult(H22)+2,GetResult(H22))</f>
        <v>21</v>
      </c>
      <c r="I23" s="85" t="str">
        <f t="array" aca="1" ref="I23" ca="1">IF(J22&lt;&gt;"",MATCH(TRUE,INDIRECT("数出表_Excel!B"&amp;MATCH(N22,数出表_Excel!$A:$A,0)-1&amp;":U"&amp;MATCH(N22,数出表_Excel!$A:$A,0)-1&amp;"")&lt;&gt;"",0)+1,"")</f>
        <v/>
      </c>
      <c r="J23" s="62" t="str">
        <f t="array" aca="1" ref="J23" ca="1">IF(COUNTIF(N22,"*合計*"),"",
IF(IFERROR(INDIRECT("数出表_Excel!" &amp;
CHAR(MATCH(TRUE,
ISNUMBER(--INDIRECT("数出表_Excel!B"&amp;MATCH(N22,数出表_Excel!$A:$A,0)-1&amp;":U"&amp;MATCH(N22,数出表_Excel!$A:$A,0)-1&amp;"")),0)+65) &amp; "3"),0)=0,"",
IFERROR(INDIRECT("数出表_Excel!" &amp;
CHAR(MATCH(TRUE,
ISNUMBER(--INDIRECT("数出表_Excel!B"&amp;MATCH(N22,数出表_Excel!$A:$A,0)-1&amp;":U"&amp;MATCH(N22,数出表_Excel!$A:$A,0)-1&amp;"")),0)+65) &amp; "3"),"")))</f>
        <v/>
      </c>
      <c r="K23" s="80"/>
      <c r="L23" s="86" t="str">
        <f t="array" aca="1" ref="L23" ca="1">IF(M23&lt;&gt;"","",
IF(COUNTIF(J22,"*雙葉*"),"",
IF(J22&lt;&gt;"",
IFERROR(
INDEX('数出表_Excel（アレルギー入力）'!$4:$4,
 1,
MATCH(TRUE,INDIRECT("'数出表_Excel（アレルギー入力）'!B"&amp;MATCH(N22,'数出表_Excel（アレルギー入力）'!$A:$A,0)-1&amp;":U"&amp;MATCH(N22,'数出表_Excel（アレルギー入力）'!$A:$A,0)-1&amp;"")&lt;&gt;"",0)+1
),
 "")
&amp;IFERROR(
INDEX('数出表_Excel（アレルギー入力）'!$5:$5,
 1,
MATCH(TRUE,INDIRECT("'数出表_Excel（アレルギー入力）'!B"&amp;MATCH(N22,'数出表_Excel（アレルギー入力）'!$A:$A,0)-1&amp;":U"&amp;MATCH(N22,'数出表_Excel（アレルギー入力）'!$A:$A,0)-1&amp;"")&lt;&gt;"",0)+1),
 ""),"")))</f>
        <v/>
      </c>
      <c r="M23" s="87" t="str">
        <f t="array" aca="1" ref="M23" ca="1">IF(J23&lt;&gt;"",
IF(COUNTIF(J22,"*雙葉*"),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VLOOKUP('盛付札（関数）'!J23,商品マスタ一覧!$D:$J,7,FALSE))),0)),
IF(MATCH(TRUE,
ISNUMBER(--INDIRECT("数出表_Excel!B"&amp;MATCH(N22,数出表_Excel!$A:$A,0)-1&amp;":U"&amp;MATCH(N22,数出表_Excel!$A:$A,0)-1&amp;"")),0)&gt;10,
IF(J23&lt;&gt;"",
IF(IF(COUNTIF('盛付札（関数）'!J23,"*キャラ*"),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VLOOKUP('盛付札（関数）'!J23,商品マスタ一覧!$D:$J,7,FALSE)))=0,"",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VLOOKUP('盛付札（関数）'!J23,商品マスタ一覧!$D:$J,7,FALSE))),0))),""),"")),"")</f>
        <v/>
      </c>
      <c r="N23" s="96" t="str">
        <f ca="1">IF(M23&lt;&gt;"",IF(VALUE(IF(M28&lt;&gt;"",J25-M28,J25))&gt;VALUE(IF(COUNTIF('盛付札（関数）'!J23,"*キャラ*"),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
"+"&amp;IF(M28&lt;&gt;"",J25-M28,J25)-IF(COUNTIF('盛付札（関数）'!J23,"*キャラ*"),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VLOOKUP('盛付札（関数）'!J23,商品マスタ一覧!$D:$J,7,FALSE)))*M23,
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VLOOKUP('盛付札（関数）'!J23,商品マスタ一覧!$D:$J,7,FALSE)))*M23),"")</f>
        <v/>
      </c>
      <c r="O23" s="80"/>
      <c r="P23" s="80">
        <f t="array" aca="1" ref="P23" ca="1">IF(INDIRECT("数出表_Excel!A"&amp;GetResult(P22))="社食",
GetResult(P22)+2,GetResult(P22))</f>
        <v>43</v>
      </c>
      <c r="Q23" s="85" t="str">
        <f t="array" aca="1" ref="Q23" ca="1">IF(R22&lt;&gt;"",MATCH(TRUE,INDIRECT("数出表_Excel!B"&amp;MATCH(V22,数出表_Excel!$A:$A,0)-1&amp;":U"&amp;MATCH(V22,数出表_Excel!$A:$A,0)-1&amp;"")&lt;&gt;"",0)+1,"")</f>
        <v/>
      </c>
      <c r="R23" s="62" t="str">
        <f t="array" aca="1" ref="R23" ca="1">IF(COUNTIF(V22,"*合計*"),"",
IF(IFERROR(INDIRECT("数出表_Excel!" &amp;
CHAR(MATCH(TRUE,
ISNUMBER(--INDIRECT("数出表_Excel!B"&amp;MATCH(V22,数出表_Excel!$A:$A,0)-1&amp;":U"&amp;MATCH(V22,数出表_Excel!$A:$A,0)-1&amp;"")),0)+65) &amp; "3"),0)=0,"",
IFERROR(INDIRECT("数出表_Excel!" &amp;
CHAR(MATCH(TRUE,
ISNUMBER(--INDIRECT("数出表_Excel!B"&amp;MATCH(V22,数出表_Excel!$A:$A,0)-1&amp;":U"&amp;MATCH(V22,数出表_Excel!$A:$A,0)-1&amp;"")),0)+65) &amp; "3"),"")))</f>
        <v/>
      </c>
      <c r="S23" s="80"/>
      <c r="T23" s="86" t="str">
        <f t="array" aca="1" ref="T23" ca="1">IF(U23&lt;&gt;"","",
IF(COUNTIF(R22,"*雙葉*"),"",
IF(R22&lt;&gt;"",
IFERROR(
INDEX('数出表_Excel（アレルギー入力）'!$4:$4,
 1,
MATCH(TRUE,INDIRECT("'数出表_Excel（アレルギー入力）'!B"&amp;MATCH(V22,'数出表_Excel（アレルギー入力）'!$A:$A,0)-1&amp;":U"&amp;MATCH(V22,'数出表_Excel（アレルギー入力）'!$A:$A,0)-1&amp;"")&lt;&gt;"",0)+1
),
 "")
&amp;IFERROR(
INDEX('数出表_Excel（アレルギー入力）'!$5:$5,
 1,
MATCH(TRUE,INDIRECT("'数出表_Excel（アレルギー入力）'!B"&amp;MATCH(V22,'数出表_Excel（アレルギー入力）'!$A:$A,0)-1&amp;":U"&amp;MATCH(V22,'数出表_Excel（アレルギー入力）'!$A:$A,0)-1&amp;"")&lt;&gt;"",0)+1),
 ""),"")))</f>
        <v/>
      </c>
      <c r="U23" s="87" t="str">
        <f t="array" aca="1" ref="U23" ca="1">IF(R23&lt;&gt;"",
IF(COUNTIF(R22,"*雙葉*"),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VLOOKUP('盛付札（関数）'!R23,商品マスタ一覧!$D:$J,7,FALSE))),0)),
IF(MATCH(TRUE,
ISNUMBER(--INDIRECT("数出表_Excel!B"&amp;MATCH(V22,数出表_Excel!$A:$A,0)-1&amp;":U"&amp;MATCH(V22,数出表_Excel!$A:$A,0)-1&amp;"")),0)&gt;10,
IF(R23&lt;&gt;"",
IF(IF(COUNTIF('盛付札（関数）'!R23,"*キャラ*"),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VLOOKUP('盛付札（関数）'!R23,商品マスタ一覧!$D:$J,7,FALSE)))=0,"",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VLOOKUP('盛付札（関数）'!R23,商品マスタ一覧!$D:$J,7,FALSE))),0))),""),"")),"")</f>
        <v/>
      </c>
      <c r="V23" s="100" t="str">
        <f ca="1">IF(U23&lt;&gt;"",IF(VALUE(IF(U28&lt;&gt;"",R25-U28,R25))&gt;VALUE(IF(COUNTIF('盛付札（関数）'!R23,"*キャラ*"),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
"+"&amp;IF(U28&lt;&gt;"",R25-U28,R25)-IF(COUNTIF('盛付札（関数）'!R23,"*キャラ*"),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VLOOKUP('盛付札（関数）'!R23,商品マスタ一覧!$D:$J,7,FALSE)))*U23,
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VLOOKUP('盛付札（関数）'!R23,商品マスタ一覧!$D:$J,7,FALSE)))*U23),"")</f>
        <v/>
      </c>
      <c r="W23" s="80">
        <f t="array" aca="1" ref="W23" ca="1">IF(INDIRECT("数出表_Excel!A"&amp;GetResult(W22))="社食",
GetResult(W22)+2,GetResult(W22))</f>
        <v>45</v>
      </c>
      <c r="X23" s="85" t="str">
        <f t="array" aca="1" ref="X23" ca="1">IF(Y22&lt;&gt;"",MATCH(TRUE,INDIRECT("数出表_Excel!B"&amp;MATCH(AC22,数出表_Excel!$A:$A,0)-1&amp;":U"&amp;MATCH(AC22,数出表_Excel!$A:$A,0)-1&amp;"")&lt;&gt;"",0)+1,"")</f>
        <v/>
      </c>
      <c r="Y23" s="62" t="str">
        <f t="array" aca="1" ref="Y23" ca="1">IF(COUNTIF(AC22,"*合計*"),"",
IF(IFERROR(INDIRECT("数出表_Excel!" &amp;
CHAR(MATCH(TRUE,
ISNUMBER(--INDIRECT("数出表_Excel!B"&amp;MATCH(AC22,数出表_Excel!$A:$A,0)-1&amp;":U"&amp;MATCH(AC22,数出表_Excel!$A:$A,0)-1&amp;"")),0)+65) &amp; "3"),0)=0,"",
IFERROR(INDIRECT("数出表_Excel!" &amp;
CHAR(MATCH(TRUE,
ISNUMBER(--INDIRECT("数出表_Excel!B"&amp;MATCH(AC22,数出表_Excel!$A:$A,0)-1&amp;":U"&amp;MATCH(AC22,数出表_Excel!$A:$A,0)-1&amp;"")),0)+65) &amp; "3"),"")))</f>
        <v/>
      </c>
      <c r="Z23" s="80"/>
      <c r="AA23" s="86" t="str">
        <f t="array" aca="1" ref="AA23" ca="1">IF(AB23&lt;&gt;"","",
IF(COUNTIF(Y22,"*雙葉*"),"",
IF(Y22&lt;&gt;"",
IFERROR(
INDEX('数出表_Excel（アレルギー入力）'!$4:$4,
 1,
MATCH(TRUE,INDIRECT("'数出表_Excel（アレルギー入力）'!B"&amp;MATCH(AC22,'数出表_Excel（アレルギー入力）'!$A:$A,0)-1&amp;":U"&amp;MATCH(AC22,'数出表_Excel（アレルギー入力）'!$A:$A,0)-1&amp;"")&lt;&gt;"",0)+1
),
 "")
&amp;IFERROR(
INDEX('数出表_Excel（アレルギー入力）'!$5:$5,
 1,
MATCH(TRUE,INDIRECT("'数出表_Excel（アレルギー入力）'!B"&amp;MATCH(AC22,'数出表_Excel（アレルギー入力）'!$A:$A,0)-1&amp;":U"&amp;MATCH(AC22,'数出表_Excel（アレルギー入力）'!$A:$A,0)-1&amp;"")&lt;&gt;"",0)+1),
 ""),"")))</f>
        <v/>
      </c>
      <c r="AB23" s="87" t="str">
        <f t="array" aca="1" ref="AB23" ca="1">IF(Y23&lt;&gt;"",
IF(COUNTIF(Y22,"*雙葉*"),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VLOOKUP('盛付札（関数）'!Y23,商品マスタ一覧!$D:$J,7,FALSE))),0)),
IF(MATCH(TRUE,
ISNUMBER(--INDIRECT("数出表_Excel!B"&amp;MATCH(AC22,数出表_Excel!$A:$A,0)-1&amp;":U"&amp;MATCH(AC22,数出表_Excel!$A:$A,0)-1&amp;"")),0)&gt;10,
IF(Y23&lt;&gt;"",
IF(IF(COUNTIF('盛付札（関数）'!Y23,"*キャラ*"),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VLOOKUP('盛付札（関数）'!Y23,商品マスタ一覧!$D:$J,7,FALSE)))=0,"",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VLOOKUP('盛付札（関数）'!Y23,商品マスタ一覧!$D:$J,7,FALSE))),0))),""),"")),"")</f>
        <v/>
      </c>
      <c r="AC23" s="96" t="str">
        <f ca="1">IF(AB23&lt;&gt;"",IF(VALUE(IF(AB28&lt;&gt;"",Y25-AB28,Y25))&gt;VALUE(IF(COUNTIF('盛付札（関数）'!Y23,"*キャラ*"),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
"+"&amp;IF(AB28&lt;&gt;"",Y25-AB28,Y25)-IF(COUNTIF('盛付札（関数）'!Y23,"*キャラ*"),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VLOOKUP('盛付札（関数）'!Y23,商品マスタ一覧!$D:$J,7,FALSE)))*AB23,
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VLOOKUP('盛付札（関数）'!Y23,商品マスタ一覧!$D:$J,7,FALSE)))*AB23),"")</f>
        <v/>
      </c>
      <c r="AD23" s="80"/>
      <c r="AE23" s="80">
        <f t="array" aca="1" ref="AE23" ca="1">IF(INDIRECT("数出表_Excel!A"&amp;GetResult(AE22))="社食",
GetResult(AE22)+2,GetResult(AE22))</f>
        <v>67</v>
      </c>
      <c r="AF23" s="85" t="str">
        <f t="array" aca="1" ref="AF23" ca="1">IF(AG22&lt;&gt;"",MATCH(TRUE,INDIRECT("数出表_Excel!B"&amp;MATCH(AK22,数出表_Excel!$A:$A,0)-1&amp;":U"&amp;MATCH(AK22,数出表_Excel!$A:$A,0)-1&amp;"")&lt;&gt;"",0)+1,"")</f>
        <v/>
      </c>
      <c r="AG23" s="62" t="str">
        <f t="array" aca="1" ref="AG23" ca="1">IF(COUNTIF(AK22,"*合計*"),"",
IF(IFERROR(INDIRECT("数出表_Excel!" &amp;
CHAR(MATCH(TRUE,
ISNUMBER(--INDIRECT("数出表_Excel!B"&amp;MATCH(AK22,数出表_Excel!$A:$A,0)-1&amp;":U"&amp;MATCH(AK22,数出表_Excel!$A:$A,0)-1&amp;"")),0)+65) &amp; "3"),0)=0,"",
IFERROR(INDIRECT("数出表_Excel!" &amp;
CHAR(MATCH(TRUE,
ISNUMBER(--INDIRECT("数出表_Excel!B"&amp;MATCH(AK22,数出表_Excel!$A:$A,0)-1&amp;":U"&amp;MATCH(AK22,数出表_Excel!$A:$A,0)-1&amp;"")),0)+65) &amp; "3"),"")))</f>
        <v/>
      </c>
      <c r="AH23" s="80"/>
      <c r="AI23" s="86" t="str">
        <f t="array" aca="1" ref="AI23" ca="1">IF(AJ23&lt;&gt;"","",
IF(COUNTIF(AG22,"*雙葉*"),"",
IF(AG22&lt;&gt;"",
IFERROR(
INDEX('数出表_Excel（アレルギー入力）'!$4:$4,
 1,
MATCH(TRUE,INDIRECT("'数出表_Excel（アレルギー入力）'!B"&amp;MATCH(AK22,'数出表_Excel（アレルギー入力）'!$A:$A,0)-1&amp;":U"&amp;MATCH(AK22,'数出表_Excel（アレルギー入力）'!$A:$A,0)-1&amp;"")&lt;&gt;"",0)+1
),
 "")
&amp;IFERROR(
INDEX('数出表_Excel（アレルギー入力）'!$5:$5,
 1,
MATCH(TRUE,INDIRECT("'数出表_Excel（アレルギー入力）'!B"&amp;MATCH(AK22,'数出表_Excel（アレルギー入力）'!$A:$A,0)-1&amp;":U"&amp;MATCH(AK22,'数出表_Excel（アレルギー入力）'!$A:$A,0)-1&amp;"")&lt;&gt;"",0)+1),
 ""),"")))</f>
        <v/>
      </c>
      <c r="AJ23" s="87" t="str">
        <f t="array" aca="1" ref="AJ23" ca="1">IF(AG23&lt;&gt;"",
IF(COUNTIF(AG22,"*雙葉*"),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VLOOKUP('盛付札（関数）'!AG23,商品マスタ一覧!$D:$J,7,FALSE))),0)),
IF(MATCH(TRUE,
ISNUMBER(--INDIRECT("数出表_Excel!B"&amp;MATCH(AK22,数出表_Excel!$A:$A,0)-1&amp;":U"&amp;MATCH(AK22,数出表_Excel!$A:$A,0)-1&amp;"")),0)&gt;10,
IF(AG23&lt;&gt;"",
IF(IF(COUNTIF('盛付札（関数）'!AG23,"*キャラ*"),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VLOOKUP('盛付札（関数）'!AG23,商品マスタ一覧!$D:$J,7,FALSE)))=0,"",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VLOOKUP('盛付札（関数）'!AG23,商品マスタ一覧!$D:$J,7,FALSE))),0))),""),"")),"")</f>
        <v/>
      </c>
      <c r="AK23" s="100" t="str">
        <f ca="1">IF(AJ23&lt;&gt;"",IF(VALUE(IF(AJ28&lt;&gt;"",AG25-AJ28,AG25))&gt;VALUE(IF(COUNTIF('盛付札（関数）'!AG23,"*キャラ*"),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
"+"&amp;IF(AJ28&lt;&gt;"",AG25-AJ28,AG25)-IF(COUNTIF('盛付札（関数）'!AG23,"*キャラ*"),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VLOOKUP('盛付札（関数）'!AG23,商品マスタ一覧!$D:$J,7,FALSE)))*AJ23,
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VLOOKUP('盛付札（関数）'!AG23,商品マスタ一覧!$D:$J,7,FALSE)))*AJ23),"")</f>
        <v/>
      </c>
      <c r="AL23" s="80">
        <f t="array" aca="1" ref="AL23" ca="1">IF(INDIRECT("数出表_Excel!A"&amp;GetResult(AL22))="社食",
GetResult(AL22)+2,GetResult(AL22))</f>
        <v>69</v>
      </c>
      <c r="AM23" s="85" t="str">
        <f t="array" aca="1" ref="AM23" ca="1">IF(AN22&lt;&gt;"",MATCH(TRUE,INDIRECT("数出表_Excel!B"&amp;MATCH(AR22,数出表_Excel!$A:$A,0)-1&amp;":U"&amp;MATCH(AR22,数出表_Excel!$A:$A,0)-1&amp;"")&lt;&gt;"",0)+1,"")</f>
        <v/>
      </c>
      <c r="AN23" s="62" t="str">
        <f t="array" aca="1" ref="AN23" ca="1">IF(COUNTIF(AR22,"*合計*"),"",
IF(IFERROR(INDIRECT("数出表_Excel!" &amp;
CHAR(MATCH(TRUE,
ISNUMBER(--INDIRECT("数出表_Excel!B"&amp;MATCH(AR22,数出表_Excel!$A:$A,0)-1&amp;":U"&amp;MATCH(AR22,数出表_Excel!$A:$A,0)-1&amp;"")),0)+65) &amp; "3"),0)=0,"",
IFERROR(INDIRECT("数出表_Excel!" &amp;
CHAR(MATCH(TRUE,
ISNUMBER(--INDIRECT("数出表_Excel!B"&amp;MATCH(AR22,数出表_Excel!$A:$A,0)-1&amp;":U"&amp;MATCH(AR22,数出表_Excel!$A:$A,0)-1&amp;"")),0)+65) &amp; "3"),"")))</f>
        <v/>
      </c>
      <c r="AO23" s="80"/>
      <c r="AP23" s="86" t="str">
        <f t="array" aca="1" ref="AP23" ca="1">IF(AQ23&lt;&gt;"","",
IF(COUNTIF(AN22,"*雙葉*"),"",
IF(AN22&lt;&gt;"",
IFERROR(
INDEX('数出表_Excel（アレルギー入力）'!$4:$4,
 1,
MATCH(TRUE,INDIRECT("'数出表_Excel（アレルギー入力）'!B"&amp;MATCH(AR22,'数出表_Excel（アレルギー入力）'!$A:$A,0)-1&amp;":U"&amp;MATCH(AR22,'数出表_Excel（アレルギー入力）'!$A:$A,0)-1&amp;"")&lt;&gt;"",0)+1
),
 "")
&amp;IFERROR(
INDEX('数出表_Excel（アレルギー入力）'!$5:$5,
 1,
MATCH(TRUE,INDIRECT("'数出表_Excel（アレルギー入力）'!B"&amp;MATCH(AR22,'数出表_Excel（アレルギー入力）'!$A:$A,0)-1&amp;":U"&amp;MATCH(AR22,'数出表_Excel（アレルギー入力）'!$A:$A,0)-1&amp;"")&lt;&gt;"",0)+1),
 ""),"")))</f>
        <v/>
      </c>
      <c r="AQ23" s="87" t="str">
        <f t="array" aca="1" ref="AQ23" ca="1">IF(AN23&lt;&gt;"",
IF(COUNTIF(AN22,"*雙葉*"),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VLOOKUP('盛付札（関数）'!AN23,商品マスタ一覧!$D:$J,7,FALSE))),0)),
IF(MATCH(TRUE,
ISNUMBER(--INDIRECT("数出表_Excel!B"&amp;MATCH(AR22,数出表_Excel!$A:$A,0)-1&amp;":U"&amp;MATCH(AR22,数出表_Excel!$A:$A,0)-1&amp;"")),0)&gt;10,
IF(AN23&lt;&gt;"",
IF(IF(COUNTIF('盛付札（関数）'!AN23,"*キャラ*"),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VLOOKUP('盛付札（関数）'!AN23,商品マスタ一覧!$D:$J,7,FALSE)))=0,"",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VLOOKUP('盛付札（関数）'!AN23,商品マスタ一覧!$D:$J,7,FALSE))),0))),""),"")),"")</f>
        <v/>
      </c>
      <c r="AR23" s="96" t="str">
        <f ca="1">IF(AQ23&lt;&gt;"",IF(VALUE(IF(AQ28&lt;&gt;"",AN25-AQ28,AN25))&gt;VALUE(IF(COUNTIF('盛付札（関数）'!AN23,"*キャラ*"),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
"+"&amp;IF(AQ28&lt;&gt;"",AN25-AQ28,AN25)-IF(COUNTIF('盛付札（関数）'!AN23,"*キャラ*"),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VLOOKUP('盛付札（関数）'!AN23,商品マスタ一覧!$D:$J,7,FALSE)))*AQ23,
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VLOOKUP('盛付札（関数）'!AN23,商品マスタ一覧!$D:$J,7,FALSE)))*AQ23),"")</f>
        <v/>
      </c>
      <c r="AS23" s="80"/>
      <c r="AT23" s="80">
        <f t="array" aca="1" ref="AT23" ca="1">IF(INDIRECT("数出表_Excel!A"&amp;GetResult(AT22))="社食",
GetResult(AT22)+2,GetResult(AT22))</f>
        <v>91</v>
      </c>
      <c r="AU23" s="85" t="str">
        <f t="array" aca="1" ref="AU23" ca="1">IF(AV22&lt;&gt;"",MATCH(TRUE,INDIRECT("数出表_Excel!B"&amp;MATCH(AZ22,数出表_Excel!$A:$A,0)-1&amp;":U"&amp;MATCH(AZ22,数出表_Excel!$A:$A,0)-1&amp;"")&lt;&gt;"",0)+1,"")</f>
        <v/>
      </c>
      <c r="AV23" s="62" t="str">
        <f t="array" aca="1" ref="AV23" ca="1">IF(COUNTIF(AZ22,"*合計*"),"",
IF(IFERROR(INDIRECT("数出表_Excel!" &amp;
CHAR(MATCH(TRUE,
ISNUMBER(--INDIRECT("数出表_Excel!B"&amp;MATCH(AZ22,数出表_Excel!$A:$A,0)-1&amp;":U"&amp;MATCH(AZ22,数出表_Excel!$A:$A,0)-1&amp;"")),0)+65) &amp; "3"),0)=0,"",
IFERROR(INDIRECT("数出表_Excel!" &amp;
CHAR(MATCH(TRUE,
ISNUMBER(--INDIRECT("数出表_Excel!B"&amp;MATCH(AZ22,数出表_Excel!$A:$A,0)-1&amp;":U"&amp;MATCH(AZ22,数出表_Excel!$A:$A,0)-1&amp;"")),0)+65) &amp; "3"),"")))</f>
        <v/>
      </c>
      <c r="AW23" s="80"/>
      <c r="AX23" s="86" t="str">
        <f t="array" aca="1" ref="AX23" ca="1">IF(AY23&lt;&gt;"","",
IF(COUNTIF(AV22,"*雙葉*"),"",
IF(AV22&lt;&gt;"",
IFERROR(
INDEX('数出表_Excel（アレルギー入力）'!$4:$4,
 1,
MATCH(TRUE,INDIRECT("'数出表_Excel（アレルギー入力）'!B"&amp;MATCH(AZ22,'数出表_Excel（アレルギー入力）'!$A:$A,0)-1&amp;":U"&amp;MATCH(AZ22,'数出表_Excel（アレルギー入力）'!$A:$A,0)-1&amp;"")&lt;&gt;"",0)+1
),
 "")
&amp;IFERROR(
INDEX('数出表_Excel（アレルギー入力）'!$5:$5,
 1,
MATCH(TRUE,INDIRECT("'数出表_Excel（アレルギー入力）'!B"&amp;MATCH(AZ22,'数出表_Excel（アレルギー入力）'!$A:$A,0)-1&amp;":U"&amp;MATCH(AZ22,'数出表_Excel（アレルギー入力）'!$A:$A,0)-1&amp;"")&lt;&gt;"",0)+1),
 ""),"")))</f>
        <v/>
      </c>
      <c r="AY23" s="87" t="str">
        <f t="array" aca="1" ref="AY23" ca="1">IF(AV23&lt;&gt;"",
IF(COUNTIF(AV22,"*雙葉*"),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VLOOKUP('盛付札（関数）'!AV23,商品マスタ一覧!$D:$J,7,FALSE))),0)),
IF(MATCH(TRUE,
ISNUMBER(--INDIRECT("数出表_Excel!B"&amp;MATCH(AZ22,数出表_Excel!$A:$A,0)-1&amp;":U"&amp;MATCH(AZ22,数出表_Excel!$A:$A,0)-1&amp;"")),0)&gt;10,
IF(AV23&lt;&gt;"",
IF(IF(COUNTIF('盛付札（関数）'!AV23,"*キャラ*"),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VLOOKUP('盛付札（関数）'!AV23,商品マスタ一覧!$D:$J,7,FALSE)))=0,"",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VLOOKUP('盛付札（関数）'!AV23,商品マスタ一覧!$D:$J,7,FALSE))),0))),""),"")),"")</f>
        <v/>
      </c>
      <c r="AZ23" s="100" t="str">
        <f ca="1">IF(AY23&lt;&gt;"",IF(VALUE(IF(AY28&lt;&gt;"",AV25-AY28,AV25))&gt;VALUE(IF(COUNTIF('盛付札（関数）'!AV23,"*キャラ*"),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
"+"&amp;IF(AY28&lt;&gt;"",AV25-AY28,AV25)-IF(COUNTIF('盛付札（関数）'!AV23,"*キャラ*"),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VLOOKUP('盛付札（関数）'!AV23,商品マスタ一覧!$D:$J,7,FALSE)))*AY23,
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VLOOKUP('盛付札（関数）'!AV23,商品マスタ一覧!$D:$J,7,FALSE)))*AY23),"")</f>
        <v/>
      </c>
      <c r="BA23" s="80">
        <f t="array" aca="1" ref="BA23" ca="1">IF(INDIRECT("数出表_Excel!A"&amp;GetResult(BA22))="社食",
GetResult(BA22)+2,GetResult(BA22))</f>
        <v>93</v>
      </c>
      <c r="BB23" s="85" t="str">
        <f t="array" aca="1" ref="BB23" ca="1">IF(BC22&lt;&gt;"",MATCH(TRUE,INDIRECT("数出表_Excel!B"&amp;MATCH(BG22,数出表_Excel!$A:$A,0)-1&amp;":U"&amp;MATCH(BG22,数出表_Excel!$A:$A,0)-1&amp;"")&lt;&gt;"",0)+1,"")</f>
        <v/>
      </c>
      <c r="BC23" s="62" t="str">
        <f t="array" aca="1" ref="BC23" ca="1">IF(COUNTIF(BG22,"*合計*"),"",
IF(IFERROR(INDIRECT("数出表_Excel!" &amp;
CHAR(MATCH(TRUE,
ISNUMBER(--INDIRECT("数出表_Excel!B"&amp;MATCH(BG22,数出表_Excel!$A:$A,0)-1&amp;":U"&amp;MATCH(BG22,数出表_Excel!$A:$A,0)-1&amp;"")),0)+65) &amp; "3"),0)=0,"",
IFERROR(INDIRECT("数出表_Excel!" &amp;
CHAR(MATCH(TRUE,
ISNUMBER(--INDIRECT("数出表_Excel!B"&amp;MATCH(BG22,数出表_Excel!$A:$A,0)-1&amp;":U"&amp;MATCH(BG22,数出表_Excel!$A:$A,0)-1&amp;"")),0)+65) &amp; "3"),"")))</f>
        <v/>
      </c>
      <c r="BD23" s="80"/>
      <c r="BE23" s="86" t="str">
        <f t="array" aca="1" ref="BE23" ca="1">IF(BF23&lt;&gt;"","",
IF(COUNTIF(BC22,"*雙葉*"),"",
IF(BC22&lt;&gt;"",
IFERROR(
INDEX('数出表_Excel（アレルギー入力）'!$4:$4,
 1,
MATCH(TRUE,INDIRECT("'数出表_Excel（アレルギー入力）'!B"&amp;MATCH(BG22,'数出表_Excel（アレルギー入力）'!$A:$A,0)-1&amp;":U"&amp;MATCH(BG22,'数出表_Excel（アレルギー入力）'!$A:$A,0)-1&amp;"")&lt;&gt;"",0)+1
),
 "")
&amp;IFERROR(
INDEX('数出表_Excel（アレルギー入力）'!$5:$5,
 1,
MATCH(TRUE,INDIRECT("'数出表_Excel（アレルギー入力）'!B"&amp;MATCH(BG22,'数出表_Excel（アレルギー入力）'!$A:$A,0)-1&amp;":U"&amp;MATCH(BG22,'数出表_Excel（アレルギー入力）'!$A:$A,0)-1&amp;"")&lt;&gt;"",0)+1),
 ""),"")))</f>
        <v/>
      </c>
      <c r="BF23" s="87" t="str">
        <f t="array" aca="1" ref="BF23" ca="1">IF(BC23&lt;&gt;"",
IF(COUNTIF(BC22,"*雙葉*"),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VLOOKUP('盛付札（関数）'!BC23,商品マスタ一覧!$D:$J,7,FALSE))),0)),
IF(MATCH(TRUE,
ISNUMBER(--INDIRECT("数出表_Excel!B"&amp;MATCH(BG22,数出表_Excel!$A:$A,0)-1&amp;":U"&amp;MATCH(BG22,数出表_Excel!$A:$A,0)-1&amp;"")),0)&gt;10,
IF(BC23&lt;&gt;"",
IF(IF(COUNTIF('盛付札（関数）'!BC23,"*キャラ*"),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VLOOKUP('盛付札（関数）'!BC23,商品マスタ一覧!$D:$J,7,FALSE)))=0,"",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VLOOKUP('盛付札（関数）'!BC23,商品マスタ一覧!$D:$J,7,FALSE))),0))),""),"")),"")</f>
        <v/>
      </c>
      <c r="BG23" s="96" t="str">
        <f ca="1">IF(BF23&lt;&gt;"",IF(VALUE(IF(BF28&lt;&gt;"",BC25-BF28,BC25))&gt;VALUE(IF(COUNTIF('盛付札（関数）'!BC23,"*キャラ*"),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
"+"&amp;IF(BF28&lt;&gt;"",BC25-BF28,BC25)-IF(COUNTIF('盛付札（関数）'!BC23,"*キャラ*"),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VLOOKUP('盛付札（関数）'!BC23,商品マスタ一覧!$D:$J,7,FALSE)))*BF23,
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VLOOKUP('盛付札（関数）'!BC23,商品マスタ一覧!$D:$J,7,FALSE)))*BF23),"")</f>
        <v/>
      </c>
      <c r="BH23" s="80"/>
      <c r="BI23" s="80">
        <f t="array" aca="1" ref="BI23" ca="1">IF(INDIRECT("数出表_Excel!A"&amp;GetResult(BI22))="社食",
GetResult(BI22)+2,GetResult(BI22))</f>
        <v>115</v>
      </c>
      <c r="BJ23" s="85" t="str">
        <f t="array" aca="1" ref="BJ23" ca="1">IF(BK22&lt;&gt;"",MATCH(TRUE,INDIRECT("数出表_Excel!B"&amp;MATCH(BO22,数出表_Excel!$A:$A,0)-1&amp;":U"&amp;MATCH(BO22,数出表_Excel!$A:$A,0)-1&amp;"")&lt;&gt;"",0)+1,"")</f>
        <v/>
      </c>
      <c r="BK23" s="62" t="str">
        <f t="array" aca="1" ref="BK23" ca="1">IF(COUNTIF(BO22,"*合計*"),"",
IF(IFERROR(INDIRECT("数出表_Excel!" &amp;
CHAR(MATCH(TRUE,
ISNUMBER(--INDIRECT("数出表_Excel!B"&amp;MATCH(BO22,数出表_Excel!$A:$A,0)-1&amp;":U"&amp;MATCH(BO22,数出表_Excel!$A:$A,0)-1&amp;"")),0)+65) &amp; "3"),0)=0,"",
IFERROR(INDIRECT("数出表_Excel!" &amp;
CHAR(MATCH(TRUE,
ISNUMBER(--INDIRECT("数出表_Excel!B"&amp;MATCH(BO22,数出表_Excel!$A:$A,0)-1&amp;":U"&amp;MATCH(BO22,数出表_Excel!$A:$A,0)-1&amp;"")),0)+65) &amp; "3"),"")))</f>
        <v/>
      </c>
      <c r="BL23" s="80"/>
      <c r="BM23" s="86" t="str">
        <f t="array" aca="1" ref="BM23" ca="1">IF(BN23&lt;&gt;"","",
IF(COUNTIF(BK22,"*雙葉*"),"",
IF(BK22&lt;&gt;"",
IFERROR(
INDEX('数出表_Excel（アレルギー入力）'!$4:$4,
 1,
MATCH(TRUE,INDIRECT("'数出表_Excel（アレルギー入力）'!B"&amp;MATCH(BO22,'数出表_Excel（アレルギー入力）'!$A:$A,0)-1&amp;":U"&amp;MATCH(BO22,'数出表_Excel（アレルギー入力）'!$A:$A,0)-1&amp;"")&lt;&gt;"",0)+1
),
 "")
&amp;IFERROR(
INDEX('数出表_Excel（アレルギー入力）'!$5:$5,
 1,
MATCH(TRUE,INDIRECT("'数出表_Excel（アレルギー入力）'!B"&amp;MATCH(BO22,'数出表_Excel（アレルギー入力）'!$A:$A,0)-1&amp;":U"&amp;MATCH(BO22,'数出表_Excel（アレルギー入力）'!$A:$A,0)-1&amp;"")&lt;&gt;"",0)+1),
 ""),"")))</f>
        <v/>
      </c>
      <c r="BN23" s="87" t="str">
        <f t="array" aca="1" ref="BN23" ca="1">IF(BK23&lt;&gt;"",
IF(COUNTIF(BK22,"*雙葉*"),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VLOOKUP('盛付札（関数）'!BK23,商品マスタ一覧!$D:$J,7,FALSE))),0)),
IF(MATCH(TRUE,
ISNUMBER(--INDIRECT("数出表_Excel!B"&amp;MATCH(BO22,数出表_Excel!$A:$A,0)-1&amp;":U"&amp;MATCH(BO22,数出表_Excel!$A:$A,0)-1&amp;"")),0)&gt;10,
IF(BK23&lt;&gt;"",
IF(IF(COUNTIF('盛付札（関数）'!BK23,"*キャラ*"),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VLOOKUP('盛付札（関数）'!BK23,商品マスタ一覧!$D:$J,7,FALSE)))=0,"",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VLOOKUP('盛付札（関数）'!BK23,商品マスタ一覧!$D:$J,7,FALSE))),0))),""),"")),"")</f>
        <v/>
      </c>
      <c r="BO23" s="100" t="str">
        <f ca="1">IF(BN23&lt;&gt;"",IF(VALUE(IF(BN28&lt;&gt;"",BK25-BN28,BK25))&gt;VALUE(IF(COUNTIF('盛付札（関数）'!BK23,"*キャラ*"),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
"+"&amp;IF(BN28&lt;&gt;"",BK25-BN28,BK25)-IF(COUNTIF('盛付札（関数）'!BK23,"*キャラ*"),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VLOOKUP('盛付札（関数）'!BK23,商品マスタ一覧!$D:$J,7,FALSE)))*BN23,
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VLOOKUP('盛付札（関数）'!BK23,商品マスタ一覧!$D:$J,7,FALSE)))*BN23),"")</f>
        <v/>
      </c>
      <c r="BP23" s="80">
        <f t="array" aca="1" ref="BP23" ca="1">IF(INDIRECT("数出表_Excel!A"&amp;GetResult(BP22))="社食",
GetResult(BP22)+2,GetResult(BP22))</f>
        <v>117</v>
      </c>
      <c r="BQ23" s="85" t="str">
        <f t="array" aca="1" ref="BQ23" ca="1">IF(BR22&lt;&gt;"",MATCH(TRUE,INDIRECT("数出表_Excel!B"&amp;MATCH(BV22,数出表_Excel!$A:$A,0)-1&amp;":U"&amp;MATCH(BV22,数出表_Excel!$A:$A,0)-1&amp;"")&lt;&gt;"",0)+1,"")</f>
        <v/>
      </c>
      <c r="BR23" s="62" t="str">
        <f t="array" aca="1" ref="BR23" ca="1">IF(COUNTIF(BV22,"*合計*"),"",
IF(IFERROR(INDIRECT("数出表_Excel!" &amp;
CHAR(MATCH(TRUE,
ISNUMBER(--INDIRECT("数出表_Excel!B"&amp;MATCH(BV22,数出表_Excel!$A:$A,0)-1&amp;":U"&amp;MATCH(BV22,数出表_Excel!$A:$A,0)-1&amp;"")),0)+65) &amp; "3"),0)=0,"",
IFERROR(INDIRECT("数出表_Excel!" &amp;
CHAR(MATCH(TRUE,
ISNUMBER(--INDIRECT("数出表_Excel!B"&amp;MATCH(BV22,数出表_Excel!$A:$A,0)-1&amp;":U"&amp;MATCH(BV22,数出表_Excel!$A:$A,0)-1&amp;"")),0)+65) &amp; "3"),"")))</f>
        <v/>
      </c>
      <c r="BS23" s="80"/>
      <c r="BT23" s="86" t="str">
        <f t="array" aca="1" ref="BT23" ca="1">IF(BU23&lt;&gt;"","",
IF(COUNTIF(BR22,"*雙葉*"),"",
IF(BR22&lt;&gt;"",
IFERROR(
INDEX('数出表_Excel（アレルギー入力）'!$4:$4,
 1,
MATCH(TRUE,INDIRECT("'数出表_Excel（アレルギー入力）'!B"&amp;MATCH(BV22,'数出表_Excel（アレルギー入力）'!$A:$A,0)-1&amp;":U"&amp;MATCH(BV22,'数出表_Excel（アレルギー入力）'!$A:$A,0)-1&amp;"")&lt;&gt;"",0)+1
),
 "")
&amp;IFERROR(
INDEX('数出表_Excel（アレルギー入力）'!$5:$5,
 1,
MATCH(TRUE,INDIRECT("'数出表_Excel（アレルギー入力）'!B"&amp;MATCH(BV22,'数出表_Excel（アレルギー入力）'!$A:$A,0)-1&amp;":U"&amp;MATCH(BV22,'数出表_Excel（アレルギー入力）'!$A:$A,0)-1&amp;"")&lt;&gt;"",0)+1),
 ""),"")))</f>
        <v/>
      </c>
      <c r="BU23" s="87" t="str">
        <f t="array" aca="1" ref="BU23" ca="1">IF(BR23&lt;&gt;"",
IF(COUNTIF(BR22,"*雙葉*"),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VLOOKUP('盛付札（関数）'!BR23,商品マスタ一覧!$D:$J,7,FALSE))),0)),
IF(MATCH(TRUE,
ISNUMBER(--INDIRECT("数出表_Excel!B"&amp;MATCH(BV22,数出表_Excel!$A:$A,0)-1&amp;":U"&amp;MATCH(BV22,数出表_Excel!$A:$A,0)-1&amp;"")),0)&gt;10,
IF(BR23&lt;&gt;"",
IF(IF(COUNTIF('盛付札（関数）'!BR23,"*キャラ*"),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VLOOKUP('盛付札（関数）'!BR23,商品マスタ一覧!$D:$J,7,FALSE)))=0,"",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VLOOKUP('盛付札（関数）'!BR23,商品マスタ一覧!$D:$J,7,FALSE))),0))),""),"")),"")</f>
        <v/>
      </c>
      <c r="BV23" s="96" t="str">
        <f ca="1">IF(BU23&lt;&gt;"",IF(VALUE(IF(BU28&lt;&gt;"",BR25-BU28,BR25))&gt;VALUE(IF(COUNTIF('盛付札（関数）'!BR23,"*キャラ*"),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
"+"&amp;IF(BU28&lt;&gt;"",BR25-BU28,BR25)-IF(COUNTIF('盛付札（関数）'!BR23,"*キャラ*"),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VLOOKUP('盛付札（関数）'!BR23,商品マスタ一覧!$D:$J,7,FALSE)))*BU23,
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VLOOKUP('盛付札（関数）'!BR23,商品マスタ一覧!$D:$J,7,FALSE)))*BU23),"")</f>
        <v/>
      </c>
      <c r="BW23" s="80"/>
      <c r="BX23" s="80">
        <f t="array" aca="1" ref="BX23" ca="1">IF(INDIRECT("数出表_Excel!A"&amp;GetResult(BX22))="社食",
GetResult(BX22)+2,GetResult(BX22))</f>
        <v>139</v>
      </c>
      <c r="BY23" s="85" t="str">
        <f t="array" aca="1" ref="BY23" ca="1">IF(BZ22&lt;&gt;"",MATCH(TRUE,INDIRECT("数出表_Excel!B"&amp;MATCH(CD22,数出表_Excel!$A:$A,0)-1&amp;":U"&amp;MATCH(CD22,数出表_Excel!$A:$A,0)-1&amp;"")&lt;&gt;"",0)+1,"")</f>
        <v/>
      </c>
      <c r="BZ23" s="62" t="str">
        <f t="array" aca="1" ref="BZ23" ca="1">IF(COUNTIF(CD22,"*合計*"),"",
IF(IFERROR(INDIRECT("数出表_Excel!" &amp;
CHAR(MATCH(TRUE,
ISNUMBER(--INDIRECT("数出表_Excel!B"&amp;MATCH(CD22,数出表_Excel!$A:$A,0)-1&amp;":U"&amp;MATCH(CD22,数出表_Excel!$A:$A,0)-1&amp;"")),0)+65) &amp; "3"),0)=0,"",
IFERROR(INDIRECT("数出表_Excel!" &amp;
CHAR(MATCH(TRUE,
ISNUMBER(--INDIRECT("数出表_Excel!B"&amp;MATCH(CD22,数出表_Excel!$A:$A,0)-1&amp;":U"&amp;MATCH(CD22,数出表_Excel!$A:$A,0)-1&amp;"")),0)+65) &amp; "3"),"")))</f>
        <v/>
      </c>
      <c r="CA23" s="80"/>
      <c r="CB23" s="86" t="str">
        <f t="array" aca="1" ref="CB23" ca="1">IF(CC23&lt;&gt;"","",
IF(COUNTIF(BZ22,"*雙葉*"),"",
IF(BZ22&lt;&gt;"",
IFERROR(
INDEX('数出表_Excel（アレルギー入力）'!$4:$4,
 1,
MATCH(TRUE,INDIRECT("'数出表_Excel（アレルギー入力）'!B"&amp;MATCH(CD22,'数出表_Excel（アレルギー入力）'!$A:$A,0)-1&amp;":U"&amp;MATCH(CD22,'数出表_Excel（アレルギー入力）'!$A:$A,0)-1&amp;"")&lt;&gt;"",0)+1
),
 "")
&amp;IFERROR(
INDEX('数出表_Excel（アレルギー入力）'!$5:$5,
 1,
MATCH(TRUE,INDIRECT("'数出表_Excel（アレルギー入力）'!B"&amp;MATCH(CD22,'数出表_Excel（アレルギー入力）'!$A:$A,0)-1&amp;":U"&amp;MATCH(CD22,'数出表_Excel（アレルギー入力）'!$A:$A,0)-1&amp;"")&lt;&gt;"",0)+1),
 ""),"")))</f>
        <v/>
      </c>
      <c r="CC23" s="87" t="str">
        <f t="array" aca="1" ref="CC23" ca="1">IF(BZ23&lt;&gt;"",
IF(COUNTIF(BZ22,"*雙葉*"),
IF(ROUND(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VLOOKUP('盛付札（関数）'!BZ23,商品マスタ一覧!$D:$J,7,FALSE))),0)&lt;=0,1,
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VLOOKUP('盛付札（関数）'!BZ23,商品マスタ一覧!$D:$J,7,FALSE))),0)),
IF(MATCH(TRUE,
ISNUMBER(--INDIRECT("数出表_Excel!B"&amp;MATCH(CD22,数出表_Excel!$A:$A,0)-1&amp;":U"&amp;MATCH(CD22,数出表_Excel!$A:$A,0)-1&amp;"")),0)&gt;10,
IF(BZ23&lt;&gt;"",
IF(IF(COUNTIF('盛付札（関数）'!BZ23,"*キャラ*"),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VLOOKUP('盛付札（関数）'!BZ23,商品マスタ一覧!$D:$J,7,FALSE)))=0,"",
IF(ROUND(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VLOOKUP('盛付札（関数）'!BZ23,商品マスタ一覧!$D:$J,7,FALSE))),0)&lt;=0,1,
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VLOOKUP('盛付札（関数）'!BZ23,商品マスタ一覧!$D:$J,7,FALSE))),0))),""),"")),"")</f>
        <v/>
      </c>
      <c r="CD23" s="100" t="str">
        <f ca="1">IF(CC23&lt;&gt;"",IF(VALUE(IF(CC28&lt;&gt;"",BZ25-CC28,BZ25))&gt;VALUE(IF(COUNTIF('盛付札（関数）'!BZ23,"*キャラ*"),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VLOOKUP('盛付札（関数）'!BZ23,商品マスタ一覧!$D:$J,7,FALSE)))*CC23),
"+"&amp;IF(CC28&lt;&gt;"",BZ25-CC28,BZ25)-IF(COUNTIF('盛付札（関数）'!BZ23,"*キャラ*"),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VLOOKUP('盛付札（関数）'!BZ23,商品マスタ一覧!$D:$J,7,FALSE)))*CC23,
IF(CC28&lt;&gt;"",BZ25-CC28,BZ25)-IF(COUNTIF('盛付札（関数）'!BZ23,"*キャラ*"),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VLOOKUP('盛付札（関数）'!BZ23,商品マスタ一覧!$D:$J,7,FALSE)))*CC23),"")</f>
        <v/>
      </c>
      <c r="CE23" s="80">
        <f t="array" aca="1" ref="CE23" ca="1">IF(INDIRECT("数出表_Excel!A"&amp;GetResult(CE22))="社食",
GetResult(CE22)+2,GetResult(CE22))</f>
        <v>141</v>
      </c>
      <c r="CF23" s="85" t="str">
        <f t="array" aca="1" ref="CF23" ca="1">IF(CG22&lt;&gt;"",MATCH(TRUE,INDIRECT("数出表_Excel!B"&amp;MATCH(CK22,数出表_Excel!$A:$A,0)-1&amp;":U"&amp;MATCH(CK22,数出表_Excel!$A:$A,0)-1&amp;"")&lt;&gt;"",0)+1,"")</f>
        <v/>
      </c>
      <c r="CG23" s="62" t="str">
        <f t="array" aca="1" ref="CG23" ca="1">IF(COUNTIF(CK22,"*合計*"),"",
IF(IFERROR(INDIRECT("数出表_Excel!" &amp;
CHAR(MATCH(TRUE,
ISNUMBER(--INDIRECT("数出表_Excel!B"&amp;MATCH(CK22,数出表_Excel!$A:$A,0)-1&amp;":U"&amp;MATCH(CK22,数出表_Excel!$A:$A,0)-1&amp;"")),0)+65) &amp; "3"),0)=0,"",
IFERROR(INDIRECT("数出表_Excel!" &amp;
CHAR(MATCH(TRUE,
ISNUMBER(--INDIRECT("数出表_Excel!B"&amp;MATCH(CK22,数出表_Excel!$A:$A,0)-1&amp;":U"&amp;MATCH(CK22,数出表_Excel!$A:$A,0)-1&amp;"")),0)+65) &amp; "3"),"")))</f>
        <v/>
      </c>
      <c r="CH23" s="80"/>
      <c r="CI23" s="86" t="str">
        <f t="array" aca="1" ref="CI23" ca="1">IF(CJ23&lt;&gt;"","",
IF(COUNTIF(CG22,"*雙葉*"),"",
IF(CG22&lt;&gt;"",
IFERROR(
INDEX('数出表_Excel（アレルギー入力）'!$4:$4,
 1,
MATCH(TRUE,INDIRECT("'数出表_Excel（アレルギー入力）'!B"&amp;MATCH(CK22,'数出表_Excel（アレルギー入力）'!$A:$A,0)-1&amp;":U"&amp;MATCH(CK22,'数出表_Excel（アレルギー入力）'!$A:$A,0)-1&amp;"")&lt;&gt;"",0)+1
),
 "")
&amp;IFERROR(
INDEX('数出表_Excel（アレルギー入力）'!$5:$5,
 1,
MATCH(TRUE,INDIRECT("'数出表_Excel（アレルギー入力）'!B"&amp;MATCH(CK22,'数出表_Excel（アレルギー入力）'!$A:$A,0)-1&amp;":U"&amp;MATCH(CK22,'数出表_Excel（アレルギー入力）'!$A:$A,0)-1&amp;"")&lt;&gt;"",0)+1),
 ""),"")))</f>
        <v/>
      </c>
      <c r="CJ23" s="87" t="str">
        <f t="array" aca="1" ref="CJ23" ca="1">IF(CG23&lt;&gt;"",
IF(COUNTIF(CG22,"*雙葉*"),
IF(ROUND(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VLOOKUP('盛付札（関数）'!CG23,商品マスタ一覧!$D:$J,7,FALSE))),0)&lt;=0,1,
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VLOOKUP('盛付札（関数）'!CG23,商品マスタ一覧!$D:$J,7,FALSE))),0)),
IF(MATCH(TRUE,
ISNUMBER(--INDIRECT("数出表_Excel!B"&amp;MATCH(CK22,数出表_Excel!$A:$A,0)-1&amp;":U"&amp;MATCH(CK22,数出表_Excel!$A:$A,0)-1&amp;"")),0)&gt;10,
IF(CG23&lt;&gt;"",
IF(IF(COUNTIF('盛付札（関数）'!CG23,"*キャラ*"),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VLOOKUP('盛付札（関数）'!CG23,商品マスタ一覧!$D:$J,7,FALSE)))=0,"",
IF(ROUND(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VLOOKUP('盛付札（関数）'!CG23,商品マスタ一覧!$D:$J,7,FALSE))),0)&lt;=0,1,
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VLOOKUP('盛付札（関数）'!CG23,商品マスタ一覧!$D:$J,7,FALSE))),0))),""),"")),"")</f>
        <v/>
      </c>
      <c r="CK23" s="96" t="str">
        <f ca="1">IF(CJ23&lt;&gt;"",IF(VALUE(IF(CJ28&lt;&gt;"",CG25-CJ28,CG25))&gt;VALUE(IF(COUNTIF('盛付札（関数）'!CG23,"*キャラ*"),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VLOOKUP('盛付札（関数）'!CG23,商品マスタ一覧!$D:$J,7,FALSE)))*CJ23),
"+"&amp;IF(CJ28&lt;&gt;"",CG25-CJ28,CG25)-IF(COUNTIF('盛付札（関数）'!CG23,"*キャラ*"),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VLOOKUP('盛付札（関数）'!CG23,商品マスタ一覧!$D:$J,7,FALSE)))*CJ23,
IF(CJ28&lt;&gt;"",CG25-CJ28,CG25)-IF(COUNTIF('盛付札（関数）'!CG23,"*キャラ*"),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VLOOKUP('盛付札（関数）'!CG23,商品マスタ一覧!$D:$J,7,FALSE)))*CJ23),"")</f>
        <v/>
      </c>
      <c r="CL23" s="80"/>
      <c r="CM23" s="80">
        <f t="array" aca="1" ref="CM23" ca="1">IF(INDIRECT("数出表_Excel!A"&amp;GetResult(CM22))="社食",
GetResult(CM22)+2,GetResult(CM22))</f>
        <v>163</v>
      </c>
      <c r="CN23" s="85" t="str">
        <f t="array" aca="1" ref="CN23" ca="1">IF(CO22&lt;&gt;"",MATCH(TRUE,INDIRECT("数出表_Excel!B"&amp;MATCH(CS22,数出表_Excel!$A:$A,0)-1&amp;":U"&amp;MATCH(CS22,数出表_Excel!$A:$A,0)-1&amp;"")&lt;&gt;"",0)+1,"")</f>
        <v/>
      </c>
      <c r="CO23" s="62" t="str">
        <f t="array" aca="1" ref="CO23" ca="1">IF(COUNTIF(CS22,"*合計*"),"",
IF(IFERROR(INDIRECT("数出表_Excel!" &amp;
CHAR(MATCH(TRUE,
ISNUMBER(--INDIRECT("数出表_Excel!B"&amp;MATCH(CS22,数出表_Excel!$A:$A,0)-1&amp;":U"&amp;MATCH(CS22,数出表_Excel!$A:$A,0)-1&amp;"")),0)+65) &amp; "3"),0)=0,"",
IFERROR(INDIRECT("数出表_Excel!" &amp;
CHAR(MATCH(TRUE,
ISNUMBER(--INDIRECT("数出表_Excel!B"&amp;MATCH(CS22,数出表_Excel!$A:$A,0)-1&amp;":U"&amp;MATCH(CS22,数出表_Excel!$A:$A,0)-1&amp;"")),0)+65) &amp; "3"),"")))</f>
        <v/>
      </c>
      <c r="CP23" s="80"/>
      <c r="CQ23" s="86" t="str">
        <f t="array" aca="1" ref="CQ23" ca="1">IF(CR23&lt;&gt;"","",
IF(COUNTIF(CO22,"*雙葉*"),"",
IF(CO22&lt;&gt;"",
IFERROR(
INDEX('数出表_Excel（アレルギー入力）'!$4:$4,
 1,
MATCH(TRUE,INDIRECT("'数出表_Excel（アレルギー入力）'!B"&amp;MATCH(CS22,'数出表_Excel（アレルギー入力）'!$A:$A,0)-1&amp;":U"&amp;MATCH(CS22,'数出表_Excel（アレルギー入力）'!$A:$A,0)-1&amp;"")&lt;&gt;"",0)+1
),
 "")
&amp;IFERROR(
INDEX('数出表_Excel（アレルギー入力）'!$5:$5,
 1,
MATCH(TRUE,INDIRECT("'数出表_Excel（アレルギー入力）'!B"&amp;MATCH(CS22,'数出表_Excel（アレルギー入力）'!$A:$A,0)-1&amp;":U"&amp;MATCH(CS22,'数出表_Excel（アレルギー入力）'!$A:$A,0)-1&amp;"")&lt;&gt;"",0)+1),
 ""),"")))</f>
        <v/>
      </c>
      <c r="CR23" s="87" t="str">
        <f t="array" aca="1" ref="CR23" ca="1">IF(CO23&lt;&gt;"",
IF(COUNTIF(CO22,"*雙葉*"),
IF(ROUND(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VLOOKUP('盛付札（関数）'!CO23,商品マスタ一覧!$D:$J,7,FALSE))),0)&lt;=0,1,
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VLOOKUP('盛付札（関数）'!CO23,商品マスタ一覧!$D:$J,7,FALSE))),0)),
IF(MATCH(TRUE,
ISNUMBER(--INDIRECT("数出表_Excel!B"&amp;MATCH(CS22,数出表_Excel!$A:$A,0)-1&amp;":U"&amp;MATCH(CS22,数出表_Excel!$A:$A,0)-1&amp;"")),0)&gt;10,
IF(CO23&lt;&gt;"",
IF(IF(COUNTIF('盛付札（関数）'!CO23,"*キャラ*"),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VLOOKUP('盛付札（関数）'!CO23,商品マスタ一覧!$D:$J,7,FALSE)))=0,"",
IF(ROUND(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VLOOKUP('盛付札（関数）'!CO23,商品マスタ一覧!$D:$J,7,FALSE))),0)&lt;=0,1,
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VLOOKUP('盛付札（関数）'!CO23,商品マスタ一覧!$D:$J,7,FALSE))),0))),""),"")),"")</f>
        <v/>
      </c>
      <c r="CS23" s="100" t="str">
        <f ca="1">IF(CR23&lt;&gt;"",IF(VALUE(IF(CR28&lt;&gt;"",CO25-CR28,CO25))&gt;VALUE(IF(COUNTIF('盛付札（関数）'!CO23,"*キャラ*"),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VLOOKUP('盛付札（関数）'!CO23,商品マスタ一覧!$D:$J,7,FALSE)))*CR23),
"+"&amp;IF(CR28&lt;&gt;"",CO25-CR28,CO25)-IF(COUNTIF('盛付札（関数）'!CO23,"*キャラ*"),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VLOOKUP('盛付札（関数）'!CO23,商品マスタ一覧!$D:$J,7,FALSE)))*CR23,
IF(CR28&lt;&gt;"",CO25-CR28,CO25)-IF(COUNTIF('盛付札（関数）'!CO23,"*キャラ*"),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VLOOKUP('盛付札（関数）'!CO23,商品マスタ一覧!$D:$J,7,FALSE)))*CR23),"")</f>
        <v/>
      </c>
      <c r="CT23" s="80">
        <f t="array" aca="1" ref="CT23" ca="1">IF(INDIRECT("数出表_Excel!A"&amp;GetResult(CT22))="社食",
GetResult(CT22)+2,GetResult(CT22))</f>
        <v>165</v>
      </c>
      <c r="CU23" s="85" t="str">
        <f t="array" aca="1" ref="CU23" ca="1">IF(CV22&lt;&gt;"",MATCH(TRUE,INDIRECT("数出表_Excel!B"&amp;MATCH(CZ22,数出表_Excel!$A:$A,0)-1&amp;":U"&amp;MATCH(CZ22,数出表_Excel!$A:$A,0)-1&amp;"")&lt;&gt;"",0)+1,"")</f>
        <v/>
      </c>
      <c r="CV23" s="62" t="str">
        <f t="array" aca="1" ref="CV23" ca="1">IF(COUNTIF(CZ22,"*合計*"),"",
IF(IFERROR(INDIRECT("数出表_Excel!" &amp;
CHAR(MATCH(TRUE,
ISNUMBER(--INDIRECT("数出表_Excel!B"&amp;MATCH(CZ22,数出表_Excel!$A:$A,0)-1&amp;":U"&amp;MATCH(CZ22,数出表_Excel!$A:$A,0)-1&amp;"")),0)+65) &amp; "3"),0)=0,"",
IFERROR(INDIRECT("数出表_Excel!" &amp;
CHAR(MATCH(TRUE,
ISNUMBER(--INDIRECT("数出表_Excel!B"&amp;MATCH(CZ22,数出表_Excel!$A:$A,0)-1&amp;":U"&amp;MATCH(CZ22,数出表_Excel!$A:$A,0)-1&amp;"")),0)+65) &amp; "3"),"")))</f>
        <v/>
      </c>
      <c r="CW23" s="80"/>
      <c r="CX23" s="86" t="str">
        <f t="array" aca="1" ref="CX23" ca="1">IF(CY23&lt;&gt;"","",
IF(COUNTIF(CV22,"*雙葉*"),"",
IF(CV22&lt;&gt;"",
IFERROR(
INDEX('数出表_Excel（アレルギー入力）'!$4:$4,
 1,
MATCH(TRUE,INDIRECT("'数出表_Excel（アレルギー入力）'!B"&amp;MATCH(CZ22,'数出表_Excel（アレルギー入力）'!$A:$A,0)-1&amp;":U"&amp;MATCH(CZ22,'数出表_Excel（アレルギー入力）'!$A:$A,0)-1&amp;"")&lt;&gt;"",0)+1
),
 "")
&amp;IFERROR(
INDEX('数出表_Excel（アレルギー入力）'!$5:$5,
 1,
MATCH(TRUE,INDIRECT("'数出表_Excel（アレルギー入力）'!B"&amp;MATCH(CZ22,'数出表_Excel（アレルギー入力）'!$A:$A,0)-1&amp;":U"&amp;MATCH(CZ22,'数出表_Excel（アレルギー入力）'!$A:$A,0)-1&amp;"")&lt;&gt;"",0)+1),
 ""),"")))</f>
        <v/>
      </c>
      <c r="CY23" s="87" t="str">
        <f t="array" aca="1" ref="CY23" ca="1">IF(CV23&lt;&gt;"",
IF(COUNTIF(CV22,"*雙葉*"),
IF(ROUND(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VLOOKUP('盛付札（関数）'!CV23,商品マスタ一覧!$D:$J,7,FALSE))),0)&lt;=0,1,
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VLOOKUP('盛付札（関数）'!CV23,商品マスタ一覧!$D:$J,7,FALSE))),0)),
IF(MATCH(TRUE,
ISNUMBER(--INDIRECT("数出表_Excel!B"&amp;MATCH(CZ22,数出表_Excel!$A:$A,0)-1&amp;":U"&amp;MATCH(CZ22,数出表_Excel!$A:$A,0)-1&amp;"")),0)&gt;10,
IF(CV23&lt;&gt;"",
IF(IF(COUNTIF('盛付札（関数）'!CV23,"*キャラ*"),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VLOOKUP('盛付札（関数）'!CV23,商品マスタ一覧!$D:$J,7,FALSE)))=0,"",
IF(ROUND(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VLOOKUP('盛付札（関数）'!CV23,商品マスタ一覧!$D:$J,7,FALSE))),0)&lt;=0,1,
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VLOOKUP('盛付札（関数）'!CV23,商品マスタ一覧!$D:$J,7,FALSE))),0))),""),"")),"")</f>
        <v/>
      </c>
      <c r="CZ23" s="96" t="str">
        <f ca="1">IF(CY23&lt;&gt;"",IF(VALUE(IF(CY28&lt;&gt;"",CV25-CY28,CV25))&gt;VALUE(IF(COUNTIF('盛付札（関数）'!CV23,"*キャラ*"),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VLOOKUP('盛付札（関数）'!CV23,商品マスタ一覧!$D:$J,7,FALSE)))*CY23),
"+"&amp;IF(CY28&lt;&gt;"",CV25-CY28,CV25)-IF(COUNTIF('盛付札（関数）'!CV23,"*キャラ*"),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VLOOKUP('盛付札（関数）'!CV23,商品マスタ一覧!$D:$J,7,FALSE)))*CY23,
IF(CY28&lt;&gt;"",CV25-CY28,CV25)-IF(COUNTIF('盛付札（関数）'!CV23,"*キャラ*"),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VLOOKUP('盛付札（関数）'!CV23,商品マスタ一覧!$D:$J,7,FALSE)))*CY23),"")</f>
        <v/>
      </c>
      <c r="DA23" s="80"/>
      <c r="DB23" s="80">
        <f t="array" aca="1" ref="DB23" ca="1">IF(INDIRECT("数出表_Excel!A"&amp;GetResult(DB22))="社食",
GetResult(DB22)+2,GetResult(DB22))</f>
        <v>187</v>
      </c>
      <c r="DC23" s="85" t="str">
        <f t="array" aca="1" ref="DC23" ca="1">IF(DD22&lt;&gt;"",MATCH(TRUE,INDIRECT("数出表_Excel!B"&amp;MATCH(DH22,数出表_Excel!$A:$A,0)-1&amp;":U"&amp;MATCH(DH22,数出表_Excel!$A:$A,0)-1&amp;"")&lt;&gt;"",0)+1,"")</f>
        <v/>
      </c>
      <c r="DD23" s="62" t="str">
        <f t="array" aca="1" ref="DD23" ca="1">IF(COUNTIF(DH22,"*合計*"),"",
IF(IFERROR(INDIRECT("数出表_Excel!" &amp;
CHAR(MATCH(TRUE,
ISNUMBER(--INDIRECT("数出表_Excel!B"&amp;MATCH(DH22,数出表_Excel!$A:$A,0)-1&amp;":U"&amp;MATCH(DH22,数出表_Excel!$A:$A,0)-1&amp;"")),0)+65) &amp; "3"),0)=0,"",
IFERROR(INDIRECT("数出表_Excel!" &amp;
CHAR(MATCH(TRUE,
ISNUMBER(--INDIRECT("数出表_Excel!B"&amp;MATCH(DH22,数出表_Excel!$A:$A,0)-1&amp;":U"&amp;MATCH(DH22,数出表_Excel!$A:$A,0)-1&amp;"")),0)+65) &amp; "3"),"")))</f>
        <v/>
      </c>
      <c r="DE23" s="80"/>
      <c r="DF23" s="86" t="str">
        <f t="array" aca="1" ref="DF23" ca="1">IF(DG23&lt;&gt;"","",
IF(COUNTIF(DD22,"*雙葉*"),"",
IF(DD22&lt;&gt;"",
IFERROR(
INDEX('数出表_Excel（アレルギー入力）'!$4:$4,
 1,
MATCH(TRUE,INDIRECT("'数出表_Excel（アレルギー入力）'!B"&amp;MATCH(DH22,'数出表_Excel（アレルギー入力）'!$A:$A,0)-1&amp;":U"&amp;MATCH(DH22,'数出表_Excel（アレルギー入力）'!$A:$A,0)-1&amp;"")&lt;&gt;"",0)+1
),
 "")
&amp;IFERROR(
INDEX('数出表_Excel（アレルギー入力）'!$5:$5,
 1,
MATCH(TRUE,INDIRECT("'数出表_Excel（アレルギー入力）'!B"&amp;MATCH(DH22,'数出表_Excel（アレルギー入力）'!$A:$A,0)-1&amp;":U"&amp;MATCH(DH22,'数出表_Excel（アレルギー入力）'!$A:$A,0)-1&amp;"")&lt;&gt;"",0)+1),
 ""),"")))</f>
        <v/>
      </c>
      <c r="DG23" s="87" t="str">
        <f t="array" aca="1" ref="DG23" ca="1">IF(DD23&lt;&gt;"",
IF(COUNTIF(DD22,"*雙葉*"),
IF(ROUND(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VLOOKUP('盛付札（関数）'!DD23,商品マスタ一覧!$D:$J,7,FALSE))),0)&lt;=0,1,
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VLOOKUP('盛付札（関数）'!DD23,商品マスタ一覧!$D:$J,7,FALSE))),0)),
IF(MATCH(TRUE,
ISNUMBER(--INDIRECT("数出表_Excel!B"&amp;MATCH(DH22,数出表_Excel!$A:$A,0)-1&amp;":U"&amp;MATCH(DH22,数出表_Excel!$A:$A,0)-1&amp;"")),0)&gt;10,
IF(DD23&lt;&gt;"",
IF(IF(COUNTIF('盛付札（関数）'!DD23,"*キャラ*"),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VLOOKUP('盛付札（関数）'!DD23,商品マスタ一覧!$D:$J,7,FALSE)))=0,"",
IF(ROUND(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VLOOKUP('盛付札（関数）'!DD23,商品マスタ一覧!$D:$J,7,FALSE))),0)&lt;=0,1,
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VLOOKUP('盛付札（関数）'!DD23,商品マスタ一覧!$D:$J,7,FALSE))),0))),""),"")),"")</f>
        <v/>
      </c>
      <c r="DH23" s="100" t="str">
        <f ca="1">IF(DG23&lt;&gt;"",IF(VALUE(IF(DG28&lt;&gt;"",DD25-DG28,DD25))&gt;VALUE(IF(COUNTIF('盛付札（関数）'!DD23,"*キャラ*"),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VLOOKUP('盛付札（関数）'!DD23,商品マスタ一覧!$D:$J,7,FALSE)))*DG23),
"+"&amp;IF(DG28&lt;&gt;"",DD25-DG28,DD25)-IF(COUNTIF('盛付札（関数）'!DD23,"*キャラ*"),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VLOOKUP('盛付札（関数）'!DD23,商品マスタ一覧!$D:$J,7,FALSE)))*DG23,
IF(DG28&lt;&gt;"",DD25-DG28,DD25)-IF(COUNTIF('盛付札（関数）'!DD23,"*キャラ*"),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VLOOKUP('盛付札（関数）'!DD23,商品マスタ一覧!$D:$J,7,FALSE)))*DG23),"")</f>
        <v/>
      </c>
      <c r="DI23" s="80">
        <f t="array" aca="1" ref="DI23" ca="1">IF(INDIRECT("数出表_Excel!A"&amp;GetResult(DI22))="社食",
GetResult(DI22)+2,GetResult(DI22))</f>
        <v>189</v>
      </c>
      <c r="DJ23" s="85" t="str">
        <f t="array" aca="1" ref="DJ23" ca="1">IF(DK22&lt;&gt;"",MATCH(TRUE,INDIRECT("数出表_Excel!B"&amp;MATCH(DO22,数出表_Excel!$A:$A,0)-1&amp;":U"&amp;MATCH(DO22,数出表_Excel!$A:$A,0)-1&amp;"")&lt;&gt;"",0)+1,"")</f>
        <v/>
      </c>
      <c r="DK23" s="62" t="str">
        <f t="array" aca="1" ref="DK23" ca="1">IF(COUNTIF(DO22,"*合計*"),"",
IF(IFERROR(INDIRECT("数出表_Excel!" &amp;
CHAR(MATCH(TRUE,
ISNUMBER(--INDIRECT("数出表_Excel!B"&amp;MATCH(DO22,数出表_Excel!$A:$A,0)-1&amp;":U"&amp;MATCH(DO22,数出表_Excel!$A:$A,0)-1&amp;"")),0)+65) &amp; "3"),0)=0,"",
IFERROR(INDIRECT("数出表_Excel!" &amp;
CHAR(MATCH(TRUE,
ISNUMBER(--INDIRECT("数出表_Excel!B"&amp;MATCH(DO22,数出表_Excel!$A:$A,0)-1&amp;":U"&amp;MATCH(DO22,数出表_Excel!$A:$A,0)-1&amp;"")),0)+65) &amp; "3"),"")))</f>
        <v/>
      </c>
      <c r="DL23" s="80"/>
      <c r="DM23" s="86" t="str">
        <f t="array" aca="1" ref="DM23" ca="1">IF(DN23&lt;&gt;"","",
IF(COUNTIF(DK22,"*雙葉*"),"",
IF(DK22&lt;&gt;"",
IFERROR(
INDEX('数出表_Excel（アレルギー入力）'!$4:$4,
 1,
MATCH(TRUE,INDIRECT("'数出表_Excel（アレルギー入力）'!B"&amp;MATCH(DO22,'数出表_Excel（アレルギー入力）'!$A:$A,0)-1&amp;":U"&amp;MATCH(DO22,'数出表_Excel（アレルギー入力）'!$A:$A,0)-1&amp;"")&lt;&gt;"",0)+1
),
 "")
&amp;IFERROR(
INDEX('数出表_Excel（アレルギー入力）'!$5:$5,
 1,
MATCH(TRUE,INDIRECT("'数出表_Excel（アレルギー入力）'!B"&amp;MATCH(DO22,'数出表_Excel（アレルギー入力）'!$A:$A,0)-1&amp;":U"&amp;MATCH(DO22,'数出表_Excel（アレルギー入力）'!$A:$A,0)-1&amp;"")&lt;&gt;"",0)+1),
 ""),"")))</f>
        <v/>
      </c>
      <c r="DN23" s="87" t="str">
        <f t="array" aca="1" ref="DN23" ca="1">IF(DK23&lt;&gt;"",
IF(COUNTIF(DK22,"*雙葉*"),
IF(ROUND(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VLOOKUP('盛付札（関数）'!DK23,商品マスタ一覧!$D:$J,7,FALSE))),0)&lt;=0,1,
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VLOOKUP('盛付札（関数）'!DK23,商品マスタ一覧!$D:$J,7,FALSE))),0)),
IF(MATCH(TRUE,
ISNUMBER(--INDIRECT("数出表_Excel!B"&amp;MATCH(DO22,数出表_Excel!$A:$A,0)-1&amp;":U"&amp;MATCH(DO22,数出表_Excel!$A:$A,0)-1&amp;"")),0)&gt;10,
IF(DK23&lt;&gt;"",
IF(IF(COUNTIF('盛付札（関数）'!DK23,"*キャラ*"),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VLOOKUP('盛付札（関数）'!DK23,商品マスタ一覧!$D:$J,7,FALSE)))=0,"",
IF(ROUND(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VLOOKUP('盛付札（関数）'!DK23,商品マスタ一覧!$D:$J,7,FALSE))),0)&lt;=0,1,
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VLOOKUP('盛付札（関数）'!DK23,商品マスタ一覧!$D:$J,7,FALSE))),0))),""),"")),"")</f>
        <v/>
      </c>
      <c r="DO23" s="96" t="str">
        <f ca="1">IF(DN23&lt;&gt;"",IF(VALUE(IF(DN28&lt;&gt;"",DK25-DN28,DK25))&gt;VALUE(IF(COUNTIF('盛付札（関数）'!DK23,"*キャラ*"),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VLOOKUP('盛付札（関数）'!DK23,商品マスタ一覧!$D:$J,7,FALSE)))*DN23),
"+"&amp;IF(DN28&lt;&gt;"",DK25-DN28,DK25)-IF(COUNTIF('盛付札（関数）'!DK23,"*キャラ*"),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VLOOKUP('盛付札（関数）'!DK23,商品マスタ一覧!$D:$J,7,FALSE)))*DN23,
IF(DN28&lt;&gt;"",DK25-DN28,DK25)-IF(COUNTIF('盛付札（関数）'!DK23,"*キャラ*"),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VLOOKUP('盛付札（関数）'!DK23,商品マスタ一覧!$D:$J,7,FALSE)))*DN23),"")</f>
        <v/>
      </c>
      <c r="DP23" s="80"/>
      <c r="DQ23" s="80">
        <f t="array" aca="1" ref="DQ23" ca="1">IF(INDIRECT("数出表_Excel!A"&amp;GetResult(DQ22))="社食",
GetResult(DQ22)+2,GetResult(DQ22))</f>
        <v>211</v>
      </c>
      <c r="DR23" s="85" t="str">
        <f t="array" aca="1" ref="DR23" ca="1">IF(DS22&lt;&gt;"",MATCH(TRUE,INDIRECT("数出表_Excel!B"&amp;MATCH(DW22,数出表_Excel!$A:$A,0)-1&amp;":U"&amp;MATCH(DW22,数出表_Excel!$A:$A,0)-1&amp;"")&lt;&gt;"",0)+1,"")</f>
        <v/>
      </c>
      <c r="DS23" s="62" t="str">
        <f t="array" aca="1" ref="DS23" ca="1">IF(COUNTIF(DW22,"*合計*"),"",
IF(IFERROR(INDIRECT("数出表_Excel!" &amp;
CHAR(MATCH(TRUE,
ISNUMBER(--INDIRECT("数出表_Excel!B"&amp;MATCH(DW22,数出表_Excel!$A:$A,0)-1&amp;":U"&amp;MATCH(DW22,数出表_Excel!$A:$A,0)-1&amp;"")),0)+65) &amp; "3"),0)=0,"",
IFERROR(INDIRECT("数出表_Excel!" &amp;
CHAR(MATCH(TRUE,
ISNUMBER(--INDIRECT("数出表_Excel!B"&amp;MATCH(DW22,数出表_Excel!$A:$A,0)-1&amp;":U"&amp;MATCH(DW22,数出表_Excel!$A:$A,0)-1&amp;"")),0)+65) &amp; "3"),"")))</f>
        <v/>
      </c>
      <c r="DT23" s="80"/>
      <c r="DU23" s="86" t="str">
        <f t="array" aca="1" ref="DU23" ca="1">IF(DV23&lt;&gt;"","",
IF(COUNTIF(DS22,"*雙葉*"),"",
IF(DS22&lt;&gt;"",
IFERROR(
INDEX('数出表_Excel（アレルギー入力）'!$4:$4,
 1,
MATCH(TRUE,INDIRECT("'数出表_Excel（アレルギー入力）'!B"&amp;MATCH(DW22,'数出表_Excel（アレルギー入力）'!$A:$A,0)-1&amp;":U"&amp;MATCH(DW22,'数出表_Excel（アレルギー入力）'!$A:$A,0)-1&amp;"")&lt;&gt;"",0)+1
),
 "")
&amp;IFERROR(
INDEX('数出表_Excel（アレルギー入力）'!$5:$5,
 1,
MATCH(TRUE,INDIRECT("'数出表_Excel（アレルギー入力）'!B"&amp;MATCH(DW22,'数出表_Excel（アレルギー入力）'!$A:$A,0)-1&amp;":U"&amp;MATCH(DW22,'数出表_Excel（アレルギー入力）'!$A:$A,0)-1&amp;"")&lt;&gt;"",0)+1),
 ""),"")))</f>
        <v/>
      </c>
      <c r="DV23" s="87" t="str">
        <f t="array" aca="1" ref="DV23" ca="1">IF(DS23&lt;&gt;"",
IF(COUNTIF(DS22,"*雙葉*"),
IF(ROUND(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VLOOKUP('盛付札（関数）'!DS23,商品マスタ一覧!$D:$J,7,FALSE))),0)&lt;=0,1,
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VLOOKUP('盛付札（関数）'!DS23,商品マスタ一覧!$D:$J,7,FALSE))),0)),
IF(MATCH(TRUE,
ISNUMBER(--INDIRECT("数出表_Excel!B"&amp;MATCH(DW22,数出表_Excel!$A:$A,0)-1&amp;":U"&amp;MATCH(DW22,数出表_Excel!$A:$A,0)-1&amp;"")),0)&gt;10,
IF(DS23&lt;&gt;"",
IF(IF(COUNTIF('盛付札（関数）'!DS23,"*キャラ*"),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VLOOKUP('盛付札（関数）'!DS23,商品マスタ一覧!$D:$J,7,FALSE)))=0,"",
IF(ROUND(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VLOOKUP('盛付札（関数）'!DS23,商品マスタ一覧!$D:$J,7,FALSE))),0)&lt;=0,1,
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VLOOKUP('盛付札（関数）'!DS23,商品マスタ一覧!$D:$J,7,FALSE))),0))),""),"")),"")</f>
        <v/>
      </c>
      <c r="DW23" s="100" t="str">
        <f ca="1">IF(DV23&lt;&gt;"",IF(VALUE(IF(DV28&lt;&gt;"",DS25-DV28,DS25))&gt;VALUE(IF(COUNTIF('盛付札（関数）'!DS23,"*キャラ*"),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VLOOKUP('盛付札（関数）'!DS23,商品マスタ一覧!$D:$J,7,FALSE)))*DV23),
"+"&amp;IF(DV28&lt;&gt;"",DS25-DV28,DS25)-IF(COUNTIF('盛付札（関数）'!DS23,"*キャラ*"),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VLOOKUP('盛付札（関数）'!DS23,商品マスタ一覧!$D:$J,7,FALSE)))*DV23,
IF(DV28&lt;&gt;"",DS25-DV28,DS25)-IF(COUNTIF('盛付札（関数）'!DS23,"*キャラ*"),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VLOOKUP('盛付札（関数）'!DS23,商品マスタ一覧!$D:$J,7,FALSE)))*DV23),"")</f>
        <v/>
      </c>
      <c r="DX23" s="80">
        <f t="array" aca="1" ref="DX23" ca="1">IF(INDIRECT("数出表_Excel!A"&amp;GetResult(DX22))="社食",
GetResult(DX22)+2,GetResult(DX22))</f>
        <v>213</v>
      </c>
      <c r="DY23" s="85" t="str">
        <f t="array" aca="1" ref="DY23" ca="1">IF(DZ22&lt;&gt;"",MATCH(TRUE,INDIRECT("数出表_Excel!B"&amp;MATCH(ED22,数出表_Excel!$A:$A,0)-1&amp;":U"&amp;MATCH(ED22,数出表_Excel!$A:$A,0)-1&amp;"")&lt;&gt;"",0)+1,"")</f>
        <v/>
      </c>
      <c r="DZ23" s="62" t="str">
        <f t="array" aca="1" ref="DZ23" ca="1">IF(COUNTIF(ED22,"*合計*"),"",
IF(IFERROR(INDIRECT("数出表_Excel!" &amp;
CHAR(MATCH(TRUE,
ISNUMBER(--INDIRECT("数出表_Excel!B"&amp;MATCH(ED22,数出表_Excel!$A:$A,0)-1&amp;":U"&amp;MATCH(ED22,数出表_Excel!$A:$A,0)-1&amp;"")),0)+65) &amp; "3"),0)=0,"",
IFERROR(INDIRECT("数出表_Excel!" &amp;
CHAR(MATCH(TRUE,
ISNUMBER(--INDIRECT("数出表_Excel!B"&amp;MATCH(ED22,数出表_Excel!$A:$A,0)-1&amp;":U"&amp;MATCH(ED22,数出表_Excel!$A:$A,0)-1&amp;"")),0)+65) &amp; "3"),"")))</f>
        <v/>
      </c>
      <c r="EA23" s="80"/>
      <c r="EB23" s="86" t="str">
        <f t="array" aca="1" ref="EB23" ca="1">IF(EC23&lt;&gt;"","",
IF(COUNTIF(DZ22,"*雙葉*"),"",
IF(DZ22&lt;&gt;"",
IFERROR(
INDEX('数出表_Excel（アレルギー入力）'!$4:$4,
 1,
MATCH(TRUE,INDIRECT("'数出表_Excel（アレルギー入力）'!B"&amp;MATCH(ED22,'数出表_Excel（アレルギー入力）'!$A:$A,0)-1&amp;":U"&amp;MATCH(ED22,'数出表_Excel（アレルギー入力）'!$A:$A,0)-1&amp;"")&lt;&gt;"",0)+1
),
 "")
&amp;IFERROR(
INDEX('数出表_Excel（アレルギー入力）'!$5:$5,
 1,
MATCH(TRUE,INDIRECT("'数出表_Excel（アレルギー入力）'!B"&amp;MATCH(ED22,'数出表_Excel（アレルギー入力）'!$A:$A,0)-1&amp;":U"&amp;MATCH(ED22,'数出表_Excel（アレルギー入力）'!$A:$A,0)-1&amp;"")&lt;&gt;"",0)+1),
 ""),"")))</f>
        <v/>
      </c>
      <c r="EC23" s="87" t="str">
        <f t="array" aca="1" ref="EC23" ca="1">IF(DZ23&lt;&gt;"",
IF(COUNTIF(DZ22,"*雙葉*"),
IF(ROUND(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VLOOKUP('盛付札（関数）'!DZ23,商品マスタ一覧!$D:$J,7,FALSE))),0)&lt;=0,1,
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VLOOKUP('盛付札（関数）'!DZ23,商品マスタ一覧!$D:$J,7,FALSE))),0)),
IF(MATCH(TRUE,
ISNUMBER(--INDIRECT("数出表_Excel!B"&amp;MATCH(ED22,数出表_Excel!$A:$A,0)-1&amp;":U"&amp;MATCH(ED22,数出表_Excel!$A:$A,0)-1&amp;"")),0)&gt;10,
IF(DZ23&lt;&gt;"",
IF(IF(COUNTIF('盛付札（関数）'!DZ23,"*キャラ*"),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VLOOKUP('盛付札（関数）'!DZ23,商品マスタ一覧!$D:$J,7,FALSE)))=0,"",
IF(ROUND(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VLOOKUP('盛付札（関数）'!DZ23,商品マスタ一覧!$D:$J,7,FALSE))),0)&lt;=0,1,
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VLOOKUP('盛付札（関数）'!DZ23,商品マスタ一覧!$D:$J,7,FALSE))),0))),""),"")),"")</f>
        <v/>
      </c>
      <c r="ED23" s="96" t="str">
        <f ca="1">IF(EC23&lt;&gt;"",IF(VALUE(IF(EC28&lt;&gt;"",DZ25-EC28,DZ25))&gt;VALUE(IF(COUNTIF('盛付札（関数）'!DZ23,"*キャラ*"),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VLOOKUP('盛付札（関数）'!DZ23,商品マスタ一覧!$D:$J,7,FALSE)))*EC23),
"+"&amp;IF(EC28&lt;&gt;"",DZ25-EC28,DZ25)-IF(COUNTIF('盛付札（関数）'!DZ23,"*キャラ*"),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VLOOKUP('盛付札（関数）'!DZ23,商品マスタ一覧!$D:$J,7,FALSE)))*EC23,
IF(EC28&lt;&gt;"",DZ25-EC28,DZ25)-IF(COUNTIF('盛付札（関数）'!DZ23,"*キャラ*"),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VLOOKUP('盛付札（関数）'!DZ23,商品マスタ一覧!$D:$J,7,FALSE)))*EC23),"")</f>
        <v/>
      </c>
      <c r="EE23" s="80"/>
      <c r="EF23" s="80">
        <f t="array" aca="1" ref="EF23" ca="1">IF(INDIRECT("数出表_Excel!A"&amp;GetResult(EF22))="社食",
GetResult(EF22)+2,GetResult(EF22))</f>
        <v>235</v>
      </c>
      <c r="EG23" s="85" t="str">
        <f t="array" aca="1" ref="EG23" ca="1">IF(EH22&lt;&gt;"",MATCH(TRUE,INDIRECT("数出表_Excel!B"&amp;MATCH(EL22,数出表_Excel!$A:$A,0)-1&amp;":U"&amp;MATCH(EL22,数出表_Excel!$A:$A,0)-1&amp;"")&lt;&gt;"",0)+1,"")</f>
        <v/>
      </c>
      <c r="EH23" s="62" t="str">
        <f t="array" aca="1" ref="EH23" ca="1">IF(COUNTIF(EL22,"*合計*"),"",
IF(IFERROR(INDIRECT("数出表_Excel!" &amp;
CHAR(MATCH(TRUE,
ISNUMBER(--INDIRECT("数出表_Excel!B"&amp;MATCH(EL22,数出表_Excel!$A:$A,0)-1&amp;":U"&amp;MATCH(EL22,数出表_Excel!$A:$A,0)-1&amp;"")),0)+65) &amp; "3"),0)=0,"",
IFERROR(INDIRECT("数出表_Excel!" &amp;
CHAR(MATCH(TRUE,
ISNUMBER(--INDIRECT("数出表_Excel!B"&amp;MATCH(EL22,数出表_Excel!$A:$A,0)-1&amp;":U"&amp;MATCH(EL22,数出表_Excel!$A:$A,0)-1&amp;"")),0)+65) &amp; "3"),"")))</f>
        <v/>
      </c>
      <c r="EI23" s="80"/>
      <c r="EJ23" s="86" t="str">
        <f t="array" aca="1" ref="EJ23" ca="1">IF(EK23&lt;&gt;"","",
IF(COUNTIF(EH22,"*雙葉*"),"",
IF(EH22&lt;&gt;"",
IFERROR(
INDEX('数出表_Excel（アレルギー入力）'!$4:$4,
 1,
MATCH(TRUE,INDIRECT("'数出表_Excel（アレルギー入力）'!B"&amp;MATCH(EL22,'数出表_Excel（アレルギー入力）'!$A:$A,0)-1&amp;":U"&amp;MATCH(EL22,'数出表_Excel（アレルギー入力）'!$A:$A,0)-1&amp;"")&lt;&gt;"",0)+1
),
 "")
&amp;IFERROR(
INDEX('数出表_Excel（アレルギー入力）'!$5:$5,
 1,
MATCH(TRUE,INDIRECT("'数出表_Excel（アレルギー入力）'!B"&amp;MATCH(EL22,'数出表_Excel（アレルギー入力）'!$A:$A,0)-1&amp;":U"&amp;MATCH(EL22,'数出表_Excel（アレルギー入力）'!$A:$A,0)-1&amp;"")&lt;&gt;"",0)+1),
 ""),"")))</f>
        <v/>
      </c>
      <c r="EK23" s="87" t="str">
        <f t="array" aca="1" ref="EK23" ca="1">IF(EH23&lt;&gt;"",
IF(COUNTIF(EH22,"*雙葉*"),
IF(ROUND(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VLOOKUP('盛付札（関数）'!EH23,商品マスタ一覧!$D:$J,7,FALSE))),0)&lt;=0,1,
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VLOOKUP('盛付札（関数）'!EH23,商品マスタ一覧!$D:$J,7,FALSE))),0)),
IF(MATCH(TRUE,
ISNUMBER(--INDIRECT("数出表_Excel!B"&amp;MATCH(EL22,数出表_Excel!$A:$A,0)-1&amp;":U"&amp;MATCH(EL22,数出表_Excel!$A:$A,0)-1&amp;"")),0)&gt;10,
IF(EH23&lt;&gt;"",
IF(IF(COUNTIF('盛付札（関数）'!EH23,"*キャラ*"),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VLOOKUP('盛付札（関数）'!EH23,商品マスタ一覧!$D:$J,7,FALSE)))=0,"",
IF(ROUND(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VLOOKUP('盛付札（関数）'!EH23,商品マスタ一覧!$D:$J,7,FALSE))),0)&lt;=0,1,
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VLOOKUP('盛付札（関数）'!EH23,商品マスタ一覧!$D:$J,7,FALSE))),0))),""),"")),"")</f>
        <v/>
      </c>
      <c r="EL23" s="100" t="str">
        <f ca="1">IF(EK23&lt;&gt;"",IF(VALUE(IF(EK28&lt;&gt;"",EH25-EK28,EH25))&gt;VALUE(IF(COUNTIF('盛付札（関数）'!EH23,"*キャラ*"),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VLOOKUP('盛付札（関数）'!EH23,商品マスタ一覧!$D:$J,7,FALSE)))*EK23),
"+"&amp;IF(EK28&lt;&gt;"",EH25-EK28,EH25)-IF(COUNTIF('盛付札（関数）'!EH23,"*キャラ*"),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VLOOKUP('盛付札（関数）'!EH23,商品マスタ一覧!$D:$J,7,FALSE)))*EK23,
IF(EK28&lt;&gt;"",EH25-EK28,EH25)-IF(COUNTIF('盛付札（関数）'!EH23,"*キャラ*"),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VLOOKUP('盛付札（関数）'!EH23,商品マスタ一覧!$D:$J,7,FALSE)))*EK23),"")</f>
        <v/>
      </c>
      <c r="EM23" s="80">
        <f t="array" aca="1" ref="EM23" ca="1">IF(INDIRECT("数出表_Excel!A"&amp;GetResult(EM22))="社食",
GetResult(EM22)+2,GetResult(EM22))</f>
        <v>237</v>
      </c>
      <c r="EN23" s="85" t="str">
        <f t="array" aca="1" ref="EN23" ca="1">IF(EO22&lt;&gt;"",MATCH(TRUE,INDIRECT("数出表_Excel!B"&amp;MATCH(ES22,数出表_Excel!$A:$A,0)-1&amp;":U"&amp;MATCH(ES22,数出表_Excel!$A:$A,0)-1&amp;"")&lt;&gt;"",0)+1,"")</f>
        <v/>
      </c>
      <c r="EO23" s="62" t="str">
        <f t="array" aca="1" ref="EO23" ca="1">IF(COUNTIF(ES22,"*合計*"),"",
IF(IFERROR(INDIRECT("数出表_Excel!" &amp;
CHAR(MATCH(TRUE,
ISNUMBER(--INDIRECT("数出表_Excel!B"&amp;MATCH(ES22,数出表_Excel!$A:$A,0)-1&amp;":U"&amp;MATCH(ES22,数出表_Excel!$A:$A,0)-1&amp;"")),0)+65) &amp; "3"),0)=0,"",
IFERROR(INDIRECT("数出表_Excel!" &amp;
CHAR(MATCH(TRUE,
ISNUMBER(--INDIRECT("数出表_Excel!B"&amp;MATCH(ES22,数出表_Excel!$A:$A,0)-1&amp;":U"&amp;MATCH(ES22,数出表_Excel!$A:$A,0)-1&amp;"")),0)+65) &amp; "3"),"")))</f>
        <v/>
      </c>
      <c r="EP23" s="80"/>
      <c r="EQ23" s="86" t="str">
        <f t="array" aca="1" ref="EQ23" ca="1">IF(ER23&lt;&gt;"","",
IF(COUNTIF(EO22,"*雙葉*"),"",
IF(EO22&lt;&gt;"",
IFERROR(
INDEX('数出表_Excel（アレルギー入力）'!$4:$4,
 1,
MATCH(TRUE,INDIRECT("'数出表_Excel（アレルギー入力）'!B"&amp;MATCH(ES22,'数出表_Excel（アレルギー入力）'!$A:$A,0)-1&amp;":U"&amp;MATCH(ES22,'数出表_Excel（アレルギー入力）'!$A:$A,0)-1&amp;"")&lt;&gt;"",0)+1
),
 "")
&amp;IFERROR(
INDEX('数出表_Excel（アレルギー入力）'!$5:$5,
 1,
MATCH(TRUE,INDIRECT("'数出表_Excel（アレルギー入力）'!B"&amp;MATCH(ES22,'数出表_Excel（アレルギー入力）'!$A:$A,0)-1&amp;":U"&amp;MATCH(ES22,'数出表_Excel（アレルギー入力）'!$A:$A,0)-1&amp;"")&lt;&gt;"",0)+1),
 ""),"")))</f>
        <v/>
      </c>
      <c r="ER23" s="87" t="str">
        <f t="array" aca="1" ref="ER23" ca="1">IF(EO23&lt;&gt;"",
IF(COUNTIF(EO22,"*雙葉*"),
IF(ROUND(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VLOOKUP('盛付札（関数）'!EO23,商品マスタ一覧!$D:$J,7,FALSE))),0)&lt;=0,1,
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VLOOKUP('盛付札（関数）'!EO23,商品マスタ一覧!$D:$J,7,FALSE))),0)),
IF(MATCH(TRUE,
ISNUMBER(--INDIRECT("数出表_Excel!B"&amp;MATCH(ES22,数出表_Excel!$A:$A,0)-1&amp;":U"&amp;MATCH(ES22,数出表_Excel!$A:$A,0)-1&amp;"")),0)&gt;10,
IF(EO23&lt;&gt;"",
IF(IF(COUNTIF('盛付札（関数）'!EO23,"*キャラ*"),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VLOOKUP('盛付札（関数）'!EO23,商品マスタ一覧!$D:$J,7,FALSE)))=0,"",
IF(ROUND(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VLOOKUP('盛付札（関数）'!EO23,商品マスタ一覧!$D:$J,7,FALSE))),0)&lt;=0,1,
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VLOOKUP('盛付札（関数）'!EO23,商品マスタ一覧!$D:$J,7,FALSE))),0))),""),"")),"")</f>
        <v/>
      </c>
      <c r="ES23" s="96" t="str">
        <f ca="1">IF(ER23&lt;&gt;"",IF(VALUE(IF(ER28&lt;&gt;"",EO25-ER28,EO25))&gt;VALUE(IF(COUNTIF('盛付札（関数）'!EO23,"*キャラ*"),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VLOOKUP('盛付札（関数）'!EO23,商品マスタ一覧!$D:$J,7,FALSE)))*ER23),
"+"&amp;IF(ER28&lt;&gt;"",EO25-ER28,EO25)-IF(COUNTIF('盛付札（関数）'!EO23,"*キャラ*"),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VLOOKUP('盛付札（関数）'!EO23,商品マスタ一覧!$D:$J,7,FALSE)))*ER23,
IF(ER28&lt;&gt;"",EO25-ER28,EO25)-IF(COUNTIF('盛付札（関数）'!EO23,"*キャラ*"),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VLOOKUP('盛付札（関数）'!EO23,商品マスタ一覧!$D:$J,7,FALSE)))*ER23),"")</f>
        <v/>
      </c>
      <c r="ET23" s="111"/>
      <c r="EU23" s="91">
        <f t="shared" si="1"/>
        <v>35</v>
      </c>
      <c r="EV23" s="82" t="str">
        <f t="array" aca="1" ref="EV23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LEN(SUBSTITUTE(_xlfn.FORMULATEXT(EV$3),"=","")))+$EU23)</f>
        <v/>
      </c>
      <c r="EW23" s="82" t="str">
        <f t="array" aca="1" ref="EW23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LEN(SUBSTITUTE(_xlfn.FORMULATEXT(EW$3),"=","")))+$EU23)</f>
        <v/>
      </c>
      <c r="EX23" s="82" t="str">
        <f t="array" aca="1" ref="EX23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LEN(SUBSTITUTE(_xlfn.FORMULATEXT(EX$3),"=","")))+$EU23)</f>
        <v/>
      </c>
      <c r="EY23" s="82" t="str">
        <f t="array" aca="1" ref="EY23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LEN(SUBSTITUTE(_xlfn.FORMULATEXT(EY$3),"=","")))+$EU23)</f>
        <v/>
      </c>
      <c r="EZ23" s="82" t="str">
        <f t="array" aca="1" ref="EZ23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LEN(SUBSTITUTE(_xlfn.FORMULATEXT(EZ$3),"=","")))+$EU23)</f>
        <v/>
      </c>
      <c r="FA23" s="82" t="e">
        <f t="array" aca="1" ref="FA23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LEN(SUBSTITUTE(_xlfn.FORMULATEXT(FA$3),"=","")))+$EU23)</f>
        <v>#VALUE!</v>
      </c>
      <c r="FB23" s="82" t="str">
        <f t="array" aca="1" ref="FB23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LEN(SUBSTITUTE(_xlfn.FORMULATEXT(FB$3),"=","")))+$EU23)</f>
        <v/>
      </c>
      <c r="FC23" s="82" t="str">
        <f t="array" aca="1" ref="FC23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LEN(SUBSTITUTE(_xlfn.FORMULATEXT(FC$3),"=","")))+$EU23)</f>
        <v/>
      </c>
      <c r="FD23" s="82" t="e">
        <f t="array" aca="1" ref="FD23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LEN(SUBSTITUTE(_xlfn.FORMULATEXT(FD$3),"=","")))+$EU23)</f>
        <v>#VALUE!</v>
      </c>
      <c r="FE23" s="82" t="str">
        <f t="array" aca="1" ref="FE23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LEN(SUBSTITUTE(_xlfn.FORMULATEXT(FE$3),"=","")))+$EU23)</f>
        <v/>
      </c>
      <c r="FF23" s="82" t="e">
        <f t="array" aca="1" ref="FF23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LEN(SUBSTITUTE(_xlfn.FORMULATEXT(FF$3),"=","")))+$EU23)</f>
        <v>#N/A</v>
      </c>
      <c r="FG23" s="82">
        <f t="shared" ca="1" si="0"/>
        <v>0</v>
      </c>
      <c r="FH23" s="82" t="e">
        <f t="array" aca="1" ref="FH23" ca="1">SUMPRODUCT((LEN(EV23:FF23)&gt;0)*1)&gt;0</f>
        <v>#VALUE!</v>
      </c>
      <c r="FI23" s="82" t="str">
        <f t="array" aca="1" ref="FI23" ca="1">IFERROR(SMALL(IF(FG$1:FG$173&lt;&gt;0,FG$1:FG$173),ROW(A23)),"")</f>
        <v/>
      </c>
      <c r="FJ23" s="82" t="str">
        <f t="array" aca="1" ref="FJ23" ca="1">IF($FI23&lt;&gt;"",
INDIRECT(""&amp;IF(COLUMN(EV23)&lt;=26,CHAR(COLUMN(EV23)+64),CHAR(INT((COLUMN(EV23)-1)/26)+64)&amp;CHAR(MOD(COLUMN(EV23)-1,26)+65))&amp;$FI23&amp;""),"")</f>
        <v/>
      </c>
      <c r="FK23" s="82" t="str">
        <f t="array" aca="1" ref="FK23" ca="1">IF($FI23&lt;&gt;"",
INDIRECT(""&amp;IF(COLUMN(EW23)&lt;=26,CHAR(COLUMN(EW23)+64),CHAR(INT((COLUMN(EW23)-1)/26)+64)&amp;CHAR(MOD(COLUMN(EW23)-1,26)+65))&amp;$FI23&amp;""),"")</f>
        <v/>
      </c>
      <c r="FL23" s="82" t="str">
        <f t="array" aca="1" ref="FL23" ca="1">IF($FI23&lt;&gt;"",
INDIRECT(""&amp;IF(COLUMN(EX23)&lt;=26,CHAR(COLUMN(EX23)+64),CHAR(INT((COLUMN(EX23)-1)/26)+64)&amp;CHAR(MOD(COLUMN(EX23)-1,26)+65))&amp;$FI23&amp;""),"")</f>
        <v/>
      </c>
      <c r="FM23" s="82" t="str">
        <f t="array" aca="1" ref="FM23" ca="1">IF($FI23&lt;&gt;"",
IF(FL23="",
IF(INDIRECT("EY"&amp;$FI23&amp;"")&lt;&gt;"",
INDIRECT("EY"&amp;$FI23&amp;"")&amp;"箱"
&amp;INDIRECT("EZ"&amp;$FI23&amp;""),""),""),"")</f>
        <v/>
      </c>
      <c r="FN23" s="82" t="str">
        <f t="array" aca="1" ref="FN23" ca="1">IF($FI23&lt;&gt;"",
INDIRECT(""&amp;IF(COLUMN(FA23)&lt;=26,CHAR(COLUMN(FA23)+64),CHAR(INT((COLUMN(FA23)-1)/26)+64)&amp;CHAR(MOD(COLUMN(FA23)-1,26)+65))&amp;$FI23&amp;""),"")</f>
        <v/>
      </c>
      <c r="FO23" s="82" t="str">
        <f t="array" aca="1" ref="FO23" ca="1">IF($FI23&lt;&gt;"",
INDIRECT(""&amp;IF(COLUMN(FB23)&lt;=26,CHAR(COLUMN(FB23)+64),CHAR(INT((COLUMN(FB23)-1)/26)+64)&amp;CHAR(MOD(COLUMN(FB23)-1,26)+65))&amp;$FI23&amp;""),"")</f>
        <v/>
      </c>
      <c r="FP23" s="82" t="str">
        <f t="array" aca="1" ref="FP23" ca="1">IF($FI23&lt;&gt;"",
INDIRECT(""&amp;IF(COLUMN(FC23)&lt;=26,CHAR(COLUMN(FC23)+64),CHAR(INT((COLUMN(FC23)-1)/26)+64)&amp;CHAR(MOD(COLUMN(FC23)-1,26)+65))&amp;$FI23&amp;""),"")</f>
        <v/>
      </c>
      <c r="FQ23" s="82" t="str">
        <f t="array" aca="1" ref="FQ23" ca="1">IF($FI23&lt;&gt;"",
INDIRECT(""&amp;IF(COLUMN(FD23)&lt;=26,CHAR(COLUMN(FD23)+64),CHAR(INT((COLUMN(FD23)-1)/26)+64)&amp;CHAR(MOD(COLUMN(FD23)-1,26)+65))&amp;$FI23&amp;""),"")</f>
        <v/>
      </c>
      <c r="FR23" s="82" t="str">
        <f t="array" aca="1" ref="FR23" ca="1">IF($FI23&lt;&gt;"",
INDIRECT(""&amp;IF(COLUMN(FE23)&lt;=26,CHAR(COLUMN(FE23)+64),CHAR(INT((COLUMN(FE23)-1)/26)+64)&amp;CHAR(MOD(COLUMN(FE23)-1,26)+65))&amp;$FI23&amp;""),"")</f>
        <v/>
      </c>
      <c r="FS23" s="82" t="str">
        <f t="array" aca="1" ref="FS23" ca="1">IF($FI23&lt;&gt;"",
INDIRECT(""&amp;IF(COLUMN(FF23)&lt;=26,CHAR(COLUMN(FF23)+64),CHAR(INT((COLUMN(FF23)-1)/26)+64)&amp;CHAR(MOD(COLUMN(FF23)-1,26)+65))&amp;$FI23&amp;""),"")</f>
        <v/>
      </c>
    </row>
    <row r="24" spans="1:175" s="82" customFormat="1" ht="22.2" customHeight="1" x14ac:dyDescent="0.55000000000000004">
      <c r="A24" s="80"/>
      <c r="B24" s="88" t="e">
        <f t="array" aca="1" ref="B24" ca="1">IF(AND(LEFT(G22,2)="博多",
LEFT(INDIRECT("数出表_Excel!A"&amp;MATCH(G22,数出表_Excel!$A:$A,0)-1),2)
=LEFT(INDIRECT("数出表_Excel!A"&amp;MATCH(G22,数出表_Excel!$A:$A,0)+1),2)),100,
IF(AND(LEFT(G22,3)="奈良屋",
LEFT(INDIRECT("数出表_Excel!A"&amp;MATCH(G22,数出表_Excel!$A:$A,0)-1),2)
=LEFT(INDIRECT("数出表_Excel!A"&amp;MATCH(G22,数出表_Excel!$A:$A,0)+1),2)),200,""))</f>
        <v>#N/A</v>
      </c>
      <c r="C24" s="189" t="str">
        <f ca="1">IF(C23&lt;&gt;"",
"園児","")</f>
        <v/>
      </c>
      <c r="D24" s="190"/>
      <c r="E24" s="193" t="str">
        <f ca="1">IF(C23&lt;&gt;"",
"先生","")</f>
        <v/>
      </c>
      <c r="F24" s="190"/>
      <c r="G24" s="101">
        <f t="array" aca="1" ref="G24" ca="1">IF(C22&lt;&gt;"",
IF(IFERROR(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"")&lt;&gt;0,
IF(IFERROR(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"")="",
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""),
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"")),0),0)</f>
        <v>0</v>
      </c>
      <c r="H24" s="80"/>
      <c r="I24" s="88" t="e">
        <f t="array" aca="1" ref="I24" ca="1">IF(AND(LEFT(N22,2)="博多",
LEFT(INDIRECT("数出表_Excel!A"&amp;MATCH(N22,数出表_Excel!$A:$A,0)-1),2)
=LEFT(INDIRECT("数出表_Excel!A"&amp;MATCH(N22,数出表_Excel!$A:$A,0)+1),2)),100,
IF(AND(LEFT(N22,3)="奈良屋",
LEFT(INDIRECT("数出表_Excel!A"&amp;MATCH(N22,数出表_Excel!$A:$A,0)-1),2)
=LEFT(INDIRECT("数出表_Excel!A"&amp;MATCH(N22,数出表_Excel!$A:$A,0)+1),2)),200,""))</f>
        <v>#N/A</v>
      </c>
      <c r="J24" s="189" t="str">
        <f ca="1">IF(J23&lt;&gt;"",
"園児","")</f>
        <v/>
      </c>
      <c r="K24" s="190"/>
      <c r="L24" s="193" t="str">
        <f ca="1">IF(J23&lt;&gt;"",
"先生","")</f>
        <v/>
      </c>
      <c r="M24" s="190"/>
      <c r="N24" s="101">
        <f t="array" aca="1" ref="N24" ca="1">IF(J22&lt;&gt;"",
IF(IFERROR(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"")&lt;&gt;0,
IF(IFERROR(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"")="",
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""),
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"")),0),0)</f>
        <v>0</v>
      </c>
      <c r="O24" s="80"/>
      <c r="P24" s="80"/>
      <c r="Q24" s="88" t="e">
        <f t="array" aca="1" ref="Q24" ca="1">IF(AND(LEFT(V22,2)="博多",
LEFT(INDIRECT("数出表_Excel!A"&amp;MATCH(V22,数出表_Excel!$A:$A,0)-1),2)
=LEFT(INDIRECT("数出表_Excel!A"&amp;MATCH(V22,数出表_Excel!$A:$A,0)+1),2)),100,
IF(AND(LEFT(V22,3)="奈良屋",
LEFT(INDIRECT("数出表_Excel!A"&amp;MATCH(V22,数出表_Excel!$A:$A,0)-1),2)
=LEFT(INDIRECT("数出表_Excel!A"&amp;MATCH(V22,数出表_Excel!$A:$A,0)+1),2)),200,""))</f>
        <v>#N/A</v>
      </c>
      <c r="R24" s="189" t="str">
        <f ca="1">IF(R23&lt;&gt;"",
"園児","")</f>
        <v/>
      </c>
      <c r="S24" s="190"/>
      <c r="T24" s="193" t="str">
        <f ca="1">IF(R23&lt;&gt;"",
"先生","")</f>
        <v/>
      </c>
      <c r="U24" s="190"/>
      <c r="V24" s="101">
        <f t="array" aca="1" ref="V24" ca="1">IF(R22&lt;&gt;"",
IF(IFERROR(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"")&lt;&gt;0,
IF(IFERROR(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"")="",
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""),
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"")),0),0)</f>
        <v>0</v>
      </c>
      <c r="W24" s="80"/>
      <c r="X24" s="88" t="e">
        <f t="array" aca="1" ref="X24" ca="1">IF(AND(LEFT(AC22,2)="博多",
LEFT(INDIRECT("数出表_Excel!A"&amp;MATCH(AC22,数出表_Excel!$A:$A,0)-1),2)
=LEFT(INDIRECT("数出表_Excel!A"&amp;MATCH(AC22,数出表_Excel!$A:$A,0)+1),2)),100,
IF(AND(LEFT(AC22,3)="奈良屋",
LEFT(INDIRECT("数出表_Excel!A"&amp;MATCH(AC22,数出表_Excel!$A:$A,0)-1),2)
=LEFT(INDIRECT("数出表_Excel!A"&amp;MATCH(AC22,数出表_Excel!$A:$A,0)+1),2)),200,""))</f>
        <v>#N/A</v>
      </c>
      <c r="Y24" s="189" t="str">
        <f ca="1">IF(Y23&lt;&gt;"",
"園児","")</f>
        <v/>
      </c>
      <c r="Z24" s="190"/>
      <c r="AA24" s="193" t="str">
        <f ca="1">IF(Y23&lt;&gt;"",
"先生","")</f>
        <v/>
      </c>
      <c r="AB24" s="190"/>
      <c r="AC24" s="101">
        <f t="array" aca="1" ref="AC24" ca="1">IF(Y22&lt;&gt;"",
IF(IFERROR(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"")&lt;&gt;0,
IF(IFERROR(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"")="",
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""),
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"")),0),0)</f>
        <v>0</v>
      </c>
      <c r="AD24" s="80"/>
      <c r="AE24" s="80"/>
      <c r="AF24" s="88" t="e">
        <f t="array" aca="1" ref="AF24" ca="1">IF(AND(LEFT(AK22,2)="博多",
LEFT(INDIRECT("数出表_Excel!A"&amp;MATCH(AK22,数出表_Excel!$A:$A,0)-1),2)
=LEFT(INDIRECT("数出表_Excel!A"&amp;MATCH(AK22,数出表_Excel!$A:$A,0)+1),2)),100,
IF(AND(LEFT(AK22,3)="奈良屋",
LEFT(INDIRECT("数出表_Excel!A"&amp;MATCH(AK22,数出表_Excel!$A:$A,0)-1),2)
=LEFT(INDIRECT("数出表_Excel!A"&amp;MATCH(AK22,数出表_Excel!$A:$A,0)+1),2)),200,""))</f>
        <v>#N/A</v>
      </c>
      <c r="AG24" s="189" t="str">
        <f ca="1">IF(AG23&lt;&gt;"",
"園児","")</f>
        <v/>
      </c>
      <c r="AH24" s="190"/>
      <c r="AI24" s="193" t="str">
        <f ca="1">IF(AG23&lt;&gt;"",
"先生","")</f>
        <v/>
      </c>
      <c r="AJ24" s="190"/>
      <c r="AK24" s="101">
        <f t="array" aca="1" ref="AK24" ca="1">IF(AG22&lt;&gt;"",
IF(IFERROR(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"")&lt;&gt;0,
IF(IFERROR(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"")="",
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""),
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"")),0),0)</f>
        <v>0</v>
      </c>
      <c r="AL24" s="80"/>
      <c r="AM24" s="88" t="e">
        <f t="array" aca="1" ref="AM24" ca="1">IF(AND(LEFT(AR22,2)="博多",
LEFT(INDIRECT("数出表_Excel!A"&amp;MATCH(AR22,数出表_Excel!$A:$A,0)-1),2)
=LEFT(INDIRECT("数出表_Excel!A"&amp;MATCH(AR22,数出表_Excel!$A:$A,0)+1),2)),100,
IF(AND(LEFT(AR22,3)="奈良屋",
LEFT(INDIRECT("数出表_Excel!A"&amp;MATCH(AR22,数出表_Excel!$A:$A,0)-1),2)
=LEFT(INDIRECT("数出表_Excel!A"&amp;MATCH(AR22,数出表_Excel!$A:$A,0)+1),2)),200,""))</f>
        <v>#N/A</v>
      </c>
      <c r="AN24" s="189" t="str">
        <f ca="1">IF(AN23&lt;&gt;"",
"園児","")</f>
        <v/>
      </c>
      <c r="AO24" s="190"/>
      <c r="AP24" s="193" t="str">
        <f ca="1">IF(AN23&lt;&gt;"",
"先生","")</f>
        <v/>
      </c>
      <c r="AQ24" s="190"/>
      <c r="AR24" s="101">
        <f t="array" aca="1" ref="AR24" ca="1">IF(AN22&lt;&gt;"",
IF(IFERROR(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"")&lt;&gt;0,
IF(IFERROR(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"")="",
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""),
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"")),0),0)</f>
        <v>0</v>
      </c>
      <c r="AS24" s="80"/>
      <c r="AT24" s="80"/>
      <c r="AU24" s="88" t="e">
        <f t="array" aca="1" ref="AU24" ca="1">IF(AND(LEFT(AZ22,2)="博多",
LEFT(INDIRECT("数出表_Excel!A"&amp;MATCH(AZ22,数出表_Excel!$A:$A,0)-1),2)
=LEFT(INDIRECT("数出表_Excel!A"&amp;MATCH(AZ22,数出表_Excel!$A:$A,0)+1),2)),100,
IF(AND(LEFT(AZ22,3)="奈良屋",
LEFT(INDIRECT("数出表_Excel!A"&amp;MATCH(AZ22,数出表_Excel!$A:$A,0)-1),2)
=LEFT(INDIRECT("数出表_Excel!A"&amp;MATCH(AZ22,数出表_Excel!$A:$A,0)+1),2)),200,""))</f>
        <v>#N/A</v>
      </c>
      <c r="AV24" s="189" t="str">
        <f ca="1">IF(AV23&lt;&gt;"",
"園児","")</f>
        <v/>
      </c>
      <c r="AW24" s="190"/>
      <c r="AX24" s="193" t="str">
        <f ca="1">IF(AV23&lt;&gt;"",
"先生","")</f>
        <v/>
      </c>
      <c r="AY24" s="190"/>
      <c r="AZ24" s="101">
        <f t="array" aca="1" ref="AZ24" ca="1">IF(AV22&lt;&gt;"",
IF(IFERROR(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"")&lt;&gt;0,
IF(IFERROR(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"")="",
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""),
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"")),0),0)</f>
        <v>0</v>
      </c>
      <c r="BA24" s="80"/>
      <c r="BB24" s="88" t="e">
        <f t="array" aca="1" ref="BB24" ca="1">IF(AND(LEFT(BG22,2)="博多",
LEFT(INDIRECT("数出表_Excel!A"&amp;MATCH(BG22,数出表_Excel!$A:$A,0)-1),2)
=LEFT(INDIRECT("数出表_Excel!A"&amp;MATCH(BG22,数出表_Excel!$A:$A,0)+1),2)),100,
IF(AND(LEFT(BG22,3)="奈良屋",
LEFT(INDIRECT("数出表_Excel!A"&amp;MATCH(BG22,数出表_Excel!$A:$A,0)-1),2)
=LEFT(INDIRECT("数出表_Excel!A"&amp;MATCH(BG22,数出表_Excel!$A:$A,0)+1),2)),200,""))</f>
        <v>#N/A</v>
      </c>
      <c r="BC24" s="189" t="str">
        <f ca="1">IF(BC23&lt;&gt;"",
"園児","")</f>
        <v/>
      </c>
      <c r="BD24" s="190"/>
      <c r="BE24" s="193" t="str">
        <f ca="1">IF(BC23&lt;&gt;"",
"先生","")</f>
        <v/>
      </c>
      <c r="BF24" s="190"/>
      <c r="BG24" s="101">
        <f t="array" aca="1" ref="BG24" ca="1">IF(BC22&lt;&gt;"",
IF(IFERROR(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"")&lt;&gt;0,
IF(IFERROR(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"")="",
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""),
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"")),0),0)</f>
        <v>0</v>
      </c>
      <c r="BH24" s="80"/>
      <c r="BI24" s="80"/>
      <c r="BJ24" s="88" t="e">
        <f t="array" aca="1" ref="BJ24" ca="1">IF(AND(LEFT(BO22,2)="博多",
LEFT(INDIRECT("数出表_Excel!A"&amp;MATCH(BO22,数出表_Excel!$A:$A,0)-1),2)
=LEFT(INDIRECT("数出表_Excel!A"&amp;MATCH(BO22,数出表_Excel!$A:$A,0)+1),2)),100,
IF(AND(LEFT(BO22,3)="奈良屋",
LEFT(INDIRECT("数出表_Excel!A"&amp;MATCH(BO22,数出表_Excel!$A:$A,0)-1),2)
=LEFT(INDIRECT("数出表_Excel!A"&amp;MATCH(BO22,数出表_Excel!$A:$A,0)+1),2)),200,""))</f>
        <v>#N/A</v>
      </c>
      <c r="BK24" s="189" t="str">
        <f ca="1">IF(BK23&lt;&gt;"",
"園児","")</f>
        <v/>
      </c>
      <c r="BL24" s="190"/>
      <c r="BM24" s="193" t="str">
        <f ca="1">IF(BK23&lt;&gt;"",
"先生","")</f>
        <v/>
      </c>
      <c r="BN24" s="190"/>
      <c r="BO24" s="101">
        <f t="array" aca="1" ref="BO24" ca="1">IF(BK22&lt;&gt;"",
IF(IFERROR(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"")&lt;&gt;0,
IF(IFERROR(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"")="",
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""),
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"")),0),0)</f>
        <v>0</v>
      </c>
      <c r="BP24" s="80"/>
      <c r="BQ24" s="88" t="e">
        <f t="array" aca="1" ref="BQ24" ca="1">IF(AND(LEFT(BV22,2)="博多",
LEFT(INDIRECT("数出表_Excel!A"&amp;MATCH(BV22,数出表_Excel!$A:$A,0)-1),2)
=LEFT(INDIRECT("数出表_Excel!A"&amp;MATCH(BV22,数出表_Excel!$A:$A,0)+1),2)),100,
IF(AND(LEFT(BV22,3)="奈良屋",
LEFT(INDIRECT("数出表_Excel!A"&amp;MATCH(BV22,数出表_Excel!$A:$A,0)-1),2)
=LEFT(INDIRECT("数出表_Excel!A"&amp;MATCH(BV22,数出表_Excel!$A:$A,0)+1),2)),200,""))</f>
        <v>#N/A</v>
      </c>
      <c r="BR24" s="189" t="str">
        <f ca="1">IF(BR23&lt;&gt;"",
"園児","")</f>
        <v/>
      </c>
      <c r="BS24" s="190"/>
      <c r="BT24" s="193" t="str">
        <f ca="1">IF(BR23&lt;&gt;"",
"先生","")</f>
        <v/>
      </c>
      <c r="BU24" s="190"/>
      <c r="BV24" s="101">
        <f t="array" aca="1" ref="BV24" ca="1">IF(BR22&lt;&gt;"",
IF(IFERROR(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"")&lt;&gt;0,
IF(IFERROR(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"")="",
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""),
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"")),0),0)</f>
        <v>0</v>
      </c>
      <c r="BW24" s="80"/>
      <c r="BX24" s="80"/>
      <c r="BY24" s="88" t="e">
        <f t="array" aca="1" ref="BY24" ca="1">IF(AND(LEFT(CD22,2)="博多",
LEFT(INDIRECT("数出表_Excel!A"&amp;MATCH(CD22,数出表_Excel!$A:$A,0)-1),2)
=LEFT(INDIRECT("数出表_Excel!A"&amp;MATCH(CD22,数出表_Excel!$A:$A,0)+1),2)),100,
IF(AND(LEFT(CD22,3)="奈良屋",
LEFT(INDIRECT("数出表_Excel!A"&amp;MATCH(CD22,数出表_Excel!$A:$A,0)-1),2)
=LEFT(INDIRECT("数出表_Excel!A"&amp;MATCH(CD22,数出表_Excel!$A:$A,0)+1),2)),200,""))</f>
        <v>#N/A</v>
      </c>
      <c r="BZ24" s="189" t="str">
        <f ca="1">IF(BZ23&lt;&gt;"",
"園児","")</f>
        <v/>
      </c>
      <c r="CA24" s="190"/>
      <c r="CB24" s="193" t="str">
        <f ca="1">IF(BZ23&lt;&gt;"",
"先生","")</f>
        <v/>
      </c>
      <c r="CC24" s="190"/>
      <c r="CD24" s="101">
        <f t="array" aca="1" ref="CD24" ca="1">IF(BZ22&lt;&gt;"",
IF(IFERROR(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"")&lt;&gt;0,
IF(IFERROR(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"")="",
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""),
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"")),0),0)</f>
        <v>0</v>
      </c>
      <c r="CE24" s="80"/>
      <c r="CF24" s="88" t="e">
        <f t="array" aca="1" ref="CF24" ca="1">IF(AND(LEFT(CK22,2)="博多",
LEFT(INDIRECT("数出表_Excel!A"&amp;MATCH(CK22,数出表_Excel!$A:$A,0)-1),2)
=LEFT(INDIRECT("数出表_Excel!A"&amp;MATCH(CK22,数出表_Excel!$A:$A,0)+1),2)),100,
IF(AND(LEFT(CK22,3)="奈良屋",
LEFT(INDIRECT("数出表_Excel!A"&amp;MATCH(CK22,数出表_Excel!$A:$A,0)-1),2)
=LEFT(INDIRECT("数出表_Excel!A"&amp;MATCH(CK22,数出表_Excel!$A:$A,0)+1),2)),200,""))</f>
        <v>#N/A</v>
      </c>
      <c r="CG24" s="189" t="str">
        <f ca="1">IF(CG23&lt;&gt;"",
"園児","")</f>
        <v/>
      </c>
      <c r="CH24" s="190"/>
      <c r="CI24" s="193" t="str">
        <f ca="1">IF(CG23&lt;&gt;"",
"先生","")</f>
        <v/>
      </c>
      <c r="CJ24" s="190"/>
      <c r="CK24" s="101">
        <f t="array" aca="1" ref="CK24" ca="1">IF(CG22&lt;&gt;"",
IF(IFERROR(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"")&lt;&gt;0,
IF(IFERROR(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"")="",
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""),
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"")),0),0)</f>
        <v>0</v>
      </c>
      <c r="CL24" s="80"/>
      <c r="CM24" s="80"/>
      <c r="CN24" s="88" t="e">
        <f t="array" aca="1" ref="CN24" ca="1">IF(AND(LEFT(CS22,2)="博多",
LEFT(INDIRECT("数出表_Excel!A"&amp;MATCH(CS22,数出表_Excel!$A:$A,0)-1),2)
=LEFT(INDIRECT("数出表_Excel!A"&amp;MATCH(CS22,数出表_Excel!$A:$A,0)+1),2)),100,
IF(AND(LEFT(CS22,3)="奈良屋",
LEFT(INDIRECT("数出表_Excel!A"&amp;MATCH(CS22,数出表_Excel!$A:$A,0)-1),2)
=LEFT(INDIRECT("数出表_Excel!A"&amp;MATCH(CS22,数出表_Excel!$A:$A,0)+1),2)),200,""))</f>
        <v>#N/A</v>
      </c>
      <c r="CO24" s="189" t="str">
        <f ca="1">IF(CO23&lt;&gt;"",
"園児","")</f>
        <v/>
      </c>
      <c r="CP24" s="190"/>
      <c r="CQ24" s="193" t="str">
        <f ca="1">IF(CO23&lt;&gt;"",
"先生","")</f>
        <v/>
      </c>
      <c r="CR24" s="190"/>
      <c r="CS24" s="101">
        <f t="array" aca="1" ref="CS24" ca="1">IF(CO22&lt;&gt;"",
IF(IFERROR(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"")&lt;&gt;0,
IF(IFERROR(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"")="",
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""),
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"")),0),0)</f>
        <v>0</v>
      </c>
      <c r="CT24" s="80"/>
      <c r="CU24" s="88" t="e">
        <f t="array" aca="1" ref="CU24" ca="1">IF(AND(LEFT(CZ22,2)="博多",
LEFT(INDIRECT("数出表_Excel!A"&amp;MATCH(CZ22,数出表_Excel!$A:$A,0)-1),2)
=LEFT(INDIRECT("数出表_Excel!A"&amp;MATCH(CZ22,数出表_Excel!$A:$A,0)+1),2)),100,
IF(AND(LEFT(CZ22,3)="奈良屋",
LEFT(INDIRECT("数出表_Excel!A"&amp;MATCH(CZ22,数出表_Excel!$A:$A,0)-1),2)
=LEFT(INDIRECT("数出表_Excel!A"&amp;MATCH(CZ22,数出表_Excel!$A:$A,0)+1),2)),200,""))</f>
        <v>#N/A</v>
      </c>
      <c r="CV24" s="189" t="str">
        <f ca="1">IF(CV23&lt;&gt;"",
"園児","")</f>
        <v/>
      </c>
      <c r="CW24" s="190"/>
      <c r="CX24" s="193" t="str">
        <f ca="1">IF(CV23&lt;&gt;"",
"先生","")</f>
        <v/>
      </c>
      <c r="CY24" s="190"/>
      <c r="CZ24" s="101">
        <f t="array" aca="1" ref="CZ24" ca="1">IF(CV22&lt;&gt;"",
IF(IFERROR(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"")&lt;&gt;0,
IF(IFERROR(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"")="",
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""),
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"")),0),0)</f>
        <v>0</v>
      </c>
      <c r="DA24" s="80"/>
      <c r="DB24" s="80"/>
      <c r="DC24" s="88" t="e">
        <f t="array" aca="1" ref="DC24" ca="1">IF(AND(LEFT(DH22,2)="博多",
LEFT(INDIRECT("数出表_Excel!A"&amp;MATCH(DH22,数出表_Excel!$A:$A,0)-1),2)
=LEFT(INDIRECT("数出表_Excel!A"&amp;MATCH(DH22,数出表_Excel!$A:$A,0)+1),2)),100,
IF(AND(LEFT(DH22,3)="奈良屋",
LEFT(INDIRECT("数出表_Excel!A"&amp;MATCH(DH22,数出表_Excel!$A:$A,0)-1),2)
=LEFT(INDIRECT("数出表_Excel!A"&amp;MATCH(DH22,数出表_Excel!$A:$A,0)+1),2)),200,""))</f>
        <v>#N/A</v>
      </c>
      <c r="DD24" s="189" t="str">
        <f ca="1">IF(DD23&lt;&gt;"",
"園児","")</f>
        <v/>
      </c>
      <c r="DE24" s="190"/>
      <c r="DF24" s="193" t="str">
        <f ca="1">IF(DD23&lt;&gt;"",
"先生","")</f>
        <v/>
      </c>
      <c r="DG24" s="190"/>
      <c r="DH24" s="101">
        <f t="array" aca="1" ref="DH24" ca="1">IF(DD22&lt;&gt;"",
IF(IFERROR(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"")&lt;&gt;0,
IF(IFERROR(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"")="",
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""),
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"")),0),0)</f>
        <v>0</v>
      </c>
      <c r="DI24" s="80"/>
      <c r="DJ24" s="88" t="e">
        <f t="array" aca="1" ref="DJ24" ca="1">IF(AND(LEFT(DO22,2)="博多",
LEFT(INDIRECT("数出表_Excel!A"&amp;MATCH(DO22,数出表_Excel!$A:$A,0)-1),2)
=LEFT(INDIRECT("数出表_Excel!A"&amp;MATCH(DO22,数出表_Excel!$A:$A,0)+1),2)),100,
IF(AND(LEFT(DO22,3)="奈良屋",
LEFT(INDIRECT("数出表_Excel!A"&amp;MATCH(DO22,数出表_Excel!$A:$A,0)-1),2)
=LEFT(INDIRECT("数出表_Excel!A"&amp;MATCH(DO22,数出表_Excel!$A:$A,0)+1),2)),200,""))</f>
        <v>#N/A</v>
      </c>
      <c r="DK24" s="189" t="str">
        <f ca="1">IF(DK23&lt;&gt;"",
"園児","")</f>
        <v/>
      </c>
      <c r="DL24" s="190"/>
      <c r="DM24" s="193" t="str">
        <f ca="1">IF(DK23&lt;&gt;"",
"先生","")</f>
        <v/>
      </c>
      <c r="DN24" s="190"/>
      <c r="DO24" s="101">
        <f t="array" aca="1" ref="DO24" ca="1">IF(DK22&lt;&gt;"",
IF(IFERROR(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"")&lt;&gt;0,
IF(IFERROR(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"")="",
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""),
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"")),0),0)</f>
        <v>0</v>
      </c>
      <c r="DP24" s="80"/>
      <c r="DQ24" s="80"/>
      <c r="DR24" s="88" t="e">
        <f t="array" aca="1" ref="DR24" ca="1">IF(AND(LEFT(DW22,2)="博多",
LEFT(INDIRECT("数出表_Excel!A"&amp;MATCH(DW22,数出表_Excel!$A:$A,0)-1),2)
=LEFT(INDIRECT("数出表_Excel!A"&amp;MATCH(DW22,数出表_Excel!$A:$A,0)+1),2)),100,
IF(AND(LEFT(DW22,3)="奈良屋",
LEFT(INDIRECT("数出表_Excel!A"&amp;MATCH(DW22,数出表_Excel!$A:$A,0)-1),2)
=LEFT(INDIRECT("数出表_Excel!A"&amp;MATCH(DW22,数出表_Excel!$A:$A,0)+1),2)),200,""))</f>
        <v>#N/A</v>
      </c>
      <c r="DS24" s="189" t="str">
        <f ca="1">IF(DS23&lt;&gt;"",
"園児","")</f>
        <v/>
      </c>
      <c r="DT24" s="190"/>
      <c r="DU24" s="193" t="str">
        <f ca="1">IF(DS23&lt;&gt;"",
"先生","")</f>
        <v/>
      </c>
      <c r="DV24" s="190"/>
      <c r="DW24" s="101">
        <f t="array" aca="1" ref="DW24" ca="1">IF(DS22&lt;&gt;"",
IF(IFERROR(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"")&lt;&gt;0,
IF(IFERROR(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"")="",
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""),
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"")),0),0)</f>
        <v>0</v>
      </c>
      <c r="DX24" s="80"/>
      <c r="DY24" s="88" t="e">
        <f t="array" aca="1" ref="DY24" ca="1">IF(AND(LEFT(ED22,2)="博多",
LEFT(INDIRECT("数出表_Excel!A"&amp;MATCH(ED22,数出表_Excel!$A:$A,0)-1),2)
=LEFT(INDIRECT("数出表_Excel!A"&amp;MATCH(ED22,数出表_Excel!$A:$A,0)+1),2)),100,
IF(AND(LEFT(ED22,3)="奈良屋",
LEFT(INDIRECT("数出表_Excel!A"&amp;MATCH(ED22,数出表_Excel!$A:$A,0)-1),2)
=LEFT(INDIRECT("数出表_Excel!A"&amp;MATCH(ED22,数出表_Excel!$A:$A,0)+1),2)),200,""))</f>
        <v>#N/A</v>
      </c>
      <c r="DZ24" s="189" t="str">
        <f ca="1">IF(DZ23&lt;&gt;"",
"園児","")</f>
        <v/>
      </c>
      <c r="EA24" s="190"/>
      <c r="EB24" s="193" t="str">
        <f ca="1">IF(DZ23&lt;&gt;"",
"先生","")</f>
        <v/>
      </c>
      <c r="EC24" s="190"/>
      <c r="ED24" s="101">
        <f t="array" aca="1" ref="ED24" ca="1">IF(DZ22&lt;&gt;"",
IF(IFERROR(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"")&lt;&gt;0,
IF(IFERROR(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"")="",
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""),
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"")),0),0)</f>
        <v>0</v>
      </c>
      <c r="EE24" s="80"/>
      <c r="EF24" s="80"/>
      <c r="EG24" s="88" t="e">
        <f t="array" aca="1" ref="EG24" ca="1">IF(AND(LEFT(EL22,2)="博多",
LEFT(INDIRECT("数出表_Excel!A"&amp;MATCH(EL22,数出表_Excel!$A:$A,0)-1),2)
=LEFT(INDIRECT("数出表_Excel!A"&amp;MATCH(EL22,数出表_Excel!$A:$A,0)+1),2)),100,
IF(AND(LEFT(EL22,3)="奈良屋",
LEFT(INDIRECT("数出表_Excel!A"&amp;MATCH(EL22,数出表_Excel!$A:$A,0)-1),2)
=LEFT(INDIRECT("数出表_Excel!A"&amp;MATCH(EL22,数出表_Excel!$A:$A,0)+1),2)),200,""))</f>
        <v>#N/A</v>
      </c>
      <c r="EH24" s="189" t="str">
        <f ca="1">IF(EH23&lt;&gt;"",
"園児","")</f>
        <v/>
      </c>
      <c r="EI24" s="190"/>
      <c r="EJ24" s="193" t="str">
        <f ca="1">IF(EH23&lt;&gt;"",
"先生","")</f>
        <v/>
      </c>
      <c r="EK24" s="190"/>
      <c r="EL24" s="101">
        <f t="array" aca="1" ref="EL24" ca="1">IF(EH22&lt;&gt;"",
IF(IFERROR(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"")&lt;&gt;0,
IF(IFERROR(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"")="",
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""),
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"")),0),0)</f>
        <v>0</v>
      </c>
      <c r="EM24" s="80"/>
      <c r="EN24" s="88" t="e">
        <f t="array" aca="1" ref="EN24" ca="1">IF(AND(LEFT(ES22,2)="博多",
LEFT(INDIRECT("数出表_Excel!A"&amp;MATCH(ES22,数出表_Excel!$A:$A,0)-1),2)
=LEFT(INDIRECT("数出表_Excel!A"&amp;MATCH(ES22,数出表_Excel!$A:$A,0)+1),2)),100,
IF(AND(LEFT(ES22,3)="奈良屋",
LEFT(INDIRECT("数出表_Excel!A"&amp;MATCH(ES22,数出表_Excel!$A:$A,0)-1),2)
=LEFT(INDIRECT("数出表_Excel!A"&amp;MATCH(ES22,数出表_Excel!$A:$A,0)+1),2)),200,""))</f>
        <v>#N/A</v>
      </c>
      <c r="EO24" s="189" t="str">
        <f ca="1">IF(EO23&lt;&gt;"",
"園児","")</f>
        <v/>
      </c>
      <c r="EP24" s="190"/>
      <c r="EQ24" s="193" t="str">
        <f ca="1">IF(EO23&lt;&gt;"",
"先生","")</f>
        <v/>
      </c>
      <c r="ER24" s="190"/>
      <c r="ES24" s="101">
        <f t="array" aca="1" ref="ES24" ca="1">IF(EO22&lt;&gt;"",
IF(IFERROR(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"")&lt;&gt;0,
IF(IFERROR(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"")="",
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""),
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"")),0),0)</f>
        <v>0</v>
      </c>
      <c r="ET24" s="110"/>
      <c r="EU24" s="82">
        <f t="shared" si="1"/>
        <v>77</v>
      </c>
      <c r="EV24" s="82" t="str">
        <f t="array" aca="1" ref="EV24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LEN(SUBSTITUTE(_xlfn.FORMULATEXT(EV$3),"=","")))+$EU24)</f>
        <v/>
      </c>
      <c r="EW24" s="82" t="str">
        <f t="array" aca="1" ref="EW24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LEN(SUBSTITUTE(_xlfn.FORMULATEXT(EW$3),"=","")))+$EU24)</f>
        <v/>
      </c>
      <c r="EX24" s="82" t="str">
        <f t="array" aca="1" ref="EX24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LEN(SUBSTITUTE(_xlfn.FORMULATEXT(EX$3),"=","")))+$EU24)</f>
        <v/>
      </c>
      <c r="EY24" s="82" t="str">
        <f t="array" aca="1" ref="EY24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LEN(SUBSTITUTE(_xlfn.FORMULATEXT(EY$3),"=","")))+$EU24)</f>
        <v/>
      </c>
      <c r="EZ24" s="82" t="str">
        <f t="array" aca="1" ref="EZ24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LEN(SUBSTITUTE(_xlfn.FORMULATEXT(EZ$3),"=","")))+$EU24)</f>
        <v/>
      </c>
      <c r="FA24" s="82" t="str">
        <f t="array" aca="1" ref="FA24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LEN(SUBSTITUTE(_xlfn.FORMULATEXT(FA$3),"=","")))+$EU24)</f>
        <v/>
      </c>
      <c r="FB24" s="82" t="str">
        <f t="array" aca="1" ref="FB24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LEN(SUBSTITUTE(_xlfn.FORMULATEXT(FB$3),"=","")))+$EU24)</f>
        <v/>
      </c>
      <c r="FC24" s="82" t="str">
        <f t="array" aca="1" ref="FC24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LEN(SUBSTITUTE(_xlfn.FORMULATEXT(FC$3),"=","")))+$EU24)</f>
        <v/>
      </c>
      <c r="FD24" s="82" t="str">
        <f t="array" aca="1" ref="FD24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LEN(SUBSTITUTE(_xlfn.FORMULATEXT(FD$3),"=","")))+$EU24)</f>
        <v/>
      </c>
      <c r="FE24" s="82" t="str">
        <f t="array" aca="1" ref="FE24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LEN(SUBSTITUTE(_xlfn.FORMULATEXT(FE$3),"=","")))+$EU24)</f>
        <v/>
      </c>
      <c r="FF24" s="82" t="str">
        <f t="array" aca="1" ref="FF24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LEN(SUBSTITUTE(_xlfn.FORMULATEXT(FF$3),"=","")))+$EU24)</f>
        <v/>
      </c>
      <c r="FG24" s="82">
        <f t="shared" ca="1" si="0"/>
        <v>0</v>
      </c>
      <c r="FH24" s="82" t="b">
        <f t="array" aca="1" ref="FH24" ca="1">SUMPRODUCT((LEN(EV24:FF24)&gt;0)*1)&gt;0</f>
        <v>0</v>
      </c>
      <c r="FI24" s="82" t="str">
        <f t="array" aca="1" ref="FI24" ca="1">IFERROR(SMALL(IF(FG$1:FG$173&lt;&gt;0,FG$1:FG$173),ROW(A24)),"")</f>
        <v/>
      </c>
      <c r="FJ24" s="82" t="str">
        <f t="array" aca="1" ref="FJ24" ca="1">IF($FI24&lt;&gt;"",
INDIRECT(""&amp;IF(COLUMN(EV24)&lt;=26,CHAR(COLUMN(EV24)+64),CHAR(INT((COLUMN(EV24)-1)/26)+64)&amp;CHAR(MOD(COLUMN(EV24)-1,26)+65))&amp;$FI24&amp;""),"")</f>
        <v/>
      </c>
      <c r="FK24" s="82" t="str">
        <f t="array" aca="1" ref="FK24" ca="1">IF($FI24&lt;&gt;"",
INDIRECT(""&amp;IF(COLUMN(EW24)&lt;=26,CHAR(COLUMN(EW24)+64),CHAR(INT((COLUMN(EW24)-1)/26)+64)&amp;CHAR(MOD(COLUMN(EW24)-1,26)+65))&amp;$FI24&amp;""),"")</f>
        <v/>
      </c>
      <c r="FL24" s="82" t="str">
        <f t="array" aca="1" ref="FL24" ca="1">IF($FI24&lt;&gt;"",
INDIRECT(""&amp;IF(COLUMN(EX24)&lt;=26,CHAR(COLUMN(EX24)+64),CHAR(INT((COLUMN(EX24)-1)/26)+64)&amp;CHAR(MOD(COLUMN(EX24)-1,26)+65))&amp;$FI24&amp;""),"")</f>
        <v/>
      </c>
      <c r="FM24" s="82" t="str">
        <f t="array" aca="1" ref="FM24" ca="1">IF($FI24&lt;&gt;"",
IF(FL24="",
IF(INDIRECT("EY"&amp;$FI24&amp;"")&lt;&gt;"",
INDIRECT("EY"&amp;$FI24&amp;"")&amp;"箱"
&amp;INDIRECT("EZ"&amp;$FI24&amp;""),""),""),"")</f>
        <v/>
      </c>
      <c r="FN24" s="82" t="str">
        <f t="array" aca="1" ref="FN24" ca="1">IF($FI24&lt;&gt;"",
INDIRECT(""&amp;IF(COLUMN(FA24)&lt;=26,CHAR(COLUMN(FA24)+64),CHAR(INT((COLUMN(FA24)-1)/26)+64)&amp;CHAR(MOD(COLUMN(FA24)-1,26)+65))&amp;$FI24&amp;""),"")</f>
        <v/>
      </c>
      <c r="FO24" s="82" t="str">
        <f t="array" aca="1" ref="FO24" ca="1">IF($FI24&lt;&gt;"",
INDIRECT(""&amp;IF(COLUMN(FB24)&lt;=26,CHAR(COLUMN(FB24)+64),CHAR(INT((COLUMN(FB24)-1)/26)+64)&amp;CHAR(MOD(COLUMN(FB24)-1,26)+65))&amp;$FI24&amp;""),"")</f>
        <v/>
      </c>
      <c r="FP24" s="82" t="str">
        <f t="array" aca="1" ref="FP24" ca="1">IF($FI24&lt;&gt;"",
INDIRECT(""&amp;IF(COLUMN(FC24)&lt;=26,CHAR(COLUMN(FC24)+64),CHAR(INT((COLUMN(FC24)-1)/26)+64)&amp;CHAR(MOD(COLUMN(FC24)-1,26)+65))&amp;$FI24&amp;""),"")</f>
        <v/>
      </c>
      <c r="FQ24" s="82" t="str">
        <f t="array" aca="1" ref="FQ24" ca="1">IF($FI24&lt;&gt;"",
INDIRECT(""&amp;IF(COLUMN(FD24)&lt;=26,CHAR(COLUMN(FD24)+64),CHAR(INT((COLUMN(FD24)-1)/26)+64)&amp;CHAR(MOD(COLUMN(FD24)-1,26)+65))&amp;$FI24&amp;""),"")</f>
        <v/>
      </c>
      <c r="FR24" s="82" t="str">
        <f t="array" aca="1" ref="FR24" ca="1">IF($FI24&lt;&gt;"",
INDIRECT(""&amp;IF(COLUMN(FE24)&lt;=26,CHAR(COLUMN(FE24)+64),CHAR(INT((COLUMN(FE24)-1)/26)+64)&amp;CHAR(MOD(COLUMN(FE24)-1,26)+65))&amp;$FI24&amp;""),"")</f>
        <v/>
      </c>
      <c r="FS24" s="82" t="str">
        <f t="array" aca="1" ref="FS24" ca="1">IF($FI24&lt;&gt;"",
INDIRECT(""&amp;IF(COLUMN(FF24)&lt;=26,CHAR(COLUMN(FF24)+64),CHAR(INT((COLUMN(FF24)-1)/26)+64)&amp;CHAR(MOD(COLUMN(FF24)-1,26)+65))&amp;$FI24&amp;""),"")</f>
        <v/>
      </c>
    </row>
    <row r="25" spans="1:175" ht="18" customHeight="1" x14ac:dyDescent="0.45">
      <c r="B25" s="90"/>
      <c r="C25" s="185" t="e">
        <f t="array" aca="1" ref="C25" ca="1">IF(AND(N15="社食",G22="社食"),"",
IF(C23&lt;&gt;"",
IF(IFERROR(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"")=0,"",
IF(B24=100,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IF(AND(B24=200,COUNTIF(数出表_Excel!$A:$A,"*奈良屋*")=2),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IF(AND(B24=200,COUNTIF(数出表_Excel!$A:$A,"*奈良屋*")=3),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
+IFERROR(
INDEX(INDIRECT("数出表_Excel!B"&amp;MATCH(G22,数出表_Excel!$A:$A,0)-1+4&amp;":U"&amp;MATCH(G22,数出表_Excel!$A:$A,0)-1+4&amp;""),
 1,
 MATCH(TRUE, ISNUMBER(--INDIRECT("数出表_Excel!B"&amp;MATCH(G22,数出表_Excel!$A:$A,0)-1+4&amp;":U"&amp;MATCH(G22,数出表_Excel!$A:$A,0)-1+4&amp;"")), 0)),
 ""),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""))))),"")+B25)</f>
        <v>#VALUE!</v>
      </c>
      <c r="D25" s="186"/>
      <c r="E25" s="188" t="str">
        <f t="array" aca="1" ref="E25" ca="1">IF(AND(G22="社食",N22="社食"),"",
IF(C23&lt;&gt;"",
IF(IFERROR(
INDEX(INDIRECT("数出表_Excel!B"&amp;MATCH(G22,数出表_Excel!$A:$A,0)&amp;":U"&amp;MATCH(G22,数出表_Excel!$A:$A,0)&amp;""),
 1,B23-1),
 "")=0,"",
IFERROR(
INDEX(INDIRECT("数出表_Excel!B"&amp;MATCH(G22,数出表_Excel!$A:$A,0)&amp;":U"&amp;MATCH(G22,数出表_Excel!$A:$A,0)&amp;""),
 1,B23-1),
 "")),""))</f>
        <v/>
      </c>
      <c r="F25" s="186"/>
      <c r="G25" s="101" t="e">
        <f t="array" aca="1" ref="G25" ca="1">IF(B24=100,
IF(C22&lt;&gt;"",
IF(IFERROR(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0)&lt;&gt;0,
IF(IFERROR(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0)="",
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0),
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0)),0),""),0)</f>
        <v>#N/A</v>
      </c>
      <c r="I25" s="90"/>
      <c r="J25" s="185" t="e">
        <f t="array" aca="1" ref="J25" ca="1">IF(AND(G22="社食",N22="社食"),"",
IF(J23&lt;&gt;"",
IF(IFERROR(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"")=0,"",
IF(I24=100,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IF(AND(I24=200,COUNTIF(数出表_Excel!$A:$A,"*奈良屋*")=2),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IF(AND(I24=200,COUNTIF(数出表_Excel!$A:$A,"*奈良屋*")=3),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
+IFERROR(
INDEX(INDIRECT("数出表_Excel!B"&amp;MATCH(N22,数出表_Excel!$A:$A,0)-1+4&amp;":U"&amp;MATCH(N22,数出表_Excel!$A:$A,0)-1+4&amp;""),
 1,
 MATCH(TRUE, ISNUMBER(--INDIRECT("数出表_Excel!B"&amp;MATCH(N22,数出表_Excel!$A:$A,0)-1+4&amp;":U"&amp;MATCH(N22,数出表_Excel!$A:$A,0)-1+4&amp;"")), 0)),
 ""),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""))))),"")+I25)</f>
        <v>#VALUE!</v>
      </c>
      <c r="K25" s="186"/>
      <c r="L25" s="188" t="str">
        <f t="array" aca="1" ref="L25" ca="1">IF(AND(N22="社食",G29="社食"),"",
IF(J23&lt;&gt;"",
IF(IFERROR(
INDEX(INDIRECT("数出表_Excel!B"&amp;MATCH(N22,数出表_Excel!$A:$A,0)&amp;":U"&amp;MATCH(N22,数出表_Excel!$A:$A,0)&amp;""),
 1,I23-1),
 "")=0,"",
IFERROR(
INDEX(INDIRECT("数出表_Excel!B"&amp;MATCH(N22,数出表_Excel!$A:$A,0)&amp;":U"&amp;MATCH(N22,数出表_Excel!$A:$A,0)&amp;""),
 1,I23-1),
 "")),""))</f>
        <v/>
      </c>
      <c r="M25" s="186"/>
      <c r="N25" s="101" t="e">
        <f t="array" aca="1" ref="N25" ca="1">IF(I24=100,
IF(J22&lt;&gt;"",
IF(IFERROR(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0)&lt;&gt;0,
IF(IFERROR(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0)="",
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0),
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0)),0),""),0)</f>
        <v>#N/A</v>
      </c>
      <c r="Q25" s="90"/>
      <c r="R25" s="185" t="e">
        <f t="array" aca="1" ref="R25" ca="1">IF(AND(AC15="社食",V22="社食"),"",
IF(R23&lt;&gt;"",
IF(IFERROR(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"")=0,"",
IF(Q24=100,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IF(AND(Q24=200,COUNTIF(数出表_Excel!$A:$A,"*奈良屋*")=2),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IF(AND(Q24=200,COUNTIF(数出表_Excel!$A:$A,"*奈良屋*")=3),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
+IFERROR(
INDEX(INDIRECT("数出表_Excel!B"&amp;MATCH(V22,数出表_Excel!$A:$A,0)-1+4&amp;":U"&amp;MATCH(V22,数出表_Excel!$A:$A,0)-1+4&amp;""),
 1,
 MATCH(TRUE, ISNUMBER(--INDIRECT("数出表_Excel!B"&amp;MATCH(V22,数出表_Excel!$A:$A,0)-1+4&amp;":U"&amp;MATCH(V22,数出表_Excel!$A:$A,0)-1+4&amp;"")), 0)),
 ""),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""))))),"")+Q25)</f>
        <v>#VALUE!</v>
      </c>
      <c r="S25" s="186"/>
      <c r="T25" s="188" t="str">
        <f t="array" aca="1" ref="T25" ca="1">IF(AND(V22="社食",AC22="社食"),"",
IF(R23&lt;&gt;"",
IF(IFERROR(
INDEX(INDIRECT("数出表_Excel!B"&amp;MATCH(V22,数出表_Excel!$A:$A,0)&amp;":U"&amp;MATCH(V22,数出表_Excel!$A:$A,0)&amp;""),
 1,Q23-1),
 "")=0,"",
IFERROR(
INDEX(INDIRECT("数出表_Excel!B"&amp;MATCH(V22,数出表_Excel!$A:$A,0)&amp;":U"&amp;MATCH(V22,数出表_Excel!$A:$A,0)&amp;""),
 1,Q23-1),
 "")),""))</f>
        <v/>
      </c>
      <c r="U25" s="186"/>
      <c r="V25" s="101" t="e">
        <f t="array" aca="1" ref="V25" ca="1">IF(Q24=100,
IF(R22&lt;&gt;"",
IF(IFERROR(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0)&lt;&gt;0,
IF(IFERROR(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0)="",
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0),
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0)),0),""),0)</f>
        <v>#N/A</v>
      </c>
      <c r="X25" s="90"/>
      <c r="Y25" s="185" t="e">
        <f t="array" aca="1" ref="Y25" ca="1">IF(AND(V22="社食",AC22="社食"),"",
IF(Y23&lt;&gt;"",
IF(IFERROR(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"")=0,"",
IF(X24=100,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IF(AND(X24=200,COUNTIF(数出表_Excel!$A:$A,"*奈良屋*")=2),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IF(AND(X24=200,COUNTIF(数出表_Excel!$A:$A,"*奈良屋*")=3),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
+IFERROR(
INDEX(INDIRECT("数出表_Excel!B"&amp;MATCH(AC22,数出表_Excel!$A:$A,0)-1+4&amp;":U"&amp;MATCH(AC22,数出表_Excel!$A:$A,0)-1+4&amp;""),
 1,
 MATCH(TRUE, ISNUMBER(--INDIRECT("数出表_Excel!B"&amp;MATCH(AC22,数出表_Excel!$A:$A,0)-1+4&amp;":U"&amp;MATCH(AC22,数出表_Excel!$A:$A,0)-1+4&amp;"")), 0)),
 ""),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""))))),"")+X25)</f>
        <v>#VALUE!</v>
      </c>
      <c r="Z25" s="186"/>
      <c r="AA25" s="188" t="str">
        <f t="array" aca="1" ref="AA25" ca="1">IF(AND(AC22="社食",V29="社食"),"",
IF(Y23&lt;&gt;"",
IF(IFERROR(
INDEX(INDIRECT("数出表_Excel!B"&amp;MATCH(AC22,数出表_Excel!$A:$A,0)&amp;":U"&amp;MATCH(AC22,数出表_Excel!$A:$A,0)&amp;""),
 1,X23-1),
 "")=0,"",
IFERROR(
INDEX(INDIRECT("数出表_Excel!B"&amp;MATCH(AC22,数出表_Excel!$A:$A,0)&amp;":U"&amp;MATCH(AC22,数出表_Excel!$A:$A,0)&amp;""),
 1,X23-1),
 "")),""))</f>
        <v/>
      </c>
      <c r="AB25" s="186"/>
      <c r="AC25" s="101" t="e">
        <f t="array" aca="1" ref="AC25" ca="1">IF(X24=100,
IF(Y22&lt;&gt;"",
IF(IFERROR(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0)&lt;&gt;0,
IF(IFERROR(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0)="",
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0),
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0)),0),""),0)</f>
        <v>#N/A</v>
      </c>
      <c r="AF25" s="90"/>
      <c r="AG25" s="185" t="e">
        <f t="array" aca="1" ref="AG25" ca="1">IF(AND(AR15="社食",AK22="社食"),"",
IF(AG23&lt;&gt;"",
IF(IFERROR(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"")=0,"",
IF(AF24=100,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IF(AND(AF24=200,COUNTIF(数出表_Excel!$A:$A,"*奈良屋*")=2),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IF(AND(AF24=200,COUNTIF(数出表_Excel!$A:$A,"*奈良屋*")=3),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
+IFERROR(
INDEX(INDIRECT("数出表_Excel!B"&amp;MATCH(AK22,数出表_Excel!$A:$A,0)-1+4&amp;":U"&amp;MATCH(AK22,数出表_Excel!$A:$A,0)-1+4&amp;""),
 1,
 MATCH(TRUE, ISNUMBER(--INDIRECT("数出表_Excel!B"&amp;MATCH(AK22,数出表_Excel!$A:$A,0)-1+4&amp;":U"&amp;MATCH(AK22,数出表_Excel!$A:$A,0)-1+4&amp;"")), 0)),
 ""),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""))))),"")+AF25)</f>
        <v>#VALUE!</v>
      </c>
      <c r="AH25" s="186"/>
      <c r="AI25" s="188" t="str">
        <f t="array" aca="1" ref="AI25" ca="1">IF(AND(AK22="社食",AR22="社食"),"",
IF(AG23&lt;&gt;"",
IF(IFERROR(
INDEX(INDIRECT("数出表_Excel!B"&amp;MATCH(AK22,数出表_Excel!$A:$A,0)&amp;":U"&amp;MATCH(AK22,数出表_Excel!$A:$A,0)&amp;""),
 1,AF23-1),
 "")=0,"",
IFERROR(
INDEX(INDIRECT("数出表_Excel!B"&amp;MATCH(AK22,数出表_Excel!$A:$A,0)&amp;":U"&amp;MATCH(AK22,数出表_Excel!$A:$A,0)&amp;""),
 1,AF23-1),
 "")),""))</f>
        <v/>
      </c>
      <c r="AJ25" s="186"/>
      <c r="AK25" s="101" t="e">
        <f t="array" aca="1" ref="AK25" ca="1">IF(AF24=100,
IF(AG22&lt;&gt;"",
IF(IFERROR(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0)&lt;&gt;0,
IF(IFERROR(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0)="",
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0),
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0)),0),""),0)</f>
        <v>#N/A</v>
      </c>
      <c r="AM25" s="90"/>
      <c r="AN25" s="185" t="e">
        <f t="array" aca="1" ref="AN25" ca="1">IF(AND(AK22="社食",AR22="社食"),"",
IF(AN23&lt;&gt;"",
IF(IFERROR(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"")=0,"",
IF(AM24=100,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IF(AND(AM24=200,COUNTIF(数出表_Excel!$A:$A,"*奈良屋*")=2),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IF(AND(AM24=200,COUNTIF(数出表_Excel!$A:$A,"*奈良屋*")=3),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
+IFERROR(
INDEX(INDIRECT("数出表_Excel!B"&amp;MATCH(AR22,数出表_Excel!$A:$A,0)-1+4&amp;":U"&amp;MATCH(AR22,数出表_Excel!$A:$A,0)-1+4&amp;""),
 1,
 MATCH(TRUE, ISNUMBER(--INDIRECT("数出表_Excel!B"&amp;MATCH(AR22,数出表_Excel!$A:$A,0)-1+4&amp;":U"&amp;MATCH(AR22,数出表_Excel!$A:$A,0)-1+4&amp;"")), 0)),
 ""),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""))))),"")+AM25)</f>
        <v>#VALUE!</v>
      </c>
      <c r="AO25" s="186"/>
      <c r="AP25" s="188" t="str">
        <f t="array" aca="1" ref="AP25" ca="1">IF(AND(AR22="社食",AK29="社食"),"",
IF(AN23&lt;&gt;"",
IF(IFERROR(
INDEX(INDIRECT("数出表_Excel!B"&amp;MATCH(AR22,数出表_Excel!$A:$A,0)&amp;":U"&amp;MATCH(AR22,数出表_Excel!$A:$A,0)&amp;""),
 1,AM23-1),
 "")=0,"",
IFERROR(
INDEX(INDIRECT("数出表_Excel!B"&amp;MATCH(AR22,数出表_Excel!$A:$A,0)&amp;":U"&amp;MATCH(AR22,数出表_Excel!$A:$A,0)&amp;""),
 1,AM23-1),
 "")),""))</f>
        <v/>
      </c>
      <c r="AQ25" s="186"/>
      <c r="AR25" s="101" t="e">
        <f t="array" aca="1" ref="AR25" ca="1">IF(AM24=100,
IF(AN22&lt;&gt;"",
IF(IFERROR(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0)&lt;&gt;0,
IF(IFERROR(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0)="",
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0),
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0)),0),""),0)</f>
        <v>#N/A</v>
      </c>
      <c r="AU25" s="90"/>
      <c r="AV25" s="185" t="e">
        <f t="array" aca="1" ref="AV25" ca="1">IF(AND(BG15="社食",AZ22="社食"),"",
IF(AV23&lt;&gt;"",
IF(IFERROR(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"")=0,"",
IF(AU24=100,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IF(AND(AU24=200,COUNTIF(数出表_Excel!$A:$A,"*奈良屋*")=2),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IF(AND(AU24=200,COUNTIF(数出表_Excel!$A:$A,"*奈良屋*")=3),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
+IFERROR(
INDEX(INDIRECT("数出表_Excel!B"&amp;MATCH(AZ22,数出表_Excel!$A:$A,0)-1+4&amp;":U"&amp;MATCH(AZ22,数出表_Excel!$A:$A,0)-1+4&amp;""),
 1,
 MATCH(TRUE, ISNUMBER(--INDIRECT("数出表_Excel!B"&amp;MATCH(AZ22,数出表_Excel!$A:$A,0)-1+4&amp;":U"&amp;MATCH(AZ22,数出表_Excel!$A:$A,0)-1+4&amp;"")), 0)),
 ""),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""))))),"")+AU25)</f>
        <v>#VALUE!</v>
      </c>
      <c r="AW25" s="186"/>
      <c r="AX25" s="188" t="str">
        <f t="array" aca="1" ref="AX25" ca="1">IF(AND(AZ22="社食",BG22="社食"),"",
IF(AV23&lt;&gt;"",
IF(IFERROR(
INDEX(INDIRECT("数出表_Excel!B"&amp;MATCH(AZ22,数出表_Excel!$A:$A,0)&amp;":U"&amp;MATCH(AZ22,数出表_Excel!$A:$A,0)&amp;""),
 1,AU23-1),
 "")=0,"",
IFERROR(
INDEX(INDIRECT("数出表_Excel!B"&amp;MATCH(AZ22,数出表_Excel!$A:$A,0)&amp;":U"&amp;MATCH(AZ22,数出表_Excel!$A:$A,0)&amp;""),
 1,AU23-1),
 "")),""))</f>
        <v/>
      </c>
      <c r="AY25" s="186"/>
      <c r="AZ25" s="101" t="e">
        <f t="array" aca="1" ref="AZ25" ca="1">IF(AU24=100,
IF(AV22&lt;&gt;"",
IF(IFERROR(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0)&lt;&gt;0,
IF(IFERROR(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0)="",
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0),
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0)),0),""),0)</f>
        <v>#N/A</v>
      </c>
      <c r="BB25" s="90"/>
      <c r="BC25" s="185" t="e">
        <f t="array" aca="1" ref="BC25" ca="1">IF(AND(AZ22="社食",BG22="社食"),"",
IF(BC23&lt;&gt;"",
IF(IFERROR(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"")=0,"",
IF(BB24=100,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IF(AND(BB24=200,COUNTIF(数出表_Excel!$A:$A,"*奈良屋*")=2),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IF(AND(BB24=200,COUNTIF(数出表_Excel!$A:$A,"*奈良屋*")=3),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
+IFERROR(
INDEX(INDIRECT("数出表_Excel!B"&amp;MATCH(BG22,数出表_Excel!$A:$A,0)-1+4&amp;":U"&amp;MATCH(BG22,数出表_Excel!$A:$A,0)-1+4&amp;""),
 1,
 MATCH(TRUE, ISNUMBER(--INDIRECT("数出表_Excel!B"&amp;MATCH(BG22,数出表_Excel!$A:$A,0)-1+4&amp;":U"&amp;MATCH(BG22,数出表_Excel!$A:$A,0)-1+4&amp;"")), 0)),
 ""),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""))))),"")+BB25)</f>
        <v>#VALUE!</v>
      </c>
      <c r="BD25" s="186"/>
      <c r="BE25" s="188" t="str">
        <f t="array" aca="1" ref="BE25" ca="1">IF(AND(BG22="社食",AZ29="社食"),"",
IF(BC23&lt;&gt;"",
IF(IFERROR(
INDEX(INDIRECT("数出表_Excel!B"&amp;MATCH(BG22,数出表_Excel!$A:$A,0)&amp;":U"&amp;MATCH(BG22,数出表_Excel!$A:$A,0)&amp;""),
 1,BB23-1),
 "")=0,"",
IFERROR(
INDEX(INDIRECT("数出表_Excel!B"&amp;MATCH(BG22,数出表_Excel!$A:$A,0)&amp;":U"&amp;MATCH(BG22,数出表_Excel!$A:$A,0)&amp;""),
 1,BB23-1),
 "")),""))</f>
        <v/>
      </c>
      <c r="BF25" s="186"/>
      <c r="BG25" s="101" t="e">
        <f t="array" aca="1" ref="BG25" ca="1">IF(BB24=100,
IF(BC22&lt;&gt;"",
IF(IFERROR(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0)&lt;&gt;0,
IF(IFERROR(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0)="",
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0),
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0)),0),""),0)</f>
        <v>#N/A</v>
      </c>
      <c r="BJ25" s="90"/>
      <c r="BK25" s="185" t="e">
        <f t="array" aca="1" ref="BK25" ca="1">IF(AND(BV15="社食",BO22="社食"),"",
IF(BK23&lt;&gt;"",
IF(IFERROR(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"")=0,"",
IF(BJ24=100,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IF(AND(BJ24=200,COUNTIF(数出表_Excel!$A:$A,"*奈良屋*")=2),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IF(AND(BJ24=200,COUNTIF(数出表_Excel!$A:$A,"*奈良屋*")=3),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
+IFERROR(
INDEX(INDIRECT("数出表_Excel!B"&amp;MATCH(BO22,数出表_Excel!$A:$A,0)-1+4&amp;":U"&amp;MATCH(BO22,数出表_Excel!$A:$A,0)-1+4&amp;""),
 1,
 MATCH(TRUE, ISNUMBER(--INDIRECT("数出表_Excel!B"&amp;MATCH(BO22,数出表_Excel!$A:$A,0)-1+4&amp;":U"&amp;MATCH(BO22,数出表_Excel!$A:$A,0)-1+4&amp;"")), 0)),
 ""),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""))))),"")+BJ25)</f>
        <v>#VALUE!</v>
      </c>
      <c r="BL25" s="186"/>
      <c r="BM25" s="188" t="str">
        <f t="array" aca="1" ref="BM25" ca="1">IF(AND(BO22="社食",BV22="社食"),"",
IF(BK23&lt;&gt;"",
IF(IFERROR(
INDEX(INDIRECT("数出表_Excel!B"&amp;MATCH(BO22,数出表_Excel!$A:$A,0)&amp;":U"&amp;MATCH(BO22,数出表_Excel!$A:$A,0)&amp;""),
 1,BJ23-1),
 "")=0,"",
IFERROR(
INDEX(INDIRECT("数出表_Excel!B"&amp;MATCH(BO22,数出表_Excel!$A:$A,0)&amp;":U"&amp;MATCH(BO22,数出表_Excel!$A:$A,0)&amp;""),
 1,BJ23-1),
 "")),""))</f>
        <v/>
      </c>
      <c r="BN25" s="186"/>
      <c r="BO25" s="101" t="e">
        <f t="array" aca="1" ref="BO25" ca="1">IF(BJ24=100,
IF(BK22&lt;&gt;"",
IF(IFERROR(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0)&lt;&gt;0,
IF(IFERROR(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0)="",
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0),
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0)),0),""),0)</f>
        <v>#N/A</v>
      </c>
      <c r="BQ25" s="90"/>
      <c r="BR25" s="185" t="e">
        <f t="array" aca="1" ref="BR25" ca="1">IF(AND(BO22="社食",BV22="社食"),"",
IF(BR23&lt;&gt;"",
IF(IFERROR(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"")=0,"",
IF(BQ24=100,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IF(AND(BQ24=200,COUNTIF(数出表_Excel!$A:$A,"*奈良屋*")=2),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IF(AND(BQ24=200,COUNTIF(数出表_Excel!$A:$A,"*奈良屋*")=3),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
+IFERROR(
INDEX(INDIRECT("数出表_Excel!B"&amp;MATCH(BV22,数出表_Excel!$A:$A,0)-1+4&amp;":U"&amp;MATCH(BV22,数出表_Excel!$A:$A,0)-1+4&amp;""),
 1,
 MATCH(TRUE, ISNUMBER(--INDIRECT("数出表_Excel!B"&amp;MATCH(BV22,数出表_Excel!$A:$A,0)-1+4&amp;":U"&amp;MATCH(BV22,数出表_Excel!$A:$A,0)-1+4&amp;"")), 0)),
 ""),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""))))),"")+BQ25)</f>
        <v>#VALUE!</v>
      </c>
      <c r="BS25" s="186"/>
      <c r="BT25" s="188" t="str">
        <f t="array" aca="1" ref="BT25" ca="1">IF(AND(BV22="社食",BO29="社食"),"",
IF(BR23&lt;&gt;"",
IF(IFERROR(
INDEX(INDIRECT("数出表_Excel!B"&amp;MATCH(BV22,数出表_Excel!$A:$A,0)&amp;":U"&amp;MATCH(BV22,数出表_Excel!$A:$A,0)&amp;""),
 1,BQ23-1),
 "")=0,"",
IFERROR(
INDEX(INDIRECT("数出表_Excel!B"&amp;MATCH(BV22,数出表_Excel!$A:$A,0)&amp;":U"&amp;MATCH(BV22,数出表_Excel!$A:$A,0)&amp;""),
 1,BQ23-1),
 "")),""))</f>
        <v/>
      </c>
      <c r="BU25" s="186"/>
      <c r="BV25" s="101" t="e">
        <f t="array" aca="1" ref="BV25" ca="1">IF(BQ24=100,
IF(BR22&lt;&gt;"",
IF(IFERROR(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0)&lt;&gt;0,
IF(IFERROR(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0)="",
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0),
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0)),0),""),0)</f>
        <v>#N/A</v>
      </c>
      <c r="BY25" s="90"/>
      <c r="BZ25" s="185" t="e">
        <f t="array" aca="1" ref="BZ25" ca="1">IF(AND(CK15="社食",CD22="社食"),"",
IF(BZ23&lt;&gt;"",
IF(IFERROR(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"")=0,"",
IF(BY24=100,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""),
IF(AND(BY24=200,COUNTIF(数出表_Excel!$A:$A,"*奈良屋*")=2),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""),
IF(AND(BY24=200,COUNTIF(数出表_Excel!$A:$A,"*奈良屋*")=3),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
+IFERROR(
INDEX(INDIRECT("数出表_Excel!B"&amp;MATCH(CD22,数出表_Excel!$A:$A,0)-1+4&amp;":U"&amp;MATCH(CD22,数出表_Excel!$A:$A,0)-1+4&amp;""),
 1,
 MATCH(TRUE, ISNUMBER(--INDIRECT("数出表_Excel!B"&amp;MATCH(CD22,数出表_Excel!$A:$A,0)-1+4&amp;":U"&amp;MATCH(CD22,数出表_Excel!$A:$A,0)-1+4&amp;"")), 0)),
 ""),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""))))),"")+BY25)</f>
        <v>#VALUE!</v>
      </c>
      <c r="CA25" s="186"/>
      <c r="CB25" s="188" t="str">
        <f t="array" aca="1" ref="CB25" ca="1">IF(AND(CD22="社食",CK22="社食"),"",
IF(BZ23&lt;&gt;"",
IF(IFERROR(
INDEX(INDIRECT("数出表_Excel!B"&amp;MATCH(CD22,数出表_Excel!$A:$A,0)&amp;":U"&amp;MATCH(CD22,数出表_Excel!$A:$A,0)&amp;""),
 1,BY23-1),
 "")=0,"",
IFERROR(
INDEX(INDIRECT("数出表_Excel!B"&amp;MATCH(CD22,数出表_Excel!$A:$A,0)&amp;":U"&amp;MATCH(CD22,数出表_Excel!$A:$A,0)&amp;""),
 1,BY23-1),
 "")),""))</f>
        <v/>
      </c>
      <c r="CC25" s="186"/>
      <c r="CD25" s="101" t="e">
        <f t="array" aca="1" ref="CD25" ca="1">IF(BY24=100,
IF(BZ22&lt;&gt;"",
IF(IFERROR(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0)&lt;&gt;0,
IF(IFERROR(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0)="",
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0),
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0)),0),""),0)</f>
        <v>#N/A</v>
      </c>
      <c r="CF25" s="90"/>
      <c r="CG25" s="185" t="e">
        <f t="array" aca="1" ref="CG25" ca="1">IF(AND(CD22="社食",CK22="社食"),"",
IF(CG23&lt;&gt;"",
IF(IFERROR(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"")=0,"",
IF(CF24=100,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""),
IF(AND(CF24=200,COUNTIF(数出表_Excel!$A:$A,"*奈良屋*")=2),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""),
IF(AND(CF24=200,COUNTIF(数出表_Excel!$A:$A,"*奈良屋*")=3),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
+IFERROR(
INDEX(INDIRECT("数出表_Excel!B"&amp;MATCH(CK22,数出表_Excel!$A:$A,0)-1+4&amp;":U"&amp;MATCH(CK22,数出表_Excel!$A:$A,0)-1+4&amp;""),
 1,
 MATCH(TRUE, ISNUMBER(--INDIRECT("数出表_Excel!B"&amp;MATCH(CK22,数出表_Excel!$A:$A,0)-1+4&amp;":U"&amp;MATCH(CK22,数出表_Excel!$A:$A,0)-1+4&amp;"")), 0)),
 ""),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""))))),"")+CF25)</f>
        <v>#VALUE!</v>
      </c>
      <c r="CH25" s="186"/>
      <c r="CI25" s="188" t="str">
        <f t="array" aca="1" ref="CI25" ca="1">IF(AND(CK22="社食",CD29="社食"),"",
IF(CG23&lt;&gt;"",
IF(IFERROR(
INDEX(INDIRECT("数出表_Excel!B"&amp;MATCH(CK22,数出表_Excel!$A:$A,0)&amp;":U"&amp;MATCH(CK22,数出表_Excel!$A:$A,0)&amp;""),
 1,CF23-1),
 "")=0,"",
IFERROR(
INDEX(INDIRECT("数出表_Excel!B"&amp;MATCH(CK22,数出表_Excel!$A:$A,0)&amp;":U"&amp;MATCH(CK22,数出表_Excel!$A:$A,0)&amp;""),
 1,CF23-1),
 "")),""))</f>
        <v/>
      </c>
      <c r="CJ25" s="186"/>
      <c r="CK25" s="101" t="e">
        <f t="array" aca="1" ref="CK25" ca="1">IF(CF24=100,
IF(CG22&lt;&gt;"",
IF(IFERROR(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0)&lt;&gt;0,
IF(IFERROR(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0)="",
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0),
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0)),0),""),0)</f>
        <v>#N/A</v>
      </c>
      <c r="CN25" s="90"/>
      <c r="CO25" s="185" t="e">
        <f t="array" aca="1" ref="CO25" ca="1">IF(AND(CZ15="社食",CS22="社食"),"",
IF(CO23&lt;&gt;"",
IF(IFERROR(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"")=0,"",
IF(CN24=100,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""),
IF(AND(CN24=200,COUNTIF(数出表_Excel!$A:$A,"*奈良屋*")=2),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""),
IF(AND(CN24=200,COUNTIF(数出表_Excel!$A:$A,"*奈良屋*")=3),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
+IFERROR(
INDEX(INDIRECT("数出表_Excel!B"&amp;MATCH(CS22,数出表_Excel!$A:$A,0)-1+4&amp;":U"&amp;MATCH(CS22,数出表_Excel!$A:$A,0)-1+4&amp;""),
 1,
 MATCH(TRUE, ISNUMBER(--INDIRECT("数出表_Excel!B"&amp;MATCH(CS22,数出表_Excel!$A:$A,0)-1+4&amp;":U"&amp;MATCH(CS22,数出表_Excel!$A:$A,0)-1+4&amp;"")), 0)),
 ""),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""))))),"")+CN25)</f>
        <v>#VALUE!</v>
      </c>
      <c r="CP25" s="186"/>
      <c r="CQ25" s="188" t="str">
        <f t="array" aca="1" ref="CQ25" ca="1">IF(AND(CS22="社食",CZ22="社食"),"",
IF(CO23&lt;&gt;"",
IF(IFERROR(
INDEX(INDIRECT("数出表_Excel!B"&amp;MATCH(CS22,数出表_Excel!$A:$A,0)&amp;":U"&amp;MATCH(CS22,数出表_Excel!$A:$A,0)&amp;""),
 1,CN23-1),
 "")=0,"",
IFERROR(
INDEX(INDIRECT("数出表_Excel!B"&amp;MATCH(CS22,数出表_Excel!$A:$A,0)&amp;":U"&amp;MATCH(CS22,数出表_Excel!$A:$A,0)&amp;""),
 1,CN23-1),
 "")),""))</f>
        <v/>
      </c>
      <c r="CR25" s="186"/>
      <c r="CS25" s="101" t="e">
        <f t="array" aca="1" ref="CS25" ca="1">IF(CN24=100,
IF(CO22&lt;&gt;"",
IF(IFERROR(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0)&lt;&gt;0,
IF(IFERROR(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0)="",
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0),
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0)),0),""),0)</f>
        <v>#N/A</v>
      </c>
      <c r="CU25" s="90"/>
      <c r="CV25" s="185" t="e">
        <f t="array" aca="1" ref="CV25" ca="1">IF(AND(CS22="社食",CZ22="社食"),"",
IF(CV23&lt;&gt;"",
IF(IFERROR(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"")=0,"",
IF(CU24=100,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""),
IF(AND(CU24=200,COUNTIF(数出表_Excel!$A:$A,"*奈良屋*")=2),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""),
IF(AND(CU24=200,COUNTIF(数出表_Excel!$A:$A,"*奈良屋*")=3),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
+IFERROR(
INDEX(INDIRECT("数出表_Excel!B"&amp;MATCH(CZ22,数出表_Excel!$A:$A,0)-1+4&amp;":U"&amp;MATCH(CZ22,数出表_Excel!$A:$A,0)-1+4&amp;""),
 1,
 MATCH(TRUE, ISNUMBER(--INDIRECT("数出表_Excel!B"&amp;MATCH(CZ22,数出表_Excel!$A:$A,0)-1+4&amp;":U"&amp;MATCH(CZ22,数出表_Excel!$A:$A,0)-1+4&amp;"")), 0)),
 ""),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""))))),"")+CU25)</f>
        <v>#VALUE!</v>
      </c>
      <c r="CW25" s="186"/>
      <c r="CX25" s="188" t="str">
        <f t="array" aca="1" ref="CX25" ca="1">IF(AND(CZ22="社食",CS29="社食"),"",
IF(CV23&lt;&gt;"",
IF(IFERROR(
INDEX(INDIRECT("数出表_Excel!B"&amp;MATCH(CZ22,数出表_Excel!$A:$A,0)&amp;":U"&amp;MATCH(CZ22,数出表_Excel!$A:$A,0)&amp;""),
 1,CU23-1),
 "")=0,"",
IFERROR(
INDEX(INDIRECT("数出表_Excel!B"&amp;MATCH(CZ22,数出表_Excel!$A:$A,0)&amp;":U"&amp;MATCH(CZ22,数出表_Excel!$A:$A,0)&amp;""),
 1,CU23-1),
 "")),""))</f>
        <v/>
      </c>
      <c r="CY25" s="186"/>
      <c r="CZ25" s="101" t="e">
        <f t="array" aca="1" ref="CZ25" ca="1">IF(CU24=100,
IF(CV22&lt;&gt;"",
IF(IFERROR(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0)&lt;&gt;0,
IF(IFERROR(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0)="",
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0),
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0)),0),""),0)</f>
        <v>#N/A</v>
      </c>
      <c r="DC25" s="90"/>
      <c r="DD25" s="185" t="e">
        <f t="array" aca="1" ref="DD25" ca="1">IF(AND(DO15="社食",DH22="社食"),"",
IF(DD23&lt;&gt;"",
IF(IFERROR(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"")=0,"",
IF(DC24=100,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""),
IF(AND(DC24=200,COUNTIF(数出表_Excel!$A:$A,"*奈良屋*")=2),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""),
IF(AND(DC24=200,COUNTIF(数出表_Excel!$A:$A,"*奈良屋*")=3),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
+IFERROR(
INDEX(INDIRECT("数出表_Excel!B"&amp;MATCH(DH22,数出表_Excel!$A:$A,0)-1+4&amp;":U"&amp;MATCH(DH22,数出表_Excel!$A:$A,0)-1+4&amp;""),
 1,
 MATCH(TRUE, ISNUMBER(--INDIRECT("数出表_Excel!B"&amp;MATCH(DH22,数出表_Excel!$A:$A,0)-1+4&amp;":U"&amp;MATCH(DH22,数出表_Excel!$A:$A,0)-1+4&amp;"")), 0)),
 ""),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""))))),"")+DC25)</f>
        <v>#VALUE!</v>
      </c>
      <c r="DE25" s="186"/>
      <c r="DF25" s="188" t="str">
        <f t="array" aca="1" ref="DF25" ca="1">IF(AND(DH22="社食",DO22="社食"),"",
IF(DD23&lt;&gt;"",
IF(IFERROR(
INDEX(INDIRECT("数出表_Excel!B"&amp;MATCH(DH22,数出表_Excel!$A:$A,0)&amp;":U"&amp;MATCH(DH22,数出表_Excel!$A:$A,0)&amp;""),
 1,DC23-1),
 "")=0,"",
IFERROR(
INDEX(INDIRECT("数出表_Excel!B"&amp;MATCH(DH22,数出表_Excel!$A:$A,0)&amp;":U"&amp;MATCH(DH22,数出表_Excel!$A:$A,0)&amp;""),
 1,DC23-1),
 "")),""))</f>
        <v/>
      </c>
      <c r="DG25" s="186"/>
      <c r="DH25" s="101" t="e">
        <f t="array" aca="1" ref="DH25" ca="1">IF(DC24=100,
IF(DD22&lt;&gt;"",
IF(IFERROR(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0)&lt;&gt;0,
IF(IFERROR(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0)="",
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0),
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0)),0),""),0)</f>
        <v>#N/A</v>
      </c>
      <c r="DJ25" s="90"/>
      <c r="DK25" s="185" t="e">
        <f t="array" aca="1" ref="DK25" ca="1">IF(AND(DH22="社食",DO22="社食"),"",
IF(DK23&lt;&gt;"",
IF(IFERROR(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"")=0,"",
IF(DJ24=100,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""),
IF(AND(DJ24=200,COUNTIF(数出表_Excel!$A:$A,"*奈良屋*")=2),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""),
IF(AND(DJ24=200,COUNTIF(数出表_Excel!$A:$A,"*奈良屋*")=3),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
+IFERROR(
INDEX(INDIRECT("数出表_Excel!B"&amp;MATCH(DO22,数出表_Excel!$A:$A,0)-1+4&amp;":U"&amp;MATCH(DO22,数出表_Excel!$A:$A,0)-1+4&amp;""),
 1,
 MATCH(TRUE, ISNUMBER(--INDIRECT("数出表_Excel!B"&amp;MATCH(DO22,数出表_Excel!$A:$A,0)-1+4&amp;":U"&amp;MATCH(DO22,数出表_Excel!$A:$A,0)-1+4&amp;"")), 0)),
 ""),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""))))),"")+DJ25)</f>
        <v>#VALUE!</v>
      </c>
      <c r="DL25" s="186"/>
      <c r="DM25" s="188" t="str">
        <f t="array" aca="1" ref="DM25" ca="1">IF(AND(DO22="社食",DH29="社食"),"",
IF(DK23&lt;&gt;"",
IF(IFERROR(
INDEX(INDIRECT("数出表_Excel!B"&amp;MATCH(DO22,数出表_Excel!$A:$A,0)&amp;":U"&amp;MATCH(DO22,数出表_Excel!$A:$A,0)&amp;""),
 1,DJ23-1),
 "")=0,"",
IFERROR(
INDEX(INDIRECT("数出表_Excel!B"&amp;MATCH(DO22,数出表_Excel!$A:$A,0)&amp;":U"&amp;MATCH(DO22,数出表_Excel!$A:$A,0)&amp;""),
 1,DJ23-1),
 "")),""))</f>
        <v/>
      </c>
      <c r="DN25" s="186"/>
      <c r="DO25" s="101" t="e">
        <f t="array" aca="1" ref="DO25" ca="1">IF(DJ24=100,
IF(DK22&lt;&gt;"",
IF(IFERROR(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0)&lt;&gt;0,
IF(IFERROR(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0)="",
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0),
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0)),0),""),0)</f>
        <v>#N/A</v>
      </c>
      <c r="DR25" s="90"/>
      <c r="DS25" s="185" t="e">
        <f t="array" aca="1" ref="DS25" ca="1">IF(AND(ED15="社食",DW22="社食"),"",
IF(DS23&lt;&gt;"",
IF(IFERROR(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"")=0,"",
IF(DR24=100,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""),
IF(AND(DR24=200,COUNTIF(数出表_Excel!$A:$A,"*奈良屋*")=2),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""),
IF(AND(DR24=200,COUNTIF(数出表_Excel!$A:$A,"*奈良屋*")=3),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
+IFERROR(
INDEX(INDIRECT("数出表_Excel!B"&amp;MATCH(DW22,数出表_Excel!$A:$A,0)-1+4&amp;":U"&amp;MATCH(DW22,数出表_Excel!$A:$A,0)-1+4&amp;""),
 1,
 MATCH(TRUE, ISNUMBER(--INDIRECT("数出表_Excel!B"&amp;MATCH(DW22,数出表_Excel!$A:$A,0)-1+4&amp;":U"&amp;MATCH(DW22,数出表_Excel!$A:$A,0)-1+4&amp;"")), 0)),
 ""),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""))))),"")+DR25)</f>
        <v>#VALUE!</v>
      </c>
      <c r="DT25" s="186"/>
      <c r="DU25" s="188" t="str">
        <f t="array" aca="1" ref="DU25" ca="1">IF(AND(DW22="社食",ED22="社食"),"",
IF(DS23&lt;&gt;"",
IF(IFERROR(
INDEX(INDIRECT("数出表_Excel!B"&amp;MATCH(DW22,数出表_Excel!$A:$A,0)&amp;":U"&amp;MATCH(DW22,数出表_Excel!$A:$A,0)&amp;""),
 1,DR23-1),
 "")=0,"",
IFERROR(
INDEX(INDIRECT("数出表_Excel!B"&amp;MATCH(DW22,数出表_Excel!$A:$A,0)&amp;":U"&amp;MATCH(DW22,数出表_Excel!$A:$A,0)&amp;""),
 1,DR23-1),
 "")),""))</f>
        <v/>
      </c>
      <c r="DV25" s="186"/>
      <c r="DW25" s="101" t="e">
        <f t="array" aca="1" ref="DW25" ca="1">IF(DR24=100,
IF(DS22&lt;&gt;"",
IF(IFERROR(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0)&lt;&gt;0,
IF(IFERROR(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0)="",
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0),
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0)),0),""),0)</f>
        <v>#N/A</v>
      </c>
      <c r="DY25" s="90"/>
      <c r="DZ25" s="185" t="e">
        <f t="array" aca="1" ref="DZ25" ca="1">IF(AND(DW22="社食",ED22="社食"),"",
IF(DZ23&lt;&gt;"",
IF(IFERROR(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"")=0,"",
IF(DY24=100,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""),
IF(AND(DY24=200,COUNTIF(数出表_Excel!$A:$A,"*奈良屋*")=2),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""),
IF(AND(DY24=200,COUNTIF(数出表_Excel!$A:$A,"*奈良屋*")=3),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
+IFERROR(
INDEX(INDIRECT("数出表_Excel!B"&amp;MATCH(ED22,数出表_Excel!$A:$A,0)-1+4&amp;":U"&amp;MATCH(ED22,数出表_Excel!$A:$A,0)-1+4&amp;""),
 1,
 MATCH(TRUE, ISNUMBER(--INDIRECT("数出表_Excel!B"&amp;MATCH(ED22,数出表_Excel!$A:$A,0)-1+4&amp;":U"&amp;MATCH(ED22,数出表_Excel!$A:$A,0)-1+4&amp;"")), 0)),
 ""),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""))))),"")+DY25)</f>
        <v>#VALUE!</v>
      </c>
      <c r="EA25" s="186"/>
      <c r="EB25" s="188" t="str">
        <f t="array" aca="1" ref="EB25" ca="1">IF(AND(ED22="社食",DW29="社食"),"",
IF(DZ23&lt;&gt;"",
IF(IFERROR(
INDEX(INDIRECT("数出表_Excel!B"&amp;MATCH(ED22,数出表_Excel!$A:$A,0)&amp;":U"&amp;MATCH(ED22,数出表_Excel!$A:$A,0)&amp;""),
 1,DY23-1),
 "")=0,"",
IFERROR(
INDEX(INDIRECT("数出表_Excel!B"&amp;MATCH(ED22,数出表_Excel!$A:$A,0)&amp;":U"&amp;MATCH(ED22,数出表_Excel!$A:$A,0)&amp;""),
 1,DY23-1),
 "")),""))</f>
        <v/>
      </c>
      <c r="EC25" s="186"/>
      <c r="ED25" s="101" t="e">
        <f t="array" aca="1" ref="ED25" ca="1">IF(DY24=100,
IF(DZ22&lt;&gt;"",
IF(IFERROR(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0)&lt;&gt;0,
IF(IFERROR(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0)="",
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0),
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0)),0),""),0)</f>
        <v>#N/A</v>
      </c>
      <c r="EG25" s="90"/>
      <c r="EH25" s="185" t="e">
        <f t="array" aca="1" ref="EH25" ca="1">IF(AND(ES15="社食",EL22="社食"),"",
IF(EH23&lt;&gt;"",
IF(IFERROR(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"")=0,"",
IF(EG24=100,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""),
IF(AND(EG24=200,COUNTIF(数出表_Excel!$A:$A,"*奈良屋*")=2),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""),
IF(AND(EG24=200,COUNTIF(数出表_Excel!$A:$A,"*奈良屋*")=3),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
+IFERROR(
INDEX(INDIRECT("数出表_Excel!B"&amp;MATCH(EL22,数出表_Excel!$A:$A,0)-1+4&amp;":U"&amp;MATCH(EL22,数出表_Excel!$A:$A,0)-1+4&amp;""),
 1,
 MATCH(TRUE, ISNUMBER(--INDIRECT("数出表_Excel!B"&amp;MATCH(EL22,数出表_Excel!$A:$A,0)-1+4&amp;":U"&amp;MATCH(EL22,数出表_Excel!$A:$A,0)-1+4&amp;"")), 0)),
 ""),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""))))),"")+EG25)</f>
        <v>#VALUE!</v>
      </c>
      <c r="EI25" s="186"/>
      <c r="EJ25" s="188" t="str">
        <f t="array" aca="1" ref="EJ25" ca="1">IF(AND(EL22="社食",ES22="社食"),"",
IF(EH23&lt;&gt;"",
IF(IFERROR(
INDEX(INDIRECT("数出表_Excel!B"&amp;MATCH(EL22,数出表_Excel!$A:$A,0)&amp;":U"&amp;MATCH(EL22,数出表_Excel!$A:$A,0)&amp;""),
 1,EG23-1),
 "")=0,"",
IFERROR(
INDEX(INDIRECT("数出表_Excel!B"&amp;MATCH(EL22,数出表_Excel!$A:$A,0)&amp;":U"&amp;MATCH(EL22,数出表_Excel!$A:$A,0)&amp;""),
 1,EG23-1),
 "")),""))</f>
        <v/>
      </c>
      <c r="EK25" s="186"/>
      <c r="EL25" s="101" t="e">
        <f t="array" aca="1" ref="EL25" ca="1">IF(EG24=100,
IF(EH22&lt;&gt;"",
IF(IFERROR(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0)&lt;&gt;0,
IF(IFERROR(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0)="",
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0),
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0)),0),""),0)</f>
        <v>#N/A</v>
      </c>
      <c r="EN25" s="90"/>
      <c r="EO25" s="185" t="e">
        <f t="array" aca="1" ref="EO25" ca="1">IF(AND(EL22="社食",ES22="社食"),"",
IF(EO23&lt;&gt;"",
IF(IFERROR(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"")=0,"",
IF(EN24=100,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""),
IF(AND(EN24=200,COUNTIF(数出表_Excel!$A:$A,"*奈良屋*")=2),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""),
IF(AND(EN24=200,COUNTIF(数出表_Excel!$A:$A,"*奈良屋*")=3),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
+IFERROR(
INDEX(INDIRECT("数出表_Excel!B"&amp;MATCH(ES22,数出表_Excel!$A:$A,0)-1+4&amp;":U"&amp;MATCH(ES22,数出表_Excel!$A:$A,0)-1+4&amp;""),
 1,
 MATCH(TRUE, ISNUMBER(--INDIRECT("数出表_Excel!B"&amp;MATCH(ES22,数出表_Excel!$A:$A,0)-1+4&amp;":U"&amp;MATCH(ES22,数出表_Excel!$A:$A,0)-1+4&amp;"")), 0)),
 ""),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""))))),"")+EN25)</f>
        <v>#VALUE!</v>
      </c>
      <c r="EP25" s="186"/>
      <c r="EQ25" s="188" t="str">
        <f t="array" aca="1" ref="EQ25" ca="1">IF(AND(ES22="社食",EL29="社食"),"",
IF(EO23&lt;&gt;"",
IF(IFERROR(
INDEX(INDIRECT("数出表_Excel!B"&amp;MATCH(ES22,数出表_Excel!$A:$A,0)&amp;":U"&amp;MATCH(ES22,数出表_Excel!$A:$A,0)&amp;""),
 1,EN23-1),
 "")=0,"",
IFERROR(
INDEX(INDIRECT("数出表_Excel!B"&amp;MATCH(ES22,数出表_Excel!$A:$A,0)&amp;":U"&amp;MATCH(ES22,数出表_Excel!$A:$A,0)&amp;""),
 1,EN23-1),
 "")),""))</f>
        <v/>
      </c>
      <c r="ER25" s="186"/>
      <c r="ES25" s="101" t="e">
        <f t="array" aca="1" ref="ES25" ca="1">IF(EN24=100,
IF(EO22&lt;&gt;"",
IF(IFERROR(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0)&lt;&gt;0,
IF(IFERROR(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0)="",
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0),
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0)),0),""),0)</f>
        <v>#N/A</v>
      </c>
      <c r="ET25" s="110"/>
      <c r="EU25" s="82"/>
      <c r="EV25" s="83" t="str">
        <f ca="1">R1</f>
        <v/>
      </c>
      <c r="EW25" s="83" t="str">
        <f ca="1">R2</f>
        <v/>
      </c>
      <c r="EX25" s="83" t="str">
        <f ca="1">T2</f>
        <v/>
      </c>
      <c r="EY25" s="84" t="str">
        <f ca="1">U2</f>
        <v/>
      </c>
      <c r="EZ25" s="84" t="str">
        <f ca="1">V2</f>
        <v/>
      </c>
      <c r="FA25" s="83" t="e">
        <f ca="1">R4</f>
        <v>#VALUE!</v>
      </c>
      <c r="FB25" s="83" t="str">
        <f ca="1">T4</f>
        <v/>
      </c>
      <c r="FC25" s="83" t="str">
        <f ca="1">R6</f>
        <v/>
      </c>
      <c r="FD25" s="83" t="e">
        <f ca="1">Q7</f>
        <v>#VALUE!</v>
      </c>
      <c r="FE25" s="83" t="str">
        <f ca="1">S7</f>
        <v/>
      </c>
      <c r="FF25" s="83" t="e">
        <f ca="1">U7</f>
        <v>#N/A</v>
      </c>
      <c r="FG25" s="82">
        <f t="shared" ca="1" si="0"/>
        <v>0</v>
      </c>
      <c r="FH25" s="82" t="e">
        <f t="array" aca="1" ref="FH25" ca="1">SUMPRODUCT((LEN(EV25:FF25)&gt;0)*1)&gt;0</f>
        <v>#VALUE!</v>
      </c>
      <c r="FI25" s="82" t="str">
        <f t="array" aca="1" ref="FI25" ca="1">IFERROR(SMALL(IF(FG$1:FG$173&lt;&gt;0,FG$1:FG$173),ROW(A25)),"")</f>
        <v/>
      </c>
      <c r="FJ25" s="82" t="str">
        <f t="array" aca="1" ref="FJ25" ca="1">IF($FI25&lt;&gt;"",
INDIRECT(""&amp;IF(COLUMN(EV25)&lt;=26,CHAR(COLUMN(EV25)+64),CHAR(INT((COLUMN(EV25)-1)/26)+64)&amp;CHAR(MOD(COLUMN(EV25)-1,26)+65))&amp;$FI25&amp;""),"")</f>
        <v/>
      </c>
      <c r="FK25" s="82" t="str">
        <f t="array" aca="1" ref="FK25" ca="1">IF($FI25&lt;&gt;"",
INDIRECT(""&amp;IF(COLUMN(EW25)&lt;=26,CHAR(COLUMN(EW25)+64),CHAR(INT((COLUMN(EW25)-1)/26)+64)&amp;CHAR(MOD(COLUMN(EW25)-1,26)+65))&amp;$FI25&amp;""),"")</f>
        <v/>
      </c>
      <c r="FL25" s="82" t="str">
        <f t="array" aca="1" ref="FL25" ca="1">IF($FI25&lt;&gt;"",
INDIRECT(""&amp;IF(COLUMN(EX25)&lt;=26,CHAR(COLUMN(EX25)+64),CHAR(INT((COLUMN(EX25)-1)/26)+64)&amp;CHAR(MOD(COLUMN(EX25)-1,26)+65))&amp;$FI25&amp;""),"")</f>
        <v/>
      </c>
      <c r="FM25" s="82" t="str">
        <f t="array" aca="1" ref="FM25" ca="1">IF($FI25&lt;&gt;"",
IF(FL25="",
IF(INDIRECT("EY"&amp;$FI25&amp;"")&lt;&gt;"",
INDIRECT("EY"&amp;$FI25&amp;"")&amp;"箱"
&amp;INDIRECT("EZ"&amp;$FI25&amp;""),""),""),"")</f>
        <v/>
      </c>
      <c r="FN25" s="82" t="str">
        <f t="array" aca="1" ref="FN25" ca="1">IF($FI25&lt;&gt;"",
INDIRECT(""&amp;IF(COLUMN(FA25)&lt;=26,CHAR(COLUMN(FA25)+64),CHAR(INT((COLUMN(FA25)-1)/26)+64)&amp;CHAR(MOD(COLUMN(FA25)-1,26)+65))&amp;$FI25&amp;""),"")</f>
        <v/>
      </c>
      <c r="FO25" s="82" t="str">
        <f t="array" aca="1" ref="FO25" ca="1">IF($FI25&lt;&gt;"",
INDIRECT(""&amp;IF(COLUMN(FB25)&lt;=26,CHAR(COLUMN(FB25)+64),CHAR(INT((COLUMN(FB25)-1)/26)+64)&amp;CHAR(MOD(COLUMN(FB25)-1,26)+65))&amp;$FI25&amp;""),"")</f>
        <v/>
      </c>
      <c r="FP25" s="82" t="str">
        <f t="array" aca="1" ref="FP25" ca="1">IF($FI25&lt;&gt;"",
INDIRECT(""&amp;IF(COLUMN(FC25)&lt;=26,CHAR(COLUMN(FC25)+64),CHAR(INT((COLUMN(FC25)-1)/26)+64)&amp;CHAR(MOD(COLUMN(FC25)-1,26)+65))&amp;$FI25&amp;""),"")</f>
        <v/>
      </c>
      <c r="FQ25" s="82" t="str">
        <f t="array" aca="1" ref="FQ25" ca="1">IF($FI25&lt;&gt;"",
INDIRECT(""&amp;IF(COLUMN(FD25)&lt;=26,CHAR(COLUMN(FD25)+64),CHAR(INT((COLUMN(FD25)-1)/26)+64)&amp;CHAR(MOD(COLUMN(FD25)-1,26)+65))&amp;$FI25&amp;""),"")</f>
        <v/>
      </c>
      <c r="FR25" s="82" t="str">
        <f t="array" aca="1" ref="FR25" ca="1">IF($FI25&lt;&gt;"",
INDIRECT(""&amp;IF(COLUMN(FE25)&lt;=26,CHAR(COLUMN(FE25)+64),CHAR(INT((COLUMN(FE25)-1)/26)+64)&amp;CHAR(MOD(COLUMN(FE25)-1,26)+65))&amp;$FI25&amp;""),"")</f>
        <v/>
      </c>
      <c r="FS25" s="82" t="str">
        <f t="array" aca="1" ref="FS25" ca="1">IF($FI25&lt;&gt;"",
INDIRECT(""&amp;IF(COLUMN(FF25)&lt;=26,CHAR(COLUMN(FF25)+64),CHAR(INT((COLUMN(FF25)-1)/26)+64)&amp;CHAR(MOD(COLUMN(FF25)-1,26)+65))&amp;$FI25&amp;""),"")</f>
        <v/>
      </c>
    </row>
    <row r="26" spans="1:175" ht="18" customHeight="1" x14ac:dyDescent="0.45">
      <c r="B26" s="118" t="s">
        <v>258</v>
      </c>
      <c r="C26" s="187"/>
      <c r="D26" s="187"/>
      <c r="E26" s="187"/>
      <c r="F26" s="187"/>
      <c r="G26" s="102" t="str">
        <f>SUBSTITUTE(SUBSTITUTE(ADDRESS(1,MATCH("おやつ",'数出表_Excel（アレルギー入力）'!$3:$3,0)),1,""),"$","")</f>
        <v>AL</v>
      </c>
      <c r="I26" s="118" t="s">
        <v>258</v>
      </c>
      <c r="J26" s="187"/>
      <c r="K26" s="187"/>
      <c r="L26" s="187"/>
      <c r="M26" s="187"/>
      <c r="N26" s="102" t="str">
        <f>SUBSTITUTE(SUBSTITUTE(ADDRESS(1,MATCH("おやつ",'数出表_Excel（アレルギー入力）'!$3:$3,0)),1,""),"$","")</f>
        <v>AL</v>
      </c>
      <c r="Q26" s="118" t="s">
        <v>258</v>
      </c>
      <c r="R26" s="187"/>
      <c r="S26" s="187"/>
      <c r="T26" s="187"/>
      <c r="U26" s="187"/>
      <c r="V26" s="102" t="str">
        <f>SUBSTITUTE(SUBSTITUTE(ADDRESS(1,MATCH("おやつ",'数出表_Excel（アレルギー入力）'!$3:$3,0)),1,""),"$","")</f>
        <v>AL</v>
      </c>
      <c r="X26" s="118" t="s">
        <v>258</v>
      </c>
      <c r="Y26" s="187"/>
      <c r="Z26" s="187"/>
      <c r="AA26" s="187"/>
      <c r="AB26" s="187"/>
      <c r="AC26" s="102" t="str">
        <f>SUBSTITUTE(SUBSTITUTE(ADDRESS(1,MATCH("おやつ",'数出表_Excel（アレルギー入力）'!$3:$3,0)),1,""),"$","")</f>
        <v>AL</v>
      </c>
      <c r="AF26" s="118" t="s">
        <v>258</v>
      </c>
      <c r="AG26" s="187"/>
      <c r="AH26" s="187"/>
      <c r="AI26" s="187"/>
      <c r="AJ26" s="187"/>
      <c r="AK26" s="102" t="str">
        <f>SUBSTITUTE(SUBSTITUTE(ADDRESS(1,MATCH("おやつ",'数出表_Excel（アレルギー入力）'!$3:$3,0)),1,""),"$","")</f>
        <v>AL</v>
      </c>
      <c r="AM26" s="118" t="s">
        <v>258</v>
      </c>
      <c r="AN26" s="187"/>
      <c r="AO26" s="187"/>
      <c r="AP26" s="187"/>
      <c r="AQ26" s="187"/>
      <c r="AR26" s="102" t="str">
        <f>SUBSTITUTE(SUBSTITUTE(ADDRESS(1,MATCH("おやつ",'数出表_Excel（アレルギー入力）'!$3:$3,0)),1,""),"$","")</f>
        <v>AL</v>
      </c>
      <c r="AU26" s="118" t="s">
        <v>258</v>
      </c>
      <c r="AV26" s="187"/>
      <c r="AW26" s="187"/>
      <c r="AX26" s="187"/>
      <c r="AY26" s="187"/>
      <c r="AZ26" s="102" t="str">
        <f>SUBSTITUTE(SUBSTITUTE(ADDRESS(1,MATCH("おやつ",'数出表_Excel（アレルギー入力）'!$3:$3,0)),1,""),"$","")</f>
        <v>AL</v>
      </c>
      <c r="BB26" s="118" t="s">
        <v>258</v>
      </c>
      <c r="BC26" s="187"/>
      <c r="BD26" s="187"/>
      <c r="BE26" s="187"/>
      <c r="BF26" s="187"/>
      <c r="BG26" s="102" t="str">
        <f>SUBSTITUTE(SUBSTITUTE(ADDRESS(1,MATCH("おやつ",'数出表_Excel（アレルギー入力）'!$3:$3,0)),1,""),"$","")</f>
        <v>AL</v>
      </c>
      <c r="BJ26" s="118" t="s">
        <v>258</v>
      </c>
      <c r="BK26" s="187"/>
      <c r="BL26" s="187"/>
      <c r="BM26" s="187"/>
      <c r="BN26" s="187"/>
      <c r="BO26" s="102" t="str">
        <f>SUBSTITUTE(SUBSTITUTE(ADDRESS(1,MATCH("おやつ",'数出表_Excel（アレルギー入力）'!$3:$3,0)),1,""),"$","")</f>
        <v>AL</v>
      </c>
      <c r="BQ26" s="118" t="s">
        <v>258</v>
      </c>
      <c r="BR26" s="187"/>
      <c r="BS26" s="187"/>
      <c r="BT26" s="187"/>
      <c r="BU26" s="187"/>
      <c r="BV26" s="102" t="str">
        <f>SUBSTITUTE(SUBSTITUTE(ADDRESS(1,MATCH("おやつ",'数出表_Excel（アレルギー入力）'!$3:$3,0)),1,""),"$","")</f>
        <v>AL</v>
      </c>
      <c r="BY26" s="118" t="s">
        <v>258</v>
      </c>
      <c r="BZ26" s="187"/>
      <c r="CA26" s="187"/>
      <c r="CB26" s="187"/>
      <c r="CC26" s="187"/>
      <c r="CD26" s="102" t="str">
        <f>SUBSTITUTE(SUBSTITUTE(ADDRESS(1,MATCH("おやつ",'数出表_Excel（アレルギー入力）'!$3:$3,0)),1,""),"$","")</f>
        <v>AL</v>
      </c>
      <c r="CF26" s="118" t="s">
        <v>258</v>
      </c>
      <c r="CG26" s="187"/>
      <c r="CH26" s="187"/>
      <c r="CI26" s="187"/>
      <c r="CJ26" s="187"/>
      <c r="CK26" s="102" t="str">
        <f>SUBSTITUTE(SUBSTITUTE(ADDRESS(1,MATCH("おやつ",'数出表_Excel（アレルギー入力）'!$3:$3,0)),1,""),"$","")</f>
        <v>AL</v>
      </c>
      <c r="CN26" s="118" t="s">
        <v>258</v>
      </c>
      <c r="CO26" s="187"/>
      <c r="CP26" s="187"/>
      <c r="CQ26" s="187"/>
      <c r="CR26" s="187"/>
      <c r="CS26" s="102" t="str">
        <f>SUBSTITUTE(SUBSTITUTE(ADDRESS(1,MATCH("おやつ",'数出表_Excel（アレルギー入力）'!$3:$3,0)),1,""),"$","")</f>
        <v>AL</v>
      </c>
      <c r="CU26" s="118" t="s">
        <v>258</v>
      </c>
      <c r="CV26" s="187"/>
      <c r="CW26" s="187"/>
      <c r="CX26" s="187"/>
      <c r="CY26" s="187"/>
      <c r="CZ26" s="102" t="str">
        <f>SUBSTITUTE(SUBSTITUTE(ADDRESS(1,MATCH("おやつ",'数出表_Excel（アレルギー入力）'!$3:$3,0)),1,""),"$","")</f>
        <v>AL</v>
      </c>
      <c r="DC26" s="118" t="s">
        <v>258</v>
      </c>
      <c r="DD26" s="187"/>
      <c r="DE26" s="187"/>
      <c r="DF26" s="187"/>
      <c r="DG26" s="187"/>
      <c r="DH26" s="102" t="str">
        <f>SUBSTITUTE(SUBSTITUTE(ADDRESS(1,MATCH("おやつ",'数出表_Excel（アレルギー入力）'!$3:$3,0)),1,""),"$","")</f>
        <v>AL</v>
      </c>
      <c r="DJ26" s="118" t="s">
        <v>258</v>
      </c>
      <c r="DK26" s="187"/>
      <c r="DL26" s="187"/>
      <c r="DM26" s="187"/>
      <c r="DN26" s="187"/>
      <c r="DO26" s="102" t="str">
        <f>SUBSTITUTE(SUBSTITUTE(ADDRESS(1,MATCH("おやつ",'数出表_Excel（アレルギー入力）'!$3:$3,0)),1,""),"$","")</f>
        <v>AL</v>
      </c>
      <c r="DR26" s="118" t="s">
        <v>258</v>
      </c>
      <c r="DS26" s="187"/>
      <c r="DT26" s="187"/>
      <c r="DU26" s="187"/>
      <c r="DV26" s="187"/>
      <c r="DW26" s="102" t="str">
        <f>SUBSTITUTE(SUBSTITUTE(ADDRESS(1,MATCH("おやつ",'数出表_Excel（アレルギー入力）'!$3:$3,0)),1,""),"$","")</f>
        <v>AL</v>
      </c>
      <c r="DY26" s="118" t="s">
        <v>258</v>
      </c>
      <c r="DZ26" s="187"/>
      <c r="EA26" s="187"/>
      <c r="EB26" s="187"/>
      <c r="EC26" s="187"/>
      <c r="ED26" s="102" t="str">
        <f>SUBSTITUTE(SUBSTITUTE(ADDRESS(1,MATCH("おやつ",'数出表_Excel（アレルギー入力）'!$3:$3,0)),1,""),"$","")</f>
        <v>AL</v>
      </c>
      <c r="EG26" s="118" t="s">
        <v>258</v>
      </c>
      <c r="EH26" s="187"/>
      <c r="EI26" s="187"/>
      <c r="EJ26" s="187"/>
      <c r="EK26" s="187"/>
      <c r="EL26" s="102" t="str">
        <f>SUBSTITUTE(SUBSTITUTE(ADDRESS(1,MATCH("おやつ",'数出表_Excel（アレルギー入力）'!$3:$3,0)),1,""),"$","")</f>
        <v>AL</v>
      </c>
      <c r="EN26" s="118" t="s">
        <v>258</v>
      </c>
      <c r="EO26" s="187"/>
      <c r="EP26" s="187"/>
      <c r="EQ26" s="187"/>
      <c r="ER26" s="187"/>
      <c r="ES26" s="102" t="str">
        <f>SUBSTITUTE(SUBSTITUTE(ADDRESS(1,MATCH("おやつ",'数出表_Excel（アレルギー入力）'!$3:$3,0)),1,""),"$","")</f>
        <v>AL</v>
      </c>
      <c r="ET26" s="110"/>
      <c r="EU26" s="82">
        <v>42</v>
      </c>
      <c r="EV26" s="82" t="str">
        <f t="array" aca="1" ref="EV26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LEN(SUBSTITUTE(_xlfn.FORMULATEXT(EV$25),"=","")))+$EU26)</f>
        <v/>
      </c>
      <c r="EW26" s="82" t="str">
        <f t="array" aca="1" ref="EW26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LEN(SUBSTITUTE(_xlfn.FORMULATEXT(EW$25),"=","")))+$EU26)</f>
        <v/>
      </c>
      <c r="EX26" s="82" t="str">
        <f t="array" aca="1" ref="EX26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LEN(SUBSTITUTE(_xlfn.FORMULATEXT(EX$25),"=","")))+$EU26)</f>
        <v/>
      </c>
      <c r="EY26" s="82" t="str">
        <f t="array" aca="1" ref="EY26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LEN(SUBSTITUTE(_xlfn.FORMULATEXT(EY$25),"=","")))+$EU26)</f>
        <v/>
      </c>
      <c r="EZ26" s="82" t="str">
        <f t="array" aca="1" ref="EZ26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LEN(SUBSTITUTE(_xlfn.FORMULATEXT(EZ$25),"=","")))+$EU26)</f>
        <v/>
      </c>
      <c r="FA26" s="82" t="str">
        <f t="array" aca="1" ref="FA26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LEN(SUBSTITUTE(_xlfn.FORMULATEXT(FA$25),"=","")))+$EU26)</f>
        <v/>
      </c>
      <c r="FB26" s="82" t="str">
        <f t="array" aca="1" ref="FB26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LEN(SUBSTITUTE(_xlfn.FORMULATEXT(FB$25),"=","")))+$EU26)</f>
        <v/>
      </c>
      <c r="FC26" s="82" t="str">
        <f t="array" aca="1" ref="FC26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LEN(SUBSTITUTE(_xlfn.FORMULATEXT(FC$25),"=","")))+$EU26)</f>
        <v/>
      </c>
      <c r="FD26" s="82" t="str">
        <f t="array" aca="1" ref="FD26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LEN(SUBSTITUTE(_xlfn.FORMULATEXT(FD$25),"=","")))+$EU26)</f>
        <v/>
      </c>
      <c r="FE26" s="82" t="str">
        <f t="array" aca="1" ref="FE26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LEN(SUBSTITUTE(_xlfn.FORMULATEXT(FE$25),"=","")))+$EU26)</f>
        <v/>
      </c>
      <c r="FF26" s="82" t="str">
        <f t="array" aca="1" ref="FF26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LEN(SUBSTITUTE(_xlfn.FORMULATEXT(FF$25),"=","")))+$EU26)</f>
        <v/>
      </c>
      <c r="FG26" s="82">
        <f t="shared" ca="1" si="0"/>
        <v>0</v>
      </c>
      <c r="FH26" s="82" t="b">
        <f t="array" aca="1" ref="FH26" ca="1">SUMPRODUCT((LEN(EV26:FF26)&gt;0)*1)&gt;0</f>
        <v>0</v>
      </c>
      <c r="FI26" s="82" t="str">
        <f t="array" aca="1" ref="FI26" ca="1">IFERROR(SMALL(IF(FG$1:FG$173&lt;&gt;0,FG$1:FG$173),ROW(A26)),"")</f>
        <v/>
      </c>
      <c r="FJ26" s="82" t="str">
        <f t="array" aca="1" ref="FJ26" ca="1">IF($FI26&lt;&gt;"",
INDIRECT(""&amp;IF(COLUMN(EV26)&lt;=26,CHAR(COLUMN(EV26)+64),CHAR(INT((COLUMN(EV26)-1)/26)+64)&amp;CHAR(MOD(COLUMN(EV26)-1,26)+65))&amp;$FI26&amp;""),"")</f>
        <v/>
      </c>
      <c r="FK26" s="82" t="str">
        <f t="array" aca="1" ref="FK26" ca="1">IF($FI26&lt;&gt;"",
INDIRECT(""&amp;IF(COLUMN(EW26)&lt;=26,CHAR(COLUMN(EW26)+64),CHAR(INT((COLUMN(EW26)-1)/26)+64)&amp;CHAR(MOD(COLUMN(EW26)-1,26)+65))&amp;$FI26&amp;""),"")</f>
        <v/>
      </c>
      <c r="FL26" s="82" t="str">
        <f t="array" aca="1" ref="FL26" ca="1">IF($FI26&lt;&gt;"",
INDIRECT(""&amp;IF(COLUMN(EX26)&lt;=26,CHAR(COLUMN(EX26)+64),CHAR(INT((COLUMN(EX26)-1)/26)+64)&amp;CHAR(MOD(COLUMN(EX26)-1,26)+65))&amp;$FI26&amp;""),"")</f>
        <v/>
      </c>
      <c r="FM26" s="82" t="str">
        <f t="array" aca="1" ref="FM26" ca="1">IF($FI26&lt;&gt;"",
IF(FL26="",
IF(INDIRECT("EY"&amp;$FI26&amp;"")&lt;&gt;"",
INDIRECT("EY"&amp;$FI26&amp;"")&amp;"箱"
&amp;INDIRECT("EZ"&amp;$FI26&amp;""),""),""),"")</f>
        <v/>
      </c>
      <c r="FN26" s="82" t="str">
        <f t="array" aca="1" ref="FN26" ca="1">IF($FI26&lt;&gt;"",
INDIRECT(""&amp;IF(COLUMN(FA26)&lt;=26,CHAR(COLUMN(FA26)+64),CHAR(INT((COLUMN(FA26)-1)/26)+64)&amp;CHAR(MOD(COLUMN(FA26)-1,26)+65))&amp;$FI26&amp;""),"")</f>
        <v/>
      </c>
      <c r="FO26" s="82" t="str">
        <f t="array" aca="1" ref="FO26" ca="1">IF($FI26&lt;&gt;"",
INDIRECT(""&amp;IF(COLUMN(FB26)&lt;=26,CHAR(COLUMN(FB26)+64),CHAR(INT((COLUMN(FB26)-1)/26)+64)&amp;CHAR(MOD(COLUMN(FB26)-1,26)+65))&amp;$FI26&amp;""),"")</f>
        <v/>
      </c>
      <c r="FP26" s="82" t="str">
        <f t="array" aca="1" ref="FP26" ca="1">IF($FI26&lt;&gt;"",
INDIRECT(""&amp;IF(COLUMN(FC26)&lt;=26,CHAR(COLUMN(FC26)+64),CHAR(INT((COLUMN(FC26)-1)/26)+64)&amp;CHAR(MOD(COLUMN(FC26)-1,26)+65))&amp;$FI26&amp;""),"")</f>
        <v/>
      </c>
      <c r="FQ26" s="82" t="str">
        <f t="array" aca="1" ref="FQ26" ca="1">IF($FI26&lt;&gt;"",
INDIRECT(""&amp;IF(COLUMN(FD26)&lt;=26,CHAR(COLUMN(FD26)+64),CHAR(INT((COLUMN(FD26)-1)/26)+64)&amp;CHAR(MOD(COLUMN(FD26)-1,26)+65))&amp;$FI26&amp;""),"")</f>
        <v/>
      </c>
      <c r="FR26" s="82" t="str">
        <f t="array" aca="1" ref="FR26" ca="1">IF($FI26&lt;&gt;"",
INDIRECT(""&amp;IF(COLUMN(FE26)&lt;=26,CHAR(COLUMN(FE26)+64),CHAR(INT((COLUMN(FE26)-1)/26)+64)&amp;CHAR(MOD(COLUMN(FE26)-1,26)+65))&amp;$FI26&amp;""),"")</f>
        <v/>
      </c>
      <c r="FS26" s="82" t="str">
        <f t="array" aca="1" ref="FS26" ca="1">IF($FI26&lt;&gt;"",
INDIRECT(""&amp;IF(COLUMN(FF26)&lt;=26,CHAR(COLUMN(FF26)+64),CHAR(INT((COLUMN(FF26)-1)/26)+64)&amp;CHAR(MOD(COLUMN(FF26)-1,26)+65))&amp;$FI26&amp;""),"")</f>
        <v/>
      </c>
    </row>
    <row r="27" spans="1:175" s="82" customFormat="1" ht="22.2" customHeight="1" x14ac:dyDescent="0.55000000000000004">
      <c r="A27" s="80"/>
      <c r="B27" s="93" t="str">
        <f ca="1">IF(C23&lt;&gt;"",
"パン箱","")</f>
        <v/>
      </c>
      <c r="C27" s="94" t="str">
        <f ca="1">IF(C23&lt;&gt;"",
IF(OR(COUNTIF('盛付札（関数）'!C23,"*キャラ*"),COUNTIF('盛付札（関数）'!C23,"*赤*")),24,
VLOOKUP('盛付札（関数）'!C23,商品マスタ一覧!$D:$I,6,FALSE)),"")</f>
        <v/>
      </c>
      <c r="D27" s="93" t="str">
        <f ca="1">IF(C23&lt;&gt;"",
" 端数","")</f>
        <v/>
      </c>
      <c r="E27" s="94"/>
      <c r="F27" s="93" t="str">
        <f ca="1">IF(C23&lt;&gt;"",
"アレルギー","")</f>
        <v/>
      </c>
      <c r="G27" s="101"/>
      <c r="H27" s="80"/>
      <c r="I27" s="93" t="str">
        <f ca="1">IF(J23&lt;&gt;"",
"パン箱","")</f>
        <v/>
      </c>
      <c r="J27" s="94" t="str">
        <f ca="1">IF(J23&lt;&gt;"",
IF(OR(COUNTIF('盛付札（関数）'!J23,"*キャラ*"),COUNTIF('盛付札（関数）'!J23,"*赤*")),24,
VLOOKUP('盛付札（関数）'!J23,商品マスタ一覧!$D:$I,6,FALSE)),"")</f>
        <v/>
      </c>
      <c r="K27" s="93" t="str">
        <f ca="1">IF(J23&lt;&gt;"",
" 端数","")</f>
        <v/>
      </c>
      <c r="L27" s="94"/>
      <c r="M27" s="93" t="str">
        <f ca="1">IF(J23&lt;&gt;"",
"アレルギー","")</f>
        <v/>
      </c>
      <c r="N27" s="101"/>
      <c r="O27" s="80"/>
      <c r="P27" s="80"/>
      <c r="Q27" s="93" t="str">
        <f ca="1">IF(R23&lt;&gt;"",
"パン箱","")</f>
        <v/>
      </c>
      <c r="R27" s="94" t="str">
        <f ca="1">IF(R23&lt;&gt;"",
IF(OR(COUNTIF('盛付札（関数）'!R23,"*キャラ*"),COUNTIF('盛付札（関数）'!R23,"*赤*")),24,
VLOOKUP('盛付札（関数）'!R23,商品マスタ一覧!$D:$I,6,FALSE)),"")</f>
        <v/>
      </c>
      <c r="S27" s="93" t="str">
        <f ca="1">IF(R23&lt;&gt;"",
" 端数","")</f>
        <v/>
      </c>
      <c r="T27" s="94"/>
      <c r="U27" s="93" t="str">
        <f ca="1">IF(R23&lt;&gt;"",
"アレルギー","")</f>
        <v/>
      </c>
      <c r="V27" s="101"/>
      <c r="W27" s="80"/>
      <c r="X27" s="93" t="str">
        <f ca="1">IF(Y23&lt;&gt;"",
"パン箱","")</f>
        <v/>
      </c>
      <c r="Y27" s="94" t="str">
        <f ca="1">IF(Y23&lt;&gt;"",
IF(OR(COUNTIF('盛付札（関数）'!Y23,"*キャラ*"),COUNTIF('盛付札（関数）'!Y23,"*赤*")),24,
VLOOKUP('盛付札（関数）'!Y23,商品マスタ一覧!$D:$I,6,FALSE)),"")</f>
        <v/>
      </c>
      <c r="Z27" s="93" t="str">
        <f ca="1">IF(Y23&lt;&gt;"",
" 端数","")</f>
        <v/>
      </c>
      <c r="AA27" s="94"/>
      <c r="AB27" s="93" t="str">
        <f ca="1">IF(Y23&lt;&gt;"",
"アレルギー","")</f>
        <v/>
      </c>
      <c r="AC27" s="101"/>
      <c r="AD27" s="80"/>
      <c r="AE27" s="80"/>
      <c r="AF27" s="93" t="str">
        <f ca="1">IF(AG23&lt;&gt;"",
"パン箱","")</f>
        <v/>
      </c>
      <c r="AG27" s="94" t="str">
        <f ca="1">IF(AG23&lt;&gt;"",
IF(OR(COUNTIF('盛付札（関数）'!AG23,"*キャラ*"),COUNTIF('盛付札（関数）'!AG23,"*赤*")),24,
VLOOKUP('盛付札（関数）'!AG23,商品マスタ一覧!$D:$I,6,FALSE)),"")</f>
        <v/>
      </c>
      <c r="AH27" s="93" t="str">
        <f ca="1">IF(AG23&lt;&gt;"",
" 端数","")</f>
        <v/>
      </c>
      <c r="AI27" s="94"/>
      <c r="AJ27" s="93" t="str">
        <f ca="1">IF(AG23&lt;&gt;"",
"アレルギー","")</f>
        <v/>
      </c>
      <c r="AK27" s="101"/>
      <c r="AL27" s="80"/>
      <c r="AM27" s="93" t="str">
        <f ca="1">IF(AN23&lt;&gt;"",
"パン箱","")</f>
        <v/>
      </c>
      <c r="AN27" s="94" t="str">
        <f ca="1">IF(AN23&lt;&gt;"",
IF(OR(COUNTIF('盛付札（関数）'!AN23,"*キャラ*"),COUNTIF('盛付札（関数）'!AN23,"*赤*")),24,
VLOOKUP('盛付札（関数）'!AN23,商品マスタ一覧!$D:$I,6,FALSE)),"")</f>
        <v/>
      </c>
      <c r="AO27" s="93" t="str">
        <f ca="1">IF(AN23&lt;&gt;"",
" 端数","")</f>
        <v/>
      </c>
      <c r="AP27" s="94"/>
      <c r="AQ27" s="93" t="str">
        <f ca="1">IF(AN23&lt;&gt;"",
"アレルギー","")</f>
        <v/>
      </c>
      <c r="AR27" s="101"/>
      <c r="AS27" s="80"/>
      <c r="AT27" s="80"/>
      <c r="AU27" s="93" t="str">
        <f ca="1">IF(AV23&lt;&gt;"",
"パン箱","")</f>
        <v/>
      </c>
      <c r="AV27" s="94" t="str">
        <f ca="1">IF(AV23&lt;&gt;"",
IF(OR(COUNTIF('盛付札（関数）'!AV23,"*キャラ*"),COUNTIF('盛付札（関数）'!AV23,"*赤*")),24,
VLOOKUP('盛付札（関数）'!AV23,商品マスタ一覧!$D:$I,6,FALSE)),"")</f>
        <v/>
      </c>
      <c r="AW27" s="93" t="str">
        <f ca="1">IF(AV23&lt;&gt;"",
" 端数","")</f>
        <v/>
      </c>
      <c r="AX27" s="94"/>
      <c r="AY27" s="93" t="str">
        <f ca="1">IF(AV23&lt;&gt;"",
"アレルギー","")</f>
        <v/>
      </c>
      <c r="AZ27" s="101"/>
      <c r="BA27" s="80"/>
      <c r="BB27" s="93" t="str">
        <f ca="1">IF(BC23&lt;&gt;"",
"パン箱","")</f>
        <v/>
      </c>
      <c r="BC27" s="94" t="str">
        <f ca="1">IF(BC23&lt;&gt;"",
IF(OR(COUNTIF('盛付札（関数）'!BC23,"*キャラ*"),COUNTIF('盛付札（関数）'!BC23,"*赤*")),24,
VLOOKUP('盛付札（関数）'!BC23,商品マスタ一覧!$D:$I,6,FALSE)),"")</f>
        <v/>
      </c>
      <c r="BD27" s="93" t="str">
        <f ca="1">IF(BC23&lt;&gt;"",
" 端数","")</f>
        <v/>
      </c>
      <c r="BE27" s="94"/>
      <c r="BF27" s="93" t="str">
        <f ca="1">IF(BC23&lt;&gt;"",
"アレルギー","")</f>
        <v/>
      </c>
      <c r="BG27" s="101"/>
      <c r="BH27" s="80"/>
      <c r="BI27" s="80"/>
      <c r="BJ27" s="93" t="str">
        <f ca="1">IF(BK23&lt;&gt;"",
"パン箱","")</f>
        <v/>
      </c>
      <c r="BK27" s="94" t="str">
        <f ca="1">IF(BK23&lt;&gt;"",
IF(OR(COUNTIF('盛付札（関数）'!BK23,"*キャラ*"),COUNTIF('盛付札（関数）'!BK23,"*赤*")),24,
VLOOKUP('盛付札（関数）'!BK23,商品マスタ一覧!$D:$I,6,FALSE)),"")</f>
        <v/>
      </c>
      <c r="BL27" s="93" t="str">
        <f ca="1">IF(BK23&lt;&gt;"",
" 端数","")</f>
        <v/>
      </c>
      <c r="BM27" s="94"/>
      <c r="BN27" s="93" t="str">
        <f ca="1">IF(BK23&lt;&gt;"",
"アレルギー","")</f>
        <v/>
      </c>
      <c r="BO27" s="101"/>
      <c r="BP27" s="80"/>
      <c r="BQ27" s="93" t="str">
        <f ca="1">IF(BR23&lt;&gt;"",
"パン箱","")</f>
        <v/>
      </c>
      <c r="BR27" s="94" t="str">
        <f ca="1">IF(BR23&lt;&gt;"",
IF(OR(COUNTIF('盛付札（関数）'!BR23,"*キャラ*"),COUNTIF('盛付札（関数）'!BR23,"*赤*")),24,
VLOOKUP('盛付札（関数）'!BR23,商品マスタ一覧!$D:$I,6,FALSE)),"")</f>
        <v/>
      </c>
      <c r="BS27" s="93" t="str">
        <f ca="1">IF(BR23&lt;&gt;"",
" 端数","")</f>
        <v/>
      </c>
      <c r="BT27" s="94"/>
      <c r="BU27" s="93" t="str">
        <f ca="1">IF(BR23&lt;&gt;"",
"アレルギー","")</f>
        <v/>
      </c>
      <c r="BV27" s="101"/>
      <c r="BW27" s="80"/>
      <c r="BX27" s="80"/>
      <c r="BY27" s="93" t="str">
        <f ca="1">IF(BZ23&lt;&gt;"",
"パン箱","")</f>
        <v/>
      </c>
      <c r="BZ27" s="94" t="str">
        <f ca="1">IF(BZ23&lt;&gt;"",
IF(OR(COUNTIF('盛付札（関数）'!BZ23,"*キャラ*"),COUNTIF('盛付札（関数）'!BZ23,"*赤*")),24,
VLOOKUP('盛付札（関数）'!BZ23,商品マスタ一覧!$D:$I,6,FALSE)),"")</f>
        <v/>
      </c>
      <c r="CA27" s="93" t="str">
        <f ca="1">IF(BZ23&lt;&gt;"",
" 端数","")</f>
        <v/>
      </c>
      <c r="CB27" s="94"/>
      <c r="CC27" s="93" t="str">
        <f ca="1">IF(BZ23&lt;&gt;"",
"アレルギー","")</f>
        <v/>
      </c>
      <c r="CD27" s="101"/>
      <c r="CE27" s="80"/>
      <c r="CF27" s="93" t="str">
        <f ca="1">IF(CG23&lt;&gt;"",
"パン箱","")</f>
        <v/>
      </c>
      <c r="CG27" s="94" t="str">
        <f ca="1">IF(CG23&lt;&gt;"",
IF(OR(COUNTIF('盛付札（関数）'!CG23,"*キャラ*"),COUNTIF('盛付札（関数）'!CG23,"*赤*")),24,
VLOOKUP('盛付札（関数）'!CG23,商品マスタ一覧!$D:$I,6,FALSE)),"")</f>
        <v/>
      </c>
      <c r="CH27" s="93" t="str">
        <f ca="1">IF(CG23&lt;&gt;"",
" 端数","")</f>
        <v/>
      </c>
      <c r="CI27" s="94"/>
      <c r="CJ27" s="93" t="str">
        <f ca="1">IF(CG23&lt;&gt;"",
"アレルギー","")</f>
        <v/>
      </c>
      <c r="CK27" s="101"/>
      <c r="CL27" s="80"/>
      <c r="CM27" s="80"/>
      <c r="CN27" s="93" t="str">
        <f ca="1">IF(CO23&lt;&gt;"",
"パン箱","")</f>
        <v/>
      </c>
      <c r="CO27" s="94" t="str">
        <f ca="1">IF(CO23&lt;&gt;"",
IF(OR(COUNTIF('盛付札（関数）'!CO23,"*キャラ*"),COUNTIF('盛付札（関数）'!CO23,"*赤*")),24,
VLOOKUP('盛付札（関数）'!CO23,商品マスタ一覧!$D:$I,6,FALSE)),"")</f>
        <v/>
      </c>
      <c r="CP27" s="93" t="str">
        <f ca="1">IF(CO23&lt;&gt;"",
" 端数","")</f>
        <v/>
      </c>
      <c r="CQ27" s="94"/>
      <c r="CR27" s="93" t="str">
        <f ca="1">IF(CO23&lt;&gt;"",
"アレルギー","")</f>
        <v/>
      </c>
      <c r="CS27" s="101"/>
      <c r="CT27" s="80"/>
      <c r="CU27" s="93" t="str">
        <f ca="1">IF(CV23&lt;&gt;"",
"パン箱","")</f>
        <v/>
      </c>
      <c r="CV27" s="94" t="str">
        <f ca="1">IF(CV23&lt;&gt;"",
IF(OR(COUNTIF('盛付札（関数）'!CV23,"*キャラ*"),COUNTIF('盛付札（関数）'!CV23,"*赤*")),24,
VLOOKUP('盛付札（関数）'!CV23,商品マスタ一覧!$D:$I,6,FALSE)),"")</f>
        <v/>
      </c>
      <c r="CW27" s="93" t="str">
        <f ca="1">IF(CV23&lt;&gt;"",
" 端数","")</f>
        <v/>
      </c>
      <c r="CX27" s="94"/>
      <c r="CY27" s="93" t="str">
        <f ca="1">IF(CV23&lt;&gt;"",
"アレルギー","")</f>
        <v/>
      </c>
      <c r="CZ27" s="101"/>
      <c r="DA27" s="80"/>
      <c r="DB27" s="80"/>
      <c r="DC27" s="93" t="str">
        <f ca="1">IF(DD23&lt;&gt;"",
"パン箱","")</f>
        <v/>
      </c>
      <c r="DD27" s="94" t="str">
        <f ca="1">IF(DD23&lt;&gt;"",
IF(OR(COUNTIF('盛付札（関数）'!DD23,"*キャラ*"),COUNTIF('盛付札（関数）'!DD23,"*赤*")),24,
VLOOKUP('盛付札（関数）'!DD23,商品マスタ一覧!$D:$I,6,FALSE)),"")</f>
        <v/>
      </c>
      <c r="DE27" s="93" t="str">
        <f ca="1">IF(DD23&lt;&gt;"",
" 端数","")</f>
        <v/>
      </c>
      <c r="DF27" s="94"/>
      <c r="DG27" s="93" t="str">
        <f ca="1">IF(DD23&lt;&gt;"",
"アレルギー","")</f>
        <v/>
      </c>
      <c r="DH27" s="101"/>
      <c r="DI27" s="80"/>
      <c r="DJ27" s="93" t="str">
        <f ca="1">IF(DK23&lt;&gt;"",
"パン箱","")</f>
        <v/>
      </c>
      <c r="DK27" s="94" t="str">
        <f ca="1">IF(DK23&lt;&gt;"",
IF(OR(COUNTIF('盛付札（関数）'!DK23,"*キャラ*"),COUNTIF('盛付札（関数）'!DK23,"*赤*")),24,
VLOOKUP('盛付札（関数）'!DK23,商品マスタ一覧!$D:$I,6,FALSE)),"")</f>
        <v/>
      </c>
      <c r="DL27" s="93" t="str">
        <f ca="1">IF(DK23&lt;&gt;"",
" 端数","")</f>
        <v/>
      </c>
      <c r="DM27" s="94"/>
      <c r="DN27" s="93" t="str">
        <f ca="1">IF(DK23&lt;&gt;"",
"アレルギー","")</f>
        <v/>
      </c>
      <c r="DO27" s="101"/>
      <c r="DP27" s="80"/>
      <c r="DQ27" s="80"/>
      <c r="DR27" s="93" t="str">
        <f ca="1">IF(DS23&lt;&gt;"",
"パン箱","")</f>
        <v/>
      </c>
      <c r="DS27" s="94" t="str">
        <f ca="1">IF(DS23&lt;&gt;"",
IF(OR(COUNTIF('盛付札（関数）'!DS23,"*キャラ*"),COUNTIF('盛付札（関数）'!DS23,"*赤*")),24,
VLOOKUP('盛付札（関数）'!DS23,商品マスタ一覧!$D:$I,6,FALSE)),"")</f>
        <v/>
      </c>
      <c r="DT27" s="93" t="str">
        <f ca="1">IF(DS23&lt;&gt;"",
" 端数","")</f>
        <v/>
      </c>
      <c r="DU27" s="94"/>
      <c r="DV27" s="93" t="str">
        <f ca="1">IF(DS23&lt;&gt;"",
"アレルギー","")</f>
        <v/>
      </c>
      <c r="DW27" s="101"/>
      <c r="DX27" s="80"/>
      <c r="DY27" s="93" t="str">
        <f ca="1">IF(DZ23&lt;&gt;"",
"パン箱","")</f>
        <v/>
      </c>
      <c r="DZ27" s="94" t="str">
        <f ca="1">IF(DZ23&lt;&gt;"",
IF(OR(COUNTIF('盛付札（関数）'!DZ23,"*キャラ*"),COUNTIF('盛付札（関数）'!DZ23,"*赤*")),24,
VLOOKUP('盛付札（関数）'!DZ23,商品マスタ一覧!$D:$I,6,FALSE)),"")</f>
        <v/>
      </c>
      <c r="EA27" s="93" t="str">
        <f ca="1">IF(DZ23&lt;&gt;"",
" 端数","")</f>
        <v/>
      </c>
      <c r="EB27" s="94"/>
      <c r="EC27" s="93" t="str">
        <f ca="1">IF(DZ23&lt;&gt;"",
"アレルギー","")</f>
        <v/>
      </c>
      <c r="ED27" s="101"/>
      <c r="EE27" s="80"/>
      <c r="EF27" s="80"/>
      <c r="EG27" s="93" t="str">
        <f ca="1">IF(EH23&lt;&gt;"",
"パン箱","")</f>
        <v/>
      </c>
      <c r="EH27" s="94" t="str">
        <f ca="1">IF(EH23&lt;&gt;"",
IF(OR(COUNTIF('盛付札（関数）'!EH23,"*キャラ*"),COUNTIF('盛付札（関数）'!EH23,"*赤*")),24,
VLOOKUP('盛付札（関数）'!EH23,商品マスタ一覧!$D:$I,6,FALSE)),"")</f>
        <v/>
      </c>
      <c r="EI27" s="93" t="str">
        <f ca="1">IF(EH23&lt;&gt;"",
" 端数","")</f>
        <v/>
      </c>
      <c r="EJ27" s="94"/>
      <c r="EK27" s="93" t="str">
        <f ca="1">IF(EH23&lt;&gt;"",
"アレルギー","")</f>
        <v/>
      </c>
      <c r="EL27" s="101"/>
      <c r="EM27" s="80"/>
      <c r="EN27" s="93" t="str">
        <f ca="1">IF(EO23&lt;&gt;"",
"パン箱","")</f>
        <v/>
      </c>
      <c r="EO27" s="94" t="str">
        <f ca="1">IF(EO23&lt;&gt;"",
IF(OR(COUNTIF('盛付札（関数）'!EO23,"*キャラ*"),COUNTIF('盛付札（関数）'!EO23,"*赤*")),24,
VLOOKUP('盛付札（関数）'!EO23,商品マスタ一覧!$D:$I,6,FALSE)),"")</f>
        <v/>
      </c>
      <c r="EP27" s="93" t="str">
        <f ca="1">IF(EO23&lt;&gt;"",
" 端数","")</f>
        <v/>
      </c>
      <c r="EQ27" s="94"/>
      <c r="ER27" s="93" t="str">
        <f ca="1">IF(EO23&lt;&gt;"",
"アレルギー","")</f>
        <v/>
      </c>
      <c r="ES27" s="101"/>
      <c r="ET27" s="110"/>
      <c r="EV27" s="83" t="str">
        <f ca="1">Y1</f>
        <v/>
      </c>
      <c r="EW27" s="83" t="str">
        <f ca="1">Y2</f>
        <v/>
      </c>
      <c r="EX27" s="83" t="str">
        <f ca="1">AA2</f>
        <v/>
      </c>
      <c r="EY27" s="84" t="str">
        <f ca="1">AB2</f>
        <v/>
      </c>
      <c r="EZ27" s="84" t="str">
        <f ca="1">AC2</f>
        <v/>
      </c>
      <c r="FA27" s="83" t="e">
        <f ca="1">Y4</f>
        <v>#VALUE!</v>
      </c>
      <c r="FB27" s="83" t="str">
        <f ca="1">AA4</f>
        <v/>
      </c>
      <c r="FC27" s="83" t="str">
        <f ca="1">Y6</f>
        <v/>
      </c>
      <c r="FD27" s="83" t="e">
        <f ca="1">X7</f>
        <v>#VALUE!</v>
      </c>
      <c r="FE27" s="83" t="str">
        <f ca="1">Z7</f>
        <v/>
      </c>
      <c r="FF27" s="83" t="e">
        <f ca="1">AB7</f>
        <v>#N/A</v>
      </c>
      <c r="FG27" s="82">
        <f t="shared" ca="1" si="0"/>
        <v>0</v>
      </c>
      <c r="FH27" s="82" t="e">
        <f t="array" aca="1" ref="FH27" ca="1">SUMPRODUCT((LEN(EV27:FF27)&gt;0)*1)&gt;0</f>
        <v>#VALUE!</v>
      </c>
      <c r="FI27" s="82" t="str">
        <f t="array" aca="1" ref="FI27" ca="1">IFERROR(SMALL(IF(FG$1:FG$173&lt;&gt;0,FG$1:FG$173),ROW(A27)),"")</f>
        <v/>
      </c>
      <c r="FJ27" s="82" t="str">
        <f t="array" aca="1" ref="FJ27" ca="1">IF($FI27&lt;&gt;"",
INDIRECT(""&amp;IF(COLUMN(EV27)&lt;=26,CHAR(COLUMN(EV27)+64),CHAR(INT((COLUMN(EV27)-1)/26)+64)&amp;CHAR(MOD(COLUMN(EV27)-1,26)+65))&amp;$FI27&amp;""),"")</f>
        <v/>
      </c>
      <c r="FK27" s="82" t="str">
        <f t="array" aca="1" ref="FK27" ca="1">IF($FI27&lt;&gt;"",
INDIRECT(""&amp;IF(COLUMN(EW27)&lt;=26,CHAR(COLUMN(EW27)+64),CHAR(INT((COLUMN(EW27)-1)/26)+64)&amp;CHAR(MOD(COLUMN(EW27)-1,26)+65))&amp;$FI27&amp;""),"")</f>
        <v/>
      </c>
      <c r="FL27" s="82" t="str">
        <f t="array" aca="1" ref="FL27" ca="1">IF($FI27&lt;&gt;"",
INDIRECT(""&amp;IF(COLUMN(EX27)&lt;=26,CHAR(COLUMN(EX27)+64),CHAR(INT((COLUMN(EX27)-1)/26)+64)&amp;CHAR(MOD(COLUMN(EX27)-1,26)+65))&amp;$FI27&amp;""),"")</f>
        <v/>
      </c>
      <c r="FM27" s="82" t="str">
        <f t="array" aca="1" ref="FM27" ca="1">IF($FI27&lt;&gt;"",
IF(FL27="",
IF(INDIRECT("EY"&amp;$FI27&amp;"")&lt;&gt;"",
INDIRECT("EY"&amp;$FI27&amp;"")&amp;"箱"
&amp;INDIRECT("EZ"&amp;$FI27&amp;""),""),""),"")</f>
        <v/>
      </c>
      <c r="FN27" s="82" t="str">
        <f t="array" aca="1" ref="FN27" ca="1">IF($FI27&lt;&gt;"",
INDIRECT(""&amp;IF(COLUMN(FA27)&lt;=26,CHAR(COLUMN(FA27)+64),CHAR(INT((COLUMN(FA27)-1)/26)+64)&amp;CHAR(MOD(COLUMN(FA27)-1,26)+65))&amp;$FI27&amp;""),"")</f>
        <v/>
      </c>
      <c r="FO27" s="82" t="str">
        <f t="array" aca="1" ref="FO27" ca="1">IF($FI27&lt;&gt;"",
INDIRECT(""&amp;IF(COLUMN(FB27)&lt;=26,CHAR(COLUMN(FB27)+64),CHAR(INT((COLUMN(FB27)-1)/26)+64)&amp;CHAR(MOD(COLUMN(FB27)-1,26)+65))&amp;$FI27&amp;""),"")</f>
        <v/>
      </c>
      <c r="FP27" s="82" t="str">
        <f t="array" aca="1" ref="FP27" ca="1">IF($FI27&lt;&gt;"",
INDIRECT(""&amp;IF(COLUMN(FC27)&lt;=26,CHAR(COLUMN(FC27)+64),CHAR(INT((COLUMN(FC27)-1)/26)+64)&amp;CHAR(MOD(COLUMN(FC27)-1,26)+65))&amp;$FI27&amp;""),"")</f>
        <v/>
      </c>
      <c r="FQ27" s="82" t="str">
        <f t="array" aca="1" ref="FQ27" ca="1">IF($FI27&lt;&gt;"",
INDIRECT(""&amp;IF(COLUMN(FD27)&lt;=26,CHAR(COLUMN(FD27)+64),CHAR(INT((COLUMN(FD27)-1)/26)+64)&amp;CHAR(MOD(COLUMN(FD27)-1,26)+65))&amp;$FI27&amp;""),"")</f>
        <v/>
      </c>
      <c r="FR27" s="82" t="str">
        <f t="array" aca="1" ref="FR27" ca="1">IF($FI27&lt;&gt;"",
INDIRECT(""&amp;IF(COLUMN(FE27)&lt;=26,CHAR(COLUMN(FE27)+64),CHAR(INT((COLUMN(FE27)-1)/26)+64)&amp;CHAR(MOD(COLUMN(FE27)-1,26)+65))&amp;$FI27&amp;""),"")</f>
        <v/>
      </c>
      <c r="FS27" s="82" t="str">
        <f t="array" aca="1" ref="FS27" ca="1">IF($FI27&lt;&gt;"",
INDIRECT(""&amp;IF(COLUMN(FF27)&lt;=26,CHAR(COLUMN(FF27)+64),CHAR(INT((COLUMN(FF27)-1)/26)+64)&amp;CHAR(MOD(COLUMN(FF27)-1,26)+65))&amp;$FI27&amp;""),"")</f>
        <v/>
      </c>
    </row>
    <row r="28" spans="1:175" ht="21" customHeight="1" x14ac:dyDescent="0.45">
      <c r="B28" s="196" t="e">
        <f ca="1">IF(C25&lt;&gt;"",
IFERROR(INT(C25/C27),""),"")</f>
        <v>#VALUE!</v>
      </c>
      <c r="C28" s="195"/>
      <c r="D28" s="196" t="str">
        <f ca="1">IFERROR(MOD(C25,C27),"")</f>
        <v/>
      </c>
      <c r="E28" s="195"/>
      <c r="F28" s="194" t="e">
        <f ca="1">G24+G25</f>
        <v>#N/A</v>
      </c>
      <c r="G28" s="195"/>
      <c r="I28" s="196" t="e">
        <f ca="1">IF(J25&lt;&gt;"",
IFERROR(INT(J25/J27),""),"")</f>
        <v>#VALUE!</v>
      </c>
      <c r="J28" s="195"/>
      <c r="K28" s="196" t="str">
        <f ca="1">IFERROR(MOD(J25,J27),"")</f>
        <v/>
      </c>
      <c r="L28" s="195"/>
      <c r="M28" s="194" t="e">
        <f ca="1">N24+N25</f>
        <v>#N/A</v>
      </c>
      <c r="N28" s="195"/>
      <c r="Q28" s="196" t="e">
        <f ca="1">IF(R25&lt;&gt;"",
IFERROR(INT(R25/R27),""),"")</f>
        <v>#VALUE!</v>
      </c>
      <c r="R28" s="195"/>
      <c r="S28" s="196" t="str">
        <f ca="1">IFERROR(MOD(R25,R27),"")</f>
        <v/>
      </c>
      <c r="T28" s="195"/>
      <c r="U28" s="194" t="e">
        <f ca="1">V24+V25</f>
        <v>#N/A</v>
      </c>
      <c r="V28" s="195"/>
      <c r="X28" s="196" t="e">
        <f ca="1">IF(Y25&lt;&gt;"",
IFERROR(INT(Y25/Y27),""),"")</f>
        <v>#VALUE!</v>
      </c>
      <c r="Y28" s="195"/>
      <c r="Z28" s="196" t="str">
        <f ca="1">IFERROR(MOD(Y25,Y27),"")</f>
        <v/>
      </c>
      <c r="AA28" s="195"/>
      <c r="AB28" s="194" t="e">
        <f ca="1">AC24+AC25</f>
        <v>#N/A</v>
      </c>
      <c r="AC28" s="195"/>
      <c r="AF28" s="196" t="e">
        <f ca="1">IF(AG25&lt;&gt;"",
IFERROR(INT(AG25/AG27),""),"")</f>
        <v>#VALUE!</v>
      </c>
      <c r="AG28" s="195"/>
      <c r="AH28" s="196" t="str">
        <f ca="1">IFERROR(MOD(AG25,AG27),"")</f>
        <v/>
      </c>
      <c r="AI28" s="195"/>
      <c r="AJ28" s="194" t="e">
        <f ca="1">AK24+AK25</f>
        <v>#N/A</v>
      </c>
      <c r="AK28" s="195"/>
      <c r="AM28" s="196" t="e">
        <f ca="1">IF(AN25&lt;&gt;"",
IFERROR(INT(AN25/AN27),""),"")</f>
        <v>#VALUE!</v>
      </c>
      <c r="AN28" s="195"/>
      <c r="AO28" s="196" t="str">
        <f ca="1">IFERROR(MOD(AN25,AN27),"")</f>
        <v/>
      </c>
      <c r="AP28" s="195"/>
      <c r="AQ28" s="194" t="e">
        <f ca="1">AR24+AR25</f>
        <v>#N/A</v>
      </c>
      <c r="AR28" s="195"/>
      <c r="AU28" s="196" t="e">
        <f ca="1">IF(AV25&lt;&gt;"",
IFERROR(INT(AV25/AV27),""),"")</f>
        <v>#VALUE!</v>
      </c>
      <c r="AV28" s="195"/>
      <c r="AW28" s="196" t="str">
        <f ca="1">IFERROR(MOD(AV25,AV27),"")</f>
        <v/>
      </c>
      <c r="AX28" s="195"/>
      <c r="AY28" s="194" t="e">
        <f ca="1">AZ24+AZ25</f>
        <v>#N/A</v>
      </c>
      <c r="AZ28" s="195"/>
      <c r="BB28" s="196" t="e">
        <f ca="1">IF(BC25&lt;&gt;"",
IFERROR(INT(BC25/BC27),""),"")</f>
        <v>#VALUE!</v>
      </c>
      <c r="BC28" s="195"/>
      <c r="BD28" s="196" t="str">
        <f ca="1">IFERROR(MOD(BC25,BC27),"")</f>
        <v/>
      </c>
      <c r="BE28" s="195"/>
      <c r="BF28" s="194" t="e">
        <f ca="1">BG24+BG25</f>
        <v>#N/A</v>
      </c>
      <c r="BG28" s="195"/>
      <c r="BJ28" s="196" t="e">
        <f ca="1">IF(BK25&lt;&gt;"",
IFERROR(INT(BK25/BK27),""),"")</f>
        <v>#VALUE!</v>
      </c>
      <c r="BK28" s="195"/>
      <c r="BL28" s="196" t="str">
        <f ca="1">IFERROR(MOD(BK25,BK27),"")</f>
        <v/>
      </c>
      <c r="BM28" s="195"/>
      <c r="BN28" s="194" t="e">
        <f ca="1">BO24+BO25</f>
        <v>#N/A</v>
      </c>
      <c r="BO28" s="195"/>
      <c r="BQ28" s="196" t="e">
        <f ca="1">IF(BR25&lt;&gt;"",
IFERROR(INT(BR25/BR27),""),"")</f>
        <v>#VALUE!</v>
      </c>
      <c r="BR28" s="195"/>
      <c r="BS28" s="196" t="str">
        <f ca="1">IFERROR(MOD(BR25,BR27),"")</f>
        <v/>
      </c>
      <c r="BT28" s="195"/>
      <c r="BU28" s="194" t="e">
        <f ca="1">BV24+BV25</f>
        <v>#N/A</v>
      </c>
      <c r="BV28" s="195"/>
      <c r="BY28" s="196" t="e">
        <f ca="1">IF(BZ25&lt;&gt;"",
IFERROR(INT(BZ25/BZ27),""),"")</f>
        <v>#VALUE!</v>
      </c>
      <c r="BZ28" s="195"/>
      <c r="CA28" s="196" t="str">
        <f ca="1">IFERROR(MOD(BZ25,BZ27),"")</f>
        <v/>
      </c>
      <c r="CB28" s="195"/>
      <c r="CC28" s="194" t="e">
        <f ca="1">CD24+CD25</f>
        <v>#N/A</v>
      </c>
      <c r="CD28" s="195"/>
      <c r="CF28" s="196" t="e">
        <f ca="1">IF(CG25&lt;&gt;"",
IFERROR(INT(CG25/CG27),""),"")</f>
        <v>#VALUE!</v>
      </c>
      <c r="CG28" s="195"/>
      <c r="CH28" s="196" t="str">
        <f ca="1">IFERROR(MOD(CG25,CG27),"")</f>
        <v/>
      </c>
      <c r="CI28" s="195"/>
      <c r="CJ28" s="194" t="e">
        <f ca="1">CK24+CK25</f>
        <v>#N/A</v>
      </c>
      <c r="CK28" s="195"/>
      <c r="CN28" s="196" t="e">
        <f ca="1">IF(CO25&lt;&gt;"",
IFERROR(INT(CO25/CO27),""),"")</f>
        <v>#VALUE!</v>
      </c>
      <c r="CO28" s="195"/>
      <c r="CP28" s="196" t="str">
        <f ca="1">IFERROR(MOD(CO25,CO27),"")</f>
        <v/>
      </c>
      <c r="CQ28" s="195"/>
      <c r="CR28" s="194" t="e">
        <f ca="1">CS24+CS25</f>
        <v>#N/A</v>
      </c>
      <c r="CS28" s="195"/>
      <c r="CU28" s="196" t="e">
        <f ca="1">IF(CV25&lt;&gt;"",
IFERROR(INT(CV25/CV27),""),"")</f>
        <v>#VALUE!</v>
      </c>
      <c r="CV28" s="195"/>
      <c r="CW28" s="196" t="str">
        <f ca="1">IFERROR(MOD(CV25,CV27),"")</f>
        <v/>
      </c>
      <c r="CX28" s="195"/>
      <c r="CY28" s="194" t="e">
        <f ca="1">CZ24+CZ25</f>
        <v>#N/A</v>
      </c>
      <c r="CZ28" s="195"/>
      <c r="DC28" s="196" t="e">
        <f ca="1">IF(DD25&lt;&gt;"",
IFERROR(INT(DD25/DD27),""),"")</f>
        <v>#VALUE!</v>
      </c>
      <c r="DD28" s="195"/>
      <c r="DE28" s="196" t="str">
        <f ca="1">IFERROR(MOD(DD25,DD27),"")</f>
        <v/>
      </c>
      <c r="DF28" s="195"/>
      <c r="DG28" s="194" t="e">
        <f ca="1">DH24+DH25</f>
        <v>#N/A</v>
      </c>
      <c r="DH28" s="195"/>
      <c r="DJ28" s="196" t="e">
        <f ca="1">IF(DK25&lt;&gt;"",
IFERROR(INT(DK25/DK27),""),"")</f>
        <v>#VALUE!</v>
      </c>
      <c r="DK28" s="195"/>
      <c r="DL28" s="196" t="str">
        <f ca="1">IFERROR(MOD(DK25,DK27),"")</f>
        <v/>
      </c>
      <c r="DM28" s="195"/>
      <c r="DN28" s="194" t="e">
        <f ca="1">DO24+DO25</f>
        <v>#N/A</v>
      </c>
      <c r="DO28" s="195"/>
      <c r="DR28" s="196" t="e">
        <f ca="1">IF(DS25&lt;&gt;"",
IFERROR(INT(DS25/DS27),""),"")</f>
        <v>#VALUE!</v>
      </c>
      <c r="DS28" s="195"/>
      <c r="DT28" s="196" t="str">
        <f ca="1">IFERROR(MOD(DS25,DS27),"")</f>
        <v/>
      </c>
      <c r="DU28" s="195"/>
      <c r="DV28" s="194" t="e">
        <f ca="1">DW24+DW25</f>
        <v>#N/A</v>
      </c>
      <c r="DW28" s="195"/>
      <c r="DY28" s="196" t="e">
        <f ca="1">IF(DZ25&lt;&gt;"",
IFERROR(INT(DZ25/DZ27),""),"")</f>
        <v>#VALUE!</v>
      </c>
      <c r="DZ28" s="195"/>
      <c r="EA28" s="196" t="str">
        <f ca="1">IFERROR(MOD(DZ25,DZ27),"")</f>
        <v/>
      </c>
      <c r="EB28" s="195"/>
      <c r="EC28" s="194" t="e">
        <f ca="1">ED24+ED25</f>
        <v>#N/A</v>
      </c>
      <c r="ED28" s="195"/>
      <c r="EG28" s="196" t="e">
        <f ca="1">IF(EH25&lt;&gt;"",
IFERROR(INT(EH25/EH27),""),"")</f>
        <v>#VALUE!</v>
      </c>
      <c r="EH28" s="195"/>
      <c r="EI28" s="196" t="str">
        <f ca="1">IFERROR(MOD(EH25,EH27),"")</f>
        <v/>
      </c>
      <c r="EJ28" s="195"/>
      <c r="EK28" s="194" t="e">
        <f ca="1">EL24+EL25</f>
        <v>#N/A</v>
      </c>
      <c r="EL28" s="195"/>
      <c r="EN28" s="196" t="e">
        <f ca="1">IF(EO25&lt;&gt;"",
IFERROR(INT(EO25/EO27),""),"")</f>
        <v>#VALUE!</v>
      </c>
      <c r="EO28" s="195"/>
      <c r="EP28" s="196" t="str">
        <f ca="1">IFERROR(MOD(EO25,EO27),"")</f>
        <v/>
      </c>
      <c r="EQ28" s="195"/>
      <c r="ER28" s="194" t="e">
        <f ca="1">ES24+ES25</f>
        <v>#N/A</v>
      </c>
      <c r="ES28" s="195"/>
      <c r="ET28" s="75"/>
      <c r="EU28" s="82">
        <v>42</v>
      </c>
      <c r="EV28" s="82" t="str">
        <f t="array" aca="1" ref="EV28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LEN(SUBSTITUTE(_xlfn.FORMULATEXT(EV$27),"=","")))+$EU28)</f>
        <v/>
      </c>
      <c r="EW28" s="82" t="str">
        <f t="array" aca="1" ref="EW28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LEN(SUBSTITUTE(_xlfn.FORMULATEXT(EW$27),"=","")))+$EU28)</f>
        <v/>
      </c>
      <c r="EX28" s="82" t="str">
        <f t="array" aca="1" ref="EX28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LEN(SUBSTITUTE(_xlfn.FORMULATEXT(EX$27),"=","")))+$EU28)</f>
        <v/>
      </c>
      <c r="EY28" s="82" t="str">
        <f t="array" aca="1" ref="EY28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LEN(SUBSTITUTE(_xlfn.FORMULATEXT(EY$27),"=","")))+$EU28)</f>
        <v/>
      </c>
      <c r="EZ28" s="82" t="str">
        <f t="array" aca="1" ref="EZ28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LEN(SUBSTITUTE(_xlfn.FORMULATEXT(EZ$27),"=","")))+$EU28)</f>
        <v/>
      </c>
      <c r="FA28" s="82" t="str">
        <f t="array" aca="1" ref="FA28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LEN(SUBSTITUTE(_xlfn.FORMULATEXT(FA$27),"=","")))+$EU28)</f>
        <v/>
      </c>
      <c r="FB28" s="82" t="str">
        <f t="array" aca="1" ref="FB28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LEN(SUBSTITUTE(_xlfn.FORMULATEXT(FB$27),"=","")))+$EU28)</f>
        <v/>
      </c>
      <c r="FC28" s="82" t="str">
        <f t="array" aca="1" ref="FC28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LEN(SUBSTITUTE(_xlfn.FORMULATEXT(FC$27),"=","")))+$EU28)</f>
        <v/>
      </c>
      <c r="FD28" s="82" t="str">
        <f t="array" aca="1" ref="FD28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LEN(SUBSTITUTE(_xlfn.FORMULATEXT(FD$27),"=","")))+$EU28)</f>
        <v/>
      </c>
      <c r="FE28" s="82" t="str">
        <f t="array" aca="1" ref="FE28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LEN(SUBSTITUTE(_xlfn.FORMULATEXT(FE$27),"=","")))+$EU28)</f>
        <v/>
      </c>
      <c r="FF28" s="82" t="str">
        <f t="array" aca="1" ref="FF28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LEN(SUBSTITUTE(_xlfn.FORMULATEXT(FF$27),"=","")))+$EU28)</f>
        <v/>
      </c>
      <c r="FG28" s="82">
        <f t="shared" ca="1" si="0"/>
        <v>0</v>
      </c>
      <c r="FH28" s="82" t="b">
        <f t="array" aca="1" ref="FH28" ca="1">SUMPRODUCT((LEN(EV28:FF28)&gt;0)*1)&gt;0</f>
        <v>0</v>
      </c>
      <c r="FI28" s="82" t="str">
        <f t="array" aca="1" ref="FI28" ca="1">IFERROR(SMALL(IF(FG$1:FG$173&lt;&gt;0,FG$1:FG$173),ROW(A28)),"")</f>
        <v/>
      </c>
      <c r="FJ28" s="82" t="str">
        <f t="array" aca="1" ref="FJ28" ca="1">IF($FI28&lt;&gt;"",
INDIRECT(""&amp;IF(COLUMN(EV28)&lt;=26,CHAR(COLUMN(EV28)+64),CHAR(INT((COLUMN(EV28)-1)/26)+64)&amp;CHAR(MOD(COLUMN(EV28)-1,26)+65))&amp;$FI28&amp;""),"")</f>
        <v/>
      </c>
      <c r="FK28" s="82" t="str">
        <f t="array" aca="1" ref="FK28" ca="1">IF($FI28&lt;&gt;"",
INDIRECT(""&amp;IF(COLUMN(EW28)&lt;=26,CHAR(COLUMN(EW28)+64),CHAR(INT((COLUMN(EW28)-1)/26)+64)&amp;CHAR(MOD(COLUMN(EW28)-1,26)+65))&amp;$FI28&amp;""),"")</f>
        <v/>
      </c>
      <c r="FL28" s="82" t="str">
        <f t="array" aca="1" ref="FL28" ca="1">IF($FI28&lt;&gt;"",
INDIRECT(""&amp;IF(COLUMN(EX28)&lt;=26,CHAR(COLUMN(EX28)+64),CHAR(INT((COLUMN(EX28)-1)/26)+64)&amp;CHAR(MOD(COLUMN(EX28)-1,26)+65))&amp;$FI28&amp;""),"")</f>
        <v/>
      </c>
      <c r="FM28" s="82" t="str">
        <f t="array" aca="1" ref="FM28" ca="1">IF($FI28&lt;&gt;"",
IF(FL28="",
IF(INDIRECT("EY"&amp;$FI28&amp;"")&lt;&gt;"",
INDIRECT("EY"&amp;$FI28&amp;"")&amp;"箱"
&amp;INDIRECT("EZ"&amp;$FI28&amp;""),""),""),"")</f>
        <v/>
      </c>
      <c r="FN28" s="82" t="str">
        <f t="array" aca="1" ref="FN28" ca="1">IF($FI28&lt;&gt;"",
INDIRECT(""&amp;IF(COLUMN(FA28)&lt;=26,CHAR(COLUMN(FA28)+64),CHAR(INT((COLUMN(FA28)-1)/26)+64)&amp;CHAR(MOD(COLUMN(FA28)-1,26)+65))&amp;$FI28&amp;""),"")</f>
        <v/>
      </c>
      <c r="FO28" s="82" t="str">
        <f t="array" aca="1" ref="FO28" ca="1">IF($FI28&lt;&gt;"",
INDIRECT(""&amp;IF(COLUMN(FB28)&lt;=26,CHAR(COLUMN(FB28)+64),CHAR(INT((COLUMN(FB28)-1)/26)+64)&amp;CHAR(MOD(COLUMN(FB28)-1,26)+65))&amp;$FI28&amp;""),"")</f>
        <v/>
      </c>
      <c r="FP28" s="82" t="str">
        <f t="array" aca="1" ref="FP28" ca="1">IF($FI28&lt;&gt;"",
INDIRECT(""&amp;IF(COLUMN(FC28)&lt;=26,CHAR(COLUMN(FC28)+64),CHAR(INT((COLUMN(FC28)-1)/26)+64)&amp;CHAR(MOD(COLUMN(FC28)-1,26)+65))&amp;$FI28&amp;""),"")</f>
        <v/>
      </c>
      <c r="FQ28" s="82" t="str">
        <f t="array" aca="1" ref="FQ28" ca="1">IF($FI28&lt;&gt;"",
INDIRECT(""&amp;IF(COLUMN(FD28)&lt;=26,CHAR(COLUMN(FD28)+64),CHAR(INT((COLUMN(FD28)-1)/26)+64)&amp;CHAR(MOD(COLUMN(FD28)-1,26)+65))&amp;$FI28&amp;""),"")</f>
        <v/>
      </c>
      <c r="FR28" s="82" t="str">
        <f t="array" aca="1" ref="FR28" ca="1">IF($FI28&lt;&gt;"",
INDIRECT(""&amp;IF(COLUMN(FE28)&lt;=26,CHAR(COLUMN(FE28)+64),CHAR(INT((COLUMN(FE28)-1)/26)+64)&amp;CHAR(MOD(COLUMN(FE28)-1,26)+65))&amp;$FI28&amp;""),"")</f>
        <v/>
      </c>
      <c r="FS28" s="82" t="str">
        <f t="array" aca="1" ref="FS28" ca="1">IF($FI28&lt;&gt;"",
INDIRECT(""&amp;IF(COLUMN(FF28)&lt;=26,CHAR(COLUMN(FF28)+64),CHAR(INT((COLUMN(FF28)-1)/26)+64)&amp;CHAR(MOD(COLUMN(FF28)-1,26)+65))&amp;$FI28&amp;""),"")</f>
        <v/>
      </c>
    </row>
    <row r="29" spans="1:175" s="82" customFormat="1" ht="18" customHeight="1" x14ac:dyDescent="0.55000000000000004">
      <c r="A29" s="80">
        <f t="array" aca="1" ref="A29" ca="1">IF(AND(G22&lt;&gt;"社食",N22="社食"),I22,
IF(AND(LEFT(N22,2)="博多",LEFT(INDIRECT("数出表_Excel!A"&amp;I22-1),2)=LEFT(INDIRECT("数出表_Excel!A"&amp;I22+1),2)),
IF(AND(LEFT(INDIRECT("数出表_Excel!A"&amp;I22+2),2)="博多",LEFT(INDIRECT("数出表_Excel!A"&amp;I22+1),2)=LEFT(INDIRECT("数出表_Excel!A"&amp;I22+3),2)),
IF(AND(LEFT(INDIRECT("数出表_Excel!A"&amp;I22+4),2)="博多",LEFT(INDIRECT("数出表_Excel!A"&amp;I22+3),2)=LEFT(INDIRECT("数出表_Excel!A"&amp;I22+5),2)),
I22+8,
I22+6),
I22+4),
IF(LEFT(N22,3)="奈良屋",
IF(LEFT(INDIRECT("数出表_Excel!A"&amp;I22+2),3)="奈良屋",
IF(LEFT(INDIRECT("数出表_Excel!A"&amp;I22+4),3)="奈良屋",
I22+6,
I22+4),
I22+2),
I22+2)))</f>
        <v>23</v>
      </c>
      <c r="B29" s="81">
        <f t="array" aca="1" ref="B29" ca="1">GetResult(A30)</f>
        <v>23</v>
      </c>
      <c r="C29" s="191" t="str">
        <f ca="1">IF(C30&lt;&gt;"",
IF(LEFT(G29,2)="博多",
LEFT(G29,FIND("週",G29)-1),
G29),"")</f>
        <v/>
      </c>
      <c r="D29" s="192"/>
      <c r="E29" s="192"/>
      <c r="F29" s="192"/>
      <c r="G29" s="99">
        <f t="array" aca="1" ref="G29" ca="1">INDIRECT("数出表_Excel!A"&amp;B29)</f>
        <v>0</v>
      </c>
      <c r="H29" s="80">
        <f t="array" aca="1" ref="H29" ca="1">IF(AND(N22&lt;&gt;"社食",G29="社食"),B29,
IF(AND(LEFT(G29,2)="博多",LEFT(INDIRECT("数出表_Excel!A"&amp;B29-1),2)=LEFT(INDIRECT("数出表_Excel!A"&amp;B29+1),2)),
IF(AND(LEFT(INDIRECT("数出表_Excel!A"&amp;B29+2),2)="博多",LEFT(INDIRECT("数出表_Excel!A"&amp;B29+1),2)=LEFT(INDIRECT("数出表_Excel!A"&amp;B29+3),2)),
IF(AND(LEFT(INDIRECT("数出表_Excel!A"&amp;B29+4),2)="博多",LEFT(INDIRECT("数出表_Excel!A"&amp;B29+3),2)=LEFT(INDIRECT("数出表_Excel!A"&amp;B29+5),2)),
B29+8,
B29+6),
B29+4),
IF(LEFT(G29,3)="奈良屋",
IF(LEFT(INDIRECT("数出表_Excel!A"&amp;B29+2),3)="奈良屋",
IF(LEFT(INDIRECT("数出表_Excel!A"&amp;B29+4),3)="奈良屋",
B29+6,
B29+4),
B29+2),
B29+2)))</f>
        <v>25</v>
      </c>
      <c r="I29" s="81">
        <f t="array" aca="1" ref="I29" ca="1">GetResult(H30)</f>
        <v>25</v>
      </c>
      <c r="J29" s="191" t="str">
        <f ca="1">IF(J30&lt;&gt;"",
IF(LEFT(N29,2)="博多",
LEFT(N29,FIND("週",N29)-1),
N29),"")</f>
        <v/>
      </c>
      <c r="K29" s="192"/>
      <c r="L29" s="192"/>
      <c r="M29" s="192"/>
      <c r="N29" s="95">
        <f t="array" aca="1" ref="N29" ca="1">INDIRECT("数出表_Excel!A"&amp;I29)</f>
        <v>0</v>
      </c>
      <c r="O29" s="80"/>
      <c r="P29" s="80">
        <f t="array" aca="1" ref="P29" ca="1">IF(AND(V22&lt;&gt;"社食",AC22="社食"),X22,
IF(AND(LEFT(AC22,2)="博多",LEFT(INDIRECT("数出表_Excel!A"&amp;X22-1),2)=LEFT(INDIRECT("数出表_Excel!A"&amp;X22+1),2)),
IF(AND(LEFT(INDIRECT("数出表_Excel!A"&amp;X22+2),2)="博多",LEFT(INDIRECT("数出表_Excel!A"&amp;X22+1),2)=LEFT(INDIRECT("数出表_Excel!A"&amp;X22+3),2)),
IF(AND(LEFT(INDIRECT("数出表_Excel!A"&amp;X22+4),2)="博多",LEFT(INDIRECT("数出表_Excel!A"&amp;X22+3),2)=LEFT(INDIRECT("数出表_Excel!A"&amp;X22+5),2)),
X22+8,
X22+6),
X22+4),
IF(LEFT(AC22,3)="奈良屋",
IF(LEFT(INDIRECT("数出表_Excel!A"&amp;X22+2),3)="奈良屋",
IF(LEFT(INDIRECT("数出表_Excel!A"&amp;X22+4),3)="奈良屋",
X22+6,
X22+4),
X22+2),
X22+2)))</f>
        <v>47</v>
      </c>
      <c r="Q29" s="81">
        <f t="array" aca="1" ref="Q29" ca="1">GetResult(P30)</f>
        <v>47</v>
      </c>
      <c r="R29" s="191" t="str">
        <f ca="1">IF(R30&lt;&gt;"",
IF(LEFT(V29,2)="博多",
LEFT(V29,FIND("週",V29)-1),
V29),"")</f>
        <v/>
      </c>
      <c r="S29" s="192"/>
      <c r="T29" s="192"/>
      <c r="U29" s="192"/>
      <c r="V29" s="99">
        <f t="array" aca="1" ref="V29" ca="1">INDIRECT("数出表_Excel!A"&amp;Q29)</f>
        <v>0</v>
      </c>
      <c r="W29" s="80">
        <f t="array" aca="1" ref="W29" ca="1">IF(AND(AC22&lt;&gt;"社食",V29="社食"),Q29,
IF(AND(LEFT(V29,2)="博多",LEFT(INDIRECT("数出表_Excel!A"&amp;Q29-1),2)=LEFT(INDIRECT("数出表_Excel!A"&amp;Q29+1),2)),
IF(AND(LEFT(INDIRECT("数出表_Excel!A"&amp;Q29+2),2)="博多",LEFT(INDIRECT("数出表_Excel!A"&amp;Q29+1),2)=LEFT(INDIRECT("数出表_Excel!A"&amp;Q29+3),2)),
IF(AND(LEFT(INDIRECT("数出表_Excel!A"&amp;Q29+4),2)="博多",LEFT(INDIRECT("数出表_Excel!A"&amp;Q29+3),2)=LEFT(INDIRECT("数出表_Excel!A"&amp;Q29+5),2)),
Q29+8,
Q29+6),
Q29+4),
IF(LEFT(V29,3)="奈良屋",
IF(LEFT(INDIRECT("数出表_Excel!A"&amp;Q29+2),3)="奈良屋",
IF(LEFT(INDIRECT("数出表_Excel!A"&amp;Q29+4),3)="奈良屋",
Q29+6,
Q29+4),
Q29+2),
Q29+2)))</f>
        <v>49</v>
      </c>
      <c r="X29" s="81">
        <f t="array" aca="1" ref="X29" ca="1">GetResult(W30)</f>
        <v>49</v>
      </c>
      <c r="Y29" s="191" t="str">
        <f ca="1">IF(Y30&lt;&gt;"",
IF(LEFT(AC29,2)="博多",
LEFT(AC29,FIND("週",AC29)-1),
AC29),"")</f>
        <v/>
      </c>
      <c r="Z29" s="192"/>
      <c r="AA29" s="192"/>
      <c r="AB29" s="192"/>
      <c r="AC29" s="95">
        <f t="array" aca="1" ref="AC29" ca="1">INDIRECT("数出表_Excel!A"&amp;X29)</f>
        <v>0</v>
      </c>
      <c r="AD29" s="80"/>
      <c r="AE29" s="80">
        <f t="array" aca="1" ref="AE29" ca="1">IF(AND(AK22&lt;&gt;"社食",AR22="社食"),AM22,
IF(AND(LEFT(AR22,2)="博多",LEFT(INDIRECT("数出表_Excel!A"&amp;AM22-1),2)=LEFT(INDIRECT("数出表_Excel!A"&amp;AM22+1),2)),
IF(AND(LEFT(INDIRECT("数出表_Excel!A"&amp;AM22+2),2)="博多",LEFT(INDIRECT("数出表_Excel!A"&amp;AM22+1),2)=LEFT(INDIRECT("数出表_Excel!A"&amp;AM22+3),2)),
IF(AND(LEFT(INDIRECT("数出表_Excel!A"&amp;AM22+4),2)="博多",LEFT(INDIRECT("数出表_Excel!A"&amp;AM22+3),2)=LEFT(INDIRECT("数出表_Excel!A"&amp;AM22+5),2)),
AM22+8,
AM22+6),
AM22+4),
IF(LEFT(AR22,3)="奈良屋",
IF(LEFT(INDIRECT("数出表_Excel!A"&amp;AM22+2),3)="奈良屋",
IF(LEFT(INDIRECT("数出表_Excel!A"&amp;AM22+4),3)="奈良屋",
AM22+6,
AM22+4),
AM22+2),
AM22+2)))</f>
        <v>71</v>
      </c>
      <c r="AF29" s="81">
        <f t="array" aca="1" ref="AF29" ca="1">GetResult(AE30)</f>
        <v>71</v>
      </c>
      <c r="AG29" s="191" t="str">
        <f ca="1">IF(AG30&lt;&gt;"",
IF(LEFT(AK29,2)="博多",
LEFT(AK29,FIND("週",AK29)-1),
AK29),"")</f>
        <v/>
      </c>
      <c r="AH29" s="192"/>
      <c r="AI29" s="192"/>
      <c r="AJ29" s="192"/>
      <c r="AK29" s="99">
        <f t="array" aca="1" ref="AK29" ca="1">INDIRECT("数出表_Excel!A"&amp;AF29)</f>
        <v>0</v>
      </c>
      <c r="AL29" s="80">
        <f t="array" aca="1" ref="AL29" ca="1">IF(AND(AR22&lt;&gt;"社食",AK29="社食"),AF29,
IF(AND(LEFT(AK29,2)="博多",LEFT(INDIRECT("数出表_Excel!A"&amp;AF29-1),2)=LEFT(INDIRECT("数出表_Excel!A"&amp;AF29+1),2)),
IF(AND(LEFT(INDIRECT("数出表_Excel!A"&amp;AF29+2),2)="博多",LEFT(INDIRECT("数出表_Excel!A"&amp;AF29+1),2)=LEFT(INDIRECT("数出表_Excel!A"&amp;AF29+3),2)),
IF(AND(LEFT(INDIRECT("数出表_Excel!A"&amp;AF29+4),2)="博多",LEFT(INDIRECT("数出表_Excel!A"&amp;AF29+3),2)=LEFT(INDIRECT("数出表_Excel!A"&amp;AF29+5),2)),
AF29+8,
AF29+6),
AF29+4),
IF(LEFT(AK29,3)="奈良屋",
IF(LEFT(INDIRECT("数出表_Excel!A"&amp;AF29+2),3)="奈良屋",
IF(LEFT(INDIRECT("数出表_Excel!A"&amp;AF29+4),3)="奈良屋",
AF29+6,
AF29+4),
AF29+2),
AF29+2)))</f>
        <v>73</v>
      </c>
      <c r="AM29" s="81">
        <f t="array" aca="1" ref="AM29" ca="1">GetResult(AL30)</f>
        <v>73</v>
      </c>
      <c r="AN29" s="191" t="str">
        <f ca="1">IF(AN30&lt;&gt;"",
IF(LEFT(AR29,2)="博多",
LEFT(AR29,FIND("週",AR29)-1),
AR29),"")</f>
        <v/>
      </c>
      <c r="AO29" s="192"/>
      <c r="AP29" s="192"/>
      <c r="AQ29" s="192"/>
      <c r="AR29" s="95">
        <f t="array" aca="1" ref="AR29" ca="1">INDIRECT("数出表_Excel!A"&amp;AM29)</f>
        <v>0</v>
      </c>
      <c r="AS29" s="80"/>
      <c r="AT29" s="80">
        <f t="array" aca="1" ref="AT29" ca="1">IF(AND(AZ22&lt;&gt;"社食",BG22="社食"),BB22,
IF(AND(LEFT(BG22,2)="博多",LEFT(INDIRECT("数出表_Excel!A"&amp;BB22-1),2)=LEFT(INDIRECT("数出表_Excel!A"&amp;BB22+1),2)),
IF(AND(LEFT(INDIRECT("数出表_Excel!A"&amp;BB22+2),2)="博多",LEFT(INDIRECT("数出表_Excel!A"&amp;BB22+1),2)=LEFT(INDIRECT("数出表_Excel!A"&amp;BB22+3),2)),
IF(AND(LEFT(INDIRECT("数出表_Excel!A"&amp;BB22+4),2)="博多",LEFT(INDIRECT("数出表_Excel!A"&amp;BB22+3),2)=LEFT(INDIRECT("数出表_Excel!A"&amp;BB22+5),2)),
BB22+8,
BB22+6),
BB22+4),
IF(LEFT(BG22,3)="奈良屋",
IF(LEFT(INDIRECT("数出表_Excel!A"&amp;BB22+2),3)="奈良屋",
IF(LEFT(INDIRECT("数出表_Excel!A"&amp;BB22+4),3)="奈良屋",
BB22+6,
BB22+4),
BB22+2),
BB22+2)))</f>
        <v>95</v>
      </c>
      <c r="AU29" s="81">
        <f t="array" aca="1" ref="AU29" ca="1">GetResult(AT30)</f>
        <v>95</v>
      </c>
      <c r="AV29" s="191" t="str">
        <f ca="1">IF(AV30&lt;&gt;"",
IF(LEFT(AZ29,2)="博多",
LEFT(AZ29,FIND("週",AZ29)-1),
AZ29),"")</f>
        <v/>
      </c>
      <c r="AW29" s="192"/>
      <c r="AX29" s="192"/>
      <c r="AY29" s="192"/>
      <c r="AZ29" s="99">
        <f t="array" aca="1" ref="AZ29" ca="1">INDIRECT("数出表_Excel!A"&amp;AU29)</f>
        <v>0</v>
      </c>
      <c r="BA29" s="80">
        <f t="array" aca="1" ref="BA29" ca="1">IF(AND(BG22&lt;&gt;"社食",AZ29="社食"),AU29,
IF(AND(LEFT(AZ29,2)="博多",LEFT(INDIRECT("数出表_Excel!A"&amp;AU29-1),2)=LEFT(INDIRECT("数出表_Excel!A"&amp;AU29+1),2)),
IF(AND(LEFT(INDIRECT("数出表_Excel!A"&amp;AU29+2),2)="博多",LEFT(INDIRECT("数出表_Excel!A"&amp;AU29+1),2)=LEFT(INDIRECT("数出表_Excel!A"&amp;AU29+3),2)),
IF(AND(LEFT(INDIRECT("数出表_Excel!A"&amp;AU29+4),2)="博多",LEFT(INDIRECT("数出表_Excel!A"&amp;AU29+3),2)=LEFT(INDIRECT("数出表_Excel!A"&amp;AU29+5),2)),
AU29+8,
AU29+6),
AU29+4),
IF(LEFT(AZ29,3)="奈良屋",
IF(LEFT(INDIRECT("数出表_Excel!A"&amp;AU29+2),3)="奈良屋",
IF(LEFT(INDIRECT("数出表_Excel!A"&amp;AU29+4),3)="奈良屋",
AU29+6,
AU29+4),
AU29+2),
AU29+2)))</f>
        <v>97</v>
      </c>
      <c r="BB29" s="81">
        <f t="array" aca="1" ref="BB29" ca="1">GetResult(BA30)</f>
        <v>97</v>
      </c>
      <c r="BC29" s="191" t="str">
        <f ca="1">IF(BC30&lt;&gt;"",
IF(LEFT(BG29,2)="博多",
LEFT(BG29,FIND("週",BG29)-1),
BG29),"")</f>
        <v/>
      </c>
      <c r="BD29" s="192"/>
      <c r="BE29" s="192"/>
      <c r="BF29" s="192"/>
      <c r="BG29" s="95">
        <f t="array" aca="1" ref="BG29" ca="1">INDIRECT("数出表_Excel!A"&amp;BB29)</f>
        <v>0</v>
      </c>
      <c r="BH29" s="80"/>
      <c r="BI29" s="80">
        <f t="array" aca="1" ref="BI29" ca="1">IF(AND(BO22&lt;&gt;"社食",BV22="社食"),BQ22,
IF(AND(LEFT(BV22,2)="博多",LEFT(INDIRECT("数出表_Excel!A"&amp;BQ22-1),2)=LEFT(INDIRECT("数出表_Excel!A"&amp;BQ22+1),2)),
IF(AND(LEFT(INDIRECT("数出表_Excel!A"&amp;BQ22+2),2)="博多",LEFT(INDIRECT("数出表_Excel!A"&amp;BQ22+1),2)=LEFT(INDIRECT("数出表_Excel!A"&amp;BQ22+3),2)),
IF(AND(LEFT(INDIRECT("数出表_Excel!A"&amp;BQ22+4),2)="博多",LEFT(INDIRECT("数出表_Excel!A"&amp;BQ22+3),2)=LEFT(INDIRECT("数出表_Excel!A"&amp;BQ22+5),2)),
BQ22+8,
BQ22+6),
BQ22+4),
IF(LEFT(BV22,3)="奈良屋",
IF(LEFT(INDIRECT("数出表_Excel!A"&amp;BQ22+2),3)="奈良屋",
IF(LEFT(INDIRECT("数出表_Excel!A"&amp;BQ22+4),3)="奈良屋",
BQ22+6,
BQ22+4),
BQ22+2),
BQ22+2)))</f>
        <v>119</v>
      </c>
      <c r="BJ29" s="81">
        <f t="array" aca="1" ref="BJ29" ca="1">GetResult(BI30)</f>
        <v>119</v>
      </c>
      <c r="BK29" s="191" t="str">
        <f ca="1">IF(BK30&lt;&gt;"",
IF(LEFT(BO29,2)="博多",
LEFT(BO29,FIND("週",BO29)-1),
BO29),"")</f>
        <v/>
      </c>
      <c r="BL29" s="192"/>
      <c r="BM29" s="192"/>
      <c r="BN29" s="192"/>
      <c r="BO29" s="99">
        <f t="array" aca="1" ref="BO29" ca="1">INDIRECT("数出表_Excel!A"&amp;BJ29)</f>
        <v>0</v>
      </c>
      <c r="BP29" s="80">
        <f t="array" aca="1" ref="BP29" ca="1">IF(AND(BV22&lt;&gt;"社食",BO29="社食"),BJ29,
IF(AND(LEFT(BO29,2)="博多",LEFT(INDIRECT("数出表_Excel!A"&amp;BJ29-1),2)=LEFT(INDIRECT("数出表_Excel!A"&amp;BJ29+1),2)),
IF(AND(LEFT(INDIRECT("数出表_Excel!A"&amp;BJ29+2),2)="博多",LEFT(INDIRECT("数出表_Excel!A"&amp;BJ29+1),2)=LEFT(INDIRECT("数出表_Excel!A"&amp;BJ29+3),2)),
IF(AND(LEFT(INDIRECT("数出表_Excel!A"&amp;BJ29+4),2)="博多",LEFT(INDIRECT("数出表_Excel!A"&amp;BJ29+3),2)=LEFT(INDIRECT("数出表_Excel!A"&amp;BJ29+5),2)),
BJ29+8,
BJ29+6),
BJ29+4),
IF(LEFT(BO29,3)="奈良屋",
IF(LEFT(INDIRECT("数出表_Excel!A"&amp;BJ29+2),3)="奈良屋",
IF(LEFT(INDIRECT("数出表_Excel!A"&amp;BJ29+4),3)="奈良屋",
BJ29+6,
BJ29+4),
BJ29+2),
BJ29+2)))</f>
        <v>121</v>
      </c>
      <c r="BQ29" s="81">
        <f t="array" aca="1" ref="BQ29" ca="1">GetResult(BP30)</f>
        <v>121</v>
      </c>
      <c r="BR29" s="191" t="str">
        <f ca="1">IF(BR30&lt;&gt;"",
IF(LEFT(BV29,2)="博多",
LEFT(BV29,FIND("週",BV29)-1),
BV29),"")</f>
        <v/>
      </c>
      <c r="BS29" s="192"/>
      <c r="BT29" s="192"/>
      <c r="BU29" s="192"/>
      <c r="BV29" s="95">
        <f t="array" aca="1" ref="BV29" ca="1">INDIRECT("数出表_Excel!A"&amp;BQ29)</f>
        <v>0</v>
      </c>
      <c r="BW29" s="80"/>
      <c r="BX29" s="80">
        <f t="array" aca="1" ref="BX29" ca="1">IF(AND(CD22&lt;&gt;"社食",CK22="社食"),CF22,
IF(AND(LEFT(CK22,2)="博多",LEFT(INDIRECT("数出表_Excel!A"&amp;CF22-1),2)=LEFT(INDIRECT("数出表_Excel!A"&amp;CF22+1),2)),
IF(AND(LEFT(INDIRECT("数出表_Excel!A"&amp;CF22+2),2)="博多",LEFT(INDIRECT("数出表_Excel!A"&amp;CF22+1),2)=LEFT(INDIRECT("数出表_Excel!A"&amp;CF22+3),2)),
IF(AND(LEFT(INDIRECT("数出表_Excel!A"&amp;CF22+4),2)="博多",LEFT(INDIRECT("数出表_Excel!A"&amp;CF22+3),2)=LEFT(INDIRECT("数出表_Excel!A"&amp;CF22+5),2)),
CF22+8,
CF22+6),
CF22+4),
IF(LEFT(CK22,3)="奈良屋",
IF(LEFT(INDIRECT("数出表_Excel!A"&amp;CF22+2),3)="奈良屋",
IF(LEFT(INDIRECT("数出表_Excel!A"&amp;CF22+4),3)="奈良屋",
CF22+6,
CF22+4),
CF22+2),
CF22+2)))</f>
        <v>143</v>
      </c>
      <c r="BY29" s="81">
        <f t="array" aca="1" ref="BY29" ca="1">GetResult(BX30)</f>
        <v>143</v>
      </c>
      <c r="BZ29" s="191" t="str">
        <f ca="1">IF(BZ30&lt;&gt;"",
IF(LEFT(CD29,2)="博多",
LEFT(CD29,FIND("週",CD29)-1),
CD29),"")</f>
        <v/>
      </c>
      <c r="CA29" s="192"/>
      <c r="CB29" s="192"/>
      <c r="CC29" s="192"/>
      <c r="CD29" s="99">
        <f t="array" aca="1" ref="CD29" ca="1">INDIRECT("数出表_Excel!A"&amp;BY29)</f>
        <v>0</v>
      </c>
      <c r="CE29" s="80">
        <f t="array" aca="1" ref="CE29" ca="1">IF(AND(CK22&lt;&gt;"社食",CD29="社食"),BY29,
IF(AND(LEFT(CD29,2)="博多",LEFT(INDIRECT("数出表_Excel!A"&amp;BY29-1),2)=LEFT(INDIRECT("数出表_Excel!A"&amp;BY29+1),2)),
IF(AND(LEFT(INDIRECT("数出表_Excel!A"&amp;BY29+2),2)="博多",LEFT(INDIRECT("数出表_Excel!A"&amp;BY29+1),2)=LEFT(INDIRECT("数出表_Excel!A"&amp;BY29+3),2)),
IF(AND(LEFT(INDIRECT("数出表_Excel!A"&amp;BY29+4),2)="博多",LEFT(INDIRECT("数出表_Excel!A"&amp;BY29+3),2)=LEFT(INDIRECT("数出表_Excel!A"&amp;BY29+5),2)),
BY29+8,
BY29+6),
BY29+4),
IF(LEFT(CD29,3)="奈良屋",
IF(LEFT(INDIRECT("数出表_Excel!A"&amp;BY29+2),3)="奈良屋",
IF(LEFT(INDIRECT("数出表_Excel!A"&amp;BY29+4),3)="奈良屋",
BY29+6,
BY29+4),
BY29+2),
BY29+2)))</f>
        <v>145</v>
      </c>
      <c r="CF29" s="81">
        <f t="array" aca="1" ref="CF29" ca="1">GetResult(CE30)</f>
        <v>145</v>
      </c>
      <c r="CG29" s="191" t="str">
        <f ca="1">IF(CG30&lt;&gt;"",
IF(LEFT(CK29,2)="博多",
LEFT(CK29,FIND("週",CK29)-1),
CK29),"")</f>
        <v/>
      </c>
      <c r="CH29" s="192"/>
      <c r="CI29" s="192"/>
      <c r="CJ29" s="192"/>
      <c r="CK29" s="95">
        <f t="array" aca="1" ref="CK29" ca="1">INDIRECT("数出表_Excel!A"&amp;CF29)</f>
        <v>0</v>
      </c>
      <c r="CL29" s="80"/>
      <c r="CM29" s="80">
        <f t="array" aca="1" ref="CM29" ca="1">IF(AND(CS22&lt;&gt;"社食",CZ22="社食"),CU22,
IF(AND(LEFT(CZ22,2)="博多",LEFT(INDIRECT("数出表_Excel!A"&amp;CU22-1),2)=LEFT(INDIRECT("数出表_Excel!A"&amp;CU22+1),2)),
IF(AND(LEFT(INDIRECT("数出表_Excel!A"&amp;CU22+2),2)="博多",LEFT(INDIRECT("数出表_Excel!A"&amp;CU22+1),2)=LEFT(INDIRECT("数出表_Excel!A"&amp;CU22+3),2)),
IF(AND(LEFT(INDIRECT("数出表_Excel!A"&amp;CU22+4),2)="博多",LEFT(INDIRECT("数出表_Excel!A"&amp;CU22+3),2)=LEFT(INDIRECT("数出表_Excel!A"&amp;CU22+5),2)),
CU22+8,
CU22+6),
CU22+4),
IF(LEFT(CZ22,3)="奈良屋",
IF(LEFT(INDIRECT("数出表_Excel!A"&amp;CU22+2),3)="奈良屋",
IF(LEFT(INDIRECT("数出表_Excel!A"&amp;CU22+4),3)="奈良屋",
CU22+6,
CU22+4),
CU22+2),
CU22+2)))</f>
        <v>167</v>
      </c>
      <c r="CN29" s="81">
        <f t="array" aca="1" ref="CN29" ca="1">GetResult(CM30)</f>
        <v>167</v>
      </c>
      <c r="CO29" s="191" t="str">
        <f ca="1">IF(CO30&lt;&gt;"",
IF(LEFT(CS29,2)="博多",
LEFT(CS29,FIND("週",CS29)-1),
CS29),"")</f>
        <v/>
      </c>
      <c r="CP29" s="192"/>
      <c r="CQ29" s="192"/>
      <c r="CR29" s="192"/>
      <c r="CS29" s="99">
        <f t="array" aca="1" ref="CS29" ca="1">INDIRECT("数出表_Excel!A"&amp;CN29)</f>
        <v>0</v>
      </c>
      <c r="CT29" s="80">
        <f t="array" aca="1" ref="CT29" ca="1">IF(AND(CZ22&lt;&gt;"社食",CS29="社食"),CN29,
IF(AND(LEFT(CS29,2)="博多",LEFT(INDIRECT("数出表_Excel!A"&amp;CN29-1),2)=LEFT(INDIRECT("数出表_Excel!A"&amp;CN29+1),2)),
IF(AND(LEFT(INDIRECT("数出表_Excel!A"&amp;CN29+2),2)="博多",LEFT(INDIRECT("数出表_Excel!A"&amp;CN29+1),2)=LEFT(INDIRECT("数出表_Excel!A"&amp;CN29+3),2)),
IF(AND(LEFT(INDIRECT("数出表_Excel!A"&amp;CN29+4),2)="博多",LEFT(INDIRECT("数出表_Excel!A"&amp;CN29+3),2)=LEFT(INDIRECT("数出表_Excel!A"&amp;CN29+5),2)),
CN29+8,
CN29+6),
CN29+4),
IF(LEFT(CS29,3)="奈良屋",
IF(LEFT(INDIRECT("数出表_Excel!A"&amp;CN29+2),3)="奈良屋",
IF(LEFT(INDIRECT("数出表_Excel!A"&amp;CN29+4),3)="奈良屋",
CN29+6,
CN29+4),
CN29+2),
CN29+2)))</f>
        <v>169</v>
      </c>
      <c r="CU29" s="81">
        <f t="array" aca="1" ref="CU29" ca="1">GetResult(CT30)</f>
        <v>169</v>
      </c>
      <c r="CV29" s="191" t="str">
        <f ca="1">IF(CV30&lt;&gt;"",
IF(LEFT(CZ29,2)="博多",
LEFT(CZ29,FIND("週",CZ29)-1),
CZ29),"")</f>
        <v/>
      </c>
      <c r="CW29" s="192"/>
      <c r="CX29" s="192"/>
      <c r="CY29" s="192"/>
      <c r="CZ29" s="95">
        <f t="array" aca="1" ref="CZ29" ca="1">INDIRECT("数出表_Excel!A"&amp;CU29)</f>
        <v>0</v>
      </c>
      <c r="DA29" s="80"/>
      <c r="DB29" s="80">
        <f t="array" aca="1" ref="DB29" ca="1">IF(AND(DH22&lt;&gt;"社食",DO22="社食"),DJ22,
IF(AND(LEFT(DO22,2)="博多",LEFT(INDIRECT("数出表_Excel!A"&amp;DJ22-1),2)=LEFT(INDIRECT("数出表_Excel!A"&amp;DJ22+1),2)),
IF(AND(LEFT(INDIRECT("数出表_Excel!A"&amp;DJ22+2),2)="博多",LEFT(INDIRECT("数出表_Excel!A"&amp;DJ22+1),2)=LEFT(INDIRECT("数出表_Excel!A"&amp;DJ22+3),2)),
IF(AND(LEFT(INDIRECT("数出表_Excel!A"&amp;DJ22+4),2)="博多",LEFT(INDIRECT("数出表_Excel!A"&amp;DJ22+3),2)=LEFT(INDIRECT("数出表_Excel!A"&amp;DJ22+5),2)),
DJ22+8,
DJ22+6),
DJ22+4),
IF(LEFT(DO22,3)="奈良屋",
IF(LEFT(INDIRECT("数出表_Excel!A"&amp;DJ22+2),3)="奈良屋",
IF(LEFT(INDIRECT("数出表_Excel!A"&amp;DJ22+4),3)="奈良屋",
DJ22+6,
DJ22+4),
DJ22+2),
DJ22+2)))</f>
        <v>191</v>
      </c>
      <c r="DC29" s="81">
        <f t="array" aca="1" ref="DC29" ca="1">GetResult(DB30)</f>
        <v>191</v>
      </c>
      <c r="DD29" s="191" t="str">
        <f ca="1">IF(DD30&lt;&gt;"",
IF(LEFT(DH29,2)="博多",
LEFT(DH29,FIND("週",DH29)-1),
DH29),"")</f>
        <v/>
      </c>
      <c r="DE29" s="192"/>
      <c r="DF29" s="192"/>
      <c r="DG29" s="192"/>
      <c r="DH29" s="99">
        <f t="array" aca="1" ref="DH29" ca="1">INDIRECT("数出表_Excel!A"&amp;DC29)</f>
        <v>0</v>
      </c>
      <c r="DI29" s="80">
        <f t="array" aca="1" ref="DI29" ca="1">IF(AND(DO22&lt;&gt;"社食",DH29="社食"),DC29,
IF(AND(LEFT(DH29,2)="博多",LEFT(INDIRECT("数出表_Excel!A"&amp;DC29-1),2)=LEFT(INDIRECT("数出表_Excel!A"&amp;DC29+1),2)),
IF(AND(LEFT(INDIRECT("数出表_Excel!A"&amp;DC29+2),2)="博多",LEFT(INDIRECT("数出表_Excel!A"&amp;DC29+1),2)=LEFT(INDIRECT("数出表_Excel!A"&amp;DC29+3),2)),
IF(AND(LEFT(INDIRECT("数出表_Excel!A"&amp;DC29+4),2)="博多",LEFT(INDIRECT("数出表_Excel!A"&amp;DC29+3),2)=LEFT(INDIRECT("数出表_Excel!A"&amp;DC29+5),2)),
DC29+8,
DC29+6),
DC29+4),
IF(LEFT(DH29,3)="奈良屋",
IF(LEFT(INDIRECT("数出表_Excel!A"&amp;DC29+2),3)="奈良屋",
IF(LEFT(INDIRECT("数出表_Excel!A"&amp;DC29+4),3)="奈良屋",
DC29+6,
DC29+4),
DC29+2),
DC29+2)))</f>
        <v>193</v>
      </c>
      <c r="DJ29" s="81">
        <f t="array" aca="1" ref="DJ29" ca="1">GetResult(DI30)</f>
        <v>193</v>
      </c>
      <c r="DK29" s="191" t="str">
        <f ca="1">IF(DK30&lt;&gt;"",
IF(LEFT(DO29,2)="博多",
LEFT(DO29,FIND("週",DO29)-1),
DO29),"")</f>
        <v/>
      </c>
      <c r="DL29" s="192"/>
      <c r="DM29" s="192"/>
      <c r="DN29" s="192"/>
      <c r="DO29" s="95">
        <f t="array" aca="1" ref="DO29" ca="1">INDIRECT("数出表_Excel!A"&amp;DJ29)</f>
        <v>0</v>
      </c>
      <c r="DP29" s="80"/>
      <c r="DQ29" s="80">
        <f t="array" aca="1" ref="DQ29" ca="1">IF(AND(DW22&lt;&gt;"社食",ED22="社食"),DY22,
IF(AND(LEFT(ED22,2)="博多",LEFT(INDIRECT("数出表_Excel!A"&amp;DY22-1),2)=LEFT(INDIRECT("数出表_Excel!A"&amp;DY22+1),2)),
IF(AND(LEFT(INDIRECT("数出表_Excel!A"&amp;DY22+2),2)="博多",LEFT(INDIRECT("数出表_Excel!A"&amp;DY22+1),2)=LEFT(INDIRECT("数出表_Excel!A"&amp;DY22+3),2)),
IF(AND(LEFT(INDIRECT("数出表_Excel!A"&amp;DY22+4),2)="博多",LEFT(INDIRECT("数出表_Excel!A"&amp;DY22+3),2)=LEFT(INDIRECT("数出表_Excel!A"&amp;DY22+5),2)),
DY22+8,
DY22+6),
DY22+4),
IF(LEFT(ED22,3)="奈良屋",
IF(LEFT(INDIRECT("数出表_Excel!A"&amp;DY22+2),3)="奈良屋",
IF(LEFT(INDIRECT("数出表_Excel!A"&amp;DY22+4),3)="奈良屋",
DY22+6,
DY22+4),
DY22+2),
DY22+2)))</f>
        <v>215</v>
      </c>
      <c r="DR29" s="81">
        <f t="array" aca="1" ref="DR29" ca="1">GetResult(DQ30)</f>
        <v>215</v>
      </c>
      <c r="DS29" s="191" t="str">
        <f ca="1">IF(DS30&lt;&gt;"",
IF(LEFT(DW29,2)="博多",
LEFT(DW29,FIND("週",DW29)-1),
DW29),"")</f>
        <v/>
      </c>
      <c r="DT29" s="192"/>
      <c r="DU29" s="192"/>
      <c r="DV29" s="192"/>
      <c r="DW29" s="99">
        <f t="array" aca="1" ref="DW29" ca="1">INDIRECT("数出表_Excel!A"&amp;DR29)</f>
        <v>0</v>
      </c>
      <c r="DX29" s="80">
        <f t="array" aca="1" ref="DX29" ca="1">IF(AND(ED22&lt;&gt;"社食",DW29="社食"),DR29,
IF(AND(LEFT(DW29,2)="博多",LEFT(INDIRECT("数出表_Excel!A"&amp;DR29-1),2)=LEFT(INDIRECT("数出表_Excel!A"&amp;DR29+1),2)),
IF(AND(LEFT(INDIRECT("数出表_Excel!A"&amp;DR29+2),2)="博多",LEFT(INDIRECT("数出表_Excel!A"&amp;DR29+1),2)=LEFT(INDIRECT("数出表_Excel!A"&amp;DR29+3),2)),
IF(AND(LEFT(INDIRECT("数出表_Excel!A"&amp;DR29+4),2)="博多",LEFT(INDIRECT("数出表_Excel!A"&amp;DR29+3),2)=LEFT(INDIRECT("数出表_Excel!A"&amp;DR29+5),2)),
DR29+8,
DR29+6),
DR29+4),
IF(LEFT(DW29,3)="奈良屋",
IF(LEFT(INDIRECT("数出表_Excel!A"&amp;DR29+2),3)="奈良屋",
IF(LEFT(INDIRECT("数出表_Excel!A"&amp;DR29+4),3)="奈良屋",
DR29+6,
DR29+4),
DR29+2),
DR29+2)))</f>
        <v>217</v>
      </c>
      <c r="DY29" s="81">
        <f t="array" aca="1" ref="DY29" ca="1">GetResult(DX30)</f>
        <v>217</v>
      </c>
      <c r="DZ29" s="191" t="str">
        <f ca="1">IF(DZ30&lt;&gt;"",
IF(LEFT(ED29,2)="博多",
LEFT(ED29,FIND("週",ED29)-1),
ED29),"")</f>
        <v/>
      </c>
      <c r="EA29" s="192"/>
      <c r="EB29" s="192"/>
      <c r="EC29" s="192"/>
      <c r="ED29" s="95">
        <f t="array" aca="1" ref="ED29" ca="1">INDIRECT("数出表_Excel!A"&amp;DY29)</f>
        <v>0</v>
      </c>
      <c r="EE29" s="80"/>
      <c r="EF29" s="80">
        <f t="array" aca="1" ref="EF29" ca="1">IF(AND(EL22&lt;&gt;"社食",ES22="社食"),EN22,
IF(AND(LEFT(ES22,2)="博多",LEFT(INDIRECT("数出表_Excel!A"&amp;EN22-1),2)=LEFT(INDIRECT("数出表_Excel!A"&amp;EN22+1),2)),
IF(AND(LEFT(INDIRECT("数出表_Excel!A"&amp;EN22+2),2)="博多",LEFT(INDIRECT("数出表_Excel!A"&amp;EN22+1),2)=LEFT(INDIRECT("数出表_Excel!A"&amp;EN22+3),2)),
IF(AND(LEFT(INDIRECT("数出表_Excel!A"&amp;EN22+4),2)="博多",LEFT(INDIRECT("数出表_Excel!A"&amp;EN22+3),2)=LEFT(INDIRECT("数出表_Excel!A"&amp;EN22+5),2)),
EN22+8,
EN22+6),
EN22+4),
IF(LEFT(ES22,3)="奈良屋",
IF(LEFT(INDIRECT("数出表_Excel!A"&amp;EN22+2),3)="奈良屋",
IF(LEFT(INDIRECT("数出表_Excel!A"&amp;EN22+4),3)="奈良屋",
EN22+6,
EN22+4),
EN22+2),
EN22+2)))</f>
        <v>239</v>
      </c>
      <c r="EG29" s="81">
        <f t="array" aca="1" ref="EG29" ca="1">GetResult(EF30)</f>
        <v>239</v>
      </c>
      <c r="EH29" s="191" t="str">
        <f ca="1">IF(EH30&lt;&gt;"",
IF(LEFT(EL29,2)="博多",
LEFT(EL29,FIND("週",EL29)-1),
EL29),"")</f>
        <v/>
      </c>
      <c r="EI29" s="192"/>
      <c r="EJ29" s="192"/>
      <c r="EK29" s="192"/>
      <c r="EL29" s="99">
        <f t="array" aca="1" ref="EL29" ca="1">INDIRECT("数出表_Excel!A"&amp;EG29)</f>
        <v>0</v>
      </c>
      <c r="EM29" s="80">
        <f t="array" aca="1" ref="EM29" ca="1">IF(AND(ES22&lt;&gt;"社食",EL29="社食"),EG29,
IF(AND(LEFT(EL29,2)="博多",LEFT(INDIRECT("数出表_Excel!A"&amp;EG29-1),2)=LEFT(INDIRECT("数出表_Excel!A"&amp;EG29+1),2)),
IF(AND(LEFT(INDIRECT("数出表_Excel!A"&amp;EG29+2),2)="博多",LEFT(INDIRECT("数出表_Excel!A"&amp;EG29+1),2)=LEFT(INDIRECT("数出表_Excel!A"&amp;EG29+3),2)),
IF(AND(LEFT(INDIRECT("数出表_Excel!A"&amp;EG29+4),2)="博多",LEFT(INDIRECT("数出表_Excel!A"&amp;EG29+3),2)=LEFT(INDIRECT("数出表_Excel!A"&amp;EG29+5),2)),
EG29+8,
EG29+6),
EG29+4),
IF(LEFT(EL29,3)="奈良屋",
IF(LEFT(INDIRECT("数出表_Excel!A"&amp;EG29+2),3)="奈良屋",
IF(LEFT(INDIRECT("数出表_Excel!A"&amp;EG29+4),3)="奈良屋",
EG29+6,
EG29+4),
EG29+2),
EG29+2)))</f>
        <v>241</v>
      </c>
      <c r="EN29" s="81">
        <f t="array" aca="1" ref="EN29" ca="1">GetResult(EM30)</f>
        <v>241</v>
      </c>
      <c r="EO29" s="191" t="str">
        <f ca="1">IF(EO30&lt;&gt;"",
IF(LEFT(ES29,2)="博多",
LEFT(ES29,FIND("週",ES29)-1),
ES29),"")</f>
        <v/>
      </c>
      <c r="EP29" s="192"/>
      <c r="EQ29" s="192"/>
      <c r="ER29" s="192"/>
      <c r="ES29" s="95">
        <f t="array" aca="1" ref="ES29" ca="1">INDIRECT("数出表_Excel!A"&amp;EN29)</f>
        <v>0</v>
      </c>
      <c r="ET29" s="110"/>
      <c r="EU29" s="91">
        <v>7</v>
      </c>
      <c r="EV29" s="82" t="str">
        <f t="array" aca="1" ref="EV29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LEN(SUBSTITUTE(_xlfn.FORMULATEXT(EV$25),"=","")))+$EU29)</f>
        <v/>
      </c>
      <c r="EW29" s="82" t="str">
        <f t="array" aca="1" ref="EW29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LEN(SUBSTITUTE(_xlfn.FORMULATEXT(EW$25),"=","")))+$EU29)</f>
        <v/>
      </c>
      <c r="EX29" s="82" t="str">
        <f t="array" aca="1" ref="EX29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LEN(SUBSTITUTE(_xlfn.FORMULATEXT(EX$25),"=","")))+$EU29)</f>
        <v/>
      </c>
      <c r="EY29" s="82" t="str">
        <f t="array" aca="1" ref="EY29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LEN(SUBSTITUTE(_xlfn.FORMULATEXT(EY$25),"=","")))+$EU29)</f>
        <v/>
      </c>
      <c r="EZ29" s="82" t="str">
        <f t="array" aca="1" ref="EZ29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LEN(SUBSTITUTE(_xlfn.FORMULATEXT(EZ$25),"=","")))+$EU29)</f>
        <v/>
      </c>
      <c r="FA29" s="82" t="e">
        <f t="array" aca="1" ref="FA29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LEN(SUBSTITUTE(_xlfn.FORMULATEXT(FA$25),"=","")))+$EU29)</f>
        <v>#VALUE!</v>
      </c>
      <c r="FB29" s="82" t="str">
        <f t="array" aca="1" ref="FB29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LEN(SUBSTITUTE(_xlfn.FORMULATEXT(FB$25),"=","")))+$EU29)</f>
        <v/>
      </c>
      <c r="FC29" s="82" t="str">
        <f t="array" aca="1" ref="FC29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LEN(SUBSTITUTE(_xlfn.FORMULATEXT(FC$25),"=","")))+$EU29)</f>
        <v/>
      </c>
      <c r="FD29" s="82" t="e">
        <f t="array" aca="1" ref="FD29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LEN(SUBSTITUTE(_xlfn.FORMULATEXT(FD$25),"=","")))+$EU29)</f>
        <v>#VALUE!</v>
      </c>
      <c r="FE29" s="82" t="str">
        <f t="array" aca="1" ref="FE29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LEN(SUBSTITUTE(_xlfn.FORMULATEXT(FE$25),"=","")))+$EU29)</f>
        <v/>
      </c>
      <c r="FF29" s="82" t="e">
        <f t="array" aca="1" ref="FF29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LEN(SUBSTITUTE(_xlfn.FORMULATEXT(FF$25),"=","")))+$EU29)</f>
        <v>#N/A</v>
      </c>
      <c r="FG29" s="82">
        <f t="shared" ca="1" si="0"/>
        <v>0</v>
      </c>
      <c r="FH29" s="82" t="e">
        <f t="array" aca="1" ref="FH29" ca="1">SUMPRODUCT((LEN(EV29:FF29)&gt;0)*1)&gt;0</f>
        <v>#VALUE!</v>
      </c>
      <c r="FI29" s="82" t="str">
        <f t="array" aca="1" ref="FI29" ca="1">IFERROR(SMALL(IF(FG$1:FG$173&lt;&gt;0,FG$1:FG$173),ROW(A29)),"")</f>
        <v/>
      </c>
      <c r="FJ29" s="82" t="str">
        <f t="array" aca="1" ref="FJ29" ca="1">IF($FI29&lt;&gt;"",
INDIRECT(""&amp;IF(COLUMN(EV29)&lt;=26,CHAR(COLUMN(EV29)+64),CHAR(INT((COLUMN(EV29)-1)/26)+64)&amp;CHAR(MOD(COLUMN(EV29)-1,26)+65))&amp;$FI29&amp;""),"")</f>
        <v/>
      </c>
      <c r="FK29" s="82" t="str">
        <f t="array" aca="1" ref="FK29" ca="1">IF($FI29&lt;&gt;"",
INDIRECT(""&amp;IF(COLUMN(EW29)&lt;=26,CHAR(COLUMN(EW29)+64),CHAR(INT((COLUMN(EW29)-1)/26)+64)&amp;CHAR(MOD(COLUMN(EW29)-1,26)+65))&amp;$FI29&amp;""),"")</f>
        <v/>
      </c>
      <c r="FL29" s="82" t="str">
        <f t="array" aca="1" ref="FL29" ca="1">IF($FI29&lt;&gt;"",
INDIRECT(""&amp;IF(COLUMN(EX29)&lt;=26,CHAR(COLUMN(EX29)+64),CHAR(INT((COLUMN(EX29)-1)/26)+64)&amp;CHAR(MOD(COLUMN(EX29)-1,26)+65))&amp;$FI29&amp;""),"")</f>
        <v/>
      </c>
      <c r="FM29" s="82" t="str">
        <f t="array" aca="1" ref="FM29" ca="1">IF($FI29&lt;&gt;"",
IF(FL29="",
IF(INDIRECT("EY"&amp;$FI29&amp;"")&lt;&gt;"",
INDIRECT("EY"&amp;$FI29&amp;"")&amp;"箱"
&amp;INDIRECT("EZ"&amp;$FI29&amp;""),""),""),"")</f>
        <v/>
      </c>
      <c r="FN29" s="82" t="str">
        <f t="array" aca="1" ref="FN29" ca="1">IF($FI29&lt;&gt;"",
INDIRECT(""&amp;IF(COLUMN(FA29)&lt;=26,CHAR(COLUMN(FA29)+64),CHAR(INT((COLUMN(FA29)-1)/26)+64)&amp;CHAR(MOD(COLUMN(FA29)-1,26)+65))&amp;$FI29&amp;""),"")</f>
        <v/>
      </c>
      <c r="FO29" s="82" t="str">
        <f t="array" aca="1" ref="FO29" ca="1">IF($FI29&lt;&gt;"",
INDIRECT(""&amp;IF(COLUMN(FB29)&lt;=26,CHAR(COLUMN(FB29)+64),CHAR(INT((COLUMN(FB29)-1)/26)+64)&amp;CHAR(MOD(COLUMN(FB29)-1,26)+65))&amp;$FI29&amp;""),"")</f>
        <v/>
      </c>
      <c r="FP29" s="82" t="str">
        <f t="array" aca="1" ref="FP29" ca="1">IF($FI29&lt;&gt;"",
INDIRECT(""&amp;IF(COLUMN(FC29)&lt;=26,CHAR(COLUMN(FC29)+64),CHAR(INT((COLUMN(FC29)-1)/26)+64)&amp;CHAR(MOD(COLUMN(FC29)-1,26)+65))&amp;$FI29&amp;""),"")</f>
        <v/>
      </c>
      <c r="FQ29" s="82" t="str">
        <f t="array" aca="1" ref="FQ29" ca="1">IF($FI29&lt;&gt;"",
INDIRECT(""&amp;IF(COLUMN(FD29)&lt;=26,CHAR(COLUMN(FD29)+64),CHAR(INT((COLUMN(FD29)-1)/26)+64)&amp;CHAR(MOD(COLUMN(FD29)-1,26)+65))&amp;$FI29&amp;""),"")</f>
        <v/>
      </c>
      <c r="FR29" s="82" t="str">
        <f t="array" aca="1" ref="FR29" ca="1">IF($FI29&lt;&gt;"",
INDIRECT(""&amp;IF(COLUMN(FE29)&lt;=26,CHAR(COLUMN(FE29)+64),CHAR(INT((COLUMN(FE29)-1)/26)+64)&amp;CHAR(MOD(COLUMN(FE29)-1,26)+65))&amp;$FI29&amp;""),"")</f>
        <v/>
      </c>
      <c r="FS29" s="82" t="str">
        <f t="array" aca="1" ref="FS29" ca="1">IF($FI29&lt;&gt;"",
INDIRECT(""&amp;IF(COLUMN(FF29)&lt;=26,CHAR(COLUMN(FF29)+64),CHAR(INT((COLUMN(FF29)-1)/26)+64)&amp;CHAR(MOD(COLUMN(FF29)-1,26)+65))&amp;$FI29&amp;""),"")</f>
        <v/>
      </c>
    </row>
    <row r="30" spans="1:175" s="82" customFormat="1" ht="18" customHeight="1" x14ac:dyDescent="0.55000000000000004">
      <c r="A30" s="80">
        <f t="array" aca="1" ref="A30" ca="1">IF(INDIRECT("数出表_Excel!A"&amp;GetResult(A29))="社食",
GetResult(A29)+2,GetResult(A29))</f>
        <v>23</v>
      </c>
      <c r="B30" s="85" t="str">
        <f t="array" aca="1" ref="B30" ca="1">IF(C29&lt;&gt;"",MATCH(TRUE,INDIRECT("数出表_Excel!B"&amp;MATCH(G29,数出表_Excel!$A:$A,0)-1&amp;":U"&amp;MATCH(G29,数出表_Excel!$A:$A,0)-1&amp;"")&lt;&gt;"",0)+1,"")</f>
        <v/>
      </c>
      <c r="C30" s="62" t="str">
        <f t="array" aca="1" ref="C30" ca="1">IF(COUNTIF(G29,"*合計*"),"",
IF(IFERROR(INDIRECT("数出表_Excel!" &amp;
CHAR(MATCH(TRUE,
ISNUMBER(--INDIRECT("数出表_Excel!B"&amp;MATCH(G29,数出表_Excel!$A:$A,0)-1&amp;":U"&amp;MATCH(G29,数出表_Excel!$A:$A,0)-1&amp;"")),0)+65) &amp; "3"),0)=0,"",
IFERROR(INDIRECT("数出表_Excel!" &amp;
CHAR(MATCH(TRUE,
ISNUMBER(--INDIRECT("数出表_Excel!B"&amp;MATCH(G29,数出表_Excel!$A:$A,0)-1&amp;":U"&amp;MATCH(G29,数出表_Excel!$A:$A,0)-1&amp;"")),0)+65) &amp; "3"),"")))</f>
        <v/>
      </c>
      <c r="D30" s="80"/>
      <c r="E30" s="86" t="str">
        <f t="array" aca="1" ref="E30" ca="1">IF(F30&lt;&gt;"","",
IF(COUNTIF(C29,"*雙葉*"),"",
IF(C29&lt;&gt;"",
IFERROR(
INDEX('数出表_Excel（アレルギー入力）'!$4:$4,
 1,
MATCH(TRUE,INDIRECT("'数出表_Excel（アレルギー入力）'!B"&amp;MATCH(G29,'数出表_Excel（アレルギー入力）'!$A:$A,0)-1&amp;":U"&amp;MATCH(G29,'数出表_Excel（アレルギー入力）'!$A:$A,0)-1&amp;"")&lt;&gt;"",0)+1
),
 "")
&amp;IFERROR(
INDEX('数出表_Excel（アレルギー入力）'!$5:$5,
 1,
MATCH(TRUE,INDIRECT("'数出表_Excel（アレルギー入力）'!B"&amp;MATCH(G29,'数出表_Excel（アレルギー入力）'!$A:$A,0)-1&amp;":U"&amp;MATCH(G29,'数出表_Excel（アレルギー入力）'!$A:$A,0)-1&amp;"")&lt;&gt;"",0)+1),
 ""),"")))</f>
        <v/>
      </c>
      <c r="F30" s="87" t="str">
        <f t="array" aca="1" ref="F30" ca="1">IF(C30&lt;&gt;"",
IF(COUNTIF(C29,"*雙葉*"),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VLOOKUP('盛付札（関数）'!C30,商品マスタ一覧!$D:$J,7,FALSE))),0)),
IF(MATCH(TRUE,
ISNUMBER(--INDIRECT("数出表_Excel!B"&amp;MATCH(G29,数出表_Excel!$A:$A,0)-1&amp;":U"&amp;MATCH(G29,数出表_Excel!$A:$A,0)-1&amp;"")),0)&gt;10,
IF(C30&lt;&gt;"",
IF(IF(COUNTIF('盛付札（関数）'!C30,"*キャラ*"),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VLOOKUP('盛付札（関数）'!C30,商品マスタ一覧!$D:$J,7,FALSE)))=0,"",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VLOOKUP('盛付札（関数）'!C30,商品マスタ一覧!$D:$J,7,FALSE))),0))),""),"")),"")</f>
        <v/>
      </c>
      <c r="G30" s="100" t="str">
        <f ca="1">IF(F30&lt;&gt;"",IF(VALUE(IF(F35&lt;&gt;"",C32-F35,C32))&gt;VALUE(IF(COUNTIF('盛付札（関数）'!C30,"*キャラ*"),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
"+"&amp;IF(F35&lt;&gt;"",C32-F35,C32)-IF(COUNTIF('盛付札（関数）'!C30,"*キャラ*"),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VLOOKUP('盛付札（関数）'!C30,商品マスタ一覧!$D:$J,7,FALSE)))*F30,
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VLOOKUP('盛付札（関数）'!C30,商品マスタ一覧!$D:$J,7,FALSE)))*F30),"")</f>
        <v/>
      </c>
      <c r="H30" s="80">
        <f t="array" aca="1" ref="H30" ca="1">IF(INDIRECT("数出表_Excel!A"&amp;GetResult(H29))="社食",
GetResult(H29)+2,GetResult(H29))</f>
        <v>25</v>
      </c>
      <c r="I30" s="85" t="str">
        <f t="array" aca="1" ref="I30" ca="1">IF(J29&lt;&gt;"",MATCH(TRUE,INDIRECT("数出表_Excel!B"&amp;MATCH(N29,数出表_Excel!$A:$A,0)-1&amp;":U"&amp;MATCH(N29,数出表_Excel!$A:$A,0)-1&amp;"")&lt;&gt;"",0)+1,"")</f>
        <v/>
      </c>
      <c r="J30" s="62" t="str">
        <f t="array" aca="1" ref="J30" ca="1">IF(COUNTIF(N29,"*合計*"),"",
IF(IFERROR(INDIRECT("数出表_Excel!" &amp;
CHAR(MATCH(TRUE,
ISNUMBER(--INDIRECT("数出表_Excel!B"&amp;MATCH(N29,数出表_Excel!$A:$A,0)-1&amp;":U"&amp;MATCH(N29,数出表_Excel!$A:$A,0)-1&amp;"")),0)+65) &amp; "3"),0)=0,"",
IFERROR(INDIRECT("数出表_Excel!" &amp;
CHAR(MATCH(TRUE,
ISNUMBER(--INDIRECT("数出表_Excel!B"&amp;MATCH(N29,数出表_Excel!$A:$A,0)-1&amp;":U"&amp;MATCH(N29,数出表_Excel!$A:$A,0)-1&amp;"")),0)+65) &amp; "3"),"")))</f>
        <v/>
      </c>
      <c r="K30" s="80"/>
      <c r="L30" s="86" t="str">
        <f t="array" aca="1" ref="L30" ca="1">IF(M30&lt;&gt;"","",
IF(COUNTIF(J29,"*雙葉*"),"",
IF(J29&lt;&gt;"",
IFERROR(
INDEX('数出表_Excel（アレルギー入力）'!$4:$4,
 1,
MATCH(TRUE,INDIRECT("'数出表_Excel（アレルギー入力）'!B"&amp;MATCH(N29,'数出表_Excel（アレルギー入力）'!$A:$A,0)-1&amp;":U"&amp;MATCH(N29,'数出表_Excel（アレルギー入力）'!$A:$A,0)-1&amp;"")&lt;&gt;"",0)+1
),
 "")
&amp;IFERROR(
INDEX('数出表_Excel（アレルギー入力）'!$5:$5,
 1,
MATCH(TRUE,INDIRECT("'数出表_Excel（アレルギー入力）'!B"&amp;MATCH(N29,'数出表_Excel（アレルギー入力）'!$A:$A,0)-1&amp;":U"&amp;MATCH(N29,'数出表_Excel（アレルギー入力）'!$A:$A,0)-1&amp;"")&lt;&gt;"",0)+1),
 ""),"")))</f>
        <v/>
      </c>
      <c r="M30" s="87" t="str">
        <f t="array" aca="1" ref="M30" ca="1">IF(J30&lt;&gt;"",
IF(COUNTIF(J29,"*雙葉*"),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VLOOKUP('盛付札（関数）'!J30,商品マスタ一覧!$D:$J,7,FALSE))),0)),
IF(MATCH(TRUE,
ISNUMBER(--INDIRECT("数出表_Excel!B"&amp;MATCH(N29,数出表_Excel!$A:$A,0)-1&amp;":U"&amp;MATCH(N29,数出表_Excel!$A:$A,0)-1&amp;"")),0)&gt;10,
IF(J30&lt;&gt;"",
IF(IF(COUNTIF('盛付札（関数）'!J30,"*キャラ*"),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VLOOKUP('盛付札（関数）'!J30,商品マスタ一覧!$D:$J,7,FALSE)))=0,"",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VLOOKUP('盛付札（関数）'!J30,商品マスタ一覧!$D:$J,7,FALSE))),0))),""),"")),"")</f>
        <v/>
      </c>
      <c r="N30" s="96" t="str">
        <f ca="1">IF(M30&lt;&gt;"",IF(VALUE(IF(M35&lt;&gt;"",J32-M35,J32))&gt;VALUE(IF(COUNTIF('盛付札（関数）'!J30,"*キャラ*"),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
"+"&amp;IF(M35&lt;&gt;"",J32-M35,J32)-IF(COUNTIF('盛付札（関数）'!J30,"*キャラ*"),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VLOOKUP('盛付札（関数）'!J30,商品マスタ一覧!$D:$J,7,FALSE)))*M30,
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VLOOKUP('盛付札（関数）'!J30,商品マスタ一覧!$D:$J,7,FALSE)))*M30),"")</f>
        <v/>
      </c>
      <c r="O30" s="80"/>
      <c r="P30" s="80">
        <f t="array" aca="1" ref="P30" ca="1">IF(INDIRECT("数出表_Excel!A"&amp;GetResult(P29))="社食",
GetResult(P29)+2,GetResult(P29))</f>
        <v>47</v>
      </c>
      <c r="Q30" s="85" t="str">
        <f t="array" aca="1" ref="Q30" ca="1">IF(R29&lt;&gt;"",MATCH(TRUE,INDIRECT("数出表_Excel!B"&amp;MATCH(V29,数出表_Excel!$A:$A,0)-1&amp;":U"&amp;MATCH(V29,数出表_Excel!$A:$A,0)-1&amp;"")&lt;&gt;"",0)+1,"")</f>
        <v/>
      </c>
      <c r="R30" s="62" t="str">
        <f t="array" aca="1" ref="R30" ca="1">IF(COUNTIF(V29,"*合計*"),"",
IF(IFERROR(INDIRECT("数出表_Excel!" &amp;
CHAR(MATCH(TRUE,
ISNUMBER(--INDIRECT("数出表_Excel!B"&amp;MATCH(V29,数出表_Excel!$A:$A,0)-1&amp;":U"&amp;MATCH(V29,数出表_Excel!$A:$A,0)-1&amp;"")),0)+65) &amp; "3"),0)=0,"",
IFERROR(INDIRECT("数出表_Excel!" &amp;
CHAR(MATCH(TRUE,
ISNUMBER(--INDIRECT("数出表_Excel!B"&amp;MATCH(V29,数出表_Excel!$A:$A,0)-1&amp;":U"&amp;MATCH(V29,数出表_Excel!$A:$A,0)-1&amp;"")),0)+65) &amp; "3"),"")))</f>
        <v/>
      </c>
      <c r="S30" s="80"/>
      <c r="T30" s="86" t="str">
        <f t="array" aca="1" ref="T30" ca="1">IF(U30&lt;&gt;"","",
IF(COUNTIF(R29,"*雙葉*"),"",
IF(R29&lt;&gt;"",
IFERROR(
INDEX('数出表_Excel（アレルギー入力）'!$4:$4,
 1,
MATCH(TRUE,INDIRECT("'数出表_Excel（アレルギー入力）'!B"&amp;MATCH(V29,'数出表_Excel（アレルギー入力）'!$A:$A,0)-1&amp;":U"&amp;MATCH(V29,'数出表_Excel（アレルギー入力）'!$A:$A,0)-1&amp;"")&lt;&gt;"",0)+1
),
 "")
&amp;IFERROR(
INDEX('数出表_Excel（アレルギー入力）'!$5:$5,
 1,
MATCH(TRUE,INDIRECT("'数出表_Excel（アレルギー入力）'!B"&amp;MATCH(V29,'数出表_Excel（アレルギー入力）'!$A:$A,0)-1&amp;":U"&amp;MATCH(V29,'数出表_Excel（アレルギー入力）'!$A:$A,0)-1&amp;"")&lt;&gt;"",0)+1),
 ""),"")))</f>
        <v/>
      </c>
      <c r="U30" s="87" t="str">
        <f t="array" aca="1" ref="U30" ca="1">IF(R30&lt;&gt;"",
IF(COUNTIF(R29,"*雙葉*"),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VLOOKUP('盛付札（関数）'!R30,商品マスタ一覧!$D:$J,7,FALSE))),0)),
IF(MATCH(TRUE,
ISNUMBER(--INDIRECT("数出表_Excel!B"&amp;MATCH(V29,数出表_Excel!$A:$A,0)-1&amp;":U"&amp;MATCH(V29,数出表_Excel!$A:$A,0)-1&amp;"")),0)&gt;10,
IF(R30&lt;&gt;"",
IF(IF(COUNTIF('盛付札（関数）'!R30,"*キャラ*"),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VLOOKUP('盛付札（関数）'!R30,商品マスタ一覧!$D:$J,7,FALSE)))=0,"",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VLOOKUP('盛付札（関数）'!R30,商品マスタ一覧!$D:$J,7,FALSE))),0))),""),"")),"")</f>
        <v/>
      </c>
      <c r="V30" s="100" t="str">
        <f ca="1">IF(U30&lt;&gt;"",IF(VALUE(IF(U35&lt;&gt;"",R32-U35,R32))&gt;VALUE(IF(COUNTIF('盛付札（関数）'!R30,"*キャラ*"),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
"+"&amp;IF(U35&lt;&gt;"",R32-U35,R32)-IF(COUNTIF('盛付札（関数）'!R30,"*キャラ*"),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VLOOKUP('盛付札（関数）'!R30,商品マスタ一覧!$D:$J,7,FALSE)))*U30,
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VLOOKUP('盛付札（関数）'!R30,商品マスタ一覧!$D:$J,7,FALSE)))*U30),"")</f>
        <v/>
      </c>
      <c r="W30" s="80">
        <f t="array" aca="1" ref="W30" ca="1">IF(INDIRECT("数出表_Excel!A"&amp;GetResult(W29))="社食",
GetResult(W29)+2,GetResult(W29))</f>
        <v>49</v>
      </c>
      <c r="X30" s="85" t="str">
        <f t="array" aca="1" ref="X30" ca="1">IF(Y29&lt;&gt;"",MATCH(TRUE,INDIRECT("数出表_Excel!B"&amp;MATCH(AC29,数出表_Excel!$A:$A,0)-1&amp;":U"&amp;MATCH(AC29,数出表_Excel!$A:$A,0)-1&amp;"")&lt;&gt;"",0)+1,"")</f>
        <v/>
      </c>
      <c r="Y30" s="62" t="str">
        <f t="array" aca="1" ref="Y30" ca="1">IF(COUNTIF(AC29,"*合計*"),"",
IF(IFERROR(INDIRECT("数出表_Excel!" &amp;
CHAR(MATCH(TRUE,
ISNUMBER(--INDIRECT("数出表_Excel!B"&amp;MATCH(AC29,数出表_Excel!$A:$A,0)-1&amp;":U"&amp;MATCH(AC29,数出表_Excel!$A:$A,0)-1&amp;"")),0)+65) &amp; "3"),0)=0,"",
IFERROR(INDIRECT("数出表_Excel!" &amp;
CHAR(MATCH(TRUE,
ISNUMBER(--INDIRECT("数出表_Excel!B"&amp;MATCH(AC29,数出表_Excel!$A:$A,0)-1&amp;":U"&amp;MATCH(AC29,数出表_Excel!$A:$A,0)-1&amp;"")),0)+65) &amp; "3"),"")))</f>
        <v/>
      </c>
      <c r="Z30" s="80"/>
      <c r="AA30" s="86" t="str">
        <f t="array" aca="1" ref="AA30" ca="1">IF(AB30&lt;&gt;"","",
IF(COUNTIF(Y29,"*雙葉*"),"",
IF(Y29&lt;&gt;"",
IFERROR(
INDEX('数出表_Excel（アレルギー入力）'!$4:$4,
 1,
MATCH(TRUE,INDIRECT("'数出表_Excel（アレルギー入力）'!B"&amp;MATCH(AC29,'数出表_Excel（アレルギー入力）'!$A:$A,0)-1&amp;":U"&amp;MATCH(AC29,'数出表_Excel（アレルギー入力）'!$A:$A,0)-1&amp;"")&lt;&gt;"",0)+1
),
 "")
&amp;IFERROR(
INDEX('数出表_Excel（アレルギー入力）'!$5:$5,
 1,
MATCH(TRUE,INDIRECT("'数出表_Excel（アレルギー入力）'!B"&amp;MATCH(AC29,'数出表_Excel（アレルギー入力）'!$A:$A,0)-1&amp;":U"&amp;MATCH(AC29,'数出表_Excel（アレルギー入力）'!$A:$A,0)-1&amp;"")&lt;&gt;"",0)+1),
 ""),"")))</f>
        <v/>
      </c>
      <c r="AB30" s="87" t="str">
        <f t="array" aca="1" ref="AB30" ca="1">IF(Y30&lt;&gt;"",
IF(COUNTIF(Y29,"*雙葉*"),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VLOOKUP('盛付札（関数）'!Y30,商品マスタ一覧!$D:$J,7,FALSE))),0)),
IF(MATCH(TRUE,
ISNUMBER(--INDIRECT("数出表_Excel!B"&amp;MATCH(AC29,数出表_Excel!$A:$A,0)-1&amp;":U"&amp;MATCH(AC29,数出表_Excel!$A:$A,0)-1&amp;"")),0)&gt;10,
IF(Y30&lt;&gt;"",
IF(IF(COUNTIF('盛付札（関数）'!Y30,"*キャラ*"),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VLOOKUP('盛付札（関数）'!Y30,商品マスタ一覧!$D:$J,7,FALSE)))=0,"",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VLOOKUP('盛付札（関数）'!Y30,商品マスタ一覧!$D:$J,7,FALSE))),0))),""),"")),"")</f>
        <v/>
      </c>
      <c r="AC30" s="96" t="str">
        <f ca="1">IF(AB30&lt;&gt;"",IF(VALUE(IF(AB35&lt;&gt;"",Y32-AB35,Y32))&gt;VALUE(IF(COUNTIF('盛付札（関数）'!Y30,"*キャラ*"),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
"+"&amp;IF(AB35&lt;&gt;"",Y32-AB35,Y32)-IF(COUNTIF('盛付札（関数）'!Y30,"*キャラ*"),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VLOOKUP('盛付札（関数）'!Y30,商品マスタ一覧!$D:$J,7,FALSE)))*AB30,
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VLOOKUP('盛付札（関数）'!Y30,商品マスタ一覧!$D:$J,7,FALSE)))*AB30),"")</f>
        <v/>
      </c>
      <c r="AD30" s="80"/>
      <c r="AE30" s="80">
        <f t="array" aca="1" ref="AE30" ca="1">IF(INDIRECT("数出表_Excel!A"&amp;GetResult(AE29))="社食",
GetResult(AE29)+2,GetResult(AE29))</f>
        <v>71</v>
      </c>
      <c r="AF30" s="85" t="str">
        <f t="array" aca="1" ref="AF30" ca="1">IF(AG29&lt;&gt;"",MATCH(TRUE,INDIRECT("数出表_Excel!B"&amp;MATCH(AK29,数出表_Excel!$A:$A,0)-1&amp;":U"&amp;MATCH(AK29,数出表_Excel!$A:$A,0)-1&amp;"")&lt;&gt;"",0)+1,"")</f>
        <v/>
      </c>
      <c r="AG30" s="62" t="str">
        <f t="array" aca="1" ref="AG30" ca="1">IF(COUNTIF(AK29,"*合計*"),"",
IF(IFERROR(INDIRECT("数出表_Excel!" &amp;
CHAR(MATCH(TRUE,
ISNUMBER(--INDIRECT("数出表_Excel!B"&amp;MATCH(AK29,数出表_Excel!$A:$A,0)-1&amp;":U"&amp;MATCH(AK29,数出表_Excel!$A:$A,0)-1&amp;"")),0)+65) &amp; "3"),0)=0,"",
IFERROR(INDIRECT("数出表_Excel!" &amp;
CHAR(MATCH(TRUE,
ISNUMBER(--INDIRECT("数出表_Excel!B"&amp;MATCH(AK29,数出表_Excel!$A:$A,0)-1&amp;":U"&amp;MATCH(AK29,数出表_Excel!$A:$A,0)-1&amp;"")),0)+65) &amp; "3"),"")))</f>
        <v/>
      </c>
      <c r="AH30" s="80"/>
      <c r="AI30" s="86" t="str">
        <f t="array" aca="1" ref="AI30" ca="1">IF(AJ30&lt;&gt;"","",
IF(COUNTIF(AG29,"*雙葉*"),"",
IF(AG29&lt;&gt;"",
IFERROR(
INDEX('数出表_Excel（アレルギー入力）'!$4:$4,
 1,
MATCH(TRUE,INDIRECT("'数出表_Excel（アレルギー入力）'!B"&amp;MATCH(AK29,'数出表_Excel（アレルギー入力）'!$A:$A,0)-1&amp;":U"&amp;MATCH(AK29,'数出表_Excel（アレルギー入力）'!$A:$A,0)-1&amp;"")&lt;&gt;"",0)+1
),
 "")
&amp;IFERROR(
INDEX('数出表_Excel（アレルギー入力）'!$5:$5,
 1,
MATCH(TRUE,INDIRECT("'数出表_Excel（アレルギー入力）'!B"&amp;MATCH(AK29,'数出表_Excel（アレルギー入力）'!$A:$A,0)-1&amp;":U"&amp;MATCH(AK29,'数出表_Excel（アレルギー入力）'!$A:$A,0)-1&amp;"")&lt;&gt;"",0)+1),
 ""),"")))</f>
        <v/>
      </c>
      <c r="AJ30" s="87" t="str">
        <f t="array" aca="1" ref="AJ30" ca="1">IF(AG30&lt;&gt;"",
IF(COUNTIF(AG29,"*雙葉*"),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VLOOKUP('盛付札（関数）'!AG30,商品マスタ一覧!$D:$J,7,FALSE))),0)),
IF(MATCH(TRUE,
ISNUMBER(--INDIRECT("数出表_Excel!B"&amp;MATCH(AK29,数出表_Excel!$A:$A,0)-1&amp;":U"&amp;MATCH(AK29,数出表_Excel!$A:$A,0)-1&amp;"")),0)&gt;10,
IF(AG30&lt;&gt;"",
IF(IF(COUNTIF('盛付札（関数）'!AG30,"*キャラ*"),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VLOOKUP('盛付札（関数）'!AG30,商品マスタ一覧!$D:$J,7,FALSE)))=0,"",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VLOOKUP('盛付札（関数）'!AG30,商品マスタ一覧!$D:$J,7,FALSE))),0))),""),"")),"")</f>
        <v/>
      </c>
      <c r="AK30" s="100" t="str">
        <f ca="1">IF(AJ30&lt;&gt;"",IF(VALUE(IF(AJ35&lt;&gt;"",AG32-AJ35,AG32))&gt;VALUE(IF(COUNTIF('盛付札（関数）'!AG30,"*キャラ*"),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
"+"&amp;IF(AJ35&lt;&gt;"",AG32-AJ35,AG32)-IF(COUNTIF('盛付札（関数）'!AG30,"*キャラ*"),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VLOOKUP('盛付札（関数）'!AG30,商品マスタ一覧!$D:$J,7,FALSE)))*AJ30,
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VLOOKUP('盛付札（関数）'!AG30,商品マスタ一覧!$D:$J,7,FALSE)))*AJ30),"")</f>
        <v/>
      </c>
      <c r="AL30" s="80">
        <f t="array" aca="1" ref="AL30" ca="1">IF(INDIRECT("数出表_Excel!A"&amp;GetResult(AL29))="社食",
GetResult(AL29)+2,GetResult(AL29))</f>
        <v>73</v>
      </c>
      <c r="AM30" s="85" t="str">
        <f t="array" aca="1" ref="AM30" ca="1">IF(AN29&lt;&gt;"",MATCH(TRUE,INDIRECT("数出表_Excel!B"&amp;MATCH(AR29,数出表_Excel!$A:$A,0)-1&amp;":U"&amp;MATCH(AR29,数出表_Excel!$A:$A,0)-1&amp;"")&lt;&gt;"",0)+1,"")</f>
        <v/>
      </c>
      <c r="AN30" s="62" t="str">
        <f t="array" aca="1" ref="AN30" ca="1">IF(COUNTIF(AR29,"*合計*"),"",
IF(IFERROR(INDIRECT("数出表_Excel!" &amp;
CHAR(MATCH(TRUE,
ISNUMBER(--INDIRECT("数出表_Excel!B"&amp;MATCH(AR29,数出表_Excel!$A:$A,0)-1&amp;":U"&amp;MATCH(AR29,数出表_Excel!$A:$A,0)-1&amp;"")),0)+65) &amp; "3"),0)=0,"",
IFERROR(INDIRECT("数出表_Excel!" &amp;
CHAR(MATCH(TRUE,
ISNUMBER(--INDIRECT("数出表_Excel!B"&amp;MATCH(AR29,数出表_Excel!$A:$A,0)-1&amp;":U"&amp;MATCH(AR29,数出表_Excel!$A:$A,0)-1&amp;"")),0)+65) &amp; "3"),"")))</f>
        <v/>
      </c>
      <c r="AO30" s="80"/>
      <c r="AP30" s="86" t="str">
        <f t="array" aca="1" ref="AP30" ca="1">IF(AQ30&lt;&gt;"","",
IF(COUNTIF(AN29,"*雙葉*"),"",
IF(AN29&lt;&gt;"",
IFERROR(
INDEX('数出表_Excel（アレルギー入力）'!$4:$4,
 1,
MATCH(TRUE,INDIRECT("'数出表_Excel（アレルギー入力）'!B"&amp;MATCH(AR29,'数出表_Excel（アレルギー入力）'!$A:$A,0)-1&amp;":U"&amp;MATCH(AR29,'数出表_Excel（アレルギー入力）'!$A:$A,0)-1&amp;"")&lt;&gt;"",0)+1
),
 "")
&amp;IFERROR(
INDEX('数出表_Excel（アレルギー入力）'!$5:$5,
 1,
MATCH(TRUE,INDIRECT("'数出表_Excel（アレルギー入力）'!B"&amp;MATCH(AR29,'数出表_Excel（アレルギー入力）'!$A:$A,0)-1&amp;":U"&amp;MATCH(AR29,'数出表_Excel（アレルギー入力）'!$A:$A,0)-1&amp;"")&lt;&gt;"",0)+1),
 ""),"")))</f>
        <v/>
      </c>
      <c r="AQ30" s="87" t="str">
        <f t="array" aca="1" ref="AQ30" ca="1">IF(AN30&lt;&gt;"",
IF(COUNTIF(AN29,"*雙葉*"),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VLOOKUP('盛付札（関数）'!AN30,商品マスタ一覧!$D:$J,7,FALSE))),0)),
IF(MATCH(TRUE,
ISNUMBER(--INDIRECT("数出表_Excel!B"&amp;MATCH(AR29,数出表_Excel!$A:$A,0)-1&amp;":U"&amp;MATCH(AR29,数出表_Excel!$A:$A,0)-1&amp;"")),0)&gt;10,
IF(AN30&lt;&gt;"",
IF(IF(COUNTIF('盛付札（関数）'!AN30,"*キャラ*"),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VLOOKUP('盛付札（関数）'!AN30,商品マスタ一覧!$D:$J,7,FALSE)))=0,"",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VLOOKUP('盛付札（関数）'!AN30,商品マスタ一覧!$D:$J,7,FALSE))),0))),""),"")),"")</f>
        <v/>
      </c>
      <c r="AR30" s="96" t="str">
        <f ca="1">IF(AQ30&lt;&gt;"",IF(VALUE(IF(AQ35&lt;&gt;"",AN32-AQ35,AN32))&gt;VALUE(IF(COUNTIF('盛付札（関数）'!AN30,"*キャラ*"),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
"+"&amp;IF(AQ35&lt;&gt;"",AN32-AQ35,AN32)-IF(COUNTIF('盛付札（関数）'!AN30,"*キャラ*"),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VLOOKUP('盛付札（関数）'!AN30,商品マスタ一覧!$D:$J,7,FALSE)))*AQ30,
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VLOOKUP('盛付札（関数）'!AN30,商品マスタ一覧!$D:$J,7,FALSE)))*AQ30),"")</f>
        <v/>
      </c>
      <c r="AS30" s="80"/>
      <c r="AT30" s="80">
        <f t="array" aca="1" ref="AT30" ca="1">IF(INDIRECT("数出表_Excel!A"&amp;GetResult(AT29))="社食",
GetResult(AT29)+2,GetResult(AT29))</f>
        <v>95</v>
      </c>
      <c r="AU30" s="85" t="str">
        <f t="array" aca="1" ref="AU30" ca="1">IF(AV29&lt;&gt;"",MATCH(TRUE,INDIRECT("数出表_Excel!B"&amp;MATCH(AZ29,数出表_Excel!$A:$A,0)-1&amp;":U"&amp;MATCH(AZ29,数出表_Excel!$A:$A,0)-1&amp;"")&lt;&gt;"",0)+1,"")</f>
        <v/>
      </c>
      <c r="AV30" s="62" t="str">
        <f t="array" aca="1" ref="AV30" ca="1">IF(COUNTIF(AZ29,"*合計*"),"",
IF(IFERROR(INDIRECT("数出表_Excel!" &amp;
CHAR(MATCH(TRUE,
ISNUMBER(--INDIRECT("数出表_Excel!B"&amp;MATCH(AZ29,数出表_Excel!$A:$A,0)-1&amp;":U"&amp;MATCH(AZ29,数出表_Excel!$A:$A,0)-1&amp;"")),0)+65) &amp; "3"),0)=0,"",
IFERROR(INDIRECT("数出表_Excel!" &amp;
CHAR(MATCH(TRUE,
ISNUMBER(--INDIRECT("数出表_Excel!B"&amp;MATCH(AZ29,数出表_Excel!$A:$A,0)-1&amp;":U"&amp;MATCH(AZ29,数出表_Excel!$A:$A,0)-1&amp;"")),0)+65) &amp; "3"),"")))</f>
        <v/>
      </c>
      <c r="AW30" s="80"/>
      <c r="AX30" s="86" t="str">
        <f t="array" aca="1" ref="AX30" ca="1">IF(AY30&lt;&gt;"","",
IF(COUNTIF(AV29,"*雙葉*"),"",
IF(AV29&lt;&gt;"",
IFERROR(
INDEX('数出表_Excel（アレルギー入力）'!$4:$4,
 1,
MATCH(TRUE,INDIRECT("'数出表_Excel（アレルギー入力）'!B"&amp;MATCH(AZ29,'数出表_Excel（アレルギー入力）'!$A:$A,0)-1&amp;":U"&amp;MATCH(AZ29,'数出表_Excel（アレルギー入力）'!$A:$A,0)-1&amp;"")&lt;&gt;"",0)+1
),
 "")
&amp;IFERROR(
INDEX('数出表_Excel（アレルギー入力）'!$5:$5,
 1,
MATCH(TRUE,INDIRECT("'数出表_Excel（アレルギー入力）'!B"&amp;MATCH(AZ29,'数出表_Excel（アレルギー入力）'!$A:$A,0)-1&amp;":U"&amp;MATCH(AZ29,'数出表_Excel（アレルギー入力）'!$A:$A,0)-1&amp;"")&lt;&gt;"",0)+1),
 ""),"")))</f>
        <v/>
      </c>
      <c r="AY30" s="87" t="str">
        <f t="array" aca="1" ref="AY30" ca="1">IF(AV30&lt;&gt;"",
IF(COUNTIF(AV29,"*雙葉*"),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VLOOKUP('盛付札（関数）'!AV30,商品マスタ一覧!$D:$J,7,FALSE))),0)),
IF(MATCH(TRUE,
ISNUMBER(--INDIRECT("数出表_Excel!B"&amp;MATCH(AZ29,数出表_Excel!$A:$A,0)-1&amp;":U"&amp;MATCH(AZ29,数出表_Excel!$A:$A,0)-1&amp;"")),0)&gt;10,
IF(AV30&lt;&gt;"",
IF(IF(COUNTIF('盛付札（関数）'!AV30,"*キャラ*"),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VLOOKUP('盛付札（関数）'!AV30,商品マスタ一覧!$D:$J,7,FALSE)))=0,"",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VLOOKUP('盛付札（関数）'!AV30,商品マスタ一覧!$D:$J,7,FALSE))),0))),""),"")),"")</f>
        <v/>
      </c>
      <c r="AZ30" s="100" t="str">
        <f ca="1">IF(AY30&lt;&gt;"",IF(VALUE(IF(AY35&lt;&gt;"",AV32-AY35,AV32))&gt;VALUE(IF(COUNTIF('盛付札（関数）'!AV30,"*キャラ*"),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
"+"&amp;IF(AY35&lt;&gt;"",AV32-AY35,AV32)-IF(COUNTIF('盛付札（関数）'!AV30,"*キャラ*"),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VLOOKUP('盛付札（関数）'!AV30,商品マスタ一覧!$D:$J,7,FALSE)))*AY30,
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VLOOKUP('盛付札（関数）'!AV30,商品マスタ一覧!$D:$J,7,FALSE)))*AY30),"")</f>
        <v/>
      </c>
      <c r="BA30" s="80">
        <f t="array" aca="1" ref="BA30" ca="1">IF(INDIRECT("数出表_Excel!A"&amp;GetResult(BA29))="社食",
GetResult(BA29)+2,GetResult(BA29))</f>
        <v>97</v>
      </c>
      <c r="BB30" s="85" t="str">
        <f t="array" aca="1" ref="BB30" ca="1">IF(BC29&lt;&gt;"",MATCH(TRUE,INDIRECT("数出表_Excel!B"&amp;MATCH(BG29,数出表_Excel!$A:$A,0)-1&amp;":U"&amp;MATCH(BG29,数出表_Excel!$A:$A,0)-1&amp;"")&lt;&gt;"",0)+1,"")</f>
        <v/>
      </c>
      <c r="BC30" s="62" t="str">
        <f t="array" aca="1" ref="BC30" ca="1">IF(COUNTIF(BG29,"*合計*"),"",
IF(IFERROR(INDIRECT("数出表_Excel!" &amp;
CHAR(MATCH(TRUE,
ISNUMBER(--INDIRECT("数出表_Excel!B"&amp;MATCH(BG29,数出表_Excel!$A:$A,0)-1&amp;":U"&amp;MATCH(BG29,数出表_Excel!$A:$A,0)-1&amp;"")),0)+65) &amp; "3"),0)=0,"",
IFERROR(INDIRECT("数出表_Excel!" &amp;
CHAR(MATCH(TRUE,
ISNUMBER(--INDIRECT("数出表_Excel!B"&amp;MATCH(BG29,数出表_Excel!$A:$A,0)-1&amp;":U"&amp;MATCH(BG29,数出表_Excel!$A:$A,0)-1&amp;"")),0)+65) &amp; "3"),"")))</f>
        <v/>
      </c>
      <c r="BD30" s="80"/>
      <c r="BE30" s="86" t="str">
        <f t="array" aca="1" ref="BE30" ca="1">IF(BF30&lt;&gt;"","",
IF(COUNTIF(BC29,"*雙葉*"),"",
IF(BC29&lt;&gt;"",
IFERROR(
INDEX('数出表_Excel（アレルギー入力）'!$4:$4,
 1,
MATCH(TRUE,INDIRECT("'数出表_Excel（アレルギー入力）'!B"&amp;MATCH(BG29,'数出表_Excel（アレルギー入力）'!$A:$A,0)-1&amp;":U"&amp;MATCH(BG29,'数出表_Excel（アレルギー入力）'!$A:$A,0)-1&amp;"")&lt;&gt;"",0)+1
),
 "")
&amp;IFERROR(
INDEX('数出表_Excel（アレルギー入力）'!$5:$5,
 1,
MATCH(TRUE,INDIRECT("'数出表_Excel（アレルギー入力）'!B"&amp;MATCH(BG29,'数出表_Excel（アレルギー入力）'!$A:$A,0)-1&amp;":U"&amp;MATCH(BG29,'数出表_Excel（アレルギー入力）'!$A:$A,0)-1&amp;"")&lt;&gt;"",0)+1),
 ""),"")))</f>
        <v/>
      </c>
      <c r="BF30" s="87" t="str">
        <f t="array" aca="1" ref="BF30" ca="1">IF(BC30&lt;&gt;"",
IF(COUNTIF(BC29,"*雙葉*"),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VLOOKUP('盛付札（関数）'!BC30,商品マスタ一覧!$D:$J,7,FALSE))),0)),
IF(MATCH(TRUE,
ISNUMBER(--INDIRECT("数出表_Excel!B"&amp;MATCH(BG29,数出表_Excel!$A:$A,0)-1&amp;":U"&amp;MATCH(BG29,数出表_Excel!$A:$A,0)-1&amp;"")),0)&gt;10,
IF(BC30&lt;&gt;"",
IF(IF(COUNTIF('盛付札（関数）'!BC30,"*キャラ*"),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VLOOKUP('盛付札（関数）'!BC30,商品マスタ一覧!$D:$J,7,FALSE)))=0,"",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VLOOKUP('盛付札（関数）'!BC30,商品マスタ一覧!$D:$J,7,FALSE))),0))),""),"")),"")</f>
        <v/>
      </c>
      <c r="BG30" s="96" t="str">
        <f ca="1">IF(BF30&lt;&gt;"",IF(VALUE(IF(BF35&lt;&gt;"",BC32-BF35,BC32))&gt;VALUE(IF(COUNTIF('盛付札（関数）'!BC30,"*キャラ*"),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
"+"&amp;IF(BF35&lt;&gt;"",BC32-BF35,BC32)-IF(COUNTIF('盛付札（関数）'!BC30,"*キャラ*"),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VLOOKUP('盛付札（関数）'!BC30,商品マスタ一覧!$D:$J,7,FALSE)))*BF30,
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VLOOKUP('盛付札（関数）'!BC30,商品マスタ一覧!$D:$J,7,FALSE)))*BF30),"")</f>
        <v/>
      </c>
      <c r="BH30" s="80"/>
      <c r="BI30" s="80">
        <f t="array" aca="1" ref="BI30" ca="1">IF(INDIRECT("数出表_Excel!A"&amp;GetResult(BI29))="社食",
GetResult(BI29)+2,GetResult(BI29))</f>
        <v>119</v>
      </c>
      <c r="BJ30" s="85" t="str">
        <f t="array" aca="1" ref="BJ30" ca="1">IF(BK29&lt;&gt;"",MATCH(TRUE,INDIRECT("数出表_Excel!B"&amp;MATCH(BO29,数出表_Excel!$A:$A,0)-1&amp;":U"&amp;MATCH(BO29,数出表_Excel!$A:$A,0)-1&amp;"")&lt;&gt;"",0)+1,"")</f>
        <v/>
      </c>
      <c r="BK30" s="62" t="str">
        <f t="array" aca="1" ref="BK30" ca="1">IF(COUNTIF(BO29,"*合計*"),"",
IF(IFERROR(INDIRECT("数出表_Excel!" &amp;
CHAR(MATCH(TRUE,
ISNUMBER(--INDIRECT("数出表_Excel!B"&amp;MATCH(BO29,数出表_Excel!$A:$A,0)-1&amp;":U"&amp;MATCH(BO29,数出表_Excel!$A:$A,0)-1&amp;"")),0)+65) &amp; "3"),0)=0,"",
IFERROR(INDIRECT("数出表_Excel!" &amp;
CHAR(MATCH(TRUE,
ISNUMBER(--INDIRECT("数出表_Excel!B"&amp;MATCH(BO29,数出表_Excel!$A:$A,0)-1&amp;":U"&amp;MATCH(BO29,数出表_Excel!$A:$A,0)-1&amp;"")),0)+65) &amp; "3"),"")))</f>
        <v/>
      </c>
      <c r="BL30" s="80"/>
      <c r="BM30" s="86" t="str">
        <f t="array" aca="1" ref="BM30" ca="1">IF(BN30&lt;&gt;"","",
IF(COUNTIF(BK29,"*雙葉*"),"",
IF(BK29&lt;&gt;"",
IFERROR(
INDEX('数出表_Excel（アレルギー入力）'!$4:$4,
 1,
MATCH(TRUE,INDIRECT("'数出表_Excel（アレルギー入力）'!B"&amp;MATCH(BO29,'数出表_Excel（アレルギー入力）'!$A:$A,0)-1&amp;":U"&amp;MATCH(BO29,'数出表_Excel（アレルギー入力）'!$A:$A,0)-1&amp;"")&lt;&gt;"",0)+1
),
 "")
&amp;IFERROR(
INDEX('数出表_Excel（アレルギー入力）'!$5:$5,
 1,
MATCH(TRUE,INDIRECT("'数出表_Excel（アレルギー入力）'!B"&amp;MATCH(BO29,'数出表_Excel（アレルギー入力）'!$A:$A,0)-1&amp;":U"&amp;MATCH(BO29,'数出表_Excel（アレルギー入力）'!$A:$A,0)-1&amp;"")&lt;&gt;"",0)+1),
 ""),"")))</f>
        <v/>
      </c>
      <c r="BN30" s="87" t="str">
        <f t="array" aca="1" ref="BN30" ca="1">IF(BK30&lt;&gt;"",
IF(COUNTIF(BK29,"*雙葉*"),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VLOOKUP('盛付札（関数）'!BK30,商品マスタ一覧!$D:$J,7,FALSE))),0)),
IF(MATCH(TRUE,
ISNUMBER(--INDIRECT("数出表_Excel!B"&amp;MATCH(BO29,数出表_Excel!$A:$A,0)-1&amp;":U"&amp;MATCH(BO29,数出表_Excel!$A:$A,0)-1&amp;"")),0)&gt;10,
IF(BK30&lt;&gt;"",
IF(IF(COUNTIF('盛付札（関数）'!BK30,"*キャラ*"),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VLOOKUP('盛付札（関数）'!BK30,商品マスタ一覧!$D:$J,7,FALSE)))=0,"",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VLOOKUP('盛付札（関数）'!BK30,商品マスタ一覧!$D:$J,7,FALSE))),0))),""),"")),"")</f>
        <v/>
      </c>
      <c r="BO30" s="100" t="str">
        <f ca="1">IF(BN30&lt;&gt;"",IF(VALUE(IF(BN35&lt;&gt;"",BK32-BN35,BK32))&gt;VALUE(IF(COUNTIF('盛付札（関数）'!BK30,"*キャラ*"),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
"+"&amp;IF(BN35&lt;&gt;"",BK32-BN35,BK32)-IF(COUNTIF('盛付札（関数）'!BK30,"*キャラ*"),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VLOOKUP('盛付札（関数）'!BK30,商品マスタ一覧!$D:$J,7,FALSE)))*BN30,
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VLOOKUP('盛付札（関数）'!BK30,商品マスタ一覧!$D:$J,7,FALSE)))*BN30),"")</f>
        <v/>
      </c>
      <c r="BP30" s="80">
        <f t="array" aca="1" ref="BP30" ca="1">IF(INDIRECT("数出表_Excel!A"&amp;GetResult(BP29))="社食",
GetResult(BP29)+2,GetResult(BP29))</f>
        <v>121</v>
      </c>
      <c r="BQ30" s="85" t="str">
        <f t="array" aca="1" ref="BQ30" ca="1">IF(BR29&lt;&gt;"",MATCH(TRUE,INDIRECT("数出表_Excel!B"&amp;MATCH(BV29,数出表_Excel!$A:$A,0)-1&amp;":U"&amp;MATCH(BV29,数出表_Excel!$A:$A,0)-1&amp;"")&lt;&gt;"",0)+1,"")</f>
        <v/>
      </c>
      <c r="BR30" s="62" t="str">
        <f t="array" aca="1" ref="BR30" ca="1">IF(COUNTIF(BV29,"*合計*"),"",
IF(IFERROR(INDIRECT("数出表_Excel!" &amp;
CHAR(MATCH(TRUE,
ISNUMBER(--INDIRECT("数出表_Excel!B"&amp;MATCH(BV29,数出表_Excel!$A:$A,0)-1&amp;":U"&amp;MATCH(BV29,数出表_Excel!$A:$A,0)-1&amp;"")),0)+65) &amp; "3"),0)=0,"",
IFERROR(INDIRECT("数出表_Excel!" &amp;
CHAR(MATCH(TRUE,
ISNUMBER(--INDIRECT("数出表_Excel!B"&amp;MATCH(BV29,数出表_Excel!$A:$A,0)-1&amp;":U"&amp;MATCH(BV29,数出表_Excel!$A:$A,0)-1&amp;"")),0)+65) &amp; "3"),"")))</f>
        <v/>
      </c>
      <c r="BS30" s="80"/>
      <c r="BT30" s="86" t="str">
        <f t="array" aca="1" ref="BT30" ca="1">IF(BU30&lt;&gt;"","",
IF(COUNTIF(BR29,"*雙葉*"),"",
IF(BR29&lt;&gt;"",
IFERROR(
INDEX('数出表_Excel（アレルギー入力）'!$4:$4,
 1,
MATCH(TRUE,INDIRECT("'数出表_Excel（アレルギー入力）'!B"&amp;MATCH(BV29,'数出表_Excel（アレルギー入力）'!$A:$A,0)-1&amp;":U"&amp;MATCH(BV29,'数出表_Excel（アレルギー入力）'!$A:$A,0)-1&amp;"")&lt;&gt;"",0)+1
),
 "")
&amp;IFERROR(
INDEX('数出表_Excel（アレルギー入力）'!$5:$5,
 1,
MATCH(TRUE,INDIRECT("'数出表_Excel（アレルギー入力）'!B"&amp;MATCH(BV29,'数出表_Excel（アレルギー入力）'!$A:$A,0)-1&amp;":U"&amp;MATCH(BV29,'数出表_Excel（アレルギー入力）'!$A:$A,0)-1&amp;"")&lt;&gt;"",0)+1),
 ""),"")))</f>
        <v/>
      </c>
      <c r="BU30" s="87" t="str">
        <f t="array" aca="1" ref="BU30" ca="1">IF(BR30&lt;&gt;"",
IF(COUNTIF(BR29,"*雙葉*"),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VLOOKUP('盛付札（関数）'!BR30,商品マスタ一覧!$D:$J,7,FALSE))),0)),
IF(MATCH(TRUE,
ISNUMBER(--INDIRECT("数出表_Excel!B"&amp;MATCH(BV29,数出表_Excel!$A:$A,0)-1&amp;":U"&amp;MATCH(BV29,数出表_Excel!$A:$A,0)-1&amp;"")),0)&gt;10,
IF(BR30&lt;&gt;"",
IF(IF(COUNTIF('盛付札（関数）'!BR30,"*キャラ*"),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VLOOKUP('盛付札（関数）'!BR30,商品マスタ一覧!$D:$J,7,FALSE)))=0,"",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VLOOKUP('盛付札（関数）'!BR30,商品マスタ一覧!$D:$J,7,FALSE))),0))),""),"")),"")</f>
        <v/>
      </c>
      <c r="BV30" s="96" t="str">
        <f ca="1">IF(BU30&lt;&gt;"",IF(VALUE(IF(BU35&lt;&gt;"",BR32-BU35,BR32))&gt;VALUE(IF(COUNTIF('盛付札（関数）'!BR30,"*キャラ*"),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
"+"&amp;IF(BU35&lt;&gt;"",BR32-BU35,BR32)-IF(COUNTIF('盛付札（関数）'!BR30,"*キャラ*"),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VLOOKUP('盛付札（関数）'!BR30,商品マスタ一覧!$D:$J,7,FALSE)))*BU30,
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VLOOKUP('盛付札（関数）'!BR30,商品マスタ一覧!$D:$J,7,FALSE)))*BU30),"")</f>
        <v/>
      </c>
      <c r="BW30" s="80"/>
      <c r="BX30" s="80">
        <f t="array" aca="1" ref="BX30" ca="1">IF(INDIRECT("数出表_Excel!A"&amp;GetResult(BX29))="社食",
GetResult(BX29)+2,GetResult(BX29))</f>
        <v>143</v>
      </c>
      <c r="BY30" s="85" t="str">
        <f t="array" aca="1" ref="BY30" ca="1">IF(BZ29&lt;&gt;"",MATCH(TRUE,INDIRECT("数出表_Excel!B"&amp;MATCH(CD29,数出表_Excel!$A:$A,0)-1&amp;":U"&amp;MATCH(CD29,数出表_Excel!$A:$A,0)-1&amp;"")&lt;&gt;"",0)+1,"")</f>
        <v/>
      </c>
      <c r="BZ30" s="62" t="str">
        <f t="array" aca="1" ref="BZ30" ca="1">IF(COUNTIF(CD29,"*合計*"),"",
IF(IFERROR(INDIRECT("数出表_Excel!" &amp;
CHAR(MATCH(TRUE,
ISNUMBER(--INDIRECT("数出表_Excel!B"&amp;MATCH(CD29,数出表_Excel!$A:$A,0)-1&amp;":U"&amp;MATCH(CD29,数出表_Excel!$A:$A,0)-1&amp;"")),0)+65) &amp; "3"),0)=0,"",
IFERROR(INDIRECT("数出表_Excel!" &amp;
CHAR(MATCH(TRUE,
ISNUMBER(--INDIRECT("数出表_Excel!B"&amp;MATCH(CD29,数出表_Excel!$A:$A,0)-1&amp;":U"&amp;MATCH(CD29,数出表_Excel!$A:$A,0)-1&amp;"")),0)+65) &amp; "3"),"")))</f>
        <v/>
      </c>
      <c r="CA30" s="80"/>
      <c r="CB30" s="86" t="str">
        <f t="array" aca="1" ref="CB30" ca="1">IF(CC30&lt;&gt;"","",
IF(COUNTIF(BZ29,"*雙葉*"),"",
IF(BZ29&lt;&gt;"",
IFERROR(
INDEX('数出表_Excel（アレルギー入力）'!$4:$4,
 1,
MATCH(TRUE,INDIRECT("'数出表_Excel（アレルギー入力）'!B"&amp;MATCH(CD29,'数出表_Excel（アレルギー入力）'!$A:$A,0)-1&amp;":U"&amp;MATCH(CD29,'数出表_Excel（アレルギー入力）'!$A:$A,0)-1&amp;"")&lt;&gt;"",0)+1
),
 "")
&amp;IFERROR(
INDEX('数出表_Excel（アレルギー入力）'!$5:$5,
 1,
MATCH(TRUE,INDIRECT("'数出表_Excel（アレルギー入力）'!B"&amp;MATCH(CD29,'数出表_Excel（アレルギー入力）'!$A:$A,0)-1&amp;":U"&amp;MATCH(CD29,'数出表_Excel（アレルギー入力）'!$A:$A,0)-1&amp;"")&lt;&gt;"",0)+1),
 ""),"")))</f>
        <v/>
      </c>
      <c r="CC30" s="87" t="str">
        <f t="array" aca="1" ref="CC30" ca="1">IF(BZ30&lt;&gt;"",
IF(COUNTIF(BZ29,"*雙葉*"),
IF(ROUND(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VLOOKUP('盛付札（関数）'!BZ30,商品マスタ一覧!$D:$J,7,FALSE))),0)&lt;=0,1,
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VLOOKUP('盛付札（関数）'!BZ30,商品マスタ一覧!$D:$J,7,FALSE))),0)),
IF(MATCH(TRUE,
ISNUMBER(--INDIRECT("数出表_Excel!B"&amp;MATCH(CD29,数出表_Excel!$A:$A,0)-1&amp;":U"&amp;MATCH(CD29,数出表_Excel!$A:$A,0)-1&amp;"")),0)&gt;10,
IF(BZ30&lt;&gt;"",
IF(IF(COUNTIF('盛付札（関数）'!BZ30,"*キャラ*"),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VLOOKUP('盛付札（関数）'!BZ30,商品マスタ一覧!$D:$J,7,FALSE)))=0,"",
IF(ROUND(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VLOOKUP('盛付札（関数）'!BZ30,商品マスタ一覧!$D:$J,7,FALSE))),0)&lt;=0,1,
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VLOOKUP('盛付札（関数）'!BZ30,商品マスタ一覧!$D:$J,7,FALSE))),0))),""),"")),"")</f>
        <v/>
      </c>
      <c r="CD30" s="100" t="str">
        <f ca="1">IF(CC30&lt;&gt;"",IF(VALUE(IF(CC35&lt;&gt;"",BZ32-CC35,BZ32))&gt;VALUE(IF(COUNTIF('盛付札（関数）'!BZ30,"*キャラ*"),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VLOOKUP('盛付札（関数）'!BZ30,商品マスタ一覧!$D:$J,7,FALSE)))*CC30),
"+"&amp;IF(CC35&lt;&gt;"",BZ32-CC35,BZ32)-IF(COUNTIF('盛付札（関数）'!BZ30,"*キャラ*"),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VLOOKUP('盛付札（関数）'!BZ30,商品マスタ一覧!$D:$J,7,FALSE)))*CC30,
IF(CC35&lt;&gt;"",BZ32-CC35,BZ32)-IF(COUNTIF('盛付札（関数）'!BZ30,"*キャラ*"),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VLOOKUP('盛付札（関数）'!BZ30,商品マスタ一覧!$D:$J,7,FALSE)))*CC30),"")</f>
        <v/>
      </c>
      <c r="CE30" s="80">
        <f t="array" aca="1" ref="CE30" ca="1">IF(INDIRECT("数出表_Excel!A"&amp;GetResult(CE29))="社食",
GetResult(CE29)+2,GetResult(CE29))</f>
        <v>145</v>
      </c>
      <c r="CF30" s="85" t="str">
        <f t="array" aca="1" ref="CF30" ca="1">IF(CG29&lt;&gt;"",MATCH(TRUE,INDIRECT("数出表_Excel!B"&amp;MATCH(CK29,数出表_Excel!$A:$A,0)-1&amp;":U"&amp;MATCH(CK29,数出表_Excel!$A:$A,0)-1&amp;"")&lt;&gt;"",0)+1,"")</f>
        <v/>
      </c>
      <c r="CG30" s="62" t="str">
        <f t="array" aca="1" ref="CG30" ca="1">IF(COUNTIF(CK29,"*合計*"),"",
IF(IFERROR(INDIRECT("数出表_Excel!" &amp;
CHAR(MATCH(TRUE,
ISNUMBER(--INDIRECT("数出表_Excel!B"&amp;MATCH(CK29,数出表_Excel!$A:$A,0)-1&amp;":U"&amp;MATCH(CK29,数出表_Excel!$A:$A,0)-1&amp;"")),0)+65) &amp; "3"),0)=0,"",
IFERROR(INDIRECT("数出表_Excel!" &amp;
CHAR(MATCH(TRUE,
ISNUMBER(--INDIRECT("数出表_Excel!B"&amp;MATCH(CK29,数出表_Excel!$A:$A,0)-1&amp;":U"&amp;MATCH(CK29,数出表_Excel!$A:$A,0)-1&amp;"")),0)+65) &amp; "3"),"")))</f>
        <v/>
      </c>
      <c r="CH30" s="80"/>
      <c r="CI30" s="86" t="str">
        <f t="array" aca="1" ref="CI30" ca="1">IF(CJ30&lt;&gt;"","",
IF(COUNTIF(CG29,"*雙葉*"),"",
IF(CG29&lt;&gt;"",
IFERROR(
INDEX('数出表_Excel（アレルギー入力）'!$4:$4,
 1,
MATCH(TRUE,INDIRECT("'数出表_Excel（アレルギー入力）'!B"&amp;MATCH(CK29,'数出表_Excel（アレルギー入力）'!$A:$A,0)-1&amp;":U"&amp;MATCH(CK29,'数出表_Excel（アレルギー入力）'!$A:$A,0)-1&amp;"")&lt;&gt;"",0)+1
),
 "")
&amp;IFERROR(
INDEX('数出表_Excel（アレルギー入力）'!$5:$5,
 1,
MATCH(TRUE,INDIRECT("'数出表_Excel（アレルギー入力）'!B"&amp;MATCH(CK29,'数出表_Excel（アレルギー入力）'!$A:$A,0)-1&amp;":U"&amp;MATCH(CK29,'数出表_Excel（アレルギー入力）'!$A:$A,0)-1&amp;"")&lt;&gt;"",0)+1),
 ""),"")))</f>
        <v/>
      </c>
      <c r="CJ30" s="87" t="str">
        <f t="array" aca="1" ref="CJ30" ca="1">IF(CG30&lt;&gt;"",
IF(COUNTIF(CG29,"*雙葉*"),
IF(ROUND(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VLOOKUP('盛付札（関数）'!CG30,商品マスタ一覧!$D:$J,7,FALSE))),0)&lt;=0,1,
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VLOOKUP('盛付札（関数）'!CG30,商品マスタ一覧!$D:$J,7,FALSE))),0)),
IF(MATCH(TRUE,
ISNUMBER(--INDIRECT("数出表_Excel!B"&amp;MATCH(CK29,数出表_Excel!$A:$A,0)-1&amp;":U"&amp;MATCH(CK29,数出表_Excel!$A:$A,0)-1&amp;"")),0)&gt;10,
IF(CG30&lt;&gt;"",
IF(IF(COUNTIF('盛付札（関数）'!CG30,"*キャラ*"),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VLOOKUP('盛付札（関数）'!CG30,商品マスタ一覧!$D:$J,7,FALSE)))=0,"",
IF(ROUND(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VLOOKUP('盛付札（関数）'!CG30,商品マスタ一覧!$D:$J,7,FALSE))),0)&lt;=0,1,
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VLOOKUP('盛付札（関数）'!CG30,商品マスタ一覧!$D:$J,7,FALSE))),0))),""),"")),"")</f>
        <v/>
      </c>
      <c r="CK30" s="96" t="str">
        <f ca="1">IF(CJ30&lt;&gt;"",IF(VALUE(IF(CJ35&lt;&gt;"",CG32-CJ35,CG32))&gt;VALUE(IF(COUNTIF('盛付札（関数）'!CG30,"*キャラ*"),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VLOOKUP('盛付札（関数）'!CG30,商品マスタ一覧!$D:$J,7,FALSE)))*CJ30),
"+"&amp;IF(CJ35&lt;&gt;"",CG32-CJ35,CG32)-IF(COUNTIF('盛付札（関数）'!CG30,"*キャラ*"),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VLOOKUP('盛付札（関数）'!CG30,商品マスタ一覧!$D:$J,7,FALSE)))*CJ30,
IF(CJ35&lt;&gt;"",CG32-CJ35,CG32)-IF(COUNTIF('盛付札（関数）'!CG30,"*キャラ*"),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VLOOKUP('盛付札（関数）'!CG30,商品マスタ一覧!$D:$J,7,FALSE)))*CJ30),"")</f>
        <v/>
      </c>
      <c r="CL30" s="80"/>
      <c r="CM30" s="80">
        <f t="array" aca="1" ref="CM30" ca="1">IF(INDIRECT("数出表_Excel!A"&amp;GetResult(CM29))="社食",
GetResult(CM29)+2,GetResult(CM29))</f>
        <v>167</v>
      </c>
      <c r="CN30" s="85" t="str">
        <f t="array" aca="1" ref="CN30" ca="1">IF(CO29&lt;&gt;"",MATCH(TRUE,INDIRECT("数出表_Excel!B"&amp;MATCH(CS29,数出表_Excel!$A:$A,0)-1&amp;":U"&amp;MATCH(CS29,数出表_Excel!$A:$A,0)-1&amp;"")&lt;&gt;"",0)+1,"")</f>
        <v/>
      </c>
      <c r="CO30" s="62" t="str">
        <f t="array" aca="1" ref="CO30" ca="1">IF(COUNTIF(CS29,"*合計*"),"",
IF(IFERROR(INDIRECT("数出表_Excel!" &amp;
CHAR(MATCH(TRUE,
ISNUMBER(--INDIRECT("数出表_Excel!B"&amp;MATCH(CS29,数出表_Excel!$A:$A,0)-1&amp;":U"&amp;MATCH(CS29,数出表_Excel!$A:$A,0)-1&amp;"")),0)+65) &amp; "3"),0)=0,"",
IFERROR(INDIRECT("数出表_Excel!" &amp;
CHAR(MATCH(TRUE,
ISNUMBER(--INDIRECT("数出表_Excel!B"&amp;MATCH(CS29,数出表_Excel!$A:$A,0)-1&amp;":U"&amp;MATCH(CS29,数出表_Excel!$A:$A,0)-1&amp;"")),0)+65) &amp; "3"),"")))</f>
        <v/>
      </c>
      <c r="CP30" s="80"/>
      <c r="CQ30" s="86" t="str">
        <f t="array" aca="1" ref="CQ30" ca="1">IF(CR30&lt;&gt;"","",
IF(COUNTIF(CO29,"*雙葉*"),"",
IF(CO29&lt;&gt;"",
IFERROR(
INDEX('数出表_Excel（アレルギー入力）'!$4:$4,
 1,
MATCH(TRUE,INDIRECT("'数出表_Excel（アレルギー入力）'!B"&amp;MATCH(CS29,'数出表_Excel（アレルギー入力）'!$A:$A,0)-1&amp;":U"&amp;MATCH(CS29,'数出表_Excel（アレルギー入力）'!$A:$A,0)-1&amp;"")&lt;&gt;"",0)+1
),
 "")
&amp;IFERROR(
INDEX('数出表_Excel（アレルギー入力）'!$5:$5,
 1,
MATCH(TRUE,INDIRECT("'数出表_Excel（アレルギー入力）'!B"&amp;MATCH(CS29,'数出表_Excel（アレルギー入力）'!$A:$A,0)-1&amp;":U"&amp;MATCH(CS29,'数出表_Excel（アレルギー入力）'!$A:$A,0)-1&amp;"")&lt;&gt;"",0)+1),
 ""),"")))</f>
        <v/>
      </c>
      <c r="CR30" s="87" t="str">
        <f t="array" aca="1" ref="CR30" ca="1">IF(CO30&lt;&gt;"",
IF(COUNTIF(CO29,"*雙葉*"),
IF(ROUND(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VLOOKUP('盛付札（関数）'!CO30,商品マスタ一覧!$D:$J,7,FALSE))),0)&lt;=0,1,
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VLOOKUP('盛付札（関数）'!CO30,商品マスタ一覧!$D:$J,7,FALSE))),0)),
IF(MATCH(TRUE,
ISNUMBER(--INDIRECT("数出表_Excel!B"&amp;MATCH(CS29,数出表_Excel!$A:$A,0)-1&amp;":U"&amp;MATCH(CS29,数出表_Excel!$A:$A,0)-1&amp;"")),0)&gt;10,
IF(CO30&lt;&gt;"",
IF(IF(COUNTIF('盛付札（関数）'!CO30,"*キャラ*"),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VLOOKUP('盛付札（関数）'!CO30,商品マスタ一覧!$D:$J,7,FALSE)))=0,"",
IF(ROUND(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VLOOKUP('盛付札（関数）'!CO30,商品マスタ一覧!$D:$J,7,FALSE))),0)&lt;=0,1,
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VLOOKUP('盛付札（関数）'!CO30,商品マスタ一覧!$D:$J,7,FALSE))),0))),""),"")),"")</f>
        <v/>
      </c>
      <c r="CS30" s="100" t="str">
        <f ca="1">IF(CR30&lt;&gt;"",IF(VALUE(IF(CR35&lt;&gt;"",CO32-CR35,CO32))&gt;VALUE(IF(COUNTIF('盛付札（関数）'!CO30,"*キャラ*"),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VLOOKUP('盛付札（関数）'!CO30,商品マスタ一覧!$D:$J,7,FALSE)))*CR30),
"+"&amp;IF(CR35&lt;&gt;"",CO32-CR35,CO32)-IF(COUNTIF('盛付札（関数）'!CO30,"*キャラ*"),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VLOOKUP('盛付札（関数）'!CO30,商品マスタ一覧!$D:$J,7,FALSE)))*CR30,
IF(CR35&lt;&gt;"",CO32-CR35,CO32)-IF(COUNTIF('盛付札（関数）'!CO30,"*キャラ*"),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VLOOKUP('盛付札（関数）'!CO30,商品マスタ一覧!$D:$J,7,FALSE)))*CR30),"")</f>
        <v/>
      </c>
      <c r="CT30" s="80">
        <f t="array" aca="1" ref="CT30" ca="1">IF(INDIRECT("数出表_Excel!A"&amp;GetResult(CT29))="社食",
GetResult(CT29)+2,GetResult(CT29))</f>
        <v>169</v>
      </c>
      <c r="CU30" s="85" t="str">
        <f t="array" aca="1" ref="CU30" ca="1">IF(CV29&lt;&gt;"",MATCH(TRUE,INDIRECT("数出表_Excel!B"&amp;MATCH(CZ29,数出表_Excel!$A:$A,0)-1&amp;":U"&amp;MATCH(CZ29,数出表_Excel!$A:$A,0)-1&amp;"")&lt;&gt;"",0)+1,"")</f>
        <v/>
      </c>
      <c r="CV30" s="62" t="str">
        <f t="array" aca="1" ref="CV30" ca="1">IF(COUNTIF(CZ29,"*合計*"),"",
IF(IFERROR(INDIRECT("数出表_Excel!" &amp;
CHAR(MATCH(TRUE,
ISNUMBER(--INDIRECT("数出表_Excel!B"&amp;MATCH(CZ29,数出表_Excel!$A:$A,0)-1&amp;":U"&amp;MATCH(CZ29,数出表_Excel!$A:$A,0)-1&amp;"")),0)+65) &amp; "3"),0)=0,"",
IFERROR(INDIRECT("数出表_Excel!" &amp;
CHAR(MATCH(TRUE,
ISNUMBER(--INDIRECT("数出表_Excel!B"&amp;MATCH(CZ29,数出表_Excel!$A:$A,0)-1&amp;":U"&amp;MATCH(CZ29,数出表_Excel!$A:$A,0)-1&amp;"")),0)+65) &amp; "3"),"")))</f>
        <v/>
      </c>
      <c r="CW30" s="80"/>
      <c r="CX30" s="86" t="str">
        <f t="array" aca="1" ref="CX30" ca="1">IF(CY30&lt;&gt;"","",
IF(COUNTIF(CV29,"*雙葉*"),"",
IF(CV29&lt;&gt;"",
IFERROR(
INDEX('数出表_Excel（アレルギー入力）'!$4:$4,
 1,
MATCH(TRUE,INDIRECT("'数出表_Excel（アレルギー入力）'!B"&amp;MATCH(CZ29,'数出表_Excel（アレルギー入力）'!$A:$A,0)-1&amp;":U"&amp;MATCH(CZ29,'数出表_Excel（アレルギー入力）'!$A:$A,0)-1&amp;"")&lt;&gt;"",0)+1
),
 "")
&amp;IFERROR(
INDEX('数出表_Excel（アレルギー入力）'!$5:$5,
 1,
MATCH(TRUE,INDIRECT("'数出表_Excel（アレルギー入力）'!B"&amp;MATCH(CZ29,'数出表_Excel（アレルギー入力）'!$A:$A,0)-1&amp;":U"&amp;MATCH(CZ29,'数出表_Excel（アレルギー入力）'!$A:$A,0)-1&amp;"")&lt;&gt;"",0)+1),
 ""),"")))</f>
        <v/>
      </c>
      <c r="CY30" s="87" t="str">
        <f t="array" aca="1" ref="CY30" ca="1">IF(CV30&lt;&gt;"",
IF(COUNTIF(CV29,"*雙葉*"),
IF(ROUND(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VLOOKUP('盛付札（関数）'!CV30,商品マスタ一覧!$D:$J,7,FALSE))),0)&lt;=0,1,
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VLOOKUP('盛付札（関数）'!CV30,商品マスタ一覧!$D:$J,7,FALSE))),0)),
IF(MATCH(TRUE,
ISNUMBER(--INDIRECT("数出表_Excel!B"&amp;MATCH(CZ29,数出表_Excel!$A:$A,0)-1&amp;":U"&amp;MATCH(CZ29,数出表_Excel!$A:$A,0)-1&amp;"")),0)&gt;10,
IF(CV30&lt;&gt;"",
IF(IF(COUNTIF('盛付札（関数）'!CV30,"*キャラ*"),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VLOOKUP('盛付札（関数）'!CV30,商品マスタ一覧!$D:$J,7,FALSE)))=0,"",
IF(ROUND(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VLOOKUP('盛付札（関数）'!CV30,商品マスタ一覧!$D:$J,7,FALSE))),0)&lt;=0,1,
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VLOOKUP('盛付札（関数）'!CV30,商品マスタ一覧!$D:$J,7,FALSE))),0))),""),"")),"")</f>
        <v/>
      </c>
      <c r="CZ30" s="96" t="str">
        <f ca="1">IF(CY30&lt;&gt;"",IF(VALUE(IF(CY35&lt;&gt;"",CV32-CY35,CV32))&gt;VALUE(IF(COUNTIF('盛付札（関数）'!CV30,"*キャラ*"),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VLOOKUP('盛付札（関数）'!CV30,商品マスタ一覧!$D:$J,7,FALSE)))*CY30),
"+"&amp;IF(CY35&lt;&gt;"",CV32-CY35,CV32)-IF(COUNTIF('盛付札（関数）'!CV30,"*キャラ*"),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VLOOKUP('盛付札（関数）'!CV30,商品マスタ一覧!$D:$J,7,FALSE)))*CY30,
IF(CY35&lt;&gt;"",CV32-CY35,CV32)-IF(COUNTIF('盛付札（関数）'!CV30,"*キャラ*"),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VLOOKUP('盛付札（関数）'!CV30,商品マスタ一覧!$D:$J,7,FALSE)))*CY30),"")</f>
        <v/>
      </c>
      <c r="DA30" s="80"/>
      <c r="DB30" s="80">
        <f t="array" aca="1" ref="DB30" ca="1">IF(INDIRECT("数出表_Excel!A"&amp;GetResult(DB29))="社食",
GetResult(DB29)+2,GetResult(DB29))</f>
        <v>191</v>
      </c>
      <c r="DC30" s="85" t="str">
        <f t="array" aca="1" ref="DC30" ca="1">IF(DD29&lt;&gt;"",MATCH(TRUE,INDIRECT("数出表_Excel!B"&amp;MATCH(DH29,数出表_Excel!$A:$A,0)-1&amp;":U"&amp;MATCH(DH29,数出表_Excel!$A:$A,0)-1&amp;"")&lt;&gt;"",0)+1,"")</f>
        <v/>
      </c>
      <c r="DD30" s="62" t="str">
        <f t="array" aca="1" ref="DD30" ca="1">IF(COUNTIF(DH29,"*合計*"),"",
IF(IFERROR(INDIRECT("数出表_Excel!" &amp;
CHAR(MATCH(TRUE,
ISNUMBER(--INDIRECT("数出表_Excel!B"&amp;MATCH(DH29,数出表_Excel!$A:$A,0)-1&amp;":U"&amp;MATCH(DH29,数出表_Excel!$A:$A,0)-1&amp;"")),0)+65) &amp; "3"),0)=0,"",
IFERROR(INDIRECT("数出表_Excel!" &amp;
CHAR(MATCH(TRUE,
ISNUMBER(--INDIRECT("数出表_Excel!B"&amp;MATCH(DH29,数出表_Excel!$A:$A,0)-1&amp;":U"&amp;MATCH(DH29,数出表_Excel!$A:$A,0)-1&amp;"")),0)+65) &amp; "3"),"")))</f>
        <v/>
      </c>
      <c r="DE30" s="80"/>
      <c r="DF30" s="86" t="str">
        <f t="array" aca="1" ref="DF30" ca="1">IF(DG30&lt;&gt;"","",
IF(COUNTIF(DD29,"*雙葉*"),"",
IF(DD29&lt;&gt;"",
IFERROR(
INDEX('数出表_Excel（アレルギー入力）'!$4:$4,
 1,
MATCH(TRUE,INDIRECT("'数出表_Excel（アレルギー入力）'!B"&amp;MATCH(DH29,'数出表_Excel（アレルギー入力）'!$A:$A,0)-1&amp;":U"&amp;MATCH(DH29,'数出表_Excel（アレルギー入力）'!$A:$A,0)-1&amp;"")&lt;&gt;"",0)+1
),
 "")
&amp;IFERROR(
INDEX('数出表_Excel（アレルギー入力）'!$5:$5,
 1,
MATCH(TRUE,INDIRECT("'数出表_Excel（アレルギー入力）'!B"&amp;MATCH(DH29,'数出表_Excel（アレルギー入力）'!$A:$A,0)-1&amp;":U"&amp;MATCH(DH29,'数出表_Excel（アレルギー入力）'!$A:$A,0)-1&amp;"")&lt;&gt;"",0)+1),
 ""),"")))</f>
        <v/>
      </c>
      <c r="DG30" s="87" t="str">
        <f t="array" aca="1" ref="DG30" ca="1">IF(DD30&lt;&gt;"",
IF(COUNTIF(DD29,"*雙葉*"),
IF(ROUND(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VLOOKUP('盛付札（関数）'!DD30,商品マスタ一覧!$D:$J,7,FALSE))),0)&lt;=0,1,
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VLOOKUP('盛付札（関数）'!DD30,商品マスタ一覧!$D:$J,7,FALSE))),0)),
IF(MATCH(TRUE,
ISNUMBER(--INDIRECT("数出表_Excel!B"&amp;MATCH(DH29,数出表_Excel!$A:$A,0)-1&amp;":U"&amp;MATCH(DH29,数出表_Excel!$A:$A,0)-1&amp;"")),0)&gt;10,
IF(DD30&lt;&gt;"",
IF(IF(COUNTIF('盛付札（関数）'!DD30,"*キャラ*"),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VLOOKUP('盛付札（関数）'!DD30,商品マスタ一覧!$D:$J,7,FALSE)))=0,"",
IF(ROUND(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VLOOKUP('盛付札（関数）'!DD30,商品マスタ一覧!$D:$J,7,FALSE))),0)&lt;=0,1,
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VLOOKUP('盛付札（関数）'!DD30,商品マスタ一覧!$D:$J,7,FALSE))),0))),""),"")),"")</f>
        <v/>
      </c>
      <c r="DH30" s="100" t="str">
        <f ca="1">IF(DG30&lt;&gt;"",IF(VALUE(IF(DG35&lt;&gt;"",DD32-DG35,DD32))&gt;VALUE(IF(COUNTIF('盛付札（関数）'!DD30,"*キャラ*"),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VLOOKUP('盛付札（関数）'!DD30,商品マスタ一覧!$D:$J,7,FALSE)))*DG30),
"+"&amp;IF(DG35&lt;&gt;"",DD32-DG35,DD32)-IF(COUNTIF('盛付札（関数）'!DD30,"*キャラ*"),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VLOOKUP('盛付札（関数）'!DD30,商品マスタ一覧!$D:$J,7,FALSE)))*DG30,
IF(DG35&lt;&gt;"",DD32-DG35,DD32)-IF(COUNTIF('盛付札（関数）'!DD30,"*キャラ*"),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VLOOKUP('盛付札（関数）'!DD30,商品マスタ一覧!$D:$J,7,FALSE)))*DG30),"")</f>
        <v/>
      </c>
      <c r="DI30" s="80">
        <f t="array" aca="1" ref="DI30" ca="1">IF(INDIRECT("数出表_Excel!A"&amp;GetResult(DI29))="社食",
GetResult(DI29)+2,GetResult(DI29))</f>
        <v>193</v>
      </c>
      <c r="DJ30" s="85" t="str">
        <f t="array" aca="1" ref="DJ30" ca="1">IF(DK29&lt;&gt;"",MATCH(TRUE,INDIRECT("数出表_Excel!B"&amp;MATCH(DO29,数出表_Excel!$A:$A,0)-1&amp;":U"&amp;MATCH(DO29,数出表_Excel!$A:$A,0)-1&amp;"")&lt;&gt;"",0)+1,"")</f>
        <v/>
      </c>
      <c r="DK30" s="62" t="str">
        <f t="array" aca="1" ref="DK30" ca="1">IF(COUNTIF(DO29,"*合計*"),"",
IF(IFERROR(INDIRECT("数出表_Excel!" &amp;
CHAR(MATCH(TRUE,
ISNUMBER(--INDIRECT("数出表_Excel!B"&amp;MATCH(DO29,数出表_Excel!$A:$A,0)-1&amp;":U"&amp;MATCH(DO29,数出表_Excel!$A:$A,0)-1&amp;"")),0)+65) &amp; "3"),0)=0,"",
IFERROR(INDIRECT("数出表_Excel!" &amp;
CHAR(MATCH(TRUE,
ISNUMBER(--INDIRECT("数出表_Excel!B"&amp;MATCH(DO29,数出表_Excel!$A:$A,0)-1&amp;":U"&amp;MATCH(DO29,数出表_Excel!$A:$A,0)-1&amp;"")),0)+65) &amp; "3"),"")))</f>
        <v/>
      </c>
      <c r="DL30" s="80"/>
      <c r="DM30" s="86" t="str">
        <f t="array" aca="1" ref="DM30" ca="1">IF(DN30&lt;&gt;"","",
IF(COUNTIF(DK29,"*雙葉*"),"",
IF(DK29&lt;&gt;"",
IFERROR(
INDEX('数出表_Excel（アレルギー入力）'!$4:$4,
 1,
MATCH(TRUE,INDIRECT("'数出表_Excel（アレルギー入力）'!B"&amp;MATCH(DO29,'数出表_Excel（アレルギー入力）'!$A:$A,0)-1&amp;":U"&amp;MATCH(DO29,'数出表_Excel（アレルギー入力）'!$A:$A,0)-1&amp;"")&lt;&gt;"",0)+1
),
 "")
&amp;IFERROR(
INDEX('数出表_Excel（アレルギー入力）'!$5:$5,
 1,
MATCH(TRUE,INDIRECT("'数出表_Excel（アレルギー入力）'!B"&amp;MATCH(DO29,'数出表_Excel（アレルギー入力）'!$A:$A,0)-1&amp;":U"&amp;MATCH(DO29,'数出表_Excel（アレルギー入力）'!$A:$A,0)-1&amp;"")&lt;&gt;"",0)+1),
 ""),"")))</f>
        <v/>
      </c>
      <c r="DN30" s="87" t="str">
        <f t="array" aca="1" ref="DN30" ca="1">IF(DK30&lt;&gt;"",
IF(COUNTIF(DK29,"*雙葉*"),
IF(ROUND(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VLOOKUP('盛付札（関数）'!DK30,商品マスタ一覧!$D:$J,7,FALSE))),0)&lt;=0,1,
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VLOOKUP('盛付札（関数）'!DK30,商品マスタ一覧!$D:$J,7,FALSE))),0)),
IF(MATCH(TRUE,
ISNUMBER(--INDIRECT("数出表_Excel!B"&amp;MATCH(DO29,数出表_Excel!$A:$A,0)-1&amp;":U"&amp;MATCH(DO29,数出表_Excel!$A:$A,0)-1&amp;"")),0)&gt;10,
IF(DK30&lt;&gt;"",
IF(IF(COUNTIF('盛付札（関数）'!DK30,"*キャラ*"),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VLOOKUP('盛付札（関数）'!DK30,商品マスタ一覧!$D:$J,7,FALSE)))=0,"",
IF(ROUND(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VLOOKUP('盛付札（関数）'!DK30,商品マスタ一覧!$D:$J,7,FALSE))),0)&lt;=0,1,
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VLOOKUP('盛付札（関数）'!DK30,商品マスタ一覧!$D:$J,7,FALSE))),0))),""),"")),"")</f>
        <v/>
      </c>
      <c r="DO30" s="96" t="str">
        <f ca="1">IF(DN30&lt;&gt;"",IF(VALUE(IF(DN35&lt;&gt;"",DK32-DN35,DK32))&gt;VALUE(IF(COUNTIF('盛付札（関数）'!DK30,"*キャラ*"),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VLOOKUP('盛付札（関数）'!DK30,商品マスタ一覧!$D:$J,7,FALSE)))*DN30),
"+"&amp;IF(DN35&lt;&gt;"",DK32-DN35,DK32)-IF(COUNTIF('盛付札（関数）'!DK30,"*キャラ*"),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VLOOKUP('盛付札（関数）'!DK30,商品マスタ一覧!$D:$J,7,FALSE)))*DN30,
IF(DN35&lt;&gt;"",DK32-DN35,DK32)-IF(COUNTIF('盛付札（関数）'!DK30,"*キャラ*"),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VLOOKUP('盛付札（関数）'!DK30,商品マスタ一覧!$D:$J,7,FALSE)))*DN30),"")</f>
        <v/>
      </c>
      <c r="DP30" s="80"/>
      <c r="DQ30" s="80">
        <f t="array" aca="1" ref="DQ30" ca="1">IF(INDIRECT("数出表_Excel!A"&amp;GetResult(DQ29))="社食",
GetResult(DQ29)+2,GetResult(DQ29))</f>
        <v>215</v>
      </c>
      <c r="DR30" s="85" t="str">
        <f t="array" aca="1" ref="DR30" ca="1">IF(DS29&lt;&gt;"",MATCH(TRUE,INDIRECT("数出表_Excel!B"&amp;MATCH(DW29,数出表_Excel!$A:$A,0)-1&amp;":U"&amp;MATCH(DW29,数出表_Excel!$A:$A,0)-1&amp;"")&lt;&gt;"",0)+1,"")</f>
        <v/>
      </c>
      <c r="DS30" s="62" t="str">
        <f t="array" aca="1" ref="DS30" ca="1">IF(COUNTIF(DW29,"*合計*"),"",
IF(IFERROR(INDIRECT("数出表_Excel!" &amp;
CHAR(MATCH(TRUE,
ISNUMBER(--INDIRECT("数出表_Excel!B"&amp;MATCH(DW29,数出表_Excel!$A:$A,0)-1&amp;":U"&amp;MATCH(DW29,数出表_Excel!$A:$A,0)-1&amp;"")),0)+65) &amp; "3"),0)=0,"",
IFERROR(INDIRECT("数出表_Excel!" &amp;
CHAR(MATCH(TRUE,
ISNUMBER(--INDIRECT("数出表_Excel!B"&amp;MATCH(DW29,数出表_Excel!$A:$A,0)-1&amp;":U"&amp;MATCH(DW29,数出表_Excel!$A:$A,0)-1&amp;"")),0)+65) &amp; "3"),"")))</f>
        <v/>
      </c>
      <c r="DT30" s="80"/>
      <c r="DU30" s="86" t="str">
        <f t="array" aca="1" ref="DU30" ca="1">IF(DV30&lt;&gt;"","",
IF(COUNTIF(DS29,"*雙葉*"),"",
IF(DS29&lt;&gt;"",
IFERROR(
INDEX('数出表_Excel（アレルギー入力）'!$4:$4,
 1,
MATCH(TRUE,INDIRECT("'数出表_Excel（アレルギー入力）'!B"&amp;MATCH(DW29,'数出表_Excel（アレルギー入力）'!$A:$A,0)-1&amp;":U"&amp;MATCH(DW29,'数出表_Excel（アレルギー入力）'!$A:$A,0)-1&amp;"")&lt;&gt;"",0)+1
),
 "")
&amp;IFERROR(
INDEX('数出表_Excel（アレルギー入力）'!$5:$5,
 1,
MATCH(TRUE,INDIRECT("'数出表_Excel（アレルギー入力）'!B"&amp;MATCH(DW29,'数出表_Excel（アレルギー入力）'!$A:$A,0)-1&amp;":U"&amp;MATCH(DW29,'数出表_Excel（アレルギー入力）'!$A:$A,0)-1&amp;"")&lt;&gt;"",0)+1),
 ""),"")))</f>
        <v/>
      </c>
      <c r="DV30" s="87" t="str">
        <f t="array" aca="1" ref="DV30" ca="1">IF(DS30&lt;&gt;"",
IF(COUNTIF(DS29,"*雙葉*"),
IF(ROUND(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VLOOKUP('盛付札（関数）'!DS30,商品マスタ一覧!$D:$J,7,FALSE))),0)&lt;=0,1,
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VLOOKUP('盛付札（関数）'!DS30,商品マスタ一覧!$D:$J,7,FALSE))),0)),
IF(MATCH(TRUE,
ISNUMBER(--INDIRECT("数出表_Excel!B"&amp;MATCH(DW29,数出表_Excel!$A:$A,0)-1&amp;":U"&amp;MATCH(DW29,数出表_Excel!$A:$A,0)-1&amp;"")),0)&gt;10,
IF(DS30&lt;&gt;"",
IF(IF(COUNTIF('盛付札（関数）'!DS30,"*キャラ*"),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VLOOKUP('盛付札（関数）'!DS30,商品マスタ一覧!$D:$J,7,FALSE)))=0,"",
IF(ROUND(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VLOOKUP('盛付札（関数）'!DS30,商品マスタ一覧!$D:$J,7,FALSE))),0)&lt;=0,1,
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VLOOKUP('盛付札（関数）'!DS30,商品マスタ一覧!$D:$J,7,FALSE))),0))),""),"")),"")</f>
        <v/>
      </c>
      <c r="DW30" s="100" t="str">
        <f ca="1">IF(DV30&lt;&gt;"",IF(VALUE(IF(DV35&lt;&gt;"",DS32-DV35,DS32))&gt;VALUE(IF(COUNTIF('盛付札（関数）'!DS30,"*キャラ*"),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VLOOKUP('盛付札（関数）'!DS30,商品マスタ一覧!$D:$J,7,FALSE)))*DV30),
"+"&amp;IF(DV35&lt;&gt;"",DS32-DV35,DS32)-IF(COUNTIF('盛付札（関数）'!DS30,"*キャラ*"),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VLOOKUP('盛付札（関数）'!DS30,商品マスタ一覧!$D:$J,7,FALSE)))*DV30,
IF(DV35&lt;&gt;"",DS32-DV35,DS32)-IF(COUNTIF('盛付札（関数）'!DS30,"*キャラ*"),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VLOOKUP('盛付札（関数）'!DS30,商品マスタ一覧!$D:$J,7,FALSE)))*DV30),"")</f>
        <v/>
      </c>
      <c r="DX30" s="80">
        <f t="array" aca="1" ref="DX30" ca="1">IF(INDIRECT("数出表_Excel!A"&amp;GetResult(DX29))="社食",
GetResult(DX29)+2,GetResult(DX29))</f>
        <v>217</v>
      </c>
      <c r="DY30" s="85" t="str">
        <f t="array" aca="1" ref="DY30" ca="1">IF(DZ29&lt;&gt;"",MATCH(TRUE,INDIRECT("数出表_Excel!B"&amp;MATCH(ED29,数出表_Excel!$A:$A,0)-1&amp;":U"&amp;MATCH(ED29,数出表_Excel!$A:$A,0)-1&amp;"")&lt;&gt;"",0)+1,"")</f>
        <v/>
      </c>
      <c r="DZ30" s="62" t="str">
        <f t="array" aca="1" ref="DZ30" ca="1">IF(COUNTIF(ED29,"*合計*"),"",
IF(IFERROR(INDIRECT("数出表_Excel!" &amp;
CHAR(MATCH(TRUE,
ISNUMBER(--INDIRECT("数出表_Excel!B"&amp;MATCH(ED29,数出表_Excel!$A:$A,0)-1&amp;":U"&amp;MATCH(ED29,数出表_Excel!$A:$A,0)-1&amp;"")),0)+65) &amp; "3"),0)=0,"",
IFERROR(INDIRECT("数出表_Excel!" &amp;
CHAR(MATCH(TRUE,
ISNUMBER(--INDIRECT("数出表_Excel!B"&amp;MATCH(ED29,数出表_Excel!$A:$A,0)-1&amp;":U"&amp;MATCH(ED29,数出表_Excel!$A:$A,0)-1&amp;"")),0)+65) &amp; "3"),"")))</f>
        <v/>
      </c>
      <c r="EA30" s="80"/>
      <c r="EB30" s="86" t="str">
        <f t="array" aca="1" ref="EB30" ca="1">IF(EC30&lt;&gt;"","",
IF(COUNTIF(DZ29,"*雙葉*"),"",
IF(DZ29&lt;&gt;"",
IFERROR(
INDEX('数出表_Excel（アレルギー入力）'!$4:$4,
 1,
MATCH(TRUE,INDIRECT("'数出表_Excel（アレルギー入力）'!B"&amp;MATCH(ED29,'数出表_Excel（アレルギー入力）'!$A:$A,0)-1&amp;":U"&amp;MATCH(ED29,'数出表_Excel（アレルギー入力）'!$A:$A,0)-1&amp;"")&lt;&gt;"",0)+1
),
 "")
&amp;IFERROR(
INDEX('数出表_Excel（アレルギー入力）'!$5:$5,
 1,
MATCH(TRUE,INDIRECT("'数出表_Excel（アレルギー入力）'!B"&amp;MATCH(ED29,'数出表_Excel（アレルギー入力）'!$A:$A,0)-1&amp;":U"&amp;MATCH(ED29,'数出表_Excel（アレルギー入力）'!$A:$A,0)-1&amp;"")&lt;&gt;"",0)+1),
 ""),"")))</f>
        <v/>
      </c>
      <c r="EC30" s="87" t="str">
        <f t="array" aca="1" ref="EC30" ca="1">IF(DZ30&lt;&gt;"",
IF(COUNTIF(DZ29,"*雙葉*"),
IF(ROUND(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VLOOKUP('盛付札（関数）'!DZ30,商品マスタ一覧!$D:$J,7,FALSE))),0)&lt;=0,1,
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VLOOKUP('盛付札（関数）'!DZ30,商品マスタ一覧!$D:$J,7,FALSE))),0)),
IF(MATCH(TRUE,
ISNUMBER(--INDIRECT("数出表_Excel!B"&amp;MATCH(ED29,数出表_Excel!$A:$A,0)-1&amp;":U"&amp;MATCH(ED29,数出表_Excel!$A:$A,0)-1&amp;"")),0)&gt;10,
IF(DZ30&lt;&gt;"",
IF(IF(COUNTIF('盛付札（関数）'!DZ30,"*キャラ*"),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VLOOKUP('盛付札（関数）'!DZ30,商品マスタ一覧!$D:$J,7,FALSE)))=0,"",
IF(ROUND(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VLOOKUP('盛付札（関数）'!DZ30,商品マスタ一覧!$D:$J,7,FALSE))),0)&lt;=0,1,
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VLOOKUP('盛付札（関数）'!DZ30,商品マスタ一覧!$D:$J,7,FALSE))),0))),""),"")),"")</f>
        <v/>
      </c>
      <c r="ED30" s="96" t="str">
        <f ca="1">IF(EC30&lt;&gt;"",IF(VALUE(IF(EC35&lt;&gt;"",DZ32-EC35,DZ32))&gt;VALUE(IF(COUNTIF('盛付札（関数）'!DZ30,"*キャラ*"),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VLOOKUP('盛付札（関数）'!DZ30,商品マスタ一覧!$D:$J,7,FALSE)))*EC30),
"+"&amp;IF(EC35&lt;&gt;"",DZ32-EC35,DZ32)-IF(COUNTIF('盛付札（関数）'!DZ30,"*キャラ*"),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VLOOKUP('盛付札（関数）'!DZ30,商品マスタ一覧!$D:$J,7,FALSE)))*EC30,
IF(EC35&lt;&gt;"",DZ32-EC35,DZ32)-IF(COUNTIF('盛付札（関数）'!DZ30,"*キャラ*"),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VLOOKUP('盛付札（関数）'!DZ30,商品マスタ一覧!$D:$J,7,FALSE)))*EC30),"")</f>
        <v/>
      </c>
      <c r="EE30" s="80"/>
      <c r="EF30" s="80">
        <f t="array" aca="1" ref="EF30" ca="1">IF(INDIRECT("数出表_Excel!A"&amp;GetResult(EF29))="社食",
GetResult(EF29)+2,GetResult(EF29))</f>
        <v>239</v>
      </c>
      <c r="EG30" s="85" t="str">
        <f t="array" aca="1" ref="EG30" ca="1">IF(EH29&lt;&gt;"",MATCH(TRUE,INDIRECT("数出表_Excel!B"&amp;MATCH(EL29,数出表_Excel!$A:$A,0)-1&amp;":U"&amp;MATCH(EL29,数出表_Excel!$A:$A,0)-1&amp;"")&lt;&gt;"",0)+1,"")</f>
        <v/>
      </c>
      <c r="EH30" s="62" t="str">
        <f t="array" aca="1" ref="EH30" ca="1">IF(COUNTIF(EL29,"*合計*"),"",
IF(IFERROR(INDIRECT("数出表_Excel!" &amp;
CHAR(MATCH(TRUE,
ISNUMBER(--INDIRECT("数出表_Excel!B"&amp;MATCH(EL29,数出表_Excel!$A:$A,0)-1&amp;":U"&amp;MATCH(EL29,数出表_Excel!$A:$A,0)-1&amp;"")),0)+65) &amp; "3"),0)=0,"",
IFERROR(INDIRECT("数出表_Excel!" &amp;
CHAR(MATCH(TRUE,
ISNUMBER(--INDIRECT("数出表_Excel!B"&amp;MATCH(EL29,数出表_Excel!$A:$A,0)-1&amp;":U"&amp;MATCH(EL29,数出表_Excel!$A:$A,0)-1&amp;"")),0)+65) &amp; "3"),"")))</f>
        <v/>
      </c>
      <c r="EI30" s="80"/>
      <c r="EJ30" s="86" t="str">
        <f t="array" aca="1" ref="EJ30" ca="1">IF(EK30&lt;&gt;"","",
IF(COUNTIF(EH29,"*雙葉*"),"",
IF(EH29&lt;&gt;"",
IFERROR(
INDEX('数出表_Excel（アレルギー入力）'!$4:$4,
 1,
MATCH(TRUE,INDIRECT("'数出表_Excel（アレルギー入力）'!B"&amp;MATCH(EL29,'数出表_Excel（アレルギー入力）'!$A:$A,0)-1&amp;":U"&amp;MATCH(EL29,'数出表_Excel（アレルギー入力）'!$A:$A,0)-1&amp;"")&lt;&gt;"",0)+1
),
 "")
&amp;IFERROR(
INDEX('数出表_Excel（アレルギー入力）'!$5:$5,
 1,
MATCH(TRUE,INDIRECT("'数出表_Excel（アレルギー入力）'!B"&amp;MATCH(EL29,'数出表_Excel（アレルギー入力）'!$A:$A,0)-1&amp;":U"&amp;MATCH(EL29,'数出表_Excel（アレルギー入力）'!$A:$A,0)-1&amp;"")&lt;&gt;"",0)+1),
 ""),"")))</f>
        <v/>
      </c>
      <c r="EK30" s="87" t="str">
        <f t="array" aca="1" ref="EK30" ca="1">IF(EH30&lt;&gt;"",
IF(COUNTIF(EH29,"*雙葉*"),
IF(ROUND(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VLOOKUP('盛付札（関数）'!EH30,商品マスタ一覧!$D:$J,7,FALSE))),0)&lt;=0,1,
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VLOOKUP('盛付札（関数）'!EH30,商品マスタ一覧!$D:$J,7,FALSE))),0)),
IF(MATCH(TRUE,
ISNUMBER(--INDIRECT("数出表_Excel!B"&amp;MATCH(EL29,数出表_Excel!$A:$A,0)-1&amp;":U"&amp;MATCH(EL29,数出表_Excel!$A:$A,0)-1&amp;"")),0)&gt;10,
IF(EH30&lt;&gt;"",
IF(IF(COUNTIF('盛付札（関数）'!EH30,"*キャラ*"),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VLOOKUP('盛付札（関数）'!EH30,商品マスタ一覧!$D:$J,7,FALSE)))=0,"",
IF(ROUND(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VLOOKUP('盛付札（関数）'!EH30,商品マスタ一覧!$D:$J,7,FALSE))),0)&lt;=0,1,
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VLOOKUP('盛付札（関数）'!EH30,商品マスタ一覧!$D:$J,7,FALSE))),0))),""),"")),"")</f>
        <v/>
      </c>
      <c r="EL30" s="100" t="str">
        <f ca="1">IF(EK30&lt;&gt;"",IF(VALUE(IF(EK35&lt;&gt;"",EH32-EK35,EH32))&gt;VALUE(IF(COUNTIF('盛付札（関数）'!EH30,"*キャラ*"),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VLOOKUP('盛付札（関数）'!EH30,商品マスタ一覧!$D:$J,7,FALSE)))*EK30),
"+"&amp;IF(EK35&lt;&gt;"",EH32-EK35,EH32)-IF(COUNTIF('盛付札（関数）'!EH30,"*キャラ*"),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VLOOKUP('盛付札（関数）'!EH30,商品マスタ一覧!$D:$J,7,FALSE)))*EK30,
IF(EK35&lt;&gt;"",EH32-EK35,EH32)-IF(COUNTIF('盛付札（関数）'!EH30,"*キャラ*"),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VLOOKUP('盛付札（関数）'!EH30,商品マスタ一覧!$D:$J,7,FALSE)))*EK30),"")</f>
        <v/>
      </c>
      <c r="EM30" s="80">
        <f t="array" aca="1" ref="EM30" ca="1">IF(INDIRECT("数出表_Excel!A"&amp;GetResult(EM29))="社食",
GetResult(EM29)+2,GetResult(EM29))</f>
        <v>241</v>
      </c>
      <c r="EN30" s="85" t="str">
        <f t="array" aca="1" ref="EN30" ca="1">IF(EO29&lt;&gt;"",MATCH(TRUE,INDIRECT("数出表_Excel!B"&amp;MATCH(ES29,数出表_Excel!$A:$A,0)-1&amp;":U"&amp;MATCH(ES29,数出表_Excel!$A:$A,0)-1&amp;"")&lt;&gt;"",0)+1,"")</f>
        <v/>
      </c>
      <c r="EO30" s="62" t="str">
        <f t="array" aca="1" ref="EO30" ca="1">IF(COUNTIF(ES29,"*合計*"),"",
IF(IFERROR(INDIRECT("数出表_Excel!" &amp;
CHAR(MATCH(TRUE,
ISNUMBER(--INDIRECT("数出表_Excel!B"&amp;MATCH(ES29,数出表_Excel!$A:$A,0)-1&amp;":U"&amp;MATCH(ES29,数出表_Excel!$A:$A,0)-1&amp;"")),0)+65) &amp; "3"),0)=0,"",
IFERROR(INDIRECT("数出表_Excel!" &amp;
CHAR(MATCH(TRUE,
ISNUMBER(--INDIRECT("数出表_Excel!B"&amp;MATCH(ES29,数出表_Excel!$A:$A,0)-1&amp;":U"&amp;MATCH(ES29,数出表_Excel!$A:$A,0)-1&amp;"")),0)+65) &amp; "3"),"")))</f>
        <v/>
      </c>
      <c r="EP30" s="80"/>
      <c r="EQ30" s="86" t="str">
        <f t="array" aca="1" ref="EQ30" ca="1">IF(ER30&lt;&gt;"","",
IF(COUNTIF(EO29,"*雙葉*"),"",
IF(EO29&lt;&gt;"",
IFERROR(
INDEX('数出表_Excel（アレルギー入力）'!$4:$4,
 1,
MATCH(TRUE,INDIRECT("'数出表_Excel（アレルギー入力）'!B"&amp;MATCH(ES29,'数出表_Excel（アレルギー入力）'!$A:$A,0)-1&amp;":U"&amp;MATCH(ES29,'数出表_Excel（アレルギー入力）'!$A:$A,0)-1&amp;"")&lt;&gt;"",0)+1
),
 "")
&amp;IFERROR(
INDEX('数出表_Excel（アレルギー入力）'!$5:$5,
 1,
MATCH(TRUE,INDIRECT("'数出表_Excel（アレルギー入力）'!B"&amp;MATCH(ES29,'数出表_Excel（アレルギー入力）'!$A:$A,0)-1&amp;":U"&amp;MATCH(ES29,'数出表_Excel（アレルギー入力）'!$A:$A,0)-1&amp;"")&lt;&gt;"",0)+1),
 ""),"")))</f>
        <v/>
      </c>
      <c r="ER30" s="87" t="str">
        <f t="array" aca="1" ref="ER30" ca="1">IF(EO30&lt;&gt;"",
IF(COUNTIF(EO29,"*雙葉*"),
IF(ROUND(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VLOOKUP('盛付札（関数）'!EO30,商品マスタ一覧!$D:$J,7,FALSE))),0)&lt;=0,1,
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VLOOKUP('盛付札（関数）'!EO30,商品マスタ一覧!$D:$J,7,FALSE))),0)),
IF(MATCH(TRUE,
ISNUMBER(--INDIRECT("数出表_Excel!B"&amp;MATCH(ES29,数出表_Excel!$A:$A,0)-1&amp;":U"&amp;MATCH(ES29,数出表_Excel!$A:$A,0)-1&amp;"")),0)&gt;10,
IF(EO30&lt;&gt;"",
IF(IF(COUNTIF('盛付札（関数）'!EO30,"*キャラ*"),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VLOOKUP('盛付札（関数）'!EO30,商品マスタ一覧!$D:$J,7,FALSE)))=0,"",
IF(ROUND(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VLOOKUP('盛付札（関数）'!EO30,商品マスタ一覧!$D:$J,7,FALSE))),0)&lt;=0,1,
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VLOOKUP('盛付札（関数）'!EO30,商品マスタ一覧!$D:$J,7,FALSE))),0))),""),"")),"")</f>
        <v/>
      </c>
      <c r="ES30" s="96" t="str">
        <f ca="1">IF(ER30&lt;&gt;"",IF(VALUE(IF(ER35&lt;&gt;"",EO32-ER35,EO32))&gt;VALUE(IF(COUNTIF('盛付札（関数）'!EO30,"*キャラ*"),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VLOOKUP('盛付札（関数）'!EO30,商品マスタ一覧!$D:$J,7,FALSE)))*ER30),
"+"&amp;IF(ER35&lt;&gt;"",EO32-ER35,EO32)-IF(COUNTIF('盛付札（関数）'!EO30,"*キャラ*"),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VLOOKUP('盛付札（関数）'!EO30,商品マスタ一覧!$D:$J,7,FALSE)))*ER30,
IF(ER35&lt;&gt;"",EO32-ER35,EO32)-IF(COUNTIF('盛付札（関数）'!EO30,"*キャラ*"),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VLOOKUP('盛付札（関数）'!EO30,商品マスタ一覧!$D:$J,7,FALSE)))*ER30),"")</f>
        <v/>
      </c>
      <c r="ET30" s="111"/>
      <c r="EU30" s="82">
        <f>EU26+7</f>
        <v>49</v>
      </c>
      <c r="EV30" s="82" t="str">
        <f t="array" aca="1" ref="EV30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LEN(SUBSTITUTE(_xlfn.FORMULATEXT(EV$25),"=","")))+$EU30)</f>
        <v/>
      </c>
      <c r="EW30" s="82" t="str">
        <f t="array" aca="1" ref="EW30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LEN(SUBSTITUTE(_xlfn.FORMULATEXT(EW$25),"=","")))+$EU30)</f>
        <v/>
      </c>
      <c r="EX30" s="82" t="str">
        <f t="array" aca="1" ref="EX30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LEN(SUBSTITUTE(_xlfn.FORMULATEXT(EX$25),"=","")))+$EU30)</f>
        <v/>
      </c>
      <c r="EY30" s="82" t="str">
        <f t="array" aca="1" ref="EY30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LEN(SUBSTITUTE(_xlfn.FORMULATEXT(EY$25),"=","")))+$EU30)</f>
        <v/>
      </c>
      <c r="EZ30" s="82" t="str">
        <f t="array" aca="1" ref="EZ30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LEN(SUBSTITUTE(_xlfn.FORMULATEXT(EZ$25),"=","")))+$EU30)</f>
        <v/>
      </c>
      <c r="FA30" s="82" t="str">
        <f t="array" aca="1" ref="FA30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LEN(SUBSTITUTE(_xlfn.FORMULATEXT(FA$25),"=","")))+$EU30)</f>
        <v/>
      </c>
      <c r="FB30" s="82" t="str">
        <f t="array" aca="1" ref="FB30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LEN(SUBSTITUTE(_xlfn.FORMULATEXT(FB$25),"=","")))+$EU30)</f>
        <v/>
      </c>
      <c r="FC30" s="82" t="str">
        <f t="array" aca="1" ref="FC30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LEN(SUBSTITUTE(_xlfn.FORMULATEXT(FC$25),"=","")))+$EU30)</f>
        <v/>
      </c>
      <c r="FD30" s="82" t="str">
        <f t="array" aca="1" ref="FD30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LEN(SUBSTITUTE(_xlfn.FORMULATEXT(FD$25),"=","")))+$EU30)</f>
        <v/>
      </c>
      <c r="FE30" s="82" t="str">
        <f t="array" aca="1" ref="FE30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LEN(SUBSTITUTE(_xlfn.FORMULATEXT(FE$25),"=","")))+$EU30)</f>
        <v/>
      </c>
      <c r="FF30" s="82" t="str">
        <f t="array" aca="1" ref="FF30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LEN(SUBSTITUTE(_xlfn.FORMULATEXT(FF$25),"=","")))+$EU30)</f>
        <v/>
      </c>
      <c r="FG30" s="82">
        <f t="shared" ca="1" si="0"/>
        <v>0</v>
      </c>
      <c r="FH30" s="82" t="b">
        <f t="array" aca="1" ref="FH30" ca="1">SUMPRODUCT((LEN(EV30:FF30)&gt;0)*1)&gt;0</f>
        <v>0</v>
      </c>
      <c r="FI30" s="82" t="str">
        <f t="array" aca="1" ref="FI30" ca="1">IFERROR(SMALL(IF(FG$1:FG$173&lt;&gt;0,FG$1:FG$173),ROW(A30)),"")</f>
        <v/>
      </c>
      <c r="FJ30" s="82" t="str">
        <f t="array" aca="1" ref="FJ30" ca="1">IF($FI30&lt;&gt;"",
INDIRECT(""&amp;IF(COLUMN(EV30)&lt;=26,CHAR(COLUMN(EV30)+64),CHAR(INT((COLUMN(EV30)-1)/26)+64)&amp;CHAR(MOD(COLUMN(EV30)-1,26)+65))&amp;$FI30&amp;""),"")</f>
        <v/>
      </c>
      <c r="FK30" s="82" t="str">
        <f t="array" aca="1" ref="FK30" ca="1">IF($FI30&lt;&gt;"",
INDIRECT(""&amp;IF(COLUMN(EW30)&lt;=26,CHAR(COLUMN(EW30)+64),CHAR(INT((COLUMN(EW30)-1)/26)+64)&amp;CHAR(MOD(COLUMN(EW30)-1,26)+65))&amp;$FI30&amp;""),"")</f>
        <v/>
      </c>
      <c r="FL30" s="82" t="str">
        <f t="array" aca="1" ref="FL30" ca="1">IF($FI30&lt;&gt;"",
INDIRECT(""&amp;IF(COLUMN(EX30)&lt;=26,CHAR(COLUMN(EX30)+64),CHAR(INT((COLUMN(EX30)-1)/26)+64)&amp;CHAR(MOD(COLUMN(EX30)-1,26)+65))&amp;$FI30&amp;""),"")</f>
        <v/>
      </c>
      <c r="FM30" s="82" t="str">
        <f t="array" aca="1" ref="FM30" ca="1">IF($FI30&lt;&gt;"",
IF(FL30="",
IF(INDIRECT("EY"&amp;$FI30&amp;"")&lt;&gt;"",
INDIRECT("EY"&amp;$FI30&amp;"")&amp;"箱"
&amp;INDIRECT("EZ"&amp;$FI30&amp;""),""),""),"")</f>
        <v/>
      </c>
      <c r="FN30" s="82" t="str">
        <f t="array" aca="1" ref="FN30" ca="1">IF($FI30&lt;&gt;"",
INDIRECT(""&amp;IF(COLUMN(FA30)&lt;=26,CHAR(COLUMN(FA30)+64),CHAR(INT((COLUMN(FA30)-1)/26)+64)&amp;CHAR(MOD(COLUMN(FA30)-1,26)+65))&amp;$FI30&amp;""),"")</f>
        <v/>
      </c>
      <c r="FO30" s="82" t="str">
        <f t="array" aca="1" ref="FO30" ca="1">IF($FI30&lt;&gt;"",
INDIRECT(""&amp;IF(COLUMN(FB30)&lt;=26,CHAR(COLUMN(FB30)+64),CHAR(INT((COLUMN(FB30)-1)/26)+64)&amp;CHAR(MOD(COLUMN(FB30)-1,26)+65))&amp;$FI30&amp;""),"")</f>
        <v/>
      </c>
      <c r="FP30" s="82" t="str">
        <f t="array" aca="1" ref="FP30" ca="1">IF($FI30&lt;&gt;"",
INDIRECT(""&amp;IF(COLUMN(FC30)&lt;=26,CHAR(COLUMN(FC30)+64),CHAR(INT((COLUMN(FC30)-1)/26)+64)&amp;CHAR(MOD(COLUMN(FC30)-1,26)+65))&amp;$FI30&amp;""),"")</f>
        <v/>
      </c>
      <c r="FQ30" s="82" t="str">
        <f t="array" aca="1" ref="FQ30" ca="1">IF($FI30&lt;&gt;"",
INDIRECT(""&amp;IF(COLUMN(FD30)&lt;=26,CHAR(COLUMN(FD30)+64),CHAR(INT((COLUMN(FD30)-1)/26)+64)&amp;CHAR(MOD(COLUMN(FD30)-1,26)+65))&amp;$FI30&amp;""),"")</f>
        <v/>
      </c>
      <c r="FR30" s="82" t="str">
        <f t="array" aca="1" ref="FR30" ca="1">IF($FI30&lt;&gt;"",
INDIRECT(""&amp;IF(COLUMN(FE30)&lt;=26,CHAR(COLUMN(FE30)+64),CHAR(INT((COLUMN(FE30)-1)/26)+64)&amp;CHAR(MOD(COLUMN(FE30)-1,26)+65))&amp;$FI30&amp;""),"")</f>
        <v/>
      </c>
      <c r="FS30" s="82" t="str">
        <f t="array" aca="1" ref="FS30" ca="1">IF($FI30&lt;&gt;"",
INDIRECT(""&amp;IF(COLUMN(FF30)&lt;=26,CHAR(COLUMN(FF30)+64),CHAR(INT((COLUMN(FF30)-1)/26)+64)&amp;CHAR(MOD(COLUMN(FF30)-1,26)+65))&amp;$FI30&amp;""),"")</f>
        <v/>
      </c>
    </row>
    <row r="31" spans="1:175" s="82" customFormat="1" ht="22.2" customHeight="1" x14ac:dyDescent="0.55000000000000004">
      <c r="A31" s="80"/>
      <c r="B31" s="88" t="e">
        <f t="array" aca="1" ref="B31" ca="1">IF(AND(LEFT(G29,2)="博多",
LEFT(INDIRECT("数出表_Excel!A"&amp;MATCH(G29,数出表_Excel!$A:$A,0)-1),2)
=LEFT(INDIRECT("数出表_Excel!A"&amp;MATCH(G29,数出表_Excel!$A:$A,0)+1),2)),100,
IF(AND(LEFT(G29,3)="奈良屋",
LEFT(INDIRECT("数出表_Excel!A"&amp;MATCH(G29,数出表_Excel!$A:$A,0)-1),2)
=LEFT(INDIRECT("数出表_Excel!A"&amp;MATCH(G29,数出表_Excel!$A:$A,0)+1),2)),200,""))</f>
        <v>#N/A</v>
      </c>
      <c r="C31" s="189" t="str">
        <f ca="1">IF(C30&lt;&gt;"",
"園児","")</f>
        <v/>
      </c>
      <c r="D31" s="190"/>
      <c r="E31" s="193" t="str">
        <f ca="1">IF(C30&lt;&gt;"",
"先生","")</f>
        <v/>
      </c>
      <c r="F31" s="190"/>
      <c r="G31" s="101">
        <f t="array" aca="1" ref="G31" ca="1">IF(C29&lt;&gt;"",
IF(IFERROR(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"")&lt;&gt;0,
IF(IFERROR(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"")="",
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""),
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"")),0),0)</f>
        <v>0</v>
      </c>
      <c r="H31" s="80"/>
      <c r="I31" s="88" t="e">
        <f t="array" aca="1" ref="I31" ca="1">IF(AND(LEFT(N29,2)="博多",
LEFT(INDIRECT("数出表_Excel!A"&amp;MATCH(N29,数出表_Excel!$A:$A,0)-1),2)
=LEFT(INDIRECT("数出表_Excel!A"&amp;MATCH(N29,数出表_Excel!$A:$A,0)+1),2)),100,
IF(AND(LEFT(N29,3)="奈良屋",
LEFT(INDIRECT("数出表_Excel!A"&amp;MATCH(N29,数出表_Excel!$A:$A,0)-1),2)
=LEFT(INDIRECT("数出表_Excel!A"&amp;MATCH(N29,数出表_Excel!$A:$A,0)+1),2)),200,""))</f>
        <v>#N/A</v>
      </c>
      <c r="J31" s="189" t="str">
        <f ca="1">IF(J30&lt;&gt;"",
"園児","")</f>
        <v/>
      </c>
      <c r="K31" s="190"/>
      <c r="L31" s="193" t="str">
        <f ca="1">IF(J30&lt;&gt;"",
"先生","")</f>
        <v/>
      </c>
      <c r="M31" s="190"/>
      <c r="N31" s="101">
        <f t="array" aca="1" ref="N31" ca="1">IF(J29&lt;&gt;"",
IF(IFERROR(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"")&lt;&gt;0,
IF(IFERROR(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"")="",
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""),
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"")),0),0)</f>
        <v>0</v>
      </c>
      <c r="O31" s="80"/>
      <c r="P31" s="80"/>
      <c r="Q31" s="88" t="e">
        <f t="array" aca="1" ref="Q31" ca="1">IF(AND(LEFT(V29,2)="博多",
LEFT(INDIRECT("数出表_Excel!A"&amp;MATCH(V29,数出表_Excel!$A:$A,0)-1),2)
=LEFT(INDIRECT("数出表_Excel!A"&amp;MATCH(V29,数出表_Excel!$A:$A,0)+1),2)),100,
IF(AND(LEFT(V29,3)="奈良屋",
LEFT(INDIRECT("数出表_Excel!A"&amp;MATCH(V29,数出表_Excel!$A:$A,0)-1),2)
=LEFT(INDIRECT("数出表_Excel!A"&amp;MATCH(V29,数出表_Excel!$A:$A,0)+1),2)),200,""))</f>
        <v>#N/A</v>
      </c>
      <c r="R31" s="189" t="str">
        <f ca="1">IF(R30&lt;&gt;"",
"園児","")</f>
        <v/>
      </c>
      <c r="S31" s="190"/>
      <c r="T31" s="193" t="str">
        <f ca="1">IF(R30&lt;&gt;"",
"先生","")</f>
        <v/>
      </c>
      <c r="U31" s="190"/>
      <c r="V31" s="101">
        <f t="array" aca="1" ref="V31" ca="1">IF(R29&lt;&gt;"",
IF(IFERROR(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"")&lt;&gt;0,
IF(IFERROR(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"")="",
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""),
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"")),0),0)</f>
        <v>0</v>
      </c>
      <c r="W31" s="80"/>
      <c r="X31" s="88" t="e">
        <f t="array" aca="1" ref="X31" ca="1">IF(AND(LEFT(AC29,2)="博多",
LEFT(INDIRECT("数出表_Excel!A"&amp;MATCH(AC29,数出表_Excel!$A:$A,0)-1),2)
=LEFT(INDIRECT("数出表_Excel!A"&amp;MATCH(AC29,数出表_Excel!$A:$A,0)+1),2)),100,
IF(AND(LEFT(AC29,3)="奈良屋",
LEFT(INDIRECT("数出表_Excel!A"&amp;MATCH(AC29,数出表_Excel!$A:$A,0)-1),2)
=LEFT(INDIRECT("数出表_Excel!A"&amp;MATCH(AC29,数出表_Excel!$A:$A,0)+1),2)),200,""))</f>
        <v>#N/A</v>
      </c>
      <c r="Y31" s="189" t="str">
        <f ca="1">IF(Y30&lt;&gt;"",
"園児","")</f>
        <v/>
      </c>
      <c r="Z31" s="190"/>
      <c r="AA31" s="193" t="str">
        <f ca="1">IF(Y30&lt;&gt;"",
"先生","")</f>
        <v/>
      </c>
      <c r="AB31" s="190"/>
      <c r="AC31" s="101">
        <f t="array" aca="1" ref="AC31" ca="1">IF(Y29&lt;&gt;"",
IF(IFERROR(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"")&lt;&gt;0,
IF(IFERROR(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"")="",
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""),
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"")),0),0)</f>
        <v>0</v>
      </c>
      <c r="AD31" s="80"/>
      <c r="AE31" s="80"/>
      <c r="AF31" s="88" t="e">
        <f t="array" aca="1" ref="AF31" ca="1">IF(AND(LEFT(AK29,2)="博多",
LEFT(INDIRECT("数出表_Excel!A"&amp;MATCH(AK29,数出表_Excel!$A:$A,0)-1),2)
=LEFT(INDIRECT("数出表_Excel!A"&amp;MATCH(AK29,数出表_Excel!$A:$A,0)+1),2)),100,
IF(AND(LEFT(AK29,3)="奈良屋",
LEFT(INDIRECT("数出表_Excel!A"&amp;MATCH(AK29,数出表_Excel!$A:$A,0)-1),2)
=LEFT(INDIRECT("数出表_Excel!A"&amp;MATCH(AK29,数出表_Excel!$A:$A,0)+1),2)),200,""))</f>
        <v>#N/A</v>
      </c>
      <c r="AG31" s="189" t="str">
        <f ca="1">IF(AG30&lt;&gt;"",
"園児","")</f>
        <v/>
      </c>
      <c r="AH31" s="190"/>
      <c r="AI31" s="193" t="str">
        <f ca="1">IF(AG30&lt;&gt;"",
"先生","")</f>
        <v/>
      </c>
      <c r="AJ31" s="190"/>
      <c r="AK31" s="101">
        <f t="array" aca="1" ref="AK31" ca="1">IF(AG29&lt;&gt;"",
IF(IFERROR(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"")&lt;&gt;0,
IF(IFERROR(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"")="",
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""),
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"")),0),0)</f>
        <v>0</v>
      </c>
      <c r="AL31" s="80"/>
      <c r="AM31" s="88" t="e">
        <f t="array" aca="1" ref="AM31" ca="1">IF(AND(LEFT(AR29,2)="博多",
LEFT(INDIRECT("数出表_Excel!A"&amp;MATCH(AR29,数出表_Excel!$A:$A,0)-1),2)
=LEFT(INDIRECT("数出表_Excel!A"&amp;MATCH(AR29,数出表_Excel!$A:$A,0)+1),2)),100,
IF(AND(LEFT(AR29,3)="奈良屋",
LEFT(INDIRECT("数出表_Excel!A"&amp;MATCH(AR29,数出表_Excel!$A:$A,0)-1),2)
=LEFT(INDIRECT("数出表_Excel!A"&amp;MATCH(AR29,数出表_Excel!$A:$A,0)+1),2)),200,""))</f>
        <v>#N/A</v>
      </c>
      <c r="AN31" s="189" t="str">
        <f ca="1">IF(AN30&lt;&gt;"",
"園児","")</f>
        <v/>
      </c>
      <c r="AO31" s="190"/>
      <c r="AP31" s="193" t="str">
        <f ca="1">IF(AN30&lt;&gt;"",
"先生","")</f>
        <v/>
      </c>
      <c r="AQ31" s="190"/>
      <c r="AR31" s="101">
        <f t="array" aca="1" ref="AR31" ca="1">IF(AN29&lt;&gt;"",
IF(IFERROR(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"")&lt;&gt;0,
IF(IFERROR(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"")="",
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""),
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"")),0),0)</f>
        <v>0</v>
      </c>
      <c r="AS31" s="80"/>
      <c r="AT31" s="80"/>
      <c r="AU31" s="88" t="e">
        <f t="array" aca="1" ref="AU31" ca="1">IF(AND(LEFT(AZ29,2)="博多",
LEFT(INDIRECT("数出表_Excel!A"&amp;MATCH(AZ29,数出表_Excel!$A:$A,0)-1),2)
=LEFT(INDIRECT("数出表_Excel!A"&amp;MATCH(AZ29,数出表_Excel!$A:$A,0)+1),2)),100,
IF(AND(LEFT(AZ29,3)="奈良屋",
LEFT(INDIRECT("数出表_Excel!A"&amp;MATCH(AZ29,数出表_Excel!$A:$A,0)-1),2)
=LEFT(INDIRECT("数出表_Excel!A"&amp;MATCH(AZ29,数出表_Excel!$A:$A,0)+1),2)),200,""))</f>
        <v>#N/A</v>
      </c>
      <c r="AV31" s="189" t="str">
        <f ca="1">IF(AV30&lt;&gt;"",
"園児","")</f>
        <v/>
      </c>
      <c r="AW31" s="190"/>
      <c r="AX31" s="193" t="str">
        <f ca="1">IF(AV30&lt;&gt;"",
"先生","")</f>
        <v/>
      </c>
      <c r="AY31" s="190"/>
      <c r="AZ31" s="101">
        <f t="array" aca="1" ref="AZ31" ca="1">IF(AV29&lt;&gt;"",
IF(IFERROR(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"")&lt;&gt;0,
IF(IFERROR(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"")="",
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""),
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"")),0),0)</f>
        <v>0</v>
      </c>
      <c r="BA31" s="80"/>
      <c r="BB31" s="88" t="e">
        <f t="array" aca="1" ref="BB31" ca="1">IF(AND(LEFT(BG29,2)="博多",
LEFT(INDIRECT("数出表_Excel!A"&amp;MATCH(BG29,数出表_Excel!$A:$A,0)-1),2)
=LEFT(INDIRECT("数出表_Excel!A"&amp;MATCH(BG29,数出表_Excel!$A:$A,0)+1),2)),100,
IF(AND(LEFT(BG29,3)="奈良屋",
LEFT(INDIRECT("数出表_Excel!A"&amp;MATCH(BG29,数出表_Excel!$A:$A,0)-1),2)
=LEFT(INDIRECT("数出表_Excel!A"&amp;MATCH(BG29,数出表_Excel!$A:$A,0)+1),2)),200,""))</f>
        <v>#N/A</v>
      </c>
      <c r="BC31" s="189" t="str">
        <f ca="1">IF(BC30&lt;&gt;"",
"園児","")</f>
        <v/>
      </c>
      <c r="BD31" s="190"/>
      <c r="BE31" s="193" t="str">
        <f ca="1">IF(BC30&lt;&gt;"",
"先生","")</f>
        <v/>
      </c>
      <c r="BF31" s="190"/>
      <c r="BG31" s="101">
        <f t="array" aca="1" ref="BG31" ca="1">IF(BC29&lt;&gt;"",
IF(IFERROR(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"")&lt;&gt;0,
IF(IFERROR(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"")="",
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""),
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"")),0),0)</f>
        <v>0</v>
      </c>
      <c r="BH31" s="80"/>
      <c r="BI31" s="80"/>
      <c r="BJ31" s="88" t="e">
        <f t="array" aca="1" ref="BJ31" ca="1">IF(AND(LEFT(BO29,2)="博多",
LEFT(INDIRECT("数出表_Excel!A"&amp;MATCH(BO29,数出表_Excel!$A:$A,0)-1),2)
=LEFT(INDIRECT("数出表_Excel!A"&amp;MATCH(BO29,数出表_Excel!$A:$A,0)+1),2)),100,
IF(AND(LEFT(BO29,3)="奈良屋",
LEFT(INDIRECT("数出表_Excel!A"&amp;MATCH(BO29,数出表_Excel!$A:$A,0)-1),2)
=LEFT(INDIRECT("数出表_Excel!A"&amp;MATCH(BO29,数出表_Excel!$A:$A,0)+1),2)),200,""))</f>
        <v>#N/A</v>
      </c>
      <c r="BK31" s="189" t="str">
        <f ca="1">IF(BK30&lt;&gt;"",
"園児","")</f>
        <v/>
      </c>
      <c r="BL31" s="190"/>
      <c r="BM31" s="193" t="str">
        <f ca="1">IF(BK30&lt;&gt;"",
"先生","")</f>
        <v/>
      </c>
      <c r="BN31" s="190"/>
      <c r="BO31" s="101">
        <f t="array" aca="1" ref="BO31" ca="1">IF(BK29&lt;&gt;"",
IF(IFERROR(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"")&lt;&gt;0,
IF(IFERROR(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"")="",
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""),
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"")),0),0)</f>
        <v>0</v>
      </c>
      <c r="BP31" s="80"/>
      <c r="BQ31" s="88" t="e">
        <f t="array" aca="1" ref="BQ31" ca="1">IF(AND(LEFT(BV29,2)="博多",
LEFT(INDIRECT("数出表_Excel!A"&amp;MATCH(BV29,数出表_Excel!$A:$A,0)-1),2)
=LEFT(INDIRECT("数出表_Excel!A"&amp;MATCH(BV29,数出表_Excel!$A:$A,0)+1),2)),100,
IF(AND(LEFT(BV29,3)="奈良屋",
LEFT(INDIRECT("数出表_Excel!A"&amp;MATCH(BV29,数出表_Excel!$A:$A,0)-1),2)
=LEFT(INDIRECT("数出表_Excel!A"&amp;MATCH(BV29,数出表_Excel!$A:$A,0)+1),2)),200,""))</f>
        <v>#N/A</v>
      </c>
      <c r="BR31" s="189" t="str">
        <f ca="1">IF(BR30&lt;&gt;"",
"園児","")</f>
        <v/>
      </c>
      <c r="BS31" s="190"/>
      <c r="BT31" s="193" t="str">
        <f ca="1">IF(BR30&lt;&gt;"",
"先生","")</f>
        <v/>
      </c>
      <c r="BU31" s="190"/>
      <c r="BV31" s="101">
        <f t="array" aca="1" ref="BV31" ca="1">IF(BR29&lt;&gt;"",
IF(IFERROR(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"")&lt;&gt;0,
IF(IFERROR(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"")="",
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""),
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"")),0),0)</f>
        <v>0</v>
      </c>
      <c r="BW31" s="80"/>
      <c r="BX31" s="80"/>
      <c r="BY31" s="88" t="e">
        <f t="array" aca="1" ref="BY31" ca="1">IF(AND(LEFT(CD29,2)="博多",
LEFT(INDIRECT("数出表_Excel!A"&amp;MATCH(CD29,数出表_Excel!$A:$A,0)-1),2)
=LEFT(INDIRECT("数出表_Excel!A"&amp;MATCH(CD29,数出表_Excel!$A:$A,0)+1),2)),100,
IF(AND(LEFT(CD29,3)="奈良屋",
LEFT(INDIRECT("数出表_Excel!A"&amp;MATCH(CD29,数出表_Excel!$A:$A,0)-1),2)
=LEFT(INDIRECT("数出表_Excel!A"&amp;MATCH(CD29,数出表_Excel!$A:$A,0)+1),2)),200,""))</f>
        <v>#N/A</v>
      </c>
      <c r="BZ31" s="189" t="str">
        <f ca="1">IF(BZ30&lt;&gt;"",
"園児","")</f>
        <v/>
      </c>
      <c r="CA31" s="190"/>
      <c r="CB31" s="193" t="str">
        <f ca="1">IF(BZ30&lt;&gt;"",
"先生","")</f>
        <v/>
      </c>
      <c r="CC31" s="190"/>
      <c r="CD31" s="101">
        <f t="array" aca="1" ref="CD31" ca="1">IF(BZ29&lt;&gt;"",
IF(IFERROR(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"")&lt;&gt;0,
IF(IFERROR(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"")="",
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""),
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"")),0),0)</f>
        <v>0</v>
      </c>
      <c r="CE31" s="80"/>
      <c r="CF31" s="88" t="e">
        <f t="array" aca="1" ref="CF31" ca="1">IF(AND(LEFT(CK29,2)="博多",
LEFT(INDIRECT("数出表_Excel!A"&amp;MATCH(CK29,数出表_Excel!$A:$A,0)-1),2)
=LEFT(INDIRECT("数出表_Excel!A"&amp;MATCH(CK29,数出表_Excel!$A:$A,0)+1),2)),100,
IF(AND(LEFT(CK29,3)="奈良屋",
LEFT(INDIRECT("数出表_Excel!A"&amp;MATCH(CK29,数出表_Excel!$A:$A,0)-1),2)
=LEFT(INDIRECT("数出表_Excel!A"&amp;MATCH(CK29,数出表_Excel!$A:$A,0)+1),2)),200,""))</f>
        <v>#N/A</v>
      </c>
      <c r="CG31" s="189" t="str">
        <f ca="1">IF(CG30&lt;&gt;"",
"園児","")</f>
        <v/>
      </c>
      <c r="CH31" s="190"/>
      <c r="CI31" s="193" t="str">
        <f ca="1">IF(CG30&lt;&gt;"",
"先生","")</f>
        <v/>
      </c>
      <c r="CJ31" s="190"/>
      <c r="CK31" s="101">
        <f t="array" aca="1" ref="CK31" ca="1">IF(CG29&lt;&gt;"",
IF(IFERROR(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"")&lt;&gt;0,
IF(IFERROR(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"")="",
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""),
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"")),0),0)</f>
        <v>0</v>
      </c>
      <c r="CL31" s="80"/>
      <c r="CM31" s="80"/>
      <c r="CN31" s="88" t="e">
        <f t="array" aca="1" ref="CN31" ca="1">IF(AND(LEFT(CS29,2)="博多",
LEFT(INDIRECT("数出表_Excel!A"&amp;MATCH(CS29,数出表_Excel!$A:$A,0)-1),2)
=LEFT(INDIRECT("数出表_Excel!A"&amp;MATCH(CS29,数出表_Excel!$A:$A,0)+1),2)),100,
IF(AND(LEFT(CS29,3)="奈良屋",
LEFT(INDIRECT("数出表_Excel!A"&amp;MATCH(CS29,数出表_Excel!$A:$A,0)-1),2)
=LEFT(INDIRECT("数出表_Excel!A"&amp;MATCH(CS29,数出表_Excel!$A:$A,0)+1),2)),200,""))</f>
        <v>#N/A</v>
      </c>
      <c r="CO31" s="189" t="str">
        <f ca="1">IF(CO30&lt;&gt;"",
"園児","")</f>
        <v/>
      </c>
      <c r="CP31" s="190"/>
      <c r="CQ31" s="193" t="str">
        <f ca="1">IF(CO30&lt;&gt;"",
"先生","")</f>
        <v/>
      </c>
      <c r="CR31" s="190"/>
      <c r="CS31" s="101">
        <f t="array" aca="1" ref="CS31" ca="1">IF(CO29&lt;&gt;"",
IF(IFERROR(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"")&lt;&gt;0,
IF(IFERROR(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"")="",
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""),
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"")),0),0)</f>
        <v>0</v>
      </c>
      <c r="CT31" s="80"/>
      <c r="CU31" s="88" t="e">
        <f t="array" aca="1" ref="CU31" ca="1">IF(AND(LEFT(CZ29,2)="博多",
LEFT(INDIRECT("数出表_Excel!A"&amp;MATCH(CZ29,数出表_Excel!$A:$A,0)-1),2)
=LEFT(INDIRECT("数出表_Excel!A"&amp;MATCH(CZ29,数出表_Excel!$A:$A,0)+1),2)),100,
IF(AND(LEFT(CZ29,3)="奈良屋",
LEFT(INDIRECT("数出表_Excel!A"&amp;MATCH(CZ29,数出表_Excel!$A:$A,0)-1),2)
=LEFT(INDIRECT("数出表_Excel!A"&amp;MATCH(CZ29,数出表_Excel!$A:$A,0)+1),2)),200,""))</f>
        <v>#N/A</v>
      </c>
      <c r="CV31" s="189" t="str">
        <f ca="1">IF(CV30&lt;&gt;"",
"園児","")</f>
        <v/>
      </c>
      <c r="CW31" s="190"/>
      <c r="CX31" s="193" t="str">
        <f ca="1">IF(CV30&lt;&gt;"",
"先生","")</f>
        <v/>
      </c>
      <c r="CY31" s="190"/>
      <c r="CZ31" s="101">
        <f t="array" aca="1" ref="CZ31" ca="1">IF(CV29&lt;&gt;"",
IF(IFERROR(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"")&lt;&gt;0,
IF(IFERROR(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"")="",
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""),
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"")),0),0)</f>
        <v>0</v>
      </c>
      <c r="DA31" s="80"/>
      <c r="DB31" s="80"/>
      <c r="DC31" s="88" t="e">
        <f t="array" aca="1" ref="DC31" ca="1">IF(AND(LEFT(DH29,2)="博多",
LEFT(INDIRECT("数出表_Excel!A"&amp;MATCH(DH29,数出表_Excel!$A:$A,0)-1),2)
=LEFT(INDIRECT("数出表_Excel!A"&amp;MATCH(DH29,数出表_Excel!$A:$A,0)+1),2)),100,
IF(AND(LEFT(DH29,3)="奈良屋",
LEFT(INDIRECT("数出表_Excel!A"&amp;MATCH(DH29,数出表_Excel!$A:$A,0)-1),2)
=LEFT(INDIRECT("数出表_Excel!A"&amp;MATCH(DH29,数出表_Excel!$A:$A,0)+1),2)),200,""))</f>
        <v>#N/A</v>
      </c>
      <c r="DD31" s="189" t="str">
        <f ca="1">IF(DD30&lt;&gt;"",
"園児","")</f>
        <v/>
      </c>
      <c r="DE31" s="190"/>
      <c r="DF31" s="193" t="str">
        <f ca="1">IF(DD30&lt;&gt;"",
"先生","")</f>
        <v/>
      </c>
      <c r="DG31" s="190"/>
      <c r="DH31" s="101">
        <f t="array" aca="1" ref="DH31" ca="1">IF(DD29&lt;&gt;"",
IF(IFERROR(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"")&lt;&gt;0,
IF(IFERROR(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"")="",
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""),
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"")),0),0)</f>
        <v>0</v>
      </c>
      <c r="DI31" s="80"/>
      <c r="DJ31" s="88" t="e">
        <f t="array" aca="1" ref="DJ31" ca="1">IF(AND(LEFT(DO29,2)="博多",
LEFT(INDIRECT("数出表_Excel!A"&amp;MATCH(DO29,数出表_Excel!$A:$A,0)-1),2)
=LEFT(INDIRECT("数出表_Excel!A"&amp;MATCH(DO29,数出表_Excel!$A:$A,0)+1),2)),100,
IF(AND(LEFT(DO29,3)="奈良屋",
LEFT(INDIRECT("数出表_Excel!A"&amp;MATCH(DO29,数出表_Excel!$A:$A,0)-1),2)
=LEFT(INDIRECT("数出表_Excel!A"&amp;MATCH(DO29,数出表_Excel!$A:$A,0)+1),2)),200,""))</f>
        <v>#N/A</v>
      </c>
      <c r="DK31" s="189" t="str">
        <f ca="1">IF(DK30&lt;&gt;"",
"園児","")</f>
        <v/>
      </c>
      <c r="DL31" s="190"/>
      <c r="DM31" s="193" t="str">
        <f ca="1">IF(DK30&lt;&gt;"",
"先生","")</f>
        <v/>
      </c>
      <c r="DN31" s="190"/>
      <c r="DO31" s="101">
        <f t="array" aca="1" ref="DO31" ca="1">IF(DK29&lt;&gt;"",
IF(IFERROR(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"")&lt;&gt;0,
IF(IFERROR(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"")="",
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""),
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"")),0),0)</f>
        <v>0</v>
      </c>
      <c r="DP31" s="80"/>
      <c r="DQ31" s="80"/>
      <c r="DR31" s="88" t="e">
        <f t="array" aca="1" ref="DR31" ca="1">IF(AND(LEFT(DW29,2)="博多",
LEFT(INDIRECT("数出表_Excel!A"&amp;MATCH(DW29,数出表_Excel!$A:$A,0)-1),2)
=LEFT(INDIRECT("数出表_Excel!A"&amp;MATCH(DW29,数出表_Excel!$A:$A,0)+1),2)),100,
IF(AND(LEFT(DW29,3)="奈良屋",
LEFT(INDIRECT("数出表_Excel!A"&amp;MATCH(DW29,数出表_Excel!$A:$A,0)-1),2)
=LEFT(INDIRECT("数出表_Excel!A"&amp;MATCH(DW29,数出表_Excel!$A:$A,0)+1),2)),200,""))</f>
        <v>#N/A</v>
      </c>
      <c r="DS31" s="189" t="str">
        <f ca="1">IF(DS30&lt;&gt;"",
"園児","")</f>
        <v/>
      </c>
      <c r="DT31" s="190"/>
      <c r="DU31" s="193" t="str">
        <f ca="1">IF(DS30&lt;&gt;"",
"先生","")</f>
        <v/>
      </c>
      <c r="DV31" s="190"/>
      <c r="DW31" s="101">
        <f t="array" aca="1" ref="DW31" ca="1">IF(DS29&lt;&gt;"",
IF(IFERROR(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"")&lt;&gt;0,
IF(IFERROR(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"")="",
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""),
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"")),0),0)</f>
        <v>0</v>
      </c>
      <c r="DX31" s="80"/>
      <c r="DY31" s="88" t="e">
        <f t="array" aca="1" ref="DY31" ca="1">IF(AND(LEFT(ED29,2)="博多",
LEFT(INDIRECT("数出表_Excel!A"&amp;MATCH(ED29,数出表_Excel!$A:$A,0)-1),2)
=LEFT(INDIRECT("数出表_Excel!A"&amp;MATCH(ED29,数出表_Excel!$A:$A,0)+1),2)),100,
IF(AND(LEFT(ED29,3)="奈良屋",
LEFT(INDIRECT("数出表_Excel!A"&amp;MATCH(ED29,数出表_Excel!$A:$A,0)-1),2)
=LEFT(INDIRECT("数出表_Excel!A"&amp;MATCH(ED29,数出表_Excel!$A:$A,0)+1),2)),200,""))</f>
        <v>#N/A</v>
      </c>
      <c r="DZ31" s="189" t="str">
        <f ca="1">IF(DZ30&lt;&gt;"",
"園児","")</f>
        <v/>
      </c>
      <c r="EA31" s="190"/>
      <c r="EB31" s="193" t="str">
        <f ca="1">IF(DZ30&lt;&gt;"",
"先生","")</f>
        <v/>
      </c>
      <c r="EC31" s="190"/>
      <c r="ED31" s="101">
        <f t="array" aca="1" ref="ED31" ca="1">IF(DZ29&lt;&gt;"",
IF(IFERROR(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"")&lt;&gt;0,
IF(IFERROR(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"")="",
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""),
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"")),0),0)</f>
        <v>0</v>
      </c>
      <c r="EE31" s="80"/>
      <c r="EF31" s="80"/>
      <c r="EG31" s="88" t="e">
        <f t="array" aca="1" ref="EG31" ca="1">IF(AND(LEFT(EL29,2)="博多",
LEFT(INDIRECT("数出表_Excel!A"&amp;MATCH(EL29,数出表_Excel!$A:$A,0)-1),2)
=LEFT(INDIRECT("数出表_Excel!A"&amp;MATCH(EL29,数出表_Excel!$A:$A,0)+1),2)),100,
IF(AND(LEFT(EL29,3)="奈良屋",
LEFT(INDIRECT("数出表_Excel!A"&amp;MATCH(EL29,数出表_Excel!$A:$A,0)-1),2)
=LEFT(INDIRECT("数出表_Excel!A"&amp;MATCH(EL29,数出表_Excel!$A:$A,0)+1),2)),200,""))</f>
        <v>#N/A</v>
      </c>
      <c r="EH31" s="189" t="str">
        <f ca="1">IF(EH30&lt;&gt;"",
"園児","")</f>
        <v/>
      </c>
      <c r="EI31" s="190"/>
      <c r="EJ31" s="193" t="str">
        <f ca="1">IF(EH30&lt;&gt;"",
"先生","")</f>
        <v/>
      </c>
      <c r="EK31" s="190"/>
      <c r="EL31" s="101">
        <f t="array" aca="1" ref="EL31" ca="1">IF(EH29&lt;&gt;"",
IF(IFERROR(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"")&lt;&gt;0,
IF(IFERROR(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"")="",
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""),
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"")),0),0)</f>
        <v>0</v>
      </c>
      <c r="EM31" s="80"/>
      <c r="EN31" s="88" t="e">
        <f t="array" aca="1" ref="EN31" ca="1">IF(AND(LEFT(ES29,2)="博多",
LEFT(INDIRECT("数出表_Excel!A"&amp;MATCH(ES29,数出表_Excel!$A:$A,0)-1),2)
=LEFT(INDIRECT("数出表_Excel!A"&amp;MATCH(ES29,数出表_Excel!$A:$A,0)+1),2)),100,
IF(AND(LEFT(ES29,3)="奈良屋",
LEFT(INDIRECT("数出表_Excel!A"&amp;MATCH(ES29,数出表_Excel!$A:$A,0)-1),2)
=LEFT(INDIRECT("数出表_Excel!A"&amp;MATCH(ES29,数出表_Excel!$A:$A,0)+1),2)),200,""))</f>
        <v>#N/A</v>
      </c>
      <c r="EO31" s="189" t="str">
        <f ca="1">IF(EO30&lt;&gt;"",
"園児","")</f>
        <v/>
      </c>
      <c r="EP31" s="190"/>
      <c r="EQ31" s="193" t="str">
        <f ca="1">IF(EO30&lt;&gt;"",
"先生","")</f>
        <v/>
      </c>
      <c r="ER31" s="190"/>
      <c r="ES31" s="101">
        <f t="array" aca="1" ref="ES31" ca="1">IF(EO29&lt;&gt;"",
IF(IFERROR(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"")&lt;&gt;0,
IF(IFERROR(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"")="",
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""),
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"")),0),0)</f>
        <v>0</v>
      </c>
      <c r="ET31" s="110"/>
      <c r="EU31" s="82">
        <v>7</v>
      </c>
      <c r="EV31" s="82" t="str">
        <f t="array" aca="1" ref="EV31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LEN(SUBSTITUTE(_xlfn.FORMULATEXT(EV$27),"=","")))+$EU31)</f>
        <v/>
      </c>
      <c r="EW31" s="82" t="str">
        <f t="array" aca="1" ref="EW31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LEN(SUBSTITUTE(_xlfn.FORMULATEXT(EW$27),"=","")))+$EU31)</f>
        <v/>
      </c>
      <c r="EX31" s="82" t="str">
        <f t="array" aca="1" ref="EX31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LEN(SUBSTITUTE(_xlfn.FORMULATEXT(EX$27),"=","")))+$EU31)</f>
        <v/>
      </c>
      <c r="EY31" s="82" t="str">
        <f t="array" aca="1" ref="EY31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LEN(SUBSTITUTE(_xlfn.FORMULATEXT(EY$27),"=","")))+$EU31)</f>
        <v/>
      </c>
      <c r="EZ31" s="82" t="str">
        <f t="array" aca="1" ref="EZ31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LEN(SUBSTITUTE(_xlfn.FORMULATEXT(EZ$27),"=","")))+$EU31)</f>
        <v/>
      </c>
      <c r="FA31" s="82" t="e">
        <f t="array" aca="1" ref="FA31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LEN(SUBSTITUTE(_xlfn.FORMULATEXT(FA$27),"=","")))+$EU31)</f>
        <v>#VALUE!</v>
      </c>
      <c r="FB31" s="82" t="str">
        <f t="array" aca="1" ref="FB31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LEN(SUBSTITUTE(_xlfn.FORMULATEXT(FB$27),"=","")))+$EU31)</f>
        <v/>
      </c>
      <c r="FC31" s="82" t="str">
        <f t="array" aca="1" ref="FC31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LEN(SUBSTITUTE(_xlfn.FORMULATEXT(FC$27),"=","")))+$EU31)</f>
        <v/>
      </c>
      <c r="FD31" s="82" t="e">
        <f t="array" aca="1" ref="FD31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LEN(SUBSTITUTE(_xlfn.FORMULATEXT(FD$27),"=","")))+$EU31)</f>
        <v>#VALUE!</v>
      </c>
      <c r="FE31" s="82" t="str">
        <f t="array" aca="1" ref="FE31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LEN(SUBSTITUTE(_xlfn.FORMULATEXT(FE$27),"=","")))+$EU31)</f>
        <v/>
      </c>
      <c r="FF31" s="82" t="e">
        <f t="array" aca="1" ref="FF31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LEN(SUBSTITUTE(_xlfn.FORMULATEXT(FF$27),"=","")))+$EU31)</f>
        <v>#N/A</v>
      </c>
      <c r="FG31" s="82">
        <f t="shared" ca="1" si="0"/>
        <v>0</v>
      </c>
      <c r="FH31" s="82" t="e">
        <f t="array" aca="1" ref="FH31" ca="1">SUMPRODUCT((LEN(EV31:FF31)&gt;0)*1)&gt;0</f>
        <v>#VALUE!</v>
      </c>
      <c r="FI31" s="82" t="str">
        <f t="array" aca="1" ref="FI31" ca="1">IFERROR(SMALL(IF(FG$1:FG$173&lt;&gt;0,FG$1:FG$173),ROW(A31)),"")</f>
        <v/>
      </c>
      <c r="FJ31" s="82" t="str">
        <f t="array" aca="1" ref="FJ31" ca="1">IF($FI31&lt;&gt;"",
INDIRECT(""&amp;IF(COLUMN(EV31)&lt;=26,CHAR(COLUMN(EV31)+64),CHAR(INT((COLUMN(EV31)-1)/26)+64)&amp;CHAR(MOD(COLUMN(EV31)-1,26)+65))&amp;$FI31&amp;""),"")</f>
        <v/>
      </c>
      <c r="FK31" s="82" t="str">
        <f t="array" aca="1" ref="FK31" ca="1">IF($FI31&lt;&gt;"",
INDIRECT(""&amp;IF(COLUMN(EW31)&lt;=26,CHAR(COLUMN(EW31)+64),CHAR(INT((COLUMN(EW31)-1)/26)+64)&amp;CHAR(MOD(COLUMN(EW31)-1,26)+65))&amp;$FI31&amp;""),"")</f>
        <v/>
      </c>
      <c r="FL31" s="82" t="str">
        <f t="array" aca="1" ref="FL31" ca="1">IF($FI31&lt;&gt;"",
INDIRECT(""&amp;IF(COLUMN(EX31)&lt;=26,CHAR(COLUMN(EX31)+64),CHAR(INT((COLUMN(EX31)-1)/26)+64)&amp;CHAR(MOD(COLUMN(EX31)-1,26)+65))&amp;$FI31&amp;""),"")</f>
        <v/>
      </c>
      <c r="FM31" s="82" t="str">
        <f t="array" aca="1" ref="FM31" ca="1">IF($FI31&lt;&gt;"",
IF(FL31="",
IF(INDIRECT("EY"&amp;$FI31&amp;"")&lt;&gt;"",
INDIRECT("EY"&amp;$FI31&amp;"")&amp;"箱"
&amp;INDIRECT("EZ"&amp;$FI31&amp;""),""),""),"")</f>
        <v/>
      </c>
      <c r="FN31" s="82" t="str">
        <f t="array" aca="1" ref="FN31" ca="1">IF($FI31&lt;&gt;"",
INDIRECT(""&amp;IF(COLUMN(FA31)&lt;=26,CHAR(COLUMN(FA31)+64),CHAR(INT((COLUMN(FA31)-1)/26)+64)&amp;CHAR(MOD(COLUMN(FA31)-1,26)+65))&amp;$FI31&amp;""),"")</f>
        <v/>
      </c>
      <c r="FO31" s="82" t="str">
        <f t="array" aca="1" ref="FO31" ca="1">IF($FI31&lt;&gt;"",
INDIRECT(""&amp;IF(COLUMN(FB31)&lt;=26,CHAR(COLUMN(FB31)+64),CHAR(INT((COLUMN(FB31)-1)/26)+64)&amp;CHAR(MOD(COLUMN(FB31)-1,26)+65))&amp;$FI31&amp;""),"")</f>
        <v/>
      </c>
      <c r="FP31" s="82" t="str">
        <f t="array" aca="1" ref="FP31" ca="1">IF($FI31&lt;&gt;"",
INDIRECT(""&amp;IF(COLUMN(FC31)&lt;=26,CHAR(COLUMN(FC31)+64),CHAR(INT((COLUMN(FC31)-1)/26)+64)&amp;CHAR(MOD(COLUMN(FC31)-1,26)+65))&amp;$FI31&amp;""),"")</f>
        <v/>
      </c>
      <c r="FQ31" s="82" t="str">
        <f t="array" aca="1" ref="FQ31" ca="1">IF($FI31&lt;&gt;"",
INDIRECT(""&amp;IF(COLUMN(FD31)&lt;=26,CHAR(COLUMN(FD31)+64),CHAR(INT((COLUMN(FD31)-1)/26)+64)&amp;CHAR(MOD(COLUMN(FD31)-1,26)+65))&amp;$FI31&amp;""),"")</f>
        <v/>
      </c>
      <c r="FR31" s="82" t="str">
        <f t="array" aca="1" ref="FR31" ca="1">IF($FI31&lt;&gt;"",
INDIRECT(""&amp;IF(COLUMN(FE31)&lt;=26,CHAR(COLUMN(FE31)+64),CHAR(INT((COLUMN(FE31)-1)/26)+64)&amp;CHAR(MOD(COLUMN(FE31)-1,26)+65))&amp;$FI31&amp;""),"")</f>
        <v/>
      </c>
      <c r="FS31" s="82" t="str">
        <f t="array" aca="1" ref="FS31" ca="1">IF($FI31&lt;&gt;"",
INDIRECT(""&amp;IF(COLUMN(FF31)&lt;=26,CHAR(COLUMN(FF31)+64),CHAR(INT((COLUMN(FF31)-1)/26)+64)&amp;CHAR(MOD(COLUMN(FF31)-1,26)+65))&amp;$FI31&amp;""),"")</f>
        <v/>
      </c>
    </row>
    <row r="32" spans="1:175" ht="18" customHeight="1" x14ac:dyDescent="0.45">
      <c r="B32" s="90"/>
      <c r="C32" s="185" t="e">
        <f t="array" aca="1" ref="C32" ca="1">IF(AND(N22="社食",G29="社食"),"",
IF(C30&lt;&gt;"",
IF(IFERROR(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"")=0,"",
IF(B31=100,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IF(AND(B31=200,COUNTIF(数出表_Excel!$A:$A,"*奈良屋*")=2),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IF(AND(B31=200,COUNTIF(数出表_Excel!$A:$A,"*奈良屋*")=3),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
+IFERROR(
INDEX(INDIRECT("数出表_Excel!B"&amp;MATCH(G29,数出表_Excel!$A:$A,0)-1+4&amp;":U"&amp;MATCH(G29,数出表_Excel!$A:$A,0)-1+4&amp;""),
 1,
 MATCH(TRUE, ISNUMBER(--INDIRECT("数出表_Excel!B"&amp;MATCH(G29,数出表_Excel!$A:$A,0)-1+4&amp;":U"&amp;MATCH(G29,数出表_Excel!$A:$A,0)-1+4&amp;"")), 0)),
 ""),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""))))),"")+B32)</f>
        <v>#VALUE!</v>
      </c>
      <c r="D32" s="186"/>
      <c r="E32" s="188" t="str">
        <f t="array" aca="1" ref="E32" ca="1">IF(AND(G29="社食",N29="社食"),"",
IF(C30&lt;&gt;"",
IF(IFERROR(
INDEX(INDIRECT("数出表_Excel!B"&amp;MATCH(G29,数出表_Excel!$A:$A,0)&amp;":U"&amp;MATCH(G29,数出表_Excel!$A:$A,0)&amp;""),
 1,B30-1),
 "")=0,"",
IFERROR(
INDEX(INDIRECT("数出表_Excel!B"&amp;MATCH(G29,数出表_Excel!$A:$A,0)&amp;":U"&amp;MATCH(G29,数出表_Excel!$A:$A,0)&amp;""),
 1,B30-1),
 "")),""))</f>
        <v/>
      </c>
      <c r="F32" s="186"/>
      <c r="G32" s="101" t="e">
        <f t="array" aca="1" ref="G32" ca="1">IF(B31=100,
IF(C29&lt;&gt;"",
IF(IFERROR(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0)&lt;&gt;0,
IF(IFERROR(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0)="",
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0),
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0)),0),""),0)</f>
        <v>#N/A</v>
      </c>
      <c r="I32" s="90"/>
      <c r="J32" s="185" t="e">
        <f t="array" aca="1" ref="J32" ca="1">IF(AND(G29="社食",N29="社食"),"",
IF(J30&lt;&gt;"",
IF(IFERROR(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"")=0,"",
IF(I31=100,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IF(AND(I31=200,COUNTIF(数出表_Excel!$A:$A,"*奈良屋*")=2),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IF(AND(I31=200,COUNTIF(数出表_Excel!$A:$A,"*奈良屋*")=3),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
+IFERROR(
INDEX(INDIRECT("数出表_Excel!B"&amp;MATCH(N29,数出表_Excel!$A:$A,0)-1+4&amp;":U"&amp;MATCH(N29,数出表_Excel!$A:$A,0)-1+4&amp;""),
 1,
 MATCH(TRUE, ISNUMBER(--INDIRECT("数出表_Excel!B"&amp;MATCH(N29,数出表_Excel!$A:$A,0)-1+4&amp;":U"&amp;MATCH(N29,数出表_Excel!$A:$A,0)-1+4&amp;"")), 0)),
 ""),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""))))),"")+I32)</f>
        <v>#VALUE!</v>
      </c>
      <c r="K32" s="186"/>
      <c r="L32" s="188" t="str">
        <f t="array" aca="1" ref="L32" ca="1">IF(AND(N29="社食",G36="社食"),"",
IF(J30&lt;&gt;"",
IF(IFERROR(
INDEX(INDIRECT("数出表_Excel!B"&amp;MATCH(N29,数出表_Excel!$A:$A,0)&amp;":U"&amp;MATCH(N29,数出表_Excel!$A:$A,0)&amp;""),
 1,I30-1),
 "")=0,"",
IFERROR(
INDEX(INDIRECT("数出表_Excel!B"&amp;MATCH(N29,数出表_Excel!$A:$A,0)&amp;":U"&amp;MATCH(N29,数出表_Excel!$A:$A,0)&amp;""),
 1,I30-1),
 "")),""))</f>
        <v/>
      </c>
      <c r="M32" s="186"/>
      <c r="N32" s="101" t="e">
        <f t="array" aca="1" ref="N32" ca="1">IF(I31=100,
IF(J29&lt;&gt;"",
IF(IFERROR(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0)&lt;&gt;0,
IF(IFERROR(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0)="",
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0),
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0)),0),""),0)</f>
        <v>#N/A</v>
      </c>
      <c r="Q32" s="90"/>
      <c r="R32" s="185" t="e">
        <f t="array" aca="1" ref="R32" ca="1">IF(AND(AC22="社食",V29="社食"),"",
IF(R30&lt;&gt;"",
IF(IFERROR(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"")=0,"",
IF(Q31=100,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IF(AND(Q31=200,COUNTIF(数出表_Excel!$A:$A,"*奈良屋*")=2),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IF(AND(Q31=200,COUNTIF(数出表_Excel!$A:$A,"*奈良屋*")=3),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
+IFERROR(
INDEX(INDIRECT("数出表_Excel!B"&amp;MATCH(V29,数出表_Excel!$A:$A,0)-1+4&amp;":U"&amp;MATCH(V29,数出表_Excel!$A:$A,0)-1+4&amp;""),
 1,
 MATCH(TRUE, ISNUMBER(--INDIRECT("数出表_Excel!B"&amp;MATCH(V29,数出表_Excel!$A:$A,0)-1+4&amp;":U"&amp;MATCH(V29,数出表_Excel!$A:$A,0)-1+4&amp;"")), 0)),
 ""),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""))))),"")+Q32)</f>
        <v>#VALUE!</v>
      </c>
      <c r="S32" s="186"/>
      <c r="T32" s="188" t="str">
        <f t="array" aca="1" ref="T32" ca="1">IF(AND(V29="社食",AC29="社食"),"",
IF(R30&lt;&gt;"",
IF(IFERROR(
INDEX(INDIRECT("数出表_Excel!B"&amp;MATCH(V29,数出表_Excel!$A:$A,0)&amp;":U"&amp;MATCH(V29,数出表_Excel!$A:$A,0)&amp;""),
 1,Q30-1),
 "")=0,"",
IFERROR(
INDEX(INDIRECT("数出表_Excel!B"&amp;MATCH(V29,数出表_Excel!$A:$A,0)&amp;":U"&amp;MATCH(V29,数出表_Excel!$A:$A,0)&amp;""),
 1,Q30-1),
 "")),""))</f>
        <v/>
      </c>
      <c r="U32" s="186"/>
      <c r="V32" s="101" t="e">
        <f t="array" aca="1" ref="V32" ca="1">IF(Q31=100,
IF(R29&lt;&gt;"",
IF(IFERROR(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0)&lt;&gt;0,
IF(IFERROR(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0)="",
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0),
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0)),0),""),0)</f>
        <v>#N/A</v>
      </c>
      <c r="X32" s="90"/>
      <c r="Y32" s="185" t="e">
        <f t="array" aca="1" ref="Y32" ca="1">IF(AND(V29="社食",AC29="社食"),"",
IF(Y30&lt;&gt;"",
IF(IFERROR(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"")=0,"",
IF(X31=100,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IF(AND(X31=200,COUNTIF(数出表_Excel!$A:$A,"*奈良屋*")=2),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IF(AND(X31=200,COUNTIF(数出表_Excel!$A:$A,"*奈良屋*")=3),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
+IFERROR(
INDEX(INDIRECT("数出表_Excel!B"&amp;MATCH(AC29,数出表_Excel!$A:$A,0)-1+4&amp;":U"&amp;MATCH(AC29,数出表_Excel!$A:$A,0)-1+4&amp;""),
 1,
 MATCH(TRUE, ISNUMBER(--INDIRECT("数出表_Excel!B"&amp;MATCH(AC29,数出表_Excel!$A:$A,0)-1+4&amp;":U"&amp;MATCH(AC29,数出表_Excel!$A:$A,0)-1+4&amp;"")), 0)),
 ""),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""))))),"")+X32)</f>
        <v>#VALUE!</v>
      </c>
      <c r="Z32" s="186"/>
      <c r="AA32" s="188" t="str">
        <f t="array" aca="1" ref="AA32" ca="1">IF(AND(AC29="社食",V36="社食"),"",
IF(Y30&lt;&gt;"",
IF(IFERROR(
INDEX(INDIRECT("数出表_Excel!B"&amp;MATCH(AC29,数出表_Excel!$A:$A,0)&amp;":U"&amp;MATCH(AC29,数出表_Excel!$A:$A,0)&amp;""),
 1,X30-1),
 "")=0,"",
IFERROR(
INDEX(INDIRECT("数出表_Excel!B"&amp;MATCH(AC29,数出表_Excel!$A:$A,0)&amp;":U"&amp;MATCH(AC29,数出表_Excel!$A:$A,0)&amp;""),
 1,X30-1),
 "")),""))</f>
        <v/>
      </c>
      <c r="AB32" s="186"/>
      <c r="AC32" s="101" t="e">
        <f t="array" aca="1" ref="AC32" ca="1">IF(X31=100,
IF(Y29&lt;&gt;"",
IF(IFERROR(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0)&lt;&gt;0,
IF(IFERROR(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0)="",
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0),
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0)),0),""),0)</f>
        <v>#N/A</v>
      </c>
      <c r="AF32" s="90"/>
      <c r="AG32" s="185" t="e">
        <f t="array" aca="1" ref="AG32" ca="1">IF(AND(AR22="社食",AK29="社食"),"",
IF(AG30&lt;&gt;"",
IF(IFERROR(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"")=0,"",
IF(AF31=100,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IF(AND(AF31=200,COUNTIF(数出表_Excel!$A:$A,"*奈良屋*")=2),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IF(AND(AF31=200,COUNTIF(数出表_Excel!$A:$A,"*奈良屋*")=3),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
+IFERROR(
INDEX(INDIRECT("数出表_Excel!B"&amp;MATCH(AK29,数出表_Excel!$A:$A,0)-1+4&amp;":U"&amp;MATCH(AK29,数出表_Excel!$A:$A,0)-1+4&amp;""),
 1,
 MATCH(TRUE, ISNUMBER(--INDIRECT("数出表_Excel!B"&amp;MATCH(AK29,数出表_Excel!$A:$A,0)-1+4&amp;":U"&amp;MATCH(AK29,数出表_Excel!$A:$A,0)-1+4&amp;"")), 0)),
 ""),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""))))),"")+AF32)</f>
        <v>#VALUE!</v>
      </c>
      <c r="AH32" s="186"/>
      <c r="AI32" s="188" t="str">
        <f t="array" aca="1" ref="AI32" ca="1">IF(AND(AK29="社食",AR29="社食"),"",
IF(AG30&lt;&gt;"",
IF(IFERROR(
INDEX(INDIRECT("数出表_Excel!B"&amp;MATCH(AK29,数出表_Excel!$A:$A,0)&amp;":U"&amp;MATCH(AK29,数出表_Excel!$A:$A,0)&amp;""),
 1,AF30-1),
 "")=0,"",
IFERROR(
INDEX(INDIRECT("数出表_Excel!B"&amp;MATCH(AK29,数出表_Excel!$A:$A,0)&amp;":U"&amp;MATCH(AK29,数出表_Excel!$A:$A,0)&amp;""),
 1,AF30-1),
 "")),""))</f>
        <v/>
      </c>
      <c r="AJ32" s="186"/>
      <c r="AK32" s="101" t="e">
        <f t="array" aca="1" ref="AK32" ca="1">IF(AF31=100,
IF(AG29&lt;&gt;"",
IF(IFERROR(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0)&lt;&gt;0,
IF(IFERROR(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0)="",
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0),
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0)),0),""),0)</f>
        <v>#N/A</v>
      </c>
      <c r="AM32" s="90"/>
      <c r="AN32" s="185" t="e">
        <f t="array" aca="1" ref="AN32" ca="1">IF(AND(AK29="社食",AR29="社食"),"",
IF(AN30&lt;&gt;"",
IF(IFERROR(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"")=0,"",
IF(AM31=100,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IF(AND(AM31=200,COUNTIF(数出表_Excel!$A:$A,"*奈良屋*")=2),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IF(AND(AM31=200,COUNTIF(数出表_Excel!$A:$A,"*奈良屋*")=3),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
+IFERROR(
INDEX(INDIRECT("数出表_Excel!B"&amp;MATCH(AR29,数出表_Excel!$A:$A,0)-1+4&amp;":U"&amp;MATCH(AR29,数出表_Excel!$A:$A,0)-1+4&amp;""),
 1,
 MATCH(TRUE, ISNUMBER(--INDIRECT("数出表_Excel!B"&amp;MATCH(AR29,数出表_Excel!$A:$A,0)-1+4&amp;":U"&amp;MATCH(AR29,数出表_Excel!$A:$A,0)-1+4&amp;"")), 0)),
 ""),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""))))),"")+AM32)</f>
        <v>#VALUE!</v>
      </c>
      <c r="AO32" s="186"/>
      <c r="AP32" s="188" t="str">
        <f t="array" aca="1" ref="AP32" ca="1">IF(AND(AR29="社食",AK36="社食"),"",
IF(AN30&lt;&gt;"",
IF(IFERROR(
INDEX(INDIRECT("数出表_Excel!B"&amp;MATCH(AR29,数出表_Excel!$A:$A,0)&amp;":U"&amp;MATCH(AR29,数出表_Excel!$A:$A,0)&amp;""),
 1,AM30-1),
 "")=0,"",
IFERROR(
INDEX(INDIRECT("数出表_Excel!B"&amp;MATCH(AR29,数出表_Excel!$A:$A,0)&amp;":U"&amp;MATCH(AR29,数出表_Excel!$A:$A,0)&amp;""),
 1,AM30-1),
 "")),""))</f>
        <v/>
      </c>
      <c r="AQ32" s="186"/>
      <c r="AR32" s="101" t="e">
        <f t="array" aca="1" ref="AR32" ca="1">IF(AM31=100,
IF(AN29&lt;&gt;"",
IF(IFERROR(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0)&lt;&gt;0,
IF(IFERROR(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0)="",
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0),
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0)),0),""),0)</f>
        <v>#N/A</v>
      </c>
      <c r="AU32" s="90"/>
      <c r="AV32" s="185" t="e">
        <f t="array" aca="1" ref="AV32" ca="1">IF(AND(BG22="社食",AZ29="社食"),"",
IF(AV30&lt;&gt;"",
IF(IFERROR(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"")=0,"",
IF(AU31=100,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IF(AND(AU31=200,COUNTIF(数出表_Excel!$A:$A,"*奈良屋*")=2),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IF(AND(AU31=200,COUNTIF(数出表_Excel!$A:$A,"*奈良屋*")=3),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
+IFERROR(
INDEX(INDIRECT("数出表_Excel!B"&amp;MATCH(AZ29,数出表_Excel!$A:$A,0)-1+4&amp;":U"&amp;MATCH(AZ29,数出表_Excel!$A:$A,0)-1+4&amp;""),
 1,
 MATCH(TRUE, ISNUMBER(--INDIRECT("数出表_Excel!B"&amp;MATCH(AZ29,数出表_Excel!$A:$A,0)-1+4&amp;":U"&amp;MATCH(AZ29,数出表_Excel!$A:$A,0)-1+4&amp;"")), 0)),
 ""),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""))))),"")+AU32)</f>
        <v>#VALUE!</v>
      </c>
      <c r="AW32" s="186"/>
      <c r="AX32" s="188" t="str">
        <f t="array" aca="1" ref="AX32" ca="1">IF(AND(AZ29="社食",BG29="社食"),"",
IF(AV30&lt;&gt;"",
IF(IFERROR(
INDEX(INDIRECT("数出表_Excel!B"&amp;MATCH(AZ29,数出表_Excel!$A:$A,0)&amp;":U"&amp;MATCH(AZ29,数出表_Excel!$A:$A,0)&amp;""),
 1,AU30-1),
 "")=0,"",
IFERROR(
INDEX(INDIRECT("数出表_Excel!B"&amp;MATCH(AZ29,数出表_Excel!$A:$A,0)&amp;":U"&amp;MATCH(AZ29,数出表_Excel!$A:$A,0)&amp;""),
 1,AU30-1),
 "")),""))</f>
        <v/>
      </c>
      <c r="AY32" s="186"/>
      <c r="AZ32" s="101" t="e">
        <f t="array" aca="1" ref="AZ32" ca="1">IF(AU31=100,
IF(AV29&lt;&gt;"",
IF(IFERROR(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0)&lt;&gt;0,
IF(IFERROR(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0)="",
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0),
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0)),0),""),0)</f>
        <v>#N/A</v>
      </c>
      <c r="BB32" s="90"/>
      <c r="BC32" s="185" t="e">
        <f t="array" aca="1" ref="BC32" ca="1">IF(AND(AZ29="社食",BG29="社食"),"",
IF(BC30&lt;&gt;"",
IF(IFERROR(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"")=0,"",
IF(BB31=100,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IF(AND(BB31=200,COUNTIF(数出表_Excel!$A:$A,"*奈良屋*")=2),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IF(AND(BB31=200,COUNTIF(数出表_Excel!$A:$A,"*奈良屋*")=3),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
+IFERROR(
INDEX(INDIRECT("数出表_Excel!B"&amp;MATCH(BG29,数出表_Excel!$A:$A,0)-1+4&amp;":U"&amp;MATCH(BG29,数出表_Excel!$A:$A,0)-1+4&amp;""),
 1,
 MATCH(TRUE, ISNUMBER(--INDIRECT("数出表_Excel!B"&amp;MATCH(BG29,数出表_Excel!$A:$A,0)-1+4&amp;":U"&amp;MATCH(BG29,数出表_Excel!$A:$A,0)-1+4&amp;"")), 0)),
 ""),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""))))),"")+BB32)</f>
        <v>#VALUE!</v>
      </c>
      <c r="BD32" s="186"/>
      <c r="BE32" s="188" t="str">
        <f t="array" aca="1" ref="BE32" ca="1">IF(AND(BG29="社食",AZ36="社食"),"",
IF(BC30&lt;&gt;"",
IF(IFERROR(
INDEX(INDIRECT("数出表_Excel!B"&amp;MATCH(BG29,数出表_Excel!$A:$A,0)&amp;":U"&amp;MATCH(BG29,数出表_Excel!$A:$A,0)&amp;""),
 1,BB30-1),
 "")=0,"",
IFERROR(
INDEX(INDIRECT("数出表_Excel!B"&amp;MATCH(BG29,数出表_Excel!$A:$A,0)&amp;":U"&amp;MATCH(BG29,数出表_Excel!$A:$A,0)&amp;""),
 1,BB30-1),
 "")),""))</f>
        <v/>
      </c>
      <c r="BF32" s="186"/>
      <c r="BG32" s="101" t="e">
        <f t="array" aca="1" ref="BG32" ca="1">IF(BB31=100,
IF(BC29&lt;&gt;"",
IF(IFERROR(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0)&lt;&gt;0,
IF(IFERROR(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0)="",
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0),
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0)),0),""),0)</f>
        <v>#N/A</v>
      </c>
      <c r="BJ32" s="90"/>
      <c r="BK32" s="185" t="e">
        <f t="array" aca="1" ref="BK32" ca="1">IF(AND(BV22="社食",BO29="社食"),"",
IF(BK30&lt;&gt;"",
IF(IFERROR(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"")=0,"",
IF(BJ31=100,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IF(AND(BJ31=200,COUNTIF(数出表_Excel!$A:$A,"*奈良屋*")=2),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IF(AND(BJ31=200,COUNTIF(数出表_Excel!$A:$A,"*奈良屋*")=3),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
+IFERROR(
INDEX(INDIRECT("数出表_Excel!B"&amp;MATCH(BO29,数出表_Excel!$A:$A,0)-1+4&amp;":U"&amp;MATCH(BO29,数出表_Excel!$A:$A,0)-1+4&amp;""),
 1,
 MATCH(TRUE, ISNUMBER(--INDIRECT("数出表_Excel!B"&amp;MATCH(BO29,数出表_Excel!$A:$A,0)-1+4&amp;":U"&amp;MATCH(BO29,数出表_Excel!$A:$A,0)-1+4&amp;"")), 0)),
 ""),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""))))),"")+BJ32)</f>
        <v>#VALUE!</v>
      </c>
      <c r="BL32" s="186"/>
      <c r="BM32" s="188" t="str">
        <f t="array" aca="1" ref="BM32" ca="1">IF(AND(BO29="社食",BV29="社食"),"",
IF(BK30&lt;&gt;"",
IF(IFERROR(
INDEX(INDIRECT("数出表_Excel!B"&amp;MATCH(BO29,数出表_Excel!$A:$A,0)&amp;":U"&amp;MATCH(BO29,数出表_Excel!$A:$A,0)&amp;""),
 1,BJ30-1),
 "")=0,"",
IFERROR(
INDEX(INDIRECT("数出表_Excel!B"&amp;MATCH(BO29,数出表_Excel!$A:$A,0)&amp;":U"&amp;MATCH(BO29,数出表_Excel!$A:$A,0)&amp;""),
 1,BJ30-1),
 "")),""))</f>
        <v/>
      </c>
      <c r="BN32" s="186"/>
      <c r="BO32" s="101" t="e">
        <f t="array" aca="1" ref="BO32" ca="1">IF(BJ31=100,
IF(BK29&lt;&gt;"",
IF(IFERROR(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0)&lt;&gt;0,
IF(IFERROR(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0)="",
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0),
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0)),0),""),0)</f>
        <v>#N/A</v>
      </c>
      <c r="BQ32" s="90"/>
      <c r="BR32" s="185" t="e">
        <f t="array" aca="1" ref="BR32" ca="1">IF(AND(BO29="社食",BV29="社食"),"",
IF(BR30&lt;&gt;"",
IF(IFERROR(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"")=0,"",
IF(BQ31=100,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IF(AND(BQ31=200,COUNTIF(数出表_Excel!$A:$A,"*奈良屋*")=2),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IF(AND(BQ31=200,COUNTIF(数出表_Excel!$A:$A,"*奈良屋*")=3),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
+IFERROR(
INDEX(INDIRECT("数出表_Excel!B"&amp;MATCH(BV29,数出表_Excel!$A:$A,0)-1+4&amp;":U"&amp;MATCH(BV29,数出表_Excel!$A:$A,0)-1+4&amp;""),
 1,
 MATCH(TRUE, ISNUMBER(--INDIRECT("数出表_Excel!B"&amp;MATCH(BV29,数出表_Excel!$A:$A,0)-1+4&amp;":U"&amp;MATCH(BV29,数出表_Excel!$A:$A,0)-1+4&amp;"")), 0)),
 ""),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""))))),"")+BQ32)</f>
        <v>#VALUE!</v>
      </c>
      <c r="BS32" s="186"/>
      <c r="BT32" s="188" t="str">
        <f t="array" aca="1" ref="BT32" ca="1">IF(AND(BV29="社食",BO36="社食"),"",
IF(BR30&lt;&gt;"",
IF(IFERROR(
INDEX(INDIRECT("数出表_Excel!B"&amp;MATCH(BV29,数出表_Excel!$A:$A,0)&amp;":U"&amp;MATCH(BV29,数出表_Excel!$A:$A,0)&amp;""),
 1,BQ30-1),
 "")=0,"",
IFERROR(
INDEX(INDIRECT("数出表_Excel!B"&amp;MATCH(BV29,数出表_Excel!$A:$A,0)&amp;":U"&amp;MATCH(BV29,数出表_Excel!$A:$A,0)&amp;""),
 1,BQ30-1),
 "")),""))</f>
        <v/>
      </c>
      <c r="BU32" s="186"/>
      <c r="BV32" s="101" t="e">
        <f t="array" aca="1" ref="BV32" ca="1">IF(BQ31=100,
IF(BR29&lt;&gt;"",
IF(IFERROR(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0)&lt;&gt;0,
IF(IFERROR(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0)="",
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0),
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0)),0),""),0)</f>
        <v>#N/A</v>
      </c>
      <c r="BY32" s="90"/>
      <c r="BZ32" s="185" t="e">
        <f t="array" aca="1" ref="BZ32" ca="1">IF(AND(CK22="社食",CD29="社食"),"",
IF(BZ30&lt;&gt;"",
IF(IFERROR(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"")=0,"",
IF(BY31=100,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""),
IF(AND(BY31=200,COUNTIF(数出表_Excel!$A:$A,"*奈良屋*")=2),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""),
IF(AND(BY31=200,COUNTIF(数出表_Excel!$A:$A,"*奈良屋*")=3),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
+IFERROR(
INDEX(INDIRECT("数出表_Excel!B"&amp;MATCH(CD29,数出表_Excel!$A:$A,0)-1+4&amp;":U"&amp;MATCH(CD29,数出表_Excel!$A:$A,0)-1+4&amp;""),
 1,
 MATCH(TRUE, ISNUMBER(--INDIRECT("数出表_Excel!B"&amp;MATCH(CD29,数出表_Excel!$A:$A,0)-1+4&amp;":U"&amp;MATCH(CD29,数出表_Excel!$A:$A,0)-1+4&amp;"")), 0)),
 ""),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""))))),"")+BY32)</f>
        <v>#VALUE!</v>
      </c>
      <c r="CA32" s="186"/>
      <c r="CB32" s="188" t="str">
        <f t="array" aca="1" ref="CB32" ca="1">IF(AND(CD29="社食",CK29="社食"),"",
IF(BZ30&lt;&gt;"",
IF(IFERROR(
INDEX(INDIRECT("数出表_Excel!B"&amp;MATCH(CD29,数出表_Excel!$A:$A,0)&amp;":U"&amp;MATCH(CD29,数出表_Excel!$A:$A,0)&amp;""),
 1,BY30-1),
 "")=0,"",
IFERROR(
INDEX(INDIRECT("数出表_Excel!B"&amp;MATCH(CD29,数出表_Excel!$A:$A,0)&amp;":U"&amp;MATCH(CD29,数出表_Excel!$A:$A,0)&amp;""),
 1,BY30-1),
 "")),""))</f>
        <v/>
      </c>
      <c r="CC32" s="186"/>
      <c r="CD32" s="101" t="e">
        <f t="array" aca="1" ref="CD32" ca="1">IF(BY31=100,
IF(BZ29&lt;&gt;"",
IF(IFERROR(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0)&lt;&gt;0,
IF(IFERROR(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0)="",
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0),
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0)),0),""),0)</f>
        <v>#N/A</v>
      </c>
      <c r="CF32" s="90"/>
      <c r="CG32" s="185" t="e">
        <f t="array" aca="1" ref="CG32" ca="1">IF(AND(CD29="社食",CK29="社食"),"",
IF(CG30&lt;&gt;"",
IF(IFERROR(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"")=0,"",
IF(CF31=100,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""),
IF(AND(CF31=200,COUNTIF(数出表_Excel!$A:$A,"*奈良屋*")=2),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""),
IF(AND(CF31=200,COUNTIF(数出表_Excel!$A:$A,"*奈良屋*")=3),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
+IFERROR(
INDEX(INDIRECT("数出表_Excel!B"&amp;MATCH(CK29,数出表_Excel!$A:$A,0)-1+4&amp;":U"&amp;MATCH(CK29,数出表_Excel!$A:$A,0)-1+4&amp;""),
 1,
 MATCH(TRUE, ISNUMBER(--INDIRECT("数出表_Excel!B"&amp;MATCH(CK29,数出表_Excel!$A:$A,0)-1+4&amp;":U"&amp;MATCH(CK29,数出表_Excel!$A:$A,0)-1+4&amp;"")), 0)),
 ""),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""))))),"")+CF32)</f>
        <v>#VALUE!</v>
      </c>
      <c r="CH32" s="186"/>
      <c r="CI32" s="188" t="str">
        <f t="array" aca="1" ref="CI32" ca="1">IF(AND(CK29="社食",CD36="社食"),"",
IF(CG30&lt;&gt;"",
IF(IFERROR(
INDEX(INDIRECT("数出表_Excel!B"&amp;MATCH(CK29,数出表_Excel!$A:$A,0)&amp;":U"&amp;MATCH(CK29,数出表_Excel!$A:$A,0)&amp;""),
 1,CF30-1),
 "")=0,"",
IFERROR(
INDEX(INDIRECT("数出表_Excel!B"&amp;MATCH(CK29,数出表_Excel!$A:$A,0)&amp;":U"&amp;MATCH(CK29,数出表_Excel!$A:$A,0)&amp;""),
 1,CF30-1),
 "")),""))</f>
        <v/>
      </c>
      <c r="CJ32" s="186"/>
      <c r="CK32" s="101" t="e">
        <f t="array" aca="1" ref="CK32" ca="1">IF(CF31=100,
IF(CG29&lt;&gt;"",
IF(IFERROR(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0)&lt;&gt;0,
IF(IFERROR(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0)="",
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0),
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0)),0),""),0)</f>
        <v>#N/A</v>
      </c>
      <c r="CN32" s="90"/>
      <c r="CO32" s="185" t="e">
        <f t="array" aca="1" ref="CO32" ca="1">IF(AND(CZ22="社食",CS29="社食"),"",
IF(CO30&lt;&gt;"",
IF(IFERROR(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"")=0,"",
IF(CN31=100,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""),
IF(AND(CN31=200,COUNTIF(数出表_Excel!$A:$A,"*奈良屋*")=2),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""),
IF(AND(CN31=200,COUNTIF(数出表_Excel!$A:$A,"*奈良屋*")=3),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
+IFERROR(
INDEX(INDIRECT("数出表_Excel!B"&amp;MATCH(CS29,数出表_Excel!$A:$A,0)-1+4&amp;":U"&amp;MATCH(CS29,数出表_Excel!$A:$A,0)-1+4&amp;""),
 1,
 MATCH(TRUE, ISNUMBER(--INDIRECT("数出表_Excel!B"&amp;MATCH(CS29,数出表_Excel!$A:$A,0)-1+4&amp;":U"&amp;MATCH(CS29,数出表_Excel!$A:$A,0)-1+4&amp;"")), 0)),
 ""),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""))))),"")+CN32)</f>
        <v>#VALUE!</v>
      </c>
      <c r="CP32" s="186"/>
      <c r="CQ32" s="188" t="str">
        <f t="array" aca="1" ref="CQ32" ca="1">IF(AND(CS29="社食",CZ29="社食"),"",
IF(CO30&lt;&gt;"",
IF(IFERROR(
INDEX(INDIRECT("数出表_Excel!B"&amp;MATCH(CS29,数出表_Excel!$A:$A,0)&amp;":U"&amp;MATCH(CS29,数出表_Excel!$A:$A,0)&amp;""),
 1,CN30-1),
 "")=0,"",
IFERROR(
INDEX(INDIRECT("数出表_Excel!B"&amp;MATCH(CS29,数出表_Excel!$A:$A,0)&amp;":U"&amp;MATCH(CS29,数出表_Excel!$A:$A,0)&amp;""),
 1,CN30-1),
 "")),""))</f>
        <v/>
      </c>
      <c r="CR32" s="186"/>
      <c r="CS32" s="101" t="e">
        <f t="array" aca="1" ref="CS32" ca="1">IF(CN31=100,
IF(CO29&lt;&gt;"",
IF(IFERROR(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0)&lt;&gt;0,
IF(IFERROR(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0)="",
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0),
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0)),0),""),0)</f>
        <v>#N/A</v>
      </c>
      <c r="CU32" s="90"/>
      <c r="CV32" s="185" t="e">
        <f t="array" aca="1" ref="CV32" ca="1">IF(AND(CS29="社食",CZ29="社食"),"",
IF(CV30&lt;&gt;"",
IF(IFERROR(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"")=0,"",
IF(CU31=100,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""),
IF(AND(CU31=200,COUNTIF(数出表_Excel!$A:$A,"*奈良屋*")=2),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""),
IF(AND(CU31=200,COUNTIF(数出表_Excel!$A:$A,"*奈良屋*")=3),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
+IFERROR(
INDEX(INDIRECT("数出表_Excel!B"&amp;MATCH(CZ29,数出表_Excel!$A:$A,0)-1+4&amp;":U"&amp;MATCH(CZ29,数出表_Excel!$A:$A,0)-1+4&amp;""),
 1,
 MATCH(TRUE, ISNUMBER(--INDIRECT("数出表_Excel!B"&amp;MATCH(CZ29,数出表_Excel!$A:$A,0)-1+4&amp;":U"&amp;MATCH(CZ29,数出表_Excel!$A:$A,0)-1+4&amp;"")), 0)),
 ""),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""))))),"")+CU32)</f>
        <v>#VALUE!</v>
      </c>
      <c r="CW32" s="186"/>
      <c r="CX32" s="188" t="str">
        <f t="array" aca="1" ref="CX32" ca="1">IF(AND(CZ29="社食",CS36="社食"),"",
IF(CV30&lt;&gt;"",
IF(IFERROR(
INDEX(INDIRECT("数出表_Excel!B"&amp;MATCH(CZ29,数出表_Excel!$A:$A,0)&amp;":U"&amp;MATCH(CZ29,数出表_Excel!$A:$A,0)&amp;""),
 1,CU30-1),
 "")=0,"",
IFERROR(
INDEX(INDIRECT("数出表_Excel!B"&amp;MATCH(CZ29,数出表_Excel!$A:$A,0)&amp;":U"&amp;MATCH(CZ29,数出表_Excel!$A:$A,0)&amp;""),
 1,CU30-1),
 "")),""))</f>
        <v/>
      </c>
      <c r="CY32" s="186"/>
      <c r="CZ32" s="101" t="e">
        <f t="array" aca="1" ref="CZ32" ca="1">IF(CU31=100,
IF(CV29&lt;&gt;"",
IF(IFERROR(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0)&lt;&gt;0,
IF(IFERROR(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0)="",
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0),
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0)),0),""),0)</f>
        <v>#N/A</v>
      </c>
      <c r="DC32" s="90"/>
      <c r="DD32" s="185" t="e">
        <f t="array" aca="1" ref="DD32" ca="1">IF(AND(DO22="社食",DH29="社食"),"",
IF(DD30&lt;&gt;"",
IF(IFERROR(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"")=0,"",
IF(DC31=100,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""),
IF(AND(DC31=200,COUNTIF(数出表_Excel!$A:$A,"*奈良屋*")=2),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""),
IF(AND(DC31=200,COUNTIF(数出表_Excel!$A:$A,"*奈良屋*")=3),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
+IFERROR(
INDEX(INDIRECT("数出表_Excel!B"&amp;MATCH(DH29,数出表_Excel!$A:$A,0)-1+4&amp;":U"&amp;MATCH(DH29,数出表_Excel!$A:$A,0)-1+4&amp;""),
 1,
 MATCH(TRUE, ISNUMBER(--INDIRECT("数出表_Excel!B"&amp;MATCH(DH29,数出表_Excel!$A:$A,0)-1+4&amp;":U"&amp;MATCH(DH29,数出表_Excel!$A:$A,0)-1+4&amp;"")), 0)),
 ""),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""))))),"")+DC32)</f>
        <v>#VALUE!</v>
      </c>
      <c r="DE32" s="186"/>
      <c r="DF32" s="188" t="str">
        <f t="array" aca="1" ref="DF32" ca="1">IF(AND(DH29="社食",DO29="社食"),"",
IF(DD30&lt;&gt;"",
IF(IFERROR(
INDEX(INDIRECT("数出表_Excel!B"&amp;MATCH(DH29,数出表_Excel!$A:$A,0)&amp;":U"&amp;MATCH(DH29,数出表_Excel!$A:$A,0)&amp;""),
 1,DC30-1),
 "")=0,"",
IFERROR(
INDEX(INDIRECT("数出表_Excel!B"&amp;MATCH(DH29,数出表_Excel!$A:$A,0)&amp;":U"&amp;MATCH(DH29,数出表_Excel!$A:$A,0)&amp;""),
 1,DC30-1),
 "")),""))</f>
        <v/>
      </c>
      <c r="DG32" s="186"/>
      <c r="DH32" s="101" t="e">
        <f t="array" aca="1" ref="DH32" ca="1">IF(DC31=100,
IF(DD29&lt;&gt;"",
IF(IFERROR(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0)&lt;&gt;0,
IF(IFERROR(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0)="",
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0),
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0)),0),""),0)</f>
        <v>#N/A</v>
      </c>
      <c r="DJ32" s="90"/>
      <c r="DK32" s="185" t="e">
        <f t="array" aca="1" ref="DK32" ca="1">IF(AND(DH29="社食",DO29="社食"),"",
IF(DK30&lt;&gt;"",
IF(IFERROR(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"")=0,"",
IF(DJ31=100,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""),
IF(AND(DJ31=200,COUNTIF(数出表_Excel!$A:$A,"*奈良屋*")=2),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""),
IF(AND(DJ31=200,COUNTIF(数出表_Excel!$A:$A,"*奈良屋*")=3),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
+IFERROR(
INDEX(INDIRECT("数出表_Excel!B"&amp;MATCH(DO29,数出表_Excel!$A:$A,0)-1+4&amp;":U"&amp;MATCH(DO29,数出表_Excel!$A:$A,0)-1+4&amp;""),
 1,
 MATCH(TRUE, ISNUMBER(--INDIRECT("数出表_Excel!B"&amp;MATCH(DO29,数出表_Excel!$A:$A,0)-1+4&amp;":U"&amp;MATCH(DO29,数出表_Excel!$A:$A,0)-1+4&amp;"")), 0)),
 ""),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""))))),"")+DJ32)</f>
        <v>#VALUE!</v>
      </c>
      <c r="DL32" s="186"/>
      <c r="DM32" s="188" t="str">
        <f t="array" aca="1" ref="DM32" ca="1">IF(AND(DO29="社食",DH36="社食"),"",
IF(DK30&lt;&gt;"",
IF(IFERROR(
INDEX(INDIRECT("数出表_Excel!B"&amp;MATCH(DO29,数出表_Excel!$A:$A,0)&amp;":U"&amp;MATCH(DO29,数出表_Excel!$A:$A,0)&amp;""),
 1,DJ30-1),
 "")=0,"",
IFERROR(
INDEX(INDIRECT("数出表_Excel!B"&amp;MATCH(DO29,数出表_Excel!$A:$A,0)&amp;":U"&amp;MATCH(DO29,数出表_Excel!$A:$A,0)&amp;""),
 1,DJ30-1),
 "")),""))</f>
        <v/>
      </c>
      <c r="DN32" s="186"/>
      <c r="DO32" s="101" t="e">
        <f t="array" aca="1" ref="DO32" ca="1">IF(DJ31=100,
IF(DK29&lt;&gt;"",
IF(IFERROR(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0)&lt;&gt;0,
IF(IFERROR(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0)="",
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0),
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0)),0),""),0)</f>
        <v>#N/A</v>
      </c>
      <c r="DR32" s="90"/>
      <c r="DS32" s="185" t="e">
        <f t="array" aca="1" ref="DS32" ca="1">IF(AND(ED22="社食",DW29="社食"),"",
IF(DS30&lt;&gt;"",
IF(IFERROR(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"")=0,"",
IF(DR31=100,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""),
IF(AND(DR31=200,COUNTIF(数出表_Excel!$A:$A,"*奈良屋*")=2),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""),
IF(AND(DR31=200,COUNTIF(数出表_Excel!$A:$A,"*奈良屋*")=3),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
+IFERROR(
INDEX(INDIRECT("数出表_Excel!B"&amp;MATCH(DW29,数出表_Excel!$A:$A,0)-1+4&amp;":U"&amp;MATCH(DW29,数出表_Excel!$A:$A,0)-1+4&amp;""),
 1,
 MATCH(TRUE, ISNUMBER(--INDIRECT("数出表_Excel!B"&amp;MATCH(DW29,数出表_Excel!$A:$A,0)-1+4&amp;":U"&amp;MATCH(DW29,数出表_Excel!$A:$A,0)-1+4&amp;"")), 0)),
 ""),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""))))),"")+DR32)</f>
        <v>#VALUE!</v>
      </c>
      <c r="DT32" s="186"/>
      <c r="DU32" s="188" t="str">
        <f t="array" aca="1" ref="DU32" ca="1">IF(AND(DW29="社食",ED29="社食"),"",
IF(DS30&lt;&gt;"",
IF(IFERROR(
INDEX(INDIRECT("数出表_Excel!B"&amp;MATCH(DW29,数出表_Excel!$A:$A,0)&amp;":U"&amp;MATCH(DW29,数出表_Excel!$A:$A,0)&amp;""),
 1,DR30-1),
 "")=0,"",
IFERROR(
INDEX(INDIRECT("数出表_Excel!B"&amp;MATCH(DW29,数出表_Excel!$A:$A,0)&amp;":U"&amp;MATCH(DW29,数出表_Excel!$A:$A,0)&amp;""),
 1,DR30-1),
 "")),""))</f>
        <v/>
      </c>
      <c r="DV32" s="186"/>
      <c r="DW32" s="101" t="e">
        <f t="array" aca="1" ref="DW32" ca="1">IF(DR31=100,
IF(DS29&lt;&gt;"",
IF(IFERROR(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0)&lt;&gt;0,
IF(IFERROR(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0)="",
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0),
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0)),0),""),0)</f>
        <v>#N/A</v>
      </c>
      <c r="DY32" s="90"/>
      <c r="DZ32" s="185" t="e">
        <f t="array" aca="1" ref="DZ32" ca="1">IF(AND(DW29="社食",ED29="社食"),"",
IF(DZ30&lt;&gt;"",
IF(IFERROR(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"")=0,"",
IF(DY31=100,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""),
IF(AND(DY31=200,COUNTIF(数出表_Excel!$A:$A,"*奈良屋*")=2),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""),
IF(AND(DY31=200,COUNTIF(数出表_Excel!$A:$A,"*奈良屋*")=3),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
+IFERROR(
INDEX(INDIRECT("数出表_Excel!B"&amp;MATCH(ED29,数出表_Excel!$A:$A,0)-1+4&amp;":U"&amp;MATCH(ED29,数出表_Excel!$A:$A,0)-1+4&amp;""),
 1,
 MATCH(TRUE, ISNUMBER(--INDIRECT("数出表_Excel!B"&amp;MATCH(ED29,数出表_Excel!$A:$A,0)-1+4&amp;":U"&amp;MATCH(ED29,数出表_Excel!$A:$A,0)-1+4&amp;"")), 0)),
 ""),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""))))),"")+DY32)</f>
        <v>#VALUE!</v>
      </c>
      <c r="EA32" s="186"/>
      <c r="EB32" s="188" t="str">
        <f t="array" aca="1" ref="EB32" ca="1">IF(AND(ED29="社食",DW36="社食"),"",
IF(DZ30&lt;&gt;"",
IF(IFERROR(
INDEX(INDIRECT("数出表_Excel!B"&amp;MATCH(ED29,数出表_Excel!$A:$A,0)&amp;":U"&amp;MATCH(ED29,数出表_Excel!$A:$A,0)&amp;""),
 1,DY30-1),
 "")=0,"",
IFERROR(
INDEX(INDIRECT("数出表_Excel!B"&amp;MATCH(ED29,数出表_Excel!$A:$A,0)&amp;":U"&amp;MATCH(ED29,数出表_Excel!$A:$A,0)&amp;""),
 1,DY30-1),
 "")),""))</f>
        <v/>
      </c>
      <c r="EC32" s="186"/>
      <c r="ED32" s="101" t="e">
        <f t="array" aca="1" ref="ED32" ca="1">IF(DY31=100,
IF(DZ29&lt;&gt;"",
IF(IFERROR(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0)&lt;&gt;0,
IF(IFERROR(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0)="",
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0),
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0)),0),""),0)</f>
        <v>#N/A</v>
      </c>
      <c r="EG32" s="90"/>
      <c r="EH32" s="185" t="e">
        <f t="array" aca="1" ref="EH32" ca="1">IF(AND(ES22="社食",EL29="社食"),"",
IF(EH30&lt;&gt;"",
IF(IFERROR(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"")=0,"",
IF(EG31=100,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""),
IF(AND(EG31=200,COUNTIF(数出表_Excel!$A:$A,"*奈良屋*")=2),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""),
IF(AND(EG31=200,COUNTIF(数出表_Excel!$A:$A,"*奈良屋*")=3),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
+IFERROR(
INDEX(INDIRECT("数出表_Excel!B"&amp;MATCH(EL29,数出表_Excel!$A:$A,0)-1+4&amp;":U"&amp;MATCH(EL29,数出表_Excel!$A:$A,0)-1+4&amp;""),
 1,
 MATCH(TRUE, ISNUMBER(--INDIRECT("数出表_Excel!B"&amp;MATCH(EL29,数出表_Excel!$A:$A,0)-1+4&amp;":U"&amp;MATCH(EL29,数出表_Excel!$A:$A,0)-1+4&amp;"")), 0)),
 ""),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""))))),"")+EG32)</f>
        <v>#VALUE!</v>
      </c>
      <c r="EI32" s="186"/>
      <c r="EJ32" s="188" t="str">
        <f t="array" aca="1" ref="EJ32" ca="1">IF(AND(EL29="社食",ES29="社食"),"",
IF(EH30&lt;&gt;"",
IF(IFERROR(
INDEX(INDIRECT("数出表_Excel!B"&amp;MATCH(EL29,数出表_Excel!$A:$A,0)&amp;":U"&amp;MATCH(EL29,数出表_Excel!$A:$A,0)&amp;""),
 1,EG30-1),
 "")=0,"",
IFERROR(
INDEX(INDIRECT("数出表_Excel!B"&amp;MATCH(EL29,数出表_Excel!$A:$A,0)&amp;":U"&amp;MATCH(EL29,数出表_Excel!$A:$A,0)&amp;""),
 1,EG30-1),
 "")),""))</f>
        <v/>
      </c>
      <c r="EK32" s="186"/>
      <c r="EL32" s="101" t="e">
        <f t="array" aca="1" ref="EL32" ca="1">IF(EG31=100,
IF(EH29&lt;&gt;"",
IF(IFERROR(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0)&lt;&gt;0,
IF(IFERROR(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0)="",
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0),
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0)),0),""),0)</f>
        <v>#N/A</v>
      </c>
      <c r="EN32" s="90"/>
      <c r="EO32" s="185" t="e">
        <f t="array" aca="1" ref="EO32" ca="1">IF(AND(EL29="社食",ES29="社食"),"",
IF(EO30&lt;&gt;"",
IF(IFERROR(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"")=0,"",
IF(EN31=100,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""),
IF(AND(EN31=200,COUNTIF(数出表_Excel!$A:$A,"*奈良屋*")=2),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""),
IF(AND(EN31=200,COUNTIF(数出表_Excel!$A:$A,"*奈良屋*")=3),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
+IFERROR(
INDEX(INDIRECT("数出表_Excel!B"&amp;MATCH(ES29,数出表_Excel!$A:$A,0)-1+4&amp;":U"&amp;MATCH(ES29,数出表_Excel!$A:$A,0)-1+4&amp;""),
 1,
 MATCH(TRUE, ISNUMBER(--INDIRECT("数出表_Excel!B"&amp;MATCH(ES29,数出表_Excel!$A:$A,0)-1+4&amp;":U"&amp;MATCH(ES29,数出表_Excel!$A:$A,0)-1+4&amp;"")), 0)),
 ""),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""))))),"")+EN32)</f>
        <v>#VALUE!</v>
      </c>
      <c r="EP32" s="186"/>
      <c r="EQ32" s="188" t="str">
        <f t="array" aca="1" ref="EQ32" ca="1">IF(AND(ES29="社食",EL36="社食"),"",
IF(EO30&lt;&gt;"",
IF(IFERROR(
INDEX(INDIRECT("数出表_Excel!B"&amp;MATCH(ES29,数出表_Excel!$A:$A,0)&amp;":U"&amp;MATCH(ES29,数出表_Excel!$A:$A,0)&amp;""),
 1,EN30-1),
 "")=0,"",
IFERROR(
INDEX(INDIRECT("数出表_Excel!B"&amp;MATCH(ES29,数出表_Excel!$A:$A,0)&amp;":U"&amp;MATCH(ES29,数出表_Excel!$A:$A,0)&amp;""),
 1,EN30-1),
 "")),""))</f>
        <v/>
      </c>
      <c r="ER32" s="186"/>
      <c r="ES32" s="101" t="e">
        <f t="array" aca="1" ref="ES32" ca="1">IF(EN31=100,
IF(EO29&lt;&gt;"",
IF(IFERROR(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0)&lt;&gt;0,
IF(IFERROR(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0)="",
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0),
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0)),0),""),0)</f>
        <v>#N/A</v>
      </c>
      <c r="ET32" s="110"/>
      <c r="EU32" s="82">
        <f t="shared" ref="EU32:EU48" si="2">EU28+7</f>
        <v>49</v>
      </c>
      <c r="EV32" s="82" t="str">
        <f t="array" aca="1" ref="EV32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LEN(SUBSTITUTE(_xlfn.FORMULATEXT(EV$27),"=","")))+$EU32)</f>
        <v/>
      </c>
      <c r="EW32" s="82" t="str">
        <f t="array" aca="1" ref="EW32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LEN(SUBSTITUTE(_xlfn.FORMULATEXT(EW$27),"=","")))+$EU32)</f>
        <v/>
      </c>
      <c r="EX32" s="82" t="str">
        <f t="array" aca="1" ref="EX32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LEN(SUBSTITUTE(_xlfn.FORMULATEXT(EX$27),"=","")))+$EU32)</f>
        <v/>
      </c>
      <c r="EY32" s="82" t="str">
        <f t="array" aca="1" ref="EY32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LEN(SUBSTITUTE(_xlfn.FORMULATEXT(EY$27),"=","")))+$EU32)</f>
        <v/>
      </c>
      <c r="EZ32" s="82" t="str">
        <f t="array" aca="1" ref="EZ32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LEN(SUBSTITUTE(_xlfn.FORMULATEXT(EZ$27),"=","")))+$EU32)</f>
        <v/>
      </c>
      <c r="FA32" s="82" t="str">
        <f t="array" aca="1" ref="FA32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LEN(SUBSTITUTE(_xlfn.FORMULATEXT(FA$27),"=","")))+$EU32)</f>
        <v/>
      </c>
      <c r="FB32" s="82" t="str">
        <f t="array" aca="1" ref="FB32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LEN(SUBSTITUTE(_xlfn.FORMULATEXT(FB$27),"=","")))+$EU32)</f>
        <v/>
      </c>
      <c r="FC32" s="82" t="str">
        <f t="array" aca="1" ref="FC32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LEN(SUBSTITUTE(_xlfn.FORMULATEXT(FC$27),"=","")))+$EU32)</f>
        <v/>
      </c>
      <c r="FD32" s="82" t="str">
        <f t="array" aca="1" ref="FD32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LEN(SUBSTITUTE(_xlfn.FORMULATEXT(FD$27),"=","")))+$EU32)</f>
        <v/>
      </c>
      <c r="FE32" s="82" t="str">
        <f t="array" aca="1" ref="FE32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LEN(SUBSTITUTE(_xlfn.FORMULATEXT(FE$27),"=","")))+$EU32)</f>
        <v/>
      </c>
      <c r="FF32" s="82" t="str">
        <f t="array" aca="1" ref="FF32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LEN(SUBSTITUTE(_xlfn.FORMULATEXT(FF$27),"=","")))+$EU32)</f>
        <v/>
      </c>
      <c r="FG32" s="82">
        <f t="shared" ca="1" si="0"/>
        <v>0</v>
      </c>
      <c r="FH32" s="82" t="b">
        <f t="array" aca="1" ref="FH32" ca="1">SUMPRODUCT((LEN(EV32:FF32)&gt;0)*1)&gt;0</f>
        <v>0</v>
      </c>
      <c r="FI32" s="82" t="str">
        <f t="array" aca="1" ref="FI32" ca="1">IFERROR(SMALL(IF(FG$1:FG$173&lt;&gt;0,FG$1:FG$173),ROW(A32)),"")</f>
        <v/>
      </c>
      <c r="FJ32" s="82" t="str">
        <f t="array" aca="1" ref="FJ32" ca="1">IF($FI32&lt;&gt;"",
INDIRECT(""&amp;IF(COLUMN(EV32)&lt;=26,CHAR(COLUMN(EV32)+64),CHAR(INT((COLUMN(EV32)-1)/26)+64)&amp;CHAR(MOD(COLUMN(EV32)-1,26)+65))&amp;$FI32&amp;""),"")</f>
        <v/>
      </c>
      <c r="FK32" s="82" t="str">
        <f t="array" aca="1" ref="FK32" ca="1">IF($FI32&lt;&gt;"",
INDIRECT(""&amp;IF(COLUMN(EW32)&lt;=26,CHAR(COLUMN(EW32)+64),CHAR(INT((COLUMN(EW32)-1)/26)+64)&amp;CHAR(MOD(COLUMN(EW32)-1,26)+65))&amp;$FI32&amp;""),"")</f>
        <v/>
      </c>
      <c r="FL32" s="82" t="str">
        <f t="array" aca="1" ref="FL32" ca="1">IF($FI32&lt;&gt;"",
INDIRECT(""&amp;IF(COLUMN(EX32)&lt;=26,CHAR(COLUMN(EX32)+64),CHAR(INT((COLUMN(EX32)-1)/26)+64)&amp;CHAR(MOD(COLUMN(EX32)-1,26)+65))&amp;$FI32&amp;""),"")</f>
        <v/>
      </c>
      <c r="FM32" s="82" t="str">
        <f t="array" aca="1" ref="FM32" ca="1">IF($FI32&lt;&gt;"",
IF(FL32="",
IF(INDIRECT("EY"&amp;$FI32&amp;"")&lt;&gt;"",
INDIRECT("EY"&amp;$FI32&amp;"")&amp;"箱"
&amp;INDIRECT("EZ"&amp;$FI32&amp;""),""),""),"")</f>
        <v/>
      </c>
      <c r="FN32" s="82" t="str">
        <f t="array" aca="1" ref="FN32" ca="1">IF($FI32&lt;&gt;"",
INDIRECT(""&amp;IF(COLUMN(FA32)&lt;=26,CHAR(COLUMN(FA32)+64),CHAR(INT((COLUMN(FA32)-1)/26)+64)&amp;CHAR(MOD(COLUMN(FA32)-1,26)+65))&amp;$FI32&amp;""),"")</f>
        <v/>
      </c>
      <c r="FO32" s="82" t="str">
        <f t="array" aca="1" ref="FO32" ca="1">IF($FI32&lt;&gt;"",
INDIRECT(""&amp;IF(COLUMN(FB32)&lt;=26,CHAR(COLUMN(FB32)+64),CHAR(INT((COLUMN(FB32)-1)/26)+64)&amp;CHAR(MOD(COLUMN(FB32)-1,26)+65))&amp;$FI32&amp;""),"")</f>
        <v/>
      </c>
      <c r="FP32" s="82" t="str">
        <f t="array" aca="1" ref="FP32" ca="1">IF($FI32&lt;&gt;"",
INDIRECT(""&amp;IF(COLUMN(FC32)&lt;=26,CHAR(COLUMN(FC32)+64),CHAR(INT((COLUMN(FC32)-1)/26)+64)&amp;CHAR(MOD(COLUMN(FC32)-1,26)+65))&amp;$FI32&amp;""),"")</f>
        <v/>
      </c>
      <c r="FQ32" s="82" t="str">
        <f t="array" aca="1" ref="FQ32" ca="1">IF($FI32&lt;&gt;"",
INDIRECT(""&amp;IF(COLUMN(FD32)&lt;=26,CHAR(COLUMN(FD32)+64),CHAR(INT((COLUMN(FD32)-1)/26)+64)&amp;CHAR(MOD(COLUMN(FD32)-1,26)+65))&amp;$FI32&amp;""),"")</f>
        <v/>
      </c>
      <c r="FR32" s="82" t="str">
        <f t="array" aca="1" ref="FR32" ca="1">IF($FI32&lt;&gt;"",
INDIRECT(""&amp;IF(COLUMN(FE32)&lt;=26,CHAR(COLUMN(FE32)+64),CHAR(INT((COLUMN(FE32)-1)/26)+64)&amp;CHAR(MOD(COLUMN(FE32)-1,26)+65))&amp;$FI32&amp;""),"")</f>
        <v/>
      </c>
      <c r="FS32" s="82" t="str">
        <f t="array" aca="1" ref="FS32" ca="1">IF($FI32&lt;&gt;"",
INDIRECT(""&amp;IF(COLUMN(FF32)&lt;=26,CHAR(COLUMN(FF32)+64),CHAR(INT((COLUMN(FF32)-1)/26)+64)&amp;CHAR(MOD(COLUMN(FF32)-1,26)+65))&amp;$FI32&amp;""),"")</f>
        <v/>
      </c>
    </row>
    <row r="33" spans="1:175" ht="18" customHeight="1" x14ac:dyDescent="0.45">
      <c r="B33" s="118" t="s">
        <v>258</v>
      </c>
      <c r="C33" s="187"/>
      <c r="D33" s="187"/>
      <c r="E33" s="187"/>
      <c r="F33" s="187"/>
      <c r="G33" s="102" t="str">
        <f>SUBSTITUTE(SUBSTITUTE(ADDRESS(1,MATCH("おやつ",'数出表_Excel（アレルギー入力）'!$3:$3,0)),1,""),"$","")</f>
        <v>AL</v>
      </c>
      <c r="I33" s="118" t="s">
        <v>258</v>
      </c>
      <c r="J33" s="187"/>
      <c r="K33" s="187"/>
      <c r="L33" s="187"/>
      <c r="M33" s="187"/>
      <c r="N33" s="102" t="str">
        <f>SUBSTITUTE(SUBSTITUTE(ADDRESS(1,MATCH("おやつ",'数出表_Excel（アレルギー入力）'!$3:$3,0)),1,""),"$","")</f>
        <v>AL</v>
      </c>
      <c r="Q33" s="118" t="s">
        <v>258</v>
      </c>
      <c r="R33" s="187"/>
      <c r="S33" s="187"/>
      <c r="T33" s="187"/>
      <c r="U33" s="187"/>
      <c r="V33" s="102" t="str">
        <f>SUBSTITUTE(SUBSTITUTE(ADDRESS(1,MATCH("おやつ",'数出表_Excel（アレルギー入力）'!$3:$3,0)),1,""),"$","")</f>
        <v>AL</v>
      </c>
      <c r="X33" s="118" t="s">
        <v>258</v>
      </c>
      <c r="Y33" s="187"/>
      <c r="Z33" s="187"/>
      <c r="AA33" s="187"/>
      <c r="AB33" s="187"/>
      <c r="AC33" s="102" t="str">
        <f>SUBSTITUTE(SUBSTITUTE(ADDRESS(1,MATCH("おやつ",'数出表_Excel（アレルギー入力）'!$3:$3,0)),1,""),"$","")</f>
        <v>AL</v>
      </c>
      <c r="AF33" s="118" t="s">
        <v>258</v>
      </c>
      <c r="AG33" s="187"/>
      <c r="AH33" s="187"/>
      <c r="AI33" s="187"/>
      <c r="AJ33" s="187"/>
      <c r="AK33" s="102" t="str">
        <f>SUBSTITUTE(SUBSTITUTE(ADDRESS(1,MATCH("おやつ",'数出表_Excel（アレルギー入力）'!$3:$3,0)),1,""),"$","")</f>
        <v>AL</v>
      </c>
      <c r="AM33" s="118" t="s">
        <v>258</v>
      </c>
      <c r="AN33" s="187"/>
      <c r="AO33" s="187"/>
      <c r="AP33" s="187"/>
      <c r="AQ33" s="187"/>
      <c r="AR33" s="102" t="str">
        <f>SUBSTITUTE(SUBSTITUTE(ADDRESS(1,MATCH("おやつ",'数出表_Excel（アレルギー入力）'!$3:$3,0)),1,""),"$","")</f>
        <v>AL</v>
      </c>
      <c r="AU33" s="118" t="s">
        <v>258</v>
      </c>
      <c r="AV33" s="187"/>
      <c r="AW33" s="187"/>
      <c r="AX33" s="187"/>
      <c r="AY33" s="187"/>
      <c r="AZ33" s="102" t="str">
        <f>SUBSTITUTE(SUBSTITUTE(ADDRESS(1,MATCH("おやつ",'数出表_Excel（アレルギー入力）'!$3:$3,0)),1,""),"$","")</f>
        <v>AL</v>
      </c>
      <c r="BB33" s="118" t="s">
        <v>258</v>
      </c>
      <c r="BC33" s="187"/>
      <c r="BD33" s="187"/>
      <c r="BE33" s="187"/>
      <c r="BF33" s="187"/>
      <c r="BG33" s="102" t="str">
        <f>SUBSTITUTE(SUBSTITUTE(ADDRESS(1,MATCH("おやつ",'数出表_Excel（アレルギー入力）'!$3:$3,0)),1,""),"$","")</f>
        <v>AL</v>
      </c>
      <c r="BJ33" s="118" t="s">
        <v>258</v>
      </c>
      <c r="BK33" s="187"/>
      <c r="BL33" s="187"/>
      <c r="BM33" s="187"/>
      <c r="BN33" s="187"/>
      <c r="BO33" s="102" t="str">
        <f>SUBSTITUTE(SUBSTITUTE(ADDRESS(1,MATCH("おやつ",'数出表_Excel（アレルギー入力）'!$3:$3,0)),1,""),"$","")</f>
        <v>AL</v>
      </c>
      <c r="BQ33" s="118" t="s">
        <v>258</v>
      </c>
      <c r="BR33" s="187"/>
      <c r="BS33" s="187"/>
      <c r="BT33" s="187"/>
      <c r="BU33" s="187"/>
      <c r="BV33" s="102" t="str">
        <f>SUBSTITUTE(SUBSTITUTE(ADDRESS(1,MATCH("おやつ",'数出表_Excel（アレルギー入力）'!$3:$3,0)),1,""),"$","")</f>
        <v>AL</v>
      </c>
      <c r="BY33" s="118" t="s">
        <v>258</v>
      </c>
      <c r="BZ33" s="187"/>
      <c r="CA33" s="187"/>
      <c r="CB33" s="187"/>
      <c r="CC33" s="187"/>
      <c r="CD33" s="102" t="str">
        <f>SUBSTITUTE(SUBSTITUTE(ADDRESS(1,MATCH("おやつ",'数出表_Excel（アレルギー入力）'!$3:$3,0)),1,""),"$","")</f>
        <v>AL</v>
      </c>
      <c r="CF33" s="118" t="s">
        <v>258</v>
      </c>
      <c r="CG33" s="187"/>
      <c r="CH33" s="187"/>
      <c r="CI33" s="187"/>
      <c r="CJ33" s="187"/>
      <c r="CK33" s="102" t="str">
        <f>SUBSTITUTE(SUBSTITUTE(ADDRESS(1,MATCH("おやつ",'数出表_Excel（アレルギー入力）'!$3:$3,0)),1,""),"$","")</f>
        <v>AL</v>
      </c>
      <c r="CN33" s="118" t="s">
        <v>258</v>
      </c>
      <c r="CO33" s="187"/>
      <c r="CP33" s="187"/>
      <c r="CQ33" s="187"/>
      <c r="CR33" s="187"/>
      <c r="CS33" s="102" t="str">
        <f>SUBSTITUTE(SUBSTITUTE(ADDRESS(1,MATCH("おやつ",'数出表_Excel（アレルギー入力）'!$3:$3,0)),1,""),"$","")</f>
        <v>AL</v>
      </c>
      <c r="CU33" s="118" t="s">
        <v>258</v>
      </c>
      <c r="CV33" s="187"/>
      <c r="CW33" s="187"/>
      <c r="CX33" s="187"/>
      <c r="CY33" s="187"/>
      <c r="CZ33" s="102" t="str">
        <f>SUBSTITUTE(SUBSTITUTE(ADDRESS(1,MATCH("おやつ",'数出表_Excel（アレルギー入力）'!$3:$3,0)),1,""),"$","")</f>
        <v>AL</v>
      </c>
      <c r="DC33" s="118" t="s">
        <v>258</v>
      </c>
      <c r="DD33" s="187"/>
      <c r="DE33" s="187"/>
      <c r="DF33" s="187"/>
      <c r="DG33" s="187"/>
      <c r="DH33" s="102" t="str">
        <f>SUBSTITUTE(SUBSTITUTE(ADDRESS(1,MATCH("おやつ",'数出表_Excel（アレルギー入力）'!$3:$3,0)),1,""),"$","")</f>
        <v>AL</v>
      </c>
      <c r="DJ33" s="118" t="s">
        <v>258</v>
      </c>
      <c r="DK33" s="187"/>
      <c r="DL33" s="187"/>
      <c r="DM33" s="187"/>
      <c r="DN33" s="187"/>
      <c r="DO33" s="102" t="str">
        <f>SUBSTITUTE(SUBSTITUTE(ADDRESS(1,MATCH("おやつ",'数出表_Excel（アレルギー入力）'!$3:$3,0)),1,""),"$","")</f>
        <v>AL</v>
      </c>
      <c r="DR33" s="118" t="s">
        <v>258</v>
      </c>
      <c r="DS33" s="187"/>
      <c r="DT33" s="187"/>
      <c r="DU33" s="187"/>
      <c r="DV33" s="187"/>
      <c r="DW33" s="102" t="str">
        <f>SUBSTITUTE(SUBSTITUTE(ADDRESS(1,MATCH("おやつ",'数出表_Excel（アレルギー入力）'!$3:$3,0)),1,""),"$","")</f>
        <v>AL</v>
      </c>
      <c r="DY33" s="118" t="s">
        <v>258</v>
      </c>
      <c r="DZ33" s="187"/>
      <c r="EA33" s="187"/>
      <c r="EB33" s="187"/>
      <c r="EC33" s="187"/>
      <c r="ED33" s="102" t="str">
        <f>SUBSTITUTE(SUBSTITUTE(ADDRESS(1,MATCH("おやつ",'数出表_Excel（アレルギー入力）'!$3:$3,0)),1,""),"$","")</f>
        <v>AL</v>
      </c>
      <c r="EG33" s="118" t="s">
        <v>258</v>
      </c>
      <c r="EH33" s="187"/>
      <c r="EI33" s="187"/>
      <c r="EJ33" s="187"/>
      <c r="EK33" s="187"/>
      <c r="EL33" s="102" t="str">
        <f>SUBSTITUTE(SUBSTITUTE(ADDRESS(1,MATCH("おやつ",'数出表_Excel（アレルギー入力）'!$3:$3,0)),1,""),"$","")</f>
        <v>AL</v>
      </c>
      <c r="EN33" s="118" t="s">
        <v>258</v>
      </c>
      <c r="EO33" s="187"/>
      <c r="EP33" s="187"/>
      <c r="EQ33" s="187"/>
      <c r="ER33" s="187"/>
      <c r="ES33" s="102" t="str">
        <f>SUBSTITUTE(SUBSTITUTE(ADDRESS(1,MATCH("おやつ",'数出表_Excel（アレルギー入力）'!$3:$3,0)),1,""),"$","")</f>
        <v>AL</v>
      </c>
      <c r="ET33" s="110"/>
      <c r="EU33" s="82">
        <f t="shared" si="2"/>
        <v>14</v>
      </c>
      <c r="EV33" s="82" t="str">
        <f t="array" aca="1" ref="EV33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LEN(SUBSTITUTE(_xlfn.FORMULATEXT(EV$25),"=","")))+$EU33)</f>
        <v/>
      </c>
      <c r="EW33" s="82" t="str">
        <f t="array" aca="1" ref="EW33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LEN(SUBSTITUTE(_xlfn.FORMULATEXT(EW$25),"=","")))+$EU33)</f>
        <v/>
      </c>
      <c r="EX33" s="82" t="str">
        <f t="array" aca="1" ref="EX33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LEN(SUBSTITUTE(_xlfn.FORMULATEXT(EX$25),"=","")))+$EU33)</f>
        <v/>
      </c>
      <c r="EY33" s="82" t="str">
        <f t="array" aca="1" ref="EY33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LEN(SUBSTITUTE(_xlfn.FORMULATEXT(EY$25),"=","")))+$EU33)</f>
        <v/>
      </c>
      <c r="EZ33" s="82" t="str">
        <f t="array" aca="1" ref="EZ33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LEN(SUBSTITUTE(_xlfn.FORMULATEXT(EZ$25),"=","")))+$EU33)</f>
        <v/>
      </c>
      <c r="FA33" s="82" t="e">
        <f t="array" aca="1" ref="FA33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LEN(SUBSTITUTE(_xlfn.FORMULATEXT(FA$25),"=","")))+$EU33)</f>
        <v>#VALUE!</v>
      </c>
      <c r="FB33" s="82" t="str">
        <f t="array" aca="1" ref="FB33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LEN(SUBSTITUTE(_xlfn.FORMULATEXT(FB$25),"=","")))+$EU33)</f>
        <v/>
      </c>
      <c r="FC33" s="82" t="str">
        <f t="array" aca="1" ref="FC33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LEN(SUBSTITUTE(_xlfn.FORMULATEXT(FC$25),"=","")))+$EU33)</f>
        <v/>
      </c>
      <c r="FD33" s="82" t="e">
        <f t="array" aca="1" ref="FD33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LEN(SUBSTITUTE(_xlfn.FORMULATEXT(FD$25),"=","")))+$EU33)</f>
        <v>#VALUE!</v>
      </c>
      <c r="FE33" s="82" t="str">
        <f t="array" aca="1" ref="FE33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LEN(SUBSTITUTE(_xlfn.FORMULATEXT(FE$25),"=","")))+$EU33)</f>
        <v/>
      </c>
      <c r="FF33" s="82" t="e">
        <f t="array" aca="1" ref="FF33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LEN(SUBSTITUTE(_xlfn.FORMULATEXT(FF$25),"=","")))+$EU33)</f>
        <v>#N/A</v>
      </c>
      <c r="FG33" s="82">
        <f t="shared" ref="FG33:FG64" ca="1" si="3">IF(COUNTIF(FH33,"TRUE"),ROW(),0)</f>
        <v>0</v>
      </c>
      <c r="FH33" s="82" t="e">
        <f t="array" aca="1" ref="FH33" ca="1">SUMPRODUCT((LEN(EV33:FF33)&gt;0)*1)&gt;0</f>
        <v>#VALUE!</v>
      </c>
      <c r="FI33" s="82" t="str">
        <f t="array" aca="1" ref="FI33" ca="1">IFERROR(SMALL(IF(FG$1:FG$173&lt;&gt;0,FG$1:FG$173),ROW(A33)),"")</f>
        <v/>
      </c>
      <c r="FJ33" s="82" t="str">
        <f t="array" aca="1" ref="FJ33" ca="1">IF($FI33&lt;&gt;"",
INDIRECT(""&amp;IF(COLUMN(EV33)&lt;=26,CHAR(COLUMN(EV33)+64),CHAR(INT((COLUMN(EV33)-1)/26)+64)&amp;CHAR(MOD(COLUMN(EV33)-1,26)+65))&amp;$FI33&amp;""),"")</f>
        <v/>
      </c>
      <c r="FK33" s="82" t="str">
        <f t="array" aca="1" ref="FK33" ca="1">IF($FI33&lt;&gt;"",
INDIRECT(""&amp;IF(COLUMN(EW33)&lt;=26,CHAR(COLUMN(EW33)+64),CHAR(INT((COLUMN(EW33)-1)/26)+64)&amp;CHAR(MOD(COLUMN(EW33)-1,26)+65))&amp;$FI33&amp;""),"")</f>
        <v/>
      </c>
      <c r="FL33" s="82" t="str">
        <f t="array" aca="1" ref="FL33" ca="1">IF($FI33&lt;&gt;"",
INDIRECT(""&amp;IF(COLUMN(EX33)&lt;=26,CHAR(COLUMN(EX33)+64),CHAR(INT((COLUMN(EX33)-1)/26)+64)&amp;CHAR(MOD(COLUMN(EX33)-1,26)+65))&amp;$FI33&amp;""),"")</f>
        <v/>
      </c>
      <c r="FM33" s="82" t="str">
        <f t="array" aca="1" ref="FM33" ca="1">IF($FI33&lt;&gt;"",
IF(FL33="",
IF(INDIRECT("EY"&amp;$FI33&amp;"")&lt;&gt;"",
INDIRECT("EY"&amp;$FI33&amp;"")&amp;"箱"
&amp;INDIRECT("EZ"&amp;$FI33&amp;""),""),""),"")</f>
        <v/>
      </c>
      <c r="FN33" s="82" t="str">
        <f t="array" aca="1" ref="FN33" ca="1">IF($FI33&lt;&gt;"",
INDIRECT(""&amp;IF(COLUMN(FA33)&lt;=26,CHAR(COLUMN(FA33)+64),CHAR(INT((COLUMN(FA33)-1)/26)+64)&amp;CHAR(MOD(COLUMN(FA33)-1,26)+65))&amp;$FI33&amp;""),"")</f>
        <v/>
      </c>
      <c r="FO33" s="82" t="str">
        <f t="array" aca="1" ref="FO33" ca="1">IF($FI33&lt;&gt;"",
INDIRECT(""&amp;IF(COLUMN(FB33)&lt;=26,CHAR(COLUMN(FB33)+64),CHAR(INT((COLUMN(FB33)-1)/26)+64)&amp;CHAR(MOD(COLUMN(FB33)-1,26)+65))&amp;$FI33&amp;""),"")</f>
        <v/>
      </c>
      <c r="FP33" s="82" t="str">
        <f t="array" aca="1" ref="FP33" ca="1">IF($FI33&lt;&gt;"",
INDIRECT(""&amp;IF(COLUMN(FC33)&lt;=26,CHAR(COLUMN(FC33)+64),CHAR(INT((COLUMN(FC33)-1)/26)+64)&amp;CHAR(MOD(COLUMN(FC33)-1,26)+65))&amp;$FI33&amp;""),"")</f>
        <v/>
      </c>
      <c r="FQ33" s="82" t="str">
        <f t="array" aca="1" ref="FQ33" ca="1">IF($FI33&lt;&gt;"",
INDIRECT(""&amp;IF(COLUMN(FD33)&lt;=26,CHAR(COLUMN(FD33)+64),CHAR(INT((COLUMN(FD33)-1)/26)+64)&amp;CHAR(MOD(COLUMN(FD33)-1,26)+65))&amp;$FI33&amp;""),"")</f>
        <v/>
      </c>
      <c r="FR33" s="82" t="str">
        <f t="array" aca="1" ref="FR33" ca="1">IF($FI33&lt;&gt;"",
INDIRECT(""&amp;IF(COLUMN(FE33)&lt;=26,CHAR(COLUMN(FE33)+64),CHAR(INT((COLUMN(FE33)-1)/26)+64)&amp;CHAR(MOD(COLUMN(FE33)-1,26)+65))&amp;$FI33&amp;""),"")</f>
        <v/>
      </c>
      <c r="FS33" s="82" t="str">
        <f t="array" aca="1" ref="FS33" ca="1">IF($FI33&lt;&gt;"",
INDIRECT(""&amp;IF(COLUMN(FF33)&lt;=26,CHAR(COLUMN(FF33)+64),CHAR(INT((COLUMN(FF33)-1)/26)+64)&amp;CHAR(MOD(COLUMN(FF33)-1,26)+65))&amp;$FI33&amp;""),"")</f>
        <v/>
      </c>
    </row>
    <row r="34" spans="1:175" s="82" customFormat="1" ht="22.2" customHeight="1" x14ac:dyDescent="0.55000000000000004">
      <c r="A34" s="80"/>
      <c r="B34" s="93" t="str">
        <f ca="1">IF(C30&lt;&gt;"",
"パン箱","")</f>
        <v/>
      </c>
      <c r="C34" s="94" t="str">
        <f ca="1">IF(C30&lt;&gt;"",
IF(OR(COUNTIF('盛付札（関数）'!C30,"*キャラ*"),COUNTIF('盛付札（関数）'!C30,"*赤*")),24,
VLOOKUP('盛付札（関数）'!C30,商品マスタ一覧!$D:$I,6,FALSE)),"")</f>
        <v/>
      </c>
      <c r="D34" s="93" t="str">
        <f ca="1">IF(C30&lt;&gt;"",
" 端数","")</f>
        <v/>
      </c>
      <c r="E34" s="94"/>
      <c r="F34" s="93" t="str">
        <f ca="1">IF(C30&lt;&gt;"",
"アレルギー","")</f>
        <v/>
      </c>
      <c r="G34" s="101"/>
      <c r="H34" s="80"/>
      <c r="I34" s="93" t="str">
        <f ca="1">IF(J30&lt;&gt;"",
"パン箱","")</f>
        <v/>
      </c>
      <c r="J34" s="94" t="str">
        <f ca="1">IF(J30&lt;&gt;"",
IF(OR(COUNTIF('盛付札（関数）'!J30,"*キャラ*"),COUNTIF('盛付札（関数）'!J30,"*赤*")),24,
VLOOKUP('盛付札（関数）'!J30,商品マスタ一覧!$D:$I,6,FALSE)),"")</f>
        <v/>
      </c>
      <c r="K34" s="93" t="str">
        <f ca="1">IF(J30&lt;&gt;"",
" 端数","")</f>
        <v/>
      </c>
      <c r="L34" s="94"/>
      <c r="M34" s="93" t="str">
        <f ca="1">IF(J30&lt;&gt;"",
"アレルギー","")</f>
        <v/>
      </c>
      <c r="N34" s="101"/>
      <c r="O34" s="80"/>
      <c r="P34" s="80"/>
      <c r="Q34" s="93" t="str">
        <f ca="1">IF(R30&lt;&gt;"",
"パン箱","")</f>
        <v/>
      </c>
      <c r="R34" s="94" t="str">
        <f ca="1">IF(R30&lt;&gt;"",
IF(OR(COUNTIF('盛付札（関数）'!R30,"*キャラ*"),COUNTIF('盛付札（関数）'!R30,"*赤*")),24,
VLOOKUP('盛付札（関数）'!R30,商品マスタ一覧!$D:$I,6,FALSE)),"")</f>
        <v/>
      </c>
      <c r="S34" s="93" t="str">
        <f ca="1">IF(R30&lt;&gt;"",
" 端数","")</f>
        <v/>
      </c>
      <c r="T34" s="94"/>
      <c r="U34" s="93" t="str">
        <f ca="1">IF(R30&lt;&gt;"",
"アレルギー","")</f>
        <v/>
      </c>
      <c r="V34" s="101"/>
      <c r="W34" s="80"/>
      <c r="X34" s="93" t="str">
        <f ca="1">IF(Y30&lt;&gt;"",
"パン箱","")</f>
        <v/>
      </c>
      <c r="Y34" s="94" t="str">
        <f ca="1">IF(Y30&lt;&gt;"",
IF(OR(COUNTIF('盛付札（関数）'!Y30,"*キャラ*"),COUNTIF('盛付札（関数）'!Y30,"*赤*")),24,
VLOOKUP('盛付札（関数）'!Y30,商品マスタ一覧!$D:$I,6,FALSE)),"")</f>
        <v/>
      </c>
      <c r="Z34" s="93" t="str">
        <f ca="1">IF(Y30&lt;&gt;"",
" 端数","")</f>
        <v/>
      </c>
      <c r="AA34" s="94"/>
      <c r="AB34" s="93" t="str">
        <f ca="1">IF(Y30&lt;&gt;"",
"アレルギー","")</f>
        <v/>
      </c>
      <c r="AC34" s="101"/>
      <c r="AD34" s="80"/>
      <c r="AE34" s="80"/>
      <c r="AF34" s="93" t="str">
        <f ca="1">IF(AG30&lt;&gt;"",
"パン箱","")</f>
        <v/>
      </c>
      <c r="AG34" s="94" t="str">
        <f ca="1">IF(AG30&lt;&gt;"",
IF(OR(COUNTIF('盛付札（関数）'!AG30,"*キャラ*"),COUNTIF('盛付札（関数）'!AG30,"*赤*")),24,
VLOOKUP('盛付札（関数）'!AG30,商品マスタ一覧!$D:$I,6,FALSE)),"")</f>
        <v/>
      </c>
      <c r="AH34" s="93" t="str">
        <f ca="1">IF(AG30&lt;&gt;"",
" 端数","")</f>
        <v/>
      </c>
      <c r="AI34" s="94"/>
      <c r="AJ34" s="93" t="str">
        <f ca="1">IF(AG30&lt;&gt;"",
"アレルギー","")</f>
        <v/>
      </c>
      <c r="AK34" s="101"/>
      <c r="AL34" s="80"/>
      <c r="AM34" s="93" t="str">
        <f ca="1">IF(AN30&lt;&gt;"",
"パン箱","")</f>
        <v/>
      </c>
      <c r="AN34" s="94" t="str">
        <f ca="1">IF(AN30&lt;&gt;"",
IF(OR(COUNTIF('盛付札（関数）'!AN30,"*キャラ*"),COUNTIF('盛付札（関数）'!AN30,"*赤*")),24,
VLOOKUP('盛付札（関数）'!AN30,商品マスタ一覧!$D:$I,6,FALSE)),"")</f>
        <v/>
      </c>
      <c r="AO34" s="93" t="str">
        <f ca="1">IF(AN30&lt;&gt;"",
" 端数","")</f>
        <v/>
      </c>
      <c r="AP34" s="94"/>
      <c r="AQ34" s="93" t="str">
        <f ca="1">IF(AN30&lt;&gt;"",
"アレルギー","")</f>
        <v/>
      </c>
      <c r="AR34" s="101"/>
      <c r="AS34" s="80"/>
      <c r="AT34" s="80"/>
      <c r="AU34" s="93" t="str">
        <f ca="1">IF(AV30&lt;&gt;"",
"パン箱","")</f>
        <v/>
      </c>
      <c r="AV34" s="94" t="str">
        <f ca="1">IF(AV30&lt;&gt;"",
IF(OR(COUNTIF('盛付札（関数）'!AV30,"*キャラ*"),COUNTIF('盛付札（関数）'!AV30,"*赤*")),24,
VLOOKUP('盛付札（関数）'!AV30,商品マスタ一覧!$D:$I,6,FALSE)),"")</f>
        <v/>
      </c>
      <c r="AW34" s="93" t="str">
        <f ca="1">IF(AV30&lt;&gt;"",
" 端数","")</f>
        <v/>
      </c>
      <c r="AX34" s="94"/>
      <c r="AY34" s="93" t="str">
        <f ca="1">IF(AV30&lt;&gt;"",
"アレルギー","")</f>
        <v/>
      </c>
      <c r="AZ34" s="101"/>
      <c r="BA34" s="80"/>
      <c r="BB34" s="93" t="str">
        <f ca="1">IF(BC30&lt;&gt;"",
"パン箱","")</f>
        <v/>
      </c>
      <c r="BC34" s="94" t="str">
        <f ca="1">IF(BC30&lt;&gt;"",
IF(OR(COUNTIF('盛付札（関数）'!BC30,"*キャラ*"),COUNTIF('盛付札（関数）'!BC30,"*赤*")),24,
VLOOKUP('盛付札（関数）'!BC30,商品マスタ一覧!$D:$I,6,FALSE)),"")</f>
        <v/>
      </c>
      <c r="BD34" s="93" t="str">
        <f ca="1">IF(BC30&lt;&gt;"",
" 端数","")</f>
        <v/>
      </c>
      <c r="BE34" s="94"/>
      <c r="BF34" s="93" t="str">
        <f ca="1">IF(BC30&lt;&gt;"",
"アレルギー","")</f>
        <v/>
      </c>
      <c r="BG34" s="101"/>
      <c r="BH34" s="80"/>
      <c r="BI34" s="80"/>
      <c r="BJ34" s="93" t="str">
        <f ca="1">IF(BK30&lt;&gt;"",
"パン箱","")</f>
        <v/>
      </c>
      <c r="BK34" s="94" t="str">
        <f ca="1">IF(BK30&lt;&gt;"",
IF(OR(COUNTIF('盛付札（関数）'!BK30,"*キャラ*"),COUNTIF('盛付札（関数）'!BK30,"*赤*")),24,
VLOOKUP('盛付札（関数）'!BK30,商品マスタ一覧!$D:$I,6,FALSE)),"")</f>
        <v/>
      </c>
      <c r="BL34" s="93" t="str">
        <f ca="1">IF(BK30&lt;&gt;"",
" 端数","")</f>
        <v/>
      </c>
      <c r="BM34" s="94"/>
      <c r="BN34" s="93" t="str">
        <f ca="1">IF(BK30&lt;&gt;"",
"アレルギー","")</f>
        <v/>
      </c>
      <c r="BO34" s="101"/>
      <c r="BP34" s="80"/>
      <c r="BQ34" s="93" t="str">
        <f ca="1">IF(BR30&lt;&gt;"",
"パン箱","")</f>
        <v/>
      </c>
      <c r="BR34" s="94" t="str">
        <f ca="1">IF(BR30&lt;&gt;"",
IF(OR(COUNTIF('盛付札（関数）'!BR30,"*キャラ*"),COUNTIF('盛付札（関数）'!BR30,"*赤*")),24,
VLOOKUP('盛付札（関数）'!BR30,商品マスタ一覧!$D:$I,6,FALSE)),"")</f>
        <v/>
      </c>
      <c r="BS34" s="93" t="str">
        <f ca="1">IF(BR30&lt;&gt;"",
" 端数","")</f>
        <v/>
      </c>
      <c r="BT34" s="94"/>
      <c r="BU34" s="93" t="str">
        <f ca="1">IF(BR30&lt;&gt;"",
"アレルギー","")</f>
        <v/>
      </c>
      <c r="BV34" s="101"/>
      <c r="BW34" s="80"/>
      <c r="BX34" s="80"/>
      <c r="BY34" s="93" t="str">
        <f ca="1">IF(BZ30&lt;&gt;"",
"パン箱","")</f>
        <v/>
      </c>
      <c r="BZ34" s="94" t="str">
        <f ca="1">IF(BZ30&lt;&gt;"",
IF(OR(COUNTIF('盛付札（関数）'!BZ30,"*キャラ*"),COUNTIF('盛付札（関数）'!BZ30,"*赤*")),24,
VLOOKUP('盛付札（関数）'!BZ30,商品マスタ一覧!$D:$I,6,FALSE)),"")</f>
        <v/>
      </c>
      <c r="CA34" s="93" t="str">
        <f ca="1">IF(BZ30&lt;&gt;"",
" 端数","")</f>
        <v/>
      </c>
      <c r="CB34" s="94"/>
      <c r="CC34" s="93" t="str">
        <f ca="1">IF(BZ30&lt;&gt;"",
"アレルギー","")</f>
        <v/>
      </c>
      <c r="CD34" s="101"/>
      <c r="CE34" s="80"/>
      <c r="CF34" s="93" t="str">
        <f ca="1">IF(CG30&lt;&gt;"",
"パン箱","")</f>
        <v/>
      </c>
      <c r="CG34" s="94" t="str">
        <f ca="1">IF(CG30&lt;&gt;"",
IF(OR(COUNTIF('盛付札（関数）'!CG30,"*キャラ*"),COUNTIF('盛付札（関数）'!CG30,"*赤*")),24,
VLOOKUP('盛付札（関数）'!CG30,商品マスタ一覧!$D:$I,6,FALSE)),"")</f>
        <v/>
      </c>
      <c r="CH34" s="93" t="str">
        <f ca="1">IF(CG30&lt;&gt;"",
" 端数","")</f>
        <v/>
      </c>
      <c r="CI34" s="94"/>
      <c r="CJ34" s="93" t="str">
        <f ca="1">IF(CG30&lt;&gt;"",
"アレルギー","")</f>
        <v/>
      </c>
      <c r="CK34" s="101"/>
      <c r="CL34" s="80"/>
      <c r="CM34" s="80"/>
      <c r="CN34" s="93" t="str">
        <f ca="1">IF(CO30&lt;&gt;"",
"パン箱","")</f>
        <v/>
      </c>
      <c r="CO34" s="94" t="str">
        <f ca="1">IF(CO30&lt;&gt;"",
IF(OR(COUNTIF('盛付札（関数）'!CO30,"*キャラ*"),COUNTIF('盛付札（関数）'!CO30,"*赤*")),24,
VLOOKUP('盛付札（関数）'!CO30,商品マスタ一覧!$D:$I,6,FALSE)),"")</f>
        <v/>
      </c>
      <c r="CP34" s="93" t="str">
        <f ca="1">IF(CO30&lt;&gt;"",
" 端数","")</f>
        <v/>
      </c>
      <c r="CQ34" s="94"/>
      <c r="CR34" s="93" t="str">
        <f ca="1">IF(CO30&lt;&gt;"",
"アレルギー","")</f>
        <v/>
      </c>
      <c r="CS34" s="101"/>
      <c r="CT34" s="80"/>
      <c r="CU34" s="93" t="str">
        <f ca="1">IF(CV30&lt;&gt;"",
"パン箱","")</f>
        <v/>
      </c>
      <c r="CV34" s="94" t="str">
        <f ca="1">IF(CV30&lt;&gt;"",
IF(OR(COUNTIF('盛付札（関数）'!CV30,"*キャラ*"),COUNTIF('盛付札（関数）'!CV30,"*赤*")),24,
VLOOKUP('盛付札（関数）'!CV30,商品マスタ一覧!$D:$I,6,FALSE)),"")</f>
        <v/>
      </c>
      <c r="CW34" s="93" t="str">
        <f ca="1">IF(CV30&lt;&gt;"",
" 端数","")</f>
        <v/>
      </c>
      <c r="CX34" s="94"/>
      <c r="CY34" s="93" t="str">
        <f ca="1">IF(CV30&lt;&gt;"",
"アレルギー","")</f>
        <v/>
      </c>
      <c r="CZ34" s="101"/>
      <c r="DA34" s="80"/>
      <c r="DB34" s="80"/>
      <c r="DC34" s="93" t="str">
        <f ca="1">IF(DD30&lt;&gt;"",
"パン箱","")</f>
        <v/>
      </c>
      <c r="DD34" s="94" t="str">
        <f ca="1">IF(DD30&lt;&gt;"",
IF(OR(COUNTIF('盛付札（関数）'!DD30,"*キャラ*"),COUNTIF('盛付札（関数）'!DD30,"*赤*")),24,
VLOOKUP('盛付札（関数）'!DD30,商品マスタ一覧!$D:$I,6,FALSE)),"")</f>
        <v/>
      </c>
      <c r="DE34" s="93" t="str">
        <f ca="1">IF(DD30&lt;&gt;"",
" 端数","")</f>
        <v/>
      </c>
      <c r="DF34" s="94"/>
      <c r="DG34" s="93" t="str">
        <f ca="1">IF(DD30&lt;&gt;"",
"アレルギー","")</f>
        <v/>
      </c>
      <c r="DH34" s="101"/>
      <c r="DI34" s="80"/>
      <c r="DJ34" s="93" t="str">
        <f ca="1">IF(DK30&lt;&gt;"",
"パン箱","")</f>
        <v/>
      </c>
      <c r="DK34" s="94" t="str">
        <f ca="1">IF(DK30&lt;&gt;"",
IF(OR(COUNTIF('盛付札（関数）'!DK30,"*キャラ*"),COUNTIF('盛付札（関数）'!DK30,"*赤*")),24,
VLOOKUP('盛付札（関数）'!DK30,商品マスタ一覧!$D:$I,6,FALSE)),"")</f>
        <v/>
      </c>
      <c r="DL34" s="93" t="str">
        <f ca="1">IF(DK30&lt;&gt;"",
" 端数","")</f>
        <v/>
      </c>
      <c r="DM34" s="94"/>
      <c r="DN34" s="93" t="str">
        <f ca="1">IF(DK30&lt;&gt;"",
"アレルギー","")</f>
        <v/>
      </c>
      <c r="DO34" s="101"/>
      <c r="DP34" s="80"/>
      <c r="DQ34" s="80"/>
      <c r="DR34" s="93" t="str">
        <f ca="1">IF(DS30&lt;&gt;"",
"パン箱","")</f>
        <v/>
      </c>
      <c r="DS34" s="94" t="str">
        <f ca="1">IF(DS30&lt;&gt;"",
IF(OR(COUNTIF('盛付札（関数）'!DS30,"*キャラ*"),COUNTIF('盛付札（関数）'!DS30,"*赤*")),24,
VLOOKUP('盛付札（関数）'!DS30,商品マスタ一覧!$D:$I,6,FALSE)),"")</f>
        <v/>
      </c>
      <c r="DT34" s="93" t="str">
        <f ca="1">IF(DS30&lt;&gt;"",
" 端数","")</f>
        <v/>
      </c>
      <c r="DU34" s="94"/>
      <c r="DV34" s="93" t="str">
        <f ca="1">IF(DS30&lt;&gt;"",
"アレルギー","")</f>
        <v/>
      </c>
      <c r="DW34" s="101"/>
      <c r="DX34" s="80"/>
      <c r="DY34" s="93" t="str">
        <f ca="1">IF(DZ30&lt;&gt;"",
"パン箱","")</f>
        <v/>
      </c>
      <c r="DZ34" s="94" t="str">
        <f ca="1">IF(DZ30&lt;&gt;"",
IF(OR(COUNTIF('盛付札（関数）'!DZ30,"*キャラ*"),COUNTIF('盛付札（関数）'!DZ30,"*赤*")),24,
VLOOKUP('盛付札（関数）'!DZ30,商品マスタ一覧!$D:$I,6,FALSE)),"")</f>
        <v/>
      </c>
      <c r="EA34" s="93" t="str">
        <f ca="1">IF(DZ30&lt;&gt;"",
" 端数","")</f>
        <v/>
      </c>
      <c r="EB34" s="94"/>
      <c r="EC34" s="93" t="str">
        <f ca="1">IF(DZ30&lt;&gt;"",
"アレルギー","")</f>
        <v/>
      </c>
      <c r="ED34" s="101"/>
      <c r="EE34" s="80"/>
      <c r="EF34" s="80"/>
      <c r="EG34" s="93" t="str">
        <f ca="1">IF(EH30&lt;&gt;"",
"パン箱","")</f>
        <v/>
      </c>
      <c r="EH34" s="94" t="str">
        <f ca="1">IF(EH30&lt;&gt;"",
IF(OR(COUNTIF('盛付札（関数）'!EH30,"*キャラ*"),COUNTIF('盛付札（関数）'!EH30,"*赤*")),24,
VLOOKUP('盛付札（関数）'!EH30,商品マスタ一覧!$D:$I,6,FALSE)),"")</f>
        <v/>
      </c>
      <c r="EI34" s="93" t="str">
        <f ca="1">IF(EH30&lt;&gt;"",
" 端数","")</f>
        <v/>
      </c>
      <c r="EJ34" s="94"/>
      <c r="EK34" s="93" t="str">
        <f ca="1">IF(EH30&lt;&gt;"",
"アレルギー","")</f>
        <v/>
      </c>
      <c r="EL34" s="101"/>
      <c r="EM34" s="80"/>
      <c r="EN34" s="93" t="str">
        <f ca="1">IF(EO30&lt;&gt;"",
"パン箱","")</f>
        <v/>
      </c>
      <c r="EO34" s="94" t="str">
        <f ca="1">IF(EO30&lt;&gt;"",
IF(OR(COUNTIF('盛付札（関数）'!EO30,"*キャラ*"),COUNTIF('盛付札（関数）'!EO30,"*赤*")),24,
VLOOKUP('盛付札（関数）'!EO30,商品マスタ一覧!$D:$I,6,FALSE)),"")</f>
        <v/>
      </c>
      <c r="EP34" s="93" t="str">
        <f ca="1">IF(EO30&lt;&gt;"",
" 端数","")</f>
        <v/>
      </c>
      <c r="EQ34" s="94"/>
      <c r="ER34" s="93" t="str">
        <f ca="1">IF(EO30&lt;&gt;"",
"アレルギー","")</f>
        <v/>
      </c>
      <c r="ES34" s="101"/>
      <c r="ET34" s="110"/>
      <c r="EU34" s="82">
        <f t="shared" si="2"/>
        <v>56</v>
      </c>
      <c r="EV34" s="82" t="str">
        <f t="array" aca="1" ref="EV34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LEN(SUBSTITUTE(_xlfn.FORMULATEXT(EV$25),"=","")))+$EU34)</f>
        <v/>
      </c>
      <c r="EW34" s="82" t="str">
        <f t="array" aca="1" ref="EW34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LEN(SUBSTITUTE(_xlfn.FORMULATEXT(EW$25),"=","")))+$EU34)</f>
        <v/>
      </c>
      <c r="EX34" s="82" t="str">
        <f t="array" aca="1" ref="EX34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LEN(SUBSTITUTE(_xlfn.FORMULATEXT(EX$25),"=","")))+$EU34)</f>
        <v/>
      </c>
      <c r="EY34" s="82" t="str">
        <f t="array" aca="1" ref="EY34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LEN(SUBSTITUTE(_xlfn.FORMULATEXT(EY$25),"=","")))+$EU34)</f>
        <v/>
      </c>
      <c r="EZ34" s="82" t="str">
        <f t="array" aca="1" ref="EZ34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LEN(SUBSTITUTE(_xlfn.FORMULATEXT(EZ$25),"=","")))+$EU34)</f>
        <v/>
      </c>
      <c r="FA34" s="82" t="str">
        <f t="array" aca="1" ref="FA34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LEN(SUBSTITUTE(_xlfn.FORMULATEXT(FA$25),"=","")))+$EU34)</f>
        <v/>
      </c>
      <c r="FB34" s="82" t="str">
        <f t="array" aca="1" ref="FB34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LEN(SUBSTITUTE(_xlfn.FORMULATEXT(FB$25),"=","")))+$EU34)</f>
        <v/>
      </c>
      <c r="FC34" s="82" t="str">
        <f t="array" aca="1" ref="FC34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LEN(SUBSTITUTE(_xlfn.FORMULATEXT(FC$25),"=","")))+$EU34)</f>
        <v/>
      </c>
      <c r="FD34" s="82" t="str">
        <f t="array" aca="1" ref="FD34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LEN(SUBSTITUTE(_xlfn.FORMULATEXT(FD$25),"=","")))+$EU34)</f>
        <v/>
      </c>
      <c r="FE34" s="82" t="str">
        <f t="array" aca="1" ref="FE34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LEN(SUBSTITUTE(_xlfn.FORMULATEXT(FE$25),"=","")))+$EU34)</f>
        <v/>
      </c>
      <c r="FF34" s="82" t="str">
        <f t="array" aca="1" ref="FF34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LEN(SUBSTITUTE(_xlfn.FORMULATEXT(FF$25),"=","")))+$EU34)</f>
        <v/>
      </c>
      <c r="FG34" s="82">
        <f t="shared" ca="1" si="3"/>
        <v>0</v>
      </c>
      <c r="FH34" s="82" t="b">
        <f t="array" aca="1" ref="FH34" ca="1">SUMPRODUCT((LEN(EV34:FF34)&gt;0)*1)&gt;0</f>
        <v>0</v>
      </c>
      <c r="FI34" s="82" t="str">
        <f t="array" aca="1" ref="FI34" ca="1">IFERROR(SMALL(IF(FG$1:FG$173&lt;&gt;0,FG$1:FG$173),ROW(A34)),"")</f>
        <v/>
      </c>
      <c r="FJ34" s="82" t="str">
        <f t="array" aca="1" ref="FJ34" ca="1">IF($FI34&lt;&gt;"",
INDIRECT(""&amp;IF(COLUMN(EV34)&lt;=26,CHAR(COLUMN(EV34)+64),CHAR(INT((COLUMN(EV34)-1)/26)+64)&amp;CHAR(MOD(COLUMN(EV34)-1,26)+65))&amp;$FI34&amp;""),"")</f>
        <v/>
      </c>
      <c r="FK34" s="82" t="str">
        <f t="array" aca="1" ref="FK34" ca="1">IF($FI34&lt;&gt;"",
INDIRECT(""&amp;IF(COLUMN(EW34)&lt;=26,CHAR(COLUMN(EW34)+64),CHAR(INT((COLUMN(EW34)-1)/26)+64)&amp;CHAR(MOD(COLUMN(EW34)-1,26)+65))&amp;$FI34&amp;""),"")</f>
        <v/>
      </c>
      <c r="FL34" s="82" t="str">
        <f t="array" aca="1" ref="FL34" ca="1">IF($FI34&lt;&gt;"",
INDIRECT(""&amp;IF(COLUMN(EX34)&lt;=26,CHAR(COLUMN(EX34)+64),CHAR(INT((COLUMN(EX34)-1)/26)+64)&amp;CHAR(MOD(COLUMN(EX34)-1,26)+65))&amp;$FI34&amp;""),"")</f>
        <v/>
      </c>
      <c r="FM34" s="82" t="str">
        <f t="array" aca="1" ref="FM34" ca="1">IF($FI34&lt;&gt;"",
IF(FL34="",
IF(INDIRECT("EY"&amp;$FI34&amp;"")&lt;&gt;"",
INDIRECT("EY"&amp;$FI34&amp;"")&amp;"箱"
&amp;INDIRECT("EZ"&amp;$FI34&amp;""),""),""),"")</f>
        <v/>
      </c>
      <c r="FN34" s="82" t="str">
        <f t="array" aca="1" ref="FN34" ca="1">IF($FI34&lt;&gt;"",
INDIRECT(""&amp;IF(COLUMN(FA34)&lt;=26,CHAR(COLUMN(FA34)+64),CHAR(INT((COLUMN(FA34)-1)/26)+64)&amp;CHAR(MOD(COLUMN(FA34)-1,26)+65))&amp;$FI34&amp;""),"")</f>
        <v/>
      </c>
      <c r="FO34" s="82" t="str">
        <f t="array" aca="1" ref="FO34" ca="1">IF($FI34&lt;&gt;"",
INDIRECT(""&amp;IF(COLUMN(FB34)&lt;=26,CHAR(COLUMN(FB34)+64),CHAR(INT((COLUMN(FB34)-1)/26)+64)&amp;CHAR(MOD(COLUMN(FB34)-1,26)+65))&amp;$FI34&amp;""),"")</f>
        <v/>
      </c>
      <c r="FP34" s="82" t="str">
        <f t="array" aca="1" ref="FP34" ca="1">IF($FI34&lt;&gt;"",
INDIRECT(""&amp;IF(COLUMN(FC34)&lt;=26,CHAR(COLUMN(FC34)+64),CHAR(INT((COLUMN(FC34)-1)/26)+64)&amp;CHAR(MOD(COLUMN(FC34)-1,26)+65))&amp;$FI34&amp;""),"")</f>
        <v/>
      </c>
      <c r="FQ34" s="82" t="str">
        <f t="array" aca="1" ref="FQ34" ca="1">IF($FI34&lt;&gt;"",
INDIRECT(""&amp;IF(COLUMN(FD34)&lt;=26,CHAR(COLUMN(FD34)+64),CHAR(INT((COLUMN(FD34)-1)/26)+64)&amp;CHAR(MOD(COLUMN(FD34)-1,26)+65))&amp;$FI34&amp;""),"")</f>
        <v/>
      </c>
      <c r="FR34" s="82" t="str">
        <f t="array" aca="1" ref="FR34" ca="1">IF($FI34&lt;&gt;"",
INDIRECT(""&amp;IF(COLUMN(FE34)&lt;=26,CHAR(COLUMN(FE34)+64),CHAR(INT((COLUMN(FE34)-1)/26)+64)&amp;CHAR(MOD(COLUMN(FE34)-1,26)+65))&amp;$FI34&amp;""),"")</f>
        <v/>
      </c>
      <c r="FS34" s="82" t="str">
        <f t="array" aca="1" ref="FS34" ca="1">IF($FI34&lt;&gt;"",
INDIRECT(""&amp;IF(COLUMN(FF34)&lt;=26,CHAR(COLUMN(FF34)+64),CHAR(INT((COLUMN(FF34)-1)/26)+64)&amp;CHAR(MOD(COLUMN(FF34)-1,26)+65))&amp;$FI34&amp;""),"")</f>
        <v/>
      </c>
    </row>
    <row r="35" spans="1:175" ht="21" customHeight="1" x14ac:dyDescent="0.45">
      <c r="B35" s="196" t="e">
        <f ca="1">IF(C32&lt;&gt;"",
IFERROR(INT(C32/C34),""),"")</f>
        <v>#VALUE!</v>
      </c>
      <c r="C35" s="195"/>
      <c r="D35" s="196" t="str">
        <f ca="1">IFERROR(MOD(C32,C34),"")</f>
        <v/>
      </c>
      <c r="E35" s="195"/>
      <c r="F35" s="194" t="e">
        <f ca="1">G31+G32</f>
        <v>#N/A</v>
      </c>
      <c r="G35" s="195"/>
      <c r="I35" s="196" t="e">
        <f ca="1">IF(J32&lt;&gt;"",
IFERROR(INT(J32/J34),""),"")</f>
        <v>#VALUE!</v>
      </c>
      <c r="J35" s="195"/>
      <c r="K35" s="196" t="str">
        <f ca="1">IFERROR(MOD(J32,J34),"")</f>
        <v/>
      </c>
      <c r="L35" s="195"/>
      <c r="M35" s="194" t="e">
        <f ca="1">N31+N32</f>
        <v>#N/A</v>
      </c>
      <c r="N35" s="195"/>
      <c r="Q35" s="196" t="e">
        <f ca="1">IF(R32&lt;&gt;"",
IFERROR(INT(R32/R34),""),"")</f>
        <v>#VALUE!</v>
      </c>
      <c r="R35" s="195"/>
      <c r="S35" s="196" t="str">
        <f ca="1">IFERROR(MOD(R32,R34),"")</f>
        <v/>
      </c>
      <c r="T35" s="195"/>
      <c r="U35" s="194" t="e">
        <f ca="1">V31+V32</f>
        <v>#N/A</v>
      </c>
      <c r="V35" s="195"/>
      <c r="X35" s="196" t="e">
        <f ca="1">IF(Y32&lt;&gt;"",
IFERROR(INT(Y32/Y34),""),"")</f>
        <v>#VALUE!</v>
      </c>
      <c r="Y35" s="195"/>
      <c r="Z35" s="196" t="str">
        <f ca="1">IFERROR(MOD(Y32,Y34),"")</f>
        <v/>
      </c>
      <c r="AA35" s="195"/>
      <c r="AB35" s="194" t="e">
        <f ca="1">AC31+AC32</f>
        <v>#N/A</v>
      </c>
      <c r="AC35" s="195"/>
      <c r="AF35" s="196" t="e">
        <f ca="1">IF(AG32&lt;&gt;"",
IFERROR(INT(AG32/AG34),""),"")</f>
        <v>#VALUE!</v>
      </c>
      <c r="AG35" s="195"/>
      <c r="AH35" s="196" t="str">
        <f ca="1">IFERROR(MOD(AG32,AG34),"")</f>
        <v/>
      </c>
      <c r="AI35" s="195"/>
      <c r="AJ35" s="194" t="e">
        <f ca="1">AK31+AK32</f>
        <v>#N/A</v>
      </c>
      <c r="AK35" s="195"/>
      <c r="AM35" s="196" t="e">
        <f ca="1">IF(AN32&lt;&gt;"",
IFERROR(INT(AN32/AN34),""),"")</f>
        <v>#VALUE!</v>
      </c>
      <c r="AN35" s="195"/>
      <c r="AO35" s="196" t="str">
        <f ca="1">IFERROR(MOD(AN32,AN34),"")</f>
        <v/>
      </c>
      <c r="AP35" s="195"/>
      <c r="AQ35" s="194" t="e">
        <f ca="1">AR31+AR32</f>
        <v>#N/A</v>
      </c>
      <c r="AR35" s="195"/>
      <c r="AU35" s="196" t="e">
        <f ca="1">IF(AV32&lt;&gt;"",
IFERROR(INT(AV32/AV34),""),"")</f>
        <v>#VALUE!</v>
      </c>
      <c r="AV35" s="195"/>
      <c r="AW35" s="196" t="str">
        <f ca="1">IFERROR(MOD(AV32,AV34),"")</f>
        <v/>
      </c>
      <c r="AX35" s="195"/>
      <c r="AY35" s="194" t="e">
        <f ca="1">AZ31+AZ32</f>
        <v>#N/A</v>
      </c>
      <c r="AZ35" s="195"/>
      <c r="BB35" s="196" t="e">
        <f ca="1">IF(BC32&lt;&gt;"",
IFERROR(INT(BC32/BC34),""),"")</f>
        <v>#VALUE!</v>
      </c>
      <c r="BC35" s="195"/>
      <c r="BD35" s="196" t="str">
        <f ca="1">IFERROR(MOD(BC32,BC34),"")</f>
        <v/>
      </c>
      <c r="BE35" s="195"/>
      <c r="BF35" s="194" t="e">
        <f ca="1">BG31+BG32</f>
        <v>#N/A</v>
      </c>
      <c r="BG35" s="195"/>
      <c r="BJ35" s="196" t="e">
        <f ca="1">IF(BK32&lt;&gt;"",
IFERROR(INT(BK32/BK34),""),"")</f>
        <v>#VALUE!</v>
      </c>
      <c r="BK35" s="195"/>
      <c r="BL35" s="196" t="str">
        <f ca="1">IFERROR(MOD(BK32,BK34),"")</f>
        <v/>
      </c>
      <c r="BM35" s="195"/>
      <c r="BN35" s="194" t="e">
        <f ca="1">BO31+BO32</f>
        <v>#N/A</v>
      </c>
      <c r="BO35" s="195"/>
      <c r="BQ35" s="196" t="e">
        <f ca="1">IF(BR32&lt;&gt;"",
IFERROR(INT(BR32/BR34),""),"")</f>
        <v>#VALUE!</v>
      </c>
      <c r="BR35" s="195"/>
      <c r="BS35" s="196" t="str">
        <f ca="1">IFERROR(MOD(BR32,BR34),"")</f>
        <v/>
      </c>
      <c r="BT35" s="195"/>
      <c r="BU35" s="194" t="e">
        <f ca="1">BV31+BV32</f>
        <v>#N/A</v>
      </c>
      <c r="BV35" s="195"/>
      <c r="BY35" s="196" t="e">
        <f ca="1">IF(BZ32&lt;&gt;"",
IFERROR(INT(BZ32/BZ34),""),"")</f>
        <v>#VALUE!</v>
      </c>
      <c r="BZ35" s="195"/>
      <c r="CA35" s="196" t="str">
        <f ca="1">IFERROR(MOD(BZ32,BZ34),"")</f>
        <v/>
      </c>
      <c r="CB35" s="195"/>
      <c r="CC35" s="194" t="e">
        <f ca="1">CD31+CD32</f>
        <v>#N/A</v>
      </c>
      <c r="CD35" s="195"/>
      <c r="CF35" s="196" t="e">
        <f ca="1">IF(CG32&lt;&gt;"",
IFERROR(INT(CG32/CG34),""),"")</f>
        <v>#VALUE!</v>
      </c>
      <c r="CG35" s="195"/>
      <c r="CH35" s="196" t="str">
        <f ca="1">IFERROR(MOD(CG32,CG34),"")</f>
        <v/>
      </c>
      <c r="CI35" s="195"/>
      <c r="CJ35" s="194" t="e">
        <f ca="1">CK31+CK32</f>
        <v>#N/A</v>
      </c>
      <c r="CK35" s="195"/>
      <c r="CN35" s="196" t="e">
        <f ca="1">IF(CO32&lt;&gt;"",
IFERROR(INT(CO32/CO34),""),"")</f>
        <v>#VALUE!</v>
      </c>
      <c r="CO35" s="195"/>
      <c r="CP35" s="196" t="str">
        <f ca="1">IFERROR(MOD(CO32,CO34),"")</f>
        <v/>
      </c>
      <c r="CQ35" s="195"/>
      <c r="CR35" s="194" t="e">
        <f ca="1">CS31+CS32</f>
        <v>#N/A</v>
      </c>
      <c r="CS35" s="195"/>
      <c r="CU35" s="196" t="e">
        <f ca="1">IF(CV32&lt;&gt;"",
IFERROR(INT(CV32/CV34),""),"")</f>
        <v>#VALUE!</v>
      </c>
      <c r="CV35" s="195"/>
      <c r="CW35" s="196" t="str">
        <f ca="1">IFERROR(MOD(CV32,CV34),"")</f>
        <v/>
      </c>
      <c r="CX35" s="195"/>
      <c r="CY35" s="194" t="e">
        <f ca="1">CZ31+CZ32</f>
        <v>#N/A</v>
      </c>
      <c r="CZ35" s="195"/>
      <c r="DC35" s="196" t="e">
        <f ca="1">IF(DD32&lt;&gt;"",
IFERROR(INT(DD32/DD34),""),"")</f>
        <v>#VALUE!</v>
      </c>
      <c r="DD35" s="195"/>
      <c r="DE35" s="196" t="str">
        <f ca="1">IFERROR(MOD(DD32,DD34),"")</f>
        <v/>
      </c>
      <c r="DF35" s="195"/>
      <c r="DG35" s="194" t="e">
        <f ca="1">DH31+DH32</f>
        <v>#N/A</v>
      </c>
      <c r="DH35" s="195"/>
      <c r="DJ35" s="196" t="e">
        <f ca="1">IF(DK32&lt;&gt;"",
IFERROR(INT(DK32/DK34),""),"")</f>
        <v>#VALUE!</v>
      </c>
      <c r="DK35" s="195"/>
      <c r="DL35" s="196" t="str">
        <f ca="1">IFERROR(MOD(DK32,DK34),"")</f>
        <v/>
      </c>
      <c r="DM35" s="195"/>
      <c r="DN35" s="194" t="e">
        <f ca="1">DO31+DO32</f>
        <v>#N/A</v>
      </c>
      <c r="DO35" s="195"/>
      <c r="DR35" s="196" t="e">
        <f ca="1">IF(DS32&lt;&gt;"",
IFERROR(INT(DS32/DS34),""),"")</f>
        <v>#VALUE!</v>
      </c>
      <c r="DS35" s="195"/>
      <c r="DT35" s="196" t="str">
        <f ca="1">IFERROR(MOD(DS32,DS34),"")</f>
        <v/>
      </c>
      <c r="DU35" s="195"/>
      <c r="DV35" s="194" t="e">
        <f ca="1">DW31+DW32</f>
        <v>#N/A</v>
      </c>
      <c r="DW35" s="195"/>
      <c r="DY35" s="196" t="e">
        <f ca="1">IF(DZ32&lt;&gt;"",
IFERROR(INT(DZ32/DZ34),""),"")</f>
        <v>#VALUE!</v>
      </c>
      <c r="DZ35" s="195"/>
      <c r="EA35" s="196" t="str">
        <f ca="1">IFERROR(MOD(DZ32,DZ34),"")</f>
        <v/>
      </c>
      <c r="EB35" s="195"/>
      <c r="EC35" s="194" t="e">
        <f ca="1">ED31+ED32</f>
        <v>#N/A</v>
      </c>
      <c r="ED35" s="195"/>
      <c r="EG35" s="196" t="e">
        <f ca="1">IF(EH32&lt;&gt;"",
IFERROR(INT(EH32/EH34),""),"")</f>
        <v>#VALUE!</v>
      </c>
      <c r="EH35" s="195"/>
      <c r="EI35" s="196" t="str">
        <f ca="1">IFERROR(MOD(EH32,EH34),"")</f>
        <v/>
      </c>
      <c r="EJ35" s="195"/>
      <c r="EK35" s="194" t="e">
        <f ca="1">EL31+EL32</f>
        <v>#N/A</v>
      </c>
      <c r="EL35" s="195"/>
      <c r="EN35" s="196" t="e">
        <f ca="1">IF(EO32&lt;&gt;"",
IFERROR(INT(EO32/EO34),""),"")</f>
        <v>#VALUE!</v>
      </c>
      <c r="EO35" s="195"/>
      <c r="EP35" s="196" t="str">
        <f ca="1">IFERROR(MOD(EO32,EO34),"")</f>
        <v/>
      </c>
      <c r="EQ35" s="195"/>
      <c r="ER35" s="194" t="e">
        <f ca="1">ES31+ES32</f>
        <v>#N/A</v>
      </c>
      <c r="ES35" s="195"/>
      <c r="ET35" s="75"/>
      <c r="EU35" s="91">
        <f t="shared" si="2"/>
        <v>14</v>
      </c>
      <c r="EV35" s="82" t="str">
        <f t="array" aca="1" ref="EV35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LEN(SUBSTITUTE(_xlfn.FORMULATEXT(EV$27),"=","")))+$EU35)</f>
        <v/>
      </c>
      <c r="EW35" s="82" t="str">
        <f t="array" aca="1" ref="EW35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LEN(SUBSTITUTE(_xlfn.FORMULATEXT(EW$27),"=","")))+$EU35)</f>
        <v/>
      </c>
      <c r="EX35" s="82" t="str">
        <f t="array" aca="1" ref="EX35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LEN(SUBSTITUTE(_xlfn.FORMULATEXT(EX$27),"=","")))+$EU35)</f>
        <v/>
      </c>
      <c r="EY35" s="82" t="str">
        <f t="array" aca="1" ref="EY35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LEN(SUBSTITUTE(_xlfn.FORMULATEXT(EY$27),"=","")))+$EU35)</f>
        <v/>
      </c>
      <c r="EZ35" s="82" t="str">
        <f t="array" aca="1" ref="EZ35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LEN(SUBSTITUTE(_xlfn.FORMULATEXT(EZ$27),"=","")))+$EU35)</f>
        <v/>
      </c>
      <c r="FA35" s="82" t="e">
        <f t="array" aca="1" ref="FA35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LEN(SUBSTITUTE(_xlfn.FORMULATEXT(FA$27),"=","")))+$EU35)</f>
        <v>#VALUE!</v>
      </c>
      <c r="FB35" s="82" t="str">
        <f t="array" aca="1" ref="FB35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LEN(SUBSTITUTE(_xlfn.FORMULATEXT(FB$27),"=","")))+$EU35)</f>
        <v/>
      </c>
      <c r="FC35" s="82" t="str">
        <f t="array" aca="1" ref="FC35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LEN(SUBSTITUTE(_xlfn.FORMULATEXT(FC$27),"=","")))+$EU35)</f>
        <v/>
      </c>
      <c r="FD35" s="82" t="e">
        <f t="array" aca="1" ref="FD35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LEN(SUBSTITUTE(_xlfn.FORMULATEXT(FD$27),"=","")))+$EU35)</f>
        <v>#VALUE!</v>
      </c>
      <c r="FE35" s="82" t="str">
        <f t="array" aca="1" ref="FE35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LEN(SUBSTITUTE(_xlfn.FORMULATEXT(FE$27),"=","")))+$EU35)</f>
        <v/>
      </c>
      <c r="FF35" s="82" t="e">
        <f t="array" aca="1" ref="FF35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LEN(SUBSTITUTE(_xlfn.FORMULATEXT(FF$27),"=","")))+$EU35)</f>
        <v>#N/A</v>
      </c>
      <c r="FG35" s="82">
        <f t="shared" ca="1" si="3"/>
        <v>0</v>
      </c>
      <c r="FH35" s="82" t="e">
        <f t="array" aca="1" ref="FH35" ca="1">SUMPRODUCT((LEN(EV35:FF35)&gt;0)*1)&gt;0</f>
        <v>#VALUE!</v>
      </c>
      <c r="FI35" s="82" t="str">
        <f t="array" aca="1" ref="FI35" ca="1">IFERROR(SMALL(IF(FG$1:FG$173&lt;&gt;0,FG$1:FG$173),ROW(A35)),"")</f>
        <v/>
      </c>
      <c r="FJ35" s="82" t="str">
        <f t="array" aca="1" ref="FJ35" ca="1">IF($FI35&lt;&gt;"",
INDIRECT(""&amp;IF(COLUMN(EV35)&lt;=26,CHAR(COLUMN(EV35)+64),CHAR(INT((COLUMN(EV35)-1)/26)+64)&amp;CHAR(MOD(COLUMN(EV35)-1,26)+65))&amp;$FI35&amp;""),"")</f>
        <v/>
      </c>
      <c r="FK35" s="82" t="str">
        <f t="array" aca="1" ref="FK35" ca="1">IF($FI35&lt;&gt;"",
INDIRECT(""&amp;IF(COLUMN(EW35)&lt;=26,CHAR(COLUMN(EW35)+64),CHAR(INT((COLUMN(EW35)-1)/26)+64)&amp;CHAR(MOD(COLUMN(EW35)-1,26)+65))&amp;$FI35&amp;""),"")</f>
        <v/>
      </c>
      <c r="FL35" s="82" t="str">
        <f t="array" aca="1" ref="FL35" ca="1">IF($FI35&lt;&gt;"",
INDIRECT(""&amp;IF(COLUMN(EX35)&lt;=26,CHAR(COLUMN(EX35)+64),CHAR(INT((COLUMN(EX35)-1)/26)+64)&amp;CHAR(MOD(COLUMN(EX35)-1,26)+65))&amp;$FI35&amp;""),"")</f>
        <v/>
      </c>
      <c r="FM35" s="82" t="str">
        <f t="array" aca="1" ref="FM35" ca="1">IF($FI35&lt;&gt;"",
IF(FL35="",
IF(INDIRECT("EY"&amp;$FI35&amp;"")&lt;&gt;"",
INDIRECT("EY"&amp;$FI35&amp;"")&amp;"箱"
&amp;INDIRECT("EZ"&amp;$FI35&amp;""),""),""),"")</f>
        <v/>
      </c>
      <c r="FN35" s="82" t="str">
        <f t="array" aca="1" ref="FN35" ca="1">IF($FI35&lt;&gt;"",
INDIRECT(""&amp;IF(COLUMN(FA35)&lt;=26,CHAR(COLUMN(FA35)+64),CHAR(INT((COLUMN(FA35)-1)/26)+64)&amp;CHAR(MOD(COLUMN(FA35)-1,26)+65))&amp;$FI35&amp;""),"")</f>
        <v/>
      </c>
      <c r="FO35" s="82" t="str">
        <f t="array" aca="1" ref="FO35" ca="1">IF($FI35&lt;&gt;"",
INDIRECT(""&amp;IF(COLUMN(FB35)&lt;=26,CHAR(COLUMN(FB35)+64),CHAR(INT((COLUMN(FB35)-1)/26)+64)&amp;CHAR(MOD(COLUMN(FB35)-1,26)+65))&amp;$FI35&amp;""),"")</f>
        <v/>
      </c>
      <c r="FP35" s="82" t="str">
        <f t="array" aca="1" ref="FP35" ca="1">IF($FI35&lt;&gt;"",
INDIRECT(""&amp;IF(COLUMN(FC35)&lt;=26,CHAR(COLUMN(FC35)+64),CHAR(INT((COLUMN(FC35)-1)/26)+64)&amp;CHAR(MOD(COLUMN(FC35)-1,26)+65))&amp;$FI35&amp;""),"")</f>
        <v/>
      </c>
      <c r="FQ35" s="82" t="str">
        <f t="array" aca="1" ref="FQ35" ca="1">IF($FI35&lt;&gt;"",
INDIRECT(""&amp;IF(COLUMN(FD35)&lt;=26,CHAR(COLUMN(FD35)+64),CHAR(INT((COLUMN(FD35)-1)/26)+64)&amp;CHAR(MOD(COLUMN(FD35)-1,26)+65))&amp;$FI35&amp;""),"")</f>
        <v/>
      </c>
      <c r="FR35" s="82" t="str">
        <f t="array" aca="1" ref="FR35" ca="1">IF($FI35&lt;&gt;"",
INDIRECT(""&amp;IF(COLUMN(FE35)&lt;=26,CHAR(COLUMN(FE35)+64),CHAR(INT((COLUMN(FE35)-1)/26)+64)&amp;CHAR(MOD(COLUMN(FE35)-1,26)+65))&amp;$FI35&amp;""),"")</f>
        <v/>
      </c>
      <c r="FS35" s="82" t="str">
        <f t="array" aca="1" ref="FS35" ca="1">IF($FI35&lt;&gt;"",
INDIRECT(""&amp;IF(COLUMN(FF35)&lt;=26,CHAR(COLUMN(FF35)+64),CHAR(INT((COLUMN(FF35)-1)/26)+64)&amp;CHAR(MOD(COLUMN(FF35)-1,26)+65))&amp;$FI35&amp;""),"")</f>
        <v/>
      </c>
    </row>
    <row r="36" spans="1:175" s="82" customFormat="1" ht="19.2" customHeight="1" x14ac:dyDescent="0.55000000000000004">
      <c r="A36" s="80">
        <f t="array" aca="1" ref="A36" ca="1">IF(AND(G29&lt;&gt;"社食",N29="社食"),I29,
IF(AND(LEFT(N29,2)="博多",LEFT(INDIRECT("数出表_Excel!A"&amp;I29-1),2)=LEFT(INDIRECT("数出表_Excel!A"&amp;I29+1),2)),
IF(AND(LEFT(INDIRECT("数出表_Excel!A"&amp;I29+2),2)="博多",LEFT(INDIRECT("数出表_Excel!A"&amp;I29+1),2)=LEFT(INDIRECT("数出表_Excel!A"&amp;I29+3),2)),
IF(AND(LEFT(INDIRECT("数出表_Excel!A"&amp;I29+4),2)="博多",LEFT(INDIRECT("数出表_Excel!A"&amp;I29+3),2)=LEFT(INDIRECT("数出表_Excel!A"&amp;I29+5),2)),
I29+8,
I29+6),
I29+4),
IF(LEFT(N29,3)="奈良屋",
IF(LEFT(INDIRECT("数出表_Excel!A"&amp;I29+2),3)="奈良屋",
IF(LEFT(INDIRECT("数出表_Excel!A"&amp;I29+4),3)="奈良屋",
I29+6,
I29+4),
I29+2),
I29+2)))</f>
        <v>27</v>
      </c>
      <c r="B36" s="81">
        <f t="array" aca="1" ref="B36" ca="1">GetResult(A37)</f>
        <v>27</v>
      </c>
      <c r="C36" s="191" t="str">
        <f ca="1">IF(C37&lt;&gt;"",
IF(LEFT(G36,2)="博多",
LEFT(G36,FIND("週",G36)-1),
G36),"")</f>
        <v/>
      </c>
      <c r="D36" s="192"/>
      <c r="E36" s="192"/>
      <c r="F36" s="192"/>
      <c r="G36" s="99">
        <f t="array" aca="1" ref="G36" ca="1">INDIRECT("数出表_Excel!A"&amp;B36)</f>
        <v>0</v>
      </c>
      <c r="H36" s="80">
        <f t="array" aca="1" ref="H36" ca="1">IF(AND(N29&lt;&gt;"社食",G36="社食"),B36,
IF(AND(LEFT(G36,2)="博多",LEFT(INDIRECT("数出表_Excel!A"&amp;B36-1),2)=LEFT(INDIRECT("数出表_Excel!A"&amp;B36+1),2)),
IF(AND(LEFT(INDIRECT("数出表_Excel!A"&amp;B36+2),2)="博多",LEFT(INDIRECT("数出表_Excel!A"&amp;B36+1),2)=LEFT(INDIRECT("数出表_Excel!A"&amp;B36+3),2)),
IF(AND(LEFT(INDIRECT("数出表_Excel!A"&amp;B36+4),2)="博多",LEFT(INDIRECT("数出表_Excel!A"&amp;B36+3),2)=LEFT(INDIRECT("数出表_Excel!A"&amp;B36+5),2)),
B36+8,
B36+6),
B36+4),
IF(LEFT(G36,3)="奈良屋",
IF(LEFT(INDIRECT("数出表_Excel!A"&amp;B36+2),3)="奈良屋",
IF(LEFT(INDIRECT("数出表_Excel!A"&amp;B36+4),3)="奈良屋",
B36+6,
B36+4),
B36+2),
B36+2)))</f>
        <v>29</v>
      </c>
      <c r="I36" s="81">
        <f t="array" aca="1" ref="I36" ca="1">GetResult(H37)</f>
        <v>29</v>
      </c>
      <c r="J36" s="191" t="str">
        <f ca="1">IF(J37&lt;&gt;"",
IF(LEFT(N36,2)="博多",
LEFT(N36,FIND("週",N36)-1),
N36),"")</f>
        <v/>
      </c>
      <c r="K36" s="192"/>
      <c r="L36" s="192"/>
      <c r="M36" s="192"/>
      <c r="N36" s="95">
        <f t="array" aca="1" ref="N36" ca="1">INDIRECT("数出表_Excel!A"&amp;I36)</f>
        <v>0</v>
      </c>
      <c r="O36" s="80"/>
      <c r="P36" s="80">
        <f t="array" aca="1" ref="P36" ca="1">IF(AND(V29&lt;&gt;"社食",AC29="社食"),X29,
IF(AND(LEFT(AC29,2)="博多",LEFT(INDIRECT("数出表_Excel!A"&amp;X29-1),2)=LEFT(INDIRECT("数出表_Excel!A"&amp;X29+1),2)),
IF(AND(LEFT(INDIRECT("数出表_Excel!A"&amp;X29+2),2)="博多",LEFT(INDIRECT("数出表_Excel!A"&amp;X29+1),2)=LEFT(INDIRECT("数出表_Excel!A"&amp;X29+3),2)),
IF(AND(LEFT(INDIRECT("数出表_Excel!A"&amp;X29+4),2)="博多",LEFT(INDIRECT("数出表_Excel!A"&amp;X29+3),2)=LEFT(INDIRECT("数出表_Excel!A"&amp;X29+5),2)),
X29+8,
X29+6),
X29+4),
IF(LEFT(AC29,3)="奈良屋",
IF(LEFT(INDIRECT("数出表_Excel!A"&amp;X29+2),3)="奈良屋",
IF(LEFT(INDIRECT("数出表_Excel!A"&amp;X29+4),3)="奈良屋",
X29+6,
X29+4),
X29+2),
X29+2)))</f>
        <v>51</v>
      </c>
      <c r="Q36" s="81">
        <f t="array" aca="1" ref="Q36" ca="1">GetResult(P37)</f>
        <v>51</v>
      </c>
      <c r="R36" s="191" t="str">
        <f ca="1">IF(R37&lt;&gt;"",
IF(LEFT(V36,2)="博多",
LEFT(V36,FIND("週",V36)-1),
V36),"")</f>
        <v/>
      </c>
      <c r="S36" s="192"/>
      <c r="T36" s="192"/>
      <c r="U36" s="192"/>
      <c r="V36" s="99">
        <f t="array" aca="1" ref="V36" ca="1">INDIRECT("数出表_Excel!A"&amp;Q36)</f>
        <v>0</v>
      </c>
      <c r="W36" s="80">
        <f t="array" aca="1" ref="W36" ca="1">IF(AND(AC29&lt;&gt;"社食",V36="社食"),Q36,
IF(AND(LEFT(V36,2)="博多",LEFT(INDIRECT("数出表_Excel!A"&amp;Q36-1),2)=LEFT(INDIRECT("数出表_Excel!A"&amp;Q36+1),2)),
IF(AND(LEFT(INDIRECT("数出表_Excel!A"&amp;Q36+2),2)="博多",LEFT(INDIRECT("数出表_Excel!A"&amp;Q36+1),2)=LEFT(INDIRECT("数出表_Excel!A"&amp;Q36+3),2)),
IF(AND(LEFT(INDIRECT("数出表_Excel!A"&amp;Q36+4),2)="博多",LEFT(INDIRECT("数出表_Excel!A"&amp;Q36+3),2)=LEFT(INDIRECT("数出表_Excel!A"&amp;Q36+5),2)),
Q36+8,
Q36+6),
Q36+4),
IF(LEFT(V36,3)="奈良屋",
IF(LEFT(INDIRECT("数出表_Excel!A"&amp;Q36+2),3)="奈良屋",
IF(LEFT(INDIRECT("数出表_Excel!A"&amp;Q36+4),3)="奈良屋",
Q36+6,
Q36+4),
Q36+2),
Q36+2)))</f>
        <v>53</v>
      </c>
      <c r="X36" s="81">
        <f t="array" aca="1" ref="X36" ca="1">GetResult(W37)</f>
        <v>53</v>
      </c>
      <c r="Y36" s="191" t="str">
        <f ca="1">IF(Y37&lt;&gt;"",
IF(LEFT(AC36,2)="博多",
LEFT(AC36,FIND("週",AC36)-1),
AC36),"")</f>
        <v/>
      </c>
      <c r="Z36" s="192"/>
      <c r="AA36" s="192"/>
      <c r="AB36" s="192"/>
      <c r="AC36" s="95">
        <f t="array" aca="1" ref="AC36" ca="1">INDIRECT("数出表_Excel!A"&amp;X36)</f>
        <v>0</v>
      </c>
      <c r="AD36" s="80"/>
      <c r="AE36" s="80">
        <f t="array" aca="1" ref="AE36" ca="1">IF(AND(AK29&lt;&gt;"社食",AR29="社食"),AM29,
IF(AND(LEFT(AR29,2)="博多",LEFT(INDIRECT("数出表_Excel!A"&amp;AM29-1),2)=LEFT(INDIRECT("数出表_Excel!A"&amp;AM29+1),2)),
IF(AND(LEFT(INDIRECT("数出表_Excel!A"&amp;AM29+2),2)="博多",LEFT(INDIRECT("数出表_Excel!A"&amp;AM29+1),2)=LEFT(INDIRECT("数出表_Excel!A"&amp;AM29+3),2)),
IF(AND(LEFT(INDIRECT("数出表_Excel!A"&amp;AM29+4),2)="博多",LEFT(INDIRECT("数出表_Excel!A"&amp;AM29+3),2)=LEFT(INDIRECT("数出表_Excel!A"&amp;AM29+5),2)),
AM29+8,
AM29+6),
AM29+4),
IF(LEFT(AR29,3)="奈良屋",
IF(LEFT(INDIRECT("数出表_Excel!A"&amp;AM29+2),3)="奈良屋",
IF(LEFT(INDIRECT("数出表_Excel!A"&amp;AM29+4),3)="奈良屋",
AM29+6,
AM29+4),
AM29+2),
AM29+2)))</f>
        <v>75</v>
      </c>
      <c r="AF36" s="81">
        <f t="array" aca="1" ref="AF36" ca="1">GetResult(AE37)</f>
        <v>75</v>
      </c>
      <c r="AG36" s="191" t="str">
        <f ca="1">IF(AG37&lt;&gt;"",
IF(LEFT(AK36,2)="博多",
LEFT(AK36,FIND("週",AK36)-1),
AK36),"")</f>
        <v/>
      </c>
      <c r="AH36" s="192"/>
      <c r="AI36" s="192"/>
      <c r="AJ36" s="192"/>
      <c r="AK36" s="99">
        <f t="array" aca="1" ref="AK36" ca="1">INDIRECT("数出表_Excel!A"&amp;AF36)</f>
        <v>0</v>
      </c>
      <c r="AL36" s="80">
        <f t="array" aca="1" ref="AL36" ca="1">IF(AND(AR29&lt;&gt;"社食",AK36="社食"),AF36,
IF(AND(LEFT(AK36,2)="博多",LEFT(INDIRECT("数出表_Excel!A"&amp;AF36-1),2)=LEFT(INDIRECT("数出表_Excel!A"&amp;AF36+1),2)),
IF(AND(LEFT(INDIRECT("数出表_Excel!A"&amp;AF36+2),2)="博多",LEFT(INDIRECT("数出表_Excel!A"&amp;AF36+1),2)=LEFT(INDIRECT("数出表_Excel!A"&amp;AF36+3),2)),
IF(AND(LEFT(INDIRECT("数出表_Excel!A"&amp;AF36+4),2)="博多",LEFT(INDIRECT("数出表_Excel!A"&amp;AF36+3),2)=LEFT(INDIRECT("数出表_Excel!A"&amp;AF36+5),2)),
AF36+8,
AF36+6),
AF36+4),
IF(LEFT(AK36,3)="奈良屋",
IF(LEFT(INDIRECT("数出表_Excel!A"&amp;AF36+2),3)="奈良屋",
IF(LEFT(INDIRECT("数出表_Excel!A"&amp;AF36+4),3)="奈良屋",
AF36+6,
AF36+4),
AF36+2),
AF36+2)))</f>
        <v>77</v>
      </c>
      <c r="AM36" s="81">
        <f t="array" aca="1" ref="AM36" ca="1">GetResult(AL37)</f>
        <v>77</v>
      </c>
      <c r="AN36" s="191" t="str">
        <f ca="1">IF(AN37&lt;&gt;"",
IF(LEFT(AR36,2)="博多",
LEFT(AR36,FIND("週",AR36)-1),
AR36),"")</f>
        <v/>
      </c>
      <c r="AO36" s="192"/>
      <c r="AP36" s="192"/>
      <c r="AQ36" s="192"/>
      <c r="AR36" s="95">
        <f t="array" aca="1" ref="AR36" ca="1">INDIRECT("数出表_Excel!A"&amp;AM36)</f>
        <v>0</v>
      </c>
      <c r="AS36" s="80"/>
      <c r="AT36" s="80">
        <f t="array" aca="1" ref="AT36" ca="1">IF(AND(AZ29&lt;&gt;"社食",BG29="社食"),BB29,
IF(AND(LEFT(BG29,2)="博多",LEFT(INDIRECT("数出表_Excel!A"&amp;BB29-1),2)=LEFT(INDIRECT("数出表_Excel!A"&amp;BB29+1),2)),
IF(AND(LEFT(INDIRECT("数出表_Excel!A"&amp;BB29+2),2)="博多",LEFT(INDIRECT("数出表_Excel!A"&amp;BB29+1),2)=LEFT(INDIRECT("数出表_Excel!A"&amp;BB29+3),2)),
IF(AND(LEFT(INDIRECT("数出表_Excel!A"&amp;BB29+4),2)="博多",LEFT(INDIRECT("数出表_Excel!A"&amp;BB29+3),2)=LEFT(INDIRECT("数出表_Excel!A"&amp;BB29+5),2)),
BB29+8,
BB29+6),
BB29+4),
IF(LEFT(BG29,3)="奈良屋",
IF(LEFT(INDIRECT("数出表_Excel!A"&amp;BB29+2),3)="奈良屋",
IF(LEFT(INDIRECT("数出表_Excel!A"&amp;BB29+4),3)="奈良屋",
BB29+6,
BB29+4),
BB29+2),
BB29+2)))</f>
        <v>99</v>
      </c>
      <c r="AU36" s="81">
        <f t="array" aca="1" ref="AU36" ca="1">GetResult(AT37)</f>
        <v>99</v>
      </c>
      <c r="AV36" s="191" t="str">
        <f ca="1">IF(AV37&lt;&gt;"",
IF(LEFT(AZ36,2)="博多",
LEFT(AZ36,FIND("週",AZ36)-1),
AZ36),"")</f>
        <v/>
      </c>
      <c r="AW36" s="192"/>
      <c r="AX36" s="192"/>
      <c r="AY36" s="192"/>
      <c r="AZ36" s="99">
        <f t="array" aca="1" ref="AZ36" ca="1">INDIRECT("数出表_Excel!A"&amp;AU36)</f>
        <v>0</v>
      </c>
      <c r="BA36" s="80">
        <f t="array" aca="1" ref="BA36" ca="1">IF(AND(BG29&lt;&gt;"社食",AZ36="社食"),AU36,
IF(AND(LEFT(AZ36,2)="博多",LEFT(INDIRECT("数出表_Excel!A"&amp;AU36-1),2)=LEFT(INDIRECT("数出表_Excel!A"&amp;AU36+1),2)),
IF(AND(LEFT(INDIRECT("数出表_Excel!A"&amp;AU36+2),2)="博多",LEFT(INDIRECT("数出表_Excel!A"&amp;AU36+1),2)=LEFT(INDIRECT("数出表_Excel!A"&amp;AU36+3),2)),
IF(AND(LEFT(INDIRECT("数出表_Excel!A"&amp;AU36+4),2)="博多",LEFT(INDIRECT("数出表_Excel!A"&amp;AU36+3),2)=LEFT(INDIRECT("数出表_Excel!A"&amp;AU36+5),2)),
AU36+8,
AU36+6),
AU36+4),
IF(LEFT(AZ36,3)="奈良屋",
IF(LEFT(INDIRECT("数出表_Excel!A"&amp;AU36+2),3)="奈良屋",
IF(LEFT(INDIRECT("数出表_Excel!A"&amp;AU36+4),3)="奈良屋",
AU36+6,
AU36+4),
AU36+2),
AU36+2)))</f>
        <v>101</v>
      </c>
      <c r="BB36" s="81">
        <f t="array" aca="1" ref="BB36" ca="1">GetResult(BA37)</f>
        <v>101</v>
      </c>
      <c r="BC36" s="191" t="str">
        <f ca="1">IF(BC37&lt;&gt;"",
IF(LEFT(BG36,2)="博多",
LEFT(BG36,FIND("週",BG36)-1),
BG36),"")</f>
        <v/>
      </c>
      <c r="BD36" s="192"/>
      <c r="BE36" s="192"/>
      <c r="BF36" s="192"/>
      <c r="BG36" s="95">
        <f t="array" aca="1" ref="BG36" ca="1">INDIRECT("数出表_Excel!A"&amp;BB36)</f>
        <v>0</v>
      </c>
      <c r="BH36" s="80"/>
      <c r="BI36" s="80">
        <f t="array" aca="1" ref="BI36" ca="1">IF(AND(BO29&lt;&gt;"社食",BV29="社食"),BQ29,
IF(AND(LEFT(BV29,2)="博多",LEFT(INDIRECT("数出表_Excel!A"&amp;BQ29-1),2)=LEFT(INDIRECT("数出表_Excel!A"&amp;BQ29+1),2)),
IF(AND(LEFT(INDIRECT("数出表_Excel!A"&amp;BQ29+2),2)="博多",LEFT(INDIRECT("数出表_Excel!A"&amp;BQ29+1),2)=LEFT(INDIRECT("数出表_Excel!A"&amp;BQ29+3),2)),
IF(AND(LEFT(INDIRECT("数出表_Excel!A"&amp;BQ29+4),2)="博多",LEFT(INDIRECT("数出表_Excel!A"&amp;BQ29+3),2)=LEFT(INDIRECT("数出表_Excel!A"&amp;BQ29+5),2)),
BQ29+8,
BQ29+6),
BQ29+4),
IF(LEFT(BV29,3)="奈良屋",
IF(LEFT(INDIRECT("数出表_Excel!A"&amp;BQ29+2),3)="奈良屋",
IF(LEFT(INDIRECT("数出表_Excel!A"&amp;BQ29+4),3)="奈良屋",
BQ29+6,
BQ29+4),
BQ29+2),
BQ29+2)))</f>
        <v>123</v>
      </c>
      <c r="BJ36" s="81">
        <f t="array" aca="1" ref="BJ36" ca="1">GetResult(BI37)</f>
        <v>123</v>
      </c>
      <c r="BK36" s="191" t="str">
        <f ca="1">IF(BK37&lt;&gt;"",
IF(LEFT(BO36,2)="博多",
LEFT(BO36,FIND("週",BO36)-1),
BO36),"")</f>
        <v/>
      </c>
      <c r="BL36" s="192"/>
      <c r="BM36" s="192"/>
      <c r="BN36" s="192"/>
      <c r="BO36" s="99">
        <f t="array" aca="1" ref="BO36" ca="1">INDIRECT("数出表_Excel!A"&amp;BJ36)</f>
        <v>0</v>
      </c>
      <c r="BP36" s="80">
        <f t="array" aca="1" ref="BP36" ca="1">IF(AND(BV29&lt;&gt;"社食",BO36="社食"),BJ36,
IF(AND(LEFT(BO36,2)="博多",LEFT(INDIRECT("数出表_Excel!A"&amp;BJ36-1),2)=LEFT(INDIRECT("数出表_Excel!A"&amp;BJ36+1),2)),
IF(AND(LEFT(INDIRECT("数出表_Excel!A"&amp;BJ36+2),2)="博多",LEFT(INDIRECT("数出表_Excel!A"&amp;BJ36+1),2)=LEFT(INDIRECT("数出表_Excel!A"&amp;BJ36+3),2)),
IF(AND(LEFT(INDIRECT("数出表_Excel!A"&amp;BJ36+4),2)="博多",LEFT(INDIRECT("数出表_Excel!A"&amp;BJ36+3),2)=LEFT(INDIRECT("数出表_Excel!A"&amp;BJ36+5),2)),
BJ36+8,
BJ36+6),
BJ36+4),
IF(LEFT(BO36,3)="奈良屋",
IF(LEFT(INDIRECT("数出表_Excel!A"&amp;BJ36+2),3)="奈良屋",
IF(LEFT(INDIRECT("数出表_Excel!A"&amp;BJ36+4),3)="奈良屋",
BJ36+6,
BJ36+4),
BJ36+2),
BJ36+2)))</f>
        <v>125</v>
      </c>
      <c r="BQ36" s="81">
        <f t="array" aca="1" ref="BQ36" ca="1">GetResult(BP37)</f>
        <v>125</v>
      </c>
      <c r="BR36" s="191" t="str">
        <f ca="1">IF(BR37&lt;&gt;"",
IF(LEFT(BV36,2)="博多",
LEFT(BV36,FIND("週",BV36)-1),
BV36),"")</f>
        <v/>
      </c>
      <c r="BS36" s="192"/>
      <c r="BT36" s="192"/>
      <c r="BU36" s="192"/>
      <c r="BV36" s="95">
        <f t="array" aca="1" ref="BV36" ca="1">INDIRECT("数出表_Excel!A"&amp;BQ36)</f>
        <v>0</v>
      </c>
      <c r="BW36" s="80"/>
      <c r="BX36" s="80">
        <f t="array" aca="1" ref="BX36" ca="1">IF(AND(CD29&lt;&gt;"社食",CK29="社食"),CF29,
IF(AND(LEFT(CK29,2)="博多",LEFT(INDIRECT("数出表_Excel!A"&amp;CF29-1),2)=LEFT(INDIRECT("数出表_Excel!A"&amp;CF29+1),2)),
IF(AND(LEFT(INDIRECT("数出表_Excel!A"&amp;CF29+2),2)="博多",LEFT(INDIRECT("数出表_Excel!A"&amp;CF29+1),2)=LEFT(INDIRECT("数出表_Excel!A"&amp;CF29+3),2)),
IF(AND(LEFT(INDIRECT("数出表_Excel!A"&amp;CF29+4),2)="博多",LEFT(INDIRECT("数出表_Excel!A"&amp;CF29+3),2)=LEFT(INDIRECT("数出表_Excel!A"&amp;CF29+5),2)),
CF29+8,
CF29+6),
CF29+4),
IF(LEFT(CK29,3)="奈良屋",
IF(LEFT(INDIRECT("数出表_Excel!A"&amp;CF29+2),3)="奈良屋",
IF(LEFT(INDIRECT("数出表_Excel!A"&amp;CF29+4),3)="奈良屋",
CF29+6,
CF29+4),
CF29+2),
CF29+2)))</f>
        <v>147</v>
      </c>
      <c r="BY36" s="81">
        <f t="array" aca="1" ref="BY36" ca="1">GetResult(BX37)</f>
        <v>147</v>
      </c>
      <c r="BZ36" s="191" t="str">
        <f ca="1">IF(BZ37&lt;&gt;"",
IF(LEFT(CD36,2)="博多",
LEFT(CD36,FIND("週",CD36)-1),
CD36),"")</f>
        <v/>
      </c>
      <c r="CA36" s="192"/>
      <c r="CB36" s="192"/>
      <c r="CC36" s="192"/>
      <c r="CD36" s="99">
        <f t="array" aca="1" ref="CD36" ca="1">INDIRECT("数出表_Excel!A"&amp;BY36)</f>
        <v>0</v>
      </c>
      <c r="CE36" s="80">
        <f t="array" aca="1" ref="CE36" ca="1">IF(AND(CK29&lt;&gt;"社食",CD36="社食"),BY36,
IF(AND(LEFT(CD36,2)="博多",LEFT(INDIRECT("数出表_Excel!A"&amp;BY36-1),2)=LEFT(INDIRECT("数出表_Excel!A"&amp;BY36+1),2)),
IF(AND(LEFT(INDIRECT("数出表_Excel!A"&amp;BY36+2),2)="博多",LEFT(INDIRECT("数出表_Excel!A"&amp;BY36+1),2)=LEFT(INDIRECT("数出表_Excel!A"&amp;BY36+3),2)),
IF(AND(LEFT(INDIRECT("数出表_Excel!A"&amp;BY36+4),2)="博多",LEFT(INDIRECT("数出表_Excel!A"&amp;BY36+3),2)=LEFT(INDIRECT("数出表_Excel!A"&amp;BY36+5),2)),
BY36+8,
BY36+6),
BY36+4),
IF(LEFT(CD36,3)="奈良屋",
IF(LEFT(INDIRECT("数出表_Excel!A"&amp;BY36+2),3)="奈良屋",
IF(LEFT(INDIRECT("数出表_Excel!A"&amp;BY36+4),3)="奈良屋",
BY36+6,
BY36+4),
BY36+2),
BY36+2)))</f>
        <v>149</v>
      </c>
      <c r="CF36" s="81">
        <f t="array" aca="1" ref="CF36" ca="1">GetResult(CE37)</f>
        <v>149</v>
      </c>
      <c r="CG36" s="191" t="str">
        <f ca="1">IF(CG37&lt;&gt;"",
IF(LEFT(CK36,2)="博多",
LEFT(CK36,FIND("週",CK36)-1),
CK36),"")</f>
        <v/>
      </c>
      <c r="CH36" s="192"/>
      <c r="CI36" s="192"/>
      <c r="CJ36" s="192"/>
      <c r="CK36" s="95">
        <f t="array" aca="1" ref="CK36" ca="1">INDIRECT("数出表_Excel!A"&amp;CF36)</f>
        <v>0</v>
      </c>
      <c r="CL36" s="80"/>
      <c r="CM36" s="80">
        <f t="array" aca="1" ref="CM36" ca="1">IF(AND(CS29&lt;&gt;"社食",CZ29="社食"),CU29,
IF(AND(LEFT(CZ29,2)="博多",LEFT(INDIRECT("数出表_Excel!A"&amp;CU29-1),2)=LEFT(INDIRECT("数出表_Excel!A"&amp;CU29+1),2)),
IF(AND(LEFT(INDIRECT("数出表_Excel!A"&amp;CU29+2),2)="博多",LEFT(INDIRECT("数出表_Excel!A"&amp;CU29+1),2)=LEFT(INDIRECT("数出表_Excel!A"&amp;CU29+3),2)),
IF(AND(LEFT(INDIRECT("数出表_Excel!A"&amp;CU29+4),2)="博多",LEFT(INDIRECT("数出表_Excel!A"&amp;CU29+3),2)=LEFT(INDIRECT("数出表_Excel!A"&amp;CU29+5),2)),
CU29+8,
CU29+6),
CU29+4),
IF(LEFT(CZ29,3)="奈良屋",
IF(LEFT(INDIRECT("数出表_Excel!A"&amp;CU29+2),3)="奈良屋",
IF(LEFT(INDIRECT("数出表_Excel!A"&amp;CU29+4),3)="奈良屋",
CU29+6,
CU29+4),
CU29+2),
CU29+2)))</f>
        <v>171</v>
      </c>
      <c r="CN36" s="81">
        <f t="array" aca="1" ref="CN36" ca="1">GetResult(CM37)</f>
        <v>171</v>
      </c>
      <c r="CO36" s="191" t="str">
        <f ca="1">IF(CO37&lt;&gt;"",
IF(LEFT(CS36,2)="博多",
LEFT(CS36,FIND("週",CS36)-1),
CS36),"")</f>
        <v/>
      </c>
      <c r="CP36" s="192"/>
      <c r="CQ36" s="192"/>
      <c r="CR36" s="192"/>
      <c r="CS36" s="99">
        <f t="array" aca="1" ref="CS36" ca="1">INDIRECT("数出表_Excel!A"&amp;CN36)</f>
        <v>0</v>
      </c>
      <c r="CT36" s="80">
        <f t="array" aca="1" ref="CT36" ca="1">IF(AND(CZ29&lt;&gt;"社食",CS36="社食"),CN36,
IF(AND(LEFT(CS36,2)="博多",LEFT(INDIRECT("数出表_Excel!A"&amp;CN36-1),2)=LEFT(INDIRECT("数出表_Excel!A"&amp;CN36+1),2)),
IF(AND(LEFT(INDIRECT("数出表_Excel!A"&amp;CN36+2),2)="博多",LEFT(INDIRECT("数出表_Excel!A"&amp;CN36+1),2)=LEFT(INDIRECT("数出表_Excel!A"&amp;CN36+3),2)),
IF(AND(LEFT(INDIRECT("数出表_Excel!A"&amp;CN36+4),2)="博多",LEFT(INDIRECT("数出表_Excel!A"&amp;CN36+3),2)=LEFT(INDIRECT("数出表_Excel!A"&amp;CN36+5),2)),
CN36+8,
CN36+6),
CN36+4),
IF(LEFT(CS36,3)="奈良屋",
IF(LEFT(INDIRECT("数出表_Excel!A"&amp;CN36+2),3)="奈良屋",
IF(LEFT(INDIRECT("数出表_Excel!A"&amp;CN36+4),3)="奈良屋",
CN36+6,
CN36+4),
CN36+2),
CN36+2)))</f>
        <v>173</v>
      </c>
      <c r="CU36" s="81">
        <f t="array" aca="1" ref="CU36" ca="1">GetResult(CT37)</f>
        <v>173</v>
      </c>
      <c r="CV36" s="191" t="str">
        <f ca="1">IF(CV37&lt;&gt;"",
IF(LEFT(CZ36,2)="博多",
LEFT(CZ36,FIND("週",CZ36)-1),
CZ36),"")</f>
        <v/>
      </c>
      <c r="CW36" s="192"/>
      <c r="CX36" s="192"/>
      <c r="CY36" s="192"/>
      <c r="CZ36" s="95">
        <f t="array" aca="1" ref="CZ36" ca="1">INDIRECT("数出表_Excel!A"&amp;CU36)</f>
        <v>0</v>
      </c>
      <c r="DA36" s="80"/>
      <c r="DB36" s="80">
        <f t="array" aca="1" ref="DB36" ca="1">IF(AND(DH29&lt;&gt;"社食",DO29="社食"),DJ29,
IF(AND(LEFT(DO29,2)="博多",LEFT(INDIRECT("数出表_Excel!A"&amp;DJ29-1),2)=LEFT(INDIRECT("数出表_Excel!A"&amp;DJ29+1),2)),
IF(AND(LEFT(INDIRECT("数出表_Excel!A"&amp;DJ29+2),2)="博多",LEFT(INDIRECT("数出表_Excel!A"&amp;DJ29+1),2)=LEFT(INDIRECT("数出表_Excel!A"&amp;DJ29+3),2)),
IF(AND(LEFT(INDIRECT("数出表_Excel!A"&amp;DJ29+4),2)="博多",LEFT(INDIRECT("数出表_Excel!A"&amp;DJ29+3),2)=LEFT(INDIRECT("数出表_Excel!A"&amp;DJ29+5),2)),
DJ29+8,
DJ29+6),
DJ29+4),
IF(LEFT(DO29,3)="奈良屋",
IF(LEFT(INDIRECT("数出表_Excel!A"&amp;DJ29+2),3)="奈良屋",
IF(LEFT(INDIRECT("数出表_Excel!A"&amp;DJ29+4),3)="奈良屋",
DJ29+6,
DJ29+4),
DJ29+2),
DJ29+2)))</f>
        <v>195</v>
      </c>
      <c r="DC36" s="81">
        <f t="array" aca="1" ref="DC36" ca="1">GetResult(DB37)</f>
        <v>195</v>
      </c>
      <c r="DD36" s="191" t="str">
        <f ca="1">IF(DD37&lt;&gt;"",
IF(LEFT(DH36,2)="博多",
LEFT(DH36,FIND("週",DH36)-1),
DH36),"")</f>
        <v/>
      </c>
      <c r="DE36" s="192"/>
      <c r="DF36" s="192"/>
      <c r="DG36" s="192"/>
      <c r="DH36" s="99">
        <f t="array" aca="1" ref="DH36" ca="1">INDIRECT("数出表_Excel!A"&amp;DC36)</f>
        <v>0</v>
      </c>
      <c r="DI36" s="80">
        <f t="array" aca="1" ref="DI36" ca="1">IF(AND(DO29&lt;&gt;"社食",DH36="社食"),DC36,
IF(AND(LEFT(DH36,2)="博多",LEFT(INDIRECT("数出表_Excel!A"&amp;DC36-1),2)=LEFT(INDIRECT("数出表_Excel!A"&amp;DC36+1),2)),
IF(AND(LEFT(INDIRECT("数出表_Excel!A"&amp;DC36+2),2)="博多",LEFT(INDIRECT("数出表_Excel!A"&amp;DC36+1),2)=LEFT(INDIRECT("数出表_Excel!A"&amp;DC36+3),2)),
IF(AND(LEFT(INDIRECT("数出表_Excel!A"&amp;DC36+4),2)="博多",LEFT(INDIRECT("数出表_Excel!A"&amp;DC36+3),2)=LEFT(INDIRECT("数出表_Excel!A"&amp;DC36+5),2)),
DC36+8,
DC36+6),
DC36+4),
IF(LEFT(DH36,3)="奈良屋",
IF(LEFT(INDIRECT("数出表_Excel!A"&amp;DC36+2),3)="奈良屋",
IF(LEFT(INDIRECT("数出表_Excel!A"&amp;DC36+4),3)="奈良屋",
DC36+6,
DC36+4),
DC36+2),
DC36+2)))</f>
        <v>197</v>
      </c>
      <c r="DJ36" s="81">
        <f t="array" aca="1" ref="DJ36" ca="1">GetResult(DI37)</f>
        <v>197</v>
      </c>
      <c r="DK36" s="191" t="str">
        <f ca="1">IF(DK37&lt;&gt;"",
IF(LEFT(DO36,2)="博多",
LEFT(DO36,FIND("週",DO36)-1),
DO36),"")</f>
        <v/>
      </c>
      <c r="DL36" s="192"/>
      <c r="DM36" s="192"/>
      <c r="DN36" s="192"/>
      <c r="DO36" s="95">
        <f t="array" aca="1" ref="DO36" ca="1">INDIRECT("数出表_Excel!A"&amp;DJ36)</f>
        <v>0</v>
      </c>
      <c r="DP36" s="80"/>
      <c r="DQ36" s="80">
        <f t="array" aca="1" ref="DQ36" ca="1">IF(AND(DW29&lt;&gt;"社食",ED29="社食"),DY29,
IF(AND(LEFT(ED29,2)="博多",LEFT(INDIRECT("数出表_Excel!A"&amp;DY29-1),2)=LEFT(INDIRECT("数出表_Excel!A"&amp;DY29+1),2)),
IF(AND(LEFT(INDIRECT("数出表_Excel!A"&amp;DY29+2),2)="博多",LEFT(INDIRECT("数出表_Excel!A"&amp;DY29+1),2)=LEFT(INDIRECT("数出表_Excel!A"&amp;DY29+3),2)),
IF(AND(LEFT(INDIRECT("数出表_Excel!A"&amp;DY29+4),2)="博多",LEFT(INDIRECT("数出表_Excel!A"&amp;DY29+3),2)=LEFT(INDIRECT("数出表_Excel!A"&amp;DY29+5),2)),
DY29+8,
DY29+6),
DY29+4),
IF(LEFT(ED29,3)="奈良屋",
IF(LEFT(INDIRECT("数出表_Excel!A"&amp;DY29+2),3)="奈良屋",
IF(LEFT(INDIRECT("数出表_Excel!A"&amp;DY29+4),3)="奈良屋",
DY29+6,
DY29+4),
DY29+2),
DY29+2)))</f>
        <v>219</v>
      </c>
      <c r="DR36" s="81">
        <f t="array" aca="1" ref="DR36" ca="1">GetResult(DQ37)</f>
        <v>219</v>
      </c>
      <c r="DS36" s="191" t="str">
        <f ca="1">IF(DS37&lt;&gt;"",
IF(LEFT(DW36,2)="博多",
LEFT(DW36,FIND("週",DW36)-1),
DW36),"")</f>
        <v/>
      </c>
      <c r="DT36" s="192"/>
      <c r="DU36" s="192"/>
      <c r="DV36" s="192"/>
      <c r="DW36" s="99">
        <f t="array" aca="1" ref="DW36" ca="1">INDIRECT("数出表_Excel!A"&amp;DR36)</f>
        <v>0</v>
      </c>
      <c r="DX36" s="80">
        <f t="array" aca="1" ref="DX36" ca="1">IF(AND(ED29&lt;&gt;"社食",DW36="社食"),DR36,
IF(AND(LEFT(DW36,2)="博多",LEFT(INDIRECT("数出表_Excel!A"&amp;DR36-1),2)=LEFT(INDIRECT("数出表_Excel!A"&amp;DR36+1),2)),
IF(AND(LEFT(INDIRECT("数出表_Excel!A"&amp;DR36+2),2)="博多",LEFT(INDIRECT("数出表_Excel!A"&amp;DR36+1),2)=LEFT(INDIRECT("数出表_Excel!A"&amp;DR36+3),2)),
IF(AND(LEFT(INDIRECT("数出表_Excel!A"&amp;DR36+4),2)="博多",LEFT(INDIRECT("数出表_Excel!A"&amp;DR36+3),2)=LEFT(INDIRECT("数出表_Excel!A"&amp;DR36+5),2)),
DR36+8,
DR36+6),
DR36+4),
IF(LEFT(DW36,3)="奈良屋",
IF(LEFT(INDIRECT("数出表_Excel!A"&amp;DR36+2),3)="奈良屋",
IF(LEFT(INDIRECT("数出表_Excel!A"&amp;DR36+4),3)="奈良屋",
DR36+6,
DR36+4),
DR36+2),
DR36+2)))</f>
        <v>221</v>
      </c>
      <c r="DY36" s="81">
        <f t="array" aca="1" ref="DY36" ca="1">GetResult(DX37)</f>
        <v>221</v>
      </c>
      <c r="DZ36" s="191" t="str">
        <f ca="1">IF(DZ37&lt;&gt;"",
IF(LEFT(ED36,2)="博多",
LEFT(ED36,FIND("週",ED36)-1),
ED36),"")</f>
        <v/>
      </c>
      <c r="EA36" s="192"/>
      <c r="EB36" s="192"/>
      <c r="EC36" s="192"/>
      <c r="ED36" s="95">
        <f t="array" aca="1" ref="ED36" ca="1">INDIRECT("数出表_Excel!A"&amp;DY36)</f>
        <v>0</v>
      </c>
      <c r="EE36" s="80"/>
      <c r="EF36" s="80">
        <f t="array" aca="1" ref="EF36" ca="1">IF(AND(EL29&lt;&gt;"社食",ES29="社食"),EN29,
IF(AND(LEFT(ES29,2)="博多",LEFT(INDIRECT("数出表_Excel!A"&amp;EN29-1),2)=LEFT(INDIRECT("数出表_Excel!A"&amp;EN29+1),2)),
IF(AND(LEFT(INDIRECT("数出表_Excel!A"&amp;EN29+2),2)="博多",LEFT(INDIRECT("数出表_Excel!A"&amp;EN29+1),2)=LEFT(INDIRECT("数出表_Excel!A"&amp;EN29+3),2)),
IF(AND(LEFT(INDIRECT("数出表_Excel!A"&amp;EN29+4),2)="博多",LEFT(INDIRECT("数出表_Excel!A"&amp;EN29+3),2)=LEFT(INDIRECT("数出表_Excel!A"&amp;EN29+5),2)),
EN29+8,
EN29+6),
EN29+4),
IF(LEFT(ES29,3)="奈良屋",
IF(LEFT(INDIRECT("数出表_Excel!A"&amp;EN29+2),3)="奈良屋",
IF(LEFT(INDIRECT("数出表_Excel!A"&amp;EN29+4),3)="奈良屋",
EN29+6,
EN29+4),
EN29+2),
EN29+2)))</f>
        <v>243</v>
      </c>
      <c r="EG36" s="81">
        <f t="array" aca="1" ref="EG36" ca="1">GetResult(EF37)</f>
        <v>243</v>
      </c>
      <c r="EH36" s="191" t="str">
        <f ca="1">IF(EH37&lt;&gt;"",
IF(LEFT(EL36,2)="博多",
LEFT(EL36,FIND("週",EL36)-1),
EL36),"")</f>
        <v/>
      </c>
      <c r="EI36" s="192"/>
      <c r="EJ36" s="192"/>
      <c r="EK36" s="192"/>
      <c r="EL36" s="99">
        <f t="array" aca="1" ref="EL36" ca="1">INDIRECT("数出表_Excel!A"&amp;EG36)</f>
        <v>0</v>
      </c>
      <c r="EM36" s="80">
        <f t="array" aca="1" ref="EM36" ca="1">IF(AND(ES29&lt;&gt;"社食",EL36="社食"),EG36,
IF(AND(LEFT(EL36,2)="博多",LEFT(INDIRECT("数出表_Excel!A"&amp;EG36-1),2)=LEFT(INDIRECT("数出表_Excel!A"&amp;EG36+1),2)),
IF(AND(LEFT(INDIRECT("数出表_Excel!A"&amp;EG36+2),2)="博多",LEFT(INDIRECT("数出表_Excel!A"&amp;EG36+1),2)=LEFT(INDIRECT("数出表_Excel!A"&amp;EG36+3),2)),
IF(AND(LEFT(INDIRECT("数出表_Excel!A"&amp;EG36+4),2)="博多",LEFT(INDIRECT("数出表_Excel!A"&amp;EG36+3),2)=LEFT(INDIRECT("数出表_Excel!A"&amp;EG36+5),2)),
EG36+8,
EG36+6),
EG36+4),
IF(LEFT(EL36,3)="奈良屋",
IF(LEFT(INDIRECT("数出表_Excel!A"&amp;EG36+2),3)="奈良屋",
IF(LEFT(INDIRECT("数出表_Excel!A"&amp;EG36+4),3)="奈良屋",
EG36+6,
EG36+4),
EG36+2),
EG36+2)))</f>
        <v>245</v>
      </c>
      <c r="EN36" s="81">
        <f t="array" aca="1" ref="EN36" ca="1">GetResult(EM37)</f>
        <v>245</v>
      </c>
      <c r="EO36" s="191" t="str">
        <f ca="1">IF(EO37&lt;&gt;"",
IF(LEFT(ES36,2)="博多",
LEFT(ES36,FIND("週",ES36)-1),
ES36),"")</f>
        <v/>
      </c>
      <c r="EP36" s="192"/>
      <c r="EQ36" s="192"/>
      <c r="ER36" s="192"/>
      <c r="ES36" s="95">
        <f t="array" aca="1" ref="ES36" ca="1">INDIRECT("数出表_Excel!A"&amp;EN36)</f>
        <v>0</v>
      </c>
      <c r="ET36" s="110"/>
      <c r="EU36" s="82">
        <f t="shared" si="2"/>
        <v>56</v>
      </c>
      <c r="EV36" s="82" t="str">
        <f t="array" aca="1" ref="EV36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LEN(SUBSTITUTE(_xlfn.FORMULATEXT(EV$27),"=","")))+$EU36)</f>
        <v/>
      </c>
      <c r="EW36" s="82" t="str">
        <f t="array" aca="1" ref="EW36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LEN(SUBSTITUTE(_xlfn.FORMULATEXT(EW$27),"=","")))+$EU36)</f>
        <v/>
      </c>
      <c r="EX36" s="82" t="str">
        <f t="array" aca="1" ref="EX36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LEN(SUBSTITUTE(_xlfn.FORMULATEXT(EX$27),"=","")))+$EU36)</f>
        <v/>
      </c>
      <c r="EY36" s="82" t="str">
        <f t="array" aca="1" ref="EY36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LEN(SUBSTITUTE(_xlfn.FORMULATEXT(EY$27),"=","")))+$EU36)</f>
        <v/>
      </c>
      <c r="EZ36" s="82" t="str">
        <f t="array" aca="1" ref="EZ36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LEN(SUBSTITUTE(_xlfn.FORMULATEXT(EZ$27),"=","")))+$EU36)</f>
        <v/>
      </c>
      <c r="FA36" s="82" t="str">
        <f t="array" aca="1" ref="FA36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LEN(SUBSTITUTE(_xlfn.FORMULATEXT(FA$27),"=","")))+$EU36)</f>
        <v/>
      </c>
      <c r="FB36" s="82" t="str">
        <f t="array" aca="1" ref="FB36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LEN(SUBSTITUTE(_xlfn.FORMULATEXT(FB$27),"=","")))+$EU36)</f>
        <v/>
      </c>
      <c r="FC36" s="82" t="str">
        <f t="array" aca="1" ref="FC36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LEN(SUBSTITUTE(_xlfn.FORMULATEXT(FC$27),"=","")))+$EU36)</f>
        <v/>
      </c>
      <c r="FD36" s="82" t="str">
        <f t="array" aca="1" ref="FD36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LEN(SUBSTITUTE(_xlfn.FORMULATEXT(FD$27),"=","")))+$EU36)</f>
        <v/>
      </c>
      <c r="FE36" s="82" t="str">
        <f t="array" aca="1" ref="FE36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LEN(SUBSTITUTE(_xlfn.FORMULATEXT(FE$27),"=","")))+$EU36)</f>
        <v/>
      </c>
      <c r="FF36" s="82" t="str">
        <f t="array" aca="1" ref="FF36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LEN(SUBSTITUTE(_xlfn.FORMULATEXT(FF$27),"=","")))+$EU36)</f>
        <v/>
      </c>
      <c r="FG36" s="82">
        <f t="shared" ca="1" si="3"/>
        <v>0</v>
      </c>
      <c r="FH36" s="82" t="b">
        <f t="array" aca="1" ref="FH36" ca="1">SUMPRODUCT((LEN(EV36:FF36)&gt;0)*1)&gt;0</f>
        <v>0</v>
      </c>
      <c r="FI36" s="82" t="str">
        <f t="array" aca="1" ref="FI36" ca="1">IFERROR(SMALL(IF(FG$1:FG$173&lt;&gt;0,FG$1:FG$173),ROW(A36)),"")</f>
        <v/>
      </c>
      <c r="FJ36" s="82" t="str">
        <f t="array" aca="1" ref="FJ36" ca="1">IF($FI36&lt;&gt;"",
INDIRECT(""&amp;IF(COLUMN(EV36)&lt;=26,CHAR(COLUMN(EV36)+64),CHAR(INT((COLUMN(EV36)-1)/26)+64)&amp;CHAR(MOD(COLUMN(EV36)-1,26)+65))&amp;$FI36&amp;""),"")</f>
        <v/>
      </c>
      <c r="FK36" s="82" t="str">
        <f t="array" aca="1" ref="FK36" ca="1">IF($FI36&lt;&gt;"",
INDIRECT(""&amp;IF(COLUMN(EW36)&lt;=26,CHAR(COLUMN(EW36)+64),CHAR(INT((COLUMN(EW36)-1)/26)+64)&amp;CHAR(MOD(COLUMN(EW36)-1,26)+65))&amp;$FI36&amp;""),"")</f>
        <v/>
      </c>
      <c r="FL36" s="82" t="str">
        <f t="array" aca="1" ref="FL36" ca="1">IF($FI36&lt;&gt;"",
INDIRECT(""&amp;IF(COLUMN(EX36)&lt;=26,CHAR(COLUMN(EX36)+64),CHAR(INT((COLUMN(EX36)-1)/26)+64)&amp;CHAR(MOD(COLUMN(EX36)-1,26)+65))&amp;$FI36&amp;""),"")</f>
        <v/>
      </c>
      <c r="FM36" s="82" t="str">
        <f t="array" aca="1" ref="FM36" ca="1">IF($FI36&lt;&gt;"",
IF(FL36="",
IF(INDIRECT("EY"&amp;$FI36&amp;"")&lt;&gt;"",
INDIRECT("EY"&amp;$FI36&amp;"")&amp;"箱"
&amp;INDIRECT("EZ"&amp;$FI36&amp;""),""),""),"")</f>
        <v/>
      </c>
      <c r="FN36" s="82" t="str">
        <f t="array" aca="1" ref="FN36" ca="1">IF($FI36&lt;&gt;"",
INDIRECT(""&amp;IF(COLUMN(FA36)&lt;=26,CHAR(COLUMN(FA36)+64),CHAR(INT((COLUMN(FA36)-1)/26)+64)&amp;CHAR(MOD(COLUMN(FA36)-1,26)+65))&amp;$FI36&amp;""),"")</f>
        <v/>
      </c>
      <c r="FO36" s="82" t="str">
        <f t="array" aca="1" ref="FO36" ca="1">IF($FI36&lt;&gt;"",
INDIRECT(""&amp;IF(COLUMN(FB36)&lt;=26,CHAR(COLUMN(FB36)+64),CHAR(INT((COLUMN(FB36)-1)/26)+64)&amp;CHAR(MOD(COLUMN(FB36)-1,26)+65))&amp;$FI36&amp;""),"")</f>
        <v/>
      </c>
      <c r="FP36" s="82" t="str">
        <f t="array" aca="1" ref="FP36" ca="1">IF($FI36&lt;&gt;"",
INDIRECT(""&amp;IF(COLUMN(FC36)&lt;=26,CHAR(COLUMN(FC36)+64),CHAR(INT((COLUMN(FC36)-1)/26)+64)&amp;CHAR(MOD(COLUMN(FC36)-1,26)+65))&amp;$FI36&amp;""),"")</f>
        <v/>
      </c>
      <c r="FQ36" s="82" t="str">
        <f t="array" aca="1" ref="FQ36" ca="1">IF($FI36&lt;&gt;"",
INDIRECT(""&amp;IF(COLUMN(FD36)&lt;=26,CHAR(COLUMN(FD36)+64),CHAR(INT((COLUMN(FD36)-1)/26)+64)&amp;CHAR(MOD(COLUMN(FD36)-1,26)+65))&amp;$FI36&amp;""),"")</f>
        <v/>
      </c>
      <c r="FR36" s="82" t="str">
        <f t="array" aca="1" ref="FR36" ca="1">IF($FI36&lt;&gt;"",
INDIRECT(""&amp;IF(COLUMN(FE36)&lt;=26,CHAR(COLUMN(FE36)+64),CHAR(INT((COLUMN(FE36)-1)/26)+64)&amp;CHAR(MOD(COLUMN(FE36)-1,26)+65))&amp;$FI36&amp;""),"")</f>
        <v/>
      </c>
      <c r="FS36" s="82" t="str">
        <f t="array" aca="1" ref="FS36" ca="1">IF($FI36&lt;&gt;"",
INDIRECT(""&amp;IF(COLUMN(FF36)&lt;=26,CHAR(COLUMN(FF36)+64),CHAR(INT((COLUMN(FF36)-1)/26)+64)&amp;CHAR(MOD(COLUMN(FF36)-1,26)+65))&amp;$FI36&amp;""),"")</f>
        <v/>
      </c>
    </row>
    <row r="37" spans="1:175" s="82" customFormat="1" ht="19.2" customHeight="1" x14ac:dyDescent="0.55000000000000004">
      <c r="A37" s="80">
        <f t="array" aca="1" ref="A37" ca="1">IF(INDIRECT("数出表_Excel!A"&amp;GetResult(A36))="社食",
GetResult(A36)+2,GetResult(A36))</f>
        <v>27</v>
      </c>
      <c r="B37" s="85" t="str">
        <f t="array" aca="1" ref="B37" ca="1">IF(C36&lt;&gt;"",MATCH(TRUE,INDIRECT("数出表_Excel!B"&amp;MATCH(G36,数出表_Excel!$A:$A,0)-1&amp;":U"&amp;MATCH(G36,数出表_Excel!$A:$A,0)-1&amp;"")&lt;&gt;"",0)+1,"")</f>
        <v/>
      </c>
      <c r="C37" s="62" t="str">
        <f t="array" aca="1" ref="C37" ca="1">IF(COUNTIF(G36,"*合計*"),"",
IF(IFERROR(INDIRECT("数出表_Excel!" &amp;
CHAR(MATCH(TRUE,
ISNUMBER(--INDIRECT("数出表_Excel!B"&amp;MATCH(G36,数出表_Excel!$A:$A,0)-1&amp;":U"&amp;MATCH(G36,数出表_Excel!$A:$A,0)-1&amp;"")),0)+65) &amp; "3"),0)=0,"",
IFERROR(INDIRECT("数出表_Excel!" &amp;
CHAR(MATCH(TRUE,
ISNUMBER(--INDIRECT("数出表_Excel!B"&amp;MATCH(G36,数出表_Excel!$A:$A,0)-1&amp;":U"&amp;MATCH(G36,数出表_Excel!$A:$A,0)-1&amp;"")),0)+65) &amp; "3"),"")))</f>
        <v/>
      </c>
      <c r="D37" s="80"/>
      <c r="E37" s="86" t="str">
        <f t="array" aca="1" ref="E37" ca="1">IF(F37&lt;&gt;"","",
IF(COUNTIF(C36,"*雙葉*"),"",
IF(C36&lt;&gt;"",
IFERROR(
INDEX('数出表_Excel（アレルギー入力）'!$4:$4,
 1,
MATCH(TRUE,INDIRECT("'数出表_Excel（アレルギー入力）'!B"&amp;MATCH(G36,'数出表_Excel（アレルギー入力）'!$A:$A,0)-1&amp;":U"&amp;MATCH(G36,'数出表_Excel（アレルギー入力）'!$A:$A,0)-1&amp;"")&lt;&gt;"",0)+1
),
 "")
&amp;IFERROR(
INDEX('数出表_Excel（アレルギー入力）'!$5:$5,
 1,
MATCH(TRUE,INDIRECT("'数出表_Excel（アレルギー入力）'!B"&amp;MATCH(G36,'数出表_Excel（アレルギー入力）'!$A:$A,0)-1&amp;":U"&amp;MATCH(G36,'数出表_Excel（アレルギー入力）'!$A:$A,0)-1&amp;"")&lt;&gt;"",0)+1),
 ""),"")))</f>
        <v/>
      </c>
      <c r="F37" s="87" t="str">
        <f t="array" aca="1" ref="F37" ca="1">IF(C37&lt;&gt;"",
IF(COUNTIF(C36,"*雙葉*"),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VLOOKUP('盛付札（関数）'!C37,商品マスタ一覧!$D:$J,7,FALSE))),0)),
IF(MATCH(TRUE,
ISNUMBER(--INDIRECT("数出表_Excel!B"&amp;MATCH(G36,数出表_Excel!$A:$A,0)-1&amp;":U"&amp;MATCH(G36,数出表_Excel!$A:$A,0)-1&amp;"")),0)&gt;10,
IF(C37&lt;&gt;"",
IF(IF(COUNTIF('盛付札（関数）'!C37,"*キャラ*"),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VLOOKUP('盛付札（関数）'!C37,商品マスタ一覧!$D:$J,7,FALSE)))=0,"",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VLOOKUP('盛付札（関数）'!C37,商品マスタ一覧!$D:$J,7,FALSE))),0))),""),"")),"")</f>
        <v/>
      </c>
      <c r="G37" s="100" t="str">
        <f ca="1">IF(F37&lt;&gt;"",IF(VALUE(IF(F42&lt;&gt;"",C39-F42,C39))&gt;VALUE(IF(COUNTIF('盛付札（関数）'!C37,"*キャラ*"),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
"+"&amp;IF(F42&lt;&gt;"",C39-F42,C39)-IF(COUNTIF('盛付札（関数）'!C37,"*キャラ*"),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VLOOKUP('盛付札（関数）'!C37,商品マスタ一覧!$D:$J,7,FALSE)))*F37,
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VLOOKUP('盛付札（関数）'!C37,商品マスタ一覧!$D:$J,7,FALSE)))*F37),"")</f>
        <v/>
      </c>
      <c r="H37" s="80">
        <f t="array" aca="1" ref="H37" ca="1">IF(INDIRECT("数出表_Excel!A"&amp;GetResult(H36))="社食",
GetResult(H36)+2,GetResult(H36))</f>
        <v>29</v>
      </c>
      <c r="I37" s="85" t="str">
        <f t="array" aca="1" ref="I37" ca="1">IF(J36&lt;&gt;"",MATCH(TRUE,INDIRECT("数出表_Excel!B"&amp;MATCH(N36,数出表_Excel!$A:$A,0)-1&amp;":U"&amp;MATCH(N36,数出表_Excel!$A:$A,0)-1&amp;"")&lt;&gt;"",0)+1,"")</f>
        <v/>
      </c>
      <c r="J37" s="62" t="str">
        <f t="array" aca="1" ref="J37" ca="1">IF(COUNTIF(N36,"*合計*"),"",
IF(IFERROR(INDIRECT("数出表_Excel!" &amp;
CHAR(MATCH(TRUE,
ISNUMBER(--INDIRECT("数出表_Excel!B"&amp;MATCH(N36,数出表_Excel!$A:$A,0)-1&amp;":U"&amp;MATCH(N36,数出表_Excel!$A:$A,0)-1&amp;"")),0)+65) &amp; "3"),0)=0,"",
IFERROR(INDIRECT("数出表_Excel!" &amp;
CHAR(MATCH(TRUE,
ISNUMBER(--INDIRECT("数出表_Excel!B"&amp;MATCH(N36,数出表_Excel!$A:$A,0)-1&amp;":U"&amp;MATCH(N36,数出表_Excel!$A:$A,0)-1&amp;"")),0)+65) &amp; "3"),"")))</f>
        <v/>
      </c>
      <c r="K37" s="80"/>
      <c r="L37" s="86" t="str">
        <f t="array" aca="1" ref="L37" ca="1">IF(M37&lt;&gt;"","",
IF(COUNTIF(J36,"*雙葉*"),"",
IF(J36&lt;&gt;"",
IFERROR(
INDEX('数出表_Excel（アレルギー入力）'!$4:$4,
 1,
MATCH(TRUE,INDIRECT("'数出表_Excel（アレルギー入力）'!B"&amp;MATCH(N36,'数出表_Excel（アレルギー入力）'!$A:$A,0)-1&amp;":U"&amp;MATCH(N36,'数出表_Excel（アレルギー入力）'!$A:$A,0)-1&amp;"")&lt;&gt;"",0)+1
),
 "")
&amp;IFERROR(
INDEX('数出表_Excel（アレルギー入力）'!$5:$5,
 1,
MATCH(TRUE,INDIRECT("'数出表_Excel（アレルギー入力）'!B"&amp;MATCH(N36,'数出表_Excel（アレルギー入力）'!$A:$A,0)-1&amp;":U"&amp;MATCH(N36,'数出表_Excel（アレルギー入力）'!$A:$A,0)-1&amp;"")&lt;&gt;"",0)+1),
 ""),"")))</f>
        <v/>
      </c>
      <c r="M37" s="87" t="str">
        <f t="array" aca="1" ref="M37" ca="1">IF(J37&lt;&gt;"",
IF(COUNTIF(J36,"*雙葉*"),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VLOOKUP('盛付札（関数）'!J37,商品マスタ一覧!$D:$J,7,FALSE))),0)),
IF(MATCH(TRUE,
ISNUMBER(--INDIRECT("数出表_Excel!B"&amp;MATCH(N36,数出表_Excel!$A:$A,0)-1&amp;":U"&amp;MATCH(N36,数出表_Excel!$A:$A,0)-1&amp;"")),0)&gt;10,
IF(J37&lt;&gt;"",
IF(IF(COUNTIF('盛付札（関数）'!J37,"*キャラ*"),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VLOOKUP('盛付札（関数）'!J37,商品マスタ一覧!$D:$J,7,FALSE)))=0,"",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VLOOKUP('盛付札（関数）'!J37,商品マスタ一覧!$D:$J,7,FALSE))),0))),""),"")),"")</f>
        <v/>
      </c>
      <c r="N37" s="96" t="str">
        <f ca="1">IF(M37&lt;&gt;"",IF(VALUE(IF(M42&lt;&gt;"",J39-M42,J39))&gt;VALUE(IF(COUNTIF('盛付札（関数）'!J37,"*キャラ*"),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
"+"&amp;IF(M42&lt;&gt;"",J39-M42,J39)-IF(COUNTIF('盛付札（関数）'!J37,"*キャラ*"),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VLOOKUP('盛付札（関数）'!J37,商品マスタ一覧!$D:$J,7,FALSE)))*M37,
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VLOOKUP('盛付札（関数）'!J37,商品マスタ一覧!$D:$J,7,FALSE)))*M37),"")</f>
        <v/>
      </c>
      <c r="O37" s="80"/>
      <c r="P37" s="80">
        <f t="array" aca="1" ref="P37" ca="1">IF(INDIRECT("数出表_Excel!A"&amp;GetResult(P36))="社食",
GetResult(P36)+2,GetResult(P36))</f>
        <v>51</v>
      </c>
      <c r="Q37" s="85" t="str">
        <f t="array" aca="1" ref="Q37" ca="1">IF(R36&lt;&gt;"",MATCH(TRUE,INDIRECT("数出表_Excel!B"&amp;MATCH(V36,数出表_Excel!$A:$A,0)-1&amp;":U"&amp;MATCH(V36,数出表_Excel!$A:$A,0)-1&amp;"")&lt;&gt;"",0)+1,"")</f>
        <v/>
      </c>
      <c r="R37" s="62" t="str">
        <f t="array" aca="1" ref="R37" ca="1">IF(COUNTIF(V36,"*合計*"),"",
IF(IFERROR(INDIRECT("数出表_Excel!" &amp;
CHAR(MATCH(TRUE,
ISNUMBER(--INDIRECT("数出表_Excel!B"&amp;MATCH(V36,数出表_Excel!$A:$A,0)-1&amp;":U"&amp;MATCH(V36,数出表_Excel!$A:$A,0)-1&amp;"")),0)+65) &amp; "3"),0)=0,"",
IFERROR(INDIRECT("数出表_Excel!" &amp;
CHAR(MATCH(TRUE,
ISNUMBER(--INDIRECT("数出表_Excel!B"&amp;MATCH(V36,数出表_Excel!$A:$A,0)-1&amp;":U"&amp;MATCH(V36,数出表_Excel!$A:$A,0)-1&amp;"")),0)+65) &amp; "3"),"")))</f>
        <v/>
      </c>
      <c r="S37" s="80"/>
      <c r="T37" s="86" t="str">
        <f t="array" aca="1" ref="T37" ca="1">IF(U37&lt;&gt;"","",
IF(COUNTIF(R36,"*雙葉*"),"",
IF(R36&lt;&gt;"",
IFERROR(
INDEX('数出表_Excel（アレルギー入力）'!$4:$4,
 1,
MATCH(TRUE,INDIRECT("'数出表_Excel（アレルギー入力）'!B"&amp;MATCH(V36,'数出表_Excel（アレルギー入力）'!$A:$A,0)-1&amp;":U"&amp;MATCH(V36,'数出表_Excel（アレルギー入力）'!$A:$A,0)-1&amp;"")&lt;&gt;"",0)+1
),
 "")
&amp;IFERROR(
INDEX('数出表_Excel（アレルギー入力）'!$5:$5,
 1,
MATCH(TRUE,INDIRECT("'数出表_Excel（アレルギー入力）'!B"&amp;MATCH(V36,'数出表_Excel（アレルギー入力）'!$A:$A,0)-1&amp;":U"&amp;MATCH(V36,'数出表_Excel（アレルギー入力）'!$A:$A,0)-1&amp;"")&lt;&gt;"",0)+1),
 ""),"")))</f>
        <v/>
      </c>
      <c r="U37" s="87" t="str">
        <f t="array" aca="1" ref="U37" ca="1">IF(R37&lt;&gt;"",
IF(COUNTIF(R36,"*雙葉*"),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VLOOKUP('盛付札（関数）'!R37,商品マスタ一覧!$D:$J,7,FALSE))),0)),
IF(MATCH(TRUE,
ISNUMBER(--INDIRECT("数出表_Excel!B"&amp;MATCH(V36,数出表_Excel!$A:$A,0)-1&amp;":U"&amp;MATCH(V36,数出表_Excel!$A:$A,0)-1&amp;"")),0)&gt;10,
IF(R37&lt;&gt;"",
IF(IF(COUNTIF('盛付札（関数）'!R37,"*キャラ*"),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VLOOKUP('盛付札（関数）'!R37,商品マスタ一覧!$D:$J,7,FALSE)))=0,"",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VLOOKUP('盛付札（関数）'!R37,商品マスタ一覧!$D:$J,7,FALSE))),0))),""),"")),"")</f>
        <v/>
      </c>
      <c r="V37" s="100" t="str">
        <f ca="1">IF(U37&lt;&gt;"",IF(VALUE(IF(U42&lt;&gt;"",R39-U42,R39))&gt;VALUE(IF(COUNTIF('盛付札（関数）'!R37,"*キャラ*"),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
"+"&amp;IF(U42&lt;&gt;"",R39-U42,R39)-IF(COUNTIF('盛付札（関数）'!R37,"*キャラ*"),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VLOOKUP('盛付札（関数）'!R37,商品マスタ一覧!$D:$J,7,FALSE)))*U37,
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VLOOKUP('盛付札（関数）'!R37,商品マスタ一覧!$D:$J,7,FALSE)))*U37),"")</f>
        <v/>
      </c>
      <c r="W37" s="80">
        <f t="array" aca="1" ref="W37" ca="1">IF(INDIRECT("数出表_Excel!A"&amp;GetResult(W36))="社食",
GetResult(W36)+2,GetResult(W36))</f>
        <v>53</v>
      </c>
      <c r="X37" s="85" t="str">
        <f t="array" aca="1" ref="X37" ca="1">IF(Y36&lt;&gt;"",MATCH(TRUE,INDIRECT("数出表_Excel!B"&amp;MATCH(AC36,数出表_Excel!$A:$A,0)-1&amp;":U"&amp;MATCH(AC36,数出表_Excel!$A:$A,0)-1&amp;"")&lt;&gt;"",0)+1,"")</f>
        <v/>
      </c>
      <c r="Y37" s="62" t="str">
        <f t="array" aca="1" ref="Y37" ca="1">IF(COUNTIF(AC36,"*合計*"),"",
IF(IFERROR(INDIRECT("数出表_Excel!" &amp;
CHAR(MATCH(TRUE,
ISNUMBER(--INDIRECT("数出表_Excel!B"&amp;MATCH(AC36,数出表_Excel!$A:$A,0)-1&amp;":U"&amp;MATCH(AC36,数出表_Excel!$A:$A,0)-1&amp;"")),0)+65) &amp; "3"),0)=0,"",
IFERROR(INDIRECT("数出表_Excel!" &amp;
CHAR(MATCH(TRUE,
ISNUMBER(--INDIRECT("数出表_Excel!B"&amp;MATCH(AC36,数出表_Excel!$A:$A,0)-1&amp;":U"&amp;MATCH(AC36,数出表_Excel!$A:$A,0)-1&amp;"")),0)+65) &amp; "3"),"")))</f>
        <v/>
      </c>
      <c r="Z37" s="80"/>
      <c r="AA37" s="86" t="str">
        <f t="array" aca="1" ref="AA37" ca="1">IF(AB37&lt;&gt;"","",
IF(COUNTIF(Y36,"*雙葉*"),"",
IF(Y36&lt;&gt;"",
IFERROR(
INDEX('数出表_Excel（アレルギー入力）'!$4:$4,
 1,
MATCH(TRUE,INDIRECT("'数出表_Excel（アレルギー入力）'!B"&amp;MATCH(AC36,'数出表_Excel（アレルギー入力）'!$A:$A,0)-1&amp;":U"&amp;MATCH(AC36,'数出表_Excel（アレルギー入力）'!$A:$A,0)-1&amp;"")&lt;&gt;"",0)+1
),
 "")
&amp;IFERROR(
INDEX('数出表_Excel（アレルギー入力）'!$5:$5,
 1,
MATCH(TRUE,INDIRECT("'数出表_Excel（アレルギー入力）'!B"&amp;MATCH(AC36,'数出表_Excel（アレルギー入力）'!$A:$A,0)-1&amp;":U"&amp;MATCH(AC36,'数出表_Excel（アレルギー入力）'!$A:$A,0)-1&amp;"")&lt;&gt;"",0)+1),
 ""),"")))</f>
        <v/>
      </c>
      <c r="AB37" s="87" t="str">
        <f t="array" aca="1" ref="AB37" ca="1">IF(Y37&lt;&gt;"",
IF(COUNTIF(Y36,"*雙葉*"),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VLOOKUP('盛付札（関数）'!Y37,商品マスタ一覧!$D:$J,7,FALSE))),0)),
IF(MATCH(TRUE,
ISNUMBER(--INDIRECT("数出表_Excel!B"&amp;MATCH(AC36,数出表_Excel!$A:$A,0)-1&amp;":U"&amp;MATCH(AC36,数出表_Excel!$A:$A,0)-1&amp;"")),0)&gt;10,
IF(Y37&lt;&gt;"",
IF(IF(COUNTIF('盛付札（関数）'!Y37,"*キャラ*"),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VLOOKUP('盛付札（関数）'!Y37,商品マスタ一覧!$D:$J,7,FALSE)))=0,"",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VLOOKUP('盛付札（関数）'!Y37,商品マスタ一覧!$D:$J,7,FALSE))),0))),""),"")),"")</f>
        <v/>
      </c>
      <c r="AC37" s="96" t="str">
        <f ca="1">IF(AB37&lt;&gt;"",IF(VALUE(IF(AB42&lt;&gt;"",Y39-AB42,Y39))&gt;VALUE(IF(COUNTIF('盛付札（関数）'!Y37,"*キャラ*"),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
"+"&amp;IF(AB42&lt;&gt;"",Y39-AB42,Y39)-IF(COUNTIF('盛付札（関数）'!Y37,"*キャラ*"),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VLOOKUP('盛付札（関数）'!Y37,商品マスタ一覧!$D:$J,7,FALSE)))*AB37,
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VLOOKUP('盛付札（関数）'!Y37,商品マスタ一覧!$D:$J,7,FALSE)))*AB37),"")</f>
        <v/>
      </c>
      <c r="AD37" s="80"/>
      <c r="AE37" s="80">
        <f t="array" aca="1" ref="AE37" ca="1">IF(INDIRECT("数出表_Excel!A"&amp;GetResult(AE36))="社食",
GetResult(AE36)+2,GetResult(AE36))</f>
        <v>75</v>
      </c>
      <c r="AF37" s="85" t="str">
        <f t="array" aca="1" ref="AF37" ca="1">IF(AG36&lt;&gt;"",MATCH(TRUE,INDIRECT("数出表_Excel!B"&amp;MATCH(AK36,数出表_Excel!$A:$A,0)-1&amp;":U"&amp;MATCH(AK36,数出表_Excel!$A:$A,0)-1&amp;"")&lt;&gt;"",0)+1,"")</f>
        <v/>
      </c>
      <c r="AG37" s="62" t="str">
        <f t="array" aca="1" ref="AG37" ca="1">IF(COUNTIF(AK36,"*合計*"),"",
IF(IFERROR(INDIRECT("数出表_Excel!" &amp;
CHAR(MATCH(TRUE,
ISNUMBER(--INDIRECT("数出表_Excel!B"&amp;MATCH(AK36,数出表_Excel!$A:$A,0)-1&amp;":U"&amp;MATCH(AK36,数出表_Excel!$A:$A,0)-1&amp;"")),0)+65) &amp; "3"),0)=0,"",
IFERROR(INDIRECT("数出表_Excel!" &amp;
CHAR(MATCH(TRUE,
ISNUMBER(--INDIRECT("数出表_Excel!B"&amp;MATCH(AK36,数出表_Excel!$A:$A,0)-1&amp;":U"&amp;MATCH(AK36,数出表_Excel!$A:$A,0)-1&amp;"")),0)+65) &amp; "3"),"")))</f>
        <v/>
      </c>
      <c r="AH37" s="80"/>
      <c r="AI37" s="86" t="str">
        <f t="array" aca="1" ref="AI37" ca="1">IF(AJ37&lt;&gt;"","",
IF(COUNTIF(AG36,"*雙葉*"),"",
IF(AG36&lt;&gt;"",
IFERROR(
INDEX('数出表_Excel（アレルギー入力）'!$4:$4,
 1,
MATCH(TRUE,INDIRECT("'数出表_Excel（アレルギー入力）'!B"&amp;MATCH(AK36,'数出表_Excel（アレルギー入力）'!$A:$A,0)-1&amp;":U"&amp;MATCH(AK36,'数出表_Excel（アレルギー入力）'!$A:$A,0)-1&amp;"")&lt;&gt;"",0)+1
),
 "")
&amp;IFERROR(
INDEX('数出表_Excel（アレルギー入力）'!$5:$5,
 1,
MATCH(TRUE,INDIRECT("'数出表_Excel（アレルギー入力）'!B"&amp;MATCH(AK36,'数出表_Excel（アレルギー入力）'!$A:$A,0)-1&amp;":U"&amp;MATCH(AK36,'数出表_Excel（アレルギー入力）'!$A:$A,0)-1&amp;"")&lt;&gt;"",0)+1),
 ""),"")))</f>
        <v/>
      </c>
      <c r="AJ37" s="87" t="str">
        <f t="array" aca="1" ref="AJ37" ca="1">IF(AG37&lt;&gt;"",
IF(COUNTIF(AG36,"*雙葉*"),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VLOOKUP('盛付札（関数）'!AG37,商品マスタ一覧!$D:$J,7,FALSE))),0)),
IF(MATCH(TRUE,
ISNUMBER(--INDIRECT("数出表_Excel!B"&amp;MATCH(AK36,数出表_Excel!$A:$A,0)-1&amp;":U"&amp;MATCH(AK36,数出表_Excel!$A:$A,0)-1&amp;"")),0)&gt;10,
IF(AG37&lt;&gt;"",
IF(IF(COUNTIF('盛付札（関数）'!AG37,"*キャラ*"),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VLOOKUP('盛付札（関数）'!AG37,商品マスタ一覧!$D:$J,7,FALSE)))=0,"",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VLOOKUP('盛付札（関数）'!AG37,商品マスタ一覧!$D:$J,7,FALSE))),0))),""),"")),"")</f>
        <v/>
      </c>
      <c r="AK37" s="100" t="str">
        <f ca="1">IF(AJ37&lt;&gt;"",IF(VALUE(IF(AJ42&lt;&gt;"",AG39-AJ42,AG39))&gt;VALUE(IF(COUNTIF('盛付札（関数）'!AG37,"*キャラ*"),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
"+"&amp;IF(AJ42&lt;&gt;"",AG39-AJ42,AG39)-IF(COUNTIF('盛付札（関数）'!AG37,"*キャラ*"),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VLOOKUP('盛付札（関数）'!AG37,商品マスタ一覧!$D:$J,7,FALSE)))*AJ37,
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VLOOKUP('盛付札（関数）'!AG37,商品マスタ一覧!$D:$J,7,FALSE)))*AJ37),"")</f>
        <v/>
      </c>
      <c r="AL37" s="80">
        <f t="array" aca="1" ref="AL37" ca="1">IF(INDIRECT("数出表_Excel!A"&amp;GetResult(AL36))="社食",
GetResult(AL36)+2,GetResult(AL36))</f>
        <v>77</v>
      </c>
      <c r="AM37" s="85" t="str">
        <f t="array" aca="1" ref="AM37" ca="1">IF(AN36&lt;&gt;"",MATCH(TRUE,INDIRECT("数出表_Excel!B"&amp;MATCH(AR36,数出表_Excel!$A:$A,0)-1&amp;":U"&amp;MATCH(AR36,数出表_Excel!$A:$A,0)-1&amp;"")&lt;&gt;"",0)+1,"")</f>
        <v/>
      </c>
      <c r="AN37" s="62" t="str">
        <f t="array" aca="1" ref="AN37" ca="1">IF(COUNTIF(AR36,"*合計*"),"",
IF(IFERROR(INDIRECT("数出表_Excel!" &amp;
CHAR(MATCH(TRUE,
ISNUMBER(--INDIRECT("数出表_Excel!B"&amp;MATCH(AR36,数出表_Excel!$A:$A,0)-1&amp;":U"&amp;MATCH(AR36,数出表_Excel!$A:$A,0)-1&amp;"")),0)+65) &amp; "3"),0)=0,"",
IFERROR(INDIRECT("数出表_Excel!" &amp;
CHAR(MATCH(TRUE,
ISNUMBER(--INDIRECT("数出表_Excel!B"&amp;MATCH(AR36,数出表_Excel!$A:$A,0)-1&amp;":U"&amp;MATCH(AR36,数出表_Excel!$A:$A,0)-1&amp;"")),0)+65) &amp; "3"),"")))</f>
        <v/>
      </c>
      <c r="AO37" s="80"/>
      <c r="AP37" s="86" t="str">
        <f t="array" aca="1" ref="AP37" ca="1">IF(AQ37&lt;&gt;"","",
IF(COUNTIF(AN36,"*雙葉*"),"",
IF(AN36&lt;&gt;"",
IFERROR(
INDEX('数出表_Excel（アレルギー入力）'!$4:$4,
 1,
MATCH(TRUE,INDIRECT("'数出表_Excel（アレルギー入力）'!B"&amp;MATCH(AR36,'数出表_Excel（アレルギー入力）'!$A:$A,0)-1&amp;":U"&amp;MATCH(AR36,'数出表_Excel（アレルギー入力）'!$A:$A,0)-1&amp;"")&lt;&gt;"",0)+1
),
 "")
&amp;IFERROR(
INDEX('数出表_Excel（アレルギー入力）'!$5:$5,
 1,
MATCH(TRUE,INDIRECT("'数出表_Excel（アレルギー入力）'!B"&amp;MATCH(AR36,'数出表_Excel（アレルギー入力）'!$A:$A,0)-1&amp;":U"&amp;MATCH(AR36,'数出表_Excel（アレルギー入力）'!$A:$A,0)-1&amp;"")&lt;&gt;"",0)+1),
 ""),"")))</f>
        <v/>
      </c>
      <c r="AQ37" s="87" t="str">
        <f t="array" aca="1" ref="AQ37" ca="1">IF(AN37&lt;&gt;"",
IF(COUNTIF(AN36,"*雙葉*"),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VLOOKUP('盛付札（関数）'!AN37,商品マスタ一覧!$D:$J,7,FALSE))),0)),
IF(MATCH(TRUE,
ISNUMBER(--INDIRECT("数出表_Excel!B"&amp;MATCH(AR36,数出表_Excel!$A:$A,0)-1&amp;":U"&amp;MATCH(AR36,数出表_Excel!$A:$A,0)-1&amp;"")),0)&gt;10,
IF(AN37&lt;&gt;"",
IF(IF(COUNTIF('盛付札（関数）'!AN37,"*キャラ*"),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VLOOKUP('盛付札（関数）'!AN37,商品マスタ一覧!$D:$J,7,FALSE)))=0,"",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VLOOKUP('盛付札（関数）'!AN37,商品マスタ一覧!$D:$J,7,FALSE))),0))),""),"")),"")</f>
        <v/>
      </c>
      <c r="AR37" s="96" t="str">
        <f ca="1">IF(AQ37&lt;&gt;"",IF(VALUE(IF(AQ42&lt;&gt;"",AN39-AQ42,AN39))&gt;VALUE(IF(COUNTIF('盛付札（関数）'!AN37,"*キャラ*"),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
"+"&amp;IF(AQ42&lt;&gt;"",AN39-AQ42,AN39)-IF(COUNTIF('盛付札（関数）'!AN37,"*キャラ*"),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VLOOKUP('盛付札（関数）'!AN37,商品マスタ一覧!$D:$J,7,FALSE)))*AQ37,
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VLOOKUP('盛付札（関数）'!AN37,商品マスタ一覧!$D:$J,7,FALSE)))*AQ37),"")</f>
        <v/>
      </c>
      <c r="AS37" s="80"/>
      <c r="AT37" s="80">
        <f t="array" aca="1" ref="AT37" ca="1">IF(INDIRECT("数出表_Excel!A"&amp;GetResult(AT36))="社食",
GetResult(AT36)+2,GetResult(AT36))</f>
        <v>99</v>
      </c>
      <c r="AU37" s="85" t="str">
        <f t="array" aca="1" ref="AU37" ca="1">IF(AV36&lt;&gt;"",MATCH(TRUE,INDIRECT("数出表_Excel!B"&amp;MATCH(AZ36,数出表_Excel!$A:$A,0)-1&amp;":U"&amp;MATCH(AZ36,数出表_Excel!$A:$A,0)-1&amp;"")&lt;&gt;"",0)+1,"")</f>
        <v/>
      </c>
      <c r="AV37" s="62" t="str">
        <f t="array" aca="1" ref="AV37" ca="1">IF(COUNTIF(AZ36,"*合計*"),"",
IF(IFERROR(INDIRECT("数出表_Excel!" &amp;
CHAR(MATCH(TRUE,
ISNUMBER(--INDIRECT("数出表_Excel!B"&amp;MATCH(AZ36,数出表_Excel!$A:$A,0)-1&amp;":U"&amp;MATCH(AZ36,数出表_Excel!$A:$A,0)-1&amp;"")),0)+65) &amp; "3"),0)=0,"",
IFERROR(INDIRECT("数出表_Excel!" &amp;
CHAR(MATCH(TRUE,
ISNUMBER(--INDIRECT("数出表_Excel!B"&amp;MATCH(AZ36,数出表_Excel!$A:$A,0)-1&amp;":U"&amp;MATCH(AZ36,数出表_Excel!$A:$A,0)-1&amp;"")),0)+65) &amp; "3"),"")))</f>
        <v/>
      </c>
      <c r="AW37" s="80"/>
      <c r="AX37" s="86" t="str">
        <f t="array" aca="1" ref="AX37" ca="1">IF(AY37&lt;&gt;"","",
IF(COUNTIF(AV36,"*雙葉*"),"",
IF(AV36&lt;&gt;"",
IFERROR(
INDEX('数出表_Excel（アレルギー入力）'!$4:$4,
 1,
MATCH(TRUE,INDIRECT("'数出表_Excel（アレルギー入力）'!B"&amp;MATCH(AZ36,'数出表_Excel（アレルギー入力）'!$A:$A,0)-1&amp;":U"&amp;MATCH(AZ36,'数出表_Excel（アレルギー入力）'!$A:$A,0)-1&amp;"")&lt;&gt;"",0)+1
),
 "")
&amp;IFERROR(
INDEX('数出表_Excel（アレルギー入力）'!$5:$5,
 1,
MATCH(TRUE,INDIRECT("'数出表_Excel（アレルギー入力）'!B"&amp;MATCH(AZ36,'数出表_Excel（アレルギー入力）'!$A:$A,0)-1&amp;":U"&amp;MATCH(AZ36,'数出表_Excel（アレルギー入力）'!$A:$A,0)-1&amp;"")&lt;&gt;"",0)+1),
 ""),"")))</f>
        <v/>
      </c>
      <c r="AY37" s="87" t="str">
        <f t="array" aca="1" ref="AY37" ca="1">IF(AV37&lt;&gt;"",
IF(COUNTIF(AV36,"*雙葉*"),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VLOOKUP('盛付札（関数）'!AV37,商品マスタ一覧!$D:$J,7,FALSE))),0)),
IF(MATCH(TRUE,
ISNUMBER(--INDIRECT("数出表_Excel!B"&amp;MATCH(AZ36,数出表_Excel!$A:$A,0)-1&amp;":U"&amp;MATCH(AZ36,数出表_Excel!$A:$A,0)-1&amp;"")),0)&gt;10,
IF(AV37&lt;&gt;"",
IF(IF(COUNTIF('盛付札（関数）'!AV37,"*キャラ*"),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VLOOKUP('盛付札（関数）'!AV37,商品マスタ一覧!$D:$J,7,FALSE)))=0,"",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VLOOKUP('盛付札（関数）'!AV37,商品マスタ一覧!$D:$J,7,FALSE))),0))),""),"")),"")</f>
        <v/>
      </c>
      <c r="AZ37" s="100" t="str">
        <f ca="1">IF(AY37&lt;&gt;"",IF(VALUE(IF(AY42&lt;&gt;"",AV39-AY42,AV39))&gt;VALUE(IF(COUNTIF('盛付札（関数）'!AV37,"*キャラ*"),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
"+"&amp;IF(AY42&lt;&gt;"",AV39-AY42,AV39)-IF(COUNTIF('盛付札（関数）'!AV37,"*キャラ*"),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VLOOKUP('盛付札（関数）'!AV37,商品マスタ一覧!$D:$J,7,FALSE)))*AY37,
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VLOOKUP('盛付札（関数）'!AV37,商品マスタ一覧!$D:$J,7,FALSE)))*AY37),"")</f>
        <v/>
      </c>
      <c r="BA37" s="80">
        <f t="array" aca="1" ref="BA37" ca="1">IF(INDIRECT("数出表_Excel!A"&amp;GetResult(BA36))="社食",
GetResult(BA36)+2,GetResult(BA36))</f>
        <v>101</v>
      </c>
      <c r="BB37" s="85" t="str">
        <f t="array" aca="1" ref="BB37" ca="1">IF(BC36&lt;&gt;"",MATCH(TRUE,INDIRECT("数出表_Excel!B"&amp;MATCH(BG36,数出表_Excel!$A:$A,0)-1&amp;":U"&amp;MATCH(BG36,数出表_Excel!$A:$A,0)-1&amp;"")&lt;&gt;"",0)+1,"")</f>
        <v/>
      </c>
      <c r="BC37" s="62" t="str">
        <f t="array" aca="1" ref="BC37" ca="1">IF(COUNTIF(BG36,"*合計*"),"",
IF(IFERROR(INDIRECT("数出表_Excel!" &amp;
CHAR(MATCH(TRUE,
ISNUMBER(--INDIRECT("数出表_Excel!B"&amp;MATCH(BG36,数出表_Excel!$A:$A,0)-1&amp;":U"&amp;MATCH(BG36,数出表_Excel!$A:$A,0)-1&amp;"")),0)+65) &amp; "3"),0)=0,"",
IFERROR(INDIRECT("数出表_Excel!" &amp;
CHAR(MATCH(TRUE,
ISNUMBER(--INDIRECT("数出表_Excel!B"&amp;MATCH(BG36,数出表_Excel!$A:$A,0)-1&amp;":U"&amp;MATCH(BG36,数出表_Excel!$A:$A,0)-1&amp;"")),0)+65) &amp; "3"),"")))</f>
        <v/>
      </c>
      <c r="BD37" s="80"/>
      <c r="BE37" s="86" t="str">
        <f t="array" aca="1" ref="BE37" ca="1">IF(BF37&lt;&gt;"","",
IF(COUNTIF(BC36,"*雙葉*"),"",
IF(BC36&lt;&gt;"",
IFERROR(
INDEX('数出表_Excel（アレルギー入力）'!$4:$4,
 1,
MATCH(TRUE,INDIRECT("'数出表_Excel（アレルギー入力）'!B"&amp;MATCH(BG36,'数出表_Excel（アレルギー入力）'!$A:$A,0)-1&amp;":U"&amp;MATCH(BG36,'数出表_Excel（アレルギー入力）'!$A:$A,0)-1&amp;"")&lt;&gt;"",0)+1
),
 "")
&amp;IFERROR(
INDEX('数出表_Excel（アレルギー入力）'!$5:$5,
 1,
MATCH(TRUE,INDIRECT("'数出表_Excel（アレルギー入力）'!B"&amp;MATCH(BG36,'数出表_Excel（アレルギー入力）'!$A:$A,0)-1&amp;":U"&amp;MATCH(BG36,'数出表_Excel（アレルギー入力）'!$A:$A,0)-1&amp;"")&lt;&gt;"",0)+1),
 ""),"")))</f>
        <v/>
      </c>
      <c r="BF37" s="87" t="str">
        <f t="array" aca="1" ref="BF37" ca="1">IF(BC37&lt;&gt;"",
IF(COUNTIF(BC36,"*雙葉*"),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VLOOKUP('盛付札（関数）'!BC37,商品マスタ一覧!$D:$J,7,FALSE))),0)),
IF(MATCH(TRUE,
ISNUMBER(--INDIRECT("数出表_Excel!B"&amp;MATCH(BG36,数出表_Excel!$A:$A,0)-1&amp;":U"&amp;MATCH(BG36,数出表_Excel!$A:$A,0)-1&amp;"")),0)&gt;10,
IF(BC37&lt;&gt;"",
IF(IF(COUNTIF('盛付札（関数）'!BC37,"*キャラ*"),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VLOOKUP('盛付札（関数）'!BC37,商品マスタ一覧!$D:$J,7,FALSE)))=0,"",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VLOOKUP('盛付札（関数）'!BC37,商品マスタ一覧!$D:$J,7,FALSE))),0))),""),"")),"")</f>
        <v/>
      </c>
      <c r="BG37" s="96" t="str">
        <f ca="1">IF(BF37&lt;&gt;"",IF(VALUE(IF(BF42&lt;&gt;"",BC39-BF42,BC39))&gt;VALUE(IF(COUNTIF('盛付札（関数）'!BC37,"*キャラ*"),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
"+"&amp;IF(BF42&lt;&gt;"",BC39-BF42,BC39)-IF(COUNTIF('盛付札（関数）'!BC37,"*キャラ*"),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VLOOKUP('盛付札（関数）'!BC37,商品マスタ一覧!$D:$J,7,FALSE)))*BF37,
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VLOOKUP('盛付札（関数）'!BC37,商品マスタ一覧!$D:$J,7,FALSE)))*BF37),"")</f>
        <v/>
      </c>
      <c r="BH37" s="80"/>
      <c r="BI37" s="80">
        <f t="array" aca="1" ref="BI37" ca="1">IF(INDIRECT("数出表_Excel!A"&amp;GetResult(BI36))="社食",
GetResult(BI36)+2,GetResult(BI36))</f>
        <v>123</v>
      </c>
      <c r="BJ37" s="85" t="str">
        <f t="array" aca="1" ref="BJ37" ca="1">IF(BK36&lt;&gt;"",MATCH(TRUE,INDIRECT("数出表_Excel!B"&amp;MATCH(BO36,数出表_Excel!$A:$A,0)-1&amp;":U"&amp;MATCH(BO36,数出表_Excel!$A:$A,0)-1&amp;"")&lt;&gt;"",0)+1,"")</f>
        <v/>
      </c>
      <c r="BK37" s="62" t="str">
        <f t="array" aca="1" ref="BK37" ca="1">IF(COUNTIF(BO36,"*合計*"),"",
IF(IFERROR(INDIRECT("数出表_Excel!" &amp;
CHAR(MATCH(TRUE,
ISNUMBER(--INDIRECT("数出表_Excel!B"&amp;MATCH(BO36,数出表_Excel!$A:$A,0)-1&amp;":U"&amp;MATCH(BO36,数出表_Excel!$A:$A,0)-1&amp;"")),0)+65) &amp; "3"),0)=0,"",
IFERROR(INDIRECT("数出表_Excel!" &amp;
CHAR(MATCH(TRUE,
ISNUMBER(--INDIRECT("数出表_Excel!B"&amp;MATCH(BO36,数出表_Excel!$A:$A,0)-1&amp;":U"&amp;MATCH(BO36,数出表_Excel!$A:$A,0)-1&amp;"")),0)+65) &amp; "3"),"")))</f>
        <v/>
      </c>
      <c r="BL37" s="80"/>
      <c r="BM37" s="86" t="str">
        <f t="array" aca="1" ref="BM37" ca="1">IF(BN37&lt;&gt;"","",
IF(COUNTIF(BK36,"*雙葉*"),"",
IF(BK36&lt;&gt;"",
IFERROR(
INDEX('数出表_Excel（アレルギー入力）'!$4:$4,
 1,
MATCH(TRUE,INDIRECT("'数出表_Excel（アレルギー入力）'!B"&amp;MATCH(BO36,'数出表_Excel（アレルギー入力）'!$A:$A,0)-1&amp;":U"&amp;MATCH(BO36,'数出表_Excel（アレルギー入力）'!$A:$A,0)-1&amp;"")&lt;&gt;"",0)+1
),
 "")
&amp;IFERROR(
INDEX('数出表_Excel（アレルギー入力）'!$5:$5,
 1,
MATCH(TRUE,INDIRECT("'数出表_Excel（アレルギー入力）'!B"&amp;MATCH(BO36,'数出表_Excel（アレルギー入力）'!$A:$A,0)-1&amp;":U"&amp;MATCH(BO36,'数出表_Excel（アレルギー入力）'!$A:$A,0)-1&amp;"")&lt;&gt;"",0)+1),
 ""),"")))</f>
        <v/>
      </c>
      <c r="BN37" s="87" t="str">
        <f t="array" aca="1" ref="BN37" ca="1">IF(BK37&lt;&gt;"",
IF(COUNTIF(BK36,"*雙葉*"),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VLOOKUP('盛付札（関数）'!BK37,商品マスタ一覧!$D:$J,7,FALSE))),0)),
IF(MATCH(TRUE,
ISNUMBER(--INDIRECT("数出表_Excel!B"&amp;MATCH(BO36,数出表_Excel!$A:$A,0)-1&amp;":U"&amp;MATCH(BO36,数出表_Excel!$A:$A,0)-1&amp;"")),0)&gt;10,
IF(BK37&lt;&gt;"",
IF(IF(COUNTIF('盛付札（関数）'!BK37,"*キャラ*"),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VLOOKUP('盛付札（関数）'!BK37,商品マスタ一覧!$D:$J,7,FALSE)))=0,"",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VLOOKUP('盛付札（関数）'!BK37,商品マスタ一覧!$D:$J,7,FALSE))),0))),""),"")),"")</f>
        <v/>
      </c>
      <c r="BO37" s="100" t="str">
        <f ca="1">IF(BN37&lt;&gt;"",IF(VALUE(IF(BN42&lt;&gt;"",BK39-BN42,BK39))&gt;VALUE(IF(COUNTIF('盛付札（関数）'!BK37,"*キャラ*"),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
"+"&amp;IF(BN42&lt;&gt;"",BK39-BN42,BK39)-IF(COUNTIF('盛付札（関数）'!BK37,"*キャラ*"),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VLOOKUP('盛付札（関数）'!BK37,商品マスタ一覧!$D:$J,7,FALSE)))*BN37,
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VLOOKUP('盛付札（関数）'!BK37,商品マスタ一覧!$D:$J,7,FALSE)))*BN37),"")</f>
        <v/>
      </c>
      <c r="BP37" s="80">
        <f t="array" aca="1" ref="BP37" ca="1">IF(INDIRECT("数出表_Excel!A"&amp;GetResult(BP36))="社食",
GetResult(BP36)+2,GetResult(BP36))</f>
        <v>125</v>
      </c>
      <c r="BQ37" s="85" t="str">
        <f t="array" aca="1" ref="BQ37" ca="1">IF(BR36&lt;&gt;"",MATCH(TRUE,INDIRECT("数出表_Excel!B"&amp;MATCH(BV36,数出表_Excel!$A:$A,0)-1&amp;":U"&amp;MATCH(BV36,数出表_Excel!$A:$A,0)-1&amp;"")&lt;&gt;"",0)+1,"")</f>
        <v/>
      </c>
      <c r="BR37" s="62" t="str">
        <f t="array" aca="1" ref="BR37" ca="1">IF(COUNTIF(BV36,"*合計*"),"",
IF(IFERROR(INDIRECT("数出表_Excel!" &amp;
CHAR(MATCH(TRUE,
ISNUMBER(--INDIRECT("数出表_Excel!B"&amp;MATCH(BV36,数出表_Excel!$A:$A,0)-1&amp;":U"&amp;MATCH(BV36,数出表_Excel!$A:$A,0)-1&amp;"")),0)+65) &amp; "3"),0)=0,"",
IFERROR(INDIRECT("数出表_Excel!" &amp;
CHAR(MATCH(TRUE,
ISNUMBER(--INDIRECT("数出表_Excel!B"&amp;MATCH(BV36,数出表_Excel!$A:$A,0)-1&amp;":U"&amp;MATCH(BV36,数出表_Excel!$A:$A,0)-1&amp;"")),0)+65) &amp; "3"),"")))</f>
        <v/>
      </c>
      <c r="BS37" s="80"/>
      <c r="BT37" s="86" t="str">
        <f t="array" aca="1" ref="BT37" ca="1">IF(BU37&lt;&gt;"","",
IF(COUNTIF(BR36,"*雙葉*"),"",
IF(BR36&lt;&gt;"",
IFERROR(
INDEX('数出表_Excel（アレルギー入力）'!$4:$4,
 1,
MATCH(TRUE,INDIRECT("'数出表_Excel（アレルギー入力）'!B"&amp;MATCH(BV36,'数出表_Excel（アレルギー入力）'!$A:$A,0)-1&amp;":U"&amp;MATCH(BV36,'数出表_Excel（アレルギー入力）'!$A:$A,0)-1&amp;"")&lt;&gt;"",0)+1
),
 "")
&amp;IFERROR(
INDEX('数出表_Excel（アレルギー入力）'!$5:$5,
 1,
MATCH(TRUE,INDIRECT("'数出表_Excel（アレルギー入力）'!B"&amp;MATCH(BV36,'数出表_Excel（アレルギー入力）'!$A:$A,0)-1&amp;":U"&amp;MATCH(BV36,'数出表_Excel（アレルギー入力）'!$A:$A,0)-1&amp;"")&lt;&gt;"",0)+1),
 ""),"")))</f>
        <v/>
      </c>
      <c r="BU37" s="87" t="str">
        <f t="array" aca="1" ref="BU37" ca="1">IF(BR37&lt;&gt;"",
IF(COUNTIF(BR36,"*雙葉*"),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VLOOKUP('盛付札（関数）'!BR37,商品マスタ一覧!$D:$J,7,FALSE))),0)),
IF(MATCH(TRUE,
ISNUMBER(--INDIRECT("数出表_Excel!B"&amp;MATCH(BV36,数出表_Excel!$A:$A,0)-1&amp;":U"&amp;MATCH(BV36,数出表_Excel!$A:$A,0)-1&amp;"")),0)&gt;10,
IF(BR37&lt;&gt;"",
IF(IF(COUNTIF('盛付札（関数）'!BR37,"*キャラ*"),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VLOOKUP('盛付札（関数）'!BR37,商品マスタ一覧!$D:$J,7,FALSE)))=0,"",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VLOOKUP('盛付札（関数）'!BR37,商品マスタ一覧!$D:$J,7,FALSE))),0))),""),"")),"")</f>
        <v/>
      </c>
      <c r="BV37" s="96" t="str">
        <f ca="1">IF(BU37&lt;&gt;"",IF(VALUE(IF(BU42&lt;&gt;"",BR39-BU42,BR39))&gt;VALUE(IF(COUNTIF('盛付札（関数）'!BR37,"*キャラ*"),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
"+"&amp;IF(BU42&lt;&gt;"",BR39-BU42,BR39)-IF(COUNTIF('盛付札（関数）'!BR37,"*キャラ*"),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VLOOKUP('盛付札（関数）'!BR37,商品マスタ一覧!$D:$J,7,FALSE)))*BU37,
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VLOOKUP('盛付札（関数）'!BR37,商品マスタ一覧!$D:$J,7,FALSE)))*BU37),"")</f>
        <v/>
      </c>
      <c r="BW37" s="80"/>
      <c r="BX37" s="80">
        <f t="array" aca="1" ref="BX37" ca="1">IF(INDIRECT("数出表_Excel!A"&amp;GetResult(BX36))="社食",
GetResult(BX36)+2,GetResult(BX36))</f>
        <v>147</v>
      </c>
      <c r="BY37" s="85" t="str">
        <f t="array" aca="1" ref="BY37" ca="1">IF(BZ36&lt;&gt;"",MATCH(TRUE,INDIRECT("数出表_Excel!B"&amp;MATCH(CD36,数出表_Excel!$A:$A,0)-1&amp;":U"&amp;MATCH(CD36,数出表_Excel!$A:$A,0)-1&amp;"")&lt;&gt;"",0)+1,"")</f>
        <v/>
      </c>
      <c r="BZ37" s="62" t="str">
        <f t="array" aca="1" ref="BZ37" ca="1">IF(COUNTIF(CD36,"*合計*"),"",
IF(IFERROR(INDIRECT("数出表_Excel!" &amp;
CHAR(MATCH(TRUE,
ISNUMBER(--INDIRECT("数出表_Excel!B"&amp;MATCH(CD36,数出表_Excel!$A:$A,0)-1&amp;":U"&amp;MATCH(CD36,数出表_Excel!$A:$A,0)-1&amp;"")),0)+65) &amp; "3"),0)=0,"",
IFERROR(INDIRECT("数出表_Excel!" &amp;
CHAR(MATCH(TRUE,
ISNUMBER(--INDIRECT("数出表_Excel!B"&amp;MATCH(CD36,数出表_Excel!$A:$A,0)-1&amp;":U"&amp;MATCH(CD36,数出表_Excel!$A:$A,0)-1&amp;"")),0)+65) &amp; "3"),"")))</f>
        <v/>
      </c>
      <c r="CA37" s="80"/>
      <c r="CB37" s="86" t="str">
        <f t="array" aca="1" ref="CB37" ca="1">IF(CC37&lt;&gt;"","",
IF(COUNTIF(BZ36,"*雙葉*"),"",
IF(BZ36&lt;&gt;"",
IFERROR(
INDEX('数出表_Excel（アレルギー入力）'!$4:$4,
 1,
MATCH(TRUE,INDIRECT("'数出表_Excel（アレルギー入力）'!B"&amp;MATCH(CD36,'数出表_Excel（アレルギー入力）'!$A:$A,0)-1&amp;":U"&amp;MATCH(CD36,'数出表_Excel（アレルギー入力）'!$A:$A,0)-1&amp;"")&lt;&gt;"",0)+1
),
 "")
&amp;IFERROR(
INDEX('数出表_Excel（アレルギー入力）'!$5:$5,
 1,
MATCH(TRUE,INDIRECT("'数出表_Excel（アレルギー入力）'!B"&amp;MATCH(CD36,'数出表_Excel（アレルギー入力）'!$A:$A,0)-1&amp;":U"&amp;MATCH(CD36,'数出表_Excel（アレルギー入力）'!$A:$A,0)-1&amp;"")&lt;&gt;"",0)+1),
 ""),"")))</f>
        <v/>
      </c>
      <c r="CC37" s="87" t="str">
        <f t="array" aca="1" ref="CC37" ca="1">IF(BZ37&lt;&gt;"",
IF(COUNTIF(BZ36,"*雙葉*"),
IF(ROUND(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VLOOKUP('盛付札（関数）'!BZ37,商品マスタ一覧!$D:$J,7,FALSE))),0)&lt;=0,1,
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VLOOKUP('盛付札（関数）'!BZ37,商品マスタ一覧!$D:$J,7,FALSE))),0)),
IF(MATCH(TRUE,
ISNUMBER(--INDIRECT("数出表_Excel!B"&amp;MATCH(CD36,数出表_Excel!$A:$A,0)-1&amp;":U"&amp;MATCH(CD36,数出表_Excel!$A:$A,0)-1&amp;"")),0)&gt;10,
IF(BZ37&lt;&gt;"",
IF(IF(COUNTIF('盛付札（関数）'!BZ37,"*キャラ*"),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VLOOKUP('盛付札（関数）'!BZ37,商品マスタ一覧!$D:$J,7,FALSE)))=0,"",
IF(ROUND(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VLOOKUP('盛付札（関数）'!BZ37,商品マスタ一覧!$D:$J,7,FALSE))),0)&lt;=0,1,
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VLOOKUP('盛付札（関数）'!BZ37,商品マスタ一覧!$D:$J,7,FALSE))),0))),""),"")),"")</f>
        <v/>
      </c>
      <c r="CD37" s="100" t="str">
        <f ca="1">IF(CC37&lt;&gt;"",IF(VALUE(IF(CC42&lt;&gt;"",BZ39-CC42,BZ39))&gt;VALUE(IF(COUNTIF('盛付札（関数）'!BZ37,"*キャラ*"),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VLOOKUP('盛付札（関数）'!BZ37,商品マスタ一覧!$D:$J,7,FALSE)))*CC37),
"+"&amp;IF(CC42&lt;&gt;"",BZ39-CC42,BZ39)-IF(COUNTIF('盛付札（関数）'!BZ37,"*キャラ*"),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VLOOKUP('盛付札（関数）'!BZ37,商品マスタ一覧!$D:$J,7,FALSE)))*CC37,
IF(CC42&lt;&gt;"",BZ39-CC42,BZ39)-IF(COUNTIF('盛付札（関数）'!BZ37,"*キャラ*"),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VLOOKUP('盛付札（関数）'!BZ37,商品マスタ一覧!$D:$J,7,FALSE)))*CC37),"")</f>
        <v/>
      </c>
      <c r="CE37" s="80">
        <f t="array" aca="1" ref="CE37" ca="1">IF(INDIRECT("数出表_Excel!A"&amp;GetResult(CE36))="社食",
GetResult(CE36)+2,GetResult(CE36))</f>
        <v>149</v>
      </c>
      <c r="CF37" s="85" t="str">
        <f t="array" aca="1" ref="CF37" ca="1">IF(CG36&lt;&gt;"",MATCH(TRUE,INDIRECT("数出表_Excel!B"&amp;MATCH(CK36,数出表_Excel!$A:$A,0)-1&amp;":U"&amp;MATCH(CK36,数出表_Excel!$A:$A,0)-1&amp;"")&lt;&gt;"",0)+1,"")</f>
        <v/>
      </c>
      <c r="CG37" s="62" t="str">
        <f t="array" aca="1" ref="CG37" ca="1">IF(COUNTIF(CK36,"*合計*"),"",
IF(IFERROR(INDIRECT("数出表_Excel!" &amp;
CHAR(MATCH(TRUE,
ISNUMBER(--INDIRECT("数出表_Excel!B"&amp;MATCH(CK36,数出表_Excel!$A:$A,0)-1&amp;":U"&amp;MATCH(CK36,数出表_Excel!$A:$A,0)-1&amp;"")),0)+65) &amp; "3"),0)=0,"",
IFERROR(INDIRECT("数出表_Excel!" &amp;
CHAR(MATCH(TRUE,
ISNUMBER(--INDIRECT("数出表_Excel!B"&amp;MATCH(CK36,数出表_Excel!$A:$A,0)-1&amp;":U"&amp;MATCH(CK36,数出表_Excel!$A:$A,0)-1&amp;"")),0)+65) &amp; "3"),"")))</f>
        <v/>
      </c>
      <c r="CH37" s="80"/>
      <c r="CI37" s="86" t="str">
        <f t="array" aca="1" ref="CI37" ca="1">IF(CJ37&lt;&gt;"","",
IF(COUNTIF(CG36,"*雙葉*"),"",
IF(CG36&lt;&gt;"",
IFERROR(
INDEX('数出表_Excel（アレルギー入力）'!$4:$4,
 1,
MATCH(TRUE,INDIRECT("'数出表_Excel（アレルギー入力）'!B"&amp;MATCH(CK36,'数出表_Excel（アレルギー入力）'!$A:$A,0)-1&amp;":U"&amp;MATCH(CK36,'数出表_Excel（アレルギー入力）'!$A:$A,0)-1&amp;"")&lt;&gt;"",0)+1
),
 "")
&amp;IFERROR(
INDEX('数出表_Excel（アレルギー入力）'!$5:$5,
 1,
MATCH(TRUE,INDIRECT("'数出表_Excel（アレルギー入力）'!B"&amp;MATCH(CK36,'数出表_Excel（アレルギー入力）'!$A:$A,0)-1&amp;":U"&amp;MATCH(CK36,'数出表_Excel（アレルギー入力）'!$A:$A,0)-1&amp;"")&lt;&gt;"",0)+1),
 ""),"")))</f>
        <v/>
      </c>
      <c r="CJ37" s="87" t="str">
        <f t="array" aca="1" ref="CJ37" ca="1">IF(CG37&lt;&gt;"",
IF(COUNTIF(CG36,"*雙葉*"),
IF(ROUND(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VLOOKUP('盛付札（関数）'!CG37,商品マスタ一覧!$D:$J,7,FALSE))),0)&lt;=0,1,
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VLOOKUP('盛付札（関数）'!CG37,商品マスタ一覧!$D:$J,7,FALSE))),0)),
IF(MATCH(TRUE,
ISNUMBER(--INDIRECT("数出表_Excel!B"&amp;MATCH(CK36,数出表_Excel!$A:$A,0)-1&amp;":U"&amp;MATCH(CK36,数出表_Excel!$A:$A,0)-1&amp;"")),0)&gt;10,
IF(CG37&lt;&gt;"",
IF(IF(COUNTIF('盛付札（関数）'!CG37,"*キャラ*"),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VLOOKUP('盛付札（関数）'!CG37,商品マスタ一覧!$D:$J,7,FALSE)))=0,"",
IF(ROUND(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VLOOKUP('盛付札（関数）'!CG37,商品マスタ一覧!$D:$J,7,FALSE))),0)&lt;=0,1,
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VLOOKUP('盛付札（関数）'!CG37,商品マスタ一覧!$D:$J,7,FALSE))),0))),""),"")),"")</f>
        <v/>
      </c>
      <c r="CK37" s="96" t="str">
        <f ca="1">IF(CJ37&lt;&gt;"",IF(VALUE(IF(CJ42&lt;&gt;"",CG39-CJ42,CG39))&gt;VALUE(IF(COUNTIF('盛付札（関数）'!CG37,"*キャラ*"),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VLOOKUP('盛付札（関数）'!CG37,商品マスタ一覧!$D:$J,7,FALSE)))*CJ37),
"+"&amp;IF(CJ42&lt;&gt;"",CG39-CJ42,CG39)-IF(COUNTIF('盛付札（関数）'!CG37,"*キャラ*"),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VLOOKUP('盛付札（関数）'!CG37,商品マスタ一覧!$D:$J,7,FALSE)))*CJ37,
IF(CJ42&lt;&gt;"",CG39-CJ42,CG39)-IF(COUNTIF('盛付札（関数）'!CG37,"*キャラ*"),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VLOOKUP('盛付札（関数）'!CG37,商品マスタ一覧!$D:$J,7,FALSE)))*CJ37),"")</f>
        <v/>
      </c>
      <c r="CL37" s="80"/>
      <c r="CM37" s="80">
        <f t="array" aca="1" ref="CM37" ca="1">IF(INDIRECT("数出表_Excel!A"&amp;GetResult(CM36))="社食",
GetResult(CM36)+2,GetResult(CM36))</f>
        <v>171</v>
      </c>
      <c r="CN37" s="85" t="str">
        <f t="array" aca="1" ref="CN37" ca="1">IF(CO36&lt;&gt;"",MATCH(TRUE,INDIRECT("数出表_Excel!B"&amp;MATCH(CS36,数出表_Excel!$A:$A,0)-1&amp;":U"&amp;MATCH(CS36,数出表_Excel!$A:$A,0)-1&amp;"")&lt;&gt;"",0)+1,"")</f>
        <v/>
      </c>
      <c r="CO37" s="62" t="str">
        <f t="array" aca="1" ref="CO37" ca="1">IF(COUNTIF(CS36,"*合計*"),"",
IF(IFERROR(INDIRECT("数出表_Excel!" &amp;
CHAR(MATCH(TRUE,
ISNUMBER(--INDIRECT("数出表_Excel!B"&amp;MATCH(CS36,数出表_Excel!$A:$A,0)-1&amp;":U"&amp;MATCH(CS36,数出表_Excel!$A:$A,0)-1&amp;"")),0)+65) &amp; "3"),0)=0,"",
IFERROR(INDIRECT("数出表_Excel!" &amp;
CHAR(MATCH(TRUE,
ISNUMBER(--INDIRECT("数出表_Excel!B"&amp;MATCH(CS36,数出表_Excel!$A:$A,0)-1&amp;":U"&amp;MATCH(CS36,数出表_Excel!$A:$A,0)-1&amp;"")),0)+65) &amp; "3"),"")))</f>
        <v/>
      </c>
      <c r="CP37" s="80"/>
      <c r="CQ37" s="86" t="str">
        <f t="array" aca="1" ref="CQ37" ca="1">IF(CR37&lt;&gt;"","",
IF(COUNTIF(CO36,"*雙葉*"),"",
IF(CO36&lt;&gt;"",
IFERROR(
INDEX('数出表_Excel（アレルギー入力）'!$4:$4,
 1,
MATCH(TRUE,INDIRECT("'数出表_Excel（アレルギー入力）'!B"&amp;MATCH(CS36,'数出表_Excel（アレルギー入力）'!$A:$A,0)-1&amp;":U"&amp;MATCH(CS36,'数出表_Excel（アレルギー入力）'!$A:$A,0)-1&amp;"")&lt;&gt;"",0)+1
),
 "")
&amp;IFERROR(
INDEX('数出表_Excel（アレルギー入力）'!$5:$5,
 1,
MATCH(TRUE,INDIRECT("'数出表_Excel（アレルギー入力）'!B"&amp;MATCH(CS36,'数出表_Excel（アレルギー入力）'!$A:$A,0)-1&amp;":U"&amp;MATCH(CS36,'数出表_Excel（アレルギー入力）'!$A:$A,0)-1&amp;"")&lt;&gt;"",0)+1),
 ""),"")))</f>
        <v/>
      </c>
      <c r="CR37" s="87" t="str">
        <f t="array" aca="1" ref="CR37" ca="1">IF(CO37&lt;&gt;"",
IF(COUNTIF(CO36,"*雙葉*"),
IF(ROUND(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VLOOKUP('盛付札（関数）'!CO37,商品マスタ一覧!$D:$J,7,FALSE))),0)&lt;=0,1,
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VLOOKUP('盛付札（関数）'!CO37,商品マスタ一覧!$D:$J,7,FALSE))),0)),
IF(MATCH(TRUE,
ISNUMBER(--INDIRECT("数出表_Excel!B"&amp;MATCH(CS36,数出表_Excel!$A:$A,0)-1&amp;":U"&amp;MATCH(CS36,数出表_Excel!$A:$A,0)-1&amp;"")),0)&gt;10,
IF(CO37&lt;&gt;"",
IF(IF(COUNTIF('盛付札（関数）'!CO37,"*キャラ*"),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VLOOKUP('盛付札（関数）'!CO37,商品マスタ一覧!$D:$J,7,FALSE)))=0,"",
IF(ROUND(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VLOOKUP('盛付札（関数）'!CO37,商品マスタ一覧!$D:$J,7,FALSE))),0)&lt;=0,1,
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VLOOKUP('盛付札（関数）'!CO37,商品マスタ一覧!$D:$J,7,FALSE))),0))),""),"")),"")</f>
        <v/>
      </c>
      <c r="CS37" s="100" t="str">
        <f ca="1">IF(CR37&lt;&gt;"",IF(VALUE(IF(CR42&lt;&gt;"",CO39-CR42,CO39))&gt;VALUE(IF(COUNTIF('盛付札（関数）'!CO37,"*キャラ*"),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VLOOKUP('盛付札（関数）'!CO37,商品マスタ一覧!$D:$J,7,FALSE)))*CR37),
"+"&amp;IF(CR42&lt;&gt;"",CO39-CR42,CO39)-IF(COUNTIF('盛付札（関数）'!CO37,"*キャラ*"),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VLOOKUP('盛付札（関数）'!CO37,商品マスタ一覧!$D:$J,7,FALSE)))*CR37,
IF(CR42&lt;&gt;"",CO39-CR42,CO39)-IF(COUNTIF('盛付札（関数）'!CO37,"*キャラ*"),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VLOOKUP('盛付札（関数）'!CO37,商品マスタ一覧!$D:$J,7,FALSE)))*CR37),"")</f>
        <v/>
      </c>
      <c r="CT37" s="80">
        <f t="array" aca="1" ref="CT37" ca="1">IF(INDIRECT("数出表_Excel!A"&amp;GetResult(CT36))="社食",
GetResult(CT36)+2,GetResult(CT36))</f>
        <v>173</v>
      </c>
      <c r="CU37" s="85" t="str">
        <f t="array" aca="1" ref="CU37" ca="1">IF(CV36&lt;&gt;"",MATCH(TRUE,INDIRECT("数出表_Excel!B"&amp;MATCH(CZ36,数出表_Excel!$A:$A,0)-1&amp;":U"&amp;MATCH(CZ36,数出表_Excel!$A:$A,0)-1&amp;"")&lt;&gt;"",0)+1,"")</f>
        <v/>
      </c>
      <c r="CV37" s="62" t="str">
        <f t="array" aca="1" ref="CV37" ca="1">IF(COUNTIF(CZ36,"*合計*"),"",
IF(IFERROR(INDIRECT("数出表_Excel!" &amp;
CHAR(MATCH(TRUE,
ISNUMBER(--INDIRECT("数出表_Excel!B"&amp;MATCH(CZ36,数出表_Excel!$A:$A,0)-1&amp;":U"&amp;MATCH(CZ36,数出表_Excel!$A:$A,0)-1&amp;"")),0)+65) &amp; "3"),0)=0,"",
IFERROR(INDIRECT("数出表_Excel!" &amp;
CHAR(MATCH(TRUE,
ISNUMBER(--INDIRECT("数出表_Excel!B"&amp;MATCH(CZ36,数出表_Excel!$A:$A,0)-1&amp;":U"&amp;MATCH(CZ36,数出表_Excel!$A:$A,0)-1&amp;"")),0)+65) &amp; "3"),"")))</f>
        <v/>
      </c>
      <c r="CW37" s="80"/>
      <c r="CX37" s="86" t="str">
        <f t="array" aca="1" ref="CX37" ca="1">IF(CY37&lt;&gt;"","",
IF(COUNTIF(CV36,"*雙葉*"),"",
IF(CV36&lt;&gt;"",
IFERROR(
INDEX('数出表_Excel（アレルギー入力）'!$4:$4,
 1,
MATCH(TRUE,INDIRECT("'数出表_Excel（アレルギー入力）'!B"&amp;MATCH(CZ36,'数出表_Excel（アレルギー入力）'!$A:$A,0)-1&amp;":U"&amp;MATCH(CZ36,'数出表_Excel（アレルギー入力）'!$A:$A,0)-1&amp;"")&lt;&gt;"",0)+1
),
 "")
&amp;IFERROR(
INDEX('数出表_Excel（アレルギー入力）'!$5:$5,
 1,
MATCH(TRUE,INDIRECT("'数出表_Excel（アレルギー入力）'!B"&amp;MATCH(CZ36,'数出表_Excel（アレルギー入力）'!$A:$A,0)-1&amp;":U"&amp;MATCH(CZ36,'数出表_Excel（アレルギー入力）'!$A:$A,0)-1&amp;"")&lt;&gt;"",0)+1),
 ""),"")))</f>
        <v/>
      </c>
      <c r="CY37" s="87" t="str">
        <f t="array" aca="1" ref="CY37" ca="1">IF(CV37&lt;&gt;"",
IF(COUNTIF(CV36,"*雙葉*"),
IF(ROUND(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VLOOKUP('盛付札（関数）'!CV37,商品マスタ一覧!$D:$J,7,FALSE))),0)&lt;=0,1,
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VLOOKUP('盛付札（関数）'!CV37,商品マスタ一覧!$D:$J,7,FALSE))),0)),
IF(MATCH(TRUE,
ISNUMBER(--INDIRECT("数出表_Excel!B"&amp;MATCH(CZ36,数出表_Excel!$A:$A,0)-1&amp;":U"&amp;MATCH(CZ36,数出表_Excel!$A:$A,0)-1&amp;"")),0)&gt;10,
IF(CV37&lt;&gt;"",
IF(IF(COUNTIF('盛付札（関数）'!CV37,"*キャラ*"),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VLOOKUP('盛付札（関数）'!CV37,商品マスタ一覧!$D:$J,7,FALSE)))=0,"",
IF(ROUND(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VLOOKUP('盛付札（関数）'!CV37,商品マスタ一覧!$D:$J,7,FALSE))),0)&lt;=0,1,
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VLOOKUP('盛付札（関数）'!CV37,商品マスタ一覧!$D:$J,7,FALSE))),0))),""),"")),"")</f>
        <v/>
      </c>
      <c r="CZ37" s="96" t="str">
        <f ca="1">IF(CY37&lt;&gt;"",IF(VALUE(IF(CY42&lt;&gt;"",CV39-CY42,CV39))&gt;VALUE(IF(COUNTIF('盛付札（関数）'!CV37,"*キャラ*"),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VLOOKUP('盛付札（関数）'!CV37,商品マスタ一覧!$D:$J,7,FALSE)))*CY37),
"+"&amp;IF(CY42&lt;&gt;"",CV39-CY42,CV39)-IF(COUNTIF('盛付札（関数）'!CV37,"*キャラ*"),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VLOOKUP('盛付札（関数）'!CV37,商品マスタ一覧!$D:$J,7,FALSE)))*CY37,
IF(CY42&lt;&gt;"",CV39-CY42,CV39)-IF(COUNTIF('盛付札（関数）'!CV37,"*キャラ*"),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VLOOKUP('盛付札（関数）'!CV37,商品マスタ一覧!$D:$J,7,FALSE)))*CY37),"")</f>
        <v/>
      </c>
      <c r="DA37" s="80"/>
      <c r="DB37" s="80">
        <f t="array" aca="1" ref="DB37" ca="1">IF(INDIRECT("数出表_Excel!A"&amp;GetResult(DB36))="社食",
GetResult(DB36)+2,GetResult(DB36))</f>
        <v>195</v>
      </c>
      <c r="DC37" s="85" t="str">
        <f t="array" aca="1" ref="DC37" ca="1">IF(DD36&lt;&gt;"",MATCH(TRUE,INDIRECT("数出表_Excel!B"&amp;MATCH(DH36,数出表_Excel!$A:$A,0)-1&amp;":U"&amp;MATCH(DH36,数出表_Excel!$A:$A,0)-1&amp;"")&lt;&gt;"",0)+1,"")</f>
        <v/>
      </c>
      <c r="DD37" s="62" t="str">
        <f t="array" aca="1" ref="DD37" ca="1">IF(COUNTIF(DH36,"*合計*"),"",
IF(IFERROR(INDIRECT("数出表_Excel!" &amp;
CHAR(MATCH(TRUE,
ISNUMBER(--INDIRECT("数出表_Excel!B"&amp;MATCH(DH36,数出表_Excel!$A:$A,0)-1&amp;":U"&amp;MATCH(DH36,数出表_Excel!$A:$A,0)-1&amp;"")),0)+65) &amp; "3"),0)=0,"",
IFERROR(INDIRECT("数出表_Excel!" &amp;
CHAR(MATCH(TRUE,
ISNUMBER(--INDIRECT("数出表_Excel!B"&amp;MATCH(DH36,数出表_Excel!$A:$A,0)-1&amp;":U"&amp;MATCH(DH36,数出表_Excel!$A:$A,0)-1&amp;"")),0)+65) &amp; "3"),"")))</f>
        <v/>
      </c>
      <c r="DE37" s="80"/>
      <c r="DF37" s="86" t="str">
        <f t="array" aca="1" ref="DF37" ca="1">IF(DG37&lt;&gt;"","",
IF(COUNTIF(DD36,"*雙葉*"),"",
IF(DD36&lt;&gt;"",
IFERROR(
INDEX('数出表_Excel（アレルギー入力）'!$4:$4,
 1,
MATCH(TRUE,INDIRECT("'数出表_Excel（アレルギー入力）'!B"&amp;MATCH(DH36,'数出表_Excel（アレルギー入力）'!$A:$A,0)-1&amp;":U"&amp;MATCH(DH36,'数出表_Excel（アレルギー入力）'!$A:$A,0)-1&amp;"")&lt;&gt;"",0)+1
),
 "")
&amp;IFERROR(
INDEX('数出表_Excel（アレルギー入力）'!$5:$5,
 1,
MATCH(TRUE,INDIRECT("'数出表_Excel（アレルギー入力）'!B"&amp;MATCH(DH36,'数出表_Excel（アレルギー入力）'!$A:$A,0)-1&amp;":U"&amp;MATCH(DH36,'数出表_Excel（アレルギー入力）'!$A:$A,0)-1&amp;"")&lt;&gt;"",0)+1),
 ""),"")))</f>
        <v/>
      </c>
      <c r="DG37" s="87" t="str">
        <f t="array" aca="1" ref="DG37" ca="1">IF(DD37&lt;&gt;"",
IF(COUNTIF(DD36,"*雙葉*"),
IF(ROUND(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VLOOKUP('盛付札（関数）'!DD37,商品マスタ一覧!$D:$J,7,FALSE))),0)&lt;=0,1,
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VLOOKUP('盛付札（関数）'!DD37,商品マスタ一覧!$D:$J,7,FALSE))),0)),
IF(MATCH(TRUE,
ISNUMBER(--INDIRECT("数出表_Excel!B"&amp;MATCH(DH36,数出表_Excel!$A:$A,0)-1&amp;":U"&amp;MATCH(DH36,数出表_Excel!$A:$A,0)-1&amp;"")),0)&gt;10,
IF(DD37&lt;&gt;"",
IF(IF(COUNTIF('盛付札（関数）'!DD37,"*キャラ*"),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VLOOKUP('盛付札（関数）'!DD37,商品マスタ一覧!$D:$J,7,FALSE)))=0,"",
IF(ROUND(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VLOOKUP('盛付札（関数）'!DD37,商品マスタ一覧!$D:$J,7,FALSE))),0)&lt;=0,1,
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VLOOKUP('盛付札（関数）'!DD37,商品マスタ一覧!$D:$J,7,FALSE))),0))),""),"")),"")</f>
        <v/>
      </c>
      <c r="DH37" s="100" t="str">
        <f ca="1">IF(DG37&lt;&gt;"",IF(VALUE(IF(DG42&lt;&gt;"",DD39-DG42,DD39))&gt;VALUE(IF(COUNTIF('盛付札（関数）'!DD37,"*キャラ*"),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VLOOKUP('盛付札（関数）'!DD37,商品マスタ一覧!$D:$J,7,FALSE)))*DG37),
"+"&amp;IF(DG42&lt;&gt;"",DD39-DG42,DD39)-IF(COUNTIF('盛付札（関数）'!DD37,"*キャラ*"),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VLOOKUP('盛付札（関数）'!DD37,商品マスタ一覧!$D:$J,7,FALSE)))*DG37,
IF(DG42&lt;&gt;"",DD39-DG42,DD39)-IF(COUNTIF('盛付札（関数）'!DD37,"*キャラ*"),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VLOOKUP('盛付札（関数）'!DD37,商品マスタ一覧!$D:$J,7,FALSE)))*DG37),"")</f>
        <v/>
      </c>
      <c r="DI37" s="80">
        <f t="array" aca="1" ref="DI37" ca="1">IF(INDIRECT("数出表_Excel!A"&amp;GetResult(DI36))="社食",
GetResult(DI36)+2,GetResult(DI36))</f>
        <v>197</v>
      </c>
      <c r="DJ37" s="85" t="str">
        <f t="array" aca="1" ref="DJ37" ca="1">IF(DK36&lt;&gt;"",MATCH(TRUE,INDIRECT("数出表_Excel!B"&amp;MATCH(DO36,数出表_Excel!$A:$A,0)-1&amp;":U"&amp;MATCH(DO36,数出表_Excel!$A:$A,0)-1&amp;"")&lt;&gt;"",0)+1,"")</f>
        <v/>
      </c>
      <c r="DK37" s="62" t="str">
        <f t="array" aca="1" ref="DK37" ca="1">IF(COUNTIF(DO36,"*合計*"),"",
IF(IFERROR(INDIRECT("数出表_Excel!" &amp;
CHAR(MATCH(TRUE,
ISNUMBER(--INDIRECT("数出表_Excel!B"&amp;MATCH(DO36,数出表_Excel!$A:$A,0)-1&amp;":U"&amp;MATCH(DO36,数出表_Excel!$A:$A,0)-1&amp;"")),0)+65) &amp; "3"),0)=0,"",
IFERROR(INDIRECT("数出表_Excel!" &amp;
CHAR(MATCH(TRUE,
ISNUMBER(--INDIRECT("数出表_Excel!B"&amp;MATCH(DO36,数出表_Excel!$A:$A,0)-1&amp;":U"&amp;MATCH(DO36,数出表_Excel!$A:$A,0)-1&amp;"")),0)+65) &amp; "3"),"")))</f>
        <v/>
      </c>
      <c r="DL37" s="80"/>
      <c r="DM37" s="86" t="str">
        <f t="array" aca="1" ref="DM37" ca="1">IF(DN37&lt;&gt;"","",
IF(COUNTIF(DK36,"*雙葉*"),"",
IF(DK36&lt;&gt;"",
IFERROR(
INDEX('数出表_Excel（アレルギー入力）'!$4:$4,
 1,
MATCH(TRUE,INDIRECT("'数出表_Excel（アレルギー入力）'!B"&amp;MATCH(DO36,'数出表_Excel（アレルギー入力）'!$A:$A,0)-1&amp;":U"&amp;MATCH(DO36,'数出表_Excel（アレルギー入力）'!$A:$A,0)-1&amp;"")&lt;&gt;"",0)+1
),
 "")
&amp;IFERROR(
INDEX('数出表_Excel（アレルギー入力）'!$5:$5,
 1,
MATCH(TRUE,INDIRECT("'数出表_Excel（アレルギー入力）'!B"&amp;MATCH(DO36,'数出表_Excel（アレルギー入力）'!$A:$A,0)-1&amp;":U"&amp;MATCH(DO36,'数出表_Excel（アレルギー入力）'!$A:$A,0)-1&amp;"")&lt;&gt;"",0)+1),
 ""),"")))</f>
        <v/>
      </c>
      <c r="DN37" s="87" t="str">
        <f t="array" aca="1" ref="DN37" ca="1">IF(DK37&lt;&gt;"",
IF(COUNTIF(DK36,"*雙葉*"),
IF(ROUND(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VLOOKUP('盛付札（関数）'!DK37,商品マスタ一覧!$D:$J,7,FALSE))),0)&lt;=0,1,
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VLOOKUP('盛付札（関数）'!DK37,商品マスタ一覧!$D:$J,7,FALSE))),0)),
IF(MATCH(TRUE,
ISNUMBER(--INDIRECT("数出表_Excel!B"&amp;MATCH(DO36,数出表_Excel!$A:$A,0)-1&amp;":U"&amp;MATCH(DO36,数出表_Excel!$A:$A,0)-1&amp;"")),0)&gt;10,
IF(DK37&lt;&gt;"",
IF(IF(COUNTIF('盛付札（関数）'!DK37,"*キャラ*"),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VLOOKUP('盛付札（関数）'!DK37,商品マスタ一覧!$D:$J,7,FALSE)))=0,"",
IF(ROUND(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VLOOKUP('盛付札（関数）'!DK37,商品マスタ一覧!$D:$J,7,FALSE))),0)&lt;=0,1,
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VLOOKUP('盛付札（関数）'!DK37,商品マスタ一覧!$D:$J,7,FALSE))),0))),""),"")),"")</f>
        <v/>
      </c>
      <c r="DO37" s="96" t="str">
        <f ca="1">IF(DN37&lt;&gt;"",IF(VALUE(IF(DN42&lt;&gt;"",DK39-DN42,DK39))&gt;VALUE(IF(COUNTIF('盛付札（関数）'!DK37,"*キャラ*"),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VLOOKUP('盛付札（関数）'!DK37,商品マスタ一覧!$D:$J,7,FALSE)))*DN37),
"+"&amp;IF(DN42&lt;&gt;"",DK39-DN42,DK39)-IF(COUNTIF('盛付札（関数）'!DK37,"*キャラ*"),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VLOOKUP('盛付札（関数）'!DK37,商品マスタ一覧!$D:$J,7,FALSE)))*DN37,
IF(DN42&lt;&gt;"",DK39-DN42,DK39)-IF(COUNTIF('盛付札（関数）'!DK37,"*キャラ*"),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VLOOKUP('盛付札（関数）'!DK37,商品マスタ一覧!$D:$J,7,FALSE)))*DN37),"")</f>
        <v/>
      </c>
      <c r="DP37" s="80"/>
      <c r="DQ37" s="80">
        <f t="array" aca="1" ref="DQ37" ca="1">IF(INDIRECT("数出表_Excel!A"&amp;GetResult(DQ36))="社食",
GetResult(DQ36)+2,GetResult(DQ36))</f>
        <v>219</v>
      </c>
      <c r="DR37" s="85" t="str">
        <f t="array" aca="1" ref="DR37" ca="1">IF(DS36&lt;&gt;"",MATCH(TRUE,INDIRECT("数出表_Excel!B"&amp;MATCH(DW36,数出表_Excel!$A:$A,0)-1&amp;":U"&amp;MATCH(DW36,数出表_Excel!$A:$A,0)-1&amp;"")&lt;&gt;"",0)+1,"")</f>
        <v/>
      </c>
      <c r="DS37" s="62" t="str">
        <f t="array" aca="1" ref="DS37" ca="1">IF(COUNTIF(DW36,"*合計*"),"",
IF(IFERROR(INDIRECT("数出表_Excel!" &amp;
CHAR(MATCH(TRUE,
ISNUMBER(--INDIRECT("数出表_Excel!B"&amp;MATCH(DW36,数出表_Excel!$A:$A,0)-1&amp;":U"&amp;MATCH(DW36,数出表_Excel!$A:$A,0)-1&amp;"")),0)+65) &amp; "3"),0)=0,"",
IFERROR(INDIRECT("数出表_Excel!" &amp;
CHAR(MATCH(TRUE,
ISNUMBER(--INDIRECT("数出表_Excel!B"&amp;MATCH(DW36,数出表_Excel!$A:$A,0)-1&amp;":U"&amp;MATCH(DW36,数出表_Excel!$A:$A,0)-1&amp;"")),0)+65) &amp; "3"),"")))</f>
        <v/>
      </c>
      <c r="DT37" s="80"/>
      <c r="DU37" s="86" t="str">
        <f t="array" aca="1" ref="DU37" ca="1">IF(DV37&lt;&gt;"","",
IF(COUNTIF(DS36,"*雙葉*"),"",
IF(DS36&lt;&gt;"",
IFERROR(
INDEX('数出表_Excel（アレルギー入力）'!$4:$4,
 1,
MATCH(TRUE,INDIRECT("'数出表_Excel（アレルギー入力）'!B"&amp;MATCH(DW36,'数出表_Excel（アレルギー入力）'!$A:$A,0)-1&amp;":U"&amp;MATCH(DW36,'数出表_Excel（アレルギー入力）'!$A:$A,0)-1&amp;"")&lt;&gt;"",0)+1
),
 "")
&amp;IFERROR(
INDEX('数出表_Excel（アレルギー入力）'!$5:$5,
 1,
MATCH(TRUE,INDIRECT("'数出表_Excel（アレルギー入力）'!B"&amp;MATCH(DW36,'数出表_Excel（アレルギー入力）'!$A:$A,0)-1&amp;":U"&amp;MATCH(DW36,'数出表_Excel（アレルギー入力）'!$A:$A,0)-1&amp;"")&lt;&gt;"",0)+1),
 ""),"")))</f>
        <v/>
      </c>
      <c r="DV37" s="87" t="str">
        <f t="array" aca="1" ref="DV37" ca="1">IF(DS37&lt;&gt;"",
IF(COUNTIF(DS36,"*雙葉*"),
IF(ROUND(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VLOOKUP('盛付札（関数）'!DS37,商品マスタ一覧!$D:$J,7,FALSE))),0)&lt;=0,1,
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VLOOKUP('盛付札（関数）'!DS37,商品マスタ一覧!$D:$J,7,FALSE))),0)),
IF(MATCH(TRUE,
ISNUMBER(--INDIRECT("数出表_Excel!B"&amp;MATCH(DW36,数出表_Excel!$A:$A,0)-1&amp;":U"&amp;MATCH(DW36,数出表_Excel!$A:$A,0)-1&amp;"")),0)&gt;10,
IF(DS37&lt;&gt;"",
IF(IF(COUNTIF('盛付札（関数）'!DS37,"*キャラ*"),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VLOOKUP('盛付札（関数）'!DS37,商品マスタ一覧!$D:$J,7,FALSE)))=0,"",
IF(ROUND(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VLOOKUP('盛付札（関数）'!DS37,商品マスタ一覧!$D:$J,7,FALSE))),0)&lt;=0,1,
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VLOOKUP('盛付札（関数）'!DS37,商品マスタ一覧!$D:$J,7,FALSE))),0))),""),"")),"")</f>
        <v/>
      </c>
      <c r="DW37" s="100" t="str">
        <f ca="1">IF(DV37&lt;&gt;"",IF(VALUE(IF(DV42&lt;&gt;"",DS39-DV42,DS39))&gt;VALUE(IF(COUNTIF('盛付札（関数）'!DS37,"*キャラ*"),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VLOOKUP('盛付札（関数）'!DS37,商品マスタ一覧!$D:$J,7,FALSE)))*DV37),
"+"&amp;IF(DV42&lt;&gt;"",DS39-DV42,DS39)-IF(COUNTIF('盛付札（関数）'!DS37,"*キャラ*"),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VLOOKUP('盛付札（関数）'!DS37,商品マスタ一覧!$D:$J,7,FALSE)))*DV37,
IF(DV42&lt;&gt;"",DS39-DV42,DS39)-IF(COUNTIF('盛付札（関数）'!DS37,"*キャラ*"),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VLOOKUP('盛付札（関数）'!DS37,商品マスタ一覧!$D:$J,7,FALSE)))*DV37),"")</f>
        <v/>
      </c>
      <c r="DX37" s="80">
        <f t="array" aca="1" ref="DX37" ca="1">IF(INDIRECT("数出表_Excel!A"&amp;GetResult(DX36))="社食",
GetResult(DX36)+2,GetResult(DX36))</f>
        <v>221</v>
      </c>
      <c r="DY37" s="85" t="str">
        <f t="array" aca="1" ref="DY37" ca="1">IF(DZ36&lt;&gt;"",MATCH(TRUE,INDIRECT("数出表_Excel!B"&amp;MATCH(ED36,数出表_Excel!$A:$A,0)-1&amp;":U"&amp;MATCH(ED36,数出表_Excel!$A:$A,0)-1&amp;"")&lt;&gt;"",0)+1,"")</f>
        <v/>
      </c>
      <c r="DZ37" s="62" t="str">
        <f t="array" aca="1" ref="DZ37" ca="1">IF(COUNTIF(ED36,"*合計*"),"",
IF(IFERROR(INDIRECT("数出表_Excel!" &amp;
CHAR(MATCH(TRUE,
ISNUMBER(--INDIRECT("数出表_Excel!B"&amp;MATCH(ED36,数出表_Excel!$A:$A,0)-1&amp;":U"&amp;MATCH(ED36,数出表_Excel!$A:$A,0)-1&amp;"")),0)+65) &amp; "3"),0)=0,"",
IFERROR(INDIRECT("数出表_Excel!" &amp;
CHAR(MATCH(TRUE,
ISNUMBER(--INDIRECT("数出表_Excel!B"&amp;MATCH(ED36,数出表_Excel!$A:$A,0)-1&amp;":U"&amp;MATCH(ED36,数出表_Excel!$A:$A,0)-1&amp;"")),0)+65) &amp; "3"),"")))</f>
        <v/>
      </c>
      <c r="EA37" s="80"/>
      <c r="EB37" s="86" t="str">
        <f t="array" aca="1" ref="EB37" ca="1">IF(EC37&lt;&gt;"","",
IF(COUNTIF(DZ36,"*雙葉*"),"",
IF(DZ36&lt;&gt;"",
IFERROR(
INDEX('数出表_Excel（アレルギー入力）'!$4:$4,
 1,
MATCH(TRUE,INDIRECT("'数出表_Excel（アレルギー入力）'!B"&amp;MATCH(ED36,'数出表_Excel（アレルギー入力）'!$A:$A,0)-1&amp;":U"&amp;MATCH(ED36,'数出表_Excel（アレルギー入力）'!$A:$A,0)-1&amp;"")&lt;&gt;"",0)+1
),
 "")
&amp;IFERROR(
INDEX('数出表_Excel（アレルギー入力）'!$5:$5,
 1,
MATCH(TRUE,INDIRECT("'数出表_Excel（アレルギー入力）'!B"&amp;MATCH(ED36,'数出表_Excel（アレルギー入力）'!$A:$A,0)-1&amp;":U"&amp;MATCH(ED36,'数出表_Excel（アレルギー入力）'!$A:$A,0)-1&amp;"")&lt;&gt;"",0)+1),
 ""),"")))</f>
        <v/>
      </c>
      <c r="EC37" s="87" t="str">
        <f t="array" aca="1" ref="EC37" ca="1">IF(DZ37&lt;&gt;"",
IF(COUNTIF(DZ36,"*雙葉*"),
IF(ROUND(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VLOOKUP('盛付札（関数）'!DZ37,商品マスタ一覧!$D:$J,7,FALSE))),0)&lt;=0,1,
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VLOOKUP('盛付札（関数）'!DZ37,商品マスタ一覧!$D:$J,7,FALSE))),0)),
IF(MATCH(TRUE,
ISNUMBER(--INDIRECT("数出表_Excel!B"&amp;MATCH(ED36,数出表_Excel!$A:$A,0)-1&amp;":U"&amp;MATCH(ED36,数出表_Excel!$A:$A,0)-1&amp;"")),0)&gt;10,
IF(DZ37&lt;&gt;"",
IF(IF(COUNTIF('盛付札（関数）'!DZ37,"*キャラ*"),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VLOOKUP('盛付札（関数）'!DZ37,商品マスタ一覧!$D:$J,7,FALSE)))=0,"",
IF(ROUND(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VLOOKUP('盛付札（関数）'!DZ37,商品マスタ一覧!$D:$J,7,FALSE))),0)&lt;=0,1,
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VLOOKUP('盛付札（関数）'!DZ37,商品マスタ一覧!$D:$J,7,FALSE))),0))),""),"")),"")</f>
        <v/>
      </c>
      <c r="ED37" s="96" t="str">
        <f ca="1">IF(EC37&lt;&gt;"",IF(VALUE(IF(EC42&lt;&gt;"",DZ39-EC42,DZ39))&gt;VALUE(IF(COUNTIF('盛付札（関数）'!DZ37,"*キャラ*"),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VLOOKUP('盛付札（関数）'!DZ37,商品マスタ一覧!$D:$J,7,FALSE)))*EC37),
"+"&amp;IF(EC42&lt;&gt;"",DZ39-EC42,DZ39)-IF(COUNTIF('盛付札（関数）'!DZ37,"*キャラ*"),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VLOOKUP('盛付札（関数）'!DZ37,商品マスタ一覧!$D:$J,7,FALSE)))*EC37,
IF(EC42&lt;&gt;"",DZ39-EC42,DZ39)-IF(COUNTIF('盛付札（関数）'!DZ37,"*キャラ*"),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VLOOKUP('盛付札（関数）'!DZ37,商品マスタ一覧!$D:$J,7,FALSE)))*EC37),"")</f>
        <v/>
      </c>
      <c r="EE37" s="80"/>
      <c r="EF37" s="80">
        <f t="array" aca="1" ref="EF37" ca="1">IF(INDIRECT("数出表_Excel!A"&amp;GetResult(EF36))="社食",
GetResult(EF36)+2,GetResult(EF36))</f>
        <v>243</v>
      </c>
      <c r="EG37" s="85" t="str">
        <f t="array" aca="1" ref="EG37" ca="1">IF(EH36&lt;&gt;"",MATCH(TRUE,INDIRECT("数出表_Excel!B"&amp;MATCH(EL36,数出表_Excel!$A:$A,0)-1&amp;":U"&amp;MATCH(EL36,数出表_Excel!$A:$A,0)-1&amp;"")&lt;&gt;"",0)+1,"")</f>
        <v/>
      </c>
      <c r="EH37" s="62" t="str">
        <f t="array" aca="1" ref="EH37" ca="1">IF(COUNTIF(EL36,"*合計*"),"",
IF(IFERROR(INDIRECT("数出表_Excel!" &amp;
CHAR(MATCH(TRUE,
ISNUMBER(--INDIRECT("数出表_Excel!B"&amp;MATCH(EL36,数出表_Excel!$A:$A,0)-1&amp;":U"&amp;MATCH(EL36,数出表_Excel!$A:$A,0)-1&amp;"")),0)+65) &amp; "3"),0)=0,"",
IFERROR(INDIRECT("数出表_Excel!" &amp;
CHAR(MATCH(TRUE,
ISNUMBER(--INDIRECT("数出表_Excel!B"&amp;MATCH(EL36,数出表_Excel!$A:$A,0)-1&amp;":U"&amp;MATCH(EL36,数出表_Excel!$A:$A,0)-1&amp;"")),0)+65) &amp; "3"),"")))</f>
        <v/>
      </c>
      <c r="EI37" s="80"/>
      <c r="EJ37" s="86" t="str">
        <f t="array" aca="1" ref="EJ37" ca="1">IF(EK37&lt;&gt;"","",
IF(COUNTIF(EH36,"*雙葉*"),"",
IF(EH36&lt;&gt;"",
IFERROR(
INDEX('数出表_Excel（アレルギー入力）'!$4:$4,
 1,
MATCH(TRUE,INDIRECT("'数出表_Excel（アレルギー入力）'!B"&amp;MATCH(EL36,'数出表_Excel（アレルギー入力）'!$A:$A,0)-1&amp;":U"&amp;MATCH(EL36,'数出表_Excel（アレルギー入力）'!$A:$A,0)-1&amp;"")&lt;&gt;"",0)+1
),
 "")
&amp;IFERROR(
INDEX('数出表_Excel（アレルギー入力）'!$5:$5,
 1,
MATCH(TRUE,INDIRECT("'数出表_Excel（アレルギー入力）'!B"&amp;MATCH(EL36,'数出表_Excel（アレルギー入力）'!$A:$A,0)-1&amp;":U"&amp;MATCH(EL36,'数出表_Excel（アレルギー入力）'!$A:$A,0)-1&amp;"")&lt;&gt;"",0)+1),
 ""),"")))</f>
        <v/>
      </c>
      <c r="EK37" s="87" t="str">
        <f t="array" aca="1" ref="EK37" ca="1">IF(EH37&lt;&gt;"",
IF(COUNTIF(EH36,"*雙葉*"),
IF(ROUND(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VLOOKUP('盛付札（関数）'!EH37,商品マスタ一覧!$D:$J,7,FALSE))),0)&lt;=0,1,
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VLOOKUP('盛付札（関数）'!EH37,商品マスタ一覧!$D:$J,7,FALSE))),0)),
IF(MATCH(TRUE,
ISNUMBER(--INDIRECT("数出表_Excel!B"&amp;MATCH(EL36,数出表_Excel!$A:$A,0)-1&amp;":U"&amp;MATCH(EL36,数出表_Excel!$A:$A,0)-1&amp;"")),0)&gt;10,
IF(EH37&lt;&gt;"",
IF(IF(COUNTIF('盛付札（関数）'!EH37,"*キャラ*"),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VLOOKUP('盛付札（関数）'!EH37,商品マスタ一覧!$D:$J,7,FALSE)))=0,"",
IF(ROUND(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VLOOKUP('盛付札（関数）'!EH37,商品マスタ一覧!$D:$J,7,FALSE))),0)&lt;=0,1,
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VLOOKUP('盛付札（関数）'!EH37,商品マスタ一覧!$D:$J,7,FALSE))),0))),""),"")),"")</f>
        <v/>
      </c>
      <c r="EL37" s="100" t="str">
        <f ca="1">IF(EK37&lt;&gt;"",IF(VALUE(IF(EK42&lt;&gt;"",EH39-EK42,EH39))&gt;VALUE(IF(COUNTIF('盛付札（関数）'!EH37,"*キャラ*"),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VLOOKUP('盛付札（関数）'!EH37,商品マスタ一覧!$D:$J,7,FALSE)))*EK37),
"+"&amp;IF(EK42&lt;&gt;"",EH39-EK42,EH39)-IF(COUNTIF('盛付札（関数）'!EH37,"*キャラ*"),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VLOOKUP('盛付札（関数）'!EH37,商品マスタ一覧!$D:$J,7,FALSE)))*EK37,
IF(EK42&lt;&gt;"",EH39-EK42,EH39)-IF(COUNTIF('盛付札（関数）'!EH37,"*キャラ*"),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VLOOKUP('盛付札（関数）'!EH37,商品マスタ一覧!$D:$J,7,FALSE)))*EK37),"")</f>
        <v/>
      </c>
      <c r="EM37" s="80">
        <f t="array" aca="1" ref="EM37" ca="1">IF(INDIRECT("数出表_Excel!A"&amp;GetResult(EM36))="社食",
GetResult(EM36)+2,GetResult(EM36))</f>
        <v>245</v>
      </c>
      <c r="EN37" s="85" t="str">
        <f t="array" aca="1" ref="EN37" ca="1">IF(EO36&lt;&gt;"",MATCH(TRUE,INDIRECT("数出表_Excel!B"&amp;MATCH(ES36,数出表_Excel!$A:$A,0)-1&amp;":U"&amp;MATCH(ES36,数出表_Excel!$A:$A,0)-1&amp;"")&lt;&gt;"",0)+1,"")</f>
        <v/>
      </c>
      <c r="EO37" s="62" t="str">
        <f t="array" aca="1" ref="EO37" ca="1">IF(COUNTIF(ES36,"*合計*"),"",
IF(IFERROR(INDIRECT("数出表_Excel!" &amp;
CHAR(MATCH(TRUE,
ISNUMBER(--INDIRECT("数出表_Excel!B"&amp;MATCH(ES36,数出表_Excel!$A:$A,0)-1&amp;":U"&amp;MATCH(ES36,数出表_Excel!$A:$A,0)-1&amp;"")),0)+65) &amp; "3"),0)=0,"",
IFERROR(INDIRECT("数出表_Excel!" &amp;
CHAR(MATCH(TRUE,
ISNUMBER(--INDIRECT("数出表_Excel!B"&amp;MATCH(ES36,数出表_Excel!$A:$A,0)-1&amp;":U"&amp;MATCH(ES36,数出表_Excel!$A:$A,0)-1&amp;"")),0)+65) &amp; "3"),"")))</f>
        <v/>
      </c>
      <c r="EP37" s="80"/>
      <c r="EQ37" s="86" t="str">
        <f t="array" aca="1" ref="EQ37" ca="1">IF(ER37&lt;&gt;"","",
IF(COUNTIF(EO36,"*雙葉*"),"",
IF(EO36&lt;&gt;"",
IFERROR(
INDEX('数出表_Excel（アレルギー入力）'!$4:$4,
 1,
MATCH(TRUE,INDIRECT("'数出表_Excel（アレルギー入力）'!B"&amp;MATCH(ES36,'数出表_Excel（アレルギー入力）'!$A:$A,0)-1&amp;":U"&amp;MATCH(ES36,'数出表_Excel（アレルギー入力）'!$A:$A,0)-1&amp;"")&lt;&gt;"",0)+1
),
 "")
&amp;IFERROR(
INDEX('数出表_Excel（アレルギー入力）'!$5:$5,
 1,
MATCH(TRUE,INDIRECT("'数出表_Excel（アレルギー入力）'!B"&amp;MATCH(ES36,'数出表_Excel（アレルギー入力）'!$A:$A,0)-1&amp;":U"&amp;MATCH(ES36,'数出表_Excel（アレルギー入力）'!$A:$A,0)-1&amp;"")&lt;&gt;"",0)+1),
 ""),"")))</f>
        <v/>
      </c>
      <c r="ER37" s="87" t="str">
        <f t="array" aca="1" ref="ER37" ca="1">IF(EO37&lt;&gt;"",
IF(COUNTIF(EO36,"*雙葉*"),
IF(ROUND(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VLOOKUP('盛付札（関数）'!EO37,商品マスタ一覧!$D:$J,7,FALSE))),0)&lt;=0,1,
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VLOOKUP('盛付札（関数）'!EO37,商品マスタ一覧!$D:$J,7,FALSE))),0)),
IF(MATCH(TRUE,
ISNUMBER(--INDIRECT("数出表_Excel!B"&amp;MATCH(ES36,数出表_Excel!$A:$A,0)-1&amp;":U"&amp;MATCH(ES36,数出表_Excel!$A:$A,0)-1&amp;"")),0)&gt;10,
IF(EO37&lt;&gt;"",
IF(IF(COUNTIF('盛付札（関数）'!EO37,"*キャラ*"),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VLOOKUP('盛付札（関数）'!EO37,商品マスタ一覧!$D:$J,7,FALSE)))=0,"",
IF(ROUND(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VLOOKUP('盛付札（関数）'!EO37,商品マスタ一覧!$D:$J,7,FALSE))),0)&lt;=0,1,
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VLOOKUP('盛付札（関数）'!EO37,商品マスタ一覧!$D:$J,7,FALSE))),0))),""),"")),"")</f>
        <v/>
      </c>
      <c r="ES37" s="96" t="str">
        <f ca="1">IF(ER37&lt;&gt;"",IF(VALUE(IF(ER42&lt;&gt;"",EO39-ER42,EO39))&gt;VALUE(IF(COUNTIF('盛付札（関数）'!EO37,"*キャラ*"),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VLOOKUP('盛付札（関数）'!EO37,商品マスタ一覧!$D:$J,7,FALSE)))*ER37),
"+"&amp;IF(ER42&lt;&gt;"",EO39-ER42,EO39)-IF(COUNTIF('盛付札（関数）'!EO37,"*キャラ*"),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VLOOKUP('盛付札（関数）'!EO37,商品マスタ一覧!$D:$J,7,FALSE)))*ER37,
IF(ER42&lt;&gt;"",EO39-ER42,EO39)-IF(COUNTIF('盛付札（関数）'!EO37,"*キャラ*"),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VLOOKUP('盛付札（関数）'!EO37,商品マスタ一覧!$D:$J,7,FALSE)))*ER37),"")</f>
        <v/>
      </c>
      <c r="ET37" s="111"/>
      <c r="EU37" s="82">
        <f t="shared" si="2"/>
        <v>21</v>
      </c>
      <c r="EV37" s="82" t="str">
        <f t="array" aca="1" ref="EV37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LEN(SUBSTITUTE(_xlfn.FORMULATEXT(EV$25),"=","")))+$EU37)</f>
        <v/>
      </c>
      <c r="EW37" s="82" t="str">
        <f t="array" aca="1" ref="EW37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LEN(SUBSTITUTE(_xlfn.FORMULATEXT(EW$25),"=","")))+$EU37)</f>
        <v/>
      </c>
      <c r="EX37" s="82" t="str">
        <f t="array" aca="1" ref="EX37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LEN(SUBSTITUTE(_xlfn.FORMULATEXT(EX$25),"=","")))+$EU37)</f>
        <v/>
      </c>
      <c r="EY37" s="82" t="str">
        <f t="array" aca="1" ref="EY37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LEN(SUBSTITUTE(_xlfn.FORMULATEXT(EY$25),"=","")))+$EU37)</f>
        <v/>
      </c>
      <c r="EZ37" s="82" t="str">
        <f t="array" aca="1" ref="EZ37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LEN(SUBSTITUTE(_xlfn.FORMULATEXT(EZ$25),"=","")))+$EU37)</f>
        <v/>
      </c>
      <c r="FA37" s="82" t="e">
        <f t="array" aca="1" ref="FA37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LEN(SUBSTITUTE(_xlfn.FORMULATEXT(FA$25),"=","")))+$EU37)</f>
        <v>#VALUE!</v>
      </c>
      <c r="FB37" s="82" t="str">
        <f t="array" aca="1" ref="FB37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LEN(SUBSTITUTE(_xlfn.FORMULATEXT(FB$25),"=","")))+$EU37)</f>
        <v/>
      </c>
      <c r="FC37" s="82" t="str">
        <f t="array" aca="1" ref="FC37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LEN(SUBSTITUTE(_xlfn.FORMULATEXT(FC$25),"=","")))+$EU37)</f>
        <v/>
      </c>
      <c r="FD37" s="82" t="e">
        <f t="array" aca="1" ref="FD37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LEN(SUBSTITUTE(_xlfn.FORMULATEXT(FD$25),"=","")))+$EU37)</f>
        <v>#VALUE!</v>
      </c>
      <c r="FE37" s="82" t="str">
        <f t="array" aca="1" ref="FE37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LEN(SUBSTITUTE(_xlfn.FORMULATEXT(FE$25),"=","")))+$EU37)</f>
        <v/>
      </c>
      <c r="FF37" s="82" t="e">
        <f t="array" aca="1" ref="FF37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LEN(SUBSTITUTE(_xlfn.FORMULATEXT(FF$25),"=","")))+$EU37)</f>
        <v>#N/A</v>
      </c>
      <c r="FG37" s="82">
        <f t="shared" ca="1" si="3"/>
        <v>0</v>
      </c>
      <c r="FH37" s="82" t="e">
        <f t="array" aca="1" ref="FH37" ca="1">SUMPRODUCT((LEN(EV37:FF37)&gt;0)*1)&gt;0</f>
        <v>#VALUE!</v>
      </c>
      <c r="FI37" s="82" t="str">
        <f t="array" aca="1" ref="FI37" ca="1">IFERROR(SMALL(IF(FG$1:FG$173&lt;&gt;0,FG$1:FG$173),ROW(A37)),"")</f>
        <v/>
      </c>
      <c r="FJ37" s="82" t="str">
        <f t="array" aca="1" ref="FJ37" ca="1">IF($FI37&lt;&gt;"",
INDIRECT(""&amp;IF(COLUMN(EV37)&lt;=26,CHAR(COLUMN(EV37)+64),CHAR(INT((COLUMN(EV37)-1)/26)+64)&amp;CHAR(MOD(COLUMN(EV37)-1,26)+65))&amp;$FI37&amp;""),"")</f>
        <v/>
      </c>
      <c r="FK37" s="82" t="str">
        <f t="array" aca="1" ref="FK37" ca="1">IF($FI37&lt;&gt;"",
INDIRECT(""&amp;IF(COLUMN(EW37)&lt;=26,CHAR(COLUMN(EW37)+64),CHAR(INT((COLUMN(EW37)-1)/26)+64)&amp;CHAR(MOD(COLUMN(EW37)-1,26)+65))&amp;$FI37&amp;""),"")</f>
        <v/>
      </c>
      <c r="FL37" s="82" t="str">
        <f t="array" aca="1" ref="FL37" ca="1">IF($FI37&lt;&gt;"",
INDIRECT(""&amp;IF(COLUMN(EX37)&lt;=26,CHAR(COLUMN(EX37)+64),CHAR(INT((COLUMN(EX37)-1)/26)+64)&amp;CHAR(MOD(COLUMN(EX37)-1,26)+65))&amp;$FI37&amp;""),"")</f>
        <v/>
      </c>
      <c r="FM37" s="82" t="str">
        <f t="array" aca="1" ref="FM37" ca="1">IF($FI37&lt;&gt;"",
IF(FL37="",
IF(INDIRECT("EY"&amp;$FI37&amp;"")&lt;&gt;"",
INDIRECT("EY"&amp;$FI37&amp;"")&amp;"箱"
&amp;INDIRECT("EZ"&amp;$FI37&amp;""),""),""),"")</f>
        <v/>
      </c>
      <c r="FN37" s="82" t="str">
        <f t="array" aca="1" ref="FN37" ca="1">IF($FI37&lt;&gt;"",
INDIRECT(""&amp;IF(COLUMN(FA37)&lt;=26,CHAR(COLUMN(FA37)+64),CHAR(INT((COLUMN(FA37)-1)/26)+64)&amp;CHAR(MOD(COLUMN(FA37)-1,26)+65))&amp;$FI37&amp;""),"")</f>
        <v/>
      </c>
      <c r="FO37" s="82" t="str">
        <f t="array" aca="1" ref="FO37" ca="1">IF($FI37&lt;&gt;"",
INDIRECT(""&amp;IF(COLUMN(FB37)&lt;=26,CHAR(COLUMN(FB37)+64),CHAR(INT((COLUMN(FB37)-1)/26)+64)&amp;CHAR(MOD(COLUMN(FB37)-1,26)+65))&amp;$FI37&amp;""),"")</f>
        <v/>
      </c>
      <c r="FP37" s="82" t="str">
        <f t="array" aca="1" ref="FP37" ca="1">IF($FI37&lt;&gt;"",
INDIRECT(""&amp;IF(COLUMN(FC37)&lt;=26,CHAR(COLUMN(FC37)+64),CHAR(INT((COLUMN(FC37)-1)/26)+64)&amp;CHAR(MOD(COLUMN(FC37)-1,26)+65))&amp;$FI37&amp;""),"")</f>
        <v/>
      </c>
      <c r="FQ37" s="82" t="str">
        <f t="array" aca="1" ref="FQ37" ca="1">IF($FI37&lt;&gt;"",
INDIRECT(""&amp;IF(COLUMN(FD37)&lt;=26,CHAR(COLUMN(FD37)+64),CHAR(INT((COLUMN(FD37)-1)/26)+64)&amp;CHAR(MOD(COLUMN(FD37)-1,26)+65))&amp;$FI37&amp;""),"")</f>
        <v/>
      </c>
      <c r="FR37" s="82" t="str">
        <f t="array" aca="1" ref="FR37" ca="1">IF($FI37&lt;&gt;"",
INDIRECT(""&amp;IF(COLUMN(FE37)&lt;=26,CHAR(COLUMN(FE37)+64),CHAR(INT((COLUMN(FE37)-1)/26)+64)&amp;CHAR(MOD(COLUMN(FE37)-1,26)+65))&amp;$FI37&amp;""),"")</f>
        <v/>
      </c>
      <c r="FS37" s="82" t="str">
        <f t="array" aca="1" ref="FS37" ca="1">IF($FI37&lt;&gt;"",
INDIRECT(""&amp;IF(COLUMN(FF37)&lt;=26,CHAR(COLUMN(FF37)+64),CHAR(INT((COLUMN(FF37)-1)/26)+64)&amp;CHAR(MOD(COLUMN(FF37)-1,26)+65))&amp;$FI37&amp;""),"")</f>
        <v/>
      </c>
    </row>
    <row r="38" spans="1:175" s="82" customFormat="1" ht="22.2" customHeight="1" x14ac:dyDescent="0.55000000000000004">
      <c r="A38" s="80"/>
      <c r="B38" s="88" t="e">
        <f t="array" aca="1" ref="B38" ca="1">IF(AND(LEFT(G36,2)="博多",
LEFT(INDIRECT("数出表_Excel!A"&amp;MATCH(G36,数出表_Excel!$A:$A,0)-1),2)
=LEFT(INDIRECT("数出表_Excel!A"&amp;MATCH(G36,数出表_Excel!$A:$A,0)+1),2)),100,
IF(AND(LEFT(G36,3)="奈良屋",
LEFT(INDIRECT("数出表_Excel!A"&amp;MATCH(G36,数出表_Excel!$A:$A,0)-1),2)
=LEFT(INDIRECT("数出表_Excel!A"&amp;MATCH(G36,数出表_Excel!$A:$A,0)+1),2)),200,""))</f>
        <v>#N/A</v>
      </c>
      <c r="C38" s="189" t="str">
        <f ca="1">IF(C37&lt;&gt;"",
"園児","")</f>
        <v/>
      </c>
      <c r="D38" s="190"/>
      <c r="E38" s="193" t="str">
        <f ca="1">IF(C37&lt;&gt;"",
"先生","")</f>
        <v/>
      </c>
      <c r="F38" s="190"/>
      <c r="G38" s="101">
        <f t="array" aca="1" ref="G38" ca="1">IF(C36&lt;&gt;"",
IF(IFERROR(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"")&lt;&gt;0,
IF(IFERROR(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"")="",
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""),
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"")),0),0)</f>
        <v>0</v>
      </c>
      <c r="H38" s="80"/>
      <c r="I38" s="88" t="e">
        <f t="array" aca="1" ref="I38" ca="1">IF(AND(LEFT(N36,2)="博多",
LEFT(INDIRECT("数出表_Excel!A"&amp;MATCH(N36,数出表_Excel!$A:$A,0)-1),2)
=LEFT(INDIRECT("数出表_Excel!A"&amp;MATCH(N36,数出表_Excel!$A:$A,0)+1),2)),100,
IF(AND(LEFT(N36,3)="奈良屋",
LEFT(INDIRECT("数出表_Excel!A"&amp;MATCH(N36,数出表_Excel!$A:$A,0)-1),2)
=LEFT(INDIRECT("数出表_Excel!A"&amp;MATCH(N36,数出表_Excel!$A:$A,0)+1),2)),200,""))</f>
        <v>#N/A</v>
      </c>
      <c r="J38" s="189" t="str">
        <f ca="1">IF(J37&lt;&gt;"",
"園児","")</f>
        <v/>
      </c>
      <c r="K38" s="190"/>
      <c r="L38" s="193" t="str">
        <f ca="1">IF(J37&lt;&gt;"",
"先生","")</f>
        <v/>
      </c>
      <c r="M38" s="190"/>
      <c r="N38" s="101">
        <f t="array" aca="1" ref="N38" ca="1">IF(J36&lt;&gt;"",
IF(IFERROR(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"")&lt;&gt;0,
IF(IFERROR(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"")="",
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""),
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"")),0),0)</f>
        <v>0</v>
      </c>
      <c r="O38" s="80"/>
      <c r="P38" s="80"/>
      <c r="Q38" s="88" t="e">
        <f t="array" aca="1" ref="Q38" ca="1">IF(AND(LEFT(V36,2)="博多",
LEFT(INDIRECT("数出表_Excel!A"&amp;MATCH(V36,数出表_Excel!$A:$A,0)-1),2)
=LEFT(INDIRECT("数出表_Excel!A"&amp;MATCH(V36,数出表_Excel!$A:$A,0)+1),2)),100,
IF(AND(LEFT(V36,3)="奈良屋",
LEFT(INDIRECT("数出表_Excel!A"&amp;MATCH(V36,数出表_Excel!$A:$A,0)-1),2)
=LEFT(INDIRECT("数出表_Excel!A"&amp;MATCH(V36,数出表_Excel!$A:$A,0)+1),2)),200,""))</f>
        <v>#N/A</v>
      </c>
      <c r="R38" s="189" t="str">
        <f ca="1">IF(R37&lt;&gt;"",
"園児","")</f>
        <v/>
      </c>
      <c r="S38" s="190"/>
      <c r="T38" s="193" t="str">
        <f ca="1">IF(R37&lt;&gt;"",
"先生","")</f>
        <v/>
      </c>
      <c r="U38" s="190"/>
      <c r="V38" s="101">
        <f t="array" aca="1" ref="V38" ca="1">IF(R36&lt;&gt;"",
IF(IFERROR(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"")&lt;&gt;0,
IF(IFERROR(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"")="",
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""),
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"")),0),0)</f>
        <v>0</v>
      </c>
      <c r="W38" s="80"/>
      <c r="X38" s="88" t="e">
        <f t="array" aca="1" ref="X38" ca="1">IF(AND(LEFT(AC36,2)="博多",
LEFT(INDIRECT("数出表_Excel!A"&amp;MATCH(AC36,数出表_Excel!$A:$A,0)-1),2)
=LEFT(INDIRECT("数出表_Excel!A"&amp;MATCH(AC36,数出表_Excel!$A:$A,0)+1),2)),100,
IF(AND(LEFT(AC36,3)="奈良屋",
LEFT(INDIRECT("数出表_Excel!A"&amp;MATCH(AC36,数出表_Excel!$A:$A,0)-1),2)
=LEFT(INDIRECT("数出表_Excel!A"&amp;MATCH(AC36,数出表_Excel!$A:$A,0)+1),2)),200,""))</f>
        <v>#N/A</v>
      </c>
      <c r="Y38" s="189" t="str">
        <f ca="1">IF(Y37&lt;&gt;"",
"園児","")</f>
        <v/>
      </c>
      <c r="Z38" s="190"/>
      <c r="AA38" s="193" t="str">
        <f ca="1">IF(Y37&lt;&gt;"",
"先生","")</f>
        <v/>
      </c>
      <c r="AB38" s="190"/>
      <c r="AC38" s="101">
        <f t="array" aca="1" ref="AC38" ca="1">IF(Y36&lt;&gt;"",
IF(IFERROR(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"")&lt;&gt;0,
IF(IFERROR(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"")="",
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""),
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"")),0),0)</f>
        <v>0</v>
      </c>
      <c r="AD38" s="80"/>
      <c r="AE38" s="80"/>
      <c r="AF38" s="88" t="e">
        <f t="array" aca="1" ref="AF38" ca="1">IF(AND(LEFT(AK36,2)="博多",
LEFT(INDIRECT("数出表_Excel!A"&amp;MATCH(AK36,数出表_Excel!$A:$A,0)-1),2)
=LEFT(INDIRECT("数出表_Excel!A"&amp;MATCH(AK36,数出表_Excel!$A:$A,0)+1),2)),100,
IF(AND(LEFT(AK36,3)="奈良屋",
LEFT(INDIRECT("数出表_Excel!A"&amp;MATCH(AK36,数出表_Excel!$A:$A,0)-1),2)
=LEFT(INDIRECT("数出表_Excel!A"&amp;MATCH(AK36,数出表_Excel!$A:$A,0)+1),2)),200,""))</f>
        <v>#N/A</v>
      </c>
      <c r="AG38" s="189" t="str">
        <f ca="1">IF(AG37&lt;&gt;"",
"園児","")</f>
        <v/>
      </c>
      <c r="AH38" s="190"/>
      <c r="AI38" s="193" t="str">
        <f ca="1">IF(AG37&lt;&gt;"",
"先生","")</f>
        <v/>
      </c>
      <c r="AJ38" s="190"/>
      <c r="AK38" s="101">
        <f t="array" aca="1" ref="AK38" ca="1">IF(AG36&lt;&gt;"",
IF(IFERROR(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"")&lt;&gt;0,
IF(IFERROR(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"")="",
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""),
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"")),0),0)</f>
        <v>0</v>
      </c>
      <c r="AL38" s="80"/>
      <c r="AM38" s="88" t="e">
        <f t="array" aca="1" ref="AM38" ca="1">IF(AND(LEFT(AR36,2)="博多",
LEFT(INDIRECT("数出表_Excel!A"&amp;MATCH(AR36,数出表_Excel!$A:$A,0)-1),2)
=LEFT(INDIRECT("数出表_Excel!A"&amp;MATCH(AR36,数出表_Excel!$A:$A,0)+1),2)),100,
IF(AND(LEFT(AR36,3)="奈良屋",
LEFT(INDIRECT("数出表_Excel!A"&amp;MATCH(AR36,数出表_Excel!$A:$A,0)-1),2)
=LEFT(INDIRECT("数出表_Excel!A"&amp;MATCH(AR36,数出表_Excel!$A:$A,0)+1),2)),200,""))</f>
        <v>#N/A</v>
      </c>
      <c r="AN38" s="189" t="str">
        <f ca="1">IF(AN37&lt;&gt;"",
"園児","")</f>
        <v/>
      </c>
      <c r="AO38" s="190"/>
      <c r="AP38" s="193" t="str">
        <f ca="1">IF(AN37&lt;&gt;"",
"先生","")</f>
        <v/>
      </c>
      <c r="AQ38" s="190"/>
      <c r="AR38" s="101">
        <f t="array" aca="1" ref="AR38" ca="1">IF(AN36&lt;&gt;"",
IF(IFERROR(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"")&lt;&gt;0,
IF(IFERROR(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"")="",
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""),
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"")),0),0)</f>
        <v>0</v>
      </c>
      <c r="AS38" s="80"/>
      <c r="AT38" s="80"/>
      <c r="AU38" s="88" t="e">
        <f t="array" aca="1" ref="AU38" ca="1">IF(AND(LEFT(AZ36,2)="博多",
LEFT(INDIRECT("数出表_Excel!A"&amp;MATCH(AZ36,数出表_Excel!$A:$A,0)-1),2)
=LEFT(INDIRECT("数出表_Excel!A"&amp;MATCH(AZ36,数出表_Excel!$A:$A,0)+1),2)),100,
IF(AND(LEFT(AZ36,3)="奈良屋",
LEFT(INDIRECT("数出表_Excel!A"&amp;MATCH(AZ36,数出表_Excel!$A:$A,0)-1),2)
=LEFT(INDIRECT("数出表_Excel!A"&amp;MATCH(AZ36,数出表_Excel!$A:$A,0)+1),2)),200,""))</f>
        <v>#N/A</v>
      </c>
      <c r="AV38" s="189" t="str">
        <f ca="1">IF(AV37&lt;&gt;"",
"園児","")</f>
        <v/>
      </c>
      <c r="AW38" s="190"/>
      <c r="AX38" s="193" t="str">
        <f ca="1">IF(AV37&lt;&gt;"",
"先生","")</f>
        <v/>
      </c>
      <c r="AY38" s="190"/>
      <c r="AZ38" s="101">
        <f t="array" aca="1" ref="AZ38" ca="1">IF(AV36&lt;&gt;"",
IF(IFERROR(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"")&lt;&gt;0,
IF(IFERROR(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"")="",
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""),
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"")),0),0)</f>
        <v>0</v>
      </c>
      <c r="BA38" s="80"/>
      <c r="BB38" s="88" t="e">
        <f t="array" aca="1" ref="BB38" ca="1">IF(AND(LEFT(BG36,2)="博多",
LEFT(INDIRECT("数出表_Excel!A"&amp;MATCH(BG36,数出表_Excel!$A:$A,0)-1),2)
=LEFT(INDIRECT("数出表_Excel!A"&amp;MATCH(BG36,数出表_Excel!$A:$A,0)+1),2)),100,
IF(AND(LEFT(BG36,3)="奈良屋",
LEFT(INDIRECT("数出表_Excel!A"&amp;MATCH(BG36,数出表_Excel!$A:$A,0)-1),2)
=LEFT(INDIRECT("数出表_Excel!A"&amp;MATCH(BG36,数出表_Excel!$A:$A,0)+1),2)),200,""))</f>
        <v>#N/A</v>
      </c>
      <c r="BC38" s="189" t="str">
        <f ca="1">IF(BC37&lt;&gt;"",
"園児","")</f>
        <v/>
      </c>
      <c r="BD38" s="190"/>
      <c r="BE38" s="193" t="str">
        <f ca="1">IF(BC37&lt;&gt;"",
"先生","")</f>
        <v/>
      </c>
      <c r="BF38" s="190"/>
      <c r="BG38" s="101">
        <f t="array" aca="1" ref="BG38" ca="1">IF(BC36&lt;&gt;"",
IF(IFERROR(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"")&lt;&gt;0,
IF(IFERROR(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"")="",
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""),
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"")),0),0)</f>
        <v>0</v>
      </c>
      <c r="BH38" s="80"/>
      <c r="BI38" s="80"/>
      <c r="BJ38" s="88" t="e">
        <f t="array" aca="1" ref="BJ38" ca="1">IF(AND(LEFT(BO36,2)="博多",
LEFT(INDIRECT("数出表_Excel!A"&amp;MATCH(BO36,数出表_Excel!$A:$A,0)-1),2)
=LEFT(INDIRECT("数出表_Excel!A"&amp;MATCH(BO36,数出表_Excel!$A:$A,0)+1),2)),100,
IF(AND(LEFT(BO36,3)="奈良屋",
LEFT(INDIRECT("数出表_Excel!A"&amp;MATCH(BO36,数出表_Excel!$A:$A,0)-1),2)
=LEFT(INDIRECT("数出表_Excel!A"&amp;MATCH(BO36,数出表_Excel!$A:$A,0)+1),2)),200,""))</f>
        <v>#N/A</v>
      </c>
      <c r="BK38" s="189" t="str">
        <f ca="1">IF(BK37&lt;&gt;"",
"園児","")</f>
        <v/>
      </c>
      <c r="BL38" s="190"/>
      <c r="BM38" s="193" t="str">
        <f ca="1">IF(BK37&lt;&gt;"",
"先生","")</f>
        <v/>
      </c>
      <c r="BN38" s="190"/>
      <c r="BO38" s="101">
        <f t="array" aca="1" ref="BO38" ca="1">IF(BK36&lt;&gt;"",
IF(IFERROR(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"")&lt;&gt;0,
IF(IFERROR(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"")="",
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""),
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"")),0),0)</f>
        <v>0</v>
      </c>
      <c r="BP38" s="80"/>
      <c r="BQ38" s="88" t="e">
        <f t="array" aca="1" ref="BQ38" ca="1">IF(AND(LEFT(BV36,2)="博多",
LEFT(INDIRECT("数出表_Excel!A"&amp;MATCH(BV36,数出表_Excel!$A:$A,0)-1),2)
=LEFT(INDIRECT("数出表_Excel!A"&amp;MATCH(BV36,数出表_Excel!$A:$A,0)+1),2)),100,
IF(AND(LEFT(BV36,3)="奈良屋",
LEFT(INDIRECT("数出表_Excel!A"&amp;MATCH(BV36,数出表_Excel!$A:$A,0)-1),2)
=LEFT(INDIRECT("数出表_Excel!A"&amp;MATCH(BV36,数出表_Excel!$A:$A,0)+1),2)),200,""))</f>
        <v>#N/A</v>
      </c>
      <c r="BR38" s="189" t="str">
        <f ca="1">IF(BR37&lt;&gt;"",
"園児","")</f>
        <v/>
      </c>
      <c r="BS38" s="190"/>
      <c r="BT38" s="193" t="str">
        <f ca="1">IF(BR37&lt;&gt;"",
"先生","")</f>
        <v/>
      </c>
      <c r="BU38" s="190"/>
      <c r="BV38" s="101">
        <f t="array" aca="1" ref="BV38" ca="1">IF(BR36&lt;&gt;"",
IF(IFERROR(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"")&lt;&gt;0,
IF(IFERROR(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"")="",
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""),
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"")),0),0)</f>
        <v>0</v>
      </c>
      <c r="BW38" s="80"/>
      <c r="BX38" s="80"/>
      <c r="BY38" s="88" t="e">
        <f t="array" aca="1" ref="BY38" ca="1">IF(AND(LEFT(CD36,2)="博多",
LEFT(INDIRECT("数出表_Excel!A"&amp;MATCH(CD36,数出表_Excel!$A:$A,0)-1),2)
=LEFT(INDIRECT("数出表_Excel!A"&amp;MATCH(CD36,数出表_Excel!$A:$A,0)+1),2)),100,
IF(AND(LEFT(CD36,3)="奈良屋",
LEFT(INDIRECT("数出表_Excel!A"&amp;MATCH(CD36,数出表_Excel!$A:$A,0)-1),2)
=LEFT(INDIRECT("数出表_Excel!A"&amp;MATCH(CD36,数出表_Excel!$A:$A,0)+1),2)),200,""))</f>
        <v>#N/A</v>
      </c>
      <c r="BZ38" s="189" t="str">
        <f ca="1">IF(BZ37&lt;&gt;"",
"園児","")</f>
        <v/>
      </c>
      <c r="CA38" s="190"/>
      <c r="CB38" s="193" t="str">
        <f ca="1">IF(BZ37&lt;&gt;"",
"先生","")</f>
        <v/>
      </c>
      <c r="CC38" s="190"/>
      <c r="CD38" s="101">
        <f t="array" aca="1" ref="CD38" ca="1">IF(BZ36&lt;&gt;"",
IF(IFERROR(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"")&lt;&gt;0,
IF(IFERROR(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"")="",
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""),
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"")),0),0)</f>
        <v>0</v>
      </c>
      <c r="CE38" s="80"/>
      <c r="CF38" s="88" t="e">
        <f t="array" aca="1" ref="CF38" ca="1">IF(AND(LEFT(CK36,2)="博多",
LEFT(INDIRECT("数出表_Excel!A"&amp;MATCH(CK36,数出表_Excel!$A:$A,0)-1),2)
=LEFT(INDIRECT("数出表_Excel!A"&amp;MATCH(CK36,数出表_Excel!$A:$A,0)+1),2)),100,
IF(AND(LEFT(CK36,3)="奈良屋",
LEFT(INDIRECT("数出表_Excel!A"&amp;MATCH(CK36,数出表_Excel!$A:$A,0)-1),2)
=LEFT(INDIRECT("数出表_Excel!A"&amp;MATCH(CK36,数出表_Excel!$A:$A,0)+1),2)),200,""))</f>
        <v>#N/A</v>
      </c>
      <c r="CG38" s="189" t="str">
        <f ca="1">IF(CG37&lt;&gt;"",
"園児","")</f>
        <v/>
      </c>
      <c r="CH38" s="190"/>
      <c r="CI38" s="193" t="str">
        <f ca="1">IF(CG37&lt;&gt;"",
"先生","")</f>
        <v/>
      </c>
      <c r="CJ38" s="190"/>
      <c r="CK38" s="101">
        <f t="array" aca="1" ref="CK38" ca="1">IF(CG36&lt;&gt;"",
IF(IFERROR(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"")&lt;&gt;0,
IF(IFERROR(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"")="",
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""),
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"")),0),0)</f>
        <v>0</v>
      </c>
      <c r="CL38" s="80"/>
      <c r="CM38" s="80"/>
      <c r="CN38" s="88" t="e">
        <f t="array" aca="1" ref="CN38" ca="1">IF(AND(LEFT(CS36,2)="博多",
LEFT(INDIRECT("数出表_Excel!A"&amp;MATCH(CS36,数出表_Excel!$A:$A,0)-1),2)
=LEFT(INDIRECT("数出表_Excel!A"&amp;MATCH(CS36,数出表_Excel!$A:$A,0)+1),2)),100,
IF(AND(LEFT(CS36,3)="奈良屋",
LEFT(INDIRECT("数出表_Excel!A"&amp;MATCH(CS36,数出表_Excel!$A:$A,0)-1),2)
=LEFT(INDIRECT("数出表_Excel!A"&amp;MATCH(CS36,数出表_Excel!$A:$A,0)+1),2)),200,""))</f>
        <v>#N/A</v>
      </c>
      <c r="CO38" s="189" t="str">
        <f ca="1">IF(CO37&lt;&gt;"",
"園児","")</f>
        <v/>
      </c>
      <c r="CP38" s="190"/>
      <c r="CQ38" s="193" t="str">
        <f ca="1">IF(CO37&lt;&gt;"",
"先生","")</f>
        <v/>
      </c>
      <c r="CR38" s="190"/>
      <c r="CS38" s="101">
        <f t="array" aca="1" ref="CS38" ca="1">IF(CO36&lt;&gt;"",
IF(IFERROR(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"")&lt;&gt;0,
IF(IFERROR(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"")="",
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""),
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"")),0),0)</f>
        <v>0</v>
      </c>
      <c r="CT38" s="80"/>
      <c r="CU38" s="88" t="e">
        <f t="array" aca="1" ref="CU38" ca="1">IF(AND(LEFT(CZ36,2)="博多",
LEFT(INDIRECT("数出表_Excel!A"&amp;MATCH(CZ36,数出表_Excel!$A:$A,0)-1),2)
=LEFT(INDIRECT("数出表_Excel!A"&amp;MATCH(CZ36,数出表_Excel!$A:$A,0)+1),2)),100,
IF(AND(LEFT(CZ36,3)="奈良屋",
LEFT(INDIRECT("数出表_Excel!A"&amp;MATCH(CZ36,数出表_Excel!$A:$A,0)-1),2)
=LEFT(INDIRECT("数出表_Excel!A"&amp;MATCH(CZ36,数出表_Excel!$A:$A,0)+1),2)),200,""))</f>
        <v>#N/A</v>
      </c>
      <c r="CV38" s="189" t="str">
        <f ca="1">IF(CV37&lt;&gt;"",
"園児","")</f>
        <v/>
      </c>
      <c r="CW38" s="190"/>
      <c r="CX38" s="193" t="str">
        <f ca="1">IF(CV37&lt;&gt;"",
"先生","")</f>
        <v/>
      </c>
      <c r="CY38" s="190"/>
      <c r="CZ38" s="101">
        <f t="array" aca="1" ref="CZ38" ca="1">IF(CV36&lt;&gt;"",
IF(IFERROR(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"")&lt;&gt;0,
IF(IFERROR(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"")="",
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""),
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"")),0),0)</f>
        <v>0</v>
      </c>
      <c r="DA38" s="80"/>
      <c r="DB38" s="80"/>
      <c r="DC38" s="88" t="e">
        <f t="array" aca="1" ref="DC38" ca="1">IF(AND(LEFT(DH36,2)="博多",
LEFT(INDIRECT("数出表_Excel!A"&amp;MATCH(DH36,数出表_Excel!$A:$A,0)-1),2)
=LEFT(INDIRECT("数出表_Excel!A"&amp;MATCH(DH36,数出表_Excel!$A:$A,0)+1),2)),100,
IF(AND(LEFT(DH36,3)="奈良屋",
LEFT(INDIRECT("数出表_Excel!A"&amp;MATCH(DH36,数出表_Excel!$A:$A,0)-1),2)
=LEFT(INDIRECT("数出表_Excel!A"&amp;MATCH(DH36,数出表_Excel!$A:$A,0)+1),2)),200,""))</f>
        <v>#N/A</v>
      </c>
      <c r="DD38" s="189" t="str">
        <f ca="1">IF(DD37&lt;&gt;"",
"園児","")</f>
        <v/>
      </c>
      <c r="DE38" s="190"/>
      <c r="DF38" s="193" t="str">
        <f ca="1">IF(DD37&lt;&gt;"",
"先生","")</f>
        <v/>
      </c>
      <c r="DG38" s="190"/>
      <c r="DH38" s="101">
        <f t="array" aca="1" ref="DH38" ca="1">IF(DD36&lt;&gt;"",
IF(IFERROR(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"")&lt;&gt;0,
IF(IFERROR(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"")="",
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""),
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"")),0),0)</f>
        <v>0</v>
      </c>
      <c r="DI38" s="80"/>
      <c r="DJ38" s="88" t="e">
        <f t="array" aca="1" ref="DJ38" ca="1">IF(AND(LEFT(DO36,2)="博多",
LEFT(INDIRECT("数出表_Excel!A"&amp;MATCH(DO36,数出表_Excel!$A:$A,0)-1),2)
=LEFT(INDIRECT("数出表_Excel!A"&amp;MATCH(DO36,数出表_Excel!$A:$A,0)+1),2)),100,
IF(AND(LEFT(DO36,3)="奈良屋",
LEFT(INDIRECT("数出表_Excel!A"&amp;MATCH(DO36,数出表_Excel!$A:$A,0)-1),2)
=LEFT(INDIRECT("数出表_Excel!A"&amp;MATCH(DO36,数出表_Excel!$A:$A,0)+1),2)),200,""))</f>
        <v>#N/A</v>
      </c>
      <c r="DK38" s="189" t="str">
        <f ca="1">IF(DK37&lt;&gt;"",
"園児","")</f>
        <v/>
      </c>
      <c r="DL38" s="190"/>
      <c r="DM38" s="193" t="str">
        <f ca="1">IF(DK37&lt;&gt;"",
"先生","")</f>
        <v/>
      </c>
      <c r="DN38" s="190"/>
      <c r="DO38" s="101">
        <f t="array" aca="1" ref="DO38" ca="1">IF(DK36&lt;&gt;"",
IF(IFERROR(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"")&lt;&gt;0,
IF(IFERROR(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"")="",
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""),
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"")),0),0)</f>
        <v>0</v>
      </c>
      <c r="DP38" s="80"/>
      <c r="DQ38" s="80"/>
      <c r="DR38" s="88" t="e">
        <f t="array" aca="1" ref="DR38" ca="1">IF(AND(LEFT(DW36,2)="博多",
LEFT(INDIRECT("数出表_Excel!A"&amp;MATCH(DW36,数出表_Excel!$A:$A,0)-1),2)
=LEFT(INDIRECT("数出表_Excel!A"&amp;MATCH(DW36,数出表_Excel!$A:$A,0)+1),2)),100,
IF(AND(LEFT(DW36,3)="奈良屋",
LEFT(INDIRECT("数出表_Excel!A"&amp;MATCH(DW36,数出表_Excel!$A:$A,0)-1),2)
=LEFT(INDIRECT("数出表_Excel!A"&amp;MATCH(DW36,数出表_Excel!$A:$A,0)+1),2)),200,""))</f>
        <v>#N/A</v>
      </c>
      <c r="DS38" s="189" t="str">
        <f ca="1">IF(DS37&lt;&gt;"",
"園児","")</f>
        <v/>
      </c>
      <c r="DT38" s="190"/>
      <c r="DU38" s="193" t="str">
        <f ca="1">IF(DS37&lt;&gt;"",
"先生","")</f>
        <v/>
      </c>
      <c r="DV38" s="190"/>
      <c r="DW38" s="101">
        <f t="array" aca="1" ref="DW38" ca="1">IF(DS36&lt;&gt;"",
IF(IFERROR(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"")&lt;&gt;0,
IF(IFERROR(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"")="",
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""),
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"")),0),0)</f>
        <v>0</v>
      </c>
      <c r="DX38" s="80"/>
      <c r="DY38" s="88" t="e">
        <f t="array" aca="1" ref="DY38" ca="1">IF(AND(LEFT(ED36,2)="博多",
LEFT(INDIRECT("数出表_Excel!A"&amp;MATCH(ED36,数出表_Excel!$A:$A,0)-1),2)
=LEFT(INDIRECT("数出表_Excel!A"&amp;MATCH(ED36,数出表_Excel!$A:$A,0)+1),2)),100,
IF(AND(LEFT(ED36,3)="奈良屋",
LEFT(INDIRECT("数出表_Excel!A"&amp;MATCH(ED36,数出表_Excel!$A:$A,0)-1),2)
=LEFT(INDIRECT("数出表_Excel!A"&amp;MATCH(ED36,数出表_Excel!$A:$A,0)+1),2)),200,""))</f>
        <v>#N/A</v>
      </c>
      <c r="DZ38" s="189" t="str">
        <f ca="1">IF(DZ37&lt;&gt;"",
"園児","")</f>
        <v/>
      </c>
      <c r="EA38" s="190"/>
      <c r="EB38" s="193" t="str">
        <f ca="1">IF(DZ37&lt;&gt;"",
"先生","")</f>
        <v/>
      </c>
      <c r="EC38" s="190"/>
      <c r="ED38" s="101">
        <f t="array" aca="1" ref="ED38" ca="1">IF(DZ36&lt;&gt;"",
IF(IFERROR(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"")&lt;&gt;0,
IF(IFERROR(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"")="",
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""),
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"")),0),0)</f>
        <v>0</v>
      </c>
      <c r="EE38" s="80"/>
      <c r="EF38" s="80"/>
      <c r="EG38" s="88" t="e">
        <f t="array" aca="1" ref="EG38" ca="1">IF(AND(LEFT(EL36,2)="博多",
LEFT(INDIRECT("数出表_Excel!A"&amp;MATCH(EL36,数出表_Excel!$A:$A,0)-1),2)
=LEFT(INDIRECT("数出表_Excel!A"&amp;MATCH(EL36,数出表_Excel!$A:$A,0)+1),2)),100,
IF(AND(LEFT(EL36,3)="奈良屋",
LEFT(INDIRECT("数出表_Excel!A"&amp;MATCH(EL36,数出表_Excel!$A:$A,0)-1),2)
=LEFT(INDIRECT("数出表_Excel!A"&amp;MATCH(EL36,数出表_Excel!$A:$A,0)+1),2)),200,""))</f>
        <v>#N/A</v>
      </c>
      <c r="EH38" s="189" t="str">
        <f ca="1">IF(EH37&lt;&gt;"",
"園児","")</f>
        <v/>
      </c>
      <c r="EI38" s="190"/>
      <c r="EJ38" s="193" t="str">
        <f ca="1">IF(EH37&lt;&gt;"",
"先生","")</f>
        <v/>
      </c>
      <c r="EK38" s="190"/>
      <c r="EL38" s="101">
        <f t="array" aca="1" ref="EL38" ca="1">IF(EH36&lt;&gt;"",
IF(IFERROR(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"")&lt;&gt;0,
IF(IFERROR(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"")="",
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""),
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"")),0),0)</f>
        <v>0</v>
      </c>
      <c r="EM38" s="80"/>
      <c r="EN38" s="88" t="e">
        <f t="array" aca="1" ref="EN38" ca="1">IF(AND(LEFT(ES36,2)="博多",
LEFT(INDIRECT("数出表_Excel!A"&amp;MATCH(ES36,数出表_Excel!$A:$A,0)-1),2)
=LEFT(INDIRECT("数出表_Excel!A"&amp;MATCH(ES36,数出表_Excel!$A:$A,0)+1),2)),100,
IF(AND(LEFT(ES36,3)="奈良屋",
LEFT(INDIRECT("数出表_Excel!A"&amp;MATCH(ES36,数出表_Excel!$A:$A,0)-1),2)
=LEFT(INDIRECT("数出表_Excel!A"&amp;MATCH(ES36,数出表_Excel!$A:$A,0)+1),2)),200,""))</f>
        <v>#N/A</v>
      </c>
      <c r="EO38" s="189" t="str">
        <f ca="1">IF(EO37&lt;&gt;"",
"園児","")</f>
        <v/>
      </c>
      <c r="EP38" s="190"/>
      <c r="EQ38" s="193" t="str">
        <f ca="1">IF(EO37&lt;&gt;"",
"先生","")</f>
        <v/>
      </c>
      <c r="ER38" s="190"/>
      <c r="ES38" s="101">
        <f t="array" aca="1" ref="ES38" ca="1">IF(EO36&lt;&gt;"",
IF(IFERROR(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"")&lt;&gt;0,
IF(IFERROR(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"")="",
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""),
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"")),0),0)</f>
        <v>0</v>
      </c>
      <c r="ET38" s="110"/>
      <c r="EU38" s="82">
        <f t="shared" si="2"/>
        <v>63</v>
      </c>
      <c r="EV38" s="82" t="str">
        <f t="array" aca="1" ref="EV38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LEN(SUBSTITUTE(_xlfn.FORMULATEXT(EV$25),"=","")))+$EU38)</f>
        <v/>
      </c>
      <c r="EW38" s="82" t="str">
        <f t="array" aca="1" ref="EW38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LEN(SUBSTITUTE(_xlfn.FORMULATEXT(EW$25),"=","")))+$EU38)</f>
        <v/>
      </c>
      <c r="EX38" s="82" t="str">
        <f t="array" aca="1" ref="EX38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LEN(SUBSTITUTE(_xlfn.FORMULATEXT(EX$25),"=","")))+$EU38)</f>
        <v/>
      </c>
      <c r="EY38" s="82" t="str">
        <f t="array" aca="1" ref="EY38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LEN(SUBSTITUTE(_xlfn.FORMULATEXT(EY$25),"=","")))+$EU38)</f>
        <v/>
      </c>
      <c r="EZ38" s="82" t="str">
        <f t="array" aca="1" ref="EZ38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LEN(SUBSTITUTE(_xlfn.FORMULATEXT(EZ$25),"=","")))+$EU38)</f>
        <v/>
      </c>
      <c r="FA38" s="82" t="str">
        <f t="array" aca="1" ref="FA38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LEN(SUBSTITUTE(_xlfn.FORMULATEXT(FA$25),"=","")))+$EU38)</f>
        <v/>
      </c>
      <c r="FB38" s="82" t="str">
        <f t="array" aca="1" ref="FB38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LEN(SUBSTITUTE(_xlfn.FORMULATEXT(FB$25),"=","")))+$EU38)</f>
        <v/>
      </c>
      <c r="FC38" s="82" t="str">
        <f t="array" aca="1" ref="FC38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LEN(SUBSTITUTE(_xlfn.FORMULATEXT(FC$25),"=","")))+$EU38)</f>
        <v/>
      </c>
      <c r="FD38" s="82" t="str">
        <f t="array" aca="1" ref="FD38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LEN(SUBSTITUTE(_xlfn.FORMULATEXT(FD$25),"=","")))+$EU38)</f>
        <v/>
      </c>
      <c r="FE38" s="82" t="str">
        <f t="array" aca="1" ref="FE38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LEN(SUBSTITUTE(_xlfn.FORMULATEXT(FE$25),"=","")))+$EU38)</f>
        <v/>
      </c>
      <c r="FF38" s="82" t="str">
        <f t="array" aca="1" ref="FF38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LEN(SUBSTITUTE(_xlfn.FORMULATEXT(FF$25),"=","")))+$EU38)</f>
        <v/>
      </c>
      <c r="FG38" s="82">
        <f t="shared" ca="1" si="3"/>
        <v>0</v>
      </c>
      <c r="FH38" s="82" t="b">
        <f t="array" aca="1" ref="FH38" ca="1">SUMPRODUCT((LEN(EV38:FF38)&gt;0)*1)&gt;0</f>
        <v>0</v>
      </c>
      <c r="FI38" s="82" t="str">
        <f t="array" aca="1" ref="FI38" ca="1">IFERROR(SMALL(IF(FG$1:FG$173&lt;&gt;0,FG$1:FG$173),ROW(A38)),"")</f>
        <v/>
      </c>
      <c r="FJ38" s="82" t="str">
        <f t="array" aca="1" ref="FJ38" ca="1">IF($FI38&lt;&gt;"",
INDIRECT(""&amp;IF(COLUMN(EV38)&lt;=26,CHAR(COLUMN(EV38)+64),CHAR(INT((COLUMN(EV38)-1)/26)+64)&amp;CHAR(MOD(COLUMN(EV38)-1,26)+65))&amp;$FI38&amp;""),"")</f>
        <v/>
      </c>
      <c r="FK38" s="82" t="str">
        <f t="array" aca="1" ref="FK38" ca="1">IF($FI38&lt;&gt;"",
INDIRECT(""&amp;IF(COLUMN(EW38)&lt;=26,CHAR(COLUMN(EW38)+64),CHAR(INT((COLUMN(EW38)-1)/26)+64)&amp;CHAR(MOD(COLUMN(EW38)-1,26)+65))&amp;$FI38&amp;""),"")</f>
        <v/>
      </c>
      <c r="FL38" s="82" t="str">
        <f t="array" aca="1" ref="FL38" ca="1">IF($FI38&lt;&gt;"",
INDIRECT(""&amp;IF(COLUMN(EX38)&lt;=26,CHAR(COLUMN(EX38)+64),CHAR(INT((COLUMN(EX38)-1)/26)+64)&amp;CHAR(MOD(COLUMN(EX38)-1,26)+65))&amp;$FI38&amp;""),"")</f>
        <v/>
      </c>
      <c r="FM38" s="82" t="str">
        <f t="array" aca="1" ref="FM38" ca="1">IF($FI38&lt;&gt;"",
IF(FL38="",
IF(INDIRECT("EY"&amp;$FI38&amp;"")&lt;&gt;"",
INDIRECT("EY"&amp;$FI38&amp;"")&amp;"箱"
&amp;INDIRECT("EZ"&amp;$FI38&amp;""),""),""),"")</f>
        <v/>
      </c>
      <c r="FN38" s="82" t="str">
        <f t="array" aca="1" ref="FN38" ca="1">IF($FI38&lt;&gt;"",
INDIRECT(""&amp;IF(COLUMN(FA38)&lt;=26,CHAR(COLUMN(FA38)+64),CHAR(INT((COLUMN(FA38)-1)/26)+64)&amp;CHAR(MOD(COLUMN(FA38)-1,26)+65))&amp;$FI38&amp;""),"")</f>
        <v/>
      </c>
      <c r="FO38" s="82" t="str">
        <f t="array" aca="1" ref="FO38" ca="1">IF($FI38&lt;&gt;"",
INDIRECT(""&amp;IF(COLUMN(FB38)&lt;=26,CHAR(COLUMN(FB38)+64),CHAR(INT((COLUMN(FB38)-1)/26)+64)&amp;CHAR(MOD(COLUMN(FB38)-1,26)+65))&amp;$FI38&amp;""),"")</f>
        <v/>
      </c>
      <c r="FP38" s="82" t="str">
        <f t="array" aca="1" ref="FP38" ca="1">IF($FI38&lt;&gt;"",
INDIRECT(""&amp;IF(COLUMN(FC38)&lt;=26,CHAR(COLUMN(FC38)+64),CHAR(INT((COLUMN(FC38)-1)/26)+64)&amp;CHAR(MOD(COLUMN(FC38)-1,26)+65))&amp;$FI38&amp;""),"")</f>
        <v/>
      </c>
      <c r="FQ38" s="82" t="str">
        <f t="array" aca="1" ref="FQ38" ca="1">IF($FI38&lt;&gt;"",
INDIRECT(""&amp;IF(COLUMN(FD38)&lt;=26,CHAR(COLUMN(FD38)+64),CHAR(INT((COLUMN(FD38)-1)/26)+64)&amp;CHAR(MOD(COLUMN(FD38)-1,26)+65))&amp;$FI38&amp;""),"")</f>
        <v/>
      </c>
      <c r="FR38" s="82" t="str">
        <f t="array" aca="1" ref="FR38" ca="1">IF($FI38&lt;&gt;"",
INDIRECT(""&amp;IF(COLUMN(FE38)&lt;=26,CHAR(COLUMN(FE38)+64),CHAR(INT((COLUMN(FE38)-1)/26)+64)&amp;CHAR(MOD(COLUMN(FE38)-1,26)+65))&amp;$FI38&amp;""),"")</f>
        <v/>
      </c>
      <c r="FS38" s="82" t="str">
        <f t="array" aca="1" ref="FS38" ca="1">IF($FI38&lt;&gt;"",
INDIRECT(""&amp;IF(COLUMN(FF38)&lt;=26,CHAR(COLUMN(FF38)+64),CHAR(INT((COLUMN(FF38)-1)/26)+64)&amp;CHAR(MOD(COLUMN(FF38)-1,26)+65))&amp;$FI38&amp;""),"")</f>
        <v/>
      </c>
    </row>
    <row r="39" spans="1:175" ht="18" customHeight="1" x14ac:dyDescent="0.45">
      <c r="B39" s="90"/>
      <c r="C39" s="185" t="e">
        <f t="array" aca="1" ref="C39" ca="1">IF(AND(N29="社食",G36="社食"),"",
IF(C37&lt;&gt;"",
IF(IFERROR(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"")=0,"",
IF(B38=100,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IF(AND(B38=200,COUNTIF(数出表_Excel!$A:$A,"*奈良屋*")=2),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IF(AND(B38=200,COUNTIF(数出表_Excel!$A:$A,"*奈良屋*")=3),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
+IFERROR(
INDEX(INDIRECT("数出表_Excel!B"&amp;MATCH(G36,数出表_Excel!$A:$A,0)-1+4&amp;":U"&amp;MATCH(G36,数出表_Excel!$A:$A,0)-1+4&amp;""),
 1,
 MATCH(TRUE, ISNUMBER(--INDIRECT("数出表_Excel!B"&amp;MATCH(G36,数出表_Excel!$A:$A,0)-1+4&amp;":U"&amp;MATCH(G36,数出表_Excel!$A:$A,0)-1+4&amp;"")), 0)),
 ""),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""))))),"")+B39)</f>
        <v>#VALUE!</v>
      </c>
      <c r="D39" s="186"/>
      <c r="E39" s="188" t="str">
        <f t="array" aca="1" ref="E39" ca="1">IF(AND(G36="社食",N36="社食"),"",
IF(C37&lt;&gt;"",
IF(IFERROR(
INDEX(INDIRECT("数出表_Excel!B"&amp;MATCH(G36,数出表_Excel!$A:$A,0)&amp;":U"&amp;MATCH(G36,数出表_Excel!$A:$A,0)&amp;""),
 1,B37-1),
 "")=0,"",
IFERROR(
INDEX(INDIRECT("数出表_Excel!B"&amp;MATCH(G36,数出表_Excel!$A:$A,0)&amp;":U"&amp;MATCH(G36,数出表_Excel!$A:$A,0)&amp;""),
 1,B37-1),
 "")),""))</f>
        <v/>
      </c>
      <c r="F39" s="186"/>
      <c r="G39" s="101" t="e">
        <f t="array" aca="1" ref="G39" ca="1">IF(B38=100,
IF(C36&lt;&gt;"",
IF(IFERROR(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0)&lt;&gt;0,
IF(IFERROR(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0)="",
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0),
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0)),0),""),0)</f>
        <v>#N/A</v>
      </c>
      <c r="I39" s="90"/>
      <c r="J39" s="185" t="e">
        <f t="array" aca="1" ref="J39" ca="1">IF(AND(G36="社食",N36="社食"),"",
IF(J37&lt;&gt;"",
IF(IFERROR(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"")=0,"",
IF(I38=100,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IF(AND(I38=200,COUNTIF(数出表_Excel!$A:$A,"*奈良屋*")=2),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IF(AND(I38=200,COUNTIF(数出表_Excel!$A:$A,"*奈良屋*")=3),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
+IFERROR(
INDEX(INDIRECT("数出表_Excel!B"&amp;MATCH(N36,数出表_Excel!$A:$A,0)-1+4&amp;":U"&amp;MATCH(N36,数出表_Excel!$A:$A,0)-1+4&amp;""),
 1,
 MATCH(TRUE, ISNUMBER(--INDIRECT("数出表_Excel!B"&amp;MATCH(N36,数出表_Excel!$A:$A,0)-1+4&amp;":U"&amp;MATCH(N36,数出表_Excel!$A:$A,0)-1+4&amp;"")), 0)),
 ""),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""))))),"")+I39)</f>
        <v>#VALUE!</v>
      </c>
      <c r="K39" s="186"/>
      <c r="L39" s="188" t="str">
        <f t="array" aca="1" ref="L39" ca="1">IF(AND(N36="社食",V1="社食"),"",
IF(J37&lt;&gt;"",
IF(IFERROR(
INDEX(INDIRECT("数出表_Excel!B"&amp;MATCH(N36,数出表_Excel!$A:$A,0)&amp;":U"&amp;MATCH(N36,数出表_Excel!$A:$A,0)&amp;""),
 1,I37-1),
 "")=0,"",
IFERROR(
INDEX(INDIRECT("数出表_Excel!B"&amp;MATCH(N36,数出表_Excel!$A:$A,0)&amp;":U"&amp;MATCH(N36,数出表_Excel!$A:$A,0)&amp;""),
 1,I37-1),
 "")),""))</f>
        <v/>
      </c>
      <c r="M39" s="186"/>
      <c r="N39" s="101" t="e">
        <f t="array" aca="1" ref="N39" ca="1">IF(I38=100,
IF(J36&lt;&gt;"",
IF(IFERROR(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0)&lt;&gt;0,
IF(IFERROR(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0)="",
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0),
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0)),0),""),0)</f>
        <v>#N/A</v>
      </c>
      <c r="Q39" s="90"/>
      <c r="R39" s="185" t="e">
        <f t="array" aca="1" ref="R39" ca="1">IF(AND(AC29="社食",V36="社食"),"",
IF(R37&lt;&gt;"",
IF(IFERROR(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"")=0,"",
IF(Q38=100,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IF(AND(Q38=200,COUNTIF(数出表_Excel!$A:$A,"*奈良屋*")=2),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IF(AND(Q38=200,COUNTIF(数出表_Excel!$A:$A,"*奈良屋*")=3),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
+IFERROR(
INDEX(INDIRECT("数出表_Excel!B"&amp;MATCH(V36,数出表_Excel!$A:$A,0)-1+4&amp;":U"&amp;MATCH(V36,数出表_Excel!$A:$A,0)-1+4&amp;""),
 1,
 MATCH(TRUE, ISNUMBER(--INDIRECT("数出表_Excel!B"&amp;MATCH(V36,数出表_Excel!$A:$A,0)-1+4&amp;":U"&amp;MATCH(V36,数出表_Excel!$A:$A,0)-1+4&amp;"")), 0)),
 ""),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""))))),"")+Q39)</f>
        <v>#VALUE!</v>
      </c>
      <c r="S39" s="186"/>
      <c r="T39" s="188" t="str">
        <f t="array" aca="1" ref="T39" ca="1">IF(AND(V36="社食",AC36="社食"),"",
IF(R37&lt;&gt;"",
IF(IFERROR(
INDEX(INDIRECT("数出表_Excel!B"&amp;MATCH(V36,数出表_Excel!$A:$A,0)&amp;":U"&amp;MATCH(V36,数出表_Excel!$A:$A,0)&amp;""),
 1,Q37-1),
 "")=0,"",
IFERROR(
INDEX(INDIRECT("数出表_Excel!B"&amp;MATCH(V36,数出表_Excel!$A:$A,0)&amp;":U"&amp;MATCH(V36,数出表_Excel!$A:$A,0)&amp;""),
 1,Q37-1),
 "")),""))</f>
        <v/>
      </c>
      <c r="U39" s="186"/>
      <c r="V39" s="101" t="e">
        <f t="array" aca="1" ref="V39" ca="1">IF(Q38=100,
IF(R36&lt;&gt;"",
IF(IFERROR(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0)&lt;&gt;0,
IF(IFERROR(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0)="",
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0),
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0)),0),""),0)</f>
        <v>#N/A</v>
      </c>
      <c r="X39" s="90"/>
      <c r="Y39" s="185" t="e">
        <f t="array" aca="1" ref="Y39" ca="1">IF(AND(V36="社食",AC36="社食"),"",
IF(Y37&lt;&gt;"",
IF(IFERROR(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"")=0,"",
IF(X38=100,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IF(AND(X38=200,COUNTIF(数出表_Excel!$A:$A,"*奈良屋*")=2),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IF(AND(X38=200,COUNTIF(数出表_Excel!$A:$A,"*奈良屋*")=3),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
+IFERROR(
INDEX(INDIRECT("数出表_Excel!B"&amp;MATCH(AC36,数出表_Excel!$A:$A,0)-1+4&amp;":U"&amp;MATCH(AC36,数出表_Excel!$A:$A,0)-1+4&amp;""),
 1,
 MATCH(TRUE, ISNUMBER(--INDIRECT("数出表_Excel!B"&amp;MATCH(AC36,数出表_Excel!$A:$A,0)-1+4&amp;":U"&amp;MATCH(AC36,数出表_Excel!$A:$A,0)-1+4&amp;"")), 0)),
 ""),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""))))),"")+X39)</f>
        <v>#VALUE!</v>
      </c>
      <c r="Z39" s="186"/>
      <c r="AA39" s="188" t="str">
        <f t="array" aca="1" ref="AA39" ca="1">IF(AND(AC36="社食",AK1="社食"),"",
IF(Y37&lt;&gt;"",
IF(IFERROR(
INDEX(INDIRECT("数出表_Excel!B"&amp;MATCH(AC36,数出表_Excel!$A:$A,0)&amp;":U"&amp;MATCH(AC36,数出表_Excel!$A:$A,0)&amp;""),
 1,X37-1),
 "")=0,"",
IFERROR(
INDEX(INDIRECT("数出表_Excel!B"&amp;MATCH(AC36,数出表_Excel!$A:$A,0)&amp;":U"&amp;MATCH(AC36,数出表_Excel!$A:$A,0)&amp;""),
 1,X37-1),
 "")),""))</f>
        <v/>
      </c>
      <c r="AB39" s="186"/>
      <c r="AC39" s="101" t="e">
        <f t="array" aca="1" ref="AC39" ca="1">IF(X38=100,
IF(Y36&lt;&gt;"",
IF(IFERROR(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0)&lt;&gt;0,
IF(IFERROR(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0)="",
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0),
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0)),0),""),0)</f>
        <v>#N/A</v>
      </c>
      <c r="AF39" s="90"/>
      <c r="AG39" s="185" t="e">
        <f t="array" aca="1" ref="AG39" ca="1">IF(AND(AR29="社食",AK36="社食"),"",
IF(AG37&lt;&gt;"",
IF(IFERROR(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"")=0,"",
IF(AF38=100,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IF(AND(AF38=200,COUNTIF(数出表_Excel!$A:$A,"*奈良屋*")=2),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IF(AND(AF38=200,COUNTIF(数出表_Excel!$A:$A,"*奈良屋*")=3),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
+IFERROR(
INDEX(INDIRECT("数出表_Excel!B"&amp;MATCH(AK36,数出表_Excel!$A:$A,0)-1+4&amp;":U"&amp;MATCH(AK36,数出表_Excel!$A:$A,0)-1+4&amp;""),
 1,
 MATCH(TRUE, ISNUMBER(--INDIRECT("数出表_Excel!B"&amp;MATCH(AK36,数出表_Excel!$A:$A,0)-1+4&amp;":U"&amp;MATCH(AK36,数出表_Excel!$A:$A,0)-1+4&amp;"")), 0)),
 ""),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""))))),"")+AF39)</f>
        <v>#VALUE!</v>
      </c>
      <c r="AH39" s="186"/>
      <c r="AI39" s="188" t="str">
        <f t="array" aca="1" ref="AI39" ca="1">IF(AND(AK36="社食",AR36="社食"),"",
IF(AG37&lt;&gt;"",
IF(IFERROR(
INDEX(INDIRECT("数出表_Excel!B"&amp;MATCH(AK36,数出表_Excel!$A:$A,0)&amp;":U"&amp;MATCH(AK36,数出表_Excel!$A:$A,0)&amp;""),
 1,AF37-1),
 "")=0,"",
IFERROR(
INDEX(INDIRECT("数出表_Excel!B"&amp;MATCH(AK36,数出表_Excel!$A:$A,0)&amp;":U"&amp;MATCH(AK36,数出表_Excel!$A:$A,0)&amp;""),
 1,AF37-1),
 "")),""))</f>
        <v/>
      </c>
      <c r="AJ39" s="186"/>
      <c r="AK39" s="101" t="e">
        <f t="array" aca="1" ref="AK39" ca="1">IF(AF38=100,
IF(AG36&lt;&gt;"",
IF(IFERROR(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0)&lt;&gt;0,
IF(IFERROR(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0)="",
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0),
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0)),0),""),0)</f>
        <v>#N/A</v>
      </c>
      <c r="AM39" s="90"/>
      <c r="AN39" s="185" t="e">
        <f t="array" aca="1" ref="AN39" ca="1">IF(AND(AK36="社食",AR36="社食"),"",
IF(AN37&lt;&gt;"",
IF(IFERROR(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"")=0,"",
IF(AM38=100,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IF(AND(AM38=200,COUNTIF(数出表_Excel!$A:$A,"*奈良屋*")=2),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IF(AND(AM38=200,COUNTIF(数出表_Excel!$A:$A,"*奈良屋*")=3),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
+IFERROR(
INDEX(INDIRECT("数出表_Excel!B"&amp;MATCH(AR36,数出表_Excel!$A:$A,0)-1+4&amp;":U"&amp;MATCH(AR36,数出表_Excel!$A:$A,0)-1+4&amp;""),
 1,
 MATCH(TRUE, ISNUMBER(--INDIRECT("数出表_Excel!B"&amp;MATCH(AR36,数出表_Excel!$A:$A,0)-1+4&amp;":U"&amp;MATCH(AR36,数出表_Excel!$A:$A,0)-1+4&amp;"")), 0)),
 ""),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""))))),"")+AM39)</f>
        <v>#VALUE!</v>
      </c>
      <c r="AO39" s="186"/>
      <c r="AP39" s="188" t="str">
        <f t="array" aca="1" ref="AP39" ca="1">IF(AND(AR36="社食",AZ1="社食"),"",
IF(AN37&lt;&gt;"",
IF(IFERROR(
INDEX(INDIRECT("数出表_Excel!B"&amp;MATCH(AR36,数出表_Excel!$A:$A,0)&amp;":U"&amp;MATCH(AR36,数出表_Excel!$A:$A,0)&amp;""),
 1,AM37-1),
 "")=0,"",
IFERROR(
INDEX(INDIRECT("数出表_Excel!B"&amp;MATCH(AR36,数出表_Excel!$A:$A,0)&amp;":U"&amp;MATCH(AR36,数出表_Excel!$A:$A,0)&amp;""),
 1,AM37-1),
 "")),""))</f>
        <v/>
      </c>
      <c r="AQ39" s="186"/>
      <c r="AR39" s="101" t="e">
        <f t="array" aca="1" ref="AR39" ca="1">IF(AM38=100,
IF(AN36&lt;&gt;"",
IF(IFERROR(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0)&lt;&gt;0,
IF(IFERROR(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0)="",
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0),
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0)),0),""),0)</f>
        <v>#N/A</v>
      </c>
      <c r="AU39" s="90"/>
      <c r="AV39" s="185" t="e">
        <f t="array" aca="1" ref="AV39" ca="1">IF(AND(BG29="社食",AZ36="社食"),"",
IF(AV37&lt;&gt;"",
IF(IFERROR(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"")=0,"",
IF(AU38=100,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IF(AND(AU38=200,COUNTIF(数出表_Excel!$A:$A,"*奈良屋*")=2),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IF(AND(AU38=200,COUNTIF(数出表_Excel!$A:$A,"*奈良屋*")=3),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
+IFERROR(
INDEX(INDIRECT("数出表_Excel!B"&amp;MATCH(AZ36,数出表_Excel!$A:$A,0)-1+4&amp;":U"&amp;MATCH(AZ36,数出表_Excel!$A:$A,0)-1+4&amp;""),
 1,
 MATCH(TRUE, ISNUMBER(--INDIRECT("数出表_Excel!B"&amp;MATCH(AZ36,数出表_Excel!$A:$A,0)-1+4&amp;":U"&amp;MATCH(AZ36,数出表_Excel!$A:$A,0)-1+4&amp;"")), 0)),
 ""),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""))))),"")+AU39)</f>
        <v>#VALUE!</v>
      </c>
      <c r="AW39" s="186"/>
      <c r="AX39" s="188" t="str">
        <f t="array" aca="1" ref="AX39" ca="1">IF(AND(AZ36="社食",BG36="社食"),"",
IF(AV37&lt;&gt;"",
IF(IFERROR(
INDEX(INDIRECT("数出表_Excel!B"&amp;MATCH(AZ36,数出表_Excel!$A:$A,0)&amp;":U"&amp;MATCH(AZ36,数出表_Excel!$A:$A,0)&amp;""),
 1,AU37-1),
 "")=0,"",
IFERROR(
INDEX(INDIRECT("数出表_Excel!B"&amp;MATCH(AZ36,数出表_Excel!$A:$A,0)&amp;":U"&amp;MATCH(AZ36,数出表_Excel!$A:$A,0)&amp;""),
 1,AU37-1),
 "")),""))</f>
        <v/>
      </c>
      <c r="AY39" s="186"/>
      <c r="AZ39" s="101" t="e">
        <f t="array" aca="1" ref="AZ39" ca="1">IF(AU38=100,
IF(AV36&lt;&gt;"",
IF(IFERROR(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0)&lt;&gt;0,
IF(IFERROR(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0)="",
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0),
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0)),0),""),0)</f>
        <v>#N/A</v>
      </c>
      <c r="BB39" s="90"/>
      <c r="BC39" s="185" t="e">
        <f t="array" aca="1" ref="BC39" ca="1">IF(AND(AZ36="社食",BG36="社食"),"",
IF(BC37&lt;&gt;"",
IF(IFERROR(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"")=0,"",
IF(BB38=100,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IF(AND(BB38=200,COUNTIF(数出表_Excel!$A:$A,"*奈良屋*")=2),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IF(AND(BB38=200,COUNTIF(数出表_Excel!$A:$A,"*奈良屋*")=3),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
+IFERROR(
INDEX(INDIRECT("数出表_Excel!B"&amp;MATCH(BG36,数出表_Excel!$A:$A,0)-1+4&amp;":U"&amp;MATCH(BG36,数出表_Excel!$A:$A,0)-1+4&amp;""),
 1,
 MATCH(TRUE, ISNUMBER(--INDIRECT("数出表_Excel!B"&amp;MATCH(BG36,数出表_Excel!$A:$A,0)-1+4&amp;":U"&amp;MATCH(BG36,数出表_Excel!$A:$A,0)-1+4&amp;"")), 0)),
 ""),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""))))),"")+BB39)</f>
        <v>#VALUE!</v>
      </c>
      <c r="BD39" s="186"/>
      <c r="BE39" s="188" t="str">
        <f t="array" aca="1" ref="BE39" ca="1">IF(AND(BG36="社食",BO1="社食"),"",
IF(BC37&lt;&gt;"",
IF(IFERROR(
INDEX(INDIRECT("数出表_Excel!B"&amp;MATCH(BG36,数出表_Excel!$A:$A,0)&amp;":U"&amp;MATCH(BG36,数出表_Excel!$A:$A,0)&amp;""),
 1,BB37-1),
 "")=0,"",
IFERROR(
INDEX(INDIRECT("数出表_Excel!B"&amp;MATCH(BG36,数出表_Excel!$A:$A,0)&amp;":U"&amp;MATCH(BG36,数出表_Excel!$A:$A,0)&amp;""),
 1,BB37-1),
 "")),""))</f>
        <v/>
      </c>
      <c r="BF39" s="186"/>
      <c r="BG39" s="101" t="e">
        <f t="array" aca="1" ref="BG39" ca="1">IF(BB38=100,
IF(BC36&lt;&gt;"",
IF(IFERROR(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0)&lt;&gt;0,
IF(IFERROR(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0)="",
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0),
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0)),0),""),0)</f>
        <v>#N/A</v>
      </c>
      <c r="BJ39" s="90"/>
      <c r="BK39" s="185" t="e">
        <f t="array" aca="1" ref="BK39" ca="1">IF(AND(BV29="社食",BO36="社食"),"",
IF(BK37&lt;&gt;"",
IF(IFERROR(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"")=0,"",
IF(BJ38=100,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IF(AND(BJ38=200,COUNTIF(数出表_Excel!$A:$A,"*奈良屋*")=2),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IF(AND(BJ38=200,COUNTIF(数出表_Excel!$A:$A,"*奈良屋*")=3),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
+IFERROR(
INDEX(INDIRECT("数出表_Excel!B"&amp;MATCH(BO36,数出表_Excel!$A:$A,0)-1+4&amp;":U"&amp;MATCH(BO36,数出表_Excel!$A:$A,0)-1+4&amp;""),
 1,
 MATCH(TRUE, ISNUMBER(--INDIRECT("数出表_Excel!B"&amp;MATCH(BO36,数出表_Excel!$A:$A,0)-1+4&amp;":U"&amp;MATCH(BO36,数出表_Excel!$A:$A,0)-1+4&amp;"")), 0)),
 ""),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""))))),"")+BJ39)</f>
        <v>#VALUE!</v>
      </c>
      <c r="BL39" s="186"/>
      <c r="BM39" s="188" t="str">
        <f t="array" aca="1" ref="BM39" ca="1">IF(AND(BO36="社食",BV36="社食"),"",
IF(BK37&lt;&gt;"",
IF(IFERROR(
INDEX(INDIRECT("数出表_Excel!B"&amp;MATCH(BO36,数出表_Excel!$A:$A,0)&amp;":U"&amp;MATCH(BO36,数出表_Excel!$A:$A,0)&amp;""),
 1,BJ37-1),
 "")=0,"",
IFERROR(
INDEX(INDIRECT("数出表_Excel!B"&amp;MATCH(BO36,数出表_Excel!$A:$A,0)&amp;":U"&amp;MATCH(BO36,数出表_Excel!$A:$A,0)&amp;""),
 1,BJ37-1),
 "")),""))</f>
        <v/>
      </c>
      <c r="BN39" s="186"/>
      <c r="BO39" s="101" t="e">
        <f t="array" aca="1" ref="BO39" ca="1">IF(BJ38=100,
IF(BK36&lt;&gt;"",
IF(IFERROR(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0)&lt;&gt;0,
IF(IFERROR(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0)="",
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0),
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0)),0),""),0)</f>
        <v>#N/A</v>
      </c>
      <c r="BQ39" s="90"/>
      <c r="BR39" s="185" t="e">
        <f t="array" aca="1" ref="BR39" ca="1">IF(AND(BO36="社食",BV36="社食"),"",
IF(BR37&lt;&gt;"",
IF(IFERROR(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"")=0,"",
IF(BQ38=100,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IF(AND(BQ38=200,COUNTIF(数出表_Excel!$A:$A,"*奈良屋*")=2),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IF(AND(BQ38=200,COUNTIF(数出表_Excel!$A:$A,"*奈良屋*")=3),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
+IFERROR(
INDEX(INDIRECT("数出表_Excel!B"&amp;MATCH(BV36,数出表_Excel!$A:$A,0)-1+4&amp;":U"&amp;MATCH(BV36,数出表_Excel!$A:$A,0)-1+4&amp;""),
 1,
 MATCH(TRUE, ISNUMBER(--INDIRECT("数出表_Excel!B"&amp;MATCH(BV36,数出表_Excel!$A:$A,0)-1+4&amp;":U"&amp;MATCH(BV36,数出表_Excel!$A:$A,0)-1+4&amp;"")), 0)),
 ""),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""))))),"")+BQ39)</f>
        <v>#VALUE!</v>
      </c>
      <c r="BS39" s="186"/>
      <c r="BT39" s="188" t="str">
        <f t="array" aca="1" ref="BT39" ca="1">IF(AND(BV36="社食",CD1="社食"),"",
IF(BR37&lt;&gt;"",
IF(IFERROR(
INDEX(INDIRECT("数出表_Excel!B"&amp;MATCH(BV36,数出表_Excel!$A:$A,0)&amp;":U"&amp;MATCH(BV36,数出表_Excel!$A:$A,0)&amp;""),
 1,BQ37-1),
 "")=0,"",
IFERROR(
INDEX(INDIRECT("数出表_Excel!B"&amp;MATCH(BV36,数出表_Excel!$A:$A,0)&amp;":U"&amp;MATCH(BV36,数出表_Excel!$A:$A,0)&amp;""),
 1,BQ37-1),
 "")),""))</f>
        <v/>
      </c>
      <c r="BU39" s="186"/>
      <c r="BV39" s="101" t="e">
        <f t="array" aca="1" ref="BV39" ca="1">IF(BQ38=100,
IF(BR36&lt;&gt;"",
IF(IFERROR(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0)&lt;&gt;0,
IF(IFERROR(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0)="",
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0),
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0)),0),""),0)</f>
        <v>#N/A</v>
      </c>
      <c r="BY39" s="90"/>
      <c r="BZ39" s="185" t="e">
        <f t="array" aca="1" ref="BZ39" ca="1">IF(AND(CK29="社食",CD36="社食"),"",
IF(BZ37&lt;&gt;"",
IF(IFERROR(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"")=0,"",
IF(BY38=100,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""),
IF(AND(BY38=200,COUNTIF(数出表_Excel!$A:$A,"*奈良屋*")=2),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""),
IF(AND(BY38=200,COUNTIF(数出表_Excel!$A:$A,"*奈良屋*")=3),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
+IFERROR(
INDEX(INDIRECT("数出表_Excel!B"&amp;MATCH(CD36,数出表_Excel!$A:$A,0)-1+4&amp;":U"&amp;MATCH(CD36,数出表_Excel!$A:$A,0)-1+4&amp;""),
 1,
 MATCH(TRUE, ISNUMBER(--INDIRECT("数出表_Excel!B"&amp;MATCH(CD36,数出表_Excel!$A:$A,0)-1+4&amp;":U"&amp;MATCH(CD36,数出表_Excel!$A:$A,0)-1+4&amp;"")), 0)),
 ""),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""))))),"")+BY39)</f>
        <v>#VALUE!</v>
      </c>
      <c r="CA39" s="186"/>
      <c r="CB39" s="188" t="str">
        <f t="array" aca="1" ref="CB39" ca="1">IF(AND(CD36="社食",CK36="社食"),"",
IF(BZ37&lt;&gt;"",
IF(IFERROR(
INDEX(INDIRECT("数出表_Excel!B"&amp;MATCH(CD36,数出表_Excel!$A:$A,0)&amp;":U"&amp;MATCH(CD36,数出表_Excel!$A:$A,0)&amp;""),
 1,BY37-1),
 "")=0,"",
IFERROR(
INDEX(INDIRECT("数出表_Excel!B"&amp;MATCH(CD36,数出表_Excel!$A:$A,0)&amp;":U"&amp;MATCH(CD36,数出表_Excel!$A:$A,0)&amp;""),
 1,BY37-1),
 "")),""))</f>
        <v/>
      </c>
      <c r="CC39" s="186"/>
      <c r="CD39" s="101" t="e">
        <f t="array" aca="1" ref="CD39" ca="1">IF(BY38=100,
IF(BZ36&lt;&gt;"",
IF(IFERROR(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0)&lt;&gt;0,
IF(IFERROR(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0)="",
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0),
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0)),0),""),0)</f>
        <v>#N/A</v>
      </c>
      <c r="CF39" s="90"/>
      <c r="CG39" s="185" t="e">
        <f t="array" aca="1" ref="CG39" ca="1">IF(AND(CD36="社食",CK36="社食"),"",
IF(CG37&lt;&gt;"",
IF(IFERROR(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"")=0,"",
IF(CF38=100,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""),
IF(AND(CF38=200,COUNTIF(数出表_Excel!$A:$A,"*奈良屋*")=2),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""),
IF(AND(CF38=200,COUNTIF(数出表_Excel!$A:$A,"*奈良屋*")=3),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
+IFERROR(
INDEX(INDIRECT("数出表_Excel!B"&amp;MATCH(CK36,数出表_Excel!$A:$A,0)-1+4&amp;":U"&amp;MATCH(CK36,数出表_Excel!$A:$A,0)-1+4&amp;""),
 1,
 MATCH(TRUE, ISNUMBER(--INDIRECT("数出表_Excel!B"&amp;MATCH(CK36,数出表_Excel!$A:$A,0)-1+4&amp;":U"&amp;MATCH(CK36,数出表_Excel!$A:$A,0)-1+4&amp;"")), 0)),
 ""),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""))))),"")+CF39)</f>
        <v>#VALUE!</v>
      </c>
      <c r="CH39" s="186"/>
      <c r="CI39" s="188" t="str">
        <f t="array" aca="1" ref="CI39" ca="1">IF(AND(CK36="社食",CS1="社食"),"",
IF(CG37&lt;&gt;"",
IF(IFERROR(
INDEX(INDIRECT("数出表_Excel!B"&amp;MATCH(CK36,数出表_Excel!$A:$A,0)&amp;":U"&amp;MATCH(CK36,数出表_Excel!$A:$A,0)&amp;""),
 1,CF37-1),
 "")=0,"",
IFERROR(
INDEX(INDIRECT("数出表_Excel!B"&amp;MATCH(CK36,数出表_Excel!$A:$A,0)&amp;":U"&amp;MATCH(CK36,数出表_Excel!$A:$A,0)&amp;""),
 1,CF37-1),
 "")),""))</f>
        <v/>
      </c>
      <c r="CJ39" s="186"/>
      <c r="CK39" s="101" t="e">
        <f t="array" aca="1" ref="CK39" ca="1">IF(CF38=100,
IF(CG36&lt;&gt;"",
IF(IFERROR(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0)&lt;&gt;0,
IF(IFERROR(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0)="",
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0),
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0)),0),""),0)</f>
        <v>#N/A</v>
      </c>
      <c r="CN39" s="90"/>
      <c r="CO39" s="185" t="e">
        <f t="array" aca="1" ref="CO39" ca="1">IF(AND(CZ29="社食",CS36="社食"),"",
IF(CO37&lt;&gt;"",
IF(IFERROR(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"")=0,"",
IF(CN38=100,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""),
IF(AND(CN38=200,COUNTIF(数出表_Excel!$A:$A,"*奈良屋*")=2),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""),
IF(AND(CN38=200,COUNTIF(数出表_Excel!$A:$A,"*奈良屋*")=3),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
+IFERROR(
INDEX(INDIRECT("数出表_Excel!B"&amp;MATCH(CS36,数出表_Excel!$A:$A,0)-1+4&amp;":U"&amp;MATCH(CS36,数出表_Excel!$A:$A,0)-1+4&amp;""),
 1,
 MATCH(TRUE, ISNUMBER(--INDIRECT("数出表_Excel!B"&amp;MATCH(CS36,数出表_Excel!$A:$A,0)-1+4&amp;":U"&amp;MATCH(CS36,数出表_Excel!$A:$A,0)-1+4&amp;"")), 0)),
 ""),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""))))),"")+CN39)</f>
        <v>#VALUE!</v>
      </c>
      <c r="CP39" s="186"/>
      <c r="CQ39" s="188" t="str">
        <f t="array" aca="1" ref="CQ39" ca="1">IF(AND(CS36="社食",CZ36="社食"),"",
IF(CO37&lt;&gt;"",
IF(IFERROR(
INDEX(INDIRECT("数出表_Excel!B"&amp;MATCH(CS36,数出表_Excel!$A:$A,0)&amp;":U"&amp;MATCH(CS36,数出表_Excel!$A:$A,0)&amp;""),
 1,CN37-1),
 "")=0,"",
IFERROR(
INDEX(INDIRECT("数出表_Excel!B"&amp;MATCH(CS36,数出表_Excel!$A:$A,0)&amp;":U"&amp;MATCH(CS36,数出表_Excel!$A:$A,0)&amp;""),
 1,CN37-1),
 "")),""))</f>
        <v/>
      </c>
      <c r="CR39" s="186"/>
      <c r="CS39" s="101" t="e">
        <f t="array" aca="1" ref="CS39" ca="1">IF(CN38=100,
IF(CO36&lt;&gt;"",
IF(IFERROR(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0)&lt;&gt;0,
IF(IFERROR(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0)="",
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0),
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0)),0),""),0)</f>
        <v>#N/A</v>
      </c>
      <c r="CU39" s="90"/>
      <c r="CV39" s="185" t="e">
        <f t="array" aca="1" ref="CV39" ca="1">IF(AND(CS36="社食",CZ36="社食"),"",
IF(CV37&lt;&gt;"",
IF(IFERROR(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"")=0,"",
IF(CU38=100,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""),
IF(AND(CU38=200,COUNTIF(数出表_Excel!$A:$A,"*奈良屋*")=2),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""),
IF(AND(CU38=200,COUNTIF(数出表_Excel!$A:$A,"*奈良屋*")=3),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
+IFERROR(
INDEX(INDIRECT("数出表_Excel!B"&amp;MATCH(CZ36,数出表_Excel!$A:$A,0)-1+4&amp;":U"&amp;MATCH(CZ36,数出表_Excel!$A:$A,0)-1+4&amp;""),
 1,
 MATCH(TRUE, ISNUMBER(--INDIRECT("数出表_Excel!B"&amp;MATCH(CZ36,数出表_Excel!$A:$A,0)-1+4&amp;":U"&amp;MATCH(CZ36,数出表_Excel!$A:$A,0)-1+4&amp;"")), 0)),
 ""),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""))))),"")+CU39)</f>
        <v>#VALUE!</v>
      </c>
      <c r="CW39" s="186"/>
      <c r="CX39" s="188" t="str">
        <f t="array" aca="1" ref="CX39" ca="1">IF(AND(CZ36="社食",DH1="社食"),"",
IF(CV37&lt;&gt;"",
IF(IFERROR(
INDEX(INDIRECT("数出表_Excel!B"&amp;MATCH(CZ36,数出表_Excel!$A:$A,0)&amp;":U"&amp;MATCH(CZ36,数出表_Excel!$A:$A,0)&amp;""),
 1,CU37-1),
 "")=0,"",
IFERROR(
INDEX(INDIRECT("数出表_Excel!B"&amp;MATCH(CZ36,数出表_Excel!$A:$A,0)&amp;":U"&amp;MATCH(CZ36,数出表_Excel!$A:$A,0)&amp;""),
 1,CU37-1),
 "")),""))</f>
        <v/>
      </c>
      <c r="CY39" s="186"/>
      <c r="CZ39" s="101" t="e">
        <f t="array" aca="1" ref="CZ39" ca="1">IF(CU38=100,
IF(CV36&lt;&gt;"",
IF(IFERROR(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0)&lt;&gt;0,
IF(IFERROR(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0)="",
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0),
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0)),0),""),0)</f>
        <v>#N/A</v>
      </c>
      <c r="DC39" s="90"/>
      <c r="DD39" s="185" t="e">
        <f t="array" aca="1" ref="DD39" ca="1">IF(AND(DO29="社食",DH36="社食"),"",
IF(DD37&lt;&gt;"",
IF(IFERROR(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"")=0,"",
IF(DC38=100,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""),
IF(AND(DC38=200,COUNTIF(数出表_Excel!$A:$A,"*奈良屋*")=2),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""),
IF(AND(DC38=200,COUNTIF(数出表_Excel!$A:$A,"*奈良屋*")=3),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
+IFERROR(
INDEX(INDIRECT("数出表_Excel!B"&amp;MATCH(DH36,数出表_Excel!$A:$A,0)-1+4&amp;":U"&amp;MATCH(DH36,数出表_Excel!$A:$A,0)-1+4&amp;""),
 1,
 MATCH(TRUE, ISNUMBER(--INDIRECT("数出表_Excel!B"&amp;MATCH(DH36,数出表_Excel!$A:$A,0)-1+4&amp;":U"&amp;MATCH(DH36,数出表_Excel!$A:$A,0)-1+4&amp;"")), 0)),
 ""),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""))))),"")+DC39)</f>
        <v>#VALUE!</v>
      </c>
      <c r="DE39" s="186"/>
      <c r="DF39" s="188" t="str">
        <f t="array" aca="1" ref="DF39" ca="1">IF(AND(DH36="社食",DO36="社食"),"",
IF(DD37&lt;&gt;"",
IF(IFERROR(
INDEX(INDIRECT("数出表_Excel!B"&amp;MATCH(DH36,数出表_Excel!$A:$A,0)&amp;":U"&amp;MATCH(DH36,数出表_Excel!$A:$A,0)&amp;""),
 1,DC37-1),
 "")=0,"",
IFERROR(
INDEX(INDIRECT("数出表_Excel!B"&amp;MATCH(DH36,数出表_Excel!$A:$A,0)&amp;":U"&amp;MATCH(DH36,数出表_Excel!$A:$A,0)&amp;""),
 1,DC37-1),
 "")),""))</f>
        <v/>
      </c>
      <c r="DG39" s="186"/>
      <c r="DH39" s="101" t="e">
        <f t="array" aca="1" ref="DH39" ca="1">IF(DC38=100,
IF(DD36&lt;&gt;"",
IF(IFERROR(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0)&lt;&gt;0,
IF(IFERROR(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0)="",
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0),
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0)),0),""),0)</f>
        <v>#N/A</v>
      </c>
      <c r="DJ39" s="90"/>
      <c r="DK39" s="185" t="e">
        <f t="array" aca="1" ref="DK39" ca="1">IF(AND(DH36="社食",DO36="社食"),"",
IF(DK37&lt;&gt;"",
IF(IFERROR(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"")=0,"",
IF(DJ38=100,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""),
IF(AND(DJ38=200,COUNTIF(数出表_Excel!$A:$A,"*奈良屋*")=2),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""),
IF(AND(DJ38=200,COUNTIF(数出表_Excel!$A:$A,"*奈良屋*")=3),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
+IFERROR(
INDEX(INDIRECT("数出表_Excel!B"&amp;MATCH(DO36,数出表_Excel!$A:$A,0)-1+4&amp;":U"&amp;MATCH(DO36,数出表_Excel!$A:$A,0)-1+4&amp;""),
 1,
 MATCH(TRUE, ISNUMBER(--INDIRECT("数出表_Excel!B"&amp;MATCH(DO36,数出表_Excel!$A:$A,0)-1+4&amp;":U"&amp;MATCH(DO36,数出表_Excel!$A:$A,0)-1+4&amp;"")), 0)),
 ""),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""))))),"")+DJ39)</f>
        <v>#VALUE!</v>
      </c>
      <c r="DL39" s="186"/>
      <c r="DM39" s="188" t="str">
        <f t="array" aca="1" ref="DM39" ca="1">IF(AND(DO36="社食",DW1="社食"),"",
IF(DK37&lt;&gt;"",
IF(IFERROR(
INDEX(INDIRECT("数出表_Excel!B"&amp;MATCH(DO36,数出表_Excel!$A:$A,0)&amp;":U"&amp;MATCH(DO36,数出表_Excel!$A:$A,0)&amp;""),
 1,DJ37-1),
 "")=0,"",
IFERROR(
INDEX(INDIRECT("数出表_Excel!B"&amp;MATCH(DO36,数出表_Excel!$A:$A,0)&amp;":U"&amp;MATCH(DO36,数出表_Excel!$A:$A,0)&amp;""),
 1,DJ37-1),
 "")),""))</f>
        <v/>
      </c>
      <c r="DN39" s="186"/>
      <c r="DO39" s="101" t="e">
        <f t="array" aca="1" ref="DO39" ca="1">IF(DJ38=100,
IF(DK36&lt;&gt;"",
IF(IFERROR(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0)&lt;&gt;0,
IF(IFERROR(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0)="",
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0),
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0)),0),""),0)</f>
        <v>#N/A</v>
      </c>
      <c r="DR39" s="90"/>
      <c r="DS39" s="185" t="e">
        <f t="array" aca="1" ref="DS39" ca="1">IF(AND(ED29="社食",DW36="社食"),"",
IF(DS37&lt;&gt;"",
IF(IFERROR(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"")=0,"",
IF(DR38=100,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""),
IF(AND(DR38=200,COUNTIF(数出表_Excel!$A:$A,"*奈良屋*")=2),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""),
IF(AND(DR38=200,COUNTIF(数出表_Excel!$A:$A,"*奈良屋*")=3),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
+IFERROR(
INDEX(INDIRECT("数出表_Excel!B"&amp;MATCH(DW36,数出表_Excel!$A:$A,0)-1+4&amp;":U"&amp;MATCH(DW36,数出表_Excel!$A:$A,0)-1+4&amp;""),
 1,
 MATCH(TRUE, ISNUMBER(--INDIRECT("数出表_Excel!B"&amp;MATCH(DW36,数出表_Excel!$A:$A,0)-1+4&amp;":U"&amp;MATCH(DW36,数出表_Excel!$A:$A,0)-1+4&amp;"")), 0)),
 ""),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""))))),"")+DR39)</f>
        <v>#VALUE!</v>
      </c>
      <c r="DT39" s="186"/>
      <c r="DU39" s="188" t="str">
        <f t="array" aca="1" ref="DU39" ca="1">IF(AND(DW36="社食",ED36="社食"),"",
IF(DS37&lt;&gt;"",
IF(IFERROR(
INDEX(INDIRECT("数出表_Excel!B"&amp;MATCH(DW36,数出表_Excel!$A:$A,0)&amp;":U"&amp;MATCH(DW36,数出表_Excel!$A:$A,0)&amp;""),
 1,DR37-1),
 "")=0,"",
IFERROR(
INDEX(INDIRECT("数出表_Excel!B"&amp;MATCH(DW36,数出表_Excel!$A:$A,0)&amp;":U"&amp;MATCH(DW36,数出表_Excel!$A:$A,0)&amp;""),
 1,DR37-1),
 "")),""))</f>
        <v/>
      </c>
      <c r="DV39" s="186"/>
      <c r="DW39" s="101" t="e">
        <f t="array" aca="1" ref="DW39" ca="1">IF(DR38=100,
IF(DS36&lt;&gt;"",
IF(IFERROR(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0)&lt;&gt;0,
IF(IFERROR(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0)="",
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0),
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0)),0),""),0)</f>
        <v>#N/A</v>
      </c>
      <c r="DY39" s="90"/>
      <c r="DZ39" s="185" t="e">
        <f t="array" aca="1" ref="DZ39" ca="1">IF(AND(DW36="社食",ED36="社食"),"",
IF(DZ37&lt;&gt;"",
IF(IFERROR(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"")=0,"",
IF(DY38=100,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""),
IF(AND(DY38=200,COUNTIF(数出表_Excel!$A:$A,"*奈良屋*")=2),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""),
IF(AND(DY38=200,COUNTIF(数出表_Excel!$A:$A,"*奈良屋*")=3),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
+IFERROR(
INDEX(INDIRECT("数出表_Excel!B"&amp;MATCH(ED36,数出表_Excel!$A:$A,0)-1+4&amp;":U"&amp;MATCH(ED36,数出表_Excel!$A:$A,0)-1+4&amp;""),
 1,
 MATCH(TRUE, ISNUMBER(--INDIRECT("数出表_Excel!B"&amp;MATCH(ED36,数出表_Excel!$A:$A,0)-1+4&amp;":U"&amp;MATCH(ED36,数出表_Excel!$A:$A,0)-1+4&amp;"")), 0)),
 ""),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""))))),"")+DY39)</f>
        <v>#VALUE!</v>
      </c>
      <c r="EA39" s="186"/>
      <c r="EB39" s="188" t="str">
        <f t="array" aca="1" ref="EB39" ca="1">IF(AND(ED36="社食",EL1="社食"),"",
IF(DZ37&lt;&gt;"",
IF(IFERROR(
INDEX(INDIRECT("数出表_Excel!B"&amp;MATCH(ED36,数出表_Excel!$A:$A,0)&amp;":U"&amp;MATCH(ED36,数出表_Excel!$A:$A,0)&amp;""),
 1,DY37-1),
 "")=0,"",
IFERROR(
INDEX(INDIRECT("数出表_Excel!B"&amp;MATCH(ED36,数出表_Excel!$A:$A,0)&amp;":U"&amp;MATCH(ED36,数出表_Excel!$A:$A,0)&amp;""),
 1,DY37-1),
 "")),""))</f>
        <v/>
      </c>
      <c r="EC39" s="186"/>
      <c r="ED39" s="101" t="e">
        <f t="array" aca="1" ref="ED39" ca="1">IF(DY38=100,
IF(DZ36&lt;&gt;"",
IF(IFERROR(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0)&lt;&gt;0,
IF(IFERROR(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0)="",
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0),
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0)),0),""),0)</f>
        <v>#N/A</v>
      </c>
      <c r="EG39" s="90"/>
      <c r="EH39" s="185" t="e">
        <f t="array" aca="1" ref="EH39" ca="1">IF(AND(ES29="社食",EL36="社食"),"",
IF(EH37&lt;&gt;"",
IF(IFERROR(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"")=0,"",
IF(EG38=100,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""),
IF(AND(EG38=200,COUNTIF(数出表_Excel!$A:$A,"*奈良屋*")=2),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""),
IF(AND(EG38=200,COUNTIF(数出表_Excel!$A:$A,"*奈良屋*")=3),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
+IFERROR(
INDEX(INDIRECT("数出表_Excel!B"&amp;MATCH(EL36,数出表_Excel!$A:$A,0)-1+4&amp;":U"&amp;MATCH(EL36,数出表_Excel!$A:$A,0)-1+4&amp;""),
 1,
 MATCH(TRUE, ISNUMBER(--INDIRECT("数出表_Excel!B"&amp;MATCH(EL36,数出表_Excel!$A:$A,0)-1+4&amp;":U"&amp;MATCH(EL36,数出表_Excel!$A:$A,0)-1+4&amp;"")), 0)),
 ""),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""))))),"")+EG39)</f>
        <v>#VALUE!</v>
      </c>
      <c r="EI39" s="186"/>
      <c r="EJ39" s="188" t="str">
        <f t="array" aca="1" ref="EJ39" ca="1">IF(AND(EL36="社食",ES36="社食"),"",
IF(EH37&lt;&gt;"",
IF(IFERROR(
INDEX(INDIRECT("数出表_Excel!B"&amp;MATCH(EL36,数出表_Excel!$A:$A,0)&amp;":U"&amp;MATCH(EL36,数出表_Excel!$A:$A,0)&amp;""),
 1,EG37-1),
 "")=0,"",
IFERROR(
INDEX(INDIRECT("数出表_Excel!B"&amp;MATCH(EL36,数出表_Excel!$A:$A,0)&amp;":U"&amp;MATCH(EL36,数出表_Excel!$A:$A,0)&amp;""),
 1,EG37-1),
 "")),""))</f>
        <v/>
      </c>
      <c r="EK39" s="186"/>
      <c r="EL39" s="101" t="e">
        <f t="array" aca="1" ref="EL39" ca="1">IF(EG38=100,
IF(EH36&lt;&gt;"",
IF(IFERROR(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0)&lt;&gt;0,
IF(IFERROR(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0)="",
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0),
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0)),0),""),0)</f>
        <v>#N/A</v>
      </c>
      <c r="EN39" s="90"/>
      <c r="EO39" s="185" t="e">
        <f t="array" aca="1" ref="EO39" ca="1">IF(AND(EL36="社食",ES36="社食"),"",
IF(EO37&lt;&gt;"",
IF(IFERROR(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"")=0,"",
IF(EN38=100,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""),
IF(AND(EN38=200,COUNTIF(数出表_Excel!$A:$A,"*奈良屋*")=2),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""),
IF(AND(EN38=200,COUNTIF(数出表_Excel!$A:$A,"*奈良屋*")=3),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
+IFERROR(
INDEX(INDIRECT("数出表_Excel!B"&amp;MATCH(ES36,数出表_Excel!$A:$A,0)-1+4&amp;":U"&amp;MATCH(ES36,数出表_Excel!$A:$A,0)-1+4&amp;""),
 1,
 MATCH(TRUE, ISNUMBER(--INDIRECT("数出表_Excel!B"&amp;MATCH(ES36,数出表_Excel!$A:$A,0)-1+4&amp;":U"&amp;MATCH(ES36,数出表_Excel!$A:$A,0)-1+4&amp;"")), 0)),
 ""),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""))))),"")+EN39)</f>
        <v>#VALUE!</v>
      </c>
      <c r="EP39" s="186"/>
      <c r="EQ39" s="188" t="e">
        <f t="array" aca="1" ref="EQ39" ca="1">IF(AND(ES36="社食",FA1="社食"),"",
IF(EO37&lt;&gt;"",
IF(IFERROR(
INDEX(INDIRECT("数出表_Excel!B"&amp;MATCH(ES36,数出表_Excel!$A:$A,0)&amp;":U"&amp;MATCH(ES36,数出表_Excel!$A:$A,0)&amp;""),
 1,EN37-1),
 "")=0,"",
IFERROR(
INDEX(INDIRECT("数出表_Excel!B"&amp;MATCH(ES36,数出表_Excel!$A:$A,0)&amp;":U"&amp;MATCH(ES36,数出表_Excel!$A:$A,0)&amp;""),
 1,EN37-1),
 "")),""))</f>
        <v>#VALUE!</v>
      </c>
      <c r="ER39" s="186"/>
      <c r="ES39" s="101" t="e">
        <f t="array" aca="1" ref="ES39" ca="1">IF(EN38=100,
IF(EO36&lt;&gt;"",
IF(IFERROR(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0)&lt;&gt;0,
IF(IFERROR(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0)="",
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0),
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0)),0),""),0)</f>
        <v>#N/A</v>
      </c>
      <c r="ET39" s="110"/>
      <c r="EU39" s="91">
        <f t="shared" si="2"/>
        <v>21</v>
      </c>
      <c r="EV39" s="82" t="str">
        <f t="array" aca="1" ref="EV39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LEN(SUBSTITUTE(_xlfn.FORMULATEXT(EV$27),"=","")))+$EU39)</f>
        <v/>
      </c>
      <c r="EW39" s="82" t="str">
        <f t="array" aca="1" ref="EW39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LEN(SUBSTITUTE(_xlfn.FORMULATEXT(EW$27),"=","")))+$EU39)</f>
        <v/>
      </c>
      <c r="EX39" s="82" t="str">
        <f t="array" aca="1" ref="EX39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LEN(SUBSTITUTE(_xlfn.FORMULATEXT(EX$27),"=","")))+$EU39)</f>
        <v/>
      </c>
      <c r="EY39" s="82" t="str">
        <f t="array" aca="1" ref="EY39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LEN(SUBSTITUTE(_xlfn.FORMULATEXT(EY$27),"=","")))+$EU39)</f>
        <v/>
      </c>
      <c r="EZ39" s="82" t="str">
        <f t="array" aca="1" ref="EZ39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LEN(SUBSTITUTE(_xlfn.FORMULATEXT(EZ$27),"=","")))+$EU39)</f>
        <v/>
      </c>
      <c r="FA39" s="82" t="e">
        <f t="array" aca="1" ref="FA39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LEN(SUBSTITUTE(_xlfn.FORMULATEXT(FA$27),"=","")))+$EU39)</f>
        <v>#VALUE!</v>
      </c>
      <c r="FB39" s="82" t="str">
        <f t="array" aca="1" ref="FB39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LEN(SUBSTITUTE(_xlfn.FORMULATEXT(FB$27),"=","")))+$EU39)</f>
        <v/>
      </c>
      <c r="FC39" s="82" t="str">
        <f t="array" aca="1" ref="FC39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LEN(SUBSTITUTE(_xlfn.FORMULATEXT(FC$27),"=","")))+$EU39)</f>
        <v/>
      </c>
      <c r="FD39" s="82" t="e">
        <f t="array" aca="1" ref="FD39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LEN(SUBSTITUTE(_xlfn.FORMULATEXT(FD$27),"=","")))+$EU39)</f>
        <v>#VALUE!</v>
      </c>
      <c r="FE39" s="82" t="str">
        <f t="array" aca="1" ref="FE39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LEN(SUBSTITUTE(_xlfn.FORMULATEXT(FE$27),"=","")))+$EU39)</f>
        <v/>
      </c>
      <c r="FF39" s="82" t="e">
        <f t="array" aca="1" ref="FF39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LEN(SUBSTITUTE(_xlfn.FORMULATEXT(FF$27),"=","")))+$EU39)</f>
        <v>#N/A</v>
      </c>
      <c r="FG39" s="82">
        <f t="shared" ca="1" si="3"/>
        <v>0</v>
      </c>
      <c r="FH39" s="82" t="e">
        <f t="array" aca="1" ref="FH39" ca="1">SUMPRODUCT((LEN(EV39:FF39)&gt;0)*1)&gt;0</f>
        <v>#VALUE!</v>
      </c>
      <c r="FI39" s="82" t="str">
        <f t="array" aca="1" ref="FI39" ca="1">IFERROR(SMALL(IF(FG$1:FG$173&lt;&gt;0,FG$1:FG$173),ROW(A39)),"")</f>
        <v/>
      </c>
      <c r="FJ39" s="82" t="str">
        <f t="array" aca="1" ref="FJ39" ca="1">IF($FI39&lt;&gt;"",
INDIRECT(""&amp;IF(COLUMN(EV39)&lt;=26,CHAR(COLUMN(EV39)+64),CHAR(INT((COLUMN(EV39)-1)/26)+64)&amp;CHAR(MOD(COLUMN(EV39)-1,26)+65))&amp;$FI39&amp;""),"")</f>
        <v/>
      </c>
      <c r="FK39" s="82" t="str">
        <f t="array" aca="1" ref="FK39" ca="1">IF($FI39&lt;&gt;"",
INDIRECT(""&amp;IF(COLUMN(EW39)&lt;=26,CHAR(COLUMN(EW39)+64),CHAR(INT((COLUMN(EW39)-1)/26)+64)&amp;CHAR(MOD(COLUMN(EW39)-1,26)+65))&amp;$FI39&amp;""),"")</f>
        <v/>
      </c>
      <c r="FL39" s="82" t="str">
        <f t="array" aca="1" ref="FL39" ca="1">IF($FI39&lt;&gt;"",
INDIRECT(""&amp;IF(COLUMN(EX39)&lt;=26,CHAR(COLUMN(EX39)+64),CHAR(INT((COLUMN(EX39)-1)/26)+64)&amp;CHAR(MOD(COLUMN(EX39)-1,26)+65))&amp;$FI39&amp;""),"")</f>
        <v/>
      </c>
      <c r="FM39" s="82" t="str">
        <f t="array" aca="1" ref="FM39" ca="1">IF($FI39&lt;&gt;"",
IF(FL39="",
IF(INDIRECT("EY"&amp;$FI39&amp;"")&lt;&gt;"",
INDIRECT("EY"&amp;$FI39&amp;"")&amp;"箱"
&amp;INDIRECT("EZ"&amp;$FI39&amp;""),""),""),"")</f>
        <v/>
      </c>
      <c r="FN39" s="82" t="str">
        <f t="array" aca="1" ref="FN39" ca="1">IF($FI39&lt;&gt;"",
INDIRECT(""&amp;IF(COLUMN(FA39)&lt;=26,CHAR(COLUMN(FA39)+64),CHAR(INT((COLUMN(FA39)-1)/26)+64)&amp;CHAR(MOD(COLUMN(FA39)-1,26)+65))&amp;$FI39&amp;""),"")</f>
        <v/>
      </c>
      <c r="FO39" s="82" t="str">
        <f t="array" aca="1" ref="FO39" ca="1">IF($FI39&lt;&gt;"",
INDIRECT(""&amp;IF(COLUMN(FB39)&lt;=26,CHAR(COLUMN(FB39)+64),CHAR(INT((COLUMN(FB39)-1)/26)+64)&amp;CHAR(MOD(COLUMN(FB39)-1,26)+65))&amp;$FI39&amp;""),"")</f>
        <v/>
      </c>
      <c r="FP39" s="82" t="str">
        <f t="array" aca="1" ref="FP39" ca="1">IF($FI39&lt;&gt;"",
INDIRECT(""&amp;IF(COLUMN(FC39)&lt;=26,CHAR(COLUMN(FC39)+64),CHAR(INT((COLUMN(FC39)-1)/26)+64)&amp;CHAR(MOD(COLUMN(FC39)-1,26)+65))&amp;$FI39&amp;""),"")</f>
        <v/>
      </c>
      <c r="FQ39" s="82" t="str">
        <f t="array" aca="1" ref="FQ39" ca="1">IF($FI39&lt;&gt;"",
INDIRECT(""&amp;IF(COLUMN(FD39)&lt;=26,CHAR(COLUMN(FD39)+64),CHAR(INT((COLUMN(FD39)-1)/26)+64)&amp;CHAR(MOD(COLUMN(FD39)-1,26)+65))&amp;$FI39&amp;""),"")</f>
        <v/>
      </c>
      <c r="FR39" s="82" t="str">
        <f t="array" aca="1" ref="FR39" ca="1">IF($FI39&lt;&gt;"",
INDIRECT(""&amp;IF(COLUMN(FE39)&lt;=26,CHAR(COLUMN(FE39)+64),CHAR(INT((COLUMN(FE39)-1)/26)+64)&amp;CHAR(MOD(COLUMN(FE39)-1,26)+65))&amp;$FI39&amp;""),"")</f>
        <v/>
      </c>
      <c r="FS39" s="82" t="str">
        <f t="array" aca="1" ref="FS39" ca="1">IF($FI39&lt;&gt;"",
INDIRECT(""&amp;IF(COLUMN(FF39)&lt;=26,CHAR(COLUMN(FF39)+64),CHAR(INT((COLUMN(FF39)-1)/26)+64)&amp;CHAR(MOD(COLUMN(FF39)-1,26)+65))&amp;$FI39&amp;""),"")</f>
        <v/>
      </c>
    </row>
    <row r="40" spans="1:175" ht="18" customHeight="1" x14ac:dyDescent="0.45">
      <c r="B40" s="118" t="s">
        <v>258</v>
      </c>
      <c r="C40" s="187"/>
      <c r="D40" s="187"/>
      <c r="E40" s="187"/>
      <c r="F40" s="187"/>
      <c r="G40" s="102" t="str">
        <f>SUBSTITUTE(SUBSTITUTE(ADDRESS(1,MATCH("おやつ",'数出表_Excel（アレルギー入力）'!$3:$3,0)),1,""),"$","")</f>
        <v>AL</v>
      </c>
      <c r="I40" s="118" t="s">
        <v>258</v>
      </c>
      <c r="J40" s="187"/>
      <c r="K40" s="187"/>
      <c r="L40" s="187"/>
      <c r="M40" s="187"/>
      <c r="N40" s="102" t="str">
        <f>SUBSTITUTE(SUBSTITUTE(ADDRESS(1,MATCH("おやつ",'数出表_Excel（アレルギー入力）'!$3:$3,0)),1,""),"$","")</f>
        <v>AL</v>
      </c>
      <c r="Q40" s="118" t="s">
        <v>258</v>
      </c>
      <c r="R40" s="187"/>
      <c r="S40" s="187"/>
      <c r="T40" s="187"/>
      <c r="U40" s="187"/>
      <c r="V40" s="102" t="str">
        <f>SUBSTITUTE(SUBSTITUTE(ADDRESS(1,MATCH("おやつ",'数出表_Excel（アレルギー入力）'!$3:$3,0)),1,""),"$","")</f>
        <v>AL</v>
      </c>
      <c r="X40" s="118" t="s">
        <v>258</v>
      </c>
      <c r="Y40" s="187"/>
      <c r="Z40" s="187"/>
      <c r="AA40" s="187"/>
      <c r="AB40" s="187"/>
      <c r="AC40" s="102" t="str">
        <f>SUBSTITUTE(SUBSTITUTE(ADDRESS(1,MATCH("おやつ",'数出表_Excel（アレルギー入力）'!$3:$3,0)),1,""),"$","")</f>
        <v>AL</v>
      </c>
      <c r="AF40" s="118" t="s">
        <v>258</v>
      </c>
      <c r="AG40" s="187"/>
      <c r="AH40" s="187"/>
      <c r="AI40" s="187"/>
      <c r="AJ40" s="187"/>
      <c r="AK40" s="102" t="str">
        <f>SUBSTITUTE(SUBSTITUTE(ADDRESS(1,MATCH("おやつ",'数出表_Excel（アレルギー入力）'!$3:$3,0)),1,""),"$","")</f>
        <v>AL</v>
      </c>
      <c r="AM40" s="118" t="s">
        <v>258</v>
      </c>
      <c r="AN40" s="187"/>
      <c r="AO40" s="187"/>
      <c r="AP40" s="187"/>
      <c r="AQ40" s="187"/>
      <c r="AR40" s="102" t="str">
        <f>SUBSTITUTE(SUBSTITUTE(ADDRESS(1,MATCH("おやつ",'数出表_Excel（アレルギー入力）'!$3:$3,0)),1,""),"$","")</f>
        <v>AL</v>
      </c>
      <c r="AU40" s="118" t="s">
        <v>258</v>
      </c>
      <c r="AV40" s="187"/>
      <c r="AW40" s="187"/>
      <c r="AX40" s="187"/>
      <c r="AY40" s="187"/>
      <c r="AZ40" s="102" t="str">
        <f>SUBSTITUTE(SUBSTITUTE(ADDRESS(1,MATCH("おやつ",'数出表_Excel（アレルギー入力）'!$3:$3,0)),1,""),"$","")</f>
        <v>AL</v>
      </c>
      <c r="BB40" s="118" t="s">
        <v>258</v>
      </c>
      <c r="BC40" s="187"/>
      <c r="BD40" s="187"/>
      <c r="BE40" s="187"/>
      <c r="BF40" s="187"/>
      <c r="BG40" s="102" t="str">
        <f>SUBSTITUTE(SUBSTITUTE(ADDRESS(1,MATCH("おやつ",'数出表_Excel（アレルギー入力）'!$3:$3,0)),1,""),"$","")</f>
        <v>AL</v>
      </c>
      <c r="BJ40" s="118" t="s">
        <v>258</v>
      </c>
      <c r="BK40" s="187"/>
      <c r="BL40" s="187"/>
      <c r="BM40" s="187"/>
      <c r="BN40" s="187"/>
      <c r="BO40" s="102" t="str">
        <f>SUBSTITUTE(SUBSTITUTE(ADDRESS(1,MATCH("おやつ",'数出表_Excel（アレルギー入力）'!$3:$3,0)),1,""),"$","")</f>
        <v>AL</v>
      </c>
      <c r="BQ40" s="118" t="s">
        <v>258</v>
      </c>
      <c r="BR40" s="187"/>
      <c r="BS40" s="187"/>
      <c r="BT40" s="187"/>
      <c r="BU40" s="187"/>
      <c r="BV40" s="102" t="str">
        <f>SUBSTITUTE(SUBSTITUTE(ADDRESS(1,MATCH("おやつ",'数出表_Excel（アレルギー入力）'!$3:$3,0)),1,""),"$","")</f>
        <v>AL</v>
      </c>
      <c r="BY40" s="118" t="s">
        <v>258</v>
      </c>
      <c r="BZ40" s="187"/>
      <c r="CA40" s="187"/>
      <c r="CB40" s="187"/>
      <c r="CC40" s="187"/>
      <c r="CD40" s="102" t="str">
        <f>SUBSTITUTE(SUBSTITUTE(ADDRESS(1,MATCH("おやつ",'数出表_Excel（アレルギー入力）'!$3:$3,0)),1,""),"$","")</f>
        <v>AL</v>
      </c>
      <c r="CF40" s="118" t="s">
        <v>258</v>
      </c>
      <c r="CG40" s="187"/>
      <c r="CH40" s="187"/>
      <c r="CI40" s="187"/>
      <c r="CJ40" s="187"/>
      <c r="CK40" s="102" t="str">
        <f>SUBSTITUTE(SUBSTITUTE(ADDRESS(1,MATCH("おやつ",'数出表_Excel（アレルギー入力）'!$3:$3,0)),1,""),"$","")</f>
        <v>AL</v>
      </c>
      <c r="CN40" s="118" t="s">
        <v>258</v>
      </c>
      <c r="CO40" s="187"/>
      <c r="CP40" s="187"/>
      <c r="CQ40" s="187"/>
      <c r="CR40" s="187"/>
      <c r="CS40" s="102" t="str">
        <f>SUBSTITUTE(SUBSTITUTE(ADDRESS(1,MATCH("おやつ",'数出表_Excel（アレルギー入力）'!$3:$3,0)),1,""),"$","")</f>
        <v>AL</v>
      </c>
      <c r="CU40" s="118" t="s">
        <v>258</v>
      </c>
      <c r="CV40" s="187"/>
      <c r="CW40" s="187"/>
      <c r="CX40" s="187"/>
      <c r="CY40" s="187"/>
      <c r="CZ40" s="102" t="str">
        <f>SUBSTITUTE(SUBSTITUTE(ADDRESS(1,MATCH("おやつ",'数出表_Excel（アレルギー入力）'!$3:$3,0)),1,""),"$","")</f>
        <v>AL</v>
      </c>
      <c r="DC40" s="118" t="s">
        <v>258</v>
      </c>
      <c r="DD40" s="187"/>
      <c r="DE40" s="187"/>
      <c r="DF40" s="187"/>
      <c r="DG40" s="187"/>
      <c r="DH40" s="102" t="str">
        <f>SUBSTITUTE(SUBSTITUTE(ADDRESS(1,MATCH("おやつ",'数出表_Excel（アレルギー入力）'!$3:$3,0)),1,""),"$","")</f>
        <v>AL</v>
      </c>
      <c r="DJ40" s="118" t="s">
        <v>258</v>
      </c>
      <c r="DK40" s="187"/>
      <c r="DL40" s="187"/>
      <c r="DM40" s="187"/>
      <c r="DN40" s="187"/>
      <c r="DO40" s="102" t="str">
        <f>SUBSTITUTE(SUBSTITUTE(ADDRESS(1,MATCH("おやつ",'数出表_Excel（アレルギー入力）'!$3:$3,0)),1,""),"$","")</f>
        <v>AL</v>
      </c>
      <c r="DR40" s="118" t="s">
        <v>258</v>
      </c>
      <c r="DS40" s="187"/>
      <c r="DT40" s="187"/>
      <c r="DU40" s="187"/>
      <c r="DV40" s="187"/>
      <c r="DW40" s="102" t="str">
        <f>SUBSTITUTE(SUBSTITUTE(ADDRESS(1,MATCH("おやつ",'数出表_Excel（アレルギー入力）'!$3:$3,0)),1,""),"$","")</f>
        <v>AL</v>
      </c>
      <c r="DY40" s="118" t="s">
        <v>258</v>
      </c>
      <c r="DZ40" s="187"/>
      <c r="EA40" s="187"/>
      <c r="EB40" s="187"/>
      <c r="EC40" s="187"/>
      <c r="ED40" s="102" t="str">
        <f>SUBSTITUTE(SUBSTITUTE(ADDRESS(1,MATCH("おやつ",'数出表_Excel（アレルギー入力）'!$3:$3,0)),1,""),"$","")</f>
        <v>AL</v>
      </c>
      <c r="EG40" s="118" t="s">
        <v>258</v>
      </c>
      <c r="EH40" s="187"/>
      <c r="EI40" s="187"/>
      <c r="EJ40" s="187"/>
      <c r="EK40" s="187"/>
      <c r="EL40" s="102" t="str">
        <f>SUBSTITUTE(SUBSTITUTE(ADDRESS(1,MATCH("おやつ",'数出表_Excel（アレルギー入力）'!$3:$3,0)),1,""),"$","")</f>
        <v>AL</v>
      </c>
      <c r="EN40" s="118" t="s">
        <v>258</v>
      </c>
      <c r="EO40" s="187"/>
      <c r="EP40" s="187"/>
      <c r="EQ40" s="187"/>
      <c r="ER40" s="187"/>
      <c r="ES40" s="102" t="str">
        <f>SUBSTITUTE(SUBSTITUTE(ADDRESS(1,MATCH("おやつ",'数出表_Excel（アレルギー入力）'!$3:$3,0)),1,""),"$","")</f>
        <v>AL</v>
      </c>
      <c r="ET40" s="110"/>
      <c r="EU40" s="82">
        <f t="shared" si="2"/>
        <v>63</v>
      </c>
      <c r="EV40" s="82" t="str">
        <f t="array" aca="1" ref="EV40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LEN(SUBSTITUTE(_xlfn.FORMULATEXT(EV$27),"=","")))+$EU40)</f>
        <v/>
      </c>
      <c r="EW40" s="82" t="str">
        <f t="array" aca="1" ref="EW40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LEN(SUBSTITUTE(_xlfn.FORMULATEXT(EW$27),"=","")))+$EU40)</f>
        <v/>
      </c>
      <c r="EX40" s="82" t="str">
        <f t="array" aca="1" ref="EX40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LEN(SUBSTITUTE(_xlfn.FORMULATEXT(EX$27),"=","")))+$EU40)</f>
        <v/>
      </c>
      <c r="EY40" s="82" t="str">
        <f t="array" aca="1" ref="EY40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LEN(SUBSTITUTE(_xlfn.FORMULATEXT(EY$27),"=","")))+$EU40)</f>
        <v/>
      </c>
      <c r="EZ40" s="82" t="str">
        <f t="array" aca="1" ref="EZ40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LEN(SUBSTITUTE(_xlfn.FORMULATEXT(EZ$27),"=","")))+$EU40)</f>
        <v/>
      </c>
      <c r="FA40" s="82" t="str">
        <f t="array" aca="1" ref="FA40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LEN(SUBSTITUTE(_xlfn.FORMULATEXT(FA$27),"=","")))+$EU40)</f>
        <v/>
      </c>
      <c r="FB40" s="82" t="str">
        <f t="array" aca="1" ref="FB40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LEN(SUBSTITUTE(_xlfn.FORMULATEXT(FB$27),"=","")))+$EU40)</f>
        <v/>
      </c>
      <c r="FC40" s="82" t="str">
        <f t="array" aca="1" ref="FC40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LEN(SUBSTITUTE(_xlfn.FORMULATEXT(FC$27),"=","")))+$EU40)</f>
        <v/>
      </c>
      <c r="FD40" s="82" t="str">
        <f t="array" aca="1" ref="FD40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LEN(SUBSTITUTE(_xlfn.FORMULATEXT(FD$27),"=","")))+$EU40)</f>
        <v/>
      </c>
      <c r="FE40" s="82" t="str">
        <f t="array" aca="1" ref="FE40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LEN(SUBSTITUTE(_xlfn.FORMULATEXT(FE$27),"=","")))+$EU40)</f>
        <v/>
      </c>
      <c r="FF40" s="82" t="str">
        <f t="array" aca="1" ref="FF40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LEN(SUBSTITUTE(_xlfn.FORMULATEXT(FF$27),"=","")))+$EU40)</f>
        <v/>
      </c>
      <c r="FG40" s="82">
        <f t="shared" ca="1" si="3"/>
        <v>0</v>
      </c>
      <c r="FH40" s="82" t="b">
        <f t="array" aca="1" ref="FH40" ca="1">SUMPRODUCT((LEN(EV40:FF40)&gt;0)*1)&gt;0</f>
        <v>0</v>
      </c>
      <c r="FI40" s="82" t="str">
        <f t="array" aca="1" ref="FI40" ca="1">IFERROR(SMALL(IF(FG$1:FG$173&lt;&gt;0,FG$1:FG$173),ROW(A40)),"")</f>
        <v/>
      </c>
      <c r="FJ40" s="82" t="str">
        <f t="array" aca="1" ref="FJ40" ca="1">IF($FI40&lt;&gt;"",
INDIRECT(""&amp;IF(COLUMN(EV40)&lt;=26,CHAR(COLUMN(EV40)+64),CHAR(INT((COLUMN(EV40)-1)/26)+64)&amp;CHAR(MOD(COLUMN(EV40)-1,26)+65))&amp;$FI40&amp;""),"")</f>
        <v/>
      </c>
      <c r="FK40" s="82" t="str">
        <f t="array" aca="1" ref="FK40" ca="1">IF($FI40&lt;&gt;"",
INDIRECT(""&amp;IF(COLUMN(EW40)&lt;=26,CHAR(COLUMN(EW40)+64),CHAR(INT((COLUMN(EW40)-1)/26)+64)&amp;CHAR(MOD(COLUMN(EW40)-1,26)+65))&amp;$FI40&amp;""),"")</f>
        <v/>
      </c>
      <c r="FL40" s="82" t="str">
        <f t="array" aca="1" ref="FL40" ca="1">IF($FI40&lt;&gt;"",
INDIRECT(""&amp;IF(COLUMN(EX40)&lt;=26,CHAR(COLUMN(EX40)+64),CHAR(INT((COLUMN(EX40)-1)/26)+64)&amp;CHAR(MOD(COLUMN(EX40)-1,26)+65))&amp;$FI40&amp;""),"")</f>
        <v/>
      </c>
      <c r="FM40" s="82" t="str">
        <f t="array" aca="1" ref="FM40" ca="1">IF($FI40&lt;&gt;"",
IF(FL40="",
IF(INDIRECT("EY"&amp;$FI40&amp;"")&lt;&gt;"",
INDIRECT("EY"&amp;$FI40&amp;"")&amp;"箱"
&amp;INDIRECT("EZ"&amp;$FI40&amp;""),""),""),"")</f>
        <v/>
      </c>
      <c r="FN40" s="82" t="str">
        <f t="array" aca="1" ref="FN40" ca="1">IF($FI40&lt;&gt;"",
INDIRECT(""&amp;IF(COLUMN(FA40)&lt;=26,CHAR(COLUMN(FA40)+64),CHAR(INT((COLUMN(FA40)-1)/26)+64)&amp;CHAR(MOD(COLUMN(FA40)-1,26)+65))&amp;$FI40&amp;""),"")</f>
        <v/>
      </c>
      <c r="FO40" s="82" t="str">
        <f t="array" aca="1" ref="FO40" ca="1">IF($FI40&lt;&gt;"",
INDIRECT(""&amp;IF(COLUMN(FB40)&lt;=26,CHAR(COLUMN(FB40)+64),CHAR(INT((COLUMN(FB40)-1)/26)+64)&amp;CHAR(MOD(COLUMN(FB40)-1,26)+65))&amp;$FI40&amp;""),"")</f>
        <v/>
      </c>
      <c r="FP40" s="82" t="str">
        <f t="array" aca="1" ref="FP40" ca="1">IF($FI40&lt;&gt;"",
INDIRECT(""&amp;IF(COLUMN(FC40)&lt;=26,CHAR(COLUMN(FC40)+64),CHAR(INT((COLUMN(FC40)-1)/26)+64)&amp;CHAR(MOD(COLUMN(FC40)-1,26)+65))&amp;$FI40&amp;""),"")</f>
        <v/>
      </c>
      <c r="FQ40" s="82" t="str">
        <f t="array" aca="1" ref="FQ40" ca="1">IF($FI40&lt;&gt;"",
INDIRECT(""&amp;IF(COLUMN(FD40)&lt;=26,CHAR(COLUMN(FD40)+64),CHAR(INT((COLUMN(FD40)-1)/26)+64)&amp;CHAR(MOD(COLUMN(FD40)-1,26)+65))&amp;$FI40&amp;""),"")</f>
        <v/>
      </c>
      <c r="FR40" s="82" t="str">
        <f t="array" aca="1" ref="FR40" ca="1">IF($FI40&lt;&gt;"",
INDIRECT(""&amp;IF(COLUMN(FE40)&lt;=26,CHAR(COLUMN(FE40)+64),CHAR(INT((COLUMN(FE40)-1)/26)+64)&amp;CHAR(MOD(COLUMN(FE40)-1,26)+65))&amp;$FI40&amp;""),"")</f>
        <v/>
      </c>
      <c r="FS40" s="82" t="str">
        <f t="array" aca="1" ref="FS40" ca="1">IF($FI40&lt;&gt;"",
INDIRECT(""&amp;IF(COLUMN(FF40)&lt;=26,CHAR(COLUMN(FF40)+64),CHAR(INT((COLUMN(FF40)-1)/26)+64)&amp;CHAR(MOD(COLUMN(FF40)-1,26)+65))&amp;$FI40&amp;""),"")</f>
        <v/>
      </c>
    </row>
    <row r="41" spans="1:175" s="82" customFormat="1" ht="22.2" customHeight="1" x14ac:dyDescent="0.55000000000000004">
      <c r="A41" s="80"/>
      <c r="B41" s="93" t="str">
        <f ca="1">IF(C37&lt;&gt;"",
"パン箱","")</f>
        <v/>
      </c>
      <c r="C41" s="94" t="str">
        <f ca="1">IF(C37&lt;&gt;"",
IF(OR(COUNTIF('盛付札（関数）'!C37,"*キャラ*"),COUNTIF('盛付札（関数）'!C37,"*赤*")),24,
VLOOKUP('盛付札（関数）'!C37,商品マスタ一覧!$D:$I,6,FALSE)),"")</f>
        <v/>
      </c>
      <c r="D41" s="93" t="str">
        <f ca="1">IF(C37&lt;&gt;"",
" 端数","")</f>
        <v/>
      </c>
      <c r="E41" s="94"/>
      <c r="F41" s="93" t="str">
        <f ca="1">IF(C37&lt;&gt;"",
"アレルギー","")</f>
        <v/>
      </c>
      <c r="G41" s="101"/>
      <c r="H41" s="80"/>
      <c r="I41" s="93" t="str">
        <f ca="1">IF(J37&lt;&gt;"",
"パン箱","")</f>
        <v/>
      </c>
      <c r="J41" s="94" t="str">
        <f ca="1">IF(J37&lt;&gt;"",
IF(OR(COUNTIF('盛付札（関数）'!J37,"*キャラ*"),COUNTIF('盛付札（関数）'!J37,"*赤*")),24,
VLOOKUP('盛付札（関数）'!J37,商品マスタ一覧!$D:$I,6,FALSE)),"")</f>
        <v/>
      </c>
      <c r="K41" s="93" t="str">
        <f ca="1">IF(J37&lt;&gt;"",
" 端数","")</f>
        <v/>
      </c>
      <c r="L41" s="94"/>
      <c r="M41" s="93" t="str">
        <f ca="1">IF(J37&lt;&gt;"",
"アレルギー","")</f>
        <v/>
      </c>
      <c r="N41" s="101"/>
      <c r="O41" s="80"/>
      <c r="P41" s="80"/>
      <c r="Q41" s="93" t="str">
        <f ca="1">IF(R37&lt;&gt;"",
"パン箱","")</f>
        <v/>
      </c>
      <c r="R41" s="94" t="str">
        <f ca="1">IF(R37&lt;&gt;"",
IF(OR(COUNTIF('盛付札（関数）'!R37,"*キャラ*"),COUNTIF('盛付札（関数）'!R37,"*赤*")),24,
VLOOKUP('盛付札（関数）'!R37,商品マスタ一覧!$D:$I,6,FALSE)),"")</f>
        <v/>
      </c>
      <c r="S41" s="93" t="str">
        <f ca="1">IF(R37&lt;&gt;"",
" 端数","")</f>
        <v/>
      </c>
      <c r="T41" s="94"/>
      <c r="U41" s="93" t="str">
        <f ca="1">IF(R37&lt;&gt;"",
"アレルギー","")</f>
        <v/>
      </c>
      <c r="V41" s="101"/>
      <c r="W41" s="80"/>
      <c r="X41" s="93" t="str">
        <f ca="1">IF(Y37&lt;&gt;"",
"パン箱","")</f>
        <v/>
      </c>
      <c r="Y41" s="94" t="str">
        <f ca="1">IF(Y37&lt;&gt;"",
IF(OR(COUNTIF('盛付札（関数）'!Y37,"*キャラ*"),COUNTIF('盛付札（関数）'!Y37,"*赤*")),24,
VLOOKUP('盛付札（関数）'!Y37,商品マスタ一覧!$D:$I,6,FALSE)),"")</f>
        <v/>
      </c>
      <c r="Z41" s="93" t="str">
        <f ca="1">IF(Y37&lt;&gt;"",
" 端数","")</f>
        <v/>
      </c>
      <c r="AA41" s="94"/>
      <c r="AB41" s="93" t="str">
        <f ca="1">IF(Y37&lt;&gt;"",
"アレルギー","")</f>
        <v/>
      </c>
      <c r="AC41" s="101"/>
      <c r="AD41" s="80"/>
      <c r="AE41" s="80"/>
      <c r="AF41" s="93" t="str">
        <f ca="1">IF(AG37&lt;&gt;"",
"パン箱","")</f>
        <v/>
      </c>
      <c r="AG41" s="94" t="str">
        <f ca="1">IF(AG37&lt;&gt;"",
IF(OR(COUNTIF('盛付札（関数）'!AG37,"*キャラ*"),COUNTIF('盛付札（関数）'!AG37,"*赤*")),24,
VLOOKUP('盛付札（関数）'!AG37,商品マスタ一覧!$D:$I,6,FALSE)),"")</f>
        <v/>
      </c>
      <c r="AH41" s="93" t="str">
        <f ca="1">IF(AG37&lt;&gt;"",
" 端数","")</f>
        <v/>
      </c>
      <c r="AI41" s="94"/>
      <c r="AJ41" s="93" t="str">
        <f ca="1">IF(AG37&lt;&gt;"",
"アレルギー","")</f>
        <v/>
      </c>
      <c r="AK41" s="101"/>
      <c r="AL41" s="80"/>
      <c r="AM41" s="93" t="str">
        <f ca="1">IF(AN37&lt;&gt;"",
"パン箱","")</f>
        <v/>
      </c>
      <c r="AN41" s="94" t="str">
        <f ca="1">IF(AN37&lt;&gt;"",
IF(OR(COUNTIF('盛付札（関数）'!AN37,"*キャラ*"),COUNTIF('盛付札（関数）'!AN37,"*赤*")),24,
VLOOKUP('盛付札（関数）'!AN37,商品マスタ一覧!$D:$I,6,FALSE)),"")</f>
        <v/>
      </c>
      <c r="AO41" s="93" t="str">
        <f ca="1">IF(AN37&lt;&gt;"",
" 端数","")</f>
        <v/>
      </c>
      <c r="AP41" s="94"/>
      <c r="AQ41" s="93" t="str">
        <f ca="1">IF(AN37&lt;&gt;"",
"アレルギー","")</f>
        <v/>
      </c>
      <c r="AR41" s="101"/>
      <c r="AS41" s="80"/>
      <c r="AT41" s="80"/>
      <c r="AU41" s="93" t="str">
        <f ca="1">IF(AV37&lt;&gt;"",
"パン箱","")</f>
        <v/>
      </c>
      <c r="AV41" s="94" t="str">
        <f ca="1">IF(AV37&lt;&gt;"",
IF(OR(COUNTIF('盛付札（関数）'!AV37,"*キャラ*"),COUNTIF('盛付札（関数）'!AV37,"*赤*")),24,
VLOOKUP('盛付札（関数）'!AV37,商品マスタ一覧!$D:$I,6,FALSE)),"")</f>
        <v/>
      </c>
      <c r="AW41" s="93" t="str">
        <f ca="1">IF(AV37&lt;&gt;"",
" 端数","")</f>
        <v/>
      </c>
      <c r="AX41" s="94"/>
      <c r="AY41" s="93" t="str">
        <f ca="1">IF(AV37&lt;&gt;"",
"アレルギー","")</f>
        <v/>
      </c>
      <c r="AZ41" s="101"/>
      <c r="BA41" s="80"/>
      <c r="BB41" s="93" t="str">
        <f ca="1">IF(BC37&lt;&gt;"",
"パン箱","")</f>
        <v/>
      </c>
      <c r="BC41" s="94" t="str">
        <f ca="1">IF(BC37&lt;&gt;"",
IF(OR(COUNTIF('盛付札（関数）'!BC37,"*キャラ*"),COUNTIF('盛付札（関数）'!BC37,"*赤*")),24,
VLOOKUP('盛付札（関数）'!BC37,商品マスタ一覧!$D:$I,6,FALSE)),"")</f>
        <v/>
      </c>
      <c r="BD41" s="93" t="str">
        <f ca="1">IF(BC37&lt;&gt;"",
" 端数","")</f>
        <v/>
      </c>
      <c r="BE41" s="94"/>
      <c r="BF41" s="93" t="str">
        <f ca="1">IF(BC37&lt;&gt;"",
"アレルギー","")</f>
        <v/>
      </c>
      <c r="BG41" s="101"/>
      <c r="BH41" s="80"/>
      <c r="BI41" s="80"/>
      <c r="BJ41" s="93" t="str">
        <f ca="1">IF(BK37&lt;&gt;"",
"パン箱","")</f>
        <v/>
      </c>
      <c r="BK41" s="94" t="str">
        <f ca="1">IF(BK37&lt;&gt;"",
IF(OR(COUNTIF('盛付札（関数）'!BK37,"*キャラ*"),COUNTIF('盛付札（関数）'!BK37,"*赤*")),24,
VLOOKUP('盛付札（関数）'!BK37,商品マスタ一覧!$D:$I,6,FALSE)),"")</f>
        <v/>
      </c>
      <c r="BL41" s="93" t="str">
        <f ca="1">IF(BK37&lt;&gt;"",
" 端数","")</f>
        <v/>
      </c>
      <c r="BM41" s="94"/>
      <c r="BN41" s="93" t="str">
        <f ca="1">IF(BK37&lt;&gt;"",
"アレルギー","")</f>
        <v/>
      </c>
      <c r="BO41" s="101"/>
      <c r="BP41" s="80"/>
      <c r="BQ41" s="93" t="str">
        <f ca="1">IF(BR37&lt;&gt;"",
"パン箱","")</f>
        <v/>
      </c>
      <c r="BR41" s="94" t="str">
        <f ca="1">IF(BR37&lt;&gt;"",
IF(OR(COUNTIF('盛付札（関数）'!BR37,"*キャラ*"),COUNTIF('盛付札（関数）'!BR37,"*赤*")),24,
VLOOKUP('盛付札（関数）'!BR37,商品マスタ一覧!$D:$I,6,FALSE)),"")</f>
        <v/>
      </c>
      <c r="BS41" s="93" t="str">
        <f ca="1">IF(BR37&lt;&gt;"",
" 端数","")</f>
        <v/>
      </c>
      <c r="BT41" s="94"/>
      <c r="BU41" s="93" t="str">
        <f ca="1">IF(BR37&lt;&gt;"",
"アレルギー","")</f>
        <v/>
      </c>
      <c r="BV41" s="101"/>
      <c r="BW41" s="80"/>
      <c r="BX41" s="80"/>
      <c r="BY41" s="93" t="str">
        <f ca="1">IF(BZ37&lt;&gt;"",
"パン箱","")</f>
        <v/>
      </c>
      <c r="BZ41" s="94" t="str">
        <f ca="1">IF(BZ37&lt;&gt;"",
IF(OR(COUNTIF('盛付札（関数）'!BZ37,"*キャラ*"),COUNTIF('盛付札（関数）'!BZ37,"*赤*")),24,
VLOOKUP('盛付札（関数）'!BZ37,商品マスタ一覧!$D:$I,6,FALSE)),"")</f>
        <v/>
      </c>
      <c r="CA41" s="93" t="str">
        <f ca="1">IF(BZ37&lt;&gt;"",
" 端数","")</f>
        <v/>
      </c>
      <c r="CB41" s="94"/>
      <c r="CC41" s="93" t="str">
        <f ca="1">IF(BZ37&lt;&gt;"",
"アレルギー","")</f>
        <v/>
      </c>
      <c r="CD41" s="101"/>
      <c r="CE41" s="80"/>
      <c r="CF41" s="93" t="str">
        <f ca="1">IF(CG37&lt;&gt;"",
"パン箱","")</f>
        <v/>
      </c>
      <c r="CG41" s="94" t="str">
        <f ca="1">IF(CG37&lt;&gt;"",
IF(OR(COUNTIF('盛付札（関数）'!CG37,"*キャラ*"),COUNTIF('盛付札（関数）'!CG37,"*赤*")),24,
VLOOKUP('盛付札（関数）'!CG37,商品マスタ一覧!$D:$I,6,FALSE)),"")</f>
        <v/>
      </c>
      <c r="CH41" s="93" t="str">
        <f ca="1">IF(CG37&lt;&gt;"",
" 端数","")</f>
        <v/>
      </c>
      <c r="CI41" s="94"/>
      <c r="CJ41" s="93" t="str">
        <f ca="1">IF(CG37&lt;&gt;"",
"アレルギー","")</f>
        <v/>
      </c>
      <c r="CK41" s="101"/>
      <c r="CL41" s="80"/>
      <c r="CM41" s="80"/>
      <c r="CN41" s="93" t="str">
        <f ca="1">IF(CO37&lt;&gt;"",
"パン箱","")</f>
        <v/>
      </c>
      <c r="CO41" s="94" t="str">
        <f ca="1">IF(CO37&lt;&gt;"",
IF(OR(COUNTIF('盛付札（関数）'!CO37,"*キャラ*"),COUNTIF('盛付札（関数）'!CO37,"*赤*")),24,
VLOOKUP('盛付札（関数）'!CO37,商品マスタ一覧!$D:$I,6,FALSE)),"")</f>
        <v/>
      </c>
      <c r="CP41" s="93" t="str">
        <f ca="1">IF(CO37&lt;&gt;"",
" 端数","")</f>
        <v/>
      </c>
      <c r="CQ41" s="94"/>
      <c r="CR41" s="93" t="str">
        <f ca="1">IF(CO37&lt;&gt;"",
"アレルギー","")</f>
        <v/>
      </c>
      <c r="CS41" s="101"/>
      <c r="CT41" s="80"/>
      <c r="CU41" s="93" t="str">
        <f ca="1">IF(CV37&lt;&gt;"",
"パン箱","")</f>
        <v/>
      </c>
      <c r="CV41" s="94" t="str">
        <f ca="1">IF(CV37&lt;&gt;"",
IF(OR(COUNTIF('盛付札（関数）'!CV37,"*キャラ*"),COUNTIF('盛付札（関数）'!CV37,"*赤*")),24,
VLOOKUP('盛付札（関数）'!CV37,商品マスタ一覧!$D:$I,6,FALSE)),"")</f>
        <v/>
      </c>
      <c r="CW41" s="93" t="str">
        <f ca="1">IF(CV37&lt;&gt;"",
" 端数","")</f>
        <v/>
      </c>
      <c r="CX41" s="94"/>
      <c r="CY41" s="93" t="str">
        <f ca="1">IF(CV37&lt;&gt;"",
"アレルギー","")</f>
        <v/>
      </c>
      <c r="CZ41" s="101"/>
      <c r="DA41" s="80"/>
      <c r="DB41" s="80"/>
      <c r="DC41" s="93" t="str">
        <f ca="1">IF(DD37&lt;&gt;"",
"パン箱","")</f>
        <v/>
      </c>
      <c r="DD41" s="94" t="str">
        <f ca="1">IF(DD37&lt;&gt;"",
IF(OR(COUNTIF('盛付札（関数）'!DD37,"*キャラ*"),COUNTIF('盛付札（関数）'!DD37,"*赤*")),24,
VLOOKUP('盛付札（関数）'!DD37,商品マスタ一覧!$D:$I,6,FALSE)),"")</f>
        <v/>
      </c>
      <c r="DE41" s="93" t="str">
        <f ca="1">IF(DD37&lt;&gt;"",
" 端数","")</f>
        <v/>
      </c>
      <c r="DF41" s="94"/>
      <c r="DG41" s="93" t="str">
        <f ca="1">IF(DD37&lt;&gt;"",
"アレルギー","")</f>
        <v/>
      </c>
      <c r="DH41" s="101"/>
      <c r="DI41" s="80"/>
      <c r="DJ41" s="93" t="str">
        <f ca="1">IF(DK37&lt;&gt;"",
"パン箱","")</f>
        <v/>
      </c>
      <c r="DK41" s="94" t="str">
        <f ca="1">IF(DK37&lt;&gt;"",
IF(OR(COUNTIF('盛付札（関数）'!DK37,"*キャラ*"),COUNTIF('盛付札（関数）'!DK37,"*赤*")),24,
VLOOKUP('盛付札（関数）'!DK37,商品マスタ一覧!$D:$I,6,FALSE)),"")</f>
        <v/>
      </c>
      <c r="DL41" s="93" t="str">
        <f ca="1">IF(DK37&lt;&gt;"",
" 端数","")</f>
        <v/>
      </c>
      <c r="DM41" s="94"/>
      <c r="DN41" s="93" t="str">
        <f ca="1">IF(DK37&lt;&gt;"",
"アレルギー","")</f>
        <v/>
      </c>
      <c r="DO41" s="101"/>
      <c r="DP41" s="80"/>
      <c r="DQ41" s="80"/>
      <c r="DR41" s="93" t="str">
        <f ca="1">IF(DS37&lt;&gt;"",
"パン箱","")</f>
        <v/>
      </c>
      <c r="DS41" s="94" t="str">
        <f ca="1">IF(DS37&lt;&gt;"",
IF(OR(COUNTIF('盛付札（関数）'!DS37,"*キャラ*"),COUNTIF('盛付札（関数）'!DS37,"*赤*")),24,
VLOOKUP('盛付札（関数）'!DS37,商品マスタ一覧!$D:$I,6,FALSE)),"")</f>
        <v/>
      </c>
      <c r="DT41" s="93" t="str">
        <f ca="1">IF(DS37&lt;&gt;"",
" 端数","")</f>
        <v/>
      </c>
      <c r="DU41" s="94"/>
      <c r="DV41" s="93" t="str">
        <f ca="1">IF(DS37&lt;&gt;"",
"アレルギー","")</f>
        <v/>
      </c>
      <c r="DW41" s="101"/>
      <c r="DX41" s="80"/>
      <c r="DY41" s="93" t="str">
        <f ca="1">IF(DZ37&lt;&gt;"",
"パン箱","")</f>
        <v/>
      </c>
      <c r="DZ41" s="94" t="str">
        <f ca="1">IF(DZ37&lt;&gt;"",
IF(OR(COUNTIF('盛付札（関数）'!DZ37,"*キャラ*"),COUNTIF('盛付札（関数）'!DZ37,"*赤*")),24,
VLOOKUP('盛付札（関数）'!DZ37,商品マスタ一覧!$D:$I,6,FALSE)),"")</f>
        <v/>
      </c>
      <c r="EA41" s="93" t="str">
        <f ca="1">IF(DZ37&lt;&gt;"",
" 端数","")</f>
        <v/>
      </c>
      <c r="EB41" s="94"/>
      <c r="EC41" s="93" t="str">
        <f ca="1">IF(DZ37&lt;&gt;"",
"アレルギー","")</f>
        <v/>
      </c>
      <c r="ED41" s="101"/>
      <c r="EE41" s="80"/>
      <c r="EF41" s="80"/>
      <c r="EG41" s="93" t="str">
        <f ca="1">IF(EH37&lt;&gt;"",
"パン箱","")</f>
        <v/>
      </c>
      <c r="EH41" s="94" t="str">
        <f ca="1">IF(EH37&lt;&gt;"",
IF(OR(COUNTIF('盛付札（関数）'!EH37,"*キャラ*"),COUNTIF('盛付札（関数）'!EH37,"*赤*")),24,
VLOOKUP('盛付札（関数）'!EH37,商品マスタ一覧!$D:$I,6,FALSE)),"")</f>
        <v/>
      </c>
      <c r="EI41" s="93" t="str">
        <f ca="1">IF(EH37&lt;&gt;"",
" 端数","")</f>
        <v/>
      </c>
      <c r="EJ41" s="94"/>
      <c r="EK41" s="93" t="str">
        <f ca="1">IF(EH37&lt;&gt;"",
"アレルギー","")</f>
        <v/>
      </c>
      <c r="EL41" s="101"/>
      <c r="EM41" s="80"/>
      <c r="EN41" s="93" t="str">
        <f ca="1">IF(EO37&lt;&gt;"",
"パン箱","")</f>
        <v/>
      </c>
      <c r="EO41" s="94" t="str">
        <f ca="1">IF(EO37&lt;&gt;"",
IF(OR(COUNTIF('盛付札（関数）'!EO37,"*キャラ*"),COUNTIF('盛付札（関数）'!EO37,"*赤*")),24,
VLOOKUP('盛付札（関数）'!EO37,商品マスタ一覧!$D:$I,6,FALSE)),"")</f>
        <v/>
      </c>
      <c r="EP41" s="93" t="str">
        <f ca="1">IF(EO37&lt;&gt;"",
" 端数","")</f>
        <v/>
      </c>
      <c r="EQ41" s="94"/>
      <c r="ER41" s="93" t="str">
        <f ca="1">IF(EO37&lt;&gt;"",
"アレルギー","")</f>
        <v/>
      </c>
      <c r="ES41" s="101"/>
      <c r="ET41" s="110"/>
      <c r="EU41" s="82">
        <f t="shared" si="2"/>
        <v>28</v>
      </c>
      <c r="EV41" s="82" t="str">
        <f t="array" aca="1" ref="EV41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LEN(SUBSTITUTE(_xlfn.FORMULATEXT(EV$25),"=","")))+$EU41)</f>
        <v/>
      </c>
      <c r="EW41" s="82" t="str">
        <f t="array" aca="1" ref="EW41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LEN(SUBSTITUTE(_xlfn.FORMULATEXT(EW$25),"=","")))+$EU41)</f>
        <v/>
      </c>
      <c r="EX41" s="82" t="str">
        <f t="array" aca="1" ref="EX41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LEN(SUBSTITUTE(_xlfn.FORMULATEXT(EX$25),"=","")))+$EU41)</f>
        <v/>
      </c>
      <c r="EY41" s="82" t="str">
        <f t="array" aca="1" ref="EY41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LEN(SUBSTITUTE(_xlfn.FORMULATEXT(EY$25),"=","")))+$EU41)</f>
        <v/>
      </c>
      <c r="EZ41" s="82" t="str">
        <f t="array" aca="1" ref="EZ41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LEN(SUBSTITUTE(_xlfn.FORMULATEXT(EZ$25),"=","")))+$EU41)</f>
        <v/>
      </c>
      <c r="FA41" s="82" t="e">
        <f t="array" aca="1" ref="FA41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LEN(SUBSTITUTE(_xlfn.FORMULATEXT(FA$25),"=","")))+$EU41)</f>
        <v>#VALUE!</v>
      </c>
      <c r="FB41" s="82" t="str">
        <f t="array" aca="1" ref="FB41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LEN(SUBSTITUTE(_xlfn.FORMULATEXT(FB$25),"=","")))+$EU41)</f>
        <v/>
      </c>
      <c r="FC41" s="82" t="str">
        <f t="array" aca="1" ref="FC41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LEN(SUBSTITUTE(_xlfn.FORMULATEXT(FC$25),"=","")))+$EU41)</f>
        <v/>
      </c>
      <c r="FD41" s="82" t="e">
        <f t="array" aca="1" ref="FD41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LEN(SUBSTITUTE(_xlfn.FORMULATEXT(FD$25),"=","")))+$EU41)</f>
        <v>#VALUE!</v>
      </c>
      <c r="FE41" s="82" t="str">
        <f t="array" aca="1" ref="FE41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LEN(SUBSTITUTE(_xlfn.FORMULATEXT(FE$25),"=","")))+$EU41)</f>
        <v/>
      </c>
      <c r="FF41" s="82" t="e">
        <f t="array" aca="1" ref="FF41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LEN(SUBSTITUTE(_xlfn.FORMULATEXT(FF$25),"=","")))+$EU41)</f>
        <v>#N/A</v>
      </c>
      <c r="FG41" s="82">
        <f t="shared" ca="1" si="3"/>
        <v>0</v>
      </c>
      <c r="FH41" s="82" t="e">
        <f t="array" aca="1" ref="FH41" ca="1">SUMPRODUCT((LEN(EV41:FF41)&gt;0)*1)&gt;0</f>
        <v>#VALUE!</v>
      </c>
      <c r="FI41" s="82" t="str">
        <f t="array" aca="1" ref="FI41" ca="1">IFERROR(SMALL(IF(FG$1:FG$173&lt;&gt;0,FG$1:FG$173),ROW(A41)),"")</f>
        <v/>
      </c>
      <c r="FJ41" s="82" t="str">
        <f t="array" aca="1" ref="FJ41" ca="1">IF($FI41&lt;&gt;"",
INDIRECT(""&amp;IF(COLUMN(EV41)&lt;=26,CHAR(COLUMN(EV41)+64),CHAR(INT((COLUMN(EV41)-1)/26)+64)&amp;CHAR(MOD(COLUMN(EV41)-1,26)+65))&amp;$FI41&amp;""),"")</f>
        <v/>
      </c>
      <c r="FK41" s="82" t="str">
        <f t="array" aca="1" ref="FK41" ca="1">IF($FI41&lt;&gt;"",
INDIRECT(""&amp;IF(COLUMN(EW41)&lt;=26,CHAR(COLUMN(EW41)+64),CHAR(INT((COLUMN(EW41)-1)/26)+64)&amp;CHAR(MOD(COLUMN(EW41)-1,26)+65))&amp;$FI41&amp;""),"")</f>
        <v/>
      </c>
      <c r="FL41" s="82" t="str">
        <f t="array" aca="1" ref="FL41" ca="1">IF($FI41&lt;&gt;"",
INDIRECT(""&amp;IF(COLUMN(EX41)&lt;=26,CHAR(COLUMN(EX41)+64),CHAR(INT((COLUMN(EX41)-1)/26)+64)&amp;CHAR(MOD(COLUMN(EX41)-1,26)+65))&amp;$FI41&amp;""),"")</f>
        <v/>
      </c>
      <c r="FM41" s="82" t="str">
        <f t="array" aca="1" ref="FM41" ca="1">IF($FI41&lt;&gt;"",
IF(FL41="",
IF(INDIRECT("EY"&amp;$FI41&amp;"")&lt;&gt;"",
INDIRECT("EY"&amp;$FI41&amp;"")&amp;"箱"
&amp;INDIRECT("EZ"&amp;$FI41&amp;""),""),""),"")</f>
        <v/>
      </c>
      <c r="FN41" s="82" t="str">
        <f t="array" aca="1" ref="FN41" ca="1">IF($FI41&lt;&gt;"",
INDIRECT(""&amp;IF(COLUMN(FA41)&lt;=26,CHAR(COLUMN(FA41)+64),CHAR(INT((COLUMN(FA41)-1)/26)+64)&amp;CHAR(MOD(COLUMN(FA41)-1,26)+65))&amp;$FI41&amp;""),"")</f>
        <v/>
      </c>
      <c r="FO41" s="82" t="str">
        <f t="array" aca="1" ref="FO41" ca="1">IF($FI41&lt;&gt;"",
INDIRECT(""&amp;IF(COLUMN(FB41)&lt;=26,CHAR(COLUMN(FB41)+64),CHAR(INT((COLUMN(FB41)-1)/26)+64)&amp;CHAR(MOD(COLUMN(FB41)-1,26)+65))&amp;$FI41&amp;""),"")</f>
        <v/>
      </c>
      <c r="FP41" s="82" t="str">
        <f t="array" aca="1" ref="FP41" ca="1">IF($FI41&lt;&gt;"",
INDIRECT(""&amp;IF(COLUMN(FC41)&lt;=26,CHAR(COLUMN(FC41)+64),CHAR(INT((COLUMN(FC41)-1)/26)+64)&amp;CHAR(MOD(COLUMN(FC41)-1,26)+65))&amp;$FI41&amp;""),"")</f>
        <v/>
      </c>
      <c r="FQ41" s="82" t="str">
        <f t="array" aca="1" ref="FQ41" ca="1">IF($FI41&lt;&gt;"",
INDIRECT(""&amp;IF(COLUMN(FD41)&lt;=26,CHAR(COLUMN(FD41)+64),CHAR(INT((COLUMN(FD41)-1)/26)+64)&amp;CHAR(MOD(COLUMN(FD41)-1,26)+65))&amp;$FI41&amp;""),"")</f>
        <v/>
      </c>
      <c r="FR41" s="82" t="str">
        <f t="array" aca="1" ref="FR41" ca="1">IF($FI41&lt;&gt;"",
INDIRECT(""&amp;IF(COLUMN(FE41)&lt;=26,CHAR(COLUMN(FE41)+64),CHAR(INT((COLUMN(FE41)-1)/26)+64)&amp;CHAR(MOD(COLUMN(FE41)-1,26)+65))&amp;$FI41&amp;""),"")</f>
        <v/>
      </c>
      <c r="FS41" s="82" t="str">
        <f t="array" aca="1" ref="FS41" ca="1">IF($FI41&lt;&gt;"",
INDIRECT(""&amp;IF(COLUMN(FF41)&lt;=26,CHAR(COLUMN(FF41)+64),CHAR(INT((COLUMN(FF41)-1)/26)+64)&amp;CHAR(MOD(COLUMN(FF41)-1,26)+65))&amp;$FI41&amp;""),"")</f>
        <v/>
      </c>
    </row>
    <row r="42" spans="1:175" ht="21" customHeight="1" x14ac:dyDescent="0.45">
      <c r="B42" s="196" t="e">
        <f ca="1">IF(C39&lt;&gt;"",
IFERROR(INT(C39/C41),""),"")</f>
        <v>#VALUE!</v>
      </c>
      <c r="C42" s="195"/>
      <c r="D42" s="196" t="str">
        <f ca="1">IFERROR(MOD(C39,C41),"")</f>
        <v/>
      </c>
      <c r="E42" s="195"/>
      <c r="F42" s="194" t="e">
        <f ca="1">G38+G39</f>
        <v>#N/A</v>
      </c>
      <c r="G42" s="195"/>
      <c r="I42" s="196" t="e">
        <f ca="1">IF(J39&lt;&gt;"",
IFERROR(INT(J39/J41),""),"")</f>
        <v>#VALUE!</v>
      </c>
      <c r="J42" s="195"/>
      <c r="K42" s="196" t="str">
        <f ca="1">IFERROR(MOD(J39,J41),"")</f>
        <v/>
      </c>
      <c r="L42" s="195"/>
      <c r="M42" s="194" t="e">
        <f ca="1">N38+N39</f>
        <v>#N/A</v>
      </c>
      <c r="N42" s="195"/>
      <c r="Q42" s="196" t="e">
        <f ca="1">IF(R39&lt;&gt;"",
IFERROR(INT(R39/R41),""),"")</f>
        <v>#VALUE!</v>
      </c>
      <c r="R42" s="195"/>
      <c r="S42" s="196" t="str">
        <f ca="1">IFERROR(MOD(R39,R41),"")</f>
        <v/>
      </c>
      <c r="T42" s="195"/>
      <c r="U42" s="194" t="e">
        <f ca="1">V38+V39</f>
        <v>#N/A</v>
      </c>
      <c r="V42" s="195"/>
      <c r="X42" s="196" t="e">
        <f ca="1">IF(Y39&lt;&gt;"",
IFERROR(INT(Y39/Y41),""),"")</f>
        <v>#VALUE!</v>
      </c>
      <c r="Y42" s="195"/>
      <c r="Z42" s="196" t="str">
        <f ca="1">IFERROR(MOD(Y39,Y41),"")</f>
        <v/>
      </c>
      <c r="AA42" s="195"/>
      <c r="AB42" s="194" t="e">
        <f ca="1">AC38+AC39</f>
        <v>#N/A</v>
      </c>
      <c r="AC42" s="195"/>
      <c r="AF42" s="196" t="e">
        <f ca="1">IF(AG39&lt;&gt;"",
IFERROR(INT(AG39/AG41),""),"")</f>
        <v>#VALUE!</v>
      </c>
      <c r="AG42" s="195"/>
      <c r="AH42" s="196" t="str">
        <f ca="1">IFERROR(MOD(AG39,AG41),"")</f>
        <v/>
      </c>
      <c r="AI42" s="195"/>
      <c r="AJ42" s="194" t="e">
        <f ca="1">AK38+AK39</f>
        <v>#N/A</v>
      </c>
      <c r="AK42" s="195"/>
      <c r="AM42" s="196" t="e">
        <f ca="1">IF(AN39&lt;&gt;"",
IFERROR(INT(AN39/AN41),""),"")</f>
        <v>#VALUE!</v>
      </c>
      <c r="AN42" s="195"/>
      <c r="AO42" s="196" t="str">
        <f ca="1">IFERROR(MOD(AN39,AN41),"")</f>
        <v/>
      </c>
      <c r="AP42" s="195"/>
      <c r="AQ42" s="194" t="e">
        <f ca="1">AR38+AR39</f>
        <v>#N/A</v>
      </c>
      <c r="AR42" s="195"/>
      <c r="AU42" s="196" t="e">
        <f ca="1">IF(AV39&lt;&gt;"",
IFERROR(INT(AV39/AV41),""),"")</f>
        <v>#VALUE!</v>
      </c>
      <c r="AV42" s="195"/>
      <c r="AW42" s="196" t="str">
        <f ca="1">IFERROR(MOD(AV39,AV41),"")</f>
        <v/>
      </c>
      <c r="AX42" s="195"/>
      <c r="AY42" s="194" t="e">
        <f ca="1">AZ38+AZ39</f>
        <v>#N/A</v>
      </c>
      <c r="AZ42" s="195"/>
      <c r="BB42" s="196" t="e">
        <f ca="1">IF(BC39&lt;&gt;"",
IFERROR(INT(BC39/BC41),""),"")</f>
        <v>#VALUE!</v>
      </c>
      <c r="BC42" s="195"/>
      <c r="BD42" s="196" t="str">
        <f ca="1">IFERROR(MOD(BC39,BC41),"")</f>
        <v/>
      </c>
      <c r="BE42" s="195"/>
      <c r="BF42" s="194" t="e">
        <f ca="1">BG38+BG39</f>
        <v>#N/A</v>
      </c>
      <c r="BG42" s="195"/>
      <c r="BJ42" s="196" t="e">
        <f ca="1">IF(BK39&lt;&gt;"",
IFERROR(INT(BK39/BK41),""),"")</f>
        <v>#VALUE!</v>
      </c>
      <c r="BK42" s="195"/>
      <c r="BL42" s="196" t="str">
        <f ca="1">IFERROR(MOD(BK39,BK41),"")</f>
        <v/>
      </c>
      <c r="BM42" s="195"/>
      <c r="BN42" s="194" t="e">
        <f ca="1">BO38+BO39</f>
        <v>#N/A</v>
      </c>
      <c r="BO42" s="195"/>
      <c r="BQ42" s="196" t="e">
        <f ca="1">IF(BR39&lt;&gt;"",
IFERROR(INT(BR39/BR41),""),"")</f>
        <v>#VALUE!</v>
      </c>
      <c r="BR42" s="195"/>
      <c r="BS42" s="196" t="str">
        <f ca="1">IFERROR(MOD(BR39,BR41),"")</f>
        <v/>
      </c>
      <c r="BT42" s="195"/>
      <c r="BU42" s="194" t="e">
        <f ca="1">BV38+BV39</f>
        <v>#N/A</v>
      </c>
      <c r="BV42" s="195"/>
      <c r="BY42" s="196" t="e">
        <f ca="1">IF(BZ39&lt;&gt;"",
IFERROR(INT(BZ39/BZ41),""),"")</f>
        <v>#VALUE!</v>
      </c>
      <c r="BZ42" s="195"/>
      <c r="CA42" s="196" t="str">
        <f ca="1">IFERROR(MOD(BZ39,BZ41),"")</f>
        <v/>
      </c>
      <c r="CB42" s="195"/>
      <c r="CC42" s="194" t="e">
        <f ca="1">CD38+CD39</f>
        <v>#N/A</v>
      </c>
      <c r="CD42" s="195"/>
      <c r="CF42" s="196" t="e">
        <f ca="1">IF(CG39&lt;&gt;"",
IFERROR(INT(CG39/CG41),""),"")</f>
        <v>#VALUE!</v>
      </c>
      <c r="CG42" s="195"/>
      <c r="CH42" s="196" t="str">
        <f ca="1">IFERROR(MOD(CG39,CG41),"")</f>
        <v/>
      </c>
      <c r="CI42" s="195"/>
      <c r="CJ42" s="194" t="e">
        <f ca="1">CK38+CK39</f>
        <v>#N/A</v>
      </c>
      <c r="CK42" s="195"/>
      <c r="CN42" s="196" t="e">
        <f ca="1">IF(CO39&lt;&gt;"",
IFERROR(INT(CO39/CO41),""),"")</f>
        <v>#VALUE!</v>
      </c>
      <c r="CO42" s="195"/>
      <c r="CP42" s="196" t="str">
        <f ca="1">IFERROR(MOD(CO39,CO41),"")</f>
        <v/>
      </c>
      <c r="CQ42" s="195"/>
      <c r="CR42" s="194" t="e">
        <f ca="1">CS38+CS39</f>
        <v>#N/A</v>
      </c>
      <c r="CS42" s="195"/>
      <c r="CU42" s="196" t="e">
        <f ca="1">IF(CV39&lt;&gt;"",
IFERROR(INT(CV39/CV41),""),"")</f>
        <v>#VALUE!</v>
      </c>
      <c r="CV42" s="195"/>
      <c r="CW42" s="196" t="str">
        <f ca="1">IFERROR(MOD(CV39,CV41),"")</f>
        <v/>
      </c>
      <c r="CX42" s="195"/>
      <c r="CY42" s="194" t="e">
        <f ca="1">CZ38+CZ39</f>
        <v>#N/A</v>
      </c>
      <c r="CZ42" s="195"/>
      <c r="DC42" s="196" t="e">
        <f ca="1">IF(DD39&lt;&gt;"",
IFERROR(INT(DD39/DD41),""),"")</f>
        <v>#VALUE!</v>
      </c>
      <c r="DD42" s="195"/>
      <c r="DE42" s="196" t="str">
        <f ca="1">IFERROR(MOD(DD39,DD41),"")</f>
        <v/>
      </c>
      <c r="DF42" s="195"/>
      <c r="DG42" s="194" t="e">
        <f ca="1">DH38+DH39</f>
        <v>#N/A</v>
      </c>
      <c r="DH42" s="195"/>
      <c r="DJ42" s="196" t="e">
        <f ca="1">IF(DK39&lt;&gt;"",
IFERROR(INT(DK39/DK41),""),"")</f>
        <v>#VALUE!</v>
      </c>
      <c r="DK42" s="195"/>
      <c r="DL42" s="196" t="str">
        <f ca="1">IFERROR(MOD(DK39,DK41),"")</f>
        <v/>
      </c>
      <c r="DM42" s="195"/>
      <c r="DN42" s="194" t="e">
        <f ca="1">DO38+DO39</f>
        <v>#N/A</v>
      </c>
      <c r="DO42" s="195"/>
      <c r="DR42" s="196" t="e">
        <f ca="1">IF(DS39&lt;&gt;"",
IFERROR(INT(DS39/DS41),""),"")</f>
        <v>#VALUE!</v>
      </c>
      <c r="DS42" s="195"/>
      <c r="DT42" s="196" t="str">
        <f ca="1">IFERROR(MOD(DS39,DS41),"")</f>
        <v/>
      </c>
      <c r="DU42" s="195"/>
      <c r="DV42" s="194" t="e">
        <f ca="1">DW38+DW39</f>
        <v>#N/A</v>
      </c>
      <c r="DW42" s="195"/>
      <c r="DY42" s="196" t="e">
        <f ca="1">IF(DZ39&lt;&gt;"",
IFERROR(INT(DZ39/DZ41),""),"")</f>
        <v>#VALUE!</v>
      </c>
      <c r="DZ42" s="195"/>
      <c r="EA42" s="196" t="str">
        <f ca="1">IFERROR(MOD(DZ39,DZ41),"")</f>
        <v/>
      </c>
      <c r="EB42" s="195"/>
      <c r="EC42" s="194" t="e">
        <f ca="1">ED38+ED39</f>
        <v>#N/A</v>
      </c>
      <c r="ED42" s="195"/>
      <c r="EG42" s="196" t="e">
        <f ca="1">IF(EH39&lt;&gt;"",
IFERROR(INT(EH39/EH41),""),"")</f>
        <v>#VALUE!</v>
      </c>
      <c r="EH42" s="195"/>
      <c r="EI42" s="196" t="str">
        <f ca="1">IFERROR(MOD(EH39,EH41),"")</f>
        <v/>
      </c>
      <c r="EJ42" s="195"/>
      <c r="EK42" s="194" t="e">
        <f ca="1">EL38+EL39</f>
        <v>#N/A</v>
      </c>
      <c r="EL42" s="195"/>
      <c r="EN42" s="196" t="e">
        <f ca="1">IF(EO39&lt;&gt;"",
IFERROR(INT(EO39/EO41),""),"")</f>
        <v>#VALUE!</v>
      </c>
      <c r="EO42" s="195"/>
      <c r="EP42" s="196" t="str">
        <f ca="1">IFERROR(MOD(EO39,EO41),"")</f>
        <v/>
      </c>
      <c r="EQ42" s="195"/>
      <c r="ER42" s="194" t="e">
        <f ca="1">ES38+ES39</f>
        <v>#N/A</v>
      </c>
      <c r="ES42" s="195"/>
      <c r="ET42" s="75"/>
      <c r="EU42" s="82">
        <f t="shared" si="2"/>
        <v>70</v>
      </c>
      <c r="EV42" s="82" t="str">
        <f t="array" aca="1" ref="EV42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LEN(SUBSTITUTE(_xlfn.FORMULATEXT(EV$25),"=","")))+$EU42)</f>
        <v/>
      </c>
      <c r="EW42" s="82" t="str">
        <f t="array" aca="1" ref="EW42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LEN(SUBSTITUTE(_xlfn.FORMULATEXT(EW$25),"=","")))+$EU42)</f>
        <v/>
      </c>
      <c r="EX42" s="82" t="str">
        <f t="array" aca="1" ref="EX42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LEN(SUBSTITUTE(_xlfn.FORMULATEXT(EX$25),"=","")))+$EU42)</f>
        <v/>
      </c>
      <c r="EY42" s="82" t="str">
        <f t="array" aca="1" ref="EY42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LEN(SUBSTITUTE(_xlfn.FORMULATEXT(EY$25),"=","")))+$EU42)</f>
        <v/>
      </c>
      <c r="EZ42" s="82" t="str">
        <f t="array" aca="1" ref="EZ42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LEN(SUBSTITUTE(_xlfn.FORMULATEXT(EZ$25),"=","")))+$EU42)</f>
        <v/>
      </c>
      <c r="FA42" s="82" t="str">
        <f t="array" aca="1" ref="FA42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LEN(SUBSTITUTE(_xlfn.FORMULATEXT(FA$25),"=","")))+$EU42)</f>
        <v/>
      </c>
      <c r="FB42" s="82" t="str">
        <f t="array" aca="1" ref="FB42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LEN(SUBSTITUTE(_xlfn.FORMULATEXT(FB$25),"=","")))+$EU42)</f>
        <v/>
      </c>
      <c r="FC42" s="82" t="str">
        <f t="array" aca="1" ref="FC42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LEN(SUBSTITUTE(_xlfn.FORMULATEXT(FC$25),"=","")))+$EU42)</f>
        <v/>
      </c>
      <c r="FD42" s="82" t="str">
        <f t="array" aca="1" ref="FD42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LEN(SUBSTITUTE(_xlfn.FORMULATEXT(FD$25),"=","")))+$EU42)</f>
        <v/>
      </c>
      <c r="FE42" s="82" t="str">
        <f t="array" aca="1" ref="FE42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LEN(SUBSTITUTE(_xlfn.FORMULATEXT(FE$25),"=","")))+$EU42)</f>
        <v/>
      </c>
      <c r="FF42" s="82" t="str">
        <f t="array" aca="1" ref="FF42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LEN(SUBSTITUTE(_xlfn.FORMULATEXT(FF$25),"=","")))+$EU42)</f>
        <v/>
      </c>
      <c r="FG42" s="82">
        <f t="shared" ca="1" si="3"/>
        <v>0</v>
      </c>
      <c r="FH42" s="82" t="b">
        <f t="array" aca="1" ref="FH42" ca="1">SUMPRODUCT((LEN(EV42:FF42)&gt;0)*1)&gt;0</f>
        <v>0</v>
      </c>
      <c r="FI42" s="82" t="str">
        <f t="array" aca="1" ref="FI42" ca="1">IFERROR(SMALL(IF(FG$1:FG$173&lt;&gt;0,FG$1:FG$173),ROW(A42)),"")</f>
        <v/>
      </c>
      <c r="FJ42" s="82" t="str">
        <f t="array" aca="1" ref="FJ42" ca="1">IF($FI42&lt;&gt;"",
INDIRECT(""&amp;IF(COLUMN(EV42)&lt;=26,CHAR(COLUMN(EV42)+64),CHAR(INT((COLUMN(EV42)-1)/26)+64)&amp;CHAR(MOD(COLUMN(EV42)-1,26)+65))&amp;$FI42&amp;""),"")</f>
        <v/>
      </c>
      <c r="FK42" s="82" t="str">
        <f t="array" aca="1" ref="FK42" ca="1">IF($FI42&lt;&gt;"",
INDIRECT(""&amp;IF(COLUMN(EW42)&lt;=26,CHAR(COLUMN(EW42)+64),CHAR(INT((COLUMN(EW42)-1)/26)+64)&amp;CHAR(MOD(COLUMN(EW42)-1,26)+65))&amp;$FI42&amp;""),"")</f>
        <v/>
      </c>
      <c r="FL42" s="82" t="str">
        <f t="array" aca="1" ref="FL42" ca="1">IF($FI42&lt;&gt;"",
INDIRECT(""&amp;IF(COLUMN(EX42)&lt;=26,CHAR(COLUMN(EX42)+64),CHAR(INT((COLUMN(EX42)-1)/26)+64)&amp;CHAR(MOD(COLUMN(EX42)-1,26)+65))&amp;$FI42&amp;""),"")</f>
        <v/>
      </c>
      <c r="FM42" s="82" t="str">
        <f t="array" aca="1" ref="FM42" ca="1">IF($FI42&lt;&gt;"",
IF(FL42="",
IF(INDIRECT("EY"&amp;$FI42&amp;"")&lt;&gt;"",
INDIRECT("EY"&amp;$FI42&amp;"")&amp;"箱"
&amp;INDIRECT("EZ"&amp;$FI42&amp;""),""),""),"")</f>
        <v/>
      </c>
      <c r="FN42" s="82" t="str">
        <f t="array" aca="1" ref="FN42" ca="1">IF($FI42&lt;&gt;"",
INDIRECT(""&amp;IF(COLUMN(FA42)&lt;=26,CHAR(COLUMN(FA42)+64),CHAR(INT((COLUMN(FA42)-1)/26)+64)&amp;CHAR(MOD(COLUMN(FA42)-1,26)+65))&amp;$FI42&amp;""),"")</f>
        <v/>
      </c>
      <c r="FO42" s="82" t="str">
        <f t="array" aca="1" ref="FO42" ca="1">IF($FI42&lt;&gt;"",
INDIRECT(""&amp;IF(COLUMN(FB42)&lt;=26,CHAR(COLUMN(FB42)+64),CHAR(INT((COLUMN(FB42)-1)/26)+64)&amp;CHAR(MOD(COLUMN(FB42)-1,26)+65))&amp;$FI42&amp;""),"")</f>
        <v/>
      </c>
      <c r="FP42" s="82" t="str">
        <f t="array" aca="1" ref="FP42" ca="1">IF($FI42&lt;&gt;"",
INDIRECT(""&amp;IF(COLUMN(FC42)&lt;=26,CHAR(COLUMN(FC42)+64),CHAR(INT((COLUMN(FC42)-1)/26)+64)&amp;CHAR(MOD(COLUMN(FC42)-1,26)+65))&amp;$FI42&amp;""),"")</f>
        <v/>
      </c>
      <c r="FQ42" s="82" t="str">
        <f t="array" aca="1" ref="FQ42" ca="1">IF($FI42&lt;&gt;"",
INDIRECT(""&amp;IF(COLUMN(FD42)&lt;=26,CHAR(COLUMN(FD42)+64),CHAR(INT((COLUMN(FD42)-1)/26)+64)&amp;CHAR(MOD(COLUMN(FD42)-1,26)+65))&amp;$FI42&amp;""),"")</f>
        <v/>
      </c>
      <c r="FR42" s="82" t="str">
        <f t="array" aca="1" ref="FR42" ca="1">IF($FI42&lt;&gt;"",
INDIRECT(""&amp;IF(COLUMN(FE42)&lt;=26,CHAR(COLUMN(FE42)+64),CHAR(INT((COLUMN(FE42)-1)/26)+64)&amp;CHAR(MOD(COLUMN(FE42)-1,26)+65))&amp;$FI42&amp;""),"")</f>
        <v/>
      </c>
      <c r="FS42" s="82" t="str">
        <f t="array" aca="1" ref="FS42" ca="1">IF($FI42&lt;&gt;"",
INDIRECT(""&amp;IF(COLUMN(FF42)&lt;=26,CHAR(COLUMN(FF42)+64),CHAR(INT((COLUMN(FF42)-1)/26)+64)&amp;CHAR(MOD(COLUMN(FF42)-1,26)+65))&amp;$FI42&amp;""),"")</f>
        <v/>
      </c>
    </row>
    <row r="43" spans="1:175" s="82" customFormat="1" ht="18" customHeight="1" x14ac:dyDescent="0.55000000000000004">
      <c r="A43" s="80"/>
      <c r="B43" s="81" t="str">
        <f t="array" aca="1" ref="B43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3" s="191" t="str">
        <f ca="1">IF(C46&lt;&gt;"",C1,"")</f>
        <v/>
      </c>
      <c r="D43" s="192"/>
      <c r="E43" s="192"/>
      <c r="F43" s="192"/>
      <c r="G43" s="95"/>
      <c r="H43" s="80"/>
      <c r="I43" s="81" t="str">
        <f t="array" aca="1" ref="I43" ca="1">IF(COUNTIF(N1,"*合計*"),"",
IF(J1=C43,
IFERROR(
SUBSTITUTE(ADDRESS(1,
COLUMN(INDIRECT("数出表_Excel!"&amp;B43&amp; (MATCH(N1,数出表_Excel!$A:$A,0)-1))) - 1 +
MATCH(TRUE, ISNUMBER(--INDIRECT("数出表_Excel!"&amp;B43&amp; (MATCH(N1,数出表_Excel!$A:$A,0)-1) &amp; ":U" &amp; (MATCH(N1,数出表_Excel!$A:$A,0)-1))), 0)+1,4),"1",""),
""),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"")))</f>
        <v/>
      </c>
      <c r="J43" s="191" t="str">
        <f ca="1">IF(J46&lt;&gt;"",J1,"")</f>
        <v/>
      </c>
      <c r="K43" s="192"/>
      <c r="L43" s="192"/>
      <c r="M43" s="192"/>
      <c r="N43" s="95"/>
      <c r="O43" s="80"/>
      <c r="P43" s="80"/>
      <c r="Q43" s="81" t="str">
        <f t="array" aca="1" ref="Q43" ca="1">IF(COUNTIF(V1,"*合計*"),"",
IF(R1=I78,
IFERROR(
SUBSTITUTE(ADDRESS(1,
COLUMN(INDIRECT("数出表_Excel!"&amp;J78&amp; (MATCH(V1,数出表_Excel!$A:$A,0)-1))) - 1 +
MATCH(TRUE, ISNUMBER(--INDIRECT("数出表_Excel!"&amp;J78&amp; (MATCH(V1,数出表_Excel!$A:$A,0)-1) &amp; ":U" &amp; (MATCH(V1,数出表_Excel!$A:$A,0)-1))), 0)+1,4),"1",""),
""),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"")))</f>
        <v/>
      </c>
      <c r="R43" s="191" t="str">
        <f ca="1">IF(R46&lt;&gt;"",R1,"")</f>
        <v/>
      </c>
      <c r="S43" s="192"/>
      <c r="T43" s="192"/>
      <c r="U43" s="192"/>
      <c r="V43" s="95"/>
      <c r="W43" s="80"/>
      <c r="X43" s="81" t="str">
        <f t="array" aca="1" ref="X43" ca="1">IF(COUNTIF(AC1,"*合計*"),"",
IF(Y1=R43,
IFERROR(
SUBSTITUTE(ADDRESS(1,
COLUMN(INDIRECT("数出表_Excel!"&amp;Q43&amp; (MATCH(AC1,数出表_Excel!$A:$A,0)-1))) - 1 +
MATCH(TRUE, ISNUMBER(--INDIRECT("数出表_Excel!"&amp;Q43&amp; (MATCH(AC1,数出表_Excel!$A:$A,0)-1) &amp; ":U" &amp; (MATCH(AC1,数出表_Excel!$A:$A,0)-1))), 0)+1,4),"1",""),
""),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"")))</f>
        <v/>
      </c>
      <c r="Y43" s="191" t="str">
        <f ca="1">IF(Y46&lt;&gt;"",Y1,"")</f>
        <v/>
      </c>
      <c r="Z43" s="192"/>
      <c r="AA43" s="192"/>
      <c r="AB43" s="192"/>
      <c r="AC43" s="95"/>
      <c r="AD43" s="80"/>
      <c r="AE43" s="80"/>
      <c r="AF43" s="81" t="str">
        <f t="array" aca="1" ref="AF43" ca="1">IF(COUNTIF(AK1,"*合計*"),"",
IF(AG1=X78,
IFERROR(
SUBSTITUTE(ADDRESS(1,
COLUMN(INDIRECT("数出表_Excel!"&amp;Y78&amp; (MATCH(AK1,数出表_Excel!$A:$A,0)-1))) - 1 +
MATCH(TRUE, ISNUMBER(--INDIRECT("数出表_Excel!"&amp;Y78&amp; (MATCH(AK1,数出表_Excel!$A:$A,0)-1) &amp; ":U" &amp; (MATCH(AK1,数出表_Excel!$A:$A,0)-1))), 0)+1,4),"1",""),
""),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"")))</f>
        <v/>
      </c>
      <c r="AG43" s="191" t="str">
        <f ca="1">IF(AG46&lt;&gt;"",AG1,"")</f>
        <v/>
      </c>
      <c r="AH43" s="192"/>
      <c r="AI43" s="192"/>
      <c r="AJ43" s="192"/>
      <c r="AK43" s="95"/>
      <c r="AL43" s="80"/>
      <c r="AM43" s="81" t="str">
        <f t="array" aca="1" ref="AM43" ca="1">IF(COUNTIF(AR1,"*合計*"),"",
IF(AN1=AG43,
IFERROR(
SUBSTITUTE(ADDRESS(1,
COLUMN(INDIRECT("数出表_Excel!"&amp;AF43&amp; (MATCH(AR1,数出表_Excel!$A:$A,0)-1))) - 1 +
MATCH(TRUE, ISNUMBER(--INDIRECT("数出表_Excel!"&amp;AF43&amp; (MATCH(AR1,数出表_Excel!$A:$A,0)-1) &amp; ":U" &amp; (MATCH(AR1,数出表_Excel!$A:$A,0)-1))), 0)+1,4),"1",""),
""),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"")))</f>
        <v/>
      </c>
      <c r="AN43" s="191" t="str">
        <f ca="1">IF(AN46&lt;&gt;"",AN1,"")</f>
        <v/>
      </c>
      <c r="AO43" s="192"/>
      <c r="AP43" s="192"/>
      <c r="AQ43" s="192"/>
      <c r="AR43" s="95"/>
      <c r="AS43" s="80"/>
      <c r="AT43" s="80"/>
      <c r="AU43" s="81" t="str">
        <f t="array" aca="1" ref="AU43" ca="1">IF(COUNTIF(AZ1,"*合計*"),"",
IF(AV1=AM78,
IFERROR(
SUBSTITUTE(ADDRESS(1,
COLUMN(INDIRECT("数出表_Excel!"&amp;AN78&amp; (MATCH(AZ1,数出表_Excel!$A:$A,0)-1))) - 1 +
MATCH(TRUE, ISNUMBER(--INDIRECT("数出表_Excel!"&amp;AN78&amp; (MATCH(AZ1,数出表_Excel!$A:$A,0)-1) &amp; ":U" &amp; (MATCH(AZ1,数出表_Excel!$A:$A,0)-1))), 0)+1,4),"1",""),
""),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"")))</f>
        <v/>
      </c>
      <c r="AV43" s="191" t="str">
        <f ca="1">IF(AV46&lt;&gt;"",AV1,"")</f>
        <v/>
      </c>
      <c r="AW43" s="192"/>
      <c r="AX43" s="192"/>
      <c r="AY43" s="192"/>
      <c r="AZ43" s="95"/>
      <c r="BA43" s="80"/>
      <c r="BB43" s="81" t="str">
        <f t="array" aca="1" ref="BB43" ca="1">IF(COUNTIF(BG1,"*合計*"),"",
IF(BC1=AV43,
IFERROR(
SUBSTITUTE(ADDRESS(1,
COLUMN(INDIRECT("数出表_Excel!"&amp;AU43&amp; (MATCH(BG1,数出表_Excel!$A:$A,0)-1))) - 1 +
MATCH(TRUE, ISNUMBER(--INDIRECT("数出表_Excel!"&amp;AU43&amp; (MATCH(BG1,数出表_Excel!$A:$A,0)-1) &amp; ":U" &amp; (MATCH(BG1,数出表_Excel!$A:$A,0)-1))), 0)+1,4),"1",""),
""),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"")))</f>
        <v/>
      </c>
      <c r="BC43" s="191" t="str">
        <f ca="1">IF(BC46&lt;&gt;"",BC1,"")</f>
        <v/>
      </c>
      <c r="BD43" s="192"/>
      <c r="BE43" s="192"/>
      <c r="BF43" s="192"/>
      <c r="BG43" s="95"/>
      <c r="BH43" s="80"/>
      <c r="BI43" s="80"/>
      <c r="BJ43" s="81" t="str">
        <f t="array" aca="1" ref="BJ43" ca="1">IF(COUNTIF(BO1,"*合計*"),"",
IF(BK1=BB78,
IFERROR(
SUBSTITUTE(ADDRESS(1,
COLUMN(INDIRECT("数出表_Excel!"&amp;BC78&amp; (MATCH(BO1,数出表_Excel!$A:$A,0)-1))) - 1 +
MATCH(TRUE, ISNUMBER(--INDIRECT("数出表_Excel!"&amp;BC78&amp; (MATCH(BO1,数出表_Excel!$A:$A,0)-1) &amp; ":U" &amp; (MATCH(BO1,数出表_Excel!$A:$A,0)-1))), 0)+1,4),"1",""),
""),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"")))</f>
        <v/>
      </c>
      <c r="BK43" s="191" t="str">
        <f ca="1">IF(BK46&lt;&gt;"",BK1,"")</f>
        <v/>
      </c>
      <c r="BL43" s="192"/>
      <c r="BM43" s="192"/>
      <c r="BN43" s="192"/>
      <c r="BO43" s="95"/>
      <c r="BP43" s="80"/>
      <c r="BQ43" s="81" t="str">
        <f t="array" aca="1" ref="BQ43" ca="1">IF(COUNTIF(BV1,"*合計*"),"",
IF(BR1=BK43,
IFERROR(
SUBSTITUTE(ADDRESS(1,
COLUMN(INDIRECT("数出表_Excel!"&amp;BJ43&amp; (MATCH(BV1,数出表_Excel!$A:$A,0)-1))) - 1 +
MATCH(TRUE, ISNUMBER(--INDIRECT("数出表_Excel!"&amp;BJ43&amp; (MATCH(BV1,数出表_Excel!$A:$A,0)-1) &amp; ":U" &amp; (MATCH(BV1,数出表_Excel!$A:$A,0)-1))), 0)+1,4),"1",""),
""),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"")))</f>
        <v/>
      </c>
      <c r="BR43" s="191" t="str">
        <f ca="1">IF(BR46&lt;&gt;"",BR1,"")</f>
        <v/>
      </c>
      <c r="BS43" s="192"/>
      <c r="BT43" s="192"/>
      <c r="BU43" s="192"/>
      <c r="BV43" s="95"/>
      <c r="BW43" s="80"/>
      <c r="BX43" s="80"/>
      <c r="BY43" s="81" t="str">
        <f t="array" aca="1" ref="BY43" ca="1">IF(COUNTIF(CD1,"*合計*"),"",
IF(BZ1=BQ78,
IFERROR(
SUBSTITUTE(ADDRESS(1,
COLUMN(INDIRECT("数出表_Excel!"&amp;BR78&amp; (MATCH(CD1,数出表_Excel!$A:$A,0)-1))) - 1 +
MATCH(TRUE, ISNUMBER(--INDIRECT("数出表_Excel!"&amp;BR78&amp; (MATCH(CD1,数出表_Excel!$A:$A,0)-1) &amp; ":U" &amp; (MATCH(CD1,数出表_Excel!$A:$A,0)-1))), 0)+1,4),"1",""),
""),
IFERROR(
SUBSTITUTE(ADDRESS(1,
COLUMN(INDIRECT("数出表_Excel!B" &amp; (MATCH(CD1,数出表_Excel!$A:$A,0)-1))) - 1 +
MATCH(TRUE, ISNUMBER(--INDIRECT("数出表_Excel!B" &amp; (MATCH(CD1,数出表_Excel!$A:$A,0)-1) &amp; ":U" &amp; (MATCH(CD1,数出表_Excel!$A:$A,0)-1))), 0)+1,4),"1",""),
"")))</f>
        <v/>
      </c>
      <c r="BZ43" s="191" t="str">
        <f ca="1">IF(BZ46&lt;&gt;"",BZ1,"")</f>
        <v/>
      </c>
      <c r="CA43" s="192"/>
      <c r="CB43" s="192"/>
      <c r="CC43" s="192"/>
      <c r="CD43" s="95"/>
      <c r="CE43" s="80"/>
      <c r="CF43" s="81" t="str">
        <f t="array" aca="1" ref="CF43" ca="1">IF(COUNTIF(CK1,"*合計*"),"",
IF(CG1=BZ43,
IFERROR(
SUBSTITUTE(ADDRESS(1,
COLUMN(INDIRECT("数出表_Excel!"&amp;BY43&amp; (MATCH(CK1,数出表_Excel!$A:$A,0)-1))) - 1 +
MATCH(TRUE, ISNUMBER(--INDIRECT("数出表_Excel!"&amp;BY43&amp; (MATCH(CK1,数出表_Excel!$A:$A,0)-1) &amp; ":U" &amp; (MATCH(CK1,数出表_Excel!$A:$A,0)-1))), 0)+1,4),"1",""),
""),
IFERROR(
SUBSTITUTE(ADDRESS(1,
COLUMN(INDIRECT("数出表_Excel!B" &amp; (MATCH(CK1,数出表_Excel!$A:$A,0)-1))) - 1 +
MATCH(TRUE, ISNUMBER(--INDIRECT("数出表_Excel!B" &amp; (MATCH(CK1,数出表_Excel!$A:$A,0)-1) &amp; ":U" &amp; (MATCH(CK1,数出表_Excel!$A:$A,0)-1))), 0)+1,4),"1",""),
"")))</f>
        <v/>
      </c>
      <c r="CG43" s="191" t="str">
        <f ca="1">IF(CG46&lt;&gt;"",CG1,"")</f>
        <v/>
      </c>
      <c r="CH43" s="192"/>
      <c r="CI43" s="192"/>
      <c r="CJ43" s="192"/>
      <c r="CK43" s="95"/>
      <c r="CL43" s="80"/>
      <c r="CM43" s="80"/>
      <c r="CN43" s="81" t="str">
        <f t="array" aca="1" ref="CN43" ca="1">IF(COUNTIF(CS1,"*合計*"),"",
IF(CO1=CF78,
IFERROR(
SUBSTITUTE(ADDRESS(1,
COLUMN(INDIRECT("数出表_Excel!"&amp;CG78&amp; (MATCH(CS1,数出表_Excel!$A:$A,0)-1))) - 1 +
MATCH(TRUE, ISNUMBER(--INDIRECT("数出表_Excel!"&amp;CG78&amp; (MATCH(CS1,数出表_Excel!$A:$A,0)-1) &amp; ":U" &amp; (MATCH(CS1,数出表_Excel!$A:$A,0)-1))), 0)+1,4),"1",""),
""),
IFERROR(
SUBSTITUTE(ADDRESS(1,
COLUMN(INDIRECT("数出表_Excel!B" &amp; (MATCH(CS1,数出表_Excel!$A:$A,0)-1))) - 1 +
MATCH(TRUE, ISNUMBER(--INDIRECT("数出表_Excel!B" &amp; (MATCH(CS1,数出表_Excel!$A:$A,0)-1) &amp; ":U" &amp; (MATCH(CS1,数出表_Excel!$A:$A,0)-1))), 0)+1,4),"1",""),
"")))</f>
        <v/>
      </c>
      <c r="CO43" s="191" t="str">
        <f ca="1">IF(CO46&lt;&gt;"",CO1,"")</f>
        <v/>
      </c>
      <c r="CP43" s="192"/>
      <c r="CQ43" s="192"/>
      <c r="CR43" s="192"/>
      <c r="CS43" s="95"/>
      <c r="CT43" s="80"/>
      <c r="CU43" s="81" t="str">
        <f t="array" aca="1" ref="CU43" ca="1">IF(COUNTIF(CZ1,"*合計*"),"",
IF(CV1=CO43,
IFERROR(
SUBSTITUTE(ADDRESS(1,
COLUMN(INDIRECT("数出表_Excel!"&amp;CN43&amp; (MATCH(CZ1,数出表_Excel!$A:$A,0)-1))) - 1 +
MATCH(TRUE, ISNUMBER(--INDIRECT("数出表_Excel!"&amp;CN43&amp; (MATCH(CZ1,数出表_Excel!$A:$A,0)-1) &amp; ":U" &amp; (MATCH(CZ1,数出表_Excel!$A:$A,0)-1))), 0)+1,4),"1",""),
""),
IFERROR(
SUBSTITUTE(ADDRESS(1,
COLUMN(INDIRECT("数出表_Excel!B" &amp; (MATCH(CZ1,数出表_Excel!$A:$A,0)-1))) - 1 +
MATCH(TRUE, ISNUMBER(--INDIRECT("数出表_Excel!B" &amp; (MATCH(CZ1,数出表_Excel!$A:$A,0)-1) &amp; ":U" &amp; (MATCH(CZ1,数出表_Excel!$A:$A,0)-1))), 0)+1,4),"1",""),
"")))</f>
        <v/>
      </c>
      <c r="CV43" s="191" t="str">
        <f ca="1">IF(CV46&lt;&gt;"",CV1,"")</f>
        <v/>
      </c>
      <c r="CW43" s="192"/>
      <c r="CX43" s="192"/>
      <c r="CY43" s="192"/>
      <c r="CZ43" s="95"/>
      <c r="DA43" s="80"/>
      <c r="DB43" s="80"/>
      <c r="DC43" s="81" t="str">
        <f t="array" aca="1" ref="DC43" ca="1">IF(COUNTIF(DH1,"*合計*"),"",
IF(DD1=CU78,
IFERROR(
SUBSTITUTE(ADDRESS(1,
COLUMN(INDIRECT("数出表_Excel!"&amp;CV78&amp; (MATCH(DH1,数出表_Excel!$A:$A,0)-1))) - 1 +
MATCH(TRUE, ISNUMBER(--INDIRECT("数出表_Excel!"&amp;CV78&amp; (MATCH(DH1,数出表_Excel!$A:$A,0)-1) &amp; ":U" &amp; (MATCH(DH1,数出表_Excel!$A:$A,0)-1))), 0)+1,4),"1",""),
""),
IFERROR(
SUBSTITUTE(ADDRESS(1,
COLUMN(INDIRECT("数出表_Excel!B" &amp; (MATCH(DH1,数出表_Excel!$A:$A,0)-1))) - 1 +
MATCH(TRUE, ISNUMBER(--INDIRECT("数出表_Excel!B" &amp; (MATCH(DH1,数出表_Excel!$A:$A,0)-1) &amp; ":U" &amp; (MATCH(DH1,数出表_Excel!$A:$A,0)-1))), 0)+1,4),"1",""),
"")))</f>
        <v/>
      </c>
      <c r="DD43" s="191" t="str">
        <f ca="1">IF(DD46&lt;&gt;"",DD1,"")</f>
        <v/>
      </c>
      <c r="DE43" s="192"/>
      <c r="DF43" s="192"/>
      <c r="DG43" s="192"/>
      <c r="DH43" s="95"/>
      <c r="DI43" s="80"/>
      <c r="DJ43" s="81" t="str">
        <f t="array" aca="1" ref="DJ43" ca="1">IF(COUNTIF(DO1,"*合計*"),"",
IF(DK1=DD43,
IFERROR(
SUBSTITUTE(ADDRESS(1,
COLUMN(INDIRECT("数出表_Excel!"&amp;DC43&amp; (MATCH(DO1,数出表_Excel!$A:$A,0)-1))) - 1 +
MATCH(TRUE, ISNUMBER(--INDIRECT("数出表_Excel!"&amp;DC43&amp; (MATCH(DO1,数出表_Excel!$A:$A,0)-1) &amp; ":U" &amp; (MATCH(DO1,数出表_Excel!$A:$A,0)-1))), 0)+1,4),"1",""),
""),
IFERROR(
SUBSTITUTE(ADDRESS(1,
COLUMN(INDIRECT("数出表_Excel!B" &amp; (MATCH(DO1,数出表_Excel!$A:$A,0)-1))) - 1 +
MATCH(TRUE, ISNUMBER(--INDIRECT("数出表_Excel!B" &amp; (MATCH(DO1,数出表_Excel!$A:$A,0)-1) &amp; ":U" &amp; (MATCH(DO1,数出表_Excel!$A:$A,0)-1))), 0)+1,4),"1",""),
"")))</f>
        <v/>
      </c>
      <c r="DK43" s="191" t="str">
        <f ca="1">IF(DK46&lt;&gt;"",DK1,"")</f>
        <v/>
      </c>
      <c r="DL43" s="192"/>
      <c r="DM43" s="192"/>
      <c r="DN43" s="192"/>
      <c r="DO43" s="95"/>
      <c r="DP43" s="80"/>
      <c r="DQ43" s="80"/>
      <c r="DR43" s="81" t="str">
        <f t="array" aca="1" ref="DR43" ca="1">IF(COUNTIF(DW1,"*合計*"),"",
IF(DS1=DJ78,
IFERROR(
SUBSTITUTE(ADDRESS(1,
COLUMN(INDIRECT("数出表_Excel!"&amp;DK78&amp; (MATCH(DW1,数出表_Excel!$A:$A,0)-1))) - 1 +
MATCH(TRUE, ISNUMBER(--INDIRECT("数出表_Excel!"&amp;DK78&amp; (MATCH(DW1,数出表_Excel!$A:$A,0)-1) &amp; ":U" &amp; (MATCH(DW1,数出表_Excel!$A:$A,0)-1))), 0)+1,4),"1",""),
""),
IFERROR(
SUBSTITUTE(ADDRESS(1,
COLUMN(INDIRECT("数出表_Excel!B" &amp; (MATCH(DW1,数出表_Excel!$A:$A,0)-1))) - 1 +
MATCH(TRUE, ISNUMBER(--INDIRECT("数出表_Excel!B" &amp; (MATCH(DW1,数出表_Excel!$A:$A,0)-1) &amp; ":U" &amp; (MATCH(DW1,数出表_Excel!$A:$A,0)-1))), 0)+1,4),"1",""),
"")))</f>
        <v/>
      </c>
      <c r="DS43" s="191" t="str">
        <f ca="1">IF(DS46&lt;&gt;"",DS1,"")</f>
        <v/>
      </c>
      <c r="DT43" s="192"/>
      <c r="DU43" s="192"/>
      <c r="DV43" s="192"/>
      <c r="DW43" s="95"/>
      <c r="DX43" s="80"/>
      <c r="DY43" s="81" t="str">
        <f t="array" aca="1" ref="DY43" ca="1">IF(COUNTIF(ED1,"*合計*"),"",
IF(DZ1=DS43,
IFERROR(
SUBSTITUTE(ADDRESS(1,
COLUMN(INDIRECT("数出表_Excel!"&amp;DR43&amp; (MATCH(ED1,数出表_Excel!$A:$A,0)-1))) - 1 +
MATCH(TRUE, ISNUMBER(--INDIRECT("数出表_Excel!"&amp;DR43&amp; (MATCH(ED1,数出表_Excel!$A:$A,0)-1) &amp; ":U" &amp; (MATCH(ED1,数出表_Excel!$A:$A,0)-1))), 0)+1,4),"1",""),
""),
IFERROR(
SUBSTITUTE(ADDRESS(1,
COLUMN(INDIRECT("数出表_Excel!B" &amp; (MATCH(ED1,数出表_Excel!$A:$A,0)-1))) - 1 +
MATCH(TRUE, ISNUMBER(--INDIRECT("数出表_Excel!B" &amp; (MATCH(ED1,数出表_Excel!$A:$A,0)-1) &amp; ":U" &amp; (MATCH(ED1,数出表_Excel!$A:$A,0)-1))), 0)+1,4),"1",""),
"")))</f>
        <v/>
      </c>
      <c r="DZ43" s="191" t="str">
        <f ca="1">IF(DZ46&lt;&gt;"",DZ1,"")</f>
        <v/>
      </c>
      <c r="EA43" s="192"/>
      <c r="EB43" s="192"/>
      <c r="EC43" s="192"/>
      <c r="ED43" s="95"/>
      <c r="EE43" s="80"/>
      <c r="EF43" s="80"/>
      <c r="EG43" s="81" t="str">
        <f t="array" aca="1" ref="EG43" ca="1">IF(COUNTIF(EL1,"*合計*"),"",
IF(EH1=DY78,
IFERROR(
SUBSTITUTE(ADDRESS(1,
COLUMN(INDIRECT("数出表_Excel!"&amp;DZ78&amp; (MATCH(EL1,数出表_Excel!$A:$A,0)-1))) - 1 +
MATCH(TRUE, ISNUMBER(--INDIRECT("数出表_Excel!"&amp;DZ78&amp; (MATCH(EL1,数出表_Excel!$A:$A,0)-1) &amp; ":U" &amp; (MATCH(EL1,数出表_Excel!$A:$A,0)-1))), 0)+1,4),"1",""),
""),
IFERROR(
SUBSTITUTE(ADDRESS(1,
COLUMN(INDIRECT("数出表_Excel!B" &amp; (MATCH(EL1,数出表_Excel!$A:$A,0)-1))) - 1 +
MATCH(TRUE, ISNUMBER(--INDIRECT("数出表_Excel!B" &amp; (MATCH(EL1,数出表_Excel!$A:$A,0)-1) &amp; ":U" &amp; (MATCH(EL1,数出表_Excel!$A:$A,0)-1))), 0)+1,4),"1",""),
"")))</f>
        <v/>
      </c>
      <c r="EH43" s="191" t="str">
        <f ca="1">IF(EH46&lt;&gt;"",EH1,"")</f>
        <v/>
      </c>
      <c r="EI43" s="192"/>
      <c r="EJ43" s="192"/>
      <c r="EK43" s="192"/>
      <c r="EL43" s="95"/>
      <c r="EM43" s="80"/>
      <c r="EN43" s="81" t="str">
        <f t="array" aca="1" ref="EN43" ca="1">IF(COUNTIF(ES1,"*合計*"),"",
IF(EO1=EH43,
IFERROR(
SUBSTITUTE(ADDRESS(1,
COLUMN(INDIRECT("数出表_Excel!"&amp;EG43&amp; (MATCH(ES1,数出表_Excel!$A:$A,0)-1))) - 1 +
MATCH(TRUE, ISNUMBER(--INDIRECT("数出表_Excel!"&amp;EG43&amp; (MATCH(ES1,数出表_Excel!$A:$A,0)-1) &amp; ":U" &amp; (MATCH(ES1,数出表_Excel!$A:$A,0)-1))), 0)+1,4),"1",""),
""),
IFERROR(
SUBSTITUTE(ADDRESS(1,
COLUMN(INDIRECT("数出表_Excel!B" &amp; (MATCH(ES1,数出表_Excel!$A:$A,0)-1))) - 1 +
MATCH(TRUE, ISNUMBER(--INDIRECT("数出表_Excel!B" &amp; (MATCH(ES1,数出表_Excel!$A:$A,0)-1) &amp; ":U" &amp; (MATCH(ES1,数出表_Excel!$A:$A,0)-1))), 0)+1,4),"1",""),
"")))</f>
        <v/>
      </c>
      <c r="EO43" s="191" t="str">
        <f ca="1">IF(EO46&lt;&gt;"",EO1,"")</f>
        <v/>
      </c>
      <c r="EP43" s="192"/>
      <c r="EQ43" s="192"/>
      <c r="ER43" s="192"/>
      <c r="ES43" s="95"/>
      <c r="ET43" s="110"/>
      <c r="EU43" s="91">
        <f t="shared" si="2"/>
        <v>28</v>
      </c>
      <c r="EV43" s="82" t="str">
        <f t="array" aca="1" ref="EV43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LEN(SUBSTITUTE(_xlfn.FORMULATEXT(EV$27),"=","")))+$EU43)</f>
        <v/>
      </c>
      <c r="EW43" s="82" t="str">
        <f t="array" aca="1" ref="EW43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LEN(SUBSTITUTE(_xlfn.FORMULATEXT(EW$27),"=","")))+$EU43)</f>
        <v/>
      </c>
      <c r="EX43" s="82" t="str">
        <f t="array" aca="1" ref="EX43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LEN(SUBSTITUTE(_xlfn.FORMULATEXT(EX$27),"=","")))+$EU43)</f>
        <v/>
      </c>
      <c r="EY43" s="82" t="str">
        <f t="array" aca="1" ref="EY43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LEN(SUBSTITUTE(_xlfn.FORMULATEXT(EY$27),"=","")))+$EU43)</f>
        <v/>
      </c>
      <c r="EZ43" s="82" t="str">
        <f t="array" aca="1" ref="EZ43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LEN(SUBSTITUTE(_xlfn.FORMULATEXT(EZ$27),"=","")))+$EU43)</f>
        <v/>
      </c>
      <c r="FA43" s="82" t="e">
        <f t="array" aca="1" ref="FA43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LEN(SUBSTITUTE(_xlfn.FORMULATEXT(FA$27),"=","")))+$EU43)</f>
        <v>#VALUE!</v>
      </c>
      <c r="FB43" s="82" t="str">
        <f t="array" aca="1" ref="FB43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LEN(SUBSTITUTE(_xlfn.FORMULATEXT(FB$27),"=","")))+$EU43)</f>
        <v/>
      </c>
      <c r="FC43" s="82" t="str">
        <f t="array" aca="1" ref="FC43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LEN(SUBSTITUTE(_xlfn.FORMULATEXT(FC$27),"=","")))+$EU43)</f>
        <v/>
      </c>
      <c r="FD43" s="82" t="e">
        <f t="array" aca="1" ref="FD43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LEN(SUBSTITUTE(_xlfn.FORMULATEXT(FD$27),"=","")))+$EU43)</f>
        <v>#VALUE!</v>
      </c>
      <c r="FE43" s="82" t="str">
        <f t="array" aca="1" ref="FE43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LEN(SUBSTITUTE(_xlfn.FORMULATEXT(FE$27),"=","")))+$EU43)</f>
        <v/>
      </c>
      <c r="FF43" s="82" t="e">
        <f t="array" aca="1" ref="FF43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LEN(SUBSTITUTE(_xlfn.FORMULATEXT(FF$27),"=","")))+$EU43)</f>
        <v>#N/A</v>
      </c>
      <c r="FG43" s="82">
        <f t="shared" ca="1" si="3"/>
        <v>0</v>
      </c>
      <c r="FH43" s="82" t="e">
        <f t="array" aca="1" ref="FH43" ca="1">SUMPRODUCT((LEN(EV43:FF43)&gt;0)*1)&gt;0</f>
        <v>#VALUE!</v>
      </c>
      <c r="FI43" s="82" t="str">
        <f t="array" aca="1" ref="FI43" ca="1">IFERROR(SMALL(IF(FG$1:FG$173&lt;&gt;0,FG$1:FG$173),ROW(A43)),"")</f>
        <v/>
      </c>
      <c r="FJ43" s="82" t="str">
        <f t="array" aca="1" ref="FJ43" ca="1">IF($FI43&lt;&gt;"",
INDIRECT(""&amp;IF(COLUMN(EV43)&lt;=26,CHAR(COLUMN(EV43)+64),CHAR(INT((COLUMN(EV43)-1)/26)+64)&amp;CHAR(MOD(COLUMN(EV43)-1,26)+65))&amp;$FI43&amp;""),"")</f>
        <v/>
      </c>
      <c r="FK43" s="82" t="str">
        <f t="array" aca="1" ref="FK43" ca="1">IF($FI43&lt;&gt;"",
INDIRECT(""&amp;IF(COLUMN(EW43)&lt;=26,CHAR(COLUMN(EW43)+64),CHAR(INT((COLUMN(EW43)-1)/26)+64)&amp;CHAR(MOD(COLUMN(EW43)-1,26)+65))&amp;$FI43&amp;""),"")</f>
        <v/>
      </c>
      <c r="FL43" s="82" t="str">
        <f t="array" aca="1" ref="FL43" ca="1">IF($FI43&lt;&gt;"",
INDIRECT(""&amp;IF(COLUMN(EX43)&lt;=26,CHAR(COLUMN(EX43)+64),CHAR(INT((COLUMN(EX43)-1)/26)+64)&amp;CHAR(MOD(COLUMN(EX43)-1,26)+65))&amp;$FI43&amp;""),"")</f>
        <v/>
      </c>
      <c r="FM43" s="82" t="str">
        <f t="array" aca="1" ref="FM43" ca="1">IF($FI43&lt;&gt;"",
IF(FL43="",
IF(INDIRECT("EY"&amp;$FI43&amp;"")&lt;&gt;"",
INDIRECT("EY"&amp;$FI43&amp;"")&amp;"箱"
&amp;INDIRECT("EZ"&amp;$FI43&amp;""),""),""),"")</f>
        <v/>
      </c>
      <c r="FN43" s="82" t="str">
        <f t="array" aca="1" ref="FN43" ca="1">IF($FI43&lt;&gt;"",
INDIRECT(""&amp;IF(COLUMN(FA43)&lt;=26,CHAR(COLUMN(FA43)+64),CHAR(INT((COLUMN(FA43)-1)/26)+64)&amp;CHAR(MOD(COLUMN(FA43)-1,26)+65))&amp;$FI43&amp;""),"")</f>
        <v/>
      </c>
      <c r="FO43" s="82" t="str">
        <f t="array" aca="1" ref="FO43" ca="1">IF($FI43&lt;&gt;"",
INDIRECT(""&amp;IF(COLUMN(FB43)&lt;=26,CHAR(COLUMN(FB43)+64),CHAR(INT((COLUMN(FB43)-1)/26)+64)&amp;CHAR(MOD(COLUMN(FB43)-1,26)+65))&amp;$FI43&amp;""),"")</f>
        <v/>
      </c>
      <c r="FP43" s="82" t="str">
        <f t="array" aca="1" ref="FP43" ca="1">IF($FI43&lt;&gt;"",
INDIRECT(""&amp;IF(COLUMN(FC43)&lt;=26,CHAR(COLUMN(FC43)+64),CHAR(INT((COLUMN(FC43)-1)/26)+64)&amp;CHAR(MOD(COLUMN(FC43)-1,26)+65))&amp;$FI43&amp;""),"")</f>
        <v/>
      </c>
      <c r="FQ43" s="82" t="str">
        <f t="array" aca="1" ref="FQ43" ca="1">IF($FI43&lt;&gt;"",
INDIRECT(""&amp;IF(COLUMN(FD43)&lt;=26,CHAR(COLUMN(FD43)+64),CHAR(INT((COLUMN(FD43)-1)/26)+64)&amp;CHAR(MOD(COLUMN(FD43)-1,26)+65))&amp;$FI43&amp;""),"")</f>
        <v/>
      </c>
      <c r="FR43" s="82" t="str">
        <f t="array" aca="1" ref="FR43" ca="1">IF($FI43&lt;&gt;"",
INDIRECT(""&amp;IF(COLUMN(FE43)&lt;=26,CHAR(COLUMN(FE43)+64),CHAR(INT((COLUMN(FE43)-1)/26)+64)&amp;CHAR(MOD(COLUMN(FE43)-1,26)+65))&amp;$FI43&amp;""),"")</f>
        <v/>
      </c>
      <c r="FS43" s="82" t="str">
        <f t="array" aca="1" ref="FS43" ca="1">IF($FI43&lt;&gt;"",
INDIRECT(""&amp;IF(COLUMN(FF43)&lt;=26,CHAR(COLUMN(FF43)+64),CHAR(INT((COLUMN(FF43)-1)/26)+64)&amp;CHAR(MOD(COLUMN(FF43)-1,26)+65))&amp;$FI43&amp;""),"")</f>
        <v/>
      </c>
    </row>
    <row r="44" spans="1:175" s="82" customFormat="1" ht="18" customHeight="1" x14ac:dyDescent="0.55000000000000004">
      <c r="A44" s="80"/>
      <c r="B44" s="85" t="e">
        <f t="array" aca="1" ref="B44" ca="1">IF(B3&lt;&gt;100,
IF(C46&lt;&gt;"",MATCH(C46,INDIRECT("数出表_Excel!B"&amp;MATCH(G1,数出表_Excel!$A:$A,0)-1&amp;":U"&amp;MATCH(G1,数出表_Excel!$A:$A,0)-1&amp;""),0)+1,""),
IF(C46&lt;&gt;"",
MATCH(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44" s="62" t="str">
        <f t="array" aca="1" ref="C44" ca="1">IFERROR(IF(OR(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"3"),"*配膳*"),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"3"),"*カレー*"),
COUNTIF(C1,"*合計*")),"",
IF(IFERROR(INDIRECT("数出表_Excel!"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"3"),0)=0,"",
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"3"),""))),"")</f>
        <v/>
      </c>
      <c r="D44" s="80"/>
      <c r="E44" s="86" t="str">
        <f t="array" aca="1" ref="E44" ca="1">IF(F44&lt;&gt;"","",
IF(COUNTIF(C43,"*雙葉*"),"",
IF(C43&lt;&gt;"",
IF(
(COLUMN(INDIRECT("数出表_Excel!B" &amp; (MATCH(G1,数出表_Excel!$A:$A,0)-1))) - 1 +
MATCH(TRUE, ISNUMBER(--INDIRECT("数出表_Excel!B" &amp; (MATCH(G1,数出表_Excel!$A:$A,0)-1) &amp; ":U" &amp; (MATCH(G1,数出表_Excel!$A:$A,0)-1))), 0)+1
+MATCH(TRUE,INDIRECT("'数出表_Excel'!"&amp;B43&amp;MATCH(G1,数出表_Excel!$A:$A,0)-1&amp;":AL"&amp;MATCH(G1,数出表_Excel!$A:$A,0)-1&amp;"")&lt;&gt;"",0))&gt;12,"",
IFERROR(
INDEX(INDIRECT("数出表_Excel!$"&amp;B43&amp;"4:$AL4"),
 1,
MATCH(TRUE,INDIRECT("'数出表_Excel'!"&amp;B43&amp;MATCH(G1,数出表_Excel!$A:$A,0)-1&amp;":AL"&amp;MATCH(G1,数出表_Excel!$A:$A,0)-1&amp;"")&lt;&gt;"",0)
),
 "")
&amp;IFERROR(
INDEX(INDIRECT("数出表_Excel!$"&amp;B43&amp;"5:$AL5"),
 1,
MATCH(TRUE,INDIRECT("'数出表_Excel'!"&amp;B43&amp;MATCH(G1,数出表_Excel!$A:$A,0)-1&amp;":AL"&amp;MATCH(G1,数出表_Excel!$A:$A,0)-1&amp;"")&lt;&gt;"",0)),
 "")),"")))</f>
        <v/>
      </c>
      <c r="F44" s="87" t="str">
        <f t="array" aca="1" ref="F44" ca="1">IF(C44&lt;&gt;"",
IF(COUNTIF(C43,"*雙葉*"),
IF(ROUND(
IF(F49&lt;&gt;"",(C46-F49),C46)
/IF(COUNTIF(C44,"*キャラ*"),
VLOOKUP("*キャラ*",商品マスタ一覧!$D:$J,7,FALSE),
IF(COUNTIF(C44,"*赤*"),
VLOOKUP("*赤*",商品マスタ一覧!$D:$J,7,FALSE),
VLOOKUP(C44,商品マスタ一覧!$D:$J,7,FALSE))),0)&lt;=0,1,
ROUND(
IF(F49&lt;&gt;"",(C46-F49),C46)
/IF(COUNTIF(C44,"*キャラ*"),
VLOOKUP("*キャラ*",商品マスタ一覧!$D:$J,7,FALSE),
IF(COUNTIF(C44,"*赤*"),
VLOOKUP("*赤*",商品マスタ一覧!$D:$J,7,FALSE),
VLOOKUP(C44,商品マスタ一覧!$D:$J,7,FALSE))),0)),
IF(MATCH(TRUE,
ISNUMBER(--INDIRECT("'数出表_Excel（アレルギー入力）'!B"&amp;MATCH(G1,'数出表_Excel（アレルギー入力）'!$A:$A,0)-1&amp;":AL"&amp;MATCH(G1,'数出表_Excel（アレルギー入力）'!$A:$A,0)-1&amp;"")),0)&gt;10,
IF(C44&lt;&gt;"",
IF(IF(COUNTIF(C44,"*キャラ*"),
VLOOKUP("*キャラ*",商品マスタ一覧!$D:$J,7,FALSE),
IF(COUNTIF(C44,"*赤*"),
VLOOKUP("*赤*",商品マスタ一覧!$D:$J,7,FALSE),
VLOOKUP(C44,商品マスタ一覧!$D:$J,7,FALSE)))=0,"",
IF(ROUND(
IF(F49&lt;&gt;"",(C46-F49),C46)
/IF(COUNTIF(C44,"*キャラ*"),
VLOOKUP("*キャラ*",商品マスタ一覧!$D:$J,7,FALSE),
IF(COUNTIF(C44,"*赤*"),
VLOOKUP("*赤*",商品マスタ一覧!$D:$J,7,FALSE),
VLOOKUP(C44,商品マスタ一覧!$D:$J,7,FALSE))),0)&lt;=0,1,
ROUND(
IF(F49&lt;&gt;"",(C46-F49),C46)
/IF(COUNTIF(C44,"*キャラ*"),
VLOOKUP("*キャラ*",商品マスタ一覧!$D:$J,7,FALSE),
IF(COUNTIF(C44,"*赤*"),
VLOOKUP("*赤*",商品マスタ一覧!$D:$J,7,FALSE),
VLOOKUP(C44,商品マスタ一覧!$D:$J,7,FALSE))),0))),""),"")),"")</f>
        <v/>
      </c>
      <c r="G44" s="96" t="str">
        <f ca="1">IF(F44&lt;&gt;"",IF(C46&lt;&gt;"",IF(VALUE(IF(F49&lt;&gt;"",C46-F49,C46))&gt;VALUE(IF(COUNTIF('盛付札（関数）'!C44,"*キャラ*"),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
"+"&amp;IF(F49&lt;&gt;"",C46-F49,C46)-IF(COUNTIF('盛付札（関数）'!C44,"*キャラ*"),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VLOOKUP('盛付札（関数）'!C44,商品マスタ一覧!$D:$J,7,FALSE)))*F44,
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VLOOKUP('盛付札（関数）'!C44,商品マスタ一覧!$D:$J,7,FALSE)))*F44),""),"")</f>
        <v/>
      </c>
      <c r="H44" s="80"/>
      <c r="I44" s="85" t="e">
        <f t="array" aca="1" ref="I44" ca="1">IF(I3&lt;&gt;100,
IF(J46&lt;&gt;"",MATCH(J46,INDIRECT("数出表_Excel!B"&amp;MATCH(N1,数出表_Excel!$A:$A,0)-1&amp;":U"&amp;MATCH(N1,数出表_Excel!$A:$A,0)-1&amp;""),0)+1,""),
IF(J46&lt;&gt;"",
MATCH(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INDIRECT("数出表_Excel!B"&amp;MATCH(N1,数出表_Excel!$A:$A,0)-1&amp;":U"&amp;MATCH(N1,数出表_Excel!$A:$A,0)-1&amp;""),0)+1,""))</f>
        <v>#N/A</v>
      </c>
      <c r="J44" s="62" t="str">
        <f t="array" aca="1" ref="J44" ca="1">IF(J1=C43,"",IFERROR(IF(OR(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"3"),"*配膳*"),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"3"),"*カレー*"),
COUNTIF(J1,"*合計*")),"",
IF(IFERROR(INDIRECT("数出表_Excel!"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"3"),0)=0,"",
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"3"),""))),""))</f>
        <v/>
      </c>
      <c r="K44" s="80"/>
      <c r="L44" s="86" t="str">
        <f t="array" aca="1" ref="L44" ca="1">IF(M44&lt;&gt;"","",
IF(COUNTIF(J43,"*雙葉*"),"",
IF(J43&lt;&gt;"",
IF(
(COLUMN(INDIRECT("数出表_Excel!B" &amp; (MATCH(N1,数出表_Excel!$A:$A,0)-1))) - 1 +
MATCH(TRUE, ISNUMBER(--INDIRECT("数出表_Excel!B" &amp; (MATCH(N1,数出表_Excel!$A:$A,0)-1) &amp; ":U" &amp; (MATCH(N1,数出表_Excel!$A:$A,0)-1))), 0)+1
+MATCH(TRUE,INDIRECT("'数出表_Excel'!"&amp;I43&amp;MATCH(N1,数出表_Excel!$A:$A,0)-1&amp;":AL"&amp;MATCH(N1,数出表_Excel!$A:$A,0)-1&amp;"")&lt;&gt;"",0))&gt;12,"",
IFERROR(
INDEX(INDIRECT("数出表_Excel!$"&amp;I43&amp;"4:$AL4"),
 1,
MATCH(TRUE,INDIRECT("'数出表_Excel'!"&amp;I43&amp;MATCH(N1,数出表_Excel!$A:$A,0)-1&amp;":AL"&amp;MATCH(N1,数出表_Excel!$A:$A,0)-1&amp;"")&lt;&gt;"",0)
),
 "")
&amp;IFERROR(
INDEX(INDIRECT("数出表_Excel!$"&amp;I43&amp;"5:$AL5"),
 1,
MATCH(TRUE,INDIRECT("'数出表_Excel'!"&amp;I43&amp;MATCH(N1,数出表_Excel!$A:$A,0)-1&amp;":AL"&amp;MATCH(N1,数出表_Excel!$A:$A,0)-1&amp;"")&lt;&gt;"",0)),
 "")),"")))</f>
        <v/>
      </c>
      <c r="M44" s="87" t="str">
        <f t="array" aca="1" ref="M44" ca="1">IF(J44&lt;&gt;"",
IF(COUNTIF(J43,"*雙葉*"),
IF(ROUND(
IF(M49&lt;&gt;"",(J46-M49),J46)
/IF(COUNTIF(J44,"*キャラ*"),
VLOOKUP("*キャラ*",商品マスタ一覧!$D:$J,7,FALSE),
IF(COUNTIF(J44,"*赤*"),
VLOOKUP("*赤*",商品マスタ一覧!$D:$J,7,FALSE),
VLOOKUP(J44,商品マスタ一覧!$D:$J,7,FALSE))),0)&lt;=0,1,
ROUND(
IF(M49&lt;&gt;"",(J46-M49),J46)
/IF(COUNTIF(J44,"*キャラ*"),
VLOOKUP("*キャラ*",商品マスタ一覧!$D:$J,7,FALSE),
IF(COUNTIF(J44,"*赤*"),
VLOOKUP("*赤*",商品マスタ一覧!$D:$J,7,FALSE),
VLOOKUP(J44,商品マスタ一覧!$D:$J,7,FALSE))),0)),
IF(MATCH(TRUE,
ISNUMBER(--INDIRECT("'数出表_Excel（アレルギー入力）'!B"&amp;MATCH(N1,'数出表_Excel（アレルギー入力）'!$A:$A,0)-1&amp;":AL"&amp;MATCH(N1,'数出表_Excel（アレルギー入力）'!$A:$A,0)-1&amp;"")),0)&gt;10,
IF(J44&lt;&gt;"",
IF(IF(COUNTIF(J44,"*キャラ*"),
VLOOKUP("*キャラ*",商品マスタ一覧!$D:$J,7,FALSE),
IF(COUNTIF(J44,"*赤*"),
VLOOKUP("*赤*",商品マスタ一覧!$D:$J,7,FALSE),
VLOOKUP(J44,商品マスタ一覧!$D:$J,7,FALSE)))=0,"",
IF(ROUND(
IF(M49&lt;&gt;"",(J46-M49),J46)
/IF(COUNTIF(J44,"*キャラ*"),
VLOOKUP("*キャラ*",商品マスタ一覧!$D:$J,7,FALSE),
IF(COUNTIF(J44,"*赤*"),
VLOOKUP("*赤*",商品マスタ一覧!$D:$J,7,FALSE),
VLOOKUP(J44,商品マスタ一覧!$D:$J,7,FALSE))),0)&lt;=0,1,
ROUND(
IF(M49&lt;&gt;"",(J46-M49),J46)
/IF(COUNTIF(J44,"*キャラ*"),
VLOOKUP("*キャラ*",商品マスタ一覧!$D:$J,7,FALSE),
IF(COUNTIF(J44,"*赤*"),
VLOOKUP("*赤*",商品マスタ一覧!$D:$J,7,FALSE),
VLOOKUP(J44,商品マスタ一覧!$D:$J,7,FALSE))),0))),""),"")),"")</f>
        <v/>
      </c>
      <c r="N44" s="96" t="str">
        <f ca="1">IF(M44&lt;&gt;"",IF(J46&lt;&gt;"",IF(VALUE(IF(M49&lt;&gt;"",J46-M49,J46))&gt;VALUE(IF(COUNTIF('盛付札（関数）'!J44,"*キャラ*"),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
"+"&amp;IF(M49&lt;&gt;"",J46-M49,J46)-IF(COUNTIF('盛付札（関数）'!J44,"*キャラ*"),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VLOOKUP('盛付札（関数）'!J44,商品マスタ一覧!$D:$J,7,FALSE)))*M44,
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VLOOKUP('盛付札（関数）'!J44,商品マスタ一覧!$D:$J,7,FALSE)))*M44),""),"")</f>
        <v/>
      </c>
      <c r="O44" s="80"/>
      <c r="P44" s="80"/>
      <c r="Q44" s="85" t="e">
        <f t="array" aca="1" ref="Q44" ca="1">IF(Q3&lt;&gt;100,
IF(R46&lt;&gt;"",MATCH(R46,INDIRECT("数出表_Excel!B"&amp;MATCH(V1,数出表_Excel!$A:$A,0)-1&amp;":U"&amp;MATCH(V1,数出表_Excel!$A:$A,0)-1&amp;""),0)+1,""),
IF(R46&lt;&gt;"",
MATCH(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INDIRECT("数出表_Excel!B"&amp;MATCH(V1,数出表_Excel!$A:$A,0)-1&amp;":U"&amp;MATCH(V1,数出表_Excel!$A:$A,0)-1&amp;""),0)+1,""))</f>
        <v>#N/A</v>
      </c>
      <c r="R44" s="62" t="str">
        <f t="array" aca="1" ref="R44" ca="1">IF(R1=K43,"",IFERROR(IF(OR(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"3"),"*配膳*"),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"3"),"*カレー*"),
COUNTIF(R1,"*合計*")),"",
IF(IFERROR(INDIRECT("数出表_Excel!"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"3"),0)=0,"",
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"3"),""))),""))</f>
        <v/>
      </c>
      <c r="S44" s="80"/>
      <c r="T44" s="86" t="str">
        <f t="array" aca="1" ref="T44" ca="1">IF(U44&lt;&gt;"","",
IF(COUNTIF(R43,"*雙葉*"),"",
IF(R43&lt;&gt;"",
IF(
(COLUMN(INDIRECT("数出表_Excel!B" &amp; (MATCH(V1,数出表_Excel!$A:$A,0)-1))) - 1 +
MATCH(TRUE, ISNUMBER(--INDIRECT("数出表_Excel!B" &amp; (MATCH(V1,数出表_Excel!$A:$A,0)-1) &amp; ":U" &amp; (MATCH(V1,数出表_Excel!$A:$A,0)-1))), 0)+1
+MATCH(TRUE,INDIRECT("'数出表_Excel'!"&amp;Q43&amp;MATCH(V1,数出表_Excel!$A:$A,0)-1&amp;":AL"&amp;MATCH(V1,数出表_Excel!$A:$A,0)-1&amp;"")&lt;&gt;"",0))&gt;12,"",
IFERROR(
INDEX(INDIRECT("数出表_Excel!$"&amp;Q43&amp;"4:$AL4"),
 1,
MATCH(TRUE,INDIRECT("'数出表_Excel'!"&amp;Q43&amp;MATCH(V1,数出表_Excel!$A:$A,0)-1&amp;":AL"&amp;MATCH(V1,数出表_Excel!$A:$A,0)-1&amp;"")&lt;&gt;"",0)
),
 "")
&amp;IFERROR(
INDEX(INDIRECT("数出表_Excel!$"&amp;Q43&amp;"5:$AL5"),
 1,
MATCH(TRUE,INDIRECT("'数出表_Excel'!"&amp;Q43&amp;MATCH(V1,数出表_Excel!$A:$A,0)-1&amp;":AL"&amp;MATCH(V1,数出表_Excel!$A:$A,0)-1&amp;"")&lt;&gt;"",0)),
 "")),"")))</f>
        <v/>
      </c>
      <c r="U44" s="87" t="str">
        <f t="array" aca="1" ref="U44" ca="1">IF(R44&lt;&gt;"",
IF(COUNTIF(R43,"*雙葉*"),
IF(ROUND(
IF(U49&lt;&gt;"",(R46-U49),R46)
/IF(COUNTIF(R44,"*キャラ*"),
VLOOKUP("*キャラ*",商品マスタ一覧!$D:$J,7,FALSE),
IF(COUNTIF(R44,"*赤*"),
VLOOKUP("*赤*",商品マスタ一覧!$D:$J,7,FALSE),
VLOOKUP(R44,商品マスタ一覧!$D:$J,7,FALSE))),0)&lt;=0,1,
ROUND(
IF(U49&lt;&gt;"",(R46-U49),R46)
/IF(COUNTIF(R44,"*キャラ*"),
VLOOKUP("*キャラ*",商品マスタ一覧!$D:$J,7,FALSE),
IF(COUNTIF(R44,"*赤*"),
VLOOKUP("*赤*",商品マスタ一覧!$D:$J,7,FALSE),
VLOOKUP(R44,商品マスタ一覧!$D:$J,7,FALSE))),0)),
IF(MATCH(TRUE,
ISNUMBER(--INDIRECT("'数出表_Excel（アレルギー入力）'!B"&amp;MATCH(V1,'数出表_Excel（アレルギー入力）'!$A:$A,0)-1&amp;":AL"&amp;MATCH(V1,'数出表_Excel（アレルギー入力）'!$A:$A,0)-1&amp;"")),0)&gt;10,
IF(R44&lt;&gt;"",
IF(IF(COUNTIF(R44,"*キャラ*"),
VLOOKUP("*キャラ*",商品マスタ一覧!$D:$J,7,FALSE),
IF(COUNTIF(R44,"*赤*"),
VLOOKUP("*赤*",商品マスタ一覧!$D:$J,7,FALSE),
VLOOKUP(R44,商品マスタ一覧!$D:$J,7,FALSE)))=0,"",
IF(ROUND(
IF(U49&lt;&gt;"",(R46-U49),R46)
/IF(COUNTIF(R44,"*キャラ*"),
VLOOKUP("*キャラ*",商品マスタ一覧!$D:$J,7,FALSE),
IF(COUNTIF(R44,"*赤*"),
VLOOKUP("*赤*",商品マスタ一覧!$D:$J,7,FALSE),
VLOOKUP(R44,商品マスタ一覧!$D:$J,7,FALSE))),0)&lt;=0,1,
ROUND(
IF(U49&lt;&gt;"",(R46-U49),R46)
/IF(COUNTIF(R44,"*キャラ*"),
VLOOKUP("*キャラ*",商品マスタ一覧!$D:$J,7,FALSE),
IF(COUNTIF(R44,"*赤*"),
VLOOKUP("*赤*",商品マスタ一覧!$D:$J,7,FALSE),
VLOOKUP(R44,商品マスタ一覧!$D:$J,7,FALSE))),0))),""),"")),"")</f>
        <v/>
      </c>
      <c r="V44" s="96" t="str">
        <f ca="1">IF(U44&lt;&gt;"",IF(R46&lt;&gt;"",IF(VALUE(IF(U49&lt;&gt;"",R46-U49,R46))&gt;VALUE(IF(COUNTIF('盛付札（関数）'!R44,"*キャラ*"),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
"+"&amp;IF(U49&lt;&gt;"",R46-U49,R46)-IF(COUNTIF('盛付札（関数）'!R44,"*キャラ*"),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VLOOKUP('盛付札（関数）'!R44,商品マスタ一覧!$D:$J,7,FALSE)))*U44,
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VLOOKUP('盛付札（関数）'!R44,商品マスタ一覧!$D:$J,7,FALSE)))*U44),""),"")</f>
        <v/>
      </c>
      <c r="W44" s="80"/>
      <c r="X44" s="85" t="e">
        <f t="array" aca="1" ref="X44" ca="1">IF(X3&lt;&gt;100,
IF(Y46&lt;&gt;"",MATCH(Y46,INDIRECT("数出表_Excel!B"&amp;MATCH(AC1,数出表_Excel!$A:$A,0)-1&amp;":U"&amp;MATCH(AC1,数出表_Excel!$A:$A,0)-1&amp;""),0)+1,""),
IF(Y46&lt;&gt;"",
MATCH(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INDIRECT("数出表_Excel!B"&amp;MATCH(AC1,数出表_Excel!$A:$A,0)-1&amp;":U"&amp;MATCH(AC1,数出表_Excel!$A:$A,0)-1&amp;""),0)+1,""))</f>
        <v>#N/A</v>
      </c>
      <c r="Y44" s="62" t="str">
        <f t="array" aca="1" ref="Y44" ca="1">IF(Y1=R43,"",IFERROR(IF(OR(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"3"),"*配膳*"),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"3"),"*カレー*"),
COUNTIF(Y1,"*合計*")),"",
IF(IFERROR(INDIRECT("数出表_Excel!"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"3"),0)=0,"",
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"3"),""))),""))</f>
        <v/>
      </c>
      <c r="Z44" s="80"/>
      <c r="AA44" s="86" t="str">
        <f t="array" aca="1" ref="AA44" ca="1">IF(AB44&lt;&gt;"","",
IF(COUNTIF(Y43,"*雙葉*"),"",
IF(Y43&lt;&gt;"",
IF(
(COLUMN(INDIRECT("数出表_Excel!B" &amp; (MATCH(AC1,数出表_Excel!$A:$A,0)-1))) - 1 +
MATCH(TRUE, ISNUMBER(--INDIRECT("数出表_Excel!B" &amp; (MATCH(AC1,数出表_Excel!$A:$A,0)-1) &amp; ":U" &amp; (MATCH(AC1,数出表_Excel!$A:$A,0)-1))), 0)+1
+MATCH(TRUE,INDIRECT("'数出表_Excel'!"&amp;X43&amp;MATCH(AC1,数出表_Excel!$A:$A,0)-1&amp;":AL"&amp;MATCH(AC1,数出表_Excel!$A:$A,0)-1&amp;"")&lt;&gt;"",0))&gt;12,"",
IFERROR(
INDEX(INDIRECT("数出表_Excel!$"&amp;X43&amp;"4:$AL4"),
 1,
MATCH(TRUE,INDIRECT("'数出表_Excel'!"&amp;X43&amp;MATCH(AC1,数出表_Excel!$A:$A,0)-1&amp;":AL"&amp;MATCH(AC1,数出表_Excel!$A:$A,0)-1&amp;"")&lt;&gt;"",0)
),
 "")
&amp;IFERROR(
INDEX(INDIRECT("数出表_Excel!$"&amp;X43&amp;"5:$AL5"),
 1,
MATCH(TRUE,INDIRECT("'数出表_Excel'!"&amp;X43&amp;MATCH(AC1,数出表_Excel!$A:$A,0)-1&amp;":AL"&amp;MATCH(AC1,数出表_Excel!$A:$A,0)-1&amp;"")&lt;&gt;"",0)),
 "")),"")))</f>
        <v/>
      </c>
      <c r="AB44" s="87" t="str">
        <f t="array" aca="1" ref="AB44" ca="1">IF(Y44&lt;&gt;"",
IF(COUNTIF(Y43,"*雙葉*"),
IF(ROUND(
IF(AB49&lt;&gt;"",(Y46-AB49),Y46)
/IF(COUNTIF(Y44,"*キャラ*"),
VLOOKUP("*キャラ*",商品マスタ一覧!$D:$J,7,FALSE),
IF(COUNTIF(Y44,"*赤*"),
VLOOKUP("*赤*",商品マスタ一覧!$D:$J,7,FALSE),
VLOOKUP(Y44,商品マスタ一覧!$D:$J,7,FALSE))),0)&lt;=0,1,
ROUND(
IF(AB49&lt;&gt;"",(Y46-AB49),Y46)
/IF(COUNTIF(Y44,"*キャラ*"),
VLOOKUP("*キャラ*",商品マスタ一覧!$D:$J,7,FALSE),
IF(COUNTIF(Y44,"*赤*"),
VLOOKUP("*赤*",商品マスタ一覧!$D:$J,7,FALSE),
VLOOKUP(Y44,商品マスタ一覧!$D:$J,7,FALSE))),0)),
IF(MATCH(TRUE,
ISNUMBER(--INDIRECT("'数出表_Excel（アレルギー入力）'!B"&amp;MATCH(AC1,'数出表_Excel（アレルギー入力）'!$A:$A,0)-1&amp;":AL"&amp;MATCH(AC1,'数出表_Excel（アレルギー入力）'!$A:$A,0)-1&amp;"")),0)&gt;10,
IF(Y44&lt;&gt;"",
IF(IF(COUNTIF(Y44,"*キャラ*"),
VLOOKUP("*キャラ*",商品マスタ一覧!$D:$J,7,FALSE),
IF(COUNTIF(Y44,"*赤*"),
VLOOKUP("*赤*",商品マスタ一覧!$D:$J,7,FALSE),
VLOOKUP(Y44,商品マスタ一覧!$D:$J,7,FALSE)))=0,"",
IF(ROUND(
IF(AB49&lt;&gt;"",(Y46-AB49),Y46)
/IF(COUNTIF(Y44,"*キャラ*"),
VLOOKUP("*キャラ*",商品マスタ一覧!$D:$J,7,FALSE),
IF(COUNTIF(Y44,"*赤*"),
VLOOKUP("*赤*",商品マスタ一覧!$D:$J,7,FALSE),
VLOOKUP(Y44,商品マスタ一覧!$D:$J,7,FALSE))),0)&lt;=0,1,
ROUND(
IF(AB49&lt;&gt;"",(Y46-AB49),Y46)
/IF(COUNTIF(Y44,"*キャラ*"),
VLOOKUP("*キャラ*",商品マスタ一覧!$D:$J,7,FALSE),
IF(COUNTIF(Y44,"*赤*"),
VLOOKUP("*赤*",商品マスタ一覧!$D:$J,7,FALSE),
VLOOKUP(Y44,商品マスタ一覧!$D:$J,7,FALSE))),0))),""),"")),"")</f>
        <v/>
      </c>
      <c r="AC44" s="96" t="str">
        <f ca="1">IF(AB44&lt;&gt;"",IF(Y46&lt;&gt;"",IF(VALUE(IF(AB49&lt;&gt;"",Y46-AB49,Y46))&gt;VALUE(IF(COUNTIF('盛付札（関数）'!Y44,"*キャラ*"),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
"+"&amp;IF(AB49&lt;&gt;"",Y46-AB49,Y46)-IF(COUNTIF('盛付札（関数）'!Y44,"*キャラ*"),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VLOOKUP('盛付札（関数）'!Y44,商品マスタ一覧!$D:$J,7,FALSE)))*AB44,
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VLOOKUP('盛付札（関数）'!Y44,商品マスタ一覧!$D:$J,7,FALSE)))*AB44),""),"")</f>
        <v/>
      </c>
      <c r="AD44" s="80"/>
      <c r="AE44" s="80"/>
      <c r="AF44" s="85" t="e">
        <f t="array" aca="1" ref="AF44" ca="1">IF(AF3&lt;&gt;100,
IF(AG46&lt;&gt;"",MATCH(AG46,INDIRECT("数出表_Excel!B"&amp;MATCH(AK1,数出表_Excel!$A:$A,0)-1&amp;":U"&amp;MATCH(AK1,数出表_Excel!$A:$A,0)-1&amp;""),0)+1,""),
IF(AG46&lt;&gt;"",
MATCH(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INDIRECT("数出表_Excel!B"&amp;MATCH(AK1,数出表_Excel!$A:$A,0)-1&amp;":U"&amp;MATCH(AK1,数出表_Excel!$A:$A,0)-1&amp;""),0)+1,""))</f>
        <v>#N/A</v>
      </c>
      <c r="AG44" s="62" t="str">
        <f t="array" aca="1" ref="AG44" ca="1">IF(AG1=Z43,"",IFERROR(IF(OR(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"3"),"*配膳*"),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"3"),"*カレー*"),
COUNTIF(AG1,"*合計*")),"",
IF(IFERROR(INDIRECT("数出表_Excel!"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"3"),0)=0,"",
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"3"),""))),""))</f>
        <v/>
      </c>
      <c r="AH44" s="80"/>
      <c r="AI44" s="86" t="str">
        <f t="array" aca="1" ref="AI44" ca="1">IF(AJ44&lt;&gt;"","",
IF(COUNTIF(AG43,"*雙葉*"),"",
IF(AG43&lt;&gt;"",
IF(
(COLUMN(INDIRECT("数出表_Excel!B" &amp; (MATCH(AK1,数出表_Excel!$A:$A,0)-1))) - 1 +
MATCH(TRUE, ISNUMBER(--INDIRECT("数出表_Excel!B" &amp; (MATCH(AK1,数出表_Excel!$A:$A,0)-1) &amp; ":U" &amp; (MATCH(AK1,数出表_Excel!$A:$A,0)-1))), 0)+1
+MATCH(TRUE,INDIRECT("'数出表_Excel'!"&amp;AF43&amp;MATCH(AK1,数出表_Excel!$A:$A,0)-1&amp;":AL"&amp;MATCH(AK1,数出表_Excel!$A:$A,0)-1&amp;"")&lt;&gt;"",0))&gt;12,"",
IFERROR(
INDEX(INDIRECT("数出表_Excel!$"&amp;AF43&amp;"4:$AL4"),
 1,
MATCH(TRUE,INDIRECT("'数出表_Excel'!"&amp;AF43&amp;MATCH(AK1,数出表_Excel!$A:$A,0)-1&amp;":AL"&amp;MATCH(AK1,数出表_Excel!$A:$A,0)-1&amp;"")&lt;&gt;"",0)
),
 "")
&amp;IFERROR(
INDEX(INDIRECT("数出表_Excel!$"&amp;AF43&amp;"5:$AL5"),
 1,
MATCH(TRUE,INDIRECT("'数出表_Excel'!"&amp;AF43&amp;MATCH(AK1,数出表_Excel!$A:$A,0)-1&amp;":AL"&amp;MATCH(AK1,数出表_Excel!$A:$A,0)-1&amp;"")&lt;&gt;"",0)),
 "")),"")))</f>
        <v/>
      </c>
      <c r="AJ44" s="87" t="str">
        <f t="array" aca="1" ref="AJ44" ca="1">IF(AG44&lt;&gt;"",
IF(COUNTIF(AG43,"*雙葉*"),
IF(ROUND(
IF(AJ49&lt;&gt;"",(AG46-AJ49),AG46)
/IF(COUNTIF(AG44,"*キャラ*"),
VLOOKUP("*キャラ*",商品マスタ一覧!$D:$J,7,FALSE),
IF(COUNTIF(AG44,"*赤*"),
VLOOKUP("*赤*",商品マスタ一覧!$D:$J,7,FALSE),
VLOOKUP(AG44,商品マスタ一覧!$D:$J,7,FALSE))),0)&lt;=0,1,
ROUND(
IF(AJ49&lt;&gt;"",(AG46-AJ49),AG46)
/IF(COUNTIF(AG44,"*キャラ*"),
VLOOKUP("*キャラ*",商品マスタ一覧!$D:$J,7,FALSE),
IF(COUNTIF(AG44,"*赤*"),
VLOOKUP("*赤*",商品マスタ一覧!$D:$J,7,FALSE),
VLOOKUP(AG44,商品マスタ一覧!$D:$J,7,FALSE))),0)),
IF(MATCH(TRUE,
ISNUMBER(--INDIRECT("'数出表_Excel（アレルギー入力）'!B"&amp;MATCH(AK1,'数出表_Excel（アレルギー入力）'!$A:$A,0)-1&amp;":AL"&amp;MATCH(AK1,'数出表_Excel（アレルギー入力）'!$A:$A,0)-1&amp;"")),0)&gt;10,
IF(AG44&lt;&gt;"",
IF(IF(COUNTIF(AG44,"*キャラ*"),
VLOOKUP("*キャラ*",商品マスタ一覧!$D:$J,7,FALSE),
IF(COUNTIF(AG44,"*赤*"),
VLOOKUP("*赤*",商品マスタ一覧!$D:$J,7,FALSE),
VLOOKUP(AG44,商品マスタ一覧!$D:$J,7,FALSE)))=0,"",
IF(ROUND(
IF(AJ49&lt;&gt;"",(AG46-AJ49),AG46)
/IF(COUNTIF(AG44,"*キャラ*"),
VLOOKUP("*キャラ*",商品マスタ一覧!$D:$J,7,FALSE),
IF(COUNTIF(AG44,"*赤*"),
VLOOKUP("*赤*",商品マスタ一覧!$D:$J,7,FALSE),
VLOOKUP(AG44,商品マスタ一覧!$D:$J,7,FALSE))),0)&lt;=0,1,
ROUND(
IF(AJ49&lt;&gt;"",(AG46-AJ49),AG46)
/IF(COUNTIF(AG44,"*キャラ*"),
VLOOKUP("*キャラ*",商品マスタ一覧!$D:$J,7,FALSE),
IF(COUNTIF(AG44,"*赤*"),
VLOOKUP("*赤*",商品マスタ一覧!$D:$J,7,FALSE),
VLOOKUP(AG44,商品マスタ一覧!$D:$J,7,FALSE))),0))),""),"")),"")</f>
        <v/>
      </c>
      <c r="AK44" s="96" t="str">
        <f ca="1">IF(AJ44&lt;&gt;"",IF(AG46&lt;&gt;"",IF(VALUE(IF(AJ49&lt;&gt;"",AG46-AJ49,AG46))&gt;VALUE(IF(COUNTIF('盛付札（関数）'!AG44,"*キャラ*"),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
"+"&amp;IF(AJ49&lt;&gt;"",AG46-AJ49,AG46)-IF(COUNTIF('盛付札（関数）'!AG44,"*キャラ*"),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VLOOKUP('盛付札（関数）'!AG44,商品マスタ一覧!$D:$J,7,FALSE)))*AJ44,
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VLOOKUP('盛付札（関数）'!AG44,商品マスタ一覧!$D:$J,7,FALSE)))*AJ44),""),"")</f>
        <v/>
      </c>
      <c r="AL44" s="80"/>
      <c r="AM44" s="85" t="e">
        <f t="array" aca="1" ref="AM44" ca="1">IF(AM3&lt;&gt;100,
IF(AN46&lt;&gt;"",MATCH(AN46,INDIRECT("数出表_Excel!B"&amp;MATCH(AR1,数出表_Excel!$A:$A,0)-1&amp;":U"&amp;MATCH(AR1,数出表_Excel!$A:$A,0)-1&amp;""),0)+1,""),
IF(AN46&lt;&gt;"",
MATCH(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INDIRECT("数出表_Excel!B"&amp;MATCH(AR1,数出表_Excel!$A:$A,0)-1&amp;":U"&amp;MATCH(AR1,数出表_Excel!$A:$A,0)-1&amp;""),0)+1,""))</f>
        <v>#N/A</v>
      </c>
      <c r="AN44" s="62" t="str">
        <f t="array" aca="1" ref="AN44" ca="1">IF(AN1=AG43,"",IFERROR(IF(OR(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"3"),"*配膳*"),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"3"),"*カレー*"),
COUNTIF(AN1,"*合計*")),"",
IF(IFERROR(INDIRECT("数出表_Excel!"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"3"),0)=0,"",
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"3"),""))),""))</f>
        <v/>
      </c>
      <c r="AO44" s="80"/>
      <c r="AP44" s="86" t="str">
        <f t="array" aca="1" ref="AP44" ca="1">IF(AQ44&lt;&gt;"","",
IF(COUNTIF(AN43,"*雙葉*"),"",
IF(AN43&lt;&gt;"",
IF(
(COLUMN(INDIRECT("数出表_Excel!B" &amp; (MATCH(AR1,数出表_Excel!$A:$A,0)-1))) - 1 +
MATCH(TRUE, ISNUMBER(--INDIRECT("数出表_Excel!B" &amp; (MATCH(AR1,数出表_Excel!$A:$A,0)-1) &amp; ":U" &amp; (MATCH(AR1,数出表_Excel!$A:$A,0)-1))), 0)+1
+MATCH(TRUE,INDIRECT("'数出表_Excel'!"&amp;AM43&amp;MATCH(AR1,数出表_Excel!$A:$A,0)-1&amp;":AL"&amp;MATCH(AR1,数出表_Excel!$A:$A,0)-1&amp;"")&lt;&gt;"",0))&gt;12,"",
IFERROR(
INDEX(INDIRECT("数出表_Excel!$"&amp;AM43&amp;"4:$AL4"),
 1,
MATCH(TRUE,INDIRECT("'数出表_Excel'!"&amp;AM43&amp;MATCH(AR1,数出表_Excel!$A:$A,0)-1&amp;":AL"&amp;MATCH(AR1,数出表_Excel!$A:$A,0)-1&amp;"")&lt;&gt;"",0)
),
 "")
&amp;IFERROR(
INDEX(INDIRECT("数出表_Excel!$"&amp;AM43&amp;"5:$AL5"),
 1,
MATCH(TRUE,INDIRECT("'数出表_Excel'!"&amp;AM43&amp;MATCH(AR1,数出表_Excel!$A:$A,0)-1&amp;":AL"&amp;MATCH(AR1,数出表_Excel!$A:$A,0)-1&amp;"")&lt;&gt;"",0)),
 "")),"")))</f>
        <v/>
      </c>
      <c r="AQ44" s="87" t="str">
        <f t="array" aca="1" ref="AQ44" ca="1">IF(AN44&lt;&gt;"",
IF(COUNTIF(AN43,"*雙葉*"),
IF(ROUND(
IF(AQ49&lt;&gt;"",(AN46-AQ49),AN46)
/IF(COUNTIF(AN44,"*キャラ*"),
VLOOKUP("*キャラ*",商品マスタ一覧!$D:$J,7,FALSE),
IF(COUNTIF(AN44,"*赤*"),
VLOOKUP("*赤*",商品マスタ一覧!$D:$J,7,FALSE),
VLOOKUP(AN44,商品マスタ一覧!$D:$J,7,FALSE))),0)&lt;=0,1,
ROUND(
IF(AQ49&lt;&gt;"",(AN46-AQ49),AN46)
/IF(COUNTIF(AN44,"*キャラ*"),
VLOOKUP("*キャラ*",商品マスタ一覧!$D:$J,7,FALSE),
IF(COUNTIF(AN44,"*赤*"),
VLOOKUP("*赤*",商品マスタ一覧!$D:$J,7,FALSE),
VLOOKUP(AN44,商品マスタ一覧!$D:$J,7,FALSE))),0)),
IF(MATCH(TRUE,
ISNUMBER(--INDIRECT("'数出表_Excel（アレルギー入力）'!B"&amp;MATCH(AR1,'数出表_Excel（アレルギー入力）'!$A:$A,0)-1&amp;":AL"&amp;MATCH(AR1,'数出表_Excel（アレルギー入力）'!$A:$A,0)-1&amp;"")),0)&gt;10,
IF(AN44&lt;&gt;"",
IF(IF(COUNTIF(AN44,"*キャラ*"),
VLOOKUP("*キャラ*",商品マスタ一覧!$D:$J,7,FALSE),
IF(COUNTIF(AN44,"*赤*"),
VLOOKUP("*赤*",商品マスタ一覧!$D:$J,7,FALSE),
VLOOKUP(AN44,商品マスタ一覧!$D:$J,7,FALSE)))=0,"",
IF(ROUND(
IF(AQ49&lt;&gt;"",(AN46-AQ49),AN46)
/IF(COUNTIF(AN44,"*キャラ*"),
VLOOKUP("*キャラ*",商品マスタ一覧!$D:$J,7,FALSE),
IF(COUNTIF(AN44,"*赤*"),
VLOOKUP("*赤*",商品マスタ一覧!$D:$J,7,FALSE),
VLOOKUP(AN44,商品マスタ一覧!$D:$J,7,FALSE))),0)&lt;=0,1,
ROUND(
IF(AQ49&lt;&gt;"",(AN46-AQ49),AN46)
/IF(COUNTIF(AN44,"*キャラ*"),
VLOOKUP("*キャラ*",商品マスタ一覧!$D:$J,7,FALSE),
IF(COUNTIF(AN44,"*赤*"),
VLOOKUP("*赤*",商品マスタ一覧!$D:$J,7,FALSE),
VLOOKUP(AN44,商品マスタ一覧!$D:$J,7,FALSE))),0))),""),"")),"")</f>
        <v/>
      </c>
      <c r="AR44" s="96" t="str">
        <f ca="1">IF(AQ44&lt;&gt;"",IF(AN46&lt;&gt;"",IF(VALUE(IF(AQ49&lt;&gt;"",AN46-AQ49,AN46))&gt;VALUE(IF(COUNTIF('盛付札（関数）'!AN44,"*キャラ*"),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
"+"&amp;IF(AQ49&lt;&gt;"",AN46-AQ49,AN46)-IF(COUNTIF('盛付札（関数）'!AN44,"*キャラ*"),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VLOOKUP('盛付札（関数）'!AN44,商品マスタ一覧!$D:$J,7,FALSE)))*AQ44,
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VLOOKUP('盛付札（関数）'!AN44,商品マスタ一覧!$D:$J,7,FALSE)))*AQ44),""),"")</f>
        <v/>
      </c>
      <c r="AS44" s="80"/>
      <c r="AT44" s="80"/>
      <c r="AU44" s="85" t="e">
        <f t="array" aca="1" ref="AU44" ca="1">IF(AU3&lt;&gt;100,
IF(AV46&lt;&gt;"",MATCH(AV46,INDIRECT("数出表_Excel!B"&amp;MATCH(AZ1,数出表_Excel!$A:$A,0)-1&amp;":U"&amp;MATCH(AZ1,数出表_Excel!$A:$A,0)-1&amp;""),0)+1,""),
IF(AV46&lt;&gt;"",
MATCH(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INDIRECT("数出表_Excel!B"&amp;MATCH(AZ1,数出表_Excel!$A:$A,0)-1&amp;":U"&amp;MATCH(AZ1,数出表_Excel!$A:$A,0)-1&amp;""),0)+1,""))</f>
        <v>#N/A</v>
      </c>
      <c r="AV44" s="62" t="str">
        <f t="array" aca="1" ref="AV44" ca="1">IF(AV1=AO43,"",IFERROR(IF(OR(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"3"),"*配膳*"),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"3"),"*カレー*"),
COUNTIF(AV1,"*合計*")),"",
IF(IFERROR(INDIRECT("数出表_Excel!"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"3"),0)=0,"",
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"3"),""))),""))</f>
        <v/>
      </c>
      <c r="AW44" s="80"/>
      <c r="AX44" s="86" t="str">
        <f t="array" aca="1" ref="AX44" ca="1">IF(AY44&lt;&gt;"","",
IF(COUNTIF(AV43,"*雙葉*"),"",
IF(AV43&lt;&gt;"",
IF(
(COLUMN(INDIRECT("数出表_Excel!B" &amp; (MATCH(AZ1,数出表_Excel!$A:$A,0)-1))) - 1 +
MATCH(TRUE, ISNUMBER(--INDIRECT("数出表_Excel!B" &amp; (MATCH(AZ1,数出表_Excel!$A:$A,0)-1) &amp; ":U" &amp; (MATCH(AZ1,数出表_Excel!$A:$A,0)-1))), 0)+1
+MATCH(TRUE,INDIRECT("'数出表_Excel'!"&amp;AU43&amp;MATCH(AZ1,数出表_Excel!$A:$A,0)-1&amp;":AL"&amp;MATCH(AZ1,数出表_Excel!$A:$A,0)-1&amp;"")&lt;&gt;"",0))&gt;12,"",
IFERROR(
INDEX(INDIRECT("数出表_Excel!$"&amp;AU43&amp;"4:$AL4"),
 1,
MATCH(TRUE,INDIRECT("'数出表_Excel'!"&amp;AU43&amp;MATCH(AZ1,数出表_Excel!$A:$A,0)-1&amp;":AL"&amp;MATCH(AZ1,数出表_Excel!$A:$A,0)-1&amp;"")&lt;&gt;"",0)
),
 "")
&amp;IFERROR(
INDEX(INDIRECT("数出表_Excel!$"&amp;AU43&amp;"5:$AL5"),
 1,
MATCH(TRUE,INDIRECT("'数出表_Excel'!"&amp;AU43&amp;MATCH(AZ1,数出表_Excel!$A:$A,0)-1&amp;":AL"&amp;MATCH(AZ1,数出表_Excel!$A:$A,0)-1&amp;"")&lt;&gt;"",0)),
 "")),"")))</f>
        <v/>
      </c>
      <c r="AY44" s="87" t="str">
        <f t="array" aca="1" ref="AY44" ca="1">IF(AV44&lt;&gt;"",
IF(COUNTIF(AV43,"*雙葉*"),
IF(ROUND(
IF(AY49&lt;&gt;"",(AV46-AY49),AV46)
/IF(COUNTIF(AV44,"*キャラ*"),
VLOOKUP("*キャラ*",商品マスタ一覧!$D:$J,7,FALSE),
IF(COUNTIF(AV44,"*赤*"),
VLOOKUP("*赤*",商品マスタ一覧!$D:$J,7,FALSE),
VLOOKUP(AV44,商品マスタ一覧!$D:$J,7,FALSE))),0)&lt;=0,1,
ROUND(
IF(AY49&lt;&gt;"",(AV46-AY49),AV46)
/IF(COUNTIF(AV44,"*キャラ*"),
VLOOKUP("*キャラ*",商品マスタ一覧!$D:$J,7,FALSE),
IF(COUNTIF(AV44,"*赤*"),
VLOOKUP("*赤*",商品マスタ一覧!$D:$J,7,FALSE),
VLOOKUP(AV44,商品マスタ一覧!$D:$J,7,FALSE))),0)),
IF(MATCH(TRUE,
ISNUMBER(--INDIRECT("'数出表_Excel（アレルギー入力）'!B"&amp;MATCH(AZ1,'数出表_Excel（アレルギー入力）'!$A:$A,0)-1&amp;":AL"&amp;MATCH(AZ1,'数出表_Excel（アレルギー入力）'!$A:$A,0)-1&amp;"")),0)&gt;10,
IF(AV44&lt;&gt;"",
IF(IF(COUNTIF(AV44,"*キャラ*"),
VLOOKUP("*キャラ*",商品マスタ一覧!$D:$J,7,FALSE),
IF(COUNTIF(AV44,"*赤*"),
VLOOKUP("*赤*",商品マスタ一覧!$D:$J,7,FALSE),
VLOOKUP(AV44,商品マスタ一覧!$D:$J,7,FALSE)))=0,"",
IF(ROUND(
IF(AY49&lt;&gt;"",(AV46-AY49),AV46)
/IF(COUNTIF(AV44,"*キャラ*"),
VLOOKUP("*キャラ*",商品マスタ一覧!$D:$J,7,FALSE),
IF(COUNTIF(AV44,"*赤*"),
VLOOKUP("*赤*",商品マスタ一覧!$D:$J,7,FALSE),
VLOOKUP(AV44,商品マスタ一覧!$D:$J,7,FALSE))),0)&lt;=0,1,
ROUND(
IF(AY49&lt;&gt;"",(AV46-AY49),AV46)
/IF(COUNTIF(AV44,"*キャラ*"),
VLOOKUP("*キャラ*",商品マスタ一覧!$D:$J,7,FALSE),
IF(COUNTIF(AV44,"*赤*"),
VLOOKUP("*赤*",商品マスタ一覧!$D:$J,7,FALSE),
VLOOKUP(AV44,商品マスタ一覧!$D:$J,7,FALSE))),0))),""),"")),"")</f>
        <v/>
      </c>
      <c r="AZ44" s="96" t="str">
        <f ca="1">IF(AY44&lt;&gt;"",IF(AV46&lt;&gt;"",IF(VALUE(IF(AY49&lt;&gt;"",AV46-AY49,AV46))&gt;VALUE(IF(COUNTIF('盛付札（関数）'!AV44,"*キャラ*"),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
"+"&amp;IF(AY49&lt;&gt;"",AV46-AY49,AV46)-IF(COUNTIF('盛付札（関数）'!AV44,"*キャラ*"),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VLOOKUP('盛付札（関数）'!AV44,商品マスタ一覧!$D:$J,7,FALSE)))*AY44,
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VLOOKUP('盛付札（関数）'!AV44,商品マスタ一覧!$D:$J,7,FALSE)))*AY44),""),"")</f>
        <v/>
      </c>
      <c r="BA44" s="80"/>
      <c r="BB44" s="85" t="e">
        <f t="array" aca="1" ref="BB44" ca="1">IF(BB3&lt;&gt;100,
IF(BC46&lt;&gt;"",MATCH(BC46,INDIRECT("数出表_Excel!B"&amp;MATCH(BG1,数出表_Excel!$A:$A,0)-1&amp;":U"&amp;MATCH(BG1,数出表_Excel!$A:$A,0)-1&amp;""),0)+1,""),
IF(BC46&lt;&gt;"",
MATCH(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INDIRECT("数出表_Excel!B"&amp;MATCH(BG1,数出表_Excel!$A:$A,0)-1&amp;":U"&amp;MATCH(BG1,数出表_Excel!$A:$A,0)-1&amp;""),0)+1,""))</f>
        <v>#N/A</v>
      </c>
      <c r="BC44" s="62" t="str">
        <f t="array" aca="1" ref="BC44" ca="1">IF(BC1=AV43,"",IFERROR(IF(OR(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"3"),"*配膳*"),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"3"),"*カレー*"),
COUNTIF(BC1,"*合計*")),"",
IF(IFERROR(INDIRECT("数出表_Excel!"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"3"),0)=0,"",
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"3"),""))),""))</f>
        <v/>
      </c>
      <c r="BD44" s="80"/>
      <c r="BE44" s="86" t="str">
        <f t="array" aca="1" ref="BE44" ca="1">IF(BF44&lt;&gt;"","",
IF(COUNTIF(BC43,"*雙葉*"),"",
IF(BC43&lt;&gt;"",
IF(
(COLUMN(INDIRECT("数出表_Excel!B" &amp; (MATCH(BG1,数出表_Excel!$A:$A,0)-1))) - 1 +
MATCH(TRUE, ISNUMBER(--INDIRECT("数出表_Excel!B" &amp; (MATCH(BG1,数出表_Excel!$A:$A,0)-1) &amp; ":U" &amp; (MATCH(BG1,数出表_Excel!$A:$A,0)-1))), 0)+1
+MATCH(TRUE,INDIRECT("'数出表_Excel'!"&amp;BB43&amp;MATCH(BG1,数出表_Excel!$A:$A,0)-1&amp;":AL"&amp;MATCH(BG1,数出表_Excel!$A:$A,0)-1&amp;"")&lt;&gt;"",0))&gt;12,"",
IFERROR(
INDEX(INDIRECT("数出表_Excel!$"&amp;BB43&amp;"4:$AL4"),
 1,
MATCH(TRUE,INDIRECT("'数出表_Excel'!"&amp;BB43&amp;MATCH(BG1,数出表_Excel!$A:$A,0)-1&amp;":AL"&amp;MATCH(BG1,数出表_Excel!$A:$A,0)-1&amp;"")&lt;&gt;"",0)
),
 "")
&amp;IFERROR(
INDEX(INDIRECT("数出表_Excel!$"&amp;BB43&amp;"5:$AL5"),
 1,
MATCH(TRUE,INDIRECT("'数出表_Excel'!"&amp;BB43&amp;MATCH(BG1,数出表_Excel!$A:$A,0)-1&amp;":AL"&amp;MATCH(BG1,数出表_Excel!$A:$A,0)-1&amp;"")&lt;&gt;"",0)),
 "")),"")))</f>
        <v/>
      </c>
      <c r="BF44" s="87" t="str">
        <f t="array" aca="1" ref="BF44" ca="1">IF(BC44&lt;&gt;"",
IF(COUNTIF(BC43,"*雙葉*"),
IF(ROUND(
IF(BF49&lt;&gt;"",(BC46-BF49),BC46)
/IF(COUNTIF(BC44,"*キャラ*"),
VLOOKUP("*キャラ*",商品マスタ一覧!$D:$J,7,FALSE),
IF(COUNTIF(BC44,"*赤*"),
VLOOKUP("*赤*",商品マスタ一覧!$D:$J,7,FALSE),
VLOOKUP(BC44,商品マスタ一覧!$D:$J,7,FALSE))),0)&lt;=0,1,
ROUND(
IF(BF49&lt;&gt;"",(BC46-BF49),BC46)
/IF(COUNTIF(BC44,"*キャラ*"),
VLOOKUP("*キャラ*",商品マスタ一覧!$D:$J,7,FALSE),
IF(COUNTIF(BC44,"*赤*"),
VLOOKUP("*赤*",商品マスタ一覧!$D:$J,7,FALSE),
VLOOKUP(BC44,商品マスタ一覧!$D:$J,7,FALSE))),0)),
IF(MATCH(TRUE,
ISNUMBER(--INDIRECT("'数出表_Excel（アレルギー入力）'!B"&amp;MATCH(BG1,'数出表_Excel（アレルギー入力）'!$A:$A,0)-1&amp;":AL"&amp;MATCH(BG1,'数出表_Excel（アレルギー入力）'!$A:$A,0)-1&amp;"")),0)&gt;10,
IF(BC44&lt;&gt;"",
IF(IF(COUNTIF(BC44,"*キャラ*"),
VLOOKUP("*キャラ*",商品マスタ一覧!$D:$J,7,FALSE),
IF(COUNTIF(BC44,"*赤*"),
VLOOKUP("*赤*",商品マスタ一覧!$D:$J,7,FALSE),
VLOOKUP(BC44,商品マスタ一覧!$D:$J,7,FALSE)))=0,"",
IF(ROUND(
IF(BF49&lt;&gt;"",(BC46-BF49),BC46)
/IF(COUNTIF(BC44,"*キャラ*"),
VLOOKUP("*キャラ*",商品マスタ一覧!$D:$J,7,FALSE),
IF(COUNTIF(BC44,"*赤*"),
VLOOKUP("*赤*",商品マスタ一覧!$D:$J,7,FALSE),
VLOOKUP(BC44,商品マスタ一覧!$D:$J,7,FALSE))),0)&lt;=0,1,
ROUND(
IF(BF49&lt;&gt;"",(BC46-BF49),BC46)
/IF(COUNTIF(BC44,"*キャラ*"),
VLOOKUP("*キャラ*",商品マスタ一覧!$D:$J,7,FALSE),
IF(COUNTIF(BC44,"*赤*"),
VLOOKUP("*赤*",商品マスタ一覧!$D:$J,7,FALSE),
VLOOKUP(BC44,商品マスタ一覧!$D:$J,7,FALSE))),0))),""),"")),"")</f>
        <v/>
      </c>
      <c r="BG44" s="96" t="str">
        <f ca="1">IF(BF44&lt;&gt;"",IF(BC46&lt;&gt;"",IF(VALUE(IF(BF49&lt;&gt;"",BC46-BF49,BC46))&gt;VALUE(IF(COUNTIF('盛付札（関数）'!BC44,"*キャラ*"),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
"+"&amp;IF(BF49&lt;&gt;"",BC46-BF49,BC46)-IF(COUNTIF('盛付札（関数）'!BC44,"*キャラ*"),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VLOOKUP('盛付札（関数）'!BC44,商品マスタ一覧!$D:$J,7,FALSE)))*BF44,
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VLOOKUP('盛付札（関数）'!BC44,商品マスタ一覧!$D:$J,7,FALSE)))*BF44),""),"")</f>
        <v/>
      </c>
      <c r="BH44" s="80"/>
      <c r="BI44" s="80"/>
      <c r="BJ44" s="85" t="e">
        <f t="array" aca="1" ref="BJ44" ca="1">IF(BJ3&lt;&gt;100,
IF(BK46&lt;&gt;"",MATCH(BK46,INDIRECT("数出表_Excel!B"&amp;MATCH(BO1,数出表_Excel!$A:$A,0)-1&amp;":U"&amp;MATCH(BO1,数出表_Excel!$A:$A,0)-1&amp;""),0)+1,""),
IF(BK46&lt;&gt;"",
MATCH(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INDIRECT("数出表_Excel!B"&amp;MATCH(BO1,数出表_Excel!$A:$A,0)-1&amp;":U"&amp;MATCH(BO1,数出表_Excel!$A:$A,0)-1&amp;""),0)+1,""))</f>
        <v>#N/A</v>
      </c>
      <c r="BK44" s="62" t="str">
        <f t="array" aca="1" ref="BK44" ca="1">IF(BK1=BD43,"",IFERROR(IF(OR(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"3"),"*配膳*"),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"3"),"*カレー*"),
COUNTIF(BK1,"*合計*")),"",
IF(IFERROR(INDIRECT("数出表_Excel!"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"3"),0)=0,"",
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"3"),""))),""))</f>
        <v/>
      </c>
      <c r="BL44" s="80"/>
      <c r="BM44" s="86" t="str">
        <f t="array" aca="1" ref="BM44" ca="1">IF(BN44&lt;&gt;"","",
IF(COUNTIF(BK43,"*雙葉*"),"",
IF(BK43&lt;&gt;"",
IF(
(COLUMN(INDIRECT("数出表_Excel!B" &amp; (MATCH(BO1,数出表_Excel!$A:$A,0)-1))) - 1 +
MATCH(TRUE, ISNUMBER(--INDIRECT("数出表_Excel!B" &amp; (MATCH(BO1,数出表_Excel!$A:$A,0)-1) &amp; ":U" &amp; (MATCH(BO1,数出表_Excel!$A:$A,0)-1))), 0)+1
+MATCH(TRUE,INDIRECT("'数出表_Excel'!"&amp;BJ43&amp;MATCH(BO1,数出表_Excel!$A:$A,0)-1&amp;":AL"&amp;MATCH(BO1,数出表_Excel!$A:$A,0)-1&amp;"")&lt;&gt;"",0))&gt;12,"",
IFERROR(
INDEX(INDIRECT("数出表_Excel!$"&amp;BJ43&amp;"4:$AL4"),
 1,
MATCH(TRUE,INDIRECT("'数出表_Excel'!"&amp;BJ43&amp;MATCH(BO1,数出表_Excel!$A:$A,0)-1&amp;":AL"&amp;MATCH(BO1,数出表_Excel!$A:$A,0)-1&amp;"")&lt;&gt;"",0)
),
 "")
&amp;IFERROR(
INDEX(INDIRECT("数出表_Excel!$"&amp;BJ43&amp;"5:$AL5"),
 1,
MATCH(TRUE,INDIRECT("'数出表_Excel'!"&amp;BJ43&amp;MATCH(BO1,数出表_Excel!$A:$A,0)-1&amp;":AL"&amp;MATCH(BO1,数出表_Excel!$A:$A,0)-1&amp;"")&lt;&gt;"",0)),
 "")),"")))</f>
        <v/>
      </c>
      <c r="BN44" s="87" t="str">
        <f t="array" aca="1" ref="BN44" ca="1">IF(BK44&lt;&gt;"",
IF(COUNTIF(BK43,"*雙葉*"),
IF(ROUND(
IF(BN49&lt;&gt;"",(BK46-BN49),BK46)
/IF(COUNTIF(BK44,"*キャラ*"),
VLOOKUP("*キャラ*",商品マスタ一覧!$D:$J,7,FALSE),
IF(COUNTIF(BK44,"*赤*"),
VLOOKUP("*赤*",商品マスタ一覧!$D:$J,7,FALSE),
VLOOKUP(BK44,商品マスタ一覧!$D:$J,7,FALSE))),0)&lt;=0,1,
ROUND(
IF(BN49&lt;&gt;"",(BK46-BN49),BK46)
/IF(COUNTIF(BK44,"*キャラ*"),
VLOOKUP("*キャラ*",商品マスタ一覧!$D:$J,7,FALSE),
IF(COUNTIF(BK44,"*赤*"),
VLOOKUP("*赤*",商品マスタ一覧!$D:$J,7,FALSE),
VLOOKUP(BK44,商品マスタ一覧!$D:$J,7,FALSE))),0)),
IF(MATCH(TRUE,
ISNUMBER(--INDIRECT("'数出表_Excel（アレルギー入力）'!B"&amp;MATCH(BO1,'数出表_Excel（アレルギー入力）'!$A:$A,0)-1&amp;":AL"&amp;MATCH(BO1,'数出表_Excel（アレルギー入力）'!$A:$A,0)-1&amp;"")),0)&gt;10,
IF(BK44&lt;&gt;"",
IF(IF(COUNTIF(BK44,"*キャラ*"),
VLOOKUP("*キャラ*",商品マスタ一覧!$D:$J,7,FALSE),
IF(COUNTIF(BK44,"*赤*"),
VLOOKUP("*赤*",商品マスタ一覧!$D:$J,7,FALSE),
VLOOKUP(BK44,商品マスタ一覧!$D:$J,7,FALSE)))=0,"",
IF(ROUND(
IF(BN49&lt;&gt;"",(BK46-BN49),BK46)
/IF(COUNTIF(BK44,"*キャラ*"),
VLOOKUP("*キャラ*",商品マスタ一覧!$D:$J,7,FALSE),
IF(COUNTIF(BK44,"*赤*"),
VLOOKUP("*赤*",商品マスタ一覧!$D:$J,7,FALSE),
VLOOKUP(BK44,商品マスタ一覧!$D:$J,7,FALSE))),0)&lt;=0,1,
ROUND(
IF(BN49&lt;&gt;"",(BK46-BN49),BK46)
/IF(COUNTIF(BK44,"*キャラ*"),
VLOOKUP("*キャラ*",商品マスタ一覧!$D:$J,7,FALSE),
IF(COUNTIF(BK44,"*赤*"),
VLOOKUP("*赤*",商品マスタ一覧!$D:$J,7,FALSE),
VLOOKUP(BK44,商品マスタ一覧!$D:$J,7,FALSE))),0))),""),"")),"")</f>
        <v/>
      </c>
      <c r="BO44" s="96" t="str">
        <f ca="1">IF(BN44&lt;&gt;"",IF(BK46&lt;&gt;"",IF(VALUE(IF(BN49&lt;&gt;"",BK46-BN49,BK46))&gt;VALUE(IF(COUNTIF('盛付札（関数）'!BK44,"*キャラ*"),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
"+"&amp;IF(BN49&lt;&gt;"",BK46-BN49,BK46)-IF(COUNTIF('盛付札（関数）'!BK44,"*キャラ*"),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VLOOKUP('盛付札（関数）'!BK44,商品マスタ一覧!$D:$J,7,FALSE)))*BN44,
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VLOOKUP('盛付札（関数）'!BK44,商品マスタ一覧!$D:$J,7,FALSE)))*BN44),""),"")</f>
        <v/>
      </c>
      <c r="BP44" s="80"/>
      <c r="BQ44" s="85" t="e">
        <f t="array" aca="1" ref="BQ44" ca="1">IF(BQ3&lt;&gt;100,
IF(BR46&lt;&gt;"",MATCH(BR46,INDIRECT("数出表_Excel!B"&amp;MATCH(BV1,数出表_Excel!$A:$A,0)-1&amp;":U"&amp;MATCH(BV1,数出表_Excel!$A:$A,0)-1&amp;""),0)+1,""),
IF(BR46&lt;&gt;"",
MATCH(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INDIRECT("数出表_Excel!B"&amp;MATCH(BV1,数出表_Excel!$A:$A,0)-1&amp;":U"&amp;MATCH(BV1,数出表_Excel!$A:$A,0)-1&amp;""),0)+1,""))</f>
        <v>#N/A</v>
      </c>
      <c r="BR44" s="62" t="str">
        <f t="array" aca="1" ref="BR44" ca="1">IF(BR1=BK43,"",IFERROR(IF(OR(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"3"),"*配膳*"),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"3"),"*カレー*"),
COUNTIF(BR1,"*合計*")),"",
IF(IFERROR(INDIRECT("数出表_Excel!"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"3"),0)=0,"",
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"3"),""))),""))</f>
        <v/>
      </c>
      <c r="BS44" s="80"/>
      <c r="BT44" s="86" t="str">
        <f t="array" aca="1" ref="BT44" ca="1">IF(BU44&lt;&gt;"","",
IF(COUNTIF(BR43,"*雙葉*"),"",
IF(BR43&lt;&gt;"",
IF(
(COLUMN(INDIRECT("数出表_Excel!B" &amp; (MATCH(BV1,数出表_Excel!$A:$A,0)-1))) - 1 +
MATCH(TRUE, ISNUMBER(--INDIRECT("数出表_Excel!B" &amp; (MATCH(BV1,数出表_Excel!$A:$A,0)-1) &amp; ":U" &amp; (MATCH(BV1,数出表_Excel!$A:$A,0)-1))), 0)+1
+MATCH(TRUE,INDIRECT("'数出表_Excel'!"&amp;BQ43&amp;MATCH(BV1,数出表_Excel!$A:$A,0)-1&amp;":AL"&amp;MATCH(BV1,数出表_Excel!$A:$A,0)-1&amp;"")&lt;&gt;"",0))&gt;12,"",
IFERROR(
INDEX(INDIRECT("数出表_Excel!$"&amp;BQ43&amp;"4:$AL4"),
 1,
MATCH(TRUE,INDIRECT("'数出表_Excel'!"&amp;BQ43&amp;MATCH(BV1,数出表_Excel!$A:$A,0)-1&amp;":AL"&amp;MATCH(BV1,数出表_Excel!$A:$A,0)-1&amp;"")&lt;&gt;"",0)
),
 "")
&amp;IFERROR(
INDEX(INDIRECT("数出表_Excel!$"&amp;BQ43&amp;"5:$AL5"),
 1,
MATCH(TRUE,INDIRECT("'数出表_Excel'!"&amp;BQ43&amp;MATCH(BV1,数出表_Excel!$A:$A,0)-1&amp;":AL"&amp;MATCH(BV1,数出表_Excel!$A:$A,0)-1&amp;"")&lt;&gt;"",0)),
 "")),"")))</f>
        <v/>
      </c>
      <c r="BU44" s="87" t="str">
        <f t="array" aca="1" ref="BU44" ca="1">IF(BR44&lt;&gt;"",
IF(COUNTIF(BR43,"*雙葉*"),
IF(ROUND(
IF(BU49&lt;&gt;"",(BR46-BU49),BR46)
/IF(COUNTIF(BR44,"*キャラ*"),
VLOOKUP("*キャラ*",商品マスタ一覧!$D:$J,7,FALSE),
IF(COUNTIF(BR44,"*赤*"),
VLOOKUP("*赤*",商品マスタ一覧!$D:$J,7,FALSE),
VLOOKUP(BR44,商品マスタ一覧!$D:$J,7,FALSE))),0)&lt;=0,1,
ROUND(
IF(BU49&lt;&gt;"",(BR46-BU49),BR46)
/IF(COUNTIF(BR44,"*キャラ*"),
VLOOKUP("*キャラ*",商品マスタ一覧!$D:$J,7,FALSE),
IF(COUNTIF(BR44,"*赤*"),
VLOOKUP("*赤*",商品マスタ一覧!$D:$J,7,FALSE),
VLOOKUP(BR44,商品マスタ一覧!$D:$J,7,FALSE))),0)),
IF(MATCH(TRUE,
ISNUMBER(--INDIRECT("'数出表_Excel（アレルギー入力）'!B"&amp;MATCH(BV1,'数出表_Excel（アレルギー入力）'!$A:$A,0)-1&amp;":AL"&amp;MATCH(BV1,'数出表_Excel（アレルギー入力）'!$A:$A,0)-1&amp;"")),0)&gt;10,
IF(BR44&lt;&gt;"",
IF(IF(COUNTIF(BR44,"*キャラ*"),
VLOOKUP("*キャラ*",商品マスタ一覧!$D:$J,7,FALSE),
IF(COUNTIF(BR44,"*赤*"),
VLOOKUP("*赤*",商品マスタ一覧!$D:$J,7,FALSE),
VLOOKUP(BR44,商品マスタ一覧!$D:$J,7,FALSE)))=0,"",
IF(ROUND(
IF(BU49&lt;&gt;"",(BR46-BU49),BR46)
/IF(COUNTIF(BR44,"*キャラ*"),
VLOOKUP("*キャラ*",商品マスタ一覧!$D:$J,7,FALSE),
IF(COUNTIF(BR44,"*赤*"),
VLOOKUP("*赤*",商品マスタ一覧!$D:$J,7,FALSE),
VLOOKUP(BR44,商品マスタ一覧!$D:$J,7,FALSE))),0)&lt;=0,1,
ROUND(
IF(BU49&lt;&gt;"",(BR46-BU49),BR46)
/IF(COUNTIF(BR44,"*キャラ*"),
VLOOKUP("*キャラ*",商品マスタ一覧!$D:$J,7,FALSE),
IF(COUNTIF(BR44,"*赤*"),
VLOOKUP("*赤*",商品マスタ一覧!$D:$J,7,FALSE),
VLOOKUP(BR44,商品マスタ一覧!$D:$J,7,FALSE))),0))),""),"")),"")</f>
        <v/>
      </c>
      <c r="BV44" s="96" t="str">
        <f ca="1">IF(BU44&lt;&gt;"",IF(BR46&lt;&gt;"",IF(VALUE(IF(BU49&lt;&gt;"",BR46-BU49,BR46))&gt;VALUE(IF(COUNTIF('盛付札（関数）'!BR44,"*キャラ*"),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
"+"&amp;IF(BU49&lt;&gt;"",BR46-BU49,BR46)-IF(COUNTIF('盛付札（関数）'!BR44,"*キャラ*"),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VLOOKUP('盛付札（関数）'!BR44,商品マスタ一覧!$D:$J,7,FALSE)))*BU44,
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VLOOKUP('盛付札（関数）'!BR44,商品マスタ一覧!$D:$J,7,FALSE)))*BU44),""),"")</f>
        <v/>
      </c>
      <c r="BW44" s="80"/>
      <c r="BX44" s="80"/>
      <c r="BY44" s="85" t="e">
        <f t="array" aca="1" ref="BY44" ca="1">IF(BY3&lt;&gt;100,
IF(BZ46&lt;&gt;"",MATCH(BZ46,INDIRECT("数出表_Excel!B"&amp;MATCH(CD1,数出表_Excel!$A:$A,0)-1&amp;":U"&amp;MATCH(CD1,数出表_Excel!$A:$A,0)-1&amp;""),0)+1,""),
IF(BZ46&lt;&gt;"",
MATCH(
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""),
INDIRECT("数出表_Excel!B"&amp;MATCH(CD1,数出表_Excel!$A:$A,0)-1&amp;":U"&amp;MATCH(CD1,数出表_Excel!$A:$A,0)-1&amp;""),0)+1,""))</f>
        <v>#N/A</v>
      </c>
      <c r="BZ44" s="62" t="str">
        <f t="array" aca="1" ref="BZ44" ca="1">IF(BZ1=BS43,"",IFERROR(IF(OR(
COUNTIF(INDIRECT("数出表_Excel!"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"3"),"*配膳*"),
COUNTIF(INDIRECT("数出表_Excel!"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"3"),"*カレー*"),
COUNTIF(BZ1,"*合計*")),"",
IF(IFERROR(INDIRECT("数出表_Excel!"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"3"),0)=0,"",
IFERROR(INDIRECT("数出表_Excel!"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"3"),""))),""))</f>
        <v/>
      </c>
      <c r="CA44" s="80"/>
      <c r="CB44" s="86" t="str">
        <f t="array" aca="1" ref="CB44" ca="1">IF(CC44&lt;&gt;"","",
IF(COUNTIF(BZ43,"*雙葉*"),"",
IF(BZ43&lt;&gt;"",
IF(
(COLUMN(INDIRECT("数出表_Excel!B" &amp; (MATCH(CD1,数出表_Excel!$A:$A,0)-1))) - 1 +
MATCH(TRUE, ISNUMBER(--INDIRECT("数出表_Excel!B" &amp; (MATCH(CD1,数出表_Excel!$A:$A,0)-1) &amp; ":U" &amp; (MATCH(CD1,数出表_Excel!$A:$A,0)-1))), 0)+1
+MATCH(TRUE,INDIRECT("'数出表_Excel'!"&amp;BY43&amp;MATCH(CD1,数出表_Excel!$A:$A,0)-1&amp;":AL"&amp;MATCH(CD1,数出表_Excel!$A:$A,0)-1&amp;"")&lt;&gt;"",0))&gt;12,"",
IFERROR(
INDEX(INDIRECT("数出表_Excel!$"&amp;BY43&amp;"4:$AL4"),
 1,
MATCH(TRUE,INDIRECT("'数出表_Excel'!"&amp;BY43&amp;MATCH(CD1,数出表_Excel!$A:$A,0)-1&amp;":AL"&amp;MATCH(CD1,数出表_Excel!$A:$A,0)-1&amp;"")&lt;&gt;"",0)
),
 "")
&amp;IFERROR(
INDEX(INDIRECT("数出表_Excel!$"&amp;BY43&amp;"5:$AL5"),
 1,
MATCH(TRUE,INDIRECT("'数出表_Excel'!"&amp;BY43&amp;MATCH(CD1,数出表_Excel!$A:$A,0)-1&amp;":AL"&amp;MATCH(CD1,数出表_Excel!$A:$A,0)-1&amp;"")&lt;&gt;"",0)),
 "")),"")))</f>
        <v/>
      </c>
      <c r="CC44" s="87" t="str">
        <f t="array" aca="1" ref="CC44" ca="1">IF(BZ44&lt;&gt;"",
IF(COUNTIF(BZ43,"*雙葉*"),
IF(ROUND(
IF(CC49&lt;&gt;"",(BZ46-CC49),BZ46)
/IF(COUNTIF(BZ44,"*キャラ*"),
VLOOKUP("*キャラ*",商品マスタ一覧!$D:$J,7,FALSE),
IF(COUNTIF(BZ44,"*赤*"),
VLOOKUP("*赤*",商品マスタ一覧!$D:$J,7,FALSE),
VLOOKUP(BZ44,商品マスタ一覧!$D:$J,7,FALSE))),0)&lt;=0,1,
ROUND(
IF(CC49&lt;&gt;"",(BZ46-CC49),BZ46)
/IF(COUNTIF(BZ44,"*キャラ*"),
VLOOKUP("*キャラ*",商品マスタ一覧!$D:$J,7,FALSE),
IF(COUNTIF(BZ44,"*赤*"),
VLOOKUP("*赤*",商品マスタ一覧!$D:$J,7,FALSE),
VLOOKUP(BZ44,商品マスタ一覧!$D:$J,7,FALSE))),0)),
IF(MATCH(TRUE,
ISNUMBER(--INDIRECT("'数出表_Excel（アレルギー入力）'!B"&amp;MATCH(CD1,'数出表_Excel（アレルギー入力）'!$A:$A,0)-1&amp;":AL"&amp;MATCH(CD1,'数出表_Excel（アレルギー入力）'!$A:$A,0)-1&amp;"")),0)&gt;10,
IF(BZ44&lt;&gt;"",
IF(IF(COUNTIF(BZ44,"*キャラ*"),
VLOOKUP("*キャラ*",商品マスタ一覧!$D:$J,7,FALSE),
IF(COUNTIF(BZ44,"*赤*"),
VLOOKUP("*赤*",商品マスタ一覧!$D:$J,7,FALSE),
VLOOKUP(BZ44,商品マスタ一覧!$D:$J,7,FALSE)))=0,"",
IF(ROUND(
IF(CC49&lt;&gt;"",(BZ46-CC49),BZ46)
/IF(COUNTIF(BZ44,"*キャラ*"),
VLOOKUP("*キャラ*",商品マスタ一覧!$D:$J,7,FALSE),
IF(COUNTIF(BZ44,"*赤*"),
VLOOKUP("*赤*",商品マスタ一覧!$D:$J,7,FALSE),
VLOOKUP(BZ44,商品マスタ一覧!$D:$J,7,FALSE))),0)&lt;=0,1,
ROUND(
IF(CC49&lt;&gt;"",(BZ46-CC49),BZ46)
/IF(COUNTIF(BZ44,"*キャラ*"),
VLOOKUP("*キャラ*",商品マスタ一覧!$D:$J,7,FALSE),
IF(COUNTIF(BZ44,"*赤*"),
VLOOKUP("*赤*",商品マスタ一覧!$D:$J,7,FALSE),
VLOOKUP(BZ44,商品マスタ一覧!$D:$J,7,FALSE))),0))),""),"")),"")</f>
        <v/>
      </c>
      <c r="CD44" s="96" t="str">
        <f ca="1">IF(CC44&lt;&gt;"",IF(BZ46&lt;&gt;"",IF(VALUE(IF(CC49&lt;&gt;"",BZ46-CC49,BZ46))&gt;VALUE(IF(COUNTIF('盛付札（関数）'!BZ44,"*キャラ*"),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VLOOKUP('盛付札（関数）'!BZ44,商品マスタ一覧!$D:$J,7,FALSE)))*CC44),
"+"&amp;IF(CC49&lt;&gt;"",BZ46-CC49,BZ46)-IF(COUNTIF('盛付札（関数）'!BZ44,"*キャラ*"),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VLOOKUP('盛付札（関数）'!BZ44,商品マスタ一覧!$D:$J,7,FALSE)))*CC44,
IF(CC49&lt;&gt;"",BZ46-CC49,BZ46)-IF(COUNTIF('盛付札（関数）'!BZ44,"*キャラ*"),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VLOOKUP('盛付札（関数）'!BZ44,商品マスタ一覧!$D:$J,7,FALSE)))*CC44),""),"")</f>
        <v/>
      </c>
      <c r="CE44" s="80"/>
      <c r="CF44" s="85" t="e">
        <f t="array" aca="1" ref="CF44" ca="1">IF(CF3&lt;&gt;100,
IF(CG46&lt;&gt;"",MATCH(CG46,INDIRECT("数出表_Excel!B"&amp;MATCH(CK1,数出表_Excel!$A:$A,0)-1&amp;":U"&amp;MATCH(CK1,数出表_Excel!$A:$A,0)-1&amp;""),0)+1,""),
IF(CG46&lt;&gt;"",
MATCH(
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""),
INDIRECT("数出表_Excel!B"&amp;MATCH(CK1,数出表_Excel!$A:$A,0)-1&amp;":U"&amp;MATCH(CK1,数出表_Excel!$A:$A,0)-1&amp;""),0)+1,""))</f>
        <v>#N/A</v>
      </c>
      <c r="CG44" s="62" t="str">
        <f t="array" aca="1" ref="CG44" ca="1">IF(CG1=BZ43,"",IFERROR(IF(OR(
COUNTIF(INDIRECT("数出表_Excel!"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"3"),"*配膳*"),
COUNTIF(INDIRECT("数出表_Excel!"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"3"),"*カレー*"),
COUNTIF(CG1,"*合計*")),"",
IF(IFERROR(INDIRECT("数出表_Excel!"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"3"),0)=0,"",
IFERROR(INDIRECT("数出表_Excel!"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"3"),""))),""))</f>
        <v/>
      </c>
      <c r="CH44" s="80"/>
      <c r="CI44" s="86" t="str">
        <f t="array" aca="1" ref="CI44" ca="1">IF(CJ44&lt;&gt;"","",
IF(COUNTIF(CG43,"*雙葉*"),"",
IF(CG43&lt;&gt;"",
IF(
(COLUMN(INDIRECT("数出表_Excel!B" &amp; (MATCH(CK1,数出表_Excel!$A:$A,0)-1))) - 1 +
MATCH(TRUE, ISNUMBER(--INDIRECT("数出表_Excel!B" &amp; (MATCH(CK1,数出表_Excel!$A:$A,0)-1) &amp; ":U" &amp; (MATCH(CK1,数出表_Excel!$A:$A,0)-1))), 0)+1
+MATCH(TRUE,INDIRECT("'数出表_Excel'!"&amp;CF43&amp;MATCH(CK1,数出表_Excel!$A:$A,0)-1&amp;":AL"&amp;MATCH(CK1,数出表_Excel!$A:$A,0)-1&amp;"")&lt;&gt;"",0))&gt;12,"",
IFERROR(
INDEX(INDIRECT("数出表_Excel!$"&amp;CF43&amp;"4:$AL4"),
 1,
MATCH(TRUE,INDIRECT("'数出表_Excel'!"&amp;CF43&amp;MATCH(CK1,数出表_Excel!$A:$A,0)-1&amp;":AL"&amp;MATCH(CK1,数出表_Excel!$A:$A,0)-1&amp;"")&lt;&gt;"",0)
),
 "")
&amp;IFERROR(
INDEX(INDIRECT("数出表_Excel!$"&amp;CF43&amp;"5:$AL5"),
 1,
MATCH(TRUE,INDIRECT("'数出表_Excel'!"&amp;CF43&amp;MATCH(CK1,数出表_Excel!$A:$A,0)-1&amp;":AL"&amp;MATCH(CK1,数出表_Excel!$A:$A,0)-1&amp;"")&lt;&gt;"",0)),
 "")),"")))</f>
        <v/>
      </c>
      <c r="CJ44" s="87" t="str">
        <f t="array" aca="1" ref="CJ44" ca="1">IF(CG44&lt;&gt;"",
IF(COUNTIF(CG43,"*雙葉*"),
IF(ROUND(
IF(CJ49&lt;&gt;"",(CG46-CJ49),CG46)
/IF(COUNTIF(CG44,"*キャラ*"),
VLOOKUP("*キャラ*",商品マスタ一覧!$D:$J,7,FALSE),
IF(COUNTIF(CG44,"*赤*"),
VLOOKUP("*赤*",商品マスタ一覧!$D:$J,7,FALSE),
VLOOKUP(CG44,商品マスタ一覧!$D:$J,7,FALSE))),0)&lt;=0,1,
ROUND(
IF(CJ49&lt;&gt;"",(CG46-CJ49),CG46)
/IF(COUNTIF(CG44,"*キャラ*"),
VLOOKUP("*キャラ*",商品マスタ一覧!$D:$J,7,FALSE),
IF(COUNTIF(CG44,"*赤*"),
VLOOKUP("*赤*",商品マスタ一覧!$D:$J,7,FALSE),
VLOOKUP(CG44,商品マスタ一覧!$D:$J,7,FALSE))),0)),
IF(MATCH(TRUE,
ISNUMBER(--INDIRECT("'数出表_Excel（アレルギー入力）'!B"&amp;MATCH(CK1,'数出表_Excel（アレルギー入力）'!$A:$A,0)-1&amp;":AL"&amp;MATCH(CK1,'数出表_Excel（アレルギー入力）'!$A:$A,0)-1&amp;"")),0)&gt;10,
IF(CG44&lt;&gt;"",
IF(IF(COUNTIF(CG44,"*キャラ*"),
VLOOKUP("*キャラ*",商品マスタ一覧!$D:$J,7,FALSE),
IF(COUNTIF(CG44,"*赤*"),
VLOOKUP("*赤*",商品マスタ一覧!$D:$J,7,FALSE),
VLOOKUP(CG44,商品マスタ一覧!$D:$J,7,FALSE)))=0,"",
IF(ROUND(
IF(CJ49&lt;&gt;"",(CG46-CJ49),CG46)
/IF(COUNTIF(CG44,"*キャラ*"),
VLOOKUP("*キャラ*",商品マスタ一覧!$D:$J,7,FALSE),
IF(COUNTIF(CG44,"*赤*"),
VLOOKUP("*赤*",商品マスタ一覧!$D:$J,7,FALSE),
VLOOKUP(CG44,商品マスタ一覧!$D:$J,7,FALSE))),0)&lt;=0,1,
ROUND(
IF(CJ49&lt;&gt;"",(CG46-CJ49),CG46)
/IF(COUNTIF(CG44,"*キャラ*"),
VLOOKUP("*キャラ*",商品マスタ一覧!$D:$J,7,FALSE),
IF(COUNTIF(CG44,"*赤*"),
VLOOKUP("*赤*",商品マスタ一覧!$D:$J,7,FALSE),
VLOOKUP(CG44,商品マスタ一覧!$D:$J,7,FALSE))),0))),""),"")),"")</f>
        <v/>
      </c>
      <c r="CK44" s="96" t="str">
        <f ca="1">IF(CJ44&lt;&gt;"",IF(CG46&lt;&gt;"",IF(VALUE(IF(CJ49&lt;&gt;"",CG46-CJ49,CG46))&gt;VALUE(IF(COUNTIF('盛付札（関数）'!CG44,"*キャラ*"),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VLOOKUP('盛付札（関数）'!CG44,商品マスタ一覧!$D:$J,7,FALSE)))*CJ44),
"+"&amp;IF(CJ49&lt;&gt;"",CG46-CJ49,CG46)-IF(COUNTIF('盛付札（関数）'!CG44,"*キャラ*"),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VLOOKUP('盛付札（関数）'!CG44,商品マスタ一覧!$D:$J,7,FALSE)))*CJ44,
IF(CJ49&lt;&gt;"",CG46-CJ49,CG46)-IF(COUNTIF('盛付札（関数）'!CG44,"*キャラ*"),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VLOOKUP('盛付札（関数）'!CG44,商品マスタ一覧!$D:$J,7,FALSE)))*CJ44),""),"")</f>
        <v/>
      </c>
      <c r="CL44" s="80"/>
      <c r="CM44" s="80"/>
      <c r="CN44" s="85" t="e">
        <f t="array" aca="1" ref="CN44" ca="1">IF(CN3&lt;&gt;100,
IF(CO46&lt;&gt;"",MATCH(CO46,INDIRECT("数出表_Excel!B"&amp;MATCH(CS1,数出表_Excel!$A:$A,0)-1&amp;":U"&amp;MATCH(CS1,数出表_Excel!$A:$A,0)-1&amp;""),0)+1,""),
IF(CO46&lt;&gt;"",
MATCH(
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""),
INDIRECT("数出表_Excel!B"&amp;MATCH(CS1,数出表_Excel!$A:$A,0)-1&amp;":U"&amp;MATCH(CS1,数出表_Excel!$A:$A,0)-1&amp;""),0)+1,""))</f>
        <v>#N/A</v>
      </c>
      <c r="CO44" s="62" t="str">
        <f t="array" aca="1" ref="CO44" ca="1">IF(CO1=CH43,"",IFERROR(IF(OR(
COUNTIF(INDIRECT("数出表_Excel!"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"3"),"*配膳*"),
COUNTIF(INDIRECT("数出表_Excel!"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"3"),"*カレー*"),
COUNTIF(CO1,"*合計*")),"",
IF(IFERROR(INDIRECT("数出表_Excel!"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"3"),0)=0,"",
IFERROR(INDIRECT("数出表_Excel!"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"3"),""))),""))</f>
        <v/>
      </c>
      <c r="CP44" s="80"/>
      <c r="CQ44" s="86" t="str">
        <f t="array" aca="1" ref="CQ44" ca="1">IF(CR44&lt;&gt;"","",
IF(COUNTIF(CO43,"*雙葉*"),"",
IF(CO43&lt;&gt;"",
IF(
(COLUMN(INDIRECT("数出表_Excel!B" &amp; (MATCH(CS1,数出表_Excel!$A:$A,0)-1))) - 1 +
MATCH(TRUE, ISNUMBER(--INDIRECT("数出表_Excel!B" &amp; (MATCH(CS1,数出表_Excel!$A:$A,0)-1) &amp; ":U" &amp; (MATCH(CS1,数出表_Excel!$A:$A,0)-1))), 0)+1
+MATCH(TRUE,INDIRECT("'数出表_Excel'!"&amp;CN43&amp;MATCH(CS1,数出表_Excel!$A:$A,0)-1&amp;":AL"&amp;MATCH(CS1,数出表_Excel!$A:$A,0)-1&amp;"")&lt;&gt;"",0))&gt;12,"",
IFERROR(
INDEX(INDIRECT("数出表_Excel!$"&amp;CN43&amp;"4:$AL4"),
 1,
MATCH(TRUE,INDIRECT("'数出表_Excel'!"&amp;CN43&amp;MATCH(CS1,数出表_Excel!$A:$A,0)-1&amp;":AL"&amp;MATCH(CS1,数出表_Excel!$A:$A,0)-1&amp;"")&lt;&gt;"",0)
),
 "")
&amp;IFERROR(
INDEX(INDIRECT("数出表_Excel!$"&amp;CN43&amp;"5:$AL5"),
 1,
MATCH(TRUE,INDIRECT("'数出表_Excel'!"&amp;CN43&amp;MATCH(CS1,数出表_Excel!$A:$A,0)-1&amp;":AL"&amp;MATCH(CS1,数出表_Excel!$A:$A,0)-1&amp;"")&lt;&gt;"",0)),
 "")),"")))</f>
        <v/>
      </c>
      <c r="CR44" s="87" t="str">
        <f t="array" aca="1" ref="CR44" ca="1">IF(CO44&lt;&gt;"",
IF(COUNTIF(CO43,"*雙葉*"),
IF(ROUND(
IF(CR49&lt;&gt;"",(CO46-CR49),CO46)
/IF(COUNTIF(CO44,"*キャラ*"),
VLOOKUP("*キャラ*",商品マスタ一覧!$D:$J,7,FALSE),
IF(COUNTIF(CO44,"*赤*"),
VLOOKUP("*赤*",商品マスタ一覧!$D:$J,7,FALSE),
VLOOKUP(CO44,商品マスタ一覧!$D:$J,7,FALSE))),0)&lt;=0,1,
ROUND(
IF(CR49&lt;&gt;"",(CO46-CR49),CO46)
/IF(COUNTIF(CO44,"*キャラ*"),
VLOOKUP("*キャラ*",商品マスタ一覧!$D:$J,7,FALSE),
IF(COUNTIF(CO44,"*赤*"),
VLOOKUP("*赤*",商品マスタ一覧!$D:$J,7,FALSE),
VLOOKUP(CO44,商品マスタ一覧!$D:$J,7,FALSE))),0)),
IF(MATCH(TRUE,
ISNUMBER(--INDIRECT("'数出表_Excel（アレルギー入力）'!B"&amp;MATCH(CS1,'数出表_Excel（アレルギー入力）'!$A:$A,0)-1&amp;":AL"&amp;MATCH(CS1,'数出表_Excel（アレルギー入力）'!$A:$A,0)-1&amp;"")),0)&gt;10,
IF(CO44&lt;&gt;"",
IF(IF(COUNTIF(CO44,"*キャラ*"),
VLOOKUP("*キャラ*",商品マスタ一覧!$D:$J,7,FALSE),
IF(COUNTIF(CO44,"*赤*"),
VLOOKUP("*赤*",商品マスタ一覧!$D:$J,7,FALSE),
VLOOKUP(CO44,商品マスタ一覧!$D:$J,7,FALSE)))=0,"",
IF(ROUND(
IF(CR49&lt;&gt;"",(CO46-CR49),CO46)
/IF(COUNTIF(CO44,"*キャラ*"),
VLOOKUP("*キャラ*",商品マスタ一覧!$D:$J,7,FALSE),
IF(COUNTIF(CO44,"*赤*"),
VLOOKUP("*赤*",商品マスタ一覧!$D:$J,7,FALSE),
VLOOKUP(CO44,商品マスタ一覧!$D:$J,7,FALSE))),0)&lt;=0,1,
ROUND(
IF(CR49&lt;&gt;"",(CO46-CR49),CO46)
/IF(COUNTIF(CO44,"*キャラ*"),
VLOOKUP("*キャラ*",商品マスタ一覧!$D:$J,7,FALSE),
IF(COUNTIF(CO44,"*赤*"),
VLOOKUP("*赤*",商品マスタ一覧!$D:$J,7,FALSE),
VLOOKUP(CO44,商品マスタ一覧!$D:$J,7,FALSE))),0))),""),"")),"")</f>
        <v/>
      </c>
      <c r="CS44" s="96" t="str">
        <f ca="1">IF(CR44&lt;&gt;"",IF(CO46&lt;&gt;"",IF(VALUE(IF(CR49&lt;&gt;"",CO46-CR49,CO46))&gt;VALUE(IF(COUNTIF('盛付札（関数）'!CO44,"*キャラ*"),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VLOOKUP('盛付札（関数）'!CO44,商品マスタ一覧!$D:$J,7,FALSE)))*CR44),
"+"&amp;IF(CR49&lt;&gt;"",CO46-CR49,CO46)-IF(COUNTIF('盛付札（関数）'!CO44,"*キャラ*"),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VLOOKUP('盛付札（関数）'!CO44,商品マスタ一覧!$D:$J,7,FALSE)))*CR44,
IF(CR49&lt;&gt;"",CO46-CR49,CO46)-IF(COUNTIF('盛付札（関数）'!CO44,"*キャラ*"),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VLOOKUP('盛付札（関数）'!CO44,商品マスタ一覧!$D:$J,7,FALSE)))*CR44),""),"")</f>
        <v/>
      </c>
      <c r="CT44" s="80"/>
      <c r="CU44" s="85" t="e">
        <f t="array" aca="1" ref="CU44" ca="1">IF(CU3&lt;&gt;100,
IF(CV46&lt;&gt;"",MATCH(CV46,INDIRECT("数出表_Excel!B"&amp;MATCH(CZ1,数出表_Excel!$A:$A,0)-1&amp;":U"&amp;MATCH(CZ1,数出表_Excel!$A:$A,0)-1&amp;""),0)+1,""),
IF(CV46&lt;&gt;"",
MATCH(
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""),
INDIRECT("数出表_Excel!B"&amp;MATCH(CZ1,数出表_Excel!$A:$A,0)-1&amp;":U"&amp;MATCH(CZ1,数出表_Excel!$A:$A,0)-1&amp;""),0)+1,""))</f>
        <v>#N/A</v>
      </c>
      <c r="CV44" s="62" t="str">
        <f t="array" aca="1" ref="CV44" ca="1">IF(CV1=CO43,"",IFERROR(IF(OR(
COUNTIF(INDIRECT("数出表_Excel!"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"3"),"*配膳*"),
COUNTIF(INDIRECT("数出表_Excel!"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"3"),"*カレー*"),
COUNTIF(CV1,"*合計*")),"",
IF(IFERROR(INDIRECT("数出表_Excel!"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"3"),0)=0,"",
IFERROR(INDIRECT("数出表_Excel!"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"3"),""))),""))</f>
        <v/>
      </c>
      <c r="CW44" s="80"/>
      <c r="CX44" s="86" t="str">
        <f t="array" aca="1" ref="CX44" ca="1">IF(CY44&lt;&gt;"","",
IF(COUNTIF(CV43,"*雙葉*"),"",
IF(CV43&lt;&gt;"",
IF(
(COLUMN(INDIRECT("数出表_Excel!B" &amp; (MATCH(CZ1,数出表_Excel!$A:$A,0)-1))) - 1 +
MATCH(TRUE, ISNUMBER(--INDIRECT("数出表_Excel!B" &amp; (MATCH(CZ1,数出表_Excel!$A:$A,0)-1) &amp; ":U" &amp; (MATCH(CZ1,数出表_Excel!$A:$A,0)-1))), 0)+1
+MATCH(TRUE,INDIRECT("'数出表_Excel'!"&amp;CU43&amp;MATCH(CZ1,数出表_Excel!$A:$A,0)-1&amp;":AL"&amp;MATCH(CZ1,数出表_Excel!$A:$A,0)-1&amp;"")&lt;&gt;"",0))&gt;12,"",
IFERROR(
INDEX(INDIRECT("数出表_Excel!$"&amp;CU43&amp;"4:$AL4"),
 1,
MATCH(TRUE,INDIRECT("'数出表_Excel'!"&amp;CU43&amp;MATCH(CZ1,数出表_Excel!$A:$A,0)-1&amp;":AL"&amp;MATCH(CZ1,数出表_Excel!$A:$A,0)-1&amp;"")&lt;&gt;"",0)
),
 "")
&amp;IFERROR(
INDEX(INDIRECT("数出表_Excel!$"&amp;CU43&amp;"5:$AL5"),
 1,
MATCH(TRUE,INDIRECT("'数出表_Excel'!"&amp;CU43&amp;MATCH(CZ1,数出表_Excel!$A:$A,0)-1&amp;":AL"&amp;MATCH(CZ1,数出表_Excel!$A:$A,0)-1&amp;"")&lt;&gt;"",0)),
 "")),"")))</f>
        <v/>
      </c>
      <c r="CY44" s="87" t="str">
        <f t="array" aca="1" ref="CY44" ca="1">IF(CV44&lt;&gt;"",
IF(COUNTIF(CV43,"*雙葉*"),
IF(ROUND(
IF(CY49&lt;&gt;"",(CV46-CY49),CV46)
/IF(COUNTIF(CV44,"*キャラ*"),
VLOOKUP("*キャラ*",商品マスタ一覧!$D:$J,7,FALSE),
IF(COUNTIF(CV44,"*赤*"),
VLOOKUP("*赤*",商品マスタ一覧!$D:$J,7,FALSE),
VLOOKUP(CV44,商品マスタ一覧!$D:$J,7,FALSE))),0)&lt;=0,1,
ROUND(
IF(CY49&lt;&gt;"",(CV46-CY49),CV46)
/IF(COUNTIF(CV44,"*キャラ*"),
VLOOKUP("*キャラ*",商品マスタ一覧!$D:$J,7,FALSE),
IF(COUNTIF(CV44,"*赤*"),
VLOOKUP("*赤*",商品マスタ一覧!$D:$J,7,FALSE),
VLOOKUP(CV44,商品マスタ一覧!$D:$J,7,FALSE))),0)),
IF(MATCH(TRUE,
ISNUMBER(--INDIRECT("'数出表_Excel（アレルギー入力）'!B"&amp;MATCH(CZ1,'数出表_Excel（アレルギー入力）'!$A:$A,0)-1&amp;":AL"&amp;MATCH(CZ1,'数出表_Excel（アレルギー入力）'!$A:$A,0)-1&amp;"")),0)&gt;10,
IF(CV44&lt;&gt;"",
IF(IF(COUNTIF(CV44,"*キャラ*"),
VLOOKUP("*キャラ*",商品マスタ一覧!$D:$J,7,FALSE),
IF(COUNTIF(CV44,"*赤*"),
VLOOKUP("*赤*",商品マスタ一覧!$D:$J,7,FALSE),
VLOOKUP(CV44,商品マスタ一覧!$D:$J,7,FALSE)))=0,"",
IF(ROUND(
IF(CY49&lt;&gt;"",(CV46-CY49),CV46)
/IF(COUNTIF(CV44,"*キャラ*"),
VLOOKUP("*キャラ*",商品マスタ一覧!$D:$J,7,FALSE),
IF(COUNTIF(CV44,"*赤*"),
VLOOKUP("*赤*",商品マスタ一覧!$D:$J,7,FALSE),
VLOOKUP(CV44,商品マスタ一覧!$D:$J,7,FALSE))),0)&lt;=0,1,
ROUND(
IF(CY49&lt;&gt;"",(CV46-CY49),CV46)
/IF(COUNTIF(CV44,"*キャラ*"),
VLOOKUP("*キャラ*",商品マスタ一覧!$D:$J,7,FALSE),
IF(COUNTIF(CV44,"*赤*"),
VLOOKUP("*赤*",商品マスタ一覧!$D:$J,7,FALSE),
VLOOKUP(CV44,商品マスタ一覧!$D:$J,7,FALSE))),0))),""),"")),"")</f>
        <v/>
      </c>
      <c r="CZ44" s="96" t="str">
        <f ca="1">IF(CY44&lt;&gt;"",IF(CV46&lt;&gt;"",IF(VALUE(IF(CY49&lt;&gt;"",CV46-CY49,CV46))&gt;VALUE(IF(COUNTIF('盛付札（関数）'!CV44,"*キャラ*"),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VLOOKUP('盛付札（関数）'!CV44,商品マスタ一覧!$D:$J,7,FALSE)))*CY44),
"+"&amp;IF(CY49&lt;&gt;"",CV46-CY49,CV46)-IF(COUNTIF('盛付札（関数）'!CV44,"*キャラ*"),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VLOOKUP('盛付札（関数）'!CV44,商品マスタ一覧!$D:$J,7,FALSE)))*CY44,
IF(CY49&lt;&gt;"",CV46-CY49,CV46)-IF(COUNTIF('盛付札（関数）'!CV44,"*キャラ*"),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VLOOKUP('盛付札（関数）'!CV44,商品マスタ一覧!$D:$J,7,FALSE)))*CY44),""),"")</f>
        <v/>
      </c>
      <c r="DA44" s="80"/>
      <c r="DB44" s="80"/>
      <c r="DC44" s="85" t="e">
        <f t="array" aca="1" ref="DC44" ca="1">IF(DC3&lt;&gt;100,
IF(DD46&lt;&gt;"",MATCH(DD46,INDIRECT("数出表_Excel!B"&amp;MATCH(DH1,数出表_Excel!$A:$A,0)-1&amp;":U"&amp;MATCH(DH1,数出表_Excel!$A:$A,0)-1&amp;""),0)+1,""),
IF(DD46&lt;&gt;"",
MATCH(
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""),
INDIRECT("数出表_Excel!B"&amp;MATCH(DH1,数出表_Excel!$A:$A,0)-1&amp;":U"&amp;MATCH(DH1,数出表_Excel!$A:$A,0)-1&amp;""),0)+1,""))</f>
        <v>#N/A</v>
      </c>
      <c r="DD44" s="62" t="str">
        <f t="array" aca="1" ref="DD44" ca="1">IF(DD1=CW43,"",IFERROR(IF(OR(
COUNTIF(INDIRECT("数出表_Excel!"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"3"),"*配膳*"),
COUNTIF(INDIRECT("数出表_Excel!"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"3"),"*カレー*"),
COUNTIF(DD1,"*合計*")),"",
IF(IFERROR(INDIRECT("数出表_Excel!"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"3"),0)=0,"",
IFERROR(INDIRECT("数出表_Excel!"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"3"),""))),""))</f>
        <v/>
      </c>
      <c r="DE44" s="80"/>
      <c r="DF44" s="86" t="str">
        <f t="array" aca="1" ref="DF44" ca="1">IF(DG44&lt;&gt;"","",
IF(COUNTIF(DD43,"*雙葉*"),"",
IF(DD43&lt;&gt;"",
IF(
(COLUMN(INDIRECT("数出表_Excel!B" &amp; (MATCH(DH1,数出表_Excel!$A:$A,0)-1))) - 1 +
MATCH(TRUE, ISNUMBER(--INDIRECT("数出表_Excel!B" &amp; (MATCH(DH1,数出表_Excel!$A:$A,0)-1) &amp; ":U" &amp; (MATCH(DH1,数出表_Excel!$A:$A,0)-1))), 0)+1
+MATCH(TRUE,INDIRECT("'数出表_Excel'!"&amp;DC43&amp;MATCH(DH1,数出表_Excel!$A:$A,0)-1&amp;":AL"&amp;MATCH(DH1,数出表_Excel!$A:$A,0)-1&amp;"")&lt;&gt;"",0))&gt;12,"",
IFERROR(
INDEX(INDIRECT("数出表_Excel!$"&amp;DC43&amp;"4:$AL4"),
 1,
MATCH(TRUE,INDIRECT("'数出表_Excel'!"&amp;DC43&amp;MATCH(DH1,数出表_Excel!$A:$A,0)-1&amp;":AL"&amp;MATCH(DH1,数出表_Excel!$A:$A,0)-1&amp;"")&lt;&gt;"",0)
),
 "")
&amp;IFERROR(
INDEX(INDIRECT("数出表_Excel!$"&amp;DC43&amp;"5:$AL5"),
 1,
MATCH(TRUE,INDIRECT("'数出表_Excel'!"&amp;DC43&amp;MATCH(DH1,数出表_Excel!$A:$A,0)-1&amp;":AL"&amp;MATCH(DH1,数出表_Excel!$A:$A,0)-1&amp;"")&lt;&gt;"",0)),
 "")),"")))</f>
        <v/>
      </c>
      <c r="DG44" s="87" t="str">
        <f t="array" aca="1" ref="DG44" ca="1">IF(DD44&lt;&gt;"",
IF(COUNTIF(DD43,"*雙葉*"),
IF(ROUND(
IF(DG49&lt;&gt;"",(DD46-DG49),DD46)
/IF(COUNTIF(DD44,"*キャラ*"),
VLOOKUP("*キャラ*",商品マスタ一覧!$D:$J,7,FALSE),
IF(COUNTIF(DD44,"*赤*"),
VLOOKUP("*赤*",商品マスタ一覧!$D:$J,7,FALSE),
VLOOKUP(DD44,商品マスタ一覧!$D:$J,7,FALSE))),0)&lt;=0,1,
ROUND(
IF(DG49&lt;&gt;"",(DD46-DG49),DD46)
/IF(COUNTIF(DD44,"*キャラ*"),
VLOOKUP("*キャラ*",商品マスタ一覧!$D:$J,7,FALSE),
IF(COUNTIF(DD44,"*赤*"),
VLOOKUP("*赤*",商品マスタ一覧!$D:$J,7,FALSE),
VLOOKUP(DD44,商品マスタ一覧!$D:$J,7,FALSE))),0)),
IF(MATCH(TRUE,
ISNUMBER(--INDIRECT("'数出表_Excel（アレルギー入力）'!B"&amp;MATCH(DH1,'数出表_Excel（アレルギー入力）'!$A:$A,0)-1&amp;":AL"&amp;MATCH(DH1,'数出表_Excel（アレルギー入力）'!$A:$A,0)-1&amp;"")),0)&gt;10,
IF(DD44&lt;&gt;"",
IF(IF(COUNTIF(DD44,"*キャラ*"),
VLOOKUP("*キャラ*",商品マスタ一覧!$D:$J,7,FALSE),
IF(COUNTIF(DD44,"*赤*"),
VLOOKUP("*赤*",商品マスタ一覧!$D:$J,7,FALSE),
VLOOKUP(DD44,商品マスタ一覧!$D:$J,7,FALSE)))=0,"",
IF(ROUND(
IF(DG49&lt;&gt;"",(DD46-DG49),DD46)
/IF(COUNTIF(DD44,"*キャラ*"),
VLOOKUP("*キャラ*",商品マスタ一覧!$D:$J,7,FALSE),
IF(COUNTIF(DD44,"*赤*"),
VLOOKUP("*赤*",商品マスタ一覧!$D:$J,7,FALSE),
VLOOKUP(DD44,商品マスタ一覧!$D:$J,7,FALSE))),0)&lt;=0,1,
ROUND(
IF(DG49&lt;&gt;"",(DD46-DG49),DD46)
/IF(COUNTIF(DD44,"*キャラ*"),
VLOOKUP("*キャラ*",商品マスタ一覧!$D:$J,7,FALSE),
IF(COUNTIF(DD44,"*赤*"),
VLOOKUP("*赤*",商品マスタ一覧!$D:$J,7,FALSE),
VLOOKUP(DD44,商品マスタ一覧!$D:$J,7,FALSE))),0))),""),"")),"")</f>
        <v/>
      </c>
      <c r="DH44" s="96" t="str">
        <f ca="1">IF(DG44&lt;&gt;"",IF(DD46&lt;&gt;"",IF(VALUE(IF(DG49&lt;&gt;"",DD46-DG49,DD46))&gt;VALUE(IF(COUNTIF('盛付札（関数）'!DD44,"*キャラ*"),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VLOOKUP('盛付札（関数）'!DD44,商品マスタ一覧!$D:$J,7,FALSE)))*DG44),
"+"&amp;IF(DG49&lt;&gt;"",DD46-DG49,DD46)-IF(COUNTIF('盛付札（関数）'!DD44,"*キャラ*"),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VLOOKUP('盛付札（関数）'!DD44,商品マスタ一覧!$D:$J,7,FALSE)))*DG44,
IF(DG49&lt;&gt;"",DD46-DG49,DD46)-IF(COUNTIF('盛付札（関数）'!DD44,"*キャラ*"),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VLOOKUP('盛付札（関数）'!DD44,商品マスタ一覧!$D:$J,7,FALSE)))*DG44),""),"")</f>
        <v/>
      </c>
      <c r="DI44" s="80"/>
      <c r="DJ44" s="85" t="e">
        <f t="array" aca="1" ref="DJ44" ca="1">IF(DJ3&lt;&gt;100,
IF(DK46&lt;&gt;"",MATCH(DK46,INDIRECT("数出表_Excel!B"&amp;MATCH(DO1,数出表_Excel!$A:$A,0)-1&amp;":U"&amp;MATCH(DO1,数出表_Excel!$A:$A,0)-1&amp;""),0)+1,""),
IF(DK46&lt;&gt;"",
MATCH(
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""),
INDIRECT("数出表_Excel!B"&amp;MATCH(DO1,数出表_Excel!$A:$A,0)-1&amp;":U"&amp;MATCH(DO1,数出表_Excel!$A:$A,0)-1&amp;""),0)+1,""))</f>
        <v>#N/A</v>
      </c>
      <c r="DK44" s="62" t="str">
        <f t="array" aca="1" ref="DK44" ca="1">IF(DK1=DD43,"",IFERROR(IF(OR(
COUNTIF(INDIRECT("数出表_Excel!"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"3"),"*配膳*"),
COUNTIF(INDIRECT("数出表_Excel!"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"3"),"*カレー*"),
COUNTIF(DK1,"*合計*")),"",
IF(IFERROR(INDIRECT("数出表_Excel!"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"3"),0)=0,"",
IFERROR(INDIRECT("数出表_Excel!"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"3"),""))),""))</f>
        <v/>
      </c>
      <c r="DL44" s="80"/>
      <c r="DM44" s="86" t="str">
        <f t="array" aca="1" ref="DM44" ca="1">IF(DN44&lt;&gt;"","",
IF(COUNTIF(DK43,"*雙葉*"),"",
IF(DK43&lt;&gt;"",
IF(
(COLUMN(INDIRECT("数出表_Excel!B" &amp; (MATCH(DO1,数出表_Excel!$A:$A,0)-1))) - 1 +
MATCH(TRUE, ISNUMBER(--INDIRECT("数出表_Excel!B" &amp; (MATCH(DO1,数出表_Excel!$A:$A,0)-1) &amp; ":U" &amp; (MATCH(DO1,数出表_Excel!$A:$A,0)-1))), 0)+1
+MATCH(TRUE,INDIRECT("'数出表_Excel'!"&amp;DJ43&amp;MATCH(DO1,数出表_Excel!$A:$A,0)-1&amp;":AL"&amp;MATCH(DO1,数出表_Excel!$A:$A,0)-1&amp;"")&lt;&gt;"",0))&gt;12,"",
IFERROR(
INDEX(INDIRECT("数出表_Excel!$"&amp;DJ43&amp;"4:$AL4"),
 1,
MATCH(TRUE,INDIRECT("'数出表_Excel'!"&amp;DJ43&amp;MATCH(DO1,数出表_Excel!$A:$A,0)-1&amp;":AL"&amp;MATCH(DO1,数出表_Excel!$A:$A,0)-1&amp;"")&lt;&gt;"",0)
),
 "")
&amp;IFERROR(
INDEX(INDIRECT("数出表_Excel!$"&amp;DJ43&amp;"5:$AL5"),
 1,
MATCH(TRUE,INDIRECT("'数出表_Excel'!"&amp;DJ43&amp;MATCH(DO1,数出表_Excel!$A:$A,0)-1&amp;":AL"&amp;MATCH(DO1,数出表_Excel!$A:$A,0)-1&amp;"")&lt;&gt;"",0)),
 "")),"")))</f>
        <v/>
      </c>
      <c r="DN44" s="87" t="str">
        <f t="array" aca="1" ref="DN44" ca="1">IF(DK44&lt;&gt;"",
IF(COUNTIF(DK43,"*雙葉*"),
IF(ROUND(
IF(DN49&lt;&gt;"",(DK46-DN49),DK46)
/IF(COUNTIF(DK44,"*キャラ*"),
VLOOKUP("*キャラ*",商品マスタ一覧!$D:$J,7,FALSE),
IF(COUNTIF(DK44,"*赤*"),
VLOOKUP("*赤*",商品マスタ一覧!$D:$J,7,FALSE),
VLOOKUP(DK44,商品マスタ一覧!$D:$J,7,FALSE))),0)&lt;=0,1,
ROUND(
IF(DN49&lt;&gt;"",(DK46-DN49),DK46)
/IF(COUNTIF(DK44,"*キャラ*"),
VLOOKUP("*キャラ*",商品マスタ一覧!$D:$J,7,FALSE),
IF(COUNTIF(DK44,"*赤*"),
VLOOKUP("*赤*",商品マスタ一覧!$D:$J,7,FALSE),
VLOOKUP(DK44,商品マスタ一覧!$D:$J,7,FALSE))),0)),
IF(MATCH(TRUE,
ISNUMBER(--INDIRECT("'数出表_Excel（アレルギー入力）'!B"&amp;MATCH(DO1,'数出表_Excel（アレルギー入力）'!$A:$A,0)-1&amp;":AL"&amp;MATCH(DO1,'数出表_Excel（アレルギー入力）'!$A:$A,0)-1&amp;"")),0)&gt;10,
IF(DK44&lt;&gt;"",
IF(IF(COUNTIF(DK44,"*キャラ*"),
VLOOKUP("*キャラ*",商品マスタ一覧!$D:$J,7,FALSE),
IF(COUNTIF(DK44,"*赤*"),
VLOOKUP("*赤*",商品マスタ一覧!$D:$J,7,FALSE),
VLOOKUP(DK44,商品マスタ一覧!$D:$J,7,FALSE)))=0,"",
IF(ROUND(
IF(DN49&lt;&gt;"",(DK46-DN49),DK46)
/IF(COUNTIF(DK44,"*キャラ*"),
VLOOKUP("*キャラ*",商品マスタ一覧!$D:$J,7,FALSE),
IF(COUNTIF(DK44,"*赤*"),
VLOOKUP("*赤*",商品マスタ一覧!$D:$J,7,FALSE),
VLOOKUP(DK44,商品マスタ一覧!$D:$J,7,FALSE))),0)&lt;=0,1,
ROUND(
IF(DN49&lt;&gt;"",(DK46-DN49),DK46)
/IF(COUNTIF(DK44,"*キャラ*"),
VLOOKUP("*キャラ*",商品マスタ一覧!$D:$J,7,FALSE),
IF(COUNTIF(DK44,"*赤*"),
VLOOKUP("*赤*",商品マスタ一覧!$D:$J,7,FALSE),
VLOOKUP(DK44,商品マスタ一覧!$D:$J,7,FALSE))),0))),""),"")),"")</f>
        <v/>
      </c>
      <c r="DO44" s="96" t="str">
        <f ca="1">IF(DN44&lt;&gt;"",IF(DK46&lt;&gt;"",IF(VALUE(IF(DN49&lt;&gt;"",DK46-DN49,DK46))&gt;VALUE(IF(COUNTIF('盛付札（関数）'!DK44,"*キャラ*"),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VLOOKUP('盛付札（関数）'!DK44,商品マスタ一覧!$D:$J,7,FALSE)))*DN44),
"+"&amp;IF(DN49&lt;&gt;"",DK46-DN49,DK46)-IF(COUNTIF('盛付札（関数）'!DK44,"*キャラ*"),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VLOOKUP('盛付札（関数）'!DK44,商品マスタ一覧!$D:$J,7,FALSE)))*DN44,
IF(DN49&lt;&gt;"",DK46-DN49,DK46)-IF(COUNTIF('盛付札（関数）'!DK44,"*キャラ*"),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VLOOKUP('盛付札（関数）'!DK44,商品マスタ一覧!$D:$J,7,FALSE)))*DN44),""),"")</f>
        <v/>
      </c>
      <c r="DP44" s="80"/>
      <c r="DQ44" s="80"/>
      <c r="DR44" s="85" t="e">
        <f t="array" aca="1" ref="DR44" ca="1">IF(DR3&lt;&gt;100,
IF(DS46&lt;&gt;"",MATCH(DS46,INDIRECT("数出表_Excel!B"&amp;MATCH(DW1,数出表_Excel!$A:$A,0)-1&amp;":U"&amp;MATCH(DW1,数出表_Excel!$A:$A,0)-1&amp;""),0)+1,""),
IF(DS46&lt;&gt;"",
MATCH(
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""),
INDIRECT("数出表_Excel!B"&amp;MATCH(DW1,数出表_Excel!$A:$A,0)-1&amp;":U"&amp;MATCH(DW1,数出表_Excel!$A:$A,0)-1&amp;""),0)+1,""))</f>
        <v>#N/A</v>
      </c>
      <c r="DS44" s="62" t="str">
        <f t="array" aca="1" ref="DS44" ca="1">IF(DS1=DL43,"",IFERROR(IF(OR(
COUNTIF(INDIRECT("数出表_Excel!"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"3"),"*配膳*"),
COUNTIF(INDIRECT("数出表_Excel!"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"3"),"*カレー*"),
COUNTIF(DS1,"*合計*")),"",
IF(IFERROR(INDIRECT("数出表_Excel!"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"3"),0)=0,"",
IFERROR(INDIRECT("数出表_Excel!"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"3"),""))),""))</f>
        <v/>
      </c>
      <c r="DT44" s="80"/>
      <c r="DU44" s="86" t="str">
        <f t="array" aca="1" ref="DU44" ca="1">IF(DV44&lt;&gt;"","",
IF(COUNTIF(DS43,"*雙葉*"),"",
IF(DS43&lt;&gt;"",
IF(
(COLUMN(INDIRECT("数出表_Excel!B" &amp; (MATCH(DW1,数出表_Excel!$A:$A,0)-1))) - 1 +
MATCH(TRUE, ISNUMBER(--INDIRECT("数出表_Excel!B" &amp; (MATCH(DW1,数出表_Excel!$A:$A,0)-1) &amp; ":U" &amp; (MATCH(DW1,数出表_Excel!$A:$A,0)-1))), 0)+1
+MATCH(TRUE,INDIRECT("'数出表_Excel'!"&amp;DR43&amp;MATCH(DW1,数出表_Excel!$A:$A,0)-1&amp;":AL"&amp;MATCH(DW1,数出表_Excel!$A:$A,0)-1&amp;"")&lt;&gt;"",0))&gt;12,"",
IFERROR(
INDEX(INDIRECT("数出表_Excel!$"&amp;DR43&amp;"4:$AL4"),
 1,
MATCH(TRUE,INDIRECT("'数出表_Excel'!"&amp;DR43&amp;MATCH(DW1,数出表_Excel!$A:$A,0)-1&amp;":AL"&amp;MATCH(DW1,数出表_Excel!$A:$A,0)-1&amp;"")&lt;&gt;"",0)
),
 "")
&amp;IFERROR(
INDEX(INDIRECT("数出表_Excel!$"&amp;DR43&amp;"5:$AL5"),
 1,
MATCH(TRUE,INDIRECT("'数出表_Excel'!"&amp;DR43&amp;MATCH(DW1,数出表_Excel!$A:$A,0)-1&amp;":AL"&amp;MATCH(DW1,数出表_Excel!$A:$A,0)-1&amp;"")&lt;&gt;"",0)),
 "")),"")))</f>
        <v/>
      </c>
      <c r="DV44" s="87" t="str">
        <f t="array" aca="1" ref="DV44" ca="1">IF(DS44&lt;&gt;"",
IF(COUNTIF(DS43,"*雙葉*"),
IF(ROUND(
IF(DV49&lt;&gt;"",(DS46-DV49),DS46)
/IF(COUNTIF(DS44,"*キャラ*"),
VLOOKUP("*キャラ*",商品マスタ一覧!$D:$J,7,FALSE),
IF(COUNTIF(DS44,"*赤*"),
VLOOKUP("*赤*",商品マスタ一覧!$D:$J,7,FALSE),
VLOOKUP(DS44,商品マスタ一覧!$D:$J,7,FALSE))),0)&lt;=0,1,
ROUND(
IF(DV49&lt;&gt;"",(DS46-DV49),DS46)
/IF(COUNTIF(DS44,"*キャラ*"),
VLOOKUP("*キャラ*",商品マスタ一覧!$D:$J,7,FALSE),
IF(COUNTIF(DS44,"*赤*"),
VLOOKUP("*赤*",商品マスタ一覧!$D:$J,7,FALSE),
VLOOKUP(DS44,商品マスタ一覧!$D:$J,7,FALSE))),0)),
IF(MATCH(TRUE,
ISNUMBER(--INDIRECT("'数出表_Excel（アレルギー入力）'!B"&amp;MATCH(DW1,'数出表_Excel（アレルギー入力）'!$A:$A,0)-1&amp;":AL"&amp;MATCH(DW1,'数出表_Excel（アレルギー入力）'!$A:$A,0)-1&amp;"")),0)&gt;10,
IF(DS44&lt;&gt;"",
IF(IF(COUNTIF(DS44,"*キャラ*"),
VLOOKUP("*キャラ*",商品マスタ一覧!$D:$J,7,FALSE),
IF(COUNTIF(DS44,"*赤*"),
VLOOKUP("*赤*",商品マスタ一覧!$D:$J,7,FALSE),
VLOOKUP(DS44,商品マスタ一覧!$D:$J,7,FALSE)))=0,"",
IF(ROUND(
IF(DV49&lt;&gt;"",(DS46-DV49),DS46)
/IF(COUNTIF(DS44,"*キャラ*"),
VLOOKUP("*キャラ*",商品マスタ一覧!$D:$J,7,FALSE),
IF(COUNTIF(DS44,"*赤*"),
VLOOKUP("*赤*",商品マスタ一覧!$D:$J,7,FALSE),
VLOOKUP(DS44,商品マスタ一覧!$D:$J,7,FALSE))),0)&lt;=0,1,
ROUND(
IF(DV49&lt;&gt;"",(DS46-DV49),DS46)
/IF(COUNTIF(DS44,"*キャラ*"),
VLOOKUP("*キャラ*",商品マスタ一覧!$D:$J,7,FALSE),
IF(COUNTIF(DS44,"*赤*"),
VLOOKUP("*赤*",商品マスタ一覧!$D:$J,7,FALSE),
VLOOKUP(DS44,商品マスタ一覧!$D:$J,7,FALSE))),0))),""),"")),"")</f>
        <v/>
      </c>
      <c r="DW44" s="96" t="str">
        <f ca="1">IF(DV44&lt;&gt;"",IF(DS46&lt;&gt;"",IF(VALUE(IF(DV49&lt;&gt;"",DS46-DV49,DS46))&gt;VALUE(IF(COUNTIF('盛付札（関数）'!DS44,"*キャラ*"),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VLOOKUP('盛付札（関数）'!DS44,商品マスタ一覧!$D:$J,7,FALSE)))*DV44),
"+"&amp;IF(DV49&lt;&gt;"",DS46-DV49,DS46)-IF(COUNTIF('盛付札（関数）'!DS44,"*キャラ*"),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VLOOKUP('盛付札（関数）'!DS44,商品マスタ一覧!$D:$J,7,FALSE)))*DV44,
IF(DV49&lt;&gt;"",DS46-DV49,DS46)-IF(COUNTIF('盛付札（関数）'!DS44,"*キャラ*"),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VLOOKUP('盛付札（関数）'!DS44,商品マスタ一覧!$D:$J,7,FALSE)))*DV44),""),"")</f>
        <v/>
      </c>
      <c r="DX44" s="80"/>
      <c r="DY44" s="85" t="e">
        <f t="array" aca="1" ref="DY44" ca="1">IF(DY3&lt;&gt;100,
IF(DZ46&lt;&gt;"",MATCH(DZ46,INDIRECT("数出表_Excel!B"&amp;MATCH(ED1,数出表_Excel!$A:$A,0)-1&amp;":U"&amp;MATCH(ED1,数出表_Excel!$A:$A,0)-1&amp;""),0)+1,""),
IF(DZ46&lt;&gt;"",
MATCH(
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""),
INDIRECT("数出表_Excel!B"&amp;MATCH(ED1,数出表_Excel!$A:$A,0)-1&amp;":U"&amp;MATCH(ED1,数出表_Excel!$A:$A,0)-1&amp;""),0)+1,""))</f>
        <v>#N/A</v>
      </c>
      <c r="DZ44" s="62" t="str">
        <f t="array" aca="1" ref="DZ44" ca="1">IF(DZ1=DS43,"",IFERROR(IF(OR(
COUNTIF(INDIRECT("数出表_Excel!"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"3"),"*配膳*"),
COUNTIF(INDIRECT("数出表_Excel!"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"3"),"*カレー*"),
COUNTIF(DZ1,"*合計*")),"",
IF(IFERROR(INDIRECT("数出表_Excel!"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"3"),0)=0,"",
IFERROR(INDIRECT("数出表_Excel!"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"3"),""))),""))</f>
        <v/>
      </c>
      <c r="EA44" s="80"/>
      <c r="EB44" s="86" t="str">
        <f t="array" aca="1" ref="EB44" ca="1">IF(EC44&lt;&gt;"","",
IF(COUNTIF(DZ43,"*雙葉*"),"",
IF(DZ43&lt;&gt;"",
IF(
(COLUMN(INDIRECT("数出表_Excel!B" &amp; (MATCH(ED1,数出表_Excel!$A:$A,0)-1))) - 1 +
MATCH(TRUE, ISNUMBER(--INDIRECT("数出表_Excel!B" &amp; (MATCH(ED1,数出表_Excel!$A:$A,0)-1) &amp; ":U" &amp; (MATCH(ED1,数出表_Excel!$A:$A,0)-1))), 0)+1
+MATCH(TRUE,INDIRECT("'数出表_Excel'!"&amp;DY43&amp;MATCH(ED1,数出表_Excel!$A:$A,0)-1&amp;":AL"&amp;MATCH(ED1,数出表_Excel!$A:$A,0)-1&amp;"")&lt;&gt;"",0))&gt;12,"",
IFERROR(
INDEX(INDIRECT("数出表_Excel!$"&amp;DY43&amp;"4:$AL4"),
 1,
MATCH(TRUE,INDIRECT("'数出表_Excel'!"&amp;DY43&amp;MATCH(ED1,数出表_Excel!$A:$A,0)-1&amp;":AL"&amp;MATCH(ED1,数出表_Excel!$A:$A,0)-1&amp;"")&lt;&gt;"",0)
),
 "")
&amp;IFERROR(
INDEX(INDIRECT("数出表_Excel!$"&amp;DY43&amp;"5:$AL5"),
 1,
MATCH(TRUE,INDIRECT("'数出表_Excel'!"&amp;DY43&amp;MATCH(ED1,数出表_Excel!$A:$A,0)-1&amp;":AL"&amp;MATCH(ED1,数出表_Excel!$A:$A,0)-1&amp;"")&lt;&gt;"",0)),
 "")),"")))</f>
        <v/>
      </c>
      <c r="EC44" s="87" t="str">
        <f t="array" aca="1" ref="EC44" ca="1">IF(DZ44&lt;&gt;"",
IF(COUNTIF(DZ43,"*雙葉*"),
IF(ROUND(
IF(EC49&lt;&gt;"",(DZ46-EC49),DZ46)
/IF(COUNTIF(DZ44,"*キャラ*"),
VLOOKUP("*キャラ*",商品マスタ一覧!$D:$J,7,FALSE),
IF(COUNTIF(DZ44,"*赤*"),
VLOOKUP("*赤*",商品マスタ一覧!$D:$J,7,FALSE),
VLOOKUP(DZ44,商品マスタ一覧!$D:$J,7,FALSE))),0)&lt;=0,1,
ROUND(
IF(EC49&lt;&gt;"",(DZ46-EC49),DZ46)
/IF(COUNTIF(DZ44,"*キャラ*"),
VLOOKUP("*キャラ*",商品マスタ一覧!$D:$J,7,FALSE),
IF(COUNTIF(DZ44,"*赤*"),
VLOOKUP("*赤*",商品マスタ一覧!$D:$J,7,FALSE),
VLOOKUP(DZ44,商品マスタ一覧!$D:$J,7,FALSE))),0)),
IF(MATCH(TRUE,
ISNUMBER(--INDIRECT("'数出表_Excel（アレルギー入力）'!B"&amp;MATCH(ED1,'数出表_Excel（アレルギー入力）'!$A:$A,0)-1&amp;":AL"&amp;MATCH(ED1,'数出表_Excel（アレルギー入力）'!$A:$A,0)-1&amp;"")),0)&gt;10,
IF(DZ44&lt;&gt;"",
IF(IF(COUNTIF(DZ44,"*キャラ*"),
VLOOKUP("*キャラ*",商品マスタ一覧!$D:$J,7,FALSE),
IF(COUNTIF(DZ44,"*赤*"),
VLOOKUP("*赤*",商品マスタ一覧!$D:$J,7,FALSE),
VLOOKUP(DZ44,商品マスタ一覧!$D:$J,7,FALSE)))=0,"",
IF(ROUND(
IF(EC49&lt;&gt;"",(DZ46-EC49),DZ46)
/IF(COUNTIF(DZ44,"*キャラ*"),
VLOOKUP("*キャラ*",商品マスタ一覧!$D:$J,7,FALSE),
IF(COUNTIF(DZ44,"*赤*"),
VLOOKUP("*赤*",商品マスタ一覧!$D:$J,7,FALSE),
VLOOKUP(DZ44,商品マスタ一覧!$D:$J,7,FALSE))),0)&lt;=0,1,
ROUND(
IF(EC49&lt;&gt;"",(DZ46-EC49),DZ46)
/IF(COUNTIF(DZ44,"*キャラ*"),
VLOOKUP("*キャラ*",商品マスタ一覧!$D:$J,7,FALSE),
IF(COUNTIF(DZ44,"*赤*"),
VLOOKUP("*赤*",商品マスタ一覧!$D:$J,7,FALSE),
VLOOKUP(DZ44,商品マスタ一覧!$D:$J,7,FALSE))),0))),""),"")),"")</f>
        <v/>
      </c>
      <c r="ED44" s="96" t="str">
        <f ca="1">IF(EC44&lt;&gt;"",IF(DZ46&lt;&gt;"",IF(VALUE(IF(EC49&lt;&gt;"",DZ46-EC49,DZ46))&gt;VALUE(IF(COUNTIF('盛付札（関数）'!DZ44,"*キャラ*"),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VLOOKUP('盛付札（関数）'!DZ44,商品マスタ一覧!$D:$J,7,FALSE)))*EC44),
"+"&amp;IF(EC49&lt;&gt;"",DZ46-EC49,DZ46)-IF(COUNTIF('盛付札（関数）'!DZ44,"*キャラ*"),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VLOOKUP('盛付札（関数）'!DZ44,商品マスタ一覧!$D:$J,7,FALSE)))*EC44,
IF(EC49&lt;&gt;"",DZ46-EC49,DZ46)-IF(COUNTIF('盛付札（関数）'!DZ44,"*キャラ*"),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VLOOKUP('盛付札（関数）'!DZ44,商品マスタ一覧!$D:$J,7,FALSE)))*EC44),""),"")</f>
        <v/>
      </c>
      <c r="EE44" s="80"/>
      <c r="EF44" s="80"/>
      <c r="EG44" s="85" t="e">
        <f t="array" aca="1" ref="EG44" ca="1">IF(EG3&lt;&gt;100,
IF(EH46&lt;&gt;"",MATCH(EH46,INDIRECT("数出表_Excel!B"&amp;MATCH(EL1,数出表_Excel!$A:$A,0)-1&amp;":U"&amp;MATCH(EL1,数出表_Excel!$A:$A,0)-1&amp;""),0)+1,""),
IF(EH46&lt;&gt;"",
MATCH(
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""),
INDIRECT("数出表_Excel!B"&amp;MATCH(EL1,数出表_Excel!$A:$A,0)-1&amp;":U"&amp;MATCH(EL1,数出表_Excel!$A:$A,0)-1&amp;""),0)+1,""))</f>
        <v>#N/A</v>
      </c>
      <c r="EH44" s="62" t="str">
        <f t="array" aca="1" ref="EH44" ca="1">IF(EH1=EA43,"",IFERROR(IF(OR(
COUNTIF(INDIRECT("数出表_Excel!"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"3"),"*配膳*"),
COUNTIF(INDIRECT("数出表_Excel!"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"3"),"*カレー*"),
COUNTIF(EH1,"*合計*")),"",
IF(IFERROR(INDIRECT("数出表_Excel!"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"3"),0)=0,"",
IFERROR(INDIRECT("数出表_Excel!"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"3"),""))),""))</f>
        <v/>
      </c>
      <c r="EI44" s="80"/>
      <c r="EJ44" s="86" t="str">
        <f t="array" aca="1" ref="EJ44" ca="1">IF(EK44&lt;&gt;"","",
IF(COUNTIF(EH43,"*雙葉*"),"",
IF(EH43&lt;&gt;"",
IF(
(COLUMN(INDIRECT("数出表_Excel!B" &amp; (MATCH(EL1,数出表_Excel!$A:$A,0)-1))) - 1 +
MATCH(TRUE, ISNUMBER(--INDIRECT("数出表_Excel!B" &amp; (MATCH(EL1,数出表_Excel!$A:$A,0)-1) &amp; ":U" &amp; (MATCH(EL1,数出表_Excel!$A:$A,0)-1))), 0)+1
+MATCH(TRUE,INDIRECT("'数出表_Excel'!"&amp;EG43&amp;MATCH(EL1,数出表_Excel!$A:$A,0)-1&amp;":AL"&amp;MATCH(EL1,数出表_Excel!$A:$A,0)-1&amp;"")&lt;&gt;"",0))&gt;12,"",
IFERROR(
INDEX(INDIRECT("数出表_Excel!$"&amp;EG43&amp;"4:$AL4"),
 1,
MATCH(TRUE,INDIRECT("'数出表_Excel'!"&amp;EG43&amp;MATCH(EL1,数出表_Excel!$A:$A,0)-1&amp;":AL"&amp;MATCH(EL1,数出表_Excel!$A:$A,0)-1&amp;"")&lt;&gt;"",0)
),
 "")
&amp;IFERROR(
INDEX(INDIRECT("数出表_Excel!$"&amp;EG43&amp;"5:$AL5"),
 1,
MATCH(TRUE,INDIRECT("'数出表_Excel'!"&amp;EG43&amp;MATCH(EL1,数出表_Excel!$A:$A,0)-1&amp;":AL"&amp;MATCH(EL1,数出表_Excel!$A:$A,0)-1&amp;"")&lt;&gt;"",0)),
 "")),"")))</f>
        <v/>
      </c>
      <c r="EK44" s="87" t="str">
        <f t="array" aca="1" ref="EK44" ca="1">IF(EH44&lt;&gt;"",
IF(COUNTIF(EH43,"*雙葉*"),
IF(ROUND(
IF(EK49&lt;&gt;"",(EH46-EK49),EH46)
/IF(COUNTIF(EH44,"*キャラ*"),
VLOOKUP("*キャラ*",商品マスタ一覧!$D:$J,7,FALSE),
IF(COUNTIF(EH44,"*赤*"),
VLOOKUP("*赤*",商品マスタ一覧!$D:$J,7,FALSE),
VLOOKUP(EH44,商品マスタ一覧!$D:$J,7,FALSE))),0)&lt;=0,1,
ROUND(
IF(EK49&lt;&gt;"",(EH46-EK49),EH46)
/IF(COUNTIF(EH44,"*キャラ*"),
VLOOKUP("*キャラ*",商品マスタ一覧!$D:$J,7,FALSE),
IF(COUNTIF(EH44,"*赤*"),
VLOOKUP("*赤*",商品マスタ一覧!$D:$J,7,FALSE),
VLOOKUP(EH44,商品マスタ一覧!$D:$J,7,FALSE))),0)),
IF(MATCH(TRUE,
ISNUMBER(--INDIRECT("'数出表_Excel（アレルギー入力）'!B"&amp;MATCH(EL1,'数出表_Excel（アレルギー入力）'!$A:$A,0)-1&amp;":AL"&amp;MATCH(EL1,'数出表_Excel（アレルギー入力）'!$A:$A,0)-1&amp;"")),0)&gt;10,
IF(EH44&lt;&gt;"",
IF(IF(COUNTIF(EH44,"*キャラ*"),
VLOOKUP("*キャラ*",商品マスタ一覧!$D:$J,7,FALSE),
IF(COUNTIF(EH44,"*赤*"),
VLOOKUP("*赤*",商品マスタ一覧!$D:$J,7,FALSE),
VLOOKUP(EH44,商品マスタ一覧!$D:$J,7,FALSE)))=0,"",
IF(ROUND(
IF(EK49&lt;&gt;"",(EH46-EK49),EH46)
/IF(COUNTIF(EH44,"*キャラ*"),
VLOOKUP("*キャラ*",商品マスタ一覧!$D:$J,7,FALSE),
IF(COUNTIF(EH44,"*赤*"),
VLOOKUP("*赤*",商品マスタ一覧!$D:$J,7,FALSE),
VLOOKUP(EH44,商品マスタ一覧!$D:$J,7,FALSE))),0)&lt;=0,1,
ROUND(
IF(EK49&lt;&gt;"",(EH46-EK49),EH46)
/IF(COUNTIF(EH44,"*キャラ*"),
VLOOKUP("*キャラ*",商品マスタ一覧!$D:$J,7,FALSE),
IF(COUNTIF(EH44,"*赤*"),
VLOOKUP("*赤*",商品マスタ一覧!$D:$J,7,FALSE),
VLOOKUP(EH44,商品マスタ一覧!$D:$J,7,FALSE))),0))),""),"")),"")</f>
        <v/>
      </c>
      <c r="EL44" s="96" t="str">
        <f ca="1">IF(EK44&lt;&gt;"",IF(EH46&lt;&gt;"",IF(VALUE(IF(EK49&lt;&gt;"",EH46-EK49,EH46))&gt;VALUE(IF(COUNTIF('盛付札（関数）'!EH44,"*キャラ*"),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VLOOKUP('盛付札（関数）'!EH44,商品マスタ一覧!$D:$J,7,FALSE)))*EK44),
"+"&amp;IF(EK49&lt;&gt;"",EH46-EK49,EH46)-IF(COUNTIF('盛付札（関数）'!EH44,"*キャラ*"),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VLOOKUP('盛付札（関数）'!EH44,商品マスタ一覧!$D:$J,7,FALSE)))*EK44,
IF(EK49&lt;&gt;"",EH46-EK49,EH46)-IF(COUNTIF('盛付札（関数）'!EH44,"*キャラ*"),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VLOOKUP('盛付札（関数）'!EH44,商品マスタ一覧!$D:$J,7,FALSE)))*EK44),""),"")</f>
        <v/>
      </c>
      <c r="EM44" s="80"/>
      <c r="EN44" s="85" t="e">
        <f t="array" aca="1" ref="EN44" ca="1">IF(EN3&lt;&gt;100,
IF(EO46&lt;&gt;"",MATCH(EO46,INDIRECT("数出表_Excel!B"&amp;MATCH(ES1,数出表_Excel!$A:$A,0)-1&amp;":U"&amp;MATCH(ES1,数出表_Excel!$A:$A,0)-1&amp;""),0)+1,""),
IF(EO46&lt;&gt;"",
MATCH(
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""),
INDIRECT("数出表_Excel!B"&amp;MATCH(ES1,数出表_Excel!$A:$A,0)-1&amp;":U"&amp;MATCH(ES1,数出表_Excel!$A:$A,0)-1&amp;""),0)+1,""))</f>
        <v>#N/A</v>
      </c>
      <c r="EO44" s="62" t="str">
        <f t="array" aca="1" ref="EO44" ca="1">IF(EO1=EH43,"",IFERROR(IF(OR(
COUNTIF(INDIRECT("数出表_Excel!"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"3"),"*配膳*"),
COUNTIF(INDIRECT("数出表_Excel!"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"3"),"*カレー*"),
COUNTIF(EO1,"*合計*")),"",
IF(IFERROR(INDIRECT("数出表_Excel!"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"3"),0)=0,"",
IFERROR(INDIRECT("数出表_Excel!"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"3"),""))),""))</f>
        <v/>
      </c>
      <c r="EP44" s="80"/>
      <c r="EQ44" s="86" t="str">
        <f t="array" aca="1" ref="EQ44" ca="1">IF(ER44&lt;&gt;"","",
IF(COUNTIF(EO43,"*雙葉*"),"",
IF(EO43&lt;&gt;"",
IF(
(COLUMN(INDIRECT("数出表_Excel!B" &amp; (MATCH(ES1,数出表_Excel!$A:$A,0)-1))) - 1 +
MATCH(TRUE, ISNUMBER(--INDIRECT("数出表_Excel!B" &amp; (MATCH(ES1,数出表_Excel!$A:$A,0)-1) &amp; ":U" &amp; (MATCH(ES1,数出表_Excel!$A:$A,0)-1))), 0)+1
+MATCH(TRUE,INDIRECT("'数出表_Excel'!"&amp;EN43&amp;MATCH(ES1,数出表_Excel!$A:$A,0)-1&amp;":AL"&amp;MATCH(ES1,数出表_Excel!$A:$A,0)-1&amp;"")&lt;&gt;"",0))&gt;12,"",
IFERROR(
INDEX(INDIRECT("数出表_Excel!$"&amp;EN43&amp;"4:$AL4"),
 1,
MATCH(TRUE,INDIRECT("'数出表_Excel'!"&amp;EN43&amp;MATCH(ES1,数出表_Excel!$A:$A,0)-1&amp;":AL"&amp;MATCH(ES1,数出表_Excel!$A:$A,0)-1&amp;"")&lt;&gt;"",0)
),
 "")
&amp;IFERROR(
INDEX(INDIRECT("数出表_Excel!$"&amp;EN43&amp;"5:$AL5"),
 1,
MATCH(TRUE,INDIRECT("'数出表_Excel'!"&amp;EN43&amp;MATCH(ES1,数出表_Excel!$A:$A,0)-1&amp;":AL"&amp;MATCH(ES1,数出表_Excel!$A:$A,0)-1&amp;"")&lt;&gt;"",0)),
 "")),"")))</f>
        <v/>
      </c>
      <c r="ER44" s="87" t="str">
        <f t="array" aca="1" ref="ER44" ca="1">IF(EO44&lt;&gt;"",
IF(COUNTIF(EO43,"*雙葉*"),
IF(ROUND(
IF(ER49&lt;&gt;"",(EO46-ER49),EO46)
/IF(COUNTIF(EO44,"*キャラ*"),
VLOOKUP("*キャラ*",商品マスタ一覧!$D:$J,7,FALSE),
IF(COUNTIF(EO44,"*赤*"),
VLOOKUP("*赤*",商品マスタ一覧!$D:$J,7,FALSE),
VLOOKUP(EO44,商品マスタ一覧!$D:$J,7,FALSE))),0)&lt;=0,1,
ROUND(
IF(ER49&lt;&gt;"",(EO46-ER49),EO46)
/IF(COUNTIF(EO44,"*キャラ*"),
VLOOKUP("*キャラ*",商品マスタ一覧!$D:$J,7,FALSE),
IF(COUNTIF(EO44,"*赤*"),
VLOOKUP("*赤*",商品マスタ一覧!$D:$J,7,FALSE),
VLOOKUP(EO44,商品マスタ一覧!$D:$J,7,FALSE))),0)),
IF(MATCH(TRUE,
ISNUMBER(--INDIRECT("'数出表_Excel（アレルギー入力）'!B"&amp;MATCH(ES1,'数出表_Excel（アレルギー入力）'!$A:$A,0)-1&amp;":AL"&amp;MATCH(ES1,'数出表_Excel（アレルギー入力）'!$A:$A,0)-1&amp;"")),0)&gt;10,
IF(EO44&lt;&gt;"",
IF(IF(COUNTIF(EO44,"*キャラ*"),
VLOOKUP("*キャラ*",商品マスタ一覧!$D:$J,7,FALSE),
IF(COUNTIF(EO44,"*赤*"),
VLOOKUP("*赤*",商品マスタ一覧!$D:$J,7,FALSE),
VLOOKUP(EO44,商品マスタ一覧!$D:$J,7,FALSE)))=0,"",
IF(ROUND(
IF(ER49&lt;&gt;"",(EO46-ER49),EO46)
/IF(COUNTIF(EO44,"*キャラ*"),
VLOOKUP("*キャラ*",商品マスタ一覧!$D:$J,7,FALSE),
IF(COUNTIF(EO44,"*赤*"),
VLOOKUP("*赤*",商品マスタ一覧!$D:$J,7,FALSE),
VLOOKUP(EO44,商品マスタ一覧!$D:$J,7,FALSE))),0)&lt;=0,1,
ROUND(
IF(ER49&lt;&gt;"",(EO46-ER49),EO46)
/IF(COUNTIF(EO44,"*キャラ*"),
VLOOKUP("*キャラ*",商品マスタ一覧!$D:$J,7,FALSE),
IF(COUNTIF(EO44,"*赤*"),
VLOOKUP("*赤*",商品マスタ一覧!$D:$J,7,FALSE),
VLOOKUP(EO44,商品マスタ一覧!$D:$J,7,FALSE))),0))),""),"")),"")</f>
        <v/>
      </c>
      <c r="ES44" s="96" t="str">
        <f ca="1">IF(ER44&lt;&gt;"",IF(EO46&lt;&gt;"",IF(VALUE(IF(ER49&lt;&gt;"",EO46-ER49,EO46))&gt;VALUE(IF(COUNTIF('盛付札（関数）'!EO44,"*キャラ*"),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VLOOKUP('盛付札（関数）'!EO44,商品マスタ一覧!$D:$J,7,FALSE)))*ER44),
"+"&amp;IF(ER49&lt;&gt;"",EO46-ER49,EO46)-IF(COUNTIF('盛付札（関数）'!EO44,"*キャラ*"),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VLOOKUP('盛付札（関数）'!EO44,商品マスタ一覧!$D:$J,7,FALSE)))*ER44,
IF(ER49&lt;&gt;"",EO46-ER49,EO46)-IF(COUNTIF('盛付札（関数）'!EO44,"*キャラ*"),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VLOOKUP('盛付札（関数）'!EO44,商品マスタ一覧!$D:$J,7,FALSE)))*ER44),""),"")</f>
        <v/>
      </c>
      <c r="ET44" s="111"/>
      <c r="EU44" s="82">
        <f t="shared" si="2"/>
        <v>70</v>
      </c>
      <c r="EV44" s="82" t="str">
        <f t="array" aca="1" ref="EV44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LEN(SUBSTITUTE(_xlfn.FORMULATEXT(EV$27),"=","")))+$EU44)</f>
        <v/>
      </c>
      <c r="EW44" s="82" t="str">
        <f t="array" aca="1" ref="EW44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LEN(SUBSTITUTE(_xlfn.FORMULATEXT(EW$27),"=","")))+$EU44)</f>
        <v/>
      </c>
      <c r="EX44" s="82" t="str">
        <f t="array" aca="1" ref="EX44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LEN(SUBSTITUTE(_xlfn.FORMULATEXT(EX$27),"=","")))+$EU44)</f>
        <v/>
      </c>
      <c r="EY44" s="82" t="str">
        <f t="array" aca="1" ref="EY44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LEN(SUBSTITUTE(_xlfn.FORMULATEXT(EY$27),"=","")))+$EU44)</f>
        <v/>
      </c>
      <c r="EZ44" s="82" t="str">
        <f t="array" aca="1" ref="EZ44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LEN(SUBSTITUTE(_xlfn.FORMULATEXT(EZ$27),"=","")))+$EU44)</f>
        <v/>
      </c>
      <c r="FA44" s="82" t="str">
        <f t="array" aca="1" ref="FA44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LEN(SUBSTITUTE(_xlfn.FORMULATEXT(FA$27),"=","")))+$EU44)</f>
        <v/>
      </c>
      <c r="FB44" s="82" t="str">
        <f t="array" aca="1" ref="FB44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LEN(SUBSTITUTE(_xlfn.FORMULATEXT(FB$27),"=","")))+$EU44)</f>
        <v/>
      </c>
      <c r="FC44" s="82" t="str">
        <f t="array" aca="1" ref="FC44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LEN(SUBSTITUTE(_xlfn.FORMULATEXT(FC$27),"=","")))+$EU44)</f>
        <v/>
      </c>
      <c r="FD44" s="82" t="str">
        <f t="array" aca="1" ref="FD44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LEN(SUBSTITUTE(_xlfn.FORMULATEXT(FD$27),"=","")))+$EU44)</f>
        <v/>
      </c>
      <c r="FE44" s="82" t="str">
        <f t="array" aca="1" ref="FE44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LEN(SUBSTITUTE(_xlfn.FORMULATEXT(FE$27),"=","")))+$EU44)</f>
        <v/>
      </c>
      <c r="FF44" s="82" t="str">
        <f t="array" aca="1" ref="FF44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LEN(SUBSTITUTE(_xlfn.FORMULATEXT(FF$27),"=","")))+$EU44)</f>
        <v/>
      </c>
      <c r="FG44" s="82">
        <f t="shared" ca="1" si="3"/>
        <v>0</v>
      </c>
      <c r="FH44" s="82" t="b">
        <f t="array" aca="1" ref="FH44" ca="1">SUMPRODUCT((LEN(EV44:FF44)&gt;0)*1)&gt;0</f>
        <v>0</v>
      </c>
      <c r="FI44" s="82" t="str">
        <f t="array" aca="1" ref="FI44" ca="1">IFERROR(SMALL(IF(FG$1:FG$173&lt;&gt;0,FG$1:FG$173),ROW(A44)),"")</f>
        <v/>
      </c>
      <c r="FJ44" s="82" t="str">
        <f t="array" aca="1" ref="FJ44" ca="1">IF($FI44&lt;&gt;"",
INDIRECT(""&amp;IF(COLUMN(EV44)&lt;=26,CHAR(COLUMN(EV44)+64),CHAR(INT((COLUMN(EV44)-1)/26)+64)&amp;CHAR(MOD(COLUMN(EV44)-1,26)+65))&amp;$FI44&amp;""),"")</f>
        <v/>
      </c>
      <c r="FK44" s="82" t="str">
        <f t="array" aca="1" ref="FK44" ca="1">IF($FI44&lt;&gt;"",
INDIRECT(""&amp;IF(COLUMN(EW44)&lt;=26,CHAR(COLUMN(EW44)+64),CHAR(INT((COLUMN(EW44)-1)/26)+64)&amp;CHAR(MOD(COLUMN(EW44)-1,26)+65))&amp;$FI44&amp;""),"")</f>
        <v/>
      </c>
      <c r="FL44" s="82" t="str">
        <f t="array" aca="1" ref="FL44" ca="1">IF($FI44&lt;&gt;"",
INDIRECT(""&amp;IF(COLUMN(EX44)&lt;=26,CHAR(COLUMN(EX44)+64),CHAR(INT((COLUMN(EX44)-1)/26)+64)&amp;CHAR(MOD(COLUMN(EX44)-1,26)+65))&amp;$FI44&amp;""),"")</f>
        <v/>
      </c>
      <c r="FM44" s="82" t="str">
        <f t="array" aca="1" ref="FM44" ca="1">IF($FI44&lt;&gt;"",
IF(FL44="",
IF(INDIRECT("EY"&amp;$FI44&amp;"")&lt;&gt;"",
INDIRECT("EY"&amp;$FI44&amp;"")&amp;"箱"
&amp;INDIRECT("EZ"&amp;$FI44&amp;""),""),""),"")</f>
        <v/>
      </c>
      <c r="FN44" s="82" t="str">
        <f t="array" aca="1" ref="FN44" ca="1">IF($FI44&lt;&gt;"",
INDIRECT(""&amp;IF(COLUMN(FA44)&lt;=26,CHAR(COLUMN(FA44)+64),CHAR(INT((COLUMN(FA44)-1)/26)+64)&amp;CHAR(MOD(COLUMN(FA44)-1,26)+65))&amp;$FI44&amp;""),"")</f>
        <v/>
      </c>
      <c r="FO44" s="82" t="str">
        <f t="array" aca="1" ref="FO44" ca="1">IF($FI44&lt;&gt;"",
INDIRECT(""&amp;IF(COLUMN(FB44)&lt;=26,CHAR(COLUMN(FB44)+64),CHAR(INT((COLUMN(FB44)-1)/26)+64)&amp;CHAR(MOD(COLUMN(FB44)-1,26)+65))&amp;$FI44&amp;""),"")</f>
        <v/>
      </c>
      <c r="FP44" s="82" t="str">
        <f t="array" aca="1" ref="FP44" ca="1">IF($FI44&lt;&gt;"",
INDIRECT(""&amp;IF(COLUMN(FC44)&lt;=26,CHAR(COLUMN(FC44)+64),CHAR(INT((COLUMN(FC44)-1)/26)+64)&amp;CHAR(MOD(COLUMN(FC44)-1,26)+65))&amp;$FI44&amp;""),"")</f>
        <v/>
      </c>
      <c r="FQ44" s="82" t="str">
        <f t="array" aca="1" ref="FQ44" ca="1">IF($FI44&lt;&gt;"",
INDIRECT(""&amp;IF(COLUMN(FD44)&lt;=26,CHAR(COLUMN(FD44)+64),CHAR(INT((COLUMN(FD44)-1)/26)+64)&amp;CHAR(MOD(COLUMN(FD44)-1,26)+65))&amp;$FI44&amp;""),"")</f>
        <v/>
      </c>
      <c r="FR44" s="82" t="str">
        <f t="array" aca="1" ref="FR44" ca="1">IF($FI44&lt;&gt;"",
INDIRECT(""&amp;IF(COLUMN(FE44)&lt;=26,CHAR(COLUMN(FE44)+64),CHAR(INT((COLUMN(FE44)-1)/26)+64)&amp;CHAR(MOD(COLUMN(FE44)-1,26)+65))&amp;$FI44&amp;""),"")</f>
        <v/>
      </c>
      <c r="FS44" s="82" t="str">
        <f t="array" aca="1" ref="FS44" ca="1">IF($FI44&lt;&gt;"",
INDIRECT(""&amp;IF(COLUMN(FF44)&lt;=26,CHAR(COLUMN(FF44)+64),CHAR(INT((COLUMN(FF44)-1)/26)+64)&amp;CHAR(MOD(COLUMN(FF44)-1,26)+65))&amp;$FI44&amp;""),"")</f>
        <v/>
      </c>
    </row>
    <row r="45" spans="1:175" s="82" customFormat="1" ht="22.2" customHeight="1" x14ac:dyDescent="0.55000000000000004">
      <c r="A45" s="80"/>
      <c r="B45" s="88" t="str">
        <f t="array" aca="1" ref="B45" ca="1">IF(C43&lt;&gt;"",SUBSTITUTE(ADDRESS(1,
(COLUMN(INDIRECT("数出表_Excel!"&amp;B43&amp;1&amp;""))-2 +
MATCH(TRUE, ISNUMBER(--INDIRECT("数出表_Excel!"&amp;B43&amp; (MATCH(G1,数出表_Excel!$A:$A,0)-1) &amp; ":U" &amp; (MATCH(G1,数出表_Excel!$A:$A,0)-1))), 0))
*2,4),"1",""),"")</f>
        <v/>
      </c>
      <c r="C45" s="189" t="str">
        <f ca="1">IF(C46&lt;&gt;"","園児","")</f>
        <v/>
      </c>
      <c r="D45" s="190"/>
      <c r="E45" s="193" t="str">
        <f ca="1">IF(C46&lt;&gt;"","先生","")</f>
        <v/>
      </c>
      <c r="F45" s="190"/>
      <c r="G45" s="101">
        <f t="array" aca="1" ref="G45" ca="1">IF(C43&lt;&gt;"",
IF(IFERROR(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"")&lt;&gt;0,
IF(IFERROR(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"")="",
0,
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"")),IFERROR(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"")),0)</f>
        <v>0</v>
      </c>
      <c r="H45" s="80"/>
      <c r="I45" s="88" t="str">
        <f t="array" aca="1" ref="I45" ca="1">IF(J43&lt;&gt;"",SUBSTITUTE(ADDRESS(1,
(COLUMN(INDIRECT("数出表_Excel!"&amp;I43&amp;1&amp;""))-2 +
MATCH(TRUE, ISNUMBER(--INDIRECT("数出表_Excel!"&amp;I43&amp; (MATCH(N1,数出表_Excel!$A:$A,0)-1) &amp; ":U" &amp; (MATCH(N1,数出表_Excel!$A:$A,0)-1))), 0))
*2,4),"1",""),"")</f>
        <v/>
      </c>
      <c r="J45" s="189" t="str">
        <f ca="1">IF(J46&lt;&gt;"","園児","")</f>
        <v/>
      </c>
      <c r="K45" s="190"/>
      <c r="L45" s="193" t="str">
        <f ca="1">IF(J46&lt;&gt;"","先生","")</f>
        <v/>
      </c>
      <c r="M45" s="190"/>
      <c r="N45" s="101">
        <f t="array" aca="1" ref="N45" ca="1">IF(J43&lt;&gt;"",
IF(IFERROR(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"")&lt;&gt;0,
IF(IFERROR(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"")="",
0,
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"")),IFERROR(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"")),0)</f>
        <v>0</v>
      </c>
      <c r="O45" s="80"/>
      <c r="P45" s="80"/>
      <c r="Q45" s="88" t="str">
        <f t="array" aca="1" ref="Q45" ca="1">IF(R43&lt;&gt;"",SUBSTITUTE(ADDRESS(1,
(COLUMN(INDIRECT("数出表_Excel!"&amp;Q43&amp;1&amp;""))-2 +
MATCH(TRUE, ISNUMBER(--INDIRECT("数出表_Excel!"&amp;Q43&amp; (MATCH(V1,数出表_Excel!$A:$A,0)-1) &amp; ":U" &amp; (MATCH(V1,数出表_Excel!$A:$A,0)-1))), 0))
*2,4),"1",""),"")</f>
        <v/>
      </c>
      <c r="R45" s="189" t="str">
        <f ca="1">IF(R46&lt;&gt;"","園児","")</f>
        <v/>
      </c>
      <c r="S45" s="190"/>
      <c r="T45" s="193" t="str">
        <f ca="1">IF(R46&lt;&gt;"","先生","")</f>
        <v/>
      </c>
      <c r="U45" s="190"/>
      <c r="V45" s="101">
        <f t="array" aca="1" ref="V45" ca="1">IF(R43&lt;&gt;"",
IF(IFERROR(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"")&lt;&gt;0,
IF(IFERROR(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"")="",
0,
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"")),IFERROR(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"")),0)</f>
        <v>0</v>
      </c>
      <c r="W45" s="80"/>
      <c r="X45" s="88" t="str">
        <f t="array" aca="1" ref="X45" ca="1">IF(Y43&lt;&gt;"",SUBSTITUTE(ADDRESS(1,
(COLUMN(INDIRECT("数出表_Excel!"&amp;X43&amp;1&amp;""))-2 +
MATCH(TRUE, ISNUMBER(--INDIRECT("数出表_Excel!"&amp;X43&amp; (MATCH(AC1,数出表_Excel!$A:$A,0)-1) &amp; ":U" &amp; (MATCH(AC1,数出表_Excel!$A:$A,0)-1))), 0))
*2,4),"1",""),"")</f>
        <v/>
      </c>
      <c r="Y45" s="189" t="str">
        <f ca="1">IF(Y46&lt;&gt;"","園児","")</f>
        <v/>
      </c>
      <c r="Z45" s="190"/>
      <c r="AA45" s="193" t="str">
        <f ca="1">IF(Y46&lt;&gt;"","先生","")</f>
        <v/>
      </c>
      <c r="AB45" s="190"/>
      <c r="AC45" s="101">
        <f t="array" aca="1" ref="AC45" ca="1">IF(Y43&lt;&gt;"",
IF(IFERROR(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"")&lt;&gt;0,
IF(IFERROR(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"")="",
0,
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"")),IFERROR(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"")),0)</f>
        <v>0</v>
      </c>
      <c r="AD45" s="80"/>
      <c r="AE45" s="80"/>
      <c r="AF45" s="88" t="str">
        <f t="array" aca="1" ref="AF45" ca="1">IF(AG43&lt;&gt;"",SUBSTITUTE(ADDRESS(1,
(COLUMN(INDIRECT("数出表_Excel!"&amp;AF43&amp;1&amp;""))-2 +
MATCH(TRUE, ISNUMBER(--INDIRECT("数出表_Excel!"&amp;AF43&amp; (MATCH(AK1,数出表_Excel!$A:$A,0)-1) &amp; ":U" &amp; (MATCH(AK1,数出表_Excel!$A:$A,0)-1))), 0))
*2,4),"1",""),"")</f>
        <v/>
      </c>
      <c r="AG45" s="189" t="str">
        <f ca="1">IF(AG46&lt;&gt;"","園児","")</f>
        <v/>
      </c>
      <c r="AH45" s="190"/>
      <c r="AI45" s="193" t="str">
        <f ca="1">IF(AG46&lt;&gt;"","先生","")</f>
        <v/>
      </c>
      <c r="AJ45" s="190"/>
      <c r="AK45" s="101">
        <f t="array" aca="1" ref="AK45" ca="1">IF(AG43&lt;&gt;"",
IF(IFERROR(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"")&lt;&gt;0,
IF(IFERROR(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"")="",
0,
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"")),IFERROR(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"")),0)</f>
        <v>0</v>
      </c>
      <c r="AL45" s="80"/>
      <c r="AM45" s="88" t="str">
        <f t="array" aca="1" ref="AM45" ca="1">IF(AN43&lt;&gt;"",SUBSTITUTE(ADDRESS(1,
(COLUMN(INDIRECT("数出表_Excel!"&amp;AM43&amp;1&amp;""))-2 +
MATCH(TRUE, ISNUMBER(--INDIRECT("数出表_Excel!"&amp;AM43&amp; (MATCH(AR1,数出表_Excel!$A:$A,0)-1) &amp; ":U" &amp; (MATCH(AR1,数出表_Excel!$A:$A,0)-1))), 0))
*2,4),"1",""),"")</f>
        <v/>
      </c>
      <c r="AN45" s="189" t="str">
        <f ca="1">IF(AN46&lt;&gt;"","園児","")</f>
        <v/>
      </c>
      <c r="AO45" s="190"/>
      <c r="AP45" s="193" t="str">
        <f ca="1">IF(AN46&lt;&gt;"","先生","")</f>
        <v/>
      </c>
      <c r="AQ45" s="190"/>
      <c r="AR45" s="101">
        <f t="array" aca="1" ref="AR45" ca="1">IF(AN43&lt;&gt;"",
IF(IFERROR(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"")&lt;&gt;0,
IF(IFERROR(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"")="",
0,
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"")),IFERROR(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"")),0)</f>
        <v>0</v>
      </c>
      <c r="AS45" s="80"/>
      <c r="AT45" s="80"/>
      <c r="AU45" s="88" t="str">
        <f t="array" aca="1" ref="AU45" ca="1">IF(AV43&lt;&gt;"",SUBSTITUTE(ADDRESS(1,
(COLUMN(INDIRECT("数出表_Excel!"&amp;AU43&amp;1&amp;""))-2 +
MATCH(TRUE, ISNUMBER(--INDIRECT("数出表_Excel!"&amp;AU43&amp; (MATCH(AZ1,数出表_Excel!$A:$A,0)-1) &amp; ":U" &amp; (MATCH(AZ1,数出表_Excel!$A:$A,0)-1))), 0))
*2,4),"1",""),"")</f>
        <v/>
      </c>
      <c r="AV45" s="189" t="str">
        <f ca="1">IF(AV46&lt;&gt;"","園児","")</f>
        <v/>
      </c>
      <c r="AW45" s="190"/>
      <c r="AX45" s="193" t="str">
        <f ca="1">IF(AV46&lt;&gt;"","先生","")</f>
        <v/>
      </c>
      <c r="AY45" s="190"/>
      <c r="AZ45" s="101">
        <f t="array" aca="1" ref="AZ45" ca="1">IF(AV43&lt;&gt;"",
IF(IFERROR(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"")&lt;&gt;0,
IF(IFERROR(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"")="",
0,
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"")),IFERROR(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"")),0)</f>
        <v>0</v>
      </c>
      <c r="BA45" s="80"/>
      <c r="BB45" s="88" t="str">
        <f t="array" aca="1" ref="BB45" ca="1">IF(BC43&lt;&gt;"",SUBSTITUTE(ADDRESS(1,
(COLUMN(INDIRECT("数出表_Excel!"&amp;BB43&amp;1&amp;""))-2 +
MATCH(TRUE, ISNUMBER(--INDIRECT("数出表_Excel!"&amp;BB43&amp; (MATCH(BG1,数出表_Excel!$A:$A,0)-1) &amp; ":U" &amp; (MATCH(BG1,数出表_Excel!$A:$A,0)-1))), 0))
*2,4),"1",""),"")</f>
        <v/>
      </c>
      <c r="BC45" s="189" t="str">
        <f ca="1">IF(BC46&lt;&gt;"","園児","")</f>
        <v/>
      </c>
      <c r="BD45" s="190"/>
      <c r="BE45" s="193" t="str">
        <f ca="1">IF(BC46&lt;&gt;"","先生","")</f>
        <v/>
      </c>
      <c r="BF45" s="190"/>
      <c r="BG45" s="101">
        <f t="array" aca="1" ref="BG45" ca="1">IF(BC43&lt;&gt;"",
IF(IFERROR(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"")&lt;&gt;0,
IF(IFERROR(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"")="",
0,
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"")),IFERROR(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"")),0)</f>
        <v>0</v>
      </c>
      <c r="BH45" s="80"/>
      <c r="BI45" s="80"/>
      <c r="BJ45" s="88" t="str">
        <f t="array" aca="1" ref="BJ45" ca="1">IF(BK43&lt;&gt;"",SUBSTITUTE(ADDRESS(1,
(COLUMN(INDIRECT("数出表_Excel!"&amp;BJ43&amp;1&amp;""))-2 +
MATCH(TRUE, ISNUMBER(--INDIRECT("数出表_Excel!"&amp;BJ43&amp; (MATCH(BO1,数出表_Excel!$A:$A,0)-1) &amp; ":U" &amp; (MATCH(BO1,数出表_Excel!$A:$A,0)-1))), 0))
*2,4),"1",""),"")</f>
        <v/>
      </c>
      <c r="BK45" s="189" t="str">
        <f ca="1">IF(BK46&lt;&gt;"","園児","")</f>
        <v/>
      </c>
      <c r="BL45" s="190"/>
      <c r="BM45" s="193" t="str">
        <f ca="1">IF(BK46&lt;&gt;"","先生","")</f>
        <v/>
      </c>
      <c r="BN45" s="190"/>
      <c r="BO45" s="101">
        <f t="array" aca="1" ref="BO45" ca="1">IF(BK43&lt;&gt;"",
IF(IFERROR(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"")&lt;&gt;0,
IF(IFERROR(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"")="",
0,
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"")),IFERROR(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"")),0)</f>
        <v>0</v>
      </c>
      <c r="BP45" s="80"/>
      <c r="BQ45" s="88" t="str">
        <f t="array" aca="1" ref="BQ45" ca="1">IF(BR43&lt;&gt;"",SUBSTITUTE(ADDRESS(1,
(COLUMN(INDIRECT("数出表_Excel!"&amp;BQ43&amp;1&amp;""))-2 +
MATCH(TRUE, ISNUMBER(--INDIRECT("数出表_Excel!"&amp;BQ43&amp; (MATCH(BV1,数出表_Excel!$A:$A,0)-1) &amp; ":U" &amp; (MATCH(BV1,数出表_Excel!$A:$A,0)-1))), 0))
*2,4),"1",""),"")</f>
        <v/>
      </c>
      <c r="BR45" s="189" t="str">
        <f ca="1">IF(BR46&lt;&gt;"","園児","")</f>
        <v/>
      </c>
      <c r="BS45" s="190"/>
      <c r="BT45" s="193" t="str">
        <f ca="1">IF(BR46&lt;&gt;"","先生","")</f>
        <v/>
      </c>
      <c r="BU45" s="190"/>
      <c r="BV45" s="101">
        <f t="array" aca="1" ref="BV45" ca="1">IF(BR43&lt;&gt;"",
IF(IFERROR(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"")&lt;&gt;0,
IF(IFERROR(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"")="",
0,
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"")),IFERROR(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"")),0)</f>
        <v>0</v>
      </c>
      <c r="BW45" s="80"/>
      <c r="BX45" s="80"/>
      <c r="BY45" s="88" t="str">
        <f t="array" aca="1" ref="BY45" ca="1">IF(BZ43&lt;&gt;"",SUBSTITUTE(ADDRESS(1,
(COLUMN(INDIRECT("数出表_Excel!"&amp;BY43&amp;1&amp;""))-2 +
MATCH(TRUE, ISNUMBER(--INDIRECT("数出表_Excel!"&amp;BY43&amp; (MATCH(CD1,数出表_Excel!$A:$A,0)-1) &amp; ":U" &amp; (MATCH(CD1,数出表_Excel!$A:$A,0)-1))), 0))
*2,4),"1",""),"")</f>
        <v/>
      </c>
      <c r="BZ45" s="189" t="str">
        <f ca="1">IF(BZ46&lt;&gt;"","園児","")</f>
        <v/>
      </c>
      <c r="CA45" s="190"/>
      <c r="CB45" s="193" t="str">
        <f ca="1">IF(BZ46&lt;&gt;"","先生","")</f>
        <v/>
      </c>
      <c r="CC45" s="190"/>
      <c r="CD45" s="101">
        <f t="array" aca="1" ref="CD45" ca="1">IF(BZ43&lt;&gt;"",
IF(IFERROR(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"")&lt;&gt;0,
IF(IFERROR(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"")="",
0,
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"")),IFERROR(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"")),0)</f>
        <v>0</v>
      </c>
      <c r="CE45" s="80"/>
      <c r="CF45" s="88" t="str">
        <f t="array" aca="1" ref="CF45" ca="1">IF(CG43&lt;&gt;"",SUBSTITUTE(ADDRESS(1,
(COLUMN(INDIRECT("数出表_Excel!"&amp;CF43&amp;1&amp;""))-2 +
MATCH(TRUE, ISNUMBER(--INDIRECT("数出表_Excel!"&amp;CF43&amp; (MATCH(CK1,数出表_Excel!$A:$A,0)-1) &amp; ":U" &amp; (MATCH(CK1,数出表_Excel!$A:$A,0)-1))), 0))
*2,4),"1",""),"")</f>
        <v/>
      </c>
      <c r="CG45" s="189" t="str">
        <f ca="1">IF(CG46&lt;&gt;"","園児","")</f>
        <v/>
      </c>
      <c r="CH45" s="190"/>
      <c r="CI45" s="193" t="str">
        <f ca="1">IF(CG46&lt;&gt;"","先生","")</f>
        <v/>
      </c>
      <c r="CJ45" s="190"/>
      <c r="CK45" s="101">
        <f t="array" aca="1" ref="CK45" ca="1">IF(CG43&lt;&gt;"",
IF(IFERROR(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"")&lt;&gt;0,
IF(IFERROR(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"")="",
0,
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"")),IFERROR(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"")),0)</f>
        <v>0</v>
      </c>
      <c r="CL45" s="80"/>
      <c r="CM45" s="80"/>
      <c r="CN45" s="88" t="str">
        <f t="array" aca="1" ref="CN45" ca="1">IF(CO43&lt;&gt;"",SUBSTITUTE(ADDRESS(1,
(COLUMN(INDIRECT("数出表_Excel!"&amp;CN43&amp;1&amp;""))-2 +
MATCH(TRUE, ISNUMBER(--INDIRECT("数出表_Excel!"&amp;CN43&amp; (MATCH(CS1,数出表_Excel!$A:$A,0)-1) &amp; ":U" &amp; (MATCH(CS1,数出表_Excel!$A:$A,0)-1))), 0))
*2,4),"1",""),"")</f>
        <v/>
      </c>
      <c r="CO45" s="189" t="str">
        <f ca="1">IF(CO46&lt;&gt;"","園児","")</f>
        <v/>
      </c>
      <c r="CP45" s="190"/>
      <c r="CQ45" s="193" t="str">
        <f ca="1">IF(CO46&lt;&gt;"","先生","")</f>
        <v/>
      </c>
      <c r="CR45" s="190"/>
      <c r="CS45" s="101">
        <f t="array" aca="1" ref="CS45" ca="1">IF(CO43&lt;&gt;"",
IF(IFERROR(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"")&lt;&gt;0,
IF(IFERROR(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"")="",
0,
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"")),IFERROR(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"")),0)</f>
        <v>0</v>
      </c>
      <c r="CT45" s="80"/>
      <c r="CU45" s="88" t="str">
        <f t="array" aca="1" ref="CU45" ca="1">IF(CV43&lt;&gt;"",SUBSTITUTE(ADDRESS(1,
(COLUMN(INDIRECT("数出表_Excel!"&amp;CU43&amp;1&amp;""))-2 +
MATCH(TRUE, ISNUMBER(--INDIRECT("数出表_Excel!"&amp;CU43&amp; (MATCH(CZ1,数出表_Excel!$A:$A,0)-1) &amp; ":U" &amp; (MATCH(CZ1,数出表_Excel!$A:$A,0)-1))), 0))
*2,4),"1",""),"")</f>
        <v/>
      </c>
      <c r="CV45" s="189" t="str">
        <f ca="1">IF(CV46&lt;&gt;"","園児","")</f>
        <v/>
      </c>
      <c r="CW45" s="190"/>
      <c r="CX45" s="193" t="str">
        <f ca="1">IF(CV46&lt;&gt;"","先生","")</f>
        <v/>
      </c>
      <c r="CY45" s="190"/>
      <c r="CZ45" s="101">
        <f t="array" aca="1" ref="CZ45" ca="1">IF(CV43&lt;&gt;"",
IF(IFERROR(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"")&lt;&gt;0,
IF(IFERROR(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"")="",
0,
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"")),IFERROR(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"")),0)</f>
        <v>0</v>
      </c>
      <c r="DA45" s="80"/>
      <c r="DB45" s="80"/>
      <c r="DC45" s="88" t="str">
        <f t="array" aca="1" ref="DC45" ca="1">IF(DD43&lt;&gt;"",SUBSTITUTE(ADDRESS(1,
(COLUMN(INDIRECT("数出表_Excel!"&amp;DC43&amp;1&amp;""))-2 +
MATCH(TRUE, ISNUMBER(--INDIRECT("数出表_Excel!"&amp;DC43&amp; (MATCH(DH1,数出表_Excel!$A:$A,0)-1) &amp; ":U" &amp; (MATCH(DH1,数出表_Excel!$A:$A,0)-1))), 0))
*2,4),"1",""),"")</f>
        <v/>
      </c>
      <c r="DD45" s="189" t="str">
        <f ca="1">IF(DD46&lt;&gt;"","園児","")</f>
        <v/>
      </c>
      <c r="DE45" s="190"/>
      <c r="DF45" s="193" t="str">
        <f ca="1">IF(DD46&lt;&gt;"","先生","")</f>
        <v/>
      </c>
      <c r="DG45" s="190"/>
      <c r="DH45" s="101">
        <f t="array" aca="1" ref="DH45" ca="1">IF(DD43&lt;&gt;"",
IF(IFERROR(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"")&lt;&gt;0,
IF(IFERROR(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"")="",
0,
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"")),IFERROR(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"")),0)</f>
        <v>0</v>
      </c>
      <c r="DI45" s="80"/>
      <c r="DJ45" s="88" t="str">
        <f t="array" aca="1" ref="DJ45" ca="1">IF(DK43&lt;&gt;"",SUBSTITUTE(ADDRESS(1,
(COLUMN(INDIRECT("数出表_Excel!"&amp;DJ43&amp;1&amp;""))-2 +
MATCH(TRUE, ISNUMBER(--INDIRECT("数出表_Excel!"&amp;DJ43&amp; (MATCH(DO1,数出表_Excel!$A:$A,0)-1) &amp; ":U" &amp; (MATCH(DO1,数出表_Excel!$A:$A,0)-1))), 0))
*2,4),"1",""),"")</f>
        <v/>
      </c>
      <c r="DK45" s="189" t="str">
        <f ca="1">IF(DK46&lt;&gt;"","園児","")</f>
        <v/>
      </c>
      <c r="DL45" s="190"/>
      <c r="DM45" s="193" t="str">
        <f ca="1">IF(DK46&lt;&gt;"","先生","")</f>
        <v/>
      </c>
      <c r="DN45" s="190"/>
      <c r="DO45" s="101">
        <f t="array" aca="1" ref="DO45" ca="1">IF(DK43&lt;&gt;"",
IF(IFERROR(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"")&lt;&gt;0,
IF(IFERROR(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"")="",
0,
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"")),IFERROR(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"")),0)</f>
        <v>0</v>
      </c>
      <c r="DP45" s="80"/>
      <c r="DQ45" s="80"/>
      <c r="DR45" s="88" t="str">
        <f t="array" aca="1" ref="DR45" ca="1">IF(DS43&lt;&gt;"",SUBSTITUTE(ADDRESS(1,
(COLUMN(INDIRECT("数出表_Excel!"&amp;DR43&amp;1&amp;""))-2 +
MATCH(TRUE, ISNUMBER(--INDIRECT("数出表_Excel!"&amp;DR43&amp; (MATCH(DW1,数出表_Excel!$A:$A,0)-1) &amp; ":U" &amp; (MATCH(DW1,数出表_Excel!$A:$A,0)-1))), 0))
*2,4),"1",""),"")</f>
        <v/>
      </c>
      <c r="DS45" s="189" t="str">
        <f ca="1">IF(DS46&lt;&gt;"","園児","")</f>
        <v/>
      </c>
      <c r="DT45" s="190"/>
      <c r="DU45" s="193" t="str">
        <f ca="1">IF(DS46&lt;&gt;"","先生","")</f>
        <v/>
      </c>
      <c r="DV45" s="190"/>
      <c r="DW45" s="101">
        <f t="array" aca="1" ref="DW45" ca="1">IF(DS43&lt;&gt;"",
IF(IFERROR(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"")&lt;&gt;0,
IF(IFERROR(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"")="",
0,
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"")),IFERROR(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"")),0)</f>
        <v>0</v>
      </c>
      <c r="DX45" s="80"/>
      <c r="DY45" s="88" t="str">
        <f t="array" aca="1" ref="DY45" ca="1">IF(DZ43&lt;&gt;"",SUBSTITUTE(ADDRESS(1,
(COLUMN(INDIRECT("数出表_Excel!"&amp;DY43&amp;1&amp;""))-2 +
MATCH(TRUE, ISNUMBER(--INDIRECT("数出表_Excel!"&amp;DY43&amp; (MATCH(ED1,数出表_Excel!$A:$A,0)-1) &amp; ":U" &amp; (MATCH(ED1,数出表_Excel!$A:$A,0)-1))), 0))
*2,4),"1",""),"")</f>
        <v/>
      </c>
      <c r="DZ45" s="189" t="str">
        <f ca="1">IF(DZ46&lt;&gt;"","園児","")</f>
        <v/>
      </c>
      <c r="EA45" s="190"/>
      <c r="EB45" s="193" t="str">
        <f ca="1">IF(DZ46&lt;&gt;"","先生","")</f>
        <v/>
      </c>
      <c r="EC45" s="190"/>
      <c r="ED45" s="101">
        <f t="array" aca="1" ref="ED45" ca="1">IF(DZ43&lt;&gt;"",
IF(IFERROR(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"")&lt;&gt;0,
IF(IFERROR(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"")="",
0,
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"")),IFERROR(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"")),0)</f>
        <v>0</v>
      </c>
      <c r="EE45" s="80"/>
      <c r="EF45" s="80"/>
      <c r="EG45" s="88" t="str">
        <f t="array" aca="1" ref="EG45" ca="1">IF(EH43&lt;&gt;"",SUBSTITUTE(ADDRESS(1,
(COLUMN(INDIRECT("数出表_Excel!"&amp;EG43&amp;1&amp;""))-2 +
MATCH(TRUE, ISNUMBER(--INDIRECT("数出表_Excel!"&amp;EG43&amp; (MATCH(EL1,数出表_Excel!$A:$A,0)-1) &amp; ":U" &amp; (MATCH(EL1,数出表_Excel!$A:$A,0)-1))), 0))
*2,4),"1",""),"")</f>
        <v/>
      </c>
      <c r="EH45" s="189" t="str">
        <f ca="1">IF(EH46&lt;&gt;"","園児","")</f>
        <v/>
      </c>
      <c r="EI45" s="190"/>
      <c r="EJ45" s="193" t="str">
        <f ca="1">IF(EH46&lt;&gt;"","先生","")</f>
        <v/>
      </c>
      <c r="EK45" s="190"/>
      <c r="EL45" s="101">
        <f t="array" aca="1" ref="EL45" ca="1">IF(EH43&lt;&gt;"",
IF(IFERROR(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"")&lt;&gt;0,
IF(IFERROR(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"")="",
0,
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"")),IFERROR(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"")),0)</f>
        <v>0</v>
      </c>
      <c r="EM45" s="80"/>
      <c r="EN45" s="88" t="str">
        <f t="array" aca="1" ref="EN45" ca="1">IF(EO43&lt;&gt;"",SUBSTITUTE(ADDRESS(1,
(COLUMN(INDIRECT("数出表_Excel!"&amp;EN43&amp;1&amp;""))-2 +
MATCH(TRUE, ISNUMBER(--INDIRECT("数出表_Excel!"&amp;EN43&amp; (MATCH(ES1,数出表_Excel!$A:$A,0)-1) &amp; ":U" &amp; (MATCH(ES1,数出表_Excel!$A:$A,0)-1))), 0))
*2,4),"1",""),"")</f>
        <v/>
      </c>
      <c r="EO45" s="189" t="str">
        <f ca="1">IF(EO46&lt;&gt;"","園児","")</f>
        <v/>
      </c>
      <c r="EP45" s="190"/>
      <c r="EQ45" s="193" t="str">
        <f ca="1">IF(EO46&lt;&gt;"","先生","")</f>
        <v/>
      </c>
      <c r="ER45" s="190"/>
      <c r="ES45" s="101">
        <f t="array" aca="1" ref="ES45" ca="1">IF(EO43&lt;&gt;"",
IF(IFERROR(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"")&lt;&gt;0,
IF(IFERROR(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"")="",
0,
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"")),IFERROR(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"")),0)</f>
        <v>0</v>
      </c>
      <c r="ET45" s="110"/>
      <c r="EU45" s="82">
        <f t="shared" si="2"/>
        <v>35</v>
      </c>
      <c r="EV45" s="82" t="str">
        <f t="array" aca="1" ref="EV45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LEN(SUBSTITUTE(_xlfn.FORMULATEXT(EV$25),"=","")))+$EU45)</f>
        <v/>
      </c>
      <c r="EW45" s="82" t="str">
        <f t="array" aca="1" ref="EW45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LEN(SUBSTITUTE(_xlfn.FORMULATEXT(EW$25),"=","")))+$EU45)</f>
        <v/>
      </c>
      <c r="EX45" s="82" t="str">
        <f t="array" aca="1" ref="EX45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LEN(SUBSTITUTE(_xlfn.FORMULATEXT(EX$25),"=","")))+$EU45)</f>
        <v/>
      </c>
      <c r="EY45" s="82" t="str">
        <f t="array" aca="1" ref="EY45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LEN(SUBSTITUTE(_xlfn.FORMULATEXT(EY$25),"=","")))+$EU45)</f>
        <v/>
      </c>
      <c r="EZ45" s="82" t="str">
        <f t="array" aca="1" ref="EZ45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LEN(SUBSTITUTE(_xlfn.FORMULATEXT(EZ$25),"=","")))+$EU45)</f>
        <v/>
      </c>
      <c r="FA45" s="82" t="e">
        <f t="array" aca="1" ref="FA45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LEN(SUBSTITUTE(_xlfn.FORMULATEXT(FA$25),"=","")))+$EU45)</f>
        <v>#VALUE!</v>
      </c>
      <c r="FB45" s="82" t="str">
        <f t="array" aca="1" ref="FB45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LEN(SUBSTITUTE(_xlfn.FORMULATEXT(FB$25),"=","")))+$EU45)</f>
        <v/>
      </c>
      <c r="FC45" s="82" t="str">
        <f t="array" aca="1" ref="FC45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LEN(SUBSTITUTE(_xlfn.FORMULATEXT(FC$25),"=","")))+$EU45)</f>
        <v/>
      </c>
      <c r="FD45" s="82" t="e">
        <f t="array" aca="1" ref="FD45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LEN(SUBSTITUTE(_xlfn.FORMULATEXT(FD$25),"=","")))+$EU45)</f>
        <v>#VALUE!</v>
      </c>
      <c r="FE45" s="82" t="str">
        <f t="array" aca="1" ref="FE45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LEN(SUBSTITUTE(_xlfn.FORMULATEXT(FE$25),"=","")))+$EU45)</f>
        <v/>
      </c>
      <c r="FF45" s="82" t="e">
        <f t="array" aca="1" ref="FF45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LEN(SUBSTITUTE(_xlfn.FORMULATEXT(FF$25),"=","")))+$EU45)</f>
        <v>#N/A</v>
      </c>
      <c r="FG45" s="82">
        <f t="shared" ca="1" si="3"/>
        <v>0</v>
      </c>
      <c r="FH45" s="82" t="e">
        <f t="array" aca="1" ref="FH45" ca="1">SUMPRODUCT((LEN(EV45:FF45)&gt;0)*1)&gt;0</f>
        <v>#VALUE!</v>
      </c>
      <c r="FI45" s="82" t="str">
        <f t="array" aca="1" ref="FI45" ca="1">IFERROR(SMALL(IF(FG$1:FG$173&lt;&gt;0,FG$1:FG$173),ROW(A45)),"")</f>
        <v/>
      </c>
      <c r="FJ45" s="82" t="str">
        <f t="array" aca="1" ref="FJ45" ca="1">IF($FI45&lt;&gt;"",
INDIRECT(""&amp;IF(COLUMN(EV45)&lt;=26,CHAR(COLUMN(EV45)+64),CHAR(INT((COLUMN(EV45)-1)/26)+64)&amp;CHAR(MOD(COLUMN(EV45)-1,26)+65))&amp;$FI45&amp;""),"")</f>
        <v/>
      </c>
      <c r="FK45" s="82" t="str">
        <f t="array" aca="1" ref="FK45" ca="1">IF($FI45&lt;&gt;"",
INDIRECT(""&amp;IF(COLUMN(EW45)&lt;=26,CHAR(COLUMN(EW45)+64),CHAR(INT((COLUMN(EW45)-1)/26)+64)&amp;CHAR(MOD(COLUMN(EW45)-1,26)+65))&amp;$FI45&amp;""),"")</f>
        <v/>
      </c>
      <c r="FL45" s="82" t="str">
        <f t="array" aca="1" ref="FL45" ca="1">IF($FI45&lt;&gt;"",
INDIRECT(""&amp;IF(COLUMN(EX45)&lt;=26,CHAR(COLUMN(EX45)+64),CHAR(INT((COLUMN(EX45)-1)/26)+64)&amp;CHAR(MOD(COLUMN(EX45)-1,26)+65))&amp;$FI45&amp;""),"")</f>
        <v/>
      </c>
      <c r="FM45" s="82" t="str">
        <f t="array" aca="1" ref="FM45" ca="1">IF($FI45&lt;&gt;"",
IF(FL45="",
IF(INDIRECT("EY"&amp;$FI45&amp;"")&lt;&gt;"",
INDIRECT("EY"&amp;$FI45&amp;"")&amp;"箱"
&amp;INDIRECT("EZ"&amp;$FI45&amp;""),""),""),"")</f>
        <v/>
      </c>
      <c r="FN45" s="82" t="str">
        <f t="array" aca="1" ref="FN45" ca="1">IF($FI45&lt;&gt;"",
INDIRECT(""&amp;IF(COLUMN(FA45)&lt;=26,CHAR(COLUMN(FA45)+64),CHAR(INT((COLUMN(FA45)-1)/26)+64)&amp;CHAR(MOD(COLUMN(FA45)-1,26)+65))&amp;$FI45&amp;""),"")</f>
        <v/>
      </c>
      <c r="FO45" s="82" t="str">
        <f t="array" aca="1" ref="FO45" ca="1">IF($FI45&lt;&gt;"",
INDIRECT(""&amp;IF(COLUMN(FB45)&lt;=26,CHAR(COLUMN(FB45)+64),CHAR(INT((COLUMN(FB45)-1)/26)+64)&amp;CHAR(MOD(COLUMN(FB45)-1,26)+65))&amp;$FI45&amp;""),"")</f>
        <v/>
      </c>
      <c r="FP45" s="82" t="str">
        <f t="array" aca="1" ref="FP45" ca="1">IF($FI45&lt;&gt;"",
INDIRECT(""&amp;IF(COLUMN(FC45)&lt;=26,CHAR(COLUMN(FC45)+64),CHAR(INT((COLUMN(FC45)-1)/26)+64)&amp;CHAR(MOD(COLUMN(FC45)-1,26)+65))&amp;$FI45&amp;""),"")</f>
        <v/>
      </c>
      <c r="FQ45" s="82" t="str">
        <f t="array" aca="1" ref="FQ45" ca="1">IF($FI45&lt;&gt;"",
INDIRECT(""&amp;IF(COLUMN(FD45)&lt;=26,CHAR(COLUMN(FD45)+64),CHAR(INT((COLUMN(FD45)-1)/26)+64)&amp;CHAR(MOD(COLUMN(FD45)-1,26)+65))&amp;$FI45&amp;""),"")</f>
        <v/>
      </c>
      <c r="FR45" s="82" t="str">
        <f t="array" aca="1" ref="FR45" ca="1">IF($FI45&lt;&gt;"",
INDIRECT(""&amp;IF(COLUMN(FE45)&lt;=26,CHAR(COLUMN(FE45)+64),CHAR(INT((COLUMN(FE45)-1)/26)+64)&amp;CHAR(MOD(COLUMN(FE45)-1,26)+65))&amp;$FI45&amp;""),"")</f>
        <v/>
      </c>
      <c r="FS45" s="82" t="str">
        <f t="array" aca="1" ref="FS45" ca="1">IF($FI45&lt;&gt;"",
INDIRECT(""&amp;IF(COLUMN(FF45)&lt;=26,CHAR(COLUMN(FF45)+64),CHAR(INT((COLUMN(FF45)-1)/26)+64)&amp;CHAR(MOD(COLUMN(FF45)-1,26)+65))&amp;$FI45&amp;""),"")</f>
        <v/>
      </c>
    </row>
    <row r="46" spans="1:175" ht="18" customHeight="1" x14ac:dyDescent="0.45">
      <c r="B46" s="90"/>
      <c r="C46" s="185" t="str">
        <f t="array" aca="1" ref="C46" ca="1">IF(C44&lt;&gt;"",
IF(IFERROR(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"")=0,"",
IF(B3=100,
IFERROR(
INDEX(INDIRECT("数出表_Excel!"&amp;B43&amp;MATCH(G1,数出表_Excel!$A:$A,0)-1+2&amp;":U"&amp;MATCH(G1,数出表_Excel!$A:$A,0)-1+2&amp;""),
 1,
 MATCH(TRUE, ISNUMBER(--INDIRECT("数出表_Excel!"&amp;B43&amp;MATCH(G1,数出表_Excel!$A:$A,0)-1+2&amp;":U"&amp;MATCH(G1,数出表_Excel!$A:$A,0)-1+2&amp;"")), 0)),
 "")
+IFERROR(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""))),"")</f>
        <v/>
      </c>
      <c r="D46" s="186"/>
      <c r="E46" s="188" t="str">
        <f t="array" aca="1" ref="E46" ca="1">IF(C2&lt;&gt;"",
IF(IFERROR(
INDEX(INDIRECT("数出表_Excel!B"&amp;MATCH(G1,数出表_Excel!$A:$A,0)&amp;":U"&amp;MATCH(G1,数出表_Excel!$A:$A,0)&amp;""),
 1,B44-1),
 "")=0,"",
IFERROR(
INDEX(INDIRECT("数出表_Excel!B"&amp;MATCH(G1,数出表_Excel!$A:$A,0)&amp;":U"&amp;MATCH(G1,数出表_Excel!$A:$A,0)&amp;""),
 1,B44-1),
 "")),"")</f>
        <v/>
      </c>
      <c r="F46" s="186"/>
      <c r="G46" s="101" t="e">
        <f t="array" aca="1" ref="G46" ca="1">IF(B3=100,
IF(C43&lt;&gt;"",
IF(IFERROR(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"")&lt;&gt;0,
IF(IFERROR(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"")="",
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""),
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"")),0),""),0)</f>
        <v>#N/A</v>
      </c>
      <c r="I46" s="90"/>
      <c r="J46" s="185" t="str">
        <f t="array" aca="1" ref="J46" ca="1">IF(J44&lt;&gt;"",
IF(IFERROR(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"")=0,"",
IF(I3=100,
IFERROR(
INDEX(INDIRECT("数出表_Excel!"&amp;I43&amp;MATCH(N1,数出表_Excel!$A:$A,0)-1+2&amp;":U"&amp;MATCH(N1,数出表_Excel!$A:$A,0)-1+2&amp;""),
 1,
 MATCH(TRUE, ISNUMBER(--INDIRECT("数出表_Excel!"&amp;I43&amp;MATCH(N1,数出表_Excel!$A:$A,0)-1+2&amp;":U"&amp;MATCH(N1,数出表_Excel!$A:$A,0)-1+2&amp;"")), 0)),
 "")
+IFERROR(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""))),"")</f>
        <v/>
      </c>
      <c r="K46" s="186"/>
      <c r="L46" s="188" t="str">
        <f t="array" aca="1" ref="L46" ca="1">IF(J2&lt;&gt;"",
IF(IFERROR(
INDEX(INDIRECT("数出表_Excel!B"&amp;MATCH(N1,数出表_Excel!$A:$A,0)&amp;":U"&amp;MATCH(N1,数出表_Excel!$A:$A,0)&amp;""),
 1,I44-1),
 "")=0,"",
IFERROR(
INDEX(INDIRECT("数出表_Excel!B"&amp;MATCH(N1,数出表_Excel!$A:$A,0)&amp;":U"&amp;MATCH(N1,数出表_Excel!$A:$A,0)&amp;""),
 1,I44-1),
 "")),"")</f>
        <v/>
      </c>
      <c r="M46" s="186"/>
      <c r="N46" s="101" t="e">
        <f t="array" aca="1" ref="N46" ca="1">IF(I3=100,
IF(J43&lt;&gt;"",
IF(IFERROR(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"")&lt;&gt;0,
IF(IFERROR(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"")="",
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""),
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"")),0),""),0)</f>
        <v>#N/A</v>
      </c>
      <c r="Q46" s="90"/>
      <c r="R46" s="185" t="str">
        <f t="array" aca="1" ref="R46" ca="1">IF(R44&lt;&gt;"",
IF(IFERROR(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"")=0,"",
IF(Q3=100,
IFERROR(
INDEX(INDIRECT("数出表_Excel!"&amp;Q43&amp;MATCH(V1,数出表_Excel!$A:$A,0)-1+2&amp;":U"&amp;MATCH(V1,数出表_Excel!$A:$A,0)-1+2&amp;""),
 1,
 MATCH(TRUE, ISNUMBER(--INDIRECT("数出表_Excel!"&amp;Q43&amp;MATCH(V1,数出表_Excel!$A:$A,0)-1+2&amp;":U"&amp;MATCH(V1,数出表_Excel!$A:$A,0)-1+2&amp;"")), 0)),
 "")
+IFERROR(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""))),"")</f>
        <v/>
      </c>
      <c r="S46" s="186"/>
      <c r="T46" s="188" t="str">
        <f t="array" aca="1" ref="T46" ca="1">IF(R2&lt;&gt;"",
IF(IFERROR(
INDEX(INDIRECT("数出表_Excel!B"&amp;MATCH(V1,数出表_Excel!$A:$A,0)&amp;":U"&amp;MATCH(V1,数出表_Excel!$A:$A,0)&amp;""),
 1,Q44-1),
 "")=0,"",
IFERROR(
INDEX(INDIRECT("数出表_Excel!B"&amp;MATCH(V1,数出表_Excel!$A:$A,0)&amp;":U"&amp;MATCH(V1,数出表_Excel!$A:$A,0)&amp;""),
 1,Q44-1),
 "")),"")</f>
        <v/>
      </c>
      <c r="U46" s="186"/>
      <c r="V46" s="101" t="e">
        <f t="array" aca="1" ref="V46" ca="1">IF(Q3=100,
IF(R43&lt;&gt;"",
IF(IFERROR(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"")&lt;&gt;0,
IF(IFERROR(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"")="",
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""),
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"")),0),""),0)</f>
        <v>#N/A</v>
      </c>
      <c r="X46" s="90"/>
      <c r="Y46" s="185" t="str">
        <f t="array" aca="1" ref="Y46" ca="1">IF(Y44&lt;&gt;"",
IF(IFERROR(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"")=0,"",
IF(X3=100,
IFERROR(
INDEX(INDIRECT("数出表_Excel!"&amp;X43&amp;MATCH(AC1,数出表_Excel!$A:$A,0)-1+2&amp;":U"&amp;MATCH(AC1,数出表_Excel!$A:$A,0)-1+2&amp;""),
 1,
 MATCH(TRUE, ISNUMBER(--INDIRECT("数出表_Excel!"&amp;X43&amp;MATCH(AC1,数出表_Excel!$A:$A,0)-1+2&amp;":U"&amp;MATCH(AC1,数出表_Excel!$A:$A,0)-1+2&amp;"")), 0)),
 "")
+IFERROR(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""))),"")</f>
        <v/>
      </c>
      <c r="Z46" s="186"/>
      <c r="AA46" s="188" t="str">
        <f t="array" aca="1" ref="AA46" ca="1">IF(Y2&lt;&gt;"",
IF(IFERROR(
INDEX(INDIRECT("数出表_Excel!B"&amp;MATCH(AC1,数出表_Excel!$A:$A,0)&amp;":U"&amp;MATCH(AC1,数出表_Excel!$A:$A,0)&amp;""),
 1,X44-1),
 "")=0,"",
IFERROR(
INDEX(INDIRECT("数出表_Excel!B"&amp;MATCH(AC1,数出表_Excel!$A:$A,0)&amp;":U"&amp;MATCH(AC1,数出表_Excel!$A:$A,0)&amp;""),
 1,X44-1),
 "")),"")</f>
        <v/>
      </c>
      <c r="AB46" s="186"/>
      <c r="AC46" s="101" t="e">
        <f t="array" aca="1" ref="AC46" ca="1">IF(X3=100,
IF(Y43&lt;&gt;"",
IF(IFERROR(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"")&lt;&gt;0,
IF(IFERROR(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"")="",
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""),
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"")),0),""),0)</f>
        <v>#N/A</v>
      </c>
      <c r="AF46" s="90"/>
      <c r="AG46" s="185" t="str">
        <f t="array" aca="1" ref="AG46" ca="1">IF(AG44&lt;&gt;"",
IF(IFERROR(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"")=0,"",
IF(AF3=100,
IFERROR(
INDEX(INDIRECT("数出表_Excel!"&amp;AF43&amp;MATCH(AK1,数出表_Excel!$A:$A,0)-1+2&amp;":U"&amp;MATCH(AK1,数出表_Excel!$A:$A,0)-1+2&amp;""),
 1,
 MATCH(TRUE, ISNUMBER(--INDIRECT("数出表_Excel!"&amp;AF43&amp;MATCH(AK1,数出表_Excel!$A:$A,0)-1+2&amp;":U"&amp;MATCH(AK1,数出表_Excel!$A:$A,0)-1+2&amp;"")), 0)),
 "")
+IFERROR(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""))),"")</f>
        <v/>
      </c>
      <c r="AH46" s="186"/>
      <c r="AI46" s="188" t="str">
        <f t="array" aca="1" ref="AI46" ca="1">IF(AG2&lt;&gt;"",
IF(IFERROR(
INDEX(INDIRECT("数出表_Excel!B"&amp;MATCH(AK1,数出表_Excel!$A:$A,0)&amp;":U"&amp;MATCH(AK1,数出表_Excel!$A:$A,0)&amp;""),
 1,AF44-1),
 "")=0,"",
IFERROR(
INDEX(INDIRECT("数出表_Excel!B"&amp;MATCH(AK1,数出表_Excel!$A:$A,0)&amp;":U"&amp;MATCH(AK1,数出表_Excel!$A:$A,0)&amp;""),
 1,AF44-1),
 "")),"")</f>
        <v/>
      </c>
      <c r="AJ46" s="186"/>
      <c r="AK46" s="101" t="e">
        <f t="array" aca="1" ref="AK46" ca="1">IF(AF3=100,
IF(AG43&lt;&gt;"",
IF(IFERROR(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"")&lt;&gt;0,
IF(IFERROR(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"")="",
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""),
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"")),0),""),0)</f>
        <v>#N/A</v>
      </c>
      <c r="AM46" s="90"/>
      <c r="AN46" s="185" t="str">
        <f t="array" aca="1" ref="AN46" ca="1">IF(AN44&lt;&gt;"",
IF(IFERROR(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"")=0,"",
IF(AM3=100,
IFERROR(
INDEX(INDIRECT("数出表_Excel!"&amp;AM43&amp;MATCH(AR1,数出表_Excel!$A:$A,0)-1+2&amp;":U"&amp;MATCH(AR1,数出表_Excel!$A:$A,0)-1+2&amp;""),
 1,
 MATCH(TRUE, ISNUMBER(--INDIRECT("数出表_Excel!"&amp;AM43&amp;MATCH(AR1,数出表_Excel!$A:$A,0)-1+2&amp;":U"&amp;MATCH(AR1,数出表_Excel!$A:$A,0)-1+2&amp;"")), 0)),
 "")
+IFERROR(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""))),"")</f>
        <v/>
      </c>
      <c r="AO46" s="186"/>
      <c r="AP46" s="188" t="str">
        <f t="array" aca="1" ref="AP46" ca="1">IF(AN2&lt;&gt;"",
IF(IFERROR(
INDEX(INDIRECT("数出表_Excel!B"&amp;MATCH(AR1,数出表_Excel!$A:$A,0)&amp;":U"&amp;MATCH(AR1,数出表_Excel!$A:$A,0)&amp;""),
 1,AM44-1),
 "")=0,"",
IFERROR(
INDEX(INDIRECT("数出表_Excel!B"&amp;MATCH(AR1,数出表_Excel!$A:$A,0)&amp;":U"&amp;MATCH(AR1,数出表_Excel!$A:$A,0)&amp;""),
 1,AM44-1),
 "")),"")</f>
        <v/>
      </c>
      <c r="AQ46" s="186"/>
      <c r="AR46" s="101" t="e">
        <f t="array" aca="1" ref="AR46" ca="1">IF(AM3=100,
IF(AN43&lt;&gt;"",
IF(IFERROR(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"")&lt;&gt;0,
IF(IFERROR(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"")="",
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""),
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"")),0),""),0)</f>
        <v>#N/A</v>
      </c>
      <c r="AU46" s="90"/>
      <c r="AV46" s="185" t="str">
        <f t="array" aca="1" ref="AV46" ca="1">IF(AV44&lt;&gt;"",
IF(IFERROR(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"")=0,"",
IF(AU3=100,
IFERROR(
INDEX(INDIRECT("数出表_Excel!"&amp;AU43&amp;MATCH(AZ1,数出表_Excel!$A:$A,0)-1+2&amp;":U"&amp;MATCH(AZ1,数出表_Excel!$A:$A,0)-1+2&amp;""),
 1,
 MATCH(TRUE, ISNUMBER(--INDIRECT("数出表_Excel!"&amp;AU43&amp;MATCH(AZ1,数出表_Excel!$A:$A,0)-1+2&amp;":U"&amp;MATCH(AZ1,数出表_Excel!$A:$A,0)-1+2&amp;"")), 0)),
 "")
+IFERROR(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""))),"")</f>
        <v/>
      </c>
      <c r="AW46" s="186"/>
      <c r="AX46" s="188" t="str">
        <f t="array" aca="1" ref="AX46" ca="1">IF(AV2&lt;&gt;"",
IF(IFERROR(
INDEX(INDIRECT("数出表_Excel!B"&amp;MATCH(AZ1,数出表_Excel!$A:$A,0)&amp;":U"&amp;MATCH(AZ1,数出表_Excel!$A:$A,0)&amp;""),
 1,AU44-1),
 "")=0,"",
IFERROR(
INDEX(INDIRECT("数出表_Excel!B"&amp;MATCH(AZ1,数出表_Excel!$A:$A,0)&amp;":U"&amp;MATCH(AZ1,数出表_Excel!$A:$A,0)&amp;""),
 1,AU44-1),
 "")),"")</f>
        <v/>
      </c>
      <c r="AY46" s="186"/>
      <c r="AZ46" s="101" t="e">
        <f t="array" aca="1" ref="AZ46" ca="1">IF(AU3=100,
IF(AV43&lt;&gt;"",
IF(IFERROR(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"")&lt;&gt;0,
IF(IFERROR(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"")="",
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""),
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"")),0),""),0)</f>
        <v>#N/A</v>
      </c>
      <c r="BB46" s="90"/>
      <c r="BC46" s="185" t="str">
        <f t="array" aca="1" ref="BC46" ca="1">IF(BC44&lt;&gt;"",
IF(IFERROR(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"")=0,"",
IF(BB3=100,
IFERROR(
INDEX(INDIRECT("数出表_Excel!"&amp;BB43&amp;MATCH(BG1,数出表_Excel!$A:$A,0)-1+2&amp;":U"&amp;MATCH(BG1,数出表_Excel!$A:$A,0)-1+2&amp;""),
 1,
 MATCH(TRUE, ISNUMBER(--INDIRECT("数出表_Excel!"&amp;BB43&amp;MATCH(BG1,数出表_Excel!$A:$A,0)-1+2&amp;":U"&amp;MATCH(BG1,数出表_Excel!$A:$A,0)-1+2&amp;"")), 0)),
 "")
+IFERROR(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""))),"")</f>
        <v/>
      </c>
      <c r="BD46" s="186"/>
      <c r="BE46" s="188" t="str">
        <f t="array" aca="1" ref="BE46" ca="1">IF(BC2&lt;&gt;"",
IF(IFERROR(
INDEX(INDIRECT("数出表_Excel!B"&amp;MATCH(BG1,数出表_Excel!$A:$A,0)&amp;":U"&amp;MATCH(BG1,数出表_Excel!$A:$A,0)&amp;""),
 1,BB44-1),
 "")=0,"",
IFERROR(
INDEX(INDIRECT("数出表_Excel!B"&amp;MATCH(BG1,数出表_Excel!$A:$A,0)&amp;":U"&amp;MATCH(BG1,数出表_Excel!$A:$A,0)&amp;""),
 1,BB44-1),
 "")),"")</f>
        <v/>
      </c>
      <c r="BF46" s="186"/>
      <c r="BG46" s="101" t="e">
        <f t="array" aca="1" ref="BG46" ca="1">IF(BB3=100,
IF(BC43&lt;&gt;"",
IF(IFERROR(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"")&lt;&gt;0,
IF(IFERROR(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"")="",
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""),
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"")),0),""),0)</f>
        <v>#N/A</v>
      </c>
      <c r="BJ46" s="90"/>
      <c r="BK46" s="185" t="str">
        <f t="array" aca="1" ref="BK46" ca="1">IF(BK44&lt;&gt;"",
IF(IFERROR(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"")=0,"",
IF(BJ3=100,
IFERROR(
INDEX(INDIRECT("数出表_Excel!"&amp;BJ43&amp;MATCH(BO1,数出表_Excel!$A:$A,0)-1+2&amp;":U"&amp;MATCH(BO1,数出表_Excel!$A:$A,0)-1+2&amp;""),
 1,
 MATCH(TRUE, ISNUMBER(--INDIRECT("数出表_Excel!"&amp;BJ43&amp;MATCH(BO1,数出表_Excel!$A:$A,0)-1+2&amp;":U"&amp;MATCH(BO1,数出表_Excel!$A:$A,0)-1+2&amp;"")), 0)),
 "")
+IFERROR(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""))),"")</f>
        <v/>
      </c>
      <c r="BL46" s="186"/>
      <c r="BM46" s="188" t="str">
        <f t="array" aca="1" ref="BM46" ca="1">IF(BK2&lt;&gt;"",
IF(IFERROR(
INDEX(INDIRECT("数出表_Excel!B"&amp;MATCH(BO1,数出表_Excel!$A:$A,0)&amp;":U"&amp;MATCH(BO1,数出表_Excel!$A:$A,0)&amp;""),
 1,BJ44-1),
 "")=0,"",
IFERROR(
INDEX(INDIRECT("数出表_Excel!B"&amp;MATCH(BO1,数出表_Excel!$A:$A,0)&amp;":U"&amp;MATCH(BO1,数出表_Excel!$A:$A,0)&amp;""),
 1,BJ44-1),
 "")),"")</f>
        <v/>
      </c>
      <c r="BN46" s="186"/>
      <c r="BO46" s="101" t="e">
        <f t="array" aca="1" ref="BO46" ca="1">IF(BJ3=100,
IF(BK43&lt;&gt;"",
IF(IFERROR(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"")&lt;&gt;0,
IF(IFERROR(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"")="",
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""),
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"")),0),""),0)</f>
        <v>#N/A</v>
      </c>
      <c r="BQ46" s="90"/>
      <c r="BR46" s="185" t="str">
        <f t="array" aca="1" ref="BR46" ca="1">IF(BR44&lt;&gt;"",
IF(IFERROR(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"")=0,"",
IF(BQ3=100,
IFERROR(
INDEX(INDIRECT("数出表_Excel!"&amp;BQ43&amp;MATCH(BV1,数出表_Excel!$A:$A,0)-1+2&amp;":U"&amp;MATCH(BV1,数出表_Excel!$A:$A,0)-1+2&amp;""),
 1,
 MATCH(TRUE, ISNUMBER(--INDIRECT("数出表_Excel!"&amp;BQ43&amp;MATCH(BV1,数出表_Excel!$A:$A,0)-1+2&amp;":U"&amp;MATCH(BV1,数出表_Excel!$A:$A,0)-1+2&amp;"")), 0)),
 "")
+IFERROR(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""))),"")</f>
        <v/>
      </c>
      <c r="BS46" s="186"/>
      <c r="BT46" s="188" t="str">
        <f t="array" aca="1" ref="BT46" ca="1">IF(BR2&lt;&gt;"",
IF(IFERROR(
INDEX(INDIRECT("数出表_Excel!B"&amp;MATCH(BV1,数出表_Excel!$A:$A,0)&amp;":U"&amp;MATCH(BV1,数出表_Excel!$A:$A,0)&amp;""),
 1,BQ44-1),
 "")=0,"",
IFERROR(
INDEX(INDIRECT("数出表_Excel!B"&amp;MATCH(BV1,数出表_Excel!$A:$A,0)&amp;":U"&amp;MATCH(BV1,数出表_Excel!$A:$A,0)&amp;""),
 1,BQ44-1),
 "")),"")</f>
        <v/>
      </c>
      <c r="BU46" s="186"/>
      <c r="BV46" s="101" t="e">
        <f t="array" aca="1" ref="BV46" ca="1">IF(BQ3=100,
IF(BR43&lt;&gt;"",
IF(IFERROR(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"")&lt;&gt;0,
IF(IFERROR(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"")="",
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""),
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"")),0),""),0)</f>
        <v>#N/A</v>
      </c>
      <c r="BY46" s="90"/>
      <c r="BZ46" s="185" t="str">
        <f t="array" aca="1" ref="BZ46" ca="1">IF(BZ44&lt;&gt;"",
IF(IFERROR(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"")=0,"",
IF(BY3=100,
IFERROR(
INDEX(INDIRECT("数出表_Excel!"&amp;BY43&amp;MATCH(CD1,数出表_Excel!$A:$A,0)-1+2&amp;":U"&amp;MATCH(CD1,数出表_Excel!$A:$A,0)-1+2&amp;""),
 1,
 MATCH(TRUE, ISNUMBER(--INDIRECT("数出表_Excel!"&amp;BY43&amp;MATCH(CD1,数出表_Excel!$A:$A,0)-1+2&amp;":U"&amp;MATCH(CD1,数出表_Excel!$A:$A,0)-1+2&amp;"")), 0)),
 "")
+IFERROR(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""),
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""))),"")</f>
        <v/>
      </c>
      <c r="CA46" s="186"/>
      <c r="CB46" s="188" t="str">
        <f t="array" aca="1" ref="CB46" ca="1">IF(BZ2&lt;&gt;"",
IF(IFERROR(
INDEX(INDIRECT("数出表_Excel!B"&amp;MATCH(CD1,数出表_Excel!$A:$A,0)&amp;":U"&amp;MATCH(CD1,数出表_Excel!$A:$A,0)&amp;""),
 1,BY44-1),
 "")=0,"",
IFERROR(
INDEX(INDIRECT("数出表_Excel!B"&amp;MATCH(CD1,数出表_Excel!$A:$A,0)&amp;":U"&amp;MATCH(CD1,数出表_Excel!$A:$A,0)&amp;""),
 1,BY44-1),
 "")),"")</f>
        <v/>
      </c>
      <c r="CC46" s="186"/>
      <c r="CD46" s="101" t="e">
        <f t="array" aca="1" ref="CD46" ca="1">IF(BY3=100,
IF(BZ43&lt;&gt;"",
IF(IFERROR(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"")&lt;&gt;0,
IF(IFERROR(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"")="",
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""),
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"")),0),""),0)</f>
        <v>#N/A</v>
      </c>
      <c r="CF46" s="90"/>
      <c r="CG46" s="185" t="str">
        <f t="array" aca="1" ref="CG46" ca="1">IF(CG44&lt;&gt;"",
IF(IFERROR(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"")=0,"",
IF(CF3=100,
IFERROR(
INDEX(INDIRECT("数出表_Excel!"&amp;CF43&amp;MATCH(CK1,数出表_Excel!$A:$A,0)-1+2&amp;":U"&amp;MATCH(CK1,数出表_Excel!$A:$A,0)-1+2&amp;""),
 1,
 MATCH(TRUE, ISNUMBER(--INDIRECT("数出表_Excel!"&amp;CF43&amp;MATCH(CK1,数出表_Excel!$A:$A,0)-1+2&amp;":U"&amp;MATCH(CK1,数出表_Excel!$A:$A,0)-1+2&amp;"")), 0)),
 "")
+IFERROR(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""),
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""))),"")</f>
        <v/>
      </c>
      <c r="CH46" s="186"/>
      <c r="CI46" s="188" t="str">
        <f t="array" aca="1" ref="CI46" ca="1">IF(CG2&lt;&gt;"",
IF(IFERROR(
INDEX(INDIRECT("数出表_Excel!B"&amp;MATCH(CK1,数出表_Excel!$A:$A,0)&amp;":U"&amp;MATCH(CK1,数出表_Excel!$A:$A,0)&amp;""),
 1,CF44-1),
 "")=0,"",
IFERROR(
INDEX(INDIRECT("数出表_Excel!B"&amp;MATCH(CK1,数出表_Excel!$A:$A,0)&amp;":U"&amp;MATCH(CK1,数出表_Excel!$A:$A,0)&amp;""),
 1,CF44-1),
 "")),"")</f>
        <v/>
      </c>
      <c r="CJ46" s="186"/>
      <c r="CK46" s="101" t="e">
        <f t="array" aca="1" ref="CK46" ca="1">IF(CF3=100,
IF(CG43&lt;&gt;"",
IF(IFERROR(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"")&lt;&gt;0,
IF(IFERROR(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"")="",
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""),
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"")),0),""),0)</f>
        <v>#N/A</v>
      </c>
      <c r="CN46" s="90"/>
      <c r="CO46" s="185" t="str">
        <f t="array" aca="1" ref="CO46" ca="1">IF(CO44&lt;&gt;"",
IF(IFERROR(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"")=0,"",
IF(CN3=100,
IFERROR(
INDEX(INDIRECT("数出表_Excel!"&amp;CN43&amp;MATCH(CS1,数出表_Excel!$A:$A,0)-1+2&amp;":U"&amp;MATCH(CS1,数出表_Excel!$A:$A,0)-1+2&amp;""),
 1,
 MATCH(TRUE, ISNUMBER(--INDIRECT("数出表_Excel!"&amp;CN43&amp;MATCH(CS1,数出表_Excel!$A:$A,0)-1+2&amp;":U"&amp;MATCH(CS1,数出表_Excel!$A:$A,0)-1+2&amp;"")), 0)),
 "")
+IFERROR(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""),
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""))),"")</f>
        <v/>
      </c>
      <c r="CP46" s="186"/>
      <c r="CQ46" s="188" t="str">
        <f t="array" aca="1" ref="CQ46" ca="1">IF(CO2&lt;&gt;"",
IF(IFERROR(
INDEX(INDIRECT("数出表_Excel!B"&amp;MATCH(CS1,数出表_Excel!$A:$A,0)&amp;":U"&amp;MATCH(CS1,数出表_Excel!$A:$A,0)&amp;""),
 1,CN44-1),
 "")=0,"",
IFERROR(
INDEX(INDIRECT("数出表_Excel!B"&amp;MATCH(CS1,数出表_Excel!$A:$A,0)&amp;":U"&amp;MATCH(CS1,数出表_Excel!$A:$A,0)&amp;""),
 1,CN44-1),
 "")),"")</f>
        <v/>
      </c>
      <c r="CR46" s="186"/>
      <c r="CS46" s="101" t="e">
        <f t="array" aca="1" ref="CS46" ca="1">IF(CN3=100,
IF(CO43&lt;&gt;"",
IF(IFERROR(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"")&lt;&gt;0,
IF(IFERROR(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"")="",
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""),
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"")),0),""),0)</f>
        <v>#N/A</v>
      </c>
      <c r="CU46" s="90"/>
      <c r="CV46" s="185" t="str">
        <f t="array" aca="1" ref="CV46" ca="1">IF(CV44&lt;&gt;"",
IF(IFERROR(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"")=0,"",
IF(CU3=100,
IFERROR(
INDEX(INDIRECT("数出表_Excel!"&amp;CU43&amp;MATCH(CZ1,数出表_Excel!$A:$A,0)-1+2&amp;":U"&amp;MATCH(CZ1,数出表_Excel!$A:$A,0)-1+2&amp;""),
 1,
 MATCH(TRUE, ISNUMBER(--INDIRECT("数出表_Excel!"&amp;CU43&amp;MATCH(CZ1,数出表_Excel!$A:$A,0)-1+2&amp;":U"&amp;MATCH(CZ1,数出表_Excel!$A:$A,0)-1+2&amp;"")), 0)),
 "")
+IFERROR(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""),
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""))),"")</f>
        <v/>
      </c>
      <c r="CW46" s="186"/>
      <c r="CX46" s="188" t="str">
        <f t="array" aca="1" ref="CX46" ca="1">IF(CV2&lt;&gt;"",
IF(IFERROR(
INDEX(INDIRECT("数出表_Excel!B"&amp;MATCH(CZ1,数出表_Excel!$A:$A,0)&amp;":U"&amp;MATCH(CZ1,数出表_Excel!$A:$A,0)&amp;""),
 1,CU44-1),
 "")=0,"",
IFERROR(
INDEX(INDIRECT("数出表_Excel!B"&amp;MATCH(CZ1,数出表_Excel!$A:$A,0)&amp;":U"&amp;MATCH(CZ1,数出表_Excel!$A:$A,0)&amp;""),
 1,CU44-1),
 "")),"")</f>
        <v/>
      </c>
      <c r="CY46" s="186"/>
      <c r="CZ46" s="101" t="e">
        <f t="array" aca="1" ref="CZ46" ca="1">IF(CU3=100,
IF(CV43&lt;&gt;"",
IF(IFERROR(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"")&lt;&gt;0,
IF(IFERROR(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"")="",
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""),
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"")),0),""),0)</f>
        <v>#N/A</v>
      </c>
      <c r="DC46" s="90"/>
      <c r="DD46" s="185" t="str">
        <f t="array" aca="1" ref="DD46" ca="1">IF(DD44&lt;&gt;"",
IF(IFERROR(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"")=0,"",
IF(DC3=100,
IFERROR(
INDEX(INDIRECT("数出表_Excel!"&amp;DC43&amp;MATCH(DH1,数出表_Excel!$A:$A,0)-1+2&amp;":U"&amp;MATCH(DH1,数出表_Excel!$A:$A,0)-1+2&amp;""),
 1,
 MATCH(TRUE, ISNUMBER(--INDIRECT("数出表_Excel!"&amp;DC43&amp;MATCH(DH1,数出表_Excel!$A:$A,0)-1+2&amp;":U"&amp;MATCH(DH1,数出表_Excel!$A:$A,0)-1+2&amp;"")), 0)),
 "")
+IFERROR(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""),
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""))),"")</f>
        <v/>
      </c>
      <c r="DE46" s="186"/>
      <c r="DF46" s="188" t="str">
        <f t="array" aca="1" ref="DF46" ca="1">IF(DD2&lt;&gt;"",
IF(IFERROR(
INDEX(INDIRECT("数出表_Excel!B"&amp;MATCH(DH1,数出表_Excel!$A:$A,0)&amp;":U"&amp;MATCH(DH1,数出表_Excel!$A:$A,0)&amp;""),
 1,DC44-1),
 "")=0,"",
IFERROR(
INDEX(INDIRECT("数出表_Excel!B"&amp;MATCH(DH1,数出表_Excel!$A:$A,0)&amp;":U"&amp;MATCH(DH1,数出表_Excel!$A:$A,0)&amp;""),
 1,DC44-1),
 "")),"")</f>
        <v/>
      </c>
      <c r="DG46" s="186"/>
      <c r="DH46" s="101" t="e">
        <f t="array" aca="1" ref="DH46" ca="1">IF(DC3=100,
IF(DD43&lt;&gt;"",
IF(IFERROR(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"")&lt;&gt;0,
IF(IFERROR(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"")="",
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""),
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"")),0),""),0)</f>
        <v>#N/A</v>
      </c>
      <c r="DJ46" s="90"/>
      <c r="DK46" s="185" t="str">
        <f t="array" aca="1" ref="DK46" ca="1">IF(DK44&lt;&gt;"",
IF(IFERROR(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"")=0,"",
IF(DJ3=100,
IFERROR(
INDEX(INDIRECT("数出表_Excel!"&amp;DJ43&amp;MATCH(DO1,数出表_Excel!$A:$A,0)-1+2&amp;":U"&amp;MATCH(DO1,数出表_Excel!$A:$A,0)-1+2&amp;""),
 1,
 MATCH(TRUE, ISNUMBER(--INDIRECT("数出表_Excel!"&amp;DJ43&amp;MATCH(DO1,数出表_Excel!$A:$A,0)-1+2&amp;":U"&amp;MATCH(DO1,数出表_Excel!$A:$A,0)-1+2&amp;"")), 0)),
 "")
+IFERROR(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""),
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""))),"")</f>
        <v/>
      </c>
      <c r="DL46" s="186"/>
      <c r="DM46" s="188" t="str">
        <f t="array" aca="1" ref="DM46" ca="1">IF(DK2&lt;&gt;"",
IF(IFERROR(
INDEX(INDIRECT("数出表_Excel!B"&amp;MATCH(DO1,数出表_Excel!$A:$A,0)&amp;":U"&amp;MATCH(DO1,数出表_Excel!$A:$A,0)&amp;""),
 1,DJ44-1),
 "")=0,"",
IFERROR(
INDEX(INDIRECT("数出表_Excel!B"&amp;MATCH(DO1,数出表_Excel!$A:$A,0)&amp;":U"&amp;MATCH(DO1,数出表_Excel!$A:$A,0)&amp;""),
 1,DJ44-1),
 "")),"")</f>
        <v/>
      </c>
      <c r="DN46" s="186"/>
      <c r="DO46" s="101" t="e">
        <f t="array" aca="1" ref="DO46" ca="1">IF(DJ3=100,
IF(DK43&lt;&gt;"",
IF(IFERROR(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"")&lt;&gt;0,
IF(IFERROR(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"")="",
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""),
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"")),0),""),0)</f>
        <v>#N/A</v>
      </c>
      <c r="DR46" s="90"/>
      <c r="DS46" s="185" t="str">
        <f t="array" aca="1" ref="DS46" ca="1">IF(DS44&lt;&gt;"",
IF(IFERROR(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"")=0,"",
IF(DR3=100,
IFERROR(
INDEX(INDIRECT("数出表_Excel!"&amp;DR43&amp;MATCH(DW1,数出表_Excel!$A:$A,0)-1+2&amp;":U"&amp;MATCH(DW1,数出表_Excel!$A:$A,0)-1+2&amp;""),
 1,
 MATCH(TRUE, ISNUMBER(--INDIRECT("数出表_Excel!"&amp;DR43&amp;MATCH(DW1,数出表_Excel!$A:$A,0)-1+2&amp;":U"&amp;MATCH(DW1,数出表_Excel!$A:$A,0)-1+2&amp;"")), 0)),
 "")
+IFERROR(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""),
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""))),"")</f>
        <v/>
      </c>
      <c r="DT46" s="186"/>
      <c r="DU46" s="188" t="str">
        <f t="array" aca="1" ref="DU46" ca="1">IF(DS2&lt;&gt;"",
IF(IFERROR(
INDEX(INDIRECT("数出表_Excel!B"&amp;MATCH(DW1,数出表_Excel!$A:$A,0)&amp;":U"&amp;MATCH(DW1,数出表_Excel!$A:$A,0)&amp;""),
 1,DR44-1),
 "")=0,"",
IFERROR(
INDEX(INDIRECT("数出表_Excel!B"&amp;MATCH(DW1,数出表_Excel!$A:$A,0)&amp;":U"&amp;MATCH(DW1,数出表_Excel!$A:$A,0)&amp;""),
 1,DR44-1),
 "")),"")</f>
        <v/>
      </c>
      <c r="DV46" s="186"/>
      <c r="DW46" s="101" t="e">
        <f t="array" aca="1" ref="DW46" ca="1">IF(DR3=100,
IF(DS43&lt;&gt;"",
IF(IFERROR(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"")&lt;&gt;0,
IF(IFERROR(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"")="",
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""),
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"")),0),""),0)</f>
        <v>#N/A</v>
      </c>
      <c r="DY46" s="90"/>
      <c r="DZ46" s="185" t="str">
        <f t="array" aca="1" ref="DZ46" ca="1">IF(DZ44&lt;&gt;"",
IF(IFERROR(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"")=0,"",
IF(DY3=100,
IFERROR(
INDEX(INDIRECT("数出表_Excel!"&amp;DY43&amp;MATCH(ED1,数出表_Excel!$A:$A,0)-1+2&amp;":U"&amp;MATCH(ED1,数出表_Excel!$A:$A,0)-1+2&amp;""),
 1,
 MATCH(TRUE, ISNUMBER(--INDIRECT("数出表_Excel!"&amp;DY43&amp;MATCH(ED1,数出表_Excel!$A:$A,0)-1+2&amp;":U"&amp;MATCH(ED1,数出表_Excel!$A:$A,0)-1+2&amp;"")), 0)),
 "")
+IFERROR(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""),
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""))),"")</f>
        <v/>
      </c>
      <c r="EA46" s="186"/>
      <c r="EB46" s="188" t="str">
        <f t="array" aca="1" ref="EB46" ca="1">IF(DZ2&lt;&gt;"",
IF(IFERROR(
INDEX(INDIRECT("数出表_Excel!B"&amp;MATCH(ED1,数出表_Excel!$A:$A,0)&amp;":U"&amp;MATCH(ED1,数出表_Excel!$A:$A,0)&amp;""),
 1,DY44-1),
 "")=0,"",
IFERROR(
INDEX(INDIRECT("数出表_Excel!B"&amp;MATCH(ED1,数出表_Excel!$A:$A,0)&amp;":U"&amp;MATCH(ED1,数出表_Excel!$A:$A,0)&amp;""),
 1,DY44-1),
 "")),"")</f>
        <v/>
      </c>
      <c r="EC46" s="186"/>
      <c r="ED46" s="101" t="e">
        <f t="array" aca="1" ref="ED46" ca="1">IF(DY3=100,
IF(DZ43&lt;&gt;"",
IF(IFERROR(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"")&lt;&gt;0,
IF(IFERROR(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"")="",
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""),
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"")),0),""),0)</f>
        <v>#N/A</v>
      </c>
      <c r="EG46" s="90"/>
      <c r="EH46" s="185" t="str">
        <f t="array" aca="1" ref="EH46" ca="1">IF(EH44&lt;&gt;"",
IF(IFERROR(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"")=0,"",
IF(EG3=100,
IFERROR(
INDEX(INDIRECT("数出表_Excel!"&amp;EG43&amp;MATCH(EL1,数出表_Excel!$A:$A,0)-1+2&amp;":U"&amp;MATCH(EL1,数出表_Excel!$A:$A,0)-1+2&amp;""),
 1,
 MATCH(TRUE, ISNUMBER(--INDIRECT("数出表_Excel!"&amp;EG43&amp;MATCH(EL1,数出表_Excel!$A:$A,0)-1+2&amp;":U"&amp;MATCH(EL1,数出表_Excel!$A:$A,0)-1+2&amp;"")), 0)),
 "")
+IFERROR(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""),
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""))),"")</f>
        <v/>
      </c>
      <c r="EI46" s="186"/>
      <c r="EJ46" s="188" t="str">
        <f t="array" aca="1" ref="EJ46" ca="1">IF(EH2&lt;&gt;"",
IF(IFERROR(
INDEX(INDIRECT("数出表_Excel!B"&amp;MATCH(EL1,数出表_Excel!$A:$A,0)&amp;":U"&amp;MATCH(EL1,数出表_Excel!$A:$A,0)&amp;""),
 1,EG44-1),
 "")=0,"",
IFERROR(
INDEX(INDIRECT("数出表_Excel!B"&amp;MATCH(EL1,数出表_Excel!$A:$A,0)&amp;":U"&amp;MATCH(EL1,数出表_Excel!$A:$A,0)&amp;""),
 1,EG44-1),
 "")),"")</f>
        <v/>
      </c>
      <c r="EK46" s="186"/>
      <c r="EL46" s="101" t="e">
        <f t="array" aca="1" ref="EL46" ca="1">IF(EG3=100,
IF(EH43&lt;&gt;"",
IF(IFERROR(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"")&lt;&gt;0,
IF(IFERROR(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"")="",
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""),
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"")),0),""),0)</f>
        <v>#N/A</v>
      </c>
      <c r="EN46" s="90"/>
      <c r="EO46" s="185" t="str">
        <f t="array" aca="1" ref="EO46" ca="1">IF(EO44&lt;&gt;"",
IF(IFERROR(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"")=0,"",
IF(EN3=100,
IFERROR(
INDEX(INDIRECT("数出表_Excel!"&amp;EN43&amp;MATCH(ES1,数出表_Excel!$A:$A,0)-1+2&amp;":U"&amp;MATCH(ES1,数出表_Excel!$A:$A,0)-1+2&amp;""),
 1,
 MATCH(TRUE, ISNUMBER(--INDIRECT("数出表_Excel!"&amp;EN43&amp;MATCH(ES1,数出表_Excel!$A:$A,0)-1+2&amp;":U"&amp;MATCH(ES1,数出表_Excel!$A:$A,0)-1+2&amp;"")), 0)),
 "")
+IFERROR(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""),
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""))),"")</f>
        <v/>
      </c>
      <c r="EP46" s="186"/>
      <c r="EQ46" s="188" t="str">
        <f t="array" aca="1" ref="EQ46" ca="1">IF(EO2&lt;&gt;"",
IF(IFERROR(
INDEX(INDIRECT("数出表_Excel!B"&amp;MATCH(ES1,数出表_Excel!$A:$A,0)&amp;":U"&amp;MATCH(ES1,数出表_Excel!$A:$A,0)&amp;""),
 1,EN44-1),
 "")=0,"",
IFERROR(
INDEX(INDIRECT("数出表_Excel!B"&amp;MATCH(ES1,数出表_Excel!$A:$A,0)&amp;":U"&amp;MATCH(ES1,数出表_Excel!$A:$A,0)&amp;""),
 1,EN44-1),
 "")),"")</f>
        <v/>
      </c>
      <c r="ER46" s="186"/>
      <c r="ES46" s="101" t="e">
        <f t="array" aca="1" ref="ES46" ca="1">IF(EN3=100,
IF(EO43&lt;&gt;"",
IF(IFERROR(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"")&lt;&gt;0,
IF(IFERROR(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"")="",
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""),
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"")),0),""),0)</f>
        <v>#N/A</v>
      </c>
      <c r="ET46" s="110"/>
      <c r="EU46" s="82">
        <f t="shared" si="2"/>
        <v>77</v>
      </c>
      <c r="EV46" s="82" t="str">
        <f t="array" aca="1" ref="EV46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LEN(SUBSTITUTE(_xlfn.FORMULATEXT(EV$25),"=","")))+$EU46)</f>
        <v/>
      </c>
      <c r="EW46" s="82" t="str">
        <f t="array" aca="1" ref="EW46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LEN(SUBSTITUTE(_xlfn.FORMULATEXT(EW$25),"=","")))+$EU46)</f>
        <v/>
      </c>
      <c r="EX46" s="82" t="str">
        <f t="array" aca="1" ref="EX46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LEN(SUBSTITUTE(_xlfn.FORMULATEXT(EX$25),"=","")))+$EU46)</f>
        <v/>
      </c>
      <c r="EY46" s="82" t="str">
        <f t="array" aca="1" ref="EY46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LEN(SUBSTITUTE(_xlfn.FORMULATEXT(EY$25),"=","")))+$EU46)</f>
        <v/>
      </c>
      <c r="EZ46" s="82" t="str">
        <f t="array" aca="1" ref="EZ46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LEN(SUBSTITUTE(_xlfn.FORMULATEXT(EZ$25),"=","")))+$EU46)</f>
        <v/>
      </c>
      <c r="FA46" s="82" t="str">
        <f t="array" aca="1" ref="FA46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LEN(SUBSTITUTE(_xlfn.FORMULATEXT(FA$25),"=","")))+$EU46)</f>
        <v/>
      </c>
      <c r="FB46" s="82" t="str">
        <f t="array" aca="1" ref="FB46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LEN(SUBSTITUTE(_xlfn.FORMULATEXT(FB$25),"=","")))+$EU46)</f>
        <v/>
      </c>
      <c r="FC46" s="82" t="str">
        <f t="array" aca="1" ref="FC46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LEN(SUBSTITUTE(_xlfn.FORMULATEXT(FC$25),"=","")))+$EU46)</f>
        <v/>
      </c>
      <c r="FD46" s="82" t="str">
        <f t="array" aca="1" ref="FD46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LEN(SUBSTITUTE(_xlfn.FORMULATEXT(FD$25),"=","")))+$EU46)</f>
        <v/>
      </c>
      <c r="FE46" s="82" t="str">
        <f t="array" aca="1" ref="FE46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LEN(SUBSTITUTE(_xlfn.FORMULATEXT(FE$25),"=","")))+$EU46)</f>
        <v/>
      </c>
      <c r="FF46" s="82" t="str">
        <f t="array" aca="1" ref="FF46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LEN(SUBSTITUTE(_xlfn.FORMULATEXT(FF$25),"=","")))+$EU46)</f>
        <v/>
      </c>
      <c r="FG46" s="82">
        <f t="shared" ca="1" si="3"/>
        <v>0</v>
      </c>
      <c r="FH46" s="82" t="b">
        <f t="array" aca="1" ref="FH46" ca="1">SUMPRODUCT((LEN(EV46:FF46)&gt;0)*1)&gt;0</f>
        <v>0</v>
      </c>
      <c r="FI46" s="82" t="str">
        <f t="array" aca="1" ref="FI46" ca="1">IFERROR(SMALL(IF(FG$1:FG$173&lt;&gt;0,FG$1:FG$173),ROW(A46)),"")</f>
        <v/>
      </c>
      <c r="FJ46" s="82" t="str">
        <f t="array" aca="1" ref="FJ46" ca="1">IF($FI46&lt;&gt;"",
INDIRECT(""&amp;IF(COLUMN(EV46)&lt;=26,CHAR(COLUMN(EV46)+64),CHAR(INT((COLUMN(EV46)-1)/26)+64)&amp;CHAR(MOD(COLUMN(EV46)-1,26)+65))&amp;$FI46&amp;""),"")</f>
        <v/>
      </c>
      <c r="FK46" s="82" t="str">
        <f t="array" aca="1" ref="FK46" ca="1">IF($FI46&lt;&gt;"",
INDIRECT(""&amp;IF(COLUMN(EW46)&lt;=26,CHAR(COLUMN(EW46)+64),CHAR(INT((COLUMN(EW46)-1)/26)+64)&amp;CHAR(MOD(COLUMN(EW46)-1,26)+65))&amp;$FI46&amp;""),"")</f>
        <v/>
      </c>
      <c r="FL46" s="82" t="str">
        <f t="array" aca="1" ref="FL46" ca="1">IF($FI46&lt;&gt;"",
INDIRECT(""&amp;IF(COLUMN(EX46)&lt;=26,CHAR(COLUMN(EX46)+64),CHAR(INT((COLUMN(EX46)-1)/26)+64)&amp;CHAR(MOD(COLUMN(EX46)-1,26)+65))&amp;$FI46&amp;""),"")</f>
        <v/>
      </c>
      <c r="FM46" s="82" t="str">
        <f t="array" aca="1" ref="FM46" ca="1">IF($FI46&lt;&gt;"",
IF(FL46="",
IF(INDIRECT("EY"&amp;$FI46&amp;"")&lt;&gt;"",
INDIRECT("EY"&amp;$FI46&amp;"")&amp;"箱"
&amp;INDIRECT("EZ"&amp;$FI46&amp;""),""),""),"")</f>
        <v/>
      </c>
      <c r="FN46" s="82" t="str">
        <f t="array" aca="1" ref="FN46" ca="1">IF($FI46&lt;&gt;"",
INDIRECT(""&amp;IF(COLUMN(FA46)&lt;=26,CHAR(COLUMN(FA46)+64),CHAR(INT((COLUMN(FA46)-1)/26)+64)&amp;CHAR(MOD(COLUMN(FA46)-1,26)+65))&amp;$FI46&amp;""),"")</f>
        <v/>
      </c>
      <c r="FO46" s="82" t="str">
        <f t="array" aca="1" ref="FO46" ca="1">IF($FI46&lt;&gt;"",
INDIRECT(""&amp;IF(COLUMN(FB46)&lt;=26,CHAR(COLUMN(FB46)+64),CHAR(INT((COLUMN(FB46)-1)/26)+64)&amp;CHAR(MOD(COLUMN(FB46)-1,26)+65))&amp;$FI46&amp;""),"")</f>
        <v/>
      </c>
      <c r="FP46" s="82" t="str">
        <f t="array" aca="1" ref="FP46" ca="1">IF($FI46&lt;&gt;"",
INDIRECT(""&amp;IF(COLUMN(FC46)&lt;=26,CHAR(COLUMN(FC46)+64),CHAR(INT((COLUMN(FC46)-1)/26)+64)&amp;CHAR(MOD(COLUMN(FC46)-1,26)+65))&amp;$FI46&amp;""),"")</f>
        <v/>
      </c>
      <c r="FQ46" s="82" t="str">
        <f t="array" aca="1" ref="FQ46" ca="1">IF($FI46&lt;&gt;"",
INDIRECT(""&amp;IF(COLUMN(FD46)&lt;=26,CHAR(COLUMN(FD46)+64),CHAR(INT((COLUMN(FD46)-1)/26)+64)&amp;CHAR(MOD(COLUMN(FD46)-1,26)+65))&amp;$FI46&amp;""),"")</f>
        <v/>
      </c>
      <c r="FR46" s="82" t="str">
        <f t="array" aca="1" ref="FR46" ca="1">IF($FI46&lt;&gt;"",
INDIRECT(""&amp;IF(COLUMN(FE46)&lt;=26,CHAR(COLUMN(FE46)+64),CHAR(INT((COLUMN(FE46)-1)/26)+64)&amp;CHAR(MOD(COLUMN(FE46)-1,26)+65))&amp;$FI46&amp;""),"")</f>
        <v/>
      </c>
      <c r="FS46" s="82" t="str">
        <f t="array" aca="1" ref="FS46" ca="1">IF($FI46&lt;&gt;"",
INDIRECT(""&amp;IF(COLUMN(FF46)&lt;=26,CHAR(COLUMN(FF46)+64),CHAR(INT((COLUMN(FF46)-1)/26)+64)&amp;CHAR(MOD(COLUMN(FF46)-1,26)+65))&amp;$FI46&amp;""),"")</f>
        <v/>
      </c>
    </row>
    <row r="47" spans="1:175" ht="18" customHeight="1" x14ac:dyDescent="0.45">
      <c r="B47" s="92"/>
      <c r="C47" s="187"/>
      <c r="D47" s="187"/>
      <c r="E47" s="187"/>
      <c r="F47" s="187"/>
      <c r="G47" s="102" t="str">
        <f>SUBSTITUTE(SUBSTITUTE(ADDRESS(1,MATCH("おやつ",'数出表_Excel（アレルギー入力）'!$3:$3,0)),1,""),"$","")</f>
        <v>AL</v>
      </c>
      <c r="I47" s="92"/>
      <c r="J47" s="187"/>
      <c r="K47" s="187"/>
      <c r="L47" s="187"/>
      <c r="M47" s="187"/>
      <c r="N47" s="102" t="str">
        <f>SUBSTITUTE(SUBSTITUTE(ADDRESS(1,MATCH("おやつ",'数出表_Excel（アレルギー入力）'!$3:$3,0)),1,""),"$","")</f>
        <v>AL</v>
      </c>
      <c r="Q47" s="92"/>
      <c r="R47" s="187"/>
      <c r="S47" s="187"/>
      <c r="T47" s="187"/>
      <c r="U47" s="187"/>
      <c r="V47" s="102" t="str">
        <f>SUBSTITUTE(SUBSTITUTE(ADDRESS(1,MATCH("おやつ",'数出表_Excel（アレルギー入力）'!$3:$3,0)),1,""),"$","")</f>
        <v>AL</v>
      </c>
      <c r="X47" s="92"/>
      <c r="Y47" s="187"/>
      <c r="Z47" s="187"/>
      <c r="AA47" s="187"/>
      <c r="AB47" s="187"/>
      <c r="AC47" s="102" t="str">
        <f>SUBSTITUTE(SUBSTITUTE(ADDRESS(1,MATCH("おやつ",'数出表_Excel（アレルギー入力）'!$3:$3,0)),1,""),"$","")</f>
        <v>AL</v>
      </c>
      <c r="AF47" s="92"/>
      <c r="AG47" s="187"/>
      <c r="AH47" s="187"/>
      <c r="AI47" s="187"/>
      <c r="AJ47" s="187"/>
      <c r="AK47" s="102" t="str">
        <f>SUBSTITUTE(SUBSTITUTE(ADDRESS(1,MATCH("おやつ",'数出表_Excel（アレルギー入力）'!$3:$3,0)),1,""),"$","")</f>
        <v>AL</v>
      </c>
      <c r="AM47" s="92"/>
      <c r="AN47" s="187"/>
      <c r="AO47" s="187"/>
      <c r="AP47" s="187"/>
      <c r="AQ47" s="187"/>
      <c r="AR47" s="102" t="str">
        <f>SUBSTITUTE(SUBSTITUTE(ADDRESS(1,MATCH("おやつ",'数出表_Excel（アレルギー入力）'!$3:$3,0)),1,""),"$","")</f>
        <v>AL</v>
      </c>
      <c r="AU47" s="92"/>
      <c r="AV47" s="187"/>
      <c r="AW47" s="187"/>
      <c r="AX47" s="187"/>
      <c r="AY47" s="187"/>
      <c r="AZ47" s="102" t="str">
        <f>SUBSTITUTE(SUBSTITUTE(ADDRESS(1,MATCH("おやつ",'数出表_Excel（アレルギー入力）'!$3:$3,0)),1,""),"$","")</f>
        <v>AL</v>
      </c>
      <c r="BB47" s="92"/>
      <c r="BC47" s="187"/>
      <c r="BD47" s="187"/>
      <c r="BE47" s="187"/>
      <c r="BF47" s="187"/>
      <c r="BG47" s="102" t="str">
        <f>SUBSTITUTE(SUBSTITUTE(ADDRESS(1,MATCH("おやつ",'数出表_Excel（アレルギー入力）'!$3:$3,0)),1,""),"$","")</f>
        <v>AL</v>
      </c>
      <c r="BJ47" s="92"/>
      <c r="BK47" s="187"/>
      <c r="BL47" s="187"/>
      <c r="BM47" s="187"/>
      <c r="BN47" s="187"/>
      <c r="BO47" s="102" t="str">
        <f>SUBSTITUTE(SUBSTITUTE(ADDRESS(1,MATCH("おやつ",'数出表_Excel（アレルギー入力）'!$3:$3,0)),1,""),"$","")</f>
        <v>AL</v>
      </c>
      <c r="BQ47" s="92"/>
      <c r="BR47" s="187"/>
      <c r="BS47" s="187"/>
      <c r="BT47" s="187"/>
      <c r="BU47" s="187"/>
      <c r="BV47" s="102" t="str">
        <f>SUBSTITUTE(SUBSTITUTE(ADDRESS(1,MATCH("おやつ",'数出表_Excel（アレルギー入力）'!$3:$3,0)),1,""),"$","")</f>
        <v>AL</v>
      </c>
      <c r="BY47" s="92"/>
      <c r="BZ47" s="187"/>
      <c r="CA47" s="187"/>
      <c r="CB47" s="187"/>
      <c r="CC47" s="187"/>
      <c r="CD47" s="102" t="str">
        <f>SUBSTITUTE(SUBSTITUTE(ADDRESS(1,MATCH("おやつ",'数出表_Excel（アレルギー入力）'!$3:$3,0)),1,""),"$","")</f>
        <v>AL</v>
      </c>
      <c r="CF47" s="92"/>
      <c r="CG47" s="187"/>
      <c r="CH47" s="187"/>
      <c r="CI47" s="187"/>
      <c r="CJ47" s="187"/>
      <c r="CK47" s="102" t="str">
        <f>SUBSTITUTE(SUBSTITUTE(ADDRESS(1,MATCH("おやつ",'数出表_Excel（アレルギー入力）'!$3:$3,0)),1,""),"$","")</f>
        <v>AL</v>
      </c>
      <c r="CN47" s="92"/>
      <c r="CO47" s="187"/>
      <c r="CP47" s="187"/>
      <c r="CQ47" s="187"/>
      <c r="CR47" s="187"/>
      <c r="CS47" s="102" t="str">
        <f>SUBSTITUTE(SUBSTITUTE(ADDRESS(1,MATCH("おやつ",'数出表_Excel（アレルギー入力）'!$3:$3,0)),1,""),"$","")</f>
        <v>AL</v>
      </c>
      <c r="CU47" s="92"/>
      <c r="CV47" s="187"/>
      <c r="CW47" s="187"/>
      <c r="CX47" s="187"/>
      <c r="CY47" s="187"/>
      <c r="CZ47" s="102" t="str">
        <f>SUBSTITUTE(SUBSTITUTE(ADDRESS(1,MATCH("おやつ",'数出表_Excel（アレルギー入力）'!$3:$3,0)),1,""),"$","")</f>
        <v>AL</v>
      </c>
      <c r="DC47" s="92"/>
      <c r="DD47" s="187"/>
      <c r="DE47" s="187"/>
      <c r="DF47" s="187"/>
      <c r="DG47" s="187"/>
      <c r="DH47" s="102" t="str">
        <f>SUBSTITUTE(SUBSTITUTE(ADDRESS(1,MATCH("おやつ",'数出表_Excel（アレルギー入力）'!$3:$3,0)),1,""),"$","")</f>
        <v>AL</v>
      </c>
      <c r="DJ47" s="92"/>
      <c r="DK47" s="187"/>
      <c r="DL47" s="187"/>
      <c r="DM47" s="187"/>
      <c r="DN47" s="187"/>
      <c r="DO47" s="102" t="str">
        <f>SUBSTITUTE(SUBSTITUTE(ADDRESS(1,MATCH("おやつ",'数出表_Excel（アレルギー入力）'!$3:$3,0)),1,""),"$","")</f>
        <v>AL</v>
      </c>
      <c r="DR47" s="92"/>
      <c r="DS47" s="187"/>
      <c r="DT47" s="187"/>
      <c r="DU47" s="187"/>
      <c r="DV47" s="187"/>
      <c r="DW47" s="102" t="str">
        <f>SUBSTITUTE(SUBSTITUTE(ADDRESS(1,MATCH("おやつ",'数出表_Excel（アレルギー入力）'!$3:$3,0)),1,""),"$","")</f>
        <v>AL</v>
      </c>
      <c r="DY47" s="92"/>
      <c r="DZ47" s="187"/>
      <c r="EA47" s="187"/>
      <c r="EB47" s="187"/>
      <c r="EC47" s="187"/>
      <c r="ED47" s="102" t="str">
        <f>SUBSTITUTE(SUBSTITUTE(ADDRESS(1,MATCH("おやつ",'数出表_Excel（アレルギー入力）'!$3:$3,0)),1,""),"$","")</f>
        <v>AL</v>
      </c>
      <c r="EG47" s="92"/>
      <c r="EH47" s="187"/>
      <c r="EI47" s="187"/>
      <c r="EJ47" s="187"/>
      <c r="EK47" s="187"/>
      <c r="EL47" s="102" t="str">
        <f>SUBSTITUTE(SUBSTITUTE(ADDRESS(1,MATCH("おやつ",'数出表_Excel（アレルギー入力）'!$3:$3,0)),1,""),"$","")</f>
        <v>AL</v>
      </c>
      <c r="EN47" s="92"/>
      <c r="EO47" s="187"/>
      <c r="EP47" s="187"/>
      <c r="EQ47" s="187"/>
      <c r="ER47" s="187"/>
      <c r="ES47" s="102" t="str">
        <f>SUBSTITUTE(SUBSTITUTE(ADDRESS(1,MATCH("おやつ",'数出表_Excel（アレルギー入力）'!$3:$3,0)),1,""),"$","")</f>
        <v>AL</v>
      </c>
      <c r="ET47" s="110"/>
      <c r="EU47" s="91">
        <f t="shared" si="2"/>
        <v>35</v>
      </c>
      <c r="EV47" s="82" t="str">
        <f t="array" aca="1" ref="EV47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LEN(SUBSTITUTE(_xlfn.FORMULATEXT(EV$27),"=","")))+$EU47)</f>
        <v/>
      </c>
      <c r="EW47" s="82" t="str">
        <f t="array" aca="1" ref="EW47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LEN(SUBSTITUTE(_xlfn.FORMULATEXT(EW$27),"=","")))+$EU47)</f>
        <v/>
      </c>
      <c r="EX47" s="82" t="str">
        <f t="array" aca="1" ref="EX47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LEN(SUBSTITUTE(_xlfn.FORMULATEXT(EX$27),"=","")))+$EU47)</f>
        <v/>
      </c>
      <c r="EY47" s="82" t="str">
        <f t="array" aca="1" ref="EY47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LEN(SUBSTITUTE(_xlfn.FORMULATEXT(EY$27),"=","")))+$EU47)</f>
        <v/>
      </c>
      <c r="EZ47" s="82" t="str">
        <f t="array" aca="1" ref="EZ47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LEN(SUBSTITUTE(_xlfn.FORMULATEXT(EZ$27),"=","")))+$EU47)</f>
        <v/>
      </c>
      <c r="FA47" s="82" t="e">
        <f t="array" aca="1" ref="FA47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LEN(SUBSTITUTE(_xlfn.FORMULATEXT(FA$27),"=","")))+$EU47)</f>
        <v>#VALUE!</v>
      </c>
      <c r="FB47" s="82" t="str">
        <f t="array" aca="1" ref="FB47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LEN(SUBSTITUTE(_xlfn.FORMULATEXT(FB$27),"=","")))+$EU47)</f>
        <v/>
      </c>
      <c r="FC47" s="82" t="str">
        <f t="array" aca="1" ref="FC47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LEN(SUBSTITUTE(_xlfn.FORMULATEXT(FC$27),"=","")))+$EU47)</f>
        <v/>
      </c>
      <c r="FD47" s="82" t="e">
        <f t="array" aca="1" ref="FD47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LEN(SUBSTITUTE(_xlfn.FORMULATEXT(FD$27),"=","")))+$EU47)</f>
        <v>#VALUE!</v>
      </c>
      <c r="FE47" s="82" t="str">
        <f t="array" aca="1" ref="FE47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LEN(SUBSTITUTE(_xlfn.FORMULATEXT(FE$27),"=","")))+$EU47)</f>
        <v/>
      </c>
      <c r="FF47" s="82" t="e">
        <f t="array" aca="1" ref="FF47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LEN(SUBSTITUTE(_xlfn.FORMULATEXT(FF$27),"=","")))+$EU47)</f>
        <v>#N/A</v>
      </c>
      <c r="FG47" s="82">
        <f t="shared" ca="1" si="3"/>
        <v>0</v>
      </c>
      <c r="FH47" s="82" t="e">
        <f t="array" aca="1" ref="FH47" ca="1">SUMPRODUCT((LEN(EV47:FF47)&gt;0)*1)&gt;0</f>
        <v>#VALUE!</v>
      </c>
      <c r="FI47" s="82" t="str">
        <f t="array" aca="1" ref="FI47" ca="1">IFERROR(SMALL(IF(FG$1:FG$173&lt;&gt;0,FG$1:FG$173),ROW(A47)),"")</f>
        <v/>
      </c>
      <c r="FJ47" s="82" t="str">
        <f t="array" aca="1" ref="FJ47" ca="1">IF($FI47&lt;&gt;"",
INDIRECT(""&amp;IF(COLUMN(EV47)&lt;=26,CHAR(COLUMN(EV47)+64),CHAR(INT((COLUMN(EV47)-1)/26)+64)&amp;CHAR(MOD(COLUMN(EV47)-1,26)+65))&amp;$FI47&amp;""),"")</f>
        <v/>
      </c>
      <c r="FK47" s="82" t="str">
        <f t="array" aca="1" ref="FK47" ca="1">IF($FI47&lt;&gt;"",
INDIRECT(""&amp;IF(COLUMN(EW47)&lt;=26,CHAR(COLUMN(EW47)+64),CHAR(INT((COLUMN(EW47)-1)/26)+64)&amp;CHAR(MOD(COLUMN(EW47)-1,26)+65))&amp;$FI47&amp;""),"")</f>
        <v/>
      </c>
      <c r="FL47" s="82" t="str">
        <f t="array" aca="1" ref="FL47" ca="1">IF($FI47&lt;&gt;"",
INDIRECT(""&amp;IF(COLUMN(EX47)&lt;=26,CHAR(COLUMN(EX47)+64),CHAR(INT((COLUMN(EX47)-1)/26)+64)&amp;CHAR(MOD(COLUMN(EX47)-1,26)+65))&amp;$FI47&amp;""),"")</f>
        <v/>
      </c>
      <c r="FM47" s="82" t="str">
        <f t="array" aca="1" ref="FM47" ca="1">IF($FI47&lt;&gt;"",
IF(FL47="",
IF(INDIRECT("EY"&amp;$FI47&amp;"")&lt;&gt;"",
INDIRECT("EY"&amp;$FI47&amp;"")&amp;"箱"
&amp;INDIRECT("EZ"&amp;$FI47&amp;""),""),""),"")</f>
        <v/>
      </c>
      <c r="FN47" s="82" t="str">
        <f t="array" aca="1" ref="FN47" ca="1">IF($FI47&lt;&gt;"",
INDIRECT(""&amp;IF(COLUMN(FA47)&lt;=26,CHAR(COLUMN(FA47)+64),CHAR(INT((COLUMN(FA47)-1)/26)+64)&amp;CHAR(MOD(COLUMN(FA47)-1,26)+65))&amp;$FI47&amp;""),"")</f>
        <v/>
      </c>
      <c r="FO47" s="82" t="str">
        <f t="array" aca="1" ref="FO47" ca="1">IF($FI47&lt;&gt;"",
INDIRECT(""&amp;IF(COLUMN(FB47)&lt;=26,CHAR(COLUMN(FB47)+64),CHAR(INT((COLUMN(FB47)-1)/26)+64)&amp;CHAR(MOD(COLUMN(FB47)-1,26)+65))&amp;$FI47&amp;""),"")</f>
        <v/>
      </c>
      <c r="FP47" s="82" t="str">
        <f t="array" aca="1" ref="FP47" ca="1">IF($FI47&lt;&gt;"",
INDIRECT(""&amp;IF(COLUMN(FC47)&lt;=26,CHAR(COLUMN(FC47)+64),CHAR(INT((COLUMN(FC47)-1)/26)+64)&amp;CHAR(MOD(COLUMN(FC47)-1,26)+65))&amp;$FI47&amp;""),"")</f>
        <v/>
      </c>
      <c r="FQ47" s="82" t="str">
        <f t="array" aca="1" ref="FQ47" ca="1">IF($FI47&lt;&gt;"",
INDIRECT(""&amp;IF(COLUMN(FD47)&lt;=26,CHAR(COLUMN(FD47)+64),CHAR(INT((COLUMN(FD47)-1)/26)+64)&amp;CHAR(MOD(COLUMN(FD47)-1,26)+65))&amp;$FI47&amp;""),"")</f>
        <v/>
      </c>
      <c r="FR47" s="82" t="str">
        <f t="array" aca="1" ref="FR47" ca="1">IF($FI47&lt;&gt;"",
INDIRECT(""&amp;IF(COLUMN(FE47)&lt;=26,CHAR(COLUMN(FE47)+64),CHAR(INT((COLUMN(FE47)-1)/26)+64)&amp;CHAR(MOD(COLUMN(FE47)-1,26)+65))&amp;$FI47&amp;""),"")</f>
        <v/>
      </c>
      <c r="FS47" s="82" t="str">
        <f t="array" aca="1" ref="FS47" ca="1">IF($FI47&lt;&gt;"",
INDIRECT(""&amp;IF(COLUMN(FF47)&lt;=26,CHAR(COLUMN(FF47)+64),CHAR(INT((COLUMN(FF47)-1)/26)+64)&amp;CHAR(MOD(COLUMN(FF47)-1,26)+65))&amp;$FI47&amp;""),"")</f>
        <v/>
      </c>
    </row>
    <row r="48" spans="1:175" s="82" customFormat="1" ht="22.2" customHeight="1" x14ac:dyDescent="0.55000000000000004">
      <c r="A48" s="80"/>
      <c r="B48" s="93" t="str">
        <f ca="1">IF(C46&lt;&gt;"","パン箱","")</f>
        <v/>
      </c>
      <c r="C48" s="94" t="str">
        <f ca="1">IF(C46&lt;&gt;"",IF(OR(COUNTIF('盛付札（関数）'!C44,"*キャラ*"),COUNTIF('盛付札（関数）'!C44,"*赤*")),24,
VLOOKUP('盛付札（関数）'!C44,商品マスタ一覧!$D:$I,6,FALSE)),"")</f>
        <v/>
      </c>
      <c r="D48" s="93" t="str">
        <f ca="1">IF(C46&lt;&gt;"","　端数","")</f>
        <v/>
      </c>
      <c r="E48" s="94"/>
      <c r="F48" s="93" t="str">
        <f ca="1">IF(C46&lt;&gt;"","アレルギー","")</f>
        <v/>
      </c>
      <c r="G48" s="97"/>
      <c r="H48" s="80"/>
      <c r="I48" s="93" t="str">
        <f ca="1">IF(J46&lt;&gt;"","パン箱","")</f>
        <v/>
      </c>
      <c r="J48" s="94" t="str">
        <f ca="1">IF(J46&lt;&gt;"",IF(OR(COUNTIF('盛付札（関数）'!J44,"*キャラ*"),COUNTIF('盛付札（関数）'!J44,"*赤*")),24,
VLOOKUP('盛付札（関数）'!J44,商品マスタ一覧!$D:$I,6,FALSE)),"")</f>
        <v/>
      </c>
      <c r="K48" s="93" t="str">
        <f ca="1">IF(J46&lt;&gt;"","　端数","")</f>
        <v/>
      </c>
      <c r="L48" s="94"/>
      <c r="M48" s="93" t="str">
        <f ca="1">IF(J46&lt;&gt;"","アレルギー","")</f>
        <v/>
      </c>
      <c r="N48" s="97"/>
      <c r="O48" s="80"/>
      <c r="P48" s="80"/>
      <c r="Q48" s="93" t="str">
        <f ca="1">IF(R46&lt;&gt;"","パン箱","")</f>
        <v/>
      </c>
      <c r="R48" s="94" t="str">
        <f ca="1">IF(R46&lt;&gt;"",IF(OR(COUNTIF('盛付札（関数）'!R44,"*キャラ*"),COUNTIF('盛付札（関数）'!R44,"*赤*")),24,
VLOOKUP('盛付札（関数）'!R44,商品マスタ一覧!$D:$I,6,FALSE)),"")</f>
        <v/>
      </c>
      <c r="S48" s="93" t="str">
        <f ca="1">IF(R46&lt;&gt;"","　端数","")</f>
        <v/>
      </c>
      <c r="T48" s="94"/>
      <c r="U48" s="93" t="str">
        <f ca="1">IF(R46&lt;&gt;"","アレルギー","")</f>
        <v/>
      </c>
      <c r="V48" s="97"/>
      <c r="W48" s="80"/>
      <c r="X48" s="93" t="str">
        <f ca="1">IF(Y46&lt;&gt;"","パン箱","")</f>
        <v/>
      </c>
      <c r="Y48" s="94" t="str">
        <f ca="1">IF(Y46&lt;&gt;"",IF(OR(COUNTIF('盛付札（関数）'!Y44,"*キャラ*"),COUNTIF('盛付札（関数）'!Y44,"*赤*")),24,
VLOOKUP('盛付札（関数）'!Y44,商品マスタ一覧!$D:$I,6,FALSE)),"")</f>
        <v/>
      </c>
      <c r="Z48" s="93" t="str">
        <f ca="1">IF(Y46&lt;&gt;"","　端数","")</f>
        <v/>
      </c>
      <c r="AA48" s="94"/>
      <c r="AB48" s="93" t="str">
        <f ca="1">IF(Y46&lt;&gt;"","アレルギー","")</f>
        <v/>
      </c>
      <c r="AC48" s="97"/>
      <c r="AD48" s="80"/>
      <c r="AE48" s="80"/>
      <c r="AF48" s="93" t="str">
        <f ca="1">IF(AG46&lt;&gt;"","パン箱","")</f>
        <v/>
      </c>
      <c r="AG48" s="94" t="str">
        <f ca="1">IF(AG46&lt;&gt;"",IF(OR(COUNTIF('盛付札（関数）'!AG44,"*キャラ*"),COUNTIF('盛付札（関数）'!AG44,"*赤*")),24,
VLOOKUP('盛付札（関数）'!AG44,商品マスタ一覧!$D:$I,6,FALSE)),"")</f>
        <v/>
      </c>
      <c r="AH48" s="93" t="str">
        <f ca="1">IF(AG46&lt;&gt;"","　端数","")</f>
        <v/>
      </c>
      <c r="AI48" s="94"/>
      <c r="AJ48" s="93" t="str">
        <f ca="1">IF(AG46&lt;&gt;"","アレルギー","")</f>
        <v/>
      </c>
      <c r="AK48" s="97"/>
      <c r="AL48" s="80"/>
      <c r="AM48" s="93" t="str">
        <f ca="1">IF(AN46&lt;&gt;"","パン箱","")</f>
        <v/>
      </c>
      <c r="AN48" s="94" t="str">
        <f ca="1">IF(AN46&lt;&gt;"",IF(OR(COUNTIF('盛付札（関数）'!AN44,"*キャラ*"),COUNTIF('盛付札（関数）'!AN44,"*赤*")),24,
VLOOKUP('盛付札（関数）'!AN44,商品マスタ一覧!$D:$I,6,FALSE)),"")</f>
        <v/>
      </c>
      <c r="AO48" s="93" t="str">
        <f ca="1">IF(AN46&lt;&gt;"","　端数","")</f>
        <v/>
      </c>
      <c r="AP48" s="94"/>
      <c r="AQ48" s="93" t="str">
        <f ca="1">IF(AN46&lt;&gt;"","アレルギー","")</f>
        <v/>
      </c>
      <c r="AR48" s="97"/>
      <c r="AS48" s="80"/>
      <c r="AT48" s="80"/>
      <c r="AU48" s="93" t="str">
        <f ca="1">IF(AV46&lt;&gt;"","パン箱","")</f>
        <v/>
      </c>
      <c r="AV48" s="94" t="str">
        <f ca="1">IF(AV46&lt;&gt;"",IF(OR(COUNTIF('盛付札（関数）'!AV44,"*キャラ*"),COUNTIF('盛付札（関数）'!AV44,"*赤*")),24,
VLOOKUP('盛付札（関数）'!AV44,商品マスタ一覧!$D:$I,6,FALSE)),"")</f>
        <v/>
      </c>
      <c r="AW48" s="93" t="str">
        <f ca="1">IF(AV46&lt;&gt;"","　端数","")</f>
        <v/>
      </c>
      <c r="AX48" s="94"/>
      <c r="AY48" s="93" t="str">
        <f ca="1">IF(AV46&lt;&gt;"","アレルギー","")</f>
        <v/>
      </c>
      <c r="AZ48" s="97"/>
      <c r="BA48" s="80"/>
      <c r="BB48" s="93" t="str">
        <f ca="1">IF(BC46&lt;&gt;"","パン箱","")</f>
        <v/>
      </c>
      <c r="BC48" s="94" t="str">
        <f ca="1">IF(BC46&lt;&gt;"",IF(OR(COUNTIF('盛付札（関数）'!BC44,"*キャラ*"),COUNTIF('盛付札（関数）'!BC44,"*赤*")),24,
VLOOKUP('盛付札（関数）'!BC44,商品マスタ一覧!$D:$I,6,FALSE)),"")</f>
        <v/>
      </c>
      <c r="BD48" s="93" t="str">
        <f ca="1">IF(BC46&lt;&gt;"","　端数","")</f>
        <v/>
      </c>
      <c r="BE48" s="94"/>
      <c r="BF48" s="93" t="str">
        <f ca="1">IF(BC46&lt;&gt;"","アレルギー","")</f>
        <v/>
      </c>
      <c r="BG48" s="97"/>
      <c r="BH48" s="80"/>
      <c r="BI48" s="80"/>
      <c r="BJ48" s="93" t="str">
        <f ca="1">IF(BK46&lt;&gt;"","パン箱","")</f>
        <v/>
      </c>
      <c r="BK48" s="94" t="str">
        <f ca="1">IF(BK46&lt;&gt;"",IF(OR(COUNTIF('盛付札（関数）'!BK44,"*キャラ*"),COUNTIF('盛付札（関数）'!BK44,"*赤*")),24,
VLOOKUP('盛付札（関数）'!BK44,商品マスタ一覧!$D:$I,6,FALSE)),"")</f>
        <v/>
      </c>
      <c r="BL48" s="93" t="str">
        <f ca="1">IF(BK46&lt;&gt;"","　端数","")</f>
        <v/>
      </c>
      <c r="BM48" s="94"/>
      <c r="BN48" s="93" t="str">
        <f ca="1">IF(BK46&lt;&gt;"","アレルギー","")</f>
        <v/>
      </c>
      <c r="BO48" s="97"/>
      <c r="BP48" s="80"/>
      <c r="BQ48" s="93" t="str">
        <f ca="1">IF(BR46&lt;&gt;"","パン箱","")</f>
        <v/>
      </c>
      <c r="BR48" s="94" t="str">
        <f ca="1">IF(BR46&lt;&gt;"",IF(OR(COUNTIF('盛付札（関数）'!BR44,"*キャラ*"),COUNTIF('盛付札（関数）'!BR44,"*赤*")),24,
VLOOKUP('盛付札（関数）'!BR44,商品マスタ一覧!$D:$I,6,FALSE)),"")</f>
        <v/>
      </c>
      <c r="BS48" s="93" t="str">
        <f ca="1">IF(BR46&lt;&gt;"","　端数","")</f>
        <v/>
      </c>
      <c r="BT48" s="94"/>
      <c r="BU48" s="93" t="str">
        <f ca="1">IF(BR46&lt;&gt;"","アレルギー","")</f>
        <v/>
      </c>
      <c r="BV48" s="97"/>
      <c r="BW48" s="80"/>
      <c r="BX48" s="80"/>
      <c r="BY48" s="93" t="str">
        <f ca="1">IF(BZ46&lt;&gt;"","パン箱","")</f>
        <v/>
      </c>
      <c r="BZ48" s="94" t="str">
        <f ca="1">IF(BZ46&lt;&gt;"",IF(OR(COUNTIF('盛付札（関数）'!BZ44,"*キャラ*"),COUNTIF('盛付札（関数）'!BZ44,"*赤*")),24,
VLOOKUP('盛付札（関数）'!BZ44,商品マスタ一覧!$D:$I,6,FALSE)),"")</f>
        <v/>
      </c>
      <c r="CA48" s="93" t="str">
        <f ca="1">IF(BZ46&lt;&gt;"","　端数","")</f>
        <v/>
      </c>
      <c r="CB48" s="94"/>
      <c r="CC48" s="93" t="str">
        <f ca="1">IF(BZ46&lt;&gt;"","アレルギー","")</f>
        <v/>
      </c>
      <c r="CD48" s="97"/>
      <c r="CE48" s="80"/>
      <c r="CF48" s="93" t="str">
        <f ca="1">IF(CG46&lt;&gt;"","パン箱","")</f>
        <v/>
      </c>
      <c r="CG48" s="94" t="str">
        <f ca="1">IF(CG46&lt;&gt;"",IF(OR(COUNTIF('盛付札（関数）'!CG44,"*キャラ*"),COUNTIF('盛付札（関数）'!CG44,"*赤*")),24,
VLOOKUP('盛付札（関数）'!CG44,商品マスタ一覧!$D:$I,6,FALSE)),"")</f>
        <v/>
      </c>
      <c r="CH48" s="93" t="str">
        <f ca="1">IF(CG46&lt;&gt;"","　端数","")</f>
        <v/>
      </c>
      <c r="CI48" s="94"/>
      <c r="CJ48" s="93" t="str">
        <f ca="1">IF(CG46&lt;&gt;"","アレルギー","")</f>
        <v/>
      </c>
      <c r="CK48" s="97"/>
      <c r="CL48" s="80"/>
      <c r="CM48" s="80"/>
      <c r="CN48" s="93" t="str">
        <f ca="1">IF(CO46&lt;&gt;"","パン箱","")</f>
        <v/>
      </c>
      <c r="CO48" s="94" t="str">
        <f ca="1">IF(CO46&lt;&gt;"",IF(OR(COUNTIF('盛付札（関数）'!CO44,"*キャラ*"),COUNTIF('盛付札（関数）'!CO44,"*赤*")),24,
VLOOKUP('盛付札（関数）'!CO44,商品マスタ一覧!$D:$I,6,FALSE)),"")</f>
        <v/>
      </c>
      <c r="CP48" s="93" t="str">
        <f ca="1">IF(CO46&lt;&gt;"","　端数","")</f>
        <v/>
      </c>
      <c r="CQ48" s="94"/>
      <c r="CR48" s="93" t="str">
        <f ca="1">IF(CO46&lt;&gt;"","アレルギー","")</f>
        <v/>
      </c>
      <c r="CS48" s="97"/>
      <c r="CT48" s="80"/>
      <c r="CU48" s="93" t="str">
        <f ca="1">IF(CV46&lt;&gt;"","パン箱","")</f>
        <v/>
      </c>
      <c r="CV48" s="94" t="str">
        <f ca="1">IF(CV46&lt;&gt;"",IF(OR(COUNTIF('盛付札（関数）'!CV44,"*キャラ*"),COUNTIF('盛付札（関数）'!CV44,"*赤*")),24,
VLOOKUP('盛付札（関数）'!CV44,商品マスタ一覧!$D:$I,6,FALSE)),"")</f>
        <v/>
      </c>
      <c r="CW48" s="93" t="str">
        <f ca="1">IF(CV46&lt;&gt;"","　端数","")</f>
        <v/>
      </c>
      <c r="CX48" s="94"/>
      <c r="CY48" s="93" t="str">
        <f ca="1">IF(CV46&lt;&gt;"","アレルギー","")</f>
        <v/>
      </c>
      <c r="CZ48" s="97"/>
      <c r="DA48" s="80"/>
      <c r="DB48" s="80"/>
      <c r="DC48" s="93" t="str">
        <f ca="1">IF(DD46&lt;&gt;"","パン箱","")</f>
        <v/>
      </c>
      <c r="DD48" s="94" t="str">
        <f ca="1">IF(DD46&lt;&gt;"",IF(OR(COUNTIF('盛付札（関数）'!DD44,"*キャラ*"),COUNTIF('盛付札（関数）'!DD44,"*赤*")),24,
VLOOKUP('盛付札（関数）'!DD44,商品マスタ一覧!$D:$I,6,FALSE)),"")</f>
        <v/>
      </c>
      <c r="DE48" s="93" t="str">
        <f ca="1">IF(DD46&lt;&gt;"","　端数","")</f>
        <v/>
      </c>
      <c r="DF48" s="94"/>
      <c r="DG48" s="93" t="str">
        <f ca="1">IF(DD46&lt;&gt;"","アレルギー","")</f>
        <v/>
      </c>
      <c r="DH48" s="97"/>
      <c r="DI48" s="80"/>
      <c r="DJ48" s="93" t="str">
        <f ca="1">IF(DK46&lt;&gt;"","パン箱","")</f>
        <v/>
      </c>
      <c r="DK48" s="94" t="str">
        <f ca="1">IF(DK46&lt;&gt;"",IF(OR(COUNTIF('盛付札（関数）'!DK44,"*キャラ*"),COUNTIF('盛付札（関数）'!DK44,"*赤*")),24,
VLOOKUP('盛付札（関数）'!DK44,商品マスタ一覧!$D:$I,6,FALSE)),"")</f>
        <v/>
      </c>
      <c r="DL48" s="93" t="str">
        <f ca="1">IF(DK46&lt;&gt;"","　端数","")</f>
        <v/>
      </c>
      <c r="DM48" s="94"/>
      <c r="DN48" s="93" t="str">
        <f ca="1">IF(DK46&lt;&gt;"","アレルギー","")</f>
        <v/>
      </c>
      <c r="DO48" s="97"/>
      <c r="DP48" s="80"/>
      <c r="DQ48" s="80"/>
      <c r="DR48" s="93" t="str">
        <f ca="1">IF(DS46&lt;&gt;"","パン箱","")</f>
        <v/>
      </c>
      <c r="DS48" s="94" t="str">
        <f ca="1">IF(DS46&lt;&gt;"",IF(OR(COUNTIF('盛付札（関数）'!DS44,"*キャラ*"),COUNTIF('盛付札（関数）'!DS44,"*赤*")),24,
VLOOKUP('盛付札（関数）'!DS44,商品マスタ一覧!$D:$I,6,FALSE)),"")</f>
        <v/>
      </c>
      <c r="DT48" s="93" t="str">
        <f ca="1">IF(DS46&lt;&gt;"","　端数","")</f>
        <v/>
      </c>
      <c r="DU48" s="94"/>
      <c r="DV48" s="93" t="str">
        <f ca="1">IF(DS46&lt;&gt;"","アレルギー","")</f>
        <v/>
      </c>
      <c r="DW48" s="97"/>
      <c r="DX48" s="80"/>
      <c r="DY48" s="93" t="str">
        <f ca="1">IF(DZ46&lt;&gt;"","パン箱","")</f>
        <v/>
      </c>
      <c r="DZ48" s="94" t="str">
        <f ca="1">IF(DZ46&lt;&gt;"",IF(OR(COUNTIF('盛付札（関数）'!DZ44,"*キャラ*"),COUNTIF('盛付札（関数）'!DZ44,"*赤*")),24,
VLOOKUP('盛付札（関数）'!DZ44,商品マスタ一覧!$D:$I,6,FALSE)),"")</f>
        <v/>
      </c>
      <c r="EA48" s="93" t="str">
        <f ca="1">IF(DZ46&lt;&gt;"","　端数","")</f>
        <v/>
      </c>
      <c r="EB48" s="94"/>
      <c r="EC48" s="93" t="str">
        <f ca="1">IF(DZ46&lt;&gt;"","アレルギー","")</f>
        <v/>
      </c>
      <c r="ED48" s="97"/>
      <c r="EE48" s="80"/>
      <c r="EF48" s="80"/>
      <c r="EG48" s="93" t="str">
        <f ca="1">IF(EH46&lt;&gt;"","パン箱","")</f>
        <v/>
      </c>
      <c r="EH48" s="94" t="str">
        <f ca="1">IF(EH46&lt;&gt;"",IF(OR(COUNTIF('盛付札（関数）'!EH44,"*キャラ*"),COUNTIF('盛付札（関数）'!EH44,"*赤*")),24,
VLOOKUP('盛付札（関数）'!EH44,商品マスタ一覧!$D:$I,6,FALSE)),"")</f>
        <v/>
      </c>
      <c r="EI48" s="93" t="str">
        <f ca="1">IF(EH46&lt;&gt;"","　端数","")</f>
        <v/>
      </c>
      <c r="EJ48" s="94"/>
      <c r="EK48" s="93" t="str">
        <f ca="1">IF(EH46&lt;&gt;"","アレルギー","")</f>
        <v/>
      </c>
      <c r="EL48" s="97"/>
      <c r="EM48" s="80"/>
      <c r="EN48" s="93" t="str">
        <f ca="1">IF(EO46&lt;&gt;"","パン箱","")</f>
        <v/>
      </c>
      <c r="EO48" s="94" t="str">
        <f ca="1">IF(EO46&lt;&gt;"",IF(OR(COUNTIF('盛付札（関数）'!EO44,"*キャラ*"),COUNTIF('盛付札（関数）'!EO44,"*赤*")),24,
VLOOKUP('盛付札（関数）'!EO44,商品マスタ一覧!$D:$I,6,FALSE)),"")</f>
        <v/>
      </c>
      <c r="EP48" s="93" t="str">
        <f ca="1">IF(EO46&lt;&gt;"","　端数","")</f>
        <v/>
      </c>
      <c r="EQ48" s="94"/>
      <c r="ER48" s="93" t="str">
        <f ca="1">IF(EO46&lt;&gt;"","アレルギー","")</f>
        <v/>
      </c>
      <c r="ES48" s="97"/>
      <c r="ET48" s="110"/>
      <c r="EU48" s="82">
        <f t="shared" si="2"/>
        <v>77</v>
      </c>
      <c r="EV48" s="82" t="str">
        <f t="array" aca="1" ref="EV48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LEN(SUBSTITUTE(_xlfn.FORMULATEXT(EV$27),"=","")))+$EU48)</f>
        <v/>
      </c>
      <c r="EW48" s="82" t="str">
        <f t="array" aca="1" ref="EW48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LEN(SUBSTITUTE(_xlfn.FORMULATEXT(EW$27),"=","")))+$EU48)</f>
        <v/>
      </c>
      <c r="EX48" s="82" t="str">
        <f t="array" aca="1" ref="EX48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LEN(SUBSTITUTE(_xlfn.FORMULATEXT(EX$27),"=","")))+$EU48)</f>
        <v/>
      </c>
      <c r="EY48" s="82" t="str">
        <f t="array" aca="1" ref="EY48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LEN(SUBSTITUTE(_xlfn.FORMULATEXT(EY$27),"=","")))+$EU48)</f>
        <v/>
      </c>
      <c r="EZ48" s="82" t="str">
        <f t="array" aca="1" ref="EZ48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LEN(SUBSTITUTE(_xlfn.FORMULATEXT(EZ$27),"=","")))+$EU48)</f>
        <v/>
      </c>
      <c r="FA48" s="82" t="str">
        <f t="array" aca="1" ref="FA48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LEN(SUBSTITUTE(_xlfn.FORMULATEXT(FA$27),"=","")))+$EU48)</f>
        <v/>
      </c>
      <c r="FB48" s="82" t="str">
        <f t="array" aca="1" ref="FB48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LEN(SUBSTITUTE(_xlfn.FORMULATEXT(FB$27),"=","")))+$EU48)</f>
        <v/>
      </c>
      <c r="FC48" s="82" t="str">
        <f t="array" aca="1" ref="FC48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LEN(SUBSTITUTE(_xlfn.FORMULATEXT(FC$27),"=","")))+$EU48)</f>
        <v/>
      </c>
      <c r="FD48" s="82" t="str">
        <f t="array" aca="1" ref="FD48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LEN(SUBSTITUTE(_xlfn.FORMULATEXT(FD$27),"=","")))+$EU48)</f>
        <v/>
      </c>
      <c r="FE48" s="82" t="str">
        <f t="array" aca="1" ref="FE48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LEN(SUBSTITUTE(_xlfn.FORMULATEXT(FE$27),"=","")))+$EU48)</f>
        <v/>
      </c>
      <c r="FF48" s="82" t="str">
        <f t="array" aca="1" ref="FF48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LEN(SUBSTITUTE(_xlfn.FORMULATEXT(FF$27),"=","")))+$EU48)</f>
        <v/>
      </c>
      <c r="FG48" s="82">
        <f t="shared" ca="1" si="3"/>
        <v>0</v>
      </c>
      <c r="FH48" s="82" t="b">
        <f t="array" aca="1" ref="FH48" ca="1">SUMPRODUCT((LEN(EV48:FF48)&gt;0)*1)&gt;0</f>
        <v>0</v>
      </c>
      <c r="FI48" s="82" t="str">
        <f t="array" aca="1" ref="FI48" ca="1">IFERROR(SMALL(IF(FG$1:FG$173&lt;&gt;0,FG$1:FG$173),ROW(A48)),"")</f>
        <v/>
      </c>
      <c r="FJ48" s="82" t="str">
        <f t="array" aca="1" ref="FJ48" ca="1">IF($FI48&lt;&gt;"",
INDIRECT(""&amp;IF(COLUMN(EV48)&lt;=26,CHAR(COLUMN(EV48)+64),CHAR(INT((COLUMN(EV48)-1)/26)+64)&amp;CHAR(MOD(COLUMN(EV48)-1,26)+65))&amp;$FI48&amp;""),"")</f>
        <v/>
      </c>
      <c r="FK48" s="82" t="str">
        <f t="array" aca="1" ref="FK48" ca="1">IF($FI48&lt;&gt;"",
INDIRECT(""&amp;IF(COLUMN(EW48)&lt;=26,CHAR(COLUMN(EW48)+64),CHAR(INT((COLUMN(EW48)-1)/26)+64)&amp;CHAR(MOD(COLUMN(EW48)-1,26)+65))&amp;$FI48&amp;""),"")</f>
        <v/>
      </c>
      <c r="FL48" s="82" t="str">
        <f t="array" aca="1" ref="FL48" ca="1">IF($FI48&lt;&gt;"",
INDIRECT(""&amp;IF(COLUMN(EX48)&lt;=26,CHAR(COLUMN(EX48)+64),CHAR(INT((COLUMN(EX48)-1)/26)+64)&amp;CHAR(MOD(COLUMN(EX48)-1,26)+65))&amp;$FI48&amp;""),"")</f>
        <v/>
      </c>
      <c r="FM48" s="82" t="str">
        <f t="array" aca="1" ref="FM48" ca="1">IF($FI48&lt;&gt;"",
IF(FL48="",
IF(INDIRECT("EY"&amp;$FI48&amp;"")&lt;&gt;"",
INDIRECT("EY"&amp;$FI48&amp;"")&amp;"箱"
&amp;INDIRECT("EZ"&amp;$FI48&amp;""),""),""),"")</f>
        <v/>
      </c>
      <c r="FN48" s="82" t="str">
        <f t="array" aca="1" ref="FN48" ca="1">IF($FI48&lt;&gt;"",
INDIRECT(""&amp;IF(COLUMN(FA48)&lt;=26,CHAR(COLUMN(FA48)+64),CHAR(INT((COLUMN(FA48)-1)/26)+64)&amp;CHAR(MOD(COLUMN(FA48)-1,26)+65))&amp;$FI48&amp;""),"")</f>
        <v/>
      </c>
      <c r="FO48" s="82" t="str">
        <f t="array" aca="1" ref="FO48" ca="1">IF($FI48&lt;&gt;"",
INDIRECT(""&amp;IF(COLUMN(FB48)&lt;=26,CHAR(COLUMN(FB48)+64),CHAR(INT((COLUMN(FB48)-1)/26)+64)&amp;CHAR(MOD(COLUMN(FB48)-1,26)+65))&amp;$FI48&amp;""),"")</f>
        <v/>
      </c>
      <c r="FP48" s="82" t="str">
        <f t="array" aca="1" ref="FP48" ca="1">IF($FI48&lt;&gt;"",
INDIRECT(""&amp;IF(COLUMN(FC48)&lt;=26,CHAR(COLUMN(FC48)+64),CHAR(INT((COLUMN(FC48)-1)/26)+64)&amp;CHAR(MOD(COLUMN(FC48)-1,26)+65))&amp;$FI48&amp;""),"")</f>
        <v/>
      </c>
      <c r="FQ48" s="82" t="str">
        <f t="array" aca="1" ref="FQ48" ca="1">IF($FI48&lt;&gt;"",
INDIRECT(""&amp;IF(COLUMN(FD48)&lt;=26,CHAR(COLUMN(FD48)+64),CHAR(INT((COLUMN(FD48)-1)/26)+64)&amp;CHAR(MOD(COLUMN(FD48)-1,26)+65))&amp;$FI48&amp;""),"")</f>
        <v/>
      </c>
      <c r="FR48" s="82" t="str">
        <f t="array" aca="1" ref="FR48" ca="1">IF($FI48&lt;&gt;"",
INDIRECT(""&amp;IF(COLUMN(FE48)&lt;=26,CHAR(COLUMN(FE48)+64),CHAR(INT((COLUMN(FE48)-1)/26)+64)&amp;CHAR(MOD(COLUMN(FE48)-1,26)+65))&amp;$FI48&amp;""),"")</f>
        <v/>
      </c>
      <c r="FS48" s="82" t="str">
        <f t="array" aca="1" ref="FS48" ca="1">IF($FI48&lt;&gt;"",
INDIRECT(""&amp;IF(COLUMN(FF48)&lt;=26,CHAR(COLUMN(FF48)+64),CHAR(INT((COLUMN(FF48)-1)/26)+64)&amp;CHAR(MOD(COLUMN(FF48)-1,26)+65))&amp;$FI48&amp;""),"")</f>
        <v/>
      </c>
    </row>
    <row r="49" spans="1:175" ht="21" customHeight="1" x14ac:dyDescent="0.45">
      <c r="B49" s="196" t="str">
        <f ca="1">IF(C46&lt;&gt;"",
IFERROR(INT(C46/C48),""),"")</f>
        <v/>
      </c>
      <c r="C49" s="195"/>
      <c r="D49" s="196" t="str">
        <f ca="1">IFERROR(MOD(C46,C48),"")</f>
        <v/>
      </c>
      <c r="E49" s="195"/>
      <c r="F49" s="194" t="str">
        <f ca="1">IF(C43&lt;&gt;"",G45+G46,"")</f>
        <v/>
      </c>
      <c r="G49" s="195"/>
      <c r="I49" s="196" t="str">
        <f ca="1">IF(J46&lt;&gt;"",
IFERROR(INT(J46/J48),""),"")</f>
        <v/>
      </c>
      <c r="J49" s="195"/>
      <c r="K49" s="196" t="str">
        <f ca="1">IFERROR(MOD(J46,J48),"")</f>
        <v/>
      </c>
      <c r="L49" s="195"/>
      <c r="M49" s="194" t="str">
        <f ca="1">IF(J43&lt;&gt;"",N45+N46,"")</f>
        <v/>
      </c>
      <c r="N49" s="195"/>
      <c r="Q49" s="196" t="str">
        <f ca="1">IF(R46&lt;&gt;"",
IFERROR(INT(R46/R48),""),"")</f>
        <v/>
      </c>
      <c r="R49" s="195"/>
      <c r="S49" s="196" t="str">
        <f ca="1">IFERROR(MOD(R46,R48),"")</f>
        <v/>
      </c>
      <c r="T49" s="195"/>
      <c r="U49" s="194" t="str">
        <f ca="1">IF(R43&lt;&gt;"",V45+V46,"")</f>
        <v/>
      </c>
      <c r="V49" s="195"/>
      <c r="X49" s="196" t="str">
        <f ca="1">IF(Y46&lt;&gt;"",
IFERROR(INT(Y46/Y48),""),"")</f>
        <v/>
      </c>
      <c r="Y49" s="195"/>
      <c r="Z49" s="196" t="str">
        <f ca="1">IFERROR(MOD(Y46,Y48),"")</f>
        <v/>
      </c>
      <c r="AA49" s="195"/>
      <c r="AB49" s="194" t="str">
        <f ca="1">IF(Y43&lt;&gt;"",AC45+AC46,"")</f>
        <v/>
      </c>
      <c r="AC49" s="195"/>
      <c r="AF49" s="196" t="str">
        <f ca="1">IF(AG46&lt;&gt;"",
IFERROR(INT(AG46/AG48),""),"")</f>
        <v/>
      </c>
      <c r="AG49" s="195"/>
      <c r="AH49" s="196" t="str">
        <f ca="1">IFERROR(MOD(AG46,AG48),"")</f>
        <v/>
      </c>
      <c r="AI49" s="195"/>
      <c r="AJ49" s="194" t="str">
        <f ca="1">IF(AG43&lt;&gt;"",AK45+AK46,"")</f>
        <v/>
      </c>
      <c r="AK49" s="195"/>
      <c r="AM49" s="196" t="str">
        <f ca="1">IF(AN46&lt;&gt;"",
IFERROR(INT(AN46/AN48),""),"")</f>
        <v/>
      </c>
      <c r="AN49" s="195"/>
      <c r="AO49" s="196" t="str">
        <f ca="1">IFERROR(MOD(AN46,AN48),"")</f>
        <v/>
      </c>
      <c r="AP49" s="195"/>
      <c r="AQ49" s="194" t="str">
        <f ca="1">IF(AN43&lt;&gt;"",AR45+AR46,"")</f>
        <v/>
      </c>
      <c r="AR49" s="195"/>
      <c r="AU49" s="196" t="str">
        <f ca="1">IF(AV46&lt;&gt;"",
IFERROR(INT(AV46/AV48),""),"")</f>
        <v/>
      </c>
      <c r="AV49" s="195"/>
      <c r="AW49" s="196" t="str">
        <f ca="1">IFERROR(MOD(AV46,AV48),"")</f>
        <v/>
      </c>
      <c r="AX49" s="195"/>
      <c r="AY49" s="194" t="str">
        <f ca="1">IF(AV43&lt;&gt;"",AZ45+AZ46,"")</f>
        <v/>
      </c>
      <c r="AZ49" s="195"/>
      <c r="BB49" s="196" t="str">
        <f ca="1">IF(BC46&lt;&gt;"",
IFERROR(INT(BC46/BC48),""),"")</f>
        <v/>
      </c>
      <c r="BC49" s="195"/>
      <c r="BD49" s="196" t="str">
        <f ca="1">IFERROR(MOD(BC46,BC48),"")</f>
        <v/>
      </c>
      <c r="BE49" s="195"/>
      <c r="BF49" s="194" t="str">
        <f ca="1">IF(BC43&lt;&gt;"",BG45+BG46,"")</f>
        <v/>
      </c>
      <c r="BG49" s="195"/>
      <c r="BJ49" s="196" t="str">
        <f ca="1">IF(BK46&lt;&gt;"",
IFERROR(INT(BK46/BK48),""),"")</f>
        <v/>
      </c>
      <c r="BK49" s="195"/>
      <c r="BL49" s="196" t="str">
        <f ca="1">IFERROR(MOD(BK46,BK48),"")</f>
        <v/>
      </c>
      <c r="BM49" s="195"/>
      <c r="BN49" s="194" t="str">
        <f ca="1">IF(BK43&lt;&gt;"",BO45+BO46,"")</f>
        <v/>
      </c>
      <c r="BO49" s="195"/>
      <c r="BQ49" s="196" t="str">
        <f ca="1">IF(BR46&lt;&gt;"",
IFERROR(INT(BR46/BR48),""),"")</f>
        <v/>
      </c>
      <c r="BR49" s="195"/>
      <c r="BS49" s="196" t="str">
        <f ca="1">IFERROR(MOD(BR46,BR48),"")</f>
        <v/>
      </c>
      <c r="BT49" s="195"/>
      <c r="BU49" s="194" t="str">
        <f ca="1">IF(BR43&lt;&gt;"",BV45+BV46,"")</f>
        <v/>
      </c>
      <c r="BV49" s="195"/>
      <c r="BY49" s="196" t="str">
        <f ca="1">IF(BZ46&lt;&gt;"",
IFERROR(INT(BZ46/BZ48),""),"")</f>
        <v/>
      </c>
      <c r="BZ49" s="195"/>
      <c r="CA49" s="196" t="str">
        <f ca="1">IFERROR(MOD(BZ46,BZ48),"")</f>
        <v/>
      </c>
      <c r="CB49" s="195"/>
      <c r="CC49" s="194" t="str">
        <f ca="1">IF(BZ43&lt;&gt;"",CD45+CD46,"")</f>
        <v/>
      </c>
      <c r="CD49" s="195"/>
      <c r="CF49" s="196" t="str">
        <f ca="1">IF(CG46&lt;&gt;"",
IFERROR(INT(CG46/CG48),""),"")</f>
        <v/>
      </c>
      <c r="CG49" s="195"/>
      <c r="CH49" s="196" t="str">
        <f ca="1">IFERROR(MOD(CG46,CG48),"")</f>
        <v/>
      </c>
      <c r="CI49" s="195"/>
      <c r="CJ49" s="194" t="str">
        <f ca="1">IF(CG43&lt;&gt;"",CK45+CK46,"")</f>
        <v/>
      </c>
      <c r="CK49" s="195"/>
      <c r="CN49" s="196" t="str">
        <f ca="1">IF(CO46&lt;&gt;"",
IFERROR(INT(CO46/CO48),""),"")</f>
        <v/>
      </c>
      <c r="CO49" s="195"/>
      <c r="CP49" s="196" t="str">
        <f ca="1">IFERROR(MOD(CO46,CO48),"")</f>
        <v/>
      </c>
      <c r="CQ49" s="195"/>
      <c r="CR49" s="194" t="str">
        <f ca="1">IF(CO43&lt;&gt;"",CS45+CS46,"")</f>
        <v/>
      </c>
      <c r="CS49" s="195"/>
      <c r="CU49" s="196" t="str">
        <f ca="1">IF(CV46&lt;&gt;"",
IFERROR(INT(CV46/CV48),""),"")</f>
        <v/>
      </c>
      <c r="CV49" s="195"/>
      <c r="CW49" s="196" t="str">
        <f ca="1">IFERROR(MOD(CV46,CV48),"")</f>
        <v/>
      </c>
      <c r="CX49" s="195"/>
      <c r="CY49" s="194" t="str">
        <f ca="1">IF(CV43&lt;&gt;"",CZ45+CZ46,"")</f>
        <v/>
      </c>
      <c r="CZ49" s="195"/>
      <c r="DC49" s="196" t="str">
        <f ca="1">IF(DD46&lt;&gt;"",
IFERROR(INT(DD46/DD48),""),"")</f>
        <v/>
      </c>
      <c r="DD49" s="195"/>
      <c r="DE49" s="196" t="str">
        <f ca="1">IFERROR(MOD(DD46,DD48),"")</f>
        <v/>
      </c>
      <c r="DF49" s="195"/>
      <c r="DG49" s="194" t="str">
        <f ca="1">IF(DD43&lt;&gt;"",DH45+DH46,"")</f>
        <v/>
      </c>
      <c r="DH49" s="195"/>
      <c r="DJ49" s="196" t="str">
        <f ca="1">IF(DK46&lt;&gt;"",
IFERROR(INT(DK46/DK48),""),"")</f>
        <v/>
      </c>
      <c r="DK49" s="195"/>
      <c r="DL49" s="196" t="str">
        <f ca="1">IFERROR(MOD(DK46,DK48),"")</f>
        <v/>
      </c>
      <c r="DM49" s="195"/>
      <c r="DN49" s="194" t="str">
        <f ca="1">IF(DK43&lt;&gt;"",DO45+DO46,"")</f>
        <v/>
      </c>
      <c r="DO49" s="195"/>
      <c r="DR49" s="196" t="str">
        <f ca="1">IF(DS46&lt;&gt;"",
IFERROR(INT(DS46/DS48),""),"")</f>
        <v/>
      </c>
      <c r="DS49" s="195"/>
      <c r="DT49" s="196" t="str">
        <f ca="1">IFERROR(MOD(DS46,DS48),"")</f>
        <v/>
      </c>
      <c r="DU49" s="195"/>
      <c r="DV49" s="194" t="str">
        <f ca="1">IF(DS43&lt;&gt;"",DW45+DW46,"")</f>
        <v/>
      </c>
      <c r="DW49" s="195"/>
      <c r="DY49" s="196" t="str">
        <f ca="1">IF(DZ46&lt;&gt;"",
IFERROR(INT(DZ46/DZ48),""),"")</f>
        <v/>
      </c>
      <c r="DZ49" s="195"/>
      <c r="EA49" s="196" t="str">
        <f ca="1">IFERROR(MOD(DZ46,DZ48),"")</f>
        <v/>
      </c>
      <c r="EB49" s="195"/>
      <c r="EC49" s="194" t="str">
        <f ca="1">IF(DZ43&lt;&gt;"",ED45+ED46,"")</f>
        <v/>
      </c>
      <c r="ED49" s="195"/>
      <c r="EG49" s="196" t="str">
        <f ca="1">IF(EH46&lt;&gt;"",
IFERROR(INT(EH46/EH48),""),"")</f>
        <v/>
      </c>
      <c r="EH49" s="195"/>
      <c r="EI49" s="196" t="str">
        <f ca="1">IFERROR(MOD(EH46,EH48),"")</f>
        <v/>
      </c>
      <c r="EJ49" s="195"/>
      <c r="EK49" s="194" t="str">
        <f ca="1">IF(EH43&lt;&gt;"",EL45+EL46,"")</f>
        <v/>
      </c>
      <c r="EL49" s="195"/>
      <c r="EN49" s="196" t="str">
        <f ca="1">IF(EO46&lt;&gt;"",
IFERROR(INT(EO46/EO48),""),"")</f>
        <v/>
      </c>
      <c r="EO49" s="195"/>
      <c r="EP49" s="196" t="str">
        <f ca="1">IFERROR(MOD(EO46,EO48),"")</f>
        <v/>
      </c>
      <c r="EQ49" s="195"/>
      <c r="ER49" s="194" t="str">
        <f ca="1">IF(EO43&lt;&gt;"",ES45+ES46,"")</f>
        <v/>
      </c>
      <c r="ES49" s="195"/>
      <c r="ET49" s="75"/>
      <c r="EU49" s="82"/>
      <c r="EV49" s="83" t="str">
        <f ca="1">AG1</f>
        <v/>
      </c>
      <c r="EW49" s="83" t="str">
        <f ca="1">AG2</f>
        <v/>
      </c>
      <c r="EX49" s="83" t="str">
        <f ca="1">AI2</f>
        <v/>
      </c>
      <c r="EY49" s="84" t="str">
        <f ca="1">AJ2</f>
        <v/>
      </c>
      <c r="EZ49" s="84" t="str">
        <f ca="1">AK2</f>
        <v/>
      </c>
      <c r="FA49" s="83" t="e">
        <f ca="1">AG4</f>
        <v>#VALUE!</v>
      </c>
      <c r="FB49" s="83" t="str">
        <f ca="1">AI4</f>
        <v/>
      </c>
      <c r="FC49" s="83" t="str">
        <f ca="1">AG6</f>
        <v/>
      </c>
      <c r="FD49" s="83" t="e">
        <f ca="1">AF7</f>
        <v>#VALUE!</v>
      </c>
      <c r="FE49" s="83" t="str">
        <f ca="1">AH7</f>
        <v/>
      </c>
      <c r="FF49" s="83" t="e">
        <f ca="1">AJ7</f>
        <v>#N/A</v>
      </c>
      <c r="FG49" s="82">
        <f t="shared" ca="1" si="3"/>
        <v>0</v>
      </c>
      <c r="FH49" s="82" t="e">
        <f t="array" aca="1" ref="FH49" ca="1">SUMPRODUCT((LEN(EV49:FF49)&gt;0)*1)&gt;0</f>
        <v>#VALUE!</v>
      </c>
      <c r="FI49" s="82" t="str">
        <f t="array" aca="1" ref="FI49" ca="1">IFERROR(SMALL(IF(FG$1:FG$173&lt;&gt;0,FG$1:FG$173),ROW(A49)),"")</f>
        <v/>
      </c>
      <c r="FJ49" s="82" t="str">
        <f t="array" aca="1" ref="FJ49" ca="1">IF($FI49&lt;&gt;"",
INDIRECT(""&amp;IF(COLUMN(EV49)&lt;=26,CHAR(COLUMN(EV49)+64),CHAR(INT((COLUMN(EV49)-1)/26)+64)&amp;CHAR(MOD(COLUMN(EV49)-1,26)+65))&amp;$FI49&amp;""),"")</f>
        <v/>
      </c>
      <c r="FK49" s="82" t="str">
        <f t="array" aca="1" ref="FK49" ca="1">IF($FI49&lt;&gt;"",
INDIRECT(""&amp;IF(COLUMN(EW49)&lt;=26,CHAR(COLUMN(EW49)+64),CHAR(INT((COLUMN(EW49)-1)/26)+64)&amp;CHAR(MOD(COLUMN(EW49)-1,26)+65))&amp;$FI49&amp;""),"")</f>
        <v/>
      </c>
      <c r="FL49" s="82" t="str">
        <f t="array" aca="1" ref="FL49" ca="1">IF($FI49&lt;&gt;"",
INDIRECT(""&amp;IF(COLUMN(EX49)&lt;=26,CHAR(COLUMN(EX49)+64),CHAR(INT((COLUMN(EX49)-1)/26)+64)&amp;CHAR(MOD(COLUMN(EX49)-1,26)+65))&amp;$FI49&amp;""),"")</f>
        <v/>
      </c>
      <c r="FM49" s="82" t="str">
        <f t="array" aca="1" ref="FM49" ca="1">IF($FI49&lt;&gt;"",
IF(FL49="",
IF(INDIRECT("EY"&amp;$FI49&amp;"")&lt;&gt;"",
INDIRECT("EY"&amp;$FI49&amp;"")&amp;"箱"
&amp;INDIRECT("EZ"&amp;$FI49&amp;""),""),""),"")</f>
        <v/>
      </c>
      <c r="FN49" s="82" t="str">
        <f t="array" aca="1" ref="FN49" ca="1">IF($FI49&lt;&gt;"",
INDIRECT(""&amp;IF(COLUMN(FA49)&lt;=26,CHAR(COLUMN(FA49)+64),CHAR(INT((COLUMN(FA49)-1)/26)+64)&amp;CHAR(MOD(COLUMN(FA49)-1,26)+65))&amp;$FI49&amp;""),"")</f>
        <v/>
      </c>
      <c r="FO49" s="82" t="str">
        <f t="array" aca="1" ref="FO49" ca="1">IF($FI49&lt;&gt;"",
INDIRECT(""&amp;IF(COLUMN(FB49)&lt;=26,CHAR(COLUMN(FB49)+64),CHAR(INT((COLUMN(FB49)-1)/26)+64)&amp;CHAR(MOD(COLUMN(FB49)-1,26)+65))&amp;$FI49&amp;""),"")</f>
        <v/>
      </c>
      <c r="FP49" s="82" t="str">
        <f t="array" aca="1" ref="FP49" ca="1">IF($FI49&lt;&gt;"",
INDIRECT(""&amp;IF(COLUMN(FC49)&lt;=26,CHAR(COLUMN(FC49)+64),CHAR(INT((COLUMN(FC49)-1)/26)+64)&amp;CHAR(MOD(COLUMN(FC49)-1,26)+65))&amp;$FI49&amp;""),"")</f>
        <v/>
      </c>
      <c r="FQ49" s="82" t="str">
        <f t="array" aca="1" ref="FQ49" ca="1">IF($FI49&lt;&gt;"",
INDIRECT(""&amp;IF(COLUMN(FD49)&lt;=26,CHAR(COLUMN(FD49)+64),CHAR(INT((COLUMN(FD49)-1)/26)+64)&amp;CHAR(MOD(COLUMN(FD49)-1,26)+65))&amp;$FI49&amp;""),"")</f>
        <v/>
      </c>
      <c r="FR49" s="82" t="str">
        <f t="array" aca="1" ref="FR49" ca="1">IF($FI49&lt;&gt;"",
INDIRECT(""&amp;IF(COLUMN(FE49)&lt;=26,CHAR(COLUMN(FE49)+64),CHAR(INT((COLUMN(FE49)-1)/26)+64)&amp;CHAR(MOD(COLUMN(FE49)-1,26)+65))&amp;$FI49&amp;""),"")</f>
        <v/>
      </c>
      <c r="FS49" s="82" t="str">
        <f t="array" aca="1" ref="FS49" ca="1">IF($FI49&lt;&gt;"",
INDIRECT(""&amp;IF(COLUMN(FF49)&lt;=26,CHAR(COLUMN(FF49)+64),CHAR(INT((COLUMN(FF49)-1)/26)+64)&amp;CHAR(MOD(COLUMN(FF49)-1,26)+65))&amp;$FI49&amp;""),"")</f>
        <v/>
      </c>
    </row>
    <row r="50" spans="1:175" s="82" customFormat="1" ht="18" customHeight="1" x14ac:dyDescent="0.55000000000000004">
      <c r="A50" s="80"/>
      <c r="B50" s="81" t="str">
        <f t="array" aca="1" ref="B50" ca="1">IF(COUNTIF(G8,"*合計*"),"",
IF(C8=J43,
IFERROR(
SUBSTITUTE(ADDRESS(1,
COLUMN(INDIRECT("数出表_Excel!"&amp;I43&amp; (MATCH(G8,数出表_Excel!$A:$A,0)-1))) - 1 +
MATCH(TRUE, ISNUMBER(--INDIRECT("数出表_Excel!"&amp;I43&amp; (MATCH(G8,数出表_Excel!$A:$A,0)-1) &amp; ":U" &amp; (MATCH(G8,数出表_Excel!$A:$A,0)-1))), 0)+1,4),"1",""),
""),
IFERROR(
SUBSTITUTE(ADDRESS(1,
COLUMN(INDIRECT("数出表_Excel!B" &amp; (MATCH(G8,数出表_Excel!$A:$A,0)-1))) - 1 +
MATCH(TRUE, ISNUMBER(--INDIRECT("数出表_Excel!B" &amp; (MATCH(G8,数出表_Excel!$A:$A,0)-1) &amp; ":U" &amp; (MATCH(G8,数出表_Excel!$A:$A,0)-1))), 0)+1,4),"1",""),
"")))</f>
        <v/>
      </c>
      <c r="C50" s="191" t="str">
        <f ca="1">IF(C53&lt;&gt;"",C8,"")</f>
        <v/>
      </c>
      <c r="D50" s="192"/>
      <c r="E50" s="192"/>
      <c r="F50" s="192"/>
      <c r="G50" s="99"/>
      <c r="H50" s="80"/>
      <c r="I50" s="81" t="str">
        <f t="array" aca="1" ref="I50" ca="1">IF(COUNTIF(N8,"*合計*"),"",
IF(J8=C50,
IFERROR(
SUBSTITUTE(ADDRESS(1,
COLUMN(INDIRECT("数出表_Excel!"&amp;B50&amp; (MATCH(N8,数出表_Excel!$A:$A,0)-1))) - 1 +
MATCH(TRUE, ISNUMBER(--INDIRECT("数出表_Excel!"&amp;B50&amp; (MATCH(N8,数出表_Excel!$A:$A,0)-1) &amp; ":U" &amp; (MATCH(N8,数出表_Excel!$A:$A,0)-1))), 0)+1,4),"1",""),
""),
IFERROR(
SUBSTITUTE(ADDRESS(1,
COLUMN(INDIRECT("数出表_Excel!B" &amp; (MATCH(N8,数出表_Excel!$A:$A,0)-1))) - 1 +
MATCH(TRUE, ISNUMBER(--INDIRECT("数出表_Excel!B" &amp; (MATCH(N8,数出表_Excel!$A:$A,0)-1) &amp; ":U" &amp; (MATCH(N8,数出表_Excel!$A:$A,0)-1))), 0)+1,4),"1",""),
"")))</f>
        <v/>
      </c>
      <c r="J50" s="191" t="str">
        <f ca="1">IF(J53&lt;&gt;"",J8,"")</f>
        <v/>
      </c>
      <c r="K50" s="192"/>
      <c r="L50" s="192"/>
      <c r="M50" s="192"/>
      <c r="N50" s="95"/>
      <c r="O50" s="80"/>
      <c r="P50" s="80"/>
      <c r="Q50" s="81" t="str">
        <f t="array" aca="1" ref="Q50" ca="1">IF(COUNTIF(V8,"*合計*"),"",
IF(R8=Y43,
IFERROR(
SUBSTITUTE(ADDRESS(1,
COLUMN(INDIRECT("数出表_Excel!"&amp;X43&amp; (MATCH(V8,数出表_Excel!$A:$A,0)-1))) - 1 +
MATCH(TRUE, ISNUMBER(--INDIRECT("数出表_Excel!"&amp;X43&amp; (MATCH(V8,数出表_Excel!$A:$A,0)-1) &amp; ":U" &amp; (MATCH(V8,数出表_Excel!$A:$A,0)-1))), 0)+1,4),"1",""),
""),
IFERROR(
SUBSTITUTE(ADDRESS(1,
COLUMN(INDIRECT("数出表_Excel!B" &amp; (MATCH(V8,数出表_Excel!$A:$A,0)-1))) - 1 +
MATCH(TRUE, ISNUMBER(--INDIRECT("数出表_Excel!B" &amp; (MATCH(V8,数出表_Excel!$A:$A,0)-1) &amp; ":U" &amp; (MATCH(V8,数出表_Excel!$A:$A,0)-1))), 0)+1,4),"1",""),
"")))</f>
        <v/>
      </c>
      <c r="R50" s="191" t="str">
        <f ca="1">IF(R53&lt;&gt;"",R8,"")</f>
        <v/>
      </c>
      <c r="S50" s="192"/>
      <c r="T50" s="192"/>
      <c r="U50" s="192"/>
      <c r="V50" s="99"/>
      <c r="W50" s="80"/>
      <c r="X50" s="81" t="str">
        <f t="array" aca="1" ref="X50" ca="1">IF(COUNTIF(AC8,"*合計*"),"",
IF(Y8=R50,
IFERROR(
SUBSTITUTE(ADDRESS(1,
COLUMN(INDIRECT("数出表_Excel!"&amp;Q50&amp; (MATCH(AC8,数出表_Excel!$A:$A,0)-1))) - 1 +
MATCH(TRUE, ISNUMBER(--INDIRECT("数出表_Excel!"&amp;Q50&amp; (MATCH(AC8,数出表_Excel!$A:$A,0)-1) &amp; ":U" &amp; (MATCH(AC8,数出表_Excel!$A:$A,0)-1))), 0)+1,4),"1",""),
""),
IFERROR(
SUBSTITUTE(ADDRESS(1,
COLUMN(INDIRECT("数出表_Excel!B" &amp; (MATCH(AC8,数出表_Excel!$A:$A,0)-1))) - 1 +
MATCH(TRUE, ISNUMBER(--INDIRECT("数出表_Excel!B" &amp; (MATCH(AC8,数出表_Excel!$A:$A,0)-1) &amp; ":U" &amp; (MATCH(AC8,数出表_Excel!$A:$A,0)-1))), 0)+1,4),"1",""),
"")))</f>
        <v/>
      </c>
      <c r="Y50" s="191" t="str">
        <f ca="1">IF(Y53&lt;&gt;"",Y8,"")</f>
        <v/>
      </c>
      <c r="Z50" s="192"/>
      <c r="AA50" s="192"/>
      <c r="AB50" s="192"/>
      <c r="AC50" s="95"/>
      <c r="AD50" s="80"/>
      <c r="AE50" s="80"/>
      <c r="AF50" s="81" t="str">
        <f t="array" aca="1" ref="AF50" ca="1">IF(COUNTIF(AK8,"*合計*"),"",
IF(AG8=AN43,
IFERROR(
SUBSTITUTE(ADDRESS(1,
COLUMN(INDIRECT("数出表_Excel!"&amp;AM43&amp; (MATCH(AK8,数出表_Excel!$A:$A,0)-1))) - 1 +
MATCH(TRUE, ISNUMBER(--INDIRECT("数出表_Excel!"&amp;AM43&amp; (MATCH(AK8,数出表_Excel!$A:$A,0)-1) &amp; ":U" &amp; (MATCH(AK8,数出表_Excel!$A:$A,0)-1))), 0)+1,4),"1",""),
""),
IFERROR(
SUBSTITUTE(ADDRESS(1,
COLUMN(INDIRECT("数出表_Excel!B" &amp; (MATCH(AK8,数出表_Excel!$A:$A,0)-1))) - 1 +
MATCH(TRUE, ISNUMBER(--INDIRECT("数出表_Excel!B" &amp; (MATCH(AK8,数出表_Excel!$A:$A,0)-1) &amp; ":U" &amp; (MATCH(AK8,数出表_Excel!$A:$A,0)-1))), 0)+1,4),"1",""),
"")))</f>
        <v/>
      </c>
      <c r="AG50" s="191" t="str">
        <f ca="1">IF(AG53&lt;&gt;"",AG8,"")</f>
        <v/>
      </c>
      <c r="AH50" s="192"/>
      <c r="AI50" s="192"/>
      <c r="AJ50" s="192"/>
      <c r="AK50" s="99"/>
      <c r="AL50" s="80"/>
      <c r="AM50" s="81" t="str">
        <f t="array" aca="1" ref="AM50" ca="1">IF(COUNTIF(AR8,"*合計*"),"",
IF(AN8=AG50,
IFERROR(
SUBSTITUTE(ADDRESS(1,
COLUMN(INDIRECT("数出表_Excel!"&amp;AF50&amp; (MATCH(AR8,数出表_Excel!$A:$A,0)-1))) - 1 +
MATCH(TRUE, ISNUMBER(--INDIRECT("数出表_Excel!"&amp;AF50&amp; (MATCH(AR8,数出表_Excel!$A:$A,0)-1) &amp; ":U" &amp; (MATCH(AR8,数出表_Excel!$A:$A,0)-1))), 0)+1,4),"1",""),
""),
IFERROR(
SUBSTITUTE(ADDRESS(1,
COLUMN(INDIRECT("数出表_Excel!B" &amp; (MATCH(AR8,数出表_Excel!$A:$A,0)-1))) - 1 +
MATCH(TRUE, ISNUMBER(--INDIRECT("数出表_Excel!B" &amp; (MATCH(AR8,数出表_Excel!$A:$A,0)-1) &amp; ":U" &amp; (MATCH(AR8,数出表_Excel!$A:$A,0)-1))), 0)+1,4),"1",""),
"")))</f>
        <v/>
      </c>
      <c r="AN50" s="191" t="str">
        <f ca="1">IF(AN53&lt;&gt;"",AN8,"")</f>
        <v/>
      </c>
      <c r="AO50" s="192"/>
      <c r="AP50" s="192"/>
      <c r="AQ50" s="192"/>
      <c r="AR50" s="95"/>
      <c r="AS50" s="80"/>
      <c r="AT50" s="80"/>
      <c r="AU50" s="81" t="str">
        <f t="array" aca="1" ref="AU50" ca="1">IF(COUNTIF(AZ8,"*合計*"),"",
IF(AV8=BC43,
IFERROR(
SUBSTITUTE(ADDRESS(1,
COLUMN(INDIRECT("数出表_Excel!"&amp;BB43&amp; (MATCH(AZ8,数出表_Excel!$A:$A,0)-1))) - 1 +
MATCH(TRUE, ISNUMBER(--INDIRECT("数出表_Excel!"&amp;BB43&amp; (MATCH(AZ8,数出表_Excel!$A:$A,0)-1) &amp; ":U" &amp; (MATCH(AZ8,数出表_Excel!$A:$A,0)-1))), 0)+1,4),"1",""),
""),
IFERROR(
SUBSTITUTE(ADDRESS(1,
COLUMN(INDIRECT("数出表_Excel!B" &amp; (MATCH(AZ8,数出表_Excel!$A:$A,0)-1))) - 1 +
MATCH(TRUE, ISNUMBER(--INDIRECT("数出表_Excel!B" &amp; (MATCH(AZ8,数出表_Excel!$A:$A,0)-1) &amp; ":U" &amp; (MATCH(AZ8,数出表_Excel!$A:$A,0)-1))), 0)+1,4),"1",""),
"")))</f>
        <v/>
      </c>
      <c r="AV50" s="191" t="str">
        <f ca="1">IF(AV53&lt;&gt;"",AV8,"")</f>
        <v/>
      </c>
      <c r="AW50" s="192"/>
      <c r="AX50" s="192"/>
      <c r="AY50" s="192"/>
      <c r="AZ50" s="99"/>
      <c r="BA50" s="80"/>
      <c r="BB50" s="81" t="str">
        <f t="array" aca="1" ref="BB50" ca="1">IF(COUNTIF(BG8,"*合計*"),"",
IF(BC8=AV50,
IFERROR(
SUBSTITUTE(ADDRESS(1,
COLUMN(INDIRECT("数出表_Excel!"&amp;AU50&amp; (MATCH(BG8,数出表_Excel!$A:$A,0)-1))) - 1 +
MATCH(TRUE, ISNUMBER(--INDIRECT("数出表_Excel!"&amp;AU50&amp; (MATCH(BG8,数出表_Excel!$A:$A,0)-1) &amp; ":U" &amp; (MATCH(BG8,数出表_Excel!$A:$A,0)-1))), 0)+1,4),"1",""),
""),
IFERROR(
SUBSTITUTE(ADDRESS(1,
COLUMN(INDIRECT("数出表_Excel!B" &amp; (MATCH(BG8,数出表_Excel!$A:$A,0)-1))) - 1 +
MATCH(TRUE, ISNUMBER(--INDIRECT("数出表_Excel!B" &amp; (MATCH(BG8,数出表_Excel!$A:$A,0)-1) &amp; ":U" &amp; (MATCH(BG8,数出表_Excel!$A:$A,0)-1))), 0)+1,4),"1",""),
"")))</f>
        <v/>
      </c>
      <c r="BC50" s="191" t="str">
        <f ca="1">IF(BC53&lt;&gt;"",BC8,"")</f>
        <v/>
      </c>
      <c r="BD50" s="192"/>
      <c r="BE50" s="192"/>
      <c r="BF50" s="192"/>
      <c r="BG50" s="95"/>
      <c r="BH50" s="80"/>
      <c r="BI50" s="80"/>
      <c r="BJ50" s="81" t="str">
        <f t="array" aca="1" ref="BJ50" ca="1">IF(COUNTIF(BO8,"*合計*"),"",
IF(BK8=BR43,
IFERROR(
SUBSTITUTE(ADDRESS(1,
COLUMN(INDIRECT("数出表_Excel!"&amp;BQ43&amp; (MATCH(BO8,数出表_Excel!$A:$A,0)-1))) - 1 +
MATCH(TRUE, ISNUMBER(--INDIRECT("数出表_Excel!"&amp;BQ43&amp; (MATCH(BO8,数出表_Excel!$A:$A,0)-1) &amp; ":U" &amp; (MATCH(BO8,数出表_Excel!$A:$A,0)-1))), 0)+1,4),"1",""),
""),
IFERROR(
SUBSTITUTE(ADDRESS(1,
COLUMN(INDIRECT("数出表_Excel!B" &amp; (MATCH(BO8,数出表_Excel!$A:$A,0)-1))) - 1 +
MATCH(TRUE, ISNUMBER(--INDIRECT("数出表_Excel!B" &amp; (MATCH(BO8,数出表_Excel!$A:$A,0)-1) &amp; ":U" &amp; (MATCH(BO8,数出表_Excel!$A:$A,0)-1))), 0)+1,4),"1",""),
"")))</f>
        <v/>
      </c>
      <c r="BK50" s="191" t="str">
        <f ca="1">IF(BK53&lt;&gt;"",BK8,"")</f>
        <v/>
      </c>
      <c r="BL50" s="192"/>
      <c r="BM50" s="192"/>
      <c r="BN50" s="192"/>
      <c r="BO50" s="99"/>
      <c r="BP50" s="80"/>
      <c r="BQ50" s="81" t="str">
        <f t="array" aca="1" ref="BQ50" ca="1">IF(COUNTIF(BV8,"*合計*"),"",
IF(BR8=BK50,
IFERROR(
SUBSTITUTE(ADDRESS(1,
COLUMN(INDIRECT("数出表_Excel!"&amp;BJ50&amp; (MATCH(BV8,数出表_Excel!$A:$A,0)-1))) - 1 +
MATCH(TRUE, ISNUMBER(--INDIRECT("数出表_Excel!"&amp;BJ50&amp; (MATCH(BV8,数出表_Excel!$A:$A,0)-1) &amp; ":U" &amp; (MATCH(BV8,数出表_Excel!$A:$A,0)-1))), 0)+1,4),"1",""),
""),
IFERROR(
SUBSTITUTE(ADDRESS(1,
COLUMN(INDIRECT("数出表_Excel!B" &amp; (MATCH(BV8,数出表_Excel!$A:$A,0)-1))) - 1 +
MATCH(TRUE, ISNUMBER(--INDIRECT("数出表_Excel!B" &amp; (MATCH(BV8,数出表_Excel!$A:$A,0)-1) &amp; ":U" &amp; (MATCH(BV8,数出表_Excel!$A:$A,0)-1))), 0)+1,4),"1",""),
"")))</f>
        <v/>
      </c>
      <c r="BR50" s="191" t="str">
        <f ca="1">IF(BR53&lt;&gt;"",BR8,"")</f>
        <v/>
      </c>
      <c r="BS50" s="192"/>
      <c r="BT50" s="192"/>
      <c r="BU50" s="192"/>
      <c r="BV50" s="95"/>
      <c r="BW50" s="80"/>
      <c r="BX50" s="80"/>
      <c r="BY50" s="81" t="str">
        <f t="array" aca="1" ref="BY50" ca="1">IF(COUNTIF(CD8,"*合計*"),"",
IF(BZ8=CG43,
IFERROR(
SUBSTITUTE(ADDRESS(1,
COLUMN(INDIRECT("数出表_Excel!"&amp;CF43&amp; (MATCH(CD8,数出表_Excel!$A:$A,0)-1))) - 1 +
MATCH(TRUE, ISNUMBER(--INDIRECT("数出表_Excel!"&amp;CF43&amp; (MATCH(CD8,数出表_Excel!$A:$A,0)-1) &amp; ":U" &amp; (MATCH(CD8,数出表_Excel!$A:$A,0)-1))), 0)+1,4),"1",""),
""),
IFERROR(
SUBSTITUTE(ADDRESS(1,
COLUMN(INDIRECT("数出表_Excel!B" &amp; (MATCH(CD8,数出表_Excel!$A:$A,0)-1))) - 1 +
MATCH(TRUE, ISNUMBER(--INDIRECT("数出表_Excel!B" &amp; (MATCH(CD8,数出表_Excel!$A:$A,0)-1) &amp; ":U" &amp; (MATCH(CD8,数出表_Excel!$A:$A,0)-1))), 0)+1,4),"1",""),
"")))</f>
        <v/>
      </c>
      <c r="BZ50" s="191" t="str">
        <f ca="1">IF(BZ53&lt;&gt;"",BZ8,"")</f>
        <v/>
      </c>
      <c r="CA50" s="192"/>
      <c r="CB50" s="192"/>
      <c r="CC50" s="192"/>
      <c r="CD50" s="99"/>
      <c r="CE50" s="80"/>
      <c r="CF50" s="81" t="str">
        <f t="array" aca="1" ref="CF50" ca="1">IF(COUNTIF(CK8,"*合計*"),"",
IF(CG8=BZ50,
IFERROR(
SUBSTITUTE(ADDRESS(1,
COLUMN(INDIRECT("数出表_Excel!"&amp;BY50&amp; (MATCH(CK8,数出表_Excel!$A:$A,0)-1))) - 1 +
MATCH(TRUE, ISNUMBER(--INDIRECT("数出表_Excel!"&amp;BY50&amp; (MATCH(CK8,数出表_Excel!$A:$A,0)-1) &amp; ":U" &amp; (MATCH(CK8,数出表_Excel!$A:$A,0)-1))), 0)+1,4),"1",""),
""),
IFERROR(
SUBSTITUTE(ADDRESS(1,
COLUMN(INDIRECT("数出表_Excel!B" &amp; (MATCH(CK8,数出表_Excel!$A:$A,0)-1))) - 1 +
MATCH(TRUE, ISNUMBER(--INDIRECT("数出表_Excel!B" &amp; (MATCH(CK8,数出表_Excel!$A:$A,0)-1) &amp; ":U" &amp; (MATCH(CK8,数出表_Excel!$A:$A,0)-1))), 0)+1,4),"1",""),
"")))</f>
        <v/>
      </c>
      <c r="CG50" s="191" t="str">
        <f ca="1">IF(CG53&lt;&gt;"",CG8,"")</f>
        <v/>
      </c>
      <c r="CH50" s="192"/>
      <c r="CI50" s="192"/>
      <c r="CJ50" s="192"/>
      <c r="CK50" s="95"/>
      <c r="CL50" s="80"/>
      <c r="CM50" s="80"/>
      <c r="CN50" s="81" t="str">
        <f t="array" aca="1" ref="CN50" ca="1">IF(COUNTIF(CS8,"*合計*"),"",
IF(CO8=CV43,
IFERROR(
SUBSTITUTE(ADDRESS(1,
COLUMN(INDIRECT("数出表_Excel!"&amp;CU43&amp; (MATCH(CS8,数出表_Excel!$A:$A,0)-1))) - 1 +
MATCH(TRUE, ISNUMBER(--INDIRECT("数出表_Excel!"&amp;CU43&amp; (MATCH(CS8,数出表_Excel!$A:$A,0)-1) &amp; ":U" &amp; (MATCH(CS8,数出表_Excel!$A:$A,0)-1))), 0)+1,4),"1",""),
""),
IFERROR(
SUBSTITUTE(ADDRESS(1,
COLUMN(INDIRECT("数出表_Excel!B" &amp; (MATCH(CS8,数出表_Excel!$A:$A,0)-1))) - 1 +
MATCH(TRUE, ISNUMBER(--INDIRECT("数出表_Excel!B" &amp; (MATCH(CS8,数出表_Excel!$A:$A,0)-1) &amp; ":U" &amp; (MATCH(CS8,数出表_Excel!$A:$A,0)-1))), 0)+1,4),"1",""),
"")))</f>
        <v/>
      </c>
      <c r="CO50" s="191" t="str">
        <f ca="1">IF(CO53&lt;&gt;"",CO8,"")</f>
        <v/>
      </c>
      <c r="CP50" s="192"/>
      <c r="CQ50" s="192"/>
      <c r="CR50" s="192"/>
      <c r="CS50" s="99"/>
      <c r="CT50" s="80"/>
      <c r="CU50" s="81" t="str">
        <f t="array" aca="1" ref="CU50" ca="1">IF(COUNTIF(CZ8,"*合計*"),"",
IF(CV8=CO50,
IFERROR(
SUBSTITUTE(ADDRESS(1,
COLUMN(INDIRECT("数出表_Excel!"&amp;CN50&amp; (MATCH(CZ8,数出表_Excel!$A:$A,0)-1))) - 1 +
MATCH(TRUE, ISNUMBER(--INDIRECT("数出表_Excel!"&amp;CN50&amp; (MATCH(CZ8,数出表_Excel!$A:$A,0)-1) &amp; ":U" &amp; (MATCH(CZ8,数出表_Excel!$A:$A,0)-1))), 0)+1,4),"1",""),
""),
IFERROR(
SUBSTITUTE(ADDRESS(1,
COLUMN(INDIRECT("数出表_Excel!B" &amp; (MATCH(CZ8,数出表_Excel!$A:$A,0)-1))) - 1 +
MATCH(TRUE, ISNUMBER(--INDIRECT("数出表_Excel!B" &amp; (MATCH(CZ8,数出表_Excel!$A:$A,0)-1) &amp; ":U" &amp; (MATCH(CZ8,数出表_Excel!$A:$A,0)-1))), 0)+1,4),"1",""),
"")))</f>
        <v/>
      </c>
      <c r="CV50" s="191" t="str">
        <f ca="1">IF(CV53&lt;&gt;"",CV8,"")</f>
        <v/>
      </c>
      <c r="CW50" s="192"/>
      <c r="CX50" s="192"/>
      <c r="CY50" s="192"/>
      <c r="CZ50" s="95"/>
      <c r="DA50" s="80"/>
      <c r="DB50" s="80"/>
      <c r="DC50" s="81" t="str">
        <f t="array" aca="1" ref="DC50" ca="1">IF(COUNTIF(DH8,"*合計*"),"",
IF(DD8=DK43,
IFERROR(
SUBSTITUTE(ADDRESS(1,
COLUMN(INDIRECT("数出表_Excel!"&amp;DJ43&amp; (MATCH(DH8,数出表_Excel!$A:$A,0)-1))) - 1 +
MATCH(TRUE, ISNUMBER(--INDIRECT("数出表_Excel!"&amp;DJ43&amp; (MATCH(DH8,数出表_Excel!$A:$A,0)-1) &amp; ":U" &amp; (MATCH(DH8,数出表_Excel!$A:$A,0)-1))), 0)+1,4),"1",""),
""),
IFERROR(
SUBSTITUTE(ADDRESS(1,
COLUMN(INDIRECT("数出表_Excel!B" &amp; (MATCH(DH8,数出表_Excel!$A:$A,0)-1))) - 1 +
MATCH(TRUE, ISNUMBER(--INDIRECT("数出表_Excel!B" &amp; (MATCH(DH8,数出表_Excel!$A:$A,0)-1) &amp; ":U" &amp; (MATCH(DH8,数出表_Excel!$A:$A,0)-1))), 0)+1,4),"1",""),
"")))</f>
        <v/>
      </c>
      <c r="DD50" s="191" t="str">
        <f ca="1">IF(DD53&lt;&gt;"",DD8,"")</f>
        <v/>
      </c>
      <c r="DE50" s="192"/>
      <c r="DF50" s="192"/>
      <c r="DG50" s="192"/>
      <c r="DH50" s="99"/>
      <c r="DI50" s="80"/>
      <c r="DJ50" s="81" t="str">
        <f t="array" aca="1" ref="DJ50" ca="1">IF(COUNTIF(DO8,"*合計*"),"",
IF(DK8=DD50,
IFERROR(
SUBSTITUTE(ADDRESS(1,
COLUMN(INDIRECT("数出表_Excel!"&amp;DC50&amp; (MATCH(DO8,数出表_Excel!$A:$A,0)-1))) - 1 +
MATCH(TRUE, ISNUMBER(--INDIRECT("数出表_Excel!"&amp;DC50&amp; (MATCH(DO8,数出表_Excel!$A:$A,0)-1) &amp; ":U" &amp; (MATCH(DO8,数出表_Excel!$A:$A,0)-1))), 0)+1,4),"1",""),
""),
IFERROR(
SUBSTITUTE(ADDRESS(1,
COLUMN(INDIRECT("数出表_Excel!B" &amp; (MATCH(DO8,数出表_Excel!$A:$A,0)-1))) - 1 +
MATCH(TRUE, ISNUMBER(--INDIRECT("数出表_Excel!B" &amp; (MATCH(DO8,数出表_Excel!$A:$A,0)-1) &amp; ":U" &amp; (MATCH(DO8,数出表_Excel!$A:$A,0)-1))), 0)+1,4),"1",""),
"")))</f>
        <v/>
      </c>
      <c r="DK50" s="191" t="str">
        <f ca="1">IF(DK53&lt;&gt;"",DK8,"")</f>
        <v/>
      </c>
      <c r="DL50" s="192"/>
      <c r="DM50" s="192"/>
      <c r="DN50" s="192"/>
      <c r="DO50" s="95"/>
      <c r="DP50" s="80"/>
      <c r="DQ50" s="80"/>
      <c r="DR50" s="81" t="str">
        <f t="array" aca="1" ref="DR50" ca="1">IF(COUNTIF(DW8,"*合計*"),"",
IF(DS8=DZ43,
IFERROR(
SUBSTITUTE(ADDRESS(1,
COLUMN(INDIRECT("数出表_Excel!"&amp;DY43&amp; (MATCH(DW8,数出表_Excel!$A:$A,0)-1))) - 1 +
MATCH(TRUE, ISNUMBER(--INDIRECT("数出表_Excel!"&amp;DY43&amp; (MATCH(DW8,数出表_Excel!$A:$A,0)-1) &amp; ":U" &amp; (MATCH(DW8,数出表_Excel!$A:$A,0)-1))), 0)+1,4),"1",""),
""),
IFERROR(
SUBSTITUTE(ADDRESS(1,
COLUMN(INDIRECT("数出表_Excel!B" &amp; (MATCH(DW8,数出表_Excel!$A:$A,0)-1))) - 1 +
MATCH(TRUE, ISNUMBER(--INDIRECT("数出表_Excel!B" &amp; (MATCH(DW8,数出表_Excel!$A:$A,0)-1) &amp; ":U" &amp; (MATCH(DW8,数出表_Excel!$A:$A,0)-1))), 0)+1,4),"1",""),
"")))</f>
        <v/>
      </c>
      <c r="DS50" s="191" t="str">
        <f ca="1">IF(DS53&lt;&gt;"",DS8,"")</f>
        <v/>
      </c>
      <c r="DT50" s="192"/>
      <c r="DU50" s="192"/>
      <c r="DV50" s="192"/>
      <c r="DW50" s="99"/>
      <c r="DX50" s="80"/>
      <c r="DY50" s="81" t="str">
        <f t="array" aca="1" ref="DY50" ca="1">IF(COUNTIF(ED8,"*合計*"),"",
IF(DZ8=DS50,
IFERROR(
SUBSTITUTE(ADDRESS(1,
COLUMN(INDIRECT("数出表_Excel!"&amp;DR50&amp; (MATCH(ED8,数出表_Excel!$A:$A,0)-1))) - 1 +
MATCH(TRUE, ISNUMBER(--INDIRECT("数出表_Excel!"&amp;DR50&amp; (MATCH(ED8,数出表_Excel!$A:$A,0)-1) &amp; ":U" &amp; (MATCH(ED8,数出表_Excel!$A:$A,0)-1))), 0)+1,4),"1",""),
""),
IFERROR(
SUBSTITUTE(ADDRESS(1,
COLUMN(INDIRECT("数出表_Excel!B" &amp; (MATCH(ED8,数出表_Excel!$A:$A,0)-1))) - 1 +
MATCH(TRUE, ISNUMBER(--INDIRECT("数出表_Excel!B" &amp; (MATCH(ED8,数出表_Excel!$A:$A,0)-1) &amp; ":U" &amp; (MATCH(ED8,数出表_Excel!$A:$A,0)-1))), 0)+1,4),"1",""),
"")))</f>
        <v/>
      </c>
      <c r="DZ50" s="191" t="str">
        <f ca="1">IF(DZ53&lt;&gt;"",DZ8,"")</f>
        <v/>
      </c>
      <c r="EA50" s="192"/>
      <c r="EB50" s="192"/>
      <c r="EC50" s="192"/>
      <c r="ED50" s="95"/>
      <c r="EE50" s="80"/>
      <c r="EF50" s="80"/>
      <c r="EG50" s="81" t="str">
        <f t="array" aca="1" ref="EG50" ca="1">IF(COUNTIF(EL8,"*合計*"),"",
IF(EH8=EO43,
IFERROR(
SUBSTITUTE(ADDRESS(1,
COLUMN(INDIRECT("数出表_Excel!"&amp;EN43&amp; (MATCH(EL8,数出表_Excel!$A:$A,0)-1))) - 1 +
MATCH(TRUE, ISNUMBER(--INDIRECT("数出表_Excel!"&amp;EN43&amp; (MATCH(EL8,数出表_Excel!$A:$A,0)-1) &amp; ":U" &amp; (MATCH(EL8,数出表_Excel!$A:$A,0)-1))), 0)+1,4),"1",""),
""),
IFERROR(
SUBSTITUTE(ADDRESS(1,
COLUMN(INDIRECT("数出表_Excel!B" &amp; (MATCH(EL8,数出表_Excel!$A:$A,0)-1))) - 1 +
MATCH(TRUE, ISNUMBER(--INDIRECT("数出表_Excel!B" &amp; (MATCH(EL8,数出表_Excel!$A:$A,0)-1) &amp; ":U" &amp; (MATCH(EL8,数出表_Excel!$A:$A,0)-1))), 0)+1,4),"1",""),
"")))</f>
        <v/>
      </c>
      <c r="EH50" s="191" t="str">
        <f ca="1">IF(EH53&lt;&gt;"",EH8,"")</f>
        <v/>
      </c>
      <c r="EI50" s="192"/>
      <c r="EJ50" s="192"/>
      <c r="EK50" s="192"/>
      <c r="EL50" s="99"/>
      <c r="EM50" s="80"/>
      <c r="EN50" s="81" t="str">
        <f t="array" aca="1" ref="EN50" ca="1">IF(COUNTIF(ES8,"*合計*"),"",
IF(EO8=EH50,
IFERROR(
SUBSTITUTE(ADDRESS(1,
COLUMN(INDIRECT("数出表_Excel!"&amp;EG50&amp; (MATCH(ES8,数出表_Excel!$A:$A,0)-1))) - 1 +
MATCH(TRUE, ISNUMBER(--INDIRECT("数出表_Excel!"&amp;EG50&amp; (MATCH(ES8,数出表_Excel!$A:$A,0)-1) &amp; ":U" &amp; (MATCH(ES8,数出表_Excel!$A:$A,0)-1))), 0)+1,4),"1",""),
""),
IFERROR(
SUBSTITUTE(ADDRESS(1,
COLUMN(INDIRECT("数出表_Excel!B" &amp; (MATCH(ES8,数出表_Excel!$A:$A,0)-1))) - 1 +
MATCH(TRUE, ISNUMBER(--INDIRECT("数出表_Excel!B" &amp; (MATCH(ES8,数出表_Excel!$A:$A,0)-1) &amp; ":U" &amp; (MATCH(ES8,数出表_Excel!$A:$A,0)-1))), 0)+1,4),"1",""),
"")))</f>
        <v/>
      </c>
      <c r="EO50" s="191" t="str">
        <f ca="1">IF(EO53&lt;&gt;"",EO8,"")</f>
        <v/>
      </c>
      <c r="EP50" s="192"/>
      <c r="EQ50" s="192"/>
      <c r="ER50" s="192"/>
      <c r="ES50" s="95"/>
      <c r="ET50" s="110"/>
      <c r="EU50" s="82">
        <v>42</v>
      </c>
      <c r="EV50" s="82" t="str">
        <f t="array" aca="1" ref="EV50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LEN(SUBSTITUTE(_xlfn.FORMULATEXT(EV$49),"=","")))+$EU50)</f>
        <v/>
      </c>
      <c r="EW50" s="82" t="str">
        <f t="array" aca="1" ref="EW50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LEN(SUBSTITUTE(_xlfn.FORMULATEXT(EW$49),"=","")))+$EU50)</f>
        <v/>
      </c>
      <c r="EX50" s="82" t="str">
        <f t="array" aca="1" ref="EX50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LEN(SUBSTITUTE(_xlfn.FORMULATEXT(EX$49),"=","")))+$EU50)</f>
        <v/>
      </c>
      <c r="EY50" s="82" t="str">
        <f t="array" aca="1" ref="EY50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LEN(SUBSTITUTE(_xlfn.FORMULATEXT(EY$49),"=","")))+$EU50)</f>
        <v/>
      </c>
      <c r="EZ50" s="82" t="str">
        <f t="array" aca="1" ref="EZ50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LEN(SUBSTITUTE(_xlfn.FORMULATEXT(EZ$49),"=","")))+$EU50)</f>
        <v/>
      </c>
      <c r="FA50" s="82" t="str">
        <f t="array" aca="1" ref="FA50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LEN(SUBSTITUTE(_xlfn.FORMULATEXT(FA$49),"=","")))+$EU50)</f>
        <v/>
      </c>
      <c r="FB50" s="82" t="str">
        <f t="array" aca="1" ref="FB50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LEN(SUBSTITUTE(_xlfn.FORMULATEXT(FB$49),"=","")))+$EU50)</f>
        <v/>
      </c>
      <c r="FC50" s="82" t="str">
        <f t="array" aca="1" ref="FC50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LEN(SUBSTITUTE(_xlfn.FORMULATEXT(FC$49),"=","")))+$EU50)</f>
        <v/>
      </c>
      <c r="FD50" s="82" t="str">
        <f t="array" aca="1" ref="FD50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LEN(SUBSTITUTE(_xlfn.FORMULATEXT(FD$49),"=","")))+$EU50)</f>
        <v/>
      </c>
      <c r="FE50" s="82" t="str">
        <f t="array" aca="1" ref="FE50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LEN(SUBSTITUTE(_xlfn.FORMULATEXT(FE$49),"=","")))+$EU50)</f>
        <v/>
      </c>
      <c r="FF50" s="82" t="str">
        <f t="array" aca="1" ref="FF50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LEN(SUBSTITUTE(_xlfn.FORMULATEXT(FF$49),"=","")))+$EU50)</f>
        <v/>
      </c>
      <c r="FG50" s="82">
        <f t="shared" ca="1" si="3"/>
        <v>0</v>
      </c>
      <c r="FH50" s="82" t="b">
        <f t="array" aca="1" ref="FH50" ca="1">SUMPRODUCT((LEN(EV50:FF50)&gt;0)*1)&gt;0</f>
        <v>0</v>
      </c>
      <c r="FI50" s="82" t="str">
        <f t="array" aca="1" ref="FI50" ca="1">IFERROR(SMALL(IF(FG$1:FG$173&lt;&gt;0,FG$1:FG$173),ROW(A50)),"")</f>
        <v/>
      </c>
      <c r="FJ50" s="82" t="str">
        <f t="array" aca="1" ref="FJ50" ca="1">IF($FI50&lt;&gt;"",
INDIRECT(""&amp;IF(COLUMN(EV50)&lt;=26,CHAR(COLUMN(EV50)+64),CHAR(INT((COLUMN(EV50)-1)/26)+64)&amp;CHAR(MOD(COLUMN(EV50)-1,26)+65))&amp;$FI50&amp;""),"")</f>
        <v/>
      </c>
      <c r="FK50" s="82" t="str">
        <f t="array" aca="1" ref="FK50" ca="1">IF($FI50&lt;&gt;"",
INDIRECT(""&amp;IF(COLUMN(EW50)&lt;=26,CHAR(COLUMN(EW50)+64),CHAR(INT((COLUMN(EW50)-1)/26)+64)&amp;CHAR(MOD(COLUMN(EW50)-1,26)+65))&amp;$FI50&amp;""),"")</f>
        <v/>
      </c>
      <c r="FL50" s="82" t="str">
        <f t="array" aca="1" ref="FL50" ca="1">IF($FI50&lt;&gt;"",
INDIRECT(""&amp;IF(COLUMN(EX50)&lt;=26,CHAR(COLUMN(EX50)+64),CHAR(INT((COLUMN(EX50)-1)/26)+64)&amp;CHAR(MOD(COLUMN(EX50)-1,26)+65))&amp;$FI50&amp;""),"")</f>
        <v/>
      </c>
      <c r="FM50" s="82" t="str">
        <f t="array" aca="1" ref="FM50" ca="1">IF($FI50&lt;&gt;"",
IF(FL50="",
IF(INDIRECT("EY"&amp;$FI50&amp;"")&lt;&gt;"",
INDIRECT("EY"&amp;$FI50&amp;"")&amp;"箱"
&amp;INDIRECT("EZ"&amp;$FI50&amp;""),""),""),"")</f>
        <v/>
      </c>
      <c r="FN50" s="82" t="str">
        <f t="array" aca="1" ref="FN50" ca="1">IF($FI50&lt;&gt;"",
INDIRECT(""&amp;IF(COLUMN(FA50)&lt;=26,CHAR(COLUMN(FA50)+64),CHAR(INT((COLUMN(FA50)-1)/26)+64)&amp;CHAR(MOD(COLUMN(FA50)-1,26)+65))&amp;$FI50&amp;""),"")</f>
        <v/>
      </c>
      <c r="FO50" s="82" t="str">
        <f t="array" aca="1" ref="FO50" ca="1">IF($FI50&lt;&gt;"",
INDIRECT(""&amp;IF(COLUMN(FB50)&lt;=26,CHAR(COLUMN(FB50)+64),CHAR(INT((COLUMN(FB50)-1)/26)+64)&amp;CHAR(MOD(COLUMN(FB50)-1,26)+65))&amp;$FI50&amp;""),"")</f>
        <v/>
      </c>
      <c r="FP50" s="82" t="str">
        <f t="array" aca="1" ref="FP50" ca="1">IF($FI50&lt;&gt;"",
INDIRECT(""&amp;IF(COLUMN(FC50)&lt;=26,CHAR(COLUMN(FC50)+64),CHAR(INT((COLUMN(FC50)-1)/26)+64)&amp;CHAR(MOD(COLUMN(FC50)-1,26)+65))&amp;$FI50&amp;""),"")</f>
        <v/>
      </c>
      <c r="FQ50" s="82" t="str">
        <f t="array" aca="1" ref="FQ50" ca="1">IF($FI50&lt;&gt;"",
INDIRECT(""&amp;IF(COLUMN(FD50)&lt;=26,CHAR(COLUMN(FD50)+64),CHAR(INT((COLUMN(FD50)-1)/26)+64)&amp;CHAR(MOD(COLUMN(FD50)-1,26)+65))&amp;$FI50&amp;""),"")</f>
        <v/>
      </c>
      <c r="FR50" s="82" t="str">
        <f t="array" aca="1" ref="FR50" ca="1">IF($FI50&lt;&gt;"",
INDIRECT(""&amp;IF(COLUMN(FE50)&lt;=26,CHAR(COLUMN(FE50)+64),CHAR(INT((COLUMN(FE50)-1)/26)+64)&amp;CHAR(MOD(COLUMN(FE50)-1,26)+65))&amp;$FI50&amp;""),"")</f>
        <v/>
      </c>
      <c r="FS50" s="82" t="str">
        <f t="array" aca="1" ref="FS50" ca="1">IF($FI50&lt;&gt;"",
INDIRECT(""&amp;IF(COLUMN(FF50)&lt;=26,CHAR(COLUMN(FF50)+64),CHAR(INT((COLUMN(FF50)-1)/26)+64)&amp;CHAR(MOD(COLUMN(FF50)-1,26)+65))&amp;$FI50&amp;""),"")</f>
        <v/>
      </c>
    </row>
    <row r="51" spans="1:175" s="82" customFormat="1" ht="18" customHeight="1" x14ac:dyDescent="0.55000000000000004">
      <c r="A51" s="80"/>
      <c r="B51" s="85" t="e">
        <f t="array" aca="1" ref="B51" ca="1">IF(B10&lt;&gt;100,
IF(C53&lt;&gt;"",MATCH(C53,INDIRECT("数出表_Excel!B"&amp;MATCH(G8,数出表_Excel!$A:$A,0)-1&amp;":U"&amp;MATCH(G8,数出表_Excel!$A:$A,0)-1&amp;""),0)+1,""),
IF(C53&lt;&gt;"",
MATCH(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INDIRECT("数出表_Excel!B"&amp;MATCH(G8,数出表_Excel!$A:$A,0)-1&amp;":U"&amp;MATCH(G8,数出表_Excel!$A:$A,0)-1&amp;""),0)+1,""))</f>
        <v>#N/A</v>
      </c>
      <c r="C51" s="62" t="str">
        <f t="array" aca="1" ref="C51" ca="1">IF(C8=J43,"",IFERROR(IF(OR(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"3"),"*配膳*"),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"3"),"*カレー*"),
COUNTIF(C8,"*合計*")),"",
IF(IFERROR(INDIRECT("数出表_Excel!"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"3"),0)=0,"",
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"3"),""))),""))</f>
        <v/>
      </c>
      <c r="D51" s="80"/>
      <c r="E51" s="86" t="str">
        <f t="array" aca="1" ref="E51" ca="1">IF(F51&lt;&gt;"","",
IF(COUNTIF(C50,"*雙葉*"),"",
IF(C50&lt;&gt;"",
IF(
(COLUMN(INDIRECT("数出表_Excel!B" &amp; (MATCH(G8,数出表_Excel!$A:$A,0)-1))) - 1 +
MATCH(TRUE, ISNUMBER(--INDIRECT("数出表_Excel!B" &amp; (MATCH(G8,数出表_Excel!$A:$A,0)-1) &amp; ":U" &amp; (MATCH(G8,数出表_Excel!$A:$A,0)-1))), 0)+1
+MATCH(TRUE,INDIRECT("'数出表_Excel'!"&amp;B50&amp;MATCH(G8,数出表_Excel!$A:$A,0)-1&amp;":AL"&amp;MATCH(G8,数出表_Excel!$A:$A,0)-1&amp;"")&lt;&gt;"",0))&gt;12,"",
IFERROR(
INDEX(INDIRECT("数出表_Excel!$"&amp;B50&amp;"4:$AL4"),
 1,
MATCH(TRUE,INDIRECT("'数出表_Excel'!"&amp;B50&amp;MATCH(G8,数出表_Excel!$A:$A,0)-1&amp;":AL"&amp;MATCH(G8,数出表_Excel!$A:$A,0)-1&amp;"")&lt;&gt;"",0)
),
 "")
&amp;IFERROR(
INDEX(INDIRECT("数出表_Excel!$"&amp;B50&amp;"5:$AL5"),
 1,
MATCH(TRUE,INDIRECT("'数出表_Excel'!"&amp;B50&amp;MATCH(G8,数出表_Excel!$A:$A,0)-1&amp;":AL"&amp;MATCH(G8,数出表_Excel!$A:$A,0)-1&amp;"")&lt;&gt;"",0)),
 "")),"")))</f>
        <v/>
      </c>
      <c r="F51" s="87" t="str">
        <f t="array" aca="1" ref="F51" ca="1">IF(C51&lt;&gt;"",
IF(COUNTIF(C50,"*雙葉*"),
IF(ROUND(
IF(F56&lt;&gt;"",(C53-F56),C53)
/IF(COUNTIF(C51,"*キャラ*"),
VLOOKUP("*キャラ*",商品マスタ一覧!$D:$J,7,FALSE),
IF(COUNTIF(C51,"*赤*"),
VLOOKUP("*赤*",商品マスタ一覧!$D:$J,7,FALSE),
VLOOKUP(C51,商品マスタ一覧!$D:$J,7,FALSE))),0)&lt;=0,1,
ROUND(
IF(F56&lt;&gt;"",(C53-F56),C53)
/IF(COUNTIF(C51,"*キャラ*"),
VLOOKUP("*キャラ*",商品マスタ一覧!$D:$J,7,FALSE),
IF(COUNTIF(C51,"*赤*"),
VLOOKUP("*赤*",商品マスタ一覧!$D:$J,7,FALSE),
VLOOKUP(C51,商品マスタ一覧!$D:$J,7,FALSE))),0)),
IF(MATCH(TRUE,
ISNUMBER(--INDIRECT("'数出表_Excel（アレルギー入力）'!B"&amp;MATCH(G8,'数出表_Excel（アレルギー入力）'!$A:$A,0)-1&amp;":AL"&amp;MATCH(G8,'数出表_Excel（アレルギー入力）'!$A:$A,0)-1&amp;"")),0)&gt;10,
IF(C51&lt;&gt;"",
IF(IF(COUNTIF(C51,"*キャラ*"),
VLOOKUP("*キャラ*",商品マスタ一覧!$D:$J,7,FALSE),
IF(COUNTIF(C51,"*赤*"),
VLOOKUP("*赤*",商品マスタ一覧!$D:$J,7,FALSE),
VLOOKUP(C51,商品マスタ一覧!$D:$J,7,FALSE)))=0,"",
IF(ROUND(
IF(F56&lt;&gt;"",(C53-F56),C53)
/IF(COUNTIF(C51,"*キャラ*"),
VLOOKUP("*キャラ*",商品マスタ一覧!$D:$J,7,FALSE),
IF(COUNTIF(C51,"*赤*"),
VLOOKUP("*赤*",商品マスタ一覧!$D:$J,7,FALSE),
VLOOKUP(C51,商品マスタ一覧!$D:$J,7,FALSE))),0)&lt;=0,1,
ROUND(
IF(F56&lt;&gt;"",(C53-F56),C53)
/IF(COUNTIF(C51,"*キャラ*"),
VLOOKUP("*キャラ*",商品マスタ一覧!$D:$J,7,FALSE),
IF(COUNTIF(C51,"*赤*"),
VLOOKUP("*赤*",商品マスタ一覧!$D:$J,7,FALSE),
VLOOKUP(C51,商品マスタ一覧!$D:$J,7,FALSE))),0))),""),"")),"")</f>
        <v/>
      </c>
      <c r="G51" s="100" t="str">
        <f ca="1">IF(F51&lt;&gt;"",IF(C53&lt;&gt;"",IF(VALUE(IF(F56&lt;&gt;"",C53-F56,C53))&gt;VALUE(IF(COUNTIF('盛付札（関数）'!C51,"*キャラ*"),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
"+"&amp;IF(F56&lt;&gt;"",C53-F56,C53)-IF(COUNTIF('盛付札（関数）'!C51,"*キャラ*"),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VLOOKUP('盛付札（関数）'!C51,商品マスタ一覧!$D:$J,7,FALSE)))*F51,
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VLOOKUP('盛付札（関数）'!C51,商品マスタ一覧!$D:$J,7,FALSE)))*F51),""),"")</f>
        <v/>
      </c>
      <c r="H51" s="80"/>
      <c r="I51" s="85" t="e">
        <f t="array" aca="1" ref="I51" ca="1">IF(I10&lt;&gt;100,
IF(J53&lt;&gt;"",MATCH(J53,INDIRECT("数出表_Excel!B"&amp;MATCH(N8,数出表_Excel!$A:$A,0)-1&amp;":U"&amp;MATCH(N8,数出表_Excel!$A:$A,0)-1&amp;""),0)+1,""),
IF(J53&lt;&gt;"",
MATCH(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INDIRECT("数出表_Excel!B"&amp;MATCH(N8,数出表_Excel!$A:$A,0)-1&amp;":U"&amp;MATCH(N8,数出表_Excel!$A:$A,0)-1&amp;""),0)+1,""))</f>
        <v>#N/A</v>
      </c>
      <c r="J51" s="62" t="str">
        <f t="array" aca="1" ref="J51" ca="1">IF(J8=C50,"",IFERROR(IF(OR(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"3"),"*配膳*"),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"3"),"*カレー*"),
COUNTIF(J8,"*合計*")),"",
IF(IFERROR(INDIRECT("数出表_Excel!"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"3"),0)=0,"",
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"3"),""))),""))</f>
        <v/>
      </c>
      <c r="K51" s="80"/>
      <c r="L51" s="86" t="str">
        <f t="array" aca="1" ref="L51" ca="1">IF(M51&lt;&gt;"","",
IF(COUNTIF(J50,"*雙葉*"),"",
IF(J50&lt;&gt;"",
IF(
(COLUMN(INDIRECT("数出表_Excel!B" &amp; (MATCH(N8,数出表_Excel!$A:$A,0)-1))) - 1 +
MATCH(TRUE, ISNUMBER(--INDIRECT("数出表_Excel!B" &amp; (MATCH(N8,数出表_Excel!$A:$A,0)-1) &amp; ":U" &amp; (MATCH(N8,数出表_Excel!$A:$A,0)-1))), 0)+1
+MATCH(TRUE,INDIRECT("'数出表_Excel'!"&amp;I50&amp;MATCH(N8,数出表_Excel!$A:$A,0)-1&amp;":AL"&amp;MATCH(N8,数出表_Excel!$A:$A,0)-1&amp;"")&lt;&gt;"",0))&gt;12,"",
IFERROR(
INDEX(INDIRECT("数出表_Excel!$"&amp;I50&amp;"4:$AL4"),
 1,
MATCH(TRUE,INDIRECT("'数出表_Excel'!"&amp;I50&amp;MATCH(N8,数出表_Excel!$A:$A,0)-1&amp;":AL"&amp;MATCH(N8,数出表_Excel!$A:$A,0)-1&amp;"")&lt;&gt;"",0)
),
 "")
&amp;IFERROR(
INDEX(INDIRECT("数出表_Excel!$"&amp;I50&amp;"5:$AL5"),
 1,
MATCH(TRUE,INDIRECT("'数出表_Excel'!"&amp;I50&amp;MATCH(N8,数出表_Excel!$A:$A,0)-1&amp;":AL"&amp;MATCH(N8,数出表_Excel!$A:$A,0)-1&amp;"")&lt;&gt;"",0)),
 "")),"")))</f>
        <v/>
      </c>
      <c r="M51" s="87" t="str">
        <f t="array" aca="1" ref="M51" ca="1">IF(J51&lt;&gt;"",
IF(COUNTIF(J50,"*雙葉*"),
IF(ROUND(
IF(M56&lt;&gt;"",(J53-M56),J53)
/IF(COUNTIF(J51,"*キャラ*"),
VLOOKUP("*キャラ*",商品マスタ一覧!$D:$J,7,FALSE),
IF(COUNTIF(J51,"*赤*"),
VLOOKUP("*赤*",商品マスタ一覧!$D:$J,7,FALSE),
VLOOKUP(J51,商品マスタ一覧!$D:$J,7,FALSE))),0)&lt;=0,1,
ROUND(
IF(M56&lt;&gt;"",(J53-M56),J53)
/IF(COUNTIF(J51,"*キャラ*"),
VLOOKUP("*キャラ*",商品マスタ一覧!$D:$J,7,FALSE),
IF(COUNTIF(J51,"*赤*"),
VLOOKUP("*赤*",商品マスタ一覧!$D:$J,7,FALSE),
VLOOKUP(J51,商品マスタ一覧!$D:$J,7,FALSE))),0)),
IF(MATCH(TRUE,
ISNUMBER(--INDIRECT("'数出表_Excel（アレルギー入力）'!B"&amp;MATCH(N8,'数出表_Excel（アレルギー入力）'!$A:$A,0)-1&amp;":AL"&amp;MATCH(N8,'数出表_Excel（アレルギー入力）'!$A:$A,0)-1&amp;"")),0)&gt;10,
IF(J51&lt;&gt;"",
IF(IF(COUNTIF(J51,"*キャラ*"),
VLOOKUP("*キャラ*",商品マスタ一覧!$D:$J,7,FALSE),
IF(COUNTIF(J51,"*赤*"),
VLOOKUP("*赤*",商品マスタ一覧!$D:$J,7,FALSE),
VLOOKUP(J51,商品マスタ一覧!$D:$J,7,FALSE)))=0,"",
IF(ROUND(
IF(M56&lt;&gt;"",(J53-M56),J53)
/IF(COUNTIF(J51,"*キャラ*"),
VLOOKUP("*キャラ*",商品マスタ一覧!$D:$J,7,FALSE),
IF(COUNTIF(J51,"*赤*"),
VLOOKUP("*赤*",商品マスタ一覧!$D:$J,7,FALSE),
VLOOKUP(J51,商品マスタ一覧!$D:$J,7,FALSE))),0)&lt;=0,1,
ROUND(
IF(M56&lt;&gt;"",(J53-M56),J53)
/IF(COUNTIF(J51,"*キャラ*"),
VLOOKUP("*キャラ*",商品マスタ一覧!$D:$J,7,FALSE),
IF(COUNTIF(J51,"*赤*"),
VLOOKUP("*赤*",商品マスタ一覧!$D:$J,7,FALSE),
VLOOKUP(J51,商品マスタ一覧!$D:$J,7,FALSE))),0))),""),"")),"")</f>
        <v/>
      </c>
      <c r="N51" s="96" t="str">
        <f ca="1">IF(M51&lt;&gt;"",IF(J53&lt;&gt;"",IF(VALUE(IF(M56&lt;&gt;"",J53-M56,J53))&gt;VALUE(IF(COUNTIF('盛付札（関数）'!J51,"*キャラ*"),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
"+"&amp;IF(M56&lt;&gt;"",J53-M56,J53)-IF(COUNTIF('盛付札（関数）'!J51,"*キャラ*"),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VLOOKUP('盛付札（関数）'!J51,商品マスタ一覧!$D:$J,7,FALSE)))*M51,
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VLOOKUP('盛付札（関数）'!J51,商品マスタ一覧!$D:$J,7,FALSE)))*M51),""),"")</f>
        <v/>
      </c>
      <c r="O51" s="80"/>
      <c r="P51" s="80"/>
      <c r="Q51" s="85" t="e">
        <f t="array" aca="1" ref="Q51" ca="1">IF(Q10&lt;&gt;100,
IF(R53&lt;&gt;"",MATCH(R53,INDIRECT("数出表_Excel!B"&amp;MATCH(V8,数出表_Excel!$A:$A,0)-1&amp;":U"&amp;MATCH(V8,数出表_Excel!$A:$A,0)-1&amp;""),0)+1,""),
IF(R53&lt;&gt;"",
MATCH(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INDIRECT("数出表_Excel!B"&amp;MATCH(V8,数出表_Excel!$A:$A,0)-1&amp;":U"&amp;MATCH(V8,数出表_Excel!$A:$A,0)-1&amp;""),0)+1,""))</f>
        <v>#N/A</v>
      </c>
      <c r="R51" s="62" t="str">
        <f t="array" aca="1" ref="R51" ca="1">IF(R8=Y43,"",IFERROR(IF(OR(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"3"),"*配膳*"),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"3"),"*カレー*"),
COUNTIF(R8,"*合計*")),"",
IF(IFERROR(INDIRECT("数出表_Excel!"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"3"),0)=0,"",
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"3"),""))),""))</f>
        <v/>
      </c>
      <c r="S51" s="80"/>
      <c r="T51" s="86" t="str">
        <f t="array" aca="1" ref="T51" ca="1">IF(U51&lt;&gt;"","",
IF(COUNTIF(R50,"*雙葉*"),"",
IF(R50&lt;&gt;"",
IF(
(COLUMN(INDIRECT("数出表_Excel!B" &amp; (MATCH(V8,数出表_Excel!$A:$A,0)-1))) - 1 +
MATCH(TRUE, ISNUMBER(--INDIRECT("数出表_Excel!B" &amp; (MATCH(V8,数出表_Excel!$A:$A,0)-1) &amp; ":U" &amp; (MATCH(V8,数出表_Excel!$A:$A,0)-1))), 0)+1
+MATCH(TRUE,INDIRECT("'数出表_Excel'!"&amp;Q50&amp;MATCH(V8,数出表_Excel!$A:$A,0)-1&amp;":AL"&amp;MATCH(V8,数出表_Excel!$A:$A,0)-1&amp;"")&lt;&gt;"",0))&gt;12,"",
IFERROR(
INDEX(INDIRECT("数出表_Excel!$"&amp;Q50&amp;"4:$AL4"),
 1,
MATCH(TRUE,INDIRECT("'数出表_Excel'!"&amp;Q50&amp;MATCH(V8,数出表_Excel!$A:$A,0)-1&amp;":AL"&amp;MATCH(V8,数出表_Excel!$A:$A,0)-1&amp;"")&lt;&gt;"",0)
),
 "")
&amp;IFERROR(
INDEX(INDIRECT("数出表_Excel!$"&amp;Q50&amp;"5:$AL5"),
 1,
MATCH(TRUE,INDIRECT("'数出表_Excel'!"&amp;Q50&amp;MATCH(V8,数出表_Excel!$A:$A,0)-1&amp;":AL"&amp;MATCH(V8,数出表_Excel!$A:$A,0)-1&amp;"")&lt;&gt;"",0)),
 "")),"")))</f>
        <v/>
      </c>
      <c r="U51" s="87" t="str">
        <f t="array" aca="1" ref="U51" ca="1">IF(R51&lt;&gt;"",
IF(COUNTIF(R50,"*雙葉*"),
IF(ROUND(
IF(U56&lt;&gt;"",(R53-U56),R53)
/IF(COUNTIF(R51,"*キャラ*"),
VLOOKUP("*キャラ*",商品マスタ一覧!$D:$J,7,FALSE),
IF(COUNTIF(R51,"*赤*"),
VLOOKUP("*赤*",商品マスタ一覧!$D:$J,7,FALSE),
VLOOKUP(R51,商品マスタ一覧!$D:$J,7,FALSE))),0)&lt;=0,1,
ROUND(
IF(U56&lt;&gt;"",(R53-U56),R53)
/IF(COUNTIF(R51,"*キャラ*"),
VLOOKUP("*キャラ*",商品マスタ一覧!$D:$J,7,FALSE),
IF(COUNTIF(R51,"*赤*"),
VLOOKUP("*赤*",商品マスタ一覧!$D:$J,7,FALSE),
VLOOKUP(R51,商品マスタ一覧!$D:$J,7,FALSE))),0)),
IF(MATCH(TRUE,
ISNUMBER(--INDIRECT("'数出表_Excel（アレルギー入力）'!B"&amp;MATCH(V8,'数出表_Excel（アレルギー入力）'!$A:$A,0)-1&amp;":AL"&amp;MATCH(V8,'数出表_Excel（アレルギー入力）'!$A:$A,0)-1&amp;"")),0)&gt;10,
IF(R51&lt;&gt;"",
IF(IF(COUNTIF(R51,"*キャラ*"),
VLOOKUP("*キャラ*",商品マスタ一覧!$D:$J,7,FALSE),
IF(COUNTIF(R51,"*赤*"),
VLOOKUP("*赤*",商品マスタ一覧!$D:$J,7,FALSE),
VLOOKUP(R51,商品マスタ一覧!$D:$J,7,FALSE)))=0,"",
IF(ROUND(
IF(U56&lt;&gt;"",(R53-U56),R53)
/IF(COUNTIF(R51,"*キャラ*"),
VLOOKUP("*キャラ*",商品マスタ一覧!$D:$J,7,FALSE),
IF(COUNTIF(R51,"*赤*"),
VLOOKUP("*赤*",商品マスタ一覧!$D:$J,7,FALSE),
VLOOKUP(R51,商品マスタ一覧!$D:$J,7,FALSE))),0)&lt;=0,1,
ROUND(
IF(U56&lt;&gt;"",(R53-U56),R53)
/IF(COUNTIF(R51,"*キャラ*"),
VLOOKUP("*キャラ*",商品マスタ一覧!$D:$J,7,FALSE),
IF(COUNTIF(R51,"*赤*"),
VLOOKUP("*赤*",商品マスタ一覧!$D:$J,7,FALSE),
VLOOKUP(R51,商品マスタ一覧!$D:$J,7,FALSE))),0))),""),"")),"")</f>
        <v/>
      </c>
      <c r="V51" s="100" t="str">
        <f ca="1">IF(U51&lt;&gt;"",IF(R53&lt;&gt;"",IF(VALUE(IF(U56&lt;&gt;"",R53-U56,R53))&gt;VALUE(IF(COUNTIF('盛付札（関数）'!R51,"*キャラ*"),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
"+"&amp;IF(U56&lt;&gt;"",R53-U56,R53)-IF(COUNTIF('盛付札（関数）'!R51,"*キャラ*"),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VLOOKUP('盛付札（関数）'!R51,商品マスタ一覧!$D:$J,7,FALSE)))*U51,
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VLOOKUP('盛付札（関数）'!R51,商品マスタ一覧!$D:$J,7,FALSE)))*U51),""),"")</f>
        <v/>
      </c>
      <c r="W51" s="80"/>
      <c r="X51" s="85" t="e">
        <f t="array" aca="1" ref="X51" ca="1">IF(X10&lt;&gt;100,
IF(Y53&lt;&gt;"",MATCH(Y53,INDIRECT("数出表_Excel!B"&amp;MATCH(AC8,数出表_Excel!$A:$A,0)-1&amp;":U"&amp;MATCH(AC8,数出表_Excel!$A:$A,0)-1&amp;""),0)+1,""),
IF(Y53&lt;&gt;"",
MATCH(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INDIRECT("数出表_Excel!B"&amp;MATCH(AC8,数出表_Excel!$A:$A,0)-1&amp;":U"&amp;MATCH(AC8,数出表_Excel!$A:$A,0)-1&amp;""),0)+1,""))</f>
        <v>#N/A</v>
      </c>
      <c r="Y51" s="62" t="str">
        <f t="array" aca="1" ref="Y51" ca="1">IF(Y8=R50,"",IFERROR(IF(OR(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"3"),"*配膳*"),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"3"),"*カレー*"),
COUNTIF(Y8,"*合計*")),"",
IF(IFERROR(INDIRECT("数出表_Excel!"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"3"),0)=0,"",
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"3"),""))),""))</f>
        <v/>
      </c>
      <c r="Z51" s="80"/>
      <c r="AA51" s="86" t="str">
        <f t="array" aca="1" ref="AA51" ca="1">IF(AB51&lt;&gt;"","",
IF(COUNTIF(Y50,"*雙葉*"),"",
IF(Y50&lt;&gt;"",
IF(
(COLUMN(INDIRECT("数出表_Excel!B" &amp; (MATCH(AC8,数出表_Excel!$A:$A,0)-1))) - 1 +
MATCH(TRUE, ISNUMBER(--INDIRECT("数出表_Excel!B" &amp; (MATCH(AC8,数出表_Excel!$A:$A,0)-1) &amp; ":U" &amp; (MATCH(AC8,数出表_Excel!$A:$A,0)-1))), 0)+1
+MATCH(TRUE,INDIRECT("'数出表_Excel'!"&amp;X50&amp;MATCH(AC8,数出表_Excel!$A:$A,0)-1&amp;":AL"&amp;MATCH(AC8,数出表_Excel!$A:$A,0)-1&amp;"")&lt;&gt;"",0))&gt;12,"",
IFERROR(
INDEX(INDIRECT("数出表_Excel!$"&amp;X50&amp;"4:$AL4"),
 1,
MATCH(TRUE,INDIRECT("'数出表_Excel'!"&amp;X50&amp;MATCH(AC8,数出表_Excel!$A:$A,0)-1&amp;":AL"&amp;MATCH(AC8,数出表_Excel!$A:$A,0)-1&amp;"")&lt;&gt;"",0)
),
 "")
&amp;IFERROR(
INDEX(INDIRECT("数出表_Excel!$"&amp;X50&amp;"5:$AL5"),
 1,
MATCH(TRUE,INDIRECT("'数出表_Excel'!"&amp;X50&amp;MATCH(AC8,数出表_Excel!$A:$A,0)-1&amp;":AL"&amp;MATCH(AC8,数出表_Excel!$A:$A,0)-1&amp;"")&lt;&gt;"",0)),
 "")),"")))</f>
        <v/>
      </c>
      <c r="AB51" s="87" t="str">
        <f t="array" aca="1" ref="AB51" ca="1">IF(Y51&lt;&gt;"",
IF(COUNTIF(Y50,"*雙葉*"),
IF(ROUND(
IF(AB56&lt;&gt;"",(Y53-AB56),Y53)
/IF(COUNTIF(Y51,"*キャラ*"),
VLOOKUP("*キャラ*",商品マスタ一覧!$D:$J,7,FALSE),
IF(COUNTIF(Y51,"*赤*"),
VLOOKUP("*赤*",商品マスタ一覧!$D:$J,7,FALSE),
VLOOKUP(Y51,商品マスタ一覧!$D:$J,7,FALSE))),0)&lt;=0,1,
ROUND(
IF(AB56&lt;&gt;"",(Y53-AB56),Y53)
/IF(COUNTIF(Y51,"*キャラ*"),
VLOOKUP("*キャラ*",商品マスタ一覧!$D:$J,7,FALSE),
IF(COUNTIF(Y51,"*赤*"),
VLOOKUP("*赤*",商品マスタ一覧!$D:$J,7,FALSE),
VLOOKUP(Y51,商品マスタ一覧!$D:$J,7,FALSE))),0)),
IF(MATCH(TRUE,
ISNUMBER(--INDIRECT("'数出表_Excel（アレルギー入力）'!B"&amp;MATCH(AC8,'数出表_Excel（アレルギー入力）'!$A:$A,0)-1&amp;":AL"&amp;MATCH(AC8,'数出表_Excel（アレルギー入力）'!$A:$A,0)-1&amp;"")),0)&gt;10,
IF(Y51&lt;&gt;"",
IF(IF(COUNTIF(Y51,"*キャラ*"),
VLOOKUP("*キャラ*",商品マスタ一覧!$D:$J,7,FALSE),
IF(COUNTIF(Y51,"*赤*"),
VLOOKUP("*赤*",商品マスタ一覧!$D:$J,7,FALSE),
VLOOKUP(Y51,商品マスタ一覧!$D:$J,7,FALSE)))=0,"",
IF(ROUND(
IF(AB56&lt;&gt;"",(Y53-AB56),Y53)
/IF(COUNTIF(Y51,"*キャラ*"),
VLOOKUP("*キャラ*",商品マスタ一覧!$D:$J,7,FALSE),
IF(COUNTIF(Y51,"*赤*"),
VLOOKUP("*赤*",商品マスタ一覧!$D:$J,7,FALSE),
VLOOKUP(Y51,商品マスタ一覧!$D:$J,7,FALSE))),0)&lt;=0,1,
ROUND(
IF(AB56&lt;&gt;"",(Y53-AB56),Y53)
/IF(COUNTIF(Y51,"*キャラ*"),
VLOOKUP("*キャラ*",商品マスタ一覧!$D:$J,7,FALSE),
IF(COUNTIF(Y51,"*赤*"),
VLOOKUP("*赤*",商品マスタ一覧!$D:$J,7,FALSE),
VLOOKUP(Y51,商品マスタ一覧!$D:$J,7,FALSE))),0))),""),"")),"")</f>
        <v/>
      </c>
      <c r="AC51" s="96" t="str">
        <f ca="1">IF(AB51&lt;&gt;"",IF(Y53&lt;&gt;"",IF(VALUE(IF(AB56&lt;&gt;"",Y53-AB56,Y53))&gt;VALUE(IF(COUNTIF('盛付札（関数）'!Y51,"*キャラ*"),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
"+"&amp;IF(AB56&lt;&gt;"",Y53-AB56,Y53)-IF(COUNTIF('盛付札（関数）'!Y51,"*キャラ*"),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VLOOKUP('盛付札（関数）'!Y51,商品マスタ一覧!$D:$J,7,FALSE)))*AB51,
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VLOOKUP('盛付札（関数）'!Y51,商品マスタ一覧!$D:$J,7,FALSE)))*AB51),""),"")</f>
        <v/>
      </c>
      <c r="AD51" s="80"/>
      <c r="AE51" s="80"/>
      <c r="AF51" s="85" t="e">
        <f t="array" aca="1" ref="AF51" ca="1">IF(AF10&lt;&gt;100,
IF(AG53&lt;&gt;"",MATCH(AG53,INDIRECT("数出表_Excel!B"&amp;MATCH(AK8,数出表_Excel!$A:$A,0)-1&amp;":U"&amp;MATCH(AK8,数出表_Excel!$A:$A,0)-1&amp;""),0)+1,""),
IF(AG53&lt;&gt;"",
MATCH(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INDIRECT("数出表_Excel!B"&amp;MATCH(AK8,数出表_Excel!$A:$A,0)-1&amp;":U"&amp;MATCH(AK8,数出表_Excel!$A:$A,0)-1&amp;""),0)+1,""))</f>
        <v>#N/A</v>
      </c>
      <c r="AG51" s="62" t="str">
        <f t="array" aca="1" ref="AG51" ca="1">IF(AG8=AN43,"",IFERROR(IF(OR(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"3"),"*配膳*"),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"3"),"*カレー*"),
COUNTIF(AG8,"*合計*")),"",
IF(IFERROR(INDIRECT("数出表_Excel!"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"3"),0)=0,"",
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"3"),""))),""))</f>
        <v/>
      </c>
      <c r="AH51" s="80"/>
      <c r="AI51" s="86" t="str">
        <f t="array" aca="1" ref="AI51" ca="1">IF(AJ51&lt;&gt;"","",
IF(COUNTIF(AG50,"*雙葉*"),"",
IF(AG50&lt;&gt;"",
IF(
(COLUMN(INDIRECT("数出表_Excel!B" &amp; (MATCH(AK8,数出表_Excel!$A:$A,0)-1))) - 1 +
MATCH(TRUE, ISNUMBER(--INDIRECT("数出表_Excel!B" &amp; (MATCH(AK8,数出表_Excel!$A:$A,0)-1) &amp; ":U" &amp; (MATCH(AK8,数出表_Excel!$A:$A,0)-1))), 0)+1
+MATCH(TRUE,INDIRECT("'数出表_Excel'!"&amp;AF50&amp;MATCH(AK8,数出表_Excel!$A:$A,0)-1&amp;":AL"&amp;MATCH(AK8,数出表_Excel!$A:$A,0)-1&amp;"")&lt;&gt;"",0))&gt;12,"",
IFERROR(
INDEX(INDIRECT("数出表_Excel!$"&amp;AF50&amp;"4:$AL4"),
 1,
MATCH(TRUE,INDIRECT("'数出表_Excel'!"&amp;AF50&amp;MATCH(AK8,数出表_Excel!$A:$A,0)-1&amp;":AL"&amp;MATCH(AK8,数出表_Excel!$A:$A,0)-1&amp;"")&lt;&gt;"",0)
),
 "")
&amp;IFERROR(
INDEX(INDIRECT("数出表_Excel!$"&amp;AF50&amp;"5:$AL5"),
 1,
MATCH(TRUE,INDIRECT("'数出表_Excel'!"&amp;AF50&amp;MATCH(AK8,数出表_Excel!$A:$A,0)-1&amp;":AL"&amp;MATCH(AK8,数出表_Excel!$A:$A,0)-1&amp;"")&lt;&gt;"",0)),
 "")),"")))</f>
        <v/>
      </c>
      <c r="AJ51" s="87" t="str">
        <f t="array" aca="1" ref="AJ51" ca="1">IF(AG51&lt;&gt;"",
IF(COUNTIF(AG50,"*雙葉*"),
IF(ROUND(
IF(AJ56&lt;&gt;"",(AG53-AJ56),AG53)
/IF(COUNTIF(AG51,"*キャラ*"),
VLOOKUP("*キャラ*",商品マスタ一覧!$D:$J,7,FALSE),
IF(COUNTIF(AG51,"*赤*"),
VLOOKUP("*赤*",商品マスタ一覧!$D:$J,7,FALSE),
VLOOKUP(AG51,商品マスタ一覧!$D:$J,7,FALSE))),0)&lt;=0,1,
ROUND(
IF(AJ56&lt;&gt;"",(AG53-AJ56),AG53)
/IF(COUNTIF(AG51,"*キャラ*"),
VLOOKUP("*キャラ*",商品マスタ一覧!$D:$J,7,FALSE),
IF(COUNTIF(AG51,"*赤*"),
VLOOKUP("*赤*",商品マスタ一覧!$D:$J,7,FALSE),
VLOOKUP(AG51,商品マスタ一覧!$D:$J,7,FALSE))),0)),
IF(MATCH(TRUE,
ISNUMBER(--INDIRECT("'数出表_Excel（アレルギー入力）'!B"&amp;MATCH(AK8,'数出表_Excel（アレルギー入力）'!$A:$A,0)-1&amp;":AL"&amp;MATCH(AK8,'数出表_Excel（アレルギー入力）'!$A:$A,0)-1&amp;"")),0)&gt;10,
IF(AG51&lt;&gt;"",
IF(IF(COUNTIF(AG51,"*キャラ*"),
VLOOKUP("*キャラ*",商品マスタ一覧!$D:$J,7,FALSE),
IF(COUNTIF(AG51,"*赤*"),
VLOOKUP("*赤*",商品マスタ一覧!$D:$J,7,FALSE),
VLOOKUP(AG51,商品マスタ一覧!$D:$J,7,FALSE)))=0,"",
IF(ROUND(
IF(AJ56&lt;&gt;"",(AG53-AJ56),AG53)
/IF(COUNTIF(AG51,"*キャラ*"),
VLOOKUP("*キャラ*",商品マスタ一覧!$D:$J,7,FALSE),
IF(COUNTIF(AG51,"*赤*"),
VLOOKUP("*赤*",商品マスタ一覧!$D:$J,7,FALSE),
VLOOKUP(AG51,商品マスタ一覧!$D:$J,7,FALSE))),0)&lt;=0,1,
ROUND(
IF(AJ56&lt;&gt;"",(AG53-AJ56),AG53)
/IF(COUNTIF(AG51,"*キャラ*"),
VLOOKUP("*キャラ*",商品マスタ一覧!$D:$J,7,FALSE),
IF(COUNTIF(AG51,"*赤*"),
VLOOKUP("*赤*",商品マスタ一覧!$D:$J,7,FALSE),
VLOOKUP(AG51,商品マスタ一覧!$D:$J,7,FALSE))),0))),""),"")),"")</f>
        <v/>
      </c>
      <c r="AK51" s="100" t="str">
        <f ca="1">IF(AJ51&lt;&gt;"",IF(AG53&lt;&gt;"",IF(VALUE(IF(AJ56&lt;&gt;"",AG53-AJ56,AG53))&gt;VALUE(IF(COUNTIF('盛付札（関数）'!AG51,"*キャラ*"),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
"+"&amp;IF(AJ56&lt;&gt;"",AG53-AJ56,AG53)-IF(COUNTIF('盛付札（関数）'!AG51,"*キャラ*"),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VLOOKUP('盛付札（関数）'!AG51,商品マスタ一覧!$D:$J,7,FALSE)))*AJ51,
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VLOOKUP('盛付札（関数）'!AG51,商品マスタ一覧!$D:$J,7,FALSE)))*AJ51),""),"")</f>
        <v/>
      </c>
      <c r="AL51" s="80"/>
      <c r="AM51" s="85" t="e">
        <f t="array" aca="1" ref="AM51" ca="1">IF(AM10&lt;&gt;100,
IF(AN53&lt;&gt;"",MATCH(AN53,INDIRECT("数出表_Excel!B"&amp;MATCH(AR8,数出表_Excel!$A:$A,0)-1&amp;":U"&amp;MATCH(AR8,数出表_Excel!$A:$A,0)-1&amp;""),0)+1,""),
IF(AN53&lt;&gt;"",
MATCH(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INDIRECT("数出表_Excel!B"&amp;MATCH(AR8,数出表_Excel!$A:$A,0)-1&amp;":U"&amp;MATCH(AR8,数出表_Excel!$A:$A,0)-1&amp;""),0)+1,""))</f>
        <v>#N/A</v>
      </c>
      <c r="AN51" s="62" t="str">
        <f t="array" aca="1" ref="AN51" ca="1">IF(AN8=AG50,"",IFERROR(IF(OR(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"3"),"*配膳*"),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"3"),"*カレー*"),
COUNTIF(AN8,"*合計*")),"",
IF(IFERROR(INDIRECT("数出表_Excel!"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"3"),0)=0,"",
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"3"),""))),""))</f>
        <v/>
      </c>
      <c r="AO51" s="80"/>
      <c r="AP51" s="86" t="str">
        <f t="array" aca="1" ref="AP51" ca="1">IF(AQ51&lt;&gt;"","",
IF(COUNTIF(AN50,"*雙葉*"),"",
IF(AN50&lt;&gt;"",
IF(
(COLUMN(INDIRECT("数出表_Excel!B" &amp; (MATCH(AR8,数出表_Excel!$A:$A,0)-1))) - 1 +
MATCH(TRUE, ISNUMBER(--INDIRECT("数出表_Excel!B" &amp; (MATCH(AR8,数出表_Excel!$A:$A,0)-1) &amp; ":U" &amp; (MATCH(AR8,数出表_Excel!$A:$A,0)-1))), 0)+1
+MATCH(TRUE,INDIRECT("'数出表_Excel'!"&amp;AM50&amp;MATCH(AR8,数出表_Excel!$A:$A,0)-1&amp;":AL"&amp;MATCH(AR8,数出表_Excel!$A:$A,0)-1&amp;"")&lt;&gt;"",0))&gt;12,"",
IFERROR(
INDEX(INDIRECT("数出表_Excel!$"&amp;AM50&amp;"4:$AL4"),
 1,
MATCH(TRUE,INDIRECT("'数出表_Excel'!"&amp;AM50&amp;MATCH(AR8,数出表_Excel!$A:$A,0)-1&amp;":AL"&amp;MATCH(AR8,数出表_Excel!$A:$A,0)-1&amp;"")&lt;&gt;"",0)
),
 "")
&amp;IFERROR(
INDEX(INDIRECT("数出表_Excel!$"&amp;AM50&amp;"5:$AL5"),
 1,
MATCH(TRUE,INDIRECT("'数出表_Excel'!"&amp;AM50&amp;MATCH(AR8,数出表_Excel!$A:$A,0)-1&amp;":AL"&amp;MATCH(AR8,数出表_Excel!$A:$A,0)-1&amp;"")&lt;&gt;"",0)),
 "")),"")))</f>
        <v/>
      </c>
      <c r="AQ51" s="87" t="str">
        <f t="array" aca="1" ref="AQ51" ca="1">IF(AN51&lt;&gt;"",
IF(COUNTIF(AN50,"*雙葉*"),
IF(ROUND(
IF(AQ56&lt;&gt;"",(AN53-AQ56),AN53)
/IF(COUNTIF(AN51,"*キャラ*"),
VLOOKUP("*キャラ*",商品マスタ一覧!$D:$J,7,FALSE),
IF(COUNTIF(AN51,"*赤*"),
VLOOKUP("*赤*",商品マスタ一覧!$D:$J,7,FALSE),
VLOOKUP(AN51,商品マスタ一覧!$D:$J,7,FALSE))),0)&lt;=0,1,
ROUND(
IF(AQ56&lt;&gt;"",(AN53-AQ56),AN53)
/IF(COUNTIF(AN51,"*キャラ*"),
VLOOKUP("*キャラ*",商品マスタ一覧!$D:$J,7,FALSE),
IF(COUNTIF(AN51,"*赤*"),
VLOOKUP("*赤*",商品マスタ一覧!$D:$J,7,FALSE),
VLOOKUP(AN51,商品マスタ一覧!$D:$J,7,FALSE))),0)),
IF(MATCH(TRUE,
ISNUMBER(--INDIRECT("'数出表_Excel（アレルギー入力）'!B"&amp;MATCH(AR8,'数出表_Excel（アレルギー入力）'!$A:$A,0)-1&amp;":AL"&amp;MATCH(AR8,'数出表_Excel（アレルギー入力）'!$A:$A,0)-1&amp;"")),0)&gt;10,
IF(AN51&lt;&gt;"",
IF(IF(COUNTIF(AN51,"*キャラ*"),
VLOOKUP("*キャラ*",商品マスタ一覧!$D:$J,7,FALSE),
IF(COUNTIF(AN51,"*赤*"),
VLOOKUP("*赤*",商品マスタ一覧!$D:$J,7,FALSE),
VLOOKUP(AN51,商品マスタ一覧!$D:$J,7,FALSE)))=0,"",
IF(ROUND(
IF(AQ56&lt;&gt;"",(AN53-AQ56),AN53)
/IF(COUNTIF(AN51,"*キャラ*"),
VLOOKUP("*キャラ*",商品マスタ一覧!$D:$J,7,FALSE),
IF(COUNTIF(AN51,"*赤*"),
VLOOKUP("*赤*",商品マスタ一覧!$D:$J,7,FALSE),
VLOOKUP(AN51,商品マスタ一覧!$D:$J,7,FALSE))),0)&lt;=0,1,
ROUND(
IF(AQ56&lt;&gt;"",(AN53-AQ56),AN53)
/IF(COUNTIF(AN51,"*キャラ*"),
VLOOKUP("*キャラ*",商品マスタ一覧!$D:$J,7,FALSE),
IF(COUNTIF(AN51,"*赤*"),
VLOOKUP("*赤*",商品マスタ一覧!$D:$J,7,FALSE),
VLOOKUP(AN51,商品マスタ一覧!$D:$J,7,FALSE))),0))),""),"")),"")</f>
        <v/>
      </c>
      <c r="AR51" s="96" t="str">
        <f ca="1">IF(AQ51&lt;&gt;"",IF(AN53&lt;&gt;"",IF(VALUE(IF(AQ56&lt;&gt;"",AN53-AQ56,AN53))&gt;VALUE(IF(COUNTIF('盛付札（関数）'!AN51,"*キャラ*"),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
"+"&amp;IF(AQ56&lt;&gt;"",AN53-AQ56,AN53)-IF(COUNTIF('盛付札（関数）'!AN51,"*キャラ*"),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VLOOKUP('盛付札（関数）'!AN51,商品マスタ一覧!$D:$J,7,FALSE)))*AQ51,
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VLOOKUP('盛付札（関数）'!AN51,商品マスタ一覧!$D:$J,7,FALSE)))*AQ51),""),"")</f>
        <v/>
      </c>
      <c r="AS51" s="80"/>
      <c r="AT51" s="80"/>
      <c r="AU51" s="85" t="e">
        <f t="array" aca="1" ref="AU51" ca="1">IF(AU10&lt;&gt;100,
IF(AV53&lt;&gt;"",MATCH(AV53,INDIRECT("数出表_Excel!B"&amp;MATCH(AZ8,数出表_Excel!$A:$A,0)-1&amp;":U"&amp;MATCH(AZ8,数出表_Excel!$A:$A,0)-1&amp;""),0)+1,""),
IF(AV53&lt;&gt;"",
MATCH(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INDIRECT("数出表_Excel!B"&amp;MATCH(AZ8,数出表_Excel!$A:$A,0)-1&amp;":U"&amp;MATCH(AZ8,数出表_Excel!$A:$A,0)-1&amp;""),0)+1,""))</f>
        <v>#N/A</v>
      </c>
      <c r="AV51" s="62" t="str">
        <f t="array" aca="1" ref="AV51" ca="1">IF(AV8=BC43,"",IFERROR(IF(OR(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"3"),"*配膳*"),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"3"),"*カレー*"),
COUNTIF(AV8,"*合計*")),"",
IF(IFERROR(INDIRECT("数出表_Excel!"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"3"),0)=0,"",
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"3"),""))),""))</f>
        <v/>
      </c>
      <c r="AW51" s="80"/>
      <c r="AX51" s="86" t="str">
        <f t="array" aca="1" ref="AX51" ca="1">IF(AY51&lt;&gt;"","",
IF(COUNTIF(AV50,"*雙葉*"),"",
IF(AV50&lt;&gt;"",
IF(
(COLUMN(INDIRECT("数出表_Excel!B" &amp; (MATCH(AZ8,数出表_Excel!$A:$A,0)-1))) - 1 +
MATCH(TRUE, ISNUMBER(--INDIRECT("数出表_Excel!B" &amp; (MATCH(AZ8,数出表_Excel!$A:$A,0)-1) &amp; ":U" &amp; (MATCH(AZ8,数出表_Excel!$A:$A,0)-1))), 0)+1
+MATCH(TRUE,INDIRECT("'数出表_Excel'!"&amp;AU50&amp;MATCH(AZ8,数出表_Excel!$A:$A,0)-1&amp;":AL"&amp;MATCH(AZ8,数出表_Excel!$A:$A,0)-1&amp;"")&lt;&gt;"",0))&gt;12,"",
IFERROR(
INDEX(INDIRECT("数出表_Excel!$"&amp;AU50&amp;"4:$AL4"),
 1,
MATCH(TRUE,INDIRECT("'数出表_Excel'!"&amp;AU50&amp;MATCH(AZ8,数出表_Excel!$A:$A,0)-1&amp;":AL"&amp;MATCH(AZ8,数出表_Excel!$A:$A,0)-1&amp;"")&lt;&gt;"",0)
),
 "")
&amp;IFERROR(
INDEX(INDIRECT("数出表_Excel!$"&amp;AU50&amp;"5:$AL5"),
 1,
MATCH(TRUE,INDIRECT("'数出表_Excel'!"&amp;AU50&amp;MATCH(AZ8,数出表_Excel!$A:$A,0)-1&amp;":AL"&amp;MATCH(AZ8,数出表_Excel!$A:$A,0)-1&amp;"")&lt;&gt;"",0)),
 "")),"")))</f>
        <v/>
      </c>
      <c r="AY51" s="87" t="str">
        <f t="array" aca="1" ref="AY51" ca="1">IF(AV51&lt;&gt;"",
IF(COUNTIF(AV50,"*雙葉*"),
IF(ROUND(
IF(AY56&lt;&gt;"",(AV53-AY56),AV53)
/IF(COUNTIF(AV51,"*キャラ*"),
VLOOKUP("*キャラ*",商品マスタ一覧!$D:$J,7,FALSE),
IF(COUNTIF(AV51,"*赤*"),
VLOOKUP("*赤*",商品マスタ一覧!$D:$J,7,FALSE),
VLOOKUP(AV51,商品マスタ一覧!$D:$J,7,FALSE))),0)&lt;=0,1,
ROUND(
IF(AY56&lt;&gt;"",(AV53-AY56),AV53)
/IF(COUNTIF(AV51,"*キャラ*"),
VLOOKUP("*キャラ*",商品マスタ一覧!$D:$J,7,FALSE),
IF(COUNTIF(AV51,"*赤*"),
VLOOKUP("*赤*",商品マスタ一覧!$D:$J,7,FALSE),
VLOOKUP(AV51,商品マスタ一覧!$D:$J,7,FALSE))),0)),
IF(MATCH(TRUE,
ISNUMBER(--INDIRECT("'数出表_Excel（アレルギー入力）'!B"&amp;MATCH(AZ8,'数出表_Excel（アレルギー入力）'!$A:$A,0)-1&amp;":AL"&amp;MATCH(AZ8,'数出表_Excel（アレルギー入力）'!$A:$A,0)-1&amp;"")),0)&gt;10,
IF(AV51&lt;&gt;"",
IF(IF(COUNTIF(AV51,"*キャラ*"),
VLOOKUP("*キャラ*",商品マスタ一覧!$D:$J,7,FALSE),
IF(COUNTIF(AV51,"*赤*"),
VLOOKUP("*赤*",商品マスタ一覧!$D:$J,7,FALSE),
VLOOKUP(AV51,商品マスタ一覧!$D:$J,7,FALSE)))=0,"",
IF(ROUND(
IF(AY56&lt;&gt;"",(AV53-AY56),AV53)
/IF(COUNTIF(AV51,"*キャラ*"),
VLOOKUP("*キャラ*",商品マスタ一覧!$D:$J,7,FALSE),
IF(COUNTIF(AV51,"*赤*"),
VLOOKUP("*赤*",商品マスタ一覧!$D:$J,7,FALSE),
VLOOKUP(AV51,商品マスタ一覧!$D:$J,7,FALSE))),0)&lt;=0,1,
ROUND(
IF(AY56&lt;&gt;"",(AV53-AY56),AV53)
/IF(COUNTIF(AV51,"*キャラ*"),
VLOOKUP("*キャラ*",商品マスタ一覧!$D:$J,7,FALSE),
IF(COUNTIF(AV51,"*赤*"),
VLOOKUP("*赤*",商品マスタ一覧!$D:$J,7,FALSE),
VLOOKUP(AV51,商品マスタ一覧!$D:$J,7,FALSE))),0))),""),"")),"")</f>
        <v/>
      </c>
      <c r="AZ51" s="100" t="str">
        <f ca="1">IF(AY51&lt;&gt;"",IF(AV53&lt;&gt;"",IF(VALUE(IF(AY56&lt;&gt;"",AV53-AY56,AV53))&gt;VALUE(IF(COUNTIF('盛付札（関数）'!AV51,"*キャラ*"),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
"+"&amp;IF(AY56&lt;&gt;"",AV53-AY56,AV53)-IF(COUNTIF('盛付札（関数）'!AV51,"*キャラ*"),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VLOOKUP('盛付札（関数）'!AV51,商品マスタ一覧!$D:$J,7,FALSE)))*AY51,
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VLOOKUP('盛付札（関数）'!AV51,商品マスタ一覧!$D:$J,7,FALSE)))*AY51),""),"")</f>
        <v/>
      </c>
      <c r="BA51" s="80"/>
      <c r="BB51" s="85" t="e">
        <f t="array" aca="1" ref="BB51" ca="1">IF(BB10&lt;&gt;100,
IF(BC53&lt;&gt;"",MATCH(BC53,INDIRECT("数出表_Excel!B"&amp;MATCH(BG8,数出表_Excel!$A:$A,0)-1&amp;":U"&amp;MATCH(BG8,数出表_Excel!$A:$A,0)-1&amp;""),0)+1,""),
IF(BC53&lt;&gt;"",
MATCH(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INDIRECT("数出表_Excel!B"&amp;MATCH(BG8,数出表_Excel!$A:$A,0)-1&amp;":U"&amp;MATCH(BG8,数出表_Excel!$A:$A,0)-1&amp;""),0)+1,""))</f>
        <v>#N/A</v>
      </c>
      <c r="BC51" s="62" t="str">
        <f t="array" aca="1" ref="BC51" ca="1">IF(BC8=AV50,"",IFERROR(IF(OR(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"3"),"*配膳*"),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"3"),"*カレー*"),
COUNTIF(BC8,"*合計*")),"",
IF(IFERROR(INDIRECT("数出表_Excel!"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"3"),0)=0,"",
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"3"),""))),""))</f>
        <v/>
      </c>
      <c r="BD51" s="80"/>
      <c r="BE51" s="86" t="str">
        <f t="array" aca="1" ref="BE51" ca="1">IF(BF51&lt;&gt;"","",
IF(COUNTIF(BC50,"*雙葉*"),"",
IF(BC50&lt;&gt;"",
IF(
(COLUMN(INDIRECT("数出表_Excel!B" &amp; (MATCH(BG8,数出表_Excel!$A:$A,0)-1))) - 1 +
MATCH(TRUE, ISNUMBER(--INDIRECT("数出表_Excel!B" &amp; (MATCH(BG8,数出表_Excel!$A:$A,0)-1) &amp; ":U" &amp; (MATCH(BG8,数出表_Excel!$A:$A,0)-1))), 0)+1
+MATCH(TRUE,INDIRECT("'数出表_Excel'!"&amp;BB50&amp;MATCH(BG8,数出表_Excel!$A:$A,0)-1&amp;":AL"&amp;MATCH(BG8,数出表_Excel!$A:$A,0)-1&amp;"")&lt;&gt;"",0))&gt;12,"",
IFERROR(
INDEX(INDIRECT("数出表_Excel!$"&amp;BB50&amp;"4:$AL4"),
 1,
MATCH(TRUE,INDIRECT("'数出表_Excel'!"&amp;BB50&amp;MATCH(BG8,数出表_Excel!$A:$A,0)-1&amp;":AL"&amp;MATCH(BG8,数出表_Excel!$A:$A,0)-1&amp;"")&lt;&gt;"",0)
),
 "")
&amp;IFERROR(
INDEX(INDIRECT("数出表_Excel!$"&amp;BB50&amp;"5:$AL5"),
 1,
MATCH(TRUE,INDIRECT("'数出表_Excel'!"&amp;BB50&amp;MATCH(BG8,数出表_Excel!$A:$A,0)-1&amp;":AL"&amp;MATCH(BG8,数出表_Excel!$A:$A,0)-1&amp;"")&lt;&gt;"",0)),
 "")),"")))</f>
        <v/>
      </c>
      <c r="BF51" s="87" t="str">
        <f t="array" aca="1" ref="BF51" ca="1">IF(BC51&lt;&gt;"",
IF(COUNTIF(BC50,"*雙葉*"),
IF(ROUND(
IF(BF56&lt;&gt;"",(BC53-BF56),BC53)
/IF(COUNTIF(BC51,"*キャラ*"),
VLOOKUP("*キャラ*",商品マスタ一覧!$D:$J,7,FALSE),
IF(COUNTIF(BC51,"*赤*"),
VLOOKUP("*赤*",商品マスタ一覧!$D:$J,7,FALSE),
VLOOKUP(BC51,商品マスタ一覧!$D:$J,7,FALSE))),0)&lt;=0,1,
ROUND(
IF(BF56&lt;&gt;"",(BC53-BF56),BC53)
/IF(COUNTIF(BC51,"*キャラ*"),
VLOOKUP("*キャラ*",商品マスタ一覧!$D:$J,7,FALSE),
IF(COUNTIF(BC51,"*赤*"),
VLOOKUP("*赤*",商品マスタ一覧!$D:$J,7,FALSE),
VLOOKUP(BC51,商品マスタ一覧!$D:$J,7,FALSE))),0)),
IF(MATCH(TRUE,
ISNUMBER(--INDIRECT("'数出表_Excel（アレルギー入力）'!B"&amp;MATCH(BG8,'数出表_Excel（アレルギー入力）'!$A:$A,0)-1&amp;":AL"&amp;MATCH(BG8,'数出表_Excel（アレルギー入力）'!$A:$A,0)-1&amp;"")),0)&gt;10,
IF(BC51&lt;&gt;"",
IF(IF(COUNTIF(BC51,"*キャラ*"),
VLOOKUP("*キャラ*",商品マスタ一覧!$D:$J,7,FALSE),
IF(COUNTIF(BC51,"*赤*"),
VLOOKUP("*赤*",商品マスタ一覧!$D:$J,7,FALSE),
VLOOKUP(BC51,商品マスタ一覧!$D:$J,7,FALSE)))=0,"",
IF(ROUND(
IF(BF56&lt;&gt;"",(BC53-BF56),BC53)
/IF(COUNTIF(BC51,"*キャラ*"),
VLOOKUP("*キャラ*",商品マスタ一覧!$D:$J,7,FALSE),
IF(COUNTIF(BC51,"*赤*"),
VLOOKUP("*赤*",商品マスタ一覧!$D:$J,7,FALSE),
VLOOKUP(BC51,商品マスタ一覧!$D:$J,7,FALSE))),0)&lt;=0,1,
ROUND(
IF(BF56&lt;&gt;"",(BC53-BF56),BC53)
/IF(COUNTIF(BC51,"*キャラ*"),
VLOOKUP("*キャラ*",商品マスタ一覧!$D:$J,7,FALSE),
IF(COUNTIF(BC51,"*赤*"),
VLOOKUP("*赤*",商品マスタ一覧!$D:$J,7,FALSE),
VLOOKUP(BC51,商品マスタ一覧!$D:$J,7,FALSE))),0))),""),"")),"")</f>
        <v/>
      </c>
      <c r="BG51" s="96" t="str">
        <f ca="1">IF(BF51&lt;&gt;"",IF(BC53&lt;&gt;"",IF(VALUE(IF(BF56&lt;&gt;"",BC53-BF56,BC53))&gt;VALUE(IF(COUNTIF('盛付札（関数）'!BC51,"*キャラ*"),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
"+"&amp;IF(BF56&lt;&gt;"",BC53-BF56,BC53)-IF(COUNTIF('盛付札（関数）'!BC51,"*キャラ*"),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VLOOKUP('盛付札（関数）'!BC51,商品マスタ一覧!$D:$J,7,FALSE)))*BF51,
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VLOOKUP('盛付札（関数）'!BC51,商品マスタ一覧!$D:$J,7,FALSE)))*BF51),""),"")</f>
        <v/>
      </c>
      <c r="BH51" s="80"/>
      <c r="BI51" s="80"/>
      <c r="BJ51" s="85" t="e">
        <f t="array" aca="1" ref="BJ51" ca="1">IF(BJ10&lt;&gt;100,
IF(BK53&lt;&gt;"",MATCH(BK53,INDIRECT("数出表_Excel!B"&amp;MATCH(BO8,数出表_Excel!$A:$A,0)-1&amp;":U"&amp;MATCH(BO8,数出表_Excel!$A:$A,0)-1&amp;""),0)+1,""),
IF(BK53&lt;&gt;"",
MATCH(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INDIRECT("数出表_Excel!B"&amp;MATCH(BO8,数出表_Excel!$A:$A,0)-1&amp;":U"&amp;MATCH(BO8,数出表_Excel!$A:$A,0)-1&amp;""),0)+1,""))</f>
        <v>#N/A</v>
      </c>
      <c r="BK51" s="62" t="str">
        <f t="array" aca="1" ref="BK51" ca="1">IF(BK8=BR43,"",IFERROR(IF(OR(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"3"),"*配膳*"),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"3"),"*カレー*"),
COUNTIF(BK8,"*合計*")),"",
IF(IFERROR(INDIRECT("数出表_Excel!"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"3"),0)=0,"",
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"3"),""))),""))</f>
        <v/>
      </c>
      <c r="BL51" s="80"/>
      <c r="BM51" s="86" t="str">
        <f t="array" aca="1" ref="BM51" ca="1">IF(BN51&lt;&gt;"","",
IF(COUNTIF(BK50,"*雙葉*"),"",
IF(BK50&lt;&gt;"",
IF(
(COLUMN(INDIRECT("数出表_Excel!B" &amp; (MATCH(BO8,数出表_Excel!$A:$A,0)-1))) - 1 +
MATCH(TRUE, ISNUMBER(--INDIRECT("数出表_Excel!B" &amp; (MATCH(BO8,数出表_Excel!$A:$A,0)-1) &amp; ":U" &amp; (MATCH(BO8,数出表_Excel!$A:$A,0)-1))), 0)+1
+MATCH(TRUE,INDIRECT("'数出表_Excel'!"&amp;BJ50&amp;MATCH(BO8,数出表_Excel!$A:$A,0)-1&amp;":AL"&amp;MATCH(BO8,数出表_Excel!$A:$A,0)-1&amp;"")&lt;&gt;"",0))&gt;12,"",
IFERROR(
INDEX(INDIRECT("数出表_Excel!$"&amp;BJ50&amp;"4:$AL4"),
 1,
MATCH(TRUE,INDIRECT("'数出表_Excel'!"&amp;BJ50&amp;MATCH(BO8,数出表_Excel!$A:$A,0)-1&amp;":AL"&amp;MATCH(BO8,数出表_Excel!$A:$A,0)-1&amp;"")&lt;&gt;"",0)
),
 "")
&amp;IFERROR(
INDEX(INDIRECT("数出表_Excel!$"&amp;BJ50&amp;"5:$AL5"),
 1,
MATCH(TRUE,INDIRECT("'数出表_Excel'!"&amp;BJ50&amp;MATCH(BO8,数出表_Excel!$A:$A,0)-1&amp;":AL"&amp;MATCH(BO8,数出表_Excel!$A:$A,0)-1&amp;"")&lt;&gt;"",0)),
 "")),"")))</f>
        <v/>
      </c>
      <c r="BN51" s="87" t="str">
        <f t="array" aca="1" ref="BN51" ca="1">IF(BK51&lt;&gt;"",
IF(COUNTIF(BK50,"*雙葉*"),
IF(ROUND(
IF(BN56&lt;&gt;"",(BK53-BN56),BK53)
/IF(COUNTIF(BK51,"*キャラ*"),
VLOOKUP("*キャラ*",商品マスタ一覧!$D:$J,7,FALSE),
IF(COUNTIF(BK51,"*赤*"),
VLOOKUP("*赤*",商品マスタ一覧!$D:$J,7,FALSE),
VLOOKUP(BK51,商品マスタ一覧!$D:$J,7,FALSE))),0)&lt;=0,1,
ROUND(
IF(BN56&lt;&gt;"",(BK53-BN56),BK53)
/IF(COUNTIF(BK51,"*キャラ*"),
VLOOKUP("*キャラ*",商品マスタ一覧!$D:$J,7,FALSE),
IF(COUNTIF(BK51,"*赤*"),
VLOOKUP("*赤*",商品マスタ一覧!$D:$J,7,FALSE),
VLOOKUP(BK51,商品マスタ一覧!$D:$J,7,FALSE))),0)),
IF(MATCH(TRUE,
ISNUMBER(--INDIRECT("'数出表_Excel（アレルギー入力）'!B"&amp;MATCH(BO8,'数出表_Excel（アレルギー入力）'!$A:$A,0)-1&amp;":AL"&amp;MATCH(BO8,'数出表_Excel（アレルギー入力）'!$A:$A,0)-1&amp;"")),0)&gt;10,
IF(BK51&lt;&gt;"",
IF(IF(COUNTIF(BK51,"*キャラ*"),
VLOOKUP("*キャラ*",商品マスタ一覧!$D:$J,7,FALSE),
IF(COUNTIF(BK51,"*赤*"),
VLOOKUP("*赤*",商品マスタ一覧!$D:$J,7,FALSE),
VLOOKUP(BK51,商品マスタ一覧!$D:$J,7,FALSE)))=0,"",
IF(ROUND(
IF(BN56&lt;&gt;"",(BK53-BN56),BK53)
/IF(COUNTIF(BK51,"*キャラ*"),
VLOOKUP("*キャラ*",商品マスタ一覧!$D:$J,7,FALSE),
IF(COUNTIF(BK51,"*赤*"),
VLOOKUP("*赤*",商品マスタ一覧!$D:$J,7,FALSE),
VLOOKUP(BK51,商品マスタ一覧!$D:$J,7,FALSE))),0)&lt;=0,1,
ROUND(
IF(BN56&lt;&gt;"",(BK53-BN56),BK53)
/IF(COUNTIF(BK51,"*キャラ*"),
VLOOKUP("*キャラ*",商品マスタ一覧!$D:$J,7,FALSE),
IF(COUNTIF(BK51,"*赤*"),
VLOOKUP("*赤*",商品マスタ一覧!$D:$J,7,FALSE),
VLOOKUP(BK51,商品マスタ一覧!$D:$J,7,FALSE))),0))),""),"")),"")</f>
        <v/>
      </c>
      <c r="BO51" s="100" t="str">
        <f ca="1">IF(BN51&lt;&gt;"",IF(BK53&lt;&gt;"",IF(VALUE(IF(BN56&lt;&gt;"",BK53-BN56,BK53))&gt;VALUE(IF(COUNTIF('盛付札（関数）'!BK51,"*キャラ*"),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
"+"&amp;IF(BN56&lt;&gt;"",BK53-BN56,BK53)-IF(COUNTIF('盛付札（関数）'!BK51,"*キャラ*"),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VLOOKUP('盛付札（関数）'!BK51,商品マスタ一覧!$D:$J,7,FALSE)))*BN51,
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VLOOKUP('盛付札（関数）'!BK51,商品マスタ一覧!$D:$J,7,FALSE)))*BN51),""),"")</f>
        <v/>
      </c>
      <c r="BP51" s="80"/>
      <c r="BQ51" s="85" t="e">
        <f t="array" aca="1" ref="BQ51" ca="1">IF(BQ10&lt;&gt;100,
IF(BR53&lt;&gt;"",MATCH(BR53,INDIRECT("数出表_Excel!B"&amp;MATCH(BV8,数出表_Excel!$A:$A,0)-1&amp;":U"&amp;MATCH(BV8,数出表_Excel!$A:$A,0)-1&amp;""),0)+1,""),
IF(BR53&lt;&gt;"",
MATCH(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INDIRECT("数出表_Excel!B"&amp;MATCH(BV8,数出表_Excel!$A:$A,0)-1&amp;":U"&amp;MATCH(BV8,数出表_Excel!$A:$A,0)-1&amp;""),0)+1,""))</f>
        <v>#N/A</v>
      </c>
      <c r="BR51" s="62" t="str">
        <f t="array" aca="1" ref="BR51" ca="1">IF(BR8=BK50,"",IFERROR(IF(OR(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"3"),"*配膳*"),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"3"),"*カレー*"),
COUNTIF(BR8,"*合計*")),"",
IF(IFERROR(INDIRECT("数出表_Excel!"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"3"),0)=0,"",
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"3"),""))),""))</f>
        <v/>
      </c>
      <c r="BS51" s="80"/>
      <c r="BT51" s="86" t="str">
        <f t="array" aca="1" ref="BT51" ca="1">IF(BU51&lt;&gt;"","",
IF(COUNTIF(BR50,"*雙葉*"),"",
IF(BR50&lt;&gt;"",
IF(
(COLUMN(INDIRECT("数出表_Excel!B" &amp; (MATCH(BV8,数出表_Excel!$A:$A,0)-1))) - 1 +
MATCH(TRUE, ISNUMBER(--INDIRECT("数出表_Excel!B" &amp; (MATCH(BV8,数出表_Excel!$A:$A,0)-1) &amp; ":U" &amp; (MATCH(BV8,数出表_Excel!$A:$A,0)-1))), 0)+1
+MATCH(TRUE,INDIRECT("'数出表_Excel'!"&amp;BQ50&amp;MATCH(BV8,数出表_Excel!$A:$A,0)-1&amp;":AL"&amp;MATCH(BV8,数出表_Excel!$A:$A,0)-1&amp;"")&lt;&gt;"",0))&gt;12,"",
IFERROR(
INDEX(INDIRECT("数出表_Excel!$"&amp;BQ50&amp;"4:$AL4"),
 1,
MATCH(TRUE,INDIRECT("'数出表_Excel'!"&amp;BQ50&amp;MATCH(BV8,数出表_Excel!$A:$A,0)-1&amp;":AL"&amp;MATCH(BV8,数出表_Excel!$A:$A,0)-1&amp;"")&lt;&gt;"",0)
),
 "")
&amp;IFERROR(
INDEX(INDIRECT("数出表_Excel!$"&amp;BQ50&amp;"5:$AL5"),
 1,
MATCH(TRUE,INDIRECT("'数出表_Excel'!"&amp;BQ50&amp;MATCH(BV8,数出表_Excel!$A:$A,0)-1&amp;":AL"&amp;MATCH(BV8,数出表_Excel!$A:$A,0)-1&amp;"")&lt;&gt;"",0)),
 "")),"")))</f>
        <v/>
      </c>
      <c r="BU51" s="87" t="str">
        <f t="array" aca="1" ref="BU51" ca="1">IF(BR51&lt;&gt;"",
IF(COUNTIF(BR50,"*雙葉*"),
IF(ROUND(
IF(BU56&lt;&gt;"",(BR53-BU56),BR53)
/IF(COUNTIF(BR51,"*キャラ*"),
VLOOKUP("*キャラ*",商品マスタ一覧!$D:$J,7,FALSE),
IF(COUNTIF(BR51,"*赤*"),
VLOOKUP("*赤*",商品マスタ一覧!$D:$J,7,FALSE),
VLOOKUP(BR51,商品マスタ一覧!$D:$J,7,FALSE))),0)&lt;=0,1,
ROUND(
IF(BU56&lt;&gt;"",(BR53-BU56),BR53)
/IF(COUNTIF(BR51,"*キャラ*"),
VLOOKUP("*キャラ*",商品マスタ一覧!$D:$J,7,FALSE),
IF(COUNTIF(BR51,"*赤*"),
VLOOKUP("*赤*",商品マスタ一覧!$D:$J,7,FALSE),
VLOOKUP(BR51,商品マスタ一覧!$D:$J,7,FALSE))),0)),
IF(MATCH(TRUE,
ISNUMBER(--INDIRECT("'数出表_Excel（アレルギー入力）'!B"&amp;MATCH(BV8,'数出表_Excel（アレルギー入力）'!$A:$A,0)-1&amp;":AL"&amp;MATCH(BV8,'数出表_Excel（アレルギー入力）'!$A:$A,0)-1&amp;"")),0)&gt;10,
IF(BR51&lt;&gt;"",
IF(IF(COUNTIF(BR51,"*キャラ*"),
VLOOKUP("*キャラ*",商品マスタ一覧!$D:$J,7,FALSE),
IF(COUNTIF(BR51,"*赤*"),
VLOOKUP("*赤*",商品マスタ一覧!$D:$J,7,FALSE),
VLOOKUP(BR51,商品マスタ一覧!$D:$J,7,FALSE)))=0,"",
IF(ROUND(
IF(BU56&lt;&gt;"",(BR53-BU56),BR53)
/IF(COUNTIF(BR51,"*キャラ*"),
VLOOKUP("*キャラ*",商品マスタ一覧!$D:$J,7,FALSE),
IF(COUNTIF(BR51,"*赤*"),
VLOOKUP("*赤*",商品マスタ一覧!$D:$J,7,FALSE),
VLOOKUP(BR51,商品マスタ一覧!$D:$J,7,FALSE))),0)&lt;=0,1,
ROUND(
IF(BU56&lt;&gt;"",(BR53-BU56),BR53)
/IF(COUNTIF(BR51,"*キャラ*"),
VLOOKUP("*キャラ*",商品マスタ一覧!$D:$J,7,FALSE),
IF(COUNTIF(BR51,"*赤*"),
VLOOKUP("*赤*",商品マスタ一覧!$D:$J,7,FALSE),
VLOOKUP(BR51,商品マスタ一覧!$D:$J,7,FALSE))),0))),""),"")),"")</f>
        <v/>
      </c>
      <c r="BV51" s="96" t="str">
        <f ca="1">IF(BU51&lt;&gt;"",IF(BR53&lt;&gt;"",IF(VALUE(IF(BU56&lt;&gt;"",BR53-BU56,BR53))&gt;VALUE(IF(COUNTIF('盛付札（関数）'!BR51,"*キャラ*"),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
"+"&amp;IF(BU56&lt;&gt;"",BR53-BU56,BR53)-IF(COUNTIF('盛付札（関数）'!BR51,"*キャラ*"),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VLOOKUP('盛付札（関数）'!BR51,商品マスタ一覧!$D:$J,7,FALSE)))*BU51,
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VLOOKUP('盛付札（関数）'!BR51,商品マスタ一覧!$D:$J,7,FALSE)))*BU51),""),"")</f>
        <v/>
      </c>
      <c r="BW51" s="80"/>
      <c r="BX51" s="80"/>
      <c r="BY51" s="85" t="e">
        <f t="array" aca="1" ref="BY51" ca="1">IF(BY10&lt;&gt;100,
IF(BZ53&lt;&gt;"",MATCH(BZ53,INDIRECT("数出表_Excel!B"&amp;MATCH(CD8,数出表_Excel!$A:$A,0)-1&amp;":U"&amp;MATCH(CD8,数出表_Excel!$A:$A,0)-1&amp;""),0)+1,""),
IF(BZ53&lt;&gt;"",
MATCH(
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""),
INDIRECT("数出表_Excel!B"&amp;MATCH(CD8,数出表_Excel!$A:$A,0)-1&amp;":U"&amp;MATCH(CD8,数出表_Excel!$A:$A,0)-1&amp;""),0)+1,""))</f>
        <v>#N/A</v>
      </c>
      <c r="BZ51" s="62" t="str">
        <f t="array" aca="1" ref="BZ51" ca="1">IF(BZ8=CG43,"",IFERROR(IF(OR(
COUNTIF(INDIRECT("数出表_Excel!"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"3"),"*配膳*"),
COUNTIF(INDIRECT("数出表_Excel!"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"3"),"*カレー*"),
COUNTIF(BZ8,"*合計*")),"",
IF(IFERROR(INDIRECT("数出表_Excel!"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"3"),0)=0,"",
IFERROR(INDIRECT("数出表_Excel!"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"3"),""))),""))</f>
        <v/>
      </c>
      <c r="CA51" s="80"/>
      <c r="CB51" s="86" t="str">
        <f t="array" aca="1" ref="CB51" ca="1">IF(CC51&lt;&gt;"","",
IF(COUNTIF(BZ50,"*雙葉*"),"",
IF(BZ50&lt;&gt;"",
IF(
(COLUMN(INDIRECT("数出表_Excel!B" &amp; (MATCH(CD8,数出表_Excel!$A:$A,0)-1))) - 1 +
MATCH(TRUE, ISNUMBER(--INDIRECT("数出表_Excel!B" &amp; (MATCH(CD8,数出表_Excel!$A:$A,0)-1) &amp; ":U" &amp; (MATCH(CD8,数出表_Excel!$A:$A,0)-1))), 0)+1
+MATCH(TRUE,INDIRECT("'数出表_Excel'!"&amp;BY50&amp;MATCH(CD8,数出表_Excel!$A:$A,0)-1&amp;":AL"&amp;MATCH(CD8,数出表_Excel!$A:$A,0)-1&amp;"")&lt;&gt;"",0))&gt;12,"",
IFERROR(
INDEX(INDIRECT("数出表_Excel!$"&amp;BY50&amp;"4:$AL4"),
 1,
MATCH(TRUE,INDIRECT("'数出表_Excel'!"&amp;BY50&amp;MATCH(CD8,数出表_Excel!$A:$A,0)-1&amp;":AL"&amp;MATCH(CD8,数出表_Excel!$A:$A,0)-1&amp;"")&lt;&gt;"",0)
),
 "")
&amp;IFERROR(
INDEX(INDIRECT("数出表_Excel!$"&amp;BY50&amp;"5:$AL5"),
 1,
MATCH(TRUE,INDIRECT("'数出表_Excel'!"&amp;BY50&amp;MATCH(CD8,数出表_Excel!$A:$A,0)-1&amp;":AL"&amp;MATCH(CD8,数出表_Excel!$A:$A,0)-1&amp;"")&lt;&gt;"",0)),
 "")),"")))</f>
        <v/>
      </c>
      <c r="CC51" s="87" t="str">
        <f t="array" aca="1" ref="CC51" ca="1">IF(BZ51&lt;&gt;"",
IF(COUNTIF(BZ50,"*雙葉*"),
IF(ROUND(
IF(CC56&lt;&gt;"",(BZ53-CC56),BZ53)
/IF(COUNTIF(BZ51,"*キャラ*"),
VLOOKUP("*キャラ*",商品マスタ一覧!$D:$J,7,FALSE),
IF(COUNTIF(BZ51,"*赤*"),
VLOOKUP("*赤*",商品マスタ一覧!$D:$J,7,FALSE),
VLOOKUP(BZ51,商品マスタ一覧!$D:$J,7,FALSE))),0)&lt;=0,1,
ROUND(
IF(CC56&lt;&gt;"",(BZ53-CC56),BZ53)
/IF(COUNTIF(BZ51,"*キャラ*"),
VLOOKUP("*キャラ*",商品マスタ一覧!$D:$J,7,FALSE),
IF(COUNTIF(BZ51,"*赤*"),
VLOOKUP("*赤*",商品マスタ一覧!$D:$J,7,FALSE),
VLOOKUP(BZ51,商品マスタ一覧!$D:$J,7,FALSE))),0)),
IF(MATCH(TRUE,
ISNUMBER(--INDIRECT("'数出表_Excel（アレルギー入力）'!B"&amp;MATCH(CD8,'数出表_Excel（アレルギー入力）'!$A:$A,0)-1&amp;":AL"&amp;MATCH(CD8,'数出表_Excel（アレルギー入力）'!$A:$A,0)-1&amp;"")),0)&gt;10,
IF(BZ51&lt;&gt;"",
IF(IF(COUNTIF(BZ51,"*キャラ*"),
VLOOKUP("*キャラ*",商品マスタ一覧!$D:$J,7,FALSE),
IF(COUNTIF(BZ51,"*赤*"),
VLOOKUP("*赤*",商品マスタ一覧!$D:$J,7,FALSE),
VLOOKUP(BZ51,商品マスタ一覧!$D:$J,7,FALSE)))=0,"",
IF(ROUND(
IF(CC56&lt;&gt;"",(BZ53-CC56),BZ53)
/IF(COUNTIF(BZ51,"*キャラ*"),
VLOOKUP("*キャラ*",商品マスタ一覧!$D:$J,7,FALSE),
IF(COUNTIF(BZ51,"*赤*"),
VLOOKUP("*赤*",商品マスタ一覧!$D:$J,7,FALSE),
VLOOKUP(BZ51,商品マスタ一覧!$D:$J,7,FALSE))),0)&lt;=0,1,
ROUND(
IF(CC56&lt;&gt;"",(BZ53-CC56),BZ53)
/IF(COUNTIF(BZ51,"*キャラ*"),
VLOOKUP("*キャラ*",商品マスタ一覧!$D:$J,7,FALSE),
IF(COUNTIF(BZ51,"*赤*"),
VLOOKUP("*赤*",商品マスタ一覧!$D:$J,7,FALSE),
VLOOKUP(BZ51,商品マスタ一覧!$D:$J,7,FALSE))),0))),""),"")),"")</f>
        <v/>
      </c>
      <c r="CD51" s="100" t="str">
        <f ca="1">IF(CC51&lt;&gt;"",IF(BZ53&lt;&gt;"",IF(VALUE(IF(CC56&lt;&gt;"",BZ53-CC56,BZ53))&gt;VALUE(IF(COUNTIF('盛付札（関数）'!BZ51,"*キャラ*"),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VLOOKUP('盛付札（関数）'!BZ51,商品マスタ一覧!$D:$J,7,FALSE)))*CC51),
"+"&amp;IF(CC56&lt;&gt;"",BZ53-CC56,BZ53)-IF(COUNTIF('盛付札（関数）'!BZ51,"*キャラ*"),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VLOOKUP('盛付札（関数）'!BZ51,商品マスタ一覧!$D:$J,7,FALSE)))*CC51,
IF(CC56&lt;&gt;"",BZ53-CC56,BZ53)-IF(COUNTIF('盛付札（関数）'!BZ51,"*キャラ*"),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VLOOKUP('盛付札（関数）'!BZ51,商品マスタ一覧!$D:$J,7,FALSE)))*CC51),""),"")</f>
        <v/>
      </c>
      <c r="CE51" s="80"/>
      <c r="CF51" s="85" t="e">
        <f t="array" aca="1" ref="CF51" ca="1">IF(CF10&lt;&gt;100,
IF(CG53&lt;&gt;"",MATCH(CG53,INDIRECT("数出表_Excel!B"&amp;MATCH(CK8,数出表_Excel!$A:$A,0)-1&amp;":U"&amp;MATCH(CK8,数出表_Excel!$A:$A,0)-1&amp;""),0)+1,""),
IF(CG53&lt;&gt;"",
MATCH(
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""),
INDIRECT("数出表_Excel!B"&amp;MATCH(CK8,数出表_Excel!$A:$A,0)-1&amp;":U"&amp;MATCH(CK8,数出表_Excel!$A:$A,0)-1&amp;""),0)+1,""))</f>
        <v>#N/A</v>
      </c>
      <c r="CG51" s="62" t="str">
        <f t="array" aca="1" ref="CG51" ca="1">IF(CG8=BZ50,"",IFERROR(IF(OR(
COUNTIF(INDIRECT("数出表_Excel!"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"3"),"*配膳*"),
COUNTIF(INDIRECT("数出表_Excel!"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"3"),"*カレー*"),
COUNTIF(CG8,"*合計*")),"",
IF(IFERROR(INDIRECT("数出表_Excel!"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"3"),0)=0,"",
IFERROR(INDIRECT("数出表_Excel!"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"3"),""))),""))</f>
        <v/>
      </c>
      <c r="CH51" s="80"/>
      <c r="CI51" s="86" t="str">
        <f t="array" aca="1" ref="CI51" ca="1">IF(CJ51&lt;&gt;"","",
IF(COUNTIF(CG50,"*雙葉*"),"",
IF(CG50&lt;&gt;"",
IF(
(COLUMN(INDIRECT("数出表_Excel!B" &amp; (MATCH(CK8,数出表_Excel!$A:$A,0)-1))) - 1 +
MATCH(TRUE, ISNUMBER(--INDIRECT("数出表_Excel!B" &amp; (MATCH(CK8,数出表_Excel!$A:$A,0)-1) &amp; ":U" &amp; (MATCH(CK8,数出表_Excel!$A:$A,0)-1))), 0)+1
+MATCH(TRUE,INDIRECT("'数出表_Excel'!"&amp;CF50&amp;MATCH(CK8,数出表_Excel!$A:$A,0)-1&amp;":AL"&amp;MATCH(CK8,数出表_Excel!$A:$A,0)-1&amp;"")&lt;&gt;"",0))&gt;12,"",
IFERROR(
INDEX(INDIRECT("数出表_Excel!$"&amp;CF50&amp;"4:$AL4"),
 1,
MATCH(TRUE,INDIRECT("'数出表_Excel'!"&amp;CF50&amp;MATCH(CK8,数出表_Excel!$A:$A,0)-1&amp;":AL"&amp;MATCH(CK8,数出表_Excel!$A:$A,0)-1&amp;"")&lt;&gt;"",0)
),
 "")
&amp;IFERROR(
INDEX(INDIRECT("数出表_Excel!$"&amp;CF50&amp;"5:$AL5"),
 1,
MATCH(TRUE,INDIRECT("'数出表_Excel'!"&amp;CF50&amp;MATCH(CK8,数出表_Excel!$A:$A,0)-1&amp;":AL"&amp;MATCH(CK8,数出表_Excel!$A:$A,0)-1&amp;"")&lt;&gt;"",0)),
 "")),"")))</f>
        <v/>
      </c>
      <c r="CJ51" s="87" t="str">
        <f t="array" aca="1" ref="CJ51" ca="1">IF(CG51&lt;&gt;"",
IF(COUNTIF(CG50,"*雙葉*"),
IF(ROUND(
IF(CJ56&lt;&gt;"",(CG53-CJ56),CG53)
/IF(COUNTIF(CG51,"*キャラ*"),
VLOOKUP("*キャラ*",商品マスタ一覧!$D:$J,7,FALSE),
IF(COUNTIF(CG51,"*赤*"),
VLOOKUP("*赤*",商品マスタ一覧!$D:$J,7,FALSE),
VLOOKUP(CG51,商品マスタ一覧!$D:$J,7,FALSE))),0)&lt;=0,1,
ROUND(
IF(CJ56&lt;&gt;"",(CG53-CJ56),CG53)
/IF(COUNTIF(CG51,"*キャラ*"),
VLOOKUP("*キャラ*",商品マスタ一覧!$D:$J,7,FALSE),
IF(COUNTIF(CG51,"*赤*"),
VLOOKUP("*赤*",商品マスタ一覧!$D:$J,7,FALSE),
VLOOKUP(CG51,商品マスタ一覧!$D:$J,7,FALSE))),0)),
IF(MATCH(TRUE,
ISNUMBER(--INDIRECT("'数出表_Excel（アレルギー入力）'!B"&amp;MATCH(CK8,'数出表_Excel（アレルギー入力）'!$A:$A,0)-1&amp;":AL"&amp;MATCH(CK8,'数出表_Excel（アレルギー入力）'!$A:$A,0)-1&amp;"")),0)&gt;10,
IF(CG51&lt;&gt;"",
IF(IF(COUNTIF(CG51,"*キャラ*"),
VLOOKUP("*キャラ*",商品マスタ一覧!$D:$J,7,FALSE),
IF(COUNTIF(CG51,"*赤*"),
VLOOKUP("*赤*",商品マスタ一覧!$D:$J,7,FALSE),
VLOOKUP(CG51,商品マスタ一覧!$D:$J,7,FALSE)))=0,"",
IF(ROUND(
IF(CJ56&lt;&gt;"",(CG53-CJ56),CG53)
/IF(COUNTIF(CG51,"*キャラ*"),
VLOOKUP("*キャラ*",商品マスタ一覧!$D:$J,7,FALSE),
IF(COUNTIF(CG51,"*赤*"),
VLOOKUP("*赤*",商品マスタ一覧!$D:$J,7,FALSE),
VLOOKUP(CG51,商品マスタ一覧!$D:$J,7,FALSE))),0)&lt;=0,1,
ROUND(
IF(CJ56&lt;&gt;"",(CG53-CJ56),CG53)
/IF(COUNTIF(CG51,"*キャラ*"),
VLOOKUP("*キャラ*",商品マスタ一覧!$D:$J,7,FALSE),
IF(COUNTIF(CG51,"*赤*"),
VLOOKUP("*赤*",商品マスタ一覧!$D:$J,7,FALSE),
VLOOKUP(CG51,商品マスタ一覧!$D:$J,7,FALSE))),0))),""),"")),"")</f>
        <v/>
      </c>
      <c r="CK51" s="96" t="str">
        <f ca="1">IF(CJ51&lt;&gt;"",IF(CG53&lt;&gt;"",IF(VALUE(IF(CJ56&lt;&gt;"",CG53-CJ56,CG53))&gt;VALUE(IF(COUNTIF('盛付札（関数）'!CG51,"*キャラ*"),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VLOOKUP('盛付札（関数）'!CG51,商品マスタ一覧!$D:$J,7,FALSE)))*CJ51),
"+"&amp;IF(CJ56&lt;&gt;"",CG53-CJ56,CG53)-IF(COUNTIF('盛付札（関数）'!CG51,"*キャラ*"),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VLOOKUP('盛付札（関数）'!CG51,商品マスタ一覧!$D:$J,7,FALSE)))*CJ51,
IF(CJ56&lt;&gt;"",CG53-CJ56,CG53)-IF(COUNTIF('盛付札（関数）'!CG51,"*キャラ*"),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VLOOKUP('盛付札（関数）'!CG51,商品マスタ一覧!$D:$J,7,FALSE)))*CJ51),""),"")</f>
        <v/>
      </c>
      <c r="CL51" s="80"/>
      <c r="CM51" s="80"/>
      <c r="CN51" s="85" t="e">
        <f t="array" aca="1" ref="CN51" ca="1">IF(CN10&lt;&gt;100,
IF(CO53&lt;&gt;"",MATCH(CO53,INDIRECT("数出表_Excel!B"&amp;MATCH(CS8,数出表_Excel!$A:$A,0)-1&amp;":U"&amp;MATCH(CS8,数出表_Excel!$A:$A,0)-1&amp;""),0)+1,""),
IF(CO53&lt;&gt;"",
MATCH(
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""),
INDIRECT("数出表_Excel!B"&amp;MATCH(CS8,数出表_Excel!$A:$A,0)-1&amp;":U"&amp;MATCH(CS8,数出表_Excel!$A:$A,0)-1&amp;""),0)+1,""))</f>
        <v>#N/A</v>
      </c>
      <c r="CO51" s="62" t="str">
        <f t="array" aca="1" ref="CO51" ca="1">IF(CO8=CV43,"",IFERROR(IF(OR(
COUNTIF(INDIRECT("数出表_Excel!"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"3"),"*配膳*"),
COUNTIF(INDIRECT("数出表_Excel!"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"3"),"*カレー*"),
COUNTIF(CO8,"*合計*")),"",
IF(IFERROR(INDIRECT("数出表_Excel!"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"3"),0)=0,"",
IFERROR(INDIRECT("数出表_Excel!"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"3"),""))),""))</f>
        <v/>
      </c>
      <c r="CP51" s="80"/>
      <c r="CQ51" s="86" t="str">
        <f t="array" aca="1" ref="CQ51" ca="1">IF(CR51&lt;&gt;"","",
IF(COUNTIF(CO50,"*雙葉*"),"",
IF(CO50&lt;&gt;"",
IF(
(COLUMN(INDIRECT("数出表_Excel!B" &amp; (MATCH(CS8,数出表_Excel!$A:$A,0)-1))) - 1 +
MATCH(TRUE, ISNUMBER(--INDIRECT("数出表_Excel!B" &amp; (MATCH(CS8,数出表_Excel!$A:$A,0)-1) &amp; ":U" &amp; (MATCH(CS8,数出表_Excel!$A:$A,0)-1))), 0)+1
+MATCH(TRUE,INDIRECT("'数出表_Excel'!"&amp;CN50&amp;MATCH(CS8,数出表_Excel!$A:$A,0)-1&amp;":AL"&amp;MATCH(CS8,数出表_Excel!$A:$A,0)-1&amp;"")&lt;&gt;"",0))&gt;12,"",
IFERROR(
INDEX(INDIRECT("数出表_Excel!$"&amp;CN50&amp;"4:$AL4"),
 1,
MATCH(TRUE,INDIRECT("'数出表_Excel'!"&amp;CN50&amp;MATCH(CS8,数出表_Excel!$A:$A,0)-1&amp;":AL"&amp;MATCH(CS8,数出表_Excel!$A:$A,0)-1&amp;"")&lt;&gt;"",0)
),
 "")
&amp;IFERROR(
INDEX(INDIRECT("数出表_Excel!$"&amp;CN50&amp;"5:$AL5"),
 1,
MATCH(TRUE,INDIRECT("'数出表_Excel'!"&amp;CN50&amp;MATCH(CS8,数出表_Excel!$A:$A,0)-1&amp;":AL"&amp;MATCH(CS8,数出表_Excel!$A:$A,0)-1&amp;"")&lt;&gt;"",0)),
 "")),"")))</f>
        <v/>
      </c>
      <c r="CR51" s="87" t="str">
        <f t="array" aca="1" ref="CR51" ca="1">IF(CO51&lt;&gt;"",
IF(COUNTIF(CO50,"*雙葉*"),
IF(ROUND(
IF(CR56&lt;&gt;"",(CO53-CR56),CO53)
/IF(COUNTIF(CO51,"*キャラ*"),
VLOOKUP("*キャラ*",商品マスタ一覧!$D:$J,7,FALSE),
IF(COUNTIF(CO51,"*赤*"),
VLOOKUP("*赤*",商品マスタ一覧!$D:$J,7,FALSE),
VLOOKUP(CO51,商品マスタ一覧!$D:$J,7,FALSE))),0)&lt;=0,1,
ROUND(
IF(CR56&lt;&gt;"",(CO53-CR56),CO53)
/IF(COUNTIF(CO51,"*キャラ*"),
VLOOKUP("*キャラ*",商品マスタ一覧!$D:$J,7,FALSE),
IF(COUNTIF(CO51,"*赤*"),
VLOOKUP("*赤*",商品マスタ一覧!$D:$J,7,FALSE),
VLOOKUP(CO51,商品マスタ一覧!$D:$J,7,FALSE))),0)),
IF(MATCH(TRUE,
ISNUMBER(--INDIRECT("'数出表_Excel（アレルギー入力）'!B"&amp;MATCH(CS8,'数出表_Excel（アレルギー入力）'!$A:$A,0)-1&amp;":AL"&amp;MATCH(CS8,'数出表_Excel（アレルギー入力）'!$A:$A,0)-1&amp;"")),0)&gt;10,
IF(CO51&lt;&gt;"",
IF(IF(COUNTIF(CO51,"*キャラ*"),
VLOOKUP("*キャラ*",商品マスタ一覧!$D:$J,7,FALSE),
IF(COUNTIF(CO51,"*赤*"),
VLOOKUP("*赤*",商品マスタ一覧!$D:$J,7,FALSE),
VLOOKUP(CO51,商品マスタ一覧!$D:$J,7,FALSE)))=0,"",
IF(ROUND(
IF(CR56&lt;&gt;"",(CO53-CR56),CO53)
/IF(COUNTIF(CO51,"*キャラ*"),
VLOOKUP("*キャラ*",商品マスタ一覧!$D:$J,7,FALSE),
IF(COUNTIF(CO51,"*赤*"),
VLOOKUP("*赤*",商品マスタ一覧!$D:$J,7,FALSE),
VLOOKUP(CO51,商品マスタ一覧!$D:$J,7,FALSE))),0)&lt;=0,1,
ROUND(
IF(CR56&lt;&gt;"",(CO53-CR56),CO53)
/IF(COUNTIF(CO51,"*キャラ*"),
VLOOKUP("*キャラ*",商品マスタ一覧!$D:$J,7,FALSE),
IF(COUNTIF(CO51,"*赤*"),
VLOOKUP("*赤*",商品マスタ一覧!$D:$J,7,FALSE),
VLOOKUP(CO51,商品マスタ一覧!$D:$J,7,FALSE))),0))),""),"")),"")</f>
        <v/>
      </c>
      <c r="CS51" s="100" t="str">
        <f ca="1">IF(CR51&lt;&gt;"",IF(CO53&lt;&gt;"",IF(VALUE(IF(CR56&lt;&gt;"",CO53-CR56,CO53))&gt;VALUE(IF(COUNTIF('盛付札（関数）'!CO51,"*キャラ*"),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VLOOKUP('盛付札（関数）'!CO51,商品マスタ一覧!$D:$J,7,FALSE)))*CR51),
"+"&amp;IF(CR56&lt;&gt;"",CO53-CR56,CO53)-IF(COUNTIF('盛付札（関数）'!CO51,"*キャラ*"),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VLOOKUP('盛付札（関数）'!CO51,商品マスタ一覧!$D:$J,7,FALSE)))*CR51,
IF(CR56&lt;&gt;"",CO53-CR56,CO53)-IF(COUNTIF('盛付札（関数）'!CO51,"*キャラ*"),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VLOOKUP('盛付札（関数）'!CO51,商品マスタ一覧!$D:$J,7,FALSE)))*CR51),""),"")</f>
        <v/>
      </c>
      <c r="CT51" s="80"/>
      <c r="CU51" s="85" t="e">
        <f t="array" aca="1" ref="CU51" ca="1">IF(CU10&lt;&gt;100,
IF(CV53&lt;&gt;"",MATCH(CV53,INDIRECT("数出表_Excel!B"&amp;MATCH(CZ8,数出表_Excel!$A:$A,0)-1&amp;":U"&amp;MATCH(CZ8,数出表_Excel!$A:$A,0)-1&amp;""),0)+1,""),
IF(CV53&lt;&gt;"",
MATCH(
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""),
INDIRECT("数出表_Excel!B"&amp;MATCH(CZ8,数出表_Excel!$A:$A,0)-1&amp;":U"&amp;MATCH(CZ8,数出表_Excel!$A:$A,0)-1&amp;""),0)+1,""))</f>
        <v>#N/A</v>
      </c>
      <c r="CV51" s="62" t="str">
        <f t="array" aca="1" ref="CV51" ca="1">IF(CV8=CO50,"",IFERROR(IF(OR(
COUNTIF(INDIRECT("数出表_Excel!"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"3"),"*配膳*"),
COUNTIF(INDIRECT("数出表_Excel!"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"3"),"*カレー*"),
COUNTIF(CV8,"*合計*")),"",
IF(IFERROR(INDIRECT("数出表_Excel!"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"3"),0)=0,"",
IFERROR(INDIRECT("数出表_Excel!"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"3"),""))),""))</f>
        <v/>
      </c>
      <c r="CW51" s="80"/>
      <c r="CX51" s="86" t="str">
        <f t="array" aca="1" ref="CX51" ca="1">IF(CY51&lt;&gt;"","",
IF(COUNTIF(CV50,"*雙葉*"),"",
IF(CV50&lt;&gt;"",
IF(
(COLUMN(INDIRECT("数出表_Excel!B" &amp; (MATCH(CZ8,数出表_Excel!$A:$A,0)-1))) - 1 +
MATCH(TRUE, ISNUMBER(--INDIRECT("数出表_Excel!B" &amp; (MATCH(CZ8,数出表_Excel!$A:$A,0)-1) &amp; ":U" &amp; (MATCH(CZ8,数出表_Excel!$A:$A,0)-1))), 0)+1
+MATCH(TRUE,INDIRECT("'数出表_Excel'!"&amp;CU50&amp;MATCH(CZ8,数出表_Excel!$A:$A,0)-1&amp;":AL"&amp;MATCH(CZ8,数出表_Excel!$A:$A,0)-1&amp;"")&lt;&gt;"",0))&gt;12,"",
IFERROR(
INDEX(INDIRECT("数出表_Excel!$"&amp;CU50&amp;"4:$AL4"),
 1,
MATCH(TRUE,INDIRECT("'数出表_Excel'!"&amp;CU50&amp;MATCH(CZ8,数出表_Excel!$A:$A,0)-1&amp;":AL"&amp;MATCH(CZ8,数出表_Excel!$A:$A,0)-1&amp;"")&lt;&gt;"",0)
),
 "")
&amp;IFERROR(
INDEX(INDIRECT("数出表_Excel!$"&amp;CU50&amp;"5:$AL5"),
 1,
MATCH(TRUE,INDIRECT("'数出表_Excel'!"&amp;CU50&amp;MATCH(CZ8,数出表_Excel!$A:$A,0)-1&amp;":AL"&amp;MATCH(CZ8,数出表_Excel!$A:$A,0)-1&amp;"")&lt;&gt;"",0)),
 "")),"")))</f>
        <v/>
      </c>
      <c r="CY51" s="87" t="str">
        <f t="array" aca="1" ref="CY51" ca="1">IF(CV51&lt;&gt;"",
IF(COUNTIF(CV50,"*雙葉*"),
IF(ROUND(
IF(CY56&lt;&gt;"",(CV53-CY56),CV53)
/IF(COUNTIF(CV51,"*キャラ*"),
VLOOKUP("*キャラ*",商品マスタ一覧!$D:$J,7,FALSE),
IF(COUNTIF(CV51,"*赤*"),
VLOOKUP("*赤*",商品マスタ一覧!$D:$J,7,FALSE),
VLOOKUP(CV51,商品マスタ一覧!$D:$J,7,FALSE))),0)&lt;=0,1,
ROUND(
IF(CY56&lt;&gt;"",(CV53-CY56),CV53)
/IF(COUNTIF(CV51,"*キャラ*"),
VLOOKUP("*キャラ*",商品マスタ一覧!$D:$J,7,FALSE),
IF(COUNTIF(CV51,"*赤*"),
VLOOKUP("*赤*",商品マスタ一覧!$D:$J,7,FALSE),
VLOOKUP(CV51,商品マスタ一覧!$D:$J,7,FALSE))),0)),
IF(MATCH(TRUE,
ISNUMBER(--INDIRECT("'数出表_Excel（アレルギー入力）'!B"&amp;MATCH(CZ8,'数出表_Excel（アレルギー入力）'!$A:$A,0)-1&amp;":AL"&amp;MATCH(CZ8,'数出表_Excel（アレルギー入力）'!$A:$A,0)-1&amp;"")),0)&gt;10,
IF(CV51&lt;&gt;"",
IF(IF(COUNTIF(CV51,"*キャラ*"),
VLOOKUP("*キャラ*",商品マスタ一覧!$D:$J,7,FALSE),
IF(COUNTIF(CV51,"*赤*"),
VLOOKUP("*赤*",商品マスタ一覧!$D:$J,7,FALSE),
VLOOKUP(CV51,商品マスタ一覧!$D:$J,7,FALSE)))=0,"",
IF(ROUND(
IF(CY56&lt;&gt;"",(CV53-CY56),CV53)
/IF(COUNTIF(CV51,"*キャラ*"),
VLOOKUP("*キャラ*",商品マスタ一覧!$D:$J,7,FALSE),
IF(COUNTIF(CV51,"*赤*"),
VLOOKUP("*赤*",商品マスタ一覧!$D:$J,7,FALSE),
VLOOKUP(CV51,商品マスタ一覧!$D:$J,7,FALSE))),0)&lt;=0,1,
ROUND(
IF(CY56&lt;&gt;"",(CV53-CY56),CV53)
/IF(COUNTIF(CV51,"*キャラ*"),
VLOOKUP("*キャラ*",商品マスタ一覧!$D:$J,7,FALSE),
IF(COUNTIF(CV51,"*赤*"),
VLOOKUP("*赤*",商品マスタ一覧!$D:$J,7,FALSE),
VLOOKUP(CV51,商品マスタ一覧!$D:$J,7,FALSE))),0))),""),"")),"")</f>
        <v/>
      </c>
      <c r="CZ51" s="96" t="str">
        <f ca="1">IF(CY51&lt;&gt;"",IF(CV53&lt;&gt;"",IF(VALUE(IF(CY56&lt;&gt;"",CV53-CY56,CV53))&gt;VALUE(IF(COUNTIF('盛付札（関数）'!CV51,"*キャラ*"),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VLOOKUP('盛付札（関数）'!CV51,商品マスタ一覧!$D:$J,7,FALSE)))*CY51),
"+"&amp;IF(CY56&lt;&gt;"",CV53-CY56,CV53)-IF(COUNTIF('盛付札（関数）'!CV51,"*キャラ*"),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VLOOKUP('盛付札（関数）'!CV51,商品マスタ一覧!$D:$J,7,FALSE)))*CY51,
IF(CY56&lt;&gt;"",CV53-CY56,CV53)-IF(COUNTIF('盛付札（関数）'!CV51,"*キャラ*"),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VLOOKUP('盛付札（関数）'!CV51,商品マスタ一覧!$D:$J,7,FALSE)))*CY51),""),"")</f>
        <v/>
      </c>
      <c r="DA51" s="80"/>
      <c r="DB51" s="80"/>
      <c r="DC51" s="85" t="e">
        <f t="array" aca="1" ref="DC51" ca="1">IF(DC10&lt;&gt;100,
IF(DD53&lt;&gt;"",MATCH(DD53,INDIRECT("数出表_Excel!B"&amp;MATCH(DH8,数出表_Excel!$A:$A,0)-1&amp;":U"&amp;MATCH(DH8,数出表_Excel!$A:$A,0)-1&amp;""),0)+1,""),
IF(DD53&lt;&gt;"",
MATCH(
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""),
INDIRECT("数出表_Excel!B"&amp;MATCH(DH8,数出表_Excel!$A:$A,0)-1&amp;":U"&amp;MATCH(DH8,数出表_Excel!$A:$A,0)-1&amp;""),0)+1,""))</f>
        <v>#N/A</v>
      </c>
      <c r="DD51" s="62" t="str">
        <f t="array" aca="1" ref="DD51" ca="1">IF(DD8=DK43,"",IFERROR(IF(OR(
COUNTIF(INDIRECT("数出表_Excel!"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"3"),"*配膳*"),
COUNTIF(INDIRECT("数出表_Excel!"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"3"),"*カレー*"),
COUNTIF(DD8,"*合計*")),"",
IF(IFERROR(INDIRECT("数出表_Excel!"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"3"),0)=0,"",
IFERROR(INDIRECT("数出表_Excel!"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"3"),""))),""))</f>
        <v/>
      </c>
      <c r="DE51" s="80"/>
      <c r="DF51" s="86" t="str">
        <f t="array" aca="1" ref="DF51" ca="1">IF(DG51&lt;&gt;"","",
IF(COUNTIF(DD50,"*雙葉*"),"",
IF(DD50&lt;&gt;"",
IF(
(COLUMN(INDIRECT("数出表_Excel!B" &amp; (MATCH(DH8,数出表_Excel!$A:$A,0)-1))) - 1 +
MATCH(TRUE, ISNUMBER(--INDIRECT("数出表_Excel!B" &amp; (MATCH(DH8,数出表_Excel!$A:$A,0)-1) &amp; ":U" &amp; (MATCH(DH8,数出表_Excel!$A:$A,0)-1))), 0)+1
+MATCH(TRUE,INDIRECT("'数出表_Excel'!"&amp;DC50&amp;MATCH(DH8,数出表_Excel!$A:$A,0)-1&amp;":AL"&amp;MATCH(DH8,数出表_Excel!$A:$A,0)-1&amp;"")&lt;&gt;"",0))&gt;12,"",
IFERROR(
INDEX(INDIRECT("数出表_Excel!$"&amp;DC50&amp;"4:$AL4"),
 1,
MATCH(TRUE,INDIRECT("'数出表_Excel'!"&amp;DC50&amp;MATCH(DH8,数出表_Excel!$A:$A,0)-1&amp;":AL"&amp;MATCH(DH8,数出表_Excel!$A:$A,0)-1&amp;"")&lt;&gt;"",0)
),
 "")
&amp;IFERROR(
INDEX(INDIRECT("数出表_Excel!$"&amp;DC50&amp;"5:$AL5"),
 1,
MATCH(TRUE,INDIRECT("'数出表_Excel'!"&amp;DC50&amp;MATCH(DH8,数出表_Excel!$A:$A,0)-1&amp;":AL"&amp;MATCH(DH8,数出表_Excel!$A:$A,0)-1&amp;"")&lt;&gt;"",0)),
 "")),"")))</f>
        <v/>
      </c>
      <c r="DG51" s="87" t="str">
        <f t="array" aca="1" ref="DG51" ca="1">IF(DD51&lt;&gt;"",
IF(COUNTIF(DD50,"*雙葉*"),
IF(ROUND(
IF(DG56&lt;&gt;"",(DD53-DG56),DD53)
/IF(COUNTIF(DD51,"*キャラ*"),
VLOOKUP("*キャラ*",商品マスタ一覧!$D:$J,7,FALSE),
IF(COUNTIF(DD51,"*赤*"),
VLOOKUP("*赤*",商品マスタ一覧!$D:$J,7,FALSE),
VLOOKUP(DD51,商品マスタ一覧!$D:$J,7,FALSE))),0)&lt;=0,1,
ROUND(
IF(DG56&lt;&gt;"",(DD53-DG56),DD53)
/IF(COUNTIF(DD51,"*キャラ*"),
VLOOKUP("*キャラ*",商品マスタ一覧!$D:$J,7,FALSE),
IF(COUNTIF(DD51,"*赤*"),
VLOOKUP("*赤*",商品マスタ一覧!$D:$J,7,FALSE),
VLOOKUP(DD51,商品マスタ一覧!$D:$J,7,FALSE))),0)),
IF(MATCH(TRUE,
ISNUMBER(--INDIRECT("'数出表_Excel（アレルギー入力）'!B"&amp;MATCH(DH8,'数出表_Excel（アレルギー入力）'!$A:$A,0)-1&amp;":AL"&amp;MATCH(DH8,'数出表_Excel（アレルギー入力）'!$A:$A,0)-1&amp;"")),0)&gt;10,
IF(DD51&lt;&gt;"",
IF(IF(COUNTIF(DD51,"*キャラ*"),
VLOOKUP("*キャラ*",商品マスタ一覧!$D:$J,7,FALSE),
IF(COUNTIF(DD51,"*赤*"),
VLOOKUP("*赤*",商品マスタ一覧!$D:$J,7,FALSE),
VLOOKUP(DD51,商品マスタ一覧!$D:$J,7,FALSE)))=0,"",
IF(ROUND(
IF(DG56&lt;&gt;"",(DD53-DG56),DD53)
/IF(COUNTIF(DD51,"*キャラ*"),
VLOOKUP("*キャラ*",商品マスタ一覧!$D:$J,7,FALSE),
IF(COUNTIF(DD51,"*赤*"),
VLOOKUP("*赤*",商品マスタ一覧!$D:$J,7,FALSE),
VLOOKUP(DD51,商品マスタ一覧!$D:$J,7,FALSE))),0)&lt;=0,1,
ROUND(
IF(DG56&lt;&gt;"",(DD53-DG56),DD53)
/IF(COUNTIF(DD51,"*キャラ*"),
VLOOKUP("*キャラ*",商品マスタ一覧!$D:$J,7,FALSE),
IF(COUNTIF(DD51,"*赤*"),
VLOOKUP("*赤*",商品マスタ一覧!$D:$J,7,FALSE),
VLOOKUP(DD51,商品マスタ一覧!$D:$J,7,FALSE))),0))),""),"")),"")</f>
        <v/>
      </c>
      <c r="DH51" s="100" t="str">
        <f ca="1">IF(DG51&lt;&gt;"",IF(DD53&lt;&gt;"",IF(VALUE(IF(DG56&lt;&gt;"",DD53-DG56,DD53))&gt;VALUE(IF(COUNTIF('盛付札（関数）'!DD51,"*キャラ*"),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VLOOKUP('盛付札（関数）'!DD51,商品マスタ一覧!$D:$J,7,FALSE)))*DG51),
"+"&amp;IF(DG56&lt;&gt;"",DD53-DG56,DD53)-IF(COUNTIF('盛付札（関数）'!DD51,"*キャラ*"),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VLOOKUP('盛付札（関数）'!DD51,商品マスタ一覧!$D:$J,7,FALSE)))*DG51,
IF(DG56&lt;&gt;"",DD53-DG56,DD53)-IF(COUNTIF('盛付札（関数）'!DD51,"*キャラ*"),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VLOOKUP('盛付札（関数）'!DD51,商品マスタ一覧!$D:$J,7,FALSE)))*DG51),""),"")</f>
        <v/>
      </c>
      <c r="DI51" s="80"/>
      <c r="DJ51" s="85" t="e">
        <f t="array" aca="1" ref="DJ51" ca="1">IF(DJ10&lt;&gt;100,
IF(DK53&lt;&gt;"",MATCH(DK53,INDIRECT("数出表_Excel!B"&amp;MATCH(DO8,数出表_Excel!$A:$A,0)-1&amp;":U"&amp;MATCH(DO8,数出表_Excel!$A:$A,0)-1&amp;""),0)+1,""),
IF(DK53&lt;&gt;"",
MATCH(
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""),
INDIRECT("数出表_Excel!B"&amp;MATCH(DO8,数出表_Excel!$A:$A,0)-1&amp;":U"&amp;MATCH(DO8,数出表_Excel!$A:$A,0)-1&amp;""),0)+1,""))</f>
        <v>#N/A</v>
      </c>
      <c r="DK51" s="62" t="str">
        <f t="array" aca="1" ref="DK51" ca="1">IF(DK8=DD50,"",IFERROR(IF(OR(
COUNTIF(INDIRECT("数出表_Excel!"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"3"),"*配膳*"),
COUNTIF(INDIRECT("数出表_Excel!"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"3"),"*カレー*"),
COUNTIF(DK8,"*合計*")),"",
IF(IFERROR(INDIRECT("数出表_Excel!"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"3"),0)=0,"",
IFERROR(INDIRECT("数出表_Excel!"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"3"),""))),""))</f>
        <v/>
      </c>
      <c r="DL51" s="80"/>
      <c r="DM51" s="86" t="str">
        <f t="array" aca="1" ref="DM51" ca="1">IF(DN51&lt;&gt;"","",
IF(COUNTIF(DK50,"*雙葉*"),"",
IF(DK50&lt;&gt;"",
IF(
(COLUMN(INDIRECT("数出表_Excel!B" &amp; (MATCH(DO8,数出表_Excel!$A:$A,0)-1))) - 1 +
MATCH(TRUE, ISNUMBER(--INDIRECT("数出表_Excel!B" &amp; (MATCH(DO8,数出表_Excel!$A:$A,0)-1) &amp; ":U" &amp; (MATCH(DO8,数出表_Excel!$A:$A,0)-1))), 0)+1
+MATCH(TRUE,INDIRECT("'数出表_Excel'!"&amp;DJ50&amp;MATCH(DO8,数出表_Excel!$A:$A,0)-1&amp;":AL"&amp;MATCH(DO8,数出表_Excel!$A:$A,0)-1&amp;"")&lt;&gt;"",0))&gt;12,"",
IFERROR(
INDEX(INDIRECT("数出表_Excel!$"&amp;DJ50&amp;"4:$AL4"),
 1,
MATCH(TRUE,INDIRECT("'数出表_Excel'!"&amp;DJ50&amp;MATCH(DO8,数出表_Excel!$A:$A,0)-1&amp;":AL"&amp;MATCH(DO8,数出表_Excel!$A:$A,0)-1&amp;"")&lt;&gt;"",0)
),
 "")
&amp;IFERROR(
INDEX(INDIRECT("数出表_Excel!$"&amp;DJ50&amp;"5:$AL5"),
 1,
MATCH(TRUE,INDIRECT("'数出表_Excel'!"&amp;DJ50&amp;MATCH(DO8,数出表_Excel!$A:$A,0)-1&amp;":AL"&amp;MATCH(DO8,数出表_Excel!$A:$A,0)-1&amp;"")&lt;&gt;"",0)),
 "")),"")))</f>
        <v/>
      </c>
      <c r="DN51" s="87" t="str">
        <f t="array" aca="1" ref="DN51" ca="1">IF(DK51&lt;&gt;"",
IF(COUNTIF(DK50,"*雙葉*"),
IF(ROUND(
IF(DN56&lt;&gt;"",(DK53-DN56),DK53)
/IF(COUNTIF(DK51,"*キャラ*"),
VLOOKUP("*キャラ*",商品マスタ一覧!$D:$J,7,FALSE),
IF(COUNTIF(DK51,"*赤*"),
VLOOKUP("*赤*",商品マスタ一覧!$D:$J,7,FALSE),
VLOOKUP(DK51,商品マスタ一覧!$D:$J,7,FALSE))),0)&lt;=0,1,
ROUND(
IF(DN56&lt;&gt;"",(DK53-DN56),DK53)
/IF(COUNTIF(DK51,"*キャラ*"),
VLOOKUP("*キャラ*",商品マスタ一覧!$D:$J,7,FALSE),
IF(COUNTIF(DK51,"*赤*"),
VLOOKUP("*赤*",商品マスタ一覧!$D:$J,7,FALSE),
VLOOKUP(DK51,商品マスタ一覧!$D:$J,7,FALSE))),0)),
IF(MATCH(TRUE,
ISNUMBER(--INDIRECT("'数出表_Excel（アレルギー入力）'!B"&amp;MATCH(DO8,'数出表_Excel（アレルギー入力）'!$A:$A,0)-1&amp;":AL"&amp;MATCH(DO8,'数出表_Excel（アレルギー入力）'!$A:$A,0)-1&amp;"")),0)&gt;10,
IF(DK51&lt;&gt;"",
IF(IF(COUNTIF(DK51,"*キャラ*"),
VLOOKUP("*キャラ*",商品マスタ一覧!$D:$J,7,FALSE),
IF(COUNTIF(DK51,"*赤*"),
VLOOKUP("*赤*",商品マスタ一覧!$D:$J,7,FALSE),
VLOOKUP(DK51,商品マスタ一覧!$D:$J,7,FALSE)))=0,"",
IF(ROUND(
IF(DN56&lt;&gt;"",(DK53-DN56),DK53)
/IF(COUNTIF(DK51,"*キャラ*"),
VLOOKUP("*キャラ*",商品マスタ一覧!$D:$J,7,FALSE),
IF(COUNTIF(DK51,"*赤*"),
VLOOKUP("*赤*",商品マスタ一覧!$D:$J,7,FALSE),
VLOOKUP(DK51,商品マスタ一覧!$D:$J,7,FALSE))),0)&lt;=0,1,
ROUND(
IF(DN56&lt;&gt;"",(DK53-DN56),DK53)
/IF(COUNTIF(DK51,"*キャラ*"),
VLOOKUP("*キャラ*",商品マスタ一覧!$D:$J,7,FALSE),
IF(COUNTIF(DK51,"*赤*"),
VLOOKUP("*赤*",商品マスタ一覧!$D:$J,7,FALSE),
VLOOKUP(DK51,商品マスタ一覧!$D:$J,7,FALSE))),0))),""),"")),"")</f>
        <v/>
      </c>
      <c r="DO51" s="96" t="str">
        <f ca="1">IF(DN51&lt;&gt;"",IF(DK53&lt;&gt;"",IF(VALUE(IF(DN56&lt;&gt;"",DK53-DN56,DK53))&gt;VALUE(IF(COUNTIF('盛付札（関数）'!DK51,"*キャラ*"),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VLOOKUP('盛付札（関数）'!DK51,商品マスタ一覧!$D:$J,7,FALSE)))*DN51),
"+"&amp;IF(DN56&lt;&gt;"",DK53-DN56,DK53)-IF(COUNTIF('盛付札（関数）'!DK51,"*キャラ*"),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VLOOKUP('盛付札（関数）'!DK51,商品マスタ一覧!$D:$J,7,FALSE)))*DN51,
IF(DN56&lt;&gt;"",DK53-DN56,DK53)-IF(COUNTIF('盛付札（関数）'!DK51,"*キャラ*"),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VLOOKUP('盛付札（関数）'!DK51,商品マスタ一覧!$D:$J,7,FALSE)))*DN51),""),"")</f>
        <v/>
      </c>
      <c r="DP51" s="80"/>
      <c r="DQ51" s="80"/>
      <c r="DR51" s="85" t="e">
        <f t="array" aca="1" ref="DR51" ca="1">IF(DR10&lt;&gt;100,
IF(DS53&lt;&gt;"",MATCH(DS53,INDIRECT("数出表_Excel!B"&amp;MATCH(DW8,数出表_Excel!$A:$A,0)-1&amp;":U"&amp;MATCH(DW8,数出表_Excel!$A:$A,0)-1&amp;""),0)+1,""),
IF(DS53&lt;&gt;"",
MATCH(
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""),
INDIRECT("数出表_Excel!B"&amp;MATCH(DW8,数出表_Excel!$A:$A,0)-1&amp;":U"&amp;MATCH(DW8,数出表_Excel!$A:$A,0)-1&amp;""),0)+1,""))</f>
        <v>#N/A</v>
      </c>
      <c r="DS51" s="62" t="str">
        <f t="array" aca="1" ref="DS51" ca="1">IF(DS8=DZ43,"",IFERROR(IF(OR(
COUNTIF(INDIRECT("数出表_Excel!"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"3"),"*配膳*"),
COUNTIF(INDIRECT("数出表_Excel!"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"3"),"*カレー*"),
COUNTIF(DS8,"*合計*")),"",
IF(IFERROR(INDIRECT("数出表_Excel!"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"3"),0)=0,"",
IFERROR(INDIRECT("数出表_Excel!"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"3"),""))),""))</f>
        <v/>
      </c>
      <c r="DT51" s="80"/>
      <c r="DU51" s="86" t="str">
        <f t="array" aca="1" ref="DU51" ca="1">IF(DV51&lt;&gt;"","",
IF(COUNTIF(DS50,"*雙葉*"),"",
IF(DS50&lt;&gt;"",
IF(
(COLUMN(INDIRECT("数出表_Excel!B" &amp; (MATCH(DW8,数出表_Excel!$A:$A,0)-1))) - 1 +
MATCH(TRUE, ISNUMBER(--INDIRECT("数出表_Excel!B" &amp; (MATCH(DW8,数出表_Excel!$A:$A,0)-1) &amp; ":U" &amp; (MATCH(DW8,数出表_Excel!$A:$A,0)-1))), 0)+1
+MATCH(TRUE,INDIRECT("'数出表_Excel'!"&amp;DR50&amp;MATCH(DW8,数出表_Excel!$A:$A,0)-1&amp;":AL"&amp;MATCH(DW8,数出表_Excel!$A:$A,0)-1&amp;"")&lt;&gt;"",0))&gt;12,"",
IFERROR(
INDEX(INDIRECT("数出表_Excel!$"&amp;DR50&amp;"4:$AL4"),
 1,
MATCH(TRUE,INDIRECT("'数出表_Excel'!"&amp;DR50&amp;MATCH(DW8,数出表_Excel!$A:$A,0)-1&amp;":AL"&amp;MATCH(DW8,数出表_Excel!$A:$A,0)-1&amp;"")&lt;&gt;"",0)
),
 "")
&amp;IFERROR(
INDEX(INDIRECT("数出表_Excel!$"&amp;DR50&amp;"5:$AL5"),
 1,
MATCH(TRUE,INDIRECT("'数出表_Excel'!"&amp;DR50&amp;MATCH(DW8,数出表_Excel!$A:$A,0)-1&amp;":AL"&amp;MATCH(DW8,数出表_Excel!$A:$A,0)-1&amp;"")&lt;&gt;"",0)),
 "")),"")))</f>
        <v/>
      </c>
      <c r="DV51" s="87" t="str">
        <f t="array" aca="1" ref="DV51" ca="1">IF(DS51&lt;&gt;"",
IF(COUNTIF(DS50,"*雙葉*"),
IF(ROUND(
IF(DV56&lt;&gt;"",(DS53-DV56),DS53)
/IF(COUNTIF(DS51,"*キャラ*"),
VLOOKUP("*キャラ*",商品マスタ一覧!$D:$J,7,FALSE),
IF(COUNTIF(DS51,"*赤*"),
VLOOKUP("*赤*",商品マスタ一覧!$D:$J,7,FALSE),
VLOOKUP(DS51,商品マスタ一覧!$D:$J,7,FALSE))),0)&lt;=0,1,
ROUND(
IF(DV56&lt;&gt;"",(DS53-DV56),DS53)
/IF(COUNTIF(DS51,"*キャラ*"),
VLOOKUP("*キャラ*",商品マスタ一覧!$D:$J,7,FALSE),
IF(COUNTIF(DS51,"*赤*"),
VLOOKUP("*赤*",商品マスタ一覧!$D:$J,7,FALSE),
VLOOKUP(DS51,商品マスタ一覧!$D:$J,7,FALSE))),0)),
IF(MATCH(TRUE,
ISNUMBER(--INDIRECT("'数出表_Excel（アレルギー入力）'!B"&amp;MATCH(DW8,'数出表_Excel（アレルギー入力）'!$A:$A,0)-1&amp;":AL"&amp;MATCH(DW8,'数出表_Excel（アレルギー入力）'!$A:$A,0)-1&amp;"")),0)&gt;10,
IF(DS51&lt;&gt;"",
IF(IF(COUNTIF(DS51,"*キャラ*"),
VLOOKUP("*キャラ*",商品マスタ一覧!$D:$J,7,FALSE),
IF(COUNTIF(DS51,"*赤*"),
VLOOKUP("*赤*",商品マスタ一覧!$D:$J,7,FALSE),
VLOOKUP(DS51,商品マスタ一覧!$D:$J,7,FALSE)))=0,"",
IF(ROUND(
IF(DV56&lt;&gt;"",(DS53-DV56),DS53)
/IF(COUNTIF(DS51,"*キャラ*"),
VLOOKUP("*キャラ*",商品マスタ一覧!$D:$J,7,FALSE),
IF(COUNTIF(DS51,"*赤*"),
VLOOKUP("*赤*",商品マスタ一覧!$D:$J,7,FALSE),
VLOOKUP(DS51,商品マスタ一覧!$D:$J,7,FALSE))),0)&lt;=0,1,
ROUND(
IF(DV56&lt;&gt;"",(DS53-DV56),DS53)
/IF(COUNTIF(DS51,"*キャラ*"),
VLOOKUP("*キャラ*",商品マスタ一覧!$D:$J,7,FALSE),
IF(COUNTIF(DS51,"*赤*"),
VLOOKUP("*赤*",商品マスタ一覧!$D:$J,7,FALSE),
VLOOKUP(DS51,商品マスタ一覧!$D:$J,7,FALSE))),0))),""),"")),"")</f>
        <v/>
      </c>
      <c r="DW51" s="100" t="str">
        <f ca="1">IF(DV51&lt;&gt;"",IF(DS53&lt;&gt;"",IF(VALUE(IF(DV56&lt;&gt;"",DS53-DV56,DS53))&gt;VALUE(IF(COUNTIF('盛付札（関数）'!DS51,"*キャラ*"),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VLOOKUP('盛付札（関数）'!DS51,商品マスタ一覧!$D:$J,7,FALSE)))*DV51),
"+"&amp;IF(DV56&lt;&gt;"",DS53-DV56,DS53)-IF(COUNTIF('盛付札（関数）'!DS51,"*キャラ*"),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VLOOKUP('盛付札（関数）'!DS51,商品マスタ一覧!$D:$J,7,FALSE)))*DV51,
IF(DV56&lt;&gt;"",DS53-DV56,DS53)-IF(COUNTIF('盛付札（関数）'!DS51,"*キャラ*"),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VLOOKUP('盛付札（関数）'!DS51,商品マスタ一覧!$D:$J,7,FALSE)))*DV51),""),"")</f>
        <v/>
      </c>
      <c r="DX51" s="80"/>
      <c r="DY51" s="85" t="e">
        <f t="array" aca="1" ref="DY51" ca="1">IF(DY10&lt;&gt;100,
IF(DZ53&lt;&gt;"",MATCH(DZ53,INDIRECT("数出表_Excel!B"&amp;MATCH(ED8,数出表_Excel!$A:$A,0)-1&amp;":U"&amp;MATCH(ED8,数出表_Excel!$A:$A,0)-1&amp;""),0)+1,""),
IF(DZ53&lt;&gt;"",
MATCH(
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""),
INDIRECT("数出表_Excel!B"&amp;MATCH(ED8,数出表_Excel!$A:$A,0)-1&amp;":U"&amp;MATCH(ED8,数出表_Excel!$A:$A,0)-1&amp;""),0)+1,""))</f>
        <v>#N/A</v>
      </c>
      <c r="DZ51" s="62" t="str">
        <f t="array" aca="1" ref="DZ51" ca="1">IF(DZ8=DS50,"",IFERROR(IF(OR(
COUNTIF(INDIRECT("数出表_Excel!"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"3"),"*配膳*"),
COUNTIF(INDIRECT("数出表_Excel!"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"3"),"*カレー*"),
COUNTIF(DZ8,"*合計*")),"",
IF(IFERROR(INDIRECT("数出表_Excel!"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"3"),0)=0,"",
IFERROR(INDIRECT("数出表_Excel!"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"3"),""))),""))</f>
        <v/>
      </c>
      <c r="EA51" s="80"/>
      <c r="EB51" s="86" t="str">
        <f t="array" aca="1" ref="EB51" ca="1">IF(EC51&lt;&gt;"","",
IF(COUNTIF(DZ50,"*雙葉*"),"",
IF(DZ50&lt;&gt;"",
IF(
(COLUMN(INDIRECT("数出表_Excel!B" &amp; (MATCH(ED8,数出表_Excel!$A:$A,0)-1))) - 1 +
MATCH(TRUE, ISNUMBER(--INDIRECT("数出表_Excel!B" &amp; (MATCH(ED8,数出表_Excel!$A:$A,0)-1) &amp; ":U" &amp; (MATCH(ED8,数出表_Excel!$A:$A,0)-1))), 0)+1
+MATCH(TRUE,INDIRECT("'数出表_Excel'!"&amp;DY50&amp;MATCH(ED8,数出表_Excel!$A:$A,0)-1&amp;":AL"&amp;MATCH(ED8,数出表_Excel!$A:$A,0)-1&amp;"")&lt;&gt;"",0))&gt;12,"",
IFERROR(
INDEX(INDIRECT("数出表_Excel!$"&amp;DY50&amp;"4:$AL4"),
 1,
MATCH(TRUE,INDIRECT("'数出表_Excel'!"&amp;DY50&amp;MATCH(ED8,数出表_Excel!$A:$A,0)-1&amp;":AL"&amp;MATCH(ED8,数出表_Excel!$A:$A,0)-1&amp;"")&lt;&gt;"",0)
),
 "")
&amp;IFERROR(
INDEX(INDIRECT("数出表_Excel!$"&amp;DY50&amp;"5:$AL5"),
 1,
MATCH(TRUE,INDIRECT("'数出表_Excel'!"&amp;DY50&amp;MATCH(ED8,数出表_Excel!$A:$A,0)-1&amp;":AL"&amp;MATCH(ED8,数出表_Excel!$A:$A,0)-1&amp;"")&lt;&gt;"",0)),
 "")),"")))</f>
        <v/>
      </c>
      <c r="EC51" s="87" t="str">
        <f t="array" aca="1" ref="EC51" ca="1">IF(DZ51&lt;&gt;"",
IF(COUNTIF(DZ50,"*雙葉*"),
IF(ROUND(
IF(EC56&lt;&gt;"",(DZ53-EC56),DZ53)
/IF(COUNTIF(DZ51,"*キャラ*"),
VLOOKUP("*キャラ*",商品マスタ一覧!$D:$J,7,FALSE),
IF(COUNTIF(DZ51,"*赤*"),
VLOOKUP("*赤*",商品マスタ一覧!$D:$J,7,FALSE),
VLOOKUP(DZ51,商品マスタ一覧!$D:$J,7,FALSE))),0)&lt;=0,1,
ROUND(
IF(EC56&lt;&gt;"",(DZ53-EC56),DZ53)
/IF(COUNTIF(DZ51,"*キャラ*"),
VLOOKUP("*キャラ*",商品マスタ一覧!$D:$J,7,FALSE),
IF(COUNTIF(DZ51,"*赤*"),
VLOOKUP("*赤*",商品マスタ一覧!$D:$J,7,FALSE),
VLOOKUP(DZ51,商品マスタ一覧!$D:$J,7,FALSE))),0)),
IF(MATCH(TRUE,
ISNUMBER(--INDIRECT("'数出表_Excel（アレルギー入力）'!B"&amp;MATCH(ED8,'数出表_Excel（アレルギー入力）'!$A:$A,0)-1&amp;":AL"&amp;MATCH(ED8,'数出表_Excel（アレルギー入力）'!$A:$A,0)-1&amp;"")),0)&gt;10,
IF(DZ51&lt;&gt;"",
IF(IF(COUNTIF(DZ51,"*キャラ*"),
VLOOKUP("*キャラ*",商品マスタ一覧!$D:$J,7,FALSE),
IF(COUNTIF(DZ51,"*赤*"),
VLOOKUP("*赤*",商品マスタ一覧!$D:$J,7,FALSE),
VLOOKUP(DZ51,商品マスタ一覧!$D:$J,7,FALSE)))=0,"",
IF(ROUND(
IF(EC56&lt;&gt;"",(DZ53-EC56),DZ53)
/IF(COUNTIF(DZ51,"*キャラ*"),
VLOOKUP("*キャラ*",商品マスタ一覧!$D:$J,7,FALSE),
IF(COUNTIF(DZ51,"*赤*"),
VLOOKUP("*赤*",商品マスタ一覧!$D:$J,7,FALSE),
VLOOKUP(DZ51,商品マスタ一覧!$D:$J,7,FALSE))),0)&lt;=0,1,
ROUND(
IF(EC56&lt;&gt;"",(DZ53-EC56),DZ53)
/IF(COUNTIF(DZ51,"*キャラ*"),
VLOOKUP("*キャラ*",商品マスタ一覧!$D:$J,7,FALSE),
IF(COUNTIF(DZ51,"*赤*"),
VLOOKUP("*赤*",商品マスタ一覧!$D:$J,7,FALSE),
VLOOKUP(DZ51,商品マスタ一覧!$D:$J,7,FALSE))),0))),""),"")),"")</f>
        <v/>
      </c>
      <c r="ED51" s="96" t="str">
        <f ca="1">IF(EC51&lt;&gt;"",IF(DZ53&lt;&gt;"",IF(VALUE(IF(EC56&lt;&gt;"",DZ53-EC56,DZ53))&gt;VALUE(IF(COUNTIF('盛付札（関数）'!DZ51,"*キャラ*"),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VLOOKUP('盛付札（関数）'!DZ51,商品マスタ一覧!$D:$J,7,FALSE)))*EC51),
"+"&amp;IF(EC56&lt;&gt;"",DZ53-EC56,DZ53)-IF(COUNTIF('盛付札（関数）'!DZ51,"*キャラ*"),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VLOOKUP('盛付札（関数）'!DZ51,商品マスタ一覧!$D:$J,7,FALSE)))*EC51,
IF(EC56&lt;&gt;"",DZ53-EC56,DZ53)-IF(COUNTIF('盛付札（関数）'!DZ51,"*キャラ*"),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VLOOKUP('盛付札（関数）'!DZ51,商品マスタ一覧!$D:$J,7,FALSE)))*EC51),""),"")</f>
        <v/>
      </c>
      <c r="EE51" s="80"/>
      <c r="EF51" s="80"/>
      <c r="EG51" s="85" t="e">
        <f t="array" aca="1" ref="EG51" ca="1">IF(EG10&lt;&gt;100,
IF(EH53&lt;&gt;"",MATCH(EH53,INDIRECT("数出表_Excel!B"&amp;MATCH(EL8,数出表_Excel!$A:$A,0)-1&amp;":U"&amp;MATCH(EL8,数出表_Excel!$A:$A,0)-1&amp;""),0)+1,""),
IF(EH53&lt;&gt;"",
MATCH(
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""),
INDIRECT("数出表_Excel!B"&amp;MATCH(EL8,数出表_Excel!$A:$A,0)-1&amp;":U"&amp;MATCH(EL8,数出表_Excel!$A:$A,0)-1&amp;""),0)+1,""))</f>
        <v>#N/A</v>
      </c>
      <c r="EH51" s="62" t="str">
        <f t="array" aca="1" ref="EH51" ca="1">IF(EH8=EO43,"",IFERROR(IF(OR(
COUNTIF(INDIRECT("数出表_Excel!"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"3"),"*配膳*"),
COUNTIF(INDIRECT("数出表_Excel!"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"3"),"*カレー*"),
COUNTIF(EH8,"*合計*")),"",
IF(IFERROR(INDIRECT("数出表_Excel!"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"3"),0)=0,"",
IFERROR(INDIRECT("数出表_Excel!"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"3"),""))),""))</f>
        <v/>
      </c>
      <c r="EI51" s="80"/>
      <c r="EJ51" s="86" t="str">
        <f t="array" aca="1" ref="EJ51" ca="1">IF(EK51&lt;&gt;"","",
IF(COUNTIF(EH50,"*雙葉*"),"",
IF(EH50&lt;&gt;"",
IF(
(COLUMN(INDIRECT("数出表_Excel!B" &amp; (MATCH(EL8,数出表_Excel!$A:$A,0)-1))) - 1 +
MATCH(TRUE, ISNUMBER(--INDIRECT("数出表_Excel!B" &amp; (MATCH(EL8,数出表_Excel!$A:$A,0)-1) &amp; ":U" &amp; (MATCH(EL8,数出表_Excel!$A:$A,0)-1))), 0)+1
+MATCH(TRUE,INDIRECT("'数出表_Excel'!"&amp;EG50&amp;MATCH(EL8,数出表_Excel!$A:$A,0)-1&amp;":AL"&amp;MATCH(EL8,数出表_Excel!$A:$A,0)-1&amp;"")&lt;&gt;"",0))&gt;12,"",
IFERROR(
INDEX(INDIRECT("数出表_Excel!$"&amp;EG50&amp;"4:$AL4"),
 1,
MATCH(TRUE,INDIRECT("'数出表_Excel'!"&amp;EG50&amp;MATCH(EL8,数出表_Excel!$A:$A,0)-1&amp;":AL"&amp;MATCH(EL8,数出表_Excel!$A:$A,0)-1&amp;"")&lt;&gt;"",0)
),
 "")
&amp;IFERROR(
INDEX(INDIRECT("数出表_Excel!$"&amp;EG50&amp;"5:$AL5"),
 1,
MATCH(TRUE,INDIRECT("'数出表_Excel'!"&amp;EG50&amp;MATCH(EL8,数出表_Excel!$A:$A,0)-1&amp;":AL"&amp;MATCH(EL8,数出表_Excel!$A:$A,0)-1&amp;"")&lt;&gt;"",0)),
 "")),"")))</f>
        <v/>
      </c>
      <c r="EK51" s="87" t="str">
        <f t="array" aca="1" ref="EK51" ca="1">IF(EH51&lt;&gt;"",
IF(COUNTIF(EH50,"*雙葉*"),
IF(ROUND(
IF(EK56&lt;&gt;"",(EH53-EK56),EH53)
/IF(COUNTIF(EH51,"*キャラ*"),
VLOOKUP("*キャラ*",商品マスタ一覧!$D:$J,7,FALSE),
IF(COUNTIF(EH51,"*赤*"),
VLOOKUP("*赤*",商品マスタ一覧!$D:$J,7,FALSE),
VLOOKUP(EH51,商品マスタ一覧!$D:$J,7,FALSE))),0)&lt;=0,1,
ROUND(
IF(EK56&lt;&gt;"",(EH53-EK56),EH53)
/IF(COUNTIF(EH51,"*キャラ*"),
VLOOKUP("*キャラ*",商品マスタ一覧!$D:$J,7,FALSE),
IF(COUNTIF(EH51,"*赤*"),
VLOOKUP("*赤*",商品マスタ一覧!$D:$J,7,FALSE),
VLOOKUP(EH51,商品マスタ一覧!$D:$J,7,FALSE))),0)),
IF(MATCH(TRUE,
ISNUMBER(--INDIRECT("'数出表_Excel（アレルギー入力）'!B"&amp;MATCH(EL8,'数出表_Excel（アレルギー入力）'!$A:$A,0)-1&amp;":AL"&amp;MATCH(EL8,'数出表_Excel（アレルギー入力）'!$A:$A,0)-1&amp;"")),0)&gt;10,
IF(EH51&lt;&gt;"",
IF(IF(COUNTIF(EH51,"*キャラ*"),
VLOOKUP("*キャラ*",商品マスタ一覧!$D:$J,7,FALSE),
IF(COUNTIF(EH51,"*赤*"),
VLOOKUP("*赤*",商品マスタ一覧!$D:$J,7,FALSE),
VLOOKUP(EH51,商品マスタ一覧!$D:$J,7,FALSE)))=0,"",
IF(ROUND(
IF(EK56&lt;&gt;"",(EH53-EK56),EH53)
/IF(COUNTIF(EH51,"*キャラ*"),
VLOOKUP("*キャラ*",商品マスタ一覧!$D:$J,7,FALSE),
IF(COUNTIF(EH51,"*赤*"),
VLOOKUP("*赤*",商品マスタ一覧!$D:$J,7,FALSE),
VLOOKUP(EH51,商品マスタ一覧!$D:$J,7,FALSE))),0)&lt;=0,1,
ROUND(
IF(EK56&lt;&gt;"",(EH53-EK56),EH53)
/IF(COUNTIF(EH51,"*キャラ*"),
VLOOKUP("*キャラ*",商品マスタ一覧!$D:$J,7,FALSE),
IF(COUNTIF(EH51,"*赤*"),
VLOOKUP("*赤*",商品マスタ一覧!$D:$J,7,FALSE),
VLOOKUP(EH51,商品マスタ一覧!$D:$J,7,FALSE))),0))),""),"")),"")</f>
        <v/>
      </c>
      <c r="EL51" s="100" t="str">
        <f ca="1">IF(EK51&lt;&gt;"",IF(EH53&lt;&gt;"",IF(VALUE(IF(EK56&lt;&gt;"",EH53-EK56,EH53))&gt;VALUE(IF(COUNTIF('盛付札（関数）'!EH51,"*キャラ*"),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VLOOKUP('盛付札（関数）'!EH51,商品マスタ一覧!$D:$J,7,FALSE)))*EK51),
"+"&amp;IF(EK56&lt;&gt;"",EH53-EK56,EH53)-IF(COUNTIF('盛付札（関数）'!EH51,"*キャラ*"),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VLOOKUP('盛付札（関数）'!EH51,商品マスタ一覧!$D:$J,7,FALSE)))*EK51,
IF(EK56&lt;&gt;"",EH53-EK56,EH53)-IF(COUNTIF('盛付札（関数）'!EH51,"*キャラ*"),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VLOOKUP('盛付札（関数）'!EH51,商品マスタ一覧!$D:$J,7,FALSE)))*EK51),""),"")</f>
        <v/>
      </c>
      <c r="EM51" s="80"/>
      <c r="EN51" s="85" t="e">
        <f t="array" aca="1" ref="EN51" ca="1">IF(EN10&lt;&gt;100,
IF(EO53&lt;&gt;"",MATCH(EO53,INDIRECT("数出表_Excel!B"&amp;MATCH(ES8,数出表_Excel!$A:$A,0)-1&amp;":U"&amp;MATCH(ES8,数出表_Excel!$A:$A,0)-1&amp;""),0)+1,""),
IF(EO53&lt;&gt;"",
MATCH(
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""),
INDIRECT("数出表_Excel!B"&amp;MATCH(ES8,数出表_Excel!$A:$A,0)-1&amp;":U"&amp;MATCH(ES8,数出表_Excel!$A:$A,0)-1&amp;""),0)+1,""))</f>
        <v>#N/A</v>
      </c>
      <c r="EO51" s="62" t="str">
        <f t="array" aca="1" ref="EO51" ca="1">IF(EO8=EH50,"",IFERROR(IF(OR(
COUNTIF(INDIRECT("数出表_Excel!"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"3"),"*配膳*"),
COUNTIF(INDIRECT("数出表_Excel!"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"3"),"*カレー*"),
COUNTIF(EO8,"*合計*")),"",
IF(IFERROR(INDIRECT("数出表_Excel!"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"3"),0)=0,"",
IFERROR(INDIRECT("数出表_Excel!"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"3"),""))),""))</f>
        <v/>
      </c>
      <c r="EP51" s="80"/>
      <c r="EQ51" s="86" t="str">
        <f t="array" aca="1" ref="EQ51" ca="1">IF(ER51&lt;&gt;"","",
IF(COUNTIF(EO50,"*雙葉*"),"",
IF(EO50&lt;&gt;"",
IF(
(COLUMN(INDIRECT("数出表_Excel!B" &amp; (MATCH(ES8,数出表_Excel!$A:$A,0)-1))) - 1 +
MATCH(TRUE, ISNUMBER(--INDIRECT("数出表_Excel!B" &amp; (MATCH(ES8,数出表_Excel!$A:$A,0)-1) &amp; ":U" &amp; (MATCH(ES8,数出表_Excel!$A:$A,0)-1))), 0)+1
+MATCH(TRUE,INDIRECT("'数出表_Excel'!"&amp;EN50&amp;MATCH(ES8,数出表_Excel!$A:$A,0)-1&amp;":AL"&amp;MATCH(ES8,数出表_Excel!$A:$A,0)-1&amp;"")&lt;&gt;"",0))&gt;12,"",
IFERROR(
INDEX(INDIRECT("数出表_Excel!$"&amp;EN50&amp;"4:$AL4"),
 1,
MATCH(TRUE,INDIRECT("'数出表_Excel'!"&amp;EN50&amp;MATCH(ES8,数出表_Excel!$A:$A,0)-1&amp;":AL"&amp;MATCH(ES8,数出表_Excel!$A:$A,0)-1&amp;"")&lt;&gt;"",0)
),
 "")
&amp;IFERROR(
INDEX(INDIRECT("数出表_Excel!$"&amp;EN50&amp;"5:$AL5"),
 1,
MATCH(TRUE,INDIRECT("'数出表_Excel'!"&amp;EN50&amp;MATCH(ES8,数出表_Excel!$A:$A,0)-1&amp;":AL"&amp;MATCH(ES8,数出表_Excel!$A:$A,0)-1&amp;"")&lt;&gt;"",0)),
 "")),"")))</f>
        <v/>
      </c>
      <c r="ER51" s="87" t="str">
        <f t="array" aca="1" ref="ER51" ca="1">IF(EO51&lt;&gt;"",
IF(COUNTIF(EO50,"*雙葉*"),
IF(ROUND(
IF(ER56&lt;&gt;"",(EO53-ER56),EO53)
/IF(COUNTIF(EO51,"*キャラ*"),
VLOOKUP("*キャラ*",商品マスタ一覧!$D:$J,7,FALSE),
IF(COUNTIF(EO51,"*赤*"),
VLOOKUP("*赤*",商品マスタ一覧!$D:$J,7,FALSE),
VLOOKUP(EO51,商品マスタ一覧!$D:$J,7,FALSE))),0)&lt;=0,1,
ROUND(
IF(ER56&lt;&gt;"",(EO53-ER56),EO53)
/IF(COUNTIF(EO51,"*キャラ*"),
VLOOKUP("*キャラ*",商品マスタ一覧!$D:$J,7,FALSE),
IF(COUNTIF(EO51,"*赤*"),
VLOOKUP("*赤*",商品マスタ一覧!$D:$J,7,FALSE),
VLOOKUP(EO51,商品マスタ一覧!$D:$J,7,FALSE))),0)),
IF(MATCH(TRUE,
ISNUMBER(--INDIRECT("'数出表_Excel（アレルギー入力）'!B"&amp;MATCH(ES8,'数出表_Excel（アレルギー入力）'!$A:$A,0)-1&amp;":AL"&amp;MATCH(ES8,'数出表_Excel（アレルギー入力）'!$A:$A,0)-1&amp;"")),0)&gt;10,
IF(EO51&lt;&gt;"",
IF(IF(COUNTIF(EO51,"*キャラ*"),
VLOOKUP("*キャラ*",商品マスタ一覧!$D:$J,7,FALSE),
IF(COUNTIF(EO51,"*赤*"),
VLOOKUP("*赤*",商品マスタ一覧!$D:$J,7,FALSE),
VLOOKUP(EO51,商品マスタ一覧!$D:$J,7,FALSE)))=0,"",
IF(ROUND(
IF(ER56&lt;&gt;"",(EO53-ER56),EO53)
/IF(COUNTIF(EO51,"*キャラ*"),
VLOOKUP("*キャラ*",商品マスタ一覧!$D:$J,7,FALSE),
IF(COUNTIF(EO51,"*赤*"),
VLOOKUP("*赤*",商品マスタ一覧!$D:$J,7,FALSE),
VLOOKUP(EO51,商品マスタ一覧!$D:$J,7,FALSE))),0)&lt;=0,1,
ROUND(
IF(ER56&lt;&gt;"",(EO53-ER56),EO53)
/IF(COUNTIF(EO51,"*キャラ*"),
VLOOKUP("*キャラ*",商品マスタ一覧!$D:$J,7,FALSE),
IF(COUNTIF(EO51,"*赤*"),
VLOOKUP("*赤*",商品マスタ一覧!$D:$J,7,FALSE),
VLOOKUP(EO51,商品マスタ一覧!$D:$J,7,FALSE))),0))),""),"")),"")</f>
        <v/>
      </c>
      <c r="ES51" s="96" t="str">
        <f ca="1">IF(ER51&lt;&gt;"",IF(EO53&lt;&gt;"",IF(VALUE(IF(ER56&lt;&gt;"",EO53-ER56,EO53))&gt;VALUE(IF(COUNTIF('盛付札（関数）'!EO51,"*キャラ*"),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VLOOKUP('盛付札（関数）'!EO51,商品マスタ一覧!$D:$J,7,FALSE)))*ER51),
"+"&amp;IF(ER56&lt;&gt;"",EO53-ER56,EO53)-IF(COUNTIF('盛付札（関数）'!EO51,"*キャラ*"),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VLOOKUP('盛付札（関数）'!EO51,商品マスタ一覧!$D:$J,7,FALSE)))*ER51,
IF(ER56&lt;&gt;"",EO53-ER56,EO53)-IF(COUNTIF('盛付札（関数）'!EO51,"*キャラ*"),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VLOOKUP('盛付札（関数）'!EO51,商品マスタ一覧!$D:$J,7,FALSE)))*ER51),""),"")</f>
        <v/>
      </c>
      <c r="ET51" s="111"/>
      <c r="EV51" s="83" t="str">
        <f ca="1">AN1</f>
        <v/>
      </c>
      <c r="EW51" s="83" t="str">
        <f ca="1">AN2</f>
        <v/>
      </c>
      <c r="EX51" s="83" t="str">
        <f ca="1">AP2</f>
        <v/>
      </c>
      <c r="EY51" s="84" t="str">
        <f ca="1">AQ2</f>
        <v/>
      </c>
      <c r="EZ51" s="84" t="str">
        <f ca="1">AR2</f>
        <v/>
      </c>
      <c r="FA51" s="83" t="e">
        <f ca="1">AN4</f>
        <v>#VALUE!</v>
      </c>
      <c r="FB51" s="83" t="str">
        <f ca="1">AP4</f>
        <v/>
      </c>
      <c r="FC51" s="83" t="str">
        <f ca="1">AN6</f>
        <v/>
      </c>
      <c r="FD51" s="83" t="e">
        <f ca="1">AM7</f>
        <v>#VALUE!</v>
      </c>
      <c r="FE51" s="83" t="str">
        <f ca="1">AO7</f>
        <v/>
      </c>
      <c r="FF51" s="83" t="e">
        <f ca="1">AQ7</f>
        <v>#N/A</v>
      </c>
      <c r="FG51" s="82">
        <f t="shared" ca="1" si="3"/>
        <v>0</v>
      </c>
      <c r="FH51" s="82" t="e">
        <f t="array" aca="1" ref="FH51" ca="1">SUMPRODUCT((LEN(EV51:FF51)&gt;0)*1)&gt;0</f>
        <v>#VALUE!</v>
      </c>
      <c r="FI51" s="82" t="str">
        <f t="array" aca="1" ref="FI51" ca="1">IFERROR(SMALL(IF(FG$1:FG$173&lt;&gt;0,FG$1:FG$173),ROW(A51)),"")</f>
        <v/>
      </c>
      <c r="FJ51" s="82" t="str">
        <f t="array" aca="1" ref="FJ51" ca="1">IF($FI51&lt;&gt;"",
INDIRECT(""&amp;IF(COLUMN(EV51)&lt;=26,CHAR(COLUMN(EV51)+64),CHAR(INT((COLUMN(EV51)-1)/26)+64)&amp;CHAR(MOD(COLUMN(EV51)-1,26)+65))&amp;$FI51&amp;""),"")</f>
        <v/>
      </c>
      <c r="FK51" s="82" t="str">
        <f t="array" aca="1" ref="FK51" ca="1">IF($FI51&lt;&gt;"",
INDIRECT(""&amp;IF(COLUMN(EW51)&lt;=26,CHAR(COLUMN(EW51)+64),CHAR(INT((COLUMN(EW51)-1)/26)+64)&amp;CHAR(MOD(COLUMN(EW51)-1,26)+65))&amp;$FI51&amp;""),"")</f>
        <v/>
      </c>
      <c r="FL51" s="82" t="str">
        <f t="array" aca="1" ref="FL51" ca="1">IF($FI51&lt;&gt;"",
INDIRECT(""&amp;IF(COLUMN(EX51)&lt;=26,CHAR(COLUMN(EX51)+64),CHAR(INT((COLUMN(EX51)-1)/26)+64)&amp;CHAR(MOD(COLUMN(EX51)-1,26)+65))&amp;$FI51&amp;""),"")</f>
        <v/>
      </c>
      <c r="FM51" s="82" t="str">
        <f t="array" aca="1" ref="FM51" ca="1">IF($FI51&lt;&gt;"",
IF(FL51="",
IF(INDIRECT("EY"&amp;$FI51&amp;"")&lt;&gt;"",
INDIRECT("EY"&amp;$FI51&amp;"")&amp;"箱"
&amp;INDIRECT("EZ"&amp;$FI51&amp;""),""),""),"")</f>
        <v/>
      </c>
      <c r="FN51" s="82" t="str">
        <f t="array" aca="1" ref="FN51" ca="1">IF($FI51&lt;&gt;"",
INDIRECT(""&amp;IF(COLUMN(FA51)&lt;=26,CHAR(COLUMN(FA51)+64),CHAR(INT((COLUMN(FA51)-1)/26)+64)&amp;CHAR(MOD(COLUMN(FA51)-1,26)+65))&amp;$FI51&amp;""),"")</f>
        <v/>
      </c>
      <c r="FO51" s="82" t="str">
        <f t="array" aca="1" ref="FO51" ca="1">IF($FI51&lt;&gt;"",
INDIRECT(""&amp;IF(COLUMN(FB51)&lt;=26,CHAR(COLUMN(FB51)+64),CHAR(INT((COLUMN(FB51)-1)/26)+64)&amp;CHAR(MOD(COLUMN(FB51)-1,26)+65))&amp;$FI51&amp;""),"")</f>
        <v/>
      </c>
      <c r="FP51" s="82" t="str">
        <f t="array" aca="1" ref="FP51" ca="1">IF($FI51&lt;&gt;"",
INDIRECT(""&amp;IF(COLUMN(FC51)&lt;=26,CHAR(COLUMN(FC51)+64),CHAR(INT((COLUMN(FC51)-1)/26)+64)&amp;CHAR(MOD(COLUMN(FC51)-1,26)+65))&amp;$FI51&amp;""),"")</f>
        <v/>
      </c>
      <c r="FQ51" s="82" t="str">
        <f t="array" aca="1" ref="FQ51" ca="1">IF($FI51&lt;&gt;"",
INDIRECT(""&amp;IF(COLUMN(FD51)&lt;=26,CHAR(COLUMN(FD51)+64),CHAR(INT((COLUMN(FD51)-1)/26)+64)&amp;CHAR(MOD(COLUMN(FD51)-1,26)+65))&amp;$FI51&amp;""),"")</f>
        <v/>
      </c>
      <c r="FR51" s="82" t="str">
        <f t="array" aca="1" ref="FR51" ca="1">IF($FI51&lt;&gt;"",
INDIRECT(""&amp;IF(COLUMN(FE51)&lt;=26,CHAR(COLUMN(FE51)+64),CHAR(INT((COLUMN(FE51)-1)/26)+64)&amp;CHAR(MOD(COLUMN(FE51)-1,26)+65))&amp;$FI51&amp;""),"")</f>
        <v/>
      </c>
      <c r="FS51" s="82" t="str">
        <f t="array" aca="1" ref="FS51" ca="1">IF($FI51&lt;&gt;"",
INDIRECT(""&amp;IF(COLUMN(FF51)&lt;=26,CHAR(COLUMN(FF51)+64),CHAR(INT((COLUMN(FF51)-1)/26)+64)&amp;CHAR(MOD(COLUMN(FF51)-1,26)+65))&amp;$FI51&amp;""),"")</f>
        <v/>
      </c>
    </row>
    <row r="52" spans="1:175" s="82" customFormat="1" ht="22.2" customHeight="1" x14ac:dyDescent="0.55000000000000004">
      <c r="A52" s="80"/>
      <c r="B52" s="88" t="str">
        <f t="array" aca="1" ref="B52" ca="1">IF(C50&lt;&gt;"",SUBSTITUTE(ADDRESS(1,
(COLUMN(INDIRECT("数出表_Excel!"&amp;B50&amp;1&amp;""))-2 +
MATCH(TRUE, ISNUMBER(--INDIRECT("数出表_Excel!"&amp;B50&amp; (MATCH(G8,数出表_Excel!$A:$A,0)-1) &amp; ":U" &amp; (MATCH(G8,数出表_Excel!$A:$A,0)-1))), 0))
*2,4),"1",""),"")</f>
        <v/>
      </c>
      <c r="C52" s="189" t="str">
        <f ca="1">IF(C53&lt;&gt;"","園児","")</f>
        <v/>
      </c>
      <c r="D52" s="190"/>
      <c r="E52" s="193" t="str">
        <f ca="1">IF(C53&lt;&gt;"","先生","")</f>
        <v/>
      </c>
      <c r="F52" s="190"/>
      <c r="G52" s="101">
        <f t="array" aca="1" ref="G52" ca="1">IF(C50&lt;&gt;"",
IF(IFERROR(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"")&lt;&gt;0,
IF(IFERROR(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"")="",
0,
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"")),IFERROR(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"")),0)</f>
        <v>0</v>
      </c>
      <c r="H52" s="80"/>
      <c r="I52" s="88" t="str">
        <f t="array" aca="1" ref="I52" ca="1">IF(J50&lt;&gt;"",SUBSTITUTE(ADDRESS(1,
(COLUMN(INDIRECT("数出表_Excel!"&amp;I50&amp;1&amp;""))-2 +
MATCH(TRUE, ISNUMBER(--INDIRECT("数出表_Excel!"&amp;I50&amp; (MATCH(N8,数出表_Excel!$A:$A,0)-1) &amp; ":U" &amp; (MATCH(N8,数出表_Excel!$A:$A,0)-1))), 0))
*2,4),"1",""),"")</f>
        <v/>
      </c>
      <c r="J52" s="189" t="str">
        <f ca="1">IF(J53&lt;&gt;"","園児","")</f>
        <v/>
      </c>
      <c r="K52" s="190"/>
      <c r="L52" s="193" t="str">
        <f ca="1">IF(J53&lt;&gt;"","先生","")</f>
        <v/>
      </c>
      <c r="M52" s="190"/>
      <c r="N52" s="101">
        <f t="array" aca="1" ref="N52" ca="1">IF(J50&lt;&gt;"",
IF(IFERROR(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"")&lt;&gt;0,
IF(IFERROR(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"")="",
0,
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"")),IFERROR(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"")),0)</f>
        <v>0</v>
      </c>
      <c r="O52" s="80"/>
      <c r="P52" s="80"/>
      <c r="Q52" s="88" t="str">
        <f t="array" aca="1" ref="Q52" ca="1">IF(R50&lt;&gt;"",SUBSTITUTE(ADDRESS(1,
(COLUMN(INDIRECT("数出表_Excel!"&amp;Q50&amp;1&amp;""))-2 +
MATCH(TRUE, ISNUMBER(--INDIRECT("数出表_Excel!"&amp;Q50&amp; (MATCH(V8,数出表_Excel!$A:$A,0)-1) &amp; ":U" &amp; (MATCH(V8,数出表_Excel!$A:$A,0)-1))), 0))
*2,4),"1",""),"")</f>
        <v/>
      </c>
      <c r="R52" s="189" t="str">
        <f ca="1">IF(R53&lt;&gt;"","園児","")</f>
        <v/>
      </c>
      <c r="S52" s="190"/>
      <c r="T52" s="193" t="str">
        <f ca="1">IF(R53&lt;&gt;"","先生","")</f>
        <v/>
      </c>
      <c r="U52" s="190"/>
      <c r="V52" s="101">
        <f t="array" aca="1" ref="V52" ca="1">IF(R50&lt;&gt;"",
IF(IFERROR(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"")&lt;&gt;0,
IF(IFERROR(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"")="",
0,
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"")),IFERROR(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"")),0)</f>
        <v>0</v>
      </c>
      <c r="W52" s="80"/>
      <c r="X52" s="88" t="str">
        <f t="array" aca="1" ref="X52" ca="1">IF(Y50&lt;&gt;"",SUBSTITUTE(ADDRESS(1,
(COLUMN(INDIRECT("数出表_Excel!"&amp;X50&amp;1&amp;""))-2 +
MATCH(TRUE, ISNUMBER(--INDIRECT("数出表_Excel!"&amp;X50&amp; (MATCH(AC8,数出表_Excel!$A:$A,0)-1) &amp; ":U" &amp; (MATCH(AC8,数出表_Excel!$A:$A,0)-1))), 0))
*2,4),"1",""),"")</f>
        <v/>
      </c>
      <c r="Y52" s="189" t="str">
        <f ca="1">IF(Y53&lt;&gt;"","園児","")</f>
        <v/>
      </c>
      <c r="Z52" s="190"/>
      <c r="AA52" s="193" t="str">
        <f ca="1">IF(Y53&lt;&gt;"","先生","")</f>
        <v/>
      </c>
      <c r="AB52" s="190"/>
      <c r="AC52" s="101">
        <f t="array" aca="1" ref="AC52" ca="1">IF(Y50&lt;&gt;"",
IF(IFERROR(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"")&lt;&gt;0,
IF(IFERROR(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"")="",
0,
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"")),IFERROR(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"")),0)</f>
        <v>0</v>
      </c>
      <c r="AD52" s="80"/>
      <c r="AE52" s="80"/>
      <c r="AF52" s="88" t="str">
        <f t="array" aca="1" ref="AF52" ca="1">IF(AG50&lt;&gt;"",SUBSTITUTE(ADDRESS(1,
(COLUMN(INDIRECT("数出表_Excel!"&amp;AF50&amp;1&amp;""))-2 +
MATCH(TRUE, ISNUMBER(--INDIRECT("数出表_Excel!"&amp;AF50&amp; (MATCH(AK8,数出表_Excel!$A:$A,0)-1) &amp; ":U" &amp; (MATCH(AK8,数出表_Excel!$A:$A,0)-1))), 0))
*2,4),"1",""),"")</f>
        <v/>
      </c>
      <c r="AG52" s="189" t="str">
        <f ca="1">IF(AG53&lt;&gt;"","園児","")</f>
        <v/>
      </c>
      <c r="AH52" s="190"/>
      <c r="AI52" s="193" t="str">
        <f ca="1">IF(AG53&lt;&gt;"","先生","")</f>
        <v/>
      </c>
      <c r="AJ52" s="190"/>
      <c r="AK52" s="101">
        <f t="array" aca="1" ref="AK52" ca="1">IF(AG50&lt;&gt;"",
IF(IFERROR(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"")&lt;&gt;0,
IF(IFERROR(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"")="",
0,
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"")),IFERROR(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"")),0)</f>
        <v>0</v>
      </c>
      <c r="AL52" s="80"/>
      <c r="AM52" s="88" t="str">
        <f t="array" aca="1" ref="AM52" ca="1">IF(AN50&lt;&gt;"",SUBSTITUTE(ADDRESS(1,
(COLUMN(INDIRECT("数出表_Excel!"&amp;AM50&amp;1&amp;""))-2 +
MATCH(TRUE, ISNUMBER(--INDIRECT("数出表_Excel!"&amp;AM50&amp; (MATCH(AR8,数出表_Excel!$A:$A,0)-1) &amp; ":U" &amp; (MATCH(AR8,数出表_Excel!$A:$A,0)-1))), 0))
*2,4),"1",""),"")</f>
        <v/>
      </c>
      <c r="AN52" s="189" t="str">
        <f ca="1">IF(AN53&lt;&gt;"","園児","")</f>
        <v/>
      </c>
      <c r="AO52" s="190"/>
      <c r="AP52" s="193" t="str">
        <f ca="1">IF(AN53&lt;&gt;"","先生","")</f>
        <v/>
      </c>
      <c r="AQ52" s="190"/>
      <c r="AR52" s="101">
        <f t="array" aca="1" ref="AR52" ca="1">IF(AN50&lt;&gt;"",
IF(IFERROR(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"")&lt;&gt;0,
IF(IFERROR(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"")="",
0,
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"")),IFERROR(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"")),0)</f>
        <v>0</v>
      </c>
      <c r="AS52" s="80"/>
      <c r="AT52" s="80"/>
      <c r="AU52" s="88" t="str">
        <f t="array" aca="1" ref="AU52" ca="1">IF(AV50&lt;&gt;"",SUBSTITUTE(ADDRESS(1,
(COLUMN(INDIRECT("数出表_Excel!"&amp;AU50&amp;1&amp;""))-2 +
MATCH(TRUE, ISNUMBER(--INDIRECT("数出表_Excel!"&amp;AU50&amp; (MATCH(AZ8,数出表_Excel!$A:$A,0)-1) &amp; ":U" &amp; (MATCH(AZ8,数出表_Excel!$A:$A,0)-1))), 0))
*2,4),"1",""),"")</f>
        <v/>
      </c>
      <c r="AV52" s="189" t="str">
        <f ca="1">IF(AV53&lt;&gt;"","園児","")</f>
        <v/>
      </c>
      <c r="AW52" s="190"/>
      <c r="AX52" s="193" t="str">
        <f ca="1">IF(AV53&lt;&gt;"","先生","")</f>
        <v/>
      </c>
      <c r="AY52" s="190"/>
      <c r="AZ52" s="101">
        <f t="array" aca="1" ref="AZ52" ca="1">IF(AV50&lt;&gt;"",
IF(IFERROR(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"")&lt;&gt;0,
IF(IFERROR(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"")="",
0,
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"")),IFERROR(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"")),0)</f>
        <v>0</v>
      </c>
      <c r="BA52" s="80"/>
      <c r="BB52" s="88" t="str">
        <f t="array" aca="1" ref="BB52" ca="1">IF(BC50&lt;&gt;"",SUBSTITUTE(ADDRESS(1,
(COLUMN(INDIRECT("数出表_Excel!"&amp;BB50&amp;1&amp;""))-2 +
MATCH(TRUE, ISNUMBER(--INDIRECT("数出表_Excel!"&amp;BB50&amp; (MATCH(BG8,数出表_Excel!$A:$A,0)-1) &amp; ":U" &amp; (MATCH(BG8,数出表_Excel!$A:$A,0)-1))), 0))
*2,4),"1",""),"")</f>
        <v/>
      </c>
      <c r="BC52" s="189" t="str">
        <f ca="1">IF(BC53&lt;&gt;"","園児","")</f>
        <v/>
      </c>
      <c r="BD52" s="190"/>
      <c r="BE52" s="193" t="str">
        <f ca="1">IF(BC53&lt;&gt;"","先生","")</f>
        <v/>
      </c>
      <c r="BF52" s="190"/>
      <c r="BG52" s="101">
        <f t="array" aca="1" ref="BG52" ca="1">IF(BC50&lt;&gt;"",
IF(IFERROR(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"")&lt;&gt;0,
IF(IFERROR(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"")="",
0,
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"")),IFERROR(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"")),0)</f>
        <v>0</v>
      </c>
      <c r="BH52" s="80"/>
      <c r="BI52" s="80"/>
      <c r="BJ52" s="88" t="str">
        <f t="array" aca="1" ref="BJ52" ca="1">IF(BK50&lt;&gt;"",SUBSTITUTE(ADDRESS(1,
(COLUMN(INDIRECT("数出表_Excel!"&amp;BJ50&amp;1&amp;""))-2 +
MATCH(TRUE, ISNUMBER(--INDIRECT("数出表_Excel!"&amp;BJ50&amp; (MATCH(BO8,数出表_Excel!$A:$A,0)-1) &amp; ":U" &amp; (MATCH(BO8,数出表_Excel!$A:$A,0)-1))), 0))
*2,4),"1",""),"")</f>
        <v/>
      </c>
      <c r="BK52" s="189" t="str">
        <f ca="1">IF(BK53&lt;&gt;"","園児","")</f>
        <v/>
      </c>
      <c r="BL52" s="190"/>
      <c r="BM52" s="193" t="str">
        <f ca="1">IF(BK53&lt;&gt;"","先生","")</f>
        <v/>
      </c>
      <c r="BN52" s="190"/>
      <c r="BO52" s="101">
        <f t="array" aca="1" ref="BO52" ca="1">IF(BK50&lt;&gt;"",
IF(IFERROR(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"")&lt;&gt;0,
IF(IFERROR(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"")="",
0,
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"")),IFERROR(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"")),0)</f>
        <v>0</v>
      </c>
      <c r="BP52" s="80"/>
      <c r="BQ52" s="88" t="str">
        <f t="array" aca="1" ref="BQ52" ca="1">IF(BR50&lt;&gt;"",SUBSTITUTE(ADDRESS(1,
(COLUMN(INDIRECT("数出表_Excel!"&amp;BQ50&amp;1&amp;""))-2 +
MATCH(TRUE, ISNUMBER(--INDIRECT("数出表_Excel!"&amp;BQ50&amp; (MATCH(BV8,数出表_Excel!$A:$A,0)-1) &amp; ":U" &amp; (MATCH(BV8,数出表_Excel!$A:$A,0)-1))), 0))
*2,4),"1",""),"")</f>
        <v/>
      </c>
      <c r="BR52" s="189" t="str">
        <f ca="1">IF(BR53&lt;&gt;"","園児","")</f>
        <v/>
      </c>
      <c r="BS52" s="190"/>
      <c r="BT52" s="193" t="str">
        <f ca="1">IF(BR53&lt;&gt;"","先生","")</f>
        <v/>
      </c>
      <c r="BU52" s="190"/>
      <c r="BV52" s="101">
        <f t="array" aca="1" ref="BV52" ca="1">IF(BR50&lt;&gt;"",
IF(IFERROR(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"")&lt;&gt;0,
IF(IFERROR(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"")="",
0,
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"")),IFERROR(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"")),0)</f>
        <v>0</v>
      </c>
      <c r="BW52" s="80"/>
      <c r="BX52" s="80"/>
      <c r="BY52" s="88" t="str">
        <f t="array" aca="1" ref="BY52" ca="1">IF(BZ50&lt;&gt;"",SUBSTITUTE(ADDRESS(1,
(COLUMN(INDIRECT("数出表_Excel!"&amp;BY50&amp;1&amp;""))-2 +
MATCH(TRUE, ISNUMBER(--INDIRECT("数出表_Excel!"&amp;BY50&amp; (MATCH(CD8,数出表_Excel!$A:$A,0)-1) &amp; ":U" &amp; (MATCH(CD8,数出表_Excel!$A:$A,0)-1))), 0))
*2,4),"1",""),"")</f>
        <v/>
      </c>
      <c r="BZ52" s="189" t="str">
        <f ca="1">IF(BZ53&lt;&gt;"","園児","")</f>
        <v/>
      </c>
      <c r="CA52" s="190"/>
      <c r="CB52" s="193" t="str">
        <f ca="1">IF(BZ53&lt;&gt;"","先生","")</f>
        <v/>
      </c>
      <c r="CC52" s="190"/>
      <c r="CD52" s="101">
        <f t="array" aca="1" ref="CD52" ca="1">IF(BZ50&lt;&gt;"",
IF(IFERROR(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"")&lt;&gt;0,
IF(IFERROR(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"")="",
0,
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"")),IFERROR(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"")),0)</f>
        <v>0</v>
      </c>
      <c r="CE52" s="80"/>
      <c r="CF52" s="88" t="str">
        <f t="array" aca="1" ref="CF52" ca="1">IF(CG50&lt;&gt;"",SUBSTITUTE(ADDRESS(1,
(COLUMN(INDIRECT("数出表_Excel!"&amp;CF50&amp;1&amp;""))-2 +
MATCH(TRUE, ISNUMBER(--INDIRECT("数出表_Excel!"&amp;CF50&amp; (MATCH(CK8,数出表_Excel!$A:$A,0)-1) &amp; ":U" &amp; (MATCH(CK8,数出表_Excel!$A:$A,0)-1))), 0))
*2,4),"1",""),"")</f>
        <v/>
      </c>
      <c r="CG52" s="189" t="str">
        <f ca="1">IF(CG53&lt;&gt;"","園児","")</f>
        <v/>
      </c>
      <c r="CH52" s="190"/>
      <c r="CI52" s="193" t="str">
        <f ca="1">IF(CG53&lt;&gt;"","先生","")</f>
        <v/>
      </c>
      <c r="CJ52" s="190"/>
      <c r="CK52" s="101">
        <f t="array" aca="1" ref="CK52" ca="1">IF(CG50&lt;&gt;"",
IF(IFERROR(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"")&lt;&gt;0,
IF(IFERROR(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"")="",
0,
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"")),IFERROR(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"")),0)</f>
        <v>0</v>
      </c>
      <c r="CL52" s="80"/>
      <c r="CM52" s="80"/>
      <c r="CN52" s="88" t="str">
        <f t="array" aca="1" ref="CN52" ca="1">IF(CO50&lt;&gt;"",SUBSTITUTE(ADDRESS(1,
(COLUMN(INDIRECT("数出表_Excel!"&amp;CN50&amp;1&amp;""))-2 +
MATCH(TRUE, ISNUMBER(--INDIRECT("数出表_Excel!"&amp;CN50&amp; (MATCH(CS8,数出表_Excel!$A:$A,0)-1) &amp; ":U" &amp; (MATCH(CS8,数出表_Excel!$A:$A,0)-1))), 0))
*2,4),"1",""),"")</f>
        <v/>
      </c>
      <c r="CO52" s="189" t="str">
        <f ca="1">IF(CO53&lt;&gt;"","園児","")</f>
        <v/>
      </c>
      <c r="CP52" s="190"/>
      <c r="CQ52" s="193" t="str">
        <f ca="1">IF(CO53&lt;&gt;"","先生","")</f>
        <v/>
      </c>
      <c r="CR52" s="190"/>
      <c r="CS52" s="101">
        <f t="array" aca="1" ref="CS52" ca="1">IF(CO50&lt;&gt;"",
IF(IFERROR(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"")&lt;&gt;0,
IF(IFERROR(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"")="",
0,
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"")),IFERROR(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"")),0)</f>
        <v>0</v>
      </c>
      <c r="CT52" s="80"/>
      <c r="CU52" s="88" t="str">
        <f t="array" aca="1" ref="CU52" ca="1">IF(CV50&lt;&gt;"",SUBSTITUTE(ADDRESS(1,
(COLUMN(INDIRECT("数出表_Excel!"&amp;CU50&amp;1&amp;""))-2 +
MATCH(TRUE, ISNUMBER(--INDIRECT("数出表_Excel!"&amp;CU50&amp; (MATCH(CZ8,数出表_Excel!$A:$A,0)-1) &amp; ":U" &amp; (MATCH(CZ8,数出表_Excel!$A:$A,0)-1))), 0))
*2,4),"1",""),"")</f>
        <v/>
      </c>
      <c r="CV52" s="189" t="str">
        <f ca="1">IF(CV53&lt;&gt;"","園児","")</f>
        <v/>
      </c>
      <c r="CW52" s="190"/>
      <c r="CX52" s="193" t="str">
        <f ca="1">IF(CV53&lt;&gt;"","先生","")</f>
        <v/>
      </c>
      <c r="CY52" s="190"/>
      <c r="CZ52" s="101">
        <f t="array" aca="1" ref="CZ52" ca="1">IF(CV50&lt;&gt;"",
IF(IFERROR(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"")&lt;&gt;0,
IF(IFERROR(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"")="",
0,
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"")),IFERROR(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"")),0)</f>
        <v>0</v>
      </c>
      <c r="DA52" s="80"/>
      <c r="DB52" s="80"/>
      <c r="DC52" s="88" t="str">
        <f t="array" aca="1" ref="DC52" ca="1">IF(DD50&lt;&gt;"",SUBSTITUTE(ADDRESS(1,
(COLUMN(INDIRECT("数出表_Excel!"&amp;DC50&amp;1&amp;""))-2 +
MATCH(TRUE, ISNUMBER(--INDIRECT("数出表_Excel!"&amp;DC50&amp; (MATCH(DH8,数出表_Excel!$A:$A,0)-1) &amp; ":U" &amp; (MATCH(DH8,数出表_Excel!$A:$A,0)-1))), 0))
*2,4),"1",""),"")</f>
        <v/>
      </c>
      <c r="DD52" s="189" t="str">
        <f ca="1">IF(DD53&lt;&gt;"","園児","")</f>
        <v/>
      </c>
      <c r="DE52" s="190"/>
      <c r="DF52" s="193" t="str">
        <f ca="1">IF(DD53&lt;&gt;"","先生","")</f>
        <v/>
      </c>
      <c r="DG52" s="190"/>
      <c r="DH52" s="101">
        <f t="array" aca="1" ref="DH52" ca="1">IF(DD50&lt;&gt;"",
IF(IFERROR(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"")&lt;&gt;0,
IF(IFERROR(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"")="",
0,
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"")),IFERROR(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"")),0)</f>
        <v>0</v>
      </c>
      <c r="DI52" s="80"/>
      <c r="DJ52" s="88" t="str">
        <f t="array" aca="1" ref="DJ52" ca="1">IF(DK50&lt;&gt;"",SUBSTITUTE(ADDRESS(1,
(COLUMN(INDIRECT("数出表_Excel!"&amp;DJ50&amp;1&amp;""))-2 +
MATCH(TRUE, ISNUMBER(--INDIRECT("数出表_Excel!"&amp;DJ50&amp; (MATCH(DO8,数出表_Excel!$A:$A,0)-1) &amp; ":U" &amp; (MATCH(DO8,数出表_Excel!$A:$A,0)-1))), 0))
*2,4),"1",""),"")</f>
        <v/>
      </c>
      <c r="DK52" s="189" t="str">
        <f ca="1">IF(DK53&lt;&gt;"","園児","")</f>
        <v/>
      </c>
      <c r="DL52" s="190"/>
      <c r="DM52" s="193" t="str">
        <f ca="1">IF(DK53&lt;&gt;"","先生","")</f>
        <v/>
      </c>
      <c r="DN52" s="190"/>
      <c r="DO52" s="101">
        <f t="array" aca="1" ref="DO52" ca="1">IF(DK50&lt;&gt;"",
IF(IFERROR(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"")&lt;&gt;0,
IF(IFERROR(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"")="",
0,
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"")),IFERROR(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"")),0)</f>
        <v>0</v>
      </c>
      <c r="DP52" s="80"/>
      <c r="DQ52" s="80"/>
      <c r="DR52" s="88" t="str">
        <f t="array" aca="1" ref="DR52" ca="1">IF(DS50&lt;&gt;"",SUBSTITUTE(ADDRESS(1,
(COLUMN(INDIRECT("数出表_Excel!"&amp;DR50&amp;1&amp;""))-2 +
MATCH(TRUE, ISNUMBER(--INDIRECT("数出表_Excel!"&amp;DR50&amp; (MATCH(DW8,数出表_Excel!$A:$A,0)-1) &amp; ":U" &amp; (MATCH(DW8,数出表_Excel!$A:$A,0)-1))), 0))
*2,4),"1",""),"")</f>
        <v/>
      </c>
      <c r="DS52" s="189" t="str">
        <f ca="1">IF(DS53&lt;&gt;"","園児","")</f>
        <v/>
      </c>
      <c r="DT52" s="190"/>
      <c r="DU52" s="193" t="str">
        <f ca="1">IF(DS53&lt;&gt;"","先生","")</f>
        <v/>
      </c>
      <c r="DV52" s="190"/>
      <c r="DW52" s="101">
        <f t="array" aca="1" ref="DW52" ca="1">IF(DS50&lt;&gt;"",
IF(IFERROR(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"")&lt;&gt;0,
IF(IFERROR(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"")="",
0,
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"")),IFERROR(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"")),0)</f>
        <v>0</v>
      </c>
      <c r="DX52" s="80"/>
      <c r="DY52" s="88" t="str">
        <f t="array" aca="1" ref="DY52" ca="1">IF(DZ50&lt;&gt;"",SUBSTITUTE(ADDRESS(1,
(COLUMN(INDIRECT("数出表_Excel!"&amp;DY50&amp;1&amp;""))-2 +
MATCH(TRUE, ISNUMBER(--INDIRECT("数出表_Excel!"&amp;DY50&amp; (MATCH(ED8,数出表_Excel!$A:$A,0)-1) &amp; ":U" &amp; (MATCH(ED8,数出表_Excel!$A:$A,0)-1))), 0))
*2,4),"1",""),"")</f>
        <v/>
      </c>
      <c r="DZ52" s="189" t="str">
        <f ca="1">IF(DZ53&lt;&gt;"","園児","")</f>
        <v/>
      </c>
      <c r="EA52" s="190"/>
      <c r="EB52" s="193" t="str">
        <f ca="1">IF(DZ53&lt;&gt;"","先生","")</f>
        <v/>
      </c>
      <c r="EC52" s="190"/>
      <c r="ED52" s="101">
        <f t="array" aca="1" ref="ED52" ca="1">IF(DZ50&lt;&gt;"",
IF(IFERROR(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"")&lt;&gt;0,
IF(IFERROR(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"")="",
0,
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"")),IFERROR(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"")),0)</f>
        <v>0</v>
      </c>
      <c r="EE52" s="80"/>
      <c r="EF52" s="80"/>
      <c r="EG52" s="88" t="str">
        <f t="array" aca="1" ref="EG52" ca="1">IF(EH50&lt;&gt;"",SUBSTITUTE(ADDRESS(1,
(COLUMN(INDIRECT("数出表_Excel!"&amp;EG50&amp;1&amp;""))-2 +
MATCH(TRUE, ISNUMBER(--INDIRECT("数出表_Excel!"&amp;EG50&amp; (MATCH(EL8,数出表_Excel!$A:$A,0)-1) &amp; ":U" &amp; (MATCH(EL8,数出表_Excel!$A:$A,0)-1))), 0))
*2,4),"1",""),"")</f>
        <v/>
      </c>
      <c r="EH52" s="189" t="str">
        <f ca="1">IF(EH53&lt;&gt;"","園児","")</f>
        <v/>
      </c>
      <c r="EI52" s="190"/>
      <c r="EJ52" s="193" t="str">
        <f ca="1">IF(EH53&lt;&gt;"","先生","")</f>
        <v/>
      </c>
      <c r="EK52" s="190"/>
      <c r="EL52" s="101">
        <f t="array" aca="1" ref="EL52" ca="1">IF(EH50&lt;&gt;"",
IF(IFERROR(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"")&lt;&gt;0,
IF(IFERROR(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"")="",
0,
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"")),IFERROR(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"")),0)</f>
        <v>0</v>
      </c>
      <c r="EM52" s="80"/>
      <c r="EN52" s="88" t="str">
        <f t="array" aca="1" ref="EN52" ca="1">IF(EO50&lt;&gt;"",SUBSTITUTE(ADDRESS(1,
(COLUMN(INDIRECT("数出表_Excel!"&amp;EN50&amp;1&amp;""))-2 +
MATCH(TRUE, ISNUMBER(--INDIRECT("数出表_Excel!"&amp;EN50&amp; (MATCH(ES8,数出表_Excel!$A:$A,0)-1) &amp; ":U" &amp; (MATCH(ES8,数出表_Excel!$A:$A,0)-1))), 0))
*2,4),"1",""),"")</f>
        <v/>
      </c>
      <c r="EO52" s="189" t="str">
        <f ca="1">IF(EO53&lt;&gt;"","園児","")</f>
        <v/>
      </c>
      <c r="EP52" s="190"/>
      <c r="EQ52" s="193" t="str">
        <f ca="1">IF(EO53&lt;&gt;"","先生","")</f>
        <v/>
      </c>
      <c r="ER52" s="190"/>
      <c r="ES52" s="101">
        <f t="array" aca="1" ref="ES52" ca="1">IF(EO50&lt;&gt;"",
IF(IFERROR(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"")&lt;&gt;0,
IF(IFERROR(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"")="",
0,
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"")),IFERROR(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"")),0)</f>
        <v>0</v>
      </c>
      <c r="ET52" s="110"/>
      <c r="EU52" s="82">
        <v>42</v>
      </c>
      <c r="EV52" s="82" t="str">
        <f t="array" aca="1" ref="EV52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LEN(SUBSTITUTE(_xlfn.FORMULATEXT(EV$51),"=","")))+$EU52)</f>
        <v/>
      </c>
      <c r="EW52" s="82" t="str">
        <f t="array" aca="1" ref="EW52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LEN(SUBSTITUTE(_xlfn.FORMULATEXT(EW$51),"=","")))+$EU52)</f>
        <v/>
      </c>
      <c r="EX52" s="82" t="str">
        <f t="array" aca="1" ref="EX52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LEN(SUBSTITUTE(_xlfn.FORMULATEXT(EX$51),"=","")))+$EU52)</f>
        <v/>
      </c>
      <c r="EY52" s="82" t="str">
        <f t="array" aca="1" ref="EY52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LEN(SUBSTITUTE(_xlfn.FORMULATEXT(EY$51),"=","")))+$EU52)</f>
        <v/>
      </c>
      <c r="EZ52" s="82" t="str">
        <f t="array" aca="1" ref="EZ52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LEN(SUBSTITUTE(_xlfn.FORMULATEXT(EZ$51),"=","")))+$EU52)</f>
        <v/>
      </c>
      <c r="FA52" s="82" t="str">
        <f t="array" aca="1" ref="FA52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LEN(SUBSTITUTE(_xlfn.FORMULATEXT(FA$51),"=","")))+$EU52)</f>
        <v/>
      </c>
      <c r="FB52" s="82" t="str">
        <f t="array" aca="1" ref="FB52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LEN(SUBSTITUTE(_xlfn.FORMULATEXT(FB$51),"=","")))+$EU52)</f>
        <v/>
      </c>
      <c r="FC52" s="82" t="str">
        <f t="array" aca="1" ref="FC52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LEN(SUBSTITUTE(_xlfn.FORMULATEXT(FC$51),"=","")))+$EU52)</f>
        <v/>
      </c>
      <c r="FD52" s="82" t="str">
        <f t="array" aca="1" ref="FD52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LEN(SUBSTITUTE(_xlfn.FORMULATEXT(FD$51),"=","")))+$EU52)</f>
        <v/>
      </c>
      <c r="FE52" s="82" t="str">
        <f t="array" aca="1" ref="FE52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LEN(SUBSTITUTE(_xlfn.FORMULATEXT(FE$51),"=","")))+$EU52)</f>
        <v/>
      </c>
      <c r="FF52" s="82" t="str">
        <f t="array" aca="1" ref="FF52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LEN(SUBSTITUTE(_xlfn.FORMULATEXT(FF$51),"=","")))+$EU52)</f>
        <v/>
      </c>
      <c r="FG52" s="82">
        <f t="shared" ca="1" si="3"/>
        <v>0</v>
      </c>
      <c r="FH52" s="82" t="b">
        <f t="array" aca="1" ref="FH52" ca="1">SUMPRODUCT((LEN(EV52:FF52)&gt;0)*1)&gt;0</f>
        <v>0</v>
      </c>
      <c r="FI52" s="82" t="str">
        <f t="array" aca="1" ref="FI52" ca="1">IFERROR(SMALL(IF(FG$1:FG$173&lt;&gt;0,FG$1:FG$173),ROW(A52)),"")</f>
        <v/>
      </c>
      <c r="FJ52" s="82" t="str">
        <f t="array" aca="1" ref="FJ52" ca="1">IF($FI52&lt;&gt;"",
INDIRECT(""&amp;IF(COLUMN(EV52)&lt;=26,CHAR(COLUMN(EV52)+64),CHAR(INT((COLUMN(EV52)-1)/26)+64)&amp;CHAR(MOD(COLUMN(EV52)-1,26)+65))&amp;$FI52&amp;""),"")</f>
        <v/>
      </c>
      <c r="FK52" s="82" t="str">
        <f t="array" aca="1" ref="FK52" ca="1">IF($FI52&lt;&gt;"",
INDIRECT(""&amp;IF(COLUMN(EW52)&lt;=26,CHAR(COLUMN(EW52)+64),CHAR(INT((COLUMN(EW52)-1)/26)+64)&amp;CHAR(MOD(COLUMN(EW52)-1,26)+65))&amp;$FI52&amp;""),"")</f>
        <v/>
      </c>
      <c r="FL52" s="82" t="str">
        <f t="array" aca="1" ref="FL52" ca="1">IF($FI52&lt;&gt;"",
INDIRECT(""&amp;IF(COLUMN(EX52)&lt;=26,CHAR(COLUMN(EX52)+64),CHAR(INT((COLUMN(EX52)-1)/26)+64)&amp;CHAR(MOD(COLUMN(EX52)-1,26)+65))&amp;$FI52&amp;""),"")</f>
        <v/>
      </c>
      <c r="FM52" s="82" t="str">
        <f t="array" aca="1" ref="FM52" ca="1">IF($FI52&lt;&gt;"",
IF(FL52="",
IF(INDIRECT("EY"&amp;$FI52&amp;"")&lt;&gt;"",
INDIRECT("EY"&amp;$FI52&amp;"")&amp;"箱"
&amp;INDIRECT("EZ"&amp;$FI52&amp;""),""),""),"")</f>
        <v/>
      </c>
      <c r="FN52" s="82" t="str">
        <f t="array" aca="1" ref="FN52" ca="1">IF($FI52&lt;&gt;"",
INDIRECT(""&amp;IF(COLUMN(FA52)&lt;=26,CHAR(COLUMN(FA52)+64),CHAR(INT((COLUMN(FA52)-1)/26)+64)&amp;CHAR(MOD(COLUMN(FA52)-1,26)+65))&amp;$FI52&amp;""),"")</f>
        <v/>
      </c>
      <c r="FO52" s="82" t="str">
        <f t="array" aca="1" ref="FO52" ca="1">IF($FI52&lt;&gt;"",
INDIRECT(""&amp;IF(COLUMN(FB52)&lt;=26,CHAR(COLUMN(FB52)+64),CHAR(INT((COLUMN(FB52)-1)/26)+64)&amp;CHAR(MOD(COLUMN(FB52)-1,26)+65))&amp;$FI52&amp;""),"")</f>
        <v/>
      </c>
      <c r="FP52" s="82" t="str">
        <f t="array" aca="1" ref="FP52" ca="1">IF($FI52&lt;&gt;"",
INDIRECT(""&amp;IF(COLUMN(FC52)&lt;=26,CHAR(COLUMN(FC52)+64),CHAR(INT((COLUMN(FC52)-1)/26)+64)&amp;CHAR(MOD(COLUMN(FC52)-1,26)+65))&amp;$FI52&amp;""),"")</f>
        <v/>
      </c>
      <c r="FQ52" s="82" t="str">
        <f t="array" aca="1" ref="FQ52" ca="1">IF($FI52&lt;&gt;"",
INDIRECT(""&amp;IF(COLUMN(FD52)&lt;=26,CHAR(COLUMN(FD52)+64),CHAR(INT((COLUMN(FD52)-1)/26)+64)&amp;CHAR(MOD(COLUMN(FD52)-1,26)+65))&amp;$FI52&amp;""),"")</f>
        <v/>
      </c>
      <c r="FR52" s="82" t="str">
        <f t="array" aca="1" ref="FR52" ca="1">IF($FI52&lt;&gt;"",
INDIRECT(""&amp;IF(COLUMN(FE52)&lt;=26,CHAR(COLUMN(FE52)+64),CHAR(INT((COLUMN(FE52)-1)/26)+64)&amp;CHAR(MOD(COLUMN(FE52)-1,26)+65))&amp;$FI52&amp;""),"")</f>
        <v/>
      </c>
      <c r="FS52" s="82" t="str">
        <f t="array" aca="1" ref="FS52" ca="1">IF($FI52&lt;&gt;"",
INDIRECT(""&amp;IF(COLUMN(FF52)&lt;=26,CHAR(COLUMN(FF52)+64),CHAR(INT((COLUMN(FF52)-1)/26)+64)&amp;CHAR(MOD(COLUMN(FF52)-1,26)+65))&amp;$FI52&amp;""),"")</f>
        <v/>
      </c>
    </row>
    <row r="53" spans="1:175" ht="18" customHeight="1" x14ac:dyDescent="0.45">
      <c r="B53" s="90"/>
      <c r="C53" s="185" t="str">
        <f t="array" aca="1" ref="C53" ca="1">IF(C51&lt;&gt;"",
IF(IFERROR(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"")=0,"",
IF(B10=100,
IFERROR(
INDEX(INDIRECT("数出表_Excel!"&amp;B50&amp;MATCH(G8,数出表_Excel!$A:$A,0)-1+2&amp;":U"&amp;MATCH(G8,数出表_Excel!$A:$A,0)-1+2&amp;""),
 1,
 MATCH(TRUE, ISNUMBER(--INDIRECT("数出表_Excel!"&amp;B50&amp;MATCH(G8,数出表_Excel!$A:$A,0)-1+2&amp;":U"&amp;MATCH(G8,数出表_Excel!$A:$A,0)-1+2&amp;"")), 0)),
 "")
+IFERROR(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""))),"")</f>
        <v/>
      </c>
      <c r="D53" s="186"/>
      <c r="E53" s="188" t="str">
        <f t="array" aca="1" ref="E53" ca="1">IF(C9&lt;&gt;"",
IF(IFERROR(
INDEX(INDIRECT("数出表_Excel!B"&amp;MATCH(G8,数出表_Excel!$A:$A,0)&amp;":U"&amp;MATCH(G8,数出表_Excel!$A:$A,0)&amp;""),
 1,B51-1),
 "")=0,"",
IFERROR(
INDEX(INDIRECT("数出表_Excel!B"&amp;MATCH(G8,数出表_Excel!$A:$A,0)&amp;":U"&amp;MATCH(G8,数出表_Excel!$A:$A,0)&amp;""),
 1,B51-1),
 "")),"")</f>
        <v/>
      </c>
      <c r="F53" s="186"/>
      <c r="G53" s="101" t="e">
        <f t="array" aca="1" ref="G53" ca="1">IF(B10=100,
IF(C50&lt;&gt;"",
IF(IFERROR(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"")&lt;&gt;0,
IF(IFERROR(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"")="",
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""),
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"")),0),""),0)</f>
        <v>#N/A</v>
      </c>
      <c r="I53" s="90"/>
      <c r="J53" s="185" t="str">
        <f t="array" aca="1" ref="J53" ca="1">IF(J51&lt;&gt;"",
IF(IFERROR(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"")=0,"",
IF(I10=100,
IFERROR(
INDEX(INDIRECT("数出表_Excel!"&amp;I50&amp;MATCH(N8,数出表_Excel!$A:$A,0)-1+2&amp;":U"&amp;MATCH(N8,数出表_Excel!$A:$A,0)-1+2&amp;""),
 1,
 MATCH(TRUE, ISNUMBER(--INDIRECT("数出表_Excel!"&amp;I50&amp;MATCH(N8,数出表_Excel!$A:$A,0)-1+2&amp;":U"&amp;MATCH(N8,数出表_Excel!$A:$A,0)-1+2&amp;"")), 0)),
 "")
+IFERROR(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""))),"")</f>
        <v/>
      </c>
      <c r="K53" s="186"/>
      <c r="L53" s="188" t="str">
        <f t="array" aca="1" ref="L53" ca="1">IF(J9&lt;&gt;"",
IF(IFERROR(
INDEX(INDIRECT("数出表_Excel!B"&amp;MATCH(N8,数出表_Excel!$A:$A,0)&amp;":U"&amp;MATCH(N8,数出表_Excel!$A:$A,0)&amp;""),
 1,I51-1),
 "")=0,"",
IFERROR(
INDEX(INDIRECT("数出表_Excel!B"&amp;MATCH(N8,数出表_Excel!$A:$A,0)&amp;":U"&amp;MATCH(N8,数出表_Excel!$A:$A,0)&amp;""),
 1,I51-1),
 "")),"")</f>
        <v/>
      </c>
      <c r="M53" s="186"/>
      <c r="N53" s="101" t="e">
        <f t="array" aca="1" ref="N53" ca="1">IF(I10=100,
IF(J50&lt;&gt;"",
IF(IFERROR(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"")&lt;&gt;0,
IF(IFERROR(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"")="",
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""),
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"")),0),""),0)</f>
        <v>#N/A</v>
      </c>
      <c r="Q53" s="90"/>
      <c r="R53" s="185" t="str">
        <f t="array" aca="1" ref="R53" ca="1">IF(R51&lt;&gt;"",
IF(IFERROR(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"")=0,"",
IF(Q10=100,
IFERROR(
INDEX(INDIRECT("数出表_Excel!"&amp;Q50&amp;MATCH(V8,数出表_Excel!$A:$A,0)-1+2&amp;":U"&amp;MATCH(V8,数出表_Excel!$A:$A,0)-1+2&amp;""),
 1,
 MATCH(TRUE, ISNUMBER(--INDIRECT("数出表_Excel!"&amp;Q50&amp;MATCH(V8,数出表_Excel!$A:$A,0)-1+2&amp;":U"&amp;MATCH(V8,数出表_Excel!$A:$A,0)-1+2&amp;"")), 0)),
 "")
+IFERROR(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""))),"")</f>
        <v/>
      </c>
      <c r="S53" s="186"/>
      <c r="T53" s="188" t="str">
        <f t="array" aca="1" ref="T53" ca="1">IF(R9&lt;&gt;"",
IF(IFERROR(
INDEX(INDIRECT("数出表_Excel!B"&amp;MATCH(V8,数出表_Excel!$A:$A,0)&amp;":U"&amp;MATCH(V8,数出表_Excel!$A:$A,0)&amp;""),
 1,Q51-1),
 "")=0,"",
IFERROR(
INDEX(INDIRECT("数出表_Excel!B"&amp;MATCH(V8,数出表_Excel!$A:$A,0)&amp;":U"&amp;MATCH(V8,数出表_Excel!$A:$A,0)&amp;""),
 1,Q51-1),
 "")),"")</f>
        <v/>
      </c>
      <c r="U53" s="186"/>
      <c r="V53" s="101" t="e">
        <f t="array" aca="1" ref="V53" ca="1">IF(Q10=100,
IF(R50&lt;&gt;"",
IF(IFERROR(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"")&lt;&gt;0,
IF(IFERROR(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"")="",
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""),
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"")),0),""),0)</f>
        <v>#N/A</v>
      </c>
      <c r="X53" s="90"/>
      <c r="Y53" s="185" t="str">
        <f t="array" aca="1" ref="Y53" ca="1">IF(Y51&lt;&gt;"",
IF(IFERROR(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"")=0,"",
IF(X10=100,
IFERROR(
INDEX(INDIRECT("数出表_Excel!"&amp;X50&amp;MATCH(AC8,数出表_Excel!$A:$A,0)-1+2&amp;":U"&amp;MATCH(AC8,数出表_Excel!$A:$A,0)-1+2&amp;""),
 1,
 MATCH(TRUE, ISNUMBER(--INDIRECT("数出表_Excel!"&amp;X50&amp;MATCH(AC8,数出表_Excel!$A:$A,0)-1+2&amp;":U"&amp;MATCH(AC8,数出表_Excel!$A:$A,0)-1+2&amp;"")), 0)),
 "")
+IFERROR(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""))),"")</f>
        <v/>
      </c>
      <c r="Z53" s="186"/>
      <c r="AA53" s="188" t="str">
        <f t="array" aca="1" ref="AA53" ca="1">IF(Y9&lt;&gt;"",
IF(IFERROR(
INDEX(INDIRECT("数出表_Excel!B"&amp;MATCH(AC8,数出表_Excel!$A:$A,0)&amp;":U"&amp;MATCH(AC8,数出表_Excel!$A:$A,0)&amp;""),
 1,X51-1),
 "")=0,"",
IFERROR(
INDEX(INDIRECT("数出表_Excel!B"&amp;MATCH(AC8,数出表_Excel!$A:$A,0)&amp;":U"&amp;MATCH(AC8,数出表_Excel!$A:$A,0)&amp;""),
 1,X51-1),
 "")),"")</f>
        <v/>
      </c>
      <c r="AB53" s="186"/>
      <c r="AC53" s="101" t="e">
        <f t="array" aca="1" ref="AC53" ca="1">IF(X10=100,
IF(Y50&lt;&gt;"",
IF(IFERROR(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"")&lt;&gt;0,
IF(IFERROR(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"")="",
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""),
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"")),0),""),0)</f>
        <v>#N/A</v>
      </c>
      <c r="AF53" s="90"/>
      <c r="AG53" s="185" t="str">
        <f t="array" aca="1" ref="AG53" ca="1">IF(AG51&lt;&gt;"",
IF(IFERROR(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"")=0,"",
IF(AF10=100,
IFERROR(
INDEX(INDIRECT("数出表_Excel!"&amp;AF50&amp;MATCH(AK8,数出表_Excel!$A:$A,0)-1+2&amp;":U"&amp;MATCH(AK8,数出表_Excel!$A:$A,0)-1+2&amp;""),
 1,
 MATCH(TRUE, ISNUMBER(--INDIRECT("数出表_Excel!"&amp;AF50&amp;MATCH(AK8,数出表_Excel!$A:$A,0)-1+2&amp;":U"&amp;MATCH(AK8,数出表_Excel!$A:$A,0)-1+2&amp;"")), 0)),
 "")
+IFERROR(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""))),"")</f>
        <v/>
      </c>
      <c r="AH53" s="186"/>
      <c r="AI53" s="188" t="str">
        <f t="array" aca="1" ref="AI53" ca="1">IF(AG9&lt;&gt;"",
IF(IFERROR(
INDEX(INDIRECT("数出表_Excel!B"&amp;MATCH(AK8,数出表_Excel!$A:$A,0)&amp;":U"&amp;MATCH(AK8,数出表_Excel!$A:$A,0)&amp;""),
 1,AF51-1),
 "")=0,"",
IFERROR(
INDEX(INDIRECT("数出表_Excel!B"&amp;MATCH(AK8,数出表_Excel!$A:$A,0)&amp;":U"&amp;MATCH(AK8,数出表_Excel!$A:$A,0)&amp;""),
 1,AF51-1),
 "")),"")</f>
        <v/>
      </c>
      <c r="AJ53" s="186"/>
      <c r="AK53" s="101" t="e">
        <f t="array" aca="1" ref="AK53" ca="1">IF(AF10=100,
IF(AG50&lt;&gt;"",
IF(IFERROR(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"")&lt;&gt;0,
IF(IFERROR(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"")="",
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""),
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"")),0),""),0)</f>
        <v>#N/A</v>
      </c>
      <c r="AM53" s="90"/>
      <c r="AN53" s="185" t="str">
        <f t="array" aca="1" ref="AN53" ca="1">IF(AN51&lt;&gt;"",
IF(IFERROR(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"")=0,"",
IF(AM10=100,
IFERROR(
INDEX(INDIRECT("数出表_Excel!"&amp;AM50&amp;MATCH(AR8,数出表_Excel!$A:$A,0)-1+2&amp;":U"&amp;MATCH(AR8,数出表_Excel!$A:$A,0)-1+2&amp;""),
 1,
 MATCH(TRUE, ISNUMBER(--INDIRECT("数出表_Excel!"&amp;AM50&amp;MATCH(AR8,数出表_Excel!$A:$A,0)-1+2&amp;":U"&amp;MATCH(AR8,数出表_Excel!$A:$A,0)-1+2&amp;"")), 0)),
 "")
+IFERROR(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""))),"")</f>
        <v/>
      </c>
      <c r="AO53" s="186"/>
      <c r="AP53" s="188" t="str">
        <f t="array" aca="1" ref="AP53" ca="1">IF(AN9&lt;&gt;"",
IF(IFERROR(
INDEX(INDIRECT("数出表_Excel!B"&amp;MATCH(AR8,数出表_Excel!$A:$A,0)&amp;":U"&amp;MATCH(AR8,数出表_Excel!$A:$A,0)&amp;""),
 1,AM51-1),
 "")=0,"",
IFERROR(
INDEX(INDIRECT("数出表_Excel!B"&amp;MATCH(AR8,数出表_Excel!$A:$A,0)&amp;":U"&amp;MATCH(AR8,数出表_Excel!$A:$A,0)&amp;""),
 1,AM51-1),
 "")),"")</f>
        <v/>
      </c>
      <c r="AQ53" s="186"/>
      <c r="AR53" s="101" t="e">
        <f t="array" aca="1" ref="AR53" ca="1">IF(AM10=100,
IF(AN50&lt;&gt;"",
IF(IFERROR(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"")&lt;&gt;0,
IF(IFERROR(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"")="",
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""),
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"")),0),""),0)</f>
        <v>#N/A</v>
      </c>
      <c r="AU53" s="90"/>
      <c r="AV53" s="185" t="str">
        <f t="array" aca="1" ref="AV53" ca="1">IF(AV51&lt;&gt;"",
IF(IFERROR(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"")=0,"",
IF(AU10=100,
IFERROR(
INDEX(INDIRECT("数出表_Excel!"&amp;AU50&amp;MATCH(AZ8,数出表_Excel!$A:$A,0)-1+2&amp;":U"&amp;MATCH(AZ8,数出表_Excel!$A:$A,0)-1+2&amp;""),
 1,
 MATCH(TRUE, ISNUMBER(--INDIRECT("数出表_Excel!"&amp;AU50&amp;MATCH(AZ8,数出表_Excel!$A:$A,0)-1+2&amp;":U"&amp;MATCH(AZ8,数出表_Excel!$A:$A,0)-1+2&amp;"")), 0)),
 "")
+IFERROR(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""))),"")</f>
        <v/>
      </c>
      <c r="AW53" s="186"/>
      <c r="AX53" s="188" t="str">
        <f t="array" aca="1" ref="AX53" ca="1">IF(AV9&lt;&gt;"",
IF(IFERROR(
INDEX(INDIRECT("数出表_Excel!B"&amp;MATCH(AZ8,数出表_Excel!$A:$A,0)&amp;":U"&amp;MATCH(AZ8,数出表_Excel!$A:$A,0)&amp;""),
 1,AU51-1),
 "")=0,"",
IFERROR(
INDEX(INDIRECT("数出表_Excel!B"&amp;MATCH(AZ8,数出表_Excel!$A:$A,0)&amp;":U"&amp;MATCH(AZ8,数出表_Excel!$A:$A,0)&amp;""),
 1,AU51-1),
 "")),"")</f>
        <v/>
      </c>
      <c r="AY53" s="186"/>
      <c r="AZ53" s="101" t="e">
        <f t="array" aca="1" ref="AZ53" ca="1">IF(AU10=100,
IF(AV50&lt;&gt;"",
IF(IFERROR(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"")&lt;&gt;0,
IF(IFERROR(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"")="",
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""),
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"")),0),""),0)</f>
        <v>#N/A</v>
      </c>
      <c r="BB53" s="90"/>
      <c r="BC53" s="185" t="str">
        <f t="array" aca="1" ref="BC53" ca="1">IF(BC51&lt;&gt;"",
IF(IFERROR(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"")=0,"",
IF(BB10=100,
IFERROR(
INDEX(INDIRECT("数出表_Excel!"&amp;BB50&amp;MATCH(BG8,数出表_Excel!$A:$A,0)-1+2&amp;":U"&amp;MATCH(BG8,数出表_Excel!$A:$A,0)-1+2&amp;""),
 1,
 MATCH(TRUE, ISNUMBER(--INDIRECT("数出表_Excel!"&amp;BB50&amp;MATCH(BG8,数出表_Excel!$A:$A,0)-1+2&amp;":U"&amp;MATCH(BG8,数出表_Excel!$A:$A,0)-1+2&amp;"")), 0)),
 "")
+IFERROR(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""))),"")</f>
        <v/>
      </c>
      <c r="BD53" s="186"/>
      <c r="BE53" s="188" t="str">
        <f t="array" aca="1" ref="BE53" ca="1">IF(BC9&lt;&gt;"",
IF(IFERROR(
INDEX(INDIRECT("数出表_Excel!B"&amp;MATCH(BG8,数出表_Excel!$A:$A,0)&amp;":U"&amp;MATCH(BG8,数出表_Excel!$A:$A,0)&amp;""),
 1,BB51-1),
 "")=0,"",
IFERROR(
INDEX(INDIRECT("数出表_Excel!B"&amp;MATCH(BG8,数出表_Excel!$A:$A,0)&amp;":U"&amp;MATCH(BG8,数出表_Excel!$A:$A,0)&amp;""),
 1,BB51-1),
 "")),"")</f>
        <v/>
      </c>
      <c r="BF53" s="186"/>
      <c r="BG53" s="101" t="e">
        <f t="array" aca="1" ref="BG53" ca="1">IF(BB10=100,
IF(BC50&lt;&gt;"",
IF(IFERROR(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"")&lt;&gt;0,
IF(IFERROR(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"")="",
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""),
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"")),0),""),0)</f>
        <v>#N/A</v>
      </c>
      <c r="BJ53" s="90"/>
      <c r="BK53" s="185" t="str">
        <f t="array" aca="1" ref="BK53" ca="1">IF(BK51&lt;&gt;"",
IF(IFERROR(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"")=0,"",
IF(BJ10=100,
IFERROR(
INDEX(INDIRECT("数出表_Excel!"&amp;BJ50&amp;MATCH(BO8,数出表_Excel!$A:$A,0)-1+2&amp;":U"&amp;MATCH(BO8,数出表_Excel!$A:$A,0)-1+2&amp;""),
 1,
 MATCH(TRUE, ISNUMBER(--INDIRECT("数出表_Excel!"&amp;BJ50&amp;MATCH(BO8,数出表_Excel!$A:$A,0)-1+2&amp;":U"&amp;MATCH(BO8,数出表_Excel!$A:$A,0)-1+2&amp;"")), 0)),
 "")
+IFERROR(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""))),"")</f>
        <v/>
      </c>
      <c r="BL53" s="186"/>
      <c r="BM53" s="188" t="str">
        <f t="array" aca="1" ref="BM53" ca="1">IF(BK9&lt;&gt;"",
IF(IFERROR(
INDEX(INDIRECT("数出表_Excel!B"&amp;MATCH(BO8,数出表_Excel!$A:$A,0)&amp;":U"&amp;MATCH(BO8,数出表_Excel!$A:$A,0)&amp;""),
 1,BJ51-1),
 "")=0,"",
IFERROR(
INDEX(INDIRECT("数出表_Excel!B"&amp;MATCH(BO8,数出表_Excel!$A:$A,0)&amp;":U"&amp;MATCH(BO8,数出表_Excel!$A:$A,0)&amp;""),
 1,BJ51-1),
 "")),"")</f>
        <v/>
      </c>
      <c r="BN53" s="186"/>
      <c r="BO53" s="101" t="e">
        <f t="array" aca="1" ref="BO53" ca="1">IF(BJ10=100,
IF(BK50&lt;&gt;"",
IF(IFERROR(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"")&lt;&gt;0,
IF(IFERROR(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"")="",
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""),
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"")),0),""),0)</f>
        <v>#N/A</v>
      </c>
      <c r="BQ53" s="90"/>
      <c r="BR53" s="185" t="str">
        <f t="array" aca="1" ref="BR53" ca="1">IF(BR51&lt;&gt;"",
IF(IFERROR(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"")=0,"",
IF(BQ10=100,
IFERROR(
INDEX(INDIRECT("数出表_Excel!"&amp;BQ50&amp;MATCH(BV8,数出表_Excel!$A:$A,0)-1+2&amp;":U"&amp;MATCH(BV8,数出表_Excel!$A:$A,0)-1+2&amp;""),
 1,
 MATCH(TRUE, ISNUMBER(--INDIRECT("数出表_Excel!"&amp;BQ50&amp;MATCH(BV8,数出表_Excel!$A:$A,0)-1+2&amp;":U"&amp;MATCH(BV8,数出表_Excel!$A:$A,0)-1+2&amp;"")), 0)),
 "")
+IFERROR(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""))),"")</f>
        <v/>
      </c>
      <c r="BS53" s="186"/>
      <c r="BT53" s="188" t="str">
        <f t="array" aca="1" ref="BT53" ca="1">IF(BR9&lt;&gt;"",
IF(IFERROR(
INDEX(INDIRECT("数出表_Excel!B"&amp;MATCH(BV8,数出表_Excel!$A:$A,0)&amp;":U"&amp;MATCH(BV8,数出表_Excel!$A:$A,0)&amp;""),
 1,BQ51-1),
 "")=0,"",
IFERROR(
INDEX(INDIRECT("数出表_Excel!B"&amp;MATCH(BV8,数出表_Excel!$A:$A,0)&amp;":U"&amp;MATCH(BV8,数出表_Excel!$A:$A,0)&amp;""),
 1,BQ51-1),
 "")),"")</f>
        <v/>
      </c>
      <c r="BU53" s="186"/>
      <c r="BV53" s="101" t="e">
        <f t="array" aca="1" ref="BV53" ca="1">IF(BQ10=100,
IF(BR50&lt;&gt;"",
IF(IFERROR(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"")&lt;&gt;0,
IF(IFERROR(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"")="",
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""),
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"")),0),""),0)</f>
        <v>#N/A</v>
      </c>
      <c r="BY53" s="90"/>
      <c r="BZ53" s="185" t="str">
        <f t="array" aca="1" ref="BZ53" ca="1">IF(BZ51&lt;&gt;"",
IF(IFERROR(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"")=0,"",
IF(BY10=100,
IFERROR(
INDEX(INDIRECT("数出表_Excel!"&amp;BY50&amp;MATCH(CD8,数出表_Excel!$A:$A,0)-1+2&amp;":U"&amp;MATCH(CD8,数出表_Excel!$A:$A,0)-1+2&amp;""),
 1,
 MATCH(TRUE, ISNUMBER(--INDIRECT("数出表_Excel!"&amp;BY50&amp;MATCH(CD8,数出表_Excel!$A:$A,0)-1+2&amp;":U"&amp;MATCH(CD8,数出表_Excel!$A:$A,0)-1+2&amp;"")), 0)),
 "")
+IFERROR(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""),
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""))),"")</f>
        <v/>
      </c>
      <c r="CA53" s="186"/>
      <c r="CB53" s="188" t="str">
        <f t="array" aca="1" ref="CB53" ca="1">IF(BZ9&lt;&gt;"",
IF(IFERROR(
INDEX(INDIRECT("数出表_Excel!B"&amp;MATCH(CD8,数出表_Excel!$A:$A,0)&amp;":U"&amp;MATCH(CD8,数出表_Excel!$A:$A,0)&amp;""),
 1,BY51-1),
 "")=0,"",
IFERROR(
INDEX(INDIRECT("数出表_Excel!B"&amp;MATCH(CD8,数出表_Excel!$A:$A,0)&amp;":U"&amp;MATCH(CD8,数出表_Excel!$A:$A,0)&amp;""),
 1,BY51-1),
 "")),"")</f>
        <v/>
      </c>
      <c r="CC53" s="186"/>
      <c r="CD53" s="101" t="e">
        <f t="array" aca="1" ref="CD53" ca="1">IF(BY10=100,
IF(BZ50&lt;&gt;"",
IF(IFERROR(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"")&lt;&gt;0,
IF(IFERROR(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"")="",
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""),
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"")),0),""),0)</f>
        <v>#N/A</v>
      </c>
      <c r="CF53" s="90"/>
      <c r="CG53" s="185" t="str">
        <f t="array" aca="1" ref="CG53" ca="1">IF(CG51&lt;&gt;"",
IF(IFERROR(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"")=0,"",
IF(CF10=100,
IFERROR(
INDEX(INDIRECT("数出表_Excel!"&amp;CF50&amp;MATCH(CK8,数出表_Excel!$A:$A,0)-1+2&amp;":U"&amp;MATCH(CK8,数出表_Excel!$A:$A,0)-1+2&amp;""),
 1,
 MATCH(TRUE, ISNUMBER(--INDIRECT("数出表_Excel!"&amp;CF50&amp;MATCH(CK8,数出表_Excel!$A:$A,0)-1+2&amp;":U"&amp;MATCH(CK8,数出表_Excel!$A:$A,0)-1+2&amp;"")), 0)),
 "")
+IFERROR(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""),
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""))),"")</f>
        <v/>
      </c>
      <c r="CH53" s="186"/>
      <c r="CI53" s="188" t="str">
        <f t="array" aca="1" ref="CI53" ca="1">IF(CG9&lt;&gt;"",
IF(IFERROR(
INDEX(INDIRECT("数出表_Excel!B"&amp;MATCH(CK8,数出表_Excel!$A:$A,0)&amp;":U"&amp;MATCH(CK8,数出表_Excel!$A:$A,0)&amp;""),
 1,CF51-1),
 "")=0,"",
IFERROR(
INDEX(INDIRECT("数出表_Excel!B"&amp;MATCH(CK8,数出表_Excel!$A:$A,0)&amp;":U"&amp;MATCH(CK8,数出表_Excel!$A:$A,0)&amp;""),
 1,CF51-1),
 "")),"")</f>
        <v/>
      </c>
      <c r="CJ53" s="186"/>
      <c r="CK53" s="101" t="e">
        <f t="array" aca="1" ref="CK53" ca="1">IF(CF10=100,
IF(CG50&lt;&gt;"",
IF(IFERROR(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"")&lt;&gt;0,
IF(IFERROR(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"")="",
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""),
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"")),0),""),0)</f>
        <v>#N/A</v>
      </c>
      <c r="CN53" s="90"/>
      <c r="CO53" s="185" t="str">
        <f t="array" aca="1" ref="CO53" ca="1">IF(CO51&lt;&gt;"",
IF(IFERROR(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"")=0,"",
IF(CN10=100,
IFERROR(
INDEX(INDIRECT("数出表_Excel!"&amp;CN50&amp;MATCH(CS8,数出表_Excel!$A:$A,0)-1+2&amp;":U"&amp;MATCH(CS8,数出表_Excel!$A:$A,0)-1+2&amp;""),
 1,
 MATCH(TRUE, ISNUMBER(--INDIRECT("数出表_Excel!"&amp;CN50&amp;MATCH(CS8,数出表_Excel!$A:$A,0)-1+2&amp;":U"&amp;MATCH(CS8,数出表_Excel!$A:$A,0)-1+2&amp;"")), 0)),
 "")
+IFERROR(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""),
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""))),"")</f>
        <v/>
      </c>
      <c r="CP53" s="186"/>
      <c r="CQ53" s="188" t="str">
        <f t="array" aca="1" ref="CQ53" ca="1">IF(CO9&lt;&gt;"",
IF(IFERROR(
INDEX(INDIRECT("数出表_Excel!B"&amp;MATCH(CS8,数出表_Excel!$A:$A,0)&amp;":U"&amp;MATCH(CS8,数出表_Excel!$A:$A,0)&amp;""),
 1,CN51-1),
 "")=0,"",
IFERROR(
INDEX(INDIRECT("数出表_Excel!B"&amp;MATCH(CS8,数出表_Excel!$A:$A,0)&amp;":U"&amp;MATCH(CS8,数出表_Excel!$A:$A,0)&amp;""),
 1,CN51-1),
 "")),"")</f>
        <v/>
      </c>
      <c r="CR53" s="186"/>
      <c r="CS53" s="101" t="e">
        <f t="array" aca="1" ref="CS53" ca="1">IF(CN10=100,
IF(CO50&lt;&gt;"",
IF(IFERROR(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"")&lt;&gt;0,
IF(IFERROR(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"")="",
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""),
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"")),0),""),0)</f>
        <v>#N/A</v>
      </c>
      <c r="CU53" s="90"/>
      <c r="CV53" s="185" t="str">
        <f t="array" aca="1" ref="CV53" ca="1">IF(CV51&lt;&gt;"",
IF(IFERROR(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"")=0,"",
IF(CU10=100,
IFERROR(
INDEX(INDIRECT("数出表_Excel!"&amp;CU50&amp;MATCH(CZ8,数出表_Excel!$A:$A,0)-1+2&amp;":U"&amp;MATCH(CZ8,数出表_Excel!$A:$A,0)-1+2&amp;""),
 1,
 MATCH(TRUE, ISNUMBER(--INDIRECT("数出表_Excel!"&amp;CU50&amp;MATCH(CZ8,数出表_Excel!$A:$A,0)-1+2&amp;":U"&amp;MATCH(CZ8,数出表_Excel!$A:$A,0)-1+2&amp;"")), 0)),
 "")
+IFERROR(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""),
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""))),"")</f>
        <v/>
      </c>
      <c r="CW53" s="186"/>
      <c r="CX53" s="188" t="str">
        <f t="array" aca="1" ref="CX53" ca="1">IF(CV9&lt;&gt;"",
IF(IFERROR(
INDEX(INDIRECT("数出表_Excel!B"&amp;MATCH(CZ8,数出表_Excel!$A:$A,0)&amp;":U"&amp;MATCH(CZ8,数出表_Excel!$A:$A,0)&amp;""),
 1,CU51-1),
 "")=0,"",
IFERROR(
INDEX(INDIRECT("数出表_Excel!B"&amp;MATCH(CZ8,数出表_Excel!$A:$A,0)&amp;":U"&amp;MATCH(CZ8,数出表_Excel!$A:$A,0)&amp;""),
 1,CU51-1),
 "")),"")</f>
        <v/>
      </c>
      <c r="CY53" s="186"/>
      <c r="CZ53" s="101" t="e">
        <f t="array" aca="1" ref="CZ53" ca="1">IF(CU10=100,
IF(CV50&lt;&gt;"",
IF(IFERROR(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"")&lt;&gt;0,
IF(IFERROR(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"")="",
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""),
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"")),0),""),0)</f>
        <v>#N/A</v>
      </c>
      <c r="DC53" s="90"/>
      <c r="DD53" s="185" t="str">
        <f t="array" aca="1" ref="DD53" ca="1">IF(DD51&lt;&gt;"",
IF(IFERROR(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"")=0,"",
IF(DC10=100,
IFERROR(
INDEX(INDIRECT("数出表_Excel!"&amp;DC50&amp;MATCH(DH8,数出表_Excel!$A:$A,0)-1+2&amp;":U"&amp;MATCH(DH8,数出表_Excel!$A:$A,0)-1+2&amp;""),
 1,
 MATCH(TRUE, ISNUMBER(--INDIRECT("数出表_Excel!"&amp;DC50&amp;MATCH(DH8,数出表_Excel!$A:$A,0)-1+2&amp;":U"&amp;MATCH(DH8,数出表_Excel!$A:$A,0)-1+2&amp;"")), 0)),
 "")
+IFERROR(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""),
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""))),"")</f>
        <v/>
      </c>
      <c r="DE53" s="186"/>
      <c r="DF53" s="188" t="str">
        <f t="array" aca="1" ref="DF53" ca="1">IF(DD9&lt;&gt;"",
IF(IFERROR(
INDEX(INDIRECT("数出表_Excel!B"&amp;MATCH(DH8,数出表_Excel!$A:$A,0)&amp;":U"&amp;MATCH(DH8,数出表_Excel!$A:$A,0)&amp;""),
 1,DC51-1),
 "")=0,"",
IFERROR(
INDEX(INDIRECT("数出表_Excel!B"&amp;MATCH(DH8,数出表_Excel!$A:$A,0)&amp;":U"&amp;MATCH(DH8,数出表_Excel!$A:$A,0)&amp;""),
 1,DC51-1),
 "")),"")</f>
        <v/>
      </c>
      <c r="DG53" s="186"/>
      <c r="DH53" s="101" t="e">
        <f t="array" aca="1" ref="DH53" ca="1">IF(DC10=100,
IF(DD50&lt;&gt;"",
IF(IFERROR(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"")&lt;&gt;0,
IF(IFERROR(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"")="",
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""),
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"")),0),""),0)</f>
        <v>#N/A</v>
      </c>
      <c r="DJ53" s="90"/>
      <c r="DK53" s="185" t="str">
        <f t="array" aca="1" ref="DK53" ca="1">IF(DK51&lt;&gt;"",
IF(IFERROR(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"")=0,"",
IF(DJ10=100,
IFERROR(
INDEX(INDIRECT("数出表_Excel!"&amp;DJ50&amp;MATCH(DO8,数出表_Excel!$A:$A,0)-1+2&amp;":U"&amp;MATCH(DO8,数出表_Excel!$A:$A,0)-1+2&amp;""),
 1,
 MATCH(TRUE, ISNUMBER(--INDIRECT("数出表_Excel!"&amp;DJ50&amp;MATCH(DO8,数出表_Excel!$A:$A,0)-1+2&amp;":U"&amp;MATCH(DO8,数出表_Excel!$A:$A,0)-1+2&amp;"")), 0)),
 "")
+IFERROR(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""),
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""))),"")</f>
        <v/>
      </c>
      <c r="DL53" s="186"/>
      <c r="DM53" s="188" t="str">
        <f t="array" aca="1" ref="DM53" ca="1">IF(DK9&lt;&gt;"",
IF(IFERROR(
INDEX(INDIRECT("数出表_Excel!B"&amp;MATCH(DO8,数出表_Excel!$A:$A,0)&amp;":U"&amp;MATCH(DO8,数出表_Excel!$A:$A,0)&amp;""),
 1,DJ51-1),
 "")=0,"",
IFERROR(
INDEX(INDIRECT("数出表_Excel!B"&amp;MATCH(DO8,数出表_Excel!$A:$A,0)&amp;":U"&amp;MATCH(DO8,数出表_Excel!$A:$A,0)&amp;""),
 1,DJ51-1),
 "")),"")</f>
        <v/>
      </c>
      <c r="DN53" s="186"/>
      <c r="DO53" s="101" t="e">
        <f t="array" aca="1" ref="DO53" ca="1">IF(DJ10=100,
IF(DK50&lt;&gt;"",
IF(IFERROR(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"")&lt;&gt;0,
IF(IFERROR(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"")="",
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""),
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"")),0),""),0)</f>
        <v>#N/A</v>
      </c>
      <c r="DR53" s="90"/>
      <c r="DS53" s="185" t="str">
        <f t="array" aca="1" ref="DS53" ca="1">IF(DS51&lt;&gt;"",
IF(IFERROR(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"")=0,"",
IF(DR10=100,
IFERROR(
INDEX(INDIRECT("数出表_Excel!"&amp;DR50&amp;MATCH(DW8,数出表_Excel!$A:$A,0)-1+2&amp;":U"&amp;MATCH(DW8,数出表_Excel!$A:$A,0)-1+2&amp;""),
 1,
 MATCH(TRUE, ISNUMBER(--INDIRECT("数出表_Excel!"&amp;DR50&amp;MATCH(DW8,数出表_Excel!$A:$A,0)-1+2&amp;":U"&amp;MATCH(DW8,数出表_Excel!$A:$A,0)-1+2&amp;"")), 0)),
 "")
+IFERROR(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""),
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""))),"")</f>
        <v/>
      </c>
      <c r="DT53" s="186"/>
      <c r="DU53" s="188" t="str">
        <f t="array" aca="1" ref="DU53" ca="1">IF(DS9&lt;&gt;"",
IF(IFERROR(
INDEX(INDIRECT("数出表_Excel!B"&amp;MATCH(DW8,数出表_Excel!$A:$A,0)&amp;":U"&amp;MATCH(DW8,数出表_Excel!$A:$A,0)&amp;""),
 1,DR51-1),
 "")=0,"",
IFERROR(
INDEX(INDIRECT("数出表_Excel!B"&amp;MATCH(DW8,数出表_Excel!$A:$A,0)&amp;":U"&amp;MATCH(DW8,数出表_Excel!$A:$A,0)&amp;""),
 1,DR51-1),
 "")),"")</f>
        <v/>
      </c>
      <c r="DV53" s="186"/>
      <c r="DW53" s="101" t="e">
        <f t="array" aca="1" ref="DW53" ca="1">IF(DR10=100,
IF(DS50&lt;&gt;"",
IF(IFERROR(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"")&lt;&gt;0,
IF(IFERROR(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"")="",
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""),
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"")),0),""),0)</f>
        <v>#N/A</v>
      </c>
      <c r="DY53" s="90"/>
      <c r="DZ53" s="185" t="str">
        <f t="array" aca="1" ref="DZ53" ca="1">IF(DZ51&lt;&gt;"",
IF(IFERROR(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"")=0,"",
IF(DY10=100,
IFERROR(
INDEX(INDIRECT("数出表_Excel!"&amp;DY50&amp;MATCH(ED8,数出表_Excel!$A:$A,0)-1+2&amp;":U"&amp;MATCH(ED8,数出表_Excel!$A:$A,0)-1+2&amp;""),
 1,
 MATCH(TRUE, ISNUMBER(--INDIRECT("数出表_Excel!"&amp;DY50&amp;MATCH(ED8,数出表_Excel!$A:$A,0)-1+2&amp;":U"&amp;MATCH(ED8,数出表_Excel!$A:$A,0)-1+2&amp;"")), 0)),
 "")
+IFERROR(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""),
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""))),"")</f>
        <v/>
      </c>
      <c r="EA53" s="186"/>
      <c r="EB53" s="188" t="str">
        <f t="array" aca="1" ref="EB53" ca="1">IF(DZ9&lt;&gt;"",
IF(IFERROR(
INDEX(INDIRECT("数出表_Excel!B"&amp;MATCH(ED8,数出表_Excel!$A:$A,0)&amp;":U"&amp;MATCH(ED8,数出表_Excel!$A:$A,0)&amp;""),
 1,DY51-1),
 "")=0,"",
IFERROR(
INDEX(INDIRECT("数出表_Excel!B"&amp;MATCH(ED8,数出表_Excel!$A:$A,0)&amp;":U"&amp;MATCH(ED8,数出表_Excel!$A:$A,0)&amp;""),
 1,DY51-1),
 "")),"")</f>
        <v/>
      </c>
      <c r="EC53" s="186"/>
      <c r="ED53" s="101" t="e">
        <f t="array" aca="1" ref="ED53" ca="1">IF(DY10=100,
IF(DZ50&lt;&gt;"",
IF(IFERROR(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"")&lt;&gt;0,
IF(IFERROR(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"")="",
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""),
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"")),0),""),0)</f>
        <v>#N/A</v>
      </c>
      <c r="EG53" s="90"/>
      <c r="EH53" s="185" t="str">
        <f t="array" aca="1" ref="EH53" ca="1">IF(EH51&lt;&gt;"",
IF(IFERROR(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"")=0,"",
IF(EG10=100,
IFERROR(
INDEX(INDIRECT("数出表_Excel!"&amp;EG50&amp;MATCH(EL8,数出表_Excel!$A:$A,0)-1+2&amp;":U"&amp;MATCH(EL8,数出表_Excel!$A:$A,0)-1+2&amp;""),
 1,
 MATCH(TRUE, ISNUMBER(--INDIRECT("数出表_Excel!"&amp;EG50&amp;MATCH(EL8,数出表_Excel!$A:$A,0)-1+2&amp;":U"&amp;MATCH(EL8,数出表_Excel!$A:$A,0)-1+2&amp;"")), 0)),
 "")
+IFERROR(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""),
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""))),"")</f>
        <v/>
      </c>
      <c r="EI53" s="186"/>
      <c r="EJ53" s="188" t="str">
        <f t="array" aca="1" ref="EJ53" ca="1">IF(EH9&lt;&gt;"",
IF(IFERROR(
INDEX(INDIRECT("数出表_Excel!B"&amp;MATCH(EL8,数出表_Excel!$A:$A,0)&amp;":U"&amp;MATCH(EL8,数出表_Excel!$A:$A,0)&amp;""),
 1,EG51-1),
 "")=0,"",
IFERROR(
INDEX(INDIRECT("数出表_Excel!B"&amp;MATCH(EL8,数出表_Excel!$A:$A,0)&amp;":U"&amp;MATCH(EL8,数出表_Excel!$A:$A,0)&amp;""),
 1,EG51-1),
 "")),"")</f>
        <v/>
      </c>
      <c r="EK53" s="186"/>
      <c r="EL53" s="101" t="e">
        <f t="array" aca="1" ref="EL53" ca="1">IF(EG10=100,
IF(EH50&lt;&gt;"",
IF(IFERROR(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"")&lt;&gt;0,
IF(IFERROR(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"")="",
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""),
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"")),0),""),0)</f>
        <v>#N/A</v>
      </c>
      <c r="EN53" s="90"/>
      <c r="EO53" s="185" t="str">
        <f t="array" aca="1" ref="EO53" ca="1">IF(EO51&lt;&gt;"",
IF(IFERROR(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"")=0,"",
IF(EN10=100,
IFERROR(
INDEX(INDIRECT("数出表_Excel!"&amp;EN50&amp;MATCH(ES8,数出表_Excel!$A:$A,0)-1+2&amp;":U"&amp;MATCH(ES8,数出表_Excel!$A:$A,0)-1+2&amp;""),
 1,
 MATCH(TRUE, ISNUMBER(--INDIRECT("数出表_Excel!"&amp;EN50&amp;MATCH(ES8,数出表_Excel!$A:$A,0)-1+2&amp;":U"&amp;MATCH(ES8,数出表_Excel!$A:$A,0)-1+2&amp;"")), 0)),
 "")
+IFERROR(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""),
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""))),"")</f>
        <v/>
      </c>
      <c r="EP53" s="186"/>
      <c r="EQ53" s="188" t="str">
        <f t="array" aca="1" ref="EQ53" ca="1">IF(EO9&lt;&gt;"",
IF(IFERROR(
INDEX(INDIRECT("数出表_Excel!B"&amp;MATCH(ES8,数出表_Excel!$A:$A,0)&amp;":U"&amp;MATCH(ES8,数出表_Excel!$A:$A,0)&amp;""),
 1,EN51-1),
 "")=0,"",
IFERROR(
INDEX(INDIRECT("数出表_Excel!B"&amp;MATCH(ES8,数出表_Excel!$A:$A,0)&amp;":U"&amp;MATCH(ES8,数出表_Excel!$A:$A,0)&amp;""),
 1,EN51-1),
 "")),"")</f>
        <v/>
      </c>
      <c r="ER53" s="186"/>
      <c r="ES53" s="101" t="e">
        <f t="array" aca="1" ref="ES53" ca="1">IF(EN10=100,
IF(EO50&lt;&gt;"",
IF(IFERROR(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"")&lt;&gt;0,
IF(IFERROR(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"")="",
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""),
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"")),0),""),0)</f>
        <v>#N/A</v>
      </c>
      <c r="ET53" s="110"/>
      <c r="EU53" s="91">
        <v>7</v>
      </c>
      <c r="EV53" s="82" t="str">
        <f t="array" aca="1" ref="EV53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LEN(SUBSTITUTE(_xlfn.FORMULATEXT(EV$49),"=","")))+$EU53)</f>
        <v/>
      </c>
      <c r="EW53" s="82" t="str">
        <f t="array" aca="1" ref="EW53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LEN(SUBSTITUTE(_xlfn.FORMULATEXT(EW$49),"=","")))+$EU53)</f>
        <v/>
      </c>
      <c r="EX53" s="82" t="str">
        <f t="array" aca="1" ref="EX53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LEN(SUBSTITUTE(_xlfn.FORMULATEXT(EX$49),"=","")))+$EU53)</f>
        <v/>
      </c>
      <c r="EY53" s="82" t="str">
        <f t="array" aca="1" ref="EY53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LEN(SUBSTITUTE(_xlfn.FORMULATEXT(EY$49),"=","")))+$EU53)</f>
        <v/>
      </c>
      <c r="EZ53" s="82" t="str">
        <f t="array" aca="1" ref="EZ53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LEN(SUBSTITUTE(_xlfn.FORMULATEXT(EZ$49),"=","")))+$EU53)</f>
        <v/>
      </c>
      <c r="FA53" s="82" t="e">
        <f t="array" aca="1" ref="FA53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LEN(SUBSTITUTE(_xlfn.FORMULATEXT(FA$49),"=","")))+$EU53)</f>
        <v>#VALUE!</v>
      </c>
      <c r="FB53" s="82" t="str">
        <f t="array" aca="1" ref="FB53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LEN(SUBSTITUTE(_xlfn.FORMULATEXT(FB$49),"=","")))+$EU53)</f>
        <v/>
      </c>
      <c r="FC53" s="82" t="str">
        <f t="array" aca="1" ref="FC53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LEN(SUBSTITUTE(_xlfn.FORMULATEXT(FC$49),"=","")))+$EU53)</f>
        <v/>
      </c>
      <c r="FD53" s="82" t="e">
        <f t="array" aca="1" ref="FD53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LEN(SUBSTITUTE(_xlfn.FORMULATEXT(FD$49),"=","")))+$EU53)</f>
        <v>#VALUE!</v>
      </c>
      <c r="FE53" s="82" t="str">
        <f t="array" aca="1" ref="FE53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LEN(SUBSTITUTE(_xlfn.FORMULATEXT(FE$49),"=","")))+$EU53)</f>
        <v/>
      </c>
      <c r="FF53" s="82" t="e">
        <f t="array" aca="1" ref="FF53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LEN(SUBSTITUTE(_xlfn.FORMULATEXT(FF$49),"=","")))+$EU53)</f>
        <v>#N/A</v>
      </c>
      <c r="FG53" s="82">
        <f t="shared" ca="1" si="3"/>
        <v>0</v>
      </c>
      <c r="FH53" s="82" t="e">
        <f t="array" aca="1" ref="FH53" ca="1">SUMPRODUCT((LEN(EV53:FF53)&gt;0)*1)&gt;0</f>
        <v>#VALUE!</v>
      </c>
      <c r="FI53" s="82" t="str">
        <f t="array" aca="1" ref="FI53" ca="1">IFERROR(SMALL(IF(FG$1:FG$173&lt;&gt;0,FG$1:FG$173),ROW(A53)),"")</f>
        <v/>
      </c>
      <c r="FJ53" s="82" t="str">
        <f t="array" aca="1" ref="FJ53" ca="1">IF($FI53&lt;&gt;"",
INDIRECT(""&amp;IF(COLUMN(EV53)&lt;=26,CHAR(COLUMN(EV53)+64),CHAR(INT((COLUMN(EV53)-1)/26)+64)&amp;CHAR(MOD(COLUMN(EV53)-1,26)+65))&amp;$FI53&amp;""),"")</f>
        <v/>
      </c>
      <c r="FK53" s="82" t="str">
        <f t="array" aca="1" ref="FK53" ca="1">IF($FI53&lt;&gt;"",
INDIRECT(""&amp;IF(COLUMN(EW53)&lt;=26,CHAR(COLUMN(EW53)+64),CHAR(INT((COLUMN(EW53)-1)/26)+64)&amp;CHAR(MOD(COLUMN(EW53)-1,26)+65))&amp;$FI53&amp;""),"")</f>
        <v/>
      </c>
      <c r="FL53" s="82" t="str">
        <f t="array" aca="1" ref="FL53" ca="1">IF($FI53&lt;&gt;"",
INDIRECT(""&amp;IF(COLUMN(EX53)&lt;=26,CHAR(COLUMN(EX53)+64),CHAR(INT((COLUMN(EX53)-1)/26)+64)&amp;CHAR(MOD(COLUMN(EX53)-1,26)+65))&amp;$FI53&amp;""),"")</f>
        <v/>
      </c>
      <c r="FM53" s="82" t="str">
        <f t="array" aca="1" ref="FM53" ca="1">IF($FI53&lt;&gt;"",
IF(FL53="",
IF(INDIRECT("EY"&amp;$FI53&amp;"")&lt;&gt;"",
INDIRECT("EY"&amp;$FI53&amp;"")&amp;"箱"
&amp;INDIRECT("EZ"&amp;$FI53&amp;""),""),""),"")</f>
        <v/>
      </c>
      <c r="FN53" s="82" t="str">
        <f t="array" aca="1" ref="FN53" ca="1">IF($FI53&lt;&gt;"",
INDIRECT(""&amp;IF(COLUMN(FA53)&lt;=26,CHAR(COLUMN(FA53)+64),CHAR(INT((COLUMN(FA53)-1)/26)+64)&amp;CHAR(MOD(COLUMN(FA53)-1,26)+65))&amp;$FI53&amp;""),"")</f>
        <v/>
      </c>
      <c r="FO53" s="82" t="str">
        <f t="array" aca="1" ref="FO53" ca="1">IF($FI53&lt;&gt;"",
INDIRECT(""&amp;IF(COLUMN(FB53)&lt;=26,CHAR(COLUMN(FB53)+64),CHAR(INT((COLUMN(FB53)-1)/26)+64)&amp;CHAR(MOD(COLUMN(FB53)-1,26)+65))&amp;$FI53&amp;""),"")</f>
        <v/>
      </c>
      <c r="FP53" s="82" t="str">
        <f t="array" aca="1" ref="FP53" ca="1">IF($FI53&lt;&gt;"",
INDIRECT(""&amp;IF(COLUMN(FC53)&lt;=26,CHAR(COLUMN(FC53)+64),CHAR(INT((COLUMN(FC53)-1)/26)+64)&amp;CHAR(MOD(COLUMN(FC53)-1,26)+65))&amp;$FI53&amp;""),"")</f>
        <v/>
      </c>
      <c r="FQ53" s="82" t="str">
        <f t="array" aca="1" ref="FQ53" ca="1">IF($FI53&lt;&gt;"",
INDIRECT(""&amp;IF(COLUMN(FD53)&lt;=26,CHAR(COLUMN(FD53)+64),CHAR(INT((COLUMN(FD53)-1)/26)+64)&amp;CHAR(MOD(COLUMN(FD53)-1,26)+65))&amp;$FI53&amp;""),"")</f>
        <v/>
      </c>
      <c r="FR53" s="82" t="str">
        <f t="array" aca="1" ref="FR53" ca="1">IF($FI53&lt;&gt;"",
INDIRECT(""&amp;IF(COLUMN(FE53)&lt;=26,CHAR(COLUMN(FE53)+64),CHAR(INT((COLUMN(FE53)-1)/26)+64)&amp;CHAR(MOD(COLUMN(FE53)-1,26)+65))&amp;$FI53&amp;""),"")</f>
        <v/>
      </c>
      <c r="FS53" s="82" t="str">
        <f t="array" aca="1" ref="FS53" ca="1">IF($FI53&lt;&gt;"",
INDIRECT(""&amp;IF(COLUMN(FF53)&lt;=26,CHAR(COLUMN(FF53)+64),CHAR(INT((COLUMN(FF53)-1)/26)+64)&amp;CHAR(MOD(COLUMN(FF53)-1,26)+65))&amp;$FI53&amp;""),"")</f>
        <v/>
      </c>
    </row>
    <row r="54" spans="1:175" ht="18" customHeight="1" x14ac:dyDescent="0.45">
      <c r="B54" s="92"/>
      <c r="C54" s="187"/>
      <c r="D54" s="187"/>
      <c r="E54" s="187"/>
      <c r="F54" s="187"/>
      <c r="G54" s="102" t="str">
        <f>SUBSTITUTE(SUBSTITUTE(ADDRESS(1,MATCH("おやつ",'数出表_Excel（アレルギー入力）'!$3:$3,0)),1,""),"$","")</f>
        <v>AL</v>
      </c>
      <c r="I54" s="92"/>
      <c r="J54" s="187"/>
      <c r="K54" s="187"/>
      <c r="L54" s="187"/>
      <c r="M54" s="187"/>
      <c r="N54" s="102" t="str">
        <f>SUBSTITUTE(SUBSTITUTE(ADDRESS(1,MATCH("おやつ",'数出表_Excel（アレルギー入力）'!$3:$3,0)),1,""),"$","")</f>
        <v>AL</v>
      </c>
      <c r="Q54" s="92"/>
      <c r="R54" s="187"/>
      <c r="S54" s="187"/>
      <c r="T54" s="187"/>
      <c r="U54" s="187"/>
      <c r="V54" s="102" t="str">
        <f>SUBSTITUTE(SUBSTITUTE(ADDRESS(1,MATCH("おやつ",'数出表_Excel（アレルギー入力）'!$3:$3,0)),1,""),"$","")</f>
        <v>AL</v>
      </c>
      <c r="X54" s="92"/>
      <c r="Y54" s="187"/>
      <c r="Z54" s="187"/>
      <c r="AA54" s="187"/>
      <c r="AB54" s="187"/>
      <c r="AC54" s="102" t="str">
        <f>SUBSTITUTE(SUBSTITUTE(ADDRESS(1,MATCH("おやつ",'数出表_Excel（アレルギー入力）'!$3:$3,0)),1,""),"$","")</f>
        <v>AL</v>
      </c>
      <c r="AF54" s="92"/>
      <c r="AG54" s="187"/>
      <c r="AH54" s="187"/>
      <c r="AI54" s="187"/>
      <c r="AJ54" s="187"/>
      <c r="AK54" s="102" t="str">
        <f>SUBSTITUTE(SUBSTITUTE(ADDRESS(1,MATCH("おやつ",'数出表_Excel（アレルギー入力）'!$3:$3,0)),1,""),"$","")</f>
        <v>AL</v>
      </c>
      <c r="AM54" s="92"/>
      <c r="AN54" s="187"/>
      <c r="AO54" s="187"/>
      <c r="AP54" s="187"/>
      <c r="AQ54" s="187"/>
      <c r="AR54" s="102" t="str">
        <f>SUBSTITUTE(SUBSTITUTE(ADDRESS(1,MATCH("おやつ",'数出表_Excel（アレルギー入力）'!$3:$3,0)),1,""),"$","")</f>
        <v>AL</v>
      </c>
      <c r="AU54" s="92"/>
      <c r="AV54" s="187"/>
      <c r="AW54" s="187"/>
      <c r="AX54" s="187"/>
      <c r="AY54" s="187"/>
      <c r="AZ54" s="102" t="str">
        <f>SUBSTITUTE(SUBSTITUTE(ADDRESS(1,MATCH("おやつ",'数出表_Excel（アレルギー入力）'!$3:$3,0)),1,""),"$","")</f>
        <v>AL</v>
      </c>
      <c r="BB54" s="92"/>
      <c r="BC54" s="187"/>
      <c r="BD54" s="187"/>
      <c r="BE54" s="187"/>
      <c r="BF54" s="187"/>
      <c r="BG54" s="102" t="str">
        <f>SUBSTITUTE(SUBSTITUTE(ADDRESS(1,MATCH("おやつ",'数出表_Excel（アレルギー入力）'!$3:$3,0)),1,""),"$","")</f>
        <v>AL</v>
      </c>
      <c r="BJ54" s="92"/>
      <c r="BK54" s="187"/>
      <c r="BL54" s="187"/>
      <c r="BM54" s="187"/>
      <c r="BN54" s="187"/>
      <c r="BO54" s="102" t="str">
        <f>SUBSTITUTE(SUBSTITUTE(ADDRESS(1,MATCH("おやつ",'数出表_Excel（アレルギー入力）'!$3:$3,0)),1,""),"$","")</f>
        <v>AL</v>
      </c>
      <c r="BQ54" s="92"/>
      <c r="BR54" s="187"/>
      <c r="BS54" s="187"/>
      <c r="BT54" s="187"/>
      <c r="BU54" s="187"/>
      <c r="BV54" s="102" t="str">
        <f>SUBSTITUTE(SUBSTITUTE(ADDRESS(1,MATCH("おやつ",'数出表_Excel（アレルギー入力）'!$3:$3,0)),1,""),"$","")</f>
        <v>AL</v>
      </c>
      <c r="BY54" s="92"/>
      <c r="BZ54" s="187"/>
      <c r="CA54" s="187"/>
      <c r="CB54" s="187"/>
      <c r="CC54" s="187"/>
      <c r="CD54" s="102" t="str">
        <f>SUBSTITUTE(SUBSTITUTE(ADDRESS(1,MATCH("おやつ",'数出表_Excel（アレルギー入力）'!$3:$3,0)),1,""),"$","")</f>
        <v>AL</v>
      </c>
      <c r="CF54" s="92"/>
      <c r="CG54" s="187"/>
      <c r="CH54" s="187"/>
      <c r="CI54" s="187"/>
      <c r="CJ54" s="187"/>
      <c r="CK54" s="102" t="str">
        <f>SUBSTITUTE(SUBSTITUTE(ADDRESS(1,MATCH("おやつ",'数出表_Excel（アレルギー入力）'!$3:$3,0)),1,""),"$","")</f>
        <v>AL</v>
      </c>
      <c r="CN54" s="92"/>
      <c r="CO54" s="187"/>
      <c r="CP54" s="187"/>
      <c r="CQ54" s="187"/>
      <c r="CR54" s="187"/>
      <c r="CS54" s="102" t="str">
        <f>SUBSTITUTE(SUBSTITUTE(ADDRESS(1,MATCH("おやつ",'数出表_Excel（アレルギー入力）'!$3:$3,0)),1,""),"$","")</f>
        <v>AL</v>
      </c>
      <c r="CU54" s="92"/>
      <c r="CV54" s="187"/>
      <c r="CW54" s="187"/>
      <c r="CX54" s="187"/>
      <c r="CY54" s="187"/>
      <c r="CZ54" s="102" t="str">
        <f>SUBSTITUTE(SUBSTITUTE(ADDRESS(1,MATCH("おやつ",'数出表_Excel（アレルギー入力）'!$3:$3,0)),1,""),"$","")</f>
        <v>AL</v>
      </c>
      <c r="DC54" s="92"/>
      <c r="DD54" s="187"/>
      <c r="DE54" s="187"/>
      <c r="DF54" s="187"/>
      <c r="DG54" s="187"/>
      <c r="DH54" s="102" t="str">
        <f>SUBSTITUTE(SUBSTITUTE(ADDRESS(1,MATCH("おやつ",'数出表_Excel（アレルギー入力）'!$3:$3,0)),1,""),"$","")</f>
        <v>AL</v>
      </c>
      <c r="DJ54" s="92"/>
      <c r="DK54" s="187"/>
      <c r="DL54" s="187"/>
      <c r="DM54" s="187"/>
      <c r="DN54" s="187"/>
      <c r="DO54" s="102" t="str">
        <f>SUBSTITUTE(SUBSTITUTE(ADDRESS(1,MATCH("おやつ",'数出表_Excel（アレルギー入力）'!$3:$3,0)),1,""),"$","")</f>
        <v>AL</v>
      </c>
      <c r="DR54" s="92"/>
      <c r="DS54" s="187"/>
      <c r="DT54" s="187"/>
      <c r="DU54" s="187"/>
      <c r="DV54" s="187"/>
      <c r="DW54" s="102" t="str">
        <f>SUBSTITUTE(SUBSTITUTE(ADDRESS(1,MATCH("おやつ",'数出表_Excel（アレルギー入力）'!$3:$3,0)),1,""),"$","")</f>
        <v>AL</v>
      </c>
      <c r="DY54" s="92"/>
      <c r="DZ54" s="187"/>
      <c r="EA54" s="187"/>
      <c r="EB54" s="187"/>
      <c r="EC54" s="187"/>
      <c r="ED54" s="102" t="str">
        <f>SUBSTITUTE(SUBSTITUTE(ADDRESS(1,MATCH("おやつ",'数出表_Excel（アレルギー入力）'!$3:$3,0)),1,""),"$","")</f>
        <v>AL</v>
      </c>
      <c r="EG54" s="92"/>
      <c r="EH54" s="187"/>
      <c r="EI54" s="187"/>
      <c r="EJ54" s="187"/>
      <c r="EK54" s="187"/>
      <c r="EL54" s="102" t="str">
        <f>SUBSTITUTE(SUBSTITUTE(ADDRESS(1,MATCH("おやつ",'数出表_Excel（アレルギー入力）'!$3:$3,0)),1,""),"$","")</f>
        <v>AL</v>
      </c>
      <c r="EN54" s="92"/>
      <c r="EO54" s="187"/>
      <c r="EP54" s="187"/>
      <c r="EQ54" s="187"/>
      <c r="ER54" s="187"/>
      <c r="ES54" s="102" t="str">
        <f>SUBSTITUTE(SUBSTITUTE(ADDRESS(1,MATCH("おやつ",'数出表_Excel（アレルギー入力）'!$3:$3,0)),1,""),"$","")</f>
        <v>AL</v>
      </c>
      <c r="ET54" s="110"/>
      <c r="EU54" s="82">
        <f>EU50+7</f>
        <v>49</v>
      </c>
      <c r="EV54" s="82" t="str">
        <f t="array" aca="1" ref="EV54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LEN(SUBSTITUTE(_xlfn.FORMULATEXT(EV$49),"=","")))+$EU54)</f>
        <v/>
      </c>
      <c r="EW54" s="82" t="str">
        <f t="array" aca="1" ref="EW54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LEN(SUBSTITUTE(_xlfn.FORMULATEXT(EW$49),"=","")))+$EU54)</f>
        <v/>
      </c>
      <c r="EX54" s="82" t="str">
        <f t="array" aca="1" ref="EX54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LEN(SUBSTITUTE(_xlfn.FORMULATEXT(EX$49),"=","")))+$EU54)</f>
        <v/>
      </c>
      <c r="EY54" s="82" t="str">
        <f t="array" aca="1" ref="EY54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LEN(SUBSTITUTE(_xlfn.FORMULATEXT(EY$49),"=","")))+$EU54)</f>
        <v/>
      </c>
      <c r="EZ54" s="82" t="str">
        <f t="array" aca="1" ref="EZ54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LEN(SUBSTITUTE(_xlfn.FORMULATEXT(EZ$49),"=","")))+$EU54)</f>
        <v/>
      </c>
      <c r="FA54" s="82" t="str">
        <f t="array" aca="1" ref="FA54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LEN(SUBSTITUTE(_xlfn.FORMULATEXT(FA$49),"=","")))+$EU54)</f>
        <v/>
      </c>
      <c r="FB54" s="82" t="str">
        <f t="array" aca="1" ref="FB54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LEN(SUBSTITUTE(_xlfn.FORMULATEXT(FB$49),"=","")))+$EU54)</f>
        <v/>
      </c>
      <c r="FC54" s="82" t="str">
        <f t="array" aca="1" ref="FC54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LEN(SUBSTITUTE(_xlfn.FORMULATEXT(FC$49),"=","")))+$EU54)</f>
        <v/>
      </c>
      <c r="FD54" s="82" t="str">
        <f t="array" aca="1" ref="FD54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LEN(SUBSTITUTE(_xlfn.FORMULATEXT(FD$49),"=","")))+$EU54)</f>
        <v/>
      </c>
      <c r="FE54" s="82" t="str">
        <f t="array" aca="1" ref="FE54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LEN(SUBSTITUTE(_xlfn.FORMULATEXT(FE$49),"=","")))+$EU54)</f>
        <v/>
      </c>
      <c r="FF54" s="82" t="str">
        <f t="array" aca="1" ref="FF54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LEN(SUBSTITUTE(_xlfn.FORMULATEXT(FF$49),"=","")))+$EU54)</f>
        <v/>
      </c>
      <c r="FG54" s="82">
        <f t="shared" ca="1" si="3"/>
        <v>0</v>
      </c>
      <c r="FH54" s="82" t="b">
        <f t="array" aca="1" ref="FH54" ca="1">SUMPRODUCT((LEN(EV54:FF54)&gt;0)*1)&gt;0</f>
        <v>0</v>
      </c>
      <c r="FI54" s="82" t="str">
        <f t="array" aca="1" ref="FI54" ca="1">IFERROR(SMALL(IF(FG$1:FG$173&lt;&gt;0,FG$1:FG$173),ROW(A54)),"")</f>
        <v/>
      </c>
      <c r="FJ54" s="82" t="str">
        <f t="array" aca="1" ref="FJ54" ca="1">IF($FI54&lt;&gt;"",
INDIRECT(""&amp;IF(COLUMN(EV54)&lt;=26,CHAR(COLUMN(EV54)+64),CHAR(INT((COLUMN(EV54)-1)/26)+64)&amp;CHAR(MOD(COLUMN(EV54)-1,26)+65))&amp;$FI54&amp;""),"")</f>
        <v/>
      </c>
      <c r="FK54" s="82" t="str">
        <f t="array" aca="1" ref="FK54" ca="1">IF($FI54&lt;&gt;"",
INDIRECT(""&amp;IF(COLUMN(EW54)&lt;=26,CHAR(COLUMN(EW54)+64),CHAR(INT((COLUMN(EW54)-1)/26)+64)&amp;CHAR(MOD(COLUMN(EW54)-1,26)+65))&amp;$FI54&amp;""),"")</f>
        <v/>
      </c>
      <c r="FL54" s="82" t="str">
        <f t="array" aca="1" ref="FL54" ca="1">IF($FI54&lt;&gt;"",
INDIRECT(""&amp;IF(COLUMN(EX54)&lt;=26,CHAR(COLUMN(EX54)+64),CHAR(INT((COLUMN(EX54)-1)/26)+64)&amp;CHAR(MOD(COLUMN(EX54)-1,26)+65))&amp;$FI54&amp;""),"")</f>
        <v/>
      </c>
      <c r="FM54" s="82" t="str">
        <f t="array" aca="1" ref="FM54" ca="1">IF($FI54&lt;&gt;"",
IF(FL54="",
IF(INDIRECT("EY"&amp;$FI54&amp;"")&lt;&gt;"",
INDIRECT("EY"&amp;$FI54&amp;"")&amp;"箱"
&amp;INDIRECT("EZ"&amp;$FI54&amp;""),""),""),"")</f>
        <v/>
      </c>
      <c r="FN54" s="82" t="str">
        <f t="array" aca="1" ref="FN54" ca="1">IF($FI54&lt;&gt;"",
INDIRECT(""&amp;IF(COLUMN(FA54)&lt;=26,CHAR(COLUMN(FA54)+64),CHAR(INT((COLUMN(FA54)-1)/26)+64)&amp;CHAR(MOD(COLUMN(FA54)-1,26)+65))&amp;$FI54&amp;""),"")</f>
        <v/>
      </c>
      <c r="FO54" s="82" t="str">
        <f t="array" aca="1" ref="FO54" ca="1">IF($FI54&lt;&gt;"",
INDIRECT(""&amp;IF(COLUMN(FB54)&lt;=26,CHAR(COLUMN(FB54)+64),CHAR(INT((COLUMN(FB54)-1)/26)+64)&amp;CHAR(MOD(COLUMN(FB54)-1,26)+65))&amp;$FI54&amp;""),"")</f>
        <v/>
      </c>
      <c r="FP54" s="82" t="str">
        <f t="array" aca="1" ref="FP54" ca="1">IF($FI54&lt;&gt;"",
INDIRECT(""&amp;IF(COLUMN(FC54)&lt;=26,CHAR(COLUMN(FC54)+64),CHAR(INT((COLUMN(FC54)-1)/26)+64)&amp;CHAR(MOD(COLUMN(FC54)-1,26)+65))&amp;$FI54&amp;""),"")</f>
        <v/>
      </c>
      <c r="FQ54" s="82" t="str">
        <f t="array" aca="1" ref="FQ54" ca="1">IF($FI54&lt;&gt;"",
INDIRECT(""&amp;IF(COLUMN(FD54)&lt;=26,CHAR(COLUMN(FD54)+64),CHAR(INT((COLUMN(FD54)-1)/26)+64)&amp;CHAR(MOD(COLUMN(FD54)-1,26)+65))&amp;$FI54&amp;""),"")</f>
        <v/>
      </c>
      <c r="FR54" s="82" t="str">
        <f t="array" aca="1" ref="FR54" ca="1">IF($FI54&lt;&gt;"",
INDIRECT(""&amp;IF(COLUMN(FE54)&lt;=26,CHAR(COLUMN(FE54)+64),CHAR(INT((COLUMN(FE54)-1)/26)+64)&amp;CHAR(MOD(COLUMN(FE54)-1,26)+65))&amp;$FI54&amp;""),"")</f>
        <v/>
      </c>
      <c r="FS54" s="82" t="str">
        <f t="array" aca="1" ref="FS54" ca="1">IF($FI54&lt;&gt;"",
INDIRECT(""&amp;IF(COLUMN(FF54)&lt;=26,CHAR(COLUMN(FF54)+64),CHAR(INT((COLUMN(FF54)-1)/26)+64)&amp;CHAR(MOD(COLUMN(FF54)-1,26)+65))&amp;$FI54&amp;""),"")</f>
        <v/>
      </c>
    </row>
    <row r="55" spans="1:175" s="82" customFormat="1" ht="22.2" customHeight="1" x14ac:dyDescent="0.55000000000000004">
      <c r="A55" s="80"/>
      <c r="B55" s="93" t="str">
        <f ca="1">IF(C53&lt;&gt;"","パン箱","")</f>
        <v/>
      </c>
      <c r="C55" s="94" t="str">
        <f ca="1">IF(C53&lt;&gt;"",IF(OR(COUNTIF('盛付札（関数）'!C51,"*キャラ*"),COUNTIF('盛付札（関数）'!C51,"*赤*")),24,
VLOOKUP('盛付札（関数）'!C51,商品マスタ一覧!$D:$I,6,FALSE)),"")</f>
        <v/>
      </c>
      <c r="D55" s="93" t="str">
        <f ca="1">IF(C53&lt;&gt;"","　端数","")</f>
        <v/>
      </c>
      <c r="E55" s="94"/>
      <c r="F55" s="93" t="str">
        <f ca="1">IF(C53&lt;&gt;"","アレルギー","")</f>
        <v/>
      </c>
      <c r="G55" s="101"/>
      <c r="H55" s="80"/>
      <c r="I55" s="93" t="str">
        <f ca="1">IF(J53&lt;&gt;"","パン箱","")</f>
        <v/>
      </c>
      <c r="J55" s="94" t="str">
        <f ca="1">IF(J53&lt;&gt;"",IF(OR(COUNTIF('盛付札（関数）'!J51,"*キャラ*"),COUNTIF('盛付札（関数）'!J51,"*赤*")),24,
VLOOKUP('盛付札（関数）'!J51,商品マスタ一覧!$D:$I,6,FALSE)),"")</f>
        <v/>
      </c>
      <c r="K55" s="93" t="str">
        <f ca="1">IF(J53&lt;&gt;"","　端数","")</f>
        <v/>
      </c>
      <c r="L55" s="94"/>
      <c r="M55" s="93" t="str">
        <f ca="1">IF(J53&lt;&gt;"","アレルギー","")</f>
        <v/>
      </c>
      <c r="N55" s="97"/>
      <c r="O55" s="80"/>
      <c r="P55" s="80"/>
      <c r="Q55" s="93" t="str">
        <f ca="1">IF(R53&lt;&gt;"","パン箱","")</f>
        <v/>
      </c>
      <c r="R55" s="94" t="str">
        <f ca="1">IF(R53&lt;&gt;"",IF(OR(COUNTIF('盛付札（関数）'!R51,"*キャラ*"),COUNTIF('盛付札（関数）'!R51,"*赤*")),24,
VLOOKUP('盛付札（関数）'!R51,商品マスタ一覧!$D:$I,6,FALSE)),"")</f>
        <v/>
      </c>
      <c r="S55" s="93" t="str">
        <f ca="1">IF(R53&lt;&gt;"","　端数","")</f>
        <v/>
      </c>
      <c r="T55" s="94"/>
      <c r="U55" s="93" t="str">
        <f ca="1">IF(R53&lt;&gt;"","アレルギー","")</f>
        <v/>
      </c>
      <c r="V55" s="101"/>
      <c r="W55" s="80"/>
      <c r="X55" s="93" t="str">
        <f ca="1">IF(Y53&lt;&gt;"","パン箱","")</f>
        <v/>
      </c>
      <c r="Y55" s="94" t="str">
        <f ca="1">IF(Y53&lt;&gt;"",IF(OR(COUNTIF('盛付札（関数）'!Y51,"*キャラ*"),COUNTIF('盛付札（関数）'!Y51,"*赤*")),24,
VLOOKUP('盛付札（関数）'!Y51,商品マスタ一覧!$D:$I,6,FALSE)),"")</f>
        <v/>
      </c>
      <c r="Z55" s="93" t="str">
        <f ca="1">IF(Y53&lt;&gt;"","　端数","")</f>
        <v/>
      </c>
      <c r="AA55" s="94"/>
      <c r="AB55" s="93" t="str">
        <f ca="1">IF(Y53&lt;&gt;"","アレルギー","")</f>
        <v/>
      </c>
      <c r="AC55" s="97"/>
      <c r="AD55" s="80"/>
      <c r="AE55" s="80"/>
      <c r="AF55" s="93" t="str">
        <f ca="1">IF(AG53&lt;&gt;"","パン箱","")</f>
        <v/>
      </c>
      <c r="AG55" s="94" t="str">
        <f ca="1">IF(AG53&lt;&gt;"",IF(OR(COUNTIF('盛付札（関数）'!AG51,"*キャラ*"),COUNTIF('盛付札（関数）'!AG51,"*赤*")),24,
VLOOKUP('盛付札（関数）'!AG51,商品マスタ一覧!$D:$I,6,FALSE)),"")</f>
        <v/>
      </c>
      <c r="AH55" s="93" t="str">
        <f ca="1">IF(AG53&lt;&gt;"","　端数","")</f>
        <v/>
      </c>
      <c r="AI55" s="94"/>
      <c r="AJ55" s="93" t="str">
        <f ca="1">IF(AG53&lt;&gt;"","アレルギー","")</f>
        <v/>
      </c>
      <c r="AK55" s="101"/>
      <c r="AL55" s="80"/>
      <c r="AM55" s="93" t="str">
        <f ca="1">IF(AN53&lt;&gt;"","パン箱","")</f>
        <v/>
      </c>
      <c r="AN55" s="94" t="str">
        <f ca="1">IF(AN53&lt;&gt;"",IF(OR(COUNTIF('盛付札（関数）'!AN51,"*キャラ*"),COUNTIF('盛付札（関数）'!AN51,"*赤*")),24,
VLOOKUP('盛付札（関数）'!AN51,商品マスタ一覧!$D:$I,6,FALSE)),"")</f>
        <v/>
      </c>
      <c r="AO55" s="93" t="str">
        <f ca="1">IF(AN53&lt;&gt;"","　端数","")</f>
        <v/>
      </c>
      <c r="AP55" s="94"/>
      <c r="AQ55" s="93" t="str">
        <f ca="1">IF(AN53&lt;&gt;"","アレルギー","")</f>
        <v/>
      </c>
      <c r="AR55" s="97"/>
      <c r="AS55" s="80"/>
      <c r="AT55" s="80"/>
      <c r="AU55" s="93" t="str">
        <f ca="1">IF(AV53&lt;&gt;"","パン箱","")</f>
        <v/>
      </c>
      <c r="AV55" s="94" t="str">
        <f ca="1">IF(AV53&lt;&gt;"",IF(OR(COUNTIF('盛付札（関数）'!AV51,"*キャラ*"),COUNTIF('盛付札（関数）'!AV51,"*赤*")),24,
VLOOKUP('盛付札（関数）'!AV51,商品マスタ一覧!$D:$I,6,FALSE)),"")</f>
        <v/>
      </c>
      <c r="AW55" s="93" t="str">
        <f ca="1">IF(AV53&lt;&gt;"","　端数","")</f>
        <v/>
      </c>
      <c r="AX55" s="94"/>
      <c r="AY55" s="93" t="str">
        <f ca="1">IF(AV53&lt;&gt;"","アレルギー","")</f>
        <v/>
      </c>
      <c r="AZ55" s="101"/>
      <c r="BA55" s="80"/>
      <c r="BB55" s="93" t="str">
        <f ca="1">IF(BC53&lt;&gt;"","パン箱","")</f>
        <v/>
      </c>
      <c r="BC55" s="94" t="str">
        <f ca="1">IF(BC53&lt;&gt;"",IF(OR(COUNTIF('盛付札（関数）'!BC51,"*キャラ*"),COUNTIF('盛付札（関数）'!BC51,"*赤*")),24,
VLOOKUP('盛付札（関数）'!BC51,商品マスタ一覧!$D:$I,6,FALSE)),"")</f>
        <v/>
      </c>
      <c r="BD55" s="93" t="str">
        <f ca="1">IF(BC53&lt;&gt;"","　端数","")</f>
        <v/>
      </c>
      <c r="BE55" s="94"/>
      <c r="BF55" s="93" t="str">
        <f ca="1">IF(BC53&lt;&gt;"","アレルギー","")</f>
        <v/>
      </c>
      <c r="BG55" s="97"/>
      <c r="BH55" s="80"/>
      <c r="BI55" s="80"/>
      <c r="BJ55" s="93" t="str">
        <f ca="1">IF(BK53&lt;&gt;"","パン箱","")</f>
        <v/>
      </c>
      <c r="BK55" s="94" t="str">
        <f ca="1">IF(BK53&lt;&gt;"",IF(OR(COUNTIF('盛付札（関数）'!BK51,"*キャラ*"),COUNTIF('盛付札（関数）'!BK51,"*赤*")),24,
VLOOKUP('盛付札（関数）'!BK51,商品マスタ一覧!$D:$I,6,FALSE)),"")</f>
        <v/>
      </c>
      <c r="BL55" s="93" t="str">
        <f ca="1">IF(BK53&lt;&gt;"","　端数","")</f>
        <v/>
      </c>
      <c r="BM55" s="94"/>
      <c r="BN55" s="93" t="str">
        <f ca="1">IF(BK53&lt;&gt;"","アレルギー","")</f>
        <v/>
      </c>
      <c r="BO55" s="101"/>
      <c r="BP55" s="80"/>
      <c r="BQ55" s="93" t="str">
        <f ca="1">IF(BR53&lt;&gt;"","パン箱","")</f>
        <v/>
      </c>
      <c r="BR55" s="94" t="str">
        <f ca="1">IF(BR53&lt;&gt;"",IF(OR(COUNTIF('盛付札（関数）'!BR51,"*キャラ*"),COUNTIF('盛付札（関数）'!BR51,"*赤*")),24,
VLOOKUP('盛付札（関数）'!BR51,商品マスタ一覧!$D:$I,6,FALSE)),"")</f>
        <v/>
      </c>
      <c r="BS55" s="93" t="str">
        <f ca="1">IF(BR53&lt;&gt;"","　端数","")</f>
        <v/>
      </c>
      <c r="BT55" s="94"/>
      <c r="BU55" s="93" t="str">
        <f ca="1">IF(BR53&lt;&gt;"","アレルギー","")</f>
        <v/>
      </c>
      <c r="BV55" s="97"/>
      <c r="BW55" s="80"/>
      <c r="BX55" s="80"/>
      <c r="BY55" s="93" t="str">
        <f ca="1">IF(BZ53&lt;&gt;"","パン箱","")</f>
        <v/>
      </c>
      <c r="BZ55" s="94" t="str">
        <f ca="1">IF(BZ53&lt;&gt;"",IF(OR(COUNTIF('盛付札（関数）'!BZ51,"*キャラ*"),COUNTIF('盛付札（関数）'!BZ51,"*赤*")),24,
VLOOKUP('盛付札（関数）'!BZ51,商品マスタ一覧!$D:$I,6,FALSE)),"")</f>
        <v/>
      </c>
      <c r="CA55" s="93" t="str">
        <f ca="1">IF(BZ53&lt;&gt;"","　端数","")</f>
        <v/>
      </c>
      <c r="CB55" s="94"/>
      <c r="CC55" s="93" t="str">
        <f ca="1">IF(BZ53&lt;&gt;"","アレルギー","")</f>
        <v/>
      </c>
      <c r="CD55" s="101"/>
      <c r="CE55" s="80"/>
      <c r="CF55" s="93" t="str">
        <f ca="1">IF(CG53&lt;&gt;"","パン箱","")</f>
        <v/>
      </c>
      <c r="CG55" s="94" t="str">
        <f ca="1">IF(CG53&lt;&gt;"",IF(OR(COUNTIF('盛付札（関数）'!CG51,"*キャラ*"),COUNTIF('盛付札（関数）'!CG51,"*赤*")),24,
VLOOKUP('盛付札（関数）'!CG51,商品マスタ一覧!$D:$I,6,FALSE)),"")</f>
        <v/>
      </c>
      <c r="CH55" s="93" t="str">
        <f ca="1">IF(CG53&lt;&gt;"","　端数","")</f>
        <v/>
      </c>
      <c r="CI55" s="94"/>
      <c r="CJ55" s="93" t="str">
        <f ca="1">IF(CG53&lt;&gt;"","アレルギー","")</f>
        <v/>
      </c>
      <c r="CK55" s="97"/>
      <c r="CL55" s="80"/>
      <c r="CM55" s="80"/>
      <c r="CN55" s="93" t="str">
        <f ca="1">IF(CO53&lt;&gt;"","パン箱","")</f>
        <v/>
      </c>
      <c r="CO55" s="94" t="str">
        <f ca="1">IF(CO53&lt;&gt;"",IF(OR(COUNTIF('盛付札（関数）'!CO51,"*キャラ*"),COUNTIF('盛付札（関数）'!CO51,"*赤*")),24,
VLOOKUP('盛付札（関数）'!CO51,商品マスタ一覧!$D:$I,6,FALSE)),"")</f>
        <v/>
      </c>
      <c r="CP55" s="93" t="str">
        <f ca="1">IF(CO53&lt;&gt;"","　端数","")</f>
        <v/>
      </c>
      <c r="CQ55" s="94"/>
      <c r="CR55" s="93" t="str">
        <f ca="1">IF(CO53&lt;&gt;"","アレルギー","")</f>
        <v/>
      </c>
      <c r="CS55" s="101"/>
      <c r="CT55" s="80"/>
      <c r="CU55" s="93" t="str">
        <f ca="1">IF(CV53&lt;&gt;"","パン箱","")</f>
        <v/>
      </c>
      <c r="CV55" s="94" t="str">
        <f ca="1">IF(CV53&lt;&gt;"",IF(OR(COUNTIF('盛付札（関数）'!CV51,"*キャラ*"),COUNTIF('盛付札（関数）'!CV51,"*赤*")),24,
VLOOKUP('盛付札（関数）'!CV51,商品マスタ一覧!$D:$I,6,FALSE)),"")</f>
        <v/>
      </c>
      <c r="CW55" s="93" t="str">
        <f ca="1">IF(CV53&lt;&gt;"","　端数","")</f>
        <v/>
      </c>
      <c r="CX55" s="94"/>
      <c r="CY55" s="93" t="str">
        <f ca="1">IF(CV53&lt;&gt;"","アレルギー","")</f>
        <v/>
      </c>
      <c r="CZ55" s="97"/>
      <c r="DA55" s="80"/>
      <c r="DB55" s="80"/>
      <c r="DC55" s="93" t="str">
        <f ca="1">IF(DD53&lt;&gt;"","パン箱","")</f>
        <v/>
      </c>
      <c r="DD55" s="94" t="str">
        <f ca="1">IF(DD53&lt;&gt;"",IF(OR(COUNTIF('盛付札（関数）'!DD51,"*キャラ*"),COUNTIF('盛付札（関数）'!DD51,"*赤*")),24,
VLOOKUP('盛付札（関数）'!DD51,商品マスタ一覧!$D:$I,6,FALSE)),"")</f>
        <v/>
      </c>
      <c r="DE55" s="93" t="str">
        <f ca="1">IF(DD53&lt;&gt;"","　端数","")</f>
        <v/>
      </c>
      <c r="DF55" s="94"/>
      <c r="DG55" s="93" t="str">
        <f ca="1">IF(DD53&lt;&gt;"","アレルギー","")</f>
        <v/>
      </c>
      <c r="DH55" s="101"/>
      <c r="DI55" s="80"/>
      <c r="DJ55" s="93" t="str">
        <f ca="1">IF(DK53&lt;&gt;"","パン箱","")</f>
        <v/>
      </c>
      <c r="DK55" s="94" t="str">
        <f ca="1">IF(DK53&lt;&gt;"",IF(OR(COUNTIF('盛付札（関数）'!DK51,"*キャラ*"),COUNTIF('盛付札（関数）'!DK51,"*赤*")),24,
VLOOKUP('盛付札（関数）'!DK51,商品マスタ一覧!$D:$I,6,FALSE)),"")</f>
        <v/>
      </c>
      <c r="DL55" s="93" t="str">
        <f ca="1">IF(DK53&lt;&gt;"","　端数","")</f>
        <v/>
      </c>
      <c r="DM55" s="94"/>
      <c r="DN55" s="93" t="str">
        <f ca="1">IF(DK53&lt;&gt;"","アレルギー","")</f>
        <v/>
      </c>
      <c r="DO55" s="97"/>
      <c r="DP55" s="80"/>
      <c r="DQ55" s="80"/>
      <c r="DR55" s="93" t="str">
        <f ca="1">IF(DS53&lt;&gt;"","パン箱","")</f>
        <v/>
      </c>
      <c r="DS55" s="94" t="str">
        <f ca="1">IF(DS53&lt;&gt;"",IF(OR(COUNTIF('盛付札（関数）'!DS51,"*キャラ*"),COUNTIF('盛付札（関数）'!DS51,"*赤*")),24,
VLOOKUP('盛付札（関数）'!DS51,商品マスタ一覧!$D:$I,6,FALSE)),"")</f>
        <v/>
      </c>
      <c r="DT55" s="93" t="str">
        <f ca="1">IF(DS53&lt;&gt;"","　端数","")</f>
        <v/>
      </c>
      <c r="DU55" s="94"/>
      <c r="DV55" s="93" t="str">
        <f ca="1">IF(DS53&lt;&gt;"","アレルギー","")</f>
        <v/>
      </c>
      <c r="DW55" s="101"/>
      <c r="DX55" s="80"/>
      <c r="DY55" s="93" t="str">
        <f ca="1">IF(DZ53&lt;&gt;"","パン箱","")</f>
        <v/>
      </c>
      <c r="DZ55" s="94" t="str">
        <f ca="1">IF(DZ53&lt;&gt;"",IF(OR(COUNTIF('盛付札（関数）'!DZ51,"*キャラ*"),COUNTIF('盛付札（関数）'!DZ51,"*赤*")),24,
VLOOKUP('盛付札（関数）'!DZ51,商品マスタ一覧!$D:$I,6,FALSE)),"")</f>
        <v/>
      </c>
      <c r="EA55" s="93" t="str">
        <f ca="1">IF(DZ53&lt;&gt;"","　端数","")</f>
        <v/>
      </c>
      <c r="EB55" s="94"/>
      <c r="EC55" s="93" t="str">
        <f ca="1">IF(DZ53&lt;&gt;"","アレルギー","")</f>
        <v/>
      </c>
      <c r="ED55" s="97"/>
      <c r="EE55" s="80"/>
      <c r="EF55" s="80"/>
      <c r="EG55" s="93" t="str">
        <f ca="1">IF(EH53&lt;&gt;"","パン箱","")</f>
        <v/>
      </c>
      <c r="EH55" s="94" t="str">
        <f ca="1">IF(EH53&lt;&gt;"",IF(OR(COUNTIF('盛付札（関数）'!EH51,"*キャラ*"),COUNTIF('盛付札（関数）'!EH51,"*赤*")),24,
VLOOKUP('盛付札（関数）'!EH51,商品マスタ一覧!$D:$I,6,FALSE)),"")</f>
        <v/>
      </c>
      <c r="EI55" s="93" t="str">
        <f ca="1">IF(EH53&lt;&gt;"","　端数","")</f>
        <v/>
      </c>
      <c r="EJ55" s="94"/>
      <c r="EK55" s="93" t="str">
        <f ca="1">IF(EH53&lt;&gt;"","アレルギー","")</f>
        <v/>
      </c>
      <c r="EL55" s="101"/>
      <c r="EM55" s="80"/>
      <c r="EN55" s="93" t="str">
        <f ca="1">IF(EO53&lt;&gt;"","パン箱","")</f>
        <v/>
      </c>
      <c r="EO55" s="94" t="str">
        <f ca="1">IF(EO53&lt;&gt;"",IF(OR(COUNTIF('盛付札（関数）'!EO51,"*キャラ*"),COUNTIF('盛付札（関数）'!EO51,"*赤*")),24,
VLOOKUP('盛付札（関数）'!EO51,商品マスタ一覧!$D:$I,6,FALSE)),"")</f>
        <v/>
      </c>
      <c r="EP55" s="93" t="str">
        <f ca="1">IF(EO53&lt;&gt;"","　端数","")</f>
        <v/>
      </c>
      <c r="EQ55" s="94"/>
      <c r="ER55" s="93" t="str">
        <f ca="1">IF(EO53&lt;&gt;"","アレルギー","")</f>
        <v/>
      </c>
      <c r="ES55" s="97"/>
      <c r="ET55" s="110"/>
      <c r="EU55" s="82">
        <v>7</v>
      </c>
      <c r="EV55" s="82" t="str">
        <f t="array" aca="1" ref="EV55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LEN(SUBSTITUTE(_xlfn.FORMULATEXT(EV$51),"=","")))+$EU55)</f>
        <v/>
      </c>
      <c r="EW55" s="82" t="str">
        <f t="array" aca="1" ref="EW55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LEN(SUBSTITUTE(_xlfn.FORMULATEXT(EW$51),"=","")))+$EU55)</f>
        <v/>
      </c>
      <c r="EX55" s="82" t="str">
        <f t="array" aca="1" ref="EX55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LEN(SUBSTITUTE(_xlfn.FORMULATEXT(EX$51),"=","")))+$EU55)</f>
        <v/>
      </c>
      <c r="EY55" s="82" t="str">
        <f t="array" aca="1" ref="EY55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LEN(SUBSTITUTE(_xlfn.FORMULATEXT(EY$51),"=","")))+$EU55)</f>
        <v/>
      </c>
      <c r="EZ55" s="82" t="str">
        <f t="array" aca="1" ref="EZ55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LEN(SUBSTITUTE(_xlfn.FORMULATEXT(EZ$51),"=","")))+$EU55)</f>
        <v/>
      </c>
      <c r="FA55" s="82" t="e">
        <f t="array" aca="1" ref="FA55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LEN(SUBSTITUTE(_xlfn.FORMULATEXT(FA$51),"=","")))+$EU55)</f>
        <v>#VALUE!</v>
      </c>
      <c r="FB55" s="82" t="str">
        <f t="array" aca="1" ref="FB55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LEN(SUBSTITUTE(_xlfn.FORMULATEXT(FB$51),"=","")))+$EU55)</f>
        <v/>
      </c>
      <c r="FC55" s="82" t="str">
        <f t="array" aca="1" ref="FC55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LEN(SUBSTITUTE(_xlfn.FORMULATEXT(FC$51),"=","")))+$EU55)</f>
        <v/>
      </c>
      <c r="FD55" s="82" t="e">
        <f t="array" aca="1" ref="FD55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LEN(SUBSTITUTE(_xlfn.FORMULATEXT(FD$51),"=","")))+$EU55)</f>
        <v>#VALUE!</v>
      </c>
      <c r="FE55" s="82" t="str">
        <f t="array" aca="1" ref="FE55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LEN(SUBSTITUTE(_xlfn.FORMULATEXT(FE$51),"=","")))+$EU55)</f>
        <v/>
      </c>
      <c r="FF55" s="82" t="e">
        <f t="array" aca="1" ref="FF55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LEN(SUBSTITUTE(_xlfn.FORMULATEXT(FF$51),"=","")))+$EU55)</f>
        <v>#N/A</v>
      </c>
      <c r="FG55" s="82">
        <f t="shared" ca="1" si="3"/>
        <v>0</v>
      </c>
      <c r="FH55" s="82" t="e">
        <f t="array" aca="1" ref="FH55" ca="1">SUMPRODUCT((LEN(EV55:FF55)&gt;0)*1)&gt;0</f>
        <v>#VALUE!</v>
      </c>
      <c r="FI55" s="82" t="str">
        <f t="array" aca="1" ref="FI55" ca="1">IFERROR(SMALL(IF(FG$1:FG$173&lt;&gt;0,FG$1:FG$173),ROW(A55)),"")</f>
        <v/>
      </c>
      <c r="FJ55" s="82" t="str">
        <f t="array" aca="1" ref="FJ55" ca="1">IF($FI55&lt;&gt;"",
INDIRECT(""&amp;IF(COLUMN(EV55)&lt;=26,CHAR(COLUMN(EV55)+64),CHAR(INT((COLUMN(EV55)-1)/26)+64)&amp;CHAR(MOD(COLUMN(EV55)-1,26)+65))&amp;$FI55&amp;""),"")</f>
        <v/>
      </c>
      <c r="FK55" s="82" t="str">
        <f t="array" aca="1" ref="FK55" ca="1">IF($FI55&lt;&gt;"",
INDIRECT(""&amp;IF(COLUMN(EW55)&lt;=26,CHAR(COLUMN(EW55)+64),CHAR(INT((COLUMN(EW55)-1)/26)+64)&amp;CHAR(MOD(COLUMN(EW55)-1,26)+65))&amp;$FI55&amp;""),"")</f>
        <v/>
      </c>
      <c r="FL55" s="82" t="str">
        <f t="array" aca="1" ref="FL55" ca="1">IF($FI55&lt;&gt;"",
INDIRECT(""&amp;IF(COLUMN(EX55)&lt;=26,CHAR(COLUMN(EX55)+64),CHAR(INT((COLUMN(EX55)-1)/26)+64)&amp;CHAR(MOD(COLUMN(EX55)-1,26)+65))&amp;$FI55&amp;""),"")</f>
        <v/>
      </c>
      <c r="FM55" s="82" t="str">
        <f t="array" aca="1" ref="FM55" ca="1">IF($FI55&lt;&gt;"",
IF(FL55="",
IF(INDIRECT("EY"&amp;$FI55&amp;"")&lt;&gt;"",
INDIRECT("EY"&amp;$FI55&amp;"")&amp;"箱"
&amp;INDIRECT("EZ"&amp;$FI55&amp;""),""),""),"")</f>
        <v/>
      </c>
      <c r="FN55" s="82" t="str">
        <f t="array" aca="1" ref="FN55" ca="1">IF($FI55&lt;&gt;"",
INDIRECT(""&amp;IF(COLUMN(FA55)&lt;=26,CHAR(COLUMN(FA55)+64),CHAR(INT((COLUMN(FA55)-1)/26)+64)&amp;CHAR(MOD(COLUMN(FA55)-1,26)+65))&amp;$FI55&amp;""),"")</f>
        <v/>
      </c>
      <c r="FO55" s="82" t="str">
        <f t="array" aca="1" ref="FO55" ca="1">IF($FI55&lt;&gt;"",
INDIRECT(""&amp;IF(COLUMN(FB55)&lt;=26,CHAR(COLUMN(FB55)+64),CHAR(INT((COLUMN(FB55)-1)/26)+64)&amp;CHAR(MOD(COLUMN(FB55)-1,26)+65))&amp;$FI55&amp;""),"")</f>
        <v/>
      </c>
      <c r="FP55" s="82" t="str">
        <f t="array" aca="1" ref="FP55" ca="1">IF($FI55&lt;&gt;"",
INDIRECT(""&amp;IF(COLUMN(FC55)&lt;=26,CHAR(COLUMN(FC55)+64),CHAR(INT((COLUMN(FC55)-1)/26)+64)&amp;CHAR(MOD(COLUMN(FC55)-1,26)+65))&amp;$FI55&amp;""),"")</f>
        <v/>
      </c>
      <c r="FQ55" s="82" t="str">
        <f t="array" aca="1" ref="FQ55" ca="1">IF($FI55&lt;&gt;"",
INDIRECT(""&amp;IF(COLUMN(FD55)&lt;=26,CHAR(COLUMN(FD55)+64),CHAR(INT((COLUMN(FD55)-1)/26)+64)&amp;CHAR(MOD(COLUMN(FD55)-1,26)+65))&amp;$FI55&amp;""),"")</f>
        <v/>
      </c>
      <c r="FR55" s="82" t="str">
        <f t="array" aca="1" ref="FR55" ca="1">IF($FI55&lt;&gt;"",
INDIRECT(""&amp;IF(COLUMN(FE55)&lt;=26,CHAR(COLUMN(FE55)+64),CHAR(INT((COLUMN(FE55)-1)/26)+64)&amp;CHAR(MOD(COLUMN(FE55)-1,26)+65))&amp;$FI55&amp;""),"")</f>
        <v/>
      </c>
      <c r="FS55" s="82" t="str">
        <f t="array" aca="1" ref="FS55" ca="1">IF($FI55&lt;&gt;"",
INDIRECT(""&amp;IF(COLUMN(FF55)&lt;=26,CHAR(COLUMN(FF55)+64),CHAR(INT((COLUMN(FF55)-1)/26)+64)&amp;CHAR(MOD(COLUMN(FF55)-1,26)+65))&amp;$FI55&amp;""),"")</f>
        <v/>
      </c>
    </row>
    <row r="56" spans="1:175" ht="21" customHeight="1" x14ac:dyDescent="0.45">
      <c r="B56" s="196" t="str">
        <f ca="1">IF(C53&lt;&gt;"",
IFERROR(INT(C53/C55),""),"")</f>
        <v/>
      </c>
      <c r="C56" s="195"/>
      <c r="D56" s="196" t="str">
        <f ca="1">IFERROR(MOD(C53,C55),"")</f>
        <v/>
      </c>
      <c r="E56" s="195"/>
      <c r="F56" s="194" t="str">
        <f ca="1">IF(C50&lt;&gt;"",G52+G53,"")</f>
        <v/>
      </c>
      <c r="G56" s="195"/>
      <c r="I56" s="196" t="str">
        <f ca="1">IF(J53&lt;&gt;"",
IFERROR(INT(J53/J55),""),"")</f>
        <v/>
      </c>
      <c r="J56" s="195"/>
      <c r="K56" s="196" t="str">
        <f ca="1">IFERROR(MOD(J53,J55),"")</f>
        <v/>
      </c>
      <c r="L56" s="195"/>
      <c r="M56" s="194" t="str">
        <f ca="1">IF(J50&lt;&gt;"",N52+N53,"")</f>
        <v/>
      </c>
      <c r="N56" s="195"/>
      <c r="Q56" s="196" t="str">
        <f ca="1">IF(R53&lt;&gt;"",
IFERROR(INT(R53/R55),""),"")</f>
        <v/>
      </c>
      <c r="R56" s="195"/>
      <c r="S56" s="196" t="str">
        <f ca="1">IFERROR(MOD(R53,R55),"")</f>
        <v/>
      </c>
      <c r="T56" s="195"/>
      <c r="U56" s="194" t="str">
        <f ca="1">IF(R50&lt;&gt;"",V52+V53,"")</f>
        <v/>
      </c>
      <c r="V56" s="195"/>
      <c r="X56" s="196" t="str">
        <f ca="1">IF(Y53&lt;&gt;"",
IFERROR(INT(Y53/Y55),""),"")</f>
        <v/>
      </c>
      <c r="Y56" s="195"/>
      <c r="Z56" s="196" t="str">
        <f ca="1">IFERROR(MOD(Y53,Y55),"")</f>
        <v/>
      </c>
      <c r="AA56" s="195"/>
      <c r="AB56" s="194" t="str">
        <f ca="1">IF(Y50&lt;&gt;"",AC52+AC53,"")</f>
        <v/>
      </c>
      <c r="AC56" s="195"/>
      <c r="AF56" s="196" t="str">
        <f ca="1">IF(AG53&lt;&gt;"",
IFERROR(INT(AG53/AG55),""),"")</f>
        <v/>
      </c>
      <c r="AG56" s="195"/>
      <c r="AH56" s="196" t="str">
        <f ca="1">IFERROR(MOD(AG53,AG55),"")</f>
        <v/>
      </c>
      <c r="AI56" s="195"/>
      <c r="AJ56" s="194" t="str">
        <f ca="1">IF(AG50&lt;&gt;"",AK52+AK53,"")</f>
        <v/>
      </c>
      <c r="AK56" s="195"/>
      <c r="AM56" s="196" t="str">
        <f ca="1">IF(AN53&lt;&gt;"",
IFERROR(INT(AN53/AN55),""),"")</f>
        <v/>
      </c>
      <c r="AN56" s="195"/>
      <c r="AO56" s="196" t="str">
        <f ca="1">IFERROR(MOD(AN53,AN55),"")</f>
        <v/>
      </c>
      <c r="AP56" s="195"/>
      <c r="AQ56" s="194" t="str">
        <f ca="1">IF(AN50&lt;&gt;"",AR52+AR53,"")</f>
        <v/>
      </c>
      <c r="AR56" s="195"/>
      <c r="AU56" s="196" t="str">
        <f ca="1">IF(AV53&lt;&gt;"",
IFERROR(INT(AV53/AV55),""),"")</f>
        <v/>
      </c>
      <c r="AV56" s="195"/>
      <c r="AW56" s="196" t="str">
        <f ca="1">IFERROR(MOD(AV53,AV55),"")</f>
        <v/>
      </c>
      <c r="AX56" s="195"/>
      <c r="AY56" s="194" t="str">
        <f ca="1">IF(AV50&lt;&gt;"",AZ52+AZ53,"")</f>
        <v/>
      </c>
      <c r="AZ56" s="195"/>
      <c r="BB56" s="196" t="str">
        <f ca="1">IF(BC53&lt;&gt;"",
IFERROR(INT(BC53/BC55),""),"")</f>
        <v/>
      </c>
      <c r="BC56" s="195"/>
      <c r="BD56" s="196" t="str">
        <f ca="1">IFERROR(MOD(BC53,BC55),"")</f>
        <v/>
      </c>
      <c r="BE56" s="195"/>
      <c r="BF56" s="194" t="str">
        <f ca="1">IF(BC50&lt;&gt;"",BG52+BG53,"")</f>
        <v/>
      </c>
      <c r="BG56" s="195"/>
      <c r="BJ56" s="196" t="str">
        <f ca="1">IF(BK53&lt;&gt;"",
IFERROR(INT(BK53/BK55),""),"")</f>
        <v/>
      </c>
      <c r="BK56" s="195"/>
      <c r="BL56" s="196" t="str">
        <f ca="1">IFERROR(MOD(BK53,BK55),"")</f>
        <v/>
      </c>
      <c r="BM56" s="195"/>
      <c r="BN56" s="194" t="str">
        <f ca="1">IF(BK50&lt;&gt;"",BO52+BO53,"")</f>
        <v/>
      </c>
      <c r="BO56" s="195"/>
      <c r="BQ56" s="196" t="str">
        <f ca="1">IF(BR53&lt;&gt;"",
IFERROR(INT(BR53/BR55),""),"")</f>
        <v/>
      </c>
      <c r="BR56" s="195"/>
      <c r="BS56" s="196" t="str">
        <f ca="1">IFERROR(MOD(BR53,BR55),"")</f>
        <v/>
      </c>
      <c r="BT56" s="195"/>
      <c r="BU56" s="194" t="str">
        <f ca="1">IF(BR50&lt;&gt;"",BV52+BV53,"")</f>
        <v/>
      </c>
      <c r="BV56" s="195"/>
      <c r="BY56" s="196" t="str">
        <f ca="1">IF(BZ53&lt;&gt;"",
IFERROR(INT(BZ53/BZ55),""),"")</f>
        <v/>
      </c>
      <c r="BZ56" s="195"/>
      <c r="CA56" s="196" t="str">
        <f ca="1">IFERROR(MOD(BZ53,BZ55),"")</f>
        <v/>
      </c>
      <c r="CB56" s="195"/>
      <c r="CC56" s="194" t="str">
        <f ca="1">IF(BZ50&lt;&gt;"",CD52+CD53,"")</f>
        <v/>
      </c>
      <c r="CD56" s="195"/>
      <c r="CF56" s="196" t="str">
        <f ca="1">IF(CG53&lt;&gt;"",
IFERROR(INT(CG53/CG55),""),"")</f>
        <v/>
      </c>
      <c r="CG56" s="195"/>
      <c r="CH56" s="196" t="str">
        <f ca="1">IFERROR(MOD(CG53,CG55),"")</f>
        <v/>
      </c>
      <c r="CI56" s="195"/>
      <c r="CJ56" s="194" t="str">
        <f ca="1">IF(CG50&lt;&gt;"",CK52+CK53,"")</f>
        <v/>
      </c>
      <c r="CK56" s="195"/>
      <c r="CN56" s="196" t="str">
        <f ca="1">IF(CO53&lt;&gt;"",
IFERROR(INT(CO53/CO55),""),"")</f>
        <v/>
      </c>
      <c r="CO56" s="195"/>
      <c r="CP56" s="196" t="str">
        <f ca="1">IFERROR(MOD(CO53,CO55),"")</f>
        <v/>
      </c>
      <c r="CQ56" s="195"/>
      <c r="CR56" s="194" t="str">
        <f ca="1">IF(CO50&lt;&gt;"",CS52+CS53,"")</f>
        <v/>
      </c>
      <c r="CS56" s="195"/>
      <c r="CU56" s="196" t="str">
        <f ca="1">IF(CV53&lt;&gt;"",
IFERROR(INT(CV53/CV55),""),"")</f>
        <v/>
      </c>
      <c r="CV56" s="195"/>
      <c r="CW56" s="196" t="str">
        <f ca="1">IFERROR(MOD(CV53,CV55),"")</f>
        <v/>
      </c>
      <c r="CX56" s="195"/>
      <c r="CY56" s="194" t="str">
        <f ca="1">IF(CV50&lt;&gt;"",CZ52+CZ53,"")</f>
        <v/>
      </c>
      <c r="CZ56" s="195"/>
      <c r="DC56" s="196" t="str">
        <f ca="1">IF(DD53&lt;&gt;"",
IFERROR(INT(DD53/DD55),""),"")</f>
        <v/>
      </c>
      <c r="DD56" s="195"/>
      <c r="DE56" s="196" t="str">
        <f ca="1">IFERROR(MOD(DD53,DD55),"")</f>
        <v/>
      </c>
      <c r="DF56" s="195"/>
      <c r="DG56" s="194" t="str">
        <f ca="1">IF(DD50&lt;&gt;"",DH52+DH53,"")</f>
        <v/>
      </c>
      <c r="DH56" s="195"/>
      <c r="DJ56" s="196" t="str">
        <f ca="1">IF(DK53&lt;&gt;"",
IFERROR(INT(DK53/DK55),""),"")</f>
        <v/>
      </c>
      <c r="DK56" s="195"/>
      <c r="DL56" s="196" t="str">
        <f ca="1">IFERROR(MOD(DK53,DK55),"")</f>
        <v/>
      </c>
      <c r="DM56" s="195"/>
      <c r="DN56" s="194" t="str">
        <f ca="1">IF(DK50&lt;&gt;"",DO52+DO53,"")</f>
        <v/>
      </c>
      <c r="DO56" s="195"/>
      <c r="DR56" s="196" t="str">
        <f ca="1">IF(DS53&lt;&gt;"",
IFERROR(INT(DS53/DS55),""),"")</f>
        <v/>
      </c>
      <c r="DS56" s="195"/>
      <c r="DT56" s="196" t="str">
        <f ca="1">IFERROR(MOD(DS53,DS55),"")</f>
        <v/>
      </c>
      <c r="DU56" s="195"/>
      <c r="DV56" s="194" t="str">
        <f ca="1">IF(DS50&lt;&gt;"",DW52+DW53,"")</f>
        <v/>
      </c>
      <c r="DW56" s="195"/>
      <c r="DY56" s="196" t="str">
        <f ca="1">IF(DZ53&lt;&gt;"",
IFERROR(INT(DZ53/DZ55),""),"")</f>
        <v/>
      </c>
      <c r="DZ56" s="195"/>
      <c r="EA56" s="196" t="str">
        <f ca="1">IFERROR(MOD(DZ53,DZ55),"")</f>
        <v/>
      </c>
      <c r="EB56" s="195"/>
      <c r="EC56" s="194" t="str">
        <f ca="1">IF(DZ50&lt;&gt;"",ED52+ED53,"")</f>
        <v/>
      </c>
      <c r="ED56" s="195"/>
      <c r="EG56" s="196" t="str">
        <f ca="1">IF(EH53&lt;&gt;"",
IFERROR(INT(EH53/EH55),""),"")</f>
        <v/>
      </c>
      <c r="EH56" s="195"/>
      <c r="EI56" s="196" t="str">
        <f ca="1">IFERROR(MOD(EH53,EH55),"")</f>
        <v/>
      </c>
      <c r="EJ56" s="195"/>
      <c r="EK56" s="194" t="str">
        <f ca="1">IF(EH50&lt;&gt;"",EL52+EL53,"")</f>
        <v/>
      </c>
      <c r="EL56" s="195"/>
      <c r="EN56" s="196" t="str">
        <f ca="1">IF(EO53&lt;&gt;"",
IFERROR(INT(EO53/EO55),""),"")</f>
        <v/>
      </c>
      <c r="EO56" s="195"/>
      <c r="EP56" s="196" t="str">
        <f ca="1">IFERROR(MOD(EO53,EO55),"")</f>
        <v/>
      </c>
      <c r="EQ56" s="195"/>
      <c r="ER56" s="194" t="str">
        <f ca="1">IF(EO50&lt;&gt;"",ES52+ES53,"")</f>
        <v/>
      </c>
      <c r="ES56" s="195"/>
      <c r="ET56" s="75"/>
      <c r="EU56" s="82">
        <f t="shared" ref="EU56:EU72" si="4">EU52+7</f>
        <v>49</v>
      </c>
      <c r="EV56" s="82" t="str">
        <f t="array" aca="1" ref="EV56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LEN(SUBSTITUTE(_xlfn.FORMULATEXT(EV$51),"=","")))+$EU56)</f>
        <v/>
      </c>
      <c r="EW56" s="82" t="str">
        <f t="array" aca="1" ref="EW56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LEN(SUBSTITUTE(_xlfn.FORMULATEXT(EW$51),"=","")))+$EU56)</f>
        <v/>
      </c>
      <c r="EX56" s="82" t="str">
        <f t="array" aca="1" ref="EX56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LEN(SUBSTITUTE(_xlfn.FORMULATEXT(EX$51),"=","")))+$EU56)</f>
        <v/>
      </c>
      <c r="EY56" s="82" t="str">
        <f t="array" aca="1" ref="EY56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LEN(SUBSTITUTE(_xlfn.FORMULATEXT(EY$51),"=","")))+$EU56)</f>
        <v/>
      </c>
      <c r="EZ56" s="82" t="str">
        <f t="array" aca="1" ref="EZ56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LEN(SUBSTITUTE(_xlfn.FORMULATEXT(EZ$51),"=","")))+$EU56)</f>
        <v/>
      </c>
      <c r="FA56" s="82" t="str">
        <f t="array" aca="1" ref="FA56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LEN(SUBSTITUTE(_xlfn.FORMULATEXT(FA$51),"=","")))+$EU56)</f>
        <v/>
      </c>
      <c r="FB56" s="82" t="str">
        <f t="array" aca="1" ref="FB56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LEN(SUBSTITUTE(_xlfn.FORMULATEXT(FB$51),"=","")))+$EU56)</f>
        <v/>
      </c>
      <c r="FC56" s="82" t="str">
        <f t="array" aca="1" ref="FC56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LEN(SUBSTITUTE(_xlfn.FORMULATEXT(FC$51),"=","")))+$EU56)</f>
        <v/>
      </c>
      <c r="FD56" s="82" t="str">
        <f t="array" aca="1" ref="FD56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LEN(SUBSTITUTE(_xlfn.FORMULATEXT(FD$51),"=","")))+$EU56)</f>
        <v/>
      </c>
      <c r="FE56" s="82" t="str">
        <f t="array" aca="1" ref="FE56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LEN(SUBSTITUTE(_xlfn.FORMULATEXT(FE$51),"=","")))+$EU56)</f>
        <v/>
      </c>
      <c r="FF56" s="82" t="str">
        <f t="array" aca="1" ref="FF56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LEN(SUBSTITUTE(_xlfn.FORMULATEXT(FF$51),"=","")))+$EU56)</f>
        <v/>
      </c>
      <c r="FG56" s="82">
        <f t="shared" ca="1" si="3"/>
        <v>0</v>
      </c>
      <c r="FH56" s="82" t="b">
        <f t="array" aca="1" ref="FH56" ca="1">SUMPRODUCT((LEN(EV56:FF56)&gt;0)*1)&gt;0</f>
        <v>0</v>
      </c>
      <c r="FI56" s="82" t="str">
        <f t="array" aca="1" ref="FI56" ca="1">IFERROR(SMALL(IF(FG$1:FG$173&lt;&gt;0,FG$1:FG$173),ROW(A56)),"")</f>
        <v/>
      </c>
      <c r="FJ56" s="82" t="str">
        <f t="array" aca="1" ref="FJ56" ca="1">IF($FI56&lt;&gt;"",
INDIRECT(""&amp;IF(COLUMN(EV56)&lt;=26,CHAR(COLUMN(EV56)+64),CHAR(INT((COLUMN(EV56)-1)/26)+64)&amp;CHAR(MOD(COLUMN(EV56)-1,26)+65))&amp;$FI56&amp;""),"")</f>
        <v/>
      </c>
      <c r="FK56" s="82" t="str">
        <f t="array" aca="1" ref="FK56" ca="1">IF($FI56&lt;&gt;"",
INDIRECT(""&amp;IF(COLUMN(EW56)&lt;=26,CHAR(COLUMN(EW56)+64),CHAR(INT((COLUMN(EW56)-1)/26)+64)&amp;CHAR(MOD(COLUMN(EW56)-1,26)+65))&amp;$FI56&amp;""),"")</f>
        <v/>
      </c>
      <c r="FL56" s="82" t="str">
        <f t="array" aca="1" ref="FL56" ca="1">IF($FI56&lt;&gt;"",
INDIRECT(""&amp;IF(COLUMN(EX56)&lt;=26,CHAR(COLUMN(EX56)+64),CHAR(INT((COLUMN(EX56)-1)/26)+64)&amp;CHAR(MOD(COLUMN(EX56)-1,26)+65))&amp;$FI56&amp;""),"")</f>
        <v/>
      </c>
      <c r="FM56" s="82" t="str">
        <f t="array" aca="1" ref="FM56" ca="1">IF($FI56&lt;&gt;"",
IF(FL56="",
IF(INDIRECT("EY"&amp;$FI56&amp;"")&lt;&gt;"",
INDIRECT("EY"&amp;$FI56&amp;"")&amp;"箱"
&amp;INDIRECT("EZ"&amp;$FI56&amp;""),""),""),"")</f>
        <v/>
      </c>
      <c r="FN56" s="82" t="str">
        <f t="array" aca="1" ref="FN56" ca="1">IF($FI56&lt;&gt;"",
INDIRECT(""&amp;IF(COLUMN(FA56)&lt;=26,CHAR(COLUMN(FA56)+64),CHAR(INT((COLUMN(FA56)-1)/26)+64)&amp;CHAR(MOD(COLUMN(FA56)-1,26)+65))&amp;$FI56&amp;""),"")</f>
        <v/>
      </c>
      <c r="FO56" s="82" t="str">
        <f t="array" aca="1" ref="FO56" ca="1">IF($FI56&lt;&gt;"",
INDIRECT(""&amp;IF(COLUMN(FB56)&lt;=26,CHAR(COLUMN(FB56)+64),CHAR(INT((COLUMN(FB56)-1)/26)+64)&amp;CHAR(MOD(COLUMN(FB56)-1,26)+65))&amp;$FI56&amp;""),"")</f>
        <v/>
      </c>
      <c r="FP56" s="82" t="str">
        <f t="array" aca="1" ref="FP56" ca="1">IF($FI56&lt;&gt;"",
INDIRECT(""&amp;IF(COLUMN(FC56)&lt;=26,CHAR(COLUMN(FC56)+64),CHAR(INT((COLUMN(FC56)-1)/26)+64)&amp;CHAR(MOD(COLUMN(FC56)-1,26)+65))&amp;$FI56&amp;""),"")</f>
        <v/>
      </c>
      <c r="FQ56" s="82" t="str">
        <f t="array" aca="1" ref="FQ56" ca="1">IF($FI56&lt;&gt;"",
INDIRECT(""&amp;IF(COLUMN(FD56)&lt;=26,CHAR(COLUMN(FD56)+64),CHAR(INT((COLUMN(FD56)-1)/26)+64)&amp;CHAR(MOD(COLUMN(FD56)-1,26)+65))&amp;$FI56&amp;""),"")</f>
        <v/>
      </c>
      <c r="FR56" s="82" t="str">
        <f t="array" aca="1" ref="FR56" ca="1">IF($FI56&lt;&gt;"",
INDIRECT(""&amp;IF(COLUMN(FE56)&lt;=26,CHAR(COLUMN(FE56)+64),CHAR(INT((COLUMN(FE56)-1)/26)+64)&amp;CHAR(MOD(COLUMN(FE56)-1,26)+65))&amp;$FI56&amp;""),"")</f>
        <v/>
      </c>
      <c r="FS56" s="82" t="str">
        <f t="array" aca="1" ref="FS56" ca="1">IF($FI56&lt;&gt;"",
INDIRECT(""&amp;IF(COLUMN(FF56)&lt;=26,CHAR(COLUMN(FF56)+64),CHAR(INT((COLUMN(FF56)-1)/26)+64)&amp;CHAR(MOD(COLUMN(FF56)-1,26)+65))&amp;$FI56&amp;""),"")</f>
        <v/>
      </c>
    </row>
    <row r="57" spans="1:175" s="82" customFormat="1" ht="18" customHeight="1" x14ac:dyDescent="0.55000000000000004">
      <c r="A57" s="80"/>
      <c r="B57" s="81" t="str">
        <f t="array" aca="1" ref="B57" ca="1">IF(COUNTIF(G15,"*合計*"),"",
IF(C15=J50,
IFERROR(
SUBSTITUTE(ADDRESS(1,
COLUMN(INDIRECT("数出表_Excel!"&amp;I50&amp; (MATCH(G15,数出表_Excel!$A:$A,0)-1))) - 1 +
MATCH(TRUE, ISNUMBER(--INDIRECT("数出表_Excel!"&amp;I50&amp; (MATCH(G15,数出表_Excel!$A:$A,0)-1) &amp; ":U" &amp; (MATCH(G15,数出表_Excel!$A:$A,0)-1))), 0)+1,4),"1",""),
""),
IFERROR(
SUBSTITUTE(ADDRESS(1,
COLUMN(INDIRECT("数出表_Excel!B" &amp; (MATCH(G15,数出表_Excel!$A:$A,0)-1))) - 1 +
MATCH(TRUE, ISNUMBER(--INDIRECT("数出表_Excel!B" &amp; (MATCH(G15,数出表_Excel!$A:$A,0)-1) &amp; ":U" &amp; (MATCH(G15,数出表_Excel!$A:$A,0)-1))), 0)+1,4),"1",""),
"")))</f>
        <v/>
      </c>
      <c r="C57" s="191" t="str">
        <f ca="1">IF(C60&lt;&gt;"",C15,"")</f>
        <v/>
      </c>
      <c r="D57" s="192"/>
      <c r="E57" s="192"/>
      <c r="F57" s="192"/>
      <c r="G57" s="99"/>
      <c r="H57" s="80"/>
      <c r="I57" s="81" t="str">
        <f t="array" aca="1" ref="I57" ca="1">IF(COUNTIF(N15,"*合計*"),"",
IF(J15=C57,
IFERROR(
SUBSTITUTE(ADDRESS(1,
COLUMN(INDIRECT("数出表_Excel!"&amp;B57&amp; (MATCH(N15,数出表_Excel!$A:$A,0)-1))) - 1 +
MATCH(TRUE, ISNUMBER(--INDIRECT("数出表_Excel!"&amp;B57&amp; (MATCH(N15,数出表_Excel!$A:$A,0)-1) &amp; ":U" &amp; (MATCH(N15,数出表_Excel!$A:$A,0)-1))), 0)+1,4),"1",""),
""),
IFERROR(
SUBSTITUTE(ADDRESS(1,
COLUMN(INDIRECT("数出表_Excel!B" &amp; (MATCH(N15,数出表_Excel!$A:$A,0)-1))) - 1 +
MATCH(TRUE, ISNUMBER(--INDIRECT("数出表_Excel!B" &amp; (MATCH(N15,数出表_Excel!$A:$A,0)-1) &amp; ":U" &amp; (MATCH(N15,数出表_Excel!$A:$A,0)-1))), 0)+1,4),"1",""),
"")))</f>
        <v/>
      </c>
      <c r="J57" s="191" t="str">
        <f ca="1">IF(J60&lt;&gt;"",J15,"")</f>
        <v/>
      </c>
      <c r="K57" s="192"/>
      <c r="L57" s="192"/>
      <c r="M57" s="192"/>
      <c r="N57" s="95"/>
      <c r="O57" s="80"/>
      <c r="P57" s="80"/>
      <c r="Q57" s="81" t="str">
        <f t="array" aca="1" ref="Q57" ca="1">IF(COUNTIF(V15,"*合計*"),"",
IF(R15=Y50,
IFERROR(
SUBSTITUTE(ADDRESS(1,
COLUMN(INDIRECT("数出表_Excel!"&amp;X50&amp; (MATCH(V15,数出表_Excel!$A:$A,0)-1))) - 1 +
MATCH(TRUE, ISNUMBER(--INDIRECT("数出表_Excel!"&amp;X50&amp; (MATCH(V15,数出表_Excel!$A:$A,0)-1) &amp; ":U" &amp; (MATCH(V15,数出表_Excel!$A:$A,0)-1))), 0)+1,4),"1",""),
""),
IFERROR(
SUBSTITUTE(ADDRESS(1,
COLUMN(INDIRECT("数出表_Excel!B" &amp; (MATCH(V15,数出表_Excel!$A:$A,0)-1))) - 1 +
MATCH(TRUE, ISNUMBER(--INDIRECT("数出表_Excel!B" &amp; (MATCH(V15,数出表_Excel!$A:$A,0)-1) &amp; ":U" &amp; (MATCH(V15,数出表_Excel!$A:$A,0)-1))), 0)+1,4),"1",""),
"")))</f>
        <v/>
      </c>
      <c r="R57" s="191" t="str">
        <f ca="1">IF(R60&lt;&gt;"",R15,"")</f>
        <v/>
      </c>
      <c r="S57" s="192"/>
      <c r="T57" s="192"/>
      <c r="U57" s="192"/>
      <c r="V57" s="99"/>
      <c r="W57" s="80"/>
      <c r="X57" s="81" t="str">
        <f t="array" aca="1" ref="X57" ca="1">IF(COUNTIF(AC15,"*合計*"),"",
IF(Y15=R57,
IFERROR(
SUBSTITUTE(ADDRESS(1,
COLUMN(INDIRECT("数出表_Excel!"&amp;Q57&amp; (MATCH(AC15,数出表_Excel!$A:$A,0)-1))) - 1 +
MATCH(TRUE, ISNUMBER(--INDIRECT("数出表_Excel!"&amp;Q57&amp; (MATCH(AC15,数出表_Excel!$A:$A,0)-1) &amp; ":U" &amp; (MATCH(AC15,数出表_Excel!$A:$A,0)-1))), 0)+1,4),"1",""),
""),
IFERROR(
SUBSTITUTE(ADDRESS(1,
COLUMN(INDIRECT("数出表_Excel!B" &amp; (MATCH(AC15,数出表_Excel!$A:$A,0)-1))) - 1 +
MATCH(TRUE, ISNUMBER(--INDIRECT("数出表_Excel!B" &amp; (MATCH(AC15,数出表_Excel!$A:$A,0)-1) &amp; ":U" &amp; (MATCH(AC15,数出表_Excel!$A:$A,0)-1))), 0)+1,4),"1",""),
"")))</f>
        <v/>
      </c>
      <c r="Y57" s="191" t="str">
        <f ca="1">IF(Y60&lt;&gt;"",Y15,"")</f>
        <v/>
      </c>
      <c r="Z57" s="192"/>
      <c r="AA57" s="192"/>
      <c r="AB57" s="192"/>
      <c r="AC57" s="95"/>
      <c r="AD57" s="80"/>
      <c r="AE57" s="80"/>
      <c r="AF57" s="81" t="str">
        <f t="array" aca="1" ref="AF57" ca="1">IF(COUNTIF(AK15,"*合計*"),"",
IF(AG15=AN50,
IFERROR(
SUBSTITUTE(ADDRESS(1,
COLUMN(INDIRECT("数出表_Excel!"&amp;AM50&amp; (MATCH(AK15,数出表_Excel!$A:$A,0)-1))) - 1 +
MATCH(TRUE, ISNUMBER(--INDIRECT("数出表_Excel!"&amp;AM50&amp; (MATCH(AK15,数出表_Excel!$A:$A,0)-1) &amp; ":U" &amp; (MATCH(AK15,数出表_Excel!$A:$A,0)-1))), 0)+1,4),"1",""),
""),
IFERROR(
SUBSTITUTE(ADDRESS(1,
COLUMN(INDIRECT("数出表_Excel!B" &amp; (MATCH(AK15,数出表_Excel!$A:$A,0)-1))) - 1 +
MATCH(TRUE, ISNUMBER(--INDIRECT("数出表_Excel!B" &amp; (MATCH(AK15,数出表_Excel!$A:$A,0)-1) &amp; ":U" &amp; (MATCH(AK15,数出表_Excel!$A:$A,0)-1))), 0)+1,4),"1",""),
"")))</f>
        <v/>
      </c>
      <c r="AG57" s="191" t="str">
        <f ca="1">IF(AG60&lt;&gt;"",AG15,"")</f>
        <v/>
      </c>
      <c r="AH57" s="192"/>
      <c r="AI57" s="192"/>
      <c r="AJ57" s="192"/>
      <c r="AK57" s="99"/>
      <c r="AL57" s="80"/>
      <c r="AM57" s="81" t="str">
        <f t="array" aca="1" ref="AM57" ca="1">IF(COUNTIF(AR15,"*合計*"),"",
IF(AN15=AG57,
IFERROR(
SUBSTITUTE(ADDRESS(1,
COLUMN(INDIRECT("数出表_Excel!"&amp;AF57&amp; (MATCH(AR15,数出表_Excel!$A:$A,0)-1))) - 1 +
MATCH(TRUE, ISNUMBER(--INDIRECT("数出表_Excel!"&amp;AF57&amp; (MATCH(AR15,数出表_Excel!$A:$A,0)-1) &amp; ":U" &amp; (MATCH(AR15,数出表_Excel!$A:$A,0)-1))), 0)+1,4),"1",""),
""),
IFERROR(
SUBSTITUTE(ADDRESS(1,
COLUMN(INDIRECT("数出表_Excel!B" &amp; (MATCH(AR15,数出表_Excel!$A:$A,0)-1))) - 1 +
MATCH(TRUE, ISNUMBER(--INDIRECT("数出表_Excel!B" &amp; (MATCH(AR15,数出表_Excel!$A:$A,0)-1) &amp; ":U" &amp; (MATCH(AR15,数出表_Excel!$A:$A,0)-1))), 0)+1,4),"1",""),
"")))</f>
        <v/>
      </c>
      <c r="AN57" s="191" t="str">
        <f ca="1">IF(AN60&lt;&gt;"",AN15,"")</f>
        <v/>
      </c>
      <c r="AO57" s="192"/>
      <c r="AP57" s="192"/>
      <c r="AQ57" s="192"/>
      <c r="AR57" s="95"/>
      <c r="AS57" s="80"/>
      <c r="AT57" s="80"/>
      <c r="AU57" s="81" t="str">
        <f t="array" aca="1" ref="AU57" ca="1">IF(COUNTIF(AZ15,"*合計*"),"",
IF(AV15=BC50,
IFERROR(
SUBSTITUTE(ADDRESS(1,
COLUMN(INDIRECT("数出表_Excel!"&amp;BB50&amp; (MATCH(AZ15,数出表_Excel!$A:$A,0)-1))) - 1 +
MATCH(TRUE, ISNUMBER(--INDIRECT("数出表_Excel!"&amp;BB50&amp; (MATCH(AZ15,数出表_Excel!$A:$A,0)-1) &amp; ":U" &amp; (MATCH(AZ15,数出表_Excel!$A:$A,0)-1))), 0)+1,4),"1",""),
""),
IFERROR(
SUBSTITUTE(ADDRESS(1,
COLUMN(INDIRECT("数出表_Excel!B" &amp; (MATCH(AZ15,数出表_Excel!$A:$A,0)-1))) - 1 +
MATCH(TRUE, ISNUMBER(--INDIRECT("数出表_Excel!B" &amp; (MATCH(AZ15,数出表_Excel!$A:$A,0)-1) &amp; ":U" &amp; (MATCH(AZ15,数出表_Excel!$A:$A,0)-1))), 0)+1,4),"1",""),
"")))</f>
        <v/>
      </c>
      <c r="AV57" s="191" t="str">
        <f ca="1">IF(AV60&lt;&gt;"",AV15,"")</f>
        <v/>
      </c>
      <c r="AW57" s="192"/>
      <c r="AX57" s="192"/>
      <c r="AY57" s="192"/>
      <c r="AZ57" s="99"/>
      <c r="BA57" s="80"/>
      <c r="BB57" s="81" t="str">
        <f t="array" aca="1" ref="BB57" ca="1">IF(COUNTIF(BG15,"*合計*"),"",
IF(BC15=AV57,
IFERROR(
SUBSTITUTE(ADDRESS(1,
COLUMN(INDIRECT("数出表_Excel!"&amp;AU57&amp; (MATCH(BG15,数出表_Excel!$A:$A,0)-1))) - 1 +
MATCH(TRUE, ISNUMBER(--INDIRECT("数出表_Excel!"&amp;AU57&amp; (MATCH(BG15,数出表_Excel!$A:$A,0)-1) &amp; ":U" &amp; (MATCH(BG15,数出表_Excel!$A:$A,0)-1))), 0)+1,4),"1",""),
""),
IFERROR(
SUBSTITUTE(ADDRESS(1,
COLUMN(INDIRECT("数出表_Excel!B" &amp; (MATCH(BG15,数出表_Excel!$A:$A,0)-1))) - 1 +
MATCH(TRUE, ISNUMBER(--INDIRECT("数出表_Excel!B" &amp; (MATCH(BG15,数出表_Excel!$A:$A,0)-1) &amp; ":U" &amp; (MATCH(BG15,数出表_Excel!$A:$A,0)-1))), 0)+1,4),"1",""),
"")))</f>
        <v/>
      </c>
      <c r="BC57" s="191" t="str">
        <f ca="1">IF(BC60&lt;&gt;"",BC15,"")</f>
        <v/>
      </c>
      <c r="BD57" s="192"/>
      <c r="BE57" s="192"/>
      <c r="BF57" s="192"/>
      <c r="BG57" s="95"/>
      <c r="BH57" s="80"/>
      <c r="BI57" s="80"/>
      <c r="BJ57" s="81" t="str">
        <f t="array" aca="1" ref="BJ57" ca="1">IF(COUNTIF(BO15,"*合計*"),"",
IF(BK15=BR50,
IFERROR(
SUBSTITUTE(ADDRESS(1,
COLUMN(INDIRECT("数出表_Excel!"&amp;BQ50&amp; (MATCH(BO15,数出表_Excel!$A:$A,0)-1))) - 1 +
MATCH(TRUE, ISNUMBER(--INDIRECT("数出表_Excel!"&amp;BQ50&amp; (MATCH(BO15,数出表_Excel!$A:$A,0)-1) &amp; ":U" &amp; (MATCH(BO15,数出表_Excel!$A:$A,0)-1))), 0)+1,4),"1",""),
""),
IFERROR(
SUBSTITUTE(ADDRESS(1,
COLUMN(INDIRECT("数出表_Excel!B" &amp; (MATCH(BO15,数出表_Excel!$A:$A,0)-1))) - 1 +
MATCH(TRUE, ISNUMBER(--INDIRECT("数出表_Excel!B" &amp; (MATCH(BO15,数出表_Excel!$A:$A,0)-1) &amp; ":U" &amp; (MATCH(BO15,数出表_Excel!$A:$A,0)-1))), 0)+1,4),"1",""),
"")))</f>
        <v/>
      </c>
      <c r="BK57" s="191" t="str">
        <f ca="1">IF(BK60&lt;&gt;"",BK15,"")</f>
        <v/>
      </c>
      <c r="BL57" s="192"/>
      <c r="BM57" s="192"/>
      <c r="BN57" s="192"/>
      <c r="BO57" s="99"/>
      <c r="BP57" s="80"/>
      <c r="BQ57" s="81" t="str">
        <f t="array" aca="1" ref="BQ57" ca="1">IF(COUNTIF(BV15,"*合計*"),"",
IF(BR15=BK57,
IFERROR(
SUBSTITUTE(ADDRESS(1,
COLUMN(INDIRECT("数出表_Excel!"&amp;BJ57&amp; (MATCH(BV15,数出表_Excel!$A:$A,0)-1))) - 1 +
MATCH(TRUE, ISNUMBER(--INDIRECT("数出表_Excel!"&amp;BJ57&amp; (MATCH(BV15,数出表_Excel!$A:$A,0)-1) &amp; ":U" &amp; (MATCH(BV15,数出表_Excel!$A:$A,0)-1))), 0)+1,4),"1",""),
""),
IFERROR(
SUBSTITUTE(ADDRESS(1,
COLUMN(INDIRECT("数出表_Excel!B" &amp; (MATCH(BV15,数出表_Excel!$A:$A,0)-1))) - 1 +
MATCH(TRUE, ISNUMBER(--INDIRECT("数出表_Excel!B" &amp; (MATCH(BV15,数出表_Excel!$A:$A,0)-1) &amp; ":U" &amp; (MATCH(BV15,数出表_Excel!$A:$A,0)-1))), 0)+1,4),"1",""),
"")))</f>
        <v/>
      </c>
      <c r="BR57" s="191" t="str">
        <f ca="1">IF(BR60&lt;&gt;"",BR15,"")</f>
        <v/>
      </c>
      <c r="BS57" s="192"/>
      <c r="BT57" s="192"/>
      <c r="BU57" s="192"/>
      <c r="BV57" s="95"/>
      <c r="BW57" s="80"/>
      <c r="BX57" s="80"/>
      <c r="BY57" s="81" t="str">
        <f t="array" aca="1" ref="BY57" ca="1">IF(COUNTIF(CD15,"*合計*"),"",
IF(BZ15=CG50,
IFERROR(
SUBSTITUTE(ADDRESS(1,
COLUMN(INDIRECT("数出表_Excel!"&amp;CF50&amp; (MATCH(CD15,数出表_Excel!$A:$A,0)-1))) - 1 +
MATCH(TRUE, ISNUMBER(--INDIRECT("数出表_Excel!"&amp;CF50&amp; (MATCH(CD15,数出表_Excel!$A:$A,0)-1) &amp; ":U" &amp; (MATCH(CD15,数出表_Excel!$A:$A,0)-1))), 0)+1,4),"1",""),
""),
IFERROR(
SUBSTITUTE(ADDRESS(1,
COLUMN(INDIRECT("数出表_Excel!B" &amp; (MATCH(CD15,数出表_Excel!$A:$A,0)-1))) - 1 +
MATCH(TRUE, ISNUMBER(--INDIRECT("数出表_Excel!B" &amp; (MATCH(CD15,数出表_Excel!$A:$A,0)-1) &amp; ":U" &amp; (MATCH(CD15,数出表_Excel!$A:$A,0)-1))), 0)+1,4),"1",""),
"")))</f>
        <v/>
      </c>
      <c r="BZ57" s="191" t="str">
        <f ca="1">IF(BZ60&lt;&gt;"",BZ15,"")</f>
        <v/>
      </c>
      <c r="CA57" s="192"/>
      <c r="CB57" s="192"/>
      <c r="CC57" s="192"/>
      <c r="CD57" s="99"/>
      <c r="CE57" s="80"/>
      <c r="CF57" s="81" t="str">
        <f t="array" aca="1" ref="CF57" ca="1">IF(COUNTIF(CK15,"*合計*"),"",
IF(CG15=BZ57,
IFERROR(
SUBSTITUTE(ADDRESS(1,
COLUMN(INDIRECT("数出表_Excel!"&amp;BY57&amp; (MATCH(CK15,数出表_Excel!$A:$A,0)-1))) - 1 +
MATCH(TRUE, ISNUMBER(--INDIRECT("数出表_Excel!"&amp;BY57&amp; (MATCH(CK15,数出表_Excel!$A:$A,0)-1) &amp; ":U" &amp; (MATCH(CK15,数出表_Excel!$A:$A,0)-1))), 0)+1,4),"1",""),
""),
IFERROR(
SUBSTITUTE(ADDRESS(1,
COLUMN(INDIRECT("数出表_Excel!B" &amp; (MATCH(CK15,数出表_Excel!$A:$A,0)-1))) - 1 +
MATCH(TRUE, ISNUMBER(--INDIRECT("数出表_Excel!B" &amp; (MATCH(CK15,数出表_Excel!$A:$A,0)-1) &amp; ":U" &amp; (MATCH(CK15,数出表_Excel!$A:$A,0)-1))), 0)+1,4),"1",""),
"")))</f>
        <v/>
      </c>
      <c r="CG57" s="191" t="str">
        <f ca="1">IF(CG60&lt;&gt;"",CG15,"")</f>
        <v/>
      </c>
      <c r="CH57" s="192"/>
      <c r="CI57" s="192"/>
      <c r="CJ57" s="192"/>
      <c r="CK57" s="95"/>
      <c r="CL57" s="80"/>
      <c r="CM57" s="80"/>
      <c r="CN57" s="81" t="str">
        <f t="array" aca="1" ref="CN57" ca="1">IF(COUNTIF(CS15,"*合計*"),"",
IF(CO15=CV50,
IFERROR(
SUBSTITUTE(ADDRESS(1,
COLUMN(INDIRECT("数出表_Excel!"&amp;CU50&amp; (MATCH(CS15,数出表_Excel!$A:$A,0)-1))) - 1 +
MATCH(TRUE, ISNUMBER(--INDIRECT("数出表_Excel!"&amp;CU50&amp; (MATCH(CS15,数出表_Excel!$A:$A,0)-1) &amp; ":U" &amp; (MATCH(CS15,数出表_Excel!$A:$A,0)-1))), 0)+1,4),"1",""),
""),
IFERROR(
SUBSTITUTE(ADDRESS(1,
COLUMN(INDIRECT("数出表_Excel!B" &amp; (MATCH(CS15,数出表_Excel!$A:$A,0)-1))) - 1 +
MATCH(TRUE, ISNUMBER(--INDIRECT("数出表_Excel!B" &amp; (MATCH(CS15,数出表_Excel!$A:$A,0)-1) &amp; ":U" &amp; (MATCH(CS15,数出表_Excel!$A:$A,0)-1))), 0)+1,4),"1",""),
"")))</f>
        <v/>
      </c>
      <c r="CO57" s="191" t="str">
        <f ca="1">IF(CO60&lt;&gt;"",CO15,"")</f>
        <v/>
      </c>
      <c r="CP57" s="192"/>
      <c r="CQ57" s="192"/>
      <c r="CR57" s="192"/>
      <c r="CS57" s="99"/>
      <c r="CT57" s="80"/>
      <c r="CU57" s="81" t="str">
        <f t="array" aca="1" ref="CU57" ca="1">IF(COUNTIF(CZ15,"*合計*"),"",
IF(CV15=CO57,
IFERROR(
SUBSTITUTE(ADDRESS(1,
COLUMN(INDIRECT("数出表_Excel!"&amp;CN57&amp; (MATCH(CZ15,数出表_Excel!$A:$A,0)-1))) - 1 +
MATCH(TRUE, ISNUMBER(--INDIRECT("数出表_Excel!"&amp;CN57&amp; (MATCH(CZ15,数出表_Excel!$A:$A,0)-1) &amp; ":U" &amp; (MATCH(CZ15,数出表_Excel!$A:$A,0)-1))), 0)+1,4),"1",""),
""),
IFERROR(
SUBSTITUTE(ADDRESS(1,
COLUMN(INDIRECT("数出表_Excel!B" &amp; (MATCH(CZ15,数出表_Excel!$A:$A,0)-1))) - 1 +
MATCH(TRUE, ISNUMBER(--INDIRECT("数出表_Excel!B" &amp; (MATCH(CZ15,数出表_Excel!$A:$A,0)-1) &amp; ":U" &amp; (MATCH(CZ15,数出表_Excel!$A:$A,0)-1))), 0)+1,4),"1",""),
"")))</f>
        <v/>
      </c>
      <c r="CV57" s="191" t="str">
        <f ca="1">IF(CV60&lt;&gt;"",CV15,"")</f>
        <v/>
      </c>
      <c r="CW57" s="192"/>
      <c r="CX57" s="192"/>
      <c r="CY57" s="192"/>
      <c r="CZ57" s="95"/>
      <c r="DA57" s="80"/>
      <c r="DB57" s="80"/>
      <c r="DC57" s="81" t="str">
        <f t="array" aca="1" ref="DC57" ca="1">IF(COUNTIF(DH15,"*合計*"),"",
IF(DD15=DK50,
IFERROR(
SUBSTITUTE(ADDRESS(1,
COLUMN(INDIRECT("数出表_Excel!"&amp;DJ50&amp; (MATCH(DH15,数出表_Excel!$A:$A,0)-1))) - 1 +
MATCH(TRUE, ISNUMBER(--INDIRECT("数出表_Excel!"&amp;DJ50&amp; (MATCH(DH15,数出表_Excel!$A:$A,0)-1) &amp; ":U" &amp; (MATCH(DH15,数出表_Excel!$A:$A,0)-1))), 0)+1,4),"1",""),
""),
IFERROR(
SUBSTITUTE(ADDRESS(1,
COLUMN(INDIRECT("数出表_Excel!B" &amp; (MATCH(DH15,数出表_Excel!$A:$A,0)-1))) - 1 +
MATCH(TRUE, ISNUMBER(--INDIRECT("数出表_Excel!B" &amp; (MATCH(DH15,数出表_Excel!$A:$A,0)-1) &amp; ":U" &amp; (MATCH(DH15,数出表_Excel!$A:$A,0)-1))), 0)+1,4),"1",""),
"")))</f>
        <v/>
      </c>
      <c r="DD57" s="191" t="str">
        <f ca="1">IF(DD60&lt;&gt;"",DD15,"")</f>
        <v/>
      </c>
      <c r="DE57" s="192"/>
      <c r="DF57" s="192"/>
      <c r="DG57" s="192"/>
      <c r="DH57" s="99"/>
      <c r="DI57" s="80"/>
      <c r="DJ57" s="81" t="str">
        <f t="array" aca="1" ref="DJ57" ca="1">IF(COUNTIF(DO15,"*合計*"),"",
IF(DK15=DD57,
IFERROR(
SUBSTITUTE(ADDRESS(1,
COLUMN(INDIRECT("数出表_Excel!"&amp;DC57&amp; (MATCH(DO15,数出表_Excel!$A:$A,0)-1))) - 1 +
MATCH(TRUE, ISNUMBER(--INDIRECT("数出表_Excel!"&amp;DC57&amp; (MATCH(DO15,数出表_Excel!$A:$A,0)-1) &amp; ":U" &amp; (MATCH(DO15,数出表_Excel!$A:$A,0)-1))), 0)+1,4),"1",""),
""),
IFERROR(
SUBSTITUTE(ADDRESS(1,
COLUMN(INDIRECT("数出表_Excel!B" &amp; (MATCH(DO15,数出表_Excel!$A:$A,0)-1))) - 1 +
MATCH(TRUE, ISNUMBER(--INDIRECT("数出表_Excel!B" &amp; (MATCH(DO15,数出表_Excel!$A:$A,0)-1) &amp; ":U" &amp; (MATCH(DO15,数出表_Excel!$A:$A,0)-1))), 0)+1,4),"1",""),
"")))</f>
        <v/>
      </c>
      <c r="DK57" s="191" t="str">
        <f ca="1">IF(DK60&lt;&gt;"",DK15,"")</f>
        <v/>
      </c>
      <c r="DL57" s="192"/>
      <c r="DM57" s="192"/>
      <c r="DN57" s="192"/>
      <c r="DO57" s="95"/>
      <c r="DP57" s="80"/>
      <c r="DQ57" s="80"/>
      <c r="DR57" s="81" t="str">
        <f t="array" aca="1" ref="DR57" ca="1">IF(COUNTIF(DW15,"*合計*"),"",
IF(DS15=DZ50,
IFERROR(
SUBSTITUTE(ADDRESS(1,
COLUMN(INDIRECT("数出表_Excel!"&amp;DY50&amp; (MATCH(DW15,数出表_Excel!$A:$A,0)-1))) - 1 +
MATCH(TRUE, ISNUMBER(--INDIRECT("数出表_Excel!"&amp;DY50&amp; (MATCH(DW15,数出表_Excel!$A:$A,0)-1) &amp; ":U" &amp; (MATCH(DW15,数出表_Excel!$A:$A,0)-1))), 0)+1,4),"1",""),
""),
IFERROR(
SUBSTITUTE(ADDRESS(1,
COLUMN(INDIRECT("数出表_Excel!B" &amp; (MATCH(DW15,数出表_Excel!$A:$A,0)-1))) - 1 +
MATCH(TRUE, ISNUMBER(--INDIRECT("数出表_Excel!B" &amp; (MATCH(DW15,数出表_Excel!$A:$A,0)-1) &amp; ":U" &amp; (MATCH(DW15,数出表_Excel!$A:$A,0)-1))), 0)+1,4),"1",""),
"")))</f>
        <v/>
      </c>
      <c r="DS57" s="191" t="str">
        <f ca="1">IF(DS60&lt;&gt;"",DS15,"")</f>
        <v/>
      </c>
      <c r="DT57" s="192"/>
      <c r="DU57" s="192"/>
      <c r="DV57" s="192"/>
      <c r="DW57" s="99"/>
      <c r="DX57" s="80"/>
      <c r="DY57" s="81" t="str">
        <f t="array" aca="1" ref="DY57" ca="1">IF(COUNTIF(ED15,"*合計*"),"",
IF(DZ15=DS57,
IFERROR(
SUBSTITUTE(ADDRESS(1,
COLUMN(INDIRECT("数出表_Excel!"&amp;DR57&amp; (MATCH(ED15,数出表_Excel!$A:$A,0)-1))) - 1 +
MATCH(TRUE, ISNUMBER(--INDIRECT("数出表_Excel!"&amp;DR57&amp; (MATCH(ED15,数出表_Excel!$A:$A,0)-1) &amp; ":U" &amp; (MATCH(ED15,数出表_Excel!$A:$A,0)-1))), 0)+1,4),"1",""),
""),
IFERROR(
SUBSTITUTE(ADDRESS(1,
COLUMN(INDIRECT("数出表_Excel!B" &amp; (MATCH(ED15,数出表_Excel!$A:$A,0)-1))) - 1 +
MATCH(TRUE, ISNUMBER(--INDIRECT("数出表_Excel!B" &amp; (MATCH(ED15,数出表_Excel!$A:$A,0)-1) &amp; ":U" &amp; (MATCH(ED15,数出表_Excel!$A:$A,0)-1))), 0)+1,4),"1",""),
"")))</f>
        <v/>
      </c>
      <c r="DZ57" s="191" t="str">
        <f ca="1">IF(DZ60&lt;&gt;"",DZ15,"")</f>
        <v/>
      </c>
      <c r="EA57" s="192"/>
      <c r="EB57" s="192"/>
      <c r="EC57" s="192"/>
      <c r="ED57" s="95"/>
      <c r="EE57" s="80"/>
      <c r="EF57" s="80"/>
      <c r="EG57" s="81" t="str">
        <f t="array" aca="1" ref="EG57" ca="1">IF(COUNTIF(EL15,"*合計*"),"",
IF(EH15=EO50,
IFERROR(
SUBSTITUTE(ADDRESS(1,
COLUMN(INDIRECT("数出表_Excel!"&amp;EN50&amp; (MATCH(EL15,数出表_Excel!$A:$A,0)-1))) - 1 +
MATCH(TRUE, ISNUMBER(--INDIRECT("数出表_Excel!"&amp;EN50&amp; (MATCH(EL15,数出表_Excel!$A:$A,0)-1) &amp; ":U" &amp; (MATCH(EL15,数出表_Excel!$A:$A,0)-1))), 0)+1,4),"1",""),
""),
IFERROR(
SUBSTITUTE(ADDRESS(1,
COLUMN(INDIRECT("数出表_Excel!B" &amp; (MATCH(EL15,数出表_Excel!$A:$A,0)-1))) - 1 +
MATCH(TRUE, ISNUMBER(--INDIRECT("数出表_Excel!B" &amp; (MATCH(EL15,数出表_Excel!$A:$A,0)-1) &amp; ":U" &amp; (MATCH(EL15,数出表_Excel!$A:$A,0)-1))), 0)+1,4),"1",""),
"")))</f>
        <v/>
      </c>
      <c r="EH57" s="191" t="str">
        <f ca="1">IF(EH60&lt;&gt;"",EH15,"")</f>
        <v/>
      </c>
      <c r="EI57" s="192"/>
      <c r="EJ57" s="192"/>
      <c r="EK57" s="192"/>
      <c r="EL57" s="99"/>
      <c r="EM57" s="80"/>
      <c r="EN57" s="81" t="str">
        <f t="array" aca="1" ref="EN57" ca="1">IF(COUNTIF(ES15,"*合計*"),"",
IF(EO15=EH57,
IFERROR(
SUBSTITUTE(ADDRESS(1,
COLUMN(INDIRECT("数出表_Excel!"&amp;EG57&amp; (MATCH(ES15,数出表_Excel!$A:$A,0)-1))) - 1 +
MATCH(TRUE, ISNUMBER(--INDIRECT("数出表_Excel!"&amp;EG57&amp; (MATCH(ES15,数出表_Excel!$A:$A,0)-1) &amp; ":U" &amp; (MATCH(ES15,数出表_Excel!$A:$A,0)-1))), 0)+1,4),"1",""),
""),
IFERROR(
SUBSTITUTE(ADDRESS(1,
COLUMN(INDIRECT("数出表_Excel!B" &amp; (MATCH(ES15,数出表_Excel!$A:$A,0)-1))) - 1 +
MATCH(TRUE, ISNUMBER(--INDIRECT("数出表_Excel!B" &amp; (MATCH(ES15,数出表_Excel!$A:$A,0)-1) &amp; ":U" &amp; (MATCH(ES15,数出表_Excel!$A:$A,0)-1))), 0)+1,4),"1",""),
"")))</f>
        <v/>
      </c>
      <c r="EO57" s="191" t="str">
        <f ca="1">IF(EO60&lt;&gt;"",EO15,"")</f>
        <v/>
      </c>
      <c r="EP57" s="192"/>
      <c r="EQ57" s="192"/>
      <c r="ER57" s="192"/>
      <c r="ES57" s="95"/>
      <c r="ET57" s="110"/>
      <c r="EU57" s="82">
        <f t="shared" si="4"/>
        <v>14</v>
      </c>
      <c r="EV57" s="82" t="str">
        <f t="array" aca="1" ref="EV57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LEN(SUBSTITUTE(_xlfn.FORMULATEXT(EV$49),"=","")))+$EU57)</f>
        <v/>
      </c>
      <c r="EW57" s="82" t="str">
        <f t="array" aca="1" ref="EW57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LEN(SUBSTITUTE(_xlfn.FORMULATEXT(EW$49),"=","")))+$EU57)</f>
        <v/>
      </c>
      <c r="EX57" s="82" t="str">
        <f t="array" aca="1" ref="EX57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LEN(SUBSTITUTE(_xlfn.FORMULATEXT(EX$49),"=","")))+$EU57)</f>
        <v/>
      </c>
      <c r="EY57" s="82" t="str">
        <f t="array" aca="1" ref="EY57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LEN(SUBSTITUTE(_xlfn.FORMULATEXT(EY$49),"=","")))+$EU57)</f>
        <v/>
      </c>
      <c r="EZ57" s="82" t="str">
        <f t="array" aca="1" ref="EZ57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LEN(SUBSTITUTE(_xlfn.FORMULATEXT(EZ$49),"=","")))+$EU57)</f>
        <v/>
      </c>
      <c r="FA57" s="82" t="e">
        <f t="array" aca="1" ref="FA57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LEN(SUBSTITUTE(_xlfn.FORMULATEXT(FA$49),"=","")))+$EU57)</f>
        <v>#VALUE!</v>
      </c>
      <c r="FB57" s="82" t="str">
        <f t="array" aca="1" ref="FB57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LEN(SUBSTITUTE(_xlfn.FORMULATEXT(FB$49),"=","")))+$EU57)</f>
        <v/>
      </c>
      <c r="FC57" s="82" t="str">
        <f t="array" aca="1" ref="FC57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LEN(SUBSTITUTE(_xlfn.FORMULATEXT(FC$49),"=","")))+$EU57)</f>
        <v/>
      </c>
      <c r="FD57" s="82" t="e">
        <f t="array" aca="1" ref="FD57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LEN(SUBSTITUTE(_xlfn.FORMULATEXT(FD$49),"=","")))+$EU57)</f>
        <v>#VALUE!</v>
      </c>
      <c r="FE57" s="82" t="str">
        <f t="array" aca="1" ref="FE57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LEN(SUBSTITUTE(_xlfn.FORMULATEXT(FE$49),"=","")))+$EU57)</f>
        <v/>
      </c>
      <c r="FF57" s="82" t="e">
        <f t="array" aca="1" ref="FF57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LEN(SUBSTITUTE(_xlfn.FORMULATEXT(FF$49),"=","")))+$EU57)</f>
        <v>#N/A</v>
      </c>
      <c r="FG57" s="82">
        <f t="shared" ca="1" si="3"/>
        <v>0</v>
      </c>
      <c r="FH57" s="82" t="e">
        <f t="array" aca="1" ref="FH57" ca="1">SUMPRODUCT((LEN(EV57:FF57)&gt;0)*1)&gt;0</f>
        <v>#VALUE!</v>
      </c>
      <c r="FI57" s="82" t="str">
        <f t="array" aca="1" ref="FI57" ca="1">IFERROR(SMALL(IF(FG$1:FG$173&lt;&gt;0,FG$1:FG$173),ROW(A57)),"")</f>
        <v/>
      </c>
      <c r="FJ57" s="82" t="str">
        <f t="array" aca="1" ref="FJ57" ca="1">IF($FI57&lt;&gt;"",
INDIRECT(""&amp;IF(COLUMN(EV57)&lt;=26,CHAR(COLUMN(EV57)+64),CHAR(INT((COLUMN(EV57)-1)/26)+64)&amp;CHAR(MOD(COLUMN(EV57)-1,26)+65))&amp;$FI57&amp;""),"")</f>
        <v/>
      </c>
      <c r="FK57" s="82" t="str">
        <f t="array" aca="1" ref="FK57" ca="1">IF($FI57&lt;&gt;"",
INDIRECT(""&amp;IF(COLUMN(EW57)&lt;=26,CHAR(COLUMN(EW57)+64),CHAR(INT((COLUMN(EW57)-1)/26)+64)&amp;CHAR(MOD(COLUMN(EW57)-1,26)+65))&amp;$FI57&amp;""),"")</f>
        <v/>
      </c>
      <c r="FL57" s="82" t="str">
        <f t="array" aca="1" ref="FL57" ca="1">IF($FI57&lt;&gt;"",
INDIRECT(""&amp;IF(COLUMN(EX57)&lt;=26,CHAR(COLUMN(EX57)+64),CHAR(INT((COLUMN(EX57)-1)/26)+64)&amp;CHAR(MOD(COLUMN(EX57)-1,26)+65))&amp;$FI57&amp;""),"")</f>
        <v/>
      </c>
      <c r="FM57" s="82" t="str">
        <f t="array" aca="1" ref="FM57" ca="1">IF($FI57&lt;&gt;"",
IF(FL57="",
IF(INDIRECT("EY"&amp;$FI57&amp;"")&lt;&gt;"",
INDIRECT("EY"&amp;$FI57&amp;"")&amp;"箱"
&amp;INDIRECT("EZ"&amp;$FI57&amp;""),""),""),"")</f>
        <v/>
      </c>
      <c r="FN57" s="82" t="str">
        <f t="array" aca="1" ref="FN57" ca="1">IF($FI57&lt;&gt;"",
INDIRECT(""&amp;IF(COLUMN(FA57)&lt;=26,CHAR(COLUMN(FA57)+64),CHAR(INT((COLUMN(FA57)-1)/26)+64)&amp;CHAR(MOD(COLUMN(FA57)-1,26)+65))&amp;$FI57&amp;""),"")</f>
        <v/>
      </c>
      <c r="FO57" s="82" t="str">
        <f t="array" aca="1" ref="FO57" ca="1">IF($FI57&lt;&gt;"",
INDIRECT(""&amp;IF(COLUMN(FB57)&lt;=26,CHAR(COLUMN(FB57)+64),CHAR(INT((COLUMN(FB57)-1)/26)+64)&amp;CHAR(MOD(COLUMN(FB57)-1,26)+65))&amp;$FI57&amp;""),"")</f>
        <v/>
      </c>
      <c r="FP57" s="82" t="str">
        <f t="array" aca="1" ref="FP57" ca="1">IF($FI57&lt;&gt;"",
INDIRECT(""&amp;IF(COLUMN(FC57)&lt;=26,CHAR(COLUMN(FC57)+64),CHAR(INT((COLUMN(FC57)-1)/26)+64)&amp;CHAR(MOD(COLUMN(FC57)-1,26)+65))&amp;$FI57&amp;""),"")</f>
        <v/>
      </c>
      <c r="FQ57" s="82" t="str">
        <f t="array" aca="1" ref="FQ57" ca="1">IF($FI57&lt;&gt;"",
INDIRECT(""&amp;IF(COLUMN(FD57)&lt;=26,CHAR(COLUMN(FD57)+64),CHAR(INT((COLUMN(FD57)-1)/26)+64)&amp;CHAR(MOD(COLUMN(FD57)-1,26)+65))&amp;$FI57&amp;""),"")</f>
        <v/>
      </c>
      <c r="FR57" s="82" t="str">
        <f t="array" aca="1" ref="FR57" ca="1">IF($FI57&lt;&gt;"",
INDIRECT(""&amp;IF(COLUMN(FE57)&lt;=26,CHAR(COLUMN(FE57)+64),CHAR(INT((COLUMN(FE57)-1)/26)+64)&amp;CHAR(MOD(COLUMN(FE57)-1,26)+65))&amp;$FI57&amp;""),"")</f>
        <v/>
      </c>
      <c r="FS57" s="82" t="str">
        <f t="array" aca="1" ref="FS57" ca="1">IF($FI57&lt;&gt;"",
INDIRECT(""&amp;IF(COLUMN(FF57)&lt;=26,CHAR(COLUMN(FF57)+64),CHAR(INT((COLUMN(FF57)-1)/26)+64)&amp;CHAR(MOD(COLUMN(FF57)-1,26)+65))&amp;$FI57&amp;""),"")</f>
        <v/>
      </c>
    </row>
    <row r="58" spans="1:175" s="82" customFormat="1" ht="18" customHeight="1" x14ac:dyDescent="0.55000000000000004">
      <c r="A58" s="80"/>
      <c r="B58" s="85" t="e">
        <f t="array" aca="1" ref="B58" ca="1">IF(B17&lt;&gt;100,
IF(C60&lt;&gt;"",MATCH(C60,INDIRECT("数出表_Excel!B"&amp;MATCH(G15,数出表_Excel!$A:$A,0)-1&amp;":U"&amp;MATCH(G15,数出表_Excel!$A:$A,0)-1&amp;""),0)+1,""),
IF(C60&lt;&gt;"",
MATCH(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INDIRECT("数出表_Excel!B"&amp;MATCH(G15,数出表_Excel!$A:$A,0)-1&amp;":U"&amp;MATCH(G15,数出表_Excel!$A:$A,0)-1&amp;""),0)+1,""))</f>
        <v>#N/A</v>
      </c>
      <c r="C58" s="62" t="str">
        <f t="array" aca="1" ref="C58" ca="1">IF(C15=J50,"",IFERROR(IF(OR(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"3"),"*配膳*"),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"3"),"*カレー*"),
COUNTIF(C15,"*合計*")),"",
IF(IFERROR(INDIRECT("数出表_Excel!"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"3"),0)=0,"",
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"3"),""))),""))</f>
        <v/>
      </c>
      <c r="D58" s="80"/>
      <c r="E58" s="86" t="str">
        <f t="array" aca="1" ref="E58" ca="1">IF(F58&lt;&gt;"","",
IF(COUNTIF(C57,"*雙葉*"),"",
IF(C57&lt;&gt;"",
IF(
(COLUMN(INDIRECT("数出表_Excel!B" &amp; (MATCH(G15,数出表_Excel!$A:$A,0)-1))) - 1 +
MATCH(TRUE, ISNUMBER(--INDIRECT("数出表_Excel!B" &amp; (MATCH(G15,数出表_Excel!$A:$A,0)-1) &amp; ":U" &amp; (MATCH(G15,数出表_Excel!$A:$A,0)-1))), 0)+1
+MATCH(TRUE,INDIRECT("'数出表_Excel'!"&amp;B57&amp;MATCH(G15,数出表_Excel!$A:$A,0)-1&amp;":AL"&amp;MATCH(G15,数出表_Excel!$A:$A,0)-1&amp;"")&lt;&gt;"",0))&gt;12,"",
IFERROR(
INDEX(INDIRECT("数出表_Excel!$"&amp;B57&amp;"4:$AL4"),
 1,
MATCH(TRUE,INDIRECT("'数出表_Excel'!"&amp;B57&amp;MATCH(G15,数出表_Excel!$A:$A,0)-1&amp;":AL"&amp;MATCH(G15,数出表_Excel!$A:$A,0)-1&amp;"")&lt;&gt;"",0)
),
 "")
&amp;IFERROR(
INDEX(INDIRECT("数出表_Excel!$"&amp;B57&amp;"5:$AL5"),
 1,
MATCH(TRUE,INDIRECT("'数出表_Excel'!"&amp;B57&amp;MATCH(G15,数出表_Excel!$A:$A,0)-1&amp;":AL"&amp;MATCH(G15,数出表_Excel!$A:$A,0)-1&amp;"")&lt;&gt;"",0)),
 "")),"")))</f>
        <v/>
      </c>
      <c r="F58" s="87" t="str">
        <f t="array" aca="1" ref="F58" ca="1">IF(C58&lt;&gt;"",
IF(COUNTIF(C57,"*雙葉*"),
IF(ROUND(
IF(F63&lt;&gt;"",(C60-F63),C60)
/IF(COUNTIF(C58,"*キャラ*"),
VLOOKUP("*キャラ*",商品マスタ一覧!$D:$J,7,FALSE),
IF(COUNTIF(C58,"*赤*"),
VLOOKUP("*赤*",商品マスタ一覧!$D:$J,7,FALSE),
VLOOKUP(C58,商品マスタ一覧!$D:$J,7,FALSE))),0)&lt;=0,1,
ROUND(
IF(F63&lt;&gt;"",(C60-F63),C60)
/IF(COUNTIF(C58,"*キャラ*"),
VLOOKUP("*キャラ*",商品マスタ一覧!$D:$J,7,FALSE),
IF(COUNTIF(C58,"*赤*"),
VLOOKUP("*赤*",商品マスタ一覧!$D:$J,7,FALSE),
VLOOKUP(C58,商品マスタ一覧!$D:$J,7,FALSE))),0)),
IF(MATCH(TRUE,
ISNUMBER(--INDIRECT("'数出表_Excel（アレルギー入力）'!B"&amp;MATCH(G15,'数出表_Excel（アレルギー入力）'!$A:$A,0)-1&amp;":AL"&amp;MATCH(G15,'数出表_Excel（アレルギー入力）'!$A:$A,0)-1&amp;"")),0)&gt;10,
IF(C58&lt;&gt;"",
IF(IF(COUNTIF(C58,"*キャラ*"),
VLOOKUP("*キャラ*",商品マスタ一覧!$D:$J,7,FALSE),
IF(COUNTIF(C58,"*赤*"),
VLOOKUP("*赤*",商品マスタ一覧!$D:$J,7,FALSE),
VLOOKUP(C58,商品マスタ一覧!$D:$J,7,FALSE)))=0,"",
IF(ROUND(
IF(F63&lt;&gt;"",(C60-F63),C60)
/IF(COUNTIF(C58,"*キャラ*"),
VLOOKUP("*キャラ*",商品マスタ一覧!$D:$J,7,FALSE),
IF(COUNTIF(C58,"*赤*"),
VLOOKUP("*赤*",商品マスタ一覧!$D:$J,7,FALSE),
VLOOKUP(C58,商品マスタ一覧!$D:$J,7,FALSE))),0)&lt;=0,1,
ROUND(
IF(F63&lt;&gt;"",(C60-F63),C60)
/IF(COUNTIF(C58,"*キャラ*"),
VLOOKUP("*キャラ*",商品マスタ一覧!$D:$J,7,FALSE),
IF(COUNTIF(C58,"*赤*"),
VLOOKUP("*赤*",商品マスタ一覧!$D:$J,7,FALSE),
VLOOKUP(C58,商品マスタ一覧!$D:$J,7,FALSE))),0))),""),"")),"")</f>
        <v/>
      </c>
      <c r="G58" s="100" t="str">
        <f ca="1">IF(F58&lt;&gt;"",IF(C60&lt;&gt;"",IF(VALUE(IF(F63&lt;&gt;"",C60-F63,C60))&gt;VALUE(IF(COUNTIF('盛付札（関数）'!C58,"*キャラ*"),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
"+"&amp;IF(F63&lt;&gt;"",C60-F63,C60)-IF(COUNTIF('盛付札（関数）'!C58,"*キャラ*"),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VLOOKUP('盛付札（関数）'!C58,商品マスタ一覧!$D:$J,7,FALSE)))*F58,
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VLOOKUP('盛付札（関数）'!C58,商品マスタ一覧!$D:$J,7,FALSE)))*F58),""),"")</f>
        <v/>
      </c>
      <c r="H58" s="80"/>
      <c r="I58" s="85" t="e">
        <f t="array" aca="1" ref="I58" ca="1">IF(I17&lt;&gt;100,
IF(J60&lt;&gt;"",MATCH(J60,INDIRECT("数出表_Excel!B"&amp;MATCH(N15,数出表_Excel!$A:$A,0)-1&amp;":U"&amp;MATCH(N15,数出表_Excel!$A:$A,0)-1&amp;""),0)+1,""),
IF(J60&lt;&gt;"",
MATCH(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INDIRECT("数出表_Excel!B"&amp;MATCH(N15,数出表_Excel!$A:$A,0)-1&amp;":U"&amp;MATCH(N15,数出表_Excel!$A:$A,0)-1&amp;""),0)+1,""))</f>
        <v>#N/A</v>
      </c>
      <c r="J58" s="62" t="str">
        <f t="array" aca="1" ref="J58" ca="1">IF(J15=C57,"",IFERROR(IF(OR(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"3"),"*配膳*"),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"3"),"*カレー*"),
COUNTIF(J15,"*合計*")),"",
IF(IFERROR(INDIRECT("数出表_Excel!"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"3"),0)=0,"",
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"3"),""))),""))</f>
        <v/>
      </c>
      <c r="K58" s="80"/>
      <c r="L58" s="86" t="str">
        <f t="array" aca="1" ref="L58" ca="1">IF(M58&lt;&gt;"","",
IF(COUNTIF(J57,"*雙葉*"),"",
IF(J57&lt;&gt;"",
IF(
(COLUMN(INDIRECT("数出表_Excel!B" &amp; (MATCH(N15,数出表_Excel!$A:$A,0)-1))) - 1 +
MATCH(TRUE, ISNUMBER(--INDIRECT("数出表_Excel!B" &amp; (MATCH(N15,数出表_Excel!$A:$A,0)-1) &amp; ":U" &amp; (MATCH(N15,数出表_Excel!$A:$A,0)-1))), 0)+1
+MATCH(TRUE,INDIRECT("'数出表_Excel'!"&amp;I57&amp;MATCH(N15,数出表_Excel!$A:$A,0)-1&amp;":AL"&amp;MATCH(N15,数出表_Excel!$A:$A,0)-1&amp;"")&lt;&gt;"",0))&gt;12,"",
IFERROR(
INDEX(INDIRECT("数出表_Excel!$"&amp;I57&amp;"4:$AL4"),
 1,
MATCH(TRUE,INDIRECT("'数出表_Excel'!"&amp;I57&amp;MATCH(N15,数出表_Excel!$A:$A,0)-1&amp;":AL"&amp;MATCH(N15,数出表_Excel!$A:$A,0)-1&amp;"")&lt;&gt;"",0)
),
 "")
&amp;IFERROR(
INDEX(INDIRECT("数出表_Excel!$"&amp;I57&amp;"5:$AL5"),
 1,
MATCH(TRUE,INDIRECT("'数出表_Excel'!"&amp;I57&amp;MATCH(N15,数出表_Excel!$A:$A,0)-1&amp;":AL"&amp;MATCH(N15,数出表_Excel!$A:$A,0)-1&amp;"")&lt;&gt;"",0)),
 "")),"")))</f>
        <v/>
      </c>
      <c r="M58" s="87" t="str">
        <f t="array" aca="1" ref="M58" ca="1">IF(J58&lt;&gt;"",
IF(COUNTIF(J57,"*雙葉*"),
IF(ROUND(
IF(M63&lt;&gt;"",(J60-M63),J60)
/IF(COUNTIF(J58,"*キャラ*"),
VLOOKUP("*キャラ*",商品マスタ一覧!$D:$J,7,FALSE),
IF(COUNTIF(J58,"*赤*"),
VLOOKUP("*赤*",商品マスタ一覧!$D:$J,7,FALSE),
VLOOKUP(J58,商品マスタ一覧!$D:$J,7,FALSE))),0)&lt;=0,1,
ROUND(
IF(M63&lt;&gt;"",(J60-M63),J60)
/IF(COUNTIF(J58,"*キャラ*"),
VLOOKUP("*キャラ*",商品マスタ一覧!$D:$J,7,FALSE),
IF(COUNTIF(J58,"*赤*"),
VLOOKUP("*赤*",商品マスタ一覧!$D:$J,7,FALSE),
VLOOKUP(J58,商品マスタ一覧!$D:$J,7,FALSE))),0)),
IF(MATCH(TRUE,
ISNUMBER(--INDIRECT("'数出表_Excel（アレルギー入力）'!B"&amp;MATCH(N15,'数出表_Excel（アレルギー入力）'!$A:$A,0)-1&amp;":AL"&amp;MATCH(N15,'数出表_Excel（アレルギー入力）'!$A:$A,0)-1&amp;"")),0)&gt;10,
IF(J58&lt;&gt;"",
IF(IF(COUNTIF(J58,"*キャラ*"),
VLOOKUP("*キャラ*",商品マスタ一覧!$D:$J,7,FALSE),
IF(COUNTIF(J58,"*赤*"),
VLOOKUP("*赤*",商品マスタ一覧!$D:$J,7,FALSE),
VLOOKUP(J58,商品マスタ一覧!$D:$J,7,FALSE)))=0,"",
IF(ROUND(
IF(M63&lt;&gt;"",(J60-M63),J60)
/IF(COUNTIF(J58,"*キャラ*"),
VLOOKUP("*キャラ*",商品マスタ一覧!$D:$J,7,FALSE),
IF(COUNTIF(J58,"*赤*"),
VLOOKUP("*赤*",商品マスタ一覧!$D:$J,7,FALSE),
VLOOKUP(J58,商品マスタ一覧!$D:$J,7,FALSE))),0)&lt;=0,1,
ROUND(
IF(M63&lt;&gt;"",(J60-M63),J60)
/IF(COUNTIF(J58,"*キャラ*"),
VLOOKUP("*キャラ*",商品マスタ一覧!$D:$J,7,FALSE),
IF(COUNTIF(J58,"*赤*"),
VLOOKUP("*赤*",商品マスタ一覧!$D:$J,7,FALSE),
VLOOKUP(J58,商品マスタ一覧!$D:$J,7,FALSE))),0))),""),"")),"")</f>
        <v/>
      </c>
      <c r="N58" s="96" t="str">
        <f ca="1">IF(M58&lt;&gt;"",IF(J60&lt;&gt;"",IF(VALUE(IF(M63&lt;&gt;"",J60-M63,J60))&gt;VALUE(IF(COUNTIF('盛付札（関数）'!J58,"*キャラ*"),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
"+"&amp;IF(M63&lt;&gt;"",J60-M63,J60)-IF(COUNTIF('盛付札（関数）'!J58,"*キャラ*"),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VLOOKUP('盛付札（関数）'!J58,商品マスタ一覧!$D:$J,7,FALSE)))*M58,
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VLOOKUP('盛付札（関数）'!J58,商品マスタ一覧!$D:$J,7,FALSE)))*M58),""),"")</f>
        <v/>
      </c>
      <c r="O58" s="80"/>
      <c r="P58" s="80"/>
      <c r="Q58" s="85" t="e">
        <f t="array" aca="1" ref="Q58" ca="1">IF(Q17&lt;&gt;100,
IF(R60&lt;&gt;"",MATCH(R60,INDIRECT("数出表_Excel!B"&amp;MATCH(V15,数出表_Excel!$A:$A,0)-1&amp;":U"&amp;MATCH(V15,数出表_Excel!$A:$A,0)-1&amp;""),0)+1,""),
IF(R60&lt;&gt;"",
MATCH(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INDIRECT("数出表_Excel!B"&amp;MATCH(V15,数出表_Excel!$A:$A,0)-1&amp;":U"&amp;MATCH(V15,数出表_Excel!$A:$A,0)-1&amp;""),0)+1,""))</f>
        <v>#N/A</v>
      </c>
      <c r="R58" s="62" t="str">
        <f t="array" aca="1" ref="R58" ca="1">IF(R15=Y50,"",IFERROR(IF(OR(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"3"),"*配膳*"),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"3"),"*カレー*"),
COUNTIF(R15,"*合計*")),"",
IF(IFERROR(INDIRECT("数出表_Excel!"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"3"),0)=0,"",
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"3"),""))),""))</f>
        <v/>
      </c>
      <c r="S58" s="80"/>
      <c r="T58" s="86" t="str">
        <f t="array" aca="1" ref="T58" ca="1">IF(U58&lt;&gt;"","",
IF(COUNTIF(R57,"*雙葉*"),"",
IF(R57&lt;&gt;"",
IF(
(COLUMN(INDIRECT("数出表_Excel!B" &amp; (MATCH(V15,数出表_Excel!$A:$A,0)-1))) - 1 +
MATCH(TRUE, ISNUMBER(--INDIRECT("数出表_Excel!B" &amp; (MATCH(V15,数出表_Excel!$A:$A,0)-1) &amp; ":U" &amp; (MATCH(V15,数出表_Excel!$A:$A,0)-1))), 0)+1
+MATCH(TRUE,INDIRECT("'数出表_Excel'!"&amp;Q57&amp;MATCH(V15,数出表_Excel!$A:$A,0)-1&amp;":AL"&amp;MATCH(V15,数出表_Excel!$A:$A,0)-1&amp;"")&lt;&gt;"",0))&gt;12,"",
IFERROR(
INDEX(INDIRECT("数出表_Excel!$"&amp;Q57&amp;"4:$AL4"),
 1,
MATCH(TRUE,INDIRECT("'数出表_Excel'!"&amp;Q57&amp;MATCH(V15,数出表_Excel!$A:$A,0)-1&amp;":AL"&amp;MATCH(V15,数出表_Excel!$A:$A,0)-1&amp;"")&lt;&gt;"",0)
),
 "")
&amp;IFERROR(
INDEX(INDIRECT("数出表_Excel!$"&amp;Q57&amp;"5:$AL5"),
 1,
MATCH(TRUE,INDIRECT("'数出表_Excel'!"&amp;Q57&amp;MATCH(V15,数出表_Excel!$A:$A,0)-1&amp;":AL"&amp;MATCH(V15,数出表_Excel!$A:$A,0)-1&amp;"")&lt;&gt;"",0)),
 "")),"")))</f>
        <v/>
      </c>
      <c r="U58" s="87" t="str">
        <f t="array" aca="1" ref="U58" ca="1">IF(R58&lt;&gt;"",
IF(COUNTIF(R57,"*雙葉*"),
IF(ROUND(
IF(U63&lt;&gt;"",(R60-U63),R60)
/IF(COUNTIF(R58,"*キャラ*"),
VLOOKUP("*キャラ*",商品マスタ一覧!$D:$J,7,FALSE),
IF(COUNTIF(R58,"*赤*"),
VLOOKUP("*赤*",商品マスタ一覧!$D:$J,7,FALSE),
VLOOKUP(R58,商品マスタ一覧!$D:$J,7,FALSE))),0)&lt;=0,1,
ROUND(
IF(U63&lt;&gt;"",(R60-U63),R60)
/IF(COUNTIF(R58,"*キャラ*"),
VLOOKUP("*キャラ*",商品マスタ一覧!$D:$J,7,FALSE),
IF(COUNTIF(R58,"*赤*"),
VLOOKUP("*赤*",商品マスタ一覧!$D:$J,7,FALSE),
VLOOKUP(R58,商品マスタ一覧!$D:$J,7,FALSE))),0)),
IF(MATCH(TRUE,
ISNUMBER(--INDIRECT("'数出表_Excel（アレルギー入力）'!B"&amp;MATCH(V15,'数出表_Excel（アレルギー入力）'!$A:$A,0)-1&amp;":AL"&amp;MATCH(V15,'数出表_Excel（アレルギー入力）'!$A:$A,0)-1&amp;"")),0)&gt;10,
IF(R58&lt;&gt;"",
IF(IF(COUNTIF(R58,"*キャラ*"),
VLOOKUP("*キャラ*",商品マスタ一覧!$D:$J,7,FALSE),
IF(COUNTIF(R58,"*赤*"),
VLOOKUP("*赤*",商品マスタ一覧!$D:$J,7,FALSE),
VLOOKUP(R58,商品マスタ一覧!$D:$J,7,FALSE)))=0,"",
IF(ROUND(
IF(U63&lt;&gt;"",(R60-U63),R60)
/IF(COUNTIF(R58,"*キャラ*"),
VLOOKUP("*キャラ*",商品マスタ一覧!$D:$J,7,FALSE),
IF(COUNTIF(R58,"*赤*"),
VLOOKUP("*赤*",商品マスタ一覧!$D:$J,7,FALSE),
VLOOKUP(R58,商品マスタ一覧!$D:$J,7,FALSE))),0)&lt;=0,1,
ROUND(
IF(U63&lt;&gt;"",(R60-U63),R60)
/IF(COUNTIF(R58,"*キャラ*"),
VLOOKUP("*キャラ*",商品マスタ一覧!$D:$J,7,FALSE),
IF(COUNTIF(R58,"*赤*"),
VLOOKUP("*赤*",商品マスタ一覧!$D:$J,7,FALSE),
VLOOKUP(R58,商品マスタ一覧!$D:$J,7,FALSE))),0))),""),"")),"")</f>
        <v/>
      </c>
      <c r="V58" s="100" t="str">
        <f ca="1">IF(U58&lt;&gt;"",IF(R60&lt;&gt;"",IF(VALUE(IF(U63&lt;&gt;"",R60-U63,R60))&gt;VALUE(IF(COUNTIF('盛付札（関数）'!R58,"*キャラ*"),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
"+"&amp;IF(U63&lt;&gt;"",R60-U63,R60)-IF(COUNTIF('盛付札（関数）'!R58,"*キャラ*"),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VLOOKUP('盛付札（関数）'!R58,商品マスタ一覧!$D:$J,7,FALSE)))*U58,
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VLOOKUP('盛付札（関数）'!R58,商品マスタ一覧!$D:$J,7,FALSE)))*U58),""),"")</f>
        <v/>
      </c>
      <c r="W58" s="80"/>
      <c r="X58" s="85" t="e">
        <f t="array" aca="1" ref="X58" ca="1">IF(X17&lt;&gt;100,
IF(Y60&lt;&gt;"",MATCH(Y60,INDIRECT("数出表_Excel!B"&amp;MATCH(AC15,数出表_Excel!$A:$A,0)-1&amp;":U"&amp;MATCH(AC15,数出表_Excel!$A:$A,0)-1&amp;""),0)+1,""),
IF(Y60&lt;&gt;"",
MATCH(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INDIRECT("数出表_Excel!B"&amp;MATCH(AC15,数出表_Excel!$A:$A,0)-1&amp;":U"&amp;MATCH(AC15,数出表_Excel!$A:$A,0)-1&amp;""),0)+1,""))</f>
        <v>#N/A</v>
      </c>
      <c r="Y58" s="62" t="str">
        <f t="array" aca="1" ref="Y58" ca="1">IF(Y15=R57,"",IFERROR(IF(OR(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"3"),"*配膳*"),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"3"),"*カレー*"),
COUNTIF(Y15,"*合計*")),"",
IF(IFERROR(INDIRECT("数出表_Excel!"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"3"),0)=0,"",
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"3"),""))),""))</f>
        <v/>
      </c>
      <c r="Z58" s="80"/>
      <c r="AA58" s="86" t="str">
        <f t="array" aca="1" ref="AA58" ca="1">IF(AB58&lt;&gt;"","",
IF(COUNTIF(Y57,"*雙葉*"),"",
IF(Y57&lt;&gt;"",
IF(
(COLUMN(INDIRECT("数出表_Excel!B" &amp; (MATCH(AC15,数出表_Excel!$A:$A,0)-1))) - 1 +
MATCH(TRUE, ISNUMBER(--INDIRECT("数出表_Excel!B" &amp; (MATCH(AC15,数出表_Excel!$A:$A,0)-1) &amp; ":U" &amp; (MATCH(AC15,数出表_Excel!$A:$A,0)-1))), 0)+1
+MATCH(TRUE,INDIRECT("'数出表_Excel'!"&amp;X57&amp;MATCH(AC15,数出表_Excel!$A:$A,0)-1&amp;":AL"&amp;MATCH(AC15,数出表_Excel!$A:$A,0)-1&amp;"")&lt;&gt;"",0))&gt;12,"",
IFERROR(
INDEX(INDIRECT("数出表_Excel!$"&amp;X57&amp;"4:$AL4"),
 1,
MATCH(TRUE,INDIRECT("'数出表_Excel'!"&amp;X57&amp;MATCH(AC15,数出表_Excel!$A:$A,0)-1&amp;":AL"&amp;MATCH(AC15,数出表_Excel!$A:$A,0)-1&amp;"")&lt;&gt;"",0)
),
 "")
&amp;IFERROR(
INDEX(INDIRECT("数出表_Excel!$"&amp;X57&amp;"5:$AL5"),
 1,
MATCH(TRUE,INDIRECT("'数出表_Excel'!"&amp;X57&amp;MATCH(AC15,数出表_Excel!$A:$A,0)-1&amp;":AL"&amp;MATCH(AC15,数出表_Excel!$A:$A,0)-1&amp;"")&lt;&gt;"",0)),
 "")),"")))</f>
        <v/>
      </c>
      <c r="AB58" s="87" t="str">
        <f t="array" aca="1" ref="AB58" ca="1">IF(Y58&lt;&gt;"",
IF(COUNTIF(Y57,"*雙葉*"),
IF(ROUND(
IF(AB63&lt;&gt;"",(Y60-AB63),Y60)
/IF(COUNTIF(Y58,"*キャラ*"),
VLOOKUP("*キャラ*",商品マスタ一覧!$D:$J,7,FALSE),
IF(COUNTIF(Y58,"*赤*"),
VLOOKUP("*赤*",商品マスタ一覧!$D:$J,7,FALSE),
VLOOKUP(Y58,商品マスタ一覧!$D:$J,7,FALSE))),0)&lt;=0,1,
ROUND(
IF(AB63&lt;&gt;"",(Y60-AB63),Y60)
/IF(COUNTIF(Y58,"*キャラ*"),
VLOOKUP("*キャラ*",商品マスタ一覧!$D:$J,7,FALSE),
IF(COUNTIF(Y58,"*赤*"),
VLOOKUP("*赤*",商品マスタ一覧!$D:$J,7,FALSE),
VLOOKUP(Y58,商品マスタ一覧!$D:$J,7,FALSE))),0)),
IF(MATCH(TRUE,
ISNUMBER(--INDIRECT("'数出表_Excel（アレルギー入力）'!B"&amp;MATCH(AC15,'数出表_Excel（アレルギー入力）'!$A:$A,0)-1&amp;":AL"&amp;MATCH(AC15,'数出表_Excel（アレルギー入力）'!$A:$A,0)-1&amp;"")),0)&gt;10,
IF(Y58&lt;&gt;"",
IF(IF(COUNTIF(Y58,"*キャラ*"),
VLOOKUP("*キャラ*",商品マスタ一覧!$D:$J,7,FALSE),
IF(COUNTIF(Y58,"*赤*"),
VLOOKUP("*赤*",商品マスタ一覧!$D:$J,7,FALSE),
VLOOKUP(Y58,商品マスタ一覧!$D:$J,7,FALSE)))=0,"",
IF(ROUND(
IF(AB63&lt;&gt;"",(Y60-AB63),Y60)
/IF(COUNTIF(Y58,"*キャラ*"),
VLOOKUP("*キャラ*",商品マスタ一覧!$D:$J,7,FALSE),
IF(COUNTIF(Y58,"*赤*"),
VLOOKUP("*赤*",商品マスタ一覧!$D:$J,7,FALSE),
VLOOKUP(Y58,商品マスタ一覧!$D:$J,7,FALSE))),0)&lt;=0,1,
ROUND(
IF(AB63&lt;&gt;"",(Y60-AB63),Y60)
/IF(COUNTIF(Y58,"*キャラ*"),
VLOOKUP("*キャラ*",商品マスタ一覧!$D:$J,7,FALSE),
IF(COUNTIF(Y58,"*赤*"),
VLOOKUP("*赤*",商品マスタ一覧!$D:$J,7,FALSE),
VLOOKUP(Y58,商品マスタ一覧!$D:$J,7,FALSE))),0))),""),"")),"")</f>
        <v/>
      </c>
      <c r="AC58" s="96" t="str">
        <f ca="1">IF(AB58&lt;&gt;"",IF(Y60&lt;&gt;"",IF(VALUE(IF(AB63&lt;&gt;"",Y60-AB63,Y60))&gt;VALUE(IF(COUNTIF('盛付札（関数）'!Y58,"*キャラ*"),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
"+"&amp;IF(AB63&lt;&gt;"",Y60-AB63,Y60)-IF(COUNTIF('盛付札（関数）'!Y58,"*キャラ*"),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VLOOKUP('盛付札（関数）'!Y58,商品マスタ一覧!$D:$J,7,FALSE)))*AB58,
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VLOOKUP('盛付札（関数）'!Y58,商品マスタ一覧!$D:$J,7,FALSE)))*AB58),""),"")</f>
        <v/>
      </c>
      <c r="AD58" s="80"/>
      <c r="AE58" s="80"/>
      <c r="AF58" s="85" t="e">
        <f t="array" aca="1" ref="AF58" ca="1">IF(AF17&lt;&gt;100,
IF(AG60&lt;&gt;"",MATCH(AG60,INDIRECT("数出表_Excel!B"&amp;MATCH(AK15,数出表_Excel!$A:$A,0)-1&amp;":U"&amp;MATCH(AK15,数出表_Excel!$A:$A,0)-1&amp;""),0)+1,""),
IF(AG60&lt;&gt;"",
MATCH(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INDIRECT("数出表_Excel!B"&amp;MATCH(AK15,数出表_Excel!$A:$A,0)-1&amp;":U"&amp;MATCH(AK15,数出表_Excel!$A:$A,0)-1&amp;""),0)+1,""))</f>
        <v>#N/A</v>
      </c>
      <c r="AG58" s="62" t="str">
        <f t="array" aca="1" ref="AG58" ca="1">IF(AG15=AN50,"",IFERROR(IF(OR(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"3"),"*配膳*"),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"3"),"*カレー*"),
COUNTIF(AG15,"*合計*")),"",
IF(IFERROR(INDIRECT("数出表_Excel!"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"3"),0)=0,"",
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"3"),""))),""))</f>
        <v/>
      </c>
      <c r="AH58" s="80"/>
      <c r="AI58" s="86" t="str">
        <f t="array" aca="1" ref="AI58" ca="1">IF(AJ58&lt;&gt;"","",
IF(COUNTIF(AG57,"*雙葉*"),"",
IF(AG57&lt;&gt;"",
IF(
(COLUMN(INDIRECT("数出表_Excel!B" &amp; (MATCH(AK15,数出表_Excel!$A:$A,0)-1))) - 1 +
MATCH(TRUE, ISNUMBER(--INDIRECT("数出表_Excel!B" &amp; (MATCH(AK15,数出表_Excel!$A:$A,0)-1) &amp; ":U" &amp; (MATCH(AK15,数出表_Excel!$A:$A,0)-1))), 0)+1
+MATCH(TRUE,INDIRECT("'数出表_Excel'!"&amp;AF57&amp;MATCH(AK15,数出表_Excel!$A:$A,0)-1&amp;":AL"&amp;MATCH(AK15,数出表_Excel!$A:$A,0)-1&amp;"")&lt;&gt;"",0))&gt;12,"",
IFERROR(
INDEX(INDIRECT("数出表_Excel!$"&amp;AF57&amp;"4:$AL4"),
 1,
MATCH(TRUE,INDIRECT("'数出表_Excel'!"&amp;AF57&amp;MATCH(AK15,数出表_Excel!$A:$A,0)-1&amp;":AL"&amp;MATCH(AK15,数出表_Excel!$A:$A,0)-1&amp;"")&lt;&gt;"",0)
),
 "")
&amp;IFERROR(
INDEX(INDIRECT("数出表_Excel!$"&amp;AF57&amp;"5:$AL5"),
 1,
MATCH(TRUE,INDIRECT("'数出表_Excel'!"&amp;AF57&amp;MATCH(AK15,数出表_Excel!$A:$A,0)-1&amp;":AL"&amp;MATCH(AK15,数出表_Excel!$A:$A,0)-1&amp;"")&lt;&gt;"",0)),
 "")),"")))</f>
        <v/>
      </c>
      <c r="AJ58" s="87" t="str">
        <f t="array" aca="1" ref="AJ58" ca="1">IF(AG58&lt;&gt;"",
IF(COUNTIF(AG57,"*雙葉*"),
IF(ROUND(
IF(AJ63&lt;&gt;"",(AG60-AJ63),AG60)
/IF(COUNTIF(AG58,"*キャラ*"),
VLOOKUP("*キャラ*",商品マスタ一覧!$D:$J,7,FALSE),
IF(COUNTIF(AG58,"*赤*"),
VLOOKUP("*赤*",商品マスタ一覧!$D:$J,7,FALSE),
VLOOKUP(AG58,商品マスタ一覧!$D:$J,7,FALSE))),0)&lt;=0,1,
ROUND(
IF(AJ63&lt;&gt;"",(AG60-AJ63),AG60)
/IF(COUNTIF(AG58,"*キャラ*"),
VLOOKUP("*キャラ*",商品マスタ一覧!$D:$J,7,FALSE),
IF(COUNTIF(AG58,"*赤*"),
VLOOKUP("*赤*",商品マスタ一覧!$D:$J,7,FALSE),
VLOOKUP(AG58,商品マスタ一覧!$D:$J,7,FALSE))),0)),
IF(MATCH(TRUE,
ISNUMBER(--INDIRECT("'数出表_Excel（アレルギー入力）'!B"&amp;MATCH(AK15,'数出表_Excel（アレルギー入力）'!$A:$A,0)-1&amp;":AL"&amp;MATCH(AK15,'数出表_Excel（アレルギー入力）'!$A:$A,0)-1&amp;"")),0)&gt;10,
IF(AG58&lt;&gt;"",
IF(IF(COUNTIF(AG58,"*キャラ*"),
VLOOKUP("*キャラ*",商品マスタ一覧!$D:$J,7,FALSE),
IF(COUNTIF(AG58,"*赤*"),
VLOOKUP("*赤*",商品マスタ一覧!$D:$J,7,FALSE),
VLOOKUP(AG58,商品マスタ一覧!$D:$J,7,FALSE)))=0,"",
IF(ROUND(
IF(AJ63&lt;&gt;"",(AG60-AJ63),AG60)
/IF(COUNTIF(AG58,"*キャラ*"),
VLOOKUP("*キャラ*",商品マスタ一覧!$D:$J,7,FALSE),
IF(COUNTIF(AG58,"*赤*"),
VLOOKUP("*赤*",商品マスタ一覧!$D:$J,7,FALSE),
VLOOKUP(AG58,商品マスタ一覧!$D:$J,7,FALSE))),0)&lt;=0,1,
ROUND(
IF(AJ63&lt;&gt;"",(AG60-AJ63),AG60)
/IF(COUNTIF(AG58,"*キャラ*"),
VLOOKUP("*キャラ*",商品マスタ一覧!$D:$J,7,FALSE),
IF(COUNTIF(AG58,"*赤*"),
VLOOKUP("*赤*",商品マスタ一覧!$D:$J,7,FALSE),
VLOOKUP(AG58,商品マスタ一覧!$D:$J,7,FALSE))),0))),""),"")),"")</f>
        <v/>
      </c>
      <c r="AK58" s="100" t="str">
        <f ca="1">IF(AJ58&lt;&gt;"",IF(AG60&lt;&gt;"",IF(VALUE(IF(AJ63&lt;&gt;"",AG60-AJ63,AG60))&gt;VALUE(IF(COUNTIF('盛付札（関数）'!AG58,"*キャラ*"),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
"+"&amp;IF(AJ63&lt;&gt;"",AG60-AJ63,AG60)-IF(COUNTIF('盛付札（関数）'!AG58,"*キャラ*"),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VLOOKUP('盛付札（関数）'!AG58,商品マスタ一覧!$D:$J,7,FALSE)))*AJ58,
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VLOOKUP('盛付札（関数）'!AG58,商品マスタ一覧!$D:$J,7,FALSE)))*AJ58),""),"")</f>
        <v/>
      </c>
      <c r="AL58" s="80"/>
      <c r="AM58" s="85" t="e">
        <f t="array" aca="1" ref="AM58" ca="1">IF(AM17&lt;&gt;100,
IF(AN60&lt;&gt;"",MATCH(AN60,INDIRECT("数出表_Excel!B"&amp;MATCH(AR15,数出表_Excel!$A:$A,0)-1&amp;":U"&amp;MATCH(AR15,数出表_Excel!$A:$A,0)-1&amp;""),0)+1,""),
IF(AN60&lt;&gt;"",
MATCH(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INDIRECT("数出表_Excel!B"&amp;MATCH(AR15,数出表_Excel!$A:$A,0)-1&amp;":U"&amp;MATCH(AR15,数出表_Excel!$A:$A,0)-1&amp;""),0)+1,""))</f>
        <v>#N/A</v>
      </c>
      <c r="AN58" s="62" t="str">
        <f t="array" aca="1" ref="AN58" ca="1">IF(AN15=AG57,"",IFERROR(IF(OR(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"3"),"*配膳*"),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"3"),"*カレー*"),
COUNTIF(AN15,"*合計*")),"",
IF(IFERROR(INDIRECT("数出表_Excel!"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"3"),0)=0,"",
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"3"),""))),""))</f>
        <v/>
      </c>
      <c r="AO58" s="80"/>
      <c r="AP58" s="86" t="str">
        <f t="array" aca="1" ref="AP58" ca="1">IF(AQ58&lt;&gt;"","",
IF(COUNTIF(AN57,"*雙葉*"),"",
IF(AN57&lt;&gt;"",
IF(
(COLUMN(INDIRECT("数出表_Excel!B" &amp; (MATCH(AR15,数出表_Excel!$A:$A,0)-1))) - 1 +
MATCH(TRUE, ISNUMBER(--INDIRECT("数出表_Excel!B" &amp; (MATCH(AR15,数出表_Excel!$A:$A,0)-1) &amp; ":U" &amp; (MATCH(AR15,数出表_Excel!$A:$A,0)-1))), 0)+1
+MATCH(TRUE,INDIRECT("'数出表_Excel'!"&amp;AM57&amp;MATCH(AR15,数出表_Excel!$A:$A,0)-1&amp;":AL"&amp;MATCH(AR15,数出表_Excel!$A:$A,0)-1&amp;"")&lt;&gt;"",0))&gt;12,"",
IFERROR(
INDEX(INDIRECT("数出表_Excel!$"&amp;AM57&amp;"4:$AL4"),
 1,
MATCH(TRUE,INDIRECT("'数出表_Excel'!"&amp;AM57&amp;MATCH(AR15,数出表_Excel!$A:$A,0)-1&amp;":AL"&amp;MATCH(AR15,数出表_Excel!$A:$A,0)-1&amp;"")&lt;&gt;"",0)
),
 "")
&amp;IFERROR(
INDEX(INDIRECT("数出表_Excel!$"&amp;AM57&amp;"5:$AL5"),
 1,
MATCH(TRUE,INDIRECT("'数出表_Excel'!"&amp;AM57&amp;MATCH(AR15,数出表_Excel!$A:$A,0)-1&amp;":AL"&amp;MATCH(AR15,数出表_Excel!$A:$A,0)-1&amp;"")&lt;&gt;"",0)),
 "")),"")))</f>
        <v/>
      </c>
      <c r="AQ58" s="87" t="str">
        <f t="array" aca="1" ref="AQ58" ca="1">IF(AN58&lt;&gt;"",
IF(COUNTIF(AN57,"*雙葉*"),
IF(ROUND(
IF(AQ63&lt;&gt;"",(AN60-AQ63),AN60)
/IF(COUNTIF(AN58,"*キャラ*"),
VLOOKUP("*キャラ*",商品マスタ一覧!$D:$J,7,FALSE),
IF(COUNTIF(AN58,"*赤*"),
VLOOKUP("*赤*",商品マスタ一覧!$D:$J,7,FALSE),
VLOOKUP(AN58,商品マスタ一覧!$D:$J,7,FALSE))),0)&lt;=0,1,
ROUND(
IF(AQ63&lt;&gt;"",(AN60-AQ63),AN60)
/IF(COUNTIF(AN58,"*キャラ*"),
VLOOKUP("*キャラ*",商品マスタ一覧!$D:$J,7,FALSE),
IF(COUNTIF(AN58,"*赤*"),
VLOOKUP("*赤*",商品マスタ一覧!$D:$J,7,FALSE),
VLOOKUP(AN58,商品マスタ一覧!$D:$J,7,FALSE))),0)),
IF(MATCH(TRUE,
ISNUMBER(--INDIRECT("'数出表_Excel（アレルギー入力）'!B"&amp;MATCH(AR15,'数出表_Excel（アレルギー入力）'!$A:$A,0)-1&amp;":AL"&amp;MATCH(AR15,'数出表_Excel（アレルギー入力）'!$A:$A,0)-1&amp;"")),0)&gt;10,
IF(AN58&lt;&gt;"",
IF(IF(COUNTIF(AN58,"*キャラ*"),
VLOOKUP("*キャラ*",商品マスタ一覧!$D:$J,7,FALSE),
IF(COUNTIF(AN58,"*赤*"),
VLOOKUP("*赤*",商品マスタ一覧!$D:$J,7,FALSE),
VLOOKUP(AN58,商品マスタ一覧!$D:$J,7,FALSE)))=0,"",
IF(ROUND(
IF(AQ63&lt;&gt;"",(AN60-AQ63),AN60)
/IF(COUNTIF(AN58,"*キャラ*"),
VLOOKUP("*キャラ*",商品マスタ一覧!$D:$J,7,FALSE),
IF(COUNTIF(AN58,"*赤*"),
VLOOKUP("*赤*",商品マスタ一覧!$D:$J,7,FALSE),
VLOOKUP(AN58,商品マスタ一覧!$D:$J,7,FALSE))),0)&lt;=0,1,
ROUND(
IF(AQ63&lt;&gt;"",(AN60-AQ63),AN60)
/IF(COUNTIF(AN58,"*キャラ*"),
VLOOKUP("*キャラ*",商品マスタ一覧!$D:$J,7,FALSE),
IF(COUNTIF(AN58,"*赤*"),
VLOOKUP("*赤*",商品マスタ一覧!$D:$J,7,FALSE),
VLOOKUP(AN58,商品マスタ一覧!$D:$J,7,FALSE))),0))),""),"")),"")</f>
        <v/>
      </c>
      <c r="AR58" s="96" t="str">
        <f ca="1">IF(AQ58&lt;&gt;"",IF(AN60&lt;&gt;"",IF(VALUE(IF(AQ63&lt;&gt;"",AN60-AQ63,AN60))&gt;VALUE(IF(COUNTIF('盛付札（関数）'!AN58,"*キャラ*"),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
"+"&amp;IF(AQ63&lt;&gt;"",AN60-AQ63,AN60)-IF(COUNTIF('盛付札（関数）'!AN58,"*キャラ*"),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VLOOKUP('盛付札（関数）'!AN58,商品マスタ一覧!$D:$J,7,FALSE)))*AQ58,
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VLOOKUP('盛付札（関数）'!AN58,商品マスタ一覧!$D:$J,7,FALSE)))*AQ58),""),"")</f>
        <v/>
      </c>
      <c r="AS58" s="80"/>
      <c r="AT58" s="80"/>
      <c r="AU58" s="85" t="e">
        <f t="array" aca="1" ref="AU58" ca="1">IF(AU17&lt;&gt;100,
IF(AV60&lt;&gt;"",MATCH(AV60,INDIRECT("数出表_Excel!B"&amp;MATCH(AZ15,数出表_Excel!$A:$A,0)-1&amp;":U"&amp;MATCH(AZ15,数出表_Excel!$A:$A,0)-1&amp;""),0)+1,""),
IF(AV60&lt;&gt;"",
MATCH(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INDIRECT("数出表_Excel!B"&amp;MATCH(AZ15,数出表_Excel!$A:$A,0)-1&amp;":U"&amp;MATCH(AZ15,数出表_Excel!$A:$A,0)-1&amp;""),0)+1,""))</f>
        <v>#N/A</v>
      </c>
      <c r="AV58" s="62" t="str">
        <f t="array" aca="1" ref="AV58" ca="1">IF(AV15=BC50,"",IFERROR(IF(OR(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"3"),"*配膳*"),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"3"),"*カレー*"),
COUNTIF(AV15,"*合計*")),"",
IF(IFERROR(INDIRECT("数出表_Excel!"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"3"),0)=0,"",
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"3"),""))),""))</f>
        <v/>
      </c>
      <c r="AW58" s="80"/>
      <c r="AX58" s="86" t="str">
        <f t="array" aca="1" ref="AX58" ca="1">IF(AY58&lt;&gt;"","",
IF(COUNTIF(AV57,"*雙葉*"),"",
IF(AV57&lt;&gt;"",
IF(
(COLUMN(INDIRECT("数出表_Excel!B" &amp; (MATCH(AZ15,数出表_Excel!$A:$A,0)-1))) - 1 +
MATCH(TRUE, ISNUMBER(--INDIRECT("数出表_Excel!B" &amp; (MATCH(AZ15,数出表_Excel!$A:$A,0)-1) &amp; ":U" &amp; (MATCH(AZ15,数出表_Excel!$A:$A,0)-1))), 0)+1
+MATCH(TRUE,INDIRECT("'数出表_Excel'!"&amp;AU57&amp;MATCH(AZ15,数出表_Excel!$A:$A,0)-1&amp;":AL"&amp;MATCH(AZ15,数出表_Excel!$A:$A,0)-1&amp;"")&lt;&gt;"",0))&gt;12,"",
IFERROR(
INDEX(INDIRECT("数出表_Excel!$"&amp;AU57&amp;"4:$AL4"),
 1,
MATCH(TRUE,INDIRECT("'数出表_Excel'!"&amp;AU57&amp;MATCH(AZ15,数出表_Excel!$A:$A,0)-1&amp;":AL"&amp;MATCH(AZ15,数出表_Excel!$A:$A,0)-1&amp;"")&lt;&gt;"",0)
),
 "")
&amp;IFERROR(
INDEX(INDIRECT("数出表_Excel!$"&amp;AU57&amp;"5:$AL5"),
 1,
MATCH(TRUE,INDIRECT("'数出表_Excel'!"&amp;AU57&amp;MATCH(AZ15,数出表_Excel!$A:$A,0)-1&amp;":AL"&amp;MATCH(AZ15,数出表_Excel!$A:$A,0)-1&amp;"")&lt;&gt;"",0)),
 "")),"")))</f>
        <v/>
      </c>
      <c r="AY58" s="87" t="str">
        <f t="array" aca="1" ref="AY58" ca="1">IF(AV58&lt;&gt;"",
IF(COUNTIF(AV57,"*雙葉*"),
IF(ROUND(
IF(AY63&lt;&gt;"",(AV60-AY63),AV60)
/IF(COUNTIF(AV58,"*キャラ*"),
VLOOKUP("*キャラ*",商品マスタ一覧!$D:$J,7,FALSE),
IF(COUNTIF(AV58,"*赤*"),
VLOOKUP("*赤*",商品マスタ一覧!$D:$J,7,FALSE),
VLOOKUP(AV58,商品マスタ一覧!$D:$J,7,FALSE))),0)&lt;=0,1,
ROUND(
IF(AY63&lt;&gt;"",(AV60-AY63),AV60)
/IF(COUNTIF(AV58,"*キャラ*"),
VLOOKUP("*キャラ*",商品マスタ一覧!$D:$J,7,FALSE),
IF(COUNTIF(AV58,"*赤*"),
VLOOKUP("*赤*",商品マスタ一覧!$D:$J,7,FALSE),
VLOOKUP(AV58,商品マスタ一覧!$D:$J,7,FALSE))),0)),
IF(MATCH(TRUE,
ISNUMBER(--INDIRECT("'数出表_Excel（アレルギー入力）'!B"&amp;MATCH(AZ15,'数出表_Excel（アレルギー入力）'!$A:$A,0)-1&amp;":AL"&amp;MATCH(AZ15,'数出表_Excel（アレルギー入力）'!$A:$A,0)-1&amp;"")),0)&gt;10,
IF(AV58&lt;&gt;"",
IF(IF(COUNTIF(AV58,"*キャラ*"),
VLOOKUP("*キャラ*",商品マスタ一覧!$D:$J,7,FALSE),
IF(COUNTIF(AV58,"*赤*"),
VLOOKUP("*赤*",商品マスタ一覧!$D:$J,7,FALSE),
VLOOKUP(AV58,商品マスタ一覧!$D:$J,7,FALSE)))=0,"",
IF(ROUND(
IF(AY63&lt;&gt;"",(AV60-AY63),AV60)
/IF(COUNTIF(AV58,"*キャラ*"),
VLOOKUP("*キャラ*",商品マスタ一覧!$D:$J,7,FALSE),
IF(COUNTIF(AV58,"*赤*"),
VLOOKUP("*赤*",商品マスタ一覧!$D:$J,7,FALSE),
VLOOKUP(AV58,商品マスタ一覧!$D:$J,7,FALSE))),0)&lt;=0,1,
ROUND(
IF(AY63&lt;&gt;"",(AV60-AY63),AV60)
/IF(COUNTIF(AV58,"*キャラ*"),
VLOOKUP("*キャラ*",商品マスタ一覧!$D:$J,7,FALSE),
IF(COUNTIF(AV58,"*赤*"),
VLOOKUP("*赤*",商品マスタ一覧!$D:$J,7,FALSE),
VLOOKUP(AV58,商品マスタ一覧!$D:$J,7,FALSE))),0))),""),"")),"")</f>
        <v/>
      </c>
      <c r="AZ58" s="100" t="str">
        <f ca="1">IF(AY58&lt;&gt;"",IF(AV60&lt;&gt;"",IF(VALUE(IF(AY63&lt;&gt;"",AV60-AY63,AV60))&gt;VALUE(IF(COUNTIF('盛付札（関数）'!AV58,"*キャラ*"),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
"+"&amp;IF(AY63&lt;&gt;"",AV60-AY63,AV60)-IF(COUNTIF('盛付札（関数）'!AV58,"*キャラ*"),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VLOOKUP('盛付札（関数）'!AV58,商品マスタ一覧!$D:$J,7,FALSE)))*AY58,
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VLOOKUP('盛付札（関数）'!AV58,商品マスタ一覧!$D:$J,7,FALSE)))*AY58),""),"")</f>
        <v/>
      </c>
      <c r="BA58" s="80"/>
      <c r="BB58" s="85" t="e">
        <f t="array" aca="1" ref="BB58" ca="1">IF(BB17&lt;&gt;100,
IF(BC60&lt;&gt;"",MATCH(BC60,INDIRECT("数出表_Excel!B"&amp;MATCH(BG15,数出表_Excel!$A:$A,0)-1&amp;":U"&amp;MATCH(BG15,数出表_Excel!$A:$A,0)-1&amp;""),0)+1,""),
IF(BC60&lt;&gt;"",
MATCH(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INDIRECT("数出表_Excel!B"&amp;MATCH(BG15,数出表_Excel!$A:$A,0)-1&amp;":U"&amp;MATCH(BG15,数出表_Excel!$A:$A,0)-1&amp;""),0)+1,""))</f>
        <v>#N/A</v>
      </c>
      <c r="BC58" s="62" t="str">
        <f t="array" aca="1" ref="BC58" ca="1">IF(BC15=AV57,"",IFERROR(IF(OR(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"3"),"*配膳*"),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"3"),"*カレー*"),
COUNTIF(BC15,"*合計*")),"",
IF(IFERROR(INDIRECT("数出表_Excel!"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"3"),0)=0,"",
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"3"),""))),""))</f>
        <v/>
      </c>
      <c r="BD58" s="80"/>
      <c r="BE58" s="86" t="str">
        <f t="array" aca="1" ref="BE58" ca="1">IF(BF58&lt;&gt;"","",
IF(COUNTIF(BC57,"*雙葉*"),"",
IF(BC57&lt;&gt;"",
IF(
(COLUMN(INDIRECT("数出表_Excel!B" &amp; (MATCH(BG15,数出表_Excel!$A:$A,0)-1))) - 1 +
MATCH(TRUE, ISNUMBER(--INDIRECT("数出表_Excel!B" &amp; (MATCH(BG15,数出表_Excel!$A:$A,0)-1) &amp; ":U" &amp; (MATCH(BG15,数出表_Excel!$A:$A,0)-1))), 0)+1
+MATCH(TRUE,INDIRECT("'数出表_Excel'!"&amp;BB57&amp;MATCH(BG15,数出表_Excel!$A:$A,0)-1&amp;":AL"&amp;MATCH(BG15,数出表_Excel!$A:$A,0)-1&amp;"")&lt;&gt;"",0))&gt;12,"",
IFERROR(
INDEX(INDIRECT("数出表_Excel!$"&amp;BB57&amp;"4:$AL4"),
 1,
MATCH(TRUE,INDIRECT("'数出表_Excel'!"&amp;BB57&amp;MATCH(BG15,数出表_Excel!$A:$A,0)-1&amp;":AL"&amp;MATCH(BG15,数出表_Excel!$A:$A,0)-1&amp;"")&lt;&gt;"",0)
),
 "")
&amp;IFERROR(
INDEX(INDIRECT("数出表_Excel!$"&amp;BB57&amp;"5:$AL5"),
 1,
MATCH(TRUE,INDIRECT("'数出表_Excel'!"&amp;BB57&amp;MATCH(BG15,数出表_Excel!$A:$A,0)-1&amp;":AL"&amp;MATCH(BG15,数出表_Excel!$A:$A,0)-1&amp;"")&lt;&gt;"",0)),
 "")),"")))</f>
        <v/>
      </c>
      <c r="BF58" s="87" t="str">
        <f t="array" aca="1" ref="BF58" ca="1">IF(BC58&lt;&gt;"",
IF(COUNTIF(BC57,"*雙葉*"),
IF(ROUND(
IF(BF63&lt;&gt;"",(BC60-BF63),BC60)
/IF(COUNTIF(BC58,"*キャラ*"),
VLOOKUP("*キャラ*",商品マスタ一覧!$D:$J,7,FALSE),
IF(COUNTIF(BC58,"*赤*"),
VLOOKUP("*赤*",商品マスタ一覧!$D:$J,7,FALSE),
VLOOKUP(BC58,商品マスタ一覧!$D:$J,7,FALSE))),0)&lt;=0,1,
ROUND(
IF(BF63&lt;&gt;"",(BC60-BF63),BC60)
/IF(COUNTIF(BC58,"*キャラ*"),
VLOOKUP("*キャラ*",商品マスタ一覧!$D:$J,7,FALSE),
IF(COUNTIF(BC58,"*赤*"),
VLOOKUP("*赤*",商品マスタ一覧!$D:$J,7,FALSE),
VLOOKUP(BC58,商品マスタ一覧!$D:$J,7,FALSE))),0)),
IF(MATCH(TRUE,
ISNUMBER(--INDIRECT("'数出表_Excel（アレルギー入力）'!B"&amp;MATCH(BG15,'数出表_Excel（アレルギー入力）'!$A:$A,0)-1&amp;":AL"&amp;MATCH(BG15,'数出表_Excel（アレルギー入力）'!$A:$A,0)-1&amp;"")),0)&gt;10,
IF(BC58&lt;&gt;"",
IF(IF(COUNTIF(BC58,"*キャラ*"),
VLOOKUP("*キャラ*",商品マスタ一覧!$D:$J,7,FALSE),
IF(COUNTIF(BC58,"*赤*"),
VLOOKUP("*赤*",商品マスタ一覧!$D:$J,7,FALSE),
VLOOKUP(BC58,商品マスタ一覧!$D:$J,7,FALSE)))=0,"",
IF(ROUND(
IF(BF63&lt;&gt;"",(BC60-BF63),BC60)
/IF(COUNTIF(BC58,"*キャラ*"),
VLOOKUP("*キャラ*",商品マスタ一覧!$D:$J,7,FALSE),
IF(COUNTIF(BC58,"*赤*"),
VLOOKUP("*赤*",商品マスタ一覧!$D:$J,7,FALSE),
VLOOKUP(BC58,商品マスタ一覧!$D:$J,7,FALSE))),0)&lt;=0,1,
ROUND(
IF(BF63&lt;&gt;"",(BC60-BF63),BC60)
/IF(COUNTIF(BC58,"*キャラ*"),
VLOOKUP("*キャラ*",商品マスタ一覧!$D:$J,7,FALSE),
IF(COUNTIF(BC58,"*赤*"),
VLOOKUP("*赤*",商品マスタ一覧!$D:$J,7,FALSE),
VLOOKUP(BC58,商品マスタ一覧!$D:$J,7,FALSE))),0))),""),"")),"")</f>
        <v/>
      </c>
      <c r="BG58" s="96" t="str">
        <f ca="1">IF(BF58&lt;&gt;"",IF(BC60&lt;&gt;"",IF(VALUE(IF(BF63&lt;&gt;"",BC60-BF63,BC60))&gt;VALUE(IF(COUNTIF('盛付札（関数）'!BC58,"*キャラ*"),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
"+"&amp;IF(BF63&lt;&gt;"",BC60-BF63,BC60)-IF(COUNTIF('盛付札（関数）'!BC58,"*キャラ*"),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VLOOKUP('盛付札（関数）'!BC58,商品マスタ一覧!$D:$J,7,FALSE)))*BF58,
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VLOOKUP('盛付札（関数）'!BC58,商品マスタ一覧!$D:$J,7,FALSE)))*BF58),""),"")</f>
        <v/>
      </c>
      <c r="BH58" s="80"/>
      <c r="BI58" s="80"/>
      <c r="BJ58" s="85" t="e">
        <f t="array" aca="1" ref="BJ58" ca="1">IF(BJ17&lt;&gt;100,
IF(BK60&lt;&gt;"",MATCH(BK60,INDIRECT("数出表_Excel!B"&amp;MATCH(BO15,数出表_Excel!$A:$A,0)-1&amp;":U"&amp;MATCH(BO15,数出表_Excel!$A:$A,0)-1&amp;""),0)+1,""),
IF(BK60&lt;&gt;"",
MATCH(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INDIRECT("数出表_Excel!B"&amp;MATCH(BO15,数出表_Excel!$A:$A,0)-1&amp;":U"&amp;MATCH(BO15,数出表_Excel!$A:$A,0)-1&amp;""),0)+1,""))</f>
        <v>#N/A</v>
      </c>
      <c r="BK58" s="62" t="str">
        <f t="array" aca="1" ref="BK58" ca="1">IF(BK15=BR50,"",IFERROR(IF(OR(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"3"),"*配膳*"),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"3"),"*カレー*"),
COUNTIF(BK15,"*合計*")),"",
IF(IFERROR(INDIRECT("数出表_Excel!"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"3"),0)=0,"",
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"3"),""))),""))</f>
        <v/>
      </c>
      <c r="BL58" s="80"/>
      <c r="BM58" s="86" t="str">
        <f t="array" aca="1" ref="BM58" ca="1">IF(BN58&lt;&gt;"","",
IF(COUNTIF(BK57,"*雙葉*"),"",
IF(BK57&lt;&gt;"",
IF(
(COLUMN(INDIRECT("数出表_Excel!B" &amp; (MATCH(BO15,数出表_Excel!$A:$A,0)-1))) - 1 +
MATCH(TRUE, ISNUMBER(--INDIRECT("数出表_Excel!B" &amp; (MATCH(BO15,数出表_Excel!$A:$A,0)-1) &amp; ":U" &amp; (MATCH(BO15,数出表_Excel!$A:$A,0)-1))), 0)+1
+MATCH(TRUE,INDIRECT("'数出表_Excel'!"&amp;BJ57&amp;MATCH(BO15,数出表_Excel!$A:$A,0)-1&amp;":AL"&amp;MATCH(BO15,数出表_Excel!$A:$A,0)-1&amp;"")&lt;&gt;"",0))&gt;12,"",
IFERROR(
INDEX(INDIRECT("数出表_Excel!$"&amp;BJ57&amp;"4:$AL4"),
 1,
MATCH(TRUE,INDIRECT("'数出表_Excel'!"&amp;BJ57&amp;MATCH(BO15,数出表_Excel!$A:$A,0)-1&amp;":AL"&amp;MATCH(BO15,数出表_Excel!$A:$A,0)-1&amp;"")&lt;&gt;"",0)
),
 "")
&amp;IFERROR(
INDEX(INDIRECT("数出表_Excel!$"&amp;BJ57&amp;"5:$AL5"),
 1,
MATCH(TRUE,INDIRECT("'数出表_Excel'!"&amp;BJ57&amp;MATCH(BO15,数出表_Excel!$A:$A,0)-1&amp;":AL"&amp;MATCH(BO15,数出表_Excel!$A:$A,0)-1&amp;"")&lt;&gt;"",0)),
 "")),"")))</f>
        <v/>
      </c>
      <c r="BN58" s="87" t="str">
        <f t="array" aca="1" ref="BN58" ca="1">IF(BK58&lt;&gt;"",
IF(COUNTIF(BK57,"*雙葉*"),
IF(ROUND(
IF(BN63&lt;&gt;"",(BK60-BN63),BK60)
/IF(COUNTIF(BK58,"*キャラ*"),
VLOOKUP("*キャラ*",商品マスタ一覧!$D:$J,7,FALSE),
IF(COUNTIF(BK58,"*赤*"),
VLOOKUP("*赤*",商品マスタ一覧!$D:$J,7,FALSE),
VLOOKUP(BK58,商品マスタ一覧!$D:$J,7,FALSE))),0)&lt;=0,1,
ROUND(
IF(BN63&lt;&gt;"",(BK60-BN63),BK60)
/IF(COUNTIF(BK58,"*キャラ*"),
VLOOKUP("*キャラ*",商品マスタ一覧!$D:$J,7,FALSE),
IF(COUNTIF(BK58,"*赤*"),
VLOOKUP("*赤*",商品マスタ一覧!$D:$J,7,FALSE),
VLOOKUP(BK58,商品マスタ一覧!$D:$J,7,FALSE))),0)),
IF(MATCH(TRUE,
ISNUMBER(--INDIRECT("'数出表_Excel（アレルギー入力）'!B"&amp;MATCH(BO15,'数出表_Excel（アレルギー入力）'!$A:$A,0)-1&amp;":AL"&amp;MATCH(BO15,'数出表_Excel（アレルギー入力）'!$A:$A,0)-1&amp;"")),0)&gt;10,
IF(BK58&lt;&gt;"",
IF(IF(COUNTIF(BK58,"*キャラ*"),
VLOOKUP("*キャラ*",商品マスタ一覧!$D:$J,7,FALSE),
IF(COUNTIF(BK58,"*赤*"),
VLOOKUP("*赤*",商品マスタ一覧!$D:$J,7,FALSE),
VLOOKUP(BK58,商品マスタ一覧!$D:$J,7,FALSE)))=0,"",
IF(ROUND(
IF(BN63&lt;&gt;"",(BK60-BN63),BK60)
/IF(COUNTIF(BK58,"*キャラ*"),
VLOOKUP("*キャラ*",商品マスタ一覧!$D:$J,7,FALSE),
IF(COUNTIF(BK58,"*赤*"),
VLOOKUP("*赤*",商品マスタ一覧!$D:$J,7,FALSE),
VLOOKUP(BK58,商品マスタ一覧!$D:$J,7,FALSE))),0)&lt;=0,1,
ROUND(
IF(BN63&lt;&gt;"",(BK60-BN63),BK60)
/IF(COUNTIF(BK58,"*キャラ*"),
VLOOKUP("*キャラ*",商品マスタ一覧!$D:$J,7,FALSE),
IF(COUNTIF(BK58,"*赤*"),
VLOOKUP("*赤*",商品マスタ一覧!$D:$J,7,FALSE),
VLOOKUP(BK58,商品マスタ一覧!$D:$J,7,FALSE))),0))),""),"")),"")</f>
        <v/>
      </c>
      <c r="BO58" s="100" t="str">
        <f ca="1">IF(BN58&lt;&gt;"",IF(BK60&lt;&gt;"",IF(VALUE(IF(BN63&lt;&gt;"",BK60-BN63,BK60))&gt;VALUE(IF(COUNTIF('盛付札（関数）'!BK58,"*キャラ*"),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
"+"&amp;IF(BN63&lt;&gt;"",BK60-BN63,BK60)-IF(COUNTIF('盛付札（関数）'!BK58,"*キャラ*"),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VLOOKUP('盛付札（関数）'!BK58,商品マスタ一覧!$D:$J,7,FALSE)))*BN58,
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VLOOKUP('盛付札（関数）'!BK58,商品マスタ一覧!$D:$J,7,FALSE)))*BN58),""),"")</f>
        <v/>
      </c>
      <c r="BP58" s="80"/>
      <c r="BQ58" s="85" t="e">
        <f t="array" aca="1" ref="BQ58" ca="1">IF(BQ17&lt;&gt;100,
IF(BR60&lt;&gt;"",MATCH(BR60,INDIRECT("数出表_Excel!B"&amp;MATCH(BV15,数出表_Excel!$A:$A,0)-1&amp;":U"&amp;MATCH(BV15,数出表_Excel!$A:$A,0)-1&amp;""),0)+1,""),
IF(BR60&lt;&gt;"",
MATCH(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INDIRECT("数出表_Excel!B"&amp;MATCH(BV15,数出表_Excel!$A:$A,0)-1&amp;":U"&amp;MATCH(BV15,数出表_Excel!$A:$A,0)-1&amp;""),0)+1,""))</f>
        <v>#N/A</v>
      </c>
      <c r="BR58" s="62" t="str">
        <f t="array" aca="1" ref="BR58" ca="1">IF(BR15=BK57,"",IFERROR(IF(OR(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"3"),"*配膳*"),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"3"),"*カレー*"),
COUNTIF(BR15,"*合計*")),"",
IF(IFERROR(INDIRECT("数出表_Excel!"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"3"),0)=0,"",
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"3"),""))),""))</f>
        <v/>
      </c>
      <c r="BS58" s="80"/>
      <c r="BT58" s="86" t="str">
        <f t="array" aca="1" ref="BT58" ca="1">IF(BU58&lt;&gt;"","",
IF(COUNTIF(BR57,"*雙葉*"),"",
IF(BR57&lt;&gt;"",
IF(
(COLUMN(INDIRECT("数出表_Excel!B" &amp; (MATCH(BV15,数出表_Excel!$A:$A,0)-1))) - 1 +
MATCH(TRUE, ISNUMBER(--INDIRECT("数出表_Excel!B" &amp; (MATCH(BV15,数出表_Excel!$A:$A,0)-1) &amp; ":U" &amp; (MATCH(BV15,数出表_Excel!$A:$A,0)-1))), 0)+1
+MATCH(TRUE,INDIRECT("'数出表_Excel'!"&amp;BQ57&amp;MATCH(BV15,数出表_Excel!$A:$A,0)-1&amp;":AL"&amp;MATCH(BV15,数出表_Excel!$A:$A,0)-1&amp;"")&lt;&gt;"",0))&gt;12,"",
IFERROR(
INDEX(INDIRECT("数出表_Excel!$"&amp;BQ57&amp;"4:$AL4"),
 1,
MATCH(TRUE,INDIRECT("'数出表_Excel'!"&amp;BQ57&amp;MATCH(BV15,数出表_Excel!$A:$A,0)-1&amp;":AL"&amp;MATCH(BV15,数出表_Excel!$A:$A,0)-1&amp;"")&lt;&gt;"",0)
),
 "")
&amp;IFERROR(
INDEX(INDIRECT("数出表_Excel!$"&amp;BQ57&amp;"5:$AL5"),
 1,
MATCH(TRUE,INDIRECT("'数出表_Excel'!"&amp;BQ57&amp;MATCH(BV15,数出表_Excel!$A:$A,0)-1&amp;":AL"&amp;MATCH(BV15,数出表_Excel!$A:$A,0)-1&amp;"")&lt;&gt;"",0)),
 "")),"")))</f>
        <v/>
      </c>
      <c r="BU58" s="87" t="str">
        <f t="array" aca="1" ref="BU58" ca="1">IF(BR58&lt;&gt;"",
IF(COUNTIF(BR57,"*雙葉*"),
IF(ROUND(
IF(BU63&lt;&gt;"",(BR60-BU63),BR60)
/IF(COUNTIF(BR58,"*キャラ*"),
VLOOKUP("*キャラ*",商品マスタ一覧!$D:$J,7,FALSE),
IF(COUNTIF(BR58,"*赤*"),
VLOOKUP("*赤*",商品マスタ一覧!$D:$J,7,FALSE),
VLOOKUP(BR58,商品マスタ一覧!$D:$J,7,FALSE))),0)&lt;=0,1,
ROUND(
IF(BU63&lt;&gt;"",(BR60-BU63),BR60)
/IF(COUNTIF(BR58,"*キャラ*"),
VLOOKUP("*キャラ*",商品マスタ一覧!$D:$J,7,FALSE),
IF(COUNTIF(BR58,"*赤*"),
VLOOKUP("*赤*",商品マスタ一覧!$D:$J,7,FALSE),
VLOOKUP(BR58,商品マスタ一覧!$D:$J,7,FALSE))),0)),
IF(MATCH(TRUE,
ISNUMBER(--INDIRECT("'数出表_Excel（アレルギー入力）'!B"&amp;MATCH(BV15,'数出表_Excel（アレルギー入力）'!$A:$A,0)-1&amp;":AL"&amp;MATCH(BV15,'数出表_Excel（アレルギー入力）'!$A:$A,0)-1&amp;"")),0)&gt;10,
IF(BR58&lt;&gt;"",
IF(IF(COUNTIF(BR58,"*キャラ*"),
VLOOKUP("*キャラ*",商品マスタ一覧!$D:$J,7,FALSE),
IF(COUNTIF(BR58,"*赤*"),
VLOOKUP("*赤*",商品マスタ一覧!$D:$J,7,FALSE),
VLOOKUP(BR58,商品マスタ一覧!$D:$J,7,FALSE)))=0,"",
IF(ROUND(
IF(BU63&lt;&gt;"",(BR60-BU63),BR60)
/IF(COUNTIF(BR58,"*キャラ*"),
VLOOKUP("*キャラ*",商品マスタ一覧!$D:$J,7,FALSE),
IF(COUNTIF(BR58,"*赤*"),
VLOOKUP("*赤*",商品マスタ一覧!$D:$J,7,FALSE),
VLOOKUP(BR58,商品マスタ一覧!$D:$J,7,FALSE))),0)&lt;=0,1,
ROUND(
IF(BU63&lt;&gt;"",(BR60-BU63),BR60)
/IF(COUNTIF(BR58,"*キャラ*"),
VLOOKUP("*キャラ*",商品マスタ一覧!$D:$J,7,FALSE),
IF(COUNTIF(BR58,"*赤*"),
VLOOKUP("*赤*",商品マスタ一覧!$D:$J,7,FALSE),
VLOOKUP(BR58,商品マスタ一覧!$D:$J,7,FALSE))),0))),""),"")),"")</f>
        <v/>
      </c>
      <c r="BV58" s="96" t="str">
        <f ca="1">IF(BU58&lt;&gt;"",IF(BR60&lt;&gt;"",IF(VALUE(IF(BU63&lt;&gt;"",BR60-BU63,BR60))&gt;VALUE(IF(COUNTIF('盛付札（関数）'!BR58,"*キャラ*"),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
"+"&amp;IF(BU63&lt;&gt;"",BR60-BU63,BR60)-IF(COUNTIF('盛付札（関数）'!BR58,"*キャラ*"),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VLOOKUP('盛付札（関数）'!BR58,商品マスタ一覧!$D:$J,7,FALSE)))*BU58,
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VLOOKUP('盛付札（関数）'!BR58,商品マスタ一覧!$D:$J,7,FALSE)))*BU58),""),"")</f>
        <v/>
      </c>
      <c r="BW58" s="80"/>
      <c r="BX58" s="80"/>
      <c r="BY58" s="85" t="e">
        <f t="array" aca="1" ref="BY58" ca="1">IF(BY17&lt;&gt;100,
IF(BZ60&lt;&gt;"",MATCH(BZ60,INDIRECT("数出表_Excel!B"&amp;MATCH(CD15,数出表_Excel!$A:$A,0)-1&amp;":U"&amp;MATCH(CD15,数出表_Excel!$A:$A,0)-1&amp;""),0)+1,""),
IF(BZ60&lt;&gt;"",
MATCH(
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""),
INDIRECT("数出表_Excel!B"&amp;MATCH(CD15,数出表_Excel!$A:$A,0)-1&amp;":U"&amp;MATCH(CD15,数出表_Excel!$A:$A,0)-1&amp;""),0)+1,""))</f>
        <v>#N/A</v>
      </c>
      <c r="BZ58" s="62" t="str">
        <f t="array" aca="1" ref="BZ58" ca="1">IF(BZ15=CG50,"",IFERROR(IF(OR(
COUNTIF(INDIRECT("数出表_Excel!"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"3"),"*配膳*"),
COUNTIF(INDIRECT("数出表_Excel!"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"3"),"*カレー*"),
COUNTIF(BZ15,"*合計*")),"",
IF(IFERROR(INDIRECT("数出表_Excel!"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"3"),0)=0,"",
IFERROR(INDIRECT("数出表_Excel!"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"3"),""))),""))</f>
        <v/>
      </c>
      <c r="CA58" s="80"/>
      <c r="CB58" s="86" t="str">
        <f t="array" aca="1" ref="CB58" ca="1">IF(CC58&lt;&gt;"","",
IF(COUNTIF(BZ57,"*雙葉*"),"",
IF(BZ57&lt;&gt;"",
IF(
(COLUMN(INDIRECT("数出表_Excel!B" &amp; (MATCH(CD15,数出表_Excel!$A:$A,0)-1))) - 1 +
MATCH(TRUE, ISNUMBER(--INDIRECT("数出表_Excel!B" &amp; (MATCH(CD15,数出表_Excel!$A:$A,0)-1) &amp; ":U" &amp; (MATCH(CD15,数出表_Excel!$A:$A,0)-1))), 0)+1
+MATCH(TRUE,INDIRECT("'数出表_Excel'!"&amp;BY57&amp;MATCH(CD15,数出表_Excel!$A:$A,0)-1&amp;":AL"&amp;MATCH(CD15,数出表_Excel!$A:$A,0)-1&amp;"")&lt;&gt;"",0))&gt;12,"",
IFERROR(
INDEX(INDIRECT("数出表_Excel!$"&amp;BY57&amp;"4:$AL4"),
 1,
MATCH(TRUE,INDIRECT("'数出表_Excel'!"&amp;BY57&amp;MATCH(CD15,数出表_Excel!$A:$A,0)-1&amp;":AL"&amp;MATCH(CD15,数出表_Excel!$A:$A,0)-1&amp;"")&lt;&gt;"",0)
),
 "")
&amp;IFERROR(
INDEX(INDIRECT("数出表_Excel!$"&amp;BY57&amp;"5:$AL5"),
 1,
MATCH(TRUE,INDIRECT("'数出表_Excel'!"&amp;BY57&amp;MATCH(CD15,数出表_Excel!$A:$A,0)-1&amp;":AL"&amp;MATCH(CD15,数出表_Excel!$A:$A,0)-1&amp;"")&lt;&gt;"",0)),
 "")),"")))</f>
        <v/>
      </c>
      <c r="CC58" s="87" t="str">
        <f t="array" aca="1" ref="CC58" ca="1">IF(BZ58&lt;&gt;"",
IF(COUNTIF(BZ57,"*雙葉*"),
IF(ROUND(
IF(CC63&lt;&gt;"",(BZ60-CC63),BZ60)
/IF(COUNTIF(BZ58,"*キャラ*"),
VLOOKUP("*キャラ*",商品マスタ一覧!$D:$J,7,FALSE),
IF(COUNTIF(BZ58,"*赤*"),
VLOOKUP("*赤*",商品マスタ一覧!$D:$J,7,FALSE),
VLOOKUP(BZ58,商品マスタ一覧!$D:$J,7,FALSE))),0)&lt;=0,1,
ROUND(
IF(CC63&lt;&gt;"",(BZ60-CC63),BZ60)
/IF(COUNTIF(BZ58,"*キャラ*"),
VLOOKUP("*キャラ*",商品マスタ一覧!$D:$J,7,FALSE),
IF(COUNTIF(BZ58,"*赤*"),
VLOOKUP("*赤*",商品マスタ一覧!$D:$J,7,FALSE),
VLOOKUP(BZ58,商品マスタ一覧!$D:$J,7,FALSE))),0)),
IF(MATCH(TRUE,
ISNUMBER(--INDIRECT("'数出表_Excel（アレルギー入力）'!B"&amp;MATCH(CD15,'数出表_Excel（アレルギー入力）'!$A:$A,0)-1&amp;":AL"&amp;MATCH(CD15,'数出表_Excel（アレルギー入力）'!$A:$A,0)-1&amp;"")),0)&gt;10,
IF(BZ58&lt;&gt;"",
IF(IF(COUNTIF(BZ58,"*キャラ*"),
VLOOKUP("*キャラ*",商品マスタ一覧!$D:$J,7,FALSE),
IF(COUNTIF(BZ58,"*赤*"),
VLOOKUP("*赤*",商品マスタ一覧!$D:$J,7,FALSE),
VLOOKUP(BZ58,商品マスタ一覧!$D:$J,7,FALSE)))=0,"",
IF(ROUND(
IF(CC63&lt;&gt;"",(BZ60-CC63),BZ60)
/IF(COUNTIF(BZ58,"*キャラ*"),
VLOOKUP("*キャラ*",商品マスタ一覧!$D:$J,7,FALSE),
IF(COUNTIF(BZ58,"*赤*"),
VLOOKUP("*赤*",商品マスタ一覧!$D:$J,7,FALSE),
VLOOKUP(BZ58,商品マスタ一覧!$D:$J,7,FALSE))),0)&lt;=0,1,
ROUND(
IF(CC63&lt;&gt;"",(BZ60-CC63),BZ60)
/IF(COUNTIF(BZ58,"*キャラ*"),
VLOOKUP("*キャラ*",商品マスタ一覧!$D:$J,7,FALSE),
IF(COUNTIF(BZ58,"*赤*"),
VLOOKUP("*赤*",商品マスタ一覧!$D:$J,7,FALSE),
VLOOKUP(BZ58,商品マスタ一覧!$D:$J,7,FALSE))),0))),""),"")),"")</f>
        <v/>
      </c>
      <c r="CD58" s="100" t="str">
        <f ca="1">IF(CC58&lt;&gt;"",IF(BZ60&lt;&gt;"",IF(VALUE(IF(CC63&lt;&gt;"",BZ60-CC63,BZ60))&gt;VALUE(IF(COUNTIF('盛付札（関数）'!BZ58,"*キャラ*"),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VLOOKUP('盛付札（関数）'!BZ58,商品マスタ一覧!$D:$J,7,FALSE)))*CC58),
"+"&amp;IF(CC63&lt;&gt;"",BZ60-CC63,BZ60)-IF(COUNTIF('盛付札（関数）'!BZ58,"*キャラ*"),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VLOOKUP('盛付札（関数）'!BZ58,商品マスタ一覧!$D:$J,7,FALSE)))*CC58,
IF(CC63&lt;&gt;"",BZ60-CC63,BZ60)-IF(COUNTIF('盛付札（関数）'!BZ58,"*キャラ*"),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VLOOKUP('盛付札（関数）'!BZ58,商品マスタ一覧!$D:$J,7,FALSE)))*CC58),""),"")</f>
        <v/>
      </c>
      <c r="CE58" s="80"/>
      <c r="CF58" s="85" t="e">
        <f t="array" aca="1" ref="CF58" ca="1">IF(CF17&lt;&gt;100,
IF(CG60&lt;&gt;"",MATCH(CG60,INDIRECT("数出表_Excel!B"&amp;MATCH(CK15,数出表_Excel!$A:$A,0)-1&amp;":U"&amp;MATCH(CK15,数出表_Excel!$A:$A,0)-1&amp;""),0)+1,""),
IF(CG60&lt;&gt;"",
MATCH(
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""),
INDIRECT("数出表_Excel!B"&amp;MATCH(CK15,数出表_Excel!$A:$A,0)-1&amp;":U"&amp;MATCH(CK15,数出表_Excel!$A:$A,0)-1&amp;""),0)+1,""))</f>
        <v>#N/A</v>
      </c>
      <c r="CG58" s="62" t="str">
        <f t="array" aca="1" ref="CG58" ca="1">IF(CG15=BZ57,"",IFERROR(IF(OR(
COUNTIF(INDIRECT("数出表_Excel!"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"3"),"*配膳*"),
COUNTIF(INDIRECT("数出表_Excel!"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"3"),"*カレー*"),
COUNTIF(CG15,"*合計*")),"",
IF(IFERROR(INDIRECT("数出表_Excel!"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"3"),0)=0,"",
IFERROR(INDIRECT("数出表_Excel!"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"3"),""))),""))</f>
        <v/>
      </c>
      <c r="CH58" s="80"/>
      <c r="CI58" s="86" t="str">
        <f t="array" aca="1" ref="CI58" ca="1">IF(CJ58&lt;&gt;"","",
IF(COUNTIF(CG57,"*雙葉*"),"",
IF(CG57&lt;&gt;"",
IF(
(COLUMN(INDIRECT("数出表_Excel!B" &amp; (MATCH(CK15,数出表_Excel!$A:$A,0)-1))) - 1 +
MATCH(TRUE, ISNUMBER(--INDIRECT("数出表_Excel!B" &amp; (MATCH(CK15,数出表_Excel!$A:$A,0)-1) &amp; ":U" &amp; (MATCH(CK15,数出表_Excel!$A:$A,0)-1))), 0)+1
+MATCH(TRUE,INDIRECT("'数出表_Excel'!"&amp;CF57&amp;MATCH(CK15,数出表_Excel!$A:$A,0)-1&amp;":AL"&amp;MATCH(CK15,数出表_Excel!$A:$A,0)-1&amp;"")&lt;&gt;"",0))&gt;12,"",
IFERROR(
INDEX(INDIRECT("数出表_Excel!$"&amp;CF57&amp;"4:$AL4"),
 1,
MATCH(TRUE,INDIRECT("'数出表_Excel'!"&amp;CF57&amp;MATCH(CK15,数出表_Excel!$A:$A,0)-1&amp;":AL"&amp;MATCH(CK15,数出表_Excel!$A:$A,0)-1&amp;"")&lt;&gt;"",0)
),
 "")
&amp;IFERROR(
INDEX(INDIRECT("数出表_Excel!$"&amp;CF57&amp;"5:$AL5"),
 1,
MATCH(TRUE,INDIRECT("'数出表_Excel'!"&amp;CF57&amp;MATCH(CK15,数出表_Excel!$A:$A,0)-1&amp;":AL"&amp;MATCH(CK15,数出表_Excel!$A:$A,0)-1&amp;"")&lt;&gt;"",0)),
 "")),"")))</f>
        <v/>
      </c>
      <c r="CJ58" s="87" t="str">
        <f t="array" aca="1" ref="CJ58" ca="1">IF(CG58&lt;&gt;"",
IF(COUNTIF(CG57,"*雙葉*"),
IF(ROUND(
IF(CJ63&lt;&gt;"",(CG60-CJ63),CG60)
/IF(COUNTIF(CG58,"*キャラ*"),
VLOOKUP("*キャラ*",商品マスタ一覧!$D:$J,7,FALSE),
IF(COUNTIF(CG58,"*赤*"),
VLOOKUP("*赤*",商品マスタ一覧!$D:$J,7,FALSE),
VLOOKUP(CG58,商品マスタ一覧!$D:$J,7,FALSE))),0)&lt;=0,1,
ROUND(
IF(CJ63&lt;&gt;"",(CG60-CJ63),CG60)
/IF(COUNTIF(CG58,"*キャラ*"),
VLOOKUP("*キャラ*",商品マスタ一覧!$D:$J,7,FALSE),
IF(COUNTIF(CG58,"*赤*"),
VLOOKUP("*赤*",商品マスタ一覧!$D:$J,7,FALSE),
VLOOKUP(CG58,商品マスタ一覧!$D:$J,7,FALSE))),0)),
IF(MATCH(TRUE,
ISNUMBER(--INDIRECT("'数出表_Excel（アレルギー入力）'!B"&amp;MATCH(CK15,'数出表_Excel（アレルギー入力）'!$A:$A,0)-1&amp;":AL"&amp;MATCH(CK15,'数出表_Excel（アレルギー入力）'!$A:$A,0)-1&amp;"")),0)&gt;10,
IF(CG58&lt;&gt;"",
IF(IF(COUNTIF(CG58,"*キャラ*"),
VLOOKUP("*キャラ*",商品マスタ一覧!$D:$J,7,FALSE),
IF(COUNTIF(CG58,"*赤*"),
VLOOKUP("*赤*",商品マスタ一覧!$D:$J,7,FALSE),
VLOOKUP(CG58,商品マスタ一覧!$D:$J,7,FALSE)))=0,"",
IF(ROUND(
IF(CJ63&lt;&gt;"",(CG60-CJ63),CG60)
/IF(COUNTIF(CG58,"*キャラ*"),
VLOOKUP("*キャラ*",商品マスタ一覧!$D:$J,7,FALSE),
IF(COUNTIF(CG58,"*赤*"),
VLOOKUP("*赤*",商品マスタ一覧!$D:$J,7,FALSE),
VLOOKUP(CG58,商品マスタ一覧!$D:$J,7,FALSE))),0)&lt;=0,1,
ROUND(
IF(CJ63&lt;&gt;"",(CG60-CJ63),CG60)
/IF(COUNTIF(CG58,"*キャラ*"),
VLOOKUP("*キャラ*",商品マスタ一覧!$D:$J,7,FALSE),
IF(COUNTIF(CG58,"*赤*"),
VLOOKUP("*赤*",商品マスタ一覧!$D:$J,7,FALSE),
VLOOKUP(CG58,商品マスタ一覧!$D:$J,7,FALSE))),0))),""),"")),"")</f>
        <v/>
      </c>
      <c r="CK58" s="96" t="str">
        <f ca="1">IF(CJ58&lt;&gt;"",IF(CG60&lt;&gt;"",IF(VALUE(IF(CJ63&lt;&gt;"",CG60-CJ63,CG60))&gt;VALUE(IF(COUNTIF('盛付札（関数）'!CG58,"*キャラ*"),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VLOOKUP('盛付札（関数）'!CG58,商品マスタ一覧!$D:$J,7,FALSE)))*CJ58),
"+"&amp;IF(CJ63&lt;&gt;"",CG60-CJ63,CG60)-IF(COUNTIF('盛付札（関数）'!CG58,"*キャラ*"),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VLOOKUP('盛付札（関数）'!CG58,商品マスタ一覧!$D:$J,7,FALSE)))*CJ58,
IF(CJ63&lt;&gt;"",CG60-CJ63,CG60)-IF(COUNTIF('盛付札（関数）'!CG58,"*キャラ*"),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VLOOKUP('盛付札（関数）'!CG58,商品マスタ一覧!$D:$J,7,FALSE)))*CJ58),""),"")</f>
        <v/>
      </c>
      <c r="CL58" s="80"/>
      <c r="CM58" s="80"/>
      <c r="CN58" s="85" t="e">
        <f t="array" aca="1" ref="CN58" ca="1">IF(CN17&lt;&gt;100,
IF(CO60&lt;&gt;"",MATCH(CO60,INDIRECT("数出表_Excel!B"&amp;MATCH(CS15,数出表_Excel!$A:$A,0)-1&amp;":U"&amp;MATCH(CS15,数出表_Excel!$A:$A,0)-1&amp;""),0)+1,""),
IF(CO60&lt;&gt;"",
MATCH(
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""),
INDIRECT("数出表_Excel!B"&amp;MATCH(CS15,数出表_Excel!$A:$A,0)-1&amp;":U"&amp;MATCH(CS15,数出表_Excel!$A:$A,0)-1&amp;""),0)+1,""))</f>
        <v>#N/A</v>
      </c>
      <c r="CO58" s="62" t="str">
        <f t="array" aca="1" ref="CO58" ca="1">IF(CO15=CV50,"",IFERROR(IF(OR(
COUNTIF(INDIRECT("数出表_Excel!"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"3"),"*配膳*"),
COUNTIF(INDIRECT("数出表_Excel!"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"3"),"*カレー*"),
COUNTIF(CO15,"*合計*")),"",
IF(IFERROR(INDIRECT("数出表_Excel!"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"3"),0)=0,"",
IFERROR(INDIRECT("数出表_Excel!"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"3"),""))),""))</f>
        <v/>
      </c>
      <c r="CP58" s="80"/>
      <c r="CQ58" s="86" t="str">
        <f t="array" aca="1" ref="CQ58" ca="1">IF(CR58&lt;&gt;"","",
IF(COUNTIF(CO57,"*雙葉*"),"",
IF(CO57&lt;&gt;"",
IF(
(COLUMN(INDIRECT("数出表_Excel!B" &amp; (MATCH(CS15,数出表_Excel!$A:$A,0)-1))) - 1 +
MATCH(TRUE, ISNUMBER(--INDIRECT("数出表_Excel!B" &amp; (MATCH(CS15,数出表_Excel!$A:$A,0)-1) &amp; ":U" &amp; (MATCH(CS15,数出表_Excel!$A:$A,0)-1))), 0)+1
+MATCH(TRUE,INDIRECT("'数出表_Excel'!"&amp;CN57&amp;MATCH(CS15,数出表_Excel!$A:$A,0)-1&amp;":AL"&amp;MATCH(CS15,数出表_Excel!$A:$A,0)-1&amp;"")&lt;&gt;"",0))&gt;12,"",
IFERROR(
INDEX(INDIRECT("数出表_Excel!$"&amp;CN57&amp;"4:$AL4"),
 1,
MATCH(TRUE,INDIRECT("'数出表_Excel'!"&amp;CN57&amp;MATCH(CS15,数出表_Excel!$A:$A,0)-1&amp;":AL"&amp;MATCH(CS15,数出表_Excel!$A:$A,0)-1&amp;"")&lt;&gt;"",0)
),
 "")
&amp;IFERROR(
INDEX(INDIRECT("数出表_Excel!$"&amp;CN57&amp;"5:$AL5"),
 1,
MATCH(TRUE,INDIRECT("'数出表_Excel'!"&amp;CN57&amp;MATCH(CS15,数出表_Excel!$A:$A,0)-1&amp;":AL"&amp;MATCH(CS15,数出表_Excel!$A:$A,0)-1&amp;"")&lt;&gt;"",0)),
 "")),"")))</f>
        <v/>
      </c>
      <c r="CR58" s="87" t="str">
        <f t="array" aca="1" ref="CR58" ca="1">IF(CO58&lt;&gt;"",
IF(COUNTIF(CO57,"*雙葉*"),
IF(ROUND(
IF(CR63&lt;&gt;"",(CO60-CR63),CO60)
/IF(COUNTIF(CO58,"*キャラ*"),
VLOOKUP("*キャラ*",商品マスタ一覧!$D:$J,7,FALSE),
IF(COUNTIF(CO58,"*赤*"),
VLOOKUP("*赤*",商品マスタ一覧!$D:$J,7,FALSE),
VLOOKUP(CO58,商品マスタ一覧!$D:$J,7,FALSE))),0)&lt;=0,1,
ROUND(
IF(CR63&lt;&gt;"",(CO60-CR63),CO60)
/IF(COUNTIF(CO58,"*キャラ*"),
VLOOKUP("*キャラ*",商品マスタ一覧!$D:$J,7,FALSE),
IF(COUNTIF(CO58,"*赤*"),
VLOOKUP("*赤*",商品マスタ一覧!$D:$J,7,FALSE),
VLOOKUP(CO58,商品マスタ一覧!$D:$J,7,FALSE))),0)),
IF(MATCH(TRUE,
ISNUMBER(--INDIRECT("'数出表_Excel（アレルギー入力）'!B"&amp;MATCH(CS15,'数出表_Excel（アレルギー入力）'!$A:$A,0)-1&amp;":AL"&amp;MATCH(CS15,'数出表_Excel（アレルギー入力）'!$A:$A,0)-1&amp;"")),0)&gt;10,
IF(CO58&lt;&gt;"",
IF(IF(COUNTIF(CO58,"*キャラ*"),
VLOOKUP("*キャラ*",商品マスタ一覧!$D:$J,7,FALSE),
IF(COUNTIF(CO58,"*赤*"),
VLOOKUP("*赤*",商品マスタ一覧!$D:$J,7,FALSE),
VLOOKUP(CO58,商品マスタ一覧!$D:$J,7,FALSE)))=0,"",
IF(ROUND(
IF(CR63&lt;&gt;"",(CO60-CR63),CO60)
/IF(COUNTIF(CO58,"*キャラ*"),
VLOOKUP("*キャラ*",商品マスタ一覧!$D:$J,7,FALSE),
IF(COUNTIF(CO58,"*赤*"),
VLOOKUP("*赤*",商品マスタ一覧!$D:$J,7,FALSE),
VLOOKUP(CO58,商品マスタ一覧!$D:$J,7,FALSE))),0)&lt;=0,1,
ROUND(
IF(CR63&lt;&gt;"",(CO60-CR63),CO60)
/IF(COUNTIF(CO58,"*キャラ*"),
VLOOKUP("*キャラ*",商品マスタ一覧!$D:$J,7,FALSE),
IF(COUNTIF(CO58,"*赤*"),
VLOOKUP("*赤*",商品マスタ一覧!$D:$J,7,FALSE),
VLOOKUP(CO58,商品マスタ一覧!$D:$J,7,FALSE))),0))),""),"")),"")</f>
        <v/>
      </c>
      <c r="CS58" s="100" t="str">
        <f ca="1">IF(CR58&lt;&gt;"",IF(CO60&lt;&gt;"",IF(VALUE(IF(CR63&lt;&gt;"",CO60-CR63,CO60))&gt;VALUE(IF(COUNTIF('盛付札（関数）'!CO58,"*キャラ*"),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VLOOKUP('盛付札（関数）'!CO58,商品マスタ一覧!$D:$J,7,FALSE)))*CR58),
"+"&amp;IF(CR63&lt;&gt;"",CO60-CR63,CO60)-IF(COUNTIF('盛付札（関数）'!CO58,"*キャラ*"),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VLOOKUP('盛付札（関数）'!CO58,商品マスタ一覧!$D:$J,7,FALSE)))*CR58,
IF(CR63&lt;&gt;"",CO60-CR63,CO60)-IF(COUNTIF('盛付札（関数）'!CO58,"*キャラ*"),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VLOOKUP('盛付札（関数）'!CO58,商品マスタ一覧!$D:$J,7,FALSE)))*CR58),""),"")</f>
        <v/>
      </c>
      <c r="CT58" s="80"/>
      <c r="CU58" s="85" t="e">
        <f t="array" aca="1" ref="CU58" ca="1">IF(CU17&lt;&gt;100,
IF(CV60&lt;&gt;"",MATCH(CV60,INDIRECT("数出表_Excel!B"&amp;MATCH(CZ15,数出表_Excel!$A:$A,0)-1&amp;":U"&amp;MATCH(CZ15,数出表_Excel!$A:$A,0)-1&amp;""),0)+1,""),
IF(CV60&lt;&gt;"",
MATCH(
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""),
INDIRECT("数出表_Excel!B"&amp;MATCH(CZ15,数出表_Excel!$A:$A,0)-1&amp;":U"&amp;MATCH(CZ15,数出表_Excel!$A:$A,0)-1&amp;""),0)+1,""))</f>
        <v>#N/A</v>
      </c>
      <c r="CV58" s="62" t="str">
        <f t="array" aca="1" ref="CV58" ca="1">IF(CV15=CO57,"",IFERROR(IF(OR(
COUNTIF(INDIRECT("数出表_Excel!"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"3"),"*配膳*"),
COUNTIF(INDIRECT("数出表_Excel!"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"3"),"*カレー*"),
COUNTIF(CV15,"*合計*")),"",
IF(IFERROR(INDIRECT("数出表_Excel!"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"3"),0)=0,"",
IFERROR(INDIRECT("数出表_Excel!"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"3"),""))),""))</f>
        <v/>
      </c>
      <c r="CW58" s="80"/>
      <c r="CX58" s="86" t="str">
        <f t="array" aca="1" ref="CX58" ca="1">IF(CY58&lt;&gt;"","",
IF(COUNTIF(CV57,"*雙葉*"),"",
IF(CV57&lt;&gt;"",
IF(
(COLUMN(INDIRECT("数出表_Excel!B" &amp; (MATCH(CZ15,数出表_Excel!$A:$A,0)-1))) - 1 +
MATCH(TRUE, ISNUMBER(--INDIRECT("数出表_Excel!B" &amp; (MATCH(CZ15,数出表_Excel!$A:$A,0)-1) &amp; ":U" &amp; (MATCH(CZ15,数出表_Excel!$A:$A,0)-1))), 0)+1
+MATCH(TRUE,INDIRECT("'数出表_Excel'!"&amp;CU57&amp;MATCH(CZ15,数出表_Excel!$A:$A,0)-1&amp;":AL"&amp;MATCH(CZ15,数出表_Excel!$A:$A,0)-1&amp;"")&lt;&gt;"",0))&gt;12,"",
IFERROR(
INDEX(INDIRECT("数出表_Excel!$"&amp;CU57&amp;"4:$AL4"),
 1,
MATCH(TRUE,INDIRECT("'数出表_Excel'!"&amp;CU57&amp;MATCH(CZ15,数出表_Excel!$A:$A,0)-1&amp;":AL"&amp;MATCH(CZ15,数出表_Excel!$A:$A,0)-1&amp;"")&lt;&gt;"",0)
),
 "")
&amp;IFERROR(
INDEX(INDIRECT("数出表_Excel!$"&amp;CU57&amp;"5:$AL5"),
 1,
MATCH(TRUE,INDIRECT("'数出表_Excel'!"&amp;CU57&amp;MATCH(CZ15,数出表_Excel!$A:$A,0)-1&amp;":AL"&amp;MATCH(CZ15,数出表_Excel!$A:$A,0)-1&amp;"")&lt;&gt;"",0)),
 "")),"")))</f>
        <v/>
      </c>
      <c r="CY58" s="87" t="str">
        <f t="array" aca="1" ref="CY58" ca="1">IF(CV58&lt;&gt;"",
IF(COUNTIF(CV57,"*雙葉*"),
IF(ROUND(
IF(CY63&lt;&gt;"",(CV60-CY63),CV60)
/IF(COUNTIF(CV58,"*キャラ*"),
VLOOKUP("*キャラ*",商品マスタ一覧!$D:$J,7,FALSE),
IF(COUNTIF(CV58,"*赤*"),
VLOOKUP("*赤*",商品マスタ一覧!$D:$J,7,FALSE),
VLOOKUP(CV58,商品マスタ一覧!$D:$J,7,FALSE))),0)&lt;=0,1,
ROUND(
IF(CY63&lt;&gt;"",(CV60-CY63),CV60)
/IF(COUNTIF(CV58,"*キャラ*"),
VLOOKUP("*キャラ*",商品マスタ一覧!$D:$J,7,FALSE),
IF(COUNTIF(CV58,"*赤*"),
VLOOKUP("*赤*",商品マスタ一覧!$D:$J,7,FALSE),
VLOOKUP(CV58,商品マスタ一覧!$D:$J,7,FALSE))),0)),
IF(MATCH(TRUE,
ISNUMBER(--INDIRECT("'数出表_Excel（アレルギー入力）'!B"&amp;MATCH(CZ15,'数出表_Excel（アレルギー入力）'!$A:$A,0)-1&amp;":AL"&amp;MATCH(CZ15,'数出表_Excel（アレルギー入力）'!$A:$A,0)-1&amp;"")),0)&gt;10,
IF(CV58&lt;&gt;"",
IF(IF(COUNTIF(CV58,"*キャラ*"),
VLOOKUP("*キャラ*",商品マスタ一覧!$D:$J,7,FALSE),
IF(COUNTIF(CV58,"*赤*"),
VLOOKUP("*赤*",商品マスタ一覧!$D:$J,7,FALSE),
VLOOKUP(CV58,商品マスタ一覧!$D:$J,7,FALSE)))=0,"",
IF(ROUND(
IF(CY63&lt;&gt;"",(CV60-CY63),CV60)
/IF(COUNTIF(CV58,"*キャラ*"),
VLOOKUP("*キャラ*",商品マスタ一覧!$D:$J,7,FALSE),
IF(COUNTIF(CV58,"*赤*"),
VLOOKUP("*赤*",商品マスタ一覧!$D:$J,7,FALSE),
VLOOKUP(CV58,商品マスタ一覧!$D:$J,7,FALSE))),0)&lt;=0,1,
ROUND(
IF(CY63&lt;&gt;"",(CV60-CY63),CV60)
/IF(COUNTIF(CV58,"*キャラ*"),
VLOOKUP("*キャラ*",商品マスタ一覧!$D:$J,7,FALSE),
IF(COUNTIF(CV58,"*赤*"),
VLOOKUP("*赤*",商品マスタ一覧!$D:$J,7,FALSE),
VLOOKUP(CV58,商品マスタ一覧!$D:$J,7,FALSE))),0))),""),"")),"")</f>
        <v/>
      </c>
      <c r="CZ58" s="96" t="str">
        <f ca="1">IF(CY58&lt;&gt;"",IF(CV60&lt;&gt;"",IF(VALUE(IF(CY63&lt;&gt;"",CV60-CY63,CV60))&gt;VALUE(IF(COUNTIF('盛付札（関数）'!CV58,"*キャラ*"),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VLOOKUP('盛付札（関数）'!CV58,商品マスタ一覧!$D:$J,7,FALSE)))*CY58),
"+"&amp;IF(CY63&lt;&gt;"",CV60-CY63,CV60)-IF(COUNTIF('盛付札（関数）'!CV58,"*キャラ*"),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VLOOKUP('盛付札（関数）'!CV58,商品マスタ一覧!$D:$J,7,FALSE)))*CY58,
IF(CY63&lt;&gt;"",CV60-CY63,CV60)-IF(COUNTIF('盛付札（関数）'!CV58,"*キャラ*"),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VLOOKUP('盛付札（関数）'!CV58,商品マスタ一覧!$D:$J,7,FALSE)))*CY58),""),"")</f>
        <v/>
      </c>
      <c r="DA58" s="80"/>
      <c r="DB58" s="80"/>
      <c r="DC58" s="85" t="e">
        <f t="array" aca="1" ref="DC58" ca="1">IF(DC17&lt;&gt;100,
IF(DD60&lt;&gt;"",MATCH(DD60,INDIRECT("数出表_Excel!B"&amp;MATCH(DH15,数出表_Excel!$A:$A,0)-1&amp;":U"&amp;MATCH(DH15,数出表_Excel!$A:$A,0)-1&amp;""),0)+1,""),
IF(DD60&lt;&gt;"",
MATCH(
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""),
INDIRECT("数出表_Excel!B"&amp;MATCH(DH15,数出表_Excel!$A:$A,0)-1&amp;":U"&amp;MATCH(DH15,数出表_Excel!$A:$A,0)-1&amp;""),0)+1,""))</f>
        <v>#N/A</v>
      </c>
      <c r="DD58" s="62" t="str">
        <f t="array" aca="1" ref="DD58" ca="1">IF(DD15=DK50,"",IFERROR(IF(OR(
COUNTIF(INDIRECT("数出表_Excel!"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"3"),"*配膳*"),
COUNTIF(INDIRECT("数出表_Excel!"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"3"),"*カレー*"),
COUNTIF(DD15,"*合計*")),"",
IF(IFERROR(INDIRECT("数出表_Excel!"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"3"),0)=0,"",
IFERROR(INDIRECT("数出表_Excel!"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"3"),""))),""))</f>
        <v/>
      </c>
      <c r="DE58" s="80"/>
      <c r="DF58" s="86" t="str">
        <f t="array" aca="1" ref="DF58" ca="1">IF(DG58&lt;&gt;"","",
IF(COUNTIF(DD57,"*雙葉*"),"",
IF(DD57&lt;&gt;"",
IF(
(COLUMN(INDIRECT("数出表_Excel!B" &amp; (MATCH(DH15,数出表_Excel!$A:$A,0)-1))) - 1 +
MATCH(TRUE, ISNUMBER(--INDIRECT("数出表_Excel!B" &amp; (MATCH(DH15,数出表_Excel!$A:$A,0)-1) &amp; ":U" &amp; (MATCH(DH15,数出表_Excel!$A:$A,0)-1))), 0)+1
+MATCH(TRUE,INDIRECT("'数出表_Excel'!"&amp;DC57&amp;MATCH(DH15,数出表_Excel!$A:$A,0)-1&amp;":AL"&amp;MATCH(DH15,数出表_Excel!$A:$A,0)-1&amp;"")&lt;&gt;"",0))&gt;12,"",
IFERROR(
INDEX(INDIRECT("数出表_Excel!$"&amp;DC57&amp;"4:$AL4"),
 1,
MATCH(TRUE,INDIRECT("'数出表_Excel'!"&amp;DC57&amp;MATCH(DH15,数出表_Excel!$A:$A,0)-1&amp;":AL"&amp;MATCH(DH15,数出表_Excel!$A:$A,0)-1&amp;"")&lt;&gt;"",0)
),
 "")
&amp;IFERROR(
INDEX(INDIRECT("数出表_Excel!$"&amp;DC57&amp;"5:$AL5"),
 1,
MATCH(TRUE,INDIRECT("'数出表_Excel'!"&amp;DC57&amp;MATCH(DH15,数出表_Excel!$A:$A,0)-1&amp;":AL"&amp;MATCH(DH15,数出表_Excel!$A:$A,0)-1&amp;"")&lt;&gt;"",0)),
 "")),"")))</f>
        <v/>
      </c>
      <c r="DG58" s="87" t="str">
        <f t="array" aca="1" ref="DG58" ca="1">IF(DD58&lt;&gt;"",
IF(COUNTIF(DD57,"*雙葉*"),
IF(ROUND(
IF(DG63&lt;&gt;"",(DD60-DG63),DD60)
/IF(COUNTIF(DD58,"*キャラ*"),
VLOOKUP("*キャラ*",商品マスタ一覧!$D:$J,7,FALSE),
IF(COUNTIF(DD58,"*赤*"),
VLOOKUP("*赤*",商品マスタ一覧!$D:$J,7,FALSE),
VLOOKUP(DD58,商品マスタ一覧!$D:$J,7,FALSE))),0)&lt;=0,1,
ROUND(
IF(DG63&lt;&gt;"",(DD60-DG63),DD60)
/IF(COUNTIF(DD58,"*キャラ*"),
VLOOKUP("*キャラ*",商品マスタ一覧!$D:$J,7,FALSE),
IF(COUNTIF(DD58,"*赤*"),
VLOOKUP("*赤*",商品マスタ一覧!$D:$J,7,FALSE),
VLOOKUP(DD58,商品マスタ一覧!$D:$J,7,FALSE))),0)),
IF(MATCH(TRUE,
ISNUMBER(--INDIRECT("'数出表_Excel（アレルギー入力）'!B"&amp;MATCH(DH15,'数出表_Excel（アレルギー入力）'!$A:$A,0)-1&amp;":AL"&amp;MATCH(DH15,'数出表_Excel（アレルギー入力）'!$A:$A,0)-1&amp;"")),0)&gt;10,
IF(DD58&lt;&gt;"",
IF(IF(COUNTIF(DD58,"*キャラ*"),
VLOOKUP("*キャラ*",商品マスタ一覧!$D:$J,7,FALSE),
IF(COUNTIF(DD58,"*赤*"),
VLOOKUP("*赤*",商品マスタ一覧!$D:$J,7,FALSE),
VLOOKUP(DD58,商品マスタ一覧!$D:$J,7,FALSE)))=0,"",
IF(ROUND(
IF(DG63&lt;&gt;"",(DD60-DG63),DD60)
/IF(COUNTIF(DD58,"*キャラ*"),
VLOOKUP("*キャラ*",商品マスタ一覧!$D:$J,7,FALSE),
IF(COUNTIF(DD58,"*赤*"),
VLOOKUP("*赤*",商品マスタ一覧!$D:$J,7,FALSE),
VLOOKUP(DD58,商品マスタ一覧!$D:$J,7,FALSE))),0)&lt;=0,1,
ROUND(
IF(DG63&lt;&gt;"",(DD60-DG63),DD60)
/IF(COUNTIF(DD58,"*キャラ*"),
VLOOKUP("*キャラ*",商品マスタ一覧!$D:$J,7,FALSE),
IF(COUNTIF(DD58,"*赤*"),
VLOOKUP("*赤*",商品マスタ一覧!$D:$J,7,FALSE),
VLOOKUP(DD58,商品マスタ一覧!$D:$J,7,FALSE))),0))),""),"")),"")</f>
        <v/>
      </c>
      <c r="DH58" s="100" t="str">
        <f ca="1">IF(DG58&lt;&gt;"",IF(DD60&lt;&gt;"",IF(VALUE(IF(DG63&lt;&gt;"",DD60-DG63,DD60))&gt;VALUE(IF(COUNTIF('盛付札（関数）'!DD58,"*キャラ*"),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VLOOKUP('盛付札（関数）'!DD58,商品マスタ一覧!$D:$J,7,FALSE)))*DG58),
"+"&amp;IF(DG63&lt;&gt;"",DD60-DG63,DD60)-IF(COUNTIF('盛付札（関数）'!DD58,"*キャラ*"),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VLOOKUP('盛付札（関数）'!DD58,商品マスタ一覧!$D:$J,7,FALSE)))*DG58,
IF(DG63&lt;&gt;"",DD60-DG63,DD60)-IF(COUNTIF('盛付札（関数）'!DD58,"*キャラ*"),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VLOOKUP('盛付札（関数）'!DD58,商品マスタ一覧!$D:$J,7,FALSE)))*DG58),""),"")</f>
        <v/>
      </c>
      <c r="DI58" s="80"/>
      <c r="DJ58" s="85" t="e">
        <f t="array" aca="1" ref="DJ58" ca="1">IF(DJ17&lt;&gt;100,
IF(DK60&lt;&gt;"",MATCH(DK60,INDIRECT("数出表_Excel!B"&amp;MATCH(DO15,数出表_Excel!$A:$A,0)-1&amp;":U"&amp;MATCH(DO15,数出表_Excel!$A:$A,0)-1&amp;""),0)+1,""),
IF(DK60&lt;&gt;"",
MATCH(
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""),
INDIRECT("数出表_Excel!B"&amp;MATCH(DO15,数出表_Excel!$A:$A,0)-1&amp;":U"&amp;MATCH(DO15,数出表_Excel!$A:$A,0)-1&amp;""),0)+1,""))</f>
        <v>#N/A</v>
      </c>
      <c r="DK58" s="62" t="str">
        <f t="array" aca="1" ref="DK58" ca="1">IF(DK15=DD57,"",IFERROR(IF(OR(
COUNTIF(INDIRECT("数出表_Excel!"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"3"),"*配膳*"),
COUNTIF(INDIRECT("数出表_Excel!"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"3"),"*カレー*"),
COUNTIF(DK15,"*合計*")),"",
IF(IFERROR(INDIRECT("数出表_Excel!"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"3"),0)=0,"",
IFERROR(INDIRECT("数出表_Excel!"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"3"),""))),""))</f>
        <v/>
      </c>
      <c r="DL58" s="80"/>
      <c r="DM58" s="86" t="str">
        <f t="array" aca="1" ref="DM58" ca="1">IF(DN58&lt;&gt;"","",
IF(COUNTIF(DK57,"*雙葉*"),"",
IF(DK57&lt;&gt;"",
IF(
(COLUMN(INDIRECT("数出表_Excel!B" &amp; (MATCH(DO15,数出表_Excel!$A:$A,0)-1))) - 1 +
MATCH(TRUE, ISNUMBER(--INDIRECT("数出表_Excel!B" &amp; (MATCH(DO15,数出表_Excel!$A:$A,0)-1) &amp; ":U" &amp; (MATCH(DO15,数出表_Excel!$A:$A,0)-1))), 0)+1
+MATCH(TRUE,INDIRECT("'数出表_Excel'!"&amp;DJ57&amp;MATCH(DO15,数出表_Excel!$A:$A,0)-1&amp;":AL"&amp;MATCH(DO15,数出表_Excel!$A:$A,0)-1&amp;"")&lt;&gt;"",0))&gt;12,"",
IFERROR(
INDEX(INDIRECT("数出表_Excel!$"&amp;DJ57&amp;"4:$AL4"),
 1,
MATCH(TRUE,INDIRECT("'数出表_Excel'!"&amp;DJ57&amp;MATCH(DO15,数出表_Excel!$A:$A,0)-1&amp;":AL"&amp;MATCH(DO15,数出表_Excel!$A:$A,0)-1&amp;"")&lt;&gt;"",0)
),
 "")
&amp;IFERROR(
INDEX(INDIRECT("数出表_Excel!$"&amp;DJ57&amp;"5:$AL5"),
 1,
MATCH(TRUE,INDIRECT("'数出表_Excel'!"&amp;DJ57&amp;MATCH(DO15,数出表_Excel!$A:$A,0)-1&amp;":AL"&amp;MATCH(DO15,数出表_Excel!$A:$A,0)-1&amp;"")&lt;&gt;"",0)),
 "")),"")))</f>
        <v/>
      </c>
      <c r="DN58" s="87" t="str">
        <f t="array" aca="1" ref="DN58" ca="1">IF(DK58&lt;&gt;"",
IF(COUNTIF(DK57,"*雙葉*"),
IF(ROUND(
IF(DN63&lt;&gt;"",(DK60-DN63),DK60)
/IF(COUNTIF(DK58,"*キャラ*"),
VLOOKUP("*キャラ*",商品マスタ一覧!$D:$J,7,FALSE),
IF(COUNTIF(DK58,"*赤*"),
VLOOKUP("*赤*",商品マスタ一覧!$D:$J,7,FALSE),
VLOOKUP(DK58,商品マスタ一覧!$D:$J,7,FALSE))),0)&lt;=0,1,
ROUND(
IF(DN63&lt;&gt;"",(DK60-DN63),DK60)
/IF(COUNTIF(DK58,"*キャラ*"),
VLOOKUP("*キャラ*",商品マスタ一覧!$D:$J,7,FALSE),
IF(COUNTIF(DK58,"*赤*"),
VLOOKUP("*赤*",商品マスタ一覧!$D:$J,7,FALSE),
VLOOKUP(DK58,商品マスタ一覧!$D:$J,7,FALSE))),0)),
IF(MATCH(TRUE,
ISNUMBER(--INDIRECT("'数出表_Excel（アレルギー入力）'!B"&amp;MATCH(DO15,'数出表_Excel（アレルギー入力）'!$A:$A,0)-1&amp;":AL"&amp;MATCH(DO15,'数出表_Excel（アレルギー入力）'!$A:$A,0)-1&amp;"")),0)&gt;10,
IF(DK58&lt;&gt;"",
IF(IF(COUNTIF(DK58,"*キャラ*"),
VLOOKUP("*キャラ*",商品マスタ一覧!$D:$J,7,FALSE),
IF(COUNTIF(DK58,"*赤*"),
VLOOKUP("*赤*",商品マスタ一覧!$D:$J,7,FALSE),
VLOOKUP(DK58,商品マスタ一覧!$D:$J,7,FALSE)))=0,"",
IF(ROUND(
IF(DN63&lt;&gt;"",(DK60-DN63),DK60)
/IF(COUNTIF(DK58,"*キャラ*"),
VLOOKUP("*キャラ*",商品マスタ一覧!$D:$J,7,FALSE),
IF(COUNTIF(DK58,"*赤*"),
VLOOKUP("*赤*",商品マスタ一覧!$D:$J,7,FALSE),
VLOOKUP(DK58,商品マスタ一覧!$D:$J,7,FALSE))),0)&lt;=0,1,
ROUND(
IF(DN63&lt;&gt;"",(DK60-DN63),DK60)
/IF(COUNTIF(DK58,"*キャラ*"),
VLOOKUP("*キャラ*",商品マスタ一覧!$D:$J,7,FALSE),
IF(COUNTIF(DK58,"*赤*"),
VLOOKUP("*赤*",商品マスタ一覧!$D:$J,7,FALSE),
VLOOKUP(DK58,商品マスタ一覧!$D:$J,7,FALSE))),0))),""),"")),"")</f>
        <v/>
      </c>
      <c r="DO58" s="96" t="str">
        <f ca="1">IF(DN58&lt;&gt;"",IF(DK60&lt;&gt;"",IF(VALUE(IF(DN63&lt;&gt;"",DK60-DN63,DK60))&gt;VALUE(IF(COUNTIF('盛付札（関数）'!DK58,"*キャラ*"),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VLOOKUP('盛付札（関数）'!DK58,商品マスタ一覧!$D:$J,7,FALSE)))*DN58),
"+"&amp;IF(DN63&lt;&gt;"",DK60-DN63,DK60)-IF(COUNTIF('盛付札（関数）'!DK58,"*キャラ*"),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VLOOKUP('盛付札（関数）'!DK58,商品マスタ一覧!$D:$J,7,FALSE)))*DN58,
IF(DN63&lt;&gt;"",DK60-DN63,DK60)-IF(COUNTIF('盛付札（関数）'!DK58,"*キャラ*"),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VLOOKUP('盛付札（関数）'!DK58,商品マスタ一覧!$D:$J,7,FALSE)))*DN58),""),"")</f>
        <v/>
      </c>
      <c r="DP58" s="80"/>
      <c r="DQ58" s="80"/>
      <c r="DR58" s="85" t="e">
        <f t="array" aca="1" ref="DR58" ca="1">IF(DR17&lt;&gt;100,
IF(DS60&lt;&gt;"",MATCH(DS60,INDIRECT("数出表_Excel!B"&amp;MATCH(DW15,数出表_Excel!$A:$A,0)-1&amp;":U"&amp;MATCH(DW15,数出表_Excel!$A:$A,0)-1&amp;""),0)+1,""),
IF(DS60&lt;&gt;"",
MATCH(
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""),
INDIRECT("数出表_Excel!B"&amp;MATCH(DW15,数出表_Excel!$A:$A,0)-1&amp;":U"&amp;MATCH(DW15,数出表_Excel!$A:$A,0)-1&amp;""),0)+1,""))</f>
        <v>#N/A</v>
      </c>
      <c r="DS58" s="62" t="str">
        <f t="array" aca="1" ref="DS58" ca="1">IF(DS15=DZ50,"",IFERROR(IF(OR(
COUNTIF(INDIRECT("数出表_Excel!"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"3"),"*配膳*"),
COUNTIF(INDIRECT("数出表_Excel!"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"3"),"*カレー*"),
COUNTIF(DS15,"*合計*")),"",
IF(IFERROR(INDIRECT("数出表_Excel!"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"3"),0)=0,"",
IFERROR(INDIRECT("数出表_Excel!"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"3"),""))),""))</f>
        <v/>
      </c>
      <c r="DT58" s="80"/>
      <c r="DU58" s="86" t="str">
        <f t="array" aca="1" ref="DU58" ca="1">IF(DV58&lt;&gt;"","",
IF(COUNTIF(DS57,"*雙葉*"),"",
IF(DS57&lt;&gt;"",
IF(
(COLUMN(INDIRECT("数出表_Excel!B" &amp; (MATCH(DW15,数出表_Excel!$A:$A,0)-1))) - 1 +
MATCH(TRUE, ISNUMBER(--INDIRECT("数出表_Excel!B" &amp; (MATCH(DW15,数出表_Excel!$A:$A,0)-1) &amp; ":U" &amp; (MATCH(DW15,数出表_Excel!$A:$A,0)-1))), 0)+1
+MATCH(TRUE,INDIRECT("'数出表_Excel'!"&amp;DR57&amp;MATCH(DW15,数出表_Excel!$A:$A,0)-1&amp;":AL"&amp;MATCH(DW15,数出表_Excel!$A:$A,0)-1&amp;"")&lt;&gt;"",0))&gt;12,"",
IFERROR(
INDEX(INDIRECT("数出表_Excel!$"&amp;DR57&amp;"4:$AL4"),
 1,
MATCH(TRUE,INDIRECT("'数出表_Excel'!"&amp;DR57&amp;MATCH(DW15,数出表_Excel!$A:$A,0)-1&amp;":AL"&amp;MATCH(DW15,数出表_Excel!$A:$A,0)-1&amp;"")&lt;&gt;"",0)
),
 "")
&amp;IFERROR(
INDEX(INDIRECT("数出表_Excel!$"&amp;DR57&amp;"5:$AL5"),
 1,
MATCH(TRUE,INDIRECT("'数出表_Excel'!"&amp;DR57&amp;MATCH(DW15,数出表_Excel!$A:$A,0)-1&amp;":AL"&amp;MATCH(DW15,数出表_Excel!$A:$A,0)-1&amp;"")&lt;&gt;"",0)),
 "")),"")))</f>
        <v/>
      </c>
      <c r="DV58" s="87" t="str">
        <f t="array" aca="1" ref="DV58" ca="1">IF(DS58&lt;&gt;"",
IF(COUNTIF(DS57,"*雙葉*"),
IF(ROUND(
IF(DV63&lt;&gt;"",(DS60-DV63),DS60)
/IF(COUNTIF(DS58,"*キャラ*"),
VLOOKUP("*キャラ*",商品マスタ一覧!$D:$J,7,FALSE),
IF(COUNTIF(DS58,"*赤*"),
VLOOKUP("*赤*",商品マスタ一覧!$D:$J,7,FALSE),
VLOOKUP(DS58,商品マスタ一覧!$D:$J,7,FALSE))),0)&lt;=0,1,
ROUND(
IF(DV63&lt;&gt;"",(DS60-DV63),DS60)
/IF(COUNTIF(DS58,"*キャラ*"),
VLOOKUP("*キャラ*",商品マスタ一覧!$D:$J,7,FALSE),
IF(COUNTIF(DS58,"*赤*"),
VLOOKUP("*赤*",商品マスタ一覧!$D:$J,7,FALSE),
VLOOKUP(DS58,商品マスタ一覧!$D:$J,7,FALSE))),0)),
IF(MATCH(TRUE,
ISNUMBER(--INDIRECT("'数出表_Excel（アレルギー入力）'!B"&amp;MATCH(DW15,'数出表_Excel（アレルギー入力）'!$A:$A,0)-1&amp;":AL"&amp;MATCH(DW15,'数出表_Excel（アレルギー入力）'!$A:$A,0)-1&amp;"")),0)&gt;10,
IF(DS58&lt;&gt;"",
IF(IF(COUNTIF(DS58,"*キャラ*"),
VLOOKUP("*キャラ*",商品マスタ一覧!$D:$J,7,FALSE),
IF(COUNTIF(DS58,"*赤*"),
VLOOKUP("*赤*",商品マスタ一覧!$D:$J,7,FALSE),
VLOOKUP(DS58,商品マスタ一覧!$D:$J,7,FALSE)))=0,"",
IF(ROUND(
IF(DV63&lt;&gt;"",(DS60-DV63),DS60)
/IF(COUNTIF(DS58,"*キャラ*"),
VLOOKUP("*キャラ*",商品マスタ一覧!$D:$J,7,FALSE),
IF(COUNTIF(DS58,"*赤*"),
VLOOKUP("*赤*",商品マスタ一覧!$D:$J,7,FALSE),
VLOOKUP(DS58,商品マスタ一覧!$D:$J,7,FALSE))),0)&lt;=0,1,
ROUND(
IF(DV63&lt;&gt;"",(DS60-DV63),DS60)
/IF(COUNTIF(DS58,"*キャラ*"),
VLOOKUP("*キャラ*",商品マスタ一覧!$D:$J,7,FALSE),
IF(COUNTIF(DS58,"*赤*"),
VLOOKUP("*赤*",商品マスタ一覧!$D:$J,7,FALSE),
VLOOKUP(DS58,商品マスタ一覧!$D:$J,7,FALSE))),0))),""),"")),"")</f>
        <v/>
      </c>
      <c r="DW58" s="100" t="str">
        <f ca="1">IF(DV58&lt;&gt;"",IF(DS60&lt;&gt;"",IF(VALUE(IF(DV63&lt;&gt;"",DS60-DV63,DS60))&gt;VALUE(IF(COUNTIF('盛付札（関数）'!DS58,"*キャラ*"),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VLOOKUP('盛付札（関数）'!DS58,商品マスタ一覧!$D:$J,7,FALSE)))*DV58),
"+"&amp;IF(DV63&lt;&gt;"",DS60-DV63,DS60)-IF(COUNTIF('盛付札（関数）'!DS58,"*キャラ*"),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VLOOKUP('盛付札（関数）'!DS58,商品マスタ一覧!$D:$J,7,FALSE)))*DV58,
IF(DV63&lt;&gt;"",DS60-DV63,DS60)-IF(COUNTIF('盛付札（関数）'!DS58,"*キャラ*"),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VLOOKUP('盛付札（関数）'!DS58,商品マスタ一覧!$D:$J,7,FALSE)))*DV58),""),"")</f>
        <v/>
      </c>
      <c r="DX58" s="80"/>
      <c r="DY58" s="85" t="e">
        <f t="array" aca="1" ref="DY58" ca="1">IF(DY17&lt;&gt;100,
IF(DZ60&lt;&gt;"",MATCH(DZ60,INDIRECT("数出表_Excel!B"&amp;MATCH(ED15,数出表_Excel!$A:$A,0)-1&amp;":U"&amp;MATCH(ED15,数出表_Excel!$A:$A,0)-1&amp;""),0)+1,""),
IF(DZ60&lt;&gt;"",
MATCH(
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""),
INDIRECT("数出表_Excel!B"&amp;MATCH(ED15,数出表_Excel!$A:$A,0)-1&amp;":U"&amp;MATCH(ED15,数出表_Excel!$A:$A,0)-1&amp;""),0)+1,""))</f>
        <v>#N/A</v>
      </c>
      <c r="DZ58" s="62" t="str">
        <f t="array" aca="1" ref="DZ58" ca="1">IF(DZ15=DS57,"",IFERROR(IF(OR(
COUNTIF(INDIRECT("数出表_Excel!"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"3"),"*配膳*"),
COUNTIF(INDIRECT("数出表_Excel!"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"3"),"*カレー*"),
COUNTIF(DZ15,"*合計*")),"",
IF(IFERROR(INDIRECT("数出表_Excel!"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"3"),0)=0,"",
IFERROR(INDIRECT("数出表_Excel!"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"3"),""))),""))</f>
        <v/>
      </c>
      <c r="EA58" s="80"/>
      <c r="EB58" s="86" t="str">
        <f t="array" aca="1" ref="EB58" ca="1">IF(EC58&lt;&gt;"","",
IF(COUNTIF(DZ57,"*雙葉*"),"",
IF(DZ57&lt;&gt;"",
IF(
(COLUMN(INDIRECT("数出表_Excel!B" &amp; (MATCH(ED15,数出表_Excel!$A:$A,0)-1))) - 1 +
MATCH(TRUE, ISNUMBER(--INDIRECT("数出表_Excel!B" &amp; (MATCH(ED15,数出表_Excel!$A:$A,0)-1) &amp; ":U" &amp; (MATCH(ED15,数出表_Excel!$A:$A,0)-1))), 0)+1
+MATCH(TRUE,INDIRECT("'数出表_Excel'!"&amp;DY57&amp;MATCH(ED15,数出表_Excel!$A:$A,0)-1&amp;":AL"&amp;MATCH(ED15,数出表_Excel!$A:$A,0)-1&amp;"")&lt;&gt;"",0))&gt;12,"",
IFERROR(
INDEX(INDIRECT("数出表_Excel!$"&amp;DY57&amp;"4:$AL4"),
 1,
MATCH(TRUE,INDIRECT("'数出表_Excel'!"&amp;DY57&amp;MATCH(ED15,数出表_Excel!$A:$A,0)-1&amp;":AL"&amp;MATCH(ED15,数出表_Excel!$A:$A,0)-1&amp;"")&lt;&gt;"",0)
),
 "")
&amp;IFERROR(
INDEX(INDIRECT("数出表_Excel!$"&amp;DY57&amp;"5:$AL5"),
 1,
MATCH(TRUE,INDIRECT("'数出表_Excel'!"&amp;DY57&amp;MATCH(ED15,数出表_Excel!$A:$A,0)-1&amp;":AL"&amp;MATCH(ED15,数出表_Excel!$A:$A,0)-1&amp;"")&lt;&gt;"",0)),
 "")),"")))</f>
        <v/>
      </c>
      <c r="EC58" s="87" t="str">
        <f t="array" aca="1" ref="EC58" ca="1">IF(DZ58&lt;&gt;"",
IF(COUNTIF(DZ57,"*雙葉*"),
IF(ROUND(
IF(EC63&lt;&gt;"",(DZ60-EC63),DZ60)
/IF(COUNTIF(DZ58,"*キャラ*"),
VLOOKUP("*キャラ*",商品マスタ一覧!$D:$J,7,FALSE),
IF(COUNTIF(DZ58,"*赤*"),
VLOOKUP("*赤*",商品マスタ一覧!$D:$J,7,FALSE),
VLOOKUP(DZ58,商品マスタ一覧!$D:$J,7,FALSE))),0)&lt;=0,1,
ROUND(
IF(EC63&lt;&gt;"",(DZ60-EC63),DZ60)
/IF(COUNTIF(DZ58,"*キャラ*"),
VLOOKUP("*キャラ*",商品マスタ一覧!$D:$J,7,FALSE),
IF(COUNTIF(DZ58,"*赤*"),
VLOOKUP("*赤*",商品マスタ一覧!$D:$J,7,FALSE),
VLOOKUP(DZ58,商品マスタ一覧!$D:$J,7,FALSE))),0)),
IF(MATCH(TRUE,
ISNUMBER(--INDIRECT("'数出表_Excel（アレルギー入力）'!B"&amp;MATCH(ED15,'数出表_Excel（アレルギー入力）'!$A:$A,0)-1&amp;":AL"&amp;MATCH(ED15,'数出表_Excel（アレルギー入力）'!$A:$A,0)-1&amp;"")),0)&gt;10,
IF(DZ58&lt;&gt;"",
IF(IF(COUNTIF(DZ58,"*キャラ*"),
VLOOKUP("*キャラ*",商品マスタ一覧!$D:$J,7,FALSE),
IF(COUNTIF(DZ58,"*赤*"),
VLOOKUP("*赤*",商品マスタ一覧!$D:$J,7,FALSE),
VLOOKUP(DZ58,商品マスタ一覧!$D:$J,7,FALSE)))=0,"",
IF(ROUND(
IF(EC63&lt;&gt;"",(DZ60-EC63),DZ60)
/IF(COUNTIF(DZ58,"*キャラ*"),
VLOOKUP("*キャラ*",商品マスタ一覧!$D:$J,7,FALSE),
IF(COUNTIF(DZ58,"*赤*"),
VLOOKUP("*赤*",商品マスタ一覧!$D:$J,7,FALSE),
VLOOKUP(DZ58,商品マスタ一覧!$D:$J,7,FALSE))),0)&lt;=0,1,
ROUND(
IF(EC63&lt;&gt;"",(DZ60-EC63),DZ60)
/IF(COUNTIF(DZ58,"*キャラ*"),
VLOOKUP("*キャラ*",商品マスタ一覧!$D:$J,7,FALSE),
IF(COUNTIF(DZ58,"*赤*"),
VLOOKUP("*赤*",商品マスタ一覧!$D:$J,7,FALSE),
VLOOKUP(DZ58,商品マスタ一覧!$D:$J,7,FALSE))),0))),""),"")),"")</f>
        <v/>
      </c>
      <c r="ED58" s="96" t="str">
        <f ca="1">IF(EC58&lt;&gt;"",IF(DZ60&lt;&gt;"",IF(VALUE(IF(EC63&lt;&gt;"",DZ60-EC63,DZ60))&gt;VALUE(IF(COUNTIF('盛付札（関数）'!DZ58,"*キャラ*"),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VLOOKUP('盛付札（関数）'!DZ58,商品マスタ一覧!$D:$J,7,FALSE)))*EC58),
"+"&amp;IF(EC63&lt;&gt;"",DZ60-EC63,DZ60)-IF(COUNTIF('盛付札（関数）'!DZ58,"*キャラ*"),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VLOOKUP('盛付札（関数）'!DZ58,商品マスタ一覧!$D:$J,7,FALSE)))*EC58,
IF(EC63&lt;&gt;"",DZ60-EC63,DZ60)-IF(COUNTIF('盛付札（関数）'!DZ58,"*キャラ*"),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VLOOKUP('盛付札（関数）'!DZ58,商品マスタ一覧!$D:$J,7,FALSE)))*EC58),""),"")</f>
        <v/>
      </c>
      <c r="EE58" s="80"/>
      <c r="EF58" s="80"/>
      <c r="EG58" s="85" t="e">
        <f t="array" aca="1" ref="EG58" ca="1">IF(EG17&lt;&gt;100,
IF(EH60&lt;&gt;"",MATCH(EH60,INDIRECT("数出表_Excel!B"&amp;MATCH(EL15,数出表_Excel!$A:$A,0)-1&amp;":U"&amp;MATCH(EL15,数出表_Excel!$A:$A,0)-1&amp;""),0)+1,""),
IF(EH60&lt;&gt;"",
MATCH(
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""),
INDIRECT("数出表_Excel!B"&amp;MATCH(EL15,数出表_Excel!$A:$A,0)-1&amp;":U"&amp;MATCH(EL15,数出表_Excel!$A:$A,0)-1&amp;""),0)+1,""))</f>
        <v>#N/A</v>
      </c>
      <c r="EH58" s="62" t="str">
        <f t="array" aca="1" ref="EH58" ca="1">IF(EH15=EO50,"",IFERROR(IF(OR(
COUNTIF(INDIRECT("数出表_Excel!"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"3"),"*配膳*"),
COUNTIF(INDIRECT("数出表_Excel!"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"3"),"*カレー*"),
COUNTIF(EH15,"*合計*")),"",
IF(IFERROR(INDIRECT("数出表_Excel!"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"3"),0)=0,"",
IFERROR(INDIRECT("数出表_Excel!"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"3"),""))),""))</f>
        <v/>
      </c>
      <c r="EI58" s="80"/>
      <c r="EJ58" s="86" t="str">
        <f t="array" aca="1" ref="EJ58" ca="1">IF(EK58&lt;&gt;"","",
IF(COUNTIF(EH57,"*雙葉*"),"",
IF(EH57&lt;&gt;"",
IF(
(COLUMN(INDIRECT("数出表_Excel!B" &amp; (MATCH(EL15,数出表_Excel!$A:$A,0)-1))) - 1 +
MATCH(TRUE, ISNUMBER(--INDIRECT("数出表_Excel!B" &amp; (MATCH(EL15,数出表_Excel!$A:$A,0)-1) &amp; ":U" &amp; (MATCH(EL15,数出表_Excel!$A:$A,0)-1))), 0)+1
+MATCH(TRUE,INDIRECT("'数出表_Excel'!"&amp;EG57&amp;MATCH(EL15,数出表_Excel!$A:$A,0)-1&amp;":AL"&amp;MATCH(EL15,数出表_Excel!$A:$A,0)-1&amp;"")&lt;&gt;"",0))&gt;12,"",
IFERROR(
INDEX(INDIRECT("数出表_Excel!$"&amp;EG57&amp;"4:$AL4"),
 1,
MATCH(TRUE,INDIRECT("'数出表_Excel'!"&amp;EG57&amp;MATCH(EL15,数出表_Excel!$A:$A,0)-1&amp;":AL"&amp;MATCH(EL15,数出表_Excel!$A:$A,0)-1&amp;"")&lt;&gt;"",0)
),
 "")
&amp;IFERROR(
INDEX(INDIRECT("数出表_Excel!$"&amp;EG57&amp;"5:$AL5"),
 1,
MATCH(TRUE,INDIRECT("'数出表_Excel'!"&amp;EG57&amp;MATCH(EL15,数出表_Excel!$A:$A,0)-1&amp;":AL"&amp;MATCH(EL15,数出表_Excel!$A:$A,0)-1&amp;"")&lt;&gt;"",0)),
 "")),"")))</f>
        <v/>
      </c>
      <c r="EK58" s="87" t="str">
        <f t="array" aca="1" ref="EK58" ca="1">IF(EH58&lt;&gt;"",
IF(COUNTIF(EH57,"*雙葉*"),
IF(ROUND(
IF(EK63&lt;&gt;"",(EH60-EK63),EH60)
/IF(COUNTIF(EH58,"*キャラ*"),
VLOOKUP("*キャラ*",商品マスタ一覧!$D:$J,7,FALSE),
IF(COUNTIF(EH58,"*赤*"),
VLOOKUP("*赤*",商品マスタ一覧!$D:$J,7,FALSE),
VLOOKUP(EH58,商品マスタ一覧!$D:$J,7,FALSE))),0)&lt;=0,1,
ROUND(
IF(EK63&lt;&gt;"",(EH60-EK63),EH60)
/IF(COUNTIF(EH58,"*キャラ*"),
VLOOKUP("*キャラ*",商品マスタ一覧!$D:$J,7,FALSE),
IF(COUNTIF(EH58,"*赤*"),
VLOOKUP("*赤*",商品マスタ一覧!$D:$J,7,FALSE),
VLOOKUP(EH58,商品マスタ一覧!$D:$J,7,FALSE))),0)),
IF(MATCH(TRUE,
ISNUMBER(--INDIRECT("'数出表_Excel（アレルギー入力）'!B"&amp;MATCH(EL15,'数出表_Excel（アレルギー入力）'!$A:$A,0)-1&amp;":AL"&amp;MATCH(EL15,'数出表_Excel（アレルギー入力）'!$A:$A,0)-1&amp;"")),0)&gt;10,
IF(EH58&lt;&gt;"",
IF(IF(COUNTIF(EH58,"*キャラ*"),
VLOOKUP("*キャラ*",商品マスタ一覧!$D:$J,7,FALSE),
IF(COUNTIF(EH58,"*赤*"),
VLOOKUP("*赤*",商品マスタ一覧!$D:$J,7,FALSE),
VLOOKUP(EH58,商品マスタ一覧!$D:$J,7,FALSE)))=0,"",
IF(ROUND(
IF(EK63&lt;&gt;"",(EH60-EK63),EH60)
/IF(COUNTIF(EH58,"*キャラ*"),
VLOOKUP("*キャラ*",商品マスタ一覧!$D:$J,7,FALSE),
IF(COUNTIF(EH58,"*赤*"),
VLOOKUP("*赤*",商品マスタ一覧!$D:$J,7,FALSE),
VLOOKUP(EH58,商品マスタ一覧!$D:$J,7,FALSE))),0)&lt;=0,1,
ROUND(
IF(EK63&lt;&gt;"",(EH60-EK63),EH60)
/IF(COUNTIF(EH58,"*キャラ*"),
VLOOKUP("*キャラ*",商品マスタ一覧!$D:$J,7,FALSE),
IF(COUNTIF(EH58,"*赤*"),
VLOOKUP("*赤*",商品マスタ一覧!$D:$J,7,FALSE),
VLOOKUP(EH58,商品マスタ一覧!$D:$J,7,FALSE))),0))),""),"")),"")</f>
        <v/>
      </c>
      <c r="EL58" s="100" t="str">
        <f ca="1">IF(EK58&lt;&gt;"",IF(EH60&lt;&gt;"",IF(VALUE(IF(EK63&lt;&gt;"",EH60-EK63,EH60))&gt;VALUE(IF(COUNTIF('盛付札（関数）'!EH58,"*キャラ*"),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VLOOKUP('盛付札（関数）'!EH58,商品マスタ一覧!$D:$J,7,FALSE)))*EK58),
"+"&amp;IF(EK63&lt;&gt;"",EH60-EK63,EH60)-IF(COUNTIF('盛付札（関数）'!EH58,"*キャラ*"),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VLOOKUP('盛付札（関数）'!EH58,商品マスタ一覧!$D:$J,7,FALSE)))*EK58,
IF(EK63&lt;&gt;"",EH60-EK63,EH60)-IF(COUNTIF('盛付札（関数）'!EH58,"*キャラ*"),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VLOOKUP('盛付札（関数）'!EH58,商品マスタ一覧!$D:$J,7,FALSE)))*EK58),""),"")</f>
        <v/>
      </c>
      <c r="EM58" s="80"/>
      <c r="EN58" s="85" t="e">
        <f t="array" aca="1" ref="EN58" ca="1">IF(EN17&lt;&gt;100,
IF(EO60&lt;&gt;"",MATCH(EO60,INDIRECT("数出表_Excel!B"&amp;MATCH(ES15,数出表_Excel!$A:$A,0)-1&amp;":U"&amp;MATCH(ES15,数出表_Excel!$A:$A,0)-1&amp;""),0)+1,""),
IF(EO60&lt;&gt;"",
MATCH(
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""),
INDIRECT("数出表_Excel!B"&amp;MATCH(ES15,数出表_Excel!$A:$A,0)-1&amp;":U"&amp;MATCH(ES15,数出表_Excel!$A:$A,0)-1&amp;""),0)+1,""))</f>
        <v>#N/A</v>
      </c>
      <c r="EO58" s="62" t="str">
        <f t="array" aca="1" ref="EO58" ca="1">IF(EO15=EH57,"",IFERROR(IF(OR(
COUNTIF(INDIRECT("数出表_Excel!"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"3"),"*配膳*"),
COUNTIF(INDIRECT("数出表_Excel!"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"3"),"*カレー*"),
COUNTIF(EO15,"*合計*")),"",
IF(IFERROR(INDIRECT("数出表_Excel!"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"3"),0)=0,"",
IFERROR(INDIRECT("数出表_Excel!"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"3"),""))),""))</f>
        <v/>
      </c>
      <c r="EP58" s="80"/>
      <c r="EQ58" s="86" t="str">
        <f t="array" aca="1" ref="EQ58" ca="1">IF(ER58&lt;&gt;"","",
IF(COUNTIF(EO57,"*雙葉*"),"",
IF(EO57&lt;&gt;"",
IF(
(COLUMN(INDIRECT("数出表_Excel!B" &amp; (MATCH(ES15,数出表_Excel!$A:$A,0)-1))) - 1 +
MATCH(TRUE, ISNUMBER(--INDIRECT("数出表_Excel!B" &amp; (MATCH(ES15,数出表_Excel!$A:$A,0)-1) &amp; ":U" &amp; (MATCH(ES15,数出表_Excel!$A:$A,0)-1))), 0)+1
+MATCH(TRUE,INDIRECT("'数出表_Excel'!"&amp;EN57&amp;MATCH(ES15,数出表_Excel!$A:$A,0)-1&amp;":AL"&amp;MATCH(ES15,数出表_Excel!$A:$A,0)-1&amp;"")&lt;&gt;"",0))&gt;12,"",
IFERROR(
INDEX(INDIRECT("数出表_Excel!$"&amp;EN57&amp;"4:$AL4"),
 1,
MATCH(TRUE,INDIRECT("'数出表_Excel'!"&amp;EN57&amp;MATCH(ES15,数出表_Excel!$A:$A,0)-1&amp;":AL"&amp;MATCH(ES15,数出表_Excel!$A:$A,0)-1&amp;"")&lt;&gt;"",0)
),
 "")
&amp;IFERROR(
INDEX(INDIRECT("数出表_Excel!$"&amp;EN57&amp;"5:$AL5"),
 1,
MATCH(TRUE,INDIRECT("'数出表_Excel'!"&amp;EN57&amp;MATCH(ES15,数出表_Excel!$A:$A,0)-1&amp;":AL"&amp;MATCH(ES15,数出表_Excel!$A:$A,0)-1&amp;"")&lt;&gt;"",0)),
 "")),"")))</f>
        <v/>
      </c>
      <c r="ER58" s="87" t="str">
        <f t="array" aca="1" ref="ER58" ca="1">IF(EO58&lt;&gt;"",
IF(COUNTIF(EO57,"*雙葉*"),
IF(ROUND(
IF(ER63&lt;&gt;"",(EO60-ER63),EO60)
/IF(COUNTIF(EO58,"*キャラ*"),
VLOOKUP("*キャラ*",商品マスタ一覧!$D:$J,7,FALSE),
IF(COUNTIF(EO58,"*赤*"),
VLOOKUP("*赤*",商品マスタ一覧!$D:$J,7,FALSE),
VLOOKUP(EO58,商品マスタ一覧!$D:$J,7,FALSE))),0)&lt;=0,1,
ROUND(
IF(ER63&lt;&gt;"",(EO60-ER63),EO60)
/IF(COUNTIF(EO58,"*キャラ*"),
VLOOKUP("*キャラ*",商品マスタ一覧!$D:$J,7,FALSE),
IF(COUNTIF(EO58,"*赤*"),
VLOOKUP("*赤*",商品マスタ一覧!$D:$J,7,FALSE),
VLOOKUP(EO58,商品マスタ一覧!$D:$J,7,FALSE))),0)),
IF(MATCH(TRUE,
ISNUMBER(--INDIRECT("'数出表_Excel（アレルギー入力）'!B"&amp;MATCH(ES15,'数出表_Excel（アレルギー入力）'!$A:$A,0)-1&amp;":AL"&amp;MATCH(ES15,'数出表_Excel（アレルギー入力）'!$A:$A,0)-1&amp;"")),0)&gt;10,
IF(EO58&lt;&gt;"",
IF(IF(COUNTIF(EO58,"*キャラ*"),
VLOOKUP("*キャラ*",商品マスタ一覧!$D:$J,7,FALSE),
IF(COUNTIF(EO58,"*赤*"),
VLOOKUP("*赤*",商品マスタ一覧!$D:$J,7,FALSE),
VLOOKUP(EO58,商品マスタ一覧!$D:$J,7,FALSE)))=0,"",
IF(ROUND(
IF(ER63&lt;&gt;"",(EO60-ER63),EO60)
/IF(COUNTIF(EO58,"*キャラ*"),
VLOOKUP("*キャラ*",商品マスタ一覧!$D:$J,7,FALSE),
IF(COUNTIF(EO58,"*赤*"),
VLOOKUP("*赤*",商品マスタ一覧!$D:$J,7,FALSE),
VLOOKUP(EO58,商品マスタ一覧!$D:$J,7,FALSE))),0)&lt;=0,1,
ROUND(
IF(ER63&lt;&gt;"",(EO60-ER63),EO60)
/IF(COUNTIF(EO58,"*キャラ*"),
VLOOKUP("*キャラ*",商品マスタ一覧!$D:$J,7,FALSE),
IF(COUNTIF(EO58,"*赤*"),
VLOOKUP("*赤*",商品マスタ一覧!$D:$J,7,FALSE),
VLOOKUP(EO58,商品マスタ一覧!$D:$J,7,FALSE))),0))),""),"")),"")</f>
        <v/>
      </c>
      <c r="ES58" s="96" t="str">
        <f ca="1">IF(ER58&lt;&gt;"",IF(EO60&lt;&gt;"",IF(VALUE(IF(ER63&lt;&gt;"",EO60-ER63,EO60))&gt;VALUE(IF(COUNTIF('盛付札（関数）'!EO58,"*キャラ*"),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VLOOKUP('盛付札（関数）'!EO58,商品マスタ一覧!$D:$J,7,FALSE)))*ER58),
"+"&amp;IF(ER63&lt;&gt;"",EO60-ER63,EO60)-IF(COUNTIF('盛付札（関数）'!EO58,"*キャラ*"),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VLOOKUP('盛付札（関数）'!EO58,商品マスタ一覧!$D:$J,7,FALSE)))*ER58,
IF(ER63&lt;&gt;"",EO60-ER63,EO60)-IF(COUNTIF('盛付札（関数）'!EO58,"*キャラ*"),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VLOOKUP('盛付札（関数）'!EO58,商品マスタ一覧!$D:$J,7,FALSE)))*ER58),""),"")</f>
        <v/>
      </c>
      <c r="ET58" s="111"/>
      <c r="EU58" s="82">
        <f t="shared" si="4"/>
        <v>56</v>
      </c>
      <c r="EV58" s="82" t="str">
        <f t="array" aca="1" ref="EV58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LEN(SUBSTITUTE(_xlfn.FORMULATEXT(EV$49),"=","")))+$EU58)</f>
        <v/>
      </c>
      <c r="EW58" s="82" t="str">
        <f t="array" aca="1" ref="EW58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LEN(SUBSTITUTE(_xlfn.FORMULATEXT(EW$49),"=","")))+$EU58)</f>
        <v/>
      </c>
      <c r="EX58" s="82" t="str">
        <f t="array" aca="1" ref="EX58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LEN(SUBSTITUTE(_xlfn.FORMULATEXT(EX$49),"=","")))+$EU58)</f>
        <v/>
      </c>
      <c r="EY58" s="82" t="str">
        <f t="array" aca="1" ref="EY58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LEN(SUBSTITUTE(_xlfn.FORMULATEXT(EY$49),"=","")))+$EU58)</f>
        <v/>
      </c>
      <c r="EZ58" s="82" t="str">
        <f t="array" aca="1" ref="EZ58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LEN(SUBSTITUTE(_xlfn.FORMULATEXT(EZ$49),"=","")))+$EU58)</f>
        <v/>
      </c>
      <c r="FA58" s="82" t="str">
        <f t="array" aca="1" ref="FA58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LEN(SUBSTITUTE(_xlfn.FORMULATEXT(FA$49),"=","")))+$EU58)</f>
        <v/>
      </c>
      <c r="FB58" s="82" t="str">
        <f t="array" aca="1" ref="FB58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LEN(SUBSTITUTE(_xlfn.FORMULATEXT(FB$49),"=","")))+$EU58)</f>
        <v/>
      </c>
      <c r="FC58" s="82" t="str">
        <f t="array" aca="1" ref="FC58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LEN(SUBSTITUTE(_xlfn.FORMULATEXT(FC$49),"=","")))+$EU58)</f>
        <v/>
      </c>
      <c r="FD58" s="82" t="str">
        <f t="array" aca="1" ref="FD58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LEN(SUBSTITUTE(_xlfn.FORMULATEXT(FD$49),"=","")))+$EU58)</f>
        <v/>
      </c>
      <c r="FE58" s="82" t="str">
        <f t="array" aca="1" ref="FE58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LEN(SUBSTITUTE(_xlfn.FORMULATEXT(FE$49),"=","")))+$EU58)</f>
        <v/>
      </c>
      <c r="FF58" s="82" t="str">
        <f t="array" aca="1" ref="FF58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LEN(SUBSTITUTE(_xlfn.FORMULATEXT(FF$49),"=","")))+$EU58)</f>
        <v/>
      </c>
      <c r="FG58" s="82">
        <f t="shared" ca="1" si="3"/>
        <v>0</v>
      </c>
      <c r="FH58" s="82" t="b">
        <f t="array" aca="1" ref="FH58" ca="1">SUMPRODUCT((LEN(EV58:FF58)&gt;0)*1)&gt;0</f>
        <v>0</v>
      </c>
      <c r="FI58" s="82" t="str">
        <f t="array" aca="1" ref="FI58" ca="1">IFERROR(SMALL(IF(FG$1:FG$173&lt;&gt;0,FG$1:FG$173),ROW(A58)),"")</f>
        <v/>
      </c>
      <c r="FJ58" s="82" t="str">
        <f t="array" aca="1" ref="FJ58" ca="1">IF($FI58&lt;&gt;"",
INDIRECT(""&amp;IF(COLUMN(EV58)&lt;=26,CHAR(COLUMN(EV58)+64),CHAR(INT((COLUMN(EV58)-1)/26)+64)&amp;CHAR(MOD(COLUMN(EV58)-1,26)+65))&amp;$FI58&amp;""),"")</f>
        <v/>
      </c>
      <c r="FK58" s="82" t="str">
        <f t="array" aca="1" ref="FK58" ca="1">IF($FI58&lt;&gt;"",
INDIRECT(""&amp;IF(COLUMN(EW58)&lt;=26,CHAR(COLUMN(EW58)+64),CHAR(INT((COLUMN(EW58)-1)/26)+64)&amp;CHAR(MOD(COLUMN(EW58)-1,26)+65))&amp;$FI58&amp;""),"")</f>
        <v/>
      </c>
      <c r="FL58" s="82" t="str">
        <f t="array" aca="1" ref="FL58" ca="1">IF($FI58&lt;&gt;"",
INDIRECT(""&amp;IF(COLUMN(EX58)&lt;=26,CHAR(COLUMN(EX58)+64),CHAR(INT((COLUMN(EX58)-1)/26)+64)&amp;CHAR(MOD(COLUMN(EX58)-1,26)+65))&amp;$FI58&amp;""),"")</f>
        <v/>
      </c>
      <c r="FM58" s="82" t="str">
        <f t="array" aca="1" ref="FM58" ca="1">IF($FI58&lt;&gt;"",
IF(FL58="",
IF(INDIRECT("EY"&amp;$FI58&amp;"")&lt;&gt;"",
INDIRECT("EY"&amp;$FI58&amp;"")&amp;"箱"
&amp;INDIRECT("EZ"&amp;$FI58&amp;""),""),""),"")</f>
        <v/>
      </c>
      <c r="FN58" s="82" t="str">
        <f t="array" aca="1" ref="FN58" ca="1">IF($FI58&lt;&gt;"",
INDIRECT(""&amp;IF(COLUMN(FA58)&lt;=26,CHAR(COLUMN(FA58)+64),CHAR(INT((COLUMN(FA58)-1)/26)+64)&amp;CHAR(MOD(COLUMN(FA58)-1,26)+65))&amp;$FI58&amp;""),"")</f>
        <v/>
      </c>
      <c r="FO58" s="82" t="str">
        <f t="array" aca="1" ref="FO58" ca="1">IF($FI58&lt;&gt;"",
INDIRECT(""&amp;IF(COLUMN(FB58)&lt;=26,CHAR(COLUMN(FB58)+64),CHAR(INT((COLUMN(FB58)-1)/26)+64)&amp;CHAR(MOD(COLUMN(FB58)-1,26)+65))&amp;$FI58&amp;""),"")</f>
        <v/>
      </c>
      <c r="FP58" s="82" t="str">
        <f t="array" aca="1" ref="FP58" ca="1">IF($FI58&lt;&gt;"",
INDIRECT(""&amp;IF(COLUMN(FC58)&lt;=26,CHAR(COLUMN(FC58)+64),CHAR(INT((COLUMN(FC58)-1)/26)+64)&amp;CHAR(MOD(COLUMN(FC58)-1,26)+65))&amp;$FI58&amp;""),"")</f>
        <v/>
      </c>
      <c r="FQ58" s="82" t="str">
        <f t="array" aca="1" ref="FQ58" ca="1">IF($FI58&lt;&gt;"",
INDIRECT(""&amp;IF(COLUMN(FD58)&lt;=26,CHAR(COLUMN(FD58)+64),CHAR(INT((COLUMN(FD58)-1)/26)+64)&amp;CHAR(MOD(COLUMN(FD58)-1,26)+65))&amp;$FI58&amp;""),"")</f>
        <v/>
      </c>
      <c r="FR58" s="82" t="str">
        <f t="array" aca="1" ref="FR58" ca="1">IF($FI58&lt;&gt;"",
INDIRECT(""&amp;IF(COLUMN(FE58)&lt;=26,CHAR(COLUMN(FE58)+64),CHAR(INT((COLUMN(FE58)-1)/26)+64)&amp;CHAR(MOD(COLUMN(FE58)-1,26)+65))&amp;$FI58&amp;""),"")</f>
        <v/>
      </c>
      <c r="FS58" s="82" t="str">
        <f t="array" aca="1" ref="FS58" ca="1">IF($FI58&lt;&gt;"",
INDIRECT(""&amp;IF(COLUMN(FF58)&lt;=26,CHAR(COLUMN(FF58)+64),CHAR(INT((COLUMN(FF58)-1)/26)+64)&amp;CHAR(MOD(COLUMN(FF58)-1,26)+65))&amp;$FI58&amp;""),"")</f>
        <v/>
      </c>
    </row>
    <row r="59" spans="1:175" s="82" customFormat="1" ht="22.2" customHeight="1" x14ac:dyDescent="0.55000000000000004">
      <c r="A59" s="80"/>
      <c r="B59" s="88" t="str">
        <f t="array" aca="1" ref="B59" ca="1">IF(C57&lt;&gt;"",SUBSTITUTE(ADDRESS(1,
(COLUMN(INDIRECT("数出表_Excel!"&amp;B57&amp;1&amp;""))-2 +
MATCH(TRUE, ISNUMBER(--INDIRECT("数出表_Excel!"&amp;B57&amp; (MATCH(G15,数出表_Excel!$A:$A,0)-1) &amp; ":U" &amp; (MATCH(G15,数出表_Excel!$A:$A,0)-1))), 0))
*2,4),"1",""),"")</f>
        <v/>
      </c>
      <c r="C59" s="189" t="str">
        <f ca="1">IF(C60&lt;&gt;"","園児","")</f>
        <v/>
      </c>
      <c r="D59" s="190"/>
      <c r="E59" s="193" t="str">
        <f ca="1">IF(C60&lt;&gt;"","先生","")</f>
        <v/>
      </c>
      <c r="F59" s="190"/>
      <c r="G59" s="101">
        <f t="array" aca="1" ref="G59" ca="1">IF(C57&lt;&gt;"",
IF(IFERROR(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"")&lt;&gt;0,
IF(IFERROR(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"")="",
0,
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"")),IFERROR(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"")),0)</f>
        <v>0</v>
      </c>
      <c r="H59" s="80"/>
      <c r="I59" s="88" t="str">
        <f t="array" aca="1" ref="I59" ca="1">IF(J57&lt;&gt;"",SUBSTITUTE(ADDRESS(1,
(COLUMN(INDIRECT("数出表_Excel!"&amp;I57&amp;1&amp;""))-2 +
MATCH(TRUE, ISNUMBER(--INDIRECT("数出表_Excel!"&amp;I57&amp; (MATCH(N15,数出表_Excel!$A:$A,0)-1) &amp; ":U" &amp; (MATCH(N15,数出表_Excel!$A:$A,0)-1))), 0))
*2,4),"1",""),"")</f>
        <v/>
      </c>
      <c r="J59" s="189" t="str">
        <f ca="1">IF(J60&lt;&gt;"","園児","")</f>
        <v/>
      </c>
      <c r="K59" s="190"/>
      <c r="L59" s="193" t="str">
        <f ca="1">IF(J60&lt;&gt;"","先生","")</f>
        <v/>
      </c>
      <c r="M59" s="190"/>
      <c r="N59" s="101">
        <f t="array" aca="1" ref="N59" ca="1">IF(J57&lt;&gt;"",
IF(IFERROR(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"")&lt;&gt;0,
IF(IFERROR(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"")="",
0,
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"")),IFERROR(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"")),0)</f>
        <v>0</v>
      </c>
      <c r="O59" s="80"/>
      <c r="P59" s="80"/>
      <c r="Q59" s="88" t="str">
        <f t="array" aca="1" ref="Q59" ca="1">IF(R57&lt;&gt;"",SUBSTITUTE(ADDRESS(1,
(COLUMN(INDIRECT("数出表_Excel!"&amp;Q57&amp;1&amp;""))-2 +
MATCH(TRUE, ISNUMBER(--INDIRECT("数出表_Excel!"&amp;Q57&amp; (MATCH(V15,数出表_Excel!$A:$A,0)-1) &amp; ":U" &amp; (MATCH(V15,数出表_Excel!$A:$A,0)-1))), 0))
*2,4),"1",""),"")</f>
        <v/>
      </c>
      <c r="R59" s="189" t="str">
        <f ca="1">IF(R60&lt;&gt;"","園児","")</f>
        <v/>
      </c>
      <c r="S59" s="190"/>
      <c r="T59" s="193" t="str">
        <f ca="1">IF(R60&lt;&gt;"","先生","")</f>
        <v/>
      </c>
      <c r="U59" s="190"/>
      <c r="V59" s="101">
        <f t="array" aca="1" ref="V59" ca="1">IF(R57&lt;&gt;"",
IF(IFERROR(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"")&lt;&gt;0,
IF(IFERROR(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"")="",
0,
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"")),IFERROR(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"")),0)</f>
        <v>0</v>
      </c>
      <c r="W59" s="80"/>
      <c r="X59" s="88" t="str">
        <f t="array" aca="1" ref="X59" ca="1">IF(Y57&lt;&gt;"",SUBSTITUTE(ADDRESS(1,
(COLUMN(INDIRECT("数出表_Excel!"&amp;X57&amp;1&amp;""))-2 +
MATCH(TRUE, ISNUMBER(--INDIRECT("数出表_Excel!"&amp;X57&amp; (MATCH(AC15,数出表_Excel!$A:$A,0)-1) &amp; ":U" &amp; (MATCH(AC15,数出表_Excel!$A:$A,0)-1))), 0))
*2,4),"1",""),"")</f>
        <v/>
      </c>
      <c r="Y59" s="189" t="str">
        <f ca="1">IF(Y60&lt;&gt;"","園児","")</f>
        <v/>
      </c>
      <c r="Z59" s="190"/>
      <c r="AA59" s="193" t="str">
        <f ca="1">IF(Y60&lt;&gt;"","先生","")</f>
        <v/>
      </c>
      <c r="AB59" s="190"/>
      <c r="AC59" s="101">
        <f t="array" aca="1" ref="AC59" ca="1">IF(Y57&lt;&gt;"",
IF(IFERROR(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"")&lt;&gt;0,
IF(IFERROR(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"")="",
0,
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"")),IFERROR(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"")),0)</f>
        <v>0</v>
      </c>
      <c r="AD59" s="80"/>
      <c r="AE59" s="80"/>
      <c r="AF59" s="88" t="str">
        <f t="array" aca="1" ref="AF59" ca="1">IF(AG57&lt;&gt;"",SUBSTITUTE(ADDRESS(1,
(COLUMN(INDIRECT("数出表_Excel!"&amp;AF57&amp;1&amp;""))-2 +
MATCH(TRUE, ISNUMBER(--INDIRECT("数出表_Excel!"&amp;AF57&amp; (MATCH(AK15,数出表_Excel!$A:$A,0)-1) &amp; ":U" &amp; (MATCH(AK15,数出表_Excel!$A:$A,0)-1))), 0))
*2,4),"1",""),"")</f>
        <v/>
      </c>
      <c r="AG59" s="189" t="str">
        <f ca="1">IF(AG60&lt;&gt;"","園児","")</f>
        <v/>
      </c>
      <c r="AH59" s="190"/>
      <c r="AI59" s="193" t="str">
        <f ca="1">IF(AG60&lt;&gt;"","先生","")</f>
        <v/>
      </c>
      <c r="AJ59" s="190"/>
      <c r="AK59" s="101">
        <f t="array" aca="1" ref="AK59" ca="1">IF(AG57&lt;&gt;"",
IF(IFERROR(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"")&lt;&gt;0,
IF(IFERROR(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"")="",
0,
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"")),IFERROR(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"")),0)</f>
        <v>0</v>
      </c>
      <c r="AL59" s="80"/>
      <c r="AM59" s="88" t="str">
        <f t="array" aca="1" ref="AM59" ca="1">IF(AN57&lt;&gt;"",SUBSTITUTE(ADDRESS(1,
(COLUMN(INDIRECT("数出表_Excel!"&amp;AM57&amp;1&amp;""))-2 +
MATCH(TRUE, ISNUMBER(--INDIRECT("数出表_Excel!"&amp;AM57&amp; (MATCH(AR15,数出表_Excel!$A:$A,0)-1) &amp; ":U" &amp; (MATCH(AR15,数出表_Excel!$A:$A,0)-1))), 0))
*2,4),"1",""),"")</f>
        <v/>
      </c>
      <c r="AN59" s="189" t="str">
        <f ca="1">IF(AN60&lt;&gt;"","園児","")</f>
        <v/>
      </c>
      <c r="AO59" s="190"/>
      <c r="AP59" s="193" t="str">
        <f ca="1">IF(AN60&lt;&gt;"","先生","")</f>
        <v/>
      </c>
      <c r="AQ59" s="190"/>
      <c r="AR59" s="101">
        <f t="array" aca="1" ref="AR59" ca="1">IF(AN57&lt;&gt;"",
IF(IFERROR(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"")&lt;&gt;0,
IF(IFERROR(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"")="",
0,
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"")),IFERROR(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"")),0)</f>
        <v>0</v>
      </c>
      <c r="AS59" s="80"/>
      <c r="AT59" s="80"/>
      <c r="AU59" s="88" t="str">
        <f t="array" aca="1" ref="AU59" ca="1">IF(AV57&lt;&gt;"",SUBSTITUTE(ADDRESS(1,
(COLUMN(INDIRECT("数出表_Excel!"&amp;AU57&amp;1&amp;""))-2 +
MATCH(TRUE, ISNUMBER(--INDIRECT("数出表_Excel!"&amp;AU57&amp; (MATCH(AZ15,数出表_Excel!$A:$A,0)-1) &amp; ":U" &amp; (MATCH(AZ15,数出表_Excel!$A:$A,0)-1))), 0))
*2,4),"1",""),"")</f>
        <v/>
      </c>
      <c r="AV59" s="189" t="str">
        <f ca="1">IF(AV60&lt;&gt;"","園児","")</f>
        <v/>
      </c>
      <c r="AW59" s="190"/>
      <c r="AX59" s="193" t="str">
        <f ca="1">IF(AV60&lt;&gt;"","先生","")</f>
        <v/>
      </c>
      <c r="AY59" s="190"/>
      <c r="AZ59" s="101">
        <f t="array" aca="1" ref="AZ59" ca="1">IF(AV57&lt;&gt;"",
IF(IFERROR(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"")&lt;&gt;0,
IF(IFERROR(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"")="",
0,
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"")),IFERROR(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"")),0)</f>
        <v>0</v>
      </c>
      <c r="BA59" s="80"/>
      <c r="BB59" s="88" t="str">
        <f t="array" aca="1" ref="BB59" ca="1">IF(BC57&lt;&gt;"",SUBSTITUTE(ADDRESS(1,
(COLUMN(INDIRECT("数出表_Excel!"&amp;BB57&amp;1&amp;""))-2 +
MATCH(TRUE, ISNUMBER(--INDIRECT("数出表_Excel!"&amp;BB57&amp; (MATCH(BG15,数出表_Excel!$A:$A,0)-1) &amp; ":U" &amp; (MATCH(BG15,数出表_Excel!$A:$A,0)-1))), 0))
*2,4),"1",""),"")</f>
        <v/>
      </c>
      <c r="BC59" s="189" t="str">
        <f ca="1">IF(BC60&lt;&gt;"","園児","")</f>
        <v/>
      </c>
      <c r="BD59" s="190"/>
      <c r="BE59" s="193" t="str">
        <f ca="1">IF(BC60&lt;&gt;"","先生","")</f>
        <v/>
      </c>
      <c r="BF59" s="190"/>
      <c r="BG59" s="101">
        <f t="array" aca="1" ref="BG59" ca="1">IF(BC57&lt;&gt;"",
IF(IFERROR(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"")&lt;&gt;0,
IF(IFERROR(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"")="",
0,
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"")),IFERROR(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"")),0)</f>
        <v>0</v>
      </c>
      <c r="BH59" s="80"/>
      <c r="BI59" s="80"/>
      <c r="BJ59" s="88" t="str">
        <f t="array" aca="1" ref="BJ59" ca="1">IF(BK57&lt;&gt;"",SUBSTITUTE(ADDRESS(1,
(COLUMN(INDIRECT("数出表_Excel!"&amp;BJ57&amp;1&amp;""))-2 +
MATCH(TRUE, ISNUMBER(--INDIRECT("数出表_Excel!"&amp;BJ57&amp; (MATCH(BO15,数出表_Excel!$A:$A,0)-1) &amp; ":U" &amp; (MATCH(BO15,数出表_Excel!$A:$A,0)-1))), 0))
*2,4),"1",""),"")</f>
        <v/>
      </c>
      <c r="BK59" s="189" t="str">
        <f ca="1">IF(BK60&lt;&gt;"","園児","")</f>
        <v/>
      </c>
      <c r="BL59" s="190"/>
      <c r="BM59" s="193" t="str">
        <f ca="1">IF(BK60&lt;&gt;"","先生","")</f>
        <v/>
      </c>
      <c r="BN59" s="190"/>
      <c r="BO59" s="101">
        <f t="array" aca="1" ref="BO59" ca="1">IF(BK57&lt;&gt;"",
IF(IFERROR(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"")&lt;&gt;0,
IF(IFERROR(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"")="",
0,
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"")),IFERROR(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"")),0)</f>
        <v>0</v>
      </c>
      <c r="BP59" s="80"/>
      <c r="BQ59" s="88" t="str">
        <f t="array" aca="1" ref="BQ59" ca="1">IF(BR57&lt;&gt;"",SUBSTITUTE(ADDRESS(1,
(COLUMN(INDIRECT("数出表_Excel!"&amp;BQ57&amp;1&amp;""))-2 +
MATCH(TRUE, ISNUMBER(--INDIRECT("数出表_Excel!"&amp;BQ57&amp; (MATCH(BV15,数出表_Excel!$A:$A,0)-1) &amp; ":U" &amp; (MATCH(BV15,数出表_Excel!$A:$A,0)-1))), 0))
*2,4),"1",""),"")</f>
        <v/>
      </c>
      <c r="BR59" s="189" t="str">
        <f ca="1">IF(BR60&lt;&gt;"","園児","")</f>
        <v/>
      </c>
      <c r="BS59" s="190"/>
      <c r="BT59" s="193" t="str">
        <f ca="1">IF(BR60&lt;&gt;"","先生","")</f>
        <v/>
      </c>
      <c r="BU59" s="190"/>
      <c r="BV59" s="101">
        <f t="array" aca="1" ref="BV59" ca="1">IF(BR57&lt;&gt;"",
IF(IFERROR(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"")&lt;&gt;0,
IF(IFERROR(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"")="",
0,
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"")),IFERROR(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"")),0)</f>
        <v>0</v>
      </c>
      <c r="BW59" s="80"/>
      <c r="BX59" s="80"/>
      <c r="BY59" s="88" t="str">
        <f t="array" aca="1" ref="BY59" ca="1">IF(BZ57&lt;&gt;"",SUBSTITUTE(ADDRESS(1,
(COLUMN(INDIRECT("数出表_Excel!"&amp;BY57&amp;1&amp;""))-2 +
MATCH(TRUE, ISNUMBER(--INDIRECT("数出表_Excel!"&amp;BY57&amp; (MATCH(CD15,数出表_Excel!$A:$A,0)-1) &amp; ":U" &amp; (MATCH(CD15,数出表_Excel!$A:$A,0)-1))), 0))
*2,4),"1",""),"")</f>
        <v/>
      </c>
      <c r="BZ59" s="189" t="str">
        <f ca="1">IF(BZ60&lt;&gt;"","園児","")</f>
        <v/>
      </c>
      <c r="CA59" s="190"/>
      <c r="CB59" s="193" t="str">
        <f ca="1">IF(BZ60&lt;&gt;"","先生","")</f>
        <v/>
      </c>
      <c r="CC59" s="190"/>
      <c r="CD59" s="101">
        <f t="array" aca="1" ref="CD59" ca="1">IF(BZ57&lt;&gt;"",
IF(IFERROR(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"")&lt;&gt;0,
IF(IFERROR(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"")="",
0,
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"")),IFERROR(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"")),0)</f>
        <v>0</v>
      </c>
      <c r="CE59" s="80"/>
      <c r="CF59" s="88" t="str">
        <f t="array" aca="1" ref="CF59" ca="1">IF(CG57&lt;&gt;"",SUBSTITUTE(ADDRESS(1,
(COLUMN(INDIRECT("数出表_Excel!"&amp;CF57&amp;1&amp;""))-2 +
MATCH(TRUE, ISNUMBER(--INDIRECT("数出表_Excel!"&amp;CF57&amp; (MATCH(CK15,数出表_Excel!$A:$A,0)-1) &amp; ":U" &amp; (MATCH(CK15,数出表_Excel!$A:$A,0)-1))), 0))
*2,4),"1",""),"")</f>
        <v/>
      </c>
      <c r="CG59" s="189" t="str">
        <f ca="1">IF(CG60&lt;&gt;"","園児","")</f>
        <v/>
      </c>
      <c r="CH59" s="190"/>
      <c r="CI59" s="193" t="str">
        <f ca="1">IF(CG60&lt;&gt;"","先生","")</f>
        <v/>
      </c>
      <c r="CJ59" s="190"/>
      <c r="CK59" s="101">
        <f t="array" aca="1" ref="CK59" ca="1">IF(CG57&lt;&gt;"",
IF(IFERROR(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"")&lt;&gt;0,
IF(IFERROR(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"")="",
0,
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"")),IFERROR(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"")),0)</f>
        <v>0</v>
      </c>
      <c r="CL59" s="80"/>
      <c r="CM59" s="80"/>
      <c r="CN59" s="88" t="str">
        <f t="array" aca="1" ref="CN59" ca="1">IF(CO57&lt;&gt;"",SUBSTITUTE(ADDRESS(1,
(COLUMN(INDIRECT("数出表_Excel!"&amp;CN57&amp;1&amp;""))-2 +
MATCH(TRUE, ISNUMBER(--INDIRECT("数出表_Excel!"&amp;CN57&amp; (MATCH(CS15,数出表_Excel!$A:$A,0)-1) &amp; ":U" &amp; (MATCH(CS15,数出表_Excel!$A:$A,0)-1))), 0))
*2,4),"1",""),"")</f>
        <v/>
      </c>
      <c r="CO59" s="189" t="str">
        <f ca="1">IF(CO60&lt;&gt;"","園児","")</f>
        <v/>
      </c>
      <c r="CP59" s="190"/>
      <c r="CQ59" s="193" t="str">
        <f ca="1">IF(CO60&lt;&gt;"","先生","")</f>
        <v/>
      </c>
      <c r="CR59" s="190"/>
      <c r="CS59" s="101">
        <f t="array" aca="1" ref="CS59" ca="1">IF(CO57&lt;&gt;"",
IF(IFERROR(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"")&lt;&gt;0,
IF(IFERROR(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"")="",
0,
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"")),IFERROR(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"")),0)</f>
        <v>0</v>
      </c>
      <c r="CT59" s="80"/>
      <c r="CU59" s="88" t="str">
        <f t="array" aca="1" ref="CU59" ca="1">IF(CV57&lt;&gt;"",SUBSTITUTE(ADDRESS(1,
(COLUMN(INDIRECT("数出表_Excel!"&amp;CU57&amp;1&amp;""))-2 +
MATCH(TRUE, ISNUMBER(--INDIRECT("数出表_Excel!"&amp;CU57&amp; (MATCH(CZ15,数出表_Excel!$A:$A,0)-1) &amp; ":U" &amp; (MATCH(CZ15,数出表_Excel!$A:$A,0)-1))), 0))
*2,4),"1",""),"")</f>
        <v/>
      </c>
      <c r="CV59" s="189" t="str">
        <f ca="1">IF(CV60&lt;&gt;"","園児","")</f>
        <v/>
      </c>
      <c r="CW59" s="190"/>
      <c r="CX59" s="193" t="str">
        <f ca="1">IF(CV60&lt;&gt;"","先生","")</f>
        <v/>
      </c>
      <c r="CY59" s="190"/>
      <c r="CZ59" s="101">
        <f t="array" aca="1" ref="CZ59" ca="1">IF(CV57&lt;&gt;"",
IF(IFERROR(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"")&lt;&gt;0,
IF(IFERROR(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"")="",
0,
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"")),IFERROR(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"")),0)</f>
        <v>0</v>
      </c>
      <c r="DA59" s="80"/>
      <c r="DB59" s="80"/>
      <c r="DC59" s="88" t="str">
        <f t="array" aca="1" ref="DC59" ca="1">IF(DD57&lt;&gt;"",SUBSTITUTE(ADDRESS(1,
(COLUMN(INDIRECT("数出表_Excel!"&amp;DC57&amp;1&amp;""))-2 +
MATCH(TRUE, ISNUMBER(--INDIRECT("数出表_Excel!"&amp;DC57&amp; (MATCH(DH15,数出表_Excel!$A:$A,0)-1) &amp; ":U" &amp; (MATCH(DH15,数出表_Excel!$A:$A,0)-1))), 0))
*2,4),"1",""),"")</f>
        <v/>
      </c>
      <c r="DD59" s="189" t="str">
        <f ca="1">IF(DD60&lt;&gt;"","園児","")</f>
        <v/>
      </c>
      <c r="DE59" s="190"/>
      <c r="DF59" s="193" t="str">
        <f ca="1">IF(DD60&lt;&gt;"","先生","")</f>
        <v/>
      </c>
      <c r="DG59" s="190"/>
      <c r="DH59" s="101">
        <f t="array" aca="1" ref="DH59" ca="1">IF(DD57&lt;&gt;"",
IF(IFERROR(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"")&lt;&gt;0,
IF(IFERROR(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"")="",
0,
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"")),IFERROR(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"")),0)</f>
        <v>0</v>
      </c>
      <c r="DI59" s="80"/>
      <c r="DJ59" s="88" t="str">
        <f t="array" aca="1" ref="DJ59" ca="1">IF(DK57&lt;&gt;"",SUBSTITUTE(ADDRESS(1,
(COLUMN(INDIRECT("数出表_Excel!"&amp;DJ57&amp;1&amp;""))-2 +
MATCH(TRUE, ISNUMBER(--INDIRECT("数出表_Excel!"&amp;DJ57&amp; (MATCH(DO15,数出表_Excel!$A:$A,0)-1) &amp; ":U" &amp; (MATCH(DO15,数出表_Excel!$A:$A,0)-1))), 0))
*2,4),"1",""),"")</f>
        <v/>
      </c>
      <c r="DK59" s="189" t="str">
        <f ca="1">IF(DK60&lt;&gt;"","園児","")</f>
        <v/>
      </c>
      <c r="DL59" s="190"/>
      <c r="DM59" s="193" t="str">
        <f ca="1">IF(DK60&lt;&gt;"","先生","")</f>
        <v/>
      </c>
      <c r="DN59" s="190"/>
      <c r="DO59" s="101">
        <f t="array" aca="1" ref="DO59" ca="1">IF(DK57&lt;&gt;"",
IF(IFERROR(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"")&lt;&gt;0,
IF(IFERROR(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"")="",
0,
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"")),IFERROR(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"")),0)</f>
        <v>0</v>
      </c>
      <c r="DP59" s="80"/>
      <c r="DQ59" s="80"/>
      <c r="DR59" s="88" t="str">
        <f t="array" aca="1" ref="DR59" ca="1">IF(DS57&lt;&gt;"",SUBSTITUTE(ADDRESS(1,
(COLUMN(INDIRECT("数出表_Excel!"&amp;DR57&amp;1&amp;""))-2 +
MATCH(TRUE, ISNUMBER(--INDIRECT("数出表_Excel!"&amp;DR57&amp; (MATCH(DW15,数出表_Excel!$A:$A,0)-1) &amp; ":U" &amp; (MATCH(DW15,数出表_Excel!$A:$A,0)-1))), 0))
*2,4),"1",""),"")</f>
        <v/>
      </c>
      <c r="DS59" s="189" t="str">
        <f ca="1">IF(DS60&lt;&gt;"","園児","")</f>
        <v/>
      </c>
      <c r="DT59" s="190"/>
      <c r="DU59" s="193" t="str">
        <f ca="1">IF(DS60&lt;&gt;"","先生","")</f>
        <v/>
      </c>
      <c r="DV59" s="190"/>
      <c r="DW59" s="101">
        <f t="array" aca="1" ref="DW59" ca="1">IF(DS57&lt;&gt;"",
IF(IFERROR(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"")&lt;&gt;0,
IF(IFERROR(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"")="",
0,
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"")),IFERROR(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"")),0)</f>
        <v>0</v>
      </c>
      <c r="DX59" s="80"/>
      <c r="DY59" s="88" t="str">
        <f t="array" aca="1" ref="DY59" ca="1">IF(DZ57&lt;&gt;"",SUBSTITUTE(ADDRESS(1,
(COLUMN(INDIRECT("数出表_Excel!"&amp;DY57&amp;1&amp;""))-2 +
MATCH(TRUE, ISNUMBER(--INDIRECT("数出表_Excel!"&amp;DY57&amp; (MATCH(ED15,数出表_Excel!$A:$A,0)-1) &amp; ":U" &amp; (MATCH(ED15,数出表_Excel!$A:$A,0)-1))), 0))
*2,4),"1",""),"")</f>
        <v/>
      </c>
      <c r="DZ59" s="189" t="str">
        <f ca="1">IF(DZ60&lt;&gt;"","園児","")</f>
        <v/>
      </c>
      <c r="EA59" s="190"/>
      <c r="EB59" s="193" t="str">
        <f ca="1">IF(DZ60&lt;&gt;"","先生","")</f>
        <v/>
      </c>
      <c r="EC59" s="190"/>
      <c r="ED59" s="101">
        <f t="array" aca="1" ref="ED59" ca="1">IF(DZ57&lt;&gt;"",
IF(IFERROR(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"")&lt;&gt;0,
IF(IFERROR(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"")="",
0,
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"")),IFERROR(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"")),0)</f>
        <v>0</v>
      </c>
      <c r="EE59" s="80"/>
      <c r="EF59" s="80"/>
      <c r="EG59" s="88" t="str">
        <f t="array" aca="1" ref="EG59" ca="1">IF(EH57&lt;&gt;"",SUBSTITUTE(ADDRESS(1,
(COLUMN(INDIRECT("数出表_Excel!"&amp;EG57&amp;1&amp;""))-2 +
MATCH(TRUE, ISNUMBER(--INDIRECT("数出表_Excel!"&amp;EG57&amp; (MATCH(EL15,数出表_Excel!$A:$A,0)-1) &amp; ":U" &amp; (MATCH(EL15,数出表_Excel!$A:$A,0)-1))), 0))
*2,4),"1",""),"")</f>
        <v/>
      </c>
      <c r="EH59" s="189" t="str">
        <f ca="1">IF(EH60&lt;&gt;"","園児","")</f>
        <v/>
      </c>
      <c r="EI59" s="190"/>
      <c r="EJ59" s="193" t="str">
        <f ca="1">IF(EH60&lt;&gt;"","先生","")</f>
        <v/>
      </c>
      <c r="EK59" s="190"/>
      <c r="EL59" s="101">
        <f t="array" aca="1" ref="EL59" ca="1">IF(EH57&lt;&gt;"",
IF(IFERROR(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"")&lt;&gt;0,
IF(IFERROR(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"")="",
0,
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"")),IFERROR(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"")),0)</f>
        <v>0</v>
      </c>
      <c r="EM59" s="80"/>
      <c r="EN59" s="88" t="str">
        <f t="array" aca="1" ref="EN59" ca="1">IF(EO57&lt;&gt;"",SUBSTITUTE(ADDRESS(1,
(COLUMN(INDIRECT("数出表_Excel!"&amp;EN57&amp;1&amp;""))-2 +
MATCH(TRUE, ISNUMBER(--INDIRECT("数出表_Excel!"&amp;EN57&amp; (MATCH(ES15,数出表_Excel!$A:$A,0)-1) &amp; ":U" &amp; (MATCH(ES15,数出表_Excel!$A:$A,0)-1))), 0))
*2,4),"1",""),"")</f>
        <v/>
      </c>
      <c r="EO59" s="189" t="str">
        <f ca="1">IF(EO60&lt;&gt;"","園児","")</f>
        <v/>
      </c>
      <c r="EP59" s="190"/>
      <c r="EQ59" s="193" t="str">
        <f ca="1">IF(EO60&lt;&gt;"","先生","")</f>
        <v/>
      </c>
      <c r="ER59" s="190"/>
      <c r="ES59" s="101">
        <f t="array" aca="1" ref="ES59" ca="1">IF(EO57&lt;&gt;"",
IF(IFERROR(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"")&lt;&gt;0,
IF(IFERROR(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"")="",
0,
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"")),IFERROR(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"")),0)</f>
        <v>0</v>
      </c>
      <c r="ET59" s="110"/>
      <c r="EU59" s="91">
        <f t="shared" si="4"/>
        <v>14</v>
      </c>
      <c r="EV59" s="82" t="str">
        <f t="array" aca="1" ref="EV59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LEN(SUBSTITUTE(_xlfn.FORMULATEXT(EV$51),"=","")))+$EU59)</f>
        <v/>
      </c>
      <c r="EW59" s="82" t="str">
        <f t="array" aca="1" ref="EW59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LEN(SUBSTITUTE(_xlfn.FORMULATEXT(EW$51),"=","")))+$EU59)</f>
        <v/>
      </c>
      <c r="EX59" s="82" t="str">
        <f t="array" aca="1" ref="EX59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LEN(SUBSTITUTE(_xlfn.FORMULATEXT(EX$51),"=","")))+$EU59)</f>
        <v/>
      </c>
      <c r="EY59" s="82" t="str">
        <f t="array" aca="1" ref="EY59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LEN(SUBSTITUTE(_xlfn.FORMULATEXT(EY$51),"=","")))+$EU59)</f>
        <v/>
      </c>
      <c r="EZ59" s="82" t="str">
        <f t="array" aca="1" ref="EZ59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LEN(SUBSTITUTE(_xlfn.FORMULATEXT(EZ$51),"=","")))+$EU59)</f>
        <v/>
      </c>
      <c r="FA59" s="82" t="e">
        <f t="array" aca="1" ref="FA59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LEN(SUBSTITUTE(_xlfn.FORMULATEXT(FA$51),"=","")))+$EU59)</f>
        <v>#VALUE!</v>
      </c>
      <c r="FB59" s="82" t="str">
        <f t="array" aca="1" ref="FB59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LEN(SUBSTITUTE(_xlfn.FORMULATEXT(FB$51),"=","")))+$EU59)</f>
        <v/>
      </c>
      <c r="FC59" s="82" t="str">
        <f t="array" aca="1" ref="FC59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LEN(SUBSTITUTE(_xlfn.FORMULATEXT(FC$51),"=","")))+$EU59)</f>
        <v/>
      </c>
      <c r="FD59" s="82" t="e">
        <f t="array" aca="1" ref="FD59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LEN(SUBSTITUTE(_xlfn.FORMULATEXT(FD$51),"=","")))+$EU59)</f>
        <v>#VALUE!</v>
      </c>
      <c r="FE59" s="82" t="str">
        <f t="array" aca="1" ref="FE59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LEN(SUBSTITUTE(_xlfn.FORMULATEXT(FE$51),"=","")))+$EU59)</f>
        <v/>
      </c>
      <c r="FF59" s="82" t="e">
        <f t="array" aca="1" ref="FF59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LEN(SUBSTITUTE(_xlfn.FORMULATEXT(FF$51),"=","")))+$EU59)</f>
        <v>#N/A</v>
      </c>
      <c r="FG59" s="82">
        <f t="shared" ca="1" si="3"/>
        <v>0</v>
      </c>
      <c r="FH59" s="82" t="e">
        <f t="array" aca="1" ref="FH59" ca="1">SUMPRODUCT((LEN(EV59:FF59)&gt;0)*1)&gt;0</f>
        <v>#VALUE!</v>
      </c>
      <c r="FI59" s="82" t="str">
        <f t="array" aca="1" ref="FI59" ca="1">IFERROR(SMALL(IF(FG$1:FG$173&lt;&gt;0,FG$1:FG$173),ROW(A59)),"")</f>
        <v/>
      </c>
      <c r="FJ59" s="82" t="str">
        <f t="array" aca="1" ref="FJ59" ca="1">IF($FI59&lt;&gt;"",
INDIRECT(""&amp;IF(COLUMN(EV59)&lt;=26,CHAR(COLUMN(EV59)+64),CHAR(INT((COLUMN(EV59)-1)/26)+64)&amp;CHAR(MOD(COLUMN(EV59)-1,26)+65))&amp;$FI59&amp;""),"")</f>
        <v/>
      </c>
      <c r="FK59" s="82" t="str">
        <f t="array" aca="1" ref="FK59" ca="1">IF($FI59&lt;&gt;"",
INDIRECT(""&amp;IF(COLUMN(EW59)&lt;=26,CHAR(COLUMN(EW59)+64),CHAR(INT((COLUMN(EW59)-1)/26)+64)&amp;CHAR(MOD(COLUMN(EW59)-1,26)+65))&amp;$FI59&amp;""),"")</f>
        <v/>
      </c>
      <c r="FL59" s="82" t="str">
        <f t="array" aca="1" ref="FL59" ca="1">IF($FI59&lt;&gt;"",
INDIRECT(""&amp;IF(COLUMN(EX59)&lt;=26,CHAR(COLUMN(EX59)+64),CHAR(INT((COLUMN(EX59)-1)/26)+64)&amp;CHAR(MOD(COLUMN(EX59)-1,26)+65))&amp;$FI59&amp;""),"")</f>
        <v/>
      </c>
      <c r="FM59" s="82" t="str">
        <f t="array" aca="1" ref="FM59" ca="1">IF($FI59&lt;&gt;"",
IF(FL59="",
IF(INDIRECT("EY"&amp;$FI59&amp;"")&lt;&gt;"",
INDIRECT("EY"&amp;$FI59&amp;"")&amp;"箱"
&amp;INDIRECT("EZ"&amp;$FI59&amp;""),""),""),"")</f>
        <v/>
      </c>
      <c r="FN59" s="82" t="str">
        <f t="array" aca="1" ref="FN59" ca="1">IF($FI59&lt;&gt;"",
INDIRECT(""&amp;IF(COLUMN(FA59)&lt;=26,CHAR(COLUMN(FA59)+64),CHAR(INT((COLUMN(FA59)-1)/26)+64)&amp;CHAR(MOD(COLUMN(FA59)-1,26)+65))&amp;$FI59&amp;""),"")</f>
        <v/>
      </c>
      <c r="FO59" s="82" t="str">
        <f t="array" aca="1" ref="FO59" ca="1">IF($FI59&lt;&gt;"",
INDIRECT(""&amp;IF(COLUMN(FB59)&lt;=26,CHAR(COLUMN(FB59)+64),CHAR(INT((COLUMN(FB59)-1)/26)+64)&amp;CHAR(MOD(COLUMN(FB59)-1,26)+65))&amp;$FI59&amp;""),"")</f>
        <v/>
      </c>
      <c r="FP59" s="82" t="str">
        <f t="array" aca="1" ref="FP59" ca="1">IF($FI59&lt;&gt;"",
INDIRECT(""&amp;IF(COLUMN(FC59)&lt;=26,CHAR(COLUMN(FC59)+64),CHAR(INT((COLUMN(FC59)-1)/26)+64)&amp;CHAR(MOD(COLUMN(FC59)-1,26)+65))&amp;$FI59&amp;""),"")</f>
        <v/>
      </c>
      <c r="FQ59" s="82" t="str">
        <f t="array" aca="1" ref="FQ59" ca="1">IF($FI59&lt;&gt;"",
INDIRECT(""&amp;IF(COLUMN(FD59)&lt;=26,CHAR(COLUMN(FD59)+64),CHAR(INT((COLUMN(FD59)-1)/26)+64)&amp;CHAR(MOD(COLUMN(FD59)-1,26)+65))&amp;$FI59&amp;""),"")</f>
        <v/>
      </c>
      <c r="FR59" s="82" t="str">
        <f t="array" aca="1" ref="FR59" ca="1">IF($FI59&lt;&gt;"",
INDIRECT(""&amp;IF(COLUMN(FE59)&lt;=26,CHAR(COLUMN(FE59)+64),CHAR(INT((COLUMN(FE59)-1)/26)+64)&amp;CHAR(MOD(COLUMN(FE59)-1,26)+65))&amp;$FI59&amp;""),"")</f>
        <v/>
      </c>
      <c r="FS59" s="82" t="str">
        <f t="array" aca="1" ref="FS59" ca="1">IF($FI59&lt;&gt;"",
INDIRECT(""&amp;IF(COLUMN(FF59)&lt;=26,CHAR(COLUMN(FF59)+64),CHAR(INT((COLUMN(FF59)-1)/26)+64)&amp;CHAR(MOD(COLUMN(FF59)-1,26)+65))&amp;$FI59&amp;""),"")</f>
        <v/>
      </c>
    </row>
    <row r="60" spans="1:175" ht="18" customHeight="1" x14ac:dyDescent="0.45">
      <c r="B60" s="90"/>
      <c r="C60" s="185" t="str">
        <f t="array" aca="1" ref="C60" ca="1">IF(C58&lt;&gt;"",
IF(IFERROR(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"")=0,"",
IF(B17=100,
IFERROR(
INDEX(INDIRECT("数出表_Excel!"&amp;B57&amp;MATCH(G15,数出表_Excel!$A:$A,0)-1+2&amp;":U"&amp;MATCH(G15,数出表_Excel!$A:$A,0)-1+2&amp;""),
 1,
 MATCH(TRUE, ISNUMBER(--INDIRECT("数出表_Excel!"&amp;B57&amp;MATCH(G15,数出表_Excel!$A:$A,0)-1+2&amp;":U"&amp;MATCH(G15,数出表_Excel!$A:$A,0)-1+2&amp;"")), 0)),
 "")
+IFERROR(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""))),"")</f>
        <v/>
      </c>
      <c r="D60" s="186"/>
      <c r="E60" s="188" t="str">
        <f t="array" aca="1" ref="E60" ca="1">IF(C16&lt;&gt;"",
IF(IFERROR(
INDEX(INDIRECT("数出表_Excel!B"&amp;MATCH(G15,数出表_Excel!$A:$A,0)&amp;":U"&amp;MATCH(G15,数出表_Excel!$A:$A,0)&amp;""),
 1,B58-1),
 "")=0,"",
IFERROR(
INDEX(INDIRECT("数出表_Excel!B"&amp;MATCH(G15,数出表_Excel!$A:$A,0)&amp;":U"&amp;MATCH(G15,数出表_Excel!$A:$A,0)&amp;""),
 1,B58-1),
 "")),"")</f>
        <v/>
      </c>
      <c r="F60" s="186"/>
      <c r="G60" s="101" t="e">
        <f t="array" aca="1" ref="G60" ca="1">IF(B17=100,
IF(C57&lt;&gt;"",
IF(IFERROR(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"")&lt;&gt;0,
IF(IFERROR(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"")="",
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""),
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"")),0),""),0)</f>
        <v>#N/A</v>
      </c>
      <c r="I60" s="90"/>
      <c r="J60" s="185" t="str">
        <f t="array" aca="1" ref="J60" ca="1">IF(J58&lt;&gt;"",
IF(IFERROR(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"")=0,"",
IF(I17=100,
IFERROR(
INDEX(INDIRECT("数出表_Excel!"&amp;I57&amp;MATCH(N15,数出表_Excel!$A:$A,0)-1+2&amp;":U"&amp;MATCH(N15,数出表_Excel!$A:$A,0)-1+2&amp;""),
 1,
 MATCH(TRUE, ISNUMBER(--INDIRECT("数出表_Excel!"&amp;I57&amp;MATCH(N15,数出表_Excel!$A:$A,0)-1+2&amp;":U"&amp;MATCH(N15,数出表_Excel!$A:$A,0)-1+2&amp;"")), 0)),
 "")
+IFERROR(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""))),"")</f>
        <v/>
      </c>
      <c r="K60" s="186"/>
      <c r="L60" s="188" t="str">
        <f t="array" aca="1" ref="L60" ca="1">IF(J16&lt;&gt;"",
IF(IFERROR(
INDEX(INDIRECT("数出表_Excel!B"&amp;MATCH(N15,数出表_Excel!$A:$A,0)&amp;":U"&amp;MATCH(N15,数出表_Excel!$A:$A,0)&amp;""),
 1,I58-1),
 "")=0,"",
IFERROR(
INDEX(INDIRECT("数出表_Excel!B"&amp;MATCH(N15,数出表_Excel!$A:$A,0)&amp;":U"&amp;MATCH(N15,数出表_Excel!$A:$A,0)&amp;""),
 1,I58-1),
 "")),"")</f>
        <v/>
      </c>
      <c r="M60" s="186"/>
      <c r="N60" s="101" t="e">
        <f t="array" aca="1" ref="N60" ca="1">IF(I17=100,
IF(J57&lt;&gt;"",
IF(IFERROR(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"")&lt;&gt;0,
IF(IFERROR(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"")="",
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""),
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"")),0),""),0)</f>
        <v>#N/A</v>
      </c>
      <c r="Q60" s="90"/>
      <c r="R60" s="185" t="str">
        <f t="array" aca="1" ref="R60" ca="1">IF(R58&lt;&gt;"",
IF(IFERROR(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"")=0,"",
IF(Q17=100,
IFERROR(
INDEX(INDIRECT("数出表_Excel!"&amp;Q57&amp;MATCH(V15,数出表_Excel!$A:$A,0)-1+2&amp;":U"&amp;MATCH(V15,数出表_Excel!$A:$A,0)-1+2&amp;""),
 1,
 MATCH(TRUE, ISNUMBER(--INDIRECT("数出表_Excel!"&amp;Q57&amp;MATCH(V15,数出表_Excel!$A:$A,0)-1+2&amp;":U"&amp;MATCH(V15,数出表_Excel!$A:$A,0)-1+2&amp;"")), 0)),
 "")
+IFERROR(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""))),"")</f>
        <v/>
      </c>
      <c r="S60" s="186"/>
      <c r="T60" s="188" t="str">
        <f t="array" aca="1" ref="T60" ca="1">IF(R16&lt;&gt;"",
IF(IFERROR(
INDEX(INDIRECT("数出表_Excel!B"&amp;MATCH(V15,数出表_Excel!$A:$A,0)&amp;":U"&amp;MATCH(V15,数出表_Excel!$A:$A,0)&amp;""),
 1,Q58-1),
 "")=0,"",
IFERROR(
INDEX(INDIRECT("数出表_Excel!B"&amp;MATCH(V15,数出表_Excel!$A:$A,0)&amp;":U"&amp;MATCH(V15,数出表_Excel!$A:$A,0)&amp;""),
 1,Q58-1),
 "")),"")</f>
        <v/>
      </c>
      <c r="U60" s="186"/>
      <c r="V60" s="101" t="e">
        <f t="array" aca="1" ref="V60" ca="1">IF(Q17=100,
IF(R57&lt;&gt;"",
IF(IFERROR(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"")&lt;&gt;0,
IF(IFERROR(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"")="",
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""),
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"")),0),""),0)</f>
        <v>#N/A</v>
      </c>
      <c r="X60" s="90"/>
      <c r="Y60" s="185" t="str">
        <f t="array" aca="1" ref="Y60" ca="1">IF(Y58&lt;&gt;"",
IF(IFERROR(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"")=0,"",
IF(X17=100,
IFERROR(
INDEX(INDIRECT("数出表_Excel!"&amp;X57&amp;MATCH(AC15,数出表_Excel!$A:$A,0)-1+2&amp;":U"&amp;MATCH(AC15,数出表_Excel!$A:$A,0)-1+2&amp;""),
 1,
 MATCH(TRUE, ISNUMBER(--INDIRECT("数出表_Excel!"&amp;X57&amp;MATCH(AC15,数出表_Excel!$A:$A,0)-1+2&amp;":U"&amp;MATCH(AC15,数出表_Excel!$A:$A,0)-1+2&amp;"")), 0)),
 "")
+IFERROR(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""))),"")</f>
        <v/>
      </c>
      <c r="Z60" s="186"/>
      <c r="AA60" s="188" t="str">
        <f t="array" aca="1" ref="AA60" ca="1">IF(Y16&lt;&gt;"",
IF(IFERROR(
INDEX(INDIRECT("数出表_Excel!B"&amp;MATCH(AC15,数出表_Excel!$A:$A,0)&amp;":U"&amp;MATCH(AC15,数出表_Excel!$A:$A,0)&amp;""),
 1,X58-1),
 "")=0,"",
IFERROR(
INDEX(INDIRECT("数出表_Excel!B"&amp;MATCH(AC15,数出表_Excel!$A:$A,0)&amp;":U"&amp;MATCH(AC15,数出表_Excel!$A:$A,0)&amp;""),
 1,X58-1),
 "")),"")</f>
        <v/>
      </c>
      <c r="AB60" s="186"/>
      <c r="AC60" s="101" t="e">
        <f t="array" aca="1" ref="AC60" ca="1">IF(X17=100,
IF(Y57&lt;&gt;"",
IF(IFERROR(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"")&lt;&gt;0,
IF(IFERROR(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"")="",
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""),
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"")),0),""),0)</f>
        <v>#N/A</v>
      </c>
      <c r="AF60" s="90"/>
      <c r="AG60" s="185" t="str">
        <f t="array" aca="1" ref="AG60" ca="1">IF(AG58&lt;&gt;"",
IF(IFERROR(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"")=0,"",
IF(AF17=100,
IFERROR(
INDEX(INDIRECT("数出表_Excel!"&amp;AF57&amp;MATCH(AK15,数出表_Excel!$A:$A,0)-1+2&amp;":U"&amp;MATCH(AK15,数出表_Excel!$A:$A,0)-1+2&amp;""),
 1,
 MATCH(TRUE, ISNUMBER(--INDIRECT("数出表_Excel!"&amp;AF57&amp;MATCH(AK15,数出表_Excel!$A:$A,0)-1+2&amp;":U"&amp;MATCH(AK15,数出表_Excel!$A:$A,0)-1+2&amp;"")), 0)),
 "")
+IFERROR(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""))),"")</f>
        <v/>
      </c>
      <c r="AH60" s="186"/>
      <c r="AI60" s="188" t="str">
        <f t="array" aca="1" ref="AI60" ca="1">IF(AG16&lt;&gt;"",
IF(IFERROR(
INDEX(INDIRECT("数出表_Excel!B"&amp;MATCH(AK15,数出表_Excel!$A:$A,0)&amp;":U"&amp;MATCH(AK15,数出表_Excel!$A:$A,0)&amp;""),
 1,AF58-1),
 "")=0,"",
IFERROR(
INDEX(INDIRECT("数出表_Excel!B"&amp;MATCH(AK15,数出表_Excel!$A:$A,0)&amp;":U"&amp;MATCH(AK15,数出表_Excel!$A:$A,0)&amp;""),
 1,AF58-1),
 "")),"")</f>
        <v/>
      </c>
      <c r="AJ60" s="186"/>
      <c r="AK60" s="101" t="e">
        <f t="array" aca="1" ref="AK60" ca="1">IF(AF17=100,
IF(AG57&lt;&gt;"",
IF(IFERROR(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"")&lt;&gt;0,
IF(IFERROR(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"")="",
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""),
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"")),0),""),0)</f>
        <v>#N/A</v>
      </c>
      <c r="AM60" s="90"/>
      <c r="AN60" s="185" t="str">
        <f t="array" aca="1" ref="AN60" ca="1">IF(AN58&lt;&gt;"",
IF(IFERROR(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"")=0,"",
IF(AM17=100,
IFERROR(
INDEX(INDIRECT("数出表_Excel!"&amp;AM57&amp;MATCH(AR15,数出表_Excel!$A:$A,0)-1+2&amp;":U"&amp;MATCH(AR15,数出表_Excel!$A:$A,0)-1+2&amp;""),
 1,
 MATCH(TRUE, ISNUMBER(--INDIRECT("数出表_Excel!"&amp;AM57&amp;MATCH(AR15,数出表_Excel!$A:$A,0)-1+2&amp;":U"&amp;MATCH(AR15,数出表_Excel!$A:$A,0)-1+2&amp;"")), 0)),
 "")
+IFERROR(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""))),"")</f>
        <v/>
      </c>
      <c r="AO60" s="186"/>
      <c r="AP60" s="188" t="str">
        <f t="array" aca="1" ref="AP60" ca="1">IF(AN16&lt;&gt;"",
IF(IFERROR(
INDEX(INDIRECT("数出表_Excel!B"&amp;MATCH(AR15,数出表_Excel!$A:$A,0)&amp;":U"&amp;MATCH(AR15,数出表_Excel!$A:$A,0)&amp;""),
 1,AM58-1),
 "")=0,"",
IFERROR(
INDEX(INDIRECT("数出表_Excel!B"&amp;MATCH(AR15,数出表_Excel!$A:$A,0)&amp;":U"&amp;MATCH(AR15,数出表_Excel!$A:$A,0)&amp;""),
 1,AM58-1),
 "")),"")</f>
        <v/>
      </c>
      <c r="AQ60" s="186"/>
      <c r="AR60" s="101" t="e">
        <f t="array" aca="1" ref="AR60" ca="1">IF(AM17=100,
IF(AN57&lt;&gt;"",
IF(IFERROR(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"")&lt;&gt;0,
IF(IFERROR(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"")="",
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""),
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"")),0),""),0)</f>
        <v>#N/A</v>
      </c>
      <c r="AU60" s="90"/>
      <c r="AV60" s="185" t="str">
        <f t="array" aca="1" ref="AV60" ca="1">IF(AV58&lt;&gt;"",
IF(IFERROR(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"")=0,"",
IF(AU17=100,
IFERROR(
INDEX(INDIRECT("数出表_Excel!"&amp;AU57&amp;MATCH(AZ15,数出表_Excel!$A:$A,0)-1+2&amp;":U"&amp;MATCH(AZ15,数出表_Excel!$A:$A,0)-1+2&amp;""),
 1,
 MATCH(TRUE, ISNUMBER(--INDIRECT("数出表_Excel!"&amp;AU57&amp;MATCH(AZ15,数出表_Excel!$A:$A,0)-1+2&amp;":U"&amp;MATCH(AZ15,数出表_Excel!$A:$A,0)-1+2&amp;"")), 0)),
 "")
+IFERROR(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""))),"")</f>
        <v/>
      </c>
      <c r="AW60" s="186"/>
      <c r="AX60" s="188" t="str">
        <f t="array" aca="1" ref="AX60" ca="1">IF(AV16&lt;&gt;"",
IF(IFERROR(
INDEX(INDIRECT("数出表_Excel!B"&amp;MATCH(AZ15,数出表_Excel!$A:$A,0)&amp;":U"&amp;MATCH(AZ15,数出表_Excel!$A:$A,0)&amp;""),
 1,AU58-1),
 "")=0,"",
IFERROR(
INDEX(INDIRECT("数出表_Excel!B"&amp;MATCH(AZ15,数出表_Excel!$A:$A,0)&amp;":U"&amp;MATCH(AZ15,数出表_Excel!$A:$A,0)&amp;""),
 1,AU58-1),
 "")),"")</f>
        <v/>
      </c>
      <c r="AY60" s="186"/>
      <c r="AZ60" s="101" t="e">
        <f t="array" aca="1" ref="AZ60" ca="1">IF(AU17=100,
IF(AV57&lt;&gt;"",
IF(IFERROR(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"")&lt;&gt;0,
IF(IFERROR(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"")="",
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""),
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"")),0),""),0)</f>
        <v>#N/A</v>
      </c>
      <c r="BB60" s="90"/>
      <c r="BC60" s="185" t="str">
        <f t="array" aca="1" ref="BC60" ca="1">IF(BC58&lt;&gt;"",
IF(IFERROR(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"")=0,"",
IF(BB17=100,
IFERROR(
INDEX(INDIRECT("数出表_Excel!"&amp;BB57&amp;MATCH(BG15,数出表_Excel!$A:$A,0)-1+2&amp;":U"&amp;MATCH(BG15,数出表_Excel!$A:$A,0)-1+2&amp;""),
 1,
 MATCH(TRUE, ISNUMBER(--INDIRECT("数出表_Excel!"&amp;BB57&amp;MATCH(BG15,数出表_Excel!$A:$A,0)-1+2&amp;":U"&amp;MATCH(BG15,数出表_Excel!$A:$A,0)-1+2&amp;"")), 0)),
 "")
+IFERROR(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""))),"")</f>
        <v/>
      </c>
      <c r="BD60" s="186"/>
      <c r="BE60" s="188" t="str">
        <f t="array" aca="1" ref="BE60" ca="1">IF(BC16&lt;&gt;"",
IF(IFERROR(
INDEX(INDIRECT("数出表_Excel!B"&amp;MATCH(BG15,数出表_Excel!$A:$A,0)&amp;":U"&amp;MATCH(BG15,数出表_Excel!$A:$A,0)&amp;""),
 1,BB58-1),
 "")=0,"",
IFERROR(
INDEX(INDIRECT("数出表_Excel!B"&amp;MATCH(BG15,数出表_Excel!$A:$A,0)&amp;":U"&amp;MATCH(BG15,数出表_Excel!$A:$A,0)&amp;""),
 1,BB58-1),
 "")),"")</f>
        <v/>
      </c>
      <c r="BF60" s="186"/>
      <c r="BG60" s="101" t="e">
        <f t="array" aca="1" ref="BG60" ca="1">IF(BB17=100,
IF(BC57&lt;&gt;"",
IF(IFERROR(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"")&lt;&gt;0,
IF(IFERROR(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"")="",
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""),
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"")),0),""),0)</f>
        <v>#N/A</v>
      </c>
      <c r="BJ60" s="90"/>
      <c r="BK60" s="185" t="str">
        <f t="array" aca="1" ref="BK60" ca="1">IF(BK58&lt;&gt;"",
IF(IFERROR(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"")=0,"",
IF(BJ17=100,
IFERROR(
INDEX(INDIRECT("数出表_Excel!"&amp;BJ57&amp;MATCH(BO15,数出表_Excel!$A:$A,0)-1+2&amp;":U"&amp;MATCH(BO15,数出表_Excel!$A:$A,0)-1+2&amp;""),
 1,
 MATCH(TRUE, ISNUMBER(--INDIRECT("数出表_Excel!"&amp;BJ57&amp;MATCH(BO15,数出表_Excel!$A:$A,0)-1+2&amp;":U"&amp;MATCH(BO15,数出表_Excel!$A:$A,0)-1+2&amp;"")), 0)),
 "")
+IFERROR(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""))),"")</f>
        <v/>
      </c>
      <c r="BL60" s="186"/>
      <c r="BM60" s="188" t="str">
        <f t="array" aca="1" ref="BM60" ca="1">IF(BK16&lt;&gt;"",
IF(IFERROR(
INDEX(INDIRECT("数出表_Excel!B"&amp;MATCH(BO15,数出表_Excel!$A:$A,0)&amp;":U"&amp;MATCH(BO15,数出表_Excel!$A:$A,0)&amp;""),
 1,BJ58-1),
 "")=0,"",
IFERROR(
INDEX(INDIRECT("数出表_Excel!B"&amp;MATCH(BO15,数出表_Excel!$A:$A,0)&amp;":U"&amp;MATCH(BO15,数出表_Excel!$A:$A,0)&amp;""),
 1,BJ58-1),
 "")),"")</f>
        <v/>
      </c>
      <c r="BN60" s="186"/>
      <c r="BO60" s="101" t="e">
        <f t="array" aca="1" ref="BO60" ca="1">IF(BJ17=100,
IF(BK57&lt;&gt;"",
IF(IFERROR(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"")&lt;&gt;0,
IF(IFERROR(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"")="",
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""),
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"")),0),""),0)</f>
        <v>#N/A</v>
      </c>
      <c r="BQ60" s="90"/>
      <c r="BR60" s="185" t="str">
        <f t="array" aca="1" ref="BR60" ca="1">IF(BR58&lt;&gt;"",
IF(IFERROR(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"")=0,"",
IF(BQ17=100,
IFERROR(
INDEX(INDIRECT("数出表_Excel!"&amp;BQ57&amp;MATCH(BV15,数出表_Excel!$A:$A,0)-1+2&amp;":U"&amp;MATCH(BV15,数出表_Excel!$A:$A,0)-1+2&amp;""),
 1,
 MATCH(TRUE, ISNUMBER(--INDIRECT("数出表_Excel!"&amp;BQ57&amp;MATCH(BV15,数出表_Excel!$A:$A,0)-1+2&amp;":U"&amp;MATCH(BV15,数出表_Excel!$A:$A,0)-1+2&amp;"")), 0)),
 "")
+IFERROR(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""))),"")</f>
        <v/>
      </c>
      <c r="BS60" s="186"/>
      <c r="BT60" s="188" t="str">
        <f t="array" aca="1" ref="BT60" ca="1">IF(BR16&lt;&gt;"",
IF(IFERROR(
INDEX(INDIRECT("数出表_Excel!B"&amp;MATCH(BV15,数出表_Excel!$A:$A,0)&amp;":U"&amp;MATCH(BV15,数出表_Excel!$A:$A,0)&amp;""),
 1,BQ58-1),
 "")=0,"",
IFERROR(
INDEX(INDIRECT("数出表_Excel!B"&amp;MATCH(BV15,数出表_Excel!$A:$A,0)&amp;":U"&amp;MATCH(BV15,数出表_Excel!$A:$A,0)&amp;""),
 1,BQ58-1),
 "")),"")</f>
        <v/>
      </c>
      <c r="BU60" s="186"/>
      <c r="BV60" s="101" t="e">
        <f t="array" aca="1" ref="BV60" ca="1">IF(BQ17=100,
IF(BR57&lt;&gt;"",
IF(IFERROR(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"")&lt;&gt;0,
IF(IFERROR(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"")="",
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""),
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"")),0),""),0)</f>
        <v>#N/A</v>
      </c>
      <c r="BY60" s="90"/>
      <c r="BZ60" s="185" t="str">
        <f t="array" aca="1" ref="BZ60" ca="1">IF(BZ58&lt;&gt;"",
IF(IFERROR(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"")=0,"",
IF(BY17=100,
IFERROR(
INDEX(INDIRECT("数出表_Excel!"&amp;BY57&amp;MATCH(CD15,数出表_Excel!$A:$A,0)-1+2&amp;":U"&amp;MATCH(CD15,数出表_Excel!$A:$A,0)-1+2&amp;""),
 1,
 MATCH(TRUE, ISNUMBER(--INDIRECT("数出表_Excel!"&amp;BY57&amp;MATCH(CD15,数出表_Excel!$A:$A,0)-1+2&amp;":U"&amp;MATCH(CD15,数出表_Excel!$A:$A,0)-1+2&amp;"")), 0)),
 "")
+IFERROR(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""),
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""))),"")</f>
        <v/>
      </c>
      <c r="CA60" s="186"/>
      <c r="CB60" s="188" t="str">
        <f t="array" aca="1" ref="CB60" ca="1">IF(BZ16&lt;&gt;"",
IF(IFERROR(
INDEX(INDIRECT("数出表_Excel!B"&amp;MATCH(CD15,数出表_Excel!$A:$A,0)&amp;":U"&amp;MATCH(CD15,数出表_Excel!$A:$A,0)&amp;""),
 1,BY58-1),
 "")=0,"",
IFERROR(
INDEX(INDIRECT("数出表_Excel!B"&amp;MATCH(CD15,数出表_Excel!$A:$A,0)&amp;":U"&amp;MATCH(CD15,数出表_Excel!$A:$A,0)&amp;""),
 1,BY58-1),
 "")),"")</f>
        <v/>
      </c>
      <c r="CC60" s="186"/>
      <c r="CD60" s="101" t="e">
        <f t="array" aca="1" ref="CD60" ca="1">IF(BY17=100,
IF(BZ57&lt;&gt;"",
IF(IFERROR(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"")&lt;&gt;0,
IF(IFERROR(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"")="",
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""),
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"")),0),""),0)</f>
        <v>#N/A</v>
      </c>
      <c r="CF60" s="90"/>
      <c r="CG60" s="185" t="str">
        <f t="array" aca="1" ref="CG60" ca="1">IF(CG58&lt;&gt;"",
IF(IFERROR(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"")=0,"",
IF(CF17=100,
IFERROR(
INDEX(INDIRECT("数出表_Excel!"&amp;CF57&amp;MATCH(CK15,数出表_Excel!$A:$A,0)-1+2&amp;":U"&amp;MATCH(CK15,数出表_Excel!$A:$A,0)-1+2&amp;""),
 1,
 MATCH(TRUE, ISNUMBER(--INDIRECT("数出表_Excel!"&amp;CF57&amp;MATCH(CK15,数出表_Excel!$A:$A,0)-1+2&amp;":U"&amp;MATCH(CK15,数出表_Excel!$A:$A,0)-1+2&amp;"")), 0)),
 "")
+IFERROR(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""),
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""))),"")</f>
        <v/>
      </c>
      <c r="CH60" s="186"/>
      <c r="CI60" s="188" t="str">
        <f t="array" aca="1" ref="CI60" ca="1">IF(CG16&lt;&gt;"",
IF(IFERROR(
INDEX(INDIRECT("数出表_Excel!B"&amp;MATCH(CK15,数出表_Excel!$A:$A,0)&amp;":U"&amp;MATCH(CK15,数出表_Excel!$A:$A,0)&amp;""),
 1,CF58-1),
 "")=0,"",
IFERROR(
INDEX(INDIRECT("数出表_Excel!B"&amp;MATCH(CK15,数出表_Excel!$A:$A,0)&amp;":U"&amp;MATCH(CK15,数出表_Excel!$A:$A,0)&amp;""),
 1,CF58-1),
 "")),"")</f>
        <v/>
      </c>
      <c r="CJ60" s="186"/>
      <c r="CK60" s="101" t="e">
        <f t="array" aca="1" ref="CK60" ca="1">IF(CF17=100,
IF(CG57&lt;&gt;"",
IF(IFERROR(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"")&lt;&gt;0,
IF(IFERROR(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"")="",
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""),
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"")),0),""),0)</f>
        <v>#N/A</v>
      </c>
      <c r="CN60" s="90"/>
      <c r="CO60" s="185" t="str">
        <f t="array" aca="1" ref="CO60" ca="1">IF(CO58&lt;&gt;"",
IF(IFERROR(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"")=0,"",
IF(CN17=100,
IFERROR(
INDEX(INDIRECT("数出表_Excel!"&amp;CN57&amp;MATCH(CS15,数出表_Excel!$A:$A,0)-1+2&amp;":U"&amp;MATCH(CS15,数出表_Excel!$A:$A,0)-1+2&amp;""),
 1,
 MATCH(TRUE, ISNUMBER(--INDIRECT("数出表_Excel!"&amp;CN57&amp;MATCH(CS15,数出表_Excel!$A:$A,0)-1+2&amp;":U"&amp;MATCH(CS15,数出表_Excel!$A:$A,0)-1+2&amp;"")), 0)),
 "")
+IFERROR(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""),
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""))),"")</f>
        <v/>
      </c>
      <c r="CP60" s="186"/>
      <c r="CQ60" s="188" t="str">
        <f t="array" aca="1" ref="CQ60" ca="1">IF(CO16&lt;&gt;"",
IF(IFERROR(
INDEX(INDIRECT("数出表_Excel!B"&amp;MATCH(CS15,数出表_Excel!$A:$A,0)&amp;":U"&amp;MATCH(CS15,数出表_Excel!$A:$A,0)&amp;""),
 1,CN58-1),
 "")=0,"",
IFERROR(
INDEX(INDIRECT("数出表_Excel!B"&amp;MATCH(CS15,数出表_Excel!$A:$A,0)&amp;":U"&amp;MATCH(CS15,数出表_Excel!$A:$A,0)&amp;""),
 1,CN58-1),
 "")),"")</f>
        <v/>
      </c>
      <c r="CR60" s="186"/>
      <c r="CS60" s="101" t="e">
        <f t="array" aca="1" ref="CS60" ca="1">IF(CN17=100,
IF(CO57&lt;&gt;"",
IF(IFERROR(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"")&lt;&gt;0,
IF(IFERROR(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"")="",
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""),
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"")),0),""),0)</f>
        <v>#N/A</v>
      </c>
      <c r="CU60" s="90"/>
      <c r="CV60" s="185" t="str">
        <f t="array" aca="1" ref="CV60" ca="1">IF(CV58&lt;&gt;"",
IF(IFERROR(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"")=0,"",
IF(CU17=100,
IFERROR(
INDEX(INDIRECT("数出表_Excel!"&amp;CU57&amp;MATCH(CZ15,数出表_Excel!$A:$A,0)-1+2&amp;":U"&amp;MATCH(CZ15,数出表_Excel!$A:$A,0)-1+2&amp;""),
 1,
 MATCH(TRUE, ISNUMBER(--INDIRECT("数出表_Excel!"&amp;CU57&amp;MATCH(CZ15,数出表_Excel!$A:$A,0)-1+2&amp;":U"&amp;MATCH(CZ15,数出表_Excel!$A:$A,0)-1+2&amp;"")), 0)),
 "")
+IFERROR(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""),
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""))),"")</f>
        <v/>
      </c>
      <c r="CW60" s="186"/>
      <c r="CX60" s="188" t="str">
        <f t="array" aca="1" ref="CX60" ca="1">IF(CV16&lt;&gt;"",
IF(IFERROR(
INDEX(INDIRECT("数出表_Excel!B"&amp;MATCH(CZ15,数出表_Excel!$A:$A,0)&amp;":U"&amp;MATCH(CZ15,数出表_Excel!$A:$A,0)&amp;""),
 1,CU58-1),
 "")=0,"",
IFERROR(
INDEX(INDIRECT("数出表_Excel!B"&amp;MATCH(CZ15,数出表_Excel!$A:$A,0)&amp;":U"&amp;MATCH(CZ15,数出表_Excel!$A:$A,0)&amp;""),
 1,CU58-1),
 "")),"")</f>
        <v/>
      </c>
      <c r="CY60" s="186"/>
      <c r="CZ60" s="101" t="e">
        <f t="array" aca="1" ref="CZ60" ca="1">IF(CU17=100,
IF(CV57&lt;&gt;"",
IF(IFERROR(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"")&lt;&gt;0,
IF(IFERROR(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"")="",
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""),
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"")),0),""),0)</f>
        <v>#N/A</v>
      </c>
      <c r="DC60" s="90"/>
      <c r="DD60" s="185" t="str">
        <f t="array" aca="1" ref="DD60" ca="1">IF(DD58&lt;&gt;"",
IF(IFERROR(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"")=0,"",
IF(DC17=100,
IFERROR(
INDEX(INDIRECT("数出表_Excel!"&amp;DC57&amp;MATCH(DH15,数出表_Excel!$A:$A,0)-1+2&amp;":U"&amp;MATCH(DH15,数出表_Excel!$A:$A,0)-1+2&amp;""),
 1,
 MATCH(TRUE, ISNUMBER(--INDIRECT("数出表_Excel!"&amp;DC57&amp;MATCH(DH15,数出表_Excel!$A:$A,0)-1+2&amp;":U"&amp;MATCH(DH15,数出表_Excel!$A:$A,0)-1+2&amp;"")), 0)),
 "")
+IFERROR(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""),
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""))),"")</f>
        <v/>
      </c>
      <c r="DE60" s="186"/>
      <c r="DF60" s="188" t="str">
        <f t="array" aca="1" ref="DF60" ca="1">IF(DD16&lt;&gt;"",
IF(IFERROR(
INDEX(INDIRECT("数出表_Excel!B"&amp;MATCH(DH15,数出表_Excel!$A:$A,0)&amp;":U"&amp;MATCH(DH15,数出表_Excel!$A:$A,0)&amp;""),
 1,DC58-1),
 "")=0,"",
IFERROR(
INDEX(INDIRECT("数出表_Excel!B"&amp;MATCH(DH15,数出表_Excel!$A:$A,0)&amp;":U"&amp;MATCH(DH15,数出表_Excel!$A:$A,0)&amp;""),
 1,DC58-1),
 "")),"")</f>
        <v/>
      </c>
      <c r="DG60" s="186"/>
      <c r="DH60" s="101" t="e">
        <f t="array" aca="1" ref="DH60" ca="1">IF(DC17=100,
IF(DD57&lt;&gt;"",
IF(IFERROR(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"")&lt;&gt;0,
IF(IFERROR(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"")="",
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""),
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"")),0),""),0)</f>
        <v>#N/A</v>
      </c>
      <c r="DJ60" s="90"/>
      <c r="DK60" s="185" t="str">
        <f t="array" aca="1" ref="DK60" ca="1">IF(DK58&lt;&gt;"",
IF(IFERROR(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"")=0,"",
IF(DJ17=100,
IFERROR(
INDEX(INDIRECT("数出表_Excel!"&amp;DJ57&amp;MATCH(DO15,数出表_Excel!$A:$A,0)-1+2&amp;":U"&amp;MATCH(DO15,数出表_Excel!$A:$A,0)-1+2&amp;""),
 1,
 MATCH(TRUE, ISNUMBER(--INDIRECT("数出表_Excel!"&amp;DJ57&amp;MATCH(DO15,数出表_Excel!$A:$A,0)-1+2&amp;":U"&amp;MATCH(DO15,数出表_Excel!$A:$A,0)-1+2&amp;"")), 0)),
 "")
+IFERROR(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""),
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""))),"")</f>
        <v/>
      </c>
      <c r="DL60" s="186"/>
      <c r="DM60" s="188" t="str">
        <f t="array" aca="1" ref="DM60" ca="1">IF(DK16&lt;&gt;"",
IF(IFERROR(
INDEX(INDIRECT("数出表_Excel!B"&amp;MATCH(DO15,数出表_Excel!$A:$A,0)&amp;":U"&amp;MATCH(DO15,数出表_Excel!$A:$A,0)&amp;""),
 1,DJ58-1),
 "")=0,"",
IFERROR(
INDEX(INDIRECT("数出表_Excel!B"&amp;MATCH(DO15,数出表_Excel!$A:$A,0)&amp;":U"&amp;MATCH(DO15,数出表_Excel!$A:$A,0)&amp;""),
 1,DJ58-1),
 "")),"")</f>
        <v/>
      </c>
      <c r="DN60" s="186"/>
      <c r="DO60" s="101" t="e">
        <f t="array" aca="1" ref="DO60" ca="1">IF(DJ17=100,
IF(DK57&lt;&gt;"",
IF(IFERROR(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"")&lt;&gt;0,
IF(IFERROR(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"")="",
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""),
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"")),0),""),0)</f>
        <v>#N/A</v>
      </c>
      <c r="DR60" s="90"/>
      <c r="DS60" s="185" t="str">
        <f t="array" aca="1" ref="DS60" ca="1">IF(DS58&lt;&gt;"",
IF(IFERROR(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"")=0,"",
IF(DR17=100,
IFERROR(
INDEX(INDIRECT("数出表_Excel!"&amp;DR57&amp;MATCH(DW15,数出表_Excel!$A:$A,0)-1+2&amp;":U"&amp;MATCH(DW15,数出表_Excel!$A:$A,0)-1+2&amp;""),
 1,
 MATCH(TRUE, ISNUMBER(--INDIRECT("数出表_Excel!"&amp;DR57&amp;MATCH(DW15,数出表_Excel!$A:$A,0)-1+2&amp;":U"&amp;MATCH(DW15,数出表_Excel!$A:$A,0)-1+2&amp;"")), 0)),
 "")
+IFERROR(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""),
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""))),"")</f>
        <v/>
      </c>
      <c r="DT60" s="186"/>
      <c r="DU60" s="188" t="str">
        <f t="array" aca="1" ref="DU60" ca="1">IF(DS16&lt;&gt;"",
IF(IFERROR(
INDEX(INDIRECT("数出表_Excel!B"&amp;MATCH(DW15,数出表_Excel!$A:$A,0)&amp;":U"&amp;MATCH(DW15,数出表_Excel!$A:$A,0)&amp;""),
 1,DR58-1),
 "")=0,"",
IFERROR(
INDEX(INDIRECT("数出表_Excel!B"&amp;MATCH(DW15,数出表_Excel!$A:$A,0)&amp;":U"&amp;MATCH(DW15,数出表_Excel!$A:$A,0)&amp;""),
 1,DR58-1),
 "")),"")</f>
        <v/>
      </c>
      <c r="DV60" s="186"/>
      <c r="DW60" s="101" t="e">
        <f t="array" aca="1" ref="DW60" ca="1">IF(DR17=100,
IF(DS57&lt;&gt;"",
IF(IFERROR(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"")&lt;&gt;0,
IF(IFERROR(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"")="",
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""),
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"")),0),""),0)</f>
        <v>#N/A</v>
      </c>
      <c r="DY60" s="90"/>
      <c r="DZ60" s="185" t="str">
        <f t="array" aca="1" ref="DZ60" ca="1">IF(DZ58&lt;&gt;"",
IF(IFERROR(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"")=0,"",
IF(DY17=100,
IFERROR(
INDEX(INDIRECT("数出表_Excel!"&amp;DY57&amp;MATCH(ED15,数出表_Excel!$A:$A,0)-1+2&amp;":U"&amp;MATCH(ED15,数出表_Excel!$A:$A,0)-1+2&amp;""),
 1,
 MATCH(TRUE, ISNUMBER(--INDIRECT("数出表_Excel!"&amp;DY57&amp;MATCH(ED15,数出表_Excel!$A:$A,0)-1+2&amp;":U"&amp;MATCH(ED15,数出表_Excel!$A:$A,0)-1+2&amp;"")), 0)),
 "")
+IFERROR(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""),
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""))),"")</f>
        <v/>
      </c>
      <c r="EA60" s="186"/>
      <c r="EB60" s="188" t="str">
        <f t="array" aca="1" ref="EB60" ca="1">IF(DZ16&lt;&gt;"",
IF(IFERROR(
INDEX(INDIRECT("数出表_Excel!B"&amp;MATCH(ED15,数出表_Excel!$A:$A,0)&amp;":U"&amp;MATCH(ED15,数出表_Excel!$A:$A,0)&amp;""),
 1,DY58-1),
 "")=0,"",
IFERROR(
INDEX(INDIRECT("数出表_Excel!B"&amp;MATCH(ED15,数出表_Excel!$A:$A,0)&amp;":U"&amp;MATCH(ED15,数出表_Excel!$A:$A,0)&amp;""),
 1,DY58-1),
 "")),"")</f>
        <v/>
      </c>
      <c r="EC60" s="186"/>
      <c r="ED60" s="101" t="e">
        <f t="array" aca="1" ref="ED60" ca="1">IF(DY17=100,
IF(DZ57&lt;&gt;"",
IF(IFERROR(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"")&lt;&gt;0,
IF(IFERROR(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"")="",
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""),
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"")),0),""),0)</f>
        <v>#N/A</v>
      </c>
      <c r="EG60" s="90"/>
      <c r="EH60" s="185" t="str">
        <f t="array" aca="1" ref="EH60" ca="1">IF(EH58&lt;&gt;"",
IF(IFERROR(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"")=0,"",
IF(EG17=100,
IFERROR(
INDEX(INDIRECT("数出表_Excel!"&amp;EG57&amp;MATCH(EL15,数出表_Excel!$A:$A,0)-1+2&amp;":U"&amp;MATCH(EL15,数出表_Excel!$A:$A,0)-1+2&amp;""),
 1,
 MATCH(TRUE, ISNUMBER(--INDIRECT("数出表_Excel!"&amp;EG57&amp;MATCH(EL15,数出表_Excel!$A:$A,0)-1+2&amp;":U"&amp;MATCH(EL15,数出表_Excel!$A:$A,0)-1+2&amp;"")), 0)),
 "")
+IFERROR(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""),
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""))),"")</f>
        <v/>
      </c>
      <c r="EI60" s="186"/>
      <c r="EJ60" s="188" t="str">
        <f t="array" aca="1" ref="EJ60" ca="1">IF(EH16&lt;&gt;"",
IF(IFERROR(
INDEX(INDIRECT("数出表_Excel!B"&amp;MATCH(EL15,数出表_Excel!$A:$A,0)&amp;":U"&amp;MATCH(EL15,数出表_Excel!$A:$A,0)&amp;""),
 1,EG58-1),
 "")=0,"",
IFERROR(
INDEX(INDIRECT("数出表_Excel!B"&amp;MATCH(EL15,数出表_Excel!$A:$A,0)&amp;":U"&amp;MATCH(EL15,数出表_Excel!$A:$A,0)&amp;""),
 1,EG58-1),
 "")),"")</f>
        <v/>
      </c>
      <c r="EK60" s="186"/>
      <c r="EL60" s="101" t="e">
        <f t="array" aca="1" ref="EL60" ca="1">IF(EG17=100,
IF(EH57&lt;&gt;"",
IF(IFERROR(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"")&lt;&gt;0,
IF(IFERROR(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"")="",
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""),
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"")),0),""),0)</f>
        <v>#N/A</v>
      </c>
      <c r="EN60" s="90"/>
      <c r="EO60" s="185" t="str">
        <f t="array" aca="1" ref="EO60" ca="1">IF(EO58&lt;&gt;"",
IF(IFERROR(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"")=0,"",
IF(EN17=100,
IFERROR(
INDEX(INDIRECT("数出表_Excel!"&amp;EN57&amp;MATCH(ES15,数出表_Excel!$A:$A,0)-1+2&amp;":U"&amp;MATCH(ES15,数出表_Excel!$A:$A,0)-1+2&amp;""),
 1,
 MATCH(TRUE, ISNUMBER(--INDIRECT("数出表_Excel!"&amp;EN57&amp;MATCH(ES15,数出表_Excel!$A:$A,0)-1+2&amp;":U"&amp;MATCH(ES15,数出表_Excel!$A:$A,0)-1+2&amp;"")), 0)),
 "")
+IFERROR(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""),
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""))),"")</f>
        <v/>
      </c>
      <c r="EP60" s="186"/>
      <c r="EQ60" s="188" t="str">
        <f t="array" aca="1" ref="EQ60" ca="1">IF(EO16&lt;&gt;"",
IF(IFERROR(
INDEX(INDIRECT("数出表_Excel!B"&amp;MATCH(ES15,数出表_Excel!$A:$A,0)&amp;":U"&amp;MATCH(ES15,数出表_Excel!$A:$A,0)&amp;""),
 1,EN58-1),
 "")=0,"",
IFERROR(
INDEX(INDIRECT("数出表_Excel!B"&amp;MATCH(ES15,数出表_Excel!$A:$A,0)&amp;":U"&amp;MATCH(ES15,数出表_Excel!$A:$A,0)&amp;""),
 1,EN58-1),
 "")),"")</f>
        <v/>
      </c>
      <c r="ER60" s="186"/>
      <c r="ES60" s="101" t="e">
        <f t="array" aca="1" ref="ES60" ca="1">IF(EN17=100,
IF(EO57&lt;&gt;"",
IF(IFERROR(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"")&lt;&gt;0,
IF(IFERROR(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"")="",
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""),
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"")),0),""),0)</f>
        <v>#N/A</v>
      </c>
      <c r="ET60" s="110"/>
      <c r="EU60" s="82">
        <f t="shared" si="4"/>
        <v>56</v>
      </c>
      <c r="EV60" s="82" t="str">
        <f t="array" aca="1" ref="EV60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LEN(SUBSTITUTE(_xlfn.FORMULATEXT(EV$51),"=","")))+$EU60)</f>
        <v/>
      </c>
      <c r="EW60" s="82" t="str">
        <f t="array" aca="1" ref="EW60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LEN(SUBSTITUTE(_xlfn.FORMULATEXT(EW$51),"=","")))+$EU60)</f>
        <v/>
      </c>
      <c r="EX60" s="82" t="str">
        <f t="array" aca="1" ref="EX60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LEN(SUBSTITUTE(_xlfn.FORMULATEXT(EX$51),"=","")))+$EU60)</f>
        <v/>
      </c>
      <c r="EY60" s="82" t="str">
        <f t="array" aca="1" ref="EY60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LEN(SUBSTITUTE(_xlfn.FORMULATEXT(EY$51),"=","")))+$EU60)</f>
        <v/>
      </c>
      <c r="EZ60" s="82" t="str">
        <f t="array" aca="1" ref="EZ60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LEN(SUBSTITUTE(_xlfn.FORMULATEXT(EZ$51),"=","")))+$EU60)</f>
        <v/>
      </c>
      <c r="FA60" s="82" t="str">
        <f t="array" aca="1" ref="FA60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LEN(SUBSTITUTE(_xlfn.FORMULATEXT(FA$51),"=","")))+$EU60)</f>
        <v/>
      </c>
      <c r="FB60" s="82" t="str">
        <f t="array" aca="1" ref="FB60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LEN(SUBSTITUTE(_xlfn.FORMULATEXT(FB$51),"=","")))+$EU60)</f>
        <v/>
      </c>
      <c r="FC60" s="82" t="str">
        <f t="array" aca="1" ref="FC60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LEN(SUBSTITUTE(_xlfn.FORMULATEXT(FC$51),"=","")))+$EU60)</f>
        <v/>
      </c>
      <c r="FD60" s="82" t="str">
        <f t="array" aca="1" ref="FD60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LEN(SUBSTITUTE(_xlfn.FORMULATEXT(FD$51),"=","")))+$EU60)</f>
        <v/>
      </c>
      <c r="FE60" s="82" t="str">
        <f t="array" aca="1" ref="FE60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LEN(SUBSTITUTE(_xlfn.FORMULATEXT(FE$51),"=","")))+$EU60)</f>
        <v/>
      </c>
      <c r="FF60" s="82" t="str">
        <f t="array" aca="1" ref="FF60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LEN(SUBSTITUTE(_xlfn.FORMULATEXT(FF$51),"=","")))+$EU60)</f>
        <v/>
      </c>
      <c r="FG60" s="82">
        <f t="shared" ca="1" si="3"/>
        <v>0</v>
      </c>
      <c r="FH60" s="82" t="b">
        <f t="array" aca="1" ref="FH60" ca="1">SUMPRODUCT((LEN(EV60:FF60)&gt;0)*1)&gt;0</f>
        <v>0</v>
      </c>
      <c r="FI60" s="82" t="str">
        <f t="array" aca="1" ref="FI60" ca="1">IFERROR(SMALL(IF(FG$1:FG$173&lt;&gt;0,FG$1:FG$173),ROW(A60)),"")</f>
        <v/>
      </c>
      <c r="FJ60" s="82" t="str">
        <f t="array" aca="1" ref="FJ60" ca="1">IF($FI60&lt;&gt;"",
INDIRECT(""&amp;IF(COLUMN(EV60)&lt;=26,CHAR(COLUMN(EV60)+64),CHAR(INT((COLUMN(EV60)-1)/26)+64)&amp;CHAR(MOD(COLUMN(EV60)-1,26)+65))&amp;$FI60&amp;""),"")</f>
        <v/>
      </c>
      <c r="FK60" s="82" t="str">
        <f t="array" aca="1" ref="FK60" ca="1">IF($FI60&lt;&gt;"",
INDIRECT(""&amp;IF(COLUMN(EW60)&lt;=26,CHAR(COLUMN(EW60)+64),CHAR(INT((COLUMN(EW60)-1)/26)+64)&amp;CHAR(MOD(COLUMN(EW60)-1,26)+65))&amp;$FI60&amp;""),"")</f>
        <v/>
      </c>
      <c r="FL60" s="82" t="str">
        <f t="array" aca="1" ref="FL60" ca="1">IF($FI60&lt;&gt;"",
INDIRECT(""&amp;IF(COLUMN(EX60)&lt;=26,CHAR(COLUMN(EX60)+64),CHAR(INT((COLUMN(EX60)-1)/26)+64)&amp;CHAR(MOD(COLUMN(EX60)-1,26)+65))&amp;$FI60&amp;""),"")</f>
        <v/>
      </c>
      <c r="FM60" s="82" t="str">
        <f t="array" aca="1" ref="FM60" ca="1">IF($FI60&lt;&gt;"",
IF(FL60="",
IF(INDIRECT("EY"&amp;$FI60&amp;"")&lt;&gt;"",
INDIRECT("EY"&amp;$FI60&amp;"")&amp;"箱"
&amp;INDIRECT("EZ"&amp;$FI60&amp;""),""),""),"")</f>
        <v/>
      </c>
      <c r="FN60" s="82" t="str">
        <f t="array" aca="1" ref="FN60" ca="1">IF($FI60&lt;&gt;"",
INDIRECT(""&amp;IF(COLUMN(FA60)&lt;=26,CHAR(COLUMN(FA60)+64),CHAR(INT((COLUMN(FA60)-1)/26)+64)&amp;CHAR(MOD(COLUMN(FA60)-1,26)+65))&amp;$FI60&amp;""),"")</f>
        <v/>
      </c>
      <c r="FO60" s="82" t="str">
        <f t="array" aca="1" ref="FO60" ca="1">IF($FI60&lt;&gt;"",
INDIRECT(""&amp;IF(COLUMN(FB60)&lt;=26,CHAR(COLUMN(FB60)+64),CHAR(INT((COLUMN(FB60)-1)/26)+64)&amp;CHAR(MOD(COLUMN(FB60)-1,26)+65))&amp;$FI60&amp;""),"")</f>
        <v/>
      </c>
      <c r="FP60" s="82" t="str">
        <f t="array" aca="1" ref="FP60" ca="1">IF($FI60&lt;&gt;"",
INDIRECT(""&amp;IF(COLUMN(FC60)&lt;=26,CHAR(COLUMN(FC60)+64),CHAR(INT((COLUMN(FC60)-1)/26)+64)&amp;CHAR(MOD(COLUMN(FC60)-1,26)+65))&amp;$FI60&amp;""),"")</f>
        <v/>
      </c>
      <c r="FQ60" s="82" t="str">
        <f t="array" aca="1" ref="FQ60" ca="1">IF($FI60&lt;&gt;"",
INDIRECT(""&amp;IF(COLUMN(FD60)&lt;=26,CHAR(COLUMN(FD60)+64),CHAR(INT((COLUMN(FD60)-1)/26)+64)&amp;CHAR(MOD(COLUMN(FD60)-1,26)+65))&amp;$FI60&amp;""),"")</f>
        <v/>
      </c>
      <c r="FR60" s="82" t="str">
        <f t="array" aca="1" ref="FR60" ca="1">IF($FI60&lt;&gt;"",
INDIRECT(""&amp;IF(COLUMN(FE60)&lt;=26,CHAR(COLUMN(FE60)+64),CHAR(INT((COLUMN(FE60)-1)/26)+64)&amp;CHAR(MOD(COLUMN(FE60)-1,26)+65))&amp;$FI60&amp;""),"")</f>
        <v/>
      </c>
      <c r="FS60" s="82" t="str">
        <f t="array" aca="1" ref="FS60" ca="1">IF($FI60&lt;&gt;"",
INDIRECT(""&amp;IF(COLUMN(FF60)&lt;=26,CHAR(COLUMN(FF60)+64),CHAR(INT((COLUMN(FF60)-1)/26)+64)&amp;CHAR(MOD(COLUMN(FF60)-1,26)+65))&amp;$FI60&amp;""),"")</f>
        <v/>
      </c>
    </row>
    <row r="61" spans="1:175" ht="18" customHeight="1" x14ac:dyDescent="0.45">
      <c r="B61" s="92"/>
      <c r="C61" s="187"/>
      <c r="D61" s="187"/>
      <c r="E61" s="187"/>
      <c r="F61" s="187"/>
      <c r="G61" s="102" t="str">
        <f>SUBSTITUTE(SUBSTITUTE(ADDRESS(1,MATCH("おやつ",'数出表_Excel（アレルギー入力）'!$3:$3,0)),1,""),"$","")</f>
        <v>AL</v>
      </c>
      <c r="I61" s="92"/>
      <c r="J61" s="187"/>
      <c r="K61" s="187"/>
      <c r="L61" s="187"/>
      <c r="M61" s="187"/>
      <c r="N61" s="102" t="str">
        <f>SUBSTITUTE(SUBSTITUTE(ADDRESS(1,MATCH("おやつ",'数出表_Excel（アレルギー入力）'!$3:$3,0)),1,""),"$","")</f>
        <v>AL</v>
      </c>
      <c r="Q61" s="92"/>
      <c r="R61" s="187"/>
      <c r="S61" s="187"/>
      <c r="T61" s="187"/>
      <c r="U61" s="187"/>
      <c r="V61" s="102" t="str">
        <f>SUBSTITUTE(SUBSTITUTE(ADDRESS(1,MATCH("おやつ",'数出表_Excel（アレルギー入力）'!$3:$3,0)),1,""),"$","")</f>
        <v>AL</v>
      </c>
      <c r="X61" s="92"/>
      <c r="Y61" s="187"/>
      <c r="Z61" s="187"/>
      <c r="AA61" s="187"/>
      <c r="AB61" s="187"/>
      <c r="AC61" s="102" t="str">
        <f>SUBSTITUTE(SUBSTITUTE(ADDRESS(1,MATCH("おやつ",'数出表_Excel（アレルギー入力）'!$3:$3,0)),1,""),"$","")</f>
        <v>AL</v>
      </c>
      <c r="AF61" s="92"/>
      <c r="AG61" s="187"/>
      <c r="AH61" s="187"/>
      <c r="AI61" s="187"/>
      <c r="AJ61" s="187"/>
      <c r="AK61" s="102" t="str">
        <f>SUBSTITUTE(SUBSTITUTE(ADDRESS(1,MATCH("おやつ",'数出表_Excel（アレルギー入力）'!$3:$3,0)),1,""),"$","")</f>
        <v>AL</v>
      </c>
      <c r="AM61" s="92"/>
      <c r="AN61" s="187"/>
      <c r="AO61" s="187"/>
      <c r="AP61" s="187"/>
      <c r="AQ61" s="187"/>
      <c r="AR61" s="102" t="str">
        <f>SUBSTITUTE(SUBSTITUTE(ADDRESS(1,MATCH("おやつ",'数出表_Excel（アレルギー入力）'!$3:$3,0)),1,""),"$","")</f>
        <v>AL</v>
      </c>
      <c r="AU61" s="92"/>
      <c r="AV61" s="187"/>
      <c r="AW61" s="187"/>
      <c r="AX61" s="187"/>
      <c r="AY61" s="187"/>
      <c r="AZ61" s="102" t="str">
        <f>SUBSTITUTE(SUBSTITUTE(ADDRESS(1,MATCH("おやつ",'数出表_Excel（アレルギー入力）'!$3:$3,0)),1,""),"$","")</f>
        <v>AL</v>
      </c>
      <c r="BB61" s="92"/>
      <c r="BC61" s="187"/>
      <c r="BD61" s="187"/>
      <c r="BE61" s="187"/>
      <c r="BF61" s="187"/>
      <c r="BG61" s="102" t="str">
        <f>SUBSTITUTE(SUBSTITUTE(ADDRESS(1,MATCH("おやつ",'数出表_Excel（アレルギー入力）'!$3:$3,0)),1,""),"$","")</f>
        <v>AL</v>
      </c>
      <c r="BJ61" s="92"/>
      <c r="BK61" s="187"/>
      <c r="BL61" s="187"/>
      <c r="BM61" s="187"/>
      <c r="BN61" s="187"/>
      <c r="BO61" s="102" t="str">
        <f>SUBSTITUTE(SUBSTITUTE(ADDRESS(1,MATCH("おやつ",'数出表_Excel（アレルギー入力）'!$3:$3,0)),1,""),"$","")</f>
        <v>AL</v>
      </c>
      <c r="BQ61" s="92"/>
      <c r="BR61" s="187"/>
      <c r="BS61" s="187"/>
      <c r="BT61" s="187"/>
      <c r="BU61" s="187"/>
      <c r="BV61" s="102" t="str">
        <f>SUBSTITUTE(SUBSTITUTE(ADDRESS(1,MATCH("おやつ",'数出表_Excel（アレルギー入力）'!$3:$3,0)),1,""),"$","")</f>
        <v>AL</v>
      </c>
      <c r="BY61" s="92"/>
      <c r="BZ61" s="187"/>
      <c r="CA61" s="187"/>
      <c r="CB61" s="187"/>
      <c r="CC61" s="187"/>
      <c r="CD61" s="102" t="str">
        <f>SUBSTITUTE(SUBSTITUTE(ADDRESS(1,MATCH("おやつ",'数出表_Excel（アレルギー入力）'!$3:$3,0)),1,""),"$","")</f>
        <v>AL</v>
      </c>
      <c r="CF61" s="92"/>
      <c r="CG61" s="187"/>
      <c r="CH61" s="187"/>
      <c r="CI61" s="187"/>
      <c r="CJ61" s="187"/>
      <c r="CK61" s="102" t="str">
        <f>SUBSTITUTE(SUBSTITUTE(ADDRESS(1,MATCH("おやつ",'数出表_Excel（アレルギー入力）'!$3:$3,0)),1,""),"$","")</f>
        <v>AL</v>
      </c>
      <c r="CN61" s="92"/>
      <c r="CO61" s="187"/>
      <c r="CP61" s="187"/>
      <c r="CQ61" s="187"/>
      <c r="CR61" s="187"/>
      <c r="CS61" s="102" t="str">
        <f>SUBSTITUTE(SUBSTITUTE(ADDRESS(1,MATCH("おやつ",'数出表_Excel（アレルギー入力）'!$3:$3,0)),1,""),"$","")</f>
        <v>AL</v>
      </c>
      <c r="CU61" s="92"/>
      <c r="CV61" s="187"/>
      <c r="CW61" s="187"/>
      <c r="CX61" s="187"/>
      <c r="CY61" s="187"/>
      <c r="CZ61" s="102" t="str">
        <f>SUBSTITUTE(SUBSTITUTE(ADDRESS(1,MATCH("おやつ",'数出表_Excel（アレルギー入力）'!$3:$3,0)),1,""),"$","")</f>
        <v>AL</v>
      </c>
      <c r="DC61" s="92"/>
      <c r="DD61" s="187"/>
      <c r="DE61" s="187"/>
      <c r="DF61" s="187"/>
      <c r="DG61" s="187"/>
      <c r="DH61" s="102" t="str">
        <f>SUBSTITUTE(SUBSTITUTE(ADDRESS(1,MATCH("おやつ",'数出表_Excel（アレルギー入力）'!$3:$3,0)),1,""),"$","")</f>
        <v>AL</v>
      </c>
      <c r="DJ61" s="92"/>
      <c r="DK61" s="187"/>
      <c r="DL61" s="187"/>
      <c r="DM61" s="187"/>
      <c r="DN61" s="187"/>
      <c r="DO61" s="102" t="str">
        <f>SUBSTITUTE(SUBSTITUTE(ADDRESS(1,MATCH("おやつ",'数出表_Excel（アレルギー入力）'!$3:$3,0)),1,""),"$","")</f>
        <v>AL</v>
      </c>
      <c r="DR61" s="92"/>
      <c r="DS61" s="187"/>
      <c r="DT61" s="187"/>
      <c r="DU61" s="187"/>
      <c r="DV61" s="187"/>
      <c r="DW61" s="102" t="str">
        <f>SUBSTITUTE(SUBSTITUTE(ADDRESS(1,MATCH("おやつ",'数出表_Excel（アレルギー入力）'!$3:$3,0)),1,""),"$","")</f>
        <v>AL</v>
      </c>
      <c r="DY61" s="92"/>
      <c r="DZ61" s="187"/>
      <c r="EA61" s="187"/>
      <c r="EB61" s="187"/>
      <c r="EC61" s="187"/>
      <c r="ED61" s="102" t="str">
        <f>SUBSTITUTE(SUBSTITUTE(ADDRESS(1,MATCH("おやつ",'数出表_Excel（アレルギー入力）'!$3:$3,0)),1,""),"$","")</f>
        <v>AL</v>
      </c>
      <c r="EG61" s="92"/>
      <c r="EH61" s="187"/>
      <c r="EI61" s="187"/>
      <c r="EJ61" s="187"/>
      <c r="EK61" s="187"/>
      <c r="EL61" s="102" t="str">
        <f>SUBSTITUTE(SUBSTITUTE(ADDRESS(1,MATCH("おやつ",'数出表_Excel（アレルギー入力）'!$3:$3,0)),1,""),"$","")</f>
        <v>AL</v>
      </c>
      <c r="EN61" s="92"/>
      <c r="EO61" s="187"/>
      <c r="EP61" s="187"/>
      <c r="EQ61" s="187"/>
      <c r="ER61" s="187"/>
      <c r="ES61" s="102" t="str">
        <f>SUBSTITUTE(SUBSTITUTE(ADDRESS(1,MATCH("おやつ",'数出表_Excel（アレルギー入力）'!$3:$3,0)),1,""),"$","")</f>
        <v>AL</v>
      </c>
      <c r="ET61" s="110"/>
      <c r="EU61" s="82">
        <f t="shared" si="4"/>
        <v>21</v>
      </c>
      <c r="EV61" s="82" t="str">
        <f t="array" aca="1" ref="EV61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LEN(SUBSTITUTE(_xlfn.FORMULATEXT(EV$49),"=","")))+$EU61)</f>
        <v/>
      </c>
      <c r="EW61" s="82" t="str">
        <f t="array" aca="1" ref="EW61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LEN(SUBSTITUTE(_xlfn.FORMULATEXT(EW$49),"=","")))+$EU61)</f>
        <v/>
      </c>
      <c r="EX61" s="82" t="str">
        <f t="array" aca="1" ref="EX61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LEN(SUBSTITUTE(_xlfn.FORMULATEXT(EX$49),"=","")))+$EU61)</f>
        <v/>
      </c>
      <c r="EY61" s="82" t="str">
        <f t="array" aca="1" ref="EY61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LEN(SUBSTITUTE(_xlfn.FORMULATEXT(EY$49),"=","")))+$EU61)</f>
        <v/>
      </c>
      <c r="EZ61" s="82" t="str">
        <f t="array" aca="1" ref="EZ61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LEN(SUBSTITUTE(_xlfn.FORMULATEXT(EZ$49),"=","")))+$EU61)</f>
        <v/>
      </c>
      <c r="FA61" s="82" t="e">
        <f t="array" aca="1" ref="FA61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LEN(SUBSTITUTE(_xlfn.FORMULATEXT(FA$49),"=","")))+$EU61)</f>
        <v>#VALUE!</v>
      </c>
      <c r="FB61" s="82" t="str">
        <f t="array" aca="1" ref="FB61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LEN(SUBSTITUTE(_xlfn.FORMULATEXT(FB$49),"=","")))+$EU61)</f>
        <v/>
      </c>
      <c r="FC61" s="82" t="str">
        <f t="array" aca="1" ref="FC61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LEN(SUBSTITUTE(_xlfn.FORMULATEXT(FC$49),"=","")))+$EU61)</f>
        <v/>
      </c>
      <c r="FD61" s="82" t="e">
        <f t="array" aca="1" ref="FD61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LEN(SUBSTITUTE(_xlfn.FORMULATEXT(FD$49),"=","")))+$EU61)</f>
        <v>#VALUE!</v>
      </c>
      <c r="FE61" s="82" t="str">
        <f t="array" aca="1" ref="FE61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LEN(SUBSTITUTE(_xlfn.FORMULATEXT(FE$49),"=","")))+$EU61)</f>
        <v/>
      </c>
      <c r="FF61" s="82" t="e">
        <f t="array" aca="1" ref="FF61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LEN(SUBSTITUTE(_xlfn.FORMULATEXT(FF$49),"=","")))+$EU61)</f>
        <v>#N/A</v>
      </c>
      <c r="FG61" s="82">
        <f t="shared" ca="1" si="3"/>
        <v>0</v>
      </c>
      <c r="FH61" s="82" t="e">
        <f t="array" aca="1" ref="FH61" ca="1">SUMPRODUCT((LEN(EV61:FF61)&gt;0)*1)&gt;0</f>
        <v>#VALUE!</v>
      </c>
      <c r="FI61" s="82" t="str">
        <f t="array" aca="1" ref="FI61" ca="1">IFERROR(SMALL(IF(FG$1:FG$173&lt;&gt;0,FG$1:FG$173),ROW(A61)),"")</f>
        <v/>
      </c>
      <c r="FJ61" s="82" t="str">
        <f t="array" aca="1" ref="FJ61" ca="1">IF($FI61&lt;&gt;"",
INDIRECT(""&amp;IF(COLUMN(EV61)&lt;=26,CHAR(COLUMN(EV61)+64),CHAR(INT((COLUMN(EV61)-1)/26)+64)&amp;CHAR(MOD(COLUMN(EV61)-1,26)+65))&amp;$FI61&amp;""),"")</f>
        <v/>
      </c>
      <c r="FK61" s="82" t="str">
        <f t="array" aca="1" ref="FK61" ca="1">IF($FI61&lt;&gt;"",
INDIRECT(""&amp;IF(COLUMN(EW61)&lt;=26,CHAR(COLUMN(EW61)+64),CHAR(INT((COLUMN(EW61)-1)/26)+64)&amp;CHAR(MOD(COLUMN(EW61)-1,26)+65))&amp;$FI61&amp;""),"")</f>
        <v/>
      </c>
      <c r="FL61" s="82" t="str">
        <f t="array" aca="1" ref="FL61" ca="1">IF($FI61&lt;&gt;"",
INDIRECT(""&amp;IF(COLUMN(EX61)&lt;=26,CHAR(COLUMN(EX61)+64),CHAR(INT((COLUMN(EX61)-1)/26)+64)&amp;CHAR(MOD(COLUMN(EX61)-1,26)+65))&amp;$FI61&amp;""),"")</f>
        <v/>
      </c>
      <c r="FM61" s="82" t="str">
        <f t="array" aca="1" ref="FM61" ca="1">IF($FI61&lt;&gt;"",
IF(FL61="",
IF(INDIRECT("EY"&amp;$FI61&amp;"")&lt;&gt;"",
INDIRECT("EY"&amp;$FI61&amp;"")&amp;"箱"
&amp;INDIRECT("EZ"&amp;$FI61&amp;""),""),""),"")</f>
        <v/>
      </c>
      <c r="FN61" s="82" t="str">
        <f t="array" aca="1" ref="FN61" ca="1">IF($FI61&lt;&gt;"",
INDIRECT(""&amp;IF(COLUMN(FA61)&lt;=26,CHAR(COLUMN(FA61)+64),CHAR(INT((COLUMN(FA61)-1)/26)+64)&amp;CHAR(MOD(COLUMN(FA61)-1,26)+65))&amp;$FI61&amp;""),"")</f>
        <v/>
      </c>
      <c r="FO61" s="82" t="str">
        <f t="array" aca="1" ref="FO61" ca="1">IF($FI61&lt;&gt;"",
INDIRECT(""&amp;IF(COLUMN(FB61)&lt;=26,CHAR(COLUMN(FB61)+64),CHAR(INT((COLUMN(FB61)-1)/26)+64)&amp;CHAR(MOD(COLUMN(FB61)-1,26)+65))&amp;$FI61&amp;""),"")</f>
        <v/>
      </c>
      <c r="FP61" s="82" t="str">
        <f t="array" aca="1" ref="FP61" ca="1">IF($FI61&lt;&gt;"",
INDIRECT(""&amp;IF(COLUMN(FC61)&lt;=26,CHAR(COLUMN(FC61)+64),CHAR(INT((COLUMN(FC61)-1)/26)+64)&amp;CHAR(MOD(COLUMN(FC61)-1,26)+65))&amp;$FI61&amp;""),"")</f>
        <v/>
      </c>
      <c r="FQ61" s="82" t="str">
        <f t="array" aca="1" ref="FQ61" ca="1">IF($FI61&lt;&gt;"",
INDIRECT(""&amp;IF(COLUMN(FD61)&lt;=26,CHAR(COLUMN(FD61)+64),CHAR(INT((COLUMN(FD61)-1)/26)+64)&amp;CHAR(MOD(COLUMN(FD61)-1,26)+65))&amp;$FI61&amp;""),"")</f>
        <v/>
      </c>
      <c r="FR61" s="82" t="str">
        <f t="array" aca="1" ref="FR61" ca="1">IF($FI61&lt;&gt;"",
INDIRECT(""&amp;IF(COLUMN(FE61)&lt;=26,CHAR(COLUMN(FE61)+64),CHAR(INT((COLUMN(FE61)-1)/26)+64)&amp;CHAR(MOD(COLUMN(FE61)-1,26)+65))&amp;$FI61&amp;""),"")</f>
        <v/>
      </c>
      <c r="FS61" s="82" t="str">
        <f t="array" aca="1" ref="FS61" ca="1">IF($FI61&lt;&gt;"",
INDIRECT(""&amp;IF(COLUMN(FF61)&lt;=26,CHAR(COLUMN(FF61)+64),CHAR(INT((COLUMN(FF61)-1)/26)+64)&amp;CHAR(MOD(COLUMN(FF61)-1,26)+65))&amp;$FI61&amp;""),"")</f>
        <v/>
      </c>
    </row>
    <row r="62" spans="1:175" s="82" customFormat="1" ht="22.2" customHeight="1" x14ac:dyDescent="0.55000000000000004">
      <c r="A62" s="80"/>
      <c r="B62" s="93" t="str">
        <f ca="1">IF(C60&lt;&gt;"","パン箱","")</f>
        <v/>
      </c>
      <c r="C62" s="94" t="str">
        <f ca="1">IF(C60&lt;&gt;"",IF(OR(COUNTIF('盛付札（関数）'!C58,"*キャラ*"),COUNTIF('盛付札（関数）'!C58,"*赤*")),24,
VLOOKUP('盛付札（関数）'!C58,商品マスタ一覧!$D:$I,6,FALSE)),"")</f>
        <v/>
      </c>
      <c r="D62" s="93" t="str">
        <f ca="1">IF(C60&lt;&gt;"","　端数","")</f>
        <v/>
      </c>
      <c r="E62" s="94"/>
      <c r="F62" s="93" t="str">
        <f ca="1">IF(C60&lt;&gt;"","アレルギー","")</f>
        <v/>
      </c>
      <c r="G62" s="101"/>
      <c r="H62" s="80"/>
      <c r="I62" s="93" t="str">
        <f ca="1">IF(J60&lt;&gt;"","パン箱","")</f>
        <v/>
      </c>
      <c r="J62" s="94" t="str">
        <f ca="1">IF(J60&lt;&gt;"",IF(OR(COUNTIF('盛付札（関数）'!J58,"*キャラ*"),COUNTIF('盛付札（関数）'!J58,"*赤*")),24,
VLOOKUP('盛付札（関数）'!J58,商品マスタ一覧!$D:$I,6,FALSE)),"")</f>
        <v/>
      </c>
      <c r="K62" s="93" t="str">
        <f ca="1">IF(J60&lt;&gt;"","　端数","")</f>
        <v/>
      </c>
      <c r="L62" s="94"/>
      <c r="M62" s="93" t="str">
        <f ca="1">IF(J60&lt;&gt;"","アレルギー","")</f>
        <v/>
      </c>
      <c r="N62" s="97"/>
      <c r="O62" s="80"/>
      <c r="P62" s="80"/>
      <c r="Q62" s="93" t="str">
        <f ca="1">IF(R60&lt;&gt;"","パン箱","")</f>
        <v/>
      </c>
      <c r="R62" s="94" t="str">
        <f ca="1">IF(R60&lt;&gt;"",IF(OR(COUNTIF('盛付札（関数）'!R58,"*キャラ*"),COUNTIF('盛付札（関数）'!R58,"*赤*")),24,
VLOOKUP('盛付札（関数）'!R58,商品マスタ一覧!$D:$I,6,FALSE)),"")</f>
        <v/>
      </c>
      <c r="S62" s="93" t="str">
        <f ca="1">IF(R60&lt;&gt;"","　端数","")</f>
        <v/>
      </c>
      <c r="T62" s="94"/>
      <c r="U62" s="93" t="str">
        <f ca="1">IF(R60&lt;&gt;"","アレルギー","")</f>
        <v/>
      </c>
      <c r="V62" s="101"/>
      <c r="W62" s="80"/>
      <c r="X62" s="93" t="str">
        <f ca="1">IF(Y60&lt;&gt;"","パン箱","")</f>
        <v/>
      </c>
      <c r="Y62" s="94" t="str">
        <f ca="1">IF(Y60&lt;&gt;"",IF(OR(COUNTIF('盛付札（関数）'!Y58,"*キャラ*"),COUNTIF('盛付札（関数）'!Y58,"*赤*")),24,
VLOOKUP('盛付札（関数）'!Y58,商品マスタ一覧!$D:$I,6,FALSE)),"")</f>
        <v/>
      </c>
      <c r="Z62" s="93" t="str">
        <f ca="1">IF(Y60&lt;&gt;"","　端数","")</f>
        <v/>
      </c>
      <c r="AA62" s="94"/>
      <c r="AB62" s="93" t="str">
        <f ca="1">IF(Y60&lt;&gt;"","アレルギー","")</f>
        <v/>
      </c>
      <c r="AC62" s="97"/>
      <c r="AD62" s="80"/>
      <c r="AE62" s="80"/>
      <c r="AF62" s="93" t="str">
        <f ca="1">IF(AG60&lt;&gt;"","パン箱","")</f>
        <v/>
      </c>
      <c r="AG62" s="94" t="str">
        <f ca="1">IF(AG60&lt;&gt;"",IF(OR(COUNTIF('盛付札（関数）'!AG58,"*キャラ*"),COUNTIF('盛付札（関数）'!AG58,"*赤*")),24,
VLOOKUP('盛付札（関数）'!AG58,商品マスタ一覧!$D:$I,6,FALSE)),"")</f>
        <v/>
      </c>
      <c r="AH62" s="93" t="str">
        <f ca="1">IF(AG60&lt;&gt;"","　端数","")</f>
        <v/>
      </c>
      <c r="AI62" s="94"/>
      <c r="AJ62" s="93" t="str">
        <f ca="1">IF(AG60&lt;&gt;"","アレルギー","")</f>
        <v/>
      </c>
      <c r="AK62" s="101"/>
      <c r="AL62" s="80"/>
      <c r="AM62" s="93" t="str">
        <f ca="1">IF(AN60&lt;&gt;"","パン箱","")</f>
        <v/>
      </c>
      <c r="AN62" s="94" t="str">
        <f ca="1">IF(AN60&lt;&gt;"",IF(OR(COUNTIF('盛付札（関数）'!AN58,"*キャラ*"),COUNTIF('盛付札（関数）'!AN58,"*赤*")),24,
VLOOKUP('盛付札（関数）'!AN58,商品マスタ一覧!$D:$I,6,FALSE)),"")</f>
        <v/>
      </c>
      <c r="AO62" s="93" t="str">
        <f ca="1">IF(AN60&lt;&gt;"","　端数","")</f>
        <v/>
      </c>
      <c r="AP62" s="94"/>
      <c r="AQ62" s="93" t="str">
        <f ca="1">IF(AN60&lt;&gt;"","アレルギー","")</f>
        <v/>
      </c>
      <c r="AR62" s="97"/>
      <c r="AS62" s="80"/>
      <c r="AT62" s="80"/>
      <c r="AU62" s="93" t="str">
        <f ca="1">IF(AV60&lt;&gt;"","パン箱","")</f>
        <v/>
      </c>
      <c r="AV62" s="94" t="str">
        <f ca="1">IF(AV60&lt;&gt;"",IF(OR(COUNTIF('盛付札（関数）'!AV58,"*キャラ*"),COUNTIF('盛付札（関数）'!AV58,"*赤*")),24,
VLOOKUP('盛付札（関数）'!AV58,商品マスタ一覧!$D:$I,6,FALSE)),"")</f>
        <v/>
      </c>
      <c r="AW62" s="93" t="str">
        <f ca="1">IF(AV60&lt;&gt;"","　端数","")</f>
        <v/>
      </c>
      <c r="AX62" s="94"/>
      <c r="AY62" s="93" t="str">
        <f ca="1">IF(AV60&lt;&gt;"","アレルギー","")</f>
        <v/>
      </c>
      <c r="AZ62" s="101"/>
      <c r="BA62" s="80"/>
      <c r="BB62" s="93" t="str">
        <f ca="1">IF(BC60&lt;&gt;"","パン箱","")</f>
        <v/>
      </c>
      <c r="BC62" s="94" t="str">
        <f ca="1">IF(BC60&lt;&gt;"",IF(OR(COUNTIF('盛付札（関数）'!BC58,"*キャラ*"),COUNTIF('盛付札（関数）'!BC58,"*赤*")),24,
VLOOKUP('盛付札（関数）'!BC58,商品マスタ一覧!$D:$I,6,FALSE)),"")</f>
        <v/>
      </c>
      <c r="BD62" s="93" t="str">
        <f ca="1">IF(BC60&lt;&gt;"","　端数","")</f>
        <v/>
      </c>
      <c r="BE62" s="94"/>
      <c r="BF62" s="93" t="str">
        <f ca="1">IF(BC60&lt;&gt;"","アレルギー","")</f>
        <v/>
      </c>
      <c r="BG62" s="97"/>
      <c r="BH62" s="80"/>
      <c r="BI62" s="80"/>
      <c r="BJ62" s="93" t="str">
        <f ca="1">IF(BK60&lt;&gt;"","パン箱","")</f>
        <v/>
      </c>
      <c r="BK62" s="94" t="str">
        <f ca="1">IF(BK60&lt;&gt;"",IF(OR(COUNTIF('盛付札（関数）'!BK58,"*キャラ*"),COUNTIF('盛付札（関数）'!BK58,"*赤*")),24,
VLOOKUP('盛付札（関数）'!BK58,商品マスタ一覧!$D:$I,6,FALSE)),"")</f>
        <v/>
      </c>
      <c r="BL62" s="93" t="str">
        <f ca="1">IF(BK60&lt;&gt;"","　端数","")</f>
        <v/>
      </c>
      <c r="BM62" s="94"/>
      <c r="BN62" s="93" t="str">
        <f ca="1">IF(BK60&lt;&gt;"","アレルギー","")</f>
        <v/>
      </c>
      <c r="BO62" s="101"/>
      <c r="BP62" s="80"/>
      <c r="BQ62" s="93" t="str">
        <f ca="1">IF(BR60&lt;&gt;"","パン箱","")</f>
        <v/>
      </c>
      <c r="BR62" s="94" t="str">
        <f ca="1">IF(BR60&lt;&gt;"",IF(OR(COUNTIF('盛付札（関数）'!BR58,"*キャラ*"),COUNTIF('盛付札（関数）'!BR58,"*赤*")),24,
VLOOKUP('盛付札（関数）'!BR58,商品マスタ一覧!$D:$I,6,FALSE)),"")</f>
        <v/>
      </c>
      <c r="BS62" s="93" t="str">
        <f ca="1">IF(BR60&lt;&gt;"","　端数","")</f>
        <v/>
      </c>
      <c r="BT62" s="94"/>
      <c r="BU62" s="93" t="str">
        <f ca="1">IF(BR60&lt;&gt;"","アレルギー","")</f>
        <v/>
      </c>
      <c r="BV62" s="97"/>
      <c r="BW62" s="80"/>
      <c r="BX62" s="80"/>
      <c r="BY62" s="93" t="str">
        <f ca="1">IF(BZ60&lt;&gt;"","パン箱","")</f>
        <v/>
      </c>
      <c r="BZ62" s="94" t="str">
        <f ca="1">IF(BZ60&lt;&gt;"",IF(OR(COUNTIF('盛付札（関数）'!BZ58,"*キャラ*"),COUNTIF('盛付札（関数）'!BZ58,"*赤*")),24,
VLOOKUP('盛付札（関数）'!BZ58,商品マスタ一覧!$D:$I,6,FALSE)),"")</f>
        <v/>
      </c>
      <c r="CA62" s="93" t="str">
        <f ca="1">IF(BZ60&lt;&gt;"","　端数","")</f>
        <v/>
      </c>
      <c r="CB62" s="94"/>
      <c r="CC62" s="93" t="str">
        <f ca="1">IF(BZ60&lt;&gt;"","アレルギー","")</f>
        <v/>
      </c>
      <c r="CD62" s="101"/>
      <c r="CE62" s="80"/>
      <c r="CF62" s="93" t="str">
        <f ca="1">IF(CG60&lt;&gt;"","パン箱","")</f>
        <v/>
      </c>
      <c r="CG62" s="94" t="str">
        <f ca="1">IF(CG60&lt;&gt;"",IF(OR(COUNTIF('盛付札（関数）'!CG58,"*キャラ*"),COUNTIF('盛付札（関数）'!CG58,"*赤*")),24,
VLOOKUP('盛付札（関数）'!CG58,商品マスタ一覧!$D:$I,6,FALSE)),"")</f>
        <v/>
      </c>
      <c r="CH62" s="93" t="str">
        <f ca="1">IF(CG60&lt;&gt;"","　端数","")</f>
        <v/>
      </c>
      <c r="CI62" s="94"/>
      <c r="CJ62" s="93" t="str">
        <f ca="1">IF(CG60&lt;&gt;"","アレルギー","")</f>
        <v/>
      </c>
      <c r="CK62" s="97"/>
      <c r="CL62" s="80"/>
      <c r="CM62" s="80"/>
      <c r="CN62" s="93" t="str">
        <f ca="1">IF(CO60&lt;&gt;"","パン箱","")</f>
        <v/>
      </c>
      <c r="CO62" s="94" t="str">
        <f ca="1">IF(CO60&lt;&gt;"",IF(OR(COUNTIF('盛付札（関数）'!CO58,"*キャラ*"),COUNTIF('盛付札（関数）'!CO58,"*赤*")),24,
VLOOKUP('盛付札（関数）'!CO58,商品マスタ一覧!$D:$I,6,FALSE)),"")</f>
        <v/>
      </c>
      <c r="CP62" s="93" t="str">
        <f ca="1">IF(CO60&lt;&gt;"","　端数","")</f>
        <v/>
      </c>
      <c r="CQ62" s="94"/>
      <c r="CR62" s="93" t="str">
        <f ca="1">IF(CO60&lt;&gt;"","アレルギー","")</f>
        <v/>
      </c>
      <c r="CS62" s="101"/>
      <c r="CT62" s="80"/>
      <c r="CU62" s="93" t="str">
        <f ca="1">IF(CV60&lt;&gt;"","パン箱","")</f>
        <v/>
      </c>
      <c r="CV62" s="94" t="str">
        <f ca="1">IF(CV60&lt;&gt;"",IF(OR(COUNTIF('盛付札（関数）'!CV58,"*キャラ*"),COUNTIF('盛付札（関数）'!CV58,"*赤*")),24,
VLOOKUP('盛付札（関数）'!CV58,商品マスタ一覧!$D:$I,6,FALSE)),"")</f>
        <v/>
      </c>
      <c r="CW62" s="93" t="str">
        <f ca="1">IF(CV60&lt;&gt;"","　端数","")</f>
        <v/>
      </c>
      <c r="CX62" s="94"/>
      <c r="CY62" s="93" t="str">
        <f ca="1">IF(CV60&lt;&gt;"","アレルギー","")</f>
        <v/>
      </c>
      <c r="CZ62" s="97"/>
      <c r="DA62" s="80"/>
      <c r="DB62" s="80"/>
      <c r="DC62" s="93" t="str">
        <f ca="1">IF(DD60&lt;&gt;"","パン箱","")</f>
        <v/>
      </c>
      <c r="DD62" s="94" t="str">
        <f ca="1">IF(DD60&lt;&gt;"",IF(OR(COUNTIF('盛付札（関数）'!DD58,"*キャラ*"),COUNTIF('盛付札（関数）'!DD58,"*赤*")),24,
VLOOKUP('盛付札（関数）'!DD58,商品マスタ一覧!$D:$I,6,FALSE)),"")</f>
        <v/>
      </c>
      <c r="DE62" s="93" t="str">
        <f ca="1">IF(DD60&lt;&gt;"","　端数","")</f>
        <v/>
      </c>
      <c r="DF62" s="94"/>
      <c r="DG62" s="93" t="str">
        <f ca="1">IF(DD60&lt;&gt;"","アレルギー","")</f>
        <v/>
      </c>
      <c r="DH62" s="101"/>
      <c r="DI62" s="80"/>
      <c r="DJ62" s="93" t="str">
        <f ca="1">IF(DK60&lt;&gt;"","パン箱","")</f>
        <v/>
      </c>
      <c r="DK62" s="94" t="str">
        <f ca="1">IF(DK60&lt;&gt;"",IF(OR(COUNTIF('盛付札（関数）'!DK58,"*キャラ*"),COUNTIF('盛付札（関数）'!DK58,"*赤*")),24,
VLOOKUP('盛付札（関数）'!DK58,商品マスタ一覧!$D:$I,6,FALSE)),"")</f>
        <v/>
      </c>
      <c r="DL62" s="93" t="str">
        <f ca="1">IF(DK60&lt;&gt;"","　端数","")</f>
        <v/>
      </c>
      <c r="DM62" s="94"/>
      <c r="DN62" s="93" t="str">
        <f ca="1">IF(DK60&lt;&gt;"","アレルギー","")</f>
        <v/>
      </c>
      <c r="DO62" s="97"/>
      <c r="DP62" s="80"/>
      <c r="DQ62" s="80"/>
      <c r="DR62" s="93" t="str">
        <f ca="1">IF(DS60&lt;&gt;"","パン箱","")</f>
        <v/>
      </c>
      <c r="DS62" s="94" t="str">
        <f ca="1">IF(DS60&lt;&gt;"",IF(OR(COUNTIF('盛付札（関数）'!DS58,"*キャラ*"),COUNTIF('盛付札（関数）'!DS58,"*赤*")),24,
VLOOKUP('盛付札（関数）'!DS58,商品マスタ一覧!$D:$I,6,FALSE)),"")</f>
        <v/>
      </c>
      <c r="DT62" s="93" t="str">
        <f ca="1">IF(DS60&lt;&gt;"","　端数","")</f>
        <v/>
      </c>
      <c r="DU62" s="94"/>
      <c r="DV62" s="93" t="str">
        <f ca="1">IF(DS60&lt;&gt;"","アレルギー","")</f>
        <v/>
      </c>
      <c r="DW62" s="101"/>
      <c r="DX62" s="80"/>
      <c r="DY62" s="93" t="str">
        <f ca="1">IF(DZ60&lt;&gt;"","パン箱","")</f>
        <v/>
      </c>
      <c r="DZ62" s="94" t="str">
        <f ca="1">IF(DZ60&lt;&gt;"",IF(OR(COUNTIF('盛付札（関数）'!DZ58,"*キャラ*"),COUNTIF('盛付札（関数）'!DZ58,"*赤*")),24,
VLOOKUP('盛付札（関数）'!DZ58,商品マスタ一覧!$D:$I,6,FALSE)),"")</f>
        <v/>
      </c>
      <c r="EA62" s="93" t="str">
        <f ca="1">IF(DZ60&lt;&gt;"","　端数","")</f>
        <v/>
      </c>
      <c r="EB62" s="94"/>
      <c r="EC62" s="93" t="str">
        <f ca="1">IF(DZ60&lt;&gt;"","アレルギー","")</f>
        <v/>
      </c>
      <c r="ED62" s="97"/>
      <c r="EE62" s="80"/>
      <c r="EF62" s="80"/>
      <c r="EG62" s="93" t="str">
        <f ca="1">IF(EH60&lt;&gt;"","パン箱","")</f>
        <v/>
      </c>
      <c r="EH62" s="94" t="str">
        <f ca="1">IF(EH60&lt;&gt;"",IF(OR(COUNTIF('盛付札（関数）'!EH58,"*キャラ*"),COUNTIF('盛付札（関数）'!EH58,"*赤*")),24,
VLOOKUP('盛付札（関数）'!EH58,商品マスタ一覧!$D:$I,6,FALSE)),"")</f>
        <v/>
      </c>
      <c r="EI62" s="93" t="str">
        <f ca="1">IF(EH60&lt;&gt;"","　端数","")</f>
        <v/>
      </c>
      <c r="EJ62" s="94"/>
      <c r="EK62" s="93" t="str">
        <f ca="1">IF(EH60&lt;&gt;"","アレルギー","")</f>
        <v/>
      </c>
      <c r="EL62" s="101"/>
      <c r="EM62" s="80"/>
      <c r="EN62" s="93" t="str">
        <f ca="1">IF(EO60&lt;&gt;"","パン箱","")</f>
        <v/>
      </c>
      <c r="EO62" s="94" t="str">
        <f ca="1">IF(EO60&lt;&gt;"",IF(OR(COUNTIF('盛付札（関数）'!EO58,"*キャラ*"),COUNTIF('盛付札（関数）'!EO58,"*赤*")),24,
VLOOKUP('盛付札（関数）'!EO58,商品マスタ一覧!$D:$I,6,FALSE)),"")</f>
        <v/>
      </c>
      <c r="EP62" s="93" t="str">
        <f ca="1">IF(EO60&lt;&gt;"","　端数","")</f>
        <v/>
      </c>
      <c r="EQ62" s="94"/>
      <c r="ER62" s="93" t="str">
        <f ca="1">IF(EO60&lt;&gt;"","アレルギー","")</f>
        <v/>
      </c>
      <c r="ES62" s="97"/>
      <c r="ET62" s="110"/>
      <c r="EU62" s="82">
        <f t="shared" si="4"/>
        <v>63</v>
      </c>
      <c r="EV62" s="82" t="str">
        <f t="array" aca="1" ref="EV62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LEN(SUBSTITUTE(_xlfn.FORMULATEXT(EV$49),"=","")))+$EU62)</f>
        <v/>
      </c>
      <c r="EW62" s="82" t="str">
        <f t="array" aca="1" ref="EW62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LEN(SUBSTITUTE(_xlfn.FORMULATEXT(EW$49),"=","")))+$EU62)</f>
        <v/>
      </c>
      <c r="EX62" s="82" t="str">
        <f t="array" aca="1" ref="EX62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LEN(SUBSTITUTE(_xlfn.FORMULATEXT(EX$49),"=","")))+$EU62)</f>
        <v/>
      </c>
      <c r="EY62" s="82" t="str">
        <f t="array" aca="1" ref="EY62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LEN(SUBSTITUTE(_xlfn.FORMULATEXT(EY$49),"=","")))+$EU62)</f>
        <v/>
      </c>
      <c r="EZ62" s="82" t="str">
        <f t="array" aca="1" ref="EZ62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LEN(SUBSTITUTE(_xlfn.FORMULATEXT(EZ$49),"=","")))+$EU62)</f>
        <v/>
      </c>
      <c r="FA62" s="82" t="str">
        <f t="array" aca="1" ref="FA62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LEN(SUBSTITUTE(_xlfn.FORMULATEXT(FA$49),"=","")))+$EU62)</f>
        <v/>
      </c>
      <c r="FB62" s="82" t="str">
        <f t="array" aca="1" ref="FB62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LEN(SUBSTITUTE(_xlfn.FORMULATEXT(FB$49),"=","")))+$EU62)</f>
        <v/>
      </c>
      <c r="FC62" s="82" t="str">
        <f t="array" aca="1" ref="FC62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LEN(SUBSTITUTE(_xlfn.FORMULATEXT(FC$49),"=","")))+$EU62)</f>
        <v/>
      </c>
      <c r="FD62" s="82" t="str">
        <f t="array" aca="1" ref="FD62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LEN(SUBSTITUTE(_xlfn.FORMULATEXT(FD$49),"=","")))+$EU62)</f>
        <v/>
      </c>
      <c r="FE62" s="82" t="str">
        <f t="array" aca="1" ref="FE62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LEN(SUBSTITUTE(_xlfn.FORMULATEXT(FE$49),"=","")))+$EU62)</f>
        <v/>
      </c>
      <c r="FF62" s="82" t="str">
        <f t="array" aca="1" ref="FF62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LEN(SUBSTITUTE(_xlfn.FORMULATEXT(FF$49),"=","")))+$EU62)</f>
        <v/>
      </c>
      <c r="FG62" s="82">
        <f t="shared" ca="1" si="3"/>
        <v>0</v>
      </c>
      <c r="FH62" s="82" t="b">
        <f t="array" aca="1" ref="FH62" ca="1">SUMPRODUCT((LEN(EV62:FF62)&gt;0)*1)&gt;0</f>
        <v>0</v>
      </c>
      <c r="FI62" s="82" t="str">
        <f t="array" aca="1" ref="FI62" ca="1">IFERROR(SMALL(IF(FG$1:FG$173&lt;&gt;0,FG$1:FG$173),ROW(A62)),"")</f>
        <v/>
      </c>
      <c r="FJ62" s="82" t="str">
        <f t="array" aca="1" ref="FJ62" ca="1">IF($FI62&lt;&gt;"",
INDIRECT(""&amp;IF(COLUMN(EV62)&lt;=26,CHAR(COLUMN(EV62)+64),CHAR(INT((COLUMN(EV62)-1)/26)+64)&amp;CHAR(MOD(COLUMN(EV62)-1,26)+65))&amp;$FI62&amp;""),"")</f>
        <v/>
      </c>
      <c r="FK62" s="82" t="str">
        <f t="array" aca="1" ref="FK62" ca="1">IF($FI62&lt;&gt;"",
INDIRECT(""&amp;IF(COLUMN(EW62)&lt;=26,CHAR(COLUMN(EW62)+64),CHAR(INT((COLUMN(EW62)-1)/26)+64)&amp;CHAR(MOD(COLUMN(EW62)-1,26)+65))&amp;$FI62&amp;""),"")</f>
        <v/>
      </c>
      <c r="FL62" s="82" t="str">
        <f t="array" aca="1" ref="FL62" ca="1">IF($FI62&lt;&gt;"",
INDIRECT(""&amp;IF(COLUMN(EX62)&lt;=26,CHAR(COLUMN(EX62)+64),CHAR(INT((COLUMN(EX62)-1)/26)+64)&amp;CHAR(MOD(COLUMN(EX62)-1,26)+65))&amp;$FI62&amp;""),"")</f>
        <v/>
      </c>
      <c r="FM62" s="82" t="str">
        <f t="array" aca="1" ref="FM62" ca="1">IF($FI62&lt;&gt;"",
IF(FL62="",
IF(INDIRECT("EY"&amp;$FI62&amp;"")&lt;&gt;"",
INDIRECT("EY"&amp;$FI62&amp;"")&amp;"箱"
&amp;INDIRECT("EZ"&amp;$FI62&amp;""),""),""),"")</f>
        <v/>
      </c>
      <c r="FN62" s="82" t="str">
        <f t="array" aca="1" ref="FN62" ca="1">IF($FI62&lt;&gt;"",
INDIRECT(""&amp;IF(COLUMN(FA62)&lt;=26,CHAR(COLUMN(FA62)+64),CHAR(INT((COLUMN(FA62)-1)/26)+64)&amp;CHAR(MOD(COLUMN(FA62)-1,26)+65))&amp;$FI62&amp;""),"")</f>
        <v/>
      </c>
      <c r="FO62" s="82" t="str">
        <f t="array" aca="1" ref="FO62" ca="1">IF($FI62&lt;&gt;"",
INDIRECT(""&amp;IF(COLUMN(FB62)&lt;=26,CHAR(COLUMN(FB62)+64),CHAR(INT((COLUMN(FB62)-1)/26)+64)&amp;CHAR(MOD(COLUMN(FB62)-1,26)+65))&amp;$FI62&amp;""),"")</f>
        <v/>
      </c>
      <c r="FP62" s="82" t="str">
        <f t="array" aca="1" ref="FP62" ca="1">IF($FI62&lt;&gt;"",
INDIRECT(""&amp;IF(COLUMN(FC62)&lt;=26,CHAR(COLUMN(FC62)+64),CHAR(INT((COLUMN(FC62)-1)/26)+64)&amp;CHAR(MOD(COLUMN(FC62)-1,26)+65))&amp;$FI62&amp;""),"")</f>
        <v/>
      </c>
      <c r="FQ62" s="82" t="str">
        <f t="array" aca="1" ref="FQ62" ca="1">IF($FI62&lt;&gt;"",
INDIRECT(""&amp;IF(COLUMN(FD62)&lt;=26,CHAR(COLUMN(FD62)+64),CHAR(INT((COLUMN(FD62)-1)/26)+64)&amp;CHAR(MOD(COLUMN(FD62)-1,26)+65))&amp;$FI62&amp;""),"")</f>
        <v/>
      </c>
      <c r="FR62" s="82" t="str">
        <f t="array" aca="1" ref="FR62" ca="1">IF($FI62&lt;&gt;"",
INDIRECT(""&amp;IF(COLUMN(FE62)&lt;=26,CHAR(COLUMN(FE62)+64),CHAR(INT((COLUMN(FE62)-1)/26)+64)&amp;CHAR(MOD(COLUMN(FE62)-1,26)+65))&amp;$FI62&amp;""),"")</f>
        <v/>
      </c>
      <c r="FS62" s="82" t="str">
        <f t="array" aca="1" ref="FS62" ca="1">IF($FI62&lt;&gt;"",
INDIRECT(""&amp;IF(COLUMN(FF62)&lt;=26,CHAR(COLUMN(FF62)+64),CHAR(INT((COLUMN(FF62)-1)/26)+64)&amp;CHAR(MOD(COLUMN(FF62)-1,26)+65))&amp;$FI62&amp;""),"")</f>
        <v/>
      </c>
    </row>
    <row r="63" spans="1:175" ht="21" customHeight="1" x14ac:dyDescent="0.45">
      <c r="B63" s="196" t="str">
        <f ca="1">IF(C60&lt;&gt;"",
IFERROR(INT(C60/C62),""),"")</f>
        <v/>
      </c>
      <c r="C63" s="195"/>
      <c r="D63" s="196" t="str">
        <f ca="1">IFERROR(MOD(C60,C62),"")</f>
        <v/>
      </c>
      <c r="E63" s="195"/>
      <c r="F63" s="194" t="str">
        <f ca="1">IF(C57&lt;&gt;"",G59+G60,"")</f>
        <v/>
      </c>
      <c r="G63" s="195"/>
      <c r="I63" s="196" t="str">
        <f ca="1">IF(J60&lt;&gt;"",
IFERROR(INT(J60/J62),""),"")</f>
        <v/>
      </c>
      <c r="J63" s="195"/>
      <c r="K63" s="196" t="str">
        <f ca="1">IFERROR(MOD(J60,J62),"")</f>
        <v/>
      </c>
      <c r="L63" s="195"/>
      <c r="M63" s="194" t="str">
        <f ca="1">IF(J57&lt;&gt;"",N59+N60,"")</f>
        <v/>
      </c>
      <c r="N63" s="195"/>
      <c r="Q63" s="196" t="str">
        <f ca="1">IF(R60&lt;&gt;"",
IFERROR(INT(R60/R62),""),"")</f>
        <v/>
      </c>
      <c r="R63" s="195"/>
      <c r="S63" s="196" t="str">
        <f ca="1">IFERROR(MOD(R60,R62),"")</f>
        <v/>
      </c>
      <c r="T63" s="195"/>
      <c r="U63" s="194" t="str">
        <f ca="1">IF(R57&lt;&gt;"",V59+V60,"")</f>
        <v/>
      </c>
      <c r="V63" s="195"/>
      <c r="X63" s="196" t="str">
        <f ca="1">IF(Y60&lt;&gt;"",
IFERROR(INT(Y60/Y62),""),"")</f>
        <v/>
      </c>
      <c r="Y63" s="195"/>
      <c r="Z63" s="196" t="str">
        <f ca="1">IFERROR(MOD(Y60,Y62),"")</f>
        <v/>
      </c>
      <c r="AA63" s="195"/>
      <c r="AB63" s="194" t="str">
        <f ca="1">IF(Y57&lt;&gt;"",AC59+AC60,"")</f>
        <v/>
      </c>
      <c r="AC63" s="195"/>
      <c r="AF63" s="196" t="str">
        <f ca="1">IF(AG60&lt;&gt;"",
IFERROR(INT(AG60/AG62),""),"")</f>
        <v/>
      </c>
      <c r="AG63" s="195"/>
      <c r="AH63" s="196" t="str">
        <f ca="1">IFERROR(MOD(AG60,AG62),"")</f>
        <v/>
      </c>
      <c r="AI63" s="195"/>
      <c r="AJ63" s="194" t="str">
        <f ca="1">IF(AG57&lt;&gt;"",AK59+AK60,"")</f>
        <v/>
      </c>
      <c r="AK63" s="195"/>
      <c r="AM63" s="196" t="str">
        <f ca="1">IF(AN60&lt;&gt;"",
IFERROR(INT(AN60/AN62),""),"")</f>
        <v/>
      </c>
      <c r="AN63" s="195"/>
      <c r="AO63" s="196" t="str">
        <f ca="1">IFERROR(MOD(AN60,AN62),"")</f>
        <v/>
      </c>
      <c r="AP63" s="195"/>
      <c r="AQ63" s="194" t="str">
        <f ca="1">IF(AN57&lt;&gt;"",AR59+AR60,"")</f>
        <v/>
      </c>
      <c r="AR63" s="195"/>
      <c r="AU63" s="196" t="str">
        <f ca="1">IF(AV60&lt;&gt;"",
IFERROR(INT(AV60/AV62),""),"")</f>
        <v/>
      </c>
      <c r="AV63" s="195"/>
      <c r="AW63" s="196" t="str">
        <f ca="1">IFERROR(MOD(AV60,AV62),"")</f>
        <v/>
      </c>
      <c r="AX63" s="195"/>
      <c r="AY63" s="194" t="str">
        <f ca="1">IF(AV57&lt;&gt;"",AZ59+AZ60,"")</f>
        <v/>
      </c>
      <c r="AZ63" s="195"/>
      <c r="BB63" s="196" t="str">
        <f ca="1">IF(BC60&lt;&gt;"",
IFERROR(INT(BC60/BC62),""),"")</f>
        <v/>
      </c>
      <c r="BC63" s="195"/>
      <c r="BD63" s="196" t="str">
        <f ca="1">IFERROR(MOD(BC60,BC62),"")</f>
        <v/>
      </c>
      <c r="BE63" s="195"/>
      <c r="BF63" s="194" t="str">
        <f ca="1">IF(BC57&lt;&gt;"",BG59+BG60,"")</f>
        <v/>
      </c>
      <c r="BG63" s="195"/>
      <c r="BJ63" s="196" t="str">
        <f ca="1">IF(BK60&lt;&gt;"",
IFERROR(INT(BK60/BK62),""),"")</f>
        <v/>
      </c>
      <c r="BK63" s="195"/>
      <c r="BL63" s="196" t="str">
        <f ca="1">IFERROR(MOD(BK60,BK62),"")</f>
        <v/>
      </c>
      <c r="BM63" s="195"/>
      <c r="BN63" s="194" t="str">
        <f ca="1">IF(BK57&lt;&gt;"",BO59+BO60,"")</f>
        <v/>
      </c>
      <c r="BO63" s="195"/>
      <c r="BQ63" s="196" t="str">
        <f ca="1">IF(BR60&lt;&gt;"",
IFERROR(INT(BR60/BR62),""),"")</f>
        <v/>
      </c>
      <c r="BR63" s="195"/>
      <c r="BS63" s="196" t="str">
        <f ca="1">IFERROR(MOD(BR60,BR62),"")</f>
        <v/>
      </c>
      <c r="BT63" s="195"/>
      <c r="BU63" s="194" t="str">
        <f ca="1">IF(BR57&lt;&gt;"",BV59+BV60,"")</f>
        <v/>
      </c>
      <c r="BV63" s="195"/>
      <c r="BY63" s="196" t="str">
        <f ca="1">IF(BZ60&lt;&gt;"",
IFERROR(INT(BZ60/BZ62),""),"")</f>
        <v/>
      </c>
      <c r="BZ63" s="195"/>
      <c r="CA63" s="196" t="str">
        <f ca="1">IFERROR(MOD(BZ60,BZ62),"")</f>
        <v/>
      </c>
      <c r="CB63" s="195"/>
      <c r="CC63" s="194" t="str">
        <f ca="1">IF(BZ57&lt;&gt;"",CD59+CD60,"")</f>
        <v/>
      </c>
      <c r="CD63" s="195"/>
      <c r="CF63" s="196" t="str">
        <f ca="1">IF(CG60&lt;&gt;"",
IFERROR(INT(CG60/CG62),""),"")</f>
        <v/>
      </c>
      <c r="CG63" s="195"/>
      <c r="CH63" s="196" t="str">
        <f ca="1">IFERROR(MOD(CG60,CG62),"")</f>
        <v/>
      </c>
      <c r="CI63" s="195"/>
      <c r="CJ63" s="194" t="str">
        <f ca="1">IF(CG57&lt;&gt;"",CK59+CK60,"")</f>
        <v/>
      </c>
      <c r="CK63" s="195"/>
      <c r="CN63" s="196" t="str">
        <f ca="1">IF(CO60&lt;&gt;"",
IFERROR(INT(CO60/CO62),""),"")</f>
        <v/>
      </c>
      <c r="CO63" s="195"/>
      <c r="CP63" s="196" t="str">
        <f ca="1">IFERROR(MOD(CO60,CO62),"")</f>
        <v/>
      </c>
      <c r="CQ63" s="195"/>
      <c r="CR63" s="194" t="str">
        <f ca="1">IF(CO57&lt;&gt;"",CS59+CS60,"")</f>
        <v/>
      </c>
      <c r="CS63" s="195"/>
      <c r="CU63" s="196" t="str">
        <f ca="1">IF(CV60&lt;&gt;"",
IFERROR(INT(CV60/CV62),""),"")</f>
        <v/>
      </c>
      <c r="CV63" s="195"/>
      <c r="CW63" s="196" t="str">
        <f ca="1">IFERROR(MOD(CV60,CV62),"")</f>
        <v/>
      </c>
      <c r="CX63" s="195"/>
      <c r="CY63" s="194" t="str">
        <f ca="1">IF(CV57&lt;&gt;"",CZ59+CZ60,"")</f>
        <v/>
      </c>
      <c r="CZ63" s="195"/>
      <c r="DC63" s="196" t="str">
        <f ca="1">IF(DD60&lt;&gt;"",
IFERROR(INT(DD60/DD62),""),"")</f>
        <v/>
      </c>
      <c r="DD63" s="195"/>
      <c r="DE63" s="196" t="str">
        <f ca="1">IFERROR(MOD(DD60,DD62),"")</f>
        <v/>
      </c>
      <c r="DF63" s="195"/>
      <c r="DG63" s="194" t="str">
        <f ca="1">IF(DD57&lt;&gt;"",DH59+DH60,"")</f>
        <v/>
      </c>
      <c r="DH63" s="195"/>
      <c r="DJ63" s="196" t="str">
        <f ca="1">IF(DK60&lt;&gt;"",
IFERROR(INT(DK60/DK62),""),"")</f>
        <v/>
      </c>
      <c r="DK63" s="195"/>
      <c r="DL63" s="196" t="str">
        <f ca="1">IFERROR(MOD(DK60,DK62),"")</f>
        <v/>
      </c>
      <c r="DM63" s="195"/>
      <c r="DN63" s="194" t="str">
        <f ca="1">IF(DK57&lt;&gt;"",DO59+DO60,"")</f>
        <v/>
      </c>
      <c r="DO63" s="195"/>
      <c r="DR63" s="196" t="str">
        <f ca="1">IF(DS60&lt;&gt;"",
IFERROR(INT(DS60/DS62),""),"")</f>
        <v/>
      </c>
      <c r="DS63" s="195"/>
      <c r="DT63" s="196" t="str">
        <f ca="1">IFERROR(MOD(DS60,DS62),"")</f>
        <v/>
      </c>
      <c r="DU63" s="195"/>
      <c r="DV63" s="194" t="str">
        <f ca="1">IF(DS57&lt;&gt;"",DW59+DW60,"")</f>
        <v/>
      </c>
      <c r="DW63" s="195"/>
      <c r="DY63" s="196" t="str">
        <f ca="1">IF(DZ60&lt;&gt;"",
IFERROR(INT(DZ60/DZ62),""),"")</f>
        <v/>
      </c>
      <c r="DZ63" s="195"/>
      <c r="EA63" s="196" t="str">
        <f ca="1">IFERROR(MOD(DZ60,DZ62),"")</f>
        <v/>
      </c>
      <c r="EB63" s="195"/>
      <c r="EC63" s="194" t="str">
        <f ca="1">IF(DZ57&lt;&gt;"",ED59+ED60,"")</f>
        <v/>
      </c>
      <c r="ED63" s="195"/>
      <c r="EG63" s="196" t="str">
        <f ca="1">IF(EH60&lt;&gt;"",
IFERROR(INT(EH60/EH62),""),"")</f>
        <v/>
      </c>
      <c r="EH63" s="195"/>
      <c r="EI63" s="196" t="str">
        <f ca="1">IFERROR(MOD(EH60,EH62),"")</f>
        <v/>
      </c>
      <c r="EJ63" s="195"/>
      <c r="EK63" s="194" t="str">
        <f ca="1">IF(EH57&lt;&gt;"",EL59+EL60,"")</f>
        <v/>
      </c>
      <c r="EL63" s="195"/>
      <c r="EN63" s="196" t="str">
        <f ca="1">IF(EO60&lt;&gt;"",
IFERROR(INT(EO60/EO62),""),"")</f>
        <v/>
      </c>
      <c r="EO63" s="195"/>
      <c r="EP63" s="196" t="str">
        <f ca="1">IFERROR(MOD(EO60,EO62),"")</f>
        <v/>
      </c>
      <c r="EQ63" s="195"/>
      <c r="ER63" s="194" t="str">
        <f ca="1">IF(EO57&lt;&gt;"",ES59+ES60,"")</f>
        <v/>
      </c>
      <c r="ES63" s="195"/>
      <c r="ET63" s="75"/>
      <c r="EU63" s="91">
        <f t="shared" si="4"/>
        <v>21</v>
      </c>
      <c r="EV63" s="82" t="str">
        <f t="array" aca="1" ref="EV63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LEN(SUBSTITUTE(_xlfn.FORMULATEXT(EV$51),"=","")))+$EU63)</f>
        <v/>
      </c>
      <c r="EW63" s="82" t="str">
        <f t="array" aca="1" ref="EW63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LEN(SUBSTITUTE(_xlfn.FORMULATEXT(EW$51),"=","")))+$EU63)</f>
        <v/>
      </c>
      <c r="EX63" s="82" t="str">
        <f t="array" aca="1" ref="EX63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LEN(SUBSTITUTE(_xlfn.FORMULATEXT(EX$51),"=","")))+$EU63)</f>
        <v/>
      </c>
      <c r="EY63" s="82" t="str">
        <f t="array" aca="1" ref="EY63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LEN(SUBSTITUTE(_xlfn.FORMULATEXT(EY$51),"=","")))+$EU63)</f>
        <v/>
      </c>
      <c r="EZ63" s="82" t="str">
        <f t="array" aca="1" ref="EZ63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LEN(SUBSTITUTE(_xlfn.FORMULATEXT(EZ$51),"=","")))+$EU63)</f>
        <v/>
      </c>
      <c r="FA63" s="82" t="e">
        <f t="array" aca="1" ref="FA63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LEN(SUBSTITUTE(_xlfn.FORMULATEXT(FA$51),"=","")))+$EU63)</f>
        <v>#VALUE!</v>
      </c>
      <c r="FB63" s="82" t="str">
        <f t="array" aca="1" ref="FB63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LEN(SUBSTITUTE(_xlfn.FORMULATEXT(FB$51),"=","")))+$EU63)</f>
        <v/>
      </c>
      <c r="FC63" s="82" t="str">
        <f t="array" aca="1" ref="FC63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LEN(SUBSTITUTE(_xlfn.FORMULATEXT(FC$51),"=","")))+$EU63)</f>
        <v/>
      </c>
      <c r="FD63" s="82" t="e">
        <f t="array" aca="1" ref="FD63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LEN(SUBSTITUTE(_xlfn.FORMULATEXT(FD$51),"=","")))+$EU63)</f>
        <v>#VALUE!</v>
      </c>
      <c r="FE63" s="82" t="str">
        <f t="array" aca="1" ref="FE63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LEN(SUBSTITUTE(_xlfn.FORMULATEXT(FE$51),"=","")))+$EU63)</f>
        <v/>
      </c>
      <c r="FF63" s="82" t="e">
        <f t="array" aca="1" ref="FF63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LEN(SUBSTITUTE(_xlfn.FORMULATEXT(FF$51),"=","")))+$EU63)</f>
        <v>#N/A</v>
      </c>
      <c r="FG63" s="82">
        <f t="shared" ca="1" si="3"/>
        <v>0</v>
      </c>
      <c r="FH63" s="82" t="e">
        <f t="array" aca="1" ref="FH63" ca="1">SUMPRODUCT((LEN(EV63:FF63)&gt;0)*1)&gt;0</f>
        <v>#VALUE!</v>
      </c>
      <c r="FI63" s="82" t="str">
        <f t="array" aca="1" ref="FI63" ca="1">IFERROR(SMALL(IF(FG$1:FG$173&lt;&gt;0,FG$1:FG$173),ROW(A63)),"")</f>
        <v/>
      </c>
      <c r="FJ63" s="82" t="str">
        <f t="array" aca="1" ref="FJ63" ca="1">IF($FI63&lt;&gt;"",
INDIRECT(""&amp;IF(COLUMN(EV63)&lt;=26,CHAR(COLUMN(EV63)+64),CHAR(INT((COLUMN(EV63)-1)/26)+64)&amp;CHAR(MOD(COLUMN(EV63)-1,26)+65))&amp;$FI63&amp;""),"")</f>
        <v/>
      </c>
      <c r="FK63" s="82" t="str">
        <f t="array" aca="1" ref="FK63" ca="1">IF($FI63&lt;&gt;"",
INDIRECT(""&amp;IF(COLUMN(EW63)&lt;=26,CHAR(COLUMN(EW63)+64),CHAR(INT((COLUMN(EW63)-1)/26)+64)&amp;CHAR(MOD(COLUMN(EW63)-1,26)+65))&amp;$FI63&amp;""),"")</f>
        <v/>
      </c>
      <c r="FL63" s="82" t="str">
        <f t="array" aca="1" ref="FL63" ca="1">IF($FI63&lt;&gt;"",
INDIRECT(""&amp;IF(COLUMN(EX63)&lt;=26,CHAR(COLUMN(EX63)+64),CHAR(INT((COLUMN(EX63)-1)/26)+64)&amp;CHAR(MOD(COLUMN(EX63)-1,26)+65))&amp;$FI63&amp;""),"")</f>
        <v/>
      </c>
      <c r="FM63" s="82" t="str">
        <f t="array" aca="1" ref="FM63" ca="1">IF($FI63&lt;&gt;"",
IF(FL63="",
IF(INDIRECT("EY"&amp;$FI63&amp;"")&lt;&gt;"",
INDIRECT("EY"&amp;$FI63&amp;"")&amp;"箱"
&amp;INDIRECT("EZ"&amp;$FI63&amp;""),""),""),"")</f>
        <v/>
      </c>
      <c r="FN63" s="82" t="str">
        <f t="array" aca="1" ref="FN63" ca="1">IF($FI63&lt;&gt;"",
INDIRECT(""&amp;IF(COLUMN(FA63)&lt;=26,CHAR(COLUMN(FA63)+64),CHAR(INT((COLUMN(FA63)-1)/26)+64)&amp;CHAR(MOD(COLUMN(FA63)-1,26)+65))&amp;$FI63&amp;""),"")</f>
        <v/>
      </c>
      <c r="FO63" s="82" t="str">
        <f t="array" aca="1" ref="FO63" ca="1">IF($FI63&lt;&gt;"",
INDIRECT(""&amp;IF(COLUMN(FB63)&lt;=26,CHAR(COLUMN(FB63)+64),CHAR(INT((COLUMN(FB63)-1)/26)+64)&amp;CHAR(MOD(COLUMN(FB63)-1,26)+65))&amp;$FI63&amp;""),"")</f>
        <v/>
      </c>
      <c r="FP63" s="82" t="str">
        <f t="array" aca="1" ref="FP63" ca="1">IF($FI63&lt;&gt;"",
INDIRECT(""&amp;IF(COLUMN(FC63)&lt;=26,CHAR(COLUMN(FC63)+64),CHAR(INT((COLUMN(FC63)-1)/26)+64)&amp;CHAR(MOD(COLUMN(FC63)-1,26)+65))&amp;$FI63&amp;""),"")</f>
        <v/>
      </c>
      <c r="FQ63" s="82" t="str">
        <f t="array" aca="1" ref="FQ63" ca="1">IF($FI63&lt;&gt;"",
INDIRECT(""&amp;IF(COLUMN(FD63)&lt;=26,CHAR(COLUMN(FD63)+64),CHAR(INT((COLUMN(FD63)-1)/26)+64)&amp;CHAR(MOD(COLUMN(FD63)-1,26)+65))&amp;$FI63&amp;""),"")</f>
        <v/>
      </c>
      <c r="FR63" s="82" t="str">
        <f t="array" aca="1" ref="FR63" ca="1">IF($FI63&lt;&gt;"",
INDIRECT(""&amp;IF(COLUMN(FE63)&lt;=26,CHAR(COLUMN(FE63)+64),CHAR(INT((COLUMN(FE63)-1)/26)+64)&amp;CHAR(MOD(COLUMN(FE63)-1,26)+65))&amp;$FI63&amp;""),"")</f>
        <v/>
      </c>
      <c r="FS63" s="82" t="str">
        <f t="array" aca="1" ref="FS63" ca="1">IF($FI63&lt;&gt;"",
INDIRECT(""&amp;IF(COLUMN(FF63)&lt;=26,CHAR(COLUMN(FF63)+64),CHAR(INT((COLUMN(FF63)-1)/26)+64)&amp;CHAR(MOD(COLUMN(FF63)-1,26)+65))&amp;$FI63&amp;""),"")</f>
        <v/>
      </c>
    </row>
    <row r="64" spans="1:175" s="82" customFormat="1" ht="18" customHeight="1" x14ac:dyDescent="0.55000000000000004">
      <c r="A64" s="80"/>
      <c r="B64" s="81" t="str">
        <f t="array" aca="1" ref="B64" ca="1">IF(COUNTIF(G22,"*合計*"),"",
IF(C22=J57,
IFERROR(
SUBSTITUTE(ADDRESS(1,
COLUMN(INDIRECT("数出表_Excel!"&amp;I57&amp; (MATCH(G22,数出表_Excel!$A:$A,0)-1))) - 1 +
MATCH(TRUE, ISNUMBER(--INDIRECT("数出表_Excel!"&amp;I57&amp; (MATCH(G22,数出表_Excel!$A:$A,0)-1) &amp; ":U" &amp; (MATCH(G22,数出表_Excel!$A:$A,0)-1))), 0)+1,4),"1",""),
""),
IFERROR(
SUBSTITUTE(ADDRESS(1,
COLUMN(INDIRECT("数出表_Excel!B" &amp; (MATCH(G22,数出表_Excel!$A:$A,0)-1))) - 1 +
MATCH(TRUE, ISNUMBER(--INDIRECT("数出表_Excel!B" &amp; (MATCH(G22,数出表_Excel!$A:$A,0)-1) &amp; ":U" &amp; (MATCH(G22,数出表_Excel!$A:$A,0)-1))), 0)+1,4),"1",""),
"")))</f>
        <v/>
      </c>
      <c r="C64" s="191" t="str">
        <f ca="1">IF(C67&lt;&gt;"",C22,"")</f>
        <v/>
      </c>
      <c r="D64" s="192"/>
      <c r="E64" s="192"/>
      <c r="F64" s="192"/>
      <c r="G64" s="99"/>
      <c r="H64" s="80"/>
      <c r="I64" s="81" t="str">
        <f t="array" aca="1" ref="I64" ca="1">IF(COUNTIF(N22,"*合計*"),"",
IF(J22=C64,
IFERROR(
SUBSTITUTE(ADDRESS(1,
COLUMN(INDIRECT("数出表_Excel!"&amp;B64&amp; (MATCH(N22,数出表_Excel!$A:$A,0)-1))) - 1 +
MATCH(TRUE, ISNUMBER(--INDIRECT("数出表_Excel!"&amp;B64&amp; (MATCH(N22,数出表_Excel!$A:$A,0)-1) &amp; ":U" &amp; (MATCH(N22,数出表_Excel!$A:$A,0)-1))), 0)+1,4),"1",""),
""),
IFERROR(
SUBSTITUTE(ADDRESS(1,
COLUMN(INDIRECT("数出表_Excel!B" &amp; (MATCH(N22,数出表_Excel!$A:$A,0)-1))) - 1 +
MATCH(TRUE, ISNUMBER(--INDIRECT("数出表_Excel!B" &amp; (MATCH(N22,数出表_Excel!$A:$A,0)-1) &amp; ":U" &amp; (MATCH(N22,数出表_Excel!$A:$A,0)-1))), 0)+1,4),"1",""),
"")))</f>
        <v/>
      </c>
      <c r="J64" s="191" t="str">
        <f ca="1">IF(J67&lt;&gt;"",J22,"")</f>
        <v/>
      </c>
      <c r="K64" s="192"/>
      <c r="L64" s="192"/>
      <c r="M64" s="192"/>
      <c r="N64" s="95"/>
      <c r="O64" s="80"/>
      <c r="P64" s="80"/>
      <c r="Q64" s="81" t="str">
        <f t="array" aca="1" ref="Q64" ca="1">IF(COUNTIF(V22,"*合計*"),"",
IF(R22=Y57,
IFERROR(
SUBSTITUTE(ADDRESS(1,
COLUMN(INDIRECT("数出表_Excel!"&amp;X57&amp; (MATCH(V22,数出表_Excel!$A:$A,0)-1))) - 1 +
MATCH(TRUE, ISNUMBER(--INDIRECT("数出表_Excel!"&amp;X57&amp; (MATCH(V22,数出表_Excel!$A:$A,0)-1) &amp; ":U" &amp; (MATCH(V22,数出表_Excel!$A:$A,0)-1))), 0)+1,4),"1",""),
""),
IFERROR(
SUBSTITUTE(ADDRESS(1,
COLUMN(INDIRECT("数出表_Excel!B" &amp; (MATCH(V22,数出表_Excel!$A:$A,0)-1))) - 1 +
MATCH(TRUE, ISNUMBER(--INDIRECT("数出表_Excel!B" &amp; (MATCH(V22,数出表_Excel!$A:$A,0)-1) &amp; ":U" &amp; (MATCH(V22,数出表_Excel!$A:$A,0)-1))), 0)+1,4),"1",""),
"")))</f>
        <v/>
      </c>
      <c r="R64" s="191" t="str">
        <f ca="1">IF(R67&lt;&gt;"",R22,"")</f>
        <v/>
      </c>
      <c r="S64" s="192"/>
      <c r="T64" s="192"/>
      <c r="U64" s="192"/>
      <c r="V64" s="99"/>
      <c r="W64" s="80"/>
      <c r="X64" s="81" t="str">
        <f t="array" aca="1" ref="X64" ca="1">IF(COUNTIF(AC22,"*合計*"),"",
IF(Y22=R64,
IFERROR(
SUBSTITUTE(ADDRESS(1,
COLUMN(INDIRECT("数出表_Excel!"&amp;Q64&amp; (MATCH(AC22,数出表_Excel!$A:$A,0)-1))) - 1 +
MATCH(TRUE, ISNUMBER(--INDIRECT("数出表_Excel!"&amp;Q64&amp; (MATCH(AC22,数出表_Excel!$A:$A,0)-1) &amp; ":U" &amp; (MATCH(AC22,数出表_Excel!$A:$A,0)-1))), 0)+1,4),"1",""),
""),
IFERROR(
SUBSTITUTE(ADDRESS(1,
COLUMN(INDIRECT("数出表_Excel!B" &amp; (MATCH(AC22,数出表_Excel!$A:$A,0)-1))) - 1 +
MATCH(TRUE, ISNUMBER(--INDIRECT("数出表_Excel!B" &amp; (MATCH(AC22,数出表_Excel!$A:$A,0)-1) &amp; ":U" &amp; (MATCH(AC22,数出表_Excel!$A:$A,0)-1))), 0)+1,4),"1",""),
"")))</f>
        <v/>
      </c>
      <c r="Y64" s="191" t="str">
        <f ca="1">IF(Y67&lt;&gt;"",Y22,"")</f>
        <v/>
      </c>
      <c r="Z64" s="192"/>
      <c r="AA64" s="192"/>
      <c r="AB64" s="192"/>
      <c r="AC64" s="95"/>
      <c r="AD64" s="80"/>
      <c r="AE64" s="80"/>
      <c r="AF64" s="81" t="str">
        <f t="array" aca="1" ref="AF64" ca="1">IF(COUNTIF(AK22,"*合計*"),"",
IF(AG22=AN57,
IFERROR(
SUBSTITUTE(ADDRESS(1,
COLUMN(INDIRECT("数出表_Excel!"&amp;AM57&amp; (MATCH(AK22,数出表_Excel!$A:$A,0)-1))) - 1 +
MATCH(TRUE, ISNUMBER(--INDIRECT("数出表_Excel!"&amp;AM57&amp; (MATCH(AK22,数出表_Excel!$A:$A,0)-1) &amp; ":U" &amp; (MATCH(AK22,数出表_Excel!$A:$A,0)-1))), 0)+1,4),"1",""),
""),
IFERROR(
SUBSTITUTE(ADDRESS(1,
COLUMN(INDIRECT("数出表_Excel!B" &amp; (MATCH(AK22,数出表_Excel!$A:$A,0)-1))) - 1 +
MATCH(TRUE, ISNUMBER(--INDIRECT("数出表_Excel!B" &amp; (MATCH(AK22,数出表_Excel!$A:$A,0)-1) &amp; ":U" &amp; (MATCH(AK22,数出表_Excel!$A:$A,0)-1))), 0)+1,4),"1",""),
"")))</f>
        <v/>
      </c>
      <c r="AG64" s="191" t="str">
        <f ca="1">IF(AG67&lt;&gt;"",AG22,"")</f>
        <v/>
      </c>
      <c r="AH64" s="192"/>
      <c r="AI64" s="192"/>
      <c r="AJ64" s="192"/>
      <c r="AK64" s="99"/>
      <c r="AL64" s="80"/>
      <c r="AM64" s="81" t="str">
        <f t="array" aca="1" ref="AM64" ca="1">IF(COUNTIF(AR22,"*合計*"),"",
IF(AN22=AG64,
IFERROR(
SUBSTITUTE(ADDRESS(1,
COLUMN(INDIRECT("数出表_Excel!"&amp;AF64&amp; (MATCH(AR22,数出表_Excel!$A:$A,0)-1))) - 1 +
MATCH(TRUE, ISNUMBER(--INDIRECT("数出表_Excel!"&amp;AF64&amp; (MATCH(AR22,数出表_Excel!$A:$A,0)-1) &amp; ":U" &amp; (MATCH(AR22,数出表_Excel!$A:$A,0)-1))), 0)+1,4),"1",""),
""),
IFERROR(
SUBSTITUTE(ADDRESS(1,
COLUMN(INDIRECT("数出表_Excel!B" &amp; (MATCH(AR22,数出表_Excel!$A:$A,0)-1))) - 1 +
MATCH(TRUE, ISNUMBER(--INDIRECT("数出表_Excel!B" &amp; (MATCH(AR22,数出表_Excel!$A:$A,0)-1) &amp; ":U" &amp; (MATCH(AR22,数出表_Excel!$A:$A,0)-1))), 0)+1,4),"1",""),
"")))</f>
        <v/>
      </c>
      <c r="AN64" s="191" t="str">
        <f ca="1">IF(AN67&lt;&gt;"",AN22,"")</f>
        <v/>
      </c>
      <c r="AO64" s="192"/>
      <c r="AP64" s="192"/>
      <c r="AQ64" s="192"/>
      <c r="AR64" s="95"/>
      <c r="AS64" s="80"/>
      <c r="AT64" s="80"/>
      <c r="AU64" s="81" t="str">
        <f t="array" aca="1" ref="AU64" ca="1">IF(COUNTIF(AZ22,"*合計*"),"",
IF(AV22=BC57,
IFERROR(
SUBSTITUTE(ADDRESS(1,
COLUMN(INDIRECT("数出表_Excel!"&amp;BB57&amp; (MATCH(AZ22,数出表_Excel!$A:$A,0)-1))) - 1 +
MATCH(TRUE, ISNUMBER(--INDIRECT("数出表_Excel!"&amp;BB57&amp; (MATCH(AZ22,数出表_Excel!$A:$A,0)-1) &amp; ":U" &amp; (MATCH(AZ22,数出表_Excel!$A:$A,0)-1))), 0)+1,4),"1",""),
""),
IFERROR(
SUBSTITUTE(ADDRESS(1,
COLUMN(INDIRECT("数出表_Excel!B" &amp; (MATCH(AZ22,数出表_Excel!$A:$A,0)-1))) - 1 +
MATCH(TRUE, ISNUMBER(--INDIRECT("数出表_Excel!B" &amp; (MATCH(AZ22,数出表_Excel!$A:$A,0)-1) &amp; ":U" &amp; (MATCH(AZ22,数出表_Excel!$A:$A,0)-1))), 0)+1,4),"1",""),
"")))</f>
        <v/>
      </c>
      <c r="AV64" s="191" t="str">
        <f ca="1">IF(AV67&lt;&gt;"",AV22,"")</f>
        <v/>
      </c>
      <c r="AW64" s="192"/>
      <c r="AX64" s="192"/>
      <c r="AY64" s="192"/>
      <c r="AZ64" s="99"/>
      <c r="BA64" s="80"/>
      <c r="BB64" s="81" t="str">
        <f t="array" aca="1" ref="BB64" ca="1">IF(COUNTIF(BG22,"*合計*"),"",
IF(BC22=AV64,
IFERROR(
SUBSTITUTE(ADDRESS(1,
COLUMN(INDIRECT("数出表_Excel!"&amp;AU64&amp; (MATCH(BG22,数出表_Excel!$A:$A,0)-1))) - 1 +
MATCH(TRUE, ISNUMBER(--INDIRECT("数出表_Excel!"&amp;AU64&amp; (MATCH(BG22,数出表_Excel!$A:$A,0)-1) &amp; ":U" &amp; (MATCH(BG22,数出表_Excel!$A:$A,0)-1))), 0)+1,4),"1",""),
""),
IFERROR(
SUBSTITUTE(ADDRESS(1,
COLUMN(INDIRECT("数出表_Excel!B" &amp; (MATCH(BG22,数出表_Excel!$A:$A,0)-1))) - 1 +
MATCH(TRUE, ISNUMBER(--INDIRECT("数出表_Excel!B" &amp; (MATCH(BG22,数出表_Excel!$A:$A,0)-1) &amp; ":U" &amp; (MATCH(BG22,数出表_Excel!$A:$A,0)-1))), 0)+1,4),"1",""),
"")))</f>
        <v/>
      </c>
      <c r="BC64" s="191" t="str">
        <f ca="1">IF(BC67&lt;&gt;"",BC22,"")</f>
        <v/>
      </c>
      <c r="BD64" s="192"/>
      <c r="BE64" s="192"/>
      <c r="BF64" s="192"/>
      <c r="BG64" s="95"/>
      <c r="BH64" s="80"/>
      <c r="BI64" s="80"/>
      <c r="BJ64" s="81" t="str">
        <f t="array" aca="1" ref="BJ64" ca="1">IF(COUNTIF(BO22,"*合計*"),"",
IF(BK22=BR57,
IFERROR(
SUBSTITUTE(ADDRESS(1,
COLUMN(INDIRECT("数出表_Excel!"&amp;BQ57&amp; (MATCH(BO22,数出表_Excel!$A:$A,0)-1))) - 1 +
MATCH(TRUE, ISNUMBER(--INDIRECT("数出表_Excel!"&amp;BQ57&amp; (MATCH(BO22,数出表_Excel!$A:$A,0)-1) &amp; ":U" &amp; (MATCH(BO22,数出表_Excel!$A:$A,0)-1))), 0)+1,4),"1",""),
""),
IFERROR(
SUBSTITUTE(ADDRESS(1,
COLUMN(INDIRECT("数出表_Excel!B" &amp; (MATCH(BO22,数出表_Excel!$A:$A,0)-1))) - 1 +
MATCH(TRUE, ISNUMBER(--INDIRECT("数出表_Excel!B" &amp; (MATCH(BO22,数出表_Excel!$A:$A,0)-1) &amp; ":U" &amp; (MATCH(BO22,数出表_Excel!$A:$A,0)-1))), 0)+1,4),"1",""),
"")))</f>
        <v/>
      </c>
      <c r="BK64" s="191" t="str">
        <f ca="1">IF(BK67&lt;&gt;"",BK22,"")</f>
        <v/>
      </c>
      <c r="BL64" s="192"/>
      <c r="BM64" s="192"/>
      <c r="BN64" s="192"/>
      <c r="BO64" s="99"/>
      <c r="BP64" s="80"/>
      <c r="BQ64" s="81" t="str">
        <f t="array" aca="1" ref="BQ64" ca="1">IF(COUNTIF(BV22,"*合計*"),"",
IF(BR22=BK64,
IFERROR(
SUBSTITUTE(ADDRESS(1,
COLUMN(INDIRECT("数出表_Excel!"&amp;BJ64&amp; (MATCH(BV22,数出表_Excel!$A:$A,0)-1))) - 1 +
MATCH(TRUE, ISNUMBER(--INDIRECT("数出表_Excel!"&amp;BJ64&amp; (MATCH(BV22,数出表_Excel!$A:$A,0)-1) &amp; ":U" &amp; (MATCH(BV22,数出表_Excel!$A:$A,0)-1))), 0)+1,4),"1",""),
""),
IFERROR(
SUBSTITUTE(ADDRESS(1,
COLUMN(INDIRECT("数出表_Excel!B" &amp; (MATCH(BV22,数出表_Excel!$A:$A,0)-1))) - 1 +
MATCH(TRUE, ISNUMBER(--INDIRECT("数出表_Excel!B" &amp; (MATCH(BV22,数出表_Excel!$A:$A,0)-1) &amp; ":U" &amp; (MATCH(BV22,数出表_Excel!$A:$A,0)-1))), 0)+1,4),"1",""),
"")))</f>
        <v/>
      </c>
      <c r="BR64" s="191" t="str">
        <f ca="1">IF(BR67&lt;&gt;"",BR22,"")</f>
        <v/>
      </c>
      <c r="BS64" s="192"/>
      <c r="BT64" s="192"/>
      <c r="BU64" s="192"/>
      <c r="BV64" s="95"/>
      <c r="BW64" s="80"/>
      <c r="BX64" s="80"/>
      <c r="BY64" s="81" t="str">
        <f t="array" aca="1" ref="BY64" ca="1">IF(COUNTIF(CD22,"*合計*"),"",
IF(BZ22=CG57,
IFERROR(
SUBSTITUTE(ADDRESS(1,
COLUMN(INDIRECT("数出表_Excel!"&amp;CF57&amp; (MATCH(CD22,数出表_Excel!$A:$A,0)-1))) - 1 +
MATCH(TRUE, ISNUMBER(--INDIRECT("数出表_Excel!"&amp;CF57&amp; (MATCH(CD22,数出表_Excel!$A:$A,0)-1) &amp; ":U" &amp; (MATCH(CD22,数出表_Excel!$A:$A,0)-1))), 0)+1,4),"1",""),
""),
IFERROR(
SUBSTITUTE(ADDRESS(1,
COLUMN(INDIRECT("数出表_Excel!B" &amp; (MATCH(CD22,数出表_Excel!$A:$A,0)-1))) - 1 +
MATCH(TRUE, ISNUMBER(--INDIRECT("数出表_Excel!B" &amp; (MATCH(CD22,数出表_Excel!$A:$A,0)-1) &amp; ":U" &amp; (MATCH(CD22,数出表_Excel!$A:$A,0)-1))), 0)+1,4),"1",""),
"")))</f>
        <v/>
      </c>
      <c r="BZ64" s="191" t="str">
        <f ca="1">IF(BZ67&lt;&gt;"",BZ22,"")</f>
        <v/>
      </c>
      <c r="CA64" s="192"/>
      <c r="CB64" s="192"/>
      <c r="CC64" s="192"/>
      <c r="CD64" s="99"/>
      <c r="CE64" s="80"/>
      <c r="CF64" s="81" t="str">
        <f t="array" aca="1" ref="CF64" ca="1">IF(COUNTIF(CK22,"*合計*"),"",
IF(CG22=BZ64,
IFERROR(
SUBSTITUTE(ADDRESS(1,
COLUMN(INDIRECT("数出表_Excel!"&amp;BY64&amp; (MATCH(CK22,数出表_Excel!$A:$A,0)-1))) - 1 +
MATCH(TRUE, ISNUMBER(--INDIRECT("数出表_Excel!"&amp;BY64&amp; (MATCH(CK22,数出表_Excel!$A:$A,0)-1) &amp; ":U" &amp; (MATCH(CK22,数出表_Excel!$A:$A,0)-1))), 0)+1,4),"1",""),
""),
IFERROR(
SUBSTITUTE(ADDRESS(1,
COLUMN(INDIRECT("数出表_Excel!B" &amp; (MATCH(CK22,数出表_Excel!$A:$A,0)-1))) - 1 +
MATCH(TRUE, ISNUMBER(--INDIRECT("数出表_Excel!B" &amp; (MATCH(CK22,数出表_Excel!$A:$A,0)-1) &amp; ":U" &amp; (MATCH(CK22,数出表_Excel!$A:$A,0)-1))), 0)+1,4),"1",""),
"")))</f>
        <v/>
      </c>
      <c r="CG64" s="191" t="str">
        <f ca="1">IF(CG67&lt;&gt;"",CG22,"")</f>
        <v/>
      </c>
      <c r="CH64" s="192"/>
      <c r="CI64" s="192"/>
      <c r="CJ64" s="192"/>
      <c r="CK64" s="95"/>
      <c r="CL64" s="80"/>
      <c r="CM64" s="80"/>
      <c r="CN64" s="81" t="str">
        <f t="array" aca="1" ref="CN64" ca="1">IF(COUNTIF(CS22,"*合計*"),"",
IF(CO22=CV57,
IFERROR(
SUBSTITUTE(ADDRESS(1,
COLUMN(INDIRECT("数出表_Excel!"&amp;CU57&amp; (MATCH(CS22,数出表_Excel!$A:$A,0)-1))) - 1 +
MATCH(TRUE, ISNUMBER(--INDIRECT("数出表_Excel!"&amp;CU57&amp; (MATCH(CS22,数出表_Excel!$A:$A,0)-1) &amp; ":U" &amp; (MATCH(CS22,数出表_Excel!$A:$A,0)-1))), 0)+1,4),"1",""),
""),
IFERROR(
SUBSTITUTE(ADDRESS(1,
COLUMN(INDIRECT("数出表_Excel!B" &amp; (MATCH(CS22,数出表_Excel!$A:$A,0)-1))) - 1 +
MATCH(TRUE, ISNUMBER(--INDIRECT("数出表_Excel!B" &amp; (MATCH(CS22,数出表_Excel!$A:$A,0)-1) &amp; ":U" &amp; (MATCH(CS22,数出表_Excel!$A:$A,0)-1))), 0)+1,4),"1",""),
"")))</f>
        <v/>
      </c>
      <c r="CO64" s="191" t="str">
        <f ca="1">IF(CO67&lt;&gt;"",CO22,"")</f>
        <v/>
      </c>
      <c r="CP64" s="192"/>
      <c r="CQ64" s="192"/>
      <c r="CR64" s="192"/>
      <c r="CS64" s="99"/>
      <c r="CT64" s="80"/>
      <c r="CU64" s="81" t="str">
        <f t="array" aca="1" ref="CU64" ca="1">IF(COUNTIF(CZ22,"*合計*"),"",
IF(CV22=CO64,
IFERROR(
SUBSTITUTE(ADDRESS(1,
COLUMN(INDIRECT("数出表_Excel!"&amp;CN64&amp; (MATCH(CZ22,数出表_Excel!$A:$A,0)-1))) - 1 +
MATCH(TRUE, ISNUMBER(--INDIRECT("数出表_Excel!"&amp;CN64&amp; (MATCH(CZ22,数出表_Excel!$A:$A,0)-1) &amp; ":U" &amp; (MATCH(CZ22,数出表_Excel!$A:$A,0)-1))), 0)+1,4),"1",""),
""),
IFERROR(
SUBSTITUTE(ADDRESS(1,
COLUMN(INDIRECT("数出表_Excel!B" &amp; (MATCH(CZ22,数出表_Excel!$A:$A,0)-1))) - 1 +
MATCH(TRUE, ISNUMBER(--INDIRECT("数出表_Excel!B" &amp; (MATCH(CZ22,数出表_Excel!$A:$A,0)-1) &amp; ":U" &amp; (MATCH(CZ22,数出表_Excel!$A:$A,0)-1))), 0)+1,4),"1",""),
"")))</f>
        <v/>
      </c>
      <c r="CV64" s="191" t="str">
        <f ca="1">IF(CV67&lt;&gt;"",CV22,"")</f>
        <v/>
      </c>
      <c r="CW64" s="192"/>
      <c r="CX64" s="192"/>
      <c r="CY64" s="192"/>
      <c r="CZ64" s="95"/>
      <c r="DA64" s="80"/>
      <c r="DB64" s="80"/>
      <c r="DC64" s="81" t="str">
        <f t="array" aca="1" ref="DC64" ca="1">IF(COUNTIF(DH22,"*合計*"),"",
IF(DD22=DK57,
IFERROR(
SUBSTITUTE(ADDRESS(1,
COLUMN(INDIRECT("数出表_Excel!"&amp;DJ57&amp; (MATCH(DH22,数出表_Excel!$A:$A,0)-1))) - 1 +
MATCH(TRUE, ISNUMBER(--INDIRECT("数出表_Excel!"&amp;DJ57&amp; (MATCH(DH22,数出表_Excel!$A:$A,0)-1) &amp; ":U" &amp; (MATCH(DH22,数出表_Excel!$A:$A,0)-1))), 0)+1,4),"1",""),
""),
IFERROR(
SUBSTITUTE(ADDRESS(1,
COLUMN(INDIRECT("数出表_Excel!B" &amp; (MATCH(DH22,数出表_Excel!$A:$A,0)-1))) - 1 +
MATCH(TRUE, ISNUMBER(--INDIRECT("数出表_Excel!B" &amp; (MATCH(DH22,数出表_Excel!$A:$A,0)-1) &amp; ":U" &amp; (MATCH(DH22,数出表_Excel!$A:$A,0)-1))), 0)+1,4),"1",""),
"")))</f>
        <v/>
      </c>
      <c r="DD64" s="191" t="str">
        <f ca="1">IF(DD67&lt;&gt;"",DD22,"")</f>
        <v/>
      </c>
      <c r="DE64" s="192"/>
      <c r="DF64" s="192"/>
      <c r="DG64" s="192"/>
      <c r="DH64" s="99"/>
      <c r="DI64" s="80"/>
      <c r="DJ64" s="81" t="str">
        <f t="array" aca="1" ref="DJ64" ca="1">IF(COUNTIF(DO22,"*合計*"),"",
IF(DK22=DD64,
IFERROR(
SUBSTITUTE(ADDRESS(1,
COLUMN(INDIRECT("数出表_Excel!"&amp;DC64&amp; (MATCH(DO22,数出表_Excel!$A:$A,0)-1))) - 1 +
MATCH(TRUE, ISNUMBER(--INDIRECT("数出表_Excel!"&amp;DC64&amp; (MATCH(DO22,数出表_Excel!$A:$A,0)-1) &amp; ":U" &amp; (MATCH(DO22,数出表_Excel!$A:$A,0)-1))), 0)+1,4),"1",""),
""),
IFERROR(
SUBSTITUTE(ADDRESS(1,
COLUMN(INDIRECT("数出表_Excel!B" &amp; (MATCH(DO22,数出表_Excel!$A:$A,0)-1))) - 1 +
MATCH(TRUE, ISNUMBER(--INDIRECT("数出表_Excel!B" &amp; (MATCH(DO22,数出表_Excel!$A:$A,0)-1) &amp; ":U" &amp; (MATCH(DO22,数出表_Excel!$A:$A,0)-1))), 0)+1,4),"1",""),
"")))</f>
        <v/>
      </c>
      <c r="DK64" s="191" t="str">
        <f ca="1">IF(DK67&lt;&gt;"",DK22,"")</f>
        <v/>
      </c>
      <c r="DL64" s="192"/>
      <c r="DM64" s="192"/>
      <c r="DN64" s="192"/>
      <c r="DO64" s="95"/>
      <c r="DP64" s="80"/>
      <c r="DQ64" s="80"/>
      <c r="DR64" s="81" t="str">
        <f t="array" aca="1" ref="DR64" ca="1">IF(COUNTIF(DW22,"*合計*"),"",
IF(DS22=DZ57,
IFERROR(
SUBSTITUTE(ADDRESS(1,
COLUMN(INDIRECT("数出表_Excel!"&amp;DY57&amp; (MATCH(DW22,数出表_Excel!$A:$A,0)-1))) - 1 +
MATCH(TRUE, ISNUMBER(--INDIRECT("数出表_Excel!"&amp;DY57&amp; (MATCH(DW22,数出表_Excel!$A:$A,0)-1) &amp; ":U" &amp; (MATCH(DW22,数出表_Excel!$A:$A,0)-1))), 0)+1,4),"1",""),
""),
IFERROR(
SUBSTITUTE(ADDRESS(1,
COLUMN(INDIRECT("数出表_Excel!B" &amp; (MATCH(DW22,数出表_Excel!$A:$A,0)-1))) - 1 +
MATCH(TRUE, ISNUMBER(--INDIRECT("数出表_Excel!B" &amp; (MATCH(DW22,数出表_Excel!$A:$A,0)-1) &amp; ":U" &amp; (MATCH(DW22,数出表_Excel!$A:$A,0)-1))), 0)+1,4),"1",""),
"")))</f>
        <v/>
      </c>
      <c r="DS64" s="191" t="str">
        <f ca="1">IF(DS67&lt;&gt;"",DS22,"")</f>
        <v/>
      </c>
      <c r="DT64" s="192"/>
      <c r="DU64" s="192"/>
      <c r="DV64" s="192"/>
      <c r="DW64" s="99"/>
      <c r="DX64" s="80"/>
      <c r="DY64" s="81" t="str">
        <f t="array" aca="1" ref="DY64" ca="1">IF(COUNTIF(ED22,"*合計*"),"",
IF(DZ22=DS64,
IFERROR(
SUBSTITUTE(ADDRESS(1,
COLUMN(INDIRECT("数出表_Excel!"&amp;DR64&amp; (MATCH(ED22,数出表_Excel!$A:$A,0)-1))) - 1 +
MATCH(TRUE, ISNUMBER(--INDIRECT("数出表_Excel!"&amp;DR64&amp; (MATCH(ED22,数出表_Excel!$A:$A,0)-1) &amp; ":U" &amp; (MATCH(ED22,数出表_Excel!$A:$A,0)-1))), 0)+1,4),"1",""),
""),
IFERROR(
SUBSTITUTE(ADDRESS(1,
COLUMN(INDIRECT("数出表_Excel!B" &amp; (MATCH(ED22,数出表_Excel!$A:$A,0)-1))) - 1 +
MATCH(TRUE, ISNUMBER(--INDIRECT("数出表_Excel!B" &amp; (MATCH(ED22,数出表_Excel!$A:$A,0)-1) &amp; ":U" &amp; (MATCH(ED22,数出表_Excel!$A:$A,0)-1))), 0)+1,4),"1",""),
"")))</f>
        <v/>
      </c>
      <c r="DZ64" s="191" t="str">
        <f ca="1">IF(DZ67&lt;&gt;"",DZ22,"")</f>
        <v/>
      </c>
      <c r="EA64" s="192"/>
      <c r="EB64" s="192"/>
      <c r="EC64" s="192"/>
      <c r="ED64" s="95"/>
      <c r="EE64" s="80"/>
      <c r="EF64" s="80"/>
      <c r="EG64" s="81" t="str">
        <f t="array" aca="1" ref="EG64" ca="1">IF(COUNTIF(EL22,"*合計*"),"",
IF(EH22=EO57,
IFERROR(
SUBSTITUTE(ADDRESS(1,
COLUMN(INDIRECT("数出表_Excel!"&amp;EN57&amp; (MATCH(EL22,数出表_Excel!$A:$A,0)-1))) - 1 +
MATCH(TRUE, ISNUMBER(--INDIRECT("数出表_Excel!"&amp;EN57&amp; (MATCH(EL22,数出表_Excel!$A:$A,0)-1) &amp; ":U" &amp; (MATCH(EL22,数出表_Excel!$A:$A,0)-1))), 0)+1,4),"1",""),
""),
IFERROR(
SUBSTITUTE(ADDRESS(1,
COLUMN(INDIRECT("数出表_Excel!B" &amp; (MATCH(EL22,数出表_Excel!$A:$A,0)-1))) - 1 +
MATCH(TRUE, ISNUMBER(--INDIRECT("数出表_Excel!B" &amp; (MATCH(EL22,数出表_Excel!$A:$A,0)-1) &amp; ":U" &amp; (MATCH(EL22,数出表_Excel!$A:$A,0)-1))), 0)+1,4),"1",""),
"")))</f>
        <v/>
      </c>
      <c r="EH64" s="191" t="str">
        <f ca="1">IF(EH67&lt;&gt;"",EH22,"")</f>
        <v/>
      </c>
      <c r="EI64" s="192"/>
      <c r="EJ64" s="192"/>
      <c r="EK64" s="192"/>
      <c r="EL64" s="99"/>
      <c r="EM64" s="80"/>
      <c r="EN64" s="81" t="str">
        <f t="array" aca="1" ref="EN64" ca="1">IF(COUNTIF(ES22,"*合計*"),"",
IF(EO22=EH64,
IFERROR(
SUBSTITUTE(ADDRESS(1,
COLUMN(INDIRECT("数出表_Excel!"&amp;EG64&amp; (MATCH(ES22,数出表_Excel!$A:$A,0)-1))) - 1 +
MATCH(TRUE, ISNUMBER(--INDIRECT("数出表_Excel!"&amp;EG64&amp; (MATCH(ES22,数出表_Excel!$A:$A,0)-1) &amp; ":U" &amp; (MATCH(ES22,数出表_Excel!$A:$A,0)-1))), 0)+1,4),"1",""),
""),
IFERROR(
SUBSTITUTE(ADDRESS(1,
COLUMN(INDIRECT("数出表_Excel!B" &amp; (MATCH(ES22,数出表_Excel!$A:$A,0)-1))) - 1 +
MATCH(TRUE, ISNUMBER(--INDIRECT("数出表_Excel!B" &amp; (MATCH(ES22,数出表_Excel!$A:$A,0)-1) &amp; ":U" &amp; (MATCH(ES22,数出表_Excel!$A:$A,0)-1))), 0)+1,4),"1",""),
"")))</f>
        <v/>
      </c>
      <c r="EO64" s="191" t="str">
        <f ca="1">IF(EO67&lt;&gt;"",EO22,"")</f>
        <v/>
      </c>
      <c r="EP64" s="192"/>
      <c r="EQ64" s="192"/>
      <c r="ER64" s="192"/>
      <c r="ES64" s="95"/>
      <c r="ET64" s="110"/>
      <c r="EU64" s="82">
        <f t="shared" si="4"/>
        <v>63</v>
      </c>
      <c r="EV64" s="82" t="str">
        <f t="array" aca="1" ref="EV64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LEN(SUBSTITUTE(_xlfn.FORMULATEXT(EV$51),"=","")))+$EU64)</f>
        <v/>
      </c>
      <c r="EW64" s="82" t="str">
        <f t="array" aca="1" ref="EW64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LEN(SUBSTITUTE(_xlfn.FORMULATEXT(EW$51),"=","")))+$EU64)</f>
        <v/>
      </c>
      <c r="EX64" s="82" t="str">
        <f t="array" aca="1" ref="EX64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LEN(SUBSTITUTE(_xlfn.FORMULATEXT(EX$51),"=","")))+$EU64)</f>
        <v/>
      </c>
      <c r="EY64" s="82" t="str">
        <f t="array" aca="1" ref="EY64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LEN(SUBSTITUTE(_xlfn.FORMULATEXT(EY$51),"=","")))+$EU64)</f>
        <v/>
      </c>
      <c r="EZ64" s="82" t="str">
        <f t="array" aca="1" ref="EZ64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LEN(SUBSTITUTE(_xlfn.FORMULATEXT(EZ$51),"=","")))+$EU64)</f>
        <v/>
      </c>
      <c r="FA64" s="82" t="str">
        <f t="array" aca="1" ref="FA64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LEN(SUBSTITUTE(_xlfn.FORMULATEXT(FA$51),"=","")))+$EU64)</f>
        <v/>
      </c>
      <c r="FB64" s="82" t="str">
        <f t="array" aca="1" ref="FB64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LEN(SUBSTITUTE(_xlfn.FORMULATEXT(FB$51),"=","")))+$EU64)</f>
        <v/>
      </c>
      <c r="FC64" s="82" t="str">
        <f t="array" aca="1" ref="FC64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LEN(SUBSTITUTE(_xlfn.FORMULATEXT(FC$51),"=","")))+$EU64)</f>
        <v/>
      </c>
      <c r="FD64" s="82" t="str">
        <f t="array" aca="1" ref="FD64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LEN(SUBSTITUTE(_xlfn.FORMULATEXT(FD$51),"=","")))+$EU64)</f>
        <v/>
      </c>
      <c r="FE64" s="82" t="str">
        <f t="array" aca="1" ref="FE64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LEN(SUBSTITUTE(_xlfn.FORMULATEXT(FE$51),"=","")))+$EU64)</f>
        <v/>
      </c>
      <c r="FF64" s="82" t="str">
        <f t="array" aca="1" ref="FF64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LEN(SUBSTITUTE(_xlfn.FORMULATEXT(FF$51),"=","")))+$EU64)</f>
        <v/>
      </c>
      <c r="FG64" s="82">
        <f t="shared" ca="1" si="3"/>
        <v>0</v>
      </c>
      <c r="FH64" s="82" t="b">
        <f t="array" aca="1" ref="FH64" ca="1">SUMPRODUCT((LEN(EV64:FF64)&gt;0)*1)&gt;0</f>
        <v>0</v>
      </c>
      <c r="FI64" s="82" t="str">
        <f t="array" aca="1" ref="FI64" ca="1">IFERROR(SMALL(IF(FG$1:FG$173&lt;&gt;0,FG$1:FG$173),ROW(A64)),"")</f>
        <v/>
      </c>
      <c r="FJ64" s="82" t="str">
        <f t="array" aca="1" ref="FJ64" ca="1">IF($FI64&lt;&gt;"",
INDIRECT(""&amp;IF(COLUMN(EV64)&lt;=26,CHAR(COLUMN(EV64)+64),CHAR(INT((COLUMN(EV64)-1)/26)+64)&amp;CHAR(MOD(COLUMN(EV64)-1,26)+65))&amp;$FI64&amp;""),"")</f>
        <v/>
      </c>
      <c r="FK64" s="82" t="str">
        <f t="array" aca="1" ref="FK64" ca="1">IF($FI64&lt;&gt;"",
INDIRECT(""&amp;IF(COLUMN(EW64)&lt;=26,CHAR(COLUMN(EW64)+64),CHAR(INT((COLUMN(EW64)-1)/26)+64)&amp;CHAR(MOD(COLUMN(EW64)-1,26)+65))&amp;$FI64&amp;""),"")</f>
        <v/>
      </c>
      <c r="FL64" s="82" t="str">
        <f t="array" aca="1" ref="FL64" ca="1">IF($FI64&lt;&gt;"",
INDIRECT(""&amp;IF(COLUMN(EX64)&lt;=26,CHAR(COLUMN(EX64)+64),CHAR(INT((COLUMN(EX64)-1)/26)+64)&amp;CHAR(MOD(COLUMN(EX64)-1,26)+65))&amp;$FI64&amp;""),"")</f>
        <v/>
      </c>
      <c r="FM64" s="82" t="str">
        <f t="array" aca="1" ref="FM64" ca="1">IF($FI64&lt;&gt;"",
IF(FL64="",
IF(INDIRECT("EY"&amp;$FI64&amp;"")&lt;&gt;"",
INDIRECT("EY"&amp;$FI64&amp;"")&amp;"箱"
&amp;INDIRECT("EZ"&amp;$FI64&amp;""),""),""),"")</f>
        <v/>
      </c>
      <c r="FN64" s="82" t="str">
        <f t="array" aca="1" ref="FN64" ca="1">IF($FI64&lt;&gt;"",
INDIRECT(""&amp;IF(COLUMN(FA64)&lt;=26,CHAR(COLUMN(FA64)+64),CHAR(INT((COLUMN(FA64)-1)/26)+64)&amp;CHAR(MOD(COLUMN(FA64)-1,26)+65))&amp;$FI64&amp;""),"")</f>
        <v/>
      </c>
      <c r="FO64" s="82" t="str">
        <f t="array" aca="1" ref="FO64" ca="1">IF($FI64&lt;&gt;"",
INDIRECT(""&amp;IF(COLUMN(FB64)&lt;=26,CHAR(COLUMN(FB64)+64),CHAR(INT((COLUMN(FB64)-1)/26)+64)&amp;CHAR(MOD(COLUMN(FB64)-1,26)+65))&amp;$FI64&amp;""),"")</f>
        <v/>
      </c>
      <c r="FP64" s="82" t="str">
        <f t="array" aca="1" ref="FP64" ca="1">IF($FI64&lt;&gt;"",
INDIRECT(""&amp;IF(COLUMN(FC64)&lt;=26,CHAR(COLUMN(FC64)+64),CHAR(INT((COLUMN(FC64)-1)/26)+64)&amp;CHAR(MOD(COLUMN(FC64)-1,26)+65))&amp;$FI64&amp;""),"")</f>
        <v/>
      </c>
      <c r="FQ64" s="82" t="str">
        <f t="array" aca="1" ref="FQ64" ca="1">IF($FI64&lt;&gt;"",
INDIRECT(""&amp;IF(COLUMN(FD64)&lt;=26,CHAR(COLUMN(FD64)+64),CHAR(INT((COLUMN(FD64)-1)/26)+64)&amp;CHAR(MOD(COLUMN(FD64)-1,26)+65))&amp;$FI64&amp;""),"")</f>
        <v/>
      </c>
      <c r="FR64" s="82" t="str">
        <f t="array" aca="1" ref="FR64" ca="1">IF($FI64&lt;&gt;"",
INDIRECT(""&amp;IF(COLUMN(FE64)&lt;=26,CHAR(COLUMN(FE64)+64),CHAR(INT((COLUMN(FE64)-1)/26)+64)&amp;CHAR(MOD(COLUMN(FE64)-1,26)+65))&amp;$FI64&amp;""),"")</f>
        <v/>
      </c>
      <c r="FS64" s="82" t="str">
        <f t="array" aca="1" ref="FS64" ca="1">IF($FI64&lt;&gt;"",
INDIRECT(""&amp;IF(COLUMN(FF64)&lt;=26,CHAR(COLUMN(FF64)+64),CHAR(INT((COLUMN(FF64)-1)/26)+64)&amp;CHAR(MOD(COLUMN(FF64)-1,26)+65))&amp;$FI64&amp;""),"")</f>
        <v/>
      </c>
    </row>
    <row r="65" spans="1:175" s="82" customFormat="1" ht="18" customHeight="1" x14ac:dyDescent="0.55000000000000004">
      <c r="A65" s="80"/>
      <c r="B65" s="85" t="e">
        <f t="array" aca="1" ref="B65" ca="1">IF(B24&lt;&gt;100,
IF(C67&lt;&gt;"",MATCH(C67,INDIRECT("数出表_Excel!B"&amp;MATCH(G22,数出表_Excel!$A:$A,0)-1&amp;":U"&amp;MATCH(G22,数出表_Excel!$A:$A,0)-1&amp;""),0)+1,""),
IF(C67&lt;&gt;"",
MATCH(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INDIRECT("数出表_Excel!B"&amp;MATCH(G22,数出表_Excel!$A:$A,0)-1&amp;":U"&amp;MATCH(G22,数出表_Excel!$A:$A,0)-1&amp;""),0)+1,""))</f>
        <v>#N/A</v>
      </c>
      <c r="C65" s="62" t="str">
        <f t="array" aca="1" ref="C65" ca="1">IF(C22=J57,"",IFERROR(IF(OR(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"3"),"*配膳*"),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"3"),"*カレー*"),
COUNTIF(C22,"*合計*")),"",
IF(IFERROR(INDIRECT("数出表_Excel!"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"3"),0)=0,"",
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"3"),""))),""))</f>
        <v/>
      </c>
      <c r="D65" s="80"/>
      <c r="E65" s="86" t="str">
        <f t="array" aca="1" ref="E65" ca="1">IF(F65&lt;&gt;"","",
IF(COUNTIF(C64,"*雙葉*"),"",
IF(C64&lt;&gt;"",
IF(
(COLUMN(INDIRECT("数出表_Excel!B" &amp; (MATCH(G22,数出表_Excel!$A:$A,0)-1))) - 1 +
MATCH(TRUE, ISNUMBER(--INDIRECT("数出表_Excel!B" &amp; (MATCH(G22,数出表_Excel!$A:$A,0)-1) &amp; ":U" &amp; (MATCH(G22,数出表_Excel!$A:$A,0)-1))), 0)+1
+MATCH(TRUE,INDIRECT("'数出表_Excel'!"&amp;B64&amp;MATCH(G22,数出表_Excel!$A:$A,0)-1&amp;":AL"&amp;MATCH(G22,数出表_Excel!$A:$A,0)-1&amp;"")&lt;&gt;"",0))&gt;12,"",
IFERROR(
INDEX(INDIRECT("数出表_Excel!$"&amp;B64&amp;"4:$AL4"),
 1,
MATCH(TRUE,INDIRECT("'数出表_Excel'!"&amp;B64&amp;MATCH(G22,数出表_Excel!$A:$A,0)-1&amp;":AL"&amp;MATCH(G22,数出表_Excel!$A:$A,0)-1&amp;"")&lt;&gt;"",0)
),
 "")
&amp;IFERROR(
INDEX(INDIRECT("数出表_Excel!$"&amp;B64&amp;"5:$AL5"),
 1,
MATCH(TRUE,INDIRECT("'数出表_Excel'!"&amp;B64&amp;MATCH(G22,数出表_Excel!$A:$A,0)-1&amp;":AL"&amp;MATCH(G22,数出表_Excel!$A:$A,0)-1&amp;"")&lt;&gt;"",0)),
 "")),"")))</f>
        <v/>
      </c>
      <c r="F65" s="87" t="str">
        <f t="array" aca="1" ref="F65" ca="1">IF(C65&lt;&gt;"",
IF(COUNTIF(C64,"*雙葉*"),
IF(ROUND(
IF(F70&lt;&gt;"",(C67-F70),C67)
/IF(COUNTIF(C65,"*キャラ*"),
VLOOKUP("*キャラ*",商品マスタ一覧!$D:$J,7,FALSE),
IF(COUNTIF(C65,"*赤*"),
VLOOKUP("*赤*",商品マスタ一覧!$D:$J,7,FALSE),
VLOOKUP(C65,商品マスタ一覧!$D:$J,7,FALSE))),0)&lt;=0,1,
ROUND(
IF(F70&lt;&gt;"",(C67-F70),C67)
/IF(COUNTIF(C65,"*キャラ*"),
VLOOKUP("*キャラ*",商品マスタ一覧!$D:$J,7,FALSE),
IF(COUNTIF(C65,"*赤*"),
VLOOKUP("*赤*",商品マスタ一覧!$D:$J,7,FALSE),
VLOOKUP(C65,商品マスタ一覧!$D:$J,7,FALSE))),0)),
IF(MATCH(TRUE,
ISNUMBER(--INDIRECT("'数出表_Excel（アレルギー入力）'!B"&amp;MATCH(G22,'数出表_Excel（アレルギー入力）'!$A:$A,0)-1&amp;":AL"&amp;MATCH(G22,'数出表_Excel（アレルギー入力）'!$A:$A,0)-1&amp;"")),0)&gt;10,
IF(C65&lt;&gt;"",
IF(IF(COUNTIF(C65,"*キャラ*"),
VLOOKUP("*キャラ*",商品マスタ一覧!$D:$J,7,FALSE),
IF(COUNTIF(C65,"*赤*"),
VLOOKUP("*赤*",商品マスタ一覧!$D:$J,7,FALSE),
VLOOKUP(C65,商品マスタ一覧!$D:$J,7,FALSE)))=0,"",
IF(ROUND(
IF(F70&lt;&gt;"",(C67-F70),C67)
/IF(COUNTIF(C65,"*キャラ*"),
VLOOKUP("*キャラ*",商品マスタ一覧!$D:$J,7,FALSE),
IF(COUNTIF(C65,"*赤*"),
VLOOKUP("*赤*",商品マスタ一覧!$D:$J,7,FALSE),
VLOOKUP(C65,商品マスタ一覧!$D:$J,7,FALSE))),0)&lt;=0,1,
ROUND(
IF(F70&lt;&gt;"",(C67-F70),C67)
/IF(COUNTIF(C65,"*キャラ*"),
VLOOKUP("*キャラ*",商品マスタ一覧!$D:$J,7,FALSE),
IF(COUNTIF(C65,"*赤*"),
VLOOKUP("*赤*",商品マスタ一覧!$D:$J,7,FALSE),
VLOOKUP(C65,商品マスタ一覧!$D:$J,7,FALSE))),0))),""),"")),"")</f>
        <v/>
      </c>
      <c r="G65" s="100" t="str">
        <f ca="1">IF(F65&lt;&gt;"",IF(C67&lt;&gt;"",IF(VALUE(IF(F70&lt;&gt;"",C67-F70,C67))&gt;VALUE(IF(COUNTIF('盛付札（関数）'!C65,"*キャラ*"),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
"+"&amp;IF(F70&lt;&gt;"",C67-F70,C67)-IF(COUNTIF('盛付札（関数）'!C65,"*キャラ*"),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VLOOKUP('盛付札（関数）'!C65,商品マスタ一覧!$D:$J,7,FALSE)))*F65,
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VLOOKUP('盛付札（関数）'!C65,商品マスタ一覧!$D:$J,7,FALSE)))*F65),""),"")</f>
        <v/>
      </c>
      <c r="H65" s="80"/>
      <c r="I65" s="85" t="e">
        <f t="array" aca="1" ref="I65" ca="1">IF(I24&lt;&gt;100,
IF(J67&lt;&gt;"",MATCH(J67,INDIRECT("数出表_Excel!B"&amp;MATCH(N22,数出表_Excel!$A:$A,0)-1&amp;":U"&amp;MATCH(N22,数出表_Excel!$A:$A,0)-1&amp;""),0)+1,""),
IF(J67&lt;&gt;"",
MATCH(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INDIRECT("数出表_Excel!B"&amp;MATCH(N22,数出表_Excel!$A:$A,0)-1&amp;":U"&amp;MATCH(N22,数出表_Excel!$A:$A,0)-1&amp;""),0)+1,""))</f>
        <v>#N/A</v>
      </c>
      <c r="J65" s="62" t="str">
        <f t="array" aca="1" ref="J65" ca="1">IF(J22=C64,"",IFERROR(IF(OR(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"3"),"*配膳*"),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"3"),"*カレー*"),
COUNTIF(J22,"*合計*")),"",
IF(IFERROR(INDIRECT("数出表_Excel!"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"3"),0)=0,"",
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"3"),""))),""))</f>
        <v/>
      </c>
      <c r="K65" s="80"/>
      <c r="L65" s="86" t="str">
        <f t="array" aca="1" ref="L65" ca="1">IF(M65&lt;&gt;"","",
IF(COUNTIF(J64,"*雙葉*"),"",
IF(J64&lt;&gt;"",
IF(
(COLUMN(INDIRECT("数出表_Excel!B" &amp; (MATCH(N22,数出表_Excel!$A:$A,0)-1))) - 1 +
MATCH(TRUE, ISNUMBER(--INDIRECT("数出表_Excel!B" &amp; (MATCH(N22,数出表_Excel!$A:$A,0)-1) &amp; ":U" &amp; (MATCH(N22,数出表_Excel!$A:$A,0)-1))), 0)+1
+MATCH(TRUE,INDIRECT("'数出表_Excel'!"&amp;I64&amp;MATCH(N22,数出表_Excel!$A:$A,0)-1&amp;":AL"&amp;MATCH(N22,数出表_Excel!$A:$A,0)-1&amp;"")&lt;&gt;"",0))&gt;12,"",
IFERROR(
INDEX(INDIRECT("数出表_Excel!$"&amp;I64&amp;"4:$AL4"),
 1,
MATCH(TRUE,INDIRECT("'数出表_Excel'!"&amp;I64&amp;MATCH(N22,数出表_Excel!$A:$A,0)-1&amp;":AL"&amp;MATCH(N22,数出表_Excel!$A:$A,0)-1&amp;"")&lt;&gt;"",0)
),
 "")
&amp;IFERROR(
INDEX(INDIRECT("数出表_Excel!$"&amp;I64&amp;"5:$AL5"),
 1,
MATCH(TRUE,INDIRECT("'数出表_Excel'!"&amp;I64&amp;MATCH(N22,数出表_Excel!$A:$A,0)-1&amp;":AL"&amp;MATCH(N22,数出表_Excel!$A:$A,0)-1&amp;"")&lt;&gt;"",0)),
 "")),"")))</f>
        <v/>
      </c>
      <c r="M65" s="87" t="str">
        <f t="array" aca="1" ref="M65" ca="1">IF(J65&lt;&gt;"",
IF(COUNTIF(J64,"*雙葉*"),
IF(ROUND(
IF(M70&lt;&gt;"",(J67-M70),J67)
/IF(COUNTIF(J65,"*キャラ*"),
VLOOKUP("*キャラ*",商品マスタ一覧!$D:$J,7,FALSE),
IF(COUNTIF(J65,"*赤*"),
VLOOKUP("*赤*",商品マスタ一覧!$D:$J,7,FALSE),
VLOOKUP(J65,商品マスタ一覧!$D:$J,7,FALSE))),0)&lt;=0,1,
ROUND(
IF(M70&lt;&gt;"",(J67-M70),J67)
/IF(COUNTIF(J65,"*キャラ*"),
VLOOKUP("*キャラ*",商品マスタ一覧!$D:$J,7,FALSE),
IF(COUNTIF(J65,"*赤*"),
VLOOKUP("*赤*",商品マスタ一覧!$D:$J,7,FALSE),
VLOOKUP(J65,商品マスタ一覧!$D:$J,7,FALSE))),0)),
IF(MATCH(TRUE,
ISNUMBER(--INDIRECT("'数出表_Excel（アレルギー入力）'!B"&amp;MATCH(N22,'数出表_Excel（アレルギー入力）'!$A:$A,0)-1&amp;":AL"&amp;MATCH(N22,'数出表_Excel（アレルギー入力）'!$A:$A,0)-1&amp;"")),0)&gt;10,
IF(J65&lt;&gt;"",
IF(IF(COUNTIF(J65,"*キャラ*"),
VLOOKUP("*キャラ*",商品マスタ一覧!$D:$J,7,FALSE),
IF(COUNTIF(J65,"*赤*"),
VLOOKUP("*赤*",商品マスタ一覧!$D:$J,7,FALSE),
VLOOKUP(J65,商品マスタ一覧!$D:$J,7,FALSE)))=0,"",
IF(ROUND(
IF(M70&lt;&gt;"",(J67-M70),J67)
/IF(COUNTIF(J65,"*キャラ*"),
VLOOKUP("*キャラ*",商品マスタ一覧!$D:$J,7,FALSE),
IF(COUNTIF(J65,"*赤*"),
VLOOKUP("*赤*",商品マスタ一覧!$D:$J,7,FALSE),
VLOOKUP(J65,商品マスタ一覧!$D:$J,7,FALSE))),0)&lt;=0,1,
ROUND(
IF(M70&lt;&gt;"",(J67-M70),J67)
/IF(COUNTIF(J65,"*キャラ*"),
VLOOKUP("*キャラ*",商品マスタ一覧!$D:$J,7,FALSE),
IF(COUNTIF(J65,"*赤*"),
VLOOKUP("*赤*",商品マスタ一覧!$D:$J,7,FALSE),
VLOOKUP(J65,商品マスタ一覧!$D:$J,7,FALSE))),0))),""),"")),"")</f>
        <v/>
      </c>
      <c r="N65" s="96" t="str">
        <f ca="1">IF(M65&lt;&gt;"",IF(J67&lt;&gt;"",IF(VALUE(IF(M70&lt;&gt;"",J67-M70,J67))&gt;VALUE(IF(COUNTIF('盛付札（関数）'!J65,"*キャラ*"),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
"+"&amp;IF(M70&lt;&gt;"",J67-M70,J67)-IF(COUNTIF('盛付札（関数）'!J65,"*キャラ*"),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VLOOKUP('盛付札（関数）'!J65,商品マスタ一覧!$D:$J,7,FALSE)))*M65,
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VLOOKUP('盛付札（関数）'!J65,商品マスタ一覧!$D:$J,7,FALSE)))*M65),""),"")</f>
        <v/>
      </c>
      <c r="O65" s="80"/>
      <c r="P65" s="80"/>
      <c r="Q65" s="85" t="e">
        <f t="array" aca="1" ref="Q65" ca="1">IF(Q24&lt;&gt;100,
IF(R67&lt;&gt;"",MATCH(R67,INDIRECT("数出表_Excel!B"&amp;MATCH(V22,数出表_Excel!$A:$A,0)-1&amp;":U"&amp;MATCH(V22,数出表_Excel!$A:$A,0)-1&amp;""),0)+1,""),
IF(R67&lt;&gt;"",
MATCH(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INDIRECT("数出表_Excel!B"&amp;MATCH(V22,数出表_Excel!$A:$A,0)-1&amp;":U"&amp;MATCH(V22,数出表_Excel!$A:$A,0)-1&amp;""),0)+1,""))</f>
        <v>#N/A</v>
      </c>
      <c r="R65" s="62" t="str">
        <f t="array" aca="1" ref="R65" ca="1">IF(R22=Y57,"",IFERROR(IF(OR(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"3"),"*配膳*"),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"3"),"*カレー*"),
COUNTIF(R22,"*合計*")),"",
IF(IFERROR(INDIRECT("数出表_Excel!"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"3"),0)=0,"",
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"3"),""))),""))</f>
        <v/>
      </c>
      <c r="S65" s="80"/>
      <c r="T65" s="86" t="str">
        <f t="array" aca="1" ref="T65" ca="1">IF(U65&lt;&gt;"","",
IF(COUNTIF(R64,"*雙葉*"),"",
IF(R64&lt;&gt;"",
IF(
(COLUMN(INDIRECT("数出表_Excel!B" &amp; (MATCH(V22,数出表_Excel!$A:$A,0)-1))) - 1 +
MATCH(TRUE, ISNUMBER(--INDIRECT("数出表_Excel!B" &amp; (MATCH(V22,数出表_Excel!$A:$A,0)-1) &amp; ":U" &amp; (MATCH(V22,数出表_Excel!$A:$A,0)-1))), 0)+1
+MATCH(TRUE,INDIRECT("'数出表_Excel'!"&amp;Q64&amp;MATCH(V22,数出表_Excel!$A:$A,0)-1&amp;":AL"&amp;MATCH(V22,数出表_Excel!$A:$A,0)-1&amp;"")&lt;&gt;"",0))&gt;12,"",
IFERROR(
INDEX(INDIRECT("数出表_Excel!$"&amp;Q64&amp;"4:$AL4"),
 1,
MATCH(TRUE,INDIRECT("'数出表_Excel'!"&amp;Q64&amp;MATCH(V22,数出表_Excel!$A:$A,0)-1&amp;":AL"&amp;MATCH(V22,数出表_Excel!$A:$A,0)-1&amp;"")&lt;&gt;"",0)
),
 "")
&amp;IFERROR(
INDEX(INDIRECT("数出表_Excel!$"&amp;Q64&amp;"5:$AL5"),
 1,
MATCH(TRUE,INDIRECT("'数出表_Excel'!"&amp;Q64&amp;MATCH(V22,数出表_Excel!$A:$A,0)-1&amp;":AL"&amp;MATCH(V22,数出表_Excel!$A:$A,0)-1&amp;"")&lt;&gt;"",0)),
 "")),"")))</f>
        <v/>
      </c>
      <c r="U65" s="87" t="str">
        <f t="array" aca="1" ref="U65" ca="1">IF(R65&lt;&gt;"",
IF(COUNTIF(R64,"*雙葉*"),
IF(ROUND(
IF(U70&lt;&gt;"",(R67-U70),R67)
/IF(COUNTIF(R65,"*キャラ*"),
VLOOKUP("*キャラ*",商品マスタ一覧!$D:$J,7,FALSE),
IF(COUNTIF(R65,"*赤*"),
VLOOKUP("*赤*",商品マスタ一覧!$D:$J,7,FALSE),
VLOOKUP(R65,商品マスタ一覧!$D:$J,7,FALSE))),0)&lt;=0,1,
ROUND(
IF(U70&lt;&gt;"",(R67-U70),R67)
/IF(COUNTIF(R65,"*キャラ*"),
VLOOKUP("*キャラ*",商品マスタ一覧!$D:$J,7,FALSE),
IF(COUNTIF(R65,"*赤*"),
VLOOKUP("*赤*",商品マスタ一覧!$D:$J,7,FALSE),
VLOOKUP(R65,商品マスタ一覧!$D:$J,7,FALSE))),0)),
IF(MATCH(TRUE,
ISNUMBER(--INDIRECT("'数出表_Excel（アレルギー入力）'!B"&amp;MATCH(V22,'数出表_Excel（アレルギー入力）'!$A:$A,0)-1&amp;":AL"&amp;MATCH(V22,'数出表_Excel（アレルギー入力）'!$A:$A,0)-1&amp;"")),0)&gt;10,
IF(R65&lt;&gt;"",
IF(IF(COUNTIF(R65,"*キャラ*"),
VLOOKUP("*キャラ*",商品マスタ一覧!$D:$J,7,FALSE),
IF(COUNTIF(R65,"*赤*"),
VLOOKUP("*赤*",商品マスタ一覧!$D:$J,7,FALSE),
VLOOKUP(R65,商品マスタ一覧!$D:$J,7,FALSE)))=0,"",
IF(ROUND(
IF(U70&lt;&gt;"",(R67-U70),R67)
/IF(COUNTIF(R65,"*キャラ*"),
VLOOKUP("*キャラ*",商品マスタ一覧!$D:$J,7,FALSE),
IF(COUNTIF(R65,"*赤*"),
VLOOKUP("*赤*",商品マスタ一覧!$D:$J,7,FALSE),
VLOOKUP(R65,商品マスタ一覧!$D:$J,7,FALSE))),0)&lt;=0,1,
ROUND(
IF(U70&lt;&gt;"",(R67-U70),R67)
/IF(COUNTIF(R65,"*キャラ*"),
VLOOKUP("*キャラ*",商品マスタ一覧!$D:$J,7,FALSE),
IF(COUNTIF(R65,"*赤*"),
VLOOKUP("*赤*",商品マスタ一覧!$D:$J,7,FALSE),
VLOOKUP(R65,商品マスタ一覧!$D:$J,7,FALSE))),0))),""),"")),"")</f>
        <v/>
      </c>
      <c r="V65" s="100" t="str">
        <f ca="1">IF(U65&lt;&gt;"",IF(R67&lt;&gt;"",IF(VALUE(IF(U70&lt;&gt;"",R67-U70,R67))&gt;VALUE(IF(COUNTIF('盛付札（関数）'!R65,"*キャラ*"),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
"+"&amp;IF(U70&lt;&gt;"",R67-U70,R67)-IF(COUNTIF('盛付札（関数）'!R65,"*キャラ*"),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VLOOKUP('盛付札（関数）'!R65,商品マスタ一覧!$D:$J,7,FALSE)))*U65,
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VLOOKUP('盛付札（関数）'!R65,商品マスタ一覧!$D:$J,7,FALSE)))*U65),""),"")</f>
        <v/>
      </c>
      <c r="W65" s="80"/>
      <c r="X65" s="85" t="e">
        <f t="array" aca="1" ref="X65" ca="1">IF(X24&lt;&gt;100,
IF(Y67&lt;&gt;"",MATCH(Y67,INDIRECT("数出表_Excel!B"&amp;MATCH(AC22,数出表_Excel!$A:$A,0)-1&amp;":U"&amp;MATCH(AC22,数出表_Excel!$A:$A,0)-1&amp;""),0)+1,""),
IF(Y67&lt;&gt;"",
MATCH(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INDIRECT("数出表_Excel!B"&amp;MATCH(AC22,数出表_Excel!$A:$A,0)-1&amp;":U"&amp;MATCH(AC22,数出表_Excel!$A:$A,0)-1&amp;""),0)+1,""))</f>
        <v>#N/A</v>
      </c>
      <c r="Y65" s="62" t="str">
        <f t="array" aca="1" ref="Y65" ca="1">IF(Y22=R64,"",IFERROR(IF(OR(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"3"),"*配膳*"),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"3"),"*カレー*"),
COUNTIF(Y22,"*合計*")),"",
IF(IFERROR(INDIRECT("数出表_Excel!"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"3"),0)=0,"",
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"3"),""))),""))</f>
        <v/>
      </c>
      <c r="Z65" s="80"/>
      <c r="AA65" s="86" t="str">
        <f t="array" aca="1" ref="AA65" ca="1">IF(AB65&lt;&gt;"","",
IF(COUNTIF(Y64,"*雙葉*"),"",
IF(Y64&lt;&gt;"",
IF(
(COLUMN(INDIRECT("数出表_Excel!B" &amp; (MATCH(AC22,数出表_Excel!$A:$A,0)-1))) - 1 +
MATCH(TRUE, ISNUMBER(--INDIRECT("数出表_Excel!B" &amp; (MATCH(AC22,数出表_Excel!$A:$A,0)-1) &amp; ":U" &amp; (MATCH(AC22,数出表_Excel!$A:$A,0)-1))), 0)+1
+MATCH(TRUE,INDIRECT("'数出表_Excel'!"&amp;X64&amp;MATCH(AC22,数出表_Excel!$A:$A,0)-1&amp;":AL"&amp;MATCH(AC22,数出表_Excel!$A:$A,0)-1&amp;"")&lt;&gt;"",0))&gt;12,"",
IFERROR(
INDEX(INDIRECT("数出表_Excel!$"&amp;X64&amp;"4:$AL4"),
 1,
MATCH(TRUE,INDIRECT("'数出表_Excel'!"&amp;X64&amp;MATCH(AC22,数出表_Excel!$A:$A,0)-1&amp;":AL"&amp;MATCH(AC22,数出表_Excel!$A:$A,0)-1&amp;"")&lt;&gt;"",0)
),
 "")
&amp;IFERROR(
INDEX(INDIRECT("数出表_Excel!$"&amp;X64&amp;"5:$AL5"),
 1,
MATCH(TRUE,INDIRECT("'数出表_Excel'!"&amp;X64&amp;MATCH(AC22,数出表_Excel!$A:$A,0)-1&amp;":AL"&amp;MATCH(AC22,数出表_Excel!$A:$A,0)-1&amp;"")&lt;&gt;"",0)),
 "")),"")))</f>
        <v/>
      </c>
      <c r="AB65" s="87" t="str">
        <f t="array" aca="1" ref="AB65" ca="1">IF(Y65&lt;&gt;"",
IF(COUNTIF(Y64,"*雙葉*"),
IF(ROUND(
IF(AB70&lt;&gt;"",(Y67-AB70),Y67)
/IF(COUNTIF(Y65,"*キャラ*"),
VLOOKUP("*キャラ*",商品マスタ一覧!$D:$J,7,FALSE),
IF(COUNTIF(Y65,"*赤*"),
VLOOKUP("*赤*",商品マスタ一覧!$D:$J,7,FALSE),
VLOOKUP(Y65,商品マスタ一覧!$D:$J,7,FALSE))),0)&lt;=0,1,
ROUND(
IF(AB70&lt;&gt;"",(Y67-AB70),Y67)
/IF(COUNTIF(Y65,"*キャラ*"),
VLOOKUP("*キャラ*",商品マスタ一覧!$D:$J,7,FALSE),
IF(COUNTIF(Y65,"*赤*"),
VLOOKUP("*赤*",商品マスタ一覧!$D:$J,7,FALSE),
VLOOKUP(Y65,商品マスタ一覧!$D:$J,7,FALSE))),0)),
IF(MATCH(TRUE,
ISNUMBER(--INDIRECT("'数出表_Excel（アレルギー入力）'!B"&amp;MATCH(AC22,'数出表_Excel（アレルギー入力）'!$A:$A,0)-1&amp;":AL"&amp;MATCH(AC22,'数出表_Excel（アレルギー入力）'!$A:$A,0)-1&amp;"")),0)&gt;10,
IF(Y65&lt;&gt;"",
IF(IF(COUNTIF(Y65,"*キャラ*"),
VLOOKUP("*キャラ*",商品マスタ一覧!$D:$J,7,FALSE),
IF(COUNTIF(Y65,"*赤*"),
VLOOKUP("*赤*",商品マスタ一覧!$D:$J,7,FALSE),
VLOOKUP(Y65,商品マスタ一覧!$D:$J,7,FALSE)))=0,"",
IF(ROUND(
IF(AB70&lt;&gt;"",(Y67-AB70),Y67)
/IF(COUNTIF(Y65,"*キャラ*"),
VLOOKUP("*キャラ*",商品マスタ一覧!$D:$J,7,FALSE),
IF(COUNTIF(Y65,"*赤*"),
VLOOKUP("*赤*",商品マスタ一覧!$D:$J,7,FALSE),
VLOOKUP(Y65,商品マスタ一覧!$D:$J,7,FALSE))),0)&lt;=0,1,
ROUND(
IF(AB70&lt;&gt;"",(Y67-AB70),Y67)
/IF(COUNTIF(Y65,"*キャラ*"),
VLOOKUP("*キャラ*",商品マスタ一覧!$D:$J,7,FALSE),
IF(COUNTIF(Y65,"*赤*"),
VLOOKUP("*赤*",商品マスタ一覧!$D:$J,7,FALSE),
VLOOKUP(Y65,商品マスタ一覧!$D:$J,7,FALSE))),0))),""),"")),"")</f>
        <v/>
      </c>
      <c r="AC65" s="96" t="str">
        <f ca="1">IF(AB65&lt;&gt;"",IF(Y67&lt;&gt;"",IF(VALUE(IF(AB70&lt;&gt;"",Y67-AB70,Y67))&gt;VALUE(IF(COUNTIF('盛付札（関数）'!Y65,"*キャラ*"),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
"+"&amp;IF(AB70&lt;&gt;"",Y67-AB70,Y67)-IF(COUNTIF('盛付札（関数）'!Y65,"*キャラ*"),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VLOOKUP('盛付札（関数）'!Y65,商品マスタ一覧!$D:$J,7,FALSE)))*AB65,
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VLOOKUP('盛付札（関数）'!Y65,商品マスタ一覧!$D:$J,7,FALSE)))*AB65),""),"")</f>
        <v/>
      </c>
      <c r="AD65" s="80"/>
      <c r="AE65" s="80"/>
      <c r="AF65" s="85" t="e">
        <f t="array" aca="1" ref="AF65" ca="1">IF(AF24&lt;&gt;100,
IF(AG67&lt;&gt;"",MATCH(AG67,INDIRECT("数出表_Excel!B"&amp;MATCH(AK22,数出表_Excel!$A:$A,0)-1&amp;":U"&amp;MATCH(AK22,数出表_Excel!$A:$A,0)-1&amp;""),0)+1,""),
IF(AG67&lt;&gt;"",
MATCH(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INDIRECT("数出表_Excel!B"&amp;MATCH(AK22,数出表_Excel!$A:$A,0)-1&amp;":U"&amp;MATCH(AK22,数出表_Excel!$A:$A,0)-1&amp;""),0)+1,""))</f>
        <v>#N/A</v>
      </c>
      <c r="AG65" s="62" t="str">
        <f t="array" aca="1" ref="AG65" ca="1">IF(AG22=AN57,"",IFERROR(IF(OR(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"3"),"*配膳*"),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"3"),"*カレー*"),
COUNTIF(AG22,"*合計*")),"",
IF(IFERROR(INDIRECT("数出表_Excel!"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"3"),0)=0,"",
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"3"),""))),""))</f>
        <v/>
      </c>
      <c r="AH65" s="80"/>
      <c r="AI65" s="86" t="str">
        <f t="array" aca="1" ref="AI65" ca="1">IF(AJ65&lt;&gt;"","",
IF(COUNTIF(AG64,"*雙葉*"),"",
IF(AG64&lt;&gt;"",
IF(
(COLUMN(INDIRECT("数出表_Excel!B" &amp; (MATCH(AK22,数出表_Excel!$A:$A,0)-1))) - 1 +
MATCH(TRUE, ISNUMBER(--INDIRECT("数出表_Excel!B" &amp; (MATCH(AK22,数出表_Excel!$A:$A,0)-1) &amp; ":U" &amp; (MATCH(AK22,数出表_Excel!$A:$A,0)-1))), 0)+1
+MATCH(TRUE,INDIRECT("'数出表_Excel'!"&amp;AF64&amp;MATCH(AK22,数出表_Excel!$A:$A,0)-1&amp;":AL"&amp;MATCH(AK22,数出表_Excel!$A:$A,0)-1&amp;"")&lt;&gt;"",0))&gt;12,"",
IFERROR(
INDEX(INDIRECT("数出表_Excel!$"&amp;AF64&amp;"4:$AL4"),
 1,
MATCH(TRUE,INDIRECT("'数出表_Excel'!"&amp;AF64&amp;MATCH(AK22,数出表_Excel!$A:$A,0)-1&amp;":AL"&amp;MATCH(AK22,数出表_Excel!$A:$A,0)-1&amp;"")&lt;&gt;"",0)
),
 "")
&amp;IFERROR(
INDEX(INDIRECT("数出表_Excel!$"&amp;AF64&amp;"5:$AL5"),
 1,
MATCH(TRUE,INDIRECT("'数出表_Excel'!"&amp;AF64&amp;MATCH(AK22,数出表_Excel!$A:$A,0)-1&amp;":AL"&amp;MATCH(AK22,数出表_Excel!$A:$A,0)-1&amp;"")&lt;&gt;"",0)),
 "")),"")))</f>
        <v/>
      </c>
      <c r="AJ65" s="87" t="str">
        <f t="array" aca="1" ref="AJ65" ca="1">IF(AG65&lt;&gt;"",
IF(COUNTIF(AG64,"*雙葉*"),
IF(ROUND(
IF(AJ70&lt;&gt;"",(AG67-AJ70),AG67)
/IF(COUNTIF(AG65,"*キャラ*"),
VLOOKUP("*キャラ*",商品マスタ一覧!$D:$J,7,FALSE),
IF(COUNTIF(AG65,"*赤*"),
VLOOKUP("*赤*",商品マスタ一覧!$D:$J,7,FALSE),
VLOOKUP(AG65,商品マスタ一覧!$D:$J,7,FALSE))),0)&lt;=0,1,
ROUND(
IF(AJ70&lt;&gt;"",(AG67-AJ70),AG67)
/IF(COUNTIF(AG65,"*キャラ*"),
VLOOKUP("*キャラ*",商品マスタ一覧!$D:$J,7,FALSE),
IF(COUNTIF(AG65,"*赤*"),
VLOOKUP("*赤*",商品マスタ一覧!$D:$J,7,FALSE),
VLOOKUP(AG65,商品マスタ一覧!$D:$J,7,FALSE))),0)),
IF(MATCH(TRUE,
ISNUMBER(--INDIRECT("'数出表_Excel（アレルギー入力）'!B"&amp;MATCH(AK22,'数出表_Excel（アレルギー入力）'!$A:$A,0)-1&amp;":AL"&amp;MATCH(AK22,'数出表_Excel（アレルギー入力）'!$A:$A,0)-1&amp;"")),0)&gt;10,
IF(AG65&lt;&gt;"",
IF(IF(COUNTIF(AG65,"*キャラ*"),
VLOOKUP("*キャラ*",商品マスタ一覧!$D:$J,7,FALSE),
IF(COUNTIF(AG65,"*赤*"),
VLOOKUP("*赤*",商品マスタ一覧!$D:$J,7,FALSE),
VLOOKUP(AG65,商品マスタ一覧!$D:$J,7,FALSE)))=0,"",
IF(ROUND(
IF(AJ70&lt;&gt;"",(AG67-AJ70),AG67)
/IF(COUNTIF(AG65,"*キャラ*"),
VLOOKUP("*キャラ*",商品マスタ一覧!$D:$J,7,FALSE),
IF(COUNTIF(AG65,"*赤*"),
VLOOKUP("*赤*",商品マスタ一覧!$D:$J,7,FALSE),
VLOOKUP(AG65,商品マスタ一覧!$D:$J,7,FALSE))),0)&lt;=0,1,
ROUND(
IF(AJ70&lt;&gt;"",(AG67-AJ70),AG67)
/IF(COUNTIF(AG65,"*キャラ*"),
VLOOKUP("*キャラ*",商品マスタ一覧!$D:$J,7,FALSE),
IF(COUNTIF(AG65,"*赤*"),
VLOOKUP("*赤*",商品マスタ一覧!$D:$J,7,FALSE),
VLOOKUP(AG65,商品マスタ一覧!$D:$J,7,FALSE))),0))),""),"")),"")</f>
        <v/>
      </c>
      <c r="AK65" s="100" t="str">
        <f ca="1">IF(AJ65&lt;&gt;"",IF(AG67&lt;&gt;"",IF(VALUE(IF(AJ70&lt;&gt;"",AG67-AJ70,AG67))&gt;VALUE(IF(COUNTIF('盛付札（関数）'!AG65,"*キャラ*"),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
"+"&amp;IF(AJ70&lt;&gt;"",AG67-AJ70,AG67)-IF(COUNTIF('盛付札（関数）'!AG65,"*キャラ*"),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VLOOKUP('盛付札（関数）'!AG65,商品マスタ一覧!$D:$J,7,FALSE)))*AJ65,
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VLOOKUP('盛付札（関数）'!AG65,商品マスタ一覧!$D:$J,7,FALSE)))*AJ65),""),"")</f>
        <v/>
      </c>
      <c r="AL65" s="80"/>
      <c r="AM65" s="85" t="e">
        <f t="array" aca="1" ref="AM65" ca="1">IF(AM24&lt;&gt;100,
IF(AN67&lt;&gt;"",MATCH(AN67,INDIRECT("数出表_Excel!B"&amp;MATCH(AR22,数出表_Excel!$A:$A,0)-1&amp;":U"&amp;MATCH(AR22,数出表_Excel!$A:$A,0)-1&amp;""),0)+1,""),
IF(AN67&lt;&gt;"",
MATCH(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INDIRECT("数出表_Excel!B"&amp;MATCH(AR22,数出表_Excel!$A:$A,0)-1&amp;":U"&amp;MATCH(AR22,数出表_Excel!$A:$A,0)-1&amp;""),0)+1,""))</f>
        <v>#N/A</v>
      </c>
      <c r="AN65" s="62" t="str">
        <f t="array" aca="1" ref="AN65" ca="1">IF(AN22=AG64,"",IFERROR(IF(OR(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"3"),"*配膳*"),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"3"),"*カレー*"),
COUNTIF(AN22,"*合計*")),"",
IF(IFERROR(INDIRECT("数出表_Excel!"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"3"),0)=0,"",
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"3"),""))),""))</f>
        <v/>
      </c>
      <c r="AO65" s="80"/>
      <c r="AP65" s="86" t="str">
        <f t="array" aca="1" ref="AP65" ca="1">IF(AQ65&lt;&gt;"","",
IF(COUNTIF(AN64,"*雙葉*"),"",
IF(AN64&lt;&gt;"",
IF(
(COLUMN(INDIRECT("数出表_Excel!B" &amp; (MATCH(AR22,数出表_Excel!$A:$A,0)-1))) - 1 +
MATCH(TRUE, ISNUMBER(--INDIRECT("数出表_Excel!B" &amp; (MATCH(AR22,数出表_Excel!$A:$A,0)-1) &amp; ":U" &amp; (MATCH(AR22,数出表_Excel!$A:$A,0)-1))), 0)+1
+MATCH(TRUE,INDIRECT("'数出表_Excel'!"&amp;AM64&amp;MATCH(AR22,数出表_Excel!$A:$A,0)-1&amp;":AL"&amp;MATCH(AR22,数出表_Excel!$A:$A,0)-1&amp;"")&lt;&gt;"",0))&gt;12,"",
IFERROR(
INDEX(INDIRECT("数出表_Excel!$"&amp;AM64&amp;"4:$AL4"),
 1,
MATCH(TRUE,INDIRECT("'数出表_Excel'!"&amp;AM64&amp;MATCH(AR22,数出表_Excel!$A:$A,0)-1&amp;":AL"&amp;MATCH(AR22,数出表_Excel!$A:$A,0)-1&amp;"")&lt;&gt;"",0)
),
 "")
&amp;IFERROR(
INDEX(INDIRECT("数出表_Excel!$"&amp;AM64&amp;"5:$AL5"),
 1,
MATCH(TRUE,INDIRECT("'数出表_Excel'!"&amp;AM64&amp;MATCH(AR22,数出表_Excel!$A:$A,0)-1&amp;":AL"&amp;MATCH(AR22,数出表_Excel!$A:$A,0)-1&amp;"")&lt;&gt;"",0)),
 "")),"")))</f>
        <v/>
      </c>
      <c r="AQ65" s="87" t="str">
        <f t="array" aca="1" ref="AQ65" ca="1">IF(AN65&lt;&gt;"",
IF(COUNTIF(AN64,"*雙葉*"),
IF(ROUND(
IF(AQ70&lt;&gt;"",(AN67-AQ70),AN67)
/IF(COUNTIF(AN65,"*キャラ*"),
VLOOKUP("*キャラ*",商品マスタ一覧!$D:$J,7,FALSE),
IF(COUNTIF(AN65,"*赤*"),
VLOOKUP("*赤*",商品マスタ一覧!$D:$J,7,FALSE),
VLOOKUP(AN65,商品マスタ一覧!$D:$J,7,FALSE))),0)&lt;=0,1,
ROUND(
IF(AQ70&lt;&gt;"",(AN67-AQ70),AN67)
/IF(COUNTIF(AN65,"*キャラ*"),
VLOOKUP("*キャラ*",商品マスタ一覧!$D:$J,7,FALSE),
IF(COUNTIF(AN65,"*赤*"),
VLOOKUP("*赤*",商品マスタ一覧!$D:$J,7,FALSE),
VLOOKUP(AN65,商品マスタ一覧!$D:$J,7,FALSE))),0)),
IF(MATCH(TRUE,
ISNUMBER(--INDIRECT("'数出表_Excel（アレルギー入力）'!B"&amp;MATCH(AR22,'数出表_Excel（アレルギー入力）'!$A:$A,0)-1&amp;":AL"&amp;MATCH(AR22,'数出表_Excel（アレルギー入力）'!$A:$A,0)-1&amp;"")),0)&gt;10,
IF(AN65&lt;&gt;"",
IF(IF(COUNTIF(AN65,"*キャラ*"),
VLOOKUP("*キャラ*",商品マスタ一覧!$D:$J,7,FALSE),
IF(COUNTIF(AN65,"*赤*"),
VLOOKUP("*赤*",商品マスタ一覧!$D:$J,7,FALSE),
VLOOKUP(AN65,商品マスタ一覧!$D:$J,7,FALSE)))=0,"",
IF(ROUND(
IF(AQ70&lt;&gt;"",(AN67-AQ70),AN67)
/IF(COUNTIF(AN65,"*キャラ*"),
VLOOKUP("*キャラ*",商品マスタ一覧!$D:$J,7,FALSE),
IF(COUNTIF(AN65,"*赤*"),
VLOOKUP("*赤*",商品マスタ一覧!$D:$J,7,FALSE),
VLOOKUP(AN65,商品マスタ一覧!$D:$J,7,FALSE))),0)&lt;=0,1,
ROUND(
IF(AQ70&lt;&gt;"",(AN67-AQ70),AN67)
/IF(COUNTIF(AN65,"*キャラ*"),
VLOOKUP("*キャラ*",商品マスタ一覧!$D:$J,7,FALSE),
IF(COUNTIF(AN65,"*赤*"),
VLOOKUP("*赤*",商品マスタ一覧!$D:$J,7,FALSE),
VLOOKUP(AN65,商品マスタ一覧!$D:$J,7,FALSE))),0))),""),"")),"")</f>
        <v/>
      </c>
      <c r="AR65" s="96" t="str">
        <f ca="1">IF(AQ65&lt;&gt;"",IF(AN67&lt;&gt;"",IF(VALUE(IF(AQ70&lt;&gt;"",AN67-AQ70,AN67))&gt;VALUE(IF(COUNTIF('盛付札（関数）'!AN65,"*キャラ*"),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
"+"&amp;IF(AQ70&lt;&gt;"",AN67-AQ70,AN67)-IF(COUNTIF('盛付札（関数）'!AN65,"*キャラ*"),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VLOOKUP('盛付札（関数）'!AN65,商品マスタ一覧!$D:$J,7,FALSE)))*AQ65,
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VLOOKUP('盛付札（関数）'!AN65,商品マスタ一覧!$D:$J,7,FALSE)))*AQ65),""),"")</f>
        <v/>
      </c>
      <c r="AS65" s="80"/>
      <c r="AT65" s="80"/>
      <c r="AU65" s="85" t="e">
        <f t="array" aca="1" ref="AU65" ca="1">IF(AU24&lt;&gt;100,
IF(AV67&lt;&gt;"",MATCH(AV67,INDIRECT("数出表_Excel!B"&amp;MATCH(AZ22,数出表_Excel!$A:$A,0)-1&amp;":U"&amp;MATCH(AZ22,数出表_Excel!$A:$A,0)-1&amp;""),0)+1,""),
IF(AV67&lt;&gt;"",
MATCH(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INDIRECT("数出表_Excel!B"&amp;MATCH(AZ22,数出表_Excel!$A:$A,0)-1&amp;":U"&amp;MATCH(AZ22,数出表_Excel!$A:$A,0)-1&amp;""),0)+1,""))</f>
        <v>#N/A</v>
      </c>
      <c r="AV65" s="62" t="str">
        <f t="array" aca="1" ref="AV65" ca="1">IF(AV22=BC57,"",IFERROR(IF(OR(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"3"),"*配膳*"),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"3"),"*カレー*"),
COUNTIF(AV22,"*合計*")),"",
IF(IFERROR(INDIRECT("数出表_Excel!"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"3"),0)=0,"",
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"3"),""))),""))</f>
        <v/>
      </c>
      <c r="AW65" s="80"/>
      <c r="AX65" s="86" t="str">
        <f t="array" aca="1" ref="AX65" ca="1">IF(AY65&lt;&gt;"","",
IF(COUNTIF(AV64,"*雙葉*"),"",
IF(AV64&lt;&gt;"",
IF(
(COLUMN(INDIRECT("数出表_Excel!B" &amp; (MATCH(AZ22,数出表_Excel!$A:$A,0)-1))) - 1 +
MATCH(TRUE, ISNUMBER(--INDIRECT("数出表_Excel!B" &amp; (MATCH(AZ22,数出表_Excel!$A:$A,0)-1) &amp; ":U" &amp; (MATCH(AZ22,数出表_Excel!$A:$A,0)-1))), 0)+1
+MATCH(TRUE,INDIRECT("'数出表_Excel'!"&amp;AU64&amp;MATCH(AZ22,数出表_Excel!$A:$A,0)-1&amp;":AL"&amp;MATCH(AZ22,数出表_Excel!$A:$A,0)-1&amp;"")&lt;&gt;"",0))&gt;12,"",
IFERROR(
INDEX(INDIRECT("数出表_Excel!$"&amp;AU64&amp;"4:$AL4"),
 1,
MATCH(TRUE,INDIRECT("'数出表_Excel'!"&amp;AU64&amp;MATCH(AZ22,数出表_Excel!$A:$A,0)-1&amp;":AL"&amp;MATCH(AZ22,数出表_Excel!$A:$A,0)-1&amp;"")&lt;&gt;"",0)
),
 "")
&amp;IFERROR(
INDEX(INDIRECT("数出表_Excel!$"&amp;AU64&amp;"5:$AL5"),
 1,
MATCH(TRUE,INDIRECT("'数出表_Excel'!"&amp;AU64&amp;MATCH(AZ22,数出表_Excel!$A:$A,0)-1&amp;":AL"&amp;MATCH(AZ22,数出表_Excel!$A:$A,0)-1&amp;"")&lt;&gt;"",0)),
 "")),"")))</f>
        <v/>
      </c>
      <c r="AY65" s="87" t="str">
        <f t="array" aca="1" ref="AY65" ca="1">IF(AV65&lt;&gt;"",
IF(COUNTIF(AV64,"*雙葉*"),
IF(ROUND(
IF(AY70&lt;&gt;"",(AV67-AY70),AV67)
/IF(COUNTIF(AV65,"*キャラ*"),
VLOOKUP("*キャラ*",商品マスタ一覧!$D:$J,7,FALSE),
IF(COUNTIF(AV65,"*赤*"),
VLOOKUP("*赤*",商品マスタ一覧!$D:$J,7,FALSE),
VLOOKUP(AV65,商品マスタ一覧!$D:$J,7,FALSE))),0)&lt;=0,1,
ROUND(
IF(AY70&lt;&gt;"",(AV67-AY70),AV67)
/IF(COUNTIF(AV65,"*キャラ*"),
VLOOKUP("*キャラ*",商品マスタ一覧!$D:$J,7,FALSE),
IF(COUNTIF(AV65,"*赤*"),
VLOOKUP("*赤*",商品マスタ一覧!$D:$J,7,FALSE),
VLOOKUP(AV65,商品マスタ一覧!$D:$J,7,FALSE))),0)),
IF(MATCH(TRUE,
ISNUMBER(--INDIRECT("'数出表_Excel（アレルギー入力）'!B"&amp;MATCH(AZ22,'数出表_Excel（アレルギー入力）'!$A:$A,0)-1&amp;":AL"&amp;MATCH(AZ22,'数出表_Excel（アレルギー入力）'!$A:$A,0)-1&amp;"")),0)&gt;10,
IF(AV65&lt;&gt;"",
IF(IF(COUNTIF(AV65,"*キャラ*"),
VLOOKUP("*キャラ*",商品マスタ一覧!$D:$J,7,FALSE),
IF(COUNTIF(AV65,"*赤*"),
VLOOKUP("*赤*",商品マスタ一覧!$D:$J,7,FALSE),
VLOOKUP(AV65,商品マスタ一覧!$D:$J,7,FALSE)))=0,"",
IF(ROUND(
IF(AY70&lt;&gt;"",(AV67-AY70),AV67)
/IF(COUNTIF(AV65,"*キャラ*"),
VLOOKUP("*キャラ*",商品マスタ一覧!$D:$J,7,FALSE),
IF(COUNTIF(AV65,"*赤*"),
VLOOKUP("*赤*",商品マスタ一覧!$D:$J,7,FALSE),
VLOOKUP(AV65,商品マスタ一覧!$D:$J,7,FALSE))),0)&lt;=0,1,
ROUND(
IF(AY70&lt;&gt;"",(AV67-AY70),AV67)
/IF(COUNTIF(AV65,"*キャラ*"),
VLOOKUP("*キャラ*",商品マスタ一覧!$D:$J,7,FALSE),
IF(COUNTIF(AV65,"*赤*"),
VLOOKUP("*赤*",商品マスタ一覧!$D:$J,7,FALSE),
VLOOKUP(AV65,商品マスタ一覧!$D:$J,7,FALSE))),0))),""),"")),"")</f>
        <v/>
      </c>
      <c r="AZ65" s="100" t="str">
        <f ca="1">IF(AY65&lt;&gt;"",IF(AV67&lt;&gt;"",IF(VALUE(IF(AY70&lt;&gt;"",AV67-AY70,AV67))&gt;VALUE(IF(COUNTIF('盛付札（関数）'!AV65,"*キャラ*"),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
"+"&amp;IF(AY70&lt;&gt;"",AV67-AY70,AV67)-IF(COUNTIF('盛付札（関数）'!AV65,"*キャラ*"),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VLOOKUP('盛付札（関数）'!AV65,商品マスタ一覧!$D:$J,7,FALSE)))*AY65,
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VLOOKUP('盛付札（関数）'!AV65,商品マスタ一覧!$D:$J,7,FALSE)))*AY65),""),"")</f>
        <v/>
      </c>
      <c r="BA65" s="80"/>
      <c r="BB65" s="85" t="e">
        <f t="array" aca="1" ref="BB65" ca="1">IF(BB24&lt;&gt;100,
IF(BC67&lt;&gt;"",MATCH(BC67,INDIRECT("数出表_Excel!B"&amp;MATCH(BG22,数出表_Excel!$A:$A,0)-1&amp;":U"&amp;MATCH(BG22,数出表_Excel!$A:$A,0)-1&amp;""),0)+1,""),
IF(BC67&lt;&gt;"",
MATCH(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INDIRECT("数出表_Excel!B"&amp;MATCH(BG22,数出表_Excel!$A:$A,0)-1&amp;":U"&amp;MATCH(BG22,数出表_Excel!$A:$A,0)-1&amp;""),0)+1,""))</f>
        <v>#N/A</v>
      </c>
      <c r="BC65" s="62" t="str">
        <f t="array" aca="1" ref="BC65" ca="1">IF(BC22=AV64,"",IFERROR(IF(OR(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"3"),"*配膳*"),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"3"),"*カレー*"),
COUNTIF(BC22,"*合計*")),"",
IF(IFERROR(INDIRECT("数出表_Excel!"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"3"),0)=0,"",
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"3"),""))),""))</f>
        <v/>
      </c>
      <c r="BD65" s="80"/>
      <c r="BE65" s="86" t="str">
        <f t="array" aca="1" ref="BE65" ca="1">IF(BF65&lt;&gt;"","",
IF(COUNTIF(BC64,"*雙葉*"),"",
IF(BC64&lt;&gt;"",
IF(
(COLUMN(INDIRECT("数出表_Excel!B" &amp; (MATCH(BG22,数出表_Excel!$A:$A,0)-1))) - 1 +
MATCH(TRUE, ISNUMBER(--INDIRECT("数出表_Excel!B" &amp; (MATCH(BG22,数出表_Excel!$A:$A,0)-1) &amp; ":U" &amp; (MATCH(BG22,数出表_Excel!$A:$A,0)-1))), 0)+1
+MATCH(TRUE,INDIRECT("'数出表_Excel'!"&amp;BB64&amp;MATCH(BG22,数出表_Excel!$A:$A,0)-1&amp;":AL"&amp;MATCH(BG22,数出表_Excel!$A:$A,0)-1&amp;"")&lt;&gt;"",0))&gt;12,"",
IFERROR(
INDEX(INDIRECT("数出表_Excel!$"&amp;BB64&amp;"4:$AL4"),
 1,
MATCH(TRUE,INDIRECT("'数出表_Excel'!"&amp;BB64&amp;MATCH(BG22,数出表_Excel!$A:$A,0)-1&amp;":AL"&amp;MATCH(BG22,数出表_Excel!$A:$A,0)-1&amp;"")&lt;&gt;"",0)
),
 "")
&amp;IFERROR(
INDEX(INDIRECT("数出表_Excel!$"&amp;BB64&amp;"5:$AL5"),
 1,
MATCH(TRUE,INDIRECT("'数出表_Excel'!"&amp;BB64&amp;MATCH(BG22,数出表_Excel!$A:$A,0)-1&amp;":AL"&amp;MATCH(BG22,数出表_Excel!$A:$A,0)-1&amp;"")&lt;&gt;"",0)),
 "")),"")))</f>
        <v/>
      </c>
      <c r="BF65" s="87" t="str">
        <f t="array" aca="1" ref="BF65" ca="1">IF(BC65&lt;&gt;"",
IF(COUNTIF(BC64,"*雙葉*"),
IF(ROUND(
IF(BF70&lt;&gt;"",(BC67-BF70),BC67)
/IF(COUNTIF(BC65,"*キャラ*"),
VLOOKUP("*キャラ*",商品マスタ一覧!$D:$J,7,FALSE),
IF(COUNTIF(BC65,"*赤*"),
VLOOKUP("*赤*",商品マスタ一覧!$D:$J,7,FALSE),
VLOOKUP(BC65,商品マスタ一覧!$D:$J,7,FALSE))),0)&lt;=0,1,
ROUND(
IF(BF70&lt;&gt;"",(BC67-BF70),BC67)
/IF(COUNTIF(BC65,"*キャラ*"),
VLOOKUP("*キャラ*",商品マスタ一覧!$D:$J,7,FALSE),
IF(COUNTIF(BC65,"*赤*"),
VLOOKUP("*赤*",商品マスタ一覧!$D:$J,7,FALSE),
VLOOKUP(BC65,商品マスタ一覧!$D:$J,7,FALSE))),0)),
IF(MATCH(TRUE,
ISNUMBER(--INDIRECT("'数出表_Excel（アレルギー入力）'!B"&amp;MATCH(BG22,'数出表_Excel（アレルギー入力）'!$A:$A,0)-1&amp;":AL"&amp;MATCH(BG22,'数出表_Excel（アレルギー入力）'!$A:$A,0)-1&amp;"")),0)&gt;10,
IF(BC65&lt;&gt;"",
IF(IF(COUNTIF(BC65,"*キャラ*"),
VLOOKUP("*キャラ*",商品マスタ一覧!$D:$J,7,FALSE),
IF(COUNTIF(BC65,"*赤*"),
VLOOKUP("*赤*",商品マスタ一覧!$D:$J,7,FALSE),
VLOOKUP(BC65,商品マスタ一覧!$D:$J,7,FALSE)))=0,"",
IF(ROUND(
IF(BF70&lt;&gt;"",(BC67-BF70),BC67)
/IF(COUNTIF(BC65,"*キャラ*"),
VLOOKUP("*キャラ*",商品マスタ一覧!$D:$J,7,FALSE),
IF(COUNTIF(BC65,"*赤*"),
VLOOKUP("*赤*",商品マスタ一覧!$D:$J,7,FALSE),
VLOOKUP(BC65,商品マスタ一覧!$D:$J,7,FALSE))),0)&lt;=0,1,
ROUND(
IF(BF70&lt;&gt;"",(BC67-BF70),BC67)
/IF(COUNTIF(BC65,"*キャラ*"),
VLOOKUP("*キャラ*",商品マスタ一覧!$D:$J,7,FALSE),
IF(COUNTIF(BC65,"*赤*"),
VLOOKUP("*赤*",商品マスタ一覧!$D:$J,7,FALSE),
VLOOKUP(BC65,商品マスタ一覧!$D:$J,7,FALSE))),0))),""),"")),"")</f>
        <v/>
      </c>
      <c r="BG65" s="96" t="str">
        <f ca="1">IF(BF65&lt;&gt;"",IF(BC67&lt;&gt;"",IF(VALUE(IF(BF70&lt;&gt;"",BC67-BF70,BC67))&gt;VALUE(IF(COUNTIF('盛付札（関数）'!BC65,"*キャラ*"),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
"+"&amp;IF(BF70&lt;&gt;"",BC67-BF70,BC67)-IF(COUNTIF('盛付札（関数）'!BC65,"*キャラ*"),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VLOOKUP('盛付札（関数）'!BC65,商品マスタ一覧!$D:$J,7,FALSE)))*BF65,
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VLOOKUP('盛付札（関数）'!BC65,商品マスタ一覧!$D:$J,7,FALSE)))*BF65),""),"")</f>
        <v/>
      </c>
      <c r="BH65" s="80"/>
      <c r="BI65" s="80"/>
      <c r="BJ65" s="85" t="e">
        <f t="array" aca="1" ref="BJ65" ca="1">IF(BJ24&lt;&gt;100,
IF(BK67&lt;&gt;"",MATCH(BK67,INDIRECT("数出表_Excel!B"&amp;MATCH(BO22,数出表_Excel!$A:$A,0)-1&amp;":U"&amp;MATCH(BO22,数出表_Excel!$A:$A,0)-1&amp;""),0)+1,""),
IF(BK67&lt;&gt;"",
MATCH(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INDIRECT("数出表_Excel!B"&amp;MATCH(BO22,数出表_Excel!$A:$A,0)-1&amp;":U"&amp;MATCH(BO22,数出表_Excel!$A:$A,0)-1&amp;""),0)+1,""))</f>
        <v>#N/A</v>
      </c>
      <c r="BK65" s="62" t="str">
        <f t="array" aca="1" ref="BK65" ca="1">IF(BK22=BR57,"",IFERROR(IF(OR(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"3"),"*配膳*"),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"3"),"*カレー*"),
COUNTIF(BK22,"*合計*")),"",
IF(IFERROR(INDIRECT("数出表_Excel!"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"3"),0)=0,"",
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"3"),""))),""))</f>
        <v/>
      </c>
      <c r="BL65" s="80"/>
      <c r="BM65" s="86" t="str">
        <f t="array" aca="1" ref="BM65" ca="1">IF(BN65&lt;&gt;"","",
IF(COUNTIF(BK64,"*雙葉*"),"",
IF(BK64&lt;&gt;"",
IF(
(COLUMN(INDIRECT("数出表_Excel!B" &amp; (MATCH(BO22,数出表_Excel!$A:$A,0)-1))) - 1 +
MATCH(TRUE, ISNUMBER(--INDIRECT("数出表_Excel!B" &amp; (MATCH(BO22,数出表_Excel!$A:$A,0)-1) &amp; ":U" &amp; (MATCH(BO22,数出表_Excel!$A:$A,0)-1))), 0)+1
+MATCH(TRUE,INDIRECT("'数出表_Excel'!"&amp;BJ64&amp;MATCH(BO22,数出表_Excel!$A:$A,0)-1&amp;":AL"&amp;MATCH(BO22,数出表_Excel!$A:$A,0)-1&amp;"")&lt;&gt;"",0))&gt;12,"",
IFERROR(
INDEX(INDIRECT("数出表_Excel!$"&amp;BJ64&amp;"4:$AL4"),
 1,
MATCH(TRUE,INDIRECT("'数出表_Excel'!"&amp;BJ64&amp;MATCH(BO22,数出表_Excel!$A:$A,0)-1&amp;":AL"&amp;MATCH(BO22,数出表_Excel!$A:$A,0)-1&amp;"")&lt;&gt;"",0)
),
 "")
&amp;IFERROR(
INDEX(INDIRECT("数出表_Excel!$"&amp;BJ64&amp;"5:$AL5"),
 1,
MATCH(TRUE,INDIRECT("'数出表_Excel'!"&amp;BJ64&amp;MATCH(BO22,数出表_Excel!$A:$A,0)-1&amp;":AL"&amp;MATCH(BO22,数出表_Excel!$A:$A,0)-1&amp;"")&lt;&gt;"",0)),
 "")),"")))</f>
        <v/>
      </c>
      <c r="BN65" s="87" t="str">
        <f t="array" aca="1" ref="BN65" ca="1">IF(BK65&lt;&gt;"",
IF(COUNTIF(BK64,"*雙葉*"),
IF(ROUND(
IF(BN70&lt;&gt;"",(BK67-BN70),BK67)
/IF(COUNTIF(BK65,"*キャラ*"),
VLOOKUP("*キャラ*",商品マスタ一覧!$D:$J,7,FALSE),
IF(COUNTIF(BK65,"*赤*"),
VLOOKUP("*赤*",商品マスタ一覧!$D:$J,7,FALSE),
VLOOKUP(BK65,商品マスタ一覧!$D:$J,7,FALSE))),0)&lt;=0,1,
ROUND(
IF(BN70&lt;&gt;"",(BK67-BN70),BK67)
/IF(COUNTIF(BK65,"*キャラ*"),
VLOOKUP("*キャラ*",商品マスタ一覧!$D:$J,7,FALSE),
IF(COUNTIF(BK65,"*赤*"),
VLOOKUP("*赤*",商品マスタ一覧!$D:$J,7,FALSE),
VLOOKUP(BK65,商品マスタ一覧!$D:$J,7,FALSE))),0)),
IF(MATCH(TRUE,
ISNUMBER(--INDIRECT("'数出表_Excel（アレルギー入力）'!B"&amp;MATCH(BO22,'数出表_Excel（アレルギー入力）'!$A:$A,0)-1&amp;":AL"&amp;MATCH(BO22,'数出表_Excel（アレルギー入力）'!$A:$A,0)-1&amp;"")),0)&gt;10,
IF(BK65&lt;&gt;"",
IF(IF(COUNTIF(BK65,"*キャラ*"),
VLOOKUP("*キャラ*",商品マスタ一覧!$D:$J,7,FALSE),
IF(COUNTIF(BK65,"*赤*"),
VLOOKUP("*赤*",商品マスタ一覧!$D:$J,7,FALSE),
VLOOKUP(BK65,商品マスタ一覧!$D:$J,7,FALSE)))=0,"",
IF(ROUND(
IF(BN70&lt;&gt;"",(BK67-BN70),BK67)
/IF(COUNTIF(BK65,"*キャラ*"),
VLOOKUP("*キャラ*",商品マスタ一覧!$D:$J,7,FALSE),
IF(COUNTIF(BK65,"*赤*"),
VLOOKUP("*赤*",商品マスタ一覧!$D:$J,7,FALSE),
VLOOKUP(BK65,商品マスタ一覧!$D:$J,7,FALSE))),0)&lt;=0,1,
ROUND(
IF(BN70&lt;&gt;"",(BK67-BN70),BK67)
/IF(COUNTIF(BK65,"*キャラ*"),
VLOOKUP("*キャラ*",商品マスタ一覧!$D:$J,7,FALSE),
IF(COUNTIF(BK65,"*赤*"),
VLOOKUP("*赤*",商品マスタ一覧!$D:$J,7,FALSE),
VLOOKUP(BK65,商品マスタ一覧!$D:$J,7,FALSE))),0))),""),"")),"")</f>
        <v/>
      </c>
      <c r="BO65" s="100" t="str">
        <f ca="1">IF(BN65&lt;&gt;"",IF(BK67&lt;&gt;"",IF(VALUE(IF(BN70&lt;&gt;"",BK67-BN70,BK67))&gt;VALUE(IF(COUNTIF('盛付札（関数）'!BK65,"*キャラ*"),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
"+"&amp;IF(BN70&lt;&gt;"",BK67-BN70,BK67)-IF(COUNTIF('盛付札（関数）'!BK65,"*キャラ*"),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VLOOKUP('盛付札（関数）'!BK65,商品マスタ一覧!$D:$J,7,FALSE)))*BN65,
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VLOOKUP('盛付札（関数）'!BK65,商品マスタ一覧!$D:$J,7,FALSE)))*BN65),""),"")</f>
        <v/>
      </c>
      <c r="BP65" s="80"/>
      <c r="BQ65" s="85" t="e">
        <f t="array" aca="1" ref="BQ65" ca="1">IF(BQ24&lt;&gt;100,
IF(BR67&lt;&gt;"",MATCH(BR67,INDIRECT("数出表_Excel!B"&amp;MATCH(BV22,数出表_Excel!$A:$A,0)-1&amp;":U"&amp;MATCH(BV22,数出表_Excel!$A:$A,0)-1&amp;""),0)+1,""),
IF(BR67&lt;&gt;"",
MATCH(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INDIRECT("数出表_Excel!B"&amp;MATCH(BV22,数出表_Excel!$A:$A,0)-1&amp;":U"&amp;MATCH(BV22,数出表_Excel!$A:$A,0)-1&amp;""),0)+1,""))</f>
        <v>#N/A</v>
      </c>
      <c r="BR65" s="62" t="str">
        <f t="array" aca="1" ref="BR65" ca="1">IF(BR22=BK64,"",IFERROR(IF(OR(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"3"),"*配膳*"),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"3"),"*カレー*"),
COUNTIF(BR22,"*合計*")),"",
IF(IFERROR(INDIRECT("数出表_Excel!"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"3"),0)=0,"",
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"3"),""))),""))</f>
        <v/>
      </c>
      <c r="BS65" s="80"/>
      <c r="BT65" s="86" t="str">
        <f t="array" aca="1" ref="BT65" ca="1">IF(BU65&lt;&gt;"","",
IF(COUNTIF(BR64,"*雙葉*"),"",
IF(BR64&lt;&gt;"",
IF(
(COLUMN(INDIRECT("数出表_Excel!B" &amp; (MATCH(BV22,数出表_Excel!$A:$A,0)-1))) - 1 +
MATCH(TRUE, ISNUMBER(--INDIRECT("数出表_Excel!B" &amp; (MATCH(BV22,数出表_Excel!$A:$A,0)-1) &amp; ":U" &amp; (MATCH(BV22,数出表_Excel!$A:$A,0)-1))), 0)+1
+MATCH(TRUE,INDIRECT("'数出表_Excel'!"&amp;BQ64&amp;MATCH(BV22,数出表_Excel!$A:$A,0)-1&amp;":AL"&amp;MATCH(BV22,数出表_Excel!$A:$A,0)-1&amp;"")&lt;&gt;"",0))&gt;12,"",
IFERROR(
INDEX(INDIRECT("数出表_Excel!$"&amp;BQ64&amp;"4:$AL4"),
 1,
MATCH(TRUE,INDIRECT("'数出表_Excel'!"&amp;BQ64&amp;MATCH(BV22,数出表_Excel!$A:$A,0)-1&amp;":AL"&amp;MATCH(BV22,数出表_Excel!$A:$A,0)-1&amp;"")&lt;&gt;"",0)
),
 "")
&amp;IFERROR(
INDEX(INDIRECT("数出表_Excel!$"&amp;BQ64&amp;"5:$AL5"),
 1,
MATCH(TRUE,INDIRECT("'数出表_Excel'!"&amp;BQ64&amp;MATCH(BV22,数出表_Excel!$A:$A,0)-1&amp;":AL"&amp;MATCH(BV22,数出表_Excel!$A:$A,0)-1&amp;"")&lt;&gt;"",0)),
 "")),"")))</f>
        <v/>
      </c>
      <c r="BU65" s="87" t="str">
        <f t="array" aca="1" ref="BU65" ca="1">IF(BR65&lt;&gt;"",
IF(COUNTIF(BR64,"*雙葉*"),
IF(ROUND(
IF(BU70&lt;&gt;"",(BR67-BU70),BR67)
/IF(COUNTIF(BR65,"*キャラ*"),
VLOOKUP("*キャラ*",商品マスタ一覧!$D:$J,7,FALSE),
IF(COUNTIF(BR65,"*赤*"),
VLOOKUP("*赤*",商品マスタ一覧!$D:$J,7,FALSE),
VLOOKUP(BR65,商品マスタ一覧!$D:$J,7,FALSE))),0)&lt;=0,1,
ROUND(
IF(BU70&lt;&gt;"",(BR67-BU70),BR67)
/IF(COUNTIF(BR65,"*キャラ*"),
VLOOKUP("*キャラ*",商品マスタ一覧!$D:$J,7,FALSE),
IF(COUNTIF(BR65,"*赤*"),
VLOOKUP("*赤*",商品マスタ一覧!$D:$J,7,FALSE),
VLOOKUP(BR65,商品マスタ一覧!$D:$J,7,FALSE))),0)),
IF(MATCH(TRUE,
ISNUMBER(--INDIRECT("'数出表_Excel（アレルギー入力）'!B"&amp;MATCH(BV22,'数出表_Excel（アレルギー入力）'!$A:$A,0)-1&amp;":AL"&amp;MATCH(BV22,'数出表_Excel（アレルギー入力）'!$A:$A,0)-1&amp;"")),0)&gt;10,
IF(BR65&lt;&gt;"",
IF(IF(COUNTIF(BR65,"*キャラ*"),
VLOOKUP("*キャラ*",商品マスタ一覧!$D:$J,7,FALSE),
IF(COUNTIF(BR65,"*赤*"),
VLOOKUP("*赤*",商品マスタ一覧!$D:$J,7,FALSE),
VLOOKUP(BR65,商品マスタ一覧!$D:$J,7,FALSE)))=0,"",
IF(ROUND(
IF(BU70&lt;&gt;"",(BR67-BU70),BR67)
/IF(COUNTIF(BR65,"*キャラ*"),
VLOOKUP("*キャラ*",商品マスタ一覧!$D:$J,7,FALSE),
IF(COUNTIF(BR65,"*赤*"),
VLOOKUP("*赤*",商品マスタ一覧!$D:$J,7,FALSE),
VLOOKUP(BR65,商品マスタ一覧!$D:$J,7,FALSE))),0)&lt;=0,1,
ROUND(
IF(BU70&lt;&gt;"",(BR67-BU70),BR67)
/IF(COUNTIF(BR65,"*キャラ*"),
VLOOKUP("*キャラ*",商品マスタ一覧!$D:$J,7,FALSE),
IF(COUNTIF(BR65,"*赤*"),
VLOOKUP("*赤*",商品マスタ一覧!$D:$J,7,FALSE),
VLOOKUP(BR65,商品マスタ一覧!$D:$J,7,FALSE))),0))),""),"")),"")</f>
        <v/>
      </c>
      <c r="BV65" s="96" t="str">
        <f ca="1">IF(BU65&lt;&gt;"",IF(BR67&lt;&gt;"",IF(VALUE(IF(BU70&lt;&gt;"",BR67-BU70,BR67))&gt;VALUE(IF(COUNTIF('盛付札（関数）'!BR65,"*キャラ*"),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
"+"&amp;IF(BU70&lt;&gt;"",BR67-BU70,BR67)-IF(COUNTIF('盛付札（関数）'!BR65,"*キャラ*"),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VLOOKUP('盛付札（関数）'!BR65,商品マスタ一覧!$D:$J,7,FALSE)))*BU65,
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VLOOKUP('盛付札（関数）'!BR65,商品マスタ一覧!$D:$J,7,FALSE)))*BU65),""),"")</f>
        <v/>
      </c>
      <c r="BW65" s="80"/>
      <c r="BX65" s="80"/>
      <c r="BY65" s="85" t="e">
        <f t="array" aca="1" ref="BY65" ca="1">IF(BY24&lt;&gt;100,
IF(BZ67&lt;&gt;"",MATCH(BZ67,INDIRECT("数出表_Excel!B"&amp;MATCH(CD22,数出表_Excel!$A:$A,0)-1&amp;":U"&amp;MATCH(CD22,数出表_Excel!$A:$A,0)-1&amp;""),0)+1,""),
IF(BZ67&lt;&gt;"",
MATCH(
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""),
INDIRECT("数出表_Excel!B"&amp;MATCH(CD22,数出表_Excel!$A:$A,0)-1&amp;":U"&amp;MATCH(CD22,数出表_Excel!$A:$A,0)-1&amp;""),0)+1,""))</f>
        <v>#N/A</v>
      </c>
      <c r="BZ65" s="62" t="str">
        <f t="array" aca="1" ref="BZ65" ca="1">IF(BZ22=CG57,"",IFERROR(IF(OR(
COUNTIF(INDIRECT("数出表_Excel!"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"3"),"*配膳*"),
COUNTIF(INDIRECT("数出表_Excel!"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"3"),"*カレー*"),
COUNTIF(BZ22,"*合計*")),"",
IF(IFERROR(INDIRECT("数出表_Excel!"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"3"),0)=0,"",
IFERROR(INDIRECT("数出表_Excel!"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"3"),""))),""))</f>
        <v/>
      </c>
      <c r="CA65" s="80"/>
      <c r="CB65" s="86" t="str">
        <f t="array" aca="1" ref="CB65" ca="1">IF(CC65&lt;&gt;"","",
IF(COUNTIF(BZ64,"*雙葉*"),"",
IF(BZ64&lt;&gt;"",
IF(
(COLUMN(INDIRECT("数出表_Excel!B" &amp; (MATCH(CD22,数出表_Excel!$A:$A,0)-1))) - 1 +
MATCH(TRUE, ISNUMBER(--INDIRECT("数出表_Excel!B" &amp; (MATCH(CD22,数出表_Excel!$A:$A,0)-1) &amp; ":U" &amp; (MATCH(CD22,数出表_Excel!$A:$A,0)-1))), 0)+1
+MATCH(TRUE,INDIRECT("'数出表_Excel'!"&amp;BY64&amp;MATCH(CD22,数出表_Excel!$A:$A,0)-1&amp;":AL"&amp;MATCH(CD22,数出表_Excel!$A:$A,0)-1&amp;"")&lt;&gt;"",0))&gt;12,"",
IFERROR(
INDEX(INDIRECT("数出表_Excel!$"&amp;BY64&amp;"4:$AL4"),
 1,
MATCH(TRUE,INDIRECT("'数出表_Excel'!"&amp;BY64&amp;MATCH(CD22,数出表_Excel!$A:$A,0)-1&amp;":AL"&amp;MATCH(CD22,数出表_Excel!$A:$A,0)-1&amp;"")&lt;&gt;"",0)
),
 "")
&amp;IFERROR(
INDEX(INDIRECT("数出表_Excel!$"&amp;BY64&amp;"5:$AL5"),
 1,
MATCH(TRUE,INDIRECT("'数出表_Excel'!"&amp;BY64&amp;MATCH(CD22,数出表_Excel!$A:$A,0)-1&amp;":AL"&amp;MATCH(CD22,数出表_Excel!$A:$A,0)-1&amp;"")&lt;&gt;"",0)),
 "")),"")))</f>
        <v/>
      </c>
      <c r="CC65" s="87" t="str">
        <f t="array" aca="1" ref="CC65" ca="1">IF(BZ65&lt;&gt;"",
IF(COUNTIF(BZ64,"*雙葉*"),
IF(ROUND(
IF(CC70&lt;&gt;"",(BZ67-CC70),BZ67)
/IF(COUNTIF(BZ65,"*キャラ*"),
VLOOKUP("*キャラ*",商品マスタ一覧!$D:$J,7,FALSE),
IF(COUNTIF(BZ65,"*赤*"),
VLOOKUP("*赤*",商品マスタ一覧!$D:$J,7,FALSE),
VLOOKUP(BZ65,商品マスタ一覧!$D:$J,7,FALSE))),0)&lt;=0,1,
ROUND(
IF(CC70&lt;&gt;"",(BZ67-CC70),BZ67)
/IF(COUNTIF(BZ65,"*キャラ*"),
VLOOKUP("*キャラ*",商品マスタ一覧!$D:$J,7,FALSE),
IF(COUNTIF(BZ65,"*赤*"),
VLOOKUP("*赤*",商品マスタ一覧!$D:$J,7,FALSE),
VLOOKUP(BZ65,商品マスタ一覧!$D:$J,7,FALSE))),0)),
IF(MATCH(TRUE,
ISNUMBER(--INDIRECT("'数出表_Excel（アレルギー入力）'!B"&amp;MATCH(CD22,'数出表_Excel（アレルギー入力）'!$A:$A,0)-1&amp;":AL"&amp;MATCH(CD22,'数出表_Excel（アレルギー入力）'!$A:$A,0)-1&amp;"")),0)&gt;10,
IF(BZ65&lt;&gt;"",
IF(IF(COUNTIF(BZ65,"*キャラ*"),
VLOOKUP("*キャラ*",商品マスタ一覧!$D:$J,7,FALSE),
IF(COUNTIF(BZ65,"*赤*"),
VLOOKUP("*赤*",商品マスタ一覧!$D:$J,7,FALSE),
VLOOKUP(BZ65,商品マスタ一覧!$D:$J,7,FALSE)))=0,"",
IF(ROUND(
IF(CC70&lt;&gt;"",(BZ67-CC70),BZ67)
/IF(COUNTIF(BZ65,"*キャラ*"),
VLOOKUP("*キャラ*",商品マスタ一覧!$D:$J,7,FALSE),
IF(COUNTIF(BZ65,"*赤*"),
VLOOKUP("*赤*",商品マスタ一覧!$D:$J,7,FALSE),
VLOOKUP(BZ65,商品マスタ一覧!$D:$J,7,FALSE))),0)&lt;=0,1,
ROUND(
IF(CC70&lt;&gt;"",(BZ67-CC70),BZ67)
/IF(COUNTIF(BZ65,"*キャラ*"),
VLOOKUP("*キャラ*",商品マスタ一覧!$D:$J,7,FALSE),
IF(COUNTIF(BZ65,"*赤*"),
VLOOKUP("*赤*",商品マスタ一覧!$D:$J,7,FALSE),
VLOOKUP(BZ65,商品マスタ一覧!$D:$J,7,FALSE))),0))),""),"")),"")</f>
        <v/>
      </c>
      <c r="CD65" s="100" t="str">
        <f ca="1">IF(CC65&lt;&gt;"",IF(BZ67&lt;&gt;"",IF(VALUE(IF(CC70&lt;&gt;"",BZ67-CC70,BZ67))&gt;VALUE(IF(COUNTIF('盛付札（関数）'!BZ65,"*キャラ*"),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VLOOKUP('盛付札（関数）'!BZ65,商品マスタ一覧!$D:$J,7,FALSE)))*CC65),
"+"&amp;IF(CC70&lt;&gt;"",BZ67-CC70,BZ67)-IF(COUNTIF('盛付札（関数）'!BZ65,"*キャラ*"),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VLOOKUP('盛付札（関数）'!BZ65,商品マスタ一覧!$D:$J,7,FALSE)))*CC65,
IF(CC70&lt;&gt;"",BZ67-CC70,BZ67)-IF(COUNTIF('盛付札（関数）'!BZ65,"*キャラ*"),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VLOOKUP('盛付札（関数）'!BZ65,商品マスタ一覧!$D:$J,7,FALSE)))*CC65),""),"")</f>
        <v/>
      </c>
      <c r="CE65" s="80"/>
      <c r="CF65" s="85" t="e">
        <f t="array" aca="1" ref="CF65" ca="1">IF(CF24&lt;&gt;100,
IF(CG67&lt;&gt;"",MATCH(CG67,INDIRECT("数出表_Excel!B"&amp;MATCH(CK22,数出表_Excel!$A:$A,0)-1&amp;":U"&amp;MATCH(CK22,数出表_Excel!$A:$A,0)-1&amp;""),0)+1,""),
IF(CG67&lt;&gt;"",
MATCH(
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""),
INDIRECT("数出表_Excel!B"&amp;MATCH(CK22,数出表_Excel!$A:$A,0)-1&amp;":U"&amp;MATCH(CK22,数出表_Excel!$A:$A,0)-1&amp;""),0)+1,""))</f>
        <v>#N/A</v>
      </c>
      <c r="CG65" s="62" t="str">
        <f t="array" aca="1" ref="CG65" ca="1">IF(CG22=BZ64,"",IFERROR(IF(OR(
COUNTIF(INDIRECT("数出表_Excel!"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"3"),"*配膳*"),
COUNTIF(INDIRECT("数出表_Excel!"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"3"),"*カレー*"),
COUNTIF(CG22,"*合計*")),"",
IF(IFERROR(INDIRECT("数出表_Excel!"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"3"),0)=0,"",
IFERROR(INDIRECT("数出表_Excel!"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"3"),""))),""))</f>
        <v/>
      </c>
      <c r="CH65" s="80"/>
      <c r="CI65" s="86" t="str">
        <f t="array" aca="1" ref="CI65" ca="1">IF(CJ65&lt;&gt;"","",
IF(COUNTIF(CG64,"*雙葉*"),"",
IF(CG64&lt;&gt;"",
IF(
(COLUMN(INDIRECT("数出表_Excel!B" &amp; (MATCH(CK22,数出表_Excel!$A:$A,0)-1))) - 1 +
MATCH(TRUE, ISNUMBER(--INDIRECT("数出表_Excel!B" &amp; (MATCH(CK22,数出表_Excel!$A:$A,0)-1) &amp; ":U" &amp; (MATCH(CK22,数出表_Excel!$A:$A,0)-1))), 0)+1
+MATCH(TRUE,INDIRECT("'数出表_Excel'!"&amp;CF64&amp;MATCH(CK22,数出表_Excel!$A:$A,0)-1&amp;":AL"&amp;MATCH(CK22,数出表_Excel!$A:$A,0)-1&amp;"")&lt;&gt;"",0))&gt;12,"",
IFERROR(
INDEX(INDIRECT("数出表_Excel!$"&amp;CF64&amp;"4:$AL4"),
 1,
MATCH(TRUE,INDIRECT("'数出表_Excel'!"&amp;CF64&amp;MATCH(CK22,数出表_Excel!$A:$A,0)-1&amp;":AL"&amp;MATCH(CK22,数出表_Excel!$A:$A,0)-1&amp;"")&lt;&gt;"",0)
),
 "")
&amp;IFERROR(
INDEX(INDIRECT("数出表_Excel!$"&amp;CF64&amp;"5:$AL5"),
 1,
MATCH(TRUE,INDIRECT("'数出表_Excel'!"&amp;CF64&amp;MATCH(CK22,数出表_Excel!$A:$A,0)-1&amp;":AL"&amp;MATCH(CK22,数出表_Excel!$A:$A,0)-1&amp;"")&lt;&gt;"",0)),
 "")),"")))</f>
        <v/>
      </c>
      <c r="CJ65" s="87" t="str">
        <f t="array" aca="1" ref="CJ65" ca="1">IF(CG65&lt;&gt;"",
IF(COUNTIF(CG64,"*雙葉*"),
IF(ROUND(
IF(CJ70&lt;&gt;"",(CG67-CJ70),CG67)
/IF(COUNTIF(CG65,"*キャラ*"),
VLOOKUP("*キャラ*",商品マスタ一覧!$D:$J,7,FALSE),
IF(COUNTIF(CG65,"*赤*"),
VLOOKUP("*赤*",商品マスタ一覧!$D:$J,7,FALSE),
VLOOKUP(CG65,商品マスタ一覧!$D:$J,7,FALSE))),0)&lt;=0,1,
ROUND(
IF(CJ70&lt;&gt;"",(CG67-CJ70),CG67)
/IF(COUNTIF(CG65,"*キャラ*"),
VLOOKUP("*キャラ*",商品マスタ一覧!$D:$J,7,FALSE),
IF(COUNTIF(CG65,"*赤*"),
VLOOKUP("*赤*",商品マスタ一覧!$D:$J,7,FALSE),
VLOOKUP(CG65,商品マスタ一覧!$D:$J,7,FALSE))),0)),
IF(MATCH(TRUE,
ISNUMBER(--INDIRECT("'数出表_Excel（アレルギー入力）'!B"&amp;MATCH(CK22,'数出表_Excel（アレルギー入力）'!$A:$A,0)-1&amp;":AL"&amp;MATCH(CK22,'数出表_Excel（アレルギー入力）'!$A:$A,0)-1&amp;"")),0)&gt;10,
IF(CG65&lt;&gt;"",
IF(IF(COUNTIF(CG65,"*キャラ*"),
VLOOKUP("*キャラ*",商品マスタ一覧!$D:$J,7,FALSE),
IF(COUNTIF(CG65,"*赤*"),
VLOOKUP("*赤*",商品マスタ一覧!$D:$J,7,FALSE),
VLOOKUP(CG65,商品マスタ一覧!$D:$J,7,FALSE)))=0,"",
IF(ROUND(
IF(CJ70&lt;&gt;"",(CG67-CJ70),CG67)
/IF(COUNTIF(CG65,"*キャラ*"),
VLOOKUP("*キャラ*",商品マスタ一覧!$D:$J,7,FALSE),
IF(COUNTIF(CG65,"*赤*"),
VLOOKUP("*赤*",商品マスタ一覧!$D:$J,7,FALSE),
VLOOKUP(CG65,商品マスタ一覧!$D:$J,7,FALSE))),0)&lt;=0,1,
ROUND(
IF(CJ70&lt;&gt;"",(CG67-CJ70),CG67)
/IF(COUNTIF(CG65,"*キャラ*"),
VLOOKUP("*キャラ*",商品マスタ一覧!$D:$J,7,FALSE),
IF(COUNTIF(CG65,"*赤*"),
VLOOKUP("*赤*",商品マスタ一覧!$D:$J,7,FALSE),
VLOOKUP(CG65,商品マスタ一覧!$D:$J,7,FALSE))),0))),""),"")),"")</f>
        <v/>
      </c>
      <c r="CK65" s="96" t="str">
        <f ca="1">IF(CJ65&lt;&gt;"",IF(CG67&lt;&gt;"",IF(VALUE(IF(CJ70&lt;&gt;"",CG67-CJ70,CG67))&gt;VALUE(IF(COUNTIF('盛付札（関数）'!CG65,"*キャラ*"),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VLOOKUP('盛付札（関数）'!CG65,商品マスタ一覧!$D:$J,7,FALSE)))*CJ65),
"+"&amp;IF(CJ70&lt;&gt;"",CG67-CJ70,CG67)-IF(COUNTIF('盛付札（関数）'!CG65,"*キャラ*"),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VLOOKUP('盛付札（関数）'!CG65,商品マスタ一覧!$D:$J,7,FALSE)))*CJ65,
IF(CJ70&lt;&gt;"",CG67-CJ70,CG67)-IF(COUNTIF('盛付札（関数）'!CG65,"*キャラ*"),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VLOOKUP('盛付札（関数）'!CG65,商品マスタ一覧!$D:$J,7,FALSE)))*CJ65),""),"")</f>
        <v/>
      </c>
      <c r="CL65" s="80"/>
      <c r="CM65" s="80"/>
      <c r="CN65" s="85" t="e">
        <f t="array" aca="1" ref="CN65" ca="1">IF(CN24&lt;&gt;100,
IF(CO67&lt;&gt;"",MATCH(CO67,INDIRECT("数出表_Excel!B"&amp;MATCH(CS22,数出表_Excel!$A:$A,0)-1&amp;":U"&amp;MATCH(CS22,数出表_Excel!$A:$A,0)-1&amp;""),0)+1,""),
IF(CO67&lt;&gt;"",
MATCH(
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""),
INDIRECT("数出表_Excel!B"&amp;MATCH(CS22,数出表_Excel!$A:$A,0)-1&amp;":U"&amp;MATCH(CS22,数出表_Excel!$A:$A,0)-1&amp;""),0)+1,""))</f>
        <v>#N/A</v>
      </c>
      <c r="CO65" s="62" t="str">
        <f t="array" aca="1" ref="CO65" ca="1">IF(CO22=CV57,"",IFERROR(IF(OR(
COUNTIF(INDIRECT("数出表_Excel!"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"3"),"*配膳*"),
COUNTIF(INDIRECT("数出表_Excel!"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"3"),"*カレー*"),
COUNTIF(CO22,"*合計*")),"",
IF(IFERROR(INDIRECT("数出表_Excel!"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"3"),0)=0,"",
IFERROR(INDIRECT("数出表_Excel!"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"3"),""))),""))</f>
        <v/>
      </c>
      <c r="CP65" s="80"/>
      <c r="CQ65" s="86" t="str">
        <f t="array" aca="1" ref="CQ65" ca="1">IF(CR65&lt;&gt;"","",
IF(COUNTIF(CO64,"*雙葉*"),"",
IF(CO64&lt;&gt;"",
IF(
(COLUMN(INDIRECT("数出表_Excel!B" &amp; (MATCH(CS22,数出表_Excel!$A:$A,0)-1))) - 1 +
MATCH(TRUE, ISNUMBER(--INDIRECT("数出表_Excel!B" &amp; (MATCH(CS22,数出表_Excel!$A:$A,0)-1) &amp; ":U" &amp; (MATCH(CS22,数出表_Excel!$A:$A,0)-1))), 0)+1
+MATCH(TRUE,INDIRECT("'数出表_Excel'!"&amp;CN64&amp;MATCH(CS22,数出表_Excel!$A:$A,0)-1&amp;":AL"&amp;MATCH(CS22,数出表_Excel!$A:$A,0)-1&amp;"")&lt;&gt;"",0))&gt;12,"",
IFERROR(
INDEX(INDIRECT("数出表_Excel!$"&amp;CN64&amp;"4:$AL4"),
 1,
MATCH(TRUE,INDIRECT("'数出表_Excel'!"&amp;CN64&amp;MATCH(CS22,数出表_Excel!$A:$A,0)-1&amp;":AL"&amp;MATCH(CS22,数出表_Excel!$A:$A,0)-1&amp;"")&lt;&gt;"",0)
),
 "")
&amp;IFERROR(
INDEX(INDIRECT("数出表_Excel!$"&amp;CN64&amp;"5:$AL5"),
 1,
MATCH(TRUE,INDIRECT("'数出表_Excel'!"&amp;CN64&amp;MATCH(CS22,数出表_Excel!$A:$A,0)-1&amp;":AL"&amp;MATCH(CS22,数出表_Excel!$A:$A,0)-1&amp;"")&lt;&gt;"",0)),
 "")),"")))</f>
        <v/>
      </c>
      <c r="CR65" s="87" t="str">
        <f t="array" aca="1" ref="CR65" ca="1">IF(CO65&lt;&gt;"",
IF(COUNTIF(CO64,"*雙葉*"),
IF(ROUND(
IF(CR70&lt;&gt;"",(CO67-CR70),CO67)
/IF(COUNTIF(CO65,"*キャラ*"),
VLOOKUP("*キャラ*",商品マスタ一覧!$D:$J,7,FALSE),
IF(COUNTIF(CO65,"*赤*"),
VLOOKUP("*赤*",商品マスタ一覧!$D:$J,7,FALSE),
VLOOKUP(CO65,商品マスタ一覧!$D:$J,7,FALSE))),0)&lt;=0,1,
ROUND(
IF(CR70&lt;&gt;"",(CO67-CR70),CO67)
/IF(COUNTIF(CO65,"*キャラ*"),
VLOOKUP("*キャラ*",商品マスタ一覧!$D:$J,7,FALSE),
IF(COUNTIF(CO65,"*赤*"),
VLOOKUP("*赤*",商品マスタ一覧!$D:$J,7,FALSE),
VLOOKUP(CO65,商品マスタ一覧!$D:$J,7,FALSE))),0)),
IF(MATCH(TRUE,
ISNUMBER(--INDIRECT("'数出表_Excel（アレルギー入力）'!B"&amp;MATCH(CS22,'数出表_Excel（アレルギー入力）'!$A:$A,0)-1&amp;":AL"&amp;MATCH(CS22,'数出表_Excel（アレルギー入力）'!$A:$A,0)-1&amp;"")),0)&gt;10,
IF(CO65&lt;&gt;"",
IF(IF(COUNTIF(CO65,"*キャラ*"),
VLOOKUP("*キャラ*",商品マスタ一覧!$D:$J,7,FALSE),
IF(COUNTIF(CO65,"*赤*"),
VLOOKUP("*赤*",商品マスタ一覧!$D:$J,7,FALSE),
VLOOKUP(CO65,商品マスタ一覧!$D:$J,7,FALSE)))=0,"",
IF(ROUND(
IF(CR70&lt;&gt;"",(CO67-CR70),CO67)
/IF(COUNTIF(CO65,"*キャラ*"),
VLOOKUP("*キャラ*",商品マスタ一覧!$D:$J,7,FALSE),
IF(COUNTIF(CO65,"*赤*"),
VLOOKUP("*赤*",商品マスタ一覧!$D:$J,7,FALSE),
VLOOKUP(CO65,商品マスタ一覧!$D:$J,7,FALSE))),0)&lt;=0,1,
ROUND(
IF(CR70&lt;&gt;"",(CO67-CR70),CO67)
/IF(COUNTIF(CO65,"*キャラ*"),
VLOOKUP("*キャラ*",商品マスタ一覧!$D:$J,7,FALSE),
IF(COUNTIF(CO65,"*赤*"),
VLOOKUP("*赤*",商品マスタ一覧!$D:$J,7,FALSE),
VLOOKUP(CO65,商品マスタ一覧!$D:$J,7,FALSE))),0))),""),"")),"")</f>
        <v/>
      </c>
      <c r="CS65" s="100" t="str">
        <f ca="1">IF(CR65&lt;&gt;"",IF(CO67&lt;&gt;"",IF(VALUE(IF(CR70&lt;&gt;"",CO67-CR70,CO67))&gt;VALUE(IF(COUNTIF('盛付札（関数）'!CO65,"*キャラ*"),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VLOOKUP('盛付札（関数）'!CO65,商品マスタ一覧!$D:$J,7,FALSE)))*CR65),
"+"&amp;IF(CR70&lt;&gt;"",CO67-CR70,CO67)-IF(COUNTIF('盛付札（関数）'!CO65,"*キャラ*"),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VLOOKUP('盛付札（関数）'!CO65,商品マスタ一覧!$D:$J,7,FALSE)))*CR65,
IF(CR70&lt;&gt;"",CO67-CR70,CO67)-IF(COUNTIF('盛付札（関数）'!CO65,"*キャラ*"),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VLOOKUP('盛付札（関数）'!CO65,商品マスタ一覧!$D:$J,7,FALSE)))*CR65),""),"")</f>
        <v/>
      </c>
      <c r="CT65" s="80"/>
      <c r="CU65" s="85" t="e">
        <f t="array" aca="1" ref="CU65" ca="1">IF(CU24&lt;&gt;100,
IF(CV67&lt;&gt;"",MATCH(CV67,INDIRECT("数出表_Excel!B"&amp;MATCH(CZ22,数出表_Excel!$A:$A,0)-1&amp;":U"&amp;MATCH(CZ22,数出表_Excel!$A:$A,0)-1&amp;""),0)+1,""),
IF(CV67&lt;&gt;"",
MATCH(
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""),
INDIRECT("数出表_Excel!B"&amp;MATCH(CZ22,数出表_Excel!$A:$A,0)-1&amp;":U"&amp;MATCH(CZ22,数出表_Excel!$A:$A,0)-1&amp;""),0)+1,""))</f>
        <v>#N/A</v>
      </c>
      <c r="CV65" s="62" t="str">
        <f t="array" aca="1" ref="CV65" ca="1">IF(CV22=CO64,"",IFERROR(IF(OR(
COUNTIF(INDIRECT("数出表_Excel!"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"3"),"*配膳*"),
COUNTIF(INDIRECT("数出表_Excel!"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"3"),"*カレー*"),
COUNTIF(CV22,"*合計*")),"",
IF(IFERROR(INDIRECT("数出表_Excel!"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"3"),0)=0,"",
IFERROR(INDIRECT("数出表_Excel!"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"3"),""))),""))</f>
        <v/>
      </c>
      <c r="CW65" s="80"/>
      <c r="CX65" s="86" t="str">
        <f t="array" aca="1" ref="CX65" ca="1">IF(CY65&lt;&gt;"","",
IF(COUNTIF(CV64,"*雙葉*"),"",
IF(CV64&lt;&gt;"",
IF(
(COLUMN(INDIRECT("数出表_Excel!B" &amp; (MATCH(CZ22,数出表_Excel!$A:$A,0)-1))) - 1 +
MATCH(TRUE, ISNUMBER(--INDIRECT("数出表_Excel!B" &amp; (MATCH(CZ22,数出表_Excel!$A:$A,0)-1) &amp; ":U" &amp; (MATCH(CZ22,数出表_Excel!$A:$A,0)-1))), 0)+1
+MATCH(TRUE,INDIRECT("'数出表_Excel'!"&amp;CU64&amp;MATCH(CZ22,数出表_Excel!$A:$A,0)-1&amp;":AL"&amp;MATCH(CZ22,数出表_Excel!$A:$A,0)-1&amp;"")&lt;&gt;"",0))&gt;12,"",
IFERROR(
INDEX(INDIRECT("数出表_Excel!$"&amp;CU64&amp;"4:$AL4"),
 1,
MATCH(TRUE,INDIRECT("'数出表_Excel'!"&amp;CU64&amp;MATCH(CZ22,数出表_Excel!$A:$A,0)-1&amp;":AL"&amp;MATCH(CZ22,数出表_Excel!$A:$A,0)-1&amp;"")&lt;&gt;"",0)
),
 "")
&amp;IFERROR(
INDEX(INDIRECT("数出表_Excel!$"&amp;CU64&amp;"5:$AL5"),
 1,
MATCH(TRUE,INDIRECT("'数出表_Excel'!"&amp;CU64&amp;MATCH(CZ22,数出表_Excel!$A:$A,0)-1&amp;":AL"&amp;MATCH(CZ22,数出表_Excel!$A:$A,0)-1&amp;"")&lt;&gt;"",0)),
 "")),"")))</f>
        <v/>
      </c>
      <c r="CY65" s="87" t="str">
        <f t="array" aca="1" ref="CY65" ca="1">IF(CV65&lt;&gt;"",
IF(COUNTIF(CV64,"*雙葉*"),
IF(ROUND(
IF(CY70&lt;&gt;"",(CV67-CY70),CV67)
/IF(COUNTIF(CV65,"*キャラ*"),
VLOOKUP("*キャラ*",商品マスタ一覧!$D:$J,7,FALSE),
IF(COUNTIF(CV65,"*赤*"),
VLOOKUP("*赤*",商品マスタ一覧!$D:$J,7,FALSE),
VLOOKUP(CV65,商品マスタ一覧!$D:$J,7,FALSE))),0)&lt;=0,1,
ROUND(
IF(CY70&lt;&gt;"",(CV67-CY70),CV67)
/IF(COUNTIF(CV65,"*キャラ*"),
VLOOKUP("*キャラ*",商品マスタ一覧!$D:$J,7,FALSE),
IF(COUNTIF(CV65,"*赤*"),
VLOOKUP("*赤*",商品マスタ一覧!$D:$J,7,FALSE),
VLOOKUP(CV65,商品マスタ一覧!$D:$J,7,FALSE))),0)),
IF(MATCH(TRUE,
ISNUMBER(--INDIRECT("'数出表_Excel（アレルギー入力）'!B"&amp;MATCH(CZ22,'数出表_Excel（アレルギー入力）'!$A:$A,0)-1&amp;":AL"&amp;MATCH(CZ22,'数出表_Excel（アレルギー入力）'!$A:$A,0)-1&amp;"")),0)&gt;10,
IF(CV65&lt;&gt;"",
IF(IF(COUNTIF(CV65,"*キャラ*"),
VLOOKUP("*キャラ*",商品マスタ一覧!$D:$J,7,FALSE),
IF(COUNTIF(CV65,"*赤*"),
VLOOKUP("*赤*",商品マスタ一覧!$D:$J,7,FALSE),
VLOOKUP(CV65,商品マスタ一覧!$D:$J,7,FALSE)))=0,"",
IF(ROUND(
IF(CY70&lt;&gt;"",(CV67-CY70),CV67)
/IF(COUNTIF(CV65,"*キャラ*"),
VLOOKUP("*キャラ*",商品マスタ一覧!$D:$J,7,FALSE),
IF(COUNTIF(CV65,"*赤*"),
VLOOKUP("*赤*",商品マスタ一覧!$D:$J,7,FALSE),
VLOOKUP(CV65,商品マスタ一覧!$D:$J,7,FALSE))),0)&lt;=0,1,
ROUND(
IF(CY70&lt;&gt;"",(CV67-CY70),CV67)
/IF(COUNTIF(CV65,"*キャラ*"),
VLOOKUP("*キャラ*",商品マスタ一覧!$D:$J,7,FALSE),
IF(COUNTIF(CV65,"*赤*"),
VLOOKUP("*赤*",商品マスタ一覧!$D:$J,7,FALSE),
VLOOKUP(CV65,商品マスタ一覧!$D:$J,7,FALSE))),0))),""),"")),"")</f>
        <v/>
      </c>
      <c r="CZ65" s="96" t="str">
        <f ca="1">IF(CY65&lt;&gt;"",IF(CV67&lt;&gt;"",IF(VALUE(IF(CY70&lt;&gt;"",CV67-CY70,CV67))&gt;VALUE(IF(COUNTIF('盛付札（関数）'!CV65,"*キャラ*"),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VLOOKUP('盛付札（関数）'!CV65,商品マスタ一覧!$D:$J,7,FALSE)))*CY65),
"+"&amp;IF(CY70&lt;&gt;"",CV67-CY70,CV67)-IF(COUNTIF('盛付札（関数）'!CV65,"*キャラ*"),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VLOOKUP('盛付札（関数）'!CV65,商品マスタ一覧!$D:$J,7,FALSE)))*CY65,
IF(CY70&lt;&gt;"",CV67-CY70,CV67)-IF(COUNTIF('盛付札（関数）'!CV65,"*キャラ*"),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VLOOKUP('盛付札（関数）'!CV65,商品マスタ一覧!$D:$J,7,FALSE)))*CY65),""),"")</f>
        <v/>
      </c>
      <c r="DA65" s="80"/>
      <c r="DB65" s="80"/>
      <c r="DC65" s="85" t="e">
        <f t="array" aca="1" ref="DC65" ca="1">IF(DC24&lt;&gt;100,
IF(DD67&lt;&gt;"",MATCH(DD67,INDIRECT("数出表_Excel!B"&amp;MATCH(DH22,数出表_Excel!$A:$A,0)-1&amp;":U"&amp;MATCH(DH22,数出表_Excel!$A:$A,0)-1&amp;""),0)+1,""),
IF(DD67&lt;&gt;"",
MATCH(
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""),
INDIRECT("数出表_Excel!B"&amp;MATCH(DH22,数出表_Excel!$A:$A,0)-1&amp;":U"&amp;MATCH(DH22,数出表_Excel!$A:$A,0)-1&amp;""),0)+1,""))</f>
        <v>#N/A</v>
      </c>
      <c r="DD65" s="62" t="str">
        <f t="array" aca="1" ref="DD65" ca="1">IF(DD22=DK57,"",IFERROR(IF(OR(
COUNTIF(INDIRECT("数出表_Excel!"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"3"),"*配膳*"),
COUNTIF(INDIRECT("数出表_Excel!"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"3"),"*カレー*"),
COUNTIF(DD22,"*合計*")),"",
IF(IFERROR(INDIRECT("数出表_Excel!"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"3"),0)=0,"",
IFERROR(INDIRECT("数出表_Excel!"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"3"),""))),""))</f>
        <v/>
      </c>
      <c r="DE65" s="80"/>
      <c r="DF65" s="86" t="str">
        <f t="array" aca="1" ref="DF65" ca="1">IF(DG65&lt;&gt;"","",
IF(COUNTIF(DD64,"*雙葉*"),"",
IF(DD64&lt;&gt;"",
IF(
(COLUMN(INDIRECT("数出表_Excel!B" &amp; (MATCH(DH22,数出表_Excel!$A:$A,0)-1))) - 1 +
MATCH(TRUE, ISNUMBER(--INDIRECT("数出表_Excel!B" &amp; (MATCH(DH22,数出表_Excel!$A:$A,0)-1) &amp; ":U" &amp; (MATCH(DH22,数出表_Excel!$A:$A,0)-1))), 0)+1
+MATCH(TRUE,INDIRECT("'数出表_Excel'!"&amp;DC64&amp;MATCH(DH22,数出表_Excel!$A:$A,0)-1&amp;":AL"&amp;MATCH(DH22,数出表_Excel!$A:$A,0)-1&amp;"")&lt;&gt;"",0))&gt;12,"",
IFERROR(
INDEX(INDIRECT("数出表_Excel!$"&amp;DC64&amp;"4:$AL4"),
 1,
MATCH(TRUE,INDIRECT("'数出表_Excel'!"&amp;DC64&amp;MATCH(DH22,数出表_Excel!$A:$A,0)-1&amp;":AL"&amp;MATCH(DH22,数出表_Excel!$A:$A,0)-1&amp;"")&lt;&gt;"",0)
),
 "")
&amp;IFERROR(
INDEX(INDIRECT("数出表_Excel!$"&amp;DC64&amp;"5:$AL5"),
 1,
MATCH(TRUE,INDIRECT("'数出表_Excel'!"&amp;DC64&amp;MATCH(DH22,数出表_Excel!$A:$A,0)-1&amp;":AL"&amp;MATCH(DH22,数出表_Excel!$A:$A,0)-1&amp;"")&lt;&gt;"",0)),
 "")),"")))</f>
        <v/>
      </c>
      <c r="DG65" s="87" t="str">
        <f t="array" aca="1" ref="DG65" ca="1">IF(DD65&lt;&gt;"",
IF(COUNTIF(DD64,"*雙葉*"),
IF(ROUND(
IF(DG70&lt;&gt;"",(DD67-DG70),DD67)
/IF(COUNTIF(DD65,"*キャラ*"),
VLOOKUP("*キャラ*",商品マスタ一覧!$D:$J,7,FALSE),
IF(COUNTIF(DD65,"*赤*"),
VLOOKUP("*赤*",商品マスタ一覧!$D:$J,7,FALSE),
VLOOKUP(DD65,商品マスタ一覧!$D:$J,7,FALSE))),0)&lt;=0,1,
ROUND(
IF(DG70&lt;&gt;"",(DD67-DG70),DD67)
/IF(COUNTIF(DD65,"*キャラ*"),
VLOOKUP("*キャラ*",商品マスタ一覧!$D:$J,7,FALSE),
IF(COUNTIF(DD65,"*赤*"),
VLOOKUP("*赤*",商品マスタ一覧!$D:$J,7,FALSE),
VLOOKUP(DD65,商品マスタ一覧!$D:$J,7,FALSE))),0)),
IF(MATCH(TRUE,
ISNUMBER(--INDIRECT("'数出表_Excel（アレルギー入力）'!B"&amp;MATCH(DH22,'数出表_Excel（アレルギー入力）'!$A:$A,0)-1&amp;":AL"&amp;MATCH(DH22,'数出表_Excel（アレルギー入力）'!$A:$A,0)-1&amp;"")),0)&gt;10,
IF(DD65&lt;&gt;"",
IF(IF(COUNTIF(DD65,"*キャラ*"),
VLOOKUP("*キャラ*",商品マスタ一覧!$D:$J,7,FALSE),
IF(COUNTIF(DD65,"*赤*"),
VLOOKUP("*赤*",商品マスタ一覧!$D:$J,7,FALSE),
VLOOKUP(DD65,商品マスタ一覧!$D:$J,7,FALSE)))=0,"",
IF(ROUND(
IF(DG70&lt;&gt;"",(DD67-DG70),DD67)
/IF(COUNTIF(DD65,"*キャラ*"),
VLOOKUP("*キャラ*",商品マスタ一覧!$D:$J,7,FALSE),
IF(COUNTIF(DD65,"*赤*"),
VLOOKUP("*赤*",商品マスタ一覧!$D:$J,7,FALSE),
VLOOKUP(DD65,商品マスタ一覧!$D:$J,7,FALSE))),0)&lt;=0,1,
ROUND(
IF(DG70&lt;&gt;"",(DD67-DG70),DD67)
/IF(COUNTIF(DD65,"*キャラ*"),
VLOOKUP("*キャラ*",商品マスタ一覧!$D:$J,7,FALSE),
IF(COUNTIF(DD65,"*赤*"),
VLOOKUP("*赤*",商品マスタ一覧!$D:$J,7,FALSE),
VLOOKUP(DD65,商品マスタ一覧!$D:$J,7,FALSE))),0))),""),"")),"")</f>
        <v/>
      </c>
      <c r="DH65" s="100" t="str">
        <f ca="1">IF(DG65&lt;&gt;"",IF(DD67&lt;&gt;"",IF(VALUE(IF(DG70&lt;&gt;"",DD67-DG70,DD67))&gt;VALUE(IF(COUNTIF('盛付札（関数）'!DD65,"*キャラ*"),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VLOOKUP('盛付札（関数）'!DD65,商品マスタ一覧!$D:$J,7,FALSE)))*DG65),
"+"&amp;IF(DG70&lt;&gt;"",DD67-DG70,DD67)-IF(COUNTIF('盛付札（関数）'!DD65,"*キャラ*"),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VLOOKUP('盛付札（関数）'!DD65,商品マスタ一覧!$D:$J,7,FALSE)))*DG65,
IF(DG70&lt;&gt;"",DD67-DG70,DD67)-IF(COUNTIF('盛付札（関数）'!DD65,"*キャラ*"),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VLOOKUP('盛付札（関数）'!DD65,商品マスタ一覧!$D:$J,7,FALSE)))*DG65),""),"")</f>
        <v/>
      </c>
      <c r="DI65" s="80"/>
      <c r="DJ65" s="85" t="e">
        <f t="array" aca="1" ref="DJ65" ca="1">IF(DJ24&lt;&gt;100,
IF(DK67&lt;&gt;"",MATCH(DK67,INDIRECT("数出表_Excel!B"&amp;MATCH(DO22,数出表_Excel!$A:$A,0)-1&amp;":U"&amp;MATCH(DO22,数出表_Excel!$A:$A,0)-1&amp;""),0)+1,""),
IF(DK67&lt;&gt;"",
MATCH(
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""),
INDIRECT("数出表_Excel!B"&amp;MATCH(DO22,数出表_Excel!$A:$A,0)-1&amp;":U"&amp;MATCH(DO22,数出表_Excel!$A:$A,0)-1&amp;""),0)+1,""))</f>
        <v>#N/A</v>
      </c>
      <c r="DK65" s="62" t="str">
        <f t="array" aca="1" ref="DK65" ca="1">IF(DK22=DD64,"",IFERROR(IF(OR(
COUNTIF(INDIRECT("数出表_Excel!"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"3"),"*配膳*"),
COUNTIF(INDIRECT("数出表_Excel!"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"3"),"*カレー*"),
COUNTIF(DK22,"*合計*")),"",
IF(IFERROR(INDIRECT("数出表_Excel!"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"3"),0)=0,"",
IFERROR(INDIRECT("数出表_Excel!"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"3"),""))),""))</f>
        <v/>
      </c>
      <c r="DL65" s="80"/>
      <c r="DM65" s="86" t="str">
        <f t="array" aca="1" ref="DM65" ca="1">IF(DN65&lt;&gt;"","",
IF(COUNTIF(DK64,"*雙葉*"),"",
IF(DK64&lt;&gt;"",
IF(
(COLUMN(INDIRECT("数出表_Excel!B" &amp; (MATCH(DO22,数出表_Excel!$A:$A,0)-1))) - 1 +
MATCH(TRUE, ISNUMBER(--INDIRECT("数出表_Excel!B" &amp; (MATCH(DO22,数出表_Excel!$A:$A,0)-1) &amp; ":U" &amp; (MATCH(DO22,数出表_Excel!$A:$A,0)-1))), 0)+1
+MATCH(TRUE,INDIRECT("'数出表_Excel'!"&amp;DJ64&amp;MATCH(DO22,数出表_Excel!$A:$A,0)-1&amp;":AL"&amp;MATCH(DO22,数出表_Excel!$A:$A,0)-1&amp;"")&lt;&gt;"",0))&gt;12,"",
IFERROR(
INDEX(INDIRECT("数出表_Excel!$"&amp;DJ64&amp;"4:$AL4"),
 1,
MATCH(TRUE,INDIRECT("'数出表_Excel'!"&amp;DJ64&amp;MATCH(DO22,数出表_Excel!$A:$A,0)-1&amp;":AL"&amp;MATCH(DO22,数出表_Excel!$A:$A,0)-1&amp;"")&lt;&gt;"",0)
),
 "")
&amp;IFERROR(
INDEX(INDIRECT("数出表_Excel!$"&amp;DJ64&amp;"5:$AL5"),
 1,
MATCH(TRUE,INDIRECT("'数出表_Excel'!"&amp;DJ64&amp;MATCH(DO22,数出表_Excel!$A:$A,0)-1&amp;":AL"&amp;MATCH(DO22,数出表_Excel!$A:$A,0)-1&amp;"")&lt;&gt;"",0)),
 "")),"")))</f>
        <v/>
      </c>
      <c r="DN65" s="87" t="str">
        <f t="array" aca="1" ref="DN65" ca="1">IF(DK65&lt;&gt;"",
IF(COUNTIF(DK64,"*雙葉*"),
IF(ROUND(
IF(DN70&lt;&gt;"",(DK67-DN70),DK67)
/IF(COUNTIF(DK65,"*キャラ*"),
VLOOKUP("*キャラ*",商品マスタ一覧!$D:$J,7,FALSE),
IF(COUNTIF(DK65,"*赤*"),
VLOOKUP("*赤*",商品マスタ一覧!$D:$J,7,FALSE),
VLOOKUP(DK65,商品マスタ一覧!$D:$J,7,FALSE))),0)&lt;=0,1,
ROUND(
IF(DN70&lt;&gt;"",(DK67-DN70),DK67)
/IF(COUNTIF(DK65,"*キャラ*"),
VLOOKUP("*キャラ*",商品マスタ一覧!$D:$J,7,FALSE),
IF(COUNTIF(DK65,"*赤*"),
VLOOKUP("*赤*",商品マスタ一覧!$D:$J,7,FALSE),
VLOOKUP(DK65,商品マスタ一覧!$D:$J,7,FALSE))),0)),
IF(MATCH(TRUE,
ISNUMBER(--INDIRECT("'数出表_Excel（アレルギー入力）'!B"&amp;MATCH(DO22,'数出表_Excel（アレルギー入力）'!$A:$A,0)-1&amp;":AL"&amp;MATCH(DO22,'数出表_Excel（アレルギー入力）'!$A:$A,0)-1&amp;"")),0)&gt;10,
IF(DK65&lt;&gt;"",
IF(IF(COUNTIF(DK65,"*キャラ*"),
VLOOKUP("*キャラ*",商品マスタ一覧!$D:$J,7,FALSE),
IF(COUNTIF(DK65,"*赤*"),
VLOOKUP("*赤*",商品マスタ一覧!$D:$J,7,FALSE),
VLOOKUP(DK65,商品マスタ一覧!$D:$J,7,FALSE)))=0,"",
IF(ROUND(
IF(DN70&lt;&gt;"",(DK67-DN70),DK67)
/IF(COUNTIF(DK65,"*キャラ*"),
VLOOKUP("*キャラ*",商品マスタ一覧!$D:$J,7,FALSE),
IF(COUNTIF(DK65,"*赤*"),
VLOOKUP("*赤*",商品マスタ一覧!$D:$J,7,FALSE),
VLOOKUP(DK65,商品マスタ一覧!$D:$J,7,FALSE))),0)&lt;=0,1,
ROUND(
IF(DN70&lt;&gt;"",(DK67-DN70),DK67)
/IF(COUNTIF(DK65,"*キャラ*"),
VLOOKUP("*キャラ*",商品マスタ一覧!$D:$J,7,FALSE),
IF(COUNTIF(DK65,"*赤*"),
VLOOKUP("*赤*",商品マスタ一覧!$D:$J,7,FALSE),
VLOOKUP(DK65,商品マスタ一覧!$D:$J,7,FALSE))),0))),""),"")),"")</f>
        <v/>
      </c>
      <c r="DO65" s="96" t="str">
        <f ca="1">IF(DN65&lt;&gt;"",IF(DK67&lt;&gt;"",IF(VALUE(IF(DN70&lt;&gt;"",DK67-DN70,DK67))&gt;VALUE(IF(COUNTIF('盛付札（関数）'!DK65,"*キャラ*"),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VLOOKUP('盛付札（関数）'!DK65,商品マスタ一覧!$D:$J,7,FALSE)))*DN65),
"+"&amp;IF(DN70&lt;&gt;"",DK67-DN70,DK67)-IF(COUNTIF('盛付札（関数）'!DK65,"*キャラ*"),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VLOOKUP('盛付札（関数）'!DK65,商品マスタ一覧!$D:$J,7,FALSE)))*DN65,
IF(DN70&lt;&gt;"",DK67-DN70,DK67)-IF(COUNTIF('盛付札（関数）'!DK65,"*キャラ*"),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VLOOKUP('盛付札（関数）'!DK65,商品マスタ一覧!$D:$J,7,FALSE)))*DN65),""),"")</f>
        <v/>
      </c>
      <c r="DP65" s="80"/>
      <c r="DQ65" s="80"/>
      <c r="DR65" s="85" t="e">
        <f t="array" aca="1" ref="DR65" ca="1">IF(DR24&lt;&gt;100,
IF(DS67&lt;&gt;"",MATCH(DS67,INDIRECT("数出表_Excel!B"&amp;MATCH(DW22,数出表_Excel!$A:$A,0)-1&amp;":U"&amp;MATCH(DW22,数出表_Excel!$A:$A,0)-1&amp;""),0)+1,""),
IF(DS67&lt;&gt;"",
MATCH(
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""),
INDIRECT("数出表_Excel!B"&amp;MATCH(DW22,数出表_Excel!$A:$A,0)-1&amp;":U"&amp;MATCH(DW22,数出表_Excel!$A:$A,0)-1&amp;""),0)+1,""))</f>
        <v>#N/A</v>
      </c>
      <c r="DS65" s="62" t="str">
        <f t="array" aca="1" ref="DS65" ca="1">IF(DS22=DZ57,"",IFERROR(IF(OR(
COUNTIF(INDIRECT("数出表_Excel!"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"3"),"*配膳*"),
COUNTIF(INDIRECT("数出表_Excel!"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"3"),"*カレー*"),
COUNTIF(DS22,"*合計*")),"",
IF(IFERROR(INDIRECT("数出表_Excel!"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"3"),0)=0,"",
IFERROR(INDIRECT("数出表_Excel!"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"3"),""))),""))</f>
        <v/>
      </c>
      <c r="DT65" s="80"/>
      <c r="DU65" s="86" t="str">
        <f t="array" aca="1" ref="DU65" ca="1">IF(DV65&lt;&gt;"","",
IF(COUNTIF(DS64,"*雙葉*"),"",
IF(DS64&lt;&gt;"",
IF(
(COLUMN(INDIRECT("数出表_Excel!B" &amp; (MATCH(DW22,数出表_Excel!$A:$A,0)-1))) - 1 +
MATCH(TRUE, ISNUMBER(--INDIRECT("数出表_Excel!B" &amp; (MATCH(DW22,数出表_Excel!$A:$A,0)-1) &amp; ":U" &amp; (MATCH(DW22,数出表_Excel!$A:$A,0)-1))), 0)+1
+MATCH(TRUE,INDIRECT("'数出表_Excel'!"&amp;DR64&amp;MATCH(DW22,数出表_Excel!$A:$A,0)-1&amp;":AL"&amp;MATCH(DW22,数出表_Excel!$A:$A,0)-1&amp;"")&lt;&gt;"",0))&gt;12,"",
IFERROR(
INDEX(INDIRECT("数出表_Excel!$"&amp;DR64&amp;"4:$AL4"),
 1,
MATCH(TRUE,INDIRECT("'数出表_Excel'!"&amp;DR64&amp;MATCH(DW22,数出表_Excel!$A:$A,0)-1&amp;":AL"&amp;MATCH(DW22,数出表_Excel!$A:$A,0)-1&amp;"")&lt;&gt;"",0)
),
 "")
&amp;IFERROR(
INDEX(INDIRECT("数出表_Excel!$"&amp;DR64&amp;"5:$AL5"),
 1,
MATCH(TRUE,INDIRECT("'数出表_Excel'!"&amp;DR64&amp;MATCH(DW22,数出表_Excel!$A:$A,0)-1&amp;":AL"&amp;MATCH(DW22,数出表_Excel!$A:$A,0)-1&amp;"")&lt;&gt;"",0)),
 "")),"")))</f>
        <v/>
      </c>
      <c r="DV65" s="87" t="str">
        <f t="array" aca="1" ref="DV65" ca="1">IF(DS65&lt;&gt;"",
IF(COUNTIF(DS64,"*雙葉*"),
IF(ROUND(
IF(DV70&lt;&gt;"",(DS67-DV70),DS67)
/IF(COUNTIF(DS65,"*キャラ*"),
VLOOKUP("*キャラ*",商品マスタ一覧!$D:$J,7,FALSE),
IF(COUNTIF(DS65,"*赤*"),
VLOOKUP("*赤*",商品マスタ一覧!$D:$J,7,FALSE),
VLOOKUP(DS65,商品マスタ一覧!$D:$J,7,FALSE))),0)&lt;=0,1,
ROUND(
IF(DV70&lt;&gt;"",(DS67-DV70),DS67)
/IF(COUNTIF(DS65,"*キャラ*"),
VLOOKUP("*キャラ*",商品マスタ一覧!$D:$J,7,FALSE),
IF(COUNTIF(DS65,"*赤*"),
VLOOKUP("*赤*",商品マスタ一覧!$D:$J,7,FALSE),
VLOOKUP(DS65,商品マスタ一覧!$D:$J,7,FALSE))),0)),
IF(MATCH(TRUE,
ISNUMBER(--INDIRECT("'数出表_Excel（アレルギー入力）'!B"&amp;MATCH(DW22,'数出表_Excel（アレルギー入力）'!$A:$A,0)-1&amp;":AL"&amp;MATCH(DW22,'数出表_Excel（アレルギー入力）'!$A:$A,0)-1&amp;"")),0)&gt;10,
IF(DS65&lt;&gt;"",
IF(IF(COUNTIF(DS65,"*キャラ*"),
VLOOKUP("*キャラ*",商品マスタ一覧!$D:$J,7,FALSE),
IF(COUNTIF(DS65,"*赤*"),
VLOOKUP("*赤*",商品マスタ一覧!$D:$J,7,FALSE),
VLOOKUP(DS65,商品マスタ一覧!$D:$J,7,FALSE)))=0,"",
IF(ROUND(
IF(DV70&lt;&gt;"",(DS67-DV70),DS67)
/IF(COUNTIF(DS65,"*キャラ*"),
VLOOKUP("*キャラ*",商品マスタ一覧!$D:$J,7,FALSE),
IF(COUNTIF(DS65,"*赤*"),
VLOOKUP("*赤*",商品マスタ一覧!$D:$J,7,FALSE),
VLOOKUP(DS65,商品マスタ一覧!$D:$J,7,FALSE))),0)&lt;=0,1,
ROUND(
IF(DV70&lt;&gt;"",(DS67-DV70),DS67)
/IF(COUNTIF(DS65,"*キャラ*"),
VLOOKUP("*キャラ*",商品マスタ一覧!$D:$J,7,FALSE),
IF(COUNTIF(DS65,"*赤*"),
VLOOKUP("*赤*",商品マスタ一覧!$D:$J,7,FALSE),
VLOOKUP(DS65,商品マスタ一覧!$D:$J,7,FALSE))),0))),""),"")),"")</f>
        <v/>
      </c>
      <c r="DW65" s="100" t="str">
        <f ca="1">IF(DV65&lt;&gt;"",IF(DS67&lt;&gt;"",IF(VALUE(IF(DV70&lt;&gt;"",DS67-DV70,DS67))&gt;VALUE(IF(COUNTIF('盛付札（関数）'!DS65,"*キャラ*"),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VLOOKUP('盛付札（関数）'!DS65,商品マスタ一覧!$D:$J,7,FALSE)))*DV65),
"+"&amp;IF(DV70&lt;&gt;"",DS67-DV70,DS67)-IF(COUNTIF('盛付札（関数）'!DS65,"*キャラ*"),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VLOOKUP('盛付札（関数）'!DS65,商品マスタ一覧!$D:$J,7,FALSE)))*DV65,
IF(DV70&lt;&gt;"",DS67-DV70,DS67)-IF(COUNTIF('盛付札（関数）'!DS65,"*キャラ*"),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VLOOKUP('盛付札（関数）'!DS65,商品マスタ一覧!$D:$J,7,FALSE)))*DV65),""),"")</f>
        <v/>
      </c>
      <c r="DX65" s="80"/>
      <c r="DY65" s="85" t="e">
        <f t="array" aca="1" ref="DY65" ca="1">IF(DY24&lt;&gt;100,
IF(DZ67&lt;&gt;"",MATCH(DZ67,INDIRECT("数出表_Excel!B"&amp;MATCH(ED22,数出表_Excel!$A:$A,0)-1&amp;":U"&amp;MATCH(ED22,数出表_Excel!$A:$A,0)-1&amp;""),0)+1,""),
IF(DZ67&lt;&gt;"",
MATCH(
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""),
INDIRECT("数出表_Excel!B"&amp;MATCH(ED22,数出表_Excel!$A:$A,0)-1&amp;":U"&amp;MATCH(ED22,数出表_Excel!$A:$A,0)-1&amp;""),0)+1,""))</f>
        <v>#N/A</v>
      </c>
      <c r="DZ65" s="62" t="str">
        <f t="array" aca="1" ref="DZ65" ca="1">IF(DZ22=DS64,"",IFERROR(IF(OR(
COUNTIF(INDIRECT("数出表_Excel!"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"3"),"*配膳*"),
COUNTIF(INDIRECT("数出表_Excel!"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"3"),"*カレー*"),
COUNTIF(DZ22,"*合計*")),"",
IF(IFERROR(INDIRECT("数出表_Excel!"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"3"),0)=0,"",
IFERROR(INDIRECT("数出表_Excel!"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"3"),""))),""))</f>
        <v/>
      </c>
      <c r="EA65" s="80"/>
      <c r="EB65" s="86" t="str">
        <f t="array" aca="1" ref="EB65" ca="1">IF(EC65&lt;&gt;"","",
IF(COUNTIF(DZ64,"*雙葉*"),"",
IF(DZ64&lt;&gt;"",
IF(
(COLUMN(INDIRECT("数出表_Excel!B" &amp; (MATCH(ED22,数出表_Excel!$A:$A,0)-1))) - 1 +
MATCH(TRUE, ISNUMBER(--INDIRECT("数出表_Excel!B" &amp; (MATCH(ED22,数出表_Excel!$A:$A,0)-1) &amp; ":U" &amp; (MATCH(ED22,数出表_Excel!$A:$A,0)-1))), 0)+1
+MATCH(TRUE,INDIRECT("'数出表_Excel'!"&amp;DY64&amp;MATCH(ED22,数出表_Excel!$A:$A,0)-1&amp;":AL"&amp;MATCH(ED22,数出表_Excel!$A:$A,0)-1&amp;"")&lt;&gt;"",0))&gt;12,"",
IFERROR(
INDEX(INDIRECT("数出表_Excel!$"&amp;DY64&amp;"4:$AL4"),
 1,
MATCH(TRUE,INDIRECT("'数出表_Excel'!"&amp;DY64&amp;MATCH(ED22,数出表_Excel!$A:$A,0)-1&amp;":AL"&amp;MATCH(ED22,数出表_Excel!$A:$A,0)-1&amp;"")&lt;&gt;"",0)
),
 "")
&amp;IFERROR(
INDEX(INDIRECT("数出表_Excel!$"&amp;DY64&amp;"5:$AL5"),
 1,
MATCH(TRUE,INDIRECT("'数出表_Excel'!"&amp;DY64&amp;MATCH(ED22,数出表_Excel!$A:$A,0)-1&amp;":AL"&amp;MATCH(ED22,数出表_Excel!$A:$A,0)-1&amp;"")&lt;&gt;"",0)),
 "")),"")))</f>
        <v/>
      </c>
      <c r="EC65" s="87" t="str">
        <f t="array" aca="1" ref="EC65" ca="1">IF(DZ65&lt;&gt;"",
IF(COUNTIF(DZ64,"*雙葉*"),
IF(ROUND(
IF(EC70&lt;&gt;"",(DZ67-EC70),DZ67)
/IF(COUNTIF(DZ65,"*キャラ*"),
VLOOKUP("*キャラ*",商品マスタ一覧!$D:$J,7,FALSE),
IF(COUNTIF(DZ65,"*赤*"),
VLOOKUP("*赤*",商品マスタ一覧!$D:$J,7,FALSE),
VLOOKUP(DZ65,商品マスタ一覧!$D:$J,7,FALSE))),0)&lt;=0,1,
ROUND(
IF(EC70&lt;&gt;"",(DZ67-EC70),DZ67)
/IF(COUNTIF(DZ65,"*キャラ*"),
VLOOKUP("*キャラ*",商品マスタ一覧!$D:$J,7,FALSE),
IF(COUNTIF(DZ65,"*赤*"),
VLOOKUP("*赤*",商品マスタ一覧!$D:$J,7,FALSE),
VLOOKUP(DZ65,商品マスタ一覧!$D:$J,7,FALSE))),0)),
IF(MATCH(TRUE,
ISNUMBER(--INDIRECT("'数出表_Excel（アレルギー入力）'!B"&amp;MATCH(ED22,'数出表_Excel（アレルギー入力）'!$A:$A,0)-1&amp;":AL"&amp;MATCH(ED22,'数出表_Excel（アレルギー入力）'!$A:$A,0)-1&amp;"")),0)&gt;10,
IF(DZ65&lt;&gt;"",
IF(IF(COUNTIF(DZ65,"*キャラ*"),
VLOOKUP("*キャラ*",商品マスタ一覧!$D:$J,7,FALSE),
IF(COUNTIF(DZ65,"*赤*"),
VLOOKUP("*赤*",商品マスタ一覧!$D:$J,7,FALSE),
VLOOKUP(DZ65,商品マスタ一覧!$D:$J,7,FALSE)))=0,"",
IF(ROUND(
IF(EC70&lt;&gt;"",(DZ67-EC70),DZ67)
/IF(COUNTIF(DZ65,"*キャラ*"),
VLOOKUP("*キャラ*",商品マスタ一覧!$D:$J,7,FALSE),
IF(COUNTIF(DZ65,"*赤*"),
VLOOKUP("*赤*",商品マスタ一覧!$D:$J,7,FALSE),
VLOOKUP(DZ65,商品マスタ一覧!$D:$J,7,FALSE))),0)&lt;=0,1,
ROUND(
IF(EC70&lt;&gt;"",(DZ67-EC70),DZ67)
/IF(COUNTIF(DZ65,"*キャラ*"),
VLOOKUP("*キャラ*",商品マスタ一覧!$D:$J,7,FALSE),
IF(COUNTIF(DZ65,"*赤*"),
VLOOKUP("*赤*",商品マスタ一覧!$D:$J,7,FALSE),
VLOOKUP(DZ65,商品マスタ一覧!$D:$J,7,FALSE))),0))),""),"")),"")</f>
        <v/>
      </c>
      <c r="ED65" s="96" t="str">
        <f ca="1">IF(EC65&lt;&gt;"",IF(DZ67&lt;&gt;"",IF(VALUE(IF(EC70&lt;&gt;"",DZ67-EC70,DZ67))&gt;VALUE(IF(COUNTIF('盛付札（関数）'!DZ65,"*キャラ*"),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VLOOKUP('盛付札（関数）'!DZ65,商品マスタ一覧!$D:$J,7,FALSE)))*EC65),
"+"&amp;IF(EC70&lt;&gt;"",DZ67-EC70,DZ67)-IF(COUNTIF('盛付札（関数）'!DZ65,"*キャラ*"),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VLOOKUP('盛付札（関数）'!DZ65,商品マスタ一覧!$D:$J,7,FALSE)))*EC65,
IF(EC70&lt;&gt;"",DZ67-EC70,DZ67)-IF(COUNTIF('盛付札（関数）'!DZ65,"*キャラ*"),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VLOOKUP('盛付札（関数）'!DZ65,商品マスタ一覧!$D:$J,7,FALSE)))*EC65),""),"")</f>
        <v/>
      </c>
      <c r="EE65" s="80"/>
      <c r="EF65" s="80"/>
      <c r="EG65" s="85" t="e">
        <f t="array" aca="1" ref="EG65" ca="1">IF(EG24&lt;&gt;100,
IF(EH67&lt;&gt;"",MATCH(EH67,INDIRECT("数出表_Excel!B"&amp;MATCH(EL22,数出表_Excel!$A:$A,0)-1&amp;":U"&amp;MATCH(EL22,数出表_Excel!$A:$A,0)-1&amp;""),0)+1,""),
IF(EH67&lt;&gt;"",
MATCH(
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""),
INDIRECT("数出表_Excel!B"&amp;MATCH(EL22,数出表_Excel!$A:$A,0)-1&amp;":U"&amp;MATCH(EL22,数出表_Excel!$A:$A,0)-1&amp;""),0)+1,""))</f>
        <v>#N/A</v>
      </c>
      <c r="EH65" s="62" t="str">
        <f t="array" aca="1" ref="EH65" ca="1">IF(EH22=EO57,"",IFERROR(IF(OR(
COUNTIF(INDIRECT("数出表_Excel!"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"3"),"*配膳*"),
COUNTIF(INDIRECT("数出表_Excel!"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"3"),"*カレー*"),
COUNTIF(EH22,"*合計*")),"",
IF(IFERROR(INDIRECT("数出表_Excel!"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"3"),0)=0,"",
IFERROR(INDIRECT("数出表_Excel!"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"3"),""))),""))</f>
        <v/>
      </c>
      <c r="EI65" s="80"/>
      <c r="EJ65" s="86" t="str">
        <f t="array" aca="1" ref="EJ65" ca="1">IF(EK65&lt;&gt;"","",
IF(COUNTIF(EH64,"*雙葉*"),"",
IF(EH64&lt;&gt;"",
IF(
(COLUMN(INDIRECT("数出表_Excel!B" &amp; (MATCH(EL22,数出表_Excel!$A:$A,0)-1))) - 1 +
MATCH(TRUE, ISNUMBER(--INDIRECT("数出表_Excel!B" &amp; (MATCH(EL22,数出表_Excel!$A:$A,0)-1) &amp; ":U" &amp; (MATCH(EL22,数出表_Excel!$A:$A,0)-1))), 0)+1
+MATCH(TRUE,INDIRECT("'数出表_Excel'!"&amp;EG64&amp;MATCH(EL22,数出表_Excel!$A:$A,0)-1&amp;":AL"&amp;MATCH(EL22,数出表_Excel!$A:$A,0)-1&amp;"")&lt;&gt;"",0))&gt;12,"",
IFERROR(
INDEX(INDIRECT("数出表_Excel!$"&amp;EG64&amp;"4:$AL4"),
 1,
MATCH(TRUE,INDIRECT("'数出表_Excel'!"&amp;EG64&amp;MATCH(EL22,数出表_Excel!$A:$A,0)-1&amp;":AL"&amp;MATCH(EL22,数出表_Excel!$A:$A,0)-1&amp;"")&lt;&gt;"",0)
),
 "")
&amp;IFERROR(
INDEX(INDIRECT("数出表_Excel!$"&amp;EG64&amp;"5:$AL5"),
 1,
MATCH(TRUE,INDIRECT("'数出表_Excel'!"&amp;EG64&amp;MATCH(EL22,数出表_Excel!$A:$A,0)-1&amp;":AL"&amp;MATCH(EL22,数出表_Excel!$A:$A,0)-1&amp;"")&lt;&gt;"",0)),
 "")),"")))</f>
        <v/>
      </c>
      <c r="EK65" s="87" t="str">
        <f t="array" aca="1" ref="EK65" ca="1">IF(EH65&lt;&gt;"",
IF(COUNTIF(EH64,"*雙葉*"),
IF(ROUND(
IF(EK70&lt;&gt;"",(EH67-EK70),EH67)
/IF(COUNTIF(EH65,"*キャラ*"),
VLOOKUP("*キャラ*",商品マスタ一覧!$D:$J,7,FALSE),
IF(COUNTIF(EH65,"*赤*"),
VLOOKUP("*赤*",商品マスタ一覧!$D:$J,7,FALSE),
VLOOKUP(EH65,商品マスタ一覧!$D:$J,7,FALSE))),0)&lt;=0,1,
ROUND(
IF(EK70&lt;&gt;"",(EH67-EK70),EH67)
/IF(COUNTIF(EH65,"*キャラ*"),
VLOOKUP("*キャラ*",商品マスタ一覧!$D:$J,7,FALSE),
IF(COUNTIF(EH65,"*赤*"),
VLOOKUP("*赤*",商品マスタ一覧!$D:$J,7,FALSE),
VLOOKUP(EH65,商品マスタ一覧!$D:$J,7,FALSE))),0)),
IF(MATCH(TRUE,
ISNUMBER(--INDIRECT("'数出表_Excel（アレルギー入力）'!B"&amp;MATCH(EL22,'数出表_Excel（アレルギー入力）'!$A:$A,0)-1&amp;":AL"&amp;MATCH(EL22,'数出表_Excel（アレルギー入力）'!$A:$A,0)-1&amp;"")),0)&gt;10,
IF(EH65&lt;&gt;"",
IF(IF(COUNTIF(EH65,"*キャラ*"),
VLOOKUP("*キャラ*",商品マスタ一覧!$D:$J,7,FALSE),
IF(COUNTIF(EH65,"*赤*"),
VLOOKUP("*赤*",商品マスタ一覧!$D:$J,7,FALSE),
VLOOKUP(EH65,商品マスタ一覧!$D:$J,7,FALSE)))=0,"",
IF(ROUND(
IF(EK70&lt;&gt;"",(EH67-EK70),EH67)
/IF(COUNTIF(EH65,"*キャラ*"),
VLOOKUP("*キャラ*",商品マスタ一覧!$D:$J,7,FALSE),
IF(COUNTIF(EH65,"*赤*"),
VLOOKUP("*赤*",商品マスタ一覧!$D:$J,7,FALSE),
VLOOKUP(EH65,商品マスタ一覧!$D:$J,7,FALSE))),0)&lt;=0,1,
ROUND(
IF(EK70&lt;&gt;"",(EH67-EK70),EH67)
/IF(COUNTIF(EH65,"*キャラ*"),
VLOOKUP("*キャラ*",商品マスタ一覧!$D:$J,7,FALSE),
IF(COUNTIF(EH65,"*赤*"),
VLOOKUP("*赤*",商品マスタ一覧!$D:$J,7,FALSE),
VLOOKUP(EH65,商品マスタ一覧!$D:$J,7,FALSE))),0))),""),"")),"")</f>
        <v/>
      </c>
      <c r="EL65" s="100" t="str">
        <f ca="1">IF(EK65&lt;&gt;"",IF(EH67&lt;&gt;"",IF(VALUE(IF(EK70&lt;&gt;"",EH67-EK70,EH67))&gt;VALUE(IF(COUNTIF('盛付札（関数）'!EH65,"*キャラ*"),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VLOOKUP('盛付札（関数）'!EH65,商品マスタ一覧!$D:$J,7,FALSE)))*EK65),
"+"&amp;IF(EK70&lt;&gt;"",EH67-EK70,EH67)-IF(COUNTIF('盛付札（関数）'!EH65,"*キャラ*"),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VLOOKUP('盛付札（関数）'!EH65,商品マスタ一覧!$D:$J,7,FALSE)))*EK65,
IF(EK70&lt;&gt;"",EH67-EK70,EH67)-IF(COUNTIF('盛付札（関数）'!EH65,"*キャラ*"),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VLOOKUP('盛付札（関数）'!EH65,商品マスタ一覧!$D:$J,7,FALSE)))*EK65),""),"")</f>
        <v/>
      </c>
      <c r="EM65" s="80"/>
      <c r="EN65" s="85" t="e">
        <f t="array" aca="1" ref="EN65" ca="1">IF(EN24&lt;&gt;100,
IF(EO67&lt;&gt;"",MATCH(EO67,INDIRECT("数出表_Excel!B"&amp;MATCH(ES22,数出表_Excel!$A:$A,0)-1&amp;":U"&amp;MATCH(ES22,数出表_Excel!$A:$A,0)-1&amp;""),0)+1,""),
IF(EO67&lt;&gt;"",
MATCH(
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""),
INDIRECT("数出表_Excel!B"&amp;MATCH(ES22,数出表_Excel!$A:$A,0)-1&amp;":U"&amp;MATCH(ES22,数出表_Excel!$A:$A,0)-1&amp;""),0)+1,""))</f>
        <v>#N/A</v>
      </c>
      <c r="EO65" s="62" t="str">
        <f t="array" aca="1" ref="EO65" ca="1">IF(EO22=EH64,"",IFERROR(IF(OR(
COUNTIF(INDIRECT("数出表_Excel!"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"3"),"*配膳*"),
COUNTIF(INDIRECT("数出表_Excel!"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"3"),"*カレー*"),
COUNTIF(EO22,"*合計*")),"",
IF(IFERROR(INDIRECT("数出表_Excel!"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"3"),0)=0,"",
IFERROR(INDIRECT("数出表_Excel!"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"3"),""))),""))</f>
        <v/>
      </c>
      <c r="EP65" s="80"/>
      <c r="EQ65" s="86" t="str">
        <f t="array" aca="1" ref="EQ65" ca="1">IF(ER65&lt;&gt;"","",
IF(COUNTIF(EO64,"*雙葉*"),"",
IF(EO64&lt;&gt;"",
IF(
(COLUMN(INDIRECT("数出表_Excel!B" &amp; (MATCH(ES22,数出表_Excel!$A:$A,0)-1))) - 1 +
MATCH(TRUE, ISNUMBER(--INDIRECT("数出表_Excel!B" &amp; (MATCH(ES22,数出表_Excel!$A:$A,0)-1) &amp; ":U" &amp; (MATCH(ES22,数出表_Excel!$A:$A,0)-1))), 0)+1
+MATCH(TRUE,INDIRECT("'数出表_Excel'!"&amp;EN64&amp;MATCH(ES22,数出表_Excel!$A:$A,0)-1&amp;":AL"&amp;MATCH(ES22,数出表_Excel!$A:$A,0)-1&amp;"")&lt;&gt;"",0))&gt;12,"",
IFERROR(
INDEX(INDIRECT("数出表_Excel!$"&amp;EN64&amp;"4:$AL4"),
 1,
MATCH(TRUE,INDIRECT("'数出表_Excel'!"&amp;EN64&amp;MATCH(ES22,数出表_Excel!$A:$A,0)-1&amp;":AL"&amp;MATCH(ES22,数出表_Excel!$A:$A,0)-1&amp;"")&lt;&gt;"",0)
),
 "")
&amp;IFERROR(
INDEX(INDIRECT("数出表_Excel!$"&amp;EN64&amp;"5:$AL5"),
 1,
MATCH(TRUE,INDIRECT("'数出表_Excel'!"&amp;EN64&amp;MATCH(ES22,数出表_Excel!$A:$A,0)-1&amp;":AL"&amp;MATCH(ES22,数出表_Excel!$A:$A,0)-1&amp;"")&lt;&gt;"",0)),
 "")),"")))</f>
        <v/>
      </c>
      <c r="ER65" s="87" t="str">
        <f t="array" aca="1" ref="ER65" ca="1">IF(EO65&lt;&gt;"",
IF(COUNTIF(EO64,"*雙葉*"),
IF(ROUND(
IF(ER70&lt;&gt;"",(EO67-ER70),EO67)
/IF(COUNTIF(EO65,"*キャラ*"),
VLOOKUP("*キャラ*",商品マスタ一覧!$D:$J,7,FALSE),
IF(COUNTIF(EO65,"*赤*"),
VLOOKUP("*赤*",商品マスタ一覧!$D:$J,7,FALSE),
VLOOKUP(EO65,商品マスタ一覧!$D:$J,7,FALSE))),0)&lt;=0,1,
ROUND(
IF(ER70&lt;&gt;"",(EO67-ER70),EO67)
/IF(COUNTIF(EO65,"*キャラ*"),
VLOOKUP("*キャラ*",商品マスタ一覧!$D:$J,7,FALSE),
IF(COUNTIF(EO65,"*赤*"),
VLOOKUP("*赤*",商品マスタ一覧!$D:$J,7,FALSE),
VLOOKUP(EO65,商品マスタ一覧!$D:$J,7,FALSE))),0)),
IF(MATCH(TRUE,
ISNUMBER(--INDIRECT("'数出表_Excel（アレルギー入力）'!B"&amp;MATCH(ES22,'数出表_Excel（アレルギー入力）'!$A:$A,0)-1&amp;":AL"&amp;MATCH(ES22,'数出表_Excel（アレルギー入力）'!$A:$A,0)-1&amp;"")),0)&gt;10,
IF(EO65&lt;&gt;"",
IF(IF(COUNTIF(EO65,"*キャラ*"),
VLOOKUP("*キャラ*",商品マスタ一覧!$D:$J,7,FALSE),
IF(COUNTIF(EO65,"*赤*"),
VLOOKUP("*赤*",商品マスタ一覧!$D:$J,7,FALSE),
VLOOKUP(EO65,商品マスタ一覧!$D:$J,7,FALSE)))=0,"",
IF(ROUND(
IF(ER70&lt;&gt;"",(EO67-ER70),EO67)
/IF(COUNTIF(EO65,"*キャラ*"),
VLOOKUP("*キャラ*",商品マスタ一覧!$D:$J,7,FALSE),
IF(COUNTIF(EO65,"*赤*"),
VLOOKUP("*赤*",商品マスタ一覧!$D:$J,7,FALSE),
VLOOKUP(EO65,商品マスタ一覧!$D:$J,7,FALSE))),0)&lt;=0,1,
ROUND(
IF(ER70&lt;&gt;"",(EO67-ER70),EO67)
/IF(COUNTIF(EO65,"*キャラ*"),
VLOOKUP("*キャラ*",商品マスタ一覧!$D:$J,7,FALSE),
IF(COUNTIF(EO65,"*赤*"),
VLOOKUP("*赤*",商品マスタ一覧!$D:$J,7,FALSE),
VLOOKUP(EO65,商品マスタ一覧!$D:$J,7,FALSE))),0))),""),"")),"")</f>
        <v/>
      </c>
      <c r="ES65" s="96" t="str">
        <f ca="1">IF(ER65&lt;&gt;"",IF(EO67&lt;&gt;"",IF(VALUE(IF(ER70&lt;&gt;"",EO67-ER70,EO67))&gt;VALUE(IF(COUNTIF('盛付札（関数）'!EO65,"*キャラ*"),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VLOOKUP('盛付札（関数）'!EO65,商品マスタ一覧!$D:$J,7,FALSE)))*ER65),
"+"&amp;IF(ER70&lt;&gt;"",EO67-ER70,EO67)-IF(COUNTIF('盛付札（関数）'!EO65,"*キャラ*"),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VLOOKUP('盛付札（関数）'!EO65,商品マスタ一覧!$D:$J,7,FALSE)))*ER65,
IF(ER70&lt;&gt;"",EO67-ER70,EO67)-IF(COUNTIF('盛付札（関数）'!EO65,"*キャラ*"),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VLOOKUP('盛付札（関数）'!EO65,商品マスタ一覧!$D:$J,7,FALSE)))*ER65),""),"")</f>
        <v/>
      </c>
      <c r="ET65" s="111"/>
      <c r="EU65" s="82">
        <f t="shared" si="4"/>
        <v>28</v>
      </c>
      <c r="EV65" s="82" t="str">
        <f t="array" aca="1" ref="EV65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LEN(SUBSTITUTE(_xlfn.FORMULATEXT(EV$49),"=","")))+$EU65)</f>
        <v/>
      </c>
      <c r="EW65" s="82" t="str">
        <f t="array" aca="1" ref="EW65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LEN(SUBSTITUTE(_xlfn.FORMULATEXT(EW$49),"=","")))+$EU65)</f>
        <v/>
      </c>
      <c r="EX65" s="82" t="str">
        <f t="array" aca="1" ref="EX65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LEN(SUBSTITUTE(_xlfn.FORMULATEXT(EX$49),"=","")))+$EU65)</f>
        <v/>
      </c>
      <c r="EY65" s="82" t="str">
        <f t="array" aca="1" ref="EY65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LEN(SUBSTITUTE(_xlfn.FORMULATEXT(EY$49),"=","")))+$EU65)</f>
        <v/>
      </c>
      <c r="EZ65" s="82" t="str">
        <f t="array" aca="1" ref="EZ65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LEN(SUBSTITUTE(_xlfn.FORMULATEXT(EZ$49),"=","")))+$EU65)</f>
        <v/>
      </c>
      <c r="FA65" s="82" t="e">
        <f t="array" aca="1" ref="FA65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LEN(SUBSTITUTE(_xlfn.FORMULATEXT(FA$49),"=","")))+$EU65)</f>
        <v>#VALUE!</v>
      </c>
      <c r="FB65" s="82" t="str">
        <f t="array" aca="1" ref="FB65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LEN(SUBSTITUTE(_xlfn.FORMULATEXT(FB$49),"=","")))+$EU65)</f>
        <v/>
      </c>
      <c r="FC65" s="82" t="str">
        <f t="array" aca="1" ref="FC65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LEN(SUBSTITUTE(_xlfn.FORMULATEXT(FC$49),"=","")))+$EU65)</f>
        <v/>
      </c>
      <c r="FD65" s="82" t="e">
        <f t="array" aca="1" ref="FD65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LEN(SUBSTITUTE(_xlfn.FORMULATEXT(FD$49),"=","")))+$EU65)</f>
        <v>#VALUE!</v>
      </c>
      <c r="FE65" s="82" t="str">
        <f t="array" aca="1" ref="FE65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LEN(SUBSTITUTE(_xlfn.FORMULATEXT(FE$49),"=","")))+$EU65)</f>
        <v/>
      </c>
      <c r="FF65" s="82" t="e">
        <f t="array" aca="1" ref="FF65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LEN(SUBSTITUTE(_xlfn.FORMULATEXT(FF$49),"=","")))+$EU65)</f>
        <v>#N/A</v>
      </c>
      <c r="FG65" s="82">
        <f t="shared" ref="FG65:FG96" ca="1" si="5">IF(COUNTIF(FH65,"TRUE"),ROW(),0)</f>
        <v>0</v>
      </c>
      <c r="FH65" s="82" t="e">
        <f t="array" aca="1" ref="FH65" ca="1">SUMPRODUCT((LEN(EV65:FF65)&gt;0)*1)&gt;0</f>
        <v>#VALUE!</v>
      </c>
      <c r="FI65" s="82" t="str">
        <f t="array" aca="1" ref="FI65" ca="1">IFERROR(SMALL(IF(FG$1:FG$173&lt;&gt;0,FG$1:FG$173),ROW(A65)),"")</f>
        <v/>
      </c>
      <c r="FJ65" s="82" t="str">
        <f t="array" aca="1" ref="FJ65" ca="1">IF($FI65&lt;&gt;"",
INDIRECT(""&amp;IF(COLUMN(EV65)&lt;=26,CHAR(COLUMN(EV65)+64),CHAR(INT((COLUMN(EV65)-1)/26)+64)&amp;CHAR(MOD(COLUMN(EV65)-1,26)+65))&amp;$FI65&amp;""),"")</f>
        <v/>
      </c>
      <c r="FK65" s="82" t="str">
        <f t="array" aca="1" ref="FK65" ca="1">IF($FI65&lt;&gt;"",
INDIRECT(""&amp;IF(COLUMN(EW65)&lt;=26,CHAR(COLUMN(EW65)+64),CHAR(INT((COLUMN(EW65)-1)/26)+64)&amp;CHAR(MOD(COLUMN(EW65)-1,26)+65))&amp;$FI65&amp;""),"")</f>
        <v/>
      </c>
      <c r="FL65" s="82" t="str">
        <f t="array" aca="1" ref="FL65" ca="1">IF($FI65&lt;&gt;"",
INDIRECT(""&amp;IF(COLUMN(EX65)&lt;=26,CHAR(COLUMN(EX65)+64),CHAR(INT((COLUMN(EX65)-1)/26)+64)&amp;CHAR(MOD(COLUMN(EX65)-1,26)+65))&amp;$FI65&amp;""),"")</f>
        <v/>
      </c>
      <c r="FM65" s="82" t="str">
        <f t="array" aca="1" ref="FM65" ca="1">IF($FI65&lt;&gt;"",
IF(FL65="",
IF(INDIRECT("EY"&amp;$FI65&amp;"")&lt;&gt;"",
INDIRECT("EY"&amp;$FI65&amp;"")&amp;"箱"
&amp;INDIRECT("EZ"&amp;$FI65&amp;""),""),""),"")</f>
        <v/>
      </c>
      <c r="FN65" s="82" t="str">
        <f t="array" aca="1" ref="FN65" ca="1">IF($FI65&lt;&gt;"",
INDIRECT(""&amp;IF(COLUMN(FA65)&lt;=26,CHAR(COLUMN(FA65)+64),CHAR(INT((COLUMN(FA65)-1)/26)+64)&amp;CHAR(MOD(COLUMN(FA65)-1,26)+65))&amp;$FI65&amp;""),"")</f>
        <v/>
      </c>
      <c r="FO65" s="82" t="str">
        <f t="array" aca="1" ref="FO65" ca="1">IF($FI65&lt;&gt;"",
INDIRECT(""&amp;IF(COLUMN(FB65)&lt;=26,CHAR(COLUMN(FB65)+64),CHAR(INT((COLUMN(FB65)-1)/26)+64)&amp;CHAR(MOD(COLUMN(FB65)-1,26)+65))&amp;$FI65&amp;""),"")</f>
        <v/>
      </c>
      <c r="FP65" s="82" t="str">
        <f t="array" aca="1" ref="FP65" ca="1">IF($FI65&lt;&gt;"",
INDIRECT(""&amp;IF(COLUMN(FC65)&lt;=26,CHAR(COLUMN(FC65)+64),CHAR(INT((COLUMN(FC65)-1)/26)+64)&amp;CHAR(MOD(COLUMN(FC65)-1,26)+65))&amp;$FI65&amp;""),"")</f>
        <v/>
      </c>
      <c r="FQ65" s="82" t="str">
        <f t="array" aca="1" ref="FQ65" ca="1">IF($FI65&lt;&gt;"",
INDIRECT(""&amp;IF(COLUMN(FD65)&lt;=26,CHAR(COLUMN(FD65)+64),CHAR(INT((COLUMN(FD65)-1)/26)+64)&amp;CHAR(MOD(COLUMN(FD65)-1,26)+65))&amp;$FI65&amp;""),"")</f>
        <v/>
      </c>
      <c r="FR65" s="82" t="str">
        <f t="array" aca="1" ref="FR65" ca="1">IF($FI65&lt;&gt;"",
INDIRECT(""&amp;IF(COLUMN(FE65)&lt;=26,CHAR(COLUMN(FE65)+64),CHAR(INT((COLUMN(FE65)-1)/26)+64)&amp;CHAR(MOD(COLUMN(FE65)-1,26)+65))&amp;$FI65&amp;""),"")</f>
        <v/>
      </c>
      <c r="FS65" s="82" t="str">
        <f t="array" aca="1" ref="FS65" ca="1">IF($FI65&lt;&gt;"",
INDIRECT(""&amp;IF(COLUMN(FF65)&lt;=26,CHAR(COLUMN(FF65)+64),CHAR(INT((COLUMN(FF65)-1)/26)+64)&amp;CHAR(MOD(COLUMN(FF65)-1,26)+65))&amp;$FI65&amp;""),"")</f>
        <v/>
      </c>
    </row>
    <row r="66" spans="1:175" s="82" customFormat="1" ht="22.2" customHeight="1" x14ac:dyDescent="0.55000000000000004">
      <c r="A66" s="80"/>
      <c r="B66" s="88" t="str">
        <f t="array" aca="1" ref="B66" ca="1">IF(C64&lt;&gt;"",SUBSTITUTE(ADDRESS(1,
(COLUMN(INDIRECT("数出表_Excel!"&amp;B64&amp;1&amp;""))-2 +
MATCH(TRUE, ISNUMBER(--INDIRECT("数出表_Excel!"&amp;B64&amp; (MATCH(G22,数出表_Excel!$A:$A,0)-1) &amp; ":U" &amp; (MATCH(G22,数出表_Excel!$A:$A,0)-1))), 0))
*2,4),"1",""),"")</f>
        <v/>
      </c>
      <c r="C66" s="189" t="str">
        <f ca="1">IF(C67&lt;&gt;"","園児","")</f>
        <v/>
      </c>
      <c r="D66" s="190"/>
      <c r="E66" s="193" t="str">
        <f ca="1">IF(C67&lt;&gt;"","先生","")</f>
        <v/>
      </c>
      <c r="F66" s="190"/>
      <c r="G66" s="101">
        <f t="array" aca="1" ref="G66" ca="1">IF(C64&lt;&gt;"",
IF(IFERROR(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"")&lt;&gt;0,
IF(IFERROR(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"")="",
0,
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"")),IFERROR(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"")),0)</f>
        <v>0</v>
      </c>
      <c r="H66" s="80"/>
      <c r="I66" s="88" t="str">
        <f t="array" aca="1" ref="I66" ca="1">IF(J64&lt;&gt;"",SUBSTITUTE(ADDRESS(1,
(COLUMN(INDIRECT("数出表_Excel!"&amp;I64&amp;1&amp;""))-2 +
MATCH(TRUE, ISNUMBER(--INDIRECT("数出表_Excel!"&amp;I64&amp; (MATCH(N22,数出表_Excel!$A:$A,0)-1) &amp; ":U" &amp; (MATCH(N22,数出表_Excel!$A:$A,0)-1))), 0))
*2,4),"1",""),"")</f>
        <v/>
      </c>
      <c r="J66" s="189" t="str">
        <f ca="1">IF(J67&lt;&gt;"","園児","")</f>
        <v/>
      </c>
      <c r="K66" s="190"/>
      <c r="L66" s="193" t="str">
        <f ca="1">IF(J67&lt;&gt;"","先生","")</f>
        <v/>
      </c>
      <c r="M66" s="190"/>
      <c r="N66" s="101">
        <f t="array" aca="1" ref="N66" ca="1">IF(J64&lt;&gt;"",
IF(IFERROR(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"")&lt;&gt;0,
IF(IFERROR(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"")="",
0,
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"")),IFERROR(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"")),0)</f>
        <v>0</v>
      </c>
      <c r="O66" s="80"/>
      <c r="P66" s="80"/>
      <c r="Q66" s="88" t="str">
        <f t="array" aca="1" ref="Q66" ca="1">IF(R64&lt;&gt;"",SUBSTITUTE(ADDRESS(1,
(COLUMN(INDIRECT("数出表_Excel!"&amp;Q64&amp;1&amp;""))-2 +
MATCH(TRUE, ISNUMBER(--INDIRECT("数出表_Excel!"&amp;Q64&amp; (MATCH(V22,数出表_Excel!$A:$A,0)-1) &amp; ":U" &amp; (MATCH(V22,数出表_Excel!$A:$A,0)-1))), 0))
*2,4),"1",""),"")</f>
        <v/>
      </c>
      <c r="R66" s="189" t="str">
        <f ca="1">IF(R67&lt;&gt;"","園児","")</f>
        <v/>
      </c>
      <c r="S66" s="190"/>
      <c r="T66" s="193" t="str">
        <f ca="1">IF(R67&lt;&gt;"","先生","")</f>
        <v/>
      </c>
      <c r="U66" s="190"/>
      <c r="V66" s="101">
        <f t="array" aca="1" ref="V66" ca="1">IF(R64&lt;&gt;"",
IF(IFERROR(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"")&lt;&gt;0,
IF(IFERROR(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"")="",
0,
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"")),IFERROR(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"")),0)</f>
        <v>0</v>
      </c>
      <c r="W66" s="80"/>
      <c r="X66" s="88" t="str">
        <f t="array" aca="1" ref="X66" ca="1">IF(Y64&lt;&gt;"",SUBSTITUTE(ADDRESS(1,
(COLUMN(INDIRECT("数出表_Excel!"&amp;X64&amp;1&amp;""))-2 +
MATCH(TRUE, ISNUMBER(--INDIRECT("数出表_Excel!"&amp;X64&amp; (MATCH(AC22,数出表_Excel!$A:$A,0)-1) &amp; ":U" &amp; (MATCH(AC22,数出表_Excel!$A:$A,0)-1))), 0))
*2,4),"1",""),"")</f>
        <v/>
      </c>
      <c r="Y66" s="189" t="str">
        <f ca="1">IF(Y67&lt;&gt;"","園児","")</f>
        <v/>
      </c>
      <c r="Z66" s="190"/>
      <c r="AA66" s="193" t="str">
        <f ca="1">IF(Y67&lt;&gt;"","先生","")</f>
        <v/>
      </c>
      <c r="AB66" s="190"/>
      <c r="AC66" s="101">
        <f t="array" aca="1" ref="AC66" ca="1">IF(Y64&lt;&gt;"",
IF(IFERROR(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"")&lt;&gt;0,
IF(IFERROR(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"")="",
0,
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"")),IFERROR(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"")),0)</f>
        <v>0</v>
      </c>
      <c r="AD66" s="80"/>
      <c r="AE66" s="80"/>
      <c r="AF66" s="88" t="str">
        <f t="array" aca="1" ref="AF66" ca="1">IF(AG64&lt;&gt;"",SUBSTITUTE(ADDRESS(1,
(COLUMN(INDIRECT("数出表_Excel!"&amp;AF64&amp;1&amp;""))-2 +
MATCH(TRUE, ISNUMBER(--INDIRECT("数出表_Excel!"&amp;AF64&amp; (MATCH(AK22,数出表_Excel!$A:$A,0)-1) &amp; ":U" &amp; (MATCH(AK22,数出表_Excel!$A:$A,0)-1))), 0))
*2,4),"1",""),"")</f>
        <v/>
      </c>
      <c r="AG66" s="189" t="str">
        <f ca="1">IF(AG67&lt;&gt;"","園児","")</f>
        <v/>
      </c>
      <c r="AH66" s="190"/>
      <c r="AI66" s="193" t="str">
        <f ca="1">IF(AG67&lt;&gt;"","先生","")</f>
        <v/>
      </c>
      <c r="AJ66" s="190"/>
      <c r="AK66" s="101">
        <f t="array" aca="1" ref="AK66" ca="1">IF(AG64&lt;&gt;"",
IF(IFERROR(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"")&lt;&gt;0,
IF(IFERROR(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"")="",
0,
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"")),IFERROR(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"")),0)</f>
        <v>0</v>
      </c>
      <c r="AL66" s="80"/>
      <c r="AM66" s="88" t="str">
        <f t="array" aca="1" ref="AM66" ca="1">IF(AN64&lt;&gt;"",SUBSTITUTE(ADDRESS(1,
(COLUMN(INDIRECT("数出表_Excel!"&amp;AM64&amp;1&amp;""))-2 +
MATCH(TRUE, ISNUMBER(--INDIRECT("数出表_Excel!"&amp;AM64&amp; (MATCH(AR22,数出表_Excel!$A:$A,0)-1) &amp; ":U" &amp; (MATCH(AR22,数出表_Excel!$A:$A,0)-1))), 0))
*2,4),"1",""),"")</f>
        <v/>
      </c>
      <c r="AN66" s="189" t="str">
        <f ca="1">IF(AN67&lt;&gt;"","園児","")</f>
        <v/>
      </c>
      <c r="AO66" s="190"/>
      <c r="AP66" s="193" t="str">
        <f ca="1">IF(AN67&lt;&gt;"","先生","")</f>
        <v/>
      </c>
      <c r="AQ66" s="190"/>
      <c r="AR66" s="101">
        <f t="array" aca="1" ref="AR66" ca="1">IF(AN64&lt;&gt;"",
IF(IFERROR(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"")&lt;&gt;0,
IF(IFERROR(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"")="",
0,
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"")),IFERROR(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"")),0)</f>
        <v>0</v>
      </c>
      <c r="AS66" s="80"/>
      <c r="AT66" s="80"/>
      <c r="AU66" s="88" t="str">
        <f t="array" aca="1" ref="AU66" ca="1">IF(AV64&lt;&gt;"",SUBSTITUTE(ADDRESS(1,
(COLUMN(INDIRECT("数出表_Excel!"&amp;AU64&amp;1&amp;""))-2 +
MATCH(TRUE, ISNUMBER(--INDIRECT("数出表_Excel!"&amp;AU64&amp; (MATCH(AZ22,数出表_Excel!$A:$A,0)-1) &amp; ":U" &amp; (MATCH(AZ22,数出表_Excel!$A:$A,0)-1))), 0))
*2,4),"1",""),"")</f>
        <v/>
      </c>
      <c r="AV66" s="189" t="str">
        <f ca="1">IF(AV67&lt;&gt;"","園児","")</f>
        <v/>
      </c>
      <c r="AW66" s="190"/>
      <c r="AX66" s="193" t="str">
        <f ca="1">IF(AV67&lt;&gt;"","先生","")</f>
        <v/>
      </c>
      <c r="AY66" s="190"/>
      <c r="AZ66" s="101">
        <f t="array" aca="1" ref="AZ66" ca="1">IF(AV64&lt;&gt;"",
IF(IFERROR(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"")&lt;&gt;0,
IF(IFERROR(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"")="",
0,
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"")),IFERROR(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"")),0)</f>
        <v>0</v>
      </c>
      <c r="BA66" s="80"/>
      <c r="BB66" s="88" t="str">
        <f t="array" aca="1" ref="BB66" ca="1">IF(BC64&lt;&gt;"",SUBSTITUTE(ADDRESS(1,
(COLUMN(INDIRECT("数出表_Excel!"&amp;BB64&amp;1&amp;""))-2 +
MATCH(TRUE, ISNUMBER(--INDIRECT("数出表_Excel!"&amp;BB64&amp; (MATCH(BG22,数出表_Excel!$A:$A,0)-1) &amp; ":U" &amp; (MATCH(BG22,数出表_Excel!$A:$A,0)-1))), 0))
*2,4),"1",""),"")</f>
        <v/>
      </c>
      <c r="BC66" s="189" t="str">
        <f ca="1">IF(BC67&lt;&gt;"","園児","")</f>
        <v/>
      </c>
      <c r="BD66" s="190"/>
      <c r="BE66" s="193" t="str">
        <f ca="1">IF(BC67&lt;&gt;"","先生","")</f>
        <v/>
      </c>
      <c r="BF66" s="190"/>
      <c r="BG66" s="101">
        <f t="array" aca="1" ref="BG66" ca="1">IF(BC64&lt;&gt;"",
IF(IFERROR(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"")&lt;&gt;0,
IF(IFERROR(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"")="",
0,
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"")),IFERROR(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"")),0)</f>
        <v>0</v>
      </c>
      <c r="BH66" s="80"/>
      <c r="BI66" s="80"/>
      <c r="BJ66" s="88" t="str">
        <f t="array" aca="1" ref="BJ66" ca="1">IF(BK64&lt;&gt;"",SUBSTITUTE(ADDRESS(1,
(COLUMN(INDIRECT("数出表_Excel!"&amp;BJ64&amp;1&amp;""))-2 +
MATCH(TRUE, ISNUMBER(--INDIRECT("数出表_Excel!"&amp;BJ64&amp; (MATCH(BO22,数出表_Excel!$A:$A,0)-1) &amp; ":U" &amp; (MATCH(BO22,数出表_Excel!$A:$A,0)-1))), 0))
*2,4),"1",""),"")</f>
        <v/>
      </c>
      <c r="BK66" s="189" t="str">
        <f ca="1">IF(BK67&lt;&gt;"","園児","")</f>
        <v/>
      </c>
      <c r="BL66" s="190"/>
      <c r="BM66" s="193" t="str">
        <f ca="1">IF(BK67&lt;&gt;"","先生","")</f>
        <v/>
      </c>
      <c r="BN66" s="190"/>
      <c r="BO66" s="101">
        <f t="array" aca="1" ref="BO66" ca="1">IF(BK64&lt;&gt;"",
IF(IFERROR(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"")&lt;&gt;0,
IF(IFERROR(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"")="",
0,
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"")),IFERROR(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"")),0)</f>
        <v>0</v>
      </c>
      <c r="BP66" s="80"/>
      <c r="BQ66" s="88" t="str">
        <f t="array" aca="1" ref="BQ66" ca="1">IF(BR64&lt;&gt;"",SUBSTITUTE(ADDRESS(1,
(COLUMN(INDIRECT("数出表_Excel!"&amp;BQ64&amp;1&amp;""))-2 +
MATCH(TRUE, ISNUMBER(--INDIRECT("数出表_Excel!"&amp;BQ64&amp; (MATCH(BV22,数出表_Excel!$A:$A,0)-1) &amp; ":U" &amp; (MATCH(BV22,数出表_Excel!$A:$A,0)-1))), 0))
*2,4),"1",""),"")</f>
        <v/>
      </c>
      <c r="BR66" s="189" t="str">
        <f ca="1">IF(BR67&lt;&gt;"","園児","")</f>
        <v/>
      </c>
      <c r="BS66" s="190"/>
      <c r="BT66" s="193" t="str">
        <f ca="1">IF(BR67&lt;&gt;"","先生","")</f>
        <v/>
      </c>
      <c r="BU66" s="190"/>
      <c r="BV66" s="101">
        <f t="array" aca="1" ref="BV66" ca="1">IF(BR64&lt;&gt;"",
IF(IFERROR(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"")&lt;&gt;0,
IF(IFERROR(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"")="",
0,
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"")),IFERROR(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"")),0)</f>
        <v>0</v>
      </c>
      <c r="BW66" s="80"/>
      <c r="BX66" s="80"/>
      <c r="BY66" s="88" t="str">
        <f t="array" aca="1" ref="BY66" ca="1">IF(BZ64&lt;&gt;"",SUBSTITUTE(ADDRESS(1,
(COLUMN(INDIRECT("数出表_Excel!"&amp;BY64&amp;1&amp;""))-2 +
MATCH(TRUE, ISNUMBER(--INDIRECT("数出表_Excel!"&amp;BY64&amp; (MATCH(CD22,数出表_Excel!$A:$A,0)-1) &amp; ":U" &amp; (MATCH(CD22,数出表_Excel!$A:$A,0)-1))), 0))
*2,4),"1",""),"")</f>
        <v/>
      </c>
      <c r="BZ66" s="189" t="str">
        <f ca="1">IF(BZ67&lt;&gt;"","園児","")</f>
        <v/>
      </c>
      <c r="CA66" s="190"/>
      <c r="CB66" s="193" t="str">
        <f ca="1">IF(BZ67&lt;&gt;"","先生","")</f>
        <v/>
      </c>
      <c r="CC66" s="190"/>
      <c r="CD66" s="101">
        <f t="array" aca="1" ref="CD66" ca="1">IF(BZ64&lt;&gt;"",
IF(IFERROR(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"")&lt;&gt;0,
IF(IFERROR(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"")="",
0,
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"")),IFERROR(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"")),0)</f>
        <v>0</v>
      </c>
      <c r="CE66" s="80"/>
      <c r="CF66" s="88" t="str">
        <f t="array" aca="1" ref="CF66" ca="1">IF(CG64&lt;&gt;"",SUBSTITUTE(ADDRESS(1,
(COLUMN(INDIRECT("数出表_Excel!"&amp;CF64&amp;1&amp;""))-2 +
MATCH(TRUE, ISNUMBER(--INDIRECT("数出表_Excel!"&amp;CF64&amp; (MATCH(CK22,数出表_Excel!$A:$A,0)-1) &amp; ":U" &amp; (MATCH(CK22,数出表_Excel!$A:$A,0)-1))), 0))
*2,4),"1",""),"")</f>
        <v/>
      </c>
      <c r="CG66" s="189" t="str">
        <f ca="1">IF(CG67&lt;&gt;"","園児","")</f>
        <v/>
      </c>
      <c r="CH66" s="190"/>
      <c r="CI66" s="193" t="str">
        <f ca="1">IF(CG67&lt;&gt;"","先生","")</f>
        <v/>
      </c>
      <c r="CJ66" s="190"/>
      <c r="CK66" s="101">
        <f t="array" aca="1" ref="CK66" ca="1">IF(CG64&lt;&gt;"",
IF(IFERROR(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"")&lt;&gt;0,
IF(IFERROR(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"")="",
0,
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"")),IFERROR(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"")),0)</f>
        <v>0</v>
      </c>
      <c r="CL66" s="80"/>
      <c r="CM66" s="80"/>
      <c r="CN66" s="88" t="str">
        <f t="array" aca="1" ref="CN66" ca="1">IF(CO64&lt;&gt;"",SUBSTITUTE(ADDRESS(1,
(COLUMN(INDIRECT("数出表_Excel!"&amp;CN64&amp;1&amp;""))-2 +
MATCH(TRUE, ISNUMBER(--INDIRECT("数出表_Excel!"&amp;CN64&amp; (MATCH(CS22,数出表_Excel!$A:$A,0)-1) &amp; ":U" &amp; (MATCH(CS22,数出表_Excel!$A:$A,0)-1))), 0))
*2,4),"1",""),"")</f>
        <v/>
      </c>
      <c r="CO66" s="189" t="str">
        <f ca="1">IF(CO67&lt;&gt;"","園児","")</f>
        <v/>
      </c>
      <c r="CP66" s="190"/>
      <c r="CQ66" s="193" t="str">
        <f ca="1">IF(CO67&lt;&gt;"","先生","")</f>
        <v/>
      </c>
      <c r="CR66" s="190"/>
      <c r="CS66" s="101">
        <f t="array" aca="1" ref="CS66" ca="1">IF(CO64&lt;&gt;"",
IF(IFERROR(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"")&lt;&gt;0,
IF(IFERROR(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"")="",
0,
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"")),IFERROR(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"")),0)</f>
        <v>0</v>
      </c>
      <c r="CT66" s="80"/>
      <c r="CU66" s="88" t="str">
        <f t="array" aca="1" ref="CU66" ca="1">IF(CV64&lt;&gt;"",SUBSTITUTE(ADDRESS(1,
(COLUMN(INDIRECT("数出表_Excel!"&amp;CU64&amp;1&amp;""))-2 +
MATCH(TRUE, ISNUMBER(--INDIRECT("数出表_Excel!"&amp;CU64&amp; (MATCH(CZ22,数出表_Excel!$A:$A,0)-1) &amp; ":U" &amp; (MATCH(CZ22,数出表_Excel!$A:$A,0)-1))), 0))
*2,4),"1",""),"")</f>
        <v/>
      </c>
      <c r="CV66" s="189" t="str">
        <f ca="1">IF(CV67&lt;&gt;"","園児","")</f>
        <v/>
      </c>
      <c r="CW66" s="190"/>
      <c r="CX66" s="193" t="str">
        <f ca="1">IF(CV67&lt;&gt;"","先生","")</f>
        <v/>
      </c>
      <c r="CY66" s="190"/>
      <c r="CZ66" s="101">
        <f t="array" aca="1" ref="CZ66" ca="1">IF(CV64&lt;&gt;"",
IF(IFERROR(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"")&lt;&gt;0,
IF(IFERROR(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"")="",
0,
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"")),IFERROR(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"")),0)</f>
        <v>0</v>
      </c>
      <c r="DA66" s="80"/>
      <c r="DB66" s="80"/>
      <c r="DC66" s="88" t="str">
        <f t="array" aca="1" ref="DC66" ca="1">IF(DD64&lt;&gt;"",SUBSTITUTE(ADDRESS(1,
(COLUMN(INDIRECT("数出表_Excel!"&amp;DC64&amp;1&amp;""))-2 +
MATCH(TRUE, ISNUMBER(--INDIRECT("数出表_Excel!"&amp;DC64&amp; (MATCH(DH22,数出表_Excel!$A:$A,0)-1) &amp; ":U" &amp; (MATCH(DH22,数出表_Excel!$A:$A,0)-1))), 0))
*2,4),"1",""),"")</f>
        <v/>
      </c>
      <c r="DD66" s="189" t="str">
        <f ca="1">IF(DD67&lt;&gt;"","園児","")</f>
        <v/>
      </c>
      <c r="DE66" s="190"/>
      <c r="DF66" s="193" t="str">
        <f ca="1">IF(DD67&lt;&gt;"","先生","")</f>
        <v/>
      </c>
      <c r="DG66" s="190"/>
      <c r="DH66" s="101">
        <f t="array" aca="1" ref="DH66" ca="1">IF(DD64&lt;&gt;"",
IF(IFERROR(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"")&lt;&gt;0,
IF(IFERROR(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"")="",
0,
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"")),IFERROR(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"")),0)</f>
        <v>0</v>
      </c>
      <c r="DI66" s="80"/>
      <c r="DJ66" s="88" t="str">
        <f t="array" aca="1" ref="DJ66" ca="1">IF(DK64&lt;&gt;"",SUBSTITUTE(ADDRESS(1,
(COLUMN(INDIRECT("数出表_Excel!"&amp;DJ64&amp;1&amp;""))-2 +
MATCH(TRUE, ISNUMBER(--INDIRECT("数出表_Excel!"&amp;DJ64&amp; (MATCH(DO22,数出表_Excel!$A:$A,0)-1) &amp; ":U" &amp; (MATCH(DO22,数出表_Excel!$A:$A,0)-1))), 0))
*2,4),"1",""),"")</f>
        <v/>
      </c>
      <c r="DK66" s="189" t="str">
        <f ca="1">IF(DK67&lt;&gt;"","園児","")</f>
        <v/>
      </c>
      <c r="DL66" s="190"/>
      <c r="DM66" s="193" t="str">
        <f ca="1">IF(DK67&lt;&gt;"","先生","")</f>
        <v/>
      </c>
      <c r="DN66" s="190"/>
      <c r="DO66" s="101">
        <f t="array" aca="1" ref="DO66" ca="1">IF(DK64&lt;&gt;"",
IF(IFERROR(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"")&lt;&gt;0,
IF(IFERROR(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"")="",
0,
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"")),IFERROR(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"")),0)</f>
        <v>0</v>
      </c>
      <c r="DP66" s="80"/>
      <c r="DQ66" s="80"/>
      <c r="DR66" s="88" t="str">
        <f t="array" aca="1" ref="DR66" ca="1">IF(DS64&lt;&gt;"",SUBSTITUTE(ADDRESS(1,
(COLUMN(INDIRECT("数出表_Excel!"&amp;DR64&amp;1&amp;""))-2 +
MATCH(TRUE, ISNUMBER(--INDIRECT("数出表_Excel!"&amp;DR64&amp; (MATCH(DW22,数出表_Excel!$A:$A,0)-1) &amp; ":U" &amp; (MATCH(DW22,数出表_Excel!$A:$A,0)-1))), 0))
*2,4),"1",""),"")</f>
        <v/>
      </c>
      <c r="DS66" s="189" t="str">
        <f ca="1">IF(DS67&lt;&gt;"","園児","")</f>
        <v/>
      </c>
      <c r="DT66" s="190"/>
      <c r="DU66" s="193" t="str">
        <f ca="1">IF(DS67&lt;&gt;"","先生","")</f>
        <v/>
      </c>
      <c r="DV66" s="190"/>
      <c r="DW66" s="101">
        <f t="array" aca="1" ref="DW66" ca="1">IF(DS64&lt;&gt;"",
IF(IFERROR(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"")&lt;&gt;0,
IF(IFERROR(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"")="",
0,
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"")),IFERROR(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"")),0)</f>
        <v>0</v>
      </c>
      <c r="DX66" s="80"/>
      <c r="DY66" s="88" t="str">
        <f t="array" aca="1" ref="DY66" ca="1">IF(DZ64&lt;&gt;"",SUBSTITUTE(ADDRESS(1,
(COLUMN(INDIRECT("数出表_Excel!"&amp;DY64&amp;1&amp;""))-2 +
MATCH(TRUE, ISNUMBER(--INDIRECT("数出表_Excel!"&amp;DY64&amp; (MATCH(ED22,数出表_Excel!$A:$A,0)-1) &amp; ":U" &amp; (MATCH(ED22,数出表_Excel!$A:$A,0)-1))), 0))
*2,4),"1",""),"")</f>
        <v/>
      </c>
      <c r="DZ66" s="189" t="str">
        <f ca="1">IF(DZ67&lt;&gt;"","園児","")</f>
        <v/>
      </c>
      <c r="EA66" s="190"/>
      <c r="EB66" s="193" t="str">
        <f ca="1">IF(DZ67&lt;&gt;"","先生","")</f>
        <v/>
      </c>
      <c r="EC66" s="190"/>
      <c r="ED66" s="101">
        <f t="array" aca="1" ref="ED66" ca="1">IF(DZ64&lt;&gt;"",
IF(IFERROR(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"")&lt;&gt;0,
IF(IFERROR(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"")="",
0,
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"")),IFERROR(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"")),0)</f>
        <v>0</v>
      </c>
      <c r="EE66" s="80"/>
      <c r="EF66" s="80"/>
      <c r="EG66" s="88" t="str">
        <f t="array" aca="1" ref="EG66" ca="1">IF(EH64&lt;&gt;"",SUBSTITUTE(ADDRESS(1,
(COLUMN(INDIRECT("数出表_Excel!"&amp;EG64&amp;1&amp;""))-2 +
MATCH(TRUE, ISNUMBER(--INDIRECT("数出表_Excel!"&amp;EG64&amp; (MATCH(EL22,数出表_Excel!$A:$A,0)-1) &amp; ":U" &amp; (MATCH(EL22,数出表_Excel!$A:$A,0)-1))), 0))
*2,4),"1",""),"")</f>
        <v/>
      </c>
      <c r="EH66" s="189" t="str">
        <f ca="1">IF(EH67&lt;&gt;"","園児","")</f>
        <v/>
      </c>
      <c r="EI66" s="190"/>
      <c r="EJ66" s="193" t="str">
        <f ca="1">IF(EH67&lt;&gt;"","先生","")</f>
        <v/>
      </c>
      <c r="EK66" s="190"/>
      <c r="EL66" s="101">
        <f t="array" aca="1" ref="EL66" ca="1">IF(EH64&lt;&gt;"",
IF(IFERROR(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"")&lt;&gt;0,
IF(IFERROR(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"")="",
0,
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"")),IFERROR(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"")),0)</f>
        <v>0</v>
      </c>
      <c r="EM66" s="80"/>
      <c r="EN66" s="88" t="str">
        <f t="array" aca="1" ref="EN66" ca="1">IF(EO64&lt;&gt;"",SUBSTITUTE(ADDRESS(1,
(COLUMN(INDIRECT("数出表_Excel!"&amp;EN64&amp;1&amp;""))-2 +
MATCH(TRUE, ISNUMBER(--INDIRECT("数出表_Excel!"&amp;EN64&amp; (MATCH(ES22,数出表_Excel!$A:$A,0)-1) &amp; ":U" &amp; (MATCH(ES22,数出表_Excel!$A:$A,0)-1))), 0))
*2,4),"1",""),"")</f>
        <v/>
      </c>
      <c r="EO66" s="189" t="str">
        <f ca="1">IF(EO67&lt;&gt;"","園児","")</f>
        <v/>
      </c>
      <c r="EP66" s="190"/>
      <c r="EQ66" s="193" t="str">
        <f ca="1">IF(EO67&lt;&gt;"","先生","")</f>
        <v/>
      </c>
      <c r="ER66" s="190"/>
      <c r="ES66" s="101">
        <f t="array" aca="1" ref="ES66" ca="1">IF(EO64&lt;&gt;"",
IF(IFERROR(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"")&lt;&gt;0,
IF(IFERROR(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"")="",
0,
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"")),IFERROR(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"")),0)</f>
        <v>0</v>
      </c>
      <c r="ET66" s="110"/>
      <c r="EU66" s="82">
        <f t="shared" si="4"/>
        <v>70</v>
      </c>
      <c r="EV66" s="82" t="str">
        <f t="array" aca="1" ref="EV66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LEN(SUBSTITUTE(_xlfn.FORMULATEXT(EV$49),"=","")))+$EU66)</f>
        <v/>
      </c>
      <c r="EW66" s="82" t="str">
        <f t="array" aca="1" ref="EW66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LEN(SUBSTITUTE(_xlfn.FORMULATEXT(EW$49),"=","")))+$EU66)</f>
        <v/>
      </c>
      <c r="EX66" s="82" t="str">
        <f t="array" aca="1" ref="EX66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LEN(SUBSTITUTE(_xlfn.FORMULATEXT(EX$49),"=","")))+$EU66)</f>
        <v/>
      </c>
      <c r="EY66" s="82" t="str">
        <f t="array" aca="1" ref="EY66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LEN(SUBSTITUTE(_xlfn.FORMULATEXT(EY$49),"=","")))+$EU66)</f>
        <v/>
      </c>
      <c r="EZ66" s="82" t="str">
        <f t="array" aca="1" ref="EZ66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LEN(SUBSTITUTE(_xlfn.FORMULATEXT(EZ$49),"=","")))+$EU66)</f>
        <v/>
      </c>
      <c r="FA66" s="82" t="str">
        <f t="array" aca="1" ref="FA66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LEN(SUBSTITUTE(_xlfn.FORMULATEXT(FA$49),"=","")))+$EU66)</f>
        <v/>
      </c>
      <c r="FB66" s="82" t="str">
        <f t="array" aca="1" ref="FB66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LEN(SUBSTITUTE(_xlfn.FORMULATEXT(FB$49),"=","")))+$EU66)</f>
        <v/>
      </c>
      <c r="FC66" s="82" t="str">
        <f t="array" aca="1" ref="FC66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LEN(SUBSTITUTE(_xlfn.FORMULATEXT(FC$49),"=","")))+$EU66)</f>
        <v/>
      </c>
      <c r="FD66" s="82" t="str">
        <f t="array" aca="1" ref="FD66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LEN(SUBSTITUTE(_xlfn.FORMULATEXT(FD$49),"=","")))+$EU66)</f>
        <v/>
      </c>
      <c r="FE66" s="82" t="str">
        <f t="array" aca="1" ref="FE66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LEN(SUBSTITUTE(_xlfn.FORMULATEXT(FE$49),"=","")))+$EU66)</f>
        <v/>
      </c>
      <c r="FF66" s="82" t="str">
        <f t="array" aca="1" ref="FF66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LEN(SUBSTITUTE(_xlfn.FORMULATEXT(FF$49),"=","")))+$EU66)</f>
        <v/>
      </c>
      <c r="FG66" s="82">
        <f t="shared" ca="1" si="5"/>
        <v>0</v>
      </c>
      <c r="FH66" s="82" t="b">
        <f t="array" aca="1" ref="FH66" ca="1">SUMPRODUCT((LEN(EV66:FF66)&gt;0)*1)&gt;0</f>
        <v>0</v>
      </c>
      <c r="FI66" s="82" t="str">
        <f t="array" aca="1" ref="FI66" ca="1">IFERROR(SMALL(IF(FG$1:FG$173&lt;&gt;0,FG$1:FG$173),ROW(A66)),"")</f>
        <v/>
      </c>
      <c r="FJ66" s="82" t="str">
        <f t="array" aca="1" ref="FJ66" ca="1">IF($FI66&lt;&gt;"",
INDIRECT(""&amp;IF(COLUMN(EV66)&lt;=26,CHAR(COLUMN(EV66)+64),CHAR(INT((COLUMN(EV66)-1)/26)+64)&amp;CHAR(MOD(COLUMN(EV66)-1,26)+65))&amp;$FI66&amp;""),"")</f>
        <v/>
      </c>
      <c r="FK66" s="82" t="str">
        <f t="array" aca="1" ref="FK66" ca="1">IF($FI66&lt;&gt;"",
INDIRECT(""&amp;IF(COLUMN(EW66)&lt;=26,CHAR(COLUMN(EW66)+64),CHAR(INT((COLUMN(EW66)-1)/26)+64)&amp;CHAR(MOD(COLUMN(EW66)-1,26)+65))&amp;$FI66&amp;""),"")</f>
        <v/>
      </c>
      <c r="FL66" s="82" t="str">
        <f t="array" aca="1" ref="FL66" ca="1">IF($FI66&lt;&gt;"",
INDIRECT(""&amp;IF(COLUMN(EX66)&lt;=26,CHAR(COLUMN(EX66)+64),CHAR(INT((COLUMN(EX66)-1)/26)+64)&amp;CHAR(MOD(COLUMN(EX66)-1,26)+65))&amp;$FI66&amp;""),"")</f>
        <v/>
      </c>
      <c r="FM66" s="82" t="str">
        <f t="array" aca="1" ref="FM66" ca="1">IF($FI66&lt;&gt;"",
IF(FL66="",
IF(INDIRECT("EY"&amp;$FI66&amp;"")&lt;&gt;"",
INDIRECT("EY"&amp;$FI66&amp;"")&amp;"箱"
&amp;INDIRECT("EZ"&amp;$FI66&amp;""),""),""),"")</f>
        <v/>
      </c>
      <c r="FN66" s="82" t="str">
        <f t="array" aca="1" ref="FN66" ca="1">IF($FI66&lt;&gt;"",
INDIRECT(""&amp;IF(COLUMN(FA66)&lt;=26,CHAR(COLUMN(FA66)+64),CHAR(INT((COLUMN(FA66)-1)/26)+64)&amp;CHAR(MOD(COLUMN(FA66)-1,26)+65))&amp;$FI66&amp;""),"")</f>
        <v/>
      </c>
      <c r="FO66" s="82" t="str">
        <f t="array" aca="1" ref="FO66" ca="1">IF($FI66&lt;&gt;"",
INDIRECT(""&amp;IF(COLUMN(FB66)&lt;=26,CHAR(COLUMN(FB66)+64),CHAR(INT((COLUMN(FB66)-1)/26)+64)&amp;CHAR(MOD(COLUMN(FB66)-1,26)+65))&amp;$FI66&amp;""),"")</f>
        <v/>
      </c>
      <c r="FP66" s="82" t="str">
        <f t="array" aca="1" ref="FP66" ca="1">IF($FI66&lt;&gt;"",
INDIRECT(""&amp;IF(COLUMN(FC66)&lt;=26,CHAR(COLUMN(FC66)+64),CHAR(INT((COLUMN(FC66)-1)/26)+64)&amp;CHAR(MOD(COLUMN(FC66)-1,26)+65))&amp;$FI66&amp;""),"")</f>
        <v/>
      </c>
      <c r="FQ66" s="82" t="str">
        <f t="array" aca="1" ref="FQ66" ca="1">IF($FI66&lt;&gt;"",
INDIRECT(""&amp;IF(COLUMN(FD66)&lt;=26,CHAR(COLUMN(FD66)+64),CHAR(INT((COLUMN(FD66)-1)/26)+64)&amp;CHAR(MOD(COLUMN(FD66)-1,26)+65))&amp;$FI66&amp;""),"")</f>
        <v/>
      </c>
      <c r="FR66" s="82" t="str">
        <f t="array" aca="1" ref="FR66" ca="1">IF($FI66&lt;&gt;"",
INDIRECT(""&amp;IF(COLUMN(FE66)&lt;=26,CHAR(COLUMN(FE66)+64),CHAR(INT((COLUMN(FE66)-1)/26)+64)&amp;CHAR(MOD(COLUMN(FE66)-1,26)+65))&amp;$FI66&amp;""),"")</f>
        <v/>
      </c>
      <c r="FS66" s="82" t="str">
        <f t="array" aca="1" ref="FS66" ca="1">IF($FI66&lt;&gt;"",
INDIRECT(""&amp;IF(COLUMN(FF66)&lt;=26,CHAR(COLUMN(FF66)+64),CHAR(INT((COLUMN(FF66)-1)/26)+64)&amp;CHAR(MOD(COLUMN(FF66)-1,26)+65))&amp;$FI66&amp;""),"")</f>
        <v/>
      </c>
    </row>
    <row r="67" spans="1:175" ht="18" customHeight="1" x14ac:dyDescent="0.45">
      <c r="B67" s="90"/>
      <c r="C67" s="185" t="str">
        <f t="array" aca="1" ref="C67" ca="1">IF(C65&lt;&gt;"",
IF(IFERROR(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"")=0,"",
IF(B24=100,
IFERROR(
INDEX(INDIRECT("数出表_Excel!"&amp;B64&amp;MATCH(G22,数出表_Excel!$A:$A,0)-1+2&amp;":U"&amp;MATCH(G22,数出表_Excel!$A:$A,0)-1+2&amp;""),
 1,
 MATCH(TRUE, ISNUMBER(--INDIRECT("数出表_Excel!"&amp;B64&amp;MATCH(G22,数出表_Excel!$A:$A,0)-1+2&amp;":U"&amp;MATCH(G22,数出表_Excel!$A:$A,0)-1+2&amp;"")), 0)),
 "")
+IFERROR(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""))),"")</f>
        <v/>
      </c>
      <c r="D67" s="186"/>
      <c r="E67" s="188" t="str">
        <f t="array" aca="1" ref="E67" ca="1">IF(C23&lt;&gt;"",
IF(IFERROR(
INDEX(INDIRECT("数出表_Excel!B"&amp;MATCH(G22,数出表_Excel!$A:$A,0)&amp;":U"&amp;MATCH(G22,数出表_Excel!$A:$A,0)&amp;""),
 1,B65-1),
 "")=0,"",
IFERROR(
INDEX(INDIRECT("数出表_Excel!B"&amp;MATCH(G22,数出表_Excel!$A:$A,0)&amp;":U"&amp;MATCH(G22,数出表_Excel!$A:$A,0)&amp;""),
 1,B65-1),
 "")),"")</f>
        <v/>
      </c>
      <c r="F67" s="186"/>
      <c r="G67" s="101" t="e">
        <f t="array" aca="1" ref="G67" ca="1">IF(B24=100,
IF(C64&lt;&gt;"",
IF(IFERROR(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"")&lt;&gt;0,
IF(IFERROR(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"")="",
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""),
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"")),0),""),0)</f>
        <v>#N/A</v>
      </c>
      <c r="I67" s="90"/>
      <c r="J67" s="185" t="str">
        <f t="array" aca="1" ref="J67" ca="1">IF(J65&lt;&gt;"",
IF(IFERROR(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"")=0,"",
IF(I24=100,
IFERROR(
INDEX(INDIRECT("数出表_Excel!"&amp;I64&amp;MATCH(N22,数出表_Excel!$A:$A,0)-1+2&amp;":U"&amp;MATCH(N22,数出表_Excel!$A:$A,0)-1+2&amp;""),
 1,
 MATCH(TRUE, ISNUMBER(--INDIRECT("数出表_Excel!"&amp;I64&amp;MATCH(N22,数出表_Excel!$A:$A,0)-1+2&amp;":U"&amp;MATCH(N22,数出表_Excel!$A:$A,0)-1+2&amp;"")), 0)),
 "")
+IFERROR(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""))),"")</f>
        <v/>
      </c>
      <c r="K67" s="186"/>
      <c r="L67" s="188" t="str">
        <f t="array" aca="1" ref="L67" ca="1">IF(J23&lt;&gt;"",
IF(IFERROR(
INDEX(INDIRECT("数出表_Excel!B"&amp;MATCH(N22,数出表_Excel!$A:$A,0)&amp;":U"&amp;MATCH(N22,数出表_Excel!$A:$A,0)&amp;""),
 1,I65-1),
 "")=0,"",
IFERROR(
INDEX(INDIRECT("数出表_Excel!B"&amp;MATCH(N22,数出表_Excel!$A:$A,0)&amp;":U"&amp;MATCH(N22,数出表_Excel!$A:$A,0)&amp;""),
 1,I65-1),
 "")),"")</f>
        <v/>
      </c>
      <c r="M67" s="186"/>
      <c r="N67" s="101" t="e">
        <f t="array" aca="1" ref="N67" ca="1">IF(I24=100,
IF(J64&lt;&gt;"",
IF(IFERROR(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"")&lt;&gt;0,
IF(IFERROR(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"")="",
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""),
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"")),0),""),0)</f>
        <v>#N/A</v>
      </c>
      <c r="Q67" s="90"/>
      <c r="R67" s="185" t="str">
        <f t="array" aca="1" ref="R67" ca="1">IF(R65&lt;&gt;"",
IF(IFERROR(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"")=0,"",
IF(Q24=100,
IFERROR(
INDEX(INDIRECT("数出表_Excel!"&amp;Q64&amp;MATCH(V22,数出表_Excel!$A:$A,0)-1+2&amp;":U"&amp;MATCH(V22,数出表_Excel!$A:$A,0)-1+2&amp;""),
 1,
 MATCH(TRUE, ISNUMBER(--INDIRECT("数出表_Excel!"&amp;Q64&amp;MATCH(V22,数出表_Excel!$A:$A,0)-1+2&amp;":U"&amp;MATCH(V22,数出表_Excel!$A:$A,0)-1+2&amp;"")), 0)),
 "")
+IFERROR(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""))),"")</f>
        <v/>
      </c>
      <c r="S67" s="186"/>
      <c r="T67" s="188" t="str">
        <f t="array" aca="1" ref="T67" ca="1">IF(R23&lt;&gt;"",
IF(IFERROR(
INDEX(INDIRECT("数出表_Excel!B"&amp;MATCH(V22,数出表_Excel!$A:$A,0)&amp;":U"&amp;MATCH(V22,数出表_Excel!$A:$A,0)&amp;""),
 1,Q65-1),
 "")=0,"",
IFERROR(
INDEX(INDIRECT("数出表_Excel!B"&amp;MATCH(V22,数出表_Excel!$A:$A,0)&amp;":U"&amp;MATCH(V22,数出表_Excel!$A:$A,0)&amp;""),
 1,Q65-1),
 "")),"")</f>
        <v/>
      </c>
      <c r="U67" s="186"/>
      <c r="V67" s="101" t="e">
        <f t="array" aca="1" ref="V67" ca="1">IF(Q24=100,
IF(R64&lt;&gt;"",
IF(IFERROR(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"")&lt;&gt;0,
IF(IFERROR(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"")="",
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""),
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"")),0),""),0)</f>
        <v>#N/A</v>
      </c>
      <c r="X67" s="90"/>
      <c r="Y67" s="185" t="str">
        <f t="array" aca="1" ref="Y67" ca="1">IF(Y65&lt;&gt;"",
IF(IFERROR(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"")=0,"",
IF(X24=100,
IFERROR(
INDEX(INDIRECT("数出表_Excel!"&amp;X64&amp;MATCH(AC22,数出表_Excel!$A:$A,0)-1+2&amp;":U"&amp;MATCH(AC22,数出表_Excel!$A:$A,0)-1+2&amp;""),
 1,
 MATCH(TRUE, ISNUMBER(--INDIRECT("数出表_Excel!"&amp;X64&amp;MATCH(AC22,数出表_Excel!$A:$A,0)-1+2&amp;":U"&amp;MATCH(AC22,数出表_Excel!$A:$A,0)-1+2&amp;"")), 0)),
 "")
+IFERROR(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""))),"")</f>
        <v/>
      </c>
      <c r="Z67" s="186"/>
      <c r="AA67" s="188" t="str">
        <f t="array" aca="1" ref="AA67" ca="1">IF(Y23&lt;&gt;"",
IF(IFERROR(
INDEX(INDIRECT("数出表_Excel!B"&amp;MATCH(AC22,数出表_Excel!$A:$A,0)&amp;":U"&amp;MATCH(AC22,数出表_Excel!$A:$A,0)&amp;""),
 1,X65-1),
 "")=0,"",
IFERROR(
INDEX(INDIRECT("数出表_Excel!B"&amp;MATCH(AC22,数出表_Excel!$A:$A,0)&amp;":U"&amp;MATCH(AC22,数出表_Excel!$A:$A,0)&amp;""),
 1,X65-1),
 "")),"")</f>
        <v/>
      </c>
      <c r="AB67" s="186"/>
      <c r="AC67" s="101" t="e">
        <f t="array" aca="1" ref="AC67" ca="1">IF(X24=100,
IF(Y64&lt;&gt;"",
IF(IFERROR(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"")&lt;&gt;0,
IF(IFERROR(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"")="",
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""),
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"")),0),""),0)</f>
        <v>#N/A</v>
      </c>
      <c r="AF67" s="90"/>
      <c r="AG67" s="185" t="str">
        <f t="array" aca="1" ref="AG67" ca="1">IF(AG65&lt;&gt;"",
IF(IFERROR(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"")=0,"",
IF(AF24=100,
IFERROR(
INDEX(INDIRECT("数出表_Excel!"&amp;AF64&amp;MATCH(AK22,数出表_Excel!$A:$A,0)-1+2&amp;":U"&amp;MATCH(AK22,数出表_Excel!$A:$A,0)-1+2&amp;""),
 1,
 MATCH(TRUE, ISNUMBER(--INDIRECT("数出表_Excel!"&amp;AF64&amp;MATCH(AK22,数出表_Excel!$A:$A,0)-1+2&amp;":U"&amp;MATCH(AK22,数出表_Excel!$A:$A,0)-1+2&amp;"")), 0)),
 "")
+IFERROR(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""))),"")</f>
        <v/>
      </c>
      <c r="AH67" s="186"/>
      <c r="AI67" s="188" t="str">
        <f t="array" aca="1" ref="AI67" ca="1">IF(AG23&lt;&gt;"",
IF(IFERROR(
INDEX(INDIRECT("数出表_Excel!B"&amp;MATCH(AK22,数出表_Excel!$A:$A,0)&amp;":U"&amp;MATCH(AK22,数出表_Excel!$A:$A,0)&amp;""),
 1,AF65-1),
 "")=0,"",
IFERROR(
INDEX(INDIRECT("数出表_Excel!B"&amp;MATCH(AK22,数出表_Excel!$A:$A,0)&amp;":U"&amp;MATCH(AK22,数出表_Excel!$A:$A,0)&amp;""),
 1,AF65-1),
 "")),"")</f>
        <v/>
      </c>
      <c r="AJ67" s="186"/>
      <c r="AK67" s="101" t="e">
        <f t="array" aca="1" ref="AK67" ca="1">IF(AF24=100,
IF(AG64&lt;&gt;"",
IF(IFERROR(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"")&lt;&gt;0,
IF(IFERROR(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"")="",
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""),
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"")),0),""),0)</f>
        <v>#N/A</v>
      </c>
      <c r="AM67" s="90"/>
      <c r="AN67" s="185" t="str">
        <f t="array" aca="1" ref="AN67" ca="1">IF(AN65&lt;&gt;"",
IF(IFERROR(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"")=0,"",
IF(AM24=100,
IFERROR(
INDEX(INDIRECT("数出表_Excel!"&amp;AM64&amp;MATCH(AR22,数出表_Excel!$A:$A,0)-1+2&amp;":U"&amp;MATCH(AR22,数出表_Excel!$A:$A,0)-1+2&amp;""),
 1,
 MATCH(TRUE, ISNUMBER(--INDIRECT("数出表_Excel!"&amp;AM64&amp;MATCH(AR22,数出表_Excel!$A:$A,0)-1+2&amp;":U"&amp;MATCH(AR22,数出表_Excel!$A:$A,0)-1+2&amp;"")), 0)),
 "")
+IFERROR(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""))),"")</f>
        <v/>
      </c>
      <c r="AO67" s="186"/>
      <c r="AP67" s="188" t="str">
        <f t="array" aca="1" ref="AP67" ca="1">IF(AN23&lt;&gt;"",
IF(IFERROR(
INDEX(INDIRECT("数出表_Excel!B"&amp;MATCH(AR22,数出表_Excel!$A:$A,0)&amp;":U"&amp;MATCH(AR22,数出表_Excel!$A:$A,0)&amp;""),
 1,AM65-1),
 "")=0,"",
IFERROR(
INDEX(INDIRECT("数出表_Excel!B"&amp;MATCH(AR22,数出表_Excel!$A:$A,0)&amp;":U"&amp;MATCH(AR22,数出表_Excel!$A:$A,0)&amp;""),
 1,AM65-1),
 "")),"")</f>
        <v/>
      </c>
      <c r="AQ67" s="186"/>
      <c r="AR67" s="101" t="e">
        <f t="array" aca="1" ref="AR67" ca="1">IF(AM24=100,
IF(AN64&lt;&gt;"",
IF(IFERROR(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"")&lt;&gt;0,
IF(IFERROR(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"")="",
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""),
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"")),0),""),0)</f>
        <v>#N/A</v>
      </c>
      <c r="AU67" s="90"/>
      <c r="AV67" s="185" t="str">
        <f t="array" aca="1" ref="AV67" ca="1">IF(AV65&lt;&gt;"",
IF(IFERROR(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"")=0,"",
IF(AU24=100,
IFERROR(
INDEX(INDIRECT("数出表_Excel!"&amp;AU64&amp;MATCH(AZ22,数出表_Excel!$A:$A,0)-1+2&amp;":U"&amp;MATCH(AZ22,数出表_Excel!$A:$A,0)-1+2&amp;""),
 1,
 MATCH(TRUE, ISNUMBER(--INDIRECT("数出表_Excel!"&amp;AU64&amp;MATCH(AZ22,数出表_Excel!$A:$A,0)-1+2&amp;":U"&amp;MATCH(AZ22,数出表_Excel!$A:$A,0)-1+2&amp;"")), 0)),
 "")
+IFERROR(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""))),"")</f>
        <v/>
      </c>
      <c r="AW67" s="186"/>
      <c r="AX67" s="188" t="str">
        <f t="array" aca="1" ref="AX67" ca="1">IF(AV23&lt;&gt;"",
IF(IFERROR(
INDEX(INDIRECT("数出表_Excel!B"&amp;MATCH(AZ22,数出表_Excel!$A:$A,0)&amp;":U"&amp;MATCH(AZ22,数出表_Excel!$A:$A,0)&amp;""),
 1,AU65-1),
 "")=0,"",
IFERROR(
INDEX(INDIRECT("数出表_Excel!B"&amp;MATCH(AZ22,数出表_Excel!$A:$A,0)&amp;":U"&amp;MATCH(AZ22,数出表_Excel!$A:$A,0)&amp;""),
 1,AU65-1),
 "")),"")</f>
        <v/>
      </c>
      <c r="AY67" s="186"/>
      <c r="AZ67" s="101" t="e">
        <f t="array" aca="1" ref="AZ67" ca="1">IF(AU24=100,
IF(AV64&lt;&gt;"",
IF(IFERROR(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"")&lt;&gt;0,
IF(IFERROR(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"")="",
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""),
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"")),0),""),0)</f>
        <v>#N/A</v>
      </c>
      <c r="BB67" s="90"/>
      <c r="BC67" s="185" t="str">
        <f t="array" aca="1" ref="BC67" ca="1">IF(BC65&lt;&gt;"",
IF(IFERROR(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"")=0,"",
IF(BB24=100,
IFERROR(
INDEX(INDIRECT("数出表_Excel!"&amp;BB64&amp;MATCH(BG22,数出表_Excel!$A:$A,0)-1+2&amp;":U"&amp;MATCH(BG22,数出表_Excel!$A:$A,0)-1+2&amp;""),
 1,
 MATCH(TRUE, ISNUMBER(--INDIRECT("数出表_Excel!"&amp;BB64&amp;MATCH(BG22,数出表_Excel!$A:$A,0)-1+2&amp;":U"&amp;MATCH(BG22,数出表_Excel!$A:$A,0)-1+2&amp;"")), 0)),
 "")
+IFERROR(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""))),"")</f>
        <v/>
      </c>
      <c r="BD67" s="186"/>
      <c r="BE67" s="188" t="str">
        <f t="array" aca="1" ref="BE67" ca="1">IF(BC23&lt;&gt;"",
IF(IFERROR(
INDEX(INDIRECT("数出表_Excel!B"&amp;MATCH(BG22,数出表_Excel!$A:$A,0)&amp;":U"&amp;MATCH(BG22,数出表_Excel!$A:$A,0)&amp;""),
 1,BB65-1),
 "")=0,"",
IFERROR(
INDEX(INDIRECT("数出表_Excel!B"&amp;MATCH(BG22,数出表_Excel!$A:$A,0)&amp;":U"&amp;MATCH(BG22,数出表_Excel!$A:$A,0)&amp;""),
 1,BB65-1),
 "")),"")</f>
        <v/>
      </c>
      <c r="BF67" s="186"/>
      <c r="BG67" s="101" t="e">
        <f t="array" aca="1" ref="BG67" ca="1">IF(BB24=100,
IF(BC64&lt;&gt;"",
IF(IFERROR(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"")&lt;&gt;0,
IF(IFERROR(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"")="",
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""),
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"")),0),""),0)</f>
        <v>#N/A</v>
      </c>
      <c r="BJ67" s="90"/>
      <c r="BK67" s="185" t="str">
        <f t="array" aca="1" ref="BK67" ca="1">IF(BK65&lt;&gt;"",
IF(IFERROR(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"")=0,"",
IF(BJ24=100,
IFERROR(
INDEX(INDIRECT("数出表_Excel!"&amp;BJ64&amp;MATCH(BO22,数出表_Excel!$A:$A,0)-1+2&amp;":U"&amp;MATCH(BO22,数出表_Excel!$A:$A,0)-1+2&amp;""),
 1,
 MATCH(TRUE, ISNUMBER(--INDIRECT("数出表_Excel!"&amp;BJ64&amp;MATCH(BO22,数出表_Excel!$A:$A,0)-1+2&amp;":U"&amp;MATCH(BO22,数出表_Excel!$A:$A,0)-1+2&amp;"")), 0)),
 "")
+IFERROR(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""))),"")</f>
        <v/>
      </c>
      <c r="BL67" s="186"/>
      <c r="BM67" s="188" t="str">
        <f t="array" aca="1" ref="BM67" ca="1">IF(BK23&lt;&gt;"",
IF(IFERROR(
INDEX(INDIRECT("数出表_Excel!B"&amp;MATCH(BO22,数出表_Excel!$A:$A,0)&amp;":U"&amp;MATCH(BO22,数出表_Excel!$A:$A,0)&amp;""),
 1,BJ65-1),
 "")=0,"",
IFERROR(
INDEX(INDIRECT("数出表_Excel!B"&amp;MATCH(BO22,数出表_Excel!$A:$A,0)&amp;":U"&amp;MATCH(BO22,数出表_Excel!$A:$A,0)&amp;""),
 1,BJ65-1),
 "")),"")</f>
        <v/>
      </c>
      <c r="BN67" s="186"/>
      <c r="BO67" s="101" t="e">
        <f t="array" aca="1" ref="BO67" ca="1">IF(BJ24=100,
IF(BK64&lt;&gt;"",
IF(IFERROR(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"")&lt;&gt;0,
IF(IFERROR(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"")="",
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""),
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"")),0),""),0)</f>
        <v>#N/A</v>
      </c>
      <c r="BQ67" s="90"/>
      <c r="BR67" s="185" t="str">
        <f t="array" aca="1" ref="BR67" ca="1">IF(BR65&lt;&gt;"",
IF(IFERROR(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"")=0,"",
IF(BQ24=100,
IFERROR(
INDEX(INDIRECT("数出表_Excel!"&amp;BQ64&amp;MATCH(BV22,数出表_Excel!$A:$A,0)-1+2&amp;":U"&amp;MATCH(BV22,数出表_Excel!$A:$A,0)-1+2&amp;""),
 1,
 MATCH(TRUE, ISNUMBER(--INDIRECT("数出表_Excel!"&amp;BQ64&amp;MATCH(BV22,数出表_Excel!$A:$A,0)-1+2&amp;":U"&amp;MATCH(BV22,数出表_Excel!$A:$A,0)-1+2&amp;"")), 0)),
 "")
+IFERROR(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""))),"")</f>
        <v/>
      </c>
      <c r="BS67" s="186"/>
      <c r="BT67" s="188" t="str">
        <f t="array" aca="1" ref="BT67" ca="1">IF(BR23&lt;&gt;"",
IF(IFERROR(
INDEX(INDIRECT("数出表_Excel!B"&amp;MATCH(BV22,数出表_Excel!$A:$A,0)&amp;":U"&amp;MATCH(BV22,数出表_Excel!$A:$A,0)&amp;""),
 1,BQ65-1),
 "")=0,"",
IFERROR(
INDEX(INDIRECT("数出表_Excel!B"&amp;MATCH(BV22,数出表_Excel!$A:$A,0)&amp;":U"&amp;MATCH(BV22,数出表_Excel!$A:$A,0)&amp;""),
 1,BQ65-1),
 "")),"")</f>
        <v/>
      </c>
      <c r="BU67" s="186"/>
      <c r="BV67" s="101" t="e">
        <f t="array" aca="1" ref="BV67" ca="1">IF(BQ24=100,
IF(BR64&lt;&gt;"",
IF(IFERROR(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"")&lt;&gt;0,
IF(IFERROR(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"")="",
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""),
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"")),0),""),0)</f>
        <v>#N/A</v>
      </c>
      <c r="BY67" s="90"/>
      <c r="BZ67" s="185" t="str">
        <f t="array" aca="1" ref="BZ67" ca="1">IF(BZ65&lt;&gt;"",
IF(IFERROR(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"")=0,"",
IF(BY24=100,
IFERROR(
INDEX(INDIRECT("数出表_Excel!"&amp;BY64&amp;MATCH(CD22,数出表_Excel!$A:$A,0)-1+2&amp;":U"&amp;MATCH(CD22,数出表_Excel!$A:$A,0)-1+2&amp;""),
 1,
 MATCH(TRUE, ISNUMBER(--INDIRECT("数出表_Excel!"&amp;BY64&amp;MATCH(CD22,数出表_Excel!$A:$A,0)-1+2&amp;":U"&amp;MATCH(CD22,数出表_Excel!$A:$A,0)-1+2&amp;"")), 0)),
 "")
+IFERROR(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""),
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""))),"")</f>
        <v/>
      </c>
      <c r="CA67" s="186"/>
      <c r="CB67" s="188" t="str">
        <f t="array" aca="1" ref="CB67" ca="1">IF(BZ23&lt;&gt;"",
IF(IFERROR(
INDEX(INDIRECT("数出表_Excel!B"&amp;MATCH(CD22,数出表_Excel!$A:$A,0)&amp;":U"&amp;MATCH(CD22,数出表_Excel!$A:$A,0)&amp;""),
 1,BY65-1),
 "")=0,"",
IFERROR(
INDEX(INDIRECT("数出表_Excel!B"&amp;MATCH(CD22,数出表_Excel!$A:$A,0)&amp;":U"&amp;MATCH(CD22,数出表_Excel!$A:$A,0)&amp;""),
 1,BY65-1),
 "")),"")</f>
        <v/>
      </c>
      <c r="CC67" s="186"/>
      <c r="CD67" s="101" t="e">
        <f t="array" aca="1" ref="CD67" ca="1">IF(BY24=100,
IF(BZ64&lt;&gt;"",
IF(IFERROR(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"")&lt;&gt;0,
IF(IFERROR(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"")="",
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""),
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"")),0),""),0)</f>
        <v>#N/A</v>
      </c>
      <c r="CF67" s="90"/>
      <c r="CG67" s="185" t="str">
        <f t="array" aca="1" ref="CG67" ca="1">IF(CG65&lt;&gt;"",
IF(IFERROR(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"")=0,"",
IF(CF24=100,
IFERROR(
INDEX(INDIRECT("数出表_Excel!"&amp;CF64&amp;MATCH(CK22,数出表_Excel!$A:$A,0)-1+2&amp;":U"&amp;MATCH(CK22,数出表_Excel!$A:$A,0)-1+2&amp;""),
 1,
 MATCH(TRUE, ISNUMBER(--INDIRECT("数出表_Excel!"&amp;CF64&amp;MATCH(CK22,数出表_Excel!$A:$A,0)-1+2&amp;":U"&amp;MATCH(CK22,数出表_Excel!$A:$A,0)-1+2&amp;"")), 0)),
 "")
+IFERROR(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""),
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""))),"")</f>
        <v/>
      </c>
      <c r="CH67" s="186"/>
      <c r="CI67" s="188" t="str">
        <f t="array" aca="1" ref="CI67" ca="1">IF(CG23&lt;&gt;"",
IF(IFERROR(
INDEX(INDIRECT("数出表_Excel!B"&amp;MATCH(CK22,数出表_Excel!$A:$A,0)&amp;":U"&amp;MATCH(CK22,数出表_Excel!$A:$A,0)&amp;""),
 1,CF65-1),
 "")=0,"",
IFERROR(
INDEX(INDIRECT("数出表_Excel!B"&amp;MATCH(CK22,数出表_Excel!$A:$A,0)&amp;":U"&amp;MATCH(CK22,数出表_Excel!$A:$A,0)&amp;""),
 1,CF65-1),
 "")),"")</f>
        <v/>
      </c>
      <c r="CJ67" s="186"/>
      <c r="CK67" s="101" t="e">
        <f t="array" aca="1" ref="CK67" ca="1">IF(CF24=100,
IF(CG64&lt;&gt;"",
IF(IFERROR(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"")&lt;&gt;0,
IF(IFERROR(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"")="",
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""),
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"")),0),""),0)</f>
        <v>#N/A</v>
      </c>
      <c r="CN67" s="90"/>
      <c r="CO67" s="185" t="str">
        <f t="array" aca="1" ref="CO67" ca="1">IF(CO65&lt;&gt;"",
IF(IFERROR(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"")=0,"",
IF(CN24=100,
IFERROR(
INDEX(INDIRECT("数出表_Excel!"&amp;CN64&amp;MATCH(CS22,数出表_Excel!$A:$A,0)-1+2&amp;":U"&amp;MATCH(CS22,数出表_Excel!$A:$A,0)-1+2&amp;""),
 1,
 MATCH(TRUE, ISNUMBER(--INDIRECT("数出表_Excel!"&amp;CN64&amp;MATCH(CS22,数出表_Excel!$A:$A,0)-1+2&amp;":U"&amp;MATCH(CS22,数出表_Excel!$A:$A,0)-1+2&amp;"")), 0)),
 "")
+IFERROR(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""),
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""))),"")</f>
        <v/>
      </c>
      <c r="CP67" s="186"/>
      <c r="CQ67" s="188" t="str">
        <f t="array" aca="1" ref="CQ67" ca="1">IF(CO23&lt;&gt;"",
IF(IFERROR(
INDEX(INDIRECT("数出表_Excel!B"&amp;MATCH(CS22,数出表_Excel!$A:$A,0)&amp;":U"&amp;MATCH(CS22,数出表_Excel!$A:$A,0)&amp;""),
 1,CN65-1),
 "")=0,"",
IFERROR(
INDEX(INDIRECT("数出表_Excel!B"&amp;MATCH(CS22,数出表_Excel!$A:$A,0)&amp;":U"&amp;MATCH(CS22,数出表_Excel!$A:$A,0)&amp;""),
 1,CN65-1),
 "")),"")</f>
        <v/>
      </c>
      <c r="CR67" s="186"/>
      <c r="CS67" s="101" t="e">
        <f t="array" aca="1" ref="CS67" ca="1">IF(CN24=100,
IF(CO64&lt;&gt;"",
IF(IFERROR(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"")&lt;&gt;0,
IF(IFERROR(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"")="",
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""),
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"")),0),""),0)</f>
        <v>#N/A</v>
      </c>
      <c r="CU67" s="90"/>
      <c r="CV67" s="185" t="str">
        <f t="array" aca="1" ref="CV67" ca="1">IF(CV65&lt;&gt;"",
IF(IFERROR(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"")=0,"",
IF(CU24=100,
IFERROR(
INDEX(INDIRECT("数出表_Excel!"&amp;CU64&amp;MATCH(CZ22,数出表_Excel!$A:$A,0)-1+2&amp;":U"&amp;MATCH(CZ22,数出表_Excel!$A:$A,0)-1+2&amp;""),
 1,
 MATCH(TRUE, ISNUMBER(--INDIRECT("数出表_Excel!"&amp;CU64&amp;MATCH(CZ22,数出表_Excel!$A:$A,0)-1+2&amp;":U"&amp;MATCH(CZ22,数出表_Excel!$A:$A,0)-1+2&amp;"")), 0)),
 "")
+IFERROR(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""),
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""))),"")</f>
        <v/>
      </c>
      <c r="CW67" s="186"/>
      <c r="CX67" s="188" t="str">
        <f t="array" aca="1" ref="CX67" ca="1">IF(CV23&lt;&gt;"",
IF(IFERROR(
INDEX(INDIRECT("数出表_Excel!B"&amp;MATCH(CZ22,数出表_Excel!$A:$A,0)&amp;":U"&amp;MATCH(CZ22,数出表_Excel!$A:$A,0)&amp;""),
 1,CU65-1),
 "")=0,"",
IFERROR(
INDEX(INDIRECT("数出表_Excel!B"&amp;MATCH(CZ22,数出表_Excel!$A:$A,0)&amp;":U"&amp;MATCH(CZ22,数出表_Excel!$A:$A,0)&amp;""),
 1,CU65-1),
 "")),"")</f>
        <v/>
      </c>
      <c r="CY67" s="186"/>
      <c r="CZ67" s="101" t="e">
        <f t="array" aca="1" ref="CZ67" ca="1">IF(CU24=100,
IF(CV64&lt;&gt;"",
IF(IFERROR(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"")&lt;&gt;0,
IF(IFERROR(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"")="",
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""),
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"")),0),""),0)</f>
        <v>#N/A</v>
      </c>
      <c r="DC67" s="90"/>
      <c r="DD67" s="185" t="str">
        <f t="array" aca="1" ref="DD67" ca="1">IF(DD65&lt;&gt;"",
IF(IFERROR(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"")=0,"",
IF(DC24=100,
IFERROR(
INDEX(INDIRECT("数出表_Excel!"&amp;DC64&amp;MATCH(DH22,数出表_Excel!$A:$A,0)-1+2&amp;":U"&amp;MATCH(DH22,数出表_Excel!$A:$A,0)-1+2&amp;""),
 1,
 MATCH(TRUE, ISNUMBER(--INDIRECT("数出表_Excel!"&amp;DC64&amp;MATCH(DH22,数出表_Excel!$A:$A,0)-1+2&amp;":U"&amp;MATCH(DH22,数出表_Excel!$A:$A,0)-1+2&amp;"")), 0)),
 "")
+IFERROR(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""),
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""))),"")</f>
        <v/>
      </c>
      <c r="DE67" s="186"/>
      <c r="DF67" s="188" t="str">
        <f t="array" aca="1" ref="DF67" ca="1">IF(DD23&lt;&gt;"",
IF(IFERROR(
INDEX(INDIRECT("数出表_Excel!B"&amp;MATCH(DH22,数出表_Excel!$A:$A,0)&amp;":U"&amp;MATCH(DH22,数出表_Excel!$A:$A,0)&amp;""),
 1,DC65-1),
 "")=0,"",
IFERROR(
INDEX(INDIRECT("数出表_Excel!B"&amp;MATCH(DH22,数出表_Excel!$A:$A,0)&amp;":U"&amp;MATCH(DH22,数出表_Excel!$A:$A,0)&amp;""),
 1,DC65-1),
 "")),"")</f>
        <v/>
      </c>
      <c r="DG67" s="186"/>
      <c r="DH67" s="101" t="e">
        <f t="array" aca="1" ref="DH67" ca="1">IF(DC24=100,
IF(DD64&lt;&gt;"",
IF(IFERROR(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"")&lt;&gt;0,
IF(IFERROR(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"")="",
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""),
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"")),0),""),0)</f>
        <v>#N/A</v>
      </c>
      <c r="DJ67" s="90"/>
      <c r="DK67" s="185" t="str">
        <f t="array" aca="1" ref="DK67" ca="1">IF(DK65&lt;&gt;"",
IF(IFERROR(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"")=0,"",
IF(DJ24=100,
IFERROR(
INDEX(INDIRECT("数出表_Excel!"&amp;DJ64&amp;MATCH(DO22,数出表_Excel!$A:$A,0)-1+2&amp;":U"&amp;MATCH(DO22,数出表_Excel!$A:$A,0)-1+2&amp;""),
 1,
 MATCH(TRUE, ISNUMBER(--INDIRECT("数出表_Excel!"&amp;DJ64&amp;MATCH(DO22,数出表_Excel!$A:$A,0)-1+2&amp;":U"&amp;MATCH(DO22,数出表_Excel!$A:$A,0)-1+2&amp;"")), 0)),
 "")
+IFERROR(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""),
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""))),"")</f>
        <v/>
      </c>
      <c r="DL67" s="186"/>
      <c r="DM67" s="188" t="str">
        <f t="array" aca="1" ref="DM67" ca="1">IF(DK23&lt;&gt;"",
IF(IFERROR(
INDEX(INDIRECT("数出表_Excel!B"&amp;MATCH(DO22,数出表_Excel!$A:$A,0)&amp;":U"&amp;MATCH(DO22,数出表_Excel!$A:$A,0)&amp;""),
 1,DJ65-1),
 "")=0,"",
IFERROR(
INDEX(INDIRECT("数出表_Excel!B"&amp;MATCH(DO22,数出表_Excel!$A:$A,0)&amp;":U"&amp;MATCH(DO22,数出表_Excel!$A:$A,0)&amp;""),
 1,DJ65-1),
 "")),"")</f>
        <v/>
      </c>
      <c r="DN67" s="186"/>
      <c r="DO67" s="101" t="e">
        <f t="array" aca="1" ref="DO67" ca="1">IF(DJ24=100,
IF(DK64&lt;&gt;"",
IF(IFERROR(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"")&lt;&gt;0,
IF(IFERROR(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"")="",
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""),
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"")),0),""),0)</f>
        <v>#N/A</v>
      </c>
      <c r="DR67" s="90"/>
      <c r="DS67" s="185" t="str">
        <f t="array" aca="1" ref="DS67" ca="1">IF(DS65&lt;&gt;"",
IF(IFERROR(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"")=0,"",
IF(DR24=100,
IFERROR(
INDEX(INDIRECT("数出表_Excel!"&amp;DR64&amp;MATCH(DW22,数出表_Excel!$A:$A,0)-1+2&amp;":U"&amp;MATCH(DW22,数出表_Excel!$A:$A,0)-1+2&amp;""),
 1,
 MATCH(TRUE, ISNUMBER(--INDIRECT("数出表_Excel!"&amp;DR64&amp;MATCH(DW22,数出表_Excel!$A:$A,0)-1+2&amp;":U"&amp;MATCH(DW22,数出表_Excel!$A:$A,0)-1+2&amp;"")), 0)),
 "")
+IFERROR(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""),
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""))),"")</f>
        <v/>
      </c>
      <c r="DT67" s="186"/>
      <c r="DU67" s="188" t="str">
        <f t="array" aca="1" ref="DU67" ca="1">IF(DS23&lt;&gt;"",
IF(IFERROR(
INDEX(INDIRECT("数出表_Excel!B"&amp;MATCH(DW22,数出表_Excel!$A:$A,0)&amp;":U"&amp;MATCH(DW22,数出表_Excel!$A:$A,0)&amp;""),
 1,DR65-1),
 "")=0,"",
IFERROR(
INDEX(INDIRECT("数出表_Excel!B"&amp;MATCH(DW22,数出表_Excel!$A:$A,0)&amp;":U"&amp;MATCH(DW22,数出表_Excel!$A:$A,0)&amp;""),
 1,DR65-1),
 "")),"")</f>
        <v/>
      </c>
      <c r="DV67" s="186"/>
      <c r="DW67" s="101" t="e">
        <f t="array" aca="1" ref="DW67" ca="1">IF(DR24=100,
IF(DS64&lt;&gt;"",
IF(IFERROR(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"")&lt;&gt;0,
IF(IFERROR(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"")="",
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""),
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"")),0),""),0)</f>
        <v>#N/A</v>
      </c>
      <c r="DY67" s="90"/>
      <c r="DZ67" s="185" t="str">
        <f t="array" aca="1" ref="DZ67" ca="1">IF(DZ65&lt;&gt;"",
IF(IFERROR(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"")=0,"",
IF(DY24=100,
IFERROR(
INDEX(INDIRECT("数出表_Excel!"&amp;DY64&amp;MATCH(ED22,数出表_Excel!$A:$A,0)-1+2&amp;":U"&amp;MATCH(ED22,数出表_Excel!$A:$A,0)-1+2&amp;""),
 1,
 MATCH(TRUE, ISNUMBER(--INDIRECT("数出表_Excel!"&amp;DY64&amp;MATCH(ED22,数出表_Excel!$A:$A,0)-1+2&amp;":U"&amp;MATCH(ED22,数出表_Excel!$A:$A,0)-1+2&amp;"")), 0)),
 "")
+IFERROR(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""),
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""))),"")</f>
        <v/>
      </c>
      <c r="EA67" s="186"/>
      <c r="EB67" s="188" t="str">
        <f t="array" aca="1" ref="EB67" ca="1">IF(DZ23&lt;&gt;"",
IF(IFERROR(
INDEX(INDIRECT("数出表_Excel!B"&amp;MATCH(ED22,数出表_Excel!$A:$A,0)&amp;":U"&amp;MATCH(ED22,数出表_Excel!$A:$A,0)&amp;""),
 1,DY65-1),
 "")=0,"",
IFERROR(
INDEX(INDIRECT("数出表_Excel!B"&amp;MATCH(ED22,数出表_Excel!$A:$A,0)&amp;":U"&amp;MATCH(ED22,数出表_Excel!$A:$A,0)&amp;""),
 1,DY65-1),
 "")),"")</f>
        <v/>
      </c>
      <c r="EC67" s="186"/>
      <c r="ED67" s="101" t="e">
        <f t="array" aca="1" ref="ED67" ca="1">IF(DY24=100,
IF(DZ64&lt;&gt;"",
IF(IFERROR(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"")&lt;&gt;0,
IF(IFERROR(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"")="",
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""),
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"")),0),""),0)</f>
        <v>#N/A</v>
      </c>
      <c r="EG67" s="90"/>
      <c r="EH67" s="185" t="str">
        <f t="array" aca="1" ref="EH67" ca="1">IF(EH65&lt;&gt;"",
IF(IFERROR(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"")=0,"",
IF(EG24=100,
IFERROR(
INDEX(INDIRECT("数出表_Excel!"&amp;EG64&amp;MATCH(EL22,数出表_Excel!$A:$A,0)-1+2&amp;":U"&amp;MATCH(EL22,数出表_Excel!$A:$A,0)-1+2&amp;""),
 1,
 MATCH(TRUE, ISNUMBER(--INDIRECT("数出表_Excel!"&amp;EG64&amp;MATCH(EL22,数出表_Excel!$A:$A,0)-1+2&amp;":U"&amp;MATCH(EL22,数出表_Excel!$A:$A,0)-1+2&amp;"")), 0)),
 "")
+IFERROR(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""),
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""))),"")</f>
        <v/>
      </c>
      <c r="EI67" s="186"/>
      <c r="EJ67" s="188" t="str">
        <f t="array" aca="1" ref="EJ67" ca="1">IF(EH23&lt;&gt;"",
IF(IFERROR(
INDEX(INDIRECT("数出表_Excel!B"&amp;MATCH(EL22,数出表_Excel!$A:$A,0)&amp;":U"&amp;MATCH(EL22,数出表_Excel!$A:$A,0)&amp;""),
 1,EG65-1),
 "")=0,"",
IFERROR(
INDEX(INDIRECT("数出表_Excel!B"&amp;MATCH(EL22,数出表_Excel!$A:$A,0)&amp;":U"&amp;MATCH(EL22,数出表_Excel!$A:$A,0)&amp;""),
 1,EG65-1),
 "")),"")</f>
        <v/>
      </c>
      <c r="EK67" s="186"/>
      <c r="EL67" s="101" t="e">
        <f t="array" aca="1" ref="EL67" ca="1">IF(EG24=100,
IF(EH64&lt;&gt;"",
IF(IFERROR(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"")&lt;&gt;0,
IF(IFERROR(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"")="",
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""),
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"")),0),""),0)</f>
        <v>#N/A</v>
      </c>
      <c r="EN67" s="90"/>
      <c r="EO67" s="185" t="str">
        <f t="array" aca="1" ref="EO67" ca="1">IF(EO65&lt;&gt;"",
IF(IFERROR(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"")=0,"",
IF(EN24=100,
IFERROR(
INDEX(INDIRECT("数出表_Excel!"&amp;EN64&amp;MATCH(ES22,数出表_Excel!$A:$A,0)-1+2&amp;":U"&amp;MATCH(ES22,数出表_Excel!$A:$A,0)-1+2&amp;""),
 1,
 MATCH(TRUE, ISNUMBER(--INDIRECT("数出表_Excel!"&amp;EN64&amp;MATCH(ES22,数出表_Excel!$A:$A,0)-1+2&amp;":U"&amp;MATCH(ES22,数出表_Excel!$A:$A,0)-1+2&amp;"")), 0)),
 "")
+IFERROR(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""),
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""))),"")</f>
        <v/>
      </c>
      <c r="EP67" s="186"/>
      <c r="EQ67" s="188" t="str">
        <f t="array" aca="1" ref="EQ67" ca="1">IF(EO23&lt;&gt;"",
IF(IFERROR(
INDEX(INDIRECT("数出表_Excel!B"&amp;MATCH(ES22,数出表_Excel!$A:$A,0)&amp;":U"&amp;MATCH(ES22,数出表_Excel!$A:$A,0)&amp;""),
 1,EN65-1),
 "")=0,"",
IFERROR(
INDEX(INDIRECT("数出表_Excel!B"&amp;MATCH(ES22,数出表_Excel!$A:$A,0)&amp;":U"&amp;MATCH(ES22,数出表_Excel!$A:$A,0)&amp;""),
 1,EN65-1),
 "")),"")</f>
        <v/>
      </c>
      <c r="ER67" s="186"/>
      <c r="ES67" s="101" t="e">
        <f t="array" aca="1" ref="ES67" ca="1">IF(EN24=100,
IF(EO64&lt;&gt;"",
IF(IFERROR(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"")&lt;&gt;0,
IF(IFERROR(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"")="",
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""),
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"")),0),""),0)</f>
        <v>#N/A</v>
      </c>
      <c r="ET67" s="110"/>
      <c r="EU67" s="91">
        <f t="shared" si="4"/>
        <v>28</v>
      </c>
      <c r="EV67" s="82" t="str">
        <f t="array" aca="1" ref="EV67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LEN(SUBSTITUTE(_xlfn.FORMULATEXT(EV$51),"=","")))+$EU67)</f>
        <v/>
      </c>
      <c r="EW67" s="82" t="str">
        <f t="array" aca="1" ref="EW67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LEN(SUBSTITUTE(_xlfn.FORMULATEXT(EW$51),"=","")))+$EU67)</f>
        <v/>
      </c>
      <c r="EX67" s="82" t="str">
        <f t="array" aca="1" ref="EX67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LEN(SUBSTITUTE(_xlfn.FORMULATEXT(EX$51),"=","")))+$EU67)</f>
        <v/>
      </c>
      <c r="EY67" s="82" t="str">
        <f t="array" aca="1" ref="EY67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LEN(SUBSTITUTE(_xlfn.FORMULATEXT(EY$51),"=","")))+$EU67)</f>
        <v/>
      </c>
      <c r="EZ67" s="82" t="str">
        <f t="array" aca="1" ref="EZ67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LEN(SUBSTITUTE(_xlfn.FORMULATEXT(EZ$51),"=","")))+$EU67)</f>
        <v/>
      </c>
      <c r="FA67" s="82" t="e">
        <f t="array" aca="1" ref="FA67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LEN(SUBSTITUTE(_xlfn.FORMULATEXT(FA$51),"=","")))+$EU67)</f>
        <v>#VALUE!</v>
      </c>
      <c r="FB67" s="82" t="str">
        <f t="array" aca="1" ref="FB67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LEN(SUBSTITUTE(_xlfn.FORMULATEXT(FB$51),"=","")))+$EU67)</f>
        <v/>
      </c>
      <c r="FC67" s="82" t="str">
        <f t="array" aca="1" ref="FC67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LEN(SUBSTITUTE(_xlfn.FORMULATEXT(FC$51),"=","")))+$EU67)</f>
        <v/>
      </c>
      <c r="FD67" s="82" t="e">
        <f t="array" aca="1" ref="FD67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LEN(SUBSTITUTE(_xlfn.FORMULATEXT(FD$51),"=","")))+$EU67)</f>
        <v>#VALUE!</v>
      </c>
      <c r="FE67" s="82" t="str">
        <f t="array" aca="1" ref="FE67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LEN(SUBSTITUTE(_xlfn.FORMULATEXT(FE$51),"=","")))+$EU67)</f>
        <v/>
      </c>
      <c r="FF67" s="82" t="e">
        <f t="array" aca="1" ref="FF67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LEN(SUBSTITUTE(_xlfn.FORMULATEXT(FF$51),"=","")))+$EU67)</f>
        <v>#N/A</v>
      </c>
      <c r="FG67" s="82">
        <f t="shared" ca="1" si="5"/>
        <v>0</v>
      </c>
      <c r="FH67" s="82" t="e">
        <f t="array" aca="1" ref="FH67" ca="1">SUMPRODUCT((LEN(EV67:FF67)&gt;0)*1)&gt;0</f>
        <v>#VALUE!</v>
      </c>
      <c r="FI67" s="82" t="str">
        <f t="array" aca="1" ref="FI67" ca="1">IFERROR(SMALL(IF(FG$1:FG$173&lt;&gt;0,FG$1:FG$173),ROW(A67)),"")</f>
        <v/>
      </c>
      <c r="FJ67" s="82" t="str">
        <f t="array" aca="1" ref="FJ67" ca="1">IF($FI67&lt;&gt;"",
INDIRECT(""&amp;IF(COLUMN(EV67)&lt;=26,CHAR(COLUMN(EV67)+64),CHAR(INT((COLUMN(EV67)-1)/26)+64)&amp;CHAR(MOD(COLUMN(EV67)-1,26)+65))&amp;$FI67&amp;""),"")</f>
        <v/>
      </c>
      <c r="FK67" s="82" t="str">
        <f t="array" aca="1" ref="FK67" ca="1">IF($FI67&lt;&gt;"",
INDIRECT(""&amp;IF(COLUMN(EW67)&lt;=26,CHAR(COLUMN(EW67)+64),CHAR(INT((COLUMN(EW67)-1)/26)+64)&amp;CHAR(MOD(COLUMN(EW67)-1,26)+65))&amp;$FI67&amp;""),"")</f>
        <v/>
      </c>
      <c r="FL67" s="82" t="str">
        <f t="array" aca="1" ref="FL67" ca="1">IF($FI67&lt;&gt;"",
INDIRECT(""&amp;IF(COLUMN(EX67)&lt;=26,CHAR(COLUMN(EX67)+64),CHAR(INT((COLUMN(EX67)-1)/26)+64)&amp;CHAR(MOD(COLUMN(EX67)-1,26)+65))&amp;$FI67&amp;""),"")</f>
        <v/>
      </c>
      <c r="FM67" s="82" t="str">
        <f t="array" aca="1" ref="FM67" ca="1">IF($FI67&lt;&gt;"",
IF(FL67="",
IF(INDIRECT("EY"&amp;$FI67&amp;"")&lt;&gt;"",
INDIRECT("EY"&amp;$FI67&amp;"")&amp;"箱"
&amp;INDIRECT("EZ"&amp;$FI67&amp;""),""),""),"")</f>
        <v/>
      </c>
      <c r="FN67" s="82" t="str">
        <f t="array" aca="1" ref="FN67" ca="1">IF($FI67&lt;&gt;"",
INDIRECT(""&amp;IF(COLUMN(FA67)&lt;=26,CHAR(COLUMN(FA67)+64),CHAR(INT((COLUMN(FA67)-1)/26)+64)&amp;CHAR(MOD(COLUMN(FA67)-1,26)+65))&amp;$FI67&amp;""),"")</f>
        <v/>
      </c>
      <c r="FO67" s="82" t="str">
        <f t="array" aca="1" ref="FO67" ca="1">IF($FI67&lt;&gt;"",
INDIRECT(""&amp;IF(COLUMN(FB67)&lt;=26,CHAR(COLUMN(FB67)+64),CHAR(INT((COLUMN(FB67)-1)/26)+64)&amp;CHAR(MOD(COLUMN(FB67)-1,26)+65))&amp;$FI67&amp;""),"")</f>
        <v/>
      </c>
      <c r="FP67" s="82" t="str">
        <f t="array" aca="1" ref="FP67" ca="1">IF($FI67&lt;&gt;"",
INDIRECT(""&amp;IF(COLUMN(FC67)&lt;=26,CHAR(COLUMN(FC67)+64),CHAR(INT((COLUMN(FC67)-1)/26)+64)&amp;CHAR(MOD(COLUMN(FC67)-1,26)+65))&amp;$FI67&amp;""),"")</f>
        <v/>
      </c>
      <c r="FQ67" s="82" t="str">
        <f t="array" aca="1" ref="FQ67" ca="1">IF($FI67&lt;&gt;"",
INDIRECT(""&amp;IF(COLUMN(FD67)&lt;=26,CHAR(COLUMN(FD67)+64),CHAR(INT((COLUMN(FD67)-1)/26)+64)&amp;CHAR(MOD(COLUMN(FD67)-1,26)+65))&amp;$FI67&amp;""),"")</f>
        <v/>
      </c>
      <c r="FR67" s="82" t="str">
        <f t="array" aca="1" ref="FR67" ca="1">IF($FI67&lt;&gt;"",
INDIRECT(""&amp;IF(COLUMN(FE67)&lt;=26,CHAR(COLUMN(FE67)+64),CHAR(INT((COLUMN(FE67)-1)/26)+64)&amp;CHAR(MOD(COLUMN(FE67)-1,26)+65))&amp;$FI67&amp;""),"")</f>
        <v/>
      </c>
      <c r="FS67" s="82" t="str">
        <f t="array" aca="1" ref="FS67" ca="1">IF($FI67&lt;&gt;"",
INDIRECT(""&amp;IF(COLUMN(FF67)&lt;=26,CHAR(COLUMN(FF67)+64),CHAR(INT((COLUMN(FF67)-1)/26)+64)&amp;CHAR(MOD(COLUMN(FF67)-1,26)+65))&amp;$FI67&amp;""),"")</f>
        <v/>
      </c>
    </row>
    <row r="68" spans="1:175" ht="18" customHeight="1" x14ac:dyDescent="0.45">
      <c r="B68" s="92"/>
      <c r="C68" s="187"/>
      <c r="D68" s="187"/>
      <c r="E68" s="187"/>
      <c r="F68" s="187"/>
      <c r="G68" s="102" t="str">
        <f>SUBSTITUTE(SUBSTITUTE(ADDRESS(1,MATCH("おやつ",'数出表_Excel（アレルギー入力）'!$3:$3,0)),1,""),"$","")</f>
        <v>AL</v>
      </c>
      <c r="I68" s="92"/>
      <c r="J68" s="187"/>
      <c r="K68" s="187"/>
      <c r="L68" s="187"/>
      <c r="M68" s="187"/>
      <c r="N68" s="102" t="str">
        <f>SUBSTITUTE(SUBSTITUTE(ADDRESS(1,MATCH("おやつ",'数出表_Excel（アレルギー入力）'!$3:$3,0)),1,""),"$","")</f>
        <v>AL</v>
      </c>
      <c r="Q68" s="92"/>
      <c r="R68" s="187"/>
      <c r="S68" s="187"/>
      <c r="T68" s="187"/>
      <c r="U68" s="187"/>
      <c r="V68" s="102" t="str">
        <f>SUBSTITUTE(SUBSTITUTE(ADDRESS(1,MATCH("おやつ",'数出表_Excel（アレルギー入力）'!$3:$3,0)),1,""),"$","")</f>
        <v>AL</v>
      </c>
      <c r="X68" s="92"/>
      <c r="Y68" s="187"/>
      <c r="Z68" s="187"/>
      <c r="AA68" s="187"/>
      <c r="AB68" s="187"/>
      <c r="AC68" s="102" t="str">
        <f>SUBSTITUTE(SUBSTITUTE(ADDRESS(1,MATCH("おやつ",'数出表_Excel（アレルギー入力）'!$3:$3,0)),1,""),"$","")</f>
        <v>AL</v>
      </c>
      <c r="AF68" s="92"/>
      <c r="AG68" s="187"/>
      <c r="AH68" s="187"/>
      <c r="AI68" s="187"/>
      <c r="AJ68" s="187"/>
      <c r="AK68" s="102" t="str">
        <f>SUBSTITUTE(SUBSTITUTE(ADDRESS(1,MATCH("おやつ",'数出表_Excel（アレルギー入力）'!$3:$3,0)),1,""),"$","")</f>
        <v>AL</v>
      </c>
      <c r="AM68" s="92"/>
      <c r="AN68" s="187"/>
      <c r="AO68" s="187"/>
      <c r="AP68" s="187"/>
      <c r="AQ68" s="187"/>
      <c r="AR68" s="102" t="str">
        <f>SUBSTITUTE(SUBSTITUTE(ADDRESS(1,MATCH("おやつ",'数出表_Excel（アレルギー入力）'!$3:$3,0)),1,""),"$","")</f>
        <v>AL</v>
      </c>
      <c r="AU68" s="92"/>
      <c r="AV68" s="187"/>
      <c r="AW68" s="187"/>
      <c r="AX68" s="187"/>
      <c r="AY68" s="187"/>
      <c r="AZ68" s="102" t="str">
        <f>SUBSTITUTE(SUBSTITUTE(ADDRESS(1,MATCH("おやつ",'数出表_Excel（アレルギー入力）'!$3:$3,0)),1,""),"$","")</f>
        <v>AL</v>
      </c>
      <c r="BB68" s="92"/>
      <c r="BC68" s="187"/>
      <c r="BD68" s="187"/>
      <c r="BE68" s="187"/>
      <c r="BF68" s="187"/>
      <c r="BG68" s="102" t="str">
        <f>SUBSTITUTE(SUBSTITUTE(ADDRESS(1,MATCH("おやつ",'数出表_Excel（アレルギー入力）'!$3:$3,0)),1,""),"$","")</f>
        <v>AL</v>
      </c>
      <c r="BJ68" s="92"/>
      <c r="BK68" s="187"/>
      <c r="BL68" s="187"/>
      <c r="BM68" s="187"/>
      <c r="BN68" s="187"/>
      <c r="BO68" s="102" t="str">
        <f>SUBSTITUTE(SUBSTITUTE(ADDRESS(1,MATCH("おやつ",'数出表_Excel（アレルギー入力）'!$3:$3,0)),1,""),"$","")</f>
        <v>AL</v>
      </c>
      <c r="BQ68" s="92"/>
      <c r="BR68" s="187"/>
      <c r="BS68" s="187"/>
      <c r="BT68" s="187"/>
      <c r="BU68" s="187"/>
      <c r="BV68" s="102" t="str">
        <f>SUBSTITUTE(SUBSTITUTE(ADDRESS(1,MATCH("おやつ",'数出表_Excel（アレルギー入力）'!$3:$3,0)),1,""),"$","")</f>
        <v>AL</v>
      </c>
      <c r="BY68" s="92"/>
      <c r="BZ68" s="187"/>
      <c r="CA68" s="187"/>
      <c r="CB68" s="187"/>
      <c r="CC68" s="187"/>
      <c r="CD68" s="102" t="str">
        <f>SUBSTITUTE(SUBSTITUTE(ADDRESS(1,MATCH("おやつ",'数出表_Excel（アレルギー入力）'!$3:$3,0)),1,""),"$","")</f>
        <v>AL</v>
      </c>
      <c r="CF68" s="92"/>
      <c r="CG68" s="187"/>
      <c r="CH68" s="187"/>
      <c r="CI68" s="187"/>
      <c r="CJ68" s="187"/>
      <c r="CK68" s="102" t="str">
        <f>SUBSTITUTE(SUBSTITUTE(ADDRESS(1,MATCH("おやつ",'数出表_Excel（アレルギー入力）'!$3:$3,0)),1,""),"$","")</f>
        <v>AL</v>
      </c>
      <c r="CN68" s="92"/>
      <c r="CO68" s="187"/>
      <c r="CP68" s="187"/>
      <c r="CQ68" s="187"/>
      <c r="CR68" s="187"/>
      <c r="CS68" s="102" t="str">
        <f>SUBSTITUTE(SUBSTITUTE(ADDRESS(1,MATCH("おやつ",'数出表_Excel（アレルギー入力）'!$3:$3,0)),1,""),"$","")</f>
        <v>AL</v>
      </c>
      <c r="CU68" s="92"/>
      <c r="CV68" s="187"/>
      <c r="CW68" s="187"/>
      <c r="CX68" s="187"/>
      <c r="CY68" s="187"/>
      <c r="CZ68" s="102" t="str">
        <f>SUBSTITUTE(SUBSTITUTE(ADDRESS(1,MATCH("おやつ",'数出表_Excel（アレルギー入力）'!$3:$3,0)),1,""),"$","")</f>
        <v>AL</v>
      </c>
      <c r="DC68" s="92"/>
      <c r="DD68" s="187"/>
      <c r="DE68" s="187"/>
      <c r="DF68" s="187"/>
      <c r="DG68" s="187"/>
      <c r="DH68" s="102" t="str">
        <f>SUBSTITUTE(SUBSTITUTE(ADDRESS(1,MATCH("おやつ",'数出表_Excel（アレルギー入力）'!$3:$3,0)),1,""),"$","")</f>
        <v>AL</v>
      </c>
      <c r="DJ68" s="92"/>
      <c r="DK68" s="187"/>
      <c r="DL68" s="187"/>
      <c r="DM68" s="187"/>
      <c r="DN68" s="187"/>
      <c r="DO68" s="102" t="str">
        <f>SUBSTITUTE(SUBSTITUTE(ADDRESS(1,MATCH("おやつ",'数出表_Excel（アレルギー入力）'!$3:$3,0)),1,""),"$","")</f>
        <v>AL</v>
      </c>
      <c r="DR68" s="92"/>
      <c r="DS68" s="187"/>
      <c r="DT68" s="187"/>
      <c r="DU68" s="187"/>
      <c r="DV68" s="187"/>
      <c r="DW68" s="102" t="str">
        <f>SUBSTITUTE(SUBSTITUTE(ADDRESS(1,MATCH("おやつ",'数出表_Excel（アレルギー入力）'!$3:$3,0)),1,""),"$","")</f>
        <v>AL</v>
      </c>
      <c r="DY68" s="92"/>
      <c r="DZ68" s="187"/>
      <c r="EA68" s="187"/>
      <c r="EB68" s="187"/>
      <c r="EC68" s="187"/>
      <c r="ED68" s="102" t="str">
        <f>SUBSTITUTE(SUBSTITUTE(ADDRESS(1,MATCH("おやつ",'数出表_Excel（アレルギー入力）'!$3:$3,0)),1,""),"$","")</f>
        <v>AL</v>
      </c>
      <c r="EG68" s="92"/>
      <c r="EH68" s="187"/>
      <c r="EI68" s="187"/>
      <c r="EJ68" s="187"/>
      <c r="EK68" s="187"/>
      <c r="EL68" s="102" t="str">
        <f>SUBSTITUTE(SUBSTITUTE(ADDRESS(1,MATCH("おやつ",'数出表_Excel（アレルギー入力）'!$3:$3,0)),1,""),"$","")</f>
        <v>AL</v>
      </c>
      <c r="EN68" s="92"/>
      <c r="EO68" s="187"/>
      <c r="EP68" s="187"/>
      <c r="EQ68" s="187"/>
      <c r="ER68" s="187"/>
      <c r="ES68" s="102" t="str">
        <f>SUBSTITUTE(SUBSTITUTE(ADDRESS(1,MATCH("おやつ",'数出表_Excel（アレルギー入力）'!$3:$3,0)),1,""),"$","")</f>
        <v>AL</v>
      </c>
      <c r="ET68" s="110"/>
      <c r="EU68" s="82">
        <f t="shared" si="4"/>
        <v>70</v>
      </c>
      <c r="EV68" s="82" t="str">
        <f t="array" aca="1" ref="EV68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LEN(SUBSTITUTE(_xlfn.FORMULATEXT(EV$51),"=","")))+$EU68)</f>
        <v/>
      </c>
      <c r="EW68" s="82" t="str">
        <f t="array" aca="1" ref="EW68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LEN(SUBSTITUTE(_xlfn.FORMULATEXT(EW$51),"=","")))+$EU68)</f>
        <v/>
      </c>
      <c r="EX68" s="82" t="str">
        <f t="array" aca="1" ref="EX68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LEN(SUBSTITUTE(_xlfn.FORMULATEXT(EX$51),"=","")))+$EU68)</f>
        <v/>
      </c>
      <c r="EY68" s="82" t="str">
        <f t="array" aca="1" ref="EY68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LEN(SUBSTITUTE(_xlfn.FORMULATEXT(EY$51),"=","")))+$EU68)</f>
        <v/>
      </c>
      <c r="EZ68" s="82" t="str">
        <f t="array" aca="1" ref="EZ68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LEN(SUBSTITUTE(_xlfn.FORMULATEXT(EZ$51),"=","")))+$EU68)</f>
        <v/>
      </c>
      <c r="FA68" s="82" t="str">
        <f t="array" aca="1" ref="FA68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LEN(SUBSTITUTE(_xlfn.FORMULATEXT(FA$51),"=","")))+$EU68)</f>
        <v/>
      </c>
      <c r="FB68" s="82" t="str">
        <f t="array" aca="1" ref="FB68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LEN(SUBSTITUTE(_xlfn.FORMULATEXT(FB$51),"=","")))+$EU68)</f>
        <v/>
      </c>
      <c r="FC68" s="82" t="str">
        <f t="array" aca="1" ref="FC68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LEN(SUBSTITUTE(_xlfn.FORMULATEXT(FC$51),"=","")))+$EU68)</f>
        <v/>
      </c>
      <c r="FD68" s="82" t="str">
        <f t="array" aca="1" ref="FD68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LEN(SUBSTITUTE(_xlfn.FORMULATEXT(FD$51),"=","")))+$EU68)</f>
        <v/>
      </c>
      <c r="FE68" s="82" t="str">
        <f t="array" aca="1" ref="FE68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LEN(SUBSTITUTE(_xlfn.FORMULATEXT(FE$51),"=","")))+$EU68)</f>
        <v/>
      </c>
      <c r="FF68" s="82" t="str">
        <f t="array" aca="1" ref="FF68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LEN(SUBSTITUTE(_xlfn.FORMULATEXT(FF$51),"=","")))+$EU68)</f>
        <v/>
      </c>
      <c r="FG68" s="82">
        <f t="shared" ca="1" si="5"/>
        <v>0</v>
      </c>
      <c r="FH68" s="82" t="b">
        <f t="array" aca="1" ref="FH68" ca="1">SUMPRODUCT((LEN(EV68:FF68)&gt;0)*1)&gt;0</f>
        <v>0</v>
      </c>
      <c r="FI68" s="82" t="str">
        <f t="array" aca="1" ref="FI68" ca="1">IFERROR(SMALL(IF(FG$1:FG$173&lt;&gt;0,FG$1:FG$173),ROW(A68)),"")</f>
        <v/>
      </c>
      <c r="FJ68" s="82" t="str">
        <f t="array" aca="1" ref="FJ68" ca="1">IF($FI68&lt;&gt;"",
INDIRECT(""&amp;IF(COLUMN(EV68)&lt;=26,CHAR(COLUMN(EV68)+64),CHAR(INT((COLUMN(EV68)-1)/26)+64)&amp;CHAR(MOD(COLUMN(EV68)-1,26)+65))&amp;$FI68&amp;""),"")</f>
        <v/>
      </c>
      <c r="FK68" s="82" t="str">
        <f t="array" aca="1" ref="FK68" ca="1">IF($FI68&lt;&gt;"",
INDIRECT(""&amp;IF(COLUMN(EW68)&lt;=26,CHAR(COLUMN(EW68)+64),CHAR(INT((COLUMN(EW68)-1)/26)+64)&amp;CHAR(MOD(COLUMN(EW68)-1,26)+65))&amp;$FI68&amp;""),"")</f>
        <v/>
      </c>
      <c r="FL68" s="82" t="str">
        <f t="array" aca="1" ref="FL68" ca="1">IF($FI68&lt;&gt;"",
INDIRECT(""&amp;IF(COLUMN(EX68)&lt;=26,CHAR(COLUMN(EX68)+64),CHAR(INT((COLUMN(EX68)-1)/26)+64)&amp;CHAR(MOD(COLUMN(EX68)-1,26)+65))&amp;$FI68&amp;""),"")</f>
        <v/>
      </c>
      <c r="FM68" s="82" t="str">
        <f t="array" aca="1" ref="FM68" ca="1">IF($FI68&lt;&gt;"",
IF(FL68="",
IF(INDIRECT("EY"&amp;$FI68&amp;"")&lt;&gt;"",
INDIRECT("EY"&amp;$FI68&amp;"")&amp;"箱"
&amp;INDIRECT("EZ"&amp;$FI68&amp;""),""),""),"")</f>
        <v/>
      </c>
      <c r="FN68" s="82" t="str">
        <f t="array" aca="1" ref="FN68" ca="1">IF($FI68&lt;&gt;"",
INDIRECT(""&amp;IF(COLUMN(FA68)&lt;=26,CHAR(COLUMN(FA68)+64),CHAR(INT((COLUMN(FA68)-1)/26)+64)&amp;CHAR(MOD(COLUMN(FA68)-1,26)+65))&amp;$FI68&amp;""),"")</f>
        <v/>
      </c>
      <c r="FO68" s="82" t="str">
        <f t="array" aca="1" ref="FO68" ca="1">IF($FI68&lt;&gt;"",
INDIRECT(""&amp;IF(COLUMN(FB68)&lt;=26,CHAR(COLUMN(FB68)+64),CHAR(INT((COLUMN(FB68)-1)/26)+64)&amp;CHAR(MOD(COLUMN(FB68)-1,26)+65))&amp;$FI68&amp;""),"")</f>
        <v/>
      </c>
      <c r="FP68" s="82" t="str">
        <f t="array" aca="1" ref="FP68" ca="1">IF($FI68&lt;&gt;"",
INDIRECT(""&amp;IF(COLUMN(FC68)&lt;=26,CHAR(COLUMN(FC68)+64),CHAR(INT((COLUMN(FC68)-1)/26)+64)&amp;CHAR(MOD(COLUMN(FC68)-1,26)+65))&amp;$FI68&amp;""),"")</f>
        <v/>
      </c>
      <c r="FQ68" s="82" t="str">
        <f t="array" aca="1" ref="FQ68" ca="1">IF($FI68&lt;&gt;"",
INDIRECT(""&amp;IF(COLUMN(FD68)&lt;=26,CHAR(COLUMN(FD68)+64),CHAR(INT((COLUMN(FD68)-1)/26)+64)&amp;CHAR(MOD(COLUMN(FD68)-1,26)+65))&amp;$FI68&amp;""),"")</f>
        <v/>
      </c>
      <c r="FR68" s="82" t="str">
        <f t="array" aca="1" ref="FR68" ca="1">IF($FI68&lt;&gt;"",
INDIRECT(""&amp;IF(COLUMN(FE68)&lt;=26,CHAR(COLUMN(FE68)+64),CHAR(INT((COLUMN(FE68)-1)/26)+64)&amp;CHAR(MOD(COLUMN(FE68)-1,26)+65))&amp;$FI68&amp;""),"")</f>
        <v/>
      </c>
      <c r="FS68" s="82" t="str">
        <f t="array" aca="1" ref="FS68" ca="1">IF($FI68&lt;&gt;"",
INDIRECT(""&amp;IF(COLUMN(FF68)&lt;=26,CHAR(COLUMN(FF68)+64),CHAR(INT((COLUMN(FF68)-1)/26)+64)&amp;CHAR(MOD(COLUMN(FF68)-1,26)+65))&amp;$FI68&amp;""),"")</f>
        <v/>
      </c>
    </row>
    <row r="69" spans="1:175" s="82" customFormat="1" ht="22.2" customHeight="1" x14ac:dyDescent="0.55000000000000004">
      <c r="A69" s="80"/>
      <c r="B69" s="93" t="str">
        <f ca="1">IF(C67&lt;&gt;"","パン箱","")</f>
        <v/>
      </c>
      <c r="C69" s="94" t="str">
        <f ca="1">IF(C67&lt;&gt;"",IF(OR(COUNTIF('盛付札（関数）'!C65,"*キャラ*"),COUNTIF('盛付札（関数）'!C65,"*赤*")),24,
VLOOKUP('盛付札（関数）'!C65,商品マスタ一覧!$D:$I,6,FALSE)),"")</f>
        <v/>
      </c>
      <c r="D69" s="93" t="str">
        <f ca="1">IF(C67&lt;&gt;"","　端数","")</f>
        <v/>
      </c>
      <c r="E69" s="94"/>
      <c r="F69" s="93" t="str">
        <f ca="1">IF(C67&lt;&gt;"","アレルギー","")</f>
        <v/>
      </c>
      <c r="G69" s="101"/>
      <c r="H69" s="80"/>
      <c r="I69" s="93" t="str">
        <f ca="1">IF(J67&lt;&gt;"","パン箱","")</f>
        <v/>
      </c>
      <c r="J69" s="94" t="str">
        <f ca="1">IF(J67&lt;&gt;"",IF(OR(COUNTIF('盛付札（関数）'!J65,"*キャラ*"),COUNTIF('盛付札（関数）'!J65,"*赤*")),24,
VLOOKUP('盛付札（関数）'!J65,商品マスタ一覧!$D:$I,6,FALSE)),"")</f>
        <v/>
      </c>
      <c r="K69" s="93" t="str">
        <f ca="1">IF(J67&lt;&gt;"","　端数","")</f>
        <v/>
      </c>
      <c r="L69" s="94"/>
      <c r="M69" s="93" t="str">
        <f ca="1">IF(J67&lt;&gt;"","アレルギー","")</f>
        <v/>
      </c>
      <c r="N69" s="97"/>
      <c r="O69" s="80"/>
      <c r="P69" s="80"/>
      <c r="Q69" s="93" t="str">
        <f ca="1">IF(R67&lt;&gt;"","パン箱","")</f>
        <v/>
      </c>
      <c r="R69" s="94" t="str">
        <f ca="1">IF(R67&lt;&gt;"",IF(OR(COUNTIF('盛付札（関数）'!R65,"*キャラ*"),COUNTIF('盛付札（関数）'!R65,"*赤*")),24,
VLOOKUP('盛付札（関数）'!R65,商品マスタ一覧!$D:$I,6,FALSE)),"")</f>
        <v/>
      </c>
      <c r="S69" s="93" t="str">
        <f ca="1">IF(R67&lt;&gt;"","　端数","")</f>
        <v/>
      </c>
      <c r="T69" s="94"/>
      <c r="U69" s="93" t="str">
        <f ca="1">IF(R67&lt;&gt;"","アレルギー","")</f>
        <v/>
      </c>
      <c r="V69" s="101"/>
      <c r="W69" s="80"/>
      <c r="X69" s="93" t="str">
        <f ca="1">IF(Y67&lt;&gt;"","パン箱","")</f>
        <v/>
      </c>
      <c r="Y69" s="94" t="str">
        <f ca="1">IF(Y67&lt;&gt;"",IF(OR(COUNTIF('盛付札（関数）'!Y65,"*キャラ*"),COUNTIF('盛付札（関数）'!Y65,"*赤*")),24,
VLOOKUP('盛付札（関数）'!Y65,商品マスタ一覧!$D:$I,6,FALSE)),"")</f>
        <v/>
      </c>
      <c r="Z69" s="93" t="str">
        <f ca="1">IF(Y67&lt;&gt;"","　端数","")</f>
        <v/>
      </c>
      <c r="AA69" s="94"/>
      <c r="AB69" s="93" t="str">
        <f ca="1">IF(Y67&lt;&gt;"","アレルギー","")</f>
        <v/>
      </c>
      <c r="AC69" s="97"/>
      <c r="AD69" s="80"/>
      <c r="AE69" s="80"/>
      <c r="AF69" s="93" t="str">
        <f ca="1">IF(AG67&lt;&gt;"","パン箱","")</f>
        <v/>
      </c>
      <c r="AG69" s="94" t="str">
        <f ca="1">IF(AG67&lt;&gt;"",IF(OR(COUNTIF('盛付札（関数）'!AG65,"*キャラ*"),COUNTIF('盛付札（関数）'!AG65,"*赤*")),24,
VLOOKUP('盛付札（関数）'!AG65,商品マスタ一覧!$D:$I,6,FALSE)),"")</f>
        <v/>
      </c>
      <c r="AH69" s="93" t="str">
        <f ca="1">IF(AG67&lt;&gt;"","　端数","")</f>
        <v/>
      </c>
      <c r="AI69" s="94"/>
      <c r="AJ69" s="93" t="str">
        <f ca="1">IF(AG67&lt;&gt;"","アレルギー","")</f>
        <v/>
      </c>
      <c r="AK69" s="101"/>
      <c r="AL69" s="80"/>
      <c r="AM69" s="93" t="str">
        <f ca="1">IF(AN67&lt;&gt;"","パン箱","")</f>
        <v/>
      </c>
      <c r="AN69" s="94" t="str">
        <f ca="1">IF(AN67&lt;&gt;"",IF(OR(COUNTIF('盛付札（関数）'!AN65,"*キャラ*"),COUNTIF('盛付札（関数）'!AN65,"*赤*")),24,
VLOOKUP('盛付札（関数）'!AN65,商品マスタ一覧!$D:$I,6,FALSE)),"")</f>
        <v/>
      </c>
      <c r="AO69" s="93" t="str">
        <f ca="1">IF(AN67&lt;&gt;"","　端数","")</f>
        <v/>
      </c>
      <c r="AP69" s="94"/>
      <c r="AQ69" s="93" t="str">
        <f ca="1">IF(AN67&lt;&gt;"","アレルギー","")</f>
        <v/>
      </c>
      <c r="AR69" s="97"/>
      <c r="AS69" s="80"/>
      <c r="AT69" s="80"/>
      <c r="AU69" s="93" t="str">
        <f ca="1">IF(AV67&lt;&gt;"","パン箱","")</f>
        <v/>
      </c>
      <c r="AV69" s="94" t="str">
        <f ca="1">IF(AV67&lt;&gt;"",IF(OR(COUNTIF('盛付札（関数）'!AV65,"*キャラ*"),COUNTIF('盛付札（関数）'!AV65,"*赤*")),24,
VLOOKUP('盛付札（関数）'!AV65,商品マスタ一覧!$D:$I,6,FALSE)),"")</f>
        <v/>
      </c>
      <c r="AW69" s="93" t="str">
        <f ca="1">IF(AV67&lt;&gt;"","　端数","")</f>
        <v/>
      </c>
      <c r="AX69" s="94"/>
      <c r="AY69" s="93" t="str">
        <f ca="1">IF(AV67&lt;&gt;"","アレルギー","")</f>
        <v/>
      </c>
      <c r="AZ69" s="101"/>
      <c r="BA69" s="80"/>
      <c r="BB69" s="93" t="str">
        <f ca="1">IF(BC67&lt;&gt;"","パン箱","")</f>
        <v/>
      </c>
      <c r="BC69" s="94" t="str">
        <f ca="1">IF(BC67&lt;&gt;"",IF(OR(COUNTIF('盛付札（関数）'!BC65,"*キャラ*"),COUNTIF('盛付札（関数）'!BC65,"*赤*")),24,
VLOOKUP('盛付札（関数）'!BC65,商品マスタ一覧!$D:$I,6,FALSE)),"")</f>
        <v/>
      </c>
      <c r="BD69" s="93" t="str">
        <f ca="1">IF(BC67&lt;&gt;"","　端数","")</f>
        <v/>
      </c>
      <c r="BE69" s="94"/>
      <c r="BF69" s="93" t="str">
        <f ca="1">IF(BC67&lt;&gt;"","アレルギー","")</f>
        <v/>
      </c>
      <c r="BG69" s="97"/>
      <c r="BH69" s="80"/>
      <c r="BI69" s="80"/>
      <c r="BJ69" s="93" t="str">
        <f ca="1">IF(BK67&lt;&gt;"","パン箱","")</f>
        <v/>
      </c>
      <c r="BK69" s="94" t="str">
        <f ca="1">IF(BK67&lt;&gt;"",IF(OR(COUNTIF('盛付札（関数）'!BK65,"*キャラ*"),COUNTIF('盛付札（関数）'!BK65,"*赤*")),24,
VLOOKUP('盛付札（関数）'!BK65,商品マスタ一覧!$D:$I,6,FALSE)),"")</f>
        <v/>
      </c>
      <c r="BL69" s="93" t="str">
        <f ca="1">IF(BK67&lt;&gt;"","　端数","")</f>
        <v/>
      </c>
      <c r="BM69" s="94"/>
      <c r="BN69" s="93" t="str">
        <f ca="1">IF(BK67&lt;&gt;"","アレルギー","")</f>
        <v/>
      </c>
      <c r="BO69" s="101"/>
      <c r="BP69" s="80"/>
      <c r="BQ69" s="93" t="str">
        <f ca="1">IF(BR67&lt;&gt;"","パン箱","")</f>
        <v/>
      </c>
      <c r="BR69" s="94" t="str">
        <f ca="1">IF(BR67&lt;&gt;"",IF(OR(COUNTIF('盛付札（関数）'!BR65,"*キャラ*"),COUNTIF('盛付札（関数）'!BR65,"*赤*")),24,
VLOOKUP('盛付札（関数）'!BR65,商品マスタ一覧!$D:$I,6,FALSE)),"")</f>
        <v/>
      </c>
      <c r="BS69" s="93" t="str">
        <f ca="1">IF(BR67&lt;&gt;"","　端数","")</f>
        <v/>
      </c>
      <c r="BT69" s="94"/>
      <c r="BU69" s="93" t="str">
        <f ca="1">IF(BR67&lt;&gt;"","アレルギー","")</f>
        <v/>
      </c>
      <c r="BV69" s="97"/>
      <c r="BW69" s="80"/>
      <c r="BX69" s="80"/>
      <c r="BY69" s="93" t="str">
        <f ca="1">IF(BZ67&lt;&gt;"","パン箱","")</f>
        <v/>
      </c>
      <c r="BZ69" s="94" t="str">
        <f ca="1">IF(BZ67&lt;&gt;"",IF(OR(COUNTIF('盛付札（関数）'!BZ65,"*キャラ*"),COUNTIF('盛付札（関数）'!BZ65,"*赤*")),24,
VLOOKUP('盛付札（関数）'!BZ65,商品マスタ一覧!$D:$I,6,FALSE)),"")</f>
        <v/>
      </c>
      <c r="CA69" s="93" t="str">
        <f ca="1">IF(BZ67&lt;&gt;"","　端数","")</f>
        <v/>
      </c>
      <c r="CB69" s="94"/>
      <c r="CC69" s="93" t="str">
        <f ca="1">IF(BZ67&lt;&gt;"","アレルギー","")</f>
        <v/>
      </c>
      <c r="CD69" s="101"/>
      <c r="CE69" s="80"/>
      <c r="CF69" s="93" t="str">
        <f ca="1">IF(CG67&lt;&gt;"","パン箱","")</f>
        <v/>
      </c>
      <c r="CG69" s="94" t="str">
        <f ca="1">IF(CG67&lt;&gt;"",IF(OR(COUNTIF('盛付札（関数）'!CG65,"*キャラ*"),COUNTIF('盛付札（関数）'!CG65,"*赤*")),24,
VLOOKUP('盛付札（関数）'!CG65,商品マスタ一覧!$D:$I,6,FALSE)),"")</f>
        <v/>
      </c>
      <c r="CH69" s="93" t="str">
        <f ca="1">IF(CG67&lt;&gt;"","　端数","")</f>
        <v/>
      </c>
      <c r="CI69" s="94"/>
      <c r="CJ69" s="93" t="str">
        <f ca="1">IF(CG67&lt;&gt;"","アレルギー","")</f>
        <v/>
      </c>
      <c r="CK69" s="97"/>
      <c r="CL69" s="80"/>
      <c r="CM69" s="80"/>
      <c r="CN69" s="93" t="str">
        <f ca="1">IF(CO67&lt;&gt;"","パン箱","")</f>
        <v/>
      </c>
      <c r="CO69" s="94" t="str">
        <f ca="1">IF(CO67&lt;&gt;"",IF(OR(COUNTIF('盛付札（関数）'!CO65,"*キャラ*"),COUNTIF('盛付札（関数）'!CO65,"*赤*")),24,
VLOOKUP('盛付札（関数）'!CO65,商品マスタ一覧!$D:$I,6,FALSE)),"")</f>
        <v/>
      </c>
      <c r="CP69" s="93" t="str">
        <f ca="1">IF(CO67&lt;&gt;"","　端数","")</f>
        <v/>
      </c>
      <c r="CQ69" s="94"/>
      <c r="CR69" s="93" t="str">
        <f ca="1">IF(CO67&lt;&gt;"","アレルギー","")</f>
        <v/>
      </c>
      <c r="CS69" s="101"/>
      <c r="CT69" s="80"/>
      <c r="CU69" s="93" t="str">
        <f ca="1">IF(CV67&lt;&gt;"","パン箱","")</f>
        <v/>
      </c>
      <c r="CV69" s="94" t="str">
        <f ca="1">IF(CV67&lt;&gt;"",IF(OR(COUNTIF('盛付札（関数）'!CV65,"*キャラ*"),COUNTIF('盛付札（関数）'!CV65,"*赤*")),24,
VLOOKUP('盛付札（関数）'!CV65,商品マスタ一覧!$D:$I,6,FALSE)),"")</f>
        <v/>
      </c>
      <c r="CW69" s="93" t="str">
        <f ca="1">IF(CV67&lt;&gt;"","　端数","")</f>
        <v/>
      </c>
      <c r="CX69" s="94"/>
      <c r="CY69" s="93" t="str">
        <f ca="1">IF(CV67&lt;&gt;"","アレルギー","")</f>
        <v/>
      </c>
      <c r="CZ69" s="97"/>
      <c r="DA69" s="80"/>
      <c r="DB69" s="80"/>
      <c r="DC69" s="93" t="str">
        <f ca="1">IF(DD67&lt;&gt;"","パン箱","")</f>
        <v/>
      </c>
      <c r="DD69" s="94" t="str">
        <f ca="1">IF(DD67&lt;&gt;"",IF(OR(COUNTIF('盛付札（関数）'!DD65,"*キャラ*"),COUNTIF('盛付札（関数）'!DD65,"*赤*")),24,
VLOOKUP('盛付札（関数）'!DD65,商品マスタ一覧!$D:$I,6,FALSE)),"")</f>
        <v/>
      </c>
      <c r="DE69" s="93" t="str">
        <f ca="1">IF(DD67&lt;&gt;"","　端数","")</f>
        <v/>
      </c>
      <c r="DF69" s="94"/>
      <c r="DG69" s="93" t="str">
        <f ca="1">IF(DD67&lt;&gt;"","アレルギー","")</f>
        <v/>
      </c>
      <c r="DH69" s="101"/>
      <c r="DI69" s="80"/>
      <c r="DJ69" s="93" t="str">
        <f ca="1">IF(DK67&lt;&gt;"","パン箱","")</f>
        <v/>
      </c>
      <c r="DK69" s="94" t="str">
        <f ca="1">IF(DK67&lt;&gt;"",IF(OR(COUNTIF('盛付札（関数）'!DK65,"*キャラ*"),COUNTIF('盛付札（関数）'!DK65,"*赤*")),24,
VLOOKUP('盛付札（関数）'!DK65,商品マスタ一覧!$D:$I,6,FALSE)),"")</f>
        <v/>
      </c>
      <c r="DL69" s="93" t="str">
        <f ca="1">IF(DK67&lt;&gt;"","　端数","")</f>
        <v/>
      </c>
      <c r="DM69" s="94"/>
      <c r="DN69" s="93" t="str">
        <f ca="1">IF(DK67&lt;&gt;"","アレルギー","")</f>
        <v/>
      </c>
      <c r="DO69" s="97"/>
      <c r="DP69" s="80"/>
      <c r="DQ69" s="80"/>
      <c r="DR69" s="93" t="str">
        <f ca="1">IF(DS67&lt;&gt;"","パン箱","")</f>
        <v/>
      </c>
      <c r="DS69" s="94" t="str">
        <f ca="1">IF(DS67&lt;&gt;"",IF(OR(COUNTIF('盛付札（関数）'!DS65,"*キャラ*"),COUNTIF('盛付札（関数）'!DS65,"*赤*")),24,
VLOOKUP('盛付札（関数）'!DS65,商品マスタ一覧!$D:$I,6,FALSE)),"")</f>
        <v/>
      </c>
      <c r="DT69" s="93" t="str">
        <f ca="1">IF(DS67&lt;&gt;"","　端数","")</f>
        <v/>
      </c>
      <c r="DU69" s="94"/>
      <c r="DV69" s="93" t="str">
        <f ca="1">IF(DS67&lt;&gt;"","アレルギー","")</f>
        <v/>
      </c>
      <c r="DW69" s="101"/>
      <c r="DX69" s="80"/>
      <c r="DY69" s="93" t="str">
        <f ca="1">IF(DZ67&lt;&gt;"","パン箱","")</f>
        <v/>
      </c>
      <c r="DZ69" s="94" t="str">
        <f ca="1">IF(DZ67&lt;&gt;"",IF(OR(COUNTIF('盛付札（関数）'!DZ65,"*キャラ*"),COUNTIF('盛付札（関数）'!DZ65,"*赤*")),24,
VLOOKUP('盛付札（関数）'!DZ65,商品マスタ一覧!$D:$I,6,FALSE)),"")</f>
        <v/>
      </c>
      <c r="EA69" s="93" t="str">
        <f ca="1">IF(DZ67&lt;&gt;"","　端数","")</f>
        <v/>
      </c>
      <c r="EB69" s="94"/>
      <c r="EC69" s="93" t="str">
        <f ca="1">IF(DZ67&lt;&gt;"","アレルギー","")</f>
        <v/>
      </c>
      <c r="ED69" s="97"/>
      <c r="EE69" s="80"/>
      <c r="EF69" s="80"/>
      <c r="EG69" s="93" t="str">
        <f ca="1">IF(EH67&lt;&gt;"","パン箱","")</f>
        <v/>
      </c>
      <c r="EH69" s="94" t="str">
        <f ca="1">IF(EH67&lt;&gt;"",IF(OR(COUNTIF('盛付札（関数）'!EH65,"*キャラ*"),COUNTIF('盛付札（関数）'!EH65,"*赤*")),24,
VLOOKUP('盛付札（関数）'!EH65,商品マスタ一覧!$D:$I,6,FALSE)),"")</f>
        <v/>
      </c>
      <c r="EI69" s="93" t="str">
        <f ca="1">IF(EH67&lt;&gt;"","　端数","")</f>
        <v/>
      </c>
      <c r="EJ69" s="94"/>
      <c r="EK69" s="93" t="str">
        <f ca="1">IF(EH67&lt;&gt;"","アレルギー","")</f>
        <v/>
      </c>
      <c r="EL69" s="101"/>
      <c r="EM69" s="80"/>
      <c r="EN69" s="93" t="str">
        <f ca="1">IF(EO67&lt;&gt;"","パン箱","")</f>
        <v/>
      </c>
      <c r="EO69" s="94" t="str">
        <f ca="1">IF(EO67&lt;&gt;"",IF(OR(COUNTIF('盛付札（関数）'!EO65,"*キャラ*"),COUNTIF('盛付札（関数）'!EO65,"*赤*")),24,
VLOOKUP('盛付札（関数）'!EO65,商品マスタ一覧!$D:$I,6,FALSE)),"")</f>
        <v/>
      </c>
      <c r="EP69" s="93" t="str">
        <f ca="1">IF(EO67&lt;&gt;"","　端数","")</f>
        <v/>
      </c>
      <c r="EQ69" s="94"/>
      <c r="ER69" s="93" t="str">
        <f ca="1">IF(EO67&lt;&gt;"","アレルギー","")</f>
        <v/>
      </c>
      <c r="ES69" s="97"/>
      <c r="ET69" s="110"/>
      <c r="EU69" s="82">
        <f t="shared" si="4"/>
        <v>35</v>
      </c>
      <c r="EV69" s="82" t="str">
        <f t="array" aca="1" ref="EV69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LEN(SUBSTITUTE(_xlfn.FORMULATEXT(EV$49),"=","")))+$EU69)</f>
        <v/>
      </c>
      <c r="EW69" s="82" t="str">
        <f t="array" aca="1" ref="EW69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LEN(SUBSTITUTE(_xlfn.FORMULATEXT(EW$49),"=","")))+$EU69)</f>
        <v/>
      </c>
      <c r="EX69" s="82" t="str">
        <f t="array" aca="1" ref="EX69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LEN(SUBSTITUTE(_xlfn.FORMULATEXT(EX$49),"=","")))+$EU69)</f>
        <v/>
      </c>
      <c r="EY69" s="82" t="str">
        <f t="array" aca="1" ref="EY69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LEN(SUBSTITUTE(_xlfn.FORMULATEXT(EY$49),"=","")))+$EU69)</f>
        <v/>
      </c>
      <c r="EZ69" s="82" t="str">
        <f t="array" aca="1" ref="EZ69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LEN(SUBSTITUTE(_xlfn.FORMULATEXT(EZ$49),"=","")))+$EU69)</f>
        <v/>
      </c>
      <c r="FA69" s="82" t="e">
        <f t="array" aca="1" ref="FA69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LEN(SUBSTITUTE(_xlfn.FORMULATEXT(FA$49),"=","")))+$EU69)</f>
        <v>#VALUE!</v>
      </c>
      <c r="FB69" s="82" t="str">
        <f t="array" aca="1" ref="FB69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LEN(SUBSTITUTE(_xlfn.FORMULATEXT(FB$49),"=","")))+$EU69)</f>
        <v/>
      </c>
      <c r="FC69" s="82" t="str">
        <f t="array" aca="1" ref="FC69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LEN(SUBSTITUTE(_xlfn.FORMULATEXT(FC$49),"=","")))+$EU69)</f>
        <v/>
      </c>
      <c r="FD69" s="82" t="e">
        <f t="array" aca="1" ref="FD69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LEN(SUBSTITUTE(_xlfn.FORMULATEXT(FD$49),"=","")))+$EU69)</f>
        <v>#VALUE!</v>
      </c>
      <c r="FE69" s="82" t="str">
        <f t="array" aca="1" ref="FE69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LEN(SUBSTITUTE(_xlfn.FORMULATEXT(FE$49),"=","")))+$EU69)</f>
        <v/>
      </c>
      <c r="FF69" s="82" t="e">
        <f t="array" aca="1" ref="FF69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LEN(SUBSTITUTE(_xlfn.FORMULATEXT(FF$49),"=","")))+$EU69)</f>
        <v>#N/A</v>
      </c>
      <c r="FG69" s="82">
        <f t="shared" ca="1" si="5"/>
        <v>0</v>
      </c>
      <c r="FH69" s="82" t="e">
        <f t="array" aca="1" ref="FH69" ca="1">SUMPRODUCT((LEN(EV69:FF69)&gt;0)*1)&gt;0</f>
        <v>#VALUE!</v>
      </c>
      <c r="FI69" s="82" t="str">
        <f t="array" aca="1" ref="FI69" ca="1">IFERROR(SMALL(IF(FG$1:FG$173&lt;&gt;0,FG$1:FG$173),ROW(A69)),"")</f>
        <v/>
      </c>
      <c r="FJ69" s="82" t="str">
        <f t="array" aca="1" ref="FJ69" ca="1">IF($FI69&lt;&gt;"",
INDIRECT(""&amp;IF(COLUMN(EV69)&lt;=26,CHAR(COLUMN(EV69)+64),CHAR(INT((COLUMN(EV69)-1)/26)+64)&amp;CHAR(MOD(COLUMN(EV69)-1,26)+65))&amp;$FI69&amp;""),"")</f>
        <v/>
      </c>
      <c r="FK69" s="82" t="str">
        <f t="array" aca="1" ref="FK69" ca="1">IF($FI69&lt;&gt;"",
INDIRECT(""&amp;IF(COLUMN(EW69)&lt;=26,CHAR(COLUMN(EW69)+64),CHAR(INT((COLUMN(EW69)-1)/26)+64)&amp;CHAR(MOD(COLUMN(EW69)-1,26)+65))&amp;$FI69&amp;""),"")</f>
        <v/>
      </c>
      <c r="FL69" s="82" t="str">
        <f t="array" aca="1" ref="FL69" ca="1">IF($FI69&lt;&gt;"",
INDIRECT(""&amp;IF(COLUMN(EX69)&lt;=26,CHAR(COLUMN(EX69)+64),CHAR(INT((COLUMN(EX69)-1)/26)+64)&amp;CHAR(MOD(COLUMN(EX69)-1,26)+65))&amp;$FI69&amp;""),"")</f>
        <v/>
      </c>
      <c r="FM69" s="82" t="str">
        <f t="array" aca="1" ref="FM69" ca="1">IF($FI69&lt;&gt;"",
IF(FL69="",
IF(INDIRECT("EY"&amp;$FI69&amp;"")&lt;&gt;"",
INDIRECT("EY"&amp;$FI69&amp;"")&amp;"箱"
&amp;INDIRECT("EZ"&amp;$FI69&amp;""),""),""),"")</f>
        <v/>
      </c>
      <c r="FN69" s="82" t="str">
        <f t="array" aca="1" ref="FN69" ca="1">IF($FI69&lt;&gt;"",
INDIRECT(""&amp;IF(COLUMN(FA69)&lt;=26,CHAR(COLUMN(FA69)+64),CHAR(INT((COLUMN(FA69)-1)/26)+64)&amp;CHAR(MOD(COLUMN(FA69)-1,26)+65))&amp;$FI69&amp;""),"")</f>
        <v/>
      </c>
      <c r="FO69" s="82" t="str">
        <f t="array" aca="1" ref="FO69" ca="1">IF($FI69&lt;&gt;"",
INDIRECT(""&amp;IF(COLUMN(FB69)&lt;=26,CHAR(COLUMN(FB69)+64),CHAR(INT((COLUMN(FB69)-1)/26)+64)&amp;CHAR(MOD(COLUMN(FB69)-1,26)+65))&amp;$FI69&amp;""),"")</f>
        <v/>
      </c>
      <c r="FP69" s="82" t="str">
        <f t="array" aca="1" ref="FP69" ca="1">IF($FI69&lt;&gt;"",
INDIRECT(""&amp;IF(COLUMN(FC69)&lt;=26,CHAR(COLUMN(FC69)+64),CHAR(INT((COLUMN(FC69)-1)/26)+64)&amp;CHAR(MOD(COLUMN(FC69)-1,26)+65))&amp;$FI69&amp;""),"")</f>
        <v/>
      </c>
      <c r="FQ69" s="82" t="str">
        <f t="array" aca="1" ref="FQ69" ca="1">IF($FI69&lt;&gt;"",
INDIRECT(""&amp;IF(COLUMN(FD69)&lt;=26,CHAR(COLUMN(FD69)+64),CHAR(INT((COLUMN(FD69)-1)/26)+64)&amp;CHAR(MOD(COLUMN(FD69)-1,26)+65))&amp;$FI69&amp;""),"")</f>
        <v/>
      </c>
      <c r="FR69" s="82" t="str">
        <f t="array" aca="1" ref="FR69" ca="1">IF($FI69&lt;&gt;"",
INDIRECT(""&amp;IF(COLUMN(FE69)&lt;=26,CHAR(COLUMN(FE69)+64),CHAR(INT((COLUMN(FE69)-1)/26)+64)&amp;CHAR(MOD(COLUMN(FE69)-1,26)+65))&amp;$FI69&amp;""),"")</f>
        <v/>
      </c>
      <c r="FS69" s="82" t="str">
        <f t="array" aca="1" ref="FS69" ca="1">IF($FI69&lt;&gt;"",
INDIRECT(""&amp;IF(COLUMN(FF69)&lt;=26,CHAR(COLUMN(FF69)+64),CHAR(INT((COLUMN(FF69)-1)/26)+64)&amp;CHAR(MOD(COLUMN(FF69)-1,26)+65))&amp;$FI69&amp;""),"")</f>
        <v/>
      </c>
    </row>
    <row r="70" spans="1:175" ht="21" customHeight="1" x14ac:dyDescent="0.45">
      <c r="B70" s="196" t="str">
        <f ca="1">IF(C67&lt;&gt;"",
IFERROR(INT(C67/C69),""),"")</f>
        <v/>
      </c>
      <c r="C70" s="195"/>
      <c r="D70" s="196" t="str">
        <f ca="1">IFERROR(MOD(C67,C69),"")</f>
        <v/>
      </c>
      <c r="E70" s="195"/>
      <c r="F70" s="194" t="str">
        <f ca="1">IF(C64&lt;&gt;"",G66+G67,"")</f>
        <v/>
      </c>
      <c r="G70" s="195"/>
      <c r="I70" s="196" t="str">
        <f ca="1">IF(J67&lt;&gt;"",
IFERROR(INT(J67/J69),""),"")</f>
        <v/>
      </c>
      <c r="J70" s="195"/>
      <c r="K70" s="196" t="str">
        <f ca="1">IFERROR(MOD(J67,J69),"")</f>
        <v/>
      </c>
      <c r="L70" s="195"/>
      <c r="M70" s="194" t="str">
        <f ca="1">IF(J64&lt;&gt;"",N66+N67,"")</f>
        <v/>
      </c>
      <c r="N70" s="195"/>
      <c r="Q70" s="196" t="str">
        <f ca="1">IF(R67&lt;&gt;"",
IFERROR(INT(R67/R69),""),"")</f>
        <v/>
      </c>
      <c r="R70" s="195"/>
      <c r="S70" s="196" t="str">
        <f ca="1">IFERROR(MOD(R67,R69),"")</f>
        <v/>
      </c>
      <c r="T70" s="195"/>
      <c r="U70" s="194" t="str">
        <f ca="1">IF(R64&lt;&gt;"",V66+V67,"")</f>
        <v/>
      </c>
      <c r="V70" s="195"/>
      <c r="X70" s="196" t="str">
        <f ca="1">IF(Y67&lt;&gt;"",
IFERROR(INT(Y67/Y69),""),"")</f>
        <v/>
      </c>
      <c r="Y70" s="195"/>
      <c r="Z70" s="196" t="str">
        <f ca="1">IFERROR(MOD(Y67,Y69),"")</f>
        <v/>
      </c>
      <c r="AA70" s="195"/>
      <c r="AB70" s="194" t="str">
        <f ca="1">IF(Y64&lt;&gt;"",AC66+AC67,"")</f>
        <v/>
      </c>
      <c r="AC70" s="195"/>
      <c r="AF70" s="196" t="str">
        <f ca="1">IF(AG67&lt;&gt;"",
IFERROR(INT(AG67/AG69),""),"")</f>
        <v/>
      </c>
      <c r="AG70" s="195"/>
      <c r="AH70" s="196" t="str">
        <f ca="1">IFERROR(MOD(AG67,AG69),"")</f>
        <v/>
      </c>
      <c r="AI70" s="195"/>
      <c r="AJ70" s="194" t="str">
        <f ca="1">IF(AG64&lt;&gt;"",AK66+AK67,"")</f>
        <v/>
      </c>
      <c r="AK70" s="195"/>
      <c r="AM70" s="196" t="str">
        <f ca="1">IF(AN67&lt;&gt;"",
IFERROR(INT(AN67/AN69),""),"")</f>
        <v/>
      </c>
      <c r="AN70" s="195"/>
      <c r="AO70" s="196" t="str">
        <f ca="1">IFERROR(MOD(AN67,AN69),"")</f>
        <v/>
      </c>
      <c r="AP70" s="195"/>
      <c r="AQ70" s="194" t="str">
        <f ca="1">IF(AN64&lt;&gt;"",AR66+AR67,"")</f>
        <v/>
      </c>
      <c r="AR70" s="195"/>
      <c r="AU70" s="196" t="str">
        <f ca="1">IF(AV67&lt;&gt;"",
IFERROR(INT(AV67/AV69),""),"")</f>
        <v/>
      </c>
      <c r="AV70" s="195"/>
      <c r="AW70" s="196" t="str">
        <f ca="1">IFERROR(MOD(AV67,AV69),"")</f>
        <v/>
      </c>
      <c r="AX70" s="195"/>
      <c r="AY70" s="194" t="str">
        <f ca="1">IF(AV64&lt;&gt;"",AZ66+AZ67,"")</f>
        <v/>
      </c>
      <c r="AZ70" s="195"/>
      <c r="BB70" s="196" t="str">
        <f ca="1">IF(BC67&lt;&gt;"",
IFERROR(INT(BC67/BC69),""),"")</f>
        <v/>
      </c>
      <c r="BC70" s="195"/>
      <c r="BD70" s="196" t="str">
        <f ca="1">IFERROR(MOD(BC67,BC69),"")</f>
        <v/>
      </c>
      <c r="BE70" s="195"/>
      <c r="BF70" s="194" t="str">
        <f ca="1">IF(BC64&lt;&gt;"",BG66+BG67,"")</f>
        <v/>
      </c>
      <c r="BG70" s="195"/>
      <c r="BJ70" s="196" t="str">
        <f ca="1">IF(BK67&lt;&gt;"",
IFERROR(INT(BK67/BK69),""),"")</f>
        <v/>
      </c>
      <c r="BK70" s="195"/>
      <c r="BL70" s="196" t="str">
        <f ca="1">IFERROR(MOD(BK67,BK69),"")</f>
        <v/>
      </c>
      <c r="BM70" s="195"/>
      <c r="BN70" s="194" t="str">
        <f ca="1">IF(BK64&lt;&gt;"",BO66+BO67,"")</f>
        <v/>
      </c>
      <c r="BO70" s="195"/>
      <c r="BQ70" s="196" t="str">
        <f ca="1">IF(BR67&lt;&gt;"",
IFERROR(INT(BR67/BR69),""),"")</f>
        <v/>
      </c>
      <c r="BR70" s="195"/>
      <c r="BS70" s="196" t="str">
        <f ca="1">IFERROR(MOD(BR67,BR69),"")</f>
        <v/>
      </c>
      <c r="BT70" s="195"/>
      <c r="BU70" s="194" t="str">
        <f ca="1">IF(BR64&lt;&gt;"",BV66+BV67,"")</f>
        <v/>
      </c>
      <c r="BV70" s="195"/>
      <c r="BY70" s="196" t="str">
        <f ca="1">IF(BZ67&lt;&gt;"",
IFERROR(INT(BZ67/BZ69),""),"")</f>
        <v/>
      </c>
      <c r="BZ70" s="195"/>
      <c r="CA70" s="196" t="str">
        <f ca="1">IFERROR(MOD(BZ67,BZ69),"")</f>
        <v/>
      </c>
      <c r="CB70" s="195"/>
      <c r="CC70" s="194" t="str">
        <f ca="1">IF(BZ64&lt;&gt;"",CD66+CD67,"")</f>
        <v/>
      </c>
      <c r="CD70" s="195"/>
      <c r="CF70" s="196" t="str">
        <f ca="1">IF(CG67&lt;&gt;"",
IFERROR(INT(CG67/CG69),""),"")</f>
        <v/>
      </c>
      <c r="CG70" s="195"/>
      <c r="CH70" s="196" t="str">
        <f ca="1">IFERROR(MOD(CG67,CG69),"")</f>
        <v/>
      </c>
      <c r="CI70" s="195"/>
      <c r="CJ70" s="194" t="str">
        <f ca="1">IF(CG64&lt;&gt;"",CK66+CK67,"")</f>
        <v/>
      </c>
      <c r="CK70" s="195"/>
      <c r="CN70" s="196" t="str">
        <f ca="1">IF(CO67&lt;&gt;"",
IFERROR(INT(CO67/CO69),""),"")</f>
        <v/>
      </c>
      <c r="CO70" s="195"/>
      <c r="CP70" s="196" t="str">
        <f ca="1">IFERROR(MOD(CO67,CO69),"")</f>
        <v/>
      </c>
      <c r="CQ70" s="195"/>
      <c r="CR70" s="194" t="str">
        <f ca="1">IF(CO64&lt;&gt;"",CS66+CS67,"")</f>
        <v/>
      </c>
      <c r="CS70" s="195"/>
      <c r="CU70" s="196" t="str">
        <f ca="1">IF(CV67&lt;&gt;"",
IFERROR(INT(CV67/CV69),""),"")</f>
        <v/>
      </c>
      <c r="CV70" s="195"/>
      <c r="CW70" s="196" t="str">
        <f ca="1">IFERROR(MOD(CV67,CV69),"")</f>
        <v/>
      </c>
      <c r="CX70" s="195"/>
      <c r="CY70" s="194" t="str">
        <f ca="1">IF(CV64&lt;&gt;"",CZ66+CZ67,"")</f>
        <v/>
      </c>
      <c r="CZ70" s="195"/>
      <c r="DC70" s="196" t="str">
        <f ca="1">IF(DD67&lt;&gt;"",
IFERROR(INT(DD67/DD69),""),"")</f>
        <v/>
      </c>
      <c r="DD70" s="195"/>
      <c r="DE70" s="196" t="str">
        <f ca="1">IFERROR(MOD(DD67,DD69),"")</f>
        <v/>
      </c>
      <c r="DF70" s="195"/>
      <c r="DG70" s="194" t="str">
        <f ca="1">IF(DD64&lt;&gt;"",DH66+DH67,"")</f>
        <v/>
      </c>
      <c r="DH70" s="195"/>
      <c r="DJ70" s="196" t="str">
        <f ca="1">IF(DK67&lt;&gt;"",
IFERROR(INT(DK67/DK69),""),"")</f>
        <v/>
      </c>
      <c r="DK70" s="195"/>
      <c r="DL70" s="196" t="str">
        <f ca="1">IFERROR(MOD(DK67,DK69),"")</f>
        <v/>
      </c>
      <c r="DM70" s="195"/>
      <c r="DN70" s="194" t="str">
        <f ca="1">IF(DK64&lt;&gt;"",DO66+DO67,"")</f>
        <v/>
      </c>
      <c r="DO70" s="195"/>
      <c r="DR70" s="196" t="str">
        <f ca="1">IF(DS67&lt;&gt;"",
IFERROR(INT(DS67/DS69),""),"")</f>
        <v/>
      </c>
      <c r="DS70" s="195"/>
      <c r="DT70" s="196" t="str">
        <f ca="1">IFERROR(MOD(DS67,DS69),"")</f>
        <v/>
      </c>
      <c r="DU70" s="195"/>
      <c r="DV70" s="194" t="str">
        <f ca="1">IF(DS64&lt;&gt;"",DW66+DW67,"")</f>
        <v/>
      </c>
      <c r="DW70" s="195"/>
      <c r="DY70" s="196" t="str">
        <f ca="1">IF(DZ67&lt;&gt;"",
IFERROR(INT(DZ67/DZ69),""),"")</f>
        <v/>
      </c>
      <c r="DZ70" s="195"/>
      <c r="EA70" s="196" t="str">
        <f ca="1">IFERROR(MOD(DZ67,DZ69),"")</f>
        <v/>
      </c>
      <c r="EB70" s="195"/>
      <c r="EC70" s="194" t="str">
        <f ca="1">IF(DZ64&lt;&gt;"",ED66+ED67,"")</f>
        <v/>
      </c>
      <c r="ED70" s="195"/>
      <c r="EG70" s="196" t="str">
        <f ca="1">IF(EH67&lt;&gt;"",
IFERROR(INT(EH67/EH69),""),"")</f>
        <v/>
      </c>
      <c r="EH70" s="195"/>
      <c r="EI70" s="196" t="str">
        <f ca="1">IFERROR(MOD(EH67,EH69),"")</f>
        <v/>
      </c>
      <c r="EJ70" s="195"/>
      <c r="EK70" s="194" t="str">
        <f ca="1">IF(EH64&lt;&gt;"",EL66+EL67,"")</f>
        <v/>
      </c>
      <c r="EL70" s="195"/>
      <c r="EN70" s="196" t="str">
        <f ca="1">IF(EO67&lt;&gt;"",
IFERROR(INT(EO67/EO69),""),"")</f>
        <v/>
      </c>
      <c r="EO70" s="195"/>
      <c r="EP70" s="196" t="str">
        <f ca="1">IFERROR(MOD(EO67,EO69),"")</f>
        <v/>
      </c>
      <c r="EQ70" s="195"/>
      <c r="ER70" s="194" t="str">
        <f ca="1">IF(EO64&lt;&gt;"",ES66+ES67,"")</f>
        <v/>
      </c>
      <c r="ES70" s="195"/>
      <c r="ET70" s="75"/>
      <c r="EU70" s="82">
        <f t="shared" si="4"/>
        <v>77</v>
      </c>
      <c r="EV70" s="82" t="str">
        <f t="array" aca="1" ref="EV70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LEN(SUBSTITUTE(_xlfn.FORMULATEXT(EV$49),"=","")))+$EU70)</f>
        <v/>
      </c>
      <c r="EW70" s="82" t="str">
        <f t="array" aca="1" ref="EW70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LEN(SUBSTITUTE(_xlfn.FORMULATEXT(EW$49),"=","")))+$EU70)</f>
        <v/>
      </c>
      <c r="EX70" s="82" t="str">
        <f t="array" aca="1" ref="EX70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LEN(SUBSTITUTE(_xlfn.FORMULATEXT(EX$49),"=","")))+$EU70)</f>
        <v/>
      </c>
      <c r="EY70" s="82" t="str">
        <f t="array" aca="1" ref="EY70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LEN(SUBSTITUTE(_xlfn.FORMULATEXT(EY$49),"=","")))+$EU70)</f>
        <v/>
      </c>
      <c r="EZ70" s="82" t="str">
        <f t="array" aca="1" ref="EZ70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LEN(SUBSTITUTE(_xlfn.FORMULATEXT(EZ$49),"=","")))+$EU70)</f>
        <v/>
      </c>
      <c r="FA70" s="82" t="str">
        <f t="array" aca="1" ref="FA70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LEN(SUBSTITUTE(_xlfn.FORMULATEXT(FA$49),"=","")))+$EU70)</f>
        <v/>
      </c>
      <c r="FB70" s="82" t="str">
        <f t="array" aca="1" ref="FB70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LEN(SUBSTITUTE(_xlfn.FORMULATEXT(FB$49),"=","")))+$EU70)</f>
        <v/>
      </c>
      <c r="FC70" s="82" t="str">
        <f t="array" aca="1" ref="FC70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LEN(SUBSTITUTE(_xlfn.FORMULATEXT(FC$49),"=","")))+$EU70)</f>
        <v/>
      </c>
      <c r="FD70" s="82" t="str">
        <f t="array" aca="1" ref="FD70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LEN(SUBSTITUTE(_xlfn.FORMULATEXT(FD$49),"=","")))+$EU70)</f>
        <v/>
      </c>
      <c r="FE70" s="82" t="str">
        <f t="array" aca="1" ref="FE70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LEN(SUBSTITUTE(_xlfn.FORMULATEXT(FE$49),"=","")))+$EU70)</f>
        <v/>
      </c>
      <c r="FF70" s="82" t="str">
        <f t="array" aca="1" ref="FF70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LEN(SUBSTITUTE(_xlfn.FORMULATEXT(FF$49),"=","")))+$EU70)</f>
        <v/>
      </c>
      <c r="FG70" s="82">
        <f t="shared" ca="1" si="5"/>
        <v>0</v>
      </c>
      <c r="FH70" s="82" t="b">
        <f t="array" aca="1" ref="FH70" ca="1">SUMPRODUCT((LEN(EV70:FF70)&gt;0)*1)&gt;0</f>
        <v>0</v>
      </c>
      <c r="FI70" s="82" t="str">
        <f t="array" aca="1" ref="FI70" ca="1">IFERROR(SMALL(IF(FG$1:FG$173&lt;&gt;0,FG$1:FG$173),ROW(A70)),"")</f>
        <v/>
      </c>
      <c r="FJ70" s="82" t="str">
        <f t="array" aca="1" ref="FJ70" ca="1">IF($FI70&lt;&gt;"",
INDIRECT(""&amp;IF(COLUMN(EV70)&lt;=26,CHAR(COLUMN(EV70)+64),CHAR(INT((COLUMN(EV70)-1)/26)+64)&amp;CHAR(MOD(COLUMN(EV70)-1,26)+65))&amp;$FI70&amp;""),"")</f>
        <v/>
      </c>
      <c r="FK70" s="82" t="str">
        <f t="array" aca="1" ref="FK70" ca="1">IF($FI70&lt;&gt;"",
INDIRECT(""&amp;IF(COLUMN(EW70)&lt;=26,CHAR(COLUMN(EW70)+64),CHAR(INT((COLUMN(EW70)-1)/26)+64)&amp;CHAR(MOD(COLUMN(EW70)-1,26)+65))&amp;$FI70&amp;""),"")</f>
        <v/>
      </c>
      <c r="FL70" s="82" t="str">
        <f t="array" aca="1" ref="FL70" ca="1">IF($FI70&lt;&gt;"",
INDIRECT(""&amp;IF(COLUMN(EX70)&lt;=26,CHAR(COLUMN(EX70)+64),CHAR(INT((COLUMN(EX70)-1)/26)+64)&amp;CHAR(MOD(COLUMN(EX70)-1,26)+65))&amp;$FI70&amp;""),"")</f>
        <v/>
      </c>
      <c r="FM70" s="82" t="str">
        <f t="array" aca="1" ref="FM70" ca="1">IF($FI70&lt;&gt;"",
IF(FL70="",
IF(INDIRECT("EY"&amp;$FI70&amp;"")&lt;&gt;"",
INDIRECT("EY"&amp;$FI70&amp;"")&amp;"箱"
&amp;INDIRECT("EZ"&amp;$FI70&amp;""),""),""),"")</f>
        <v/>
      </c>
      <c r="FN70" s="82" t="str">
        <f t="array" aca="1" ref="FN70" ca="1">IF($FI70&lt;&gt;"",
INDIRECT(""&amp;IF(COLUMN(FA70)&lt;=26,CHAR(COLUMN(FA70)+64),CHAR(INT((COLUMN(FA70)-1)/26)+64)&amp;CHAR(MOD(COLUMN(FA70)-1,26)+65))&amp;$FI70&amp;""),"")</f>
        <v/>
      </c>
      <c r="FO70" s="82" t="str">
        <f t="array" aca="1" ref="FO70" ca="1">IF($FI70&lt;&gt;"",
INDIRECT(""&amp;IF(COLUMN(FB70)&lt;=26,CHAR(COLUMN(FB70)+64),CHAR(INT((COLUMN(FB70)-1)/26)+64)&amp;CHAR(MOD(COLUMN(FB70)-1,26)+65))&amp;$FI70&amp;""),"")</f>
        <v/>
      </c>
      <c r="FP70" s="82" t="str">
        <f t="array" aca="1" ref="FP70" ca="1">IF($FI70&lt;&gt;"",
INDIRECT(""&amp;IF(COLUMN(FC70)&lt;=26,CHAR(COLUMN(FC70)+64),CHAR(INT((COLUMN(FC70)-1)/26)+64)&amp;CHAR(MOD(COLUMN(FC70)-1,26)+65))&amp;$FI70&amp;""),"")</f>
        <v/>
      </c>
      <c r="FQ70" s="82" t="str">
        <f t="array" aca="1" ref="FQ70" ca="1">IF($FI70&lt;&gt;"",
INDIRECT(""&amp;IF(COLUMN(FD70)&lt;=26,CHAR(COLUMN(FD70)+64),CHAR(INT((COLUMN(FD70)-1)/26)+64)&amp;CHAR(MOD(COLUMN(FD70)-1,26)+65))&amp;$FI70&amp;""),"")</f>
        <v/>
      </c>
      <c r="FR70" s="82" t="str">
        <f t="array" aca="1" ref="FR70" ca="1">IF($FI70&lt;&gt;"",
INDIRECT(""&amp;IF(COLUMN(FE70)&lt;=26,CHAR(COLUMN(FE70)+64),CHAR(INT((COLUMN(FE70)-1)/26)+64)&amp;CHAR(MOD(COLUMN(FE70)-1,26)+65))&amp;$FI70&amp;""),"")</f>
        <v/>
      </c>
      <c r="FS70" s="82" t="str">
        <f t="array" aca="1" ref="FS70" ca="1">IF($FI70&lt;&gt;"",
INDIRECT(""&amp;IF(COLUMN(FF70)&lt;=26,CHAR(COLUMN(FF70)+64),CHAR(INT((COLUMN(FF70)-1)/26)+64)&amp;CHAR(MOD(COLUMN(FF70)-1,26)+65))&amp;$FI70&amp;""),"")</f>
        <v/>
      </c>
    </row>
    <row r="71" spans="1:175" s="82" customFormat="1" ht="18" customHeight="1" x14ac:dyDescent="0.55000000000000004">
      <c r="A71" s="80"/>
      <c r="B71" s="81" t="str">
        <f t="array" aca="1" ref="B71" ca="1">IF(COUNTIF(G29,"*合計*"),"",
IF(C29=J64,
IFERROR(
SUBSTITUTE(ADDRESS(1,
COLUMN(INDIRECT("数出表_Excel!"&amp;I64&amp; (MATCH(G29,数出表_Excel!$A:$A,0)-1))) - 1 +
MATCH(TRUE, ISNUMBER(--INDIRECT("数出表_Excel!"&amp;I64&amp; (MATCH(G29,数出表_Excel!$A:$A,0)-1) &amp; ":U" &amp; (MATCH(G29,数出表_Excel!$A:$A,0)-1))), 0)+1,4),"1",""),
""),
IFERROR(
SUBSTITUTE(ADDRESS(1,
COLUMN(INDIRECT("数出表_Excel!B" &amp; (MATCH(G29,数出表_Excel!$A:$A,0)-1))) - 1 +
MATCH(TRUE, ISNUMBER(--INDIRECT("数出表_Excel!B" &amp; (MATCH(G29,数出表_Excel!$A:$A,0)-1) &amp; ":U" &amp; (MATCH(G29,数出表_Excel!$A:$A,0)-1))), 0)+1,4),"1",""),
"")))</f>
        <v/>
      </c>
      <c r="C71" s="191" t="str">
        <f ca="1">IF(C74&lt;&gt;"",C29,"")</f>
        <v/>
      </c>
      <c r="D71" s="192"/>
      <c r="E71" s="192"/>
      <c r="F71" s="192"/>
      <c r="G71" s="99"/>
      <c r="H71" s="80"/>
      <c r="I71" s="81" t="str">
        <f t="array" aca="1" ref="I71" ca="1">IF(COUNTIF(N29,"*合計*"),"",
IF(J29=C71,
IFERROR(
SUBSTITUTE(ADDRESS(1,
COLUMN(INDIRECT("数出表_Excel!"&amp;B71&amp; (MATCH(N29,数出表_Excel!$A:$A,0)-1))) - 1 +
MATCH(TRUE, ISNUMBER(--INDIRECT("数出表_Excel!"&amp;B71&amp; (MATCH(N29,数出表_Excel!$A:$A,0)-1) &amp; ":U" &amp; (MATCH(N29,数出表_Excel!$A:$A,0)-1))), 0)+1,4),"1",""),
""),
IFERROR(
SUBSTITUTE(ADDRESS(1,
COLUMN(INDIRECT("数出表_Excel!B" &amp; (MATCH(N29,数出表_Excel!$A:$A,0)-1))) - 1 +
MATCH(TRUE, ISNUMBER(--INDIRECT("数出表_Excel!B" &amp; (MATCH(N29,数出表_Excel!$A:$A,0)-1) &amp; ":U" &amp; (MATCH(N29,数出表_Excel!$A:$A,0)-1))), 0)+1,4),"1",""),
"")))</f>
        <v/>
      </c>
      <c r="J71" s="191" t="str">
        <f ca="1">IF(J74&lt;&gt;"",J29,"")</f>
        <v/>
      </c>
      <c r="K71" s="192"/>
      <c r="L71" s="192"/>
      <c r="M71" s="192"/>
      <c r="N71" s="95"/>
      <c r="O71" s="80"/>
      <c r="P71" s="80"/>
      <c r="Q71" s="81" t="str">
        <f t="array" aca="1" ref="Q71" ca="1">IF(COUNTIF(V29,"*合計*"),"",
IF(R29=Y64,
IFERROR(
SUBSTITUTE(ADDRESS(1,
COLUMN(INDIRECT("数出表_Excel!"&amp;X64&amp; (MATCH(V29,数出表_Excel!$A:$A,0)-1))) - 1 +
MATCH(TRUE, ISNUMBER(--INDIRECT("数出表_Excel!"&amp;X64&amp; (MATCH(V29,数出表_Excel!$A:$A,0)-1) &amp; ":U" &amp; (MATCH(V29,数出表_Excel!$A:$A,0)-1))), 0)+1,4),"1",""),
""),
IFERROR(
SUBSTITUTE(ADDRESS(1,
COLUMN(INDIRECT("数出表_Excel!B" &amp; (MATCH(V29,数出表_Excel!$A:$A,0)-1))) - 1 +
MATCH(TRUE, ISNUMBER(--INDIRECT("数出表_Excel!B" &amp; (MATCH(V29,数出表_Excel!$A:$A,0)-1) &amp; ":U" &amp; (MATCH(V29,数出表_Excel!$A:$A,0)-1))), 0)+1,4),"1",""),
"")))</f>
        <v/>
      </c>
      <c r="R71" s="191" t="str">
        <f ca="1">IF(R74&lt;&gt;"",R29,"")</f>
        <v/>
      </c>
      <c r="S71" s="192"/>
      <c r="T71" s="192"/>
      <c r="U71" s="192"/>
      <c r="V71" s="99"/>
      <c r="W71" s="80"/>
      <c r="X71" s="81" t="str">
        <f t="array" aca="1" ref="X71" ca="1">IF(COUNTIF(AC29,"*合計*"),"",
IF(Y29=R71,
IFERROR(
SUBSTITUTE(ADDRESS(1,
COLUMN(INDIRECT("数出表_Excel!"&amp;Q71&amp; (MATCH(AC29,数出表_Excel!$A:$A,0)-1))) - 1 +
MATCH(TRUE, ISNUMBER(--INDIRECT("数出表_Excel!"&amp;Q71&amp; (MATCH(AC29,数出表_Excel!$A:$A,0)-1) &amp; ":U" &amp; (MATCH(AC29,数出表_Excel!$A:$A,0)-1))), 0)+1,4),"1",""),
""),
IFERROR(
SUBSTITUTE(ADDRESS(1,
COLUMN(INDIRECT("数出表_Excel!B" &amp; (MATCH(AC29,数出表_Excel!$A:$A,0)-1))) - 1 +
MATCH(TRUE, ISNUMBER(--INDIRECT("数出表_Excel!B" &amp; (MATCH(AC29,数出表_Excel!$A:$A,0)-1) &amp; ":U" &amp; (MATCH(AC29,数出表_Excel!$A:$A,0)-1))), 0)+1,4),"1",""),
"")))</f>
        <v/>
      </c>
      <c r="Y71" s="191" t="str">
        <f ca="1">IF(Y74&lt;&gt;"",Y29,"")</f>
        <v/>
      </c>
      <c r="Z71" s="192"/>
      <c r="AA71" s="192"/>
      <c r="AB71" s="192"/>
      <c r="AC71" s="95"/>
      <c r="AD71" s="80"/>
      <c r="AE71" s="80"/>
      <c r="AF71" s="81" t="str">
        <f t="array" aca="1" ref="AF71" ca="1">IF(COUNTIF(AK29,"*合計*"),"",
IF(AG29=AN64,
IFERROR(
SUBSTITUTE(ADDRESS(1,
COLUMN(INDIRECT("数出表_Excel!"&amp;AM64&amp; (MATCH(AK29,数出表_Excel!$A:$A,0)-1))) - 1 +
MATCH(TRUE, ISNUMBER(--INDIRECT("数出表_Excel!"&amp;AM64&amp; (MATCH(AK29,数出表_Excel!$A:$A,0)-1) &amp; ":U" &amp; (MATCH(AK29,数出表_Excel!$A:$A,0)-1))), 0)+1,4),"1",""),
""),
IFERROR(
SUBSTITUTE(ADDRESS(1,
COLUMN(INDIRECT("数出表_Excel!B" &amp; (MATCH(AK29,数出表_Excel!$A:$A,0)-1))) - 1 +
MATCH(TRUE, ISNUMBER(--INDIRECT("数出表_Excel!B" &amp; (MATCH(AK29,数出表_Excel!$A:$A,0)-1) &amp; ":U" &amp; (MATCH(AK29,数出表_Excel!$A:$A,0)-1))), 0)+1,4),"1",""),
"")))</f>
        <v/>
      </c>
      <c r="AG71" s="191" t="str">
        <f ca="1">IF(AG74&lt;&gt;"",AG29,"")</f>
        <v/>
      </c>
      <c r="AH71" s="192"/>
      <c r="AI71" s="192"/>
      <c r="AJ71" s="192"/>
      <c r="AK71" s="99"/>
      <c r="AL71" s="80"/>
      <c r="AM71" s="81" t="str">
        <f t="array" aca="1" ref="AM71" ca="1">IF(COUNTIF(AR29,"*合計*"),"",
IF(AN29=AG71,
IFERROR(
SUBSTITUTE(ADDRESS(1,
COLUMN(INDIRECT("数出表_Excel!"&amp;AF71&amp; (MATCH(AR29,数出表_Excel!$A:$A,0)-1))) - 1 +
MATCH(TRUE, ISNUMBER(--INDIRECT("数出表_Excel!"&amp;AF71&amp; (MATCH(AR29,数出表_Excel!$A:$A,0)-1) &amp; ":U" &amp; (MATCH(AR29,数出表_Excel!$A:$A,0)-1))), 0)+1,4),"1",""),
""),
IFERROR(
SUBSTITUTE(ADDRESS(1,
COLUMN(INDIRECT("数出表_Excel!B" &amp; (MATCH(AR29,数出表_Excel!$A:$A,0)-1))) - 1 +
MATCH(TRUE, ISNUMBER(--INDIRECT("数出表_Excel!B" &amp; (MATCH(AR29,数出表_Excel!$A:$A,0)-1) &amp; ":U" &amp; (MATCH(AR29,数出表_Excel!$A:$A,0)-1))), 0)+1,4),"1",""),
"")))</f>
        <v/>
      </c>
      <c r="AN71" s="191" t="str">
        <f ca="1">IF(AN74&lt;&gt;"",AN29,"")</f>
        <v/>
      </c>
      <c r="AO71" s="192"/>
      <c r="AP71" s="192"/>
      <c r="AQ71" s="192"/>
      <c r="AR71" s="95"/>
      <c r="AS71" s="80"/>
      <c r="AT71" s="80"/>
      <c r="AU71" s="81" t="str">
        <f t="array" aca="1" ref="AU71" ca="1">IF(COUNTIF(AZ29,"*合計*"),"",
IF(AV29=BC64,
IFERROR(
SUBSTITUTE(ADDRESS(1,
COLUMN(INDIRECT("数出表_Excel!"&amp;BB64&amp; (MATCH(AZ29,数出表_Excel!$A:$A,0)-1))) - 1 +
MATCH(TRUE, ISNUMBER(--INDIRECT("数出表_Excel!"&amp;BB64&amp; (MATCH(AZ29,数出表_Excel!$A:$A,0)-1) &amp; ":U" &amp; (MATCH(AZ29,数出表_Excel!$A:$A,0)-1))), 0)+1,4),"1",""),
""),
IFERROR(
SUBSTITUTE(ADDRESS(1,
COLUMN(INDIRECT("数出表_Excel!B" &amp; (MATCH(AZ29,数出表_Excel!$A:$A,0)-1))) - 1 +
MATCH(TRUE, ISNUMBER(--INDIRECT("数出表_Excel!B" &amp; (MATCH(AZ29,数出表_Excel!$A:$A,0)-1) &amp; ":U" &amp; (MATCH(AZ29,数出表_Excel!$A:$A,0)-1))), 0)+1,4),"1",""),
"")))</f>
        <v/>
      </c>
      <c r="AV71" s="191" t="str">
        <f ca="1">IF(AV74&lt;&gt;"",AV29,"")</f>
        <v/>
      </c>
      <c r="AW71" s="192"/>
      <c r="AX71" s="192"/>
      <c r="AY71" s="192"/>
      <c r="AZ71" s="99"/>
      <c r="BA71" s="80"/>
      <c r="BB71" s="81" t="str">
        <f t="array" aca="1" ref="BB71" ca="1">IF(COUNTIF(BG29,"*合計*"),"",
IF(BC29=AV71,
IFERROR(
SUBSTITUTE(ADDRESS(1,
COLUMN(INDIRECT("数出表_Excel!"&amp;AU71&amp; (MATCH(BG29,数出表_Excel!$A:$A,0)-1))) - 1 +
MATCH(TRUE, ISNUMBER(--INDIRECT("数出表_Excel!"&amp;AU71&amp; (MATCH(BG29,数出表_Excel!$A:$A,0)-1) &amp; ":U" &amp; (MATCH(BG29,数出表_Excel!$A:$A,0)-1))), 0)+1,4),"1",""),
""),
IFERROR(
SUBSTITUTE(ADDRESS(1,
COLUMN(INDIRECT("数出表_Excel!B" &amp; (MATCH(BG29,数出表_Excel!$A:$A,0)-1))) - 1 +
MATCH(TRUE, ISNUMBER(--INDIRECT("数出表_Excel!B" &amp; (MATCH(BG29,数出表_Excel!$A:$A,0)-1) &amp; ":U" &amp; (MATCH(BG29,数出表_Excel!$A:$A,0)-1))), 0)+1,4),"1",""),
"")))</f>
        <v/>
      </c>
      <c r="BC71" s="191" t="str">
        <f ca="1">IF(BC74&lt;&gt;"",BC29,"")</f>
        <v/>
      </c>
      <c r="BD71" s="192"/>
      <c r="BE71" s="192"/>
      <c r="BF71" s="192"/>
      <c r="BG71" s="95"/>
      <c r="BH71" s="80"/>
      <c r="BI71" s="80"/>
      <c r="BJ71" s="81" t="str">
        <f t="array" aca="1" ref="BJ71" ca="1">IF(COUNTIF(BO29,"*合計*"),"",
IF(BK29=BR64,
IFERROR(
SUBSTITUTE(ADDRESS(1,
COLUMN(INDIRECT("数出表_Excel!"&amp;BQ64&amp; (MATCH(BO29,数出表_Excel!$A:$A,0)-1))) - 1 +
MATCH(TRUE, ISNUMBER(--INDIRECT("数出表_Excel!"&amp;BQ64&amp; (MATCH(BO29,数出表_Excel!$A:$A,0)-1) &amp; ":U" &amp; (MATCH(BO29,数出表_Excel!$A:$A,0)-1))), 0)+1,4),"1",""),
""),
IFERROR(
SUBSTITUTE(ADDRESS(1,
COLUMN(INDIRECT("数出表_Excel!B" &amp; (MATCH(BO29,数出表_Excel!$A:$A,0)-1))) - 1 +
MATCH(TRUE, ISNUMBER(--INDIRECT("数出表_Excel!B" &amp; (MATCH(BO29,数出表_Excel!$A:$A,0)-1) &amp; ":U" &amp; (MATCH(BO29,数出表_Excel!$A:$A,0)-1))), 0)+1,4),"1",""),
"")))</f>
        <v/>
      </c>
      <c r="BK71" s="191" t="str">
        <f ca="1">IF(BK74&lt;&gt;"",BK29,"")</f>
        <v/>
      </c>
      <c r="BL71" s="192"/>
      <c r="BM71" s="192"/>
      <c r="BN71" s="192"/>
      <c r="BO71" s="99"/>
      <c r="BP71" s="80"/>
      <c r="BQ71" s="81" t="str">
        <f t="array" aca="1" ref="BQ71" ca="1">IF(COUNTIF(BV29,"*合計*"),"",
IF(BR29=BK71,
IFERROR(
SUBSTITUTE(ADDRESS(1,
COLUMN(INDIRECT("数出表_Excel!"&amp;BJ71&amp; (MATCH(BV29,数出表_Excel!$A:$A,0)-1))) - 1 +
MATCH(TRUE, ISNUMBER(--INDIRECT("数出表_Excel!"&amp;BJ71&amp; (MATCH(BV29,数出表_Excel!$A:$A,0)-1) &amp; ":U" &amp; (MATCH(BV29,数出表_Excel!$A:$A,0)-1))), 0)+1,4),"1",""),
""),
IFERROR(
SUBSTITUTE(ADDRESS(1,
COLUMN(INDIRECT("数出表_Excel!B" &amp; (MATCH(BV29,数出表_Excel!$A:$A,0)-1))) - 1 +
MATCH(TRUE, ISNUMBER(--INDIRECT("数出表_Excel!B" &amp; (MATCH(BV29,数出表_Excel!$A:$A,0)-1) &amp; ":U" &amp; (MATCH(BV29,数出表_Excel!$A:$A,0)-1))), 0)+1,4),"1",""),
"")))</f>
        <v/>
      </c>
      <c r="BR71" s="191" t="str">
        <f ca="1">IF(BR74&lt;&gt;"",BR29,"")</f>
        <v/>
      </c>
      <c r="BS71" s="192"/>
      <c r="BT71" s="192"/>
      <c r="BU71" s="192"/>
      <c r="BV71" s="95"/>
      <c r="BW71" s="80"/>
      <c r="BX71" s="80"/>
      <c r="BY71" s="81" t="str">
        <f t="array" aca="1" ref="BY71" ca="1">IF(COUNTIF(CD29,"*合計*"),"",
IF(BZ29=CG64,
IFERROR(
SUBSTITUTE(ADDRESS(1,
COLUMN(INDIRECT("数出表_Excel!"&amp;CF64&amp; (MATCH(CD29,数出表_Excel!$A:$A,0)-1))) - 1 +
MATCH(TRUE, ISNUMBER(--INDIRECT("数出表_Excel!"&amp;CF64&amp; (MATCH(CD29,数出表_Excel!$A:$A,0)-1) &amp; ":U" &amp; (MATCH(CD29,数出表_Excel!$A:$A,0)-1))), 0)+1,4),"1",""),
""),
IFERROR(
SUBSTITUTE(ADDRESS(1,
COLUMN(INDIRECT("数出表_Excel!B" &amp; (MATCH(CD29,数出表_Excel!$A:$A,0)-1))) - 1 +
MATCH(TRUE, ISNUMBER(--INDIRECT("数出表_Excel!B" &amp; (MATCH(CD29,数出表_Excel!$A:$A,0)-1) &amp; ":U" &amp; (MATCH(CD29,数出表_Excel!$A:$A,0)-1))), 0)+1,4),"1",""),
"")))</f>
        <v/>
      </c>
      <c r="BZ71" s="191" t="str">
        <f ca="1">IF(BZ74&lt;&gt;"",BZ29,"")</f>
        <v/>
      </c>
      <c r="CA71" s="192"/>
      <c r="CB71" s="192"/>
      <c r="CC71" s="192"/>
      <c r="CD71" s="99"/>
      <c r="CE71" s="80"/>
      <c r="CF71" s="81" t="str">
        <f t="array" aca="1" ref="CF71" ca="1">IF(COUNTIF(CK29,"*合計*"),"",
IF(CG29=BZ71,
IFERROR(
SUBSTITUTE(ADDRESS(1,
COLUMN(INDIRECT("数出表_Excel!"&amp;BY71&amp; (MATCH(CK29,数出表_Excel!$A:$A,0)-1))) - 1 +
MATCH(TRUE, ISNUMBER(--INDIRECT("数出表_Excel!"&amp;BY71&amp; (MATCH(CK29,数出表_Excel!$A:$A,0)-1) &amp; ":U" &amp; (MATCH(CK29,数出表_Excel!$A:$A,0)-1))), 0)+1,4),"1",""),
""),
IFERROR(
SUBSTITUTE(ADDRESS(1,
COLUMN(INDIRECT("数出表_Excel!B" &amp; (MATCH(CK29,数出表_Excel!$A:$A,0)-1))) - 1 +
MATCH(TRUE, ISNUMBER(--INDIRECT("数出表_Excel!B" &amp; (MATCH(CK29,数出表_Excel!$A:$A,0)-1) &amp; ":U" &amp; (MATCH(CK29,数出表_Excel!$A:$A,0)-1))), 0)+1,4),"1",""),
"")))</f>
        <v/>
      </c>
      <c r="CG71" s="191" t="str">
        <f ca="1">IF(CG74&lt;&gt;"",CG29,"")</f>
        <v/>
      </c>
      <c r="CH71" s="192"/>
      <c r="CI71" s="192"/>
      <c r="CJ71" s="192"/>
      <c r="CK71" s="95"/>
      <c r="CL71" s="80"/>
      <c r="CM71" s="80"/>
      <c r="CN71" s="81" t="str">
        <f t="array" aca="1" ref="CN71" ca="1">IF(COUNTIF(CS29,"*合計*"),"",
IF(CO29=CV64,
IFERROR(
SUBSTITUTE(ADDRESS(1,
COLUMN(INDIRECT("数出表_Excel!"&amp;CU64&amp; (MATCH(CS29,数出表_Excel!$A:$A,0)-1))) - 1 +
MATCH(TRUE, ISNUMBER(--INDIRECT("数出表_Excel!"&amp;CU64&amp; (MATCH(CS29,数出表_Excel!$A:$A,0)-1) &amp; ":U" &amp; (MATCH(CS29,数出表_Excel!$A:$A,0)-1))), 0)+1,4),"1",""),
""),
IFERROR(
SUBSTITUTE(ADDRESS(1,
COLUMN(INDIRECT("数出表_Excel!B" &amp; (MATCH(CS29,数出表_Excel!$A:$A,0)-1))) - 1 +
MATCH(TRUE, ISNUMBER(--INDIRECT("数出表_Excel!B" &amp; (MATCH(CS29,数出表_Excel!$A:$A,0)-1) &amp; ":U" &amp; (MATCH(CS29,数出表_Excel!$A:$A,0)-1))), 0)+1,4),"1",""),
"")))</f>
        <v/>
      </c>
      <c r="CO71" s="191" t="str">
        <f ca="1">IF(CO74&lt;&gt;"",CO29,"")</f>
        <v/>
      </c>
      <c r="CP71" s="192"/>
      <c r="CQ71" s="192"/>
      <c r="CR71" s="192"/>
      <c r="CS71" s="99"/>
      <c r="CT71" s="80"/>
      <c r="CU71" s="81" t="str">
        <f t="array" aca="1" ref="CU71" ca="1">IF(COUNTIF(CZ29,"*合計*"),"",
IF(CV29=CO71,
IFERROR(
SUBSTITUTE(ADDRESS(1,
COLUMN(INDIRECT("数出表_Excel!"&amp;CN71&amp; (MATCH(CZ29,数出表_Excel!$A:$A,0)-1))) - 1 +
MATCH(TRUE, ISNUMBER(--INDIRECT("数出表_Excel!"&amp;CN71&amp; (MATCH(CZ29,数出表_Excel!$A:$A,0)-1) &amp; ":U" &amp; (MATCH(CZ29,数出表_Excel!$A:$A,0)-1))), 0)+1,4),"1",""),
""),
IFERROR(
SUBSTITUTE(ADDRESS(1,
COLUMN(INDIRECT("数出表_Excel!B" &amp; (MATCH(CZ29,数出表_Excel!$A:$A,0)-1))) - 1 +
MATCH(TRUE, ISNUMBER(--INDIRECT("数出表_Excel!B" &amp; (MATCH(CZ29,数出表_Excel!$A:$A,0)-1) &amp; ":U" &amp; (MATCH(CZ29,数出表_Excel!$A:$A,0)-1))), 0)+1,4),"1",""),
"")))</f>
        <v/>
      </c>
      <c r="CV71" s="191" t="str">
        <f ca="1">IF(CV74&lt;&gt;"",CV29,"")</f>
        <v/>
      </c>
      <c r="CW71" s="192"/>
      <c r="CX71" s="192"/>
      <c r="CY71" s="192"/>
      <c r="CZ71" s="95"/>
      <c r="DA71" s="80"/>
      <c r="DB71" s="80"/>
      <c r="DC71" s="81" t="str">
        <f t="array" aca="1" ref="DC71" ca="1">IF(COUNTIF(DH29,"*合計*"),"",
IF(DD29=DK64,
IFERROR(
SUBSTITUTE(ADDRESS(1,
COLUMN(INDIRECT("数出表_Excel!"&amp;DJ64&amp; (MATCH(DH29,数出表_Excel!$A:$A,0)-1))) - 1 +
MATCH(TRUE, ISNUMBER(--INDIRECT("数出表_Excel!"&amp;DJ64&amp; (MATCH(DH29,数出表_Excel!$A:$A,0)-1) &amp; ":U" &amp; (MATCH(DH29,数出表_Excel!$A:$A,0)-1))), 0)+1,4),"1",""),
""),
IFERROR(
SUBSTITUTE(ADDRESS(1,
COLUMN(INDIRECT("数出表_Excel!B" &amp; (MATCH(DH29,数出表_Excel!$A:$A,0)-1))) - 1 +
MATCH(TRUE, ISNUMBER(--INDIRECT("数出表_Excel!B" &amp; (MATCH(DH29,数出表_Excel!$A:$A,0)-1) &amp; ":U" &amp; (MATCH(DH29,数出表_Excel!$A:$A,0)-1))), 0)+1,4),"1",""),
"")))</f>
        <v/>
      </c>
      <c r="DD71" s="191" t="str">
        <f ca="1">IF(DD74&lt;&gt;"",DD29,"")</f>
        <v/>
      </c>
      <c r="DE71" s="192"/>
      <c r="DF71" s="192"/>
      <c r="DG71" s="192"/>
      <c r="DH71" s="99"/>
      <c r="DI71" s="80"/>
      <c r="DJ71" s="81" t="str">
        <f t="array" aca="1" ref="DJ71" ca="1">IF(COUNTIF(DO29,"*合計*"),"",
IF(DK29=DD71,
IFERROR(
SUBSTITUTE(ADDRESS(1,
COLUMN(INDIRECT("数出表_Excel!"&amp;DC71&amp; (MATCH(DO29,数出表_Excel!$A:$A,0)-1))) - 1 +
MATCH(TRUE, ISNUMBER(--INDIRECT("数出表_Excel!"&amp;DC71&amp; (MATCH(DO29,数出表_Excel!$A:$A,0)-1) &amp; ":U" &amp; (MATCH(DO29,数出表_Excel!$A:$A,0)-1))), 0)+1,4),"1",""),
""),
IFERROR(
SUBSTITUTE(ADDRESS(1,
COLUMN(INDIRECT("数出表_Excel!B" &amp; (MATCH(DO29,数出表_Excel!$A:$A,0)-1))) - 1 +
MATCH(TRUE, ISNUMBER(--INDIRECT("数出表_Excel!B" &amp; (MATCH(DO29,数出表_Excel!$A:$A,0)-1) &amp; ":U" &amp; (MATCH(DO29,数出表_Excel!$A:$A,0)-1))), 0)+1,4),"1",""),
"")))</f>
        <v/>
      </c>
      <c r="DK71" s="191" t="str">
        <f ca="1">IF(DK74&lt;&gt;"",DK29,"")</f>
        <v/>
      </c>
      <c r="DL71" s="192"/>
      <c r="DM71" s="192"/>
      <c r="DN71" s="192"/>
      <c r="DO71" s="95"/>
      <c r="DP71" s="80"/>
      <c r="DQ71" s="80"/>
      <c r="DR71" s="81" t="str">
        <f t="array" aca="1" ref="DR71" ca="1">IF(COUNTIF(DW29,"*合計*"),"",
IF(DS29=DZ64,
IFERROR(
SUBSTITUTE(ADDRESS(1,
COLUMN(INDIRECT("数出表_Excel!"&amp;DY64&amp; (MATCH(DW29,数出表_Excel!$A:$A,0)-1))) - 1 +
MATCH(TRUE, ISNUMBER(--INDIRECT("数出表_Excel!"&amp;DY64&amp; (MATCH(DW29,数出表_Excel!$A:$A,0)-1) &amp; ":U" &amp; (MATCH(DW29,数出表_Excel!$A:$A,0)-1))), 0)+1,4),"1",""),
""),
IFERROR(
SUBSTITUTE(ADDRESS(1,
COLUMN(INDIRECT("数出表_Excel!B" &amp; (MATCH(DW29,数出表_Excel!$A:$A,0)-1))) - 1 +
MATCH(TRUE, ISNUMBER(--INDIRECT("数出表_Excel!B" &amp; (MATCH(DW29,数出表_Excel!$A:$A,0)-1) &amp; ":U" &amp; (MATCH(DW29,数出表_Excel!$A:$A,0)-1))), 0)+1,4),"1",""),
"")))</f>
        <v/>
      </c>
      <c r="DS71" s="191" t="str">
        <f ca="1">IF(DS74&lt;&gt;"",DS29,"")</f>
        <v/>
      </c>
      <c r="DT71" s="192"/>
      <c r="DU71" s="192"/>
      <c r="DV71" s="192"/>
      <c r="DW71" s="99"/>
      <c r="DX71" s="80"/>
      <c r="DY71" s="81" t="str">
        <f t="array" aca="1" ref="DY71" ca="1">IF(COUNTIF(ED29,"*合計*"),"",
IF(DZ29=DS71,
IFERROR(
SUBSTITUTE(ADDRESS(1,
COLUMN(INDIRECT("数出表_Excel!"&amp;DR71&amp; (MATCH(ED29,数出表_Excel!$A:$A,0)-1))) - 1 +
MATCH(TRUE, ISNUMBER(--INDIRECT("数出表_Excel!"&amp;DR71&amp; (MATCH(ED29,数出表_Excel!$A:$A,0)-1) &amp; ":U" &amp; (MATCH(ED29,数出表_Excel!$A:$A,0)-1))), 0)+1,4),"1",""),
""),
IFERROR(
SUBSTITUTE(ADDRESS(1,
COLUMN(INDIRECT("数出表_Excel!B" &amp; (MATCH(ED29,数出表_Excel!$A:$A,0)-1))) - 1 +
MATCH(TRUE, ISNUMBER(--INDIRECT("数出表_Excel!B" &amp; (MATCH(ED29,数出表_Excel!$A:$A,0)-1) &amp; ":U" &amp; (MATCH(ED29,数出表_Excel!$A:$A,0)-1))), 0)+1,4),"1",""),
"")))</f>
        <v/>
      </c>
      <c r="DZ71" s="191" t="str">
        <f ca="1">IF(DZ74&lt;&gt;"",DZ29,"")</f>
        <v/>
      </c>
      <c r="EA71" s="192"/>
      <c r="EB71" s="192"/>
      <c r="EC71" s="192"/>
      <c r="ED71" s="95"/>
      <c r="EE71" s="80"/>
      <c r="EF71" s="80"/>
      <c r="EG71" s="81" t="str">
        <f t="array" aca="1" ref="EG71" ca="1">IF(COUNTIF(EL29,"*合計*"),"",
IF(EH29=EO64,
IFERROR(
SUBSTITUTE(ADDRESS(1,
COLUMN(INDIRECT("数出表_Excel!"&amp;EN64&amp; (MATCH(EL29,数出表_Excel!$A:$A,0)-1))) - 1 +
MATCH(TRUE, ISNUMBER(--INDIRECT("数出表_Excel!"&amp;EN64&amp; (MATCH(EL29,数出表_Excel!$A:$A,0)-1) &amp; ":U" &amp; (MATCH(EL29,数出表_Excel!$A:$A,0)-1))), 0)+1,4),"1",""),
""),
IFERROR(
SUBSTITUTE(ADDRESS(1,
COLUMN(INDIRECT("数出表_Excel!B" &amp; (MATCH(EL29,数出表_Excel!$A:$A,0)-1))) - 1 +
MATCH(TRUE, ISNUMBER(--INDIRECT("数出表_Excel!B" &amp; (MATCH(EL29,数出表_Excel!$A:$A,0)-1) &amp; ":U" &amp; (MATCH(EL29,数出表_Excel!$A:$A,0)-1))), 0)+1,4),"1",""),
"")))</f>
        <v/>
      </c>
      <c r="EH71" s="191" t="str">
        <f ca="1">IF(EH74&lt;&gt;"",EH29,"")</f>
        <v/>
      </c>
      <c r="EI71" s="192"/>
      <c r="EJ71" s="192"/>
      <c r="EK71" s="192"/>
      <c r="EL71" s="99"/>
      <c r="EM71" s="80"/>
      <c r="EN71" s="81" t="str">
        <f t="array" aca="1" ref="EN71" ca="1">IF(COUNTIF(ES29,"*合計*"),"",
IF(EO29=EH71,
IFERROR(
SUBSTITUTE(ADDRESS(1,
COLUMN(INDIRECT("数出表_Excel!"&amp;EG71&amp; (MATCH(ES29,数出表_Excel!$A:$A,0)-1))) - 1 +
MATCH(TRUE, ISNUMBER(--INDIRECT("数出表_Excel!"&amp;EG71&amp; (MATCH(ES29,数出表_Excel!$A:$A,0)-1) &amp; ":U" &amp; (MATCH(ES29,数出表_Excel!$A:$A,0)-1))), 0)+1,4),"1",""),
""),
IFERROR(
SUBSTITUTE(ADDRESS(1,
COLUMN(INDIRECT("数出表_Excel!B" &amp; (MATCH(ES29,数出表_Excel!$A:$A,0)-1))) - 1 +
MATCH(TRUE, ISNUMBER(--INDIRECT("数出表_Excel!B" &amp; (MATCH(ES29,数出表_Excel!$A:$A,0)-1) &amp; ":U" &amp; (MATCH(ES29,数出表_Excel!$A:$A,0)-1))), 0)+1,4),"1",""),
"")))</f>
        <v/>
      </c>
      <c r="EO71" s="191" t="str">
        <f ca="1">IF(EO74&lt;&gt;"",EO29,"")</f>
        <v/>
      </c>
      <c r="EP71" s="192"/>
      <c r="EQ71" s="192"/>
      <c r="ER71" s="192"/>
      <c r="ES71" s="95"/>
      <c r="ET71" s="110"/>
      <c r="EU71" s="91">
        <f t="shared" si="4"/>
        <v>35</v>
      </c>
      <c r="EV71" s="82" t="str">
        <f t="array" aca="1" ref="EV71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LEN(SUBSTITUTE(_xlfn.FORMULATEXT(EV$51),"=","")))+$EU71)</f>
        <v/>
      </c>
      <c r="EW71" s="82" t="str">
        <f t="array" aca="1" ref="EW71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LEN(SUBSTITUTE(_xlfn.FORMULATEXT(EW$51),"=","")))+$EU71)</f>
        <v/>
      </c>
      <c r="EX71" s="82" t="str">
        <f t="array" aca="1" ref="EX71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LEN(SUBSTITUTE(_xlfn.FORMULATEXT(EX$51),"=","")))+$EU71)</f>
        <v/>
      </c>
      <c r="EY71" s="82" t="str">
        <f t="array" aca="1" ref="EY71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LEN(SUBSTITUTE(_xlfn.FORMULATEXT(EY$51),"=","")))+$EU71)</f>
        <v/>
      </c>
      <c r="EZ71" s="82" t="str">
        <f t="array" aca="1" ref="EZ71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LEN(SUBSTITUTE(_xlfn.FORMULATEXT(EZ$51),"=","")))+$EU71)</f>
        <v/>
      </c>
      <c r="FA71" s="82" t="e">
        <f t="array" aca="1" ref="FA71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LEN(SUBSTITUTE(_xlfn.FORMULATEXT(FA$51),"=","")))+$EU71)</f>
        <v>#VALUE!</v>
      </c>
      <c r="FB71" s="82" t="str">
        <f t="array" aca="1" ref="FB71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LEN(SUBSTITUTE(_xlfn.FORMULATEXT(FB$51),"=","")))+$EU71)</f>
        <v/>
      </c>
      <c r="FC71" s="82" t="str">
        <f t="array" aca="1" ref="FC71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LEN(SUBSTITUTE(_xlfn.FORMULATEXT(FC$51),"=","")))+$EU71)</f>
        <v/>
      </c>
      <c r="FD71" s="82" t="e">
        <f t="array" aca="1" ref="FD71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LEN(SUBSTITUTE(_xlfn.FORMULATEXT(FD$51),"=","")))+$EU71)</f>
        <v>#VALUE!</v>
      </c>
      <c r="FE71" s="82" t="str">
        <f t="array" aca="1" ref="FE71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LEN(SUBSTITUTE(_xlfn.FORMULATEXT(FE$51),"=","")))+$EU71)</f>
        <v/>
      </c>
      <c r="FF71" s="82" t="e">
        <f t="array" aca="1" ref="FF71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LEN(SUBSTITUTE(_xlfn.FORMULATEXT(FF$51),"=","")))+$EU71)</f>
        <v>#N/A</v>
      </c>
      <c r="FG71" s="82">
        <f t="shared" ca="1" si="5"/>
        <v>0</v>
      </c>
      <c r="FH71" s="82" t="e">
        <f t="array" aca="1" ref="FH71" ca="1">SUMPRODUCT((LEN(EV71:FF71)&gt;0)*1)&gt;0</f>
        <v>#VALUE!</v>
      </c>
      <c r="FI71" s="82" t="str">
        <f t="array" aca="1" ref="FI71" ca="1">IFERROR(SMALL(IF(FG$1:FG$173&lt;&gt;0,FG$1:FG$173),ROW(A71)),"")</f>
        <v/>
      </c>
      <c r="FJ71" s="82" t="str">
        <f t="array" aca="1" ref="FJ71" ca="1">IF($FI71&lt;&gt;"",
INDIRECT(""&amp;IF(COLUMN(EV71)&lt;=26,CHAR(COLUMN(EV71)+64),CHAR(INT((COLUMN(EV71)-1)/26)+64)&amp;CHAR(MOD(COLUMN(EV71)-1,26)+65))&amp;$FI71&amp;""),"")</f>
        <v/>
      </c>
      <c r="FK71" s="82" t="str">
        <f t="array" aca="1" ref="FK71" ca="1">IF($FI71&lt;&gt;"",
INDIRECT(""&amp;IF(COLUMN(EW71)&lt;=26,CHAR(COLUMN(EW71)+64),CHAR(INT((COLUMN(EW71)-1)/26)+64)&amp;CHAR(MOD(COLUMN(EW71)-1,26)+65))&amp;$FI71&amp;""),"")</f>
        <v/>
      </c>
      <c r="FL71" s="82" t="str">
        <f t="array" aca="1" ref="FL71" ca="1">IF($FI71&lt;&gt;"",
INDIRECT(""&amp;IF(COLUMN(EX71)&lt;=26,CHAR(COLUMN(EX71)+64),CHAR(INT((COLUMN(EX71)-1)/26)+64)&amp;CHAR(MOD(COLUMN(EX71)-1,26)+65))&amp;$FI71&amp;""),"")</f>
        <v/>
      </c>
      <c r="FM71" s="82" t="str">
        <f t="array" aca="1" ref="FM71" ca="1">IF($FI71&lt;&gt;"",
IF(FL71="",
IF(INDIRECT("EY"&amp;$FI71&amp;"")&lt;&gt;"",
INDIRECT("EY"&amp;$FI71&amp;"")&amp;"箱"
&amp;INDIRECT("EZ"&amp;$FI71&amp;""),""),""),"")</f>
        <v/>
      </c>
      <c r="FN71" s="82" t="str">
        <f t="array" aca="1" ref="FN71" ca="1">IF($FI71&lt;&gt;"",
INDIRECT(""&amp;IF(COLUMN(FA71)&lt;=26,CHAR(COLUMN(FA71)+64),CHAR(INT((COLUMN(FA71)-1)/26)+64)&amp;CHAR(MOD(COLUMN(FA71)-1,26)+65))&amp;$FI71&amp;""),"")</f>
        <v/>
      </c>
      <c r="FO71" s="82" t="str">
        <f t="array" aca="1" ref="FO71" ca="1">IF($FI71&lt;&gt;"",
INDIRECT(""&amp;IF(COLUMN(FB71)&lt;=26,CHAR(COLUMN(FB71)+64),CHAR(INT((COLUMN(FB71)-1)/26)+64)&amp;CHAR(MOD(COLUMN(FB71)-1,26)+65))&amp;$FI71&amp;""),"")</f>
        <v/>
      </c>
      <c r="FP71" s="82" t="str">
        <f t="array" aca="1" ref="FP71" ca="1">IF($FI71&lt;&gt;"",
INDIRECT(""&amp;IF(COLUMN(FC71)&lt;=26,CHAR(COLUMN(FC71)+64),CHAR(INT((COLUMN(FC71)-1)/26)+64)&amp;CHAR(MOD(COLUMN(FC71)-1,26)+65))&amp;$FI71&amp;""),"")</f>
        <v/>
      </c>
      <c r="FQ71" s="82" t="str">
        <f t="array" aca="1" ref="FQ71" ca="1">IF($FI71&lt;&gt;"",
INDIRECT(""&amp;IF(COLUMN(FD71)&lt;=26,CHAR(COLUMN(FD71)+64),CHAR(INT((COLUMN(FD71)-1)/26)+64)&amp;CHAR(MOD(COLUMN(FD71)-1,26)+65))&amp;$FI71&amp;""),"")</f>
        <v/>
      </c>
      <c r="FR71" s="82" t="str">
        <f t="array" aca="1" ref="FR71" ca="1">IF($FI71&lt;&gt;"",
INDIRECT(""&amp;IF(COLUMN(FE71)&lt;=26,CHAR(COLUMN(FE71)+64),CHAR(INT((COLUMN(FE71)-1)/26)+64)&amp;CHAR(MOD(COLUMN(FE71)-1,26)+65))&amp;$FI71&amp;""),"")</f>
        <v/>
      </c>
      <c r="FS71" s="82" t="str">
        <f t="array" aca="1" ref="FS71" ca="1">IF($FI71&lt;&gt;"",
INDIRECT(""&amp;IF(COLUMN(FF71)&lt;=26,CHAR(COLUMN(FF71)+64),CHAR(INT((COLUMN(FF71)-1)/26)+64)&amp;CHAR(MOD(COLUMN(FF71)-1,26)+65))&amp;$FI71&amp;""),"")</f>
        <v/>
      </c>
    </row>
    <row r="72" spans="1:175" s="82" customFormat="1" ht="18" customHeight="1" x14ac:dyDescent="0.55000000000000004">
      <c r="A72" s="80"/>
      <c r="B72" s="85" t="e">
        <f t="array" aca="1" ref="B72" ca="1">IF(B31&lt;&gt;100,
IF(C74&lt;&gt;"",MATCH(C74,INDIRECT("数出表_Excel!B"&amp;MATCH(G29,数出表_Excel!$A:$A,0)-1&amp;":U"&amp;MATCH(G29,数出表_Excel!$A:$A,0)-1&amp;""),0)+1,""),
IF(C74&lt;&gt;"",
MATCH(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INDIRECT("数出表_Excel!B"&amp;MATCH(G29,数出表_Excel!$A:$A,0)-1&amp;":U"&amp;MATCH(G29,数出表_Excel!$A:$A,0)-1&amp;""),0)+1,""))</f>
        <v>#N/A</v>
      </c>
      <c r="C72" s="62" t="str">
        <f t="array" aca="1" ref="C72" ca="1">IF(C29=J64,"",IFERROR(IF(OR(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"3"),"*配膳*"),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"3"),"*カレー*"),
COUNTIF(C29,"*合計*")),"",
IF(IFERROR(INDIRECT("数出表_Excel!"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"3"),0)=0,"",
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"3"),""))),""))</f>
        <v/>
      </c>
      <c r="D72" s="80"/>
      <c r="E72" s="86" t="str">
        <f t="array" aca="1" ref="E72" ca="1">IF(F72&lt;&gt;"","",
IF(COUNTIF(C71,"*雙葉*"),"",
IF(C71&lt;&gt;"",
IF(
(COLUMN(INDIRECT("数出表_Excel!B" &amp; (MATCH(G29,数出表_Excel!$A:$A,0)-1))) - 1 +
MATCH(TRUE, ISNUMBER(--INDIRECT("数出表_Excel!B" &amp; (MATCH(G29,数出表_Excel!$A:$A,0)-1) &amp; ":U" &amp; (MATCH(G29,数出表_Excel!$A:$A,0)-1))), 0)+1
+MATCH(TRUE,INDIRECT("'数出表_Excel'!"&amp;B71&amp;MATCH(G29,数出表_Excel!$A:$A,0)-1&amp;":AL"&amp;MATCH(G29,数出表_Excel!$A:$A,0)-1&amp;"")&lt;&gt;"",0))&gt;12,"",
IFERROR(
INDEX(INDIRECT("数出表_Excel!$"&amp;B71&amp;"4:$AL4"),
 1,
MATCH(TRUE,INDIRECT("'数出表_Excel'!"&amp;B71&amp;MATCH(G29,数出表_Excel!$A:$A,0)-1&amp;":AL"&amp;MATCH(G29,数出表_Excel!$A:$A,0)-1&amp;"")&lt;&gt;"",0)
),
 "")
&amp;IFERROR(
INDEX(INDIRECT("数出表_Excel!$"&amp;B71&amp;"5:$AL5"),
 1,
MATCH(TRUE,INDIRECT("'数出表_Excel'!"&amp;B71&amp;MATCH(G29,数出表_Excel!$A:$A,0)-1&amp;":AL"&amp;MATCH(G29,数出表_Excel!$A:$A,0)-1&amp;"")&lt;&gt;"",0)),
 "")),"")))</f>
        <v/>
      </c>
      <c r="F72" s="87" t="str">
        <f t="array" aca="1" ref="F72" ca="1">IF(C72&lt;&gt;"",
IF(COUNTIF(C71,"*雙葉*"),
IF(ROUND(
IF(F77&lt;&gt;"",(C74-F77),C74)
/IF(COUNTIF(C72,"*キャラ*"),
VLOOKUP("*キャラ*",商品マスタ一覧!$D:$J,7,FALSE),
IF(COUNTIF(C72,"*赤*"),
VLOOKUP("*赤*",商品マスタ一覧!$D:$J,7,FALSE),
VLOOKUP(C72,商品マスタ一覧!$D:$J,7,FALSE))),0)&lt;=0,1,
ROUND(
IF(F77&lt;&gt;"",(C74-F77),C74)
/IF(COUNTIF(C72,"*キャラ*"),
VLOOKUP("*キャラ*",商品マスタ一覧!$D:$J,7,FALSE),
IF(COUNTIF(C72,"*赤*"),
VLOOKUP("*赤*",商品マスタ一覧!$D:$J,7,FALSE),
VLOOKUP(C72,商品マスタ一覧!$D:$J,7,FALSE))),0)),
IF(MATCH(TRUE,
ISNUMBER(--INDIRECT("'数出表_Excel（アレルギー入力）'!B"&amp;MATCH(G29,'数出表_Excel（アレルギー入力）'!$A:$A,0)-1&amp;":AL"&amp;MATCH(G29,'数出表_Excel（アレルギー入力）'!$A:$A,0)-1&amp;"")),0)&gt;10,
IF(C72&lt;&gt;"",
IF(IF(COUNTIF(C72,"*キャラ*"),
VLOOKUP("*キャラ*",商品マスタ一覧!$D:$J,7,FALSE),
IF(COUNTIF(C72,"*赤*"),
VLOOKUP("*赤*",商品マスタ一覧!$D:$J,7,FALSE),
VLOOKUP(C72,商品マスタ一覧!$D:$J,7,FALSE)))=0,"",
IF(ROUND(
IF(F77&lt;&gt;"",(C74-F77),C74)
/IF(COUNTIF(C72,"*キャラ*"),
VLOOKUP("*キャラ*",商品マスタ一覧!$D:$J,7,FALSE),
IF(COUNTIF(C72,"*赤*"),
VLOOKUP("*赤*",商品マスタ一覧!$D:$J,7,FALSE),
VLOOKUP(C72,商品マスタ一覧!$D:$J,7,FALSE))),0)&lt;=0,1,
ROUND(
IF(F77&lt;&gt;"",(C74-F77),C74)
/IF(COUNTIF(C72,"*キャラ*"),
VLOOKUP("*キャラ*",商品マスタ一覧!$D:$J,7,FALSE),
IF(COUNTIF(C72,"*赤*"),
VLOOKUP("*赤*",商品マスタ一覧!$D:$J,7,FALSE),
VLOOKUP(C72,商品マスタ一覧!$D:$J,7,FALSE))),0))),""),"")),"")</f>
        <v/>
      </c>
      <c r="G72" s="100" t="str">
        <f ca="1">IF(F72&lt;&gt;"",IF(C74&lt;&gt;"",IF(VALUE(IF(F77&lt;&gt;"",C74-F77,C74))&gt;VALUE(IF(COUNTIF('盛付札（関数）'!C72,"*キャラ*"),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
"+"&amp;IF(F77&lt;&gt;"",C74-F77,C74)-IF(COUNTIF('盛付札（関数）'!C72,"*キャラ*"),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VLOOKUP('盛付札（関数）'!C72,商品マスタ一覧!$D:$J,7,FALSE)))*F72,
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VLOOKUP('盛付札（関数）'!C72,商品マスタ一覧!$D:$J,7,FALSE)))*F72),""),"")</f>
        <v/>
      </c>
      <c r="H72" s="80"/>
      <c r="I72" s="85" t="e">
        <f t="array" aca="1" ref="I72" ca="1">IF(I31&lt;&gt;100,
IF(J74&lt;&gt;"",MATCH(J74,INDIRECT("数出表_Excel!B"&amp;MATCH(N29,数出表_Excel!$A:$A,0)-1&amp;":U"&amp;MATCH(N29,数出表_Excel!$A:$A,0)-1&amp;""),0)+1,""),
IF(J74&lt;&gt;"",
MATCH(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INDIRECT("数出表_Excel!B"&amp;MATCH(N29,数出表_Excel!$A:$A,0)-1&amp;":U"&amp;MATCH(N29,数出表_Excel!$A:$A,0)-1&amp;""),0)+1,""))</f>
        <v>#N/A</v>
      </c>
      <c r="J72" s="62" t="str">
        <f t="array" aca="1" ref="J72" ca="1">IF(J29=C71,"",IFERROR(IF(OR(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"3"),"*配膳*"),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"3"),"*カレー*"),
COUNTIF(J29,"*合計*")),"",
IF(IFERROR(INDIRECT("数出表_Excel!"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"3"),0)=0,"",
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"3"),""))),""))</f>
        <v/>
      </c>
      <c r="K72" s="80"/>
      <c r="L72" s="86" t="str">
        <f t="array" aca="1" ref="L72" ca="1">IF(M72&lt;&gt;"","",
IF(COUNTIF(J71,"*雙葉*"),"",
IF(J71&lt;&gt;"",
IF(
(COLUMN(INDIRECT("数出表_Excel!B" &amp; (MATCH(N29,数出表_Excel!$A:$A,0)-1))) - 1 +
MATCH(TRUE, ISNUMBER(--INDIRECT("数出表_Excel!B" &amp; (MATCH(N29,数出表_Excel!$A:$A,0)-1) &amp; ":U" &amp; (MATCH(N29,数出表_Excel!$A:$A,0)-1))), 0)+1
+MATCH(TRUE,INDIRECT("'数出表_Excel'!"&amp;I71&amp;MATCH(N29,数出表_Excel!$A:$A,0)-1&amp;":AL"&amp;MATCH(N29,数出表_Excel!$A:$A,0)-1&amp;"")&lt;&gt;"",0))&gt;12,"",
IFERROR(
INDEX(INDIRECT("数出表_Excel!$"&amp;I71&amp;"4:$AL4"),
 1,
MATCH(TRUE,INDIRECT("'数出表_Excel'!"&amp;I71&amp;MATCH(N29,数出表_Excel!$A:$A,0)-1&amp;":AL"&amp;MATCH(N29,数出表_Excel!$A:$A,0)-1&amp;"")&lt;&gt;"",0)
),
 "")
&amp;IFERROR(
INDEX(INDIRECT("数出表_Excel!$"&amp;I71&amp;"5:$AL5"),
 1,
MATCH(TRUE,INDIRECT("'数出表_Excel'!"&amp;I71&amp;MATCH(N29,数出表_Excel!$A:$A,0)-1&amp;":AL"&amp;MATCH(N29,数出表_Excel!$A:$A,0)-1&amp;"")&lt;&gt;"",0)),
 "")),"")))</f>
        <v/>
      </c>
      <c r="M72" s="87" t="str">
        <f t="array" aca="1" ref="M72" ca="1">IF(J72&lt;&gt;"",
IF(COUNTIF(J71,"*雙葉*"),
IF(ROUND(
IF(M77&lt;&gt;"",(J74-M77),J74)
/IF(COUNTIF(J72,"*キャラ*"),
VLOOKUP("*キャラ*",商品マスタ一覧!$D:$J,7,FALSE),
IF(COUNTIF(J72,"*赤*"),
VLOOKUP("*赤*",商品マスタ一覧!$D:$J,7,FALSE),
VLOOKUP(J72,商品マスタ一覧!$D:$J,7,FALSE))),0)&lt;=0,1,
ROUND(
IF(M77&lt;&gt;"",(J74-M77),J74)
/IF(COUNTIF(J72,"*キャラ*"),
VLOOKUP("*キャラ*",商品マスタ一覧!$D:$J,7,FALSE),
IF(COUNTIF(J72,"*赤*"),
VLOOKUP("*赤*",商品マスタ一覧!$D:$J,7,FALSE),
VLOOKUP(J72,商品マスタ一覧!$D:$J,7,FALSE))),0)),
IF(MATCH(TRUE,
ISNUMBER(--INDIRECT("'数出表_Excel（アレルギー入力）'!B"&amp;MATCH(N29,'数出表_Excel（アレルギー入力）'!$A:$A,0)-1&amp;":AL"&amp;MATCH(N29,'数出表_Excel（アレルギー入力）'!$A:$A,0)-1&amp;"")),0)&gt;10,
IF(J72&lt;&gt;"",
IF(IF(COUNTIF(J72,"*キャラ*"),
VLOOKUP("*キャラ*",商品マスタ一覧!$D:$J,7,FALSE),
IF(COUNTIF(J72,"*赤*"),
VLOOKUP("*赤*",商品マスタ一覧!$D:$J,7,FALSE),
VLOOKUP(J72,商品マスタ一覧!$D:$J,7,FALSE)))=0,"",
IF(ROUND(
IF(M77&lt;&gt;"",(J74-M77),J74)
/IF(COUNTIF(J72,"*キャラ*"),
VLOOKUP("*キャラ*",商品マスタ一覧!$D:$J,7,FALSE),
IF(COUNTIF(J72,"*赤*"),
VLOOKUP("*赤*",商品マスタ一覧!$D:$J,7,FALSE),
VLOOKUP(J72,商品マスタ一覧!$D:$J,7,FALSE))),0)&lt;=0,1,
ROUND(
IF(M77&lt;&gt;"",(J74-M77),J74)
/IF(COUNTIF(J72,"*キャラ*"),
VLOOKUP("*キャラ*",商品マスタ一覧!$D:$J,7,FALSE),
IF(COUNTIF(J72,"*赤*"),
VLOOKUP("*赤*",商品マスタ一覧!$D:$J,7,FALSE),
VLOOKUP(J72,商品マスタ一覧!$D:$J,7,FALSE))),0))),""),"")),"")</f>
        <v/>
      </c>
      <c r="N72" s="96" t="str">
        <f ca="1">IF(M72&lt;&gt;"",IF(J74&lt;&gt;"",IF(VALUE(IF(M77&lt;&gt;"",J74-M77,J74))&gt;VALUE(IF(COUNTIF('盛付札（関数）'!J72,"*キャラ*"),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
"+"&amp;IF(M77&lt;&gt;"",J74-M77,J74)-IF(COUNTIF('盛付札（関数）'!J72,"*キャラ*"),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VLOOKUP('盛付札（関数）'!J72,商品マスタ一覧!$D:$J,7,FALSE)))*M72,
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VLOOKUP('盛付札（関数）'!J72,商品マスタ一覧!$D:$J,7,FALSE)))*M72),""),"")</f>
        <v/>
      </c>
      <c r="O72" s="80"/>
      <c r="P72" s="80"/>
      <c r="Q72" s="85" t="e">
        <f t="array" aca="1" ref="Q72" ca="1">IF(Q31&lt;&gt;100,
IF(R74&lt;&gt;"",MATCH(R74,INDIRECT("数出表_Excel!B"&amp;MATCH(V29,数出表_Excel!$A:$A,0)-1&amp;":U"&amp;MATCH(V29,数出表_Excel!$A:$A,0)-1&amp;""),0)+1,""),
IF(R74&lt;&gt;"",
MATCH(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INDIRECT("数出表_Excel!B"&amp;MATCH(V29,数出表_Excel!$A:$A,0)-1&amp;":U"&amp;MATCH(V29,数出表_Excel!$A:$A,0)-1&amp;""),0)+1,""))</f>
        <v>#N/A</v>
      </c>
      <c r="R72" s="62" t="str">
        <f t="array" aca="1" ref="R72" ca="1">IF(R29=Y64,"",IFERROR(IF(OR(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"3"),"*配膳*"),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"3"),"*カレー*"),
COUNTIF(R29,"*合計*")),"",
IF(IFERROR(INDIRECT("数出表_Excel!"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"3"),0)=0,"",
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"3"),""))),""))</f>
        <v/>
      </c>
      <c r="S72" s="80"/>
      <c r="T72" s="86" t="str">
        <f t="array" aca="1" ref="T72" ca="1">IF(U72&lt;&gt;"","",
IF(COUNTIF(R71,"*雙葉*"),"",
IF(R71&lt;&gt;"",
IF(
(COLUMN(INDIRECT("数出表_Excel!B" &amp; (MATCH(V29,数出表_Excel!$A:$A,0)-1))) - 1 +
MATCH(TRUE, ISNUMBER(--INDIRECT("数出表_Excel!B" &amp; (MATCH(V29,数出表_Excel!$A:$A,0)-1) &amp; ":U" &amp; (MATCH(V29,数出表_Excel!$A:$A,0)-1))), 0)+1
+MATCH(TRUE,INDIRECT("'数出表_Excel'!"&amp;Q71&amp;MATCH(V29,数出表_Excel!$A:$A,0)-1&amp;":AL"&amp;MATCH(V29,数出表_Excel!$A:$A,0)-1&amp;"")&lt;&gt;"",0))&gt;12,"",
IFERROR(
INDEX(INDIRECT("数出表_Excel!$"&amp;Q71&amp;"4:$AL4"),
 1,
MATCH(TRUE,INDIRECT("'数出表_Excel'!"&amp;Q71&amp;MATCH(V29,数出表_Excel!$A:$A,0)-1&amp;":AL"&amp;MATCH(V29,数出表_Excel!$A:$A,0)-1&amp;"")&lt;&gt;"",0)
),
 "")
&amp;IFERROR(
INDEX(INDIRECT("数出表_Excel!$"&amp;Q71&amp;"5:$AL5"),
 1,
MATCH(TRUE,INDIRECT("'数出表_Excel'!"&amp;Q71&amp;MATCH(V29,数出表_Excel!$A:$A,0)-1&amp;":AL"&amp;MATCH(V29,数出表_Excel!$A:$A,0)-1&amp;"")&lt;&gt;"",0)),
 "")),"")))</f>
        <v/>
      </c>
      <c r="U72" s="87" t="str">
        <f t="array" aca="1" ref="U72" ca="1">IF(R72&lt;&gt;"",
IF(COUNTIF(R71,"*雙葉*"),
IF(ROUND(
IF(U77&lt;&gt;"",(R74-U77),R74)
/IF(COUNTIF(R72,"*キャラ*"),
VLOOKUP("*キャラ*",商品マスタ一覧!$D:$J,7,FALSE),
IF(COUNTIF(R72,"*赤*"),
VLOOKUP("*赤*",商品マスタ一覧!$D:$J,7,FALSE),
VLOOKUP(R72,商品マスタ一覧!$D:$J,7,FALSE))),0)&lt;=0,1,
ROUND(
IF(U77&lt;&gt;"",(R74-U77),R74)
/IF(COUNTIF(R72,"*キャラ*"),
VLOOKUP("*キャラ*",商品マスタ一覧!$D:$J,7,FALSE),
IF(COUNTIF(R72,"*赤*"),
VLOOKUP("*赤*",商品マスタ一覧!$D:$J,7,FALSE),
VLOOKUP(R72,商品マスタ一覧!$D:$J,7,FALSE))),0)),
IF(MATCH(TRUE,
ISNUMBER(--INDIRECT("'数出表_Excel（アレルギー入力）'!B"&amp;MATCH(V29,'数出表_Excel（アレルギー入力）'!$A:$A,0)-1&amp;":AL"&amp;MATCH(V29,'数出表_Excel（アレルギー入力）'!$A:$A,0)-1&amp;"")),0)&gt;10,
IF(R72&lt;&gt;"",
IF(IF(COUNTIF(R72,"*キャラ*"),
VLOOKUP("*キャラ*",商品マスタ一覧!$D:$J,7,FALSE),
IF(COUNTIF(R72,"*赤*"),
VLOOKUP("*赤*",商品マスタ一覧!$D:$J,7,FALSE),
VLOOKUP(R72,商品マスタ一覧!$D:$J,7,FALSE)))=0,"",
IF(ROUND(
IF(U77&lt;&gt;"",(R74-U77),R74)
/IF(COUNTIF(R72,"*キャラ*"),
VLOOKUP("*キャラ*",商品マスタ一覧!$D:$J,7,FALSE),
IF(COUNTIF(R72,"*赤*"),
VLOOKUP("*赤*",商品マスタ一覧!$D:$J,7,FALSE),
VLOOKUP(R72,商品マスタ一覧!$D:$J,7,FALSE))),0)&lt;=0,1,
ROUND(
IF(U77&lt;&gt;"",(R74-U77),R74)
/IF(COUNTIF(R72,"*キャラ*"),
VLOOKUP("*キャラ*",商品マスタ一覧!$D:$J,7,FALSE),
IF(COUNTIF(R72,"*赤*"),
VLOOKUP("*赤*",商品マスタ一覧!$D:$J,7,FALSE),
VLOOKUP(R72,商品マスタ一覧!$D:$J,7,FALSE))),0))),""),"")),"")</f>
        <v/>
      </c>
      <c r="V72" s="100" t="str">
        <f ca="1">IF(U72&lt;&gt;"",IF(R74&lt;&gt;"",IF(VALUE(IF(U77&lt;&gt;"",R74-U77,R74))&gt;VALUE(IF(COUNTIF('盛付札（関数）'!R72,"*キャラ*"),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
"+"&amp;IF(U77&lt;&gt;"",R74-U77,R74)-IF(COUNTIF('盛付札（関数）'!R72,"*キャラ*"),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VLOOKUP('盛付札（関数）'!R72,商品マスタ一覧!$D:$J,7,FALSE)))*U72,
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VLOOKUP('盛付札（関数）'!R72,商品マスタ一覧!$D:$J,7,FALSE)))*U72),""),"")</f>
        <v/>
      </c>
      <c r="W72" s="80"/>
      <c r="X72" s="85" t="e">
        <f t="array" aca="1" ref="X72" ca="1">IF(X31&lt;&gt;100,
IF(Y74&lt;&gt;"",MATCH(Y74,INDIRECT("数出表_Excel!B"&amp;MATCH(AC29,数出表_Excel!$A:$A,0)-1&amp;":U"&amp;MATCH(AC29,数出表_Excel!$A:$A,0)-1&amp;""),0)+1,""),
IF(Y74&lt;&gt;"",
MATCH(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INDIRECT("数出表_Excel!B"&amp;MATCH(AC29,数出表_Excel!$A:$A,0)-1&amp;":U"&amp;MATCH(AC29,数出表_Excel!$A:$A,0)-1&amp;""),0)+1,""))</f>
        <v>#N/A</v>
      </c>
      <c r="Y72" s="62" t="str">
        <f t="array" aca="1" ref="Y72" ca="1">IF(Y29=R71,"",IFERROR(IF(OR(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"3"),"*配膳*"),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"3"),"*カレー*"),
COUNTIF(Y29,"*合計*")),"",
IF(IFERROR(INDIRECT("数出表_Excel!"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"3"),0)=0,"",
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"3"),""))),""))</f>
        <v/>
      </c>
      <c r="Z72" s="80"/>
      <c r="AA72" s="86" t="str">
        <f t="array" aca="1" ref="AA72" ca="1">IF(AB72&lt;&gt;"","",
IF(COUNTIF(Y71,"*雙葉*"),"",
IF(Y71&lt;&gt;"",
IF(
(COLUMN(INDIRECT("数出表_Excel!B" &amp; (MATCH(AC29,数出表_Excel!$A:$A,0)-1))) - 1 +
MATCH(TRUE, ISNUMBER(--INDIRECT("数出表_Excel!B" &amp; (MATCH(AC29,数出表_Excel!$A:$A,0)-1) &amp; ":U" &amp; (MATCH(AC29,数出表_Excel!$A:$A,0)-1))), 0)+1
+MATCH(TRUE,INDIRECT("'数出表_Excel'!"&amp;X71&amp;MATCH(AC29,数出表_Excel!$A:$A,0)-1&amp;":AL"&amp;MATCH(AC29,数出表_Excel!$A:$A,0)-1&amp;"")&lt;&gt;"",0))&gt;12,"",
IFERROR(
INDEX(INDIRECT("数出表_Excel!$"&amp;X71&amp;"4:$AL4"),
 1,
MATCH(TRUE,INDIRECT("'数出表_Excel'!"&amp;X71&amp;MATCH(AC29,数出表_Excel!$A:$A,0)-1&amp;":AL"&amp;MATCH(AC29,数出表_Excel!$A:$A,0)-1&amp;"")&lt;&gt;"",0)
),
 "")
&amp;IFERROR(
INDEX(INDIRECT("数出表_Excel!$"&amp;X71&amp;"5:$AL5"),
 1,
MATCH(TRUE,INDIRECT("'数出表_Excel'!"&amp;X71&amp;MATCH(AC29,数出表_Excel!$A:$A,0)-1&amp;":AL"&amp;MATCH(AC29,数出表_Excel!$A:$A,0)-1&amp;"")&lt;&gt;"",0)),
 "")),"")))</f>
        <v/>
      </c>
      <c r="AB72" s="87" t="str">
        <f t="array" aca="1" ref="AB72" ca="1">IF(Y72&lt;&gt;"",
IF(COUNTIF(Y71,"*雙葉*"),
IF(ROUND(
IF(AB77&lt;&gt;"",(Y74-AB77),Y74)
/IF(COUNTIF(Y72,"*キャラ*"),
VLOOKUP("*キャラ*",商品マスタ一覧!$D:$J,7,FALSE),
IF(COUNTIF(Y72,"*赤*"),
VLOOKUP("*赤*",商品マスタ一覧!$D:$J,7,FALSE),
VLOOKUP(Y72,商品マスタ一覧!$D:$J,7,FALSE))),0)&lt;=0,1,
ROUND(
IF(AB77&lt;&gt;"",(Y74-AB77),Y74)
/IF(COUNTIF(Y72,"*キャラ*"),
VLOOKUP("*キャラ*",商品マスタ一覧!$D:$J,7,FALSE),
IF(COUNTIF(Y72,"*赤*"),
VLOOKUP("*赤*",商品マスタ一覧!$D:$J,7,FALSE),
VLOOKUP(Y72,商品マスタ一覧!$D:$J,7,FALSE))),0)),
IF(MATCH(TRUE,
ISNUMBER(--INDIRECT("'数出表_Excel（アレルギー入力）'!B"&amp;MATCH(AC29,'数出表_Excel（アレルギー入力）'!$A:$A,0)-1&amp;":AL"&amp;MATCH(AC29,'数出表_Excel（アレルギー入力）'!$A:$A,0)-1&amp;"")),0)&gt;10,
IF(Y72&lt;&gt;"",
IF(IF(COUNTIF(Y72,"*キャラ*"),
VLOOKUP("*キャラ*",商品マスタ一覧!$D:$J,7,FALSE),
IF(COUNTIF(Y72,"*赤*"),
VLOOKUP("*赤*",商品マスタ一覧!$D:$J,7,FALSE),
VLOOKUP(Y72,商品マスタ一覧!$D:$J,7,FALSE)))=0,"",
IF(ROUND(
IF(AB77&lt;&gt;"",(Y74-AB77),Y74)
/IF(COUNTIF(Y72,"*キャラ*"),
VLOOKUP("*キャラ*",商品マスタ一覧!$D:$J,7,FALSE),
IF(COUNTIF(Y72,"*赤*"),
VLOOKUP("*赤*",商品マスタ一覧!$D:$J,7,FALSE),
VLOOKUP(Y72,商品マスタ一覧!$D:$J,7,FALSE))),0)&lt;=0,1,
ROUND(
IF(AB77&lt;&gt;"",(Y74-AB77),Y74)
/IF(COUNTIF(Y72,"*キャラ*"),
VLOOKUP("*キャラ*",商品マスタ一覧!$D:$J,7,FALSE),
IF(COUNTIF(Y72,"*赤*"),
VLOOKUP("*赤*",商品マスタ一覧!$D:$J,7,FALSE),
VLOOKUP(Y72,商品マスタ一覧!$D:$J,7,FALSE))),0))),""),"")),"")</f>
        <v/>
      </c>
      <c r="AC72" s="96" t="str">
        <f ca="1">IF(AB72&lt;&gt;"",IF(Y74&lt;&gt;"",IF(VALUE(IF(AB77&lt;&gt;"",Y74-AB77,Y74))&gt;VALUE(IF(COUNTIF('盛付札（関数）'!Y72,"*キャラ*"),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
"+"&amp;IF(AB77&lt;&gt;"",Y74-AB77,Y74)-IF(COUNTIF('盛付札（関数）'!Y72,"*キャラ*"),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VLOOKUP('盛付札（関数）'!Y72,商品マスタ一覧!$D:$J,7,FALSE)))*AB72,
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VLOOKUP('盛付札（関数）'!Y72,商品マスタ一覧!$D:$J,7,FALSE)))*AB72),""),"")</f>
        <v/>
      </c>
      <c r="AD72" s="80"/>
      <c r="AE72" s="80"/>
      <c r="AF72" s="85" t="e">
        <f t="array" aca="1" ref="AF72" ca="1">IF(AF31&lt;&gt;100,
IF(AG74&lt;&gt;"",MATCH(AG74,INDIRECT("数出表_Excel!B"&amp;MATCH(AK29,数出表_Excel!$A:$A,0)-1&amp;":U"&amp;MATCH(AK29,数出表_Excel!$A:$A,0)-1&amp;""),0)+1,""),
IF(AG74&lt;&gt;"",
MATCH(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INDIRECT("数出表_Excel!B"&amp;MATCH(AK29,数出表_Excel!$A:$A,0)-1&amp;":U"&amp;MATCH(AK29,数出表_Excel!$A:$A,0)-1&amp;""),0)+1,""))</f>
        <v>#N/A</v>
      </c>
      <c r="AG72" s="62" t="str">
        <f t="array" aca="1" ref="AG72" ca="1">IF(AG29=AN64,"",IFERROR(IF(OR(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"3"),"*配膳*"),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"3"),"*カレー*"),
COUNTIF(AG29,"*合計*")),"",
IF(IFERROR(INDIRECT("数出表_Excel!"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"3"),0)=0,"",
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"3"),""))),""))</f>
        <v/>
      </c>
      <c r="AH72" s="80"/>
      <c r="AI72" s="86" t="str">
        <f t="array" aca="1" ref="AI72" ca="1">IF(AJ72&lt;&gt;"","",
IF(COUNTIF(AG71,"*雙葉*"),"",
IF(AG71&lt;&gt;"",
IF(
(COLUMN(INDIRECT("数出表_Excel!B" &amp; (MATCH(AK29,数出表_Excel!$A:$A,0)-1))) - 1 +
MATCH(TRUE, ISNUMBER(--INDIRECT("数出表_Excel!B" &amp; (MATCH(AK29,数出表_Excel!$A:$A,0)-1) &amp; ":U" &amp; (MATCH(AK29,数出表_Excel!$A:$A,0)-1))), 0)+1
+MATCH(TRUE,INDIRECT("'数出表_Excel'!"&amp;AF71&amp;MATCH(AK29,数出表_Excel!$A:$A,0)-1&amp;":AL"&amp;MATCH(AK29,数出表_Excel!$A:$A,0)-1&amp;"")&lt;&gt;"",0))&gt;12,"",
IFERROR(
INDEX(INDIRECT("数出表_Excel!$"&amp;AF71&amp;"4:$AL4"),
 1,
MATCH(TRUE,INDIRECT("'数出表_Excel'!"&amp;AF71&amp;MATCH(AK29,数出表_Excel!$A:$A,0)-1&amp;":AL"&amp;MATCH(AK29,数出表_Excel!$A:$A,0)-1&amp;"")&lt;&gt;"",0)
),
 "")
&amp;IFERROR(
INDEX(INDIRECT("数出表_Excel!$"&amp;AF71&amp;"5:$AL5"),
 1,
MATCH(TRUE,INDIRECT("'数出表_Excel'!"&amp;AF71&amp;MATCH(AK29,数出表_Excel!$A:$A,0)-1&amp;":AL"&amp;MATCH(AK29,数出表_Excel!$A:$A,0)-1&amp;"")&lt;&gt;"",0)),
 "")),"")))</f>
        <v/>
      </c>
      <c r="AJ72" s="87" t="str">
        <f t="array" aca="1" ref="AJ72" ca="1">IF(AG72&lt;&gt;"",
IF(COUNTIF(AG71,"*雙葉*"),
IF(ROUND(
IF(AJ77&lt;&gt;"",(AG74-AJ77),AG74)
/IF(COUNTIF(AG72,"*キャラ*"),
VLOOKUP("*キャラ*",商品マスタ一覧!$D:$J,7,FALSE),
IF(COUNTIF(AG72,"*赤*"),
VLOOKUP("*赤*",商品マスタ一覧!$D:$J,7,FALSE),
VLOOKUP(AG72,商品マスタ一覧!$D:$J,7,FALSE))),0)&lt;=0,1,
ROUND(
IF(AJ77&lt;&gt;"",(AG74-AJ77),AG74)
/IF(COUNTIF(AG72,"*キャラ*"),
VLOOKUP("*キャラ*",商品マスタ一覧!$D:$J,7,FALSE),
IF(COUNTIF(AG72,"*赤*"),
VLOOKUP("*赤*",商品マスタ一覧!$D:$J,7,FALSE),
VLOOKUP(AG72,商品マスタ一覧!$D:$J,7,FALSE))),0)),
IF(MATCH(TRUE,
ISNUMBER(--INDIRECT("'数出表_Excel（アレルギー入力）'!B"&amp;MATCH(AK29,'数出表_Excel（アレルギー入力）'!$A:$A,0)-1&amp;":AL"&amp;MATCH(AK29,'数出表_Excel（アレルギー入力）'!$A:$A,0)-1&amp;"")),0)&gt;10,
IF(AG72&lt;&gt;"",
IF(IF(COUNTIF(AG72,"*キャラ*"),
VLOOKUP("*キャラ*",商品マスタ一覧!$D:$J,7,FALSE),
IF(COUNTIF(AG72,"*赤*"),
VLOOKUP("*赤*",商品マスタ一覧!$D:$J,7,FALSE),
VLOOKUP(AG72,商品マスタ一覧!$D:$J,7,FALSE)))=0,"",
IF(ROUND(
IF(AJ77&lt;&gt;"",(AG74-AJ77),AG74)
/IF(COUNTIF(AG72,"*キャラ*"),
VLOOKUP("*キャラ*",商品マスタ一覧!$D:$J,7,FALSE),
IF(COUNTIF(AG72,"*赤*"),
VLOOKUP("*赤*",商品マスタ一覧!$D:$J,7,FALSE),
VLOOKUP(AG72,商品マスタ一覧!$D:$J,7,FALSE))),0)&lt;=0,1,
ROUND(
IF(AJ77&lt;&gt;"",(AG74-AJ77),AG74)
/IF(COUNTIF(AG72,"*キャラ*"),
VLOOKUP("*キャラ*",商品マスタ一覧!$D:$J,7,FALSE),
IF(COUNTIF(AG72,"*赤*"),
VLOOKUP("*赤*",商品マスタ一覧!$D:$J,7,FALSE),
VLOOKUP(AG72,商品マスタ一覧!$D:$J,7,FALSE))),0))),""),"")),"")</f>
        <v/>
      </c>
      <c r="AK72" s="100" t="str">
        <f ca="1">IF(AJ72&lt;&gt;"",IF(AG74&lt;&gt;"",IF(VALUE(IF(AJ77&lt;&gt;"",AG74-AJ77,AG74))&gt;VALUE(IF(COUNTIF('盛付札（関数）'!AG72,"*キャラ*"),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
"+"&amp;IF(AJ77&lt;&gt;"",AG74-AJ77,AG74)-IF(COUNTIF('盛付札（関数）'!AG72,"*キャラ*"),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VLOOKUP('盛付札（関数）'!AG72,商品マスタ一覧!$D:$J,7,FALSE)))*AJ72,
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VLOOKUP('盛付札（関数）'!AG72,商品マスタ一覧!$D:$J,7,FALSE)))*AJ72),""),"")</f>
        <v/>
      </c>
      <c r="AL72" s="80"/>
      <c r="AM72" s="85" t="e">
        <f t="array" aca="1" ref="AM72" ca="1">IF(AM31&lt;&gt;100,
IF(AN74&lt;&gt;"",MATCH(AN74,INDIRECT("数出表_Excel!B"&amp;MATCH(AR29,数出表_Excel!$A:$A,0)-1&amp;":U"&amp;MATCH(AR29,数出表_Excel!$A:$A,0)-1&amp;""),0)+1,""),
IF(AN74&lt;&gt;"",
MATCH(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INDIRECT("数出表_Excel!B"&amp;MATCH(AR29,数出表_Excel!$A:$A,0)-1&amp;":U"&amp;MATCH(AR29,数出表_Excel!$A:$A,0)-1&amp;""),0)+1,""))</f>
        <v>#N/A</v>
      </c>
      <c r="AN72" s="62" t="str">
        <f t="array" aca="1" ref="AN72" ca="1">IF(AN29=AG71,"",IFERROR(IF(OR(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"3"),"*配膳*"),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"3"),"*カレー*"),
COUNTIF(AN29,"*合計*")),"",
IF(IFERROR(INDIRECT("数出表_Excel!"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"3"),0)=0,"",
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"3"),""))),""))</f>
        <v/>
      </c>
      <c r="AO72" s="80"/>
      <c r="AP72" s="86" t="str">
        <f t="array" aca="1" ref="AP72" ca="1">IF(AQ72&lt;&gt;"","",
IF(COUNTIF(AN71,"*雙葉*"),"",
IF(AN71&lt;&gt;"",
IF(
(COLUMN(INDIRECT("数出表_Excel!B" &amp; (MATCH(AR29,数出表_Excel!$A:$A,0)-1))) - 1 +
MATCH(TRUE, ISNUMBER(--INDIRECT("数出表_Excel!B" &amp; (MATCH(AR29,数出表_Excel!$A:$A,0)-1) &amp; ":U" &amp; (MATCH(AR29,数出表_Excel!$A:$A,0)-1))), 0)+1
+MATCH(TRUE,INDIRECT("'数出表_Excel'!"&amp;AM71&amp;MATCH(AR29,数出表_Excel!$A:$A,0)-1&amp;":AL"&amp;MATCH(AR29,数出表_Excel!$A:$A,0)-1&amp;"")&lt;&gt;"",0))&gt;12,"",
IFERROR(
INDEX(INDIRECT("数出表_Excel!$"&amp;AM71&amp;"4:$AL4"),
 1,
MATCH(TRUE,INDIRECT("'数出表_Excel'!"&amp;AM71&amp;MATCH(AR29,数出表_Excel!$A:$A,0)-1&amp;":AL"&amp;MATCH(AR29,数出表_Excel!$A:$A,0)-1&amp;"")&lt;&gt;"",0)
),
 "")
&amp;IFERROR(
INDEX(INDIRECT("数出表_Excel!$"&amp;AM71&amp;"5:$AL5"),
 1,
MATCH(TRUE,INDIRECT("'数出表_Excel'!"&amp;AM71&amp;MATCH(AR29,数出表_Excel!$A:$A,0)-1&amp;":AL"&amp;MATCH(AR29,数出表_Excel!$A:$A,0)-1&amp;"")&lt;&gt;"",0)),
 "")),"")))</f>
        <v/>
      </c>
      <c r="AQ72" s="87" t="str">
        <f t="array" aca="1" ref="AQ72" ca="1">IF(AN72&lt;&gt;"",
IF(COUNTIF(AN71,"*雙葉*"),
IF(ROUND(
IF(AQ77&lt;&gt;"",(AN74-AQ77),AN74)
/IF(COUNTIF(AN72,"*キャラ*"),
VLOOKUP("*キャラ*",商品マスタ一覧!$D:$J,7,FALSE),
IF(COUNTIF(AN72,"*赤*"),
VLOOKUP("*赤*",商品マスタ一覧!$D:$J,7,FALSE),
VLOOKUP(AN72,商品マスタ一覧!$D:$J,7,FALSE))),0)&lt;=0,1,
ROUND(
IF(AQ77&lt;&gt;"",(AN74-AQ77),AN74)
/IF(COUNTIF(AN72,"*キャラ*"),
VLOOKUP("*キャラ*",商品マスタ一覧!$D:$J,7,FALSE),
IF(COUNTIF(AN72,"*赤*"),
VLOOKUP("*赤*",商品マスタ一覧!$D:$J,7,FALSE),
VLOOKUP(AN72,商品マスタ一覧!$D:$J,7,FALSE))),0)),
IF(MATCH(TRUE,
ISNUMBER(--INDIRECT("'数出表_Excel（アレルギー入力）'!B"&amp;MATCH(AR29,'数出表_Excel（アレルギー入力）'!$A:$A,0)-1&amp;":AL"&amp;MATCH(AR29,'数出表_Excel（アレルギー入力）'!$A:$A,0)-1&amp;"")),0)&gt;10,
IF(AN72&lt;&gt;"",
IF(IF(COUNTIF(AN72,"*キャラ*"),
VLOOKUP("*キャラ*",商品マスタ一覧!$D:$J,7,FALSE),
IF(COUNTIF(AN72,"*赤*"),
VLOOKUP("*赤*",商品マスタ一覧!$D:$J,7,FALSE),
VLOOKUP(AN72,商品マスタ一覧!$D:$J,7,FALSE)))=0,"",
IF(ROUND(
IF(AQ77&lt;&gt;"",(AN74-AQ77),AN74)
/IF(COUNTIF(AN72,"*キャラ*"),
VLOOKUP("*キャラ*",商品マスタ一覧!$D:$J,7,FALSE),
IF(COUNTIF(AN72,"*赤*"),
VLOOKUP("*赤*",商品マスタ一覧!$D:$J,7,FALSE),
VLOOKUP(AN72,商品マスタ一覧!$D:$J,7,FALSE))),0)&lt;=0,1,
ROUND(
IF(AQ77&lt;&gt;"",(AN74-AQ77),AN74)
/IF(COUNTIF(AN72,"*キャラ*"),
VLOOKUP("*キャラ*",商品マスタ一覧!$D:$J,7,FALSE),
IF(COUNTIF(AN72,"*赤*"),
VLOOKUP("*赤*",商品マスタ一覧!$D:$J,7,FALSE),
VLOOKUP(AN72,商品マスタ一覧!$D:$J,7,FALSE))),0))),""),"")),"")</f>
        <v/>
      </c>
      <c r="AR72" s="96" t="str">
        <f ca="1">IF(AQ72&lt;&gt;"",IF(AN74&lt;&gt;"",IF(VALUE(IF(AQ77&lt;&gt;"",AN74-AQ77,AN74))&gt;VALUE(IF(COUNTIF('盛付札（関数）'!AN72,"*キャラ*"),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
"+"&amp;IF(AQ77&lt;&gt;"",AN74-AQ77,AN74)-IF(COUNTIF('盛付札（関数）'!AN72,"*キャラ*"),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VLOOKUP('盛付札（関数）'!AN72,商品マスタ一覧!$D:$J,7,FALSE)))*AQ72,
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VLOOKUP('盛付札（関数）'!AN72,商品マスタ一覧!$D:$J,7,FALSE)))*AQ72),""),"")</f>
        <v/>
      </c>
      <c r="AS72" s="80"/>
      <c r="AT72" s="80"/>
      <c r="AU72" s="85" t="e">
        <f t="array" aca="1" ref="AU72" ca="1">IF(AU31&lt;&gt;100,
IF(AV74&lt;&gt;"",MATCH(AV74,INDIRECT("数出表_Excel!B"&amp;MATCH(AZ29,数出表_Excel!$A:$A,0)-1&amp;":U"&amp;MATCH(AZ29,数出表_Excel!$A:$A,0)-1&amp;""),0)+1,""),
IF(AV74&lt;&gt;"",
MATCH(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INDIRECT("数出表_Excel!B"&amp;MATCH(AZ29,数出表_Excel!$A:$A,0)-1&amp;":U"&amp;MATCH(AZ29,数出表_Excel!$A:$A,0)-1&amp;""),0)+1,""))</f>
        <v>#N/A</v>
      </c>
      <c r="AV72" s="62" t="str">
        <f t="array" aca="1" ref="AV72" ca="1">IF(AV29=BC64,"",IFERROR(IF(OR(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"3"),"*配膳*"),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"3"),"*カレー*"),
COUNTIF(AV29,"*合計*")),"",
IF(IFERROR(INDIRECT("数出表_Excel!"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"3"),0)=0,"",
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"3"),""))),""))</f>
        <v/>
      </c>
      <c r="AW72" s="80"/>
      <c r="AX72" s="86" t="str">
        <f t="array" aca="1" ref="AX72" ca="1">IF(AY72&lt;&gt;"","",
IF(COUNTIF(AV71,"*雙葉*"),"",
IF(AV71&lt;&gt;"",
IF(
(COLUMN(INDIRECT("数出表_Excel!B" &amp; (MATCH(AZ29,数出表_Excel!$A:$A,0)-1))) - 1 +
MATCH(TRUE, ISNUMBER(--INDIRECT("数出表_Excel!B" &amp; (MATCH(AZ29,数出表_Excel!$A:$A,0)-1) &amp; ":U" &amp; (MATCH(AZ29,数出表_Excel!$A:$A,0)-1))), 0)+1
+MATCH(TRUE,INDIRECT("'数出表_Excel'!"&amp;AU71&amp;MATCH(AZ29,数出表_Excel!$A:$A,0)-1&amp;":AL"&amp;MATCH(AZ29,数出表_Excel!$A:$A,0)-1&amp;"")&lt;&gt;"",0))&gt;12,"",
IFERROR(
INDEX(INDIRECT("数出表_Excel!$"&amp;AU71&amp;"4:$AL4"),
 1,
MATCH(TRUE,INDIRECT("'数出表_Excel'!"&amp;AU71&amp;MATCH(AZ29,数出表_Excel!$A:$A,0)-1&amp;":AL"&amp;MATCH(AZ29,数出表_Excel!$A:$A,0)-1&amp;"")&lt;&gt;"",0)
),
 "")
&amp;IFERROR(
INDEX(INDIRECT("数出表_Excel!$"&amp;AU71&amp;"5:$AL5"),
 1,
MATCH(TRUE,INDIRECT("'数出表_Excel'!"&amp;AU71&amp;MATCH(AZ29,数出表_Excel!$A:$A,0)-1&amp;":AL"&amp;MATCH(AZ29,数出表_Excel!$A:$A,0)-1&amp;"")&lt;&gt;"",0)),
 "")),"")))</f>
        <v/>
      </c>
      <c r="AY72" s="87" t="str">
        <f t="array" aca="1" ref="AY72" ca="1">IF(AV72&lt;&gt;"",
IF(COUNTIF(AV71,"*雙葉*"),
IF(ROUND(
IF(AY77&lt;&gt;"",(AV74-AY77),AV74)
/IF(COUNTIF(AV72,"*キャラ*"),
VLOOKUP("*キャラ*",商品マスタ一覧!$D:$J,7,FALSE),
IF(COUNTIF(AV72,"*赤*"),
VLOOKUP("*赤*",商品マスタ一覧!$D:$J,7,FALSE),
VLOOKUP(AV72,商品マスタ一覧!$D:$J,7,FALSE))),0)&lt;=0,1,
ROUND(
IF(AY77&lt;&gt;"",(AV74-AY77),AV74)
/IF(COUNTIF(AV72,"*キャラ*"),
VLOOKUP("*キャラ*",商品マスタ一覧!$D:$J,7,FALSE),
IF(COUNTIF(AV72,"*赤*"),
VLOOKUP("*赤*",商品マスタ一覧!$D:$J,7,FALSE),
VLOOKUP(AV72,商品マスタ一覧!$D:$J,7,FALSE))),0)),
IF(MATCH(TRUE,
ISNUMBER(--INDIRECT("'数出表_Excel（アレルギー入力）'!B"&amp;MATCH(AZ29,'数出表_Excel（アレルギー入力）'!$A:$A,0)-1&amp;":AL"&amp;MATCH(AZ29,'数出表_Excel（アレルギー入力）'!$A:$A,0)-1&amp;"")),0)&gt;10,
IF(AV72&lt;&gt;"",
IF(IF(COUNTIF(AV72,"*キャラ*"),
VLOOKUP("*キャラ*",商品マスタ一覧!$D:$J,7,FALSE),
IF(COUNTIF(AV72,"*赤*"),
VLOOKUP("*赤*",商品マスタ一覧!$D:$J,7,FALSE),
VLOOKUP(AV72,商品マスタ一覧!$D:$J,7,FALSE)))=0,"",
IF(ROUND(
IF(AY77&lt;&gt;"",(AV74-AY77),AV74)
/IF(COUNTIF(AV72,"*キャラ*"),
VLOOKUP("*キャラ*",商品マスタ一覧!$D:$J,7,FALSE),
IF(COUNTIF(AV72,"*赤*"),
VLOOKUP("*赤*",商品マスタ一覧!$D:$J,7,FALSE),
VLOOKUP(AV72,商品マスタ一覧!$D:$J,7,FALSE))),0)&lt;=0,1,
ROUND(
IF(AY77&lt;&gt;"",(AV74-AY77),AV74)
/IF(COUNTIF(AV72,"*キャラ*"),
VLOOKUP("*キャラ*",商品マスタ一覧!$D:$J,7,FALSE),
IF(COUNTIF(AV72,"*赤*"),
VLOOKUP("*赤*",商品マスタ一覧!$D:$J,7,FALSE),
VLOOKUP(AV72,商品マスタ一覧!$D:$J,7,FALSE))),0))),""),"")),"")</f>
        <v/>
      </c>
      <c r="AZ72" s="100" t="str">
        <f ca="1">IF(AY72&lt;&gt;"",IF(AV74&lt;&gt;"",IF(VALUE(IF(AY77&lt;&gt;"",AV74-AY77,AV74))&gt;VALUE(IF(COUNTIF('盛付札（関数）'!AV72,"*キャラ*"),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
"+"&amp;IF(AY77&lt;&gt;"",AV74-AY77,AV74)-IF(COUNTIF('盛付札（関数）'!AV72,"*キャラ*"),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VLOOKUP('盛付札（関数）'!AV72,商品マスタ一覧!$D:$J,7,FALSE)))*AY72,
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VLOOKUP('盛付札（関数）'!AV72,商品マスタ一覧!$D:$J,7,FALSE)))*AY72),""),"")</f>
        <v/>
      </c>
      <c r="BA72" s="80"/>
      <c r="BB72" s="85" t="e">
        <f t="array" aca="1" ref="BB72" ca="1">IF(BB31&lt;&gt;100,
IF(BC74&lt;&gt;"",MATCH(BC74,INDIRECT("数出表_Excel!B"&amp;MATCH(BG29,数出表_Excel!$A:$A,0)-1&amp;":U"&amp;MATCH(BG29,数出表_Excel!$A:$A,0)-1&amp;""),0)+1,""),
IF(BC74&lt;&gt;"",
MATCH(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INDIRECT("数出表_Excel!B"&amp;MATCH(BG29,数出表_Excel!$A:$A,0)-1&amp;":U"&amp;MATCH(BG29,数出表_Excel!$A:$A,0)-1&amp;""),0)+1,""))</f>
        <v>#N/A</v>
      </c>
      <c r="BC72" s="62" t="str">
        <f t="array" aca="1" ref="BC72" ca="1">IF(BC29=AV71,"",IFERROR(IF(OR(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"3"),"*配膳*"),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"3"),"*カレー*"),
COUNTIF(BC29,"*合計*")),"",
IF(IFERROR(INDIRECT("数出表_Excel!"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"3"),0)=0,"",
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"3"),""))),""))</f>
        <v/>
      </c>
      <c r="BD72" s="80"/>
      <c r="BE72" s="86" t="str">
        <f t="array" aca="1" ref="BE72" ca="1">IF(BF72&lt;&gt;"","",
IF(COUNTIF(BC71,"*雙葉*"),"",
IF(BC71&lt;&gt;"",
IF(
(COLUMN(INDIRECT("数出表_Excel!B" &amp; (MATCH(BG29,数出表_Excel!$A:$A,0)-1))) - 1 +
MATCH(TRUE, ISNUMBER(--INDIRECT("数出表_Excel!B" &amp; (MATCH(BG29,数出表_Excel!$A:$A,0)-1) &amp; ":U" &amp; (MATCH(BG29,数出表_Excel!$A:$A,0)-1))), 0)+1
+MATCH(TRUE,INDIRECT("'数出表_Excel'!"&amp;BB71&amp;MATCH(BG29,数出表_Excel!$A:$A,0)-1&amp;":AL"&amp;MATCH(BG29,数出表_Excel!$A:$A,0)-1&amp;"")&lt;&gt;"",0))&gt;12,"",
IFERROR(
INDEX(INDIRECT("数出表_Excel!$"&amp;BB71&amp;"4:$AL4"),
 1,
MATCH(TRUE,INDIRECT("'数出表_Excel'!"&amp;BB71&amp;MATCH(BG29,数出表_Excel!$A:$A,0)-1&amp;":AL"&amp;MATCH(BG29,数出表_Excel!$A:$A,0)-1&amp;"")&lt;&gt;"",0)
),
 "")
&amp;IFERROR(
INDEX(INDIRECT("数出表_Excel!$"&amp;BB71&amp;"5:$AL5"),
 1,
MATCH(TRUE,INDIRECT("'数出表_Excel'!"&amp;BB71&amp;MATCH(BG29,数出表_Excel!$A:$A,0)-1&amp;":AL"&amp;MATCH(BG29,数出表_Excel!$A:$A,0)-1&amp;"")&lt;&gt;"",0)),
 "")),"")))</f>
        <v/>
      </c>
      <c r="BF72" s="87" t="str">
        <f t="array" aca="1" ref="BF72" ca="1">IF(BC72&lt;&gt;"",
IF(COUNTIF(BC71,"*雙葉*"),
IF(ROUND(
IF(BF77&lt;&gt;"",(BC74-BF77),BC74)
/IF(COUNTIF(BC72,"*キャラ*"),
VLOOKUP("*キャラ*",商品マスタ一覧!$D:$J,7,FALSE),
IF(COUNTIF(BC72,"*赤*"),
VLOOKUP("*赤*",商品マスタ一覧!$D:$J,7,FALSE),
VLOOKUP(BC72,商品マスタ一覧!$D:$J,7,FALSE))),0)&lt;=0,1,
ROUND(
IF(BF77&lt;&gt;"",(BC74-BF77),BC74)
/IF(COUNTIF(BC72,"*キャラ*"),
VLOOKUP("*キャラ*",商品マスタ一覧!$D:$J,7,FALSE),
IF(COUNTIF(BC72,"*赤*"),
VLOOKUP("*赤*",商品マスタ一覧!$D:$J,7,FALSE),
VLOOKUP(BC72,商品マスタ一覧!$D:$J,7,FALSE))),0)),
IF(MATCH(TRUE,
ISNUMBER(--INDIRECT("'数出表_Excel（アレルギー入力）'!B"&amp;MATCH(BG29,'数出表_Excel（アレルギー入力）'!$A:$A,0)-1&amp;":AL"&amp;MATCH(BG29,'数出表_Excel（アレルギー入力）'!$A:$A,0)-1&amp;"")),0)&gt;10,
IF(BC72&lt;&gt;"",
IF(IF(COUNTIF(BC72,"*キャラ*"),
VLOOKUP("*キャラ*",商品マスタ一覧!$D:$J,7,FALSE),
IF(COUNTIF(BC72,"*赤*"),
VLOOKUP("*赤*",商品マスタ一覧!$D:$J,7,FALSE),
VLOOKUP(BC72,商品マスタ一覧!$D:$J,7,FALSE)))=0,"",
IF(ROUND(
IF(BF77&lt;&gt;"",(BC74-BF77),BC74)
/IF(COUNTIF(BC72,"*キャラ*"),
VLOOKUP("*キャラ*",商品マスタ一覧!$D:$J,7,FALSE),
IF(COUNTIF(BC72,"*赤*"),
VLOOKUP("*赤*",商品マスタ一覧!$D:$J,7,FALSE),
VLOOKUP(BC72,商品マスタ一覧!$D:$J,7,FALSE))),0)&lt;=0,1,
ROUND(
IF(BF77&lt;&gt;"",(BC74-BF77),BC74)
/IF(COUNTIF(BC72,"*キャラ*"),
VLOOKUP("*キャラ*",商品マスタ一覧!$D:$J,7,FALSE),
IF(COUNTIF(BC72,"*赤*"),
VLOOKUP("*赤*",商品マスタ一覧!$D:$J,7,FALSE),
VLOOKUP(BC72,商品マスタ一覧!$D:$J,7,FALSE))),0))),""),"")),"")</f>
        <v/>
      </c>
      <c r="BG72" s="96" t="str">
        <f ca="1">IF(BF72&lt;&gt;"",IF(BC74&lt;&gt;"",IF(VALUE(IF(BF77&lt;&gt;"",BC74-BF77,BC74))&gt;VALUE(IF(COUNTIF('盛付札（関数）'!BC72,"*キャラ*"),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
"+"&amp;IF(BF77&lt;&gt;"",BC74-BF77,BC74)-IF(COUNTIF('盛付札（関数）'!BC72,"*キャラ*"),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VLOOKUP('盛付札（関数）'!BC72,商品マスタ一覧!$D:$J,7,FALSE)))*BF72,
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VLOOKUP('盛付札（関数）'!BC72,商品マスタ一覧!$D:$J,7,FALSE)))*BF72),""),"")</f>
        <v/>
      </c>
      <c r="BH72" s="80"/>
      <c r="BI72" s="80"/>
      <c r="BJ72" s="85" t="e">
        <f t="array" aca="1" ref="BJ72" ca="1">IF(BJ31&lt;&gt;100,
IF(BK74&lt;&gt;"",MATCH(BK74,INDIRECT("数出表_Excel!B"&amp;MATCH(BO29,数出表_Excel!$A:$A,0)-1&amp;":U"&amp;MATCH(BO29,数出表_Excel!$A:$A,0)-1&amp;""),0)+1,""),
IF(BK74&lt;&gt;"",
MATCH(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INDIRECT("数出表_Excel!B"&amp;MATCH(BO29,数出表_Excel!$A:$A,0)-1&amp;":U"&amp;MATCH(BO29,数出表_Excel!$A:$A,0)-1&amp;""),0)+1,""))</f>
        <v>#N/A</v>
      </c>
      <c r="BK72" s="62" t="str">
        <f t="array" aca="1" ref="BK72" ca="1">IF(BK29=BR64,"",IFERROR(IF(OR(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"3"),"*配膳*"),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"3"),"*カレー*"),
COUNTIF(BK29,"*合計*")),"",
IF(IFERROR(INDIRECT("数出表_Excel!"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"3"),0)=0,"",
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"3"),""))),""))</f>
        <v/>
      </c>
      <c r="BL72" s="80"/>
      <c r="BM72" s="86" t="str">
        <f t="array" aca="1" ref="BM72" ca="1">IF(BN72&lt;&gt;"","",
IF(COUNTIF(BK71,"*雙葉*"),"",
IF(BK71&lt;&gt;"",
IF(
(COLUMN(INDIRECT("数出表_Excel!B" &amp; (MATCH(BO29,数出表_Excel!$A:$A,0)-1))) - 1 +
MATCH(TRUE, ISNUMBER(--INDIRECT("数出表_Excel!B" &amp; (MATCH(BO29,数出表_Excel!$A:$A,0)-1) &amp; ":U" &amp; (MATCH(BO29,数出表_Excel!$A:$A,0)-1))), 0)+1
+MATCH(TRUE,INDIRECT("'数出表_Excel'!"&amp;BJ71&amp;MATCH(BO29,数出表_Excel!$A:$A,0)-1&amp;":AL"&amp;MATCH(BO29,数出表_Excel!$A:$A,0)-1&amp;"")&lt;&gt;"",0))&gt;12,"",
IFERROR(
INDEX(INDIRECT("数出表_Excel!$"&amp;BJ71&amp;"4:$AL4"),
 1,
MATCH(TRUE,INDIRECT("'数出表_Excel'!"&amp;BJ71&amp;MATCH(BO29,数出表_Excel!$A:$A,0)-1&amp;":AL"&amp;MATCH(BO29,数出表_Excel!$A:$A,0)-1&amp;"")&lt;&gt;"",0)
),
 "")
&amp;IFERROR(
INDEX(INDIRECT("数出表_Excel!$"&amp;BJ71&amp;"5:$AL5"),
 1,
MATCH(TRUE,INDIRECT("'数出表_Excel'!"&amp;BJ71&amp;MATCH(BO29,数出表_Excel!$A:$A,0)-1&amp;":AL"&amp;MATCH(BO29,数出表_Excel!$A:$A,0)-1&amp;"")&lt;&gt;"",0)),
 "")),"")))</f>
        <v/>
      </c>
      <c r="BN72" s="87" t="str">
        <f t="array" aca="1" ref="BN72" ca="1">IF(BK72&lt;&gt;"",
IF(COUNTIF(BK71,"*雙葉*"),
IF(ROUND(
IF(BN77&lt;&gt;"",(BK74-BN77),BK74)
/IF(COUNTIF(BK72,"*キャラ*"),
VLOOKUP("*キャラ*",商品マスタ一覧!$D:$J,7,FALSE),
IF(COUNTIF(BK72,"*赤*"),
VLOOKUP("*赤*",商品マスタ一覧!$D:$J,7,FALSE),
VLOOKUP(BK72,商品マスタ一覧!$D:$J,7,FALSE))),0)&lt;=0,1,
ROUND(
IF(BN77&lt;&gt;"",(BK74-BN77),BK74)
/IF(COUNTIF(BK72,"*キャラ*"),
VLOOKUP("*キャラ*",商品マスタ一覧!$D:$J,7,FALSE),
IF(COUNTIF(BK72,"*赤*"),
VLOOKUP("*赤*",商品マスタ一覧!$D:$J,7,FALSE),
VLOOKUP(BK72,商品マスタ一覧!$D:$J,7,FALSE))),0)),
IF(MATCH(TRUE,
ISNUMBER(--INDIRECT("'数出表_Excel（アレルギー入力）'!B"&amp;MATCH(BO29,'数出表_Excel（アレルギー入力）'!$A:$A,0)-1&amp;":AL"&amp;MATCH(BO29,'数出表_Excel（アレルギー入力）'!$A:$A,0)-1&amp;"")),0)&gt;10,
IF(BK72&lt;&gt;"",
IF(IF(COUNTIF(BK72,"*キャラ*"),
VLOOKUP("*キャラ*",商品マスタ一覧!$D:$J,7,FALSE),
IF(COUNTIF(BK72,"*赤*"),
VLOOKUP("*赤*",商品マスタ一覧!$D:$J,7,FALSE),
VLOOKUP(BK72,商品マスタ一覧!$D:$J,7,FALSE)))=0,"",
IF(ROUND(
IF(BN77&lt;&gt;"",(BK74-BN77),BK74)
/IF(COUNTIF(BK72,"*キャラ*"),
VLOOKUP("*キャラ*",商品マスタ一覧!$D:$J,7,FALSE),
IF(COUNTIF(BK72,"*赤*"),
VLOOKUP("*赤*",商品マスタ一覧!$D:$J,7,FALSE),
VLOOKUP(BK72,商品マスタ一覧!$D:$J,7,FALSE))),0)&lt;=0,1,
ROUND(
IF(BN77&lt;&gt;"",(BK74-BN77),BK74)
/IF(COUNTIF(BK72,"*キャラ*"),
VLOOKUP("*キャラ*",商品マスタ一覧!$D:$J,7,FALSE),
IF(COUNTIF(BK72,"*赤*"),
VLOOKUP("*赤*",商品マスタ一覧!$D:$J,7,FALSE),
VLOOKUP(BK72,商品マスタ一覧!$D:$J,7,FALSE))),0))),""),"")),"")</f>
        <v/>
      </c>
      <c r="BO72" s="100" t="str">
        <f ca="1">IF(BN72&lt;&gt;"",IF(BK74&lt;&gt;"",IF(VALUE(IF(BN77&lt;&gt;"",BK74-BN77,BK74))&gt;VALUE(IF(COUNTIF('盛付札（関数）'!BK72,"*キャラ*"),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
"+"&amp;IF(BN77&lt;&gt;"",BK74-BN77,BK74)-IF(COUNTIF('盛付札（関数）'!BK72,"*キャラ*"),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VLOOKUP('盛付札（関数）'!BK72,商品マスタ一覧!$D:$J,7,FALSE)))*BN72,
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VLOOKUP('盛付札（関数）'!BK72,商品マスタ一覧!$D:$J,7,FALSE)))*BN72),""),"")</f>
        <v/>
      </c>
      <c r="BP72" s="80"/>
      <c r="BQ72" s="85" t="e">
        <f t="array" aca="1" ref="BQ72" ca="1">IF(BQ31&lt;&gt;100,
IF(BR74&lt;&gt;"",MATCH(BR74,INDIRECT("数出表_Excel!B"&amp;MATCH(BV29,数出表_Excel!$A:$A,0)-1&amp;":U"&amp;MATCH(BV29,数出表_Excel!$A:$A,0)-1&amp;""),0)+1,""),
IF(BR74&lt;&gt;"",
MATCH(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INDIRECT("数出表_Excel!B"&amp;MATCH(BV29,数出表_Excel!$A:$A,0)-1&amp;":U"&amp;MATCH(BV29,数出表_Excel!$A:$A,0)-1&amp;""),0)+1,""))</f>
        <v>#N/A</v>
      </c>
      <c r="BR72" s="62" t="str">
        <f t="array" aca="1" ref="BR72" ca="1">IF(BR29=BK71,"",IFERROR(IF(OR(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"3"),"*配膳*"),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"3"),"*カレー*"),
COUNTIF(BR29,"*合計*")),"",
IF(IFERROR(INDIRECT("数出表_Excel!"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"3"),0)=0,"",
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"3"),""))),""))</f>
        <v/>
      </c>
      <c r="BS72" s="80"/>
      <c r="BT72" s="86" t="str">
        <f t="array" aca="1" ref="BT72" ca="1">IF(BU72&lt;&gt;"","",
IF(COUNTIF(BR71,"*雙葉*"),"",
IF(BR71&lt;&gt;"",
IF(
(COLUMN(INDIRECT("数出表_Excel!B" &amp; (MATCH(BV29,数出表_Excel!$A:$A,0)-1))) - 1 +
MATCH(TRUE, ISNUMBER(--INDIRECT("数出表_Excel!B" &amp; (MATCH(BV29,数出表_Excel!$A:$A,0)-1) &amp; ":U" &amp; (MATCH(BV29,数出表_Excel!$A:$A,0)-1))), 0)+1
+MATCH(TRUE,INDIRECT("'数出表_Excel'!"&amp;BQ71&amp;MATCH(BV29,数出表_Excel!$A:$A,0)-1&amp;":AL"&amp;MATCH(BV29,数出表_Excel!$A:$A,0)-1&amp;"")&lt;&gt;"",0))&gt;12,"",
IFERROR(
INDEX(INDIRECT("数出表_Excel!$"&amp;BQ71&amp;"4:$AL4"),
 1,
MATCH(TRUE,INDIRECT("'数出表_Excel'!"&amp;BQ71&amp;MATCH(BV29,数出表_Excel!$A:$A,0)-1&amp;":AL"&amp;MATCH(BV29,数出表_Excel!$A:$A,0)-1&amp;"")&lt;&gt;"",0)
),
 "")
&amp;IFERROR(
INDEX(INDIRECT("数出表_Excel!$"&amp;BQ71&amp;"5:$AL5"),
 1,
MATCH(TRUE,INDIRECT("'数出表_Excel'!"&amp;BQ71&amp;MATCH(BV29,数出表_Excel!$A:$A,0)-1&amp;":AL"&amp;MATCH(BV29,数出表_Excel!$A:$A,0)-1&amp;"")&lt;&gt;"",0)),
 "")),"")))</f>
        <v/>
      </c>
      <c r="BU72" s="87" t="str">
        <f t="array" aca="1" ref="BU72" ca="1">IF(BR72&lt;&gt;"",
IF(COUNTIF(BR71,"*雙葉*"),
IF(ROUND(
IF(BU77&lt;&gt;"",(BR74-BU77),BR74)
/IF(COUNTIF(BR72,"*キャラ*"),
VLOOKUP("*キャラ*",商品マスタ一覧!$D:$J,7,FALSE),
IF(COUNTIF(BR72,"*赤*"),
VLOOKUP("*赤*",商品マスタ一覧!$D:$J,7,FALSE),
VLOOKUP(BR72,商品マスタ一覧!$D:$J,7,FALSE))),0)&lt;=0,1,
ROUND(
IF(BU77&lt;&gt;"",(BR74-BU77),BR74)
/IF(COUNTIF(BR72,"*キャラ*"),
VLOOKUP("*キャラ*",商品マスタ一覧!$D:$J,7,FALSE),
IF(COUNTIF(BR72,"*赤*"),
VLOOKUP("*赤*",商品マスタ一覧!$D:$J,7,FALSE),
VLOOKUP(BR72,商品マスタ一覧!$D:$J,7,FALSE))),0)),
IF(MATCH(TRUE,
ISNUMBER(--INDIRECT("'数出表_Excel（アレルギー入力）'!B"&amp;MATCH(BV29,'数出表_Excel（アレルギー入力）'!$A:$A,0)-1&amp;":AL"&amp;MATCH(BV29,'数出表_Excel（アレルギー入力）'!$A:$A,0)-1&amp;"")),0)&gt;10,
IF(BR72&lt;&gt;"",
IF(IF(COUNTIF(BR72,"*キャラ*"),
VLOOKUP("*キャラ*",商品マスタ一覧!$D:$J,7,FALSE),
IF(COUNTIF(BR72,"*赤*"),
VLOOKUP("*赤*",商品マスタ一覧!$D:$J,7,FALSE),
VLOOKUP(BR72,商品マスタ一覧!$D:$J,7,FALSE)))=0,"",
IF(ROUND(
IF(BU77&lt;&gt;"",(BR74-BU77),BR74)
/IF(COUNTIF(BR72,"*キャラ*"),
VLOOKUP("*キャラ*",商品マスタ一覧!$D:$J,7,FALSE),
IF(COUNTIF(BR72,"*赤*"),
VLOOKUP("*赤*",商品マスタ一覧!$D:$J,7,FALSE),
VLOOKUP(BR72,商品マスタ一覧!$D:$J,7,FALSE))),0)&lt;=0,1,
ROUND(
IF(BU77&lt;&gt;"",(BR74-BU77),BR74)
/IF(COUNTIF(BR72,"*キャラ*"),
VLOOKUP("*キャラ*",商品マスタ一覧!$D:$J,7,FALSE),
IF(COUNTIF(BR72,"*赤*"),
VLOOKUP("*赤*",商品マスタ一覧!$D:$J,7,FALSE),
VLOOKUP(BR72,商品マスタ一覧!$D:$J,7,FALSE))),0))),""),"")),"")</f>
        <v/>
      </c>
      <c r="BV72" s="96" t="str">
        <f ca="1">IF(BU72&lt;&gt;"",IF(BR74&lt;&gt;"",IF(VALUE(IF(BU77&lt;&gt;"",BR74-BU77,BR74))&gt;VALUE(IF(COUNTIF('盛付札（関数）'!BR72,"*キャラ*"),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
"+"&amp;IF(BU77&lt;&gt;"",BR74-BU77,BR74)-IF(COUNTIF('盛付札（関数）'!BR72,"*キャラ*"),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VLOOKUP('盛付札（関数）'!BR72,商品マスタ一覧!$D:$J,7,FALSE)))*BU72,
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VLOOKUP('盛付札（関数）'!BR72,商品マスタ一覧!$D:$J,7,FALSE)))*BU72),""),"")</f>
        <v/>
      </c>
      <c r="BW72" s="80"/>
      <c r="BX72" s="80"/>
      <c r="BY72" s="85" t="e">
        <f t="array" aca="1" ref="BY72" ca="1">IF(BY31&lt;&gt;100,
IF(BZ74&lt;&gt;"",MATCH(BZ74,INDIRECT("数出表_Excel!B"&amp;MATCH(CD29,数出表_Excel!$A:$A,0)-1&amp;":U"&amp;MATCH(CD29,数出表_Excel!$A:$A,0)-1&amp;""),0)+1,""),
IF(BZ74&lt;&gt;"",
MATCH(
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""),
INDIRECT("数出表_Excel!B"&amp;MATCH(CD29,数出表_Excel!$A:$A,0)-1&amp;":U"&amp;MATCH(CD29,数出表_Excel!$A:$A,0)-1&amp;""),0)+1,""))</f>
        <v>#N/A</v>
      </c>
      <c r="BZ72" s="62" t="str">
        <f t="array" aca="1" ref="BZ72" ca="1">IF(BZ29=CG64,"",IFERROR(IF(OR(
COUNTIF(INDIRECT("数出表_Excel!"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"3"),"*配膳*"),
COUNTIF(INDIRECT("数出表_Excel!"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"3"),"*カレー*"),
COUNTIF(BZ29,"*合計*")),"",
IF(IFERROR(INDIRECT("数出表_Excel!"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"3"),0)=0,"",
IFERROR(INDIRECT("数出表_Excel!"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"3"),""))),""))</f>
        <v/>
      </c>
      <c r="CA72" s="80"/>
      <c r="CB72" s="86" t="str">
        <f t="array" aca="1" ref="CB72" ca="1">IF(CC72&lt;&gt;"","",
IF(COUNTIF(BZ71,"*雙葉*"),"",
IF(BZ71&lt;&gt;"",
IF(
(COLUMN(INDIRECT("数出表_Excel!B" &amp; (MATCH(CD29,数出表_Excel!$A:$A,0)-1))) - 1 +
MATCH(TRUE, ISNUMBER(--INDIRECT("数出表_Excel!B" &amp; (MATCH(CD29,数出表_Excel!$A:$A,0)-1) &amp; ":U" &amp; (MATCH(CD29,数出表_Excel!$A:$A,0)-1))), 0)+1
+MATCH(TRUE,INDIRECT("'数出表_Excel'!"&amp;BY71&amp;MATCH(CD29,数出表_Excel!$A:$A,0)-1&amp;":AL"&amp;MATCH(CD29,数出表_Excel!$A:$A,0)-1&amp;"")&lt;&gt;"",0))&gt;12,"",
IFERROR(
INDEX(INDIRECT("数出表_Excel!$"&amp;BY71&amp;"4:$AL4"),
 1,
MATCH(TRUE,INDIRECT("'数出表_Excel'!"&amp;BY71&amp;MATCH(CD29,数出表_Excel!$A:$A,0)-1&amp;":AL"&amp;MATCH(CD29,数出表_Excel!$A:$A,0)-1&amp;"")&lt;&gt;"",0)
),
 "")
&amp;IFERROR(
INDEX(INDIRECT("数出表_Excel!$"&amp;BY71&amp;"5:$AL5"),
 1,
MATCH(TRUE,INDIRECT("'数出表_Excel'!"&amp;BY71&amp;MATCH(CD29,数出表_Excel!$A:$A,0)-1&amp;":AL"&amp;MATCH(CD29,数出表_Excel!$A:$A,0)-1&amp;"")&lt;&gt;"",0)),
 "")),"")))</f>
        <v/>
      </c>
      <c r="CC72" s="87" t="str">
        <f t="array" aca="1" ref="CC72" ca="1">IF(BZ72&lt;&gt;"",
IF(COUNTIF(BZ71,"*雙葉*"),
IF(ROUND(
IF(CC77&lt;&gt;"",(BZ74-CC77),BZ74)
/IF(COUNTIF(BZ72,"*キャラ*"),
VLOOKUP("*キャラ*",商品マスタ一覧!$D:$J,7,FALSE),
IF(COUNTIF(BZ72,"*赤*"),
VLOOKUP("*赤*",商品マスタ一覧!$D:$J,7,FALSE),
VLOOKUP(BZ72,商品マスタ一覧!$D:$J,7,FALSE))),0)&lt;=0,1,
ROUND(
IF(CC77&lt;&gt;"",(BZ74-CC77),BZ74)
/IF(COUNTIF(BZ72,"*キャラ*"),
VLOOKUP("*キャラ*",商品マスタ一覧!$D:$J,7,FALSE),
IF(COUNTIF(BZ72,"*赤*"),
VLOOKUP("*赤*",商品マスタ一覧!$D:$J,7,FALSE),
VLOOKUP(BZ72,商品マスタ一覧!$D:$J,7,FALSE))),0)),
IF(MATCH(TRUE,
ISNUMBER(--INDIRECT("'数出表_Excel（アレルギー入力）'!B"&amp;MATCH(CD29,'数出表_Excel（アレルギー入力）'!$A:$A,0)-1&amp;":AL"&amp;MATCH(CD29,'数出表_Excel（アレルギー入力）'!$A:$A,0)-1&amp;"")),0)&gt;10,
IF(BZ72&lt;&gt;"",
IF(IF(COUNTIF(BZ72,"*キャラ*"),
VLOOKUP("*キャラ*",商品マスタ一覧!$D:$J,7,FALSE),
IF(COUNTIF(BZ72,"*赤*"),
VLOOKUP("*赤*",商品マスタ一覧!$D:$J,7,FALSE),
VLOOKUP(BZ72,商品マスタ一覧!$D:$J,7,FALSE)))=0,"",
IF(ROUND(
IF(CC77&lt;&gt;"",(BZ74-CC77),BZ74)
/IF(COUNTIF(BZ72,"*キャラ*"),
VLOOKUP("*キャラ*",商品マスタ一覧!$D:$J,7,FALSE),
IF(COUNTIF(BZ72,"*赤*"),
VLOOKUP("*赤*",商品マスタ一覧!$D:$J,7,FALSE),
VLOOKUP(BZ72,商品マスタ一覧!$D:$J,7,FALSE))),0)&lt;=0,1,
ROUND(
IF(CC77&lt;&gt;"",(BZ74-CC77),BZ74)
/IF(COUNTIF(BZ72,"*キャラ*"),
VLOOKUP("*キャラ*",商品マスタ一覧!$D:$J,7,FALSE),
IF(COUNTIF(BZ72,"*赤*"),
VLOOKUP("*赤*",商品マスタ一覧!$D:$J,7,FALSE),
VLOOKUP(BZ72,商品マスタ一覧!$D:$J,7,FALSE))),0))),""),"")),"")</f>
        <v/>
      </c>
      <c r="CD72" s="100" t="str">
        <f ca="1">IF(CC72&lt;&gt;"",IF(BZ74&lt;&gt;"",IF(VALUE(IF(CC77&lt;&gt;"",BZ74-CC77,BZ74))&gt;VALUE(IF(COUNTIF('盛付札（関数）'!BZ72,"*キャラ*"),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VLOOKUP('盛付札（関数）'!BZ72,商品マスタ一覧!$D:$J,7,FALSE)))*CC72),
"+"&amp;IF(CC77&lt;&gt;"",BZ74-CC77,BZ74)-IF(COUNTIF('盛付札（関数）'!BZ72,"*キャラ*"),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VLOOKUP('盛付札（関数）'!BZ72,商品マスタ一覧!$D:$J,7,FALSE)))*CC72,
IF(CC77&lt;&gt;"",BZ74-CC77,BZ74)-IF(COUNTIF('盛付札（関数）'!BZ72,"*キャラ*"),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VLOOKUP('盛付札（関数）'!BZ72,商品マスタ一覧!$D:$J,7,FALSE)))*CC72),""),"")</f>
        <v/>
      </c>
      <c r="CE72" s="80"/>
      <c r="CF72" s="85" t="e">
        <f t="array" aca="1" ref="CF72" ca="1">IF(CF31&lt;&gt;100,
IF(CG74&lt;&gt;"",MATCH(CG74,INDIRECT("数出表_Excel!B"&amp;MATCH(CK29,数出表_Excel!$A:$A,0)-1&amp;":U"&amp;MATCH(CK29,数出表_Excel!$A:$A,0)-1&amp;""),0)+1,""),
IF(CG74&lt;&gt;"",
MATCH(
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""),
INDIRECT("数出表_Excel!B"&amp;MATCH(CK29,数出表_Excel!$A:$A,0)-1&amp;":U"&amp;MATCH(CK29,数出表_Excel!$A:$A,0)-1&amp;""),0)+1,""))</f>
        <v>#N/A</v>
      </c>
      <c r="CG72" s="62" t="str">
        <f t="array" aca="1" ref="CG72" ca="1">IF(CG29=BZ71,"",IFERROR(IF(OR(
COUNTIF(INDIRECT("数出表_Excel!"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"3"),"*配膳*"),
COUNTIF(INDIRECT("数出表_Excel!"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"3"),"*カレー*"),
COUNTIF(CG29,"*合計*")),"",
IF(IFERROR(INDIRECT("数出表_Excel!"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"3"),0)=0,"",
IFERROR(INDIRECT("数出表_Excel!"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"3"),""))),""))</f>
        <v/>
      </c>
      <c r="CH72" s="80"/>
      <c r="CI72" s="86" t="str">
        <f t="array" aca="1" ref="CI72" ca="1">IF(CJ72&lt;&gt;"","",
IF(COUNTIF(CG71,"*雙葉*"),"",
IF(CG71&lt;&gt;"",
IF(
(COLUMN(INDIRECT("数出表_Excel!B" &amp; (MATCH(CK29,数出表_Excel!$A:$A,0)-1))) - 1 +
MATCH(TRUE, ISNUMBER(--INDIRECT("数出表_Excel!B" &amp; (MATCH(CK29,数出表_Excel!$A:$A,0)-1) &amp; ":U" &amp; (MATCH(CK29,数出表_Excel!$A:$A,0)-1))), 0)+1
+MATCH(TRUE,INDIRECT("'数出表_Excel'!"&amp;CF71&amp;MATCH(CK29,数出表_Excel!$A:$A,0)-1&amp;":AL"&amp;MATCH(CK29,数出表_Excel!$A:$A,0)-1&amp;"")&lt;&gt;"",0))&gt;12,"",
IFERROR(
INDEX(INDIRECT("数出表_Excel!$"&amp;CF71&amp;"4:$AL4"),
 1,
MATCH(TRUE,INDIRECT("'数出表_Excel'!"&amp;CF71&amp;MATCH(CK29,数出表_Excel!$A:$A,0)-1&amp;":AL"&amp;MATCH(CK29,数出表_Excel!$A:$A,0)-1&amp;"")&lt;&gt;"",0)
),
 "")
&amp;IFERROR(
INDEX(INDIRECT("数出表_Excel!$"&amp;CF71&amp;"5:$AL5"),
 1,
MATCH(TRUE,INDIRECT("'数出表_Excel'!"&amp;CF71&amp;MATCH(CK29,数出表_Excel!$A:$A,0)-1&amp;":AL"&amp;MATCH(CK29,数出表_Excel!$A:$A,0)-1&amp;"")&lt;&gt;"",0)),
 "")),"")))</f>
        <v/>
      </c>
      <c r="CJ72" s="87" t="str">
        <f t="array" aca="1" ref="CJ72" ca="1">IF(CG72&lt;&gt;"",
IF(COUNTIF(CG71,"*雙葉*"),
IF(ROUND(
IF(CJ77&lt;&gt;"",(CG74-CJ77),CG74)
/IF(COUNTIF(CG72,"*キャラ*"),
VLOOKUP("*キャラ*",商品マスタ一覧!$D:$J,7,FALSE),
IF(COUNTIF(CG72,"*赤*"),
VLOOKUP("*赤*",商品マスタ一覧!$D:$J,7,FALSE),
VLOOKUP(CG72,商品マスタ一覧!$D:$J,7,FALSE))),0)&lt;=0,1,
ROUND(
IF(CJ77&lt;&gt;"",(CG74-CJ77),CG74)
/IF(COUNTIF(CG72,"*キャラ*"),
VLOOKUP("*キャラ*",商品マスタ一覧!$D:$J,7,FALSE),
IF(COUNTIF(CG72,"*赤*"),
VLOOKUP("*赤*",商品マスタ一覧!$D:$J,7,FALSE),
VLOOKUP(CG72,商品マスタ一覧!$D:$J,7,FALSE))),0)),
IF(MATCH(TRUE,
ISNUMBER(--INDIRECT("'数出表_Excel（アレルギー入力）'!B"&amp;MATCH(CK29,'数出表_Excel（アレルギー入力）'!$A:$A,0)-1&amp;":AL"&amp;MATCH(CK29,'数出表_Excel（アレルギー入力）'!$A:$A,0)-1&amp;"")),0)&gt;10,
IF(CG72&lt;&gt;"",
IF(IF(COUNTIF(CG72,"*キャラ*"),
VLOOKUP("*キャラ*",商品マスタ一覧!$D:$J,7,FALSE),
IF(COUNTIF(CG72,"*赤*"),
VLOOKUP("*赤*",商品マスタ一覧!$D:$J,7,FALSE),
VLOOKUP(CG72,商品マスタ一覧!$D:$J,7,FALSE)))=0,"",
IF(ROUND(
IF(CJ77&lt;&gt;"",(CG74-CJ77),CG74)
/IF(COUNTIF(CG72,"*キャラ*"),
VLOOKUP("*キャラ*",商品マスタ一覧!$D:$J,7,FALSE),
IF(COUNTIF(CG72,"*赤*"),
VLOOKUP("*赤*",商品マスタ一覧!$D:$J,7,FALSE),
VLOOKUP(CG72,商品マスタ一覧!$D:$J,7,FALSE))),0)&lt;=0,1,
ROUND(
IF(CJ77&lt;&gt;"",(CG74-CJ77),CG74)
/IF(COUNTIF(CG72,"*キャラ*"),
VLOOKUP("*キャラ*",商品マスタ一覧!$D:$J,7,FALSE),
IF(COUNTIF(CG72,"*赤*"),
VLOOKUP("*赤*",商品マスタ一覧!$D:$J,7,FALSE),
VLOOKUP(CG72,商品マスタ一覧!$D:$J,7,FALSE))),0))),""),"")),"")</f>
        <v/>
      </c>
      <c r="CK72" s="96" t="str">
        <f ca="1">IF(CJ72&lt;&gt;"",IF(CG74&lt;&gt;"",IF(VALUE(IF(CJ77&lt;&gt;"",CG74-CJ77,CG74))&gt;VALUE(IF(COUNTIF('盛付札（関数）'!CG72,"*キャラ*"),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VLOOKUP('盛付札（関数）'!CG72,商品マスタ一覧!$D:$J,7,FALSE)))*CJ72),
"+"&amp;IF(CJ77&lt;&gt;"",CG74-CJ77,CG74)-IF(COUNTIF('盛付札（関数）'!CG72,"*キャラ*"),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VLOOKUP('盛付札（関数）'!CG72,商品マスタ一覧!$D:$J,7,FALSE)))*CJ72,
IF(CJ77&lt;&gt;"",CG74-CJ77,CG74)-IF(COUNTIF('盛付札（関数）'!CG72,"*キャラ*"),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VLOOKUP('盛付札（関数）'!CG72,商品マスタ一覧!$D:$J,7,FALSE)))*CJ72),""),"")</f>
        <v/>
      </c>
      <c r="CL72" s="80"/>
      <c r="CM72" s="80"/>
      <c r="CN72" s="85" t="e">
        <f t="array" aca="1" ref="CN72" ca="1">IF(CN31&lt;&gt;100,
IF(CO74&lt;&gt;"",MATCH(CO74,INDIRECT("数出表_Excel!B"&amp;MATCH(CS29,数出表_Excel!$A:$A,0)-1&amp;":U"&amp;MATCH(CS29,数出表_Excel!$A:$A,0)-1&amp;""),0)+1,""),
IF(CO74&lt;&gt;"",
MATCH(
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""),
INDIRECT("数出表_Excel!B"&amp;MATCH(CS29,数出表_Excel!$A:$A,0)-1&amp;":U"&amp;MATCH(CS29,数出表_Excel!$A:$A,0)-1&amp;""),0)+1,""))</f>
        <v>#N/A</v>
      </c>
      <c r="CO72" s="62" t="str">
        <f t="array" aca="1" ref="CO72" ca="1">IF(CO29=CV64,"",IFERROR(IF(OR(
COUNTIF(INDIRECT("数出表_Excel!"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"3"),"*配膳*"),
COUNTIF(INDIRECT("数出表_Excel!"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"3"),"*カレー*"),
COUNTIF(CO29,"*合計*")),"",
IF(IFERROR(INDIRECT("数出表_Excel!"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"3"),0)=0,"",
IFERROR(INDIRECT("数出表_Excel!"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"3"),""))),""))</f>
        <v/>
      </c>
      <c r="CP72" s="80"/>
      <c r="CQ72" s="86" t="str">
        <f t="array" aca="1" ref="CQ72" ca="1">IF(CR72&lt;&gt;"","",
IF(COUNTIF(CO71,"*雙葉*"),"",
IF(CO71&lt;&gt;"",
IF(
(COLUMN(INDIRECT("数出表_Excel!B" &amp; (MATCH(CS29,数出表_Excel!$A:$A,0)-1))) - 1 +
MATCH(TRUE, ISNUMBER(--INDIRECT("数出表_Excel!B" &amp; (MATCH(CS29,数出表_Excel!$A:$A,0)-1) &amp; ":U" &amp; (MATCH(CS29,数出表_Excel!$A:$A,0)-1))), 0)+1
+MATCH(TRUE,INDIRECT("'数出表_Excel'!"&amp;CN71&amp;MATCH(CS29,数出表_Excel!$A:$A,0)-1&amp;":AL"&amp;MATCH(CS29,数出表_Excel!$A:$A,0)-1&amp;"")&lt;&gt;"",0))&gt;12,"",
IFERROR(
INDEX(INDIRECT("数出表_Excel!$"&amp;CN71&amp;"4:$AL4"),
 1,
MATCH(TRUE,INDIRECT("'数出表_Excel'!"&amp;CN71&amp;MATCH(CS29,数出表_Excel!$A:$A,0)-1&amp;":AL"&amp;MATCH(CS29,数出表_Excel!$A:$A,0)-1&amp;"")&lt;&gt;"",0)
),
 "")
&amp;IFERROR(
INDEX(INDIRECT("数出表_Excel!$"&amp;CN71&amp;"5:$AL5"),
 1,
MATCH(TRUE,INDIRECT("'数出表_Excel'!"&amp;CN71&amp;MATCH(CS29,数出表_Excel!$A:$A,0)-1&amp;":AL"&amp;MATCH(CS29,数出表_Excel!$A:$A,0)-1&amp;"")&lt;&gt;"",0)),
 "")),"")))</f>
        <v/>
      </c>
      <c r="CR72" s="87" t="str">
        <f t="array" aca="1" ref="CR72" ca="1">IF(CO72&lt;&gt;"",
IF(COUNTIF(CO71,"*雙葉*"),
IF(ROUND(
IF(CR77&lt;&gt;"",(CO74-CR77),CO74)
/IF(COUNTIF(CO72,"*キャラ*"),
VLOOKUP("*キャラ*",商品マスタ一覧!$D:$J,7,FALSE),
IF(COUNTIF(CO72,"*赤*"),
VLOOKUP("*赤*",商品マスタ一覧!$D:$J,7,FALSE),
VLOOKUP(CO72,商品マスタ一覧!$D:$J,7,FALSE))),0)&lt;=0,1,
ROUND(
IF(CR77&lt;&gt;"",(CO74-CR77),CO74)
/IF(COUNTIF(CO72,"*キャラ*"),
VLOOKUP("*キャラ*",商品マスタ一覧!$D:$J,7,FALSE),
IF(COUNTIF(CO72,"*赤*"),
VLOOKUP("*赤*",商品マスタ一覧!$D:$J,7,FALSE),
VLOOKUP(CO72,商品マスタ一覧!$D:$J,7,FALSE))),0)),
IF(MATCH(TRUE,
ISNUMBER(--INDIRECT("'数出表_Excel（アレルギー入力）'!B"&amp;MATCH(CS29,'数出表_Excel（アレルギー入力）'!$A:$A,0)-1&amp;":AL"&amp;MATCH(CS29,'数出表_Excel（アレルギー入力）'!$A:$A,0)-1&amp;"")),0)&gt;10,
IF(CO72&lt;&gt;"",
IF(IF(COUNTIF(CO72,"*キャラ*"),
VLOOKUP("*キャラ*",商品マスタ一覧!$D:$J,7,FALSE),
IF(COUNTIF(CO72,"*赤*"),
VLOOKUP("*赤*",商品マスタ一覧!$D:$J,7,FALSE),
VLOOKUP(CO72,商品マスタ一覧!$D:$J,7,FALSE)))=0,"",
IF(ROUND(
IF(CR77&lt;&gt;"",(CO74-CR77),CO74)
/IF(COUNTIF(CO72,"*キャラ*"),
VLOOKUP("*キャラ*",商品マスタ一覧!$D:$J,7,FALSE),
IF(COUNTIF(CO72,"*赤*"),
VLOOKUP("*赤*",商品マスタ一覧!$D:$J,7,FALSE),
VLOOKUP(CO72,商品マスタ一覧!$D:$J,7,FALSE))),0)&lt;=0,1,
ROUND(
IF(CR77&lt;&gt;"",(CO74-CR77),CO74)
/IF(COUNTIF(CO72,"*キャラ*"),
VLOOKUP("*キャラ*",商品マスタ一覧!$D:$J,7,FALSE),
IF(COUNTIF(CO72,"*赤*"),
VLOOKUP("*赤*",商品マスタ一覧!$D:$J,7,FALSE),
VLOOKUP(CO72,商品マスタ一覧!$D:$J,7,FALSE))),0))),""),"")),"")</f>
        <v/>
      </c>
      <c r="CS72" s="100" t="str">
        <f ca="1">IF(CR72&lt;&gt;"",IF(CO74&lt;&gt;"",IF(VALUE(IF(CR77&lt;&gt;"",CO74-CR77,CO74))&gt;VALUE(IF(COUNTIF('盛付札（関数）'!CO72,"*キャラ*"),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VLOOKUP('盛付札（関数）'!CO72,商品マスタ一覧!$D:$J,7,FALSE)))*CR72),
"+"&amp;IF(CR77&lt;&gt;"",CO74-CR77,CO74)-IF(COUNTIF('盛付札（関数）'!CO72,"*キャラ*"),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VLOOKUP('盛付札（関数）'!CO72,商品マスタ一覧!$D:$J,7,FALSE)))*CR72,
IF(CR77&lt;&gt;"",CO74-CR77,CO74)-IF(COUNTIF('盛付札（関数）'!CO72,"*キャラ*"),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VLOOKUP('盛付札（関数）'!CO72,商品マスタ一覧!$D:$J,7,FALSE)))*CR72),""),"")</f>
        <v/>
      </c>
      <c r="CT72" s="80"/>
      <c r="CU72" s="85" t="e">
        <f t="array" aca="1" ref="CU72" ca="1">IF(CU31&lt;&gt;100,
IF(CV74&lt;&gt;"",MATCH(CV74,INDIRECT("数出表_Excel!B"&amp;MATCH(CZ29,数出表_Excel!$A:$A,0)-1&amp;":U"&amp;MATCH(CZ29,数出表_Excel!$A:$A,0)-1&amp;""),0)+1,""),
IF(CV74&lt;&gt;"",
MATCH(
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""),
INDIRECT("数出表_Excel!B"&amp;MATCH(CZ29,数出表_Excel!$A:$A,0)-1&amp;":U"&amp;MATCH(CZ29,数出表_Excel!$A:$A,0)-1&amp;""),0)+1,""))</f>
        <v>#N/A</v>
      </c>
      <c r="CV72" s="62" t="str">
        <f t="array" aca="1" ref="CV72" ca="1">IF(CV29=CO71,"",IFERROR(IF(OR(
COUNTIF(INDIRECT("数出表_Excel!"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"3"),"*配膳*"),
COUNTIF(INDIRECT("数出表_Excel!"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"3"),"*カレー*"),
COUNTIF(CV29,"*合計*")),"",
IF(IFERROR(INDIRECT("数出表_Excel!"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"3"),0)=0,"",
IFERROR(INDIRECT("数出表_Excel!"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"3"),""))),""))</f>
        <v/>
      </c>
      <c r="CW72" s="80"/>
      <c r="CX72" s="86" t="str">
        <f t="array" aca="1" ref="CX72" ca="1">IF(CY72&lt;&gt;"","",
IF(COUNTIF(CV71,"*雙葉*"),"",
IF(CV71&lt;&gt;"",
IF(
(COLUMN(INDIRECT("数出表_Excel!B" &amp; (MATCH(CZ29,数出表_Excel!$A:$A,0)-1))) - 1 +
MATCH(TRUE, ISNUMBER(--INDIRECT("数出表_Excel!B" &amp; (MATCH(CZ29,数出表_Excel!$A:$A,0)-1) &amp; ":U" &amp; (MATCH(CZ29,数出表_Excel!$A:$A,0)-1))), 0)+1
+MATCH(TRUE,INDIRECT("'数出表_Excel'!"&amp;CU71&amp;MATCH(CZ29,数出表_Excel!$A:$A,0)-1&amp;":AL"&amp;MATCH(CZ29,数出表_Excel!$A:$A,0)-1&amp;"")&lt;&gt;"",0))&gt;12,"",
IFERROR(
INDEX(INDIRECT("数出表_Excel!$"&amp;CU71&amp;"4:$AL4"),
 1,
MATCH(TRUE,INDIRECT("'数出表_Excel'!"&amp;CU71&amp;MATCH(CZ29,数出表_Excel!$A:$A,0)-1&amp;":AL"&amp;MATCH(CZ29,数出表_Excel!$A:$A,0)-1&amp;"")&lt;&gt;"",0)
),
 "")
&amp;IFERROR(
INDEX(INDIRECT("数出表_Excel!$"&amp;CU71&amp;"5:$AL5"),
 1,
MATCH(TRUE,INDIRECT("'数出表_Excel'!"&amp;CU71&amp;MATCH(CZ29,数出表_Excel!$A:$A,0)-1&amp;":AL"&amp;MATCH(CZ29,数出表_Excel!$A:$A,0)-1&amp;"")&lt;&gt;"",0)),
 "")),"")))</f>
        <v/>
      </c>
      <c r="CY72" s="87" t="str">
        <f t="array" aca="1" ref="CY72" ca="1">IF(CV72&lt;&gt;"",
IF(COUNTIF(CV71,"*雙葉*"),
IF(ROUND(
IF(CY77&lt;&gt;"",(CV74-CY77),CV74)
/IF(COUNTIF(CV72,"*キャラ*"),
VLOOKUP("*キャラ*",商品マスタ一覧!$D:$J,7,FALSE),
IF(COUNTIF(CV72,"*赤*"),
VLOOKUP("*赤*",商品マスタ一覧!$D:$J,7,FALSE),
VLOOKUP(CV72,商品マスタ一覧!$D:$J,7,FALSE))),0)&lt;=0,1,
ROUND(
IF(CY77&lt;&gt;"",(CV74-CY77),CV74)
/IF(COUNTIF(CV72,"*キャラ*"),
VLOOKUP("*キャラ*",商品マスタ一覧!$D:$J,7,FALSE),
IF(COUNTIF(CV72,"*赤*"),
VLOOKUP("*赤*",商品マスタ一覧!$D:$J,7,FALSE),
VLOOKUP(CV72,商品マスタ一覧!$D:$J,7,FALSE))),0)),
IF(MATCH(TRUE,
ISNUMBER(--INDIRECT("'数出表_Excel（アレルギー入力）'!B"&amp;MATCH(CZ29,'数出表_Excel（アレルギー入力）'!$A:$A,0)-1&amp;":AL"&amp;MATCH(CZ29,'数出表_Excel（アレルギー入力）'!$A:$A,0)-1&amp;"")),0)&gt;10,
IF(CV72&lt;&gt;"",
IF(IF(COUNTIF(CV72,"*キャラ*"),
VLOOKUP("*キャラ*",商品マスタ一覧!$D:$J,7,FALSE),
IF(COUNTIF(CV72,"*赤*"),
VLOOKUP("*赤*",商品マスタ一覧!$D:$J,7,FALSE),
VLOOKUP(CV72,商品マスタ一覧!$D:$J,7,FALSE)))=0,"",
IF(ROUND(
IF(CY77&lt;&gt;"",(CV74-CY77),CV74)
/IF(COUNTIF(CV72,"*キャラ*"),
VLOOKUP("*キャラ*",商品マスタ一覧!$D:$J,7,FALSE),
IF(COUNTIF(CV72,"*赤*"),
VLOOKUP("*赤*",商品マスタ一覧!$D:$J,7,FALSE),
VLOOKUP(CV72,商品マスタ一覧!$D:$J,7,FALSE))),0)&lt;=0,1,
ROUND(
IF(CY77&lt;&gt;"",(CV74-CY77),CV74)
/IF(COUNTIF(CV72,"*キャラ*"),
VLOOKUP("*キャラ*",商品マスタ一覧!$D:$J,7,FALSE),
IF(COUNTIF(CV72,"*赤*"),
VLOOKUP("*赤*",商品マスタ一覧!$D:$J,7,FALSE),
VLOOKUP(CV72,商品マスタ一覧!$D:$J,7,FALSE))),0))),""),"")),"")</f>
        <v/>
      </c>
      <c r="CZ72" s="96" t="str">
        <f ca="1">IF(CY72&lt;&gt;"",IF(CV74&lt;&gt;"",IF(VALUE(IF(CY77&lt;&gt;"",CV74-CY77,CV74))&gt;VALUE(IF(COUNTIF('盛付札（関数）'!CV72,"*キャラ*"),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VLOOKUP('盛付札（関数）'!CV72,商品マスタ一覧!$D:$J,7,FALSE)))*CY72),
"+"&amp;IF(CY77&lt;&gt;"",CV74-CY77,CV74)-IF(COUNTIF('盛付札（関数）'!CV72,"*キャラ*"),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VLOOKUP('盛付札（関数）'!CV72,商品マスタ一覧!$D:$J,7,FALSE)))*CY72,
IF(CY77&lt;&gt;"",CV74-CY77,CV74)-IF(COUNTIF('盛付札（関数）'!CV72,"*キャラ*"),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VLOOKUP('盛付札（関数）'!CV72,商品マスタ一覧!$D:$J,7,FALSE)))*CY72),""),"")</f>
        <v/>
      </c>
      <c r="DA72" s="80"/>
      <c r="DB72" s="80"/>
      <c r="DC72" s="85" t="e">
        <f t="array" aca="1" ref="DC72" ca="1">IF(DC31&lt;&gt;100,
IF(DD74&lt;&gt;"",MATCH(DD74,INDIRECT("数出表_Excel!B"&amp;MATCH(DH29,数出表_Excel!$A:$A,0)-1&amp;":U"&amp;MATCH(DH29,数出表_Excel!$A:$A,0)-1&amp;""),0)+1,""),
IF(DD74&lt;&gt;"",
MATCH(
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""),
INDIRECT("数出表_Excel!B"&amp;MATCH(DH29,数出表_Excel!$A:$A,0)-1&amp;":U"&amp;MATCH(DH29,数出表_Excel!$A:$A,0)-1&amp;""),0)+1,""))</f>
        <v>#N/A</v>
      </c>
      <c r="DD72" s="62" t="str">
        <f t="array" aca="1" ref="DD72" ca="1">IF(DD29=DK64,"",IFERROR(IF(OR(
COUNTIF(INDIRECT("数出表_Excel!"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"3"),"*配膳*"),
COUNTIF(INDIRECT("数出表_Excel!"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"3"),"*カレー*"),
COUNTIF(DD29,"*合計*")),"",
IF(IFERROR(INDIRECT("数出表_Excel!"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"3"),0)=0,"",
IFERROR(INDIRECT("数出表_Excel!"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"3"),""))),""))</f>
        <v/>
      </c>
      <c r="DE72" s="80"/>
      <c r="DF72" s="86" t="str">
        <f t="array" aca="1" ref="DF72" ca="1">IF(DG72&lt;&gt;"","",
IF(COUNTIF(DD71,"*雙葉*"),"",
IF(DD71&lt;&gt;"",
IF(
(COLUMN(INDIRECT("数出表_Excel!B" &amp; (MATCH(DH29,数出表_Excel!$A:$A,0)-1))) - 1 +
MATCH(TRUE, ISNUMBER(--INDIRECT("数出表_Excel!B" &amp; (MATCH(DH29,数出表_Excel!$A:$A,0)-1) &amp; ":U" &amp; (MATCH(DH29,数出表_Excel!$A:$A,0)-1))), 0)+1
+MATCH(TRUE,INDIRECT("'数出表_Excel'!"&amp;DC71&amp;MATCH(DH29,数出表_Excel!$A:$A,0)-1&amp;":AL"&amp;MATCH(DH29,数出表_Excel!$A:$A,0)-1&amp;"")&lt;&gt;"",0))&gt;12,"",
IFERROR(
INDEX(INDIRECT("数出表_Excel!$"&amp;DC71&amp;"4:$AL4"),
 1,
MATCH(TRUE,INDIRECT("'数出表_Excel'!"&amp;DC71&amp;MATCH(DH29,数出表_Excel!$A:$A,0)-1&amp;":AL"&amp;MATCH(DH29,数出表_Excel!$A:$A,0)-1&amp;"")&lt;&gt;"",0)
),
 "")
&amp;IFERROR(
INDEX(INDIRECT("数出表_Excel!$"&amp;DC71&amp;"5:$AL5"),
 1,
MATCH(TRUE,INDIRECT("'数出表_Excel'!"&amp;DC71&amp;MATCH(DH29,数出表_Excel!$A:$A,0)-1&amp;":AL"&amp;MATCH(DH29,数出表_Excel!$A:$A,0)-1&amp;"")&lt;&gt;"",0)),
 "")),"")))</f>
        <v/>
      </c>
      <c r="DG72" s="87" t="str">
        <f t="array" aca="1" ref="DG72" ca="1">IF(DD72&lt;&gt;"",
IF(COUNTIF(DD71,"*雙葉*"),
IF(ROUND(
IF(DG77&lt;&gt;"",(DD74-DG77),DD74)
/IF(COUNTIF(DD72,"*キャラ*"),
VLOOKUP("*キャラ*",商品マスタ一覧!$D:$J,7,FALSE),
IF(COUNTIF(DD72,"*赤*"),
VLOOKUP("*赤*",商品マスタ一覧!$D:$J,7,FALSE),
VLOOKUP(DD72,商品マスタ一覧!$D:$J,7,FALSE))),0)&lt;=0,1,
ROUND(
IF(DG77&lt;&gt;"",(DD74-DG77),DD74)
/IF(COUNTIF(DD72,"*キャラ*"),
VLOOKUP("*キャラ*",商品マスタ一覧!$D:$J,7,FALSE),
IF(COUNTIF(DD72,"*赤*"),
VLOOKUP("*赤*",商品マスタ一覧!$D:$J,7,FALSE),
VLOOKUP(DD72,商品マスタ一覧!$D:$J,7,FALSE))),0)),
IF(MATCH(TRUE,
ISNUMBER(--INDIRECT("'数出表_Excel（アレルギー入力）'!B"&amp;MATCH(DH29,'数出表_Excel（アレルギー入力）'!$A:$A,0)-1&amp;":AL"&amp;MATCH(DH29,'数出表_Excel（アレルギー入力）'!$A:$A,0)-1&amp;"")),0)&gt;10,
IF(DD72&lt;&gt;"",
IF(IF(COUNTIF(DD72,"*キャラ*"),
VLOOKUP("*キャラ*",商品マスタ一覧!$D:$J,7,FALSE),
IF(COUNTIF(DD72,"*赤*"),
VLOOKUP("*赤*",商品マスタ一覧!$D:$J,7,FALSE),
VLOOKUP(DD72,商品マスタ一覧!$D:$J,7,FALSE)))=0,"",
IF(ROUND(
IF(DG77&lt;&gt;"",(DD74-DG77),DD74)
/IF(COUNTIF(DD72,"*キャラ*"),
VLOOKUP("*キャラ*",商品マスタ一覧!$D:$J,7,FALSE),
IF(COUNTIF(DD72,"*赤*"),
VLOOKUP("*赤*",商品マスタ一覧!$D:$J,7,FALSE),
VLOOKUP(DD72,商品マスタ一覧!$D:$J,7,FALSE))),0)&lt;=0,1,
ROUND(
IF(DG77&lt;&gt;"",(DD74-DG77),DD74)
/IF(COUNTIF(DD72,"*キャラ*"),
VLOOKUP("*キャラ*",商品マスタ一覧!$D:$J,7,FALSE),
IF(COUNTIF(DD72,"*赤*"),
VLOOKUP("*赤*",商品マスタ一覧!$D:$J,7,FALSE),
VLOOKUP(DD72,商品マスタ一覧!$D:$J,7,FALSE))),0))),""),"")),"")</f>
        <v/>
      </c>
      <c r="DH72" s="100" t="str">
        <f ca="1">IF(DG72&lt;&gt;"",IF(DD74&lt;&gt;"",IF(VALUE(IF(DG77&lt;&gt;"",DD74-DG77,DD74))&gt;VALUE(IF(COUNTIF('盛付札（関数）'!DD72,"*キャラ*"),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VLOOKUP('盛付札（関数）'!DD72,商品マスタ一覧!$D:$J,7,FALSE)))*DG72),
"+"&amp;IF(DG77&lt;&gt;"",DD74-DG77,DD74)-IF(COUNTIF('盛付札（関数）'!DD72,"*キャラ*"),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VLOOKUP('盛付札（関数）'!DD72,商品マスタ一覧!$D:$J,7,FALSE)))*DG72,
IF(DG77&lt;&gt;"",DD74-DG77,DD74)-IF(COUNTIF('盛付札（関数）'!DD72,"*キャラ*"),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VLOOKUP('盛付札（関数）'!DD72,商品マスタ一覧!$D:$J,7,FALSE)))*DG72),""),"")</f>
        <v/>
      </c>
      <c r="DI72" s="80"/>
      <c r="DJ72" s="85" t="e">
        <f t="array" aca="1" ref="DJ72" ca="1">IF(DJ31&lt;&gt;100,
IF(DK74&lt;&gt;"",MATCH(DK74,INDIRECT("数出表_Excel!B"&amp;MATCH(DO29,数出表_Excel!$A:$A,0)-1&amp;":U"&amp;MATCH(DO29,数出表_Excel!$A:$A,0)-1&amp;""),0)+1,""),
IF(DK74&lt;&gt;"",
MATCH(
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""),
INDIRECT("数出表_Excel!B"&amp;MATCH(DO29,数出表_Excel!$A:$A,0)-1&amp;":U"&amp;MATCH(DO29,数出表_Excel!$A:$A,0)-1&amp;""),0)+1,""))</f>
        <v>#N/A</v>
      </c>
      <c r="DK72" s="62" t="str">
        <f t="array" aca="1" ref="DK72" ca="1">IF(DK29=DD71,"",IFERROR(IF(OR(
COUNTIF(INDIRECT("数出表_Excel!"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"3"),"*配膳*"),
COUNTIF(INDIRECT("数出表_Excel!"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"3"),"*カレー*"),
COUNTIF(DK29,"*合計*")),"",
IF(IFERROR(INDIRECT("数出表_Excel!"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"3"),0)=0,"",
IFERROR(INDIRECT("数出表_Excel!"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"3"),""))),""))</f>
        <v/>
      </c>
      <c r="DL72" s="80"/>
      <c r="DM72" s="86" t="str">
        <f t="array" aca="1" ref="DM72" ca="1">IF(DN72&lt;&gt;"","",
IF(COUNTIF(DK71,"*雙葉*"),"",
IF(DK71&lt;&gt;"",
IF(
(COLUMN(INDIRECT("数出表_Excel!B" &amp; (MATCH(DO29,数出表_Excel!$A:$A,0)-1))) - 1 +
MATCH(TRUE, ISNUMBER(--INDIRECT("数出表_Excel!B" &amp; (MATCH(DO29,数出表_Excel!$A:$A,0)-1) &amp; ":U" &amp; (MATCH(DO29,数出表_Excel!$A:$A,0)-1))), 0)+1
+MATCH(TRUE,INDIRECT("'数出表_Excel'!"&amp;DJ71&amp;MATCH(DO29,数出表_Excel!$A:$A,0)-1&amp;":AL"&amp;MATCH(DO29,数出表_Excel!$A:$A,0)-1&amp;"")&lt;&gt;"",0))&gt;12,"",
IFERROR(
INDEX(INDIRECT("数出表_Excel!$"&amp;DJ71&amp;"4:$AL4"),
 1,
MATCH(TRUE,INDIRECT("'数出表_Excel'!"&amp;DJ71&amp;MATCH(DO29,数出表_Excel!$A:$A,0)-1&amp;":AL"&amp;MATCH(DO29,数出表_Excel!$A:$A,0)-1&amp;"")&lt;&gt;"",0)
),
 "")
&amp;IFERROR(
INDEX(INDIRECT("数出表_Excel!$"&amp;DJ71&amp;"5:$AL5"),
 1,
MATCH(TRUE,INDIRECT("'数出表_Excel'!"&amp;DJ71&amp;MATCH(DO29,数出表_Excel!$A:$A,0)-1&amp;":AL"&amp;MATCH(DO29,数出表_Excel!$A:$A,0)-1&amp;"")&lt;&gt;"",0)),
 "")),"")))</f>
        <v/>
      </c>
      <c r="DN72" s="87" t="str">
        <f t="array" aca="1" ref="DN72" ca="1">IF(DK72&lt;&gt;"",
IF(COUNTIF(DK71,"*雙葉*"),
IF(ROUND(
IF(DN77&lt;&gt;"",(DK74-DN77),DK74)
/IF(COUNTIF(DK72,"*キャラ*"),
VLOOKUP("*キャラ*",商品マスタ一覧!$D:$J,7,FALSE),
IF(COUNTIF(DK72,"*赤*"),
VLOOKUP("*赤*",商品マスタ一覧!$D:$J,7,FALSE),
VLOOKUP(DK72,商品マスタ一覧!$D:$J,7,FALSE))),0)&lt;=0,1,
ROUND(
IF(DN77&lt;&gt;"",(DK74-DN77),DK74)
/IF(COUNTIF(DK72,"*キャラ*"),
VLOOKUP("*キャラ*",商品マスタ一覧!$D:$J,7,FALSE),
IF(COUNTIF(DK72,"*赤*"),
VLOOKUP("*赤*",商品マスタ一覧!$D:$J,7,FALSE),
VLOOKUP(DK72,商品マスタ一覧!$D:$J,7,FALSE))),0)),
IF(MATCH(TRUE,
ISNUMBER(--INDIRECT("'数出表_Excel（アレルギー入力）'!B"&amp;MATCH(DO29,'数出表_Excel（アレルギー入力）'!$A:$A,0)-1&amp;":AL"&amp;MATCH(DO29,'数出表_Excel（アレルギー入力）'!$A:$A,0)-1&amp;"")),0)&gt;10,
IF(DK72&lt;&gt;"",
IF(IF(COUNTIF(DK72,"*キャラ*"),
VLOOKUP("*キャラ*",商品マスタ一覧!$D:$J,7,FALSE),
IF(COUNTIF(DK72,"*赤*"),
VLOOKUP("*赤*",商品マスタ一覧!$D:$J,7,FALSE),
VLOOKUP(DK72,商品マスタ一覧!$D:$J,7,FALSE)))=0,"",
IF(ROUND(
IF(DN77&lt;&gt;"",(DK74-DN77),DK74)
/IF(COUNTIF(DK72,"*キャラ*"),
VLOOKUP("*キャラ*",商品マスタ一覧!$D:$J,7,FALSE),
IF(COUNTIF(DK72,"*赤*"),
VLOOKUP("*赤*",商品マスタ一覧!$D:$J,7,FALSE),
VLOOKUP(DK72,商品マスタ一覧!$D:$J,7,FALSE))),0)&lt;=0,1,
ROUND(
IF(DN77&lt;&gt;"",(DK74-DN77),DK74)
/IF(COUNTIF(DK72,"*キャラ*"),
VLOOKUP("*キャラ*",商品マスタ一覧!$D:$J,7,FALSE),
IF(COUNTIF(DK72,"*赤*"),
VLOOKUP("*赤*",商品マスタ一覧!$D:$J,7,FALSE),
VLOOKUP(DK72,商品マスタ一覧!$D:$J,7,FALSE))),0))),""),"")),"")</f>
        <v/>
      </c>
      <c r="DO72" s="96" t="str">
        <f ca="1">IF(DN72&lt;&gt;"",IF(DK74&lt;&gt;"",IF(VALUE(IF(DN77&lt;&gt;"",DK74-DN77,DK74))&gt;VALUE(IF(COUNTIF('盛付札（関数）'!DK72,"*キャラ*"),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VLOOKUP('盛付札（関数）'!DK72,商品マスタ一覧!$D:$J,7,FALSE)))*DN72),
"+"&amp;IF(DN77&lt;&gt;"",DK74-DN77,DK74)-IF(COUNTIF('盛付札（関数）'!DK72,"*キャラ*"),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VLOOKUP('盛付札（関数）'!DK72,商品マスタ一覧!$D:$J,7,FALSE)))*DN72,
IF(DN77&lt;&gt;"",DK74-DN77,DK74)-IF(COUNTIF('盛付札（関数）'!DK72,"*キャラ*"),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VLOOKUP('盛付札（関数）'!DK72,商品マスタ一覧!$D:$J,7,FALSE)))*DN72),""),"")</f>
        <v/>
      </c>
      <c r="DP72" s="80"/>
      <c r="DQ72" s="80"/>
      <c r="DR72" s="85" t="e">
        <f t="array" aca="1" ref="DR72" ca="1">IF(DR31&lt;&gt;100,
IF(DS74&lt;&gt;"",MATCH(DS74,INDIRECT("数出表_Excel!B"&amp;MATCH(DW29,数出表_Excel!$A:$A,0)-1&amp;":U"&amp;MATCH(DW29,数出表_Excel!$A:$A,0)-1&amp;""),0)+1,""),
IF(DS74&lt;&gt;"",
MATCH(
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""),
INDIRECT("数出表_Excel!B"&amp;MATCH(DW29,数出表_Excel!$A:$A,0)-1&amp;":U"&amp;MATCH(DW29,数出表_Excel!$A:$A,0)-1&amp;""),0)+1,""))</f>
        <v>#N/A</v>
      </c>
      <c r="DS72" s="62" t="str">
        <f t="array" aca="1" ref="DS72" ca="1">IF(DS29=DZ64,"",IFERROR(IF(OR(
COUNTIF(INDIRECT("数出表_Excel!"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"3"),"*配膳*"),
COUNTIF(INDIRECT("数出表_Excel!"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"3"),"*カレー*"),
COUNTIF(DS29,"*合計*")),"",
IF(IFERROR(INDIRECT("数出表_Excel!"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"3"),0)=0,"",
IFERROR(INDIRECT("数出表_Excel!"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"3"),""))),""))</f>
        <v/>
      </c>
      <c r="DT72" s="80"/>
      <c r="DU72" s="86" t="str">
        <f t="array" aca="1" ref="DU72" ca="1">IF(DV72&lt;&gt;"","",
IF(COUNTIF(DS71,"*雙葉*"),"",
IF(DS71&lt;&gt;"",
IF(
(COLUMN(INDIRECT("数出表_Excel!B" &amp; (MATCH(DW29,数出表_Excel!$A:$A,0)-1))) - 1 +
MATCH(TRUE, ISNUMBER(--INDIRECT("数出表_Excel!B" &amp; (MATCH(DW29,数出表_Excel!$A:$A,0)-1) &amp; ":U" &amp; (MATCH(DW29,数出表_Excel!$A:$A,0)-1))), 0)+1
+MATCH(TRUE,INDIRECT("'数出表_Excel'!"&amp;DR71&amp;MATCH(DW29,数出表_Excel!$A:$A,0)-1&amp;":AL"&amp;MATCH(DW29,数出表_Excel!$A:$A,0)-1&amp;"")&lt;&gt;"",0))&gt;12,"",
IFERROR(
INDEX(INDIRECT("数出表_Excel!$"&amp;DR71&amp;"4:$AL4"),
 1,
MATCH(TRUE,INDIRECT("'数出表_Excel'!"&amp;DR71&amp;MATCH(DW29,数出表_Excel!$A:$A,0)-1&amp;":AL"&amp;MATCH(DW29,数出表_Excel!$A:$A,0)-1&amp;"")&lt;&gt;"",0)
),
 "")
&amp;IFERROR(
INDEX(INDIRECT("数出表_Excel!$"&amp;DR71&amp;"5:$AL5"),
 1,
MATCH(TRUE,INDIRECT("'数出表_Excel'!"&amp;DR71&amp;MATCH(DW29,数出表_Excel!$A:$A,0)-1&amp;":AL"&amp;MATCH(DW29,数出表_Excel!$A:$A,0)-1&amp;"")&lt;&gt;"",0)),
 "")),"")))</f>
        <v/>
      </c>
      <c r="DV72" s="87" t="str">
        <f t="array" aca="1" ref="DV72" ca="1">IF(DS72&lt;&gt;"",
IF(COUNTIF(DS71,"*雙葉*"),
IF(ROUND(
IF(DV77&lt;&gt;"",(DS74-DV77),DS74)
/IF(COUNTIF(DS72,"*キャラ*"),
VLOOKUP("*キャラ*",商品マスタ一覧!$D:$J,7,FALSE),
IF(COUNTIF(DS72,"*赤*"),
VLOOKUP("*赤*",商品マスタ一覧!$D:$J,7,FALSE),
VLOOKUP(DS72,商品マスタ一覧!$D:$J,7,FALSE))),0)&lt;=0,1,
ROUND(
IF(DV77&lt;&gt;"",(DS74-DV77),DS74)
/IF(COUNTIF(DS72,"*キャラ*"),
VLOOKUP("*キャラ*",商品マスタ一覧!$D:$J,7,FALSE),
IF(COUNTIF(DS72,"*赤*"),
VLOOKUP("*赤*",商品マスタ一覧!$D:$J,7,FALSE),
VLOOKUP(DS72,商品マスタ一覧!$D:$J,7,FALSE))),0)),
IF(MATCH(TRUE,
ISNUMBER(--INDIRECT("'数出表_Excel（アレルギー入力）'!B"&amp;MATCH(DW29,'数出表_Excel（アレルギー入力）'!$A:$A,0)-1&amp;":AL"&amp;MATCH(DW29,'数出表_Excel（アレルギー入力）'!$A:$A,0)-1&amp;"")),0)&gt;10,
IF(DS72&lt;&gt;"",
IF(IF(COUNTIF(DS72,"*キャラ*"),
VLOOKUP("*キャラ*",商品マスタ一覧!$D:$J,7,FALSE),
IF(COUNTIF(DS72,"*赤*"),
VLOOKUP("*赤*",商品マスタ一覧!$D:$J,7,FALSE),
VLOOKUP(DS72,商品マスタ一覧!$D:$J,7,FALSE)))=0,"",
IF(ROUND(
IF(DV77&lt;&gt;"",(DS74-DV77),DS74)
/IF(COUNTIF(DS72,"*キャラ*"),
VLOOKUP("*キャラ*",商品マスタ一覧!$D:$J,7,FALSE),
IF(COUNTIF(DS72,"*赤*"),
VLOOKUP("*赤*",商品マスタ一覧!$D:$J,7,FALSE),
VLOOKUP(DS72,商品マスタ一覧!$D:$J,7,FALSE))),0)&lt;=0,1,
ROUND(
IF(DV77&lt;&gt;"",(DS74-DV77),DS74)
/IF(COUNTIF(DS72,"*キャラ*"),
VLOOKUP("*キャラ*",商品マスタ一覧!$D:$J,7,FALSE),
IF(COUNTIF(DS72,"*赤*"),
VLOOKUP("*赤*",商品マスタ一覧!$D:$J,7,FALSE),
VLOOKUP(DS72,商品マスタ一覧!$D:$J,7,FALSE))),0))),""),"")),"")</f>
        <v/>
      </c>
      <c r="DW72" s="100" t="str">
        <f ca="1">IF(DV72&lt;&gt;"",IF(DS74&lt;&gt;"",IF(VALUE(IF(DV77&lt;&gt;"",DS74-DV77,DS74))&gt;VALUE(IF(COUNTIF('盛付札（関数）'!DS72,"*キャラ*"),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VLOOKUP('盛付札（関数）'!DS72,商品マスタ一覧!$D:$J,7,FALSE)))*DV72),
"+"&amp;IF(DV77&lt;&gt;"",DS74-DV77,DS74)-IF(COUNTIF('盛付札（関数）'!DS72,"*キャラ*"),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VLOOKUP('盛付札（関数）'!DS72,商品マスタ一覧!$D:$J,7,FALSE)))*DV72,
IF(DV77&lt;&gt;"",DS74-DV77,DS74)-IF(COUNTIF('盛付札（関数）'!DS72,"*キャラ*"),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VLOOKUP('盛付札（関数）'!DS72,商品マスタ一覧!$D:$J,7,FALSE)))*DV72),""),"")</f>
        <v/>
      </c>
      <c r="DX72" s="80"/>
      <c r="DY72" s="85" t="e">
        <f t="array" aca="1" ref="DY72" ca="1">IF(DY31&lt;&gt;100,
IF(DZ74&lt;&gt;"",MATCH(DZ74,INDIRECT("数出表_Excel!B"&amp;MATCH(ED29,数出表_Excel!$A:$A,0)-1&amp;":U"&amp;MATCH(ED29,数出表_Excel!$A:$A,0)-1&amp;""),0)+1,""),
IF(DZ74&lt;&gt;"",
MATCH(
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""),
INDIRECT("数出表_Excel!B"&amp;MATCH(ED29,数出表_Excel!$A:$A,0)-1&amp;":U"&amp;MATCH(ED29,数出表_Excel!$A:$A,0)-1&amp;""),0)+1,""))</f>
        <v>#N/A</v>
      </c>
      <c r="DZ72" s="62" t="str">
        <f t="array" aca="1" ref="DZ72" ca="1">IF(DZ29=DS71,"",IFERROR(IF(OR(
COUNTIF(INDIRECT("数出表_Excel!"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"3"),"*配膳*"),
COUNTIF(INDIRECT("数出表_Excel!"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"3"),"*カレー*"),
COUNTIF(DZ29,"*合計*")),"",
IF(IFERROR(INDIRECT("数出表_Excel!"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"3"),0)=0,"",
IFERROR(INDIRECT("数出表_Excel!"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"3"),""))),""))</f>
        <v/>
      </c>
      <c r="EA72" s="80"/>
      <c r="EB72" s="86" t="str">
        <f t="array" aca="1" ref="EB72" ca="1">IF(EC72&lt;&gt;"","",
IF(COUNTIF(DZ71,"*雙葉*"),"",
IF(DZ71&lt;&gt;"",
IF(
(COLUMN(INDIRECT("数出表_Excel!B" &amp; (MATCH(ED29,数出表_Excel!$A:$A,0)-1))) - 1 +
MATCH(TRUE, ISNUMBER(--INDIRECT("数出表_Excel!B" &amp; (MATCH(ED29,数出表_Excel!$A:$A,0)-1) &amp; ":U" &amp; (MATCH(ED29,数出表_Excel!$A:$A,0)-1))), 0)+1
+MATCH(TRUE,INDIRECT("'数出表_Excel'!"&amp;DY71&amp;MATCH(ED29,数出表_Excel!$A:$A,0)-1&amp;":AL"&amp;MATCH(ED29,数出表_Excel!$A:$A,0)-1&amp;"")&lt;&gt;"",0))&gt;12,"",
IFERROR(
INDEX(INDIRECT("数出表_Excel!$"&amp;DY71&amp;"4:$AL4"),
 1,
MATCH(TRUE,INDIRECT("'数出表_Excel'!"&amp;DY71&amp;MATCH(ED29,数出表_Excel!$A:$A,0)-1&amp;":AL"&amp;MATCH(ED29,数出表_Excel!$A:$A,0)-1&amp;"")&lt;&gt;"",0)
),
 "")
&amp;IFERROR(
INDEX(INDIRECT("数出表_Excel!$"&amp;DY71&amp;"5:$AL5"),
 1,
MATCH(TRUE,INDIRECT("'数出表_Excel'!"&amp;DY71&amp;MATCH(ED29,数出表_Excel!$A:$A,0)-1&amp;":AL"&amp;MATCH(ED29,数出表_Excel!$A:$A,0)-1&amp;"")&lt;&gt;"",0)),
 "")),"")))</f>
        <v/>
      </c>
      <c r="EC72" s="87" t="str">
        <f t="array" aca="1" ref="EC72" ca="1">IF(DZ72&lt;&gt;"",
IF(COUNTIF(DZ71,"*雙葉*"),
IF(ROUND(
IF(EC77&lt;&gt;"",(DZ74-EC77),DZ74)
/IF(COUNTIF(DZ72,"*キャラ*"),
VLOOKUP("*キャラ*",商品マスタ一覧!$D:$J,7,FALSE),
IF(COUNTIF(DZ72,"*赤*"),
VLOOKUP("*赤*",商品マスタ一覧!$D:$J,7,FALSE),
VLOOKUP(DZ72,商品マスタ一覧!$D:$J,7,FALSE))),0)&lt;=0,1,
ROUND(
IF(EC77&lt;&gt;"",(DZ74-EC77),DZ74)
/IF(COUNTIF(DZ72,"*キャラ*"),
VLOOKUP("*キャラ*",商品マスタ一覧!$D:$J,7,FALSE),
IF(COUNTIF(DZ72,"*赤*"),
VLOOKUP("*赤*",商品マスタ一覧!$D:$J,7,FALSE),
VLOOKUP(DZ72,商品マスタ一覧!$D:$J,7,FALSE))),0)),
IF(MATCH(TRUE,
ISNUMBER(--INDIRECT("'数出表_Excel（アレルギー入力）'!B"&amp;MATCH(ED29,'数出表_Excel（アレルギー入力）'!$A:$A,0)-1&amp;":AL"&amp;MATCH(ED29,'数出表_Excel（アレルギー入力）'!$A:$A,0)-1&amp;"")),0)&gt;10,
IF(DZ72&lt;&gt;"",
IF(IF(COUNTIF(DZ72,"*キャラ*"),
VLOOKUP("*キャラ*",商品マスタ一覧!$D:$J,7,FALSE),
IF(COUNTIF(DZ72,"*赤*"),
VLOOKUP("*赤*",商品マスタ一覧!$D:$J,7,FALSE),
VLOOKUP(DZ72,商品マスタ一覧!$D:$J,7,FALSE)))=0,"",
IF(ROUND(
IF(EC77&lt;&gt;"",(DZ74-EC77),DZ74)
/IF(COUNTIF(DZ72,"*キャラ*"),
VLOOKUP("*キャラ*",商品マスタ一覧!$D:$J,7,FALSE),
IF(COUNTIF(DZ72,"*赤*"),
VLOOKUP("*赤*",商品マスタ一覧!$D:$J,7,FALSE),
VLOOKUP(DZ72,商品マスタ一覧!$D:$J,7,FALSE))),0)&lt;=0,1,
ROUND(
IF(EC77&lt;&gt;"",(DZ74-EC77),DZ74)
/IF(COUNTIF(DZ72,"*キャラ*"),
VLOOKUP("*キャラ*",商品マスタ一覧!$D:$J,7,FALSE),
IF(COUNTIF(DZ72,"*赤*"),
VLOOKUP("*赤*",商品マスタ一覧!$D:$J,7,FALSE),
VLOOKUP(DZ72,商品マスタ一覧!$D:$J,7,FALSE))),0))),""),"")),"")</f>
        <v/>
      </c>
      <c r="ED72" s="96" t="str">
        <f ca="1">IF(EC72&lt;&gt;"",IF(DZ74&lt;&gt;"",IF(VALUE(IF(EC77&lt;&gt;"",DZ74-EC77,DZ74))&gt;VALUE(IF(COUNTIF('盛付札（関数）'!DZ72,"*キャラ*"),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VLOOKUP('盛付札（関数）'!DZ72,商品マスタ一覧!$D:$J,7,FALSE)))*EC72),
"+"&amp;IF(EC77&lt;&gt;"",DZ74-EC77,DZ74)-IF(COUNTIF('盛付札（関数）'!DZ72,"*キャラ*"),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VLOOKUP('盛付札（関数）'!DZ72,商品マスタ一覧!$D:$J,7,FALSE)))*EC72,
IF(EC77&lt;&gt;"",DZ74-EC77,DZ74)-IF(COUNTIF('盛付札（関数）'!DZ72,"*キャラ*"),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VLOOKUP('盛付札（関数）'!DZ72,商品マスタ一覧!$D:$J,7,FALSE)))*EC72),""),"")</f>
        <v/>
      </c>
      <c r="EE72" s="80"/>
      <c r="EF72" s="80"/>
      <c r="EG72" s="85" t="e">
        <f t="array" aca="1" ref="EG72" ca="1">IF(EG31&lt;&gt;100,
IF(EH74&lt;&gt;"",MATCH(EH74,INDIRECT("数出表_Excel!B"&amp;MATCH(EL29,数出表_Excel!$A:$A,0)-1&amp;":U"&amp;MATCH(EL29,数出表_Excel!$A:$A,0)-1&amp;""),0)+1,""),
IF(EH74&lt;&gt;"",
MATCH(
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""),
INDIRECT("数出表_Excel!B"&amp;MATCH(EL29,数出表_Excel!$A:$A,0)-1&amp;":U"&amp;MATCH(EL29,数出表_Excel!$A:$A,0)-1&amp;""),0)+1,""))</f>
        <v>#N/A</v>
      </c>
      <c r="EH72" s="62" t="str">
        <f t="array" aca="1" ref="EH72" ca="1">IF(EH29=EO64,"",IFERROR(IF(OR(
COUNTIF(INDIRECT("数出表_Excel!"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"3"),"*配膳*"),
COUNTIF(INDIRECT("数出表_Excel!"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"3"),"*カレー*"),
COUNTIF(EH29,"*合計*")),"",
IF(IFERROR(INDIRECT("数出表_Excel!"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"3"),0)=0,"",
IFERROR(INDIRECT("数出表_Excel!"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"3"),""))),""))</f>
        <v/>
      </c>
      <c r="EI72" s="80"/>
      <c r="EJ72" s="86" t="str">
        <f t="array" aca="1" ref="EJ72" ca="1">IF(EK72&lt;&gt;"","",
IF(COUNTIF(EH71,"*雙葉*"),"",
IF(EH71&lt;&gt;"",
IF(
(COLUMN(INDIRECT("数出表_Excel!B" &amp; (MATCH(EL29,数出表_Excel!$A:$A,0)-1))) - 1 +
MATCH(TRUE, ISNUMBER(--INDIRECT("数出表_Excel!B" &amp; (MATCH(EL29,数出表_Excel!$A:$A,0)-1) &amp; ":U" &amp; (MATCH(EL29,数出表_Excel!$A:$A,0)-1))), 0)+1
+MATCH(TRUE,INDIRECT("'数出表_Excel'!"&amp;EG71&amp;MATCH(EL29,数出表_Excel!$A:$A,0)-1&amp;":AL"&amp;MATCH(EL29,数出表_Excel!$A:$A,0)-1&amp;"")&lt;&gt;"",0))&gt;12,"",
IFERROR(
INDEX(INDIRECT("数出表_Excel!$"&amp;EG71&amp;"4:$AL4"),
 1,
MATCH(TRUE,INDIRECT("'数出表_Excel'!"&amp;EG71&amp;MATCH(EL29,数出表_Excel!$A:$A,0)-1&amp;":AL"&amp;MATCH(EL29,数出表_Excel!$A:$A,0)-1&amp;"")&lt;&gt;"",0)
),
 "")
&amp;IFERROR(
INDEX(INDIRECT("数出表_Excel!$"&amp;EG71&amp;"5:$AL5"),
 1,
MATCH(TRUE,INDIRECT("'数出表_Excel'!"&amp;EG71&amp;MATCH(EL29,数出表_Excel!$A:$A,0)-1&amp;":AL"&amp;MATCH(EL29,数出表_Excel!$A:$A,0)-1&amp;"")&lt;&gt;"",0)),
 "")),"")))</f>
        <v/>
      </c>
      <c r="EK72" s="87" t="str">
        <f t="array" aca="1" ref="EK72" ca="1">IF(EH72&lt;&gt;"",
IF(COUNTIF(EH71,"*雙葉*"),
IF(ROUND(
IF(EK77&lt;&gt;"",(EH74-EK77),EH74)
/IF(COUNTIF(EH72,"*キャラ*"),
VLOOKUP("*キャラ*",商品マスタ一覧!$D:$J,7,FALSE),
IF(COUNTIF(EH72,"*赤*"),
VLOOKUP("*赤*",商品マスタ一覧!$D:$J,7,FALSE),
VLOOKUP(EH72,商品マスタ一覧!$D:$J,7,FALSE))),0)&lt;=0,1,
ROUND(
IF(EK77&lt;&gt;"",(EH74-EK77),EH74)
/IF(COUNTIF(EH72,"*キャラ*"),
VLOOKUP("*キャラ*",商品マスタ一覧!$D:$J,7,FALSE),
IF(COUNTIF(EH72,"*赤*"),
VLOOKUP("*赤*",商品マスタ一覧!$D:$J,7,FALSE),
VLOOKUP(EH72,商品マスタ一覧!$D:$J,7,FALSE))),0)),
IF(MATCH(TRUE,
ISNUMBER(--INDIRECT("'数出表_Excel（アレルギー入力）'!B"&amp;MATCH(EL29,'数出表_Excel（アレルギー入力）'!$A:$A,0)-1&amp;":AL"&amp;MATCH(EL29,'数出表_Excel（アレルギー入力）'!$A:$A,0)-1&amp;"")),0)&gt;10,
IF(EH72&lt;&gt;"",
IF(IF(COUNTIF(EH72,"*キャラ*"),
VLOOKUP("*キャラ*",商品マスタ一覧!$D:$J,7,FALSE),
IF(COUNTIF(EH72,"*赤*"),
VLOOKUP("*赤*",商品マスタ一覧!$D:$J,7,FALSE),
VLOOKUP(EH72,商品マスタ一覧!$D:$J,7,FALSE)))=0,"",
IF(ROUND(
IF(EK77&lt;&gt;"",(EH74-EK77),EH74)
/IF(COUNTIF(EH72,"*キャラ*"),
VLOOKUP("*キャラ*",商品マスタ一覧!$D:$J,7,FALSE),
IF(COUNTIF(EH72,"*赤*"),
VLOOKUP("*赤*",商品マスタ一覧!$D:$J,7,FALSE),
VLOOKUP(EH72,商品マスタ一覧!$D:$J,7,FALSE))),0)&lt;=0,1,
ROUND(
IF(EK77&lt;&gt;"",(EH74-EK77),EH74)
/IF(COUNTIF(EH72,"*キャラ*"),
VLOOKUP("*キャラ*",商品マスタ一覧!$D:$J,7,FALSE),
IF(COUNTIF(EH72,"*赤*"),
VLOOKUP("*赤*",商品マスタ一覧!$D:$J,7,FALSE),
VLOOKUP(EH72,商品マスタ一覧!$D:$J,7,FALSE))),0))),""),"")),"")</f>
        <v/>
      </c>
      <c r="EL72" s="100" t="str">
        <f ca="1">IF(EK72&lt;&gt;"",IF(EH74&lt;&gt;"",IF(VALUE(IF(EK77&lt;&gt;"",EH74-EK77,EH74))&gt;VALUE(IF(COUNTIF('盛付札（関数）'!EH72,"*キャラ*"),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VLOOKUP('盛付札（関数）'!EH72,商品マスタ一覧!$D:$J,7,FALSE)))*EK72),
"+"&amp;IF(EK77&lt;&gt;"",EH74-EK77,EH74)-IF(COUNTIF('盛付札（関数）'!EH72,"*キャラ*"),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VLOOKUP('盛付札（関数）'!EH72,商品マスタ一覧!$D:$J,7,FALSE)))*EK72,
IF(EK77&lt;&gt;"",EH74-EK77,EH74)-IF(COUNTIF('盛付札（関数）'!EH72,"*キャラ*"),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VLOOKUP('盛付札（関数）'!EH72,商品マスタ一覧!$D:$J,7,FALSE)))*EK72),""),"")</f>
        <v/>
      </c>
      <c r="EM72" s="80"/>
      <c r="EN72" s="85" t="e">
        <f t="array" aca="1" ref="EN72" ca="1">IF(EN31&lt;&gt;100,
IF(EO74&lt;&gt;"",MATCH(EO74,INDIRECT("数出表_Excel!B"&amp;MATCH(ES29,数出表_Excel!$A:$A,0)-1&amp;":U"&amp;MATCH(ES29,数出表_Excel!$A:$A,0)-1&amp;""),0)+1,""),
IF(EO74&lt;&gt;"",
MATCH(
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""),
INDIRECT("数出表_Excel!B"&amp;MATCH(ES29,数出表_Excel!$A:$A,0)-1&amp;":U"&amp;MATCH(ES29,数出表_Excel!$A:$A,0)-1&amp;""),0)+1,""))</f>
        <v>#N/A</v>
      </c>
      <c r="EO72" s="62" t="str">
        <f t="array" aca="1" ref="EO72" ca="1">IF(EO29=EH71,"",IFERROR(IF(OR(
COUNTIF(INDIRECT("数出表_Excel!"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"3"),"*配膳*"),
COUNTIF(INDIRECT("数出表_Excel!"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"3"),"*カレー*"),
COUNTIF(EO29,"*合計*")),"",
IF(IFERROR(INDIRECT("数出表_Excel!"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"3"),0)=0,"",
IFERROR(INDIRECT("数出表_Excel!"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"3"),""))),""))</f>
        <v/>
      </c>
      <c r="EP72" s="80"/>
      <c r="EQ72" s="86" t="str">
        <f t="array" aca="1" ref="EQ72" ca="1">IF(ER72&lt;&gt;"","",
IF(COUNTIF(EO71,"*雙葉*"),"",
IF(EO71&lt;&gt;"",
IF(
(COLUMN(INDIRECT("数出表_Excel!B" &amp; (MATCH(ES29,数出表_Excel!$A:$A,0)-1))) - 1 +
MATCH(TRUE, ISNUMBER(--INDIRECT("数出表_Excel!B" &amp; (MATCH(ES29,数出表_Excel!$A:$A,0)-1) &amp; ":U" &amp; (MATCH(ES29,数出表_Excel!$A:$A,0)-1))), 0)+1
+MATCH(TRUE,INDIRECT("'数出表_Excel'!"&amp;EN71&amp;MATCH(ES29,数出表_Excel!$A:$A,0)-1&amp;":AL"&amp;MATCH(ES29,数出表_Excel!$A:$A,0)-1&amp;"")&lt;&gt;"",0))&gt;12,"",
IFERROR(
INDEX(INDIRECT("数出表_Excel!$"&amp;EN71&amp;"4:$AL4"),
 1,
MATCH(TRUE,INDIRECT("'数出表_Excel'!"&amp;EN71&amp;MATCH(ES29,数出表_Excel!$A:$A,0)-1&amp;":AL"&amp;MATCH(ES29,数出表_Excel!$A:$A,0)-1&amp;"")&lt;&gt;"",0)
),
 "")
&amp;IFERROR(
INDEX(INDIRECT("数出表_Excel!$"&amp;EN71&amp;"5:$AL5"),
 1,
MATCH(TRUE,INDIRECT("'数出表_Excel'!"&amp;EN71&amp;MATCH(ES29,数出表_Excel!$A:$A,0)-1&amp;":AL"&amp;MATCH(ES29,数出表_Excel!$A:$A,0)-1&amp;"")&lt;&gt;"",0)),
 "")),"")))</f>
        <v/>
      </c>
      <c r="ER72" s="87" t="str">
        <f t="array" aca="1" ref="ER72" ca="1">IF(EO72&lt;&gt;"",
IF(COUNTIF(EO71,"*雙葉*"),
IF(ROUND(
IF(ER77&lt;&gt;"",(EO74-ER77),EO74)
/IF(COUNTIF(EO72,"*キャラ*"),
VLOOKUP("*キャラ*",商品マスタ一覧!$D:$J,7,FALSE),
IF(COUNTIF(EO72,"*赤*"),
VLOOKUP("*赤*",商品マスタ一覧!$D:$J,7,FALSE),
VLOOKUP(EO72,商品マスタ一覧!$D:$J,7,FALSE))),0)&lt;=0,1,
ROUND(
IF(ER77&lt;&gt;"",(EO74-ER77),EO74)
/IF(COUNTIF(EO72,"*キャラ*"),
VLOOKUP("*キャラ*",商品マスタ一覧!$D:$J,7,FALSE),
IF(COUNTIF(EO72,"*赤*"),
VLOOKUP("*赤*",商品マスタ一覧!$D:$J,7,FALSE),
VLOOKUP(EO72,商品マスタ一覧!$D:$J,7,FALSE))),0)),
IF(MATCH(TRUE,
ISNUMBER(--INDIRECT("'数出表_Excel（アレルギー入力）'!B"&amp;MATCH(ES29,'数出表_Excel（アレルギー入力）'!$A:$A,0)-1&amp;":AL"&amp;MATCH(ES29,'数出表_Excel（アレルギー入力）'!$A:$A,0)-1&amp;"")),0)&gt;10,
IF(EO72&lt;&gt;"",
IF(IF(COUNTIF(EO72,"*キャラ*"),
VLOOKUP("*キャラ*",商品マスタ一覧!$D:$J,7,FALSE),
IF(COUNTIF(EO72,"*赤*"),
VLOOKUP("*赤*",商品マスタ一覧!$D:$J,7,FALSE),
VLOOKUP(EO72,商品マスタ一覧!$D:$J,7,FALSE)))=0,"",
IF(ROUND(
IF(ER77&lt;&gt;"",(EO74-ER77),EO74)
/IF(COUNTIF(EO72,"*キャラ*"),
VLOOKUP("*キャラ*",商品マスタ一覧!$D:$J,7,FALSE),
IF(COUNTIF(EO72,"*赤*"),
VLOOKUP("*赤*",商品マスタ一覧!$D:$J,7,FALSE),
VLOOKUP(EO72,商品マスタ一覧!$D:$J,7,FALSE))),0)&lt;=0,1,
ROUND(
IF(ER77&lt;&gt;"",(EO74-ER77),EO74)
/IF(COUNTIF(EO72,"*キャラ*"),
VLOOKUP("*キャラ*",商品マスタ一覧!$D:$J,7,FALSE),
IF(COUNTIF(EO72,"*赤*"),
VLOOKUP("*赤*",商品マスタ一覧!$D:$J,7,FALSE),
VLOOKUP(EO72,商品マスタ一覧!$D:$J,7,FALSE))),0))),""),"")),"")</f>
        <v/>
      </c>
      <c r="ES72" s="96" t="str">
        <f ca="1">IF(ER72&lt;&gt;"",IF(EO74&lt;&gt;"",IF(VALUE(IF(ER77&lt;&gt;"",EO74-ER77,EO74))&gt;VALUE(IF(COUNTIF('盛付札（関数）'!EO72,"*キャラ*"),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VLOOKUP('盛付札（関数）'!EO72,商品マスタ一覧!$D:$J,7,FALSE)))*ER72),
"+"&amp;IF(ER77&lt;&gt;"",EO74-ER77,EO74)-IF(COUNTIF('盛付札（関数）'!EO72,"*キャラ*"),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VLOOKUP('盛付札（関数）'!EO72,商品マスタ一覧!$D:$J,7,FALSE)))*ER72,
IF(ER77&lt;&gt;"",EO74-ER77,EO74)-IF(COUNTIF('盛付札（関数）'!EO72,"*キャラ*"),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VLOOKUP('盛付札（関数）'!EO72,商品マスタ一覧!$D:$J,7,FALSE)))*ER72),""),"")</f>
        <v/>
      </c>
      <c r="ET72" s="111"/>
      <c r="EU72" s="82">
        <f t="shared" si="4"/>
        <v>77</v>
      </c>
      <c r="EV72" s="82" t="str">
        <f t="array" aca="1" ref="EV72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LEN(SUBSTITUTE(_xlfn.FORMULATEXT(EV$51),"=","")))+$EU72)</f>
        <v/>
      </c>
      <c r="EW72" s="82" t="str">
        <f t="array" aca="1" ref="EW72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LEN(SUBSTITUTE(_xlfn.FORMULATEXT(EW$51),"=","")))+$EU72)</f>
        <v/>
      </c>
      <c r="EX72" s="82" t="str">
        <f t="array" aca="1" ref="EX72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LEN(SUBSTITUTE(_xlfn.FORMULATEXT(EX$51),"=","")))+$EU72)</f>
        <v/>
      </c>
      <c r="EY72" s="82" t="str">
        <f t="array" aca="1" ref="EY72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LEN(SUBSTITUTE(_xlfn.FORMULATEXT(EY$51),"=","")))+$EU72)</f>
        <v/>
      </c>
      <c r="EZ72" s="82" t="str">
        <f t="array" aca="1" ref="EZ72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LEN(SUBSTITUTE(_xlfn.FORMULATEXT(EZ$51),"=","")))+$EU72)</f>
        <v/>
      </c>
      <c r="FA72" s="82" t="str">
        <f t="array" aca="1" ref="FA72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LEN(SUBSTITUTE(_xlfn.FORMULATEXT(FA$51),"=","")))+$EU72)</f>
        <v/>
      </c>
      <c r="FB72" s="82" t="str">
        <f t="array" aca="1" ref="FB72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LEN(SUBSTITUTE(_xlfn.FORMULATEXT(FB$51),"=","")))+$EU72)</f>
        <v/>
      </c>
      <c r="FC72" s="82" t="str">
        <f t="array" aca="1" ref="FC72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LEN(SUBSTITUTE(_xlfn.FORMULATEXT(FC$51),"=","")))+$EU72)</f>
        <v/>
      </c>
      <c r="FD72" s="82" t="str">
        <f t="array" aca="1" ref="FD72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LEN(SUBSTITUTE(_xlfn.FORMULATEXT(FD$51),"=","")))+$EU72)</f>
        <v/>
      </c>
      <c r="FE72" s="82" t="str">
        <f t="array" aca="1" ref="FE72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LEN(SUBSTITUTE(_xlfn.FORMULATEXT(FE$51),"=","")))+$EU72)</f>
        <v/>
      </c>
      <c r="FF72" s="82" t="str">
        <f t="array" aca="1" ref="FF72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LEN(SUBSTITUTE(_xlfn.FORMULATEXT(FF$51),"=","")))+$EU72)</f>
        <v/>
      </c>
      <c r="FG72" s="82">
        <f t="shared" ca="1" si="5"/>
        <v>0</v>
      </c>
      <c r="FH72" s="82" t="b">
        <f t="array" aca="1" ref="FH72" ca="1">SUMPRODUCT((LEN(EV72:FF72)&gt;0)*1)&gt;0</f>
        <v>0</v>
      </c>
      <c r="FI72" s="82" t="str">
        <f t="array" aca="1" ref="FI72" ca="1">IFERROR(SMALL(IF(FG$1:FG$173&lt;&gt;0,FG$1:FG$173),ROW(A72)),"")</f>
        <v/>
      </c>
      <c r="FJ72" s="82" t="str">
        <f t="array" aca="1" ref="FJ72" ca="1">IF($FI72&lt;&gt;"",
INDIRECT(""&amp;IF(COLUMN(EV72)&lt;=26,CHAR(COLUMN(EV72)+64),CHAR(INT((COLUMN(EV72)-1)/26)+64)&amp;CHAR(MOD(COLUMN(EV72)-1,26)+65))&amp;$FI72&amp;""),"")</f>
        <v/>
      </c>
      <c r="FK72" s="82" t="str">
        <f t="array" aca="1" ref="FK72" ca="1">IF($FI72&lt;&gt;"",
INDIRECT(""&amp;IF(COLUMN(EW72)&lt;=26,CHAR(COLUMN(EW72)+64),CHAR(INT((COLUMN(EW72)-1)/26)+64)&amp;CHAR(MOD(COLUMN(EW72)-1,26)+65))&amp;$FI72&amp;""),"")</f>
        <v/>
      </c>
      <c r="FL72" s="82" t="str">
        <f t="array" aca="1" ref="FL72" ca="1">IF($FI72&lt;&gt;"",
INDIRECT(""&amp;IF(COLUMN(EX72)&lt;=26,CHAR(COLUMN(EX72)+64),CHAR(INT((COLUMN(EX72)-1)/26)+64)&amp;CHAR(MOD(COLUMN(EX72)-1,26)+65))&amp;$FI72&amp;""),"")</f>
        <v/>
      </c>
      <c r="FM72" s="82" t="str">
        <f t="array" aca="1" ref="FM72" ca="1">IF($FI72&lt;&gt;"",
IF(FL72="",
IF(INDIRECT("EY"&amp;$FI72&amp;"")&lt;&gt;"",
INDIRECT("EY"&amp;$FI72&amp;"")&amp;"箱"
&amp;INDIRECT("EZ"&amp;$FI72&amp;""),""),""),"")</f>
        <v/>
      </c>
      <c r="FN72" s="82" t="str">
        <f t="array" aca="1" ref="FN72" ca="1">IF($FI72&lt;&gt;"",
INDIRECT(""&amp;IF(COLUMN(FA72)&lt;=26,CHAR(COLUMN(FA72)+64),CHAR(INT((COLUMN(FA72)-1)/26)+64)&amp;CHAR(MOD(COLUMN(FA72)-1,26)+65))&amp;$FI72&amp;""),"")</f>
        <v/>
      </c>
      <c r="FO72" s="82" t="str">
        <f t="array" aca="1" ref="FO72" ca="1">IF($FI72&lt;&gt;"",
INDIRECT(""&amp;IF(COLUMN(FB72)&lt;=26,CHAR(COLUMN(FB72)+64),CHAR(INT((COLUMN(FB72)-1)/26)+64)&amp;CHAR(MOD(COLUMN(FB72)-1,26)+65))&amp;$FI72&amp;""),"")</f>
        <v/>
      </c>
      <c r="FP72" s="82" t="str">
        <f t="array" aca="1" ref="FP72" ca="1">IF($FI72&lt;&gt;"",
INDIRECT(""&amp;IF(COLUMN(FC72)&lt;=26,CHAR(COLUMN(FC72)+64),CHAR(INT((COLUMN(FC72)-1)/26)+64)&amp;CHAR(MOD(COLUMN(FC72)-1,26)+65))&amp;$FI72&amp;""),"")</f>
        <v/>
      </c>
      <c r="FQ72" s="82" t="str">
        <f t="array" aca="1" ref="FQ72" ca="1">IF($FI72&lt;&gt;"",
INDIRECT(""&amp;IF(COLUMN(FD72)&lt;=26,CHAR(COLUMN(FD72)+64),CHAR(INT((COLUMN(FD72)-1)/26)+64)&amp;CHAR(MOD(COLUMN(FD72)-1,26)+65))&amp;$FI72&amp;""),"")</f>
        <v/>
      </c>
      <c r="FR72" s="82" t="str">
        <f t="array" aca="1" ref="FR72" ca="1">IF($FI72&lt;&gt;"",
INDIRECT(""&amp;IF(COLUMN(FE72)&lt;=26,CHAR(COLUMN(FE72)+64),CHAR(INT((COLUMN(FE72)-1)/26)+64)&amp;CHAR(MOD(COLUMN(FE72)-1,26)+65))&amp;$FI72&amp;""),"")</f>
        <v/>
      </c>
      <c r="FS72" s="82" t="str">
        <f t="array" aca="1" ref="FS72" ca="1">IF($FI72&lt;&gt;"",
INDIRECT(""&amp;IF(COLUMN(FF72)&lt;=26,CHAR(COLUMN(FF72)+64),CHAR(INT((COLUMN(FF72)-1)/26)+64)&amp;CHAR(MOD(COLUMN(FF72)-1,26)+65))&amp;$FI72&amp;""),"")</f>
        <v/>
      </c>
    </row>
    <row r="73" spans="1:175" s="82" customFormat="1" ht="22.2" customHeight="1" x14ac:dyDescent="0.55000000000000004">
      <c r="A73" s="80"/>
      <c r="B73" s="88" t="str">
        <f t="array" aca="1" ref="B73" ca="1">IF(C71&lt;&gt;"",SUBSTITUTE(ADDRESS(1,
(COLUMN(INDIRECT("数出表_Excel!"&amp;B71&amp;1&amp;""))-2 +
MATCH(TRUE, ISNUMBER(--INDIRECT("数出表_Excel!"&amp;B71&amp; (MATCH(G29,数出表_Excel!$A:$A,0)-1) &amp; ":U" &amp; (MATCH(G29,数出表_Excel!$A:$A,0)-1))), 0))
*2,4),"1",""),"")</f>
        <v/>
      </c>
      <c r="C73" s="189" t="str">
        <f ca="1">IF(C74&lt;&gt;"","園児","")</f>
        <v/>
      </c>
      <c r="D73" s="190"/>
      <c r="E73" s="193" t="str">
        <f ca="1">IF(C74&lt;&gt;"","先生","")</f>
        <v/>
      </c>
      <c r="F73" s="190"/>
      <c r="G73" s="101">
        <f t="array" aca="1" ref="G73" ca="1">IF(C71&lt;&gt;"",
IF(IFERROR(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"")&lt;&gt;0,
IF(IFERROR(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"")="",
0,
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"")),IFERROR(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"")),0)</f>
        <v>0</v>
      </c>
      <c r="H73" s="80"/>
      <c r="I73" s="88" t="str">
        <f t="array" aca="1" ref="I73" ca="1">IF(J71&lt;&gt;"",SUBSTITUTE(ADDRESS(1,
(COLUMN(INDIRECT("数出表_Excel!"&amp;I71&amp;1&amp;""))-2 +
MATCH(TRUE, ISNUMBER(--INDIRECT("数出表_Excel!"&amp;I71&amp; (MATCH(N29,数出表_Excel!$A:$A,0)-1) &amp; ":U" &amp; (MATCH(N29,数出表_Excel!$A:$A,0)-1))), 0))
*2,4),"1",""),"")</f>
        <v/>
      </c>
      <c r="J73" s="189" t="str">
        <f ca="1">IF(J74&lt;&gt;"","園児","")</f>
        <v/>
      </c>
      <c r="K73" s="190"/>
      <c r="L73" s="193" t="str">
        <f ca="1">IF(J74&lt;&gt;"","先生","")</f>
        <v/>
      </c>
      <c r="M73" s="190"/>
      <c r="N73" s="101">
        <f t="array" aca="1" ref="N73" ca="1">IF(J71&lt;&gt;"",
IF(IFERROR(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"")&lt;&gt;0,
IF(IFERROR(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"")="",
0,
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"")),IFERROR(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"")),0)</f>
        <v>0</v>
      </c>
      <c r="O73" s="80"/>
      <c r="P73" s="80"/>
      <c r="Q73" s="88" t="str">
        <f t="array" aca="1" ref="Q73" ca="1">IF(R71&lt;&gt;"",SUBSTITUTE(ADDRESS(1,
(COLUMN(INDIRECT("数出表_Excel!"&amp;Q71&amp;1&amp;""))-2 +
MATCH(TRUE, ISNUMBER(--INDIRECT("数出表_Excel!"&amp;Q71&amp; (MATCH(V29,数出表_Excel!$A:$A,0)-1) &amp; ":U" &amp; (MATCH(V29,数出表_Excel!$A:$A,0)-1))), 0))
*2,4),"1",""),"")</f>
        <v/>
      </c>
      <c r="R73" s="189" t="str">
        <f ca="1">IF(R74&lt;&gt;"","園児","")</f>
        <v/>
      </c>
      <c r="S73" s="190"/>
      <c r="T73" s="193" t="str">
        <f ca="1">IF(R74&lt;&gt;"","先生","")</f>
        <v/>
      </c>
      <c r="U73" s="190"/>
      <c r="V73" s="101">
        <f t="array" aca="1" ref="V73" ca="1">IF(R71&lt;&gt;"",
IF(IFERROR(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"")&lt;&gt;0,
IF(IFERROR(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"")="",
0,
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"")),IFERROR(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"")),0)</f>
        <v>0</v>
      </c>
      <c r="W73" s="80"/>
      <c r="X73" s="88" t="str">
        <f t="array" aca="1" ref="X73" ca="1">IF(Y71&lt;&gt;"",SUBSTITUTE(ADDRESS(1,
(COLUMN(INDIRECT("数出表_Excel!"&amp;X71&amp;1&amp;""))-2 +
MATCH(TRUE, ISNUMBER(--INDIRECT("数出表_Excel!"&amp;X71&amp; (MATCH(AC29,数出表_Excel!$A:$A,0)-1) &amp; ":U" &amp; (MATCH(AC29,数出表_Excel!$A:$A,0)-1))), 0))
*2,4),"1",""),"")</f>
        <v/>
      </c>
      <c r="Y73" s="189" t="str">
        <f ca="1">IF(Y74&lt;&gt;"","園児","")</f>
        <v/>
      </c>
      <c r="Z73" s="190"/>
      <c r="AA73" s="193" t="str">
        <f ca="1">IF(Y74&lt;&gt;"","先生","")</f>
        <v/>
      </c>
      <c r="AB73" s="190"/>
      <c r="AC73" s="101">
        <f t="array" aca="1" ref="AC73" ca="1">IF(Y71&lt;&gt;"",
IF(IFERROR(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"")&lt;&gt;0,
IF(IFERROR(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"")="",
0,
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"")),IFERROR(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"")),0)</f>
        <v>0</v>
      </c>
      <c r="AD73" s="80"/>
      <c r="AE73" s="80"/>
      <c r="AF73" s="88" t="str">
        <f t="array" aca="1" ref="AF73" ca="1">IF(AG71&lt;&gt;"",SUBSTITUTE(ADDRESS(1,
(COLUMN(INDIRECT("数出表_Excel!"&amp;AF71&amp;1&amp;""))-2 +
MATCH(TRUE, ISNUMBER(--INDIRECT("数出表_Excel!"&amp;AF71&amp; (MATCH(AK29,数出表_Excel!$A:$A,0)-1) &amp; ":U" &amp; (MATCH(AK29,数出表_Excel!$A:$A,0)-1))), 0))
*2,4),"1",""),"")</f>
        <v/>
      </c>
      <c r="AG73" s="189" t="str">
        <f ca="1">IF(AG74&lt;&gt;"","園児","")</f>
        <v/>
      </c>
      <c r="AH73" s="190"/>
      <c r="AI73" s="193" t="str">
        <f ca="1">IF(AG74&lt;&gt;"","先生","")</f>
        <v/>
      </c>
      <c r="AJ73" s="190"/>
      <c r="AK73" s="101">
        <f t="array" aca="1" ref="AK73" ca="1">IF(AG71&lt;&gt;"",
IF(IFERROR(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"")&lt;&gt;0,
IF(IFERROR(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"")="",
0,
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"")),IFERROR(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"")),0)</f>
        <v>0</v>
      </c>
      <c r="AL73" s="80"/>
      <c r="AM73" s="88" t="str">
        <f t="array" aca="1" ref="AM73" ca="1">IF(AN71&lt;&gt;"",SUBSTITUTE(ADDRESS(1,
(COLUMN(INDIRECT("数出表_Excel!"&amp;AM71&amp;1&amp;""))-2 +
MATCH(TRUE, ISNUMBER(--INDIRECT("数出表_Excel!"&amp;AM71&amp; (MATCH(AR29,数出表_Excel!$A:$A,0)-1) &amp; ":U" &amp; (MATCH(AR29,数出表_Excel!$A:$A,0)-1))), 0))
*2,4),"1",""),"")</f>
        <v/>
      </c>
      <c r="AN73" s="189" t="str">
        <f ca="1">IF(AN74&lt;&gt;"","園児","")</f>
        <v/>
      </c>
      <c r="AO73" s="190"/>
      <c r="AP73" s="193" t="str">
        <f ca="1">IF(AN74&lt;&gt;"","先生","")</f>
        <v/>
      </c>
      <c r="AQ73" s="190"/>
      <c r="AR73" s="101">
        <f t="array" aca="1" ref="AR73" ca="1">IF(AN71&lt;&gt;"",
IF(IFERROR(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"")&lt;&gt;0,
IF(IFERROR(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"")="",
0,
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"")),IFERROR(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"")),0)</f>
        <v>0</v>
      </c>
      <c r="AS73" s="80"/>
      <c r="AT73" s="80"/>
      <c r="AU73" s="88" t="str">
        <f t="array" aca="1" ref="AU73" ca="1">IF(AV71&lt;&gt;"",SUBSTITUTE(ADDRESS(1,
(COLUMN(INDIRECT("数出表_Excel!"&amp;AU71&amp;1&amp;""))-2 +
MATCH(TRUE, ISNUMBER(--INDIRECT("数出表_Excel!"&amp;AU71&amp; (MATCH(AZ29,数出表_Excel!$A:$A,0)-1) &amp; ":U" &amp; (MATCH(AZ29,数出表_Excel!$A:$A,0)-1))), 0))
*2,4),"1",""),"")</f>
        <v/>
      </c>
      <c r="AV73" s="189" t="str">
        <f ca="1">IF(AV74&lt;&gt;"","園児","")</f>
        <v/>
      </c>
      <c r="AW73" s="190"/>
      <c r="AX73" s="193" t="str">
        <f ca="1">IF(AV74&lt;&gt;"","先生","")</f>
        <v/>
      </c>
      <c r="AY73" s="190"/>
      <c r="AZ73" s="101">
        <f t="array" aca="1" ref="AZ73" ca="1">IF(AV71&lt;&gt;"",
IF(IFERROR(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"")&lt;&gt;0,
IF(IFERROR(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"")="",
0,
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"")),IFERROR(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"")),0)</f>
        <v>0</v>
      </c>
      <c r="BA73" s="80"/>
      <c r="BB73" s="88" t="str">
        <f t="array" aca="1" ref="BB73" ca="1">IF(BC71&lt;&gt;"",SUBSTITUTE(ADDRESS(1,
(COLUMN(INDIRECT("数出表_Excel!"&amp;BB71&amp;1&amp;""))-2 +
MATCH(TRUE, ISNUMBER(--INDIRECT("数出表_Excel!"&amp;BB71&amp; (MATCH(BG29,数出表_Excel!$A:$A,0)-1) &amp; ":U" &amp; (MATCH(BG29,数出表_Excel!$A:$A,0)-1))), 0))
*2,4),"1",""),"")</f>
        <v/>
      </c>
      <c r="BC73" s="189" t="str">
        <f ca="1">IF(BC74&lt;&gt;"","園児","")</f>
        <v/>
      </c>
      <c r="BD73" s="190"/>
      <c r="BE73" s="193" t="str">
        <f ca="1">IF(BC74&lt;&gt;"","先生","")</f>
        <v/>
      </c>
      <c r="BF73" s="190"/>
      <c r="BG73" s="101">
        <f t="array" aca="1" ref="BG73" ca="1">IF(BC71&lt;&gt;"",
IF(IFERROR(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"")&lt;&gt;0,
IF(IFERROR(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"")="",
0,
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"")),IFERROR(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"")),0)</f>
        <v>0</v>
      </c>
      <c r="BH73" s="80"/>
      <c r="BI73" s="80"/>
      <c r="BJ73" s="88" t="str">
        <f t="array" aca="1" ref="BJ73" ca="1">IF(BK71&lt;&gt;"",SUBSTITUTE(ADDRESS(1,
(COLUMN(INDIRECT("数出表_Excel!"&amp;BJ71&amp;1&amp;""))-2 +
MATCH(TRUE, ISNUMBER(--INDIRECT("数出表_Excel!"&amp;BJ71&amp; (MATCH(BO29,数出表_Excel!$A:$A,0)-1) &amp; ":U" &amp; (MATCH(BO29,数出表_Excel!$A:$A,0)-1))), 0))
*2,4),"1",""),"")</f>
        <v/>
      </c>
      <c r="BK73" s="189" t="str">
        <f ca="1">IF(BK74&lt;&gt;"","園児","")</f>
        <v/>
      </c>
      <c r="BL73" s="190"/>
      <c r="BM73" s="193" t="str">
        <f ca="1">IF(BK74&lt;&gt;"","先生","")</f>
        <v/>
      </c>
      <c r="BN73" s="190"/>
      <c r="BO73" s="101">
        <f t="array" aca="1" ref="BO73" ca="1">IF(BK71&lt;&gt;"",
IF(IFERROR(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"")&lt;&gt;0,
IF(IFERROR(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"")="",
0,
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"")),IFERROR(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"")),0)</f>
        <v>0</v>
      </c>
      <c r="BP73" s="80"/>
      <c r="BQ73" s="88" t="str">
        <f t="array" aca="1" ref="BQ73" ca="1">IF(BR71&lt;&gt;"",SUBSTITUTE(ADDRESS(1,
(COLUMN(INDIRECT("数出表_Excel!"&amp;BQ71&amp;1&amp;""))-2 +
MATCH(TRUE, ISNUMBER(--INDIRECT("数出表_Excel!"&amp;BQ71&amp; (MATCH(BV29,数出表_Excel!$A:$A,0)-1) &amp; ":U" &amp; (MATCH(BV29,数出表_Excel!$A:$A,0)-1))), 0))
*2,4),"1",""),"")</f>
        <v/>
      </c>
      <c r="BR73" s="189" t="str">
        <f ca="1">IF(BR74&lt;&gt;"","園児","")</f>
        <v/>
      </c>
      <c r="BS73" s="190"/>
      <c r="BT73" s="193" t="str">
        <f ca="1">IF(BR74&lt;&gt;"","先生","")</f>
        <v/>
      </c>
      <c r="BU73" s="190"/>
      <c r="BV73" s="101">
        <f t="array" aca="1" ref="BV73" ca="1">IF(BR71&lt;&gt;"",
IF(IFERROR(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"")&lt;&gt;0,
IF(IFERROR(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"")="",
0,
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"")),IFERROR(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"")),0)</f>
        <v>0</v>
      </c>
      <c r="BW73" s="80"/>
      <c r="BX73" s="80"/>
      <c r="BY73" s="88" t="str">
        <f t="array" aca="1" ref="BY73" ca="1">IF(BZ71&lt;&gt;"",SUBSTITUTE(ADDRESS(1,
(COLUMN(INDIRECT("数出表_Excel!"&amp;BY71&amp;1&amp;""))-2 +
MATCH(TRUE, ISNUMBER(--INDIRECT("数出表_Excel!"&amp;BY71&amp; (MATCH(CD29,数出表_Excel!$A:$A,0)-1) &amp; ":U" &amp; (MATCH(CD29,数出表_Excel!$A:$A,0)-1))), 0))
*2,4),"1",""),"")</f>
        <v/>
      </c>
      <c r="BZ73" s="189" t="str">
        <f ca="1">IF(BZ74&lt;&gt;"","園児","")</f>
        <v/>
      </c>
      <c r="CA73" s="190"/>
      <c r="CB73" s="193" t="str">
        <f ca="1">IF(BZ74&lt;&gt;"","先生","")</f>
        <v/>
      </c>
      <c r="CC73" s="190"/>
      <c r="CD73" s="101">
        <f t="array" aca="1" ref="CD73" ca="1">IF(BZ71&lt;&gt;"",
IF(IFERROR(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"")&lt;&gt;0,
IF(IFERROR(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"")="",
0,
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"")),IFERROR(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"")),0)</f>
        <v>0</v>
      </c>
      <c r="CE73" s="80"/>
      <c r="CF73" s="88" t="str">
        <f t="array" aca="1" ref="CF73" ca="1">IF(CG71&lt;&gt;"",SUBSTITUTE(ADDRESS(1,
(COLUMN(INDIRECT("数出表_Excel!"&amp;CF71&amp;1&amp;""))-2 +
MATCH(TRUE, ISNUMBER(--INDIRECT("数出表_Excel!"&amp;CF71&amp; (MATCH(CK29,数出表_Excel!$A:$A,0)-1) &amp; ":U" &amp; (MATCH(CK29,数出表_Excel!$A:$A,0)-1))), 0))
*2,4),"1",""),"")</f>
        <v/>
      </c>
      <c r="CG73" s="189" t="str">
        <f ca="1">IF(CG74&lt;&gt;"","園児","")</f>
        <v/>
      </c>
      <c r="CH73" s="190"/>
      <c r="CI73" s="193" t="str">
        <f ca="1">IF(CG74&lt;&gt;"","先生","")</f>
        <v/>
      </c>
      <c r="CJ73" s="190"/>
      <c r="CK73" s="101">
        <f t="array" aca="1" ref="CK73" ca="1">IF(CG71&lt;&gt;"",
IF(IFERROR(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"")&lt;&gt;0,
IF(IFERROR(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"")="",
0,
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"")),IFERROR(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"")),0)</f>
        <v>0</v>
      </c>
      <c r="CL73" s="80"/>
      <c r="CM73" s="80"/>
      <c r="CN73" s="88" t="str">
        <f t="array" aca="1" ref="CN73" ca="1">IF(CO71&lt;&gt;"",SUBSTITUTE(ADDRESS(1,
(COLUMN(INDIRECT("数出表_Excel!"&amp;CN71&amp;1&amp;""))-2 +
MATCH(TRUE, ISNUMBER(--INDIRECT("数出表_Excel!"&amp;CN71&amp; (MATCH(CS29,数出表_Excel!$A:$A,0)-1) &amp; ":U" &amp; (MATCH(CS29,数出表_Excel!$A:$A,0)-1))), 0))
*2,4),"1",""),"")</f>
        <v/>
      </c>
      <c r="CO73" s="189" t="str">
        <f ca="1">IF(CO74&lt;&gt;"","園児","")</f>
        <v/>
      </c>
      <c r="CP73" s="190"/>
      <c r="CQ73" s="193" t="str">
        <f ca="1">IF(CO74&lt;&gt;"","先生","")</f>
        <v/>
      </c>
      <c r="CR73" s="190"/>
      <c r="CS73" s="101">
        <f t="array" aca="1" ref="CS73" ca="1">IF(CO71&lt;&gt;"",
IF(IFERROR(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"")&lt;&gt;0,
IF(IFERROR(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"")="",
0,
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"")),IFERROR(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"")),0)</f>
        <v>0</v>
      </c>
      <c r="CT73" s="80"/>
      <c r="CU73" s="88" t="str">
        <f t="array" aca="1" ref="CU73" ca="1">IF(CV71&lt;&gt;"",SUBSTITUTE(ADDRESS(1,
(COLUMN(INDIRECT("数出表_Excel!"&amp;CU71&amp;1&amp;""))-2 +
MATCH(TRUE, ISNUMBER(--INDIRECT("数出表_Excel!"&amp;CU71&amp; (MATCH(CZ29,数出表_Excel!$A:$A,0)-1) &amp; ":U" &amp; (MATCH(CZ29,数出表_Excel!$A:$A,0)-1))), 0))
*2,4),"1",""),"")</f>
        <v/>
      </c>
      <c r="CV73" s="189" t="str">
        <f ca="1">IF(CV74&lt;&gt;"","園児","")</f>
        <v/>
      </c>
      <c r="CW73" s="190"/>
      <c r="CX73" s="193" t="str">
        <f ca="1">IF(CV74&lt;&gt;"","先生","")</f>
        <v/>
      </c>
      <c r="CY73" s="190"/>
      <c r="CZ73" s="101">
        <f t="array" aca="1" ref="CZ73" ca="1">IF(CV71&lt;&gt;"",
IF(IFERROR(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"")&lt;&gt;0,
IF(IFERROR(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"")="",
0,
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"")),IFERROR(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"")),0)</f>
        <v>0</v>
      </c>
      <c r="DA73" s="80"/>
      <c r="DB73" s="80"/>
      <c r="DC73" s="88" t="str">
        <f t="array" aca="1" ref="DC73" ca="1">IF(DD71&lt;&gt;"",SUBSTITUTE(ADDRESS(1,
(COLUMN(INDIRECT("数出表_Excel!"&amp;DC71&amp;1&amp;""))-2 +
MATCH(TRUE, ISNUMBER(--INDIRECT("数出表_Excel!"&amp;DC71&amp; (MATCH(DH29,数出表_Excel!$A:$A,0)-1) &amp; ":U" &amp; (MATCH(DH29,数出表_Excel!$A:$A,0)-1))), 0))
*2,4),"1",""),"")</f>
        <v/>
      </c>
      <c r="DD73" s="189" t="str">
        <f ca="1">IF(DD74&lt;&gt;"","園児","")</f>
        <v/>
      </c>
      <c r="DE73" s="190"/>
      <c r="DF73" s="193" t="str">
        <f ca="1">IF(DD74&lt;&gt;"","先生","")</f>
        <v/>
      </c>
      <c r="DG73" s="190"/>
      <c r="DH73" s="101">
        <f t="array" aca="1" ref="DH73" ca="1">IF(DD71&lt;&gt;"",
IF(IFERROR(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"")&lt;&gt;0,
IF(IFERROR(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"")="",
0,
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"")),IFERROR(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"")),0)</f>
        <v>0</v>
      </c>
      <c r="DI73" s="80"/>
      <c r="DJ73" s="88" t="str">
        <f t="array" aca="1" ref="DJ73" ca="1">IF(DK71&lt;&gt;"",SUBSTITUTE(ADDRESS(1,
(COLUMN(INDIRECT("数出表_Excel!"&amp;DJ71&amp;1&amp;""))-2 +
MATCH(TRUE, ISNUMBER(--INDIRECT("数出表_Excel!"&amp;DJ71&amp; (MATCH(DO29,数出表_Excel!$A:$A,0)-1) &amp; ":U" &amp; (MATCH(DO29,数出表_Excel!$A:$A,0)-1))), 0))
*2,4),"1",""),"")</f>
        <v/>
      </c>
      <c r="DK73" s="189" t="str">
        <f ca="1">IF(DK74&lt;&gt;"","園児","")</f>
        <v/>
      </c>
      <c r="DL73" s="190"/>
      <c r="DM73" s="193" t="str">
        <f ca="1">IF(DK74&lt;&gt;"","先生","")</f>
        <v/>
      </c>
      <c r="DN73" s="190"/>
      <c r="DO73" s="101">
        <f t="array" aca="1" ref="DO73" ca="1">IF(DK71&lt;&gt;"",
IF(IFERROR(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"")&lt;&gt;0,
IF(IFERROR(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"")="",
0,
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"")),IFERROR(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"")),0)</f>
        <v>0</v>
      </c>
      <c r="DP73" s="80"/>
      <c r="DQ73" s="80"/>
      <c r="DR73" s="88" t="str">
        <f t="array" aca="1" ref="DR73" ca="1">IF(DS71&lt;&gt;"",SUBSTITUTE(ADDRESS(1,
(COLUMN(INDIRECT("数出表_Excel!"&amp;DR71&amp;1&amp;""))-2 +
MATCH(TRUE, ISNUMBER(--INDIRECT("数出表_Excel!"&amp;DR71&amp; (MATCH(DW29,数出表_Excel!$A:$A,0)-1) &amp; ":U" &amp; (MATCH(DW29,数出表_Excel!$A:$A,0)-1))), 0))
*2,4),"1",""),"")</f>
        <v/>
      </c>
      <c r="DS73" s="189" t="str">
        <f ca="1">IF(DS74&lt;&gt;"","園児","")</f>
        <v/>
      </c>
      <c r="DT73" s="190"/>
      <c r="DU73" s="193" t="str">
        <f ca="1">IF(DS74&lt;&gt;"","先生","")</f>
        <v/>
      </c>
      <c r="DV73" s="190"/>
      <c r="DW73" s="101">
        <f t="array" aca="1" ref="DW73" ca="1">IF(DS71&lt;&gt;"",
IF(IFERROR(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"")&lt;&gt;0,
IF(IFERROR(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"")="",
0,
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"")),IFERROR(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"")),0)</f>
        <v>0</v>
      </c>
      <c r="DX73" s="80"/>
      <c r="DY73" s="88" t="str">
        <f t="array" aca="1" ref="DY73" ca="1">IF(DZ71&lt;&gt;"",SUBSTITUTE(ADDRESS(1,
(COLUMN(INDIRECT("数出表_Excel!"&amp;DY71&amp;1&amp;""))-2 +
MATCH(TRUE, ISNUMBER(--INDIRECT("数出表_Excel!"&amp;DY71&amp; (MATCH(ED29,数出表_Excel!$A:$A,0)-1) &amp; ":U" &amp; (MATCH(ED29,数出表_Excel!$A:$A,0)-1))), 0))
*2,4),"1",""),"")</f>
        <v/>
      </c>
      <c r="DZ73" s="189" t="str">
        <f ca="1">IF(DZ74&lt;&gt;"","園児","")</f>
        <v/>
      </c>
      <c r="EA73" s="190"/>
      <c r="EB73" s="193" t="str">
        <f ca="1">IF(DZ74&lt;&gt;"","先生","")</f>
        <v/>
      </c>
      <c r="EC73" s="190"/>
      <c r="ED73" s="101">
        <f t="array" aca="1" ref="ED73" ca="1">IF(DZ71&lt;&gt;"",
IF(IFERROR(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"")&lt;&gt;0,
IF(IFERROR(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"")="",
0,
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"")),IFERROR(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"")),0)</f>
        <v>0</v>
      </c>
      <c r="EE73" s="80"/>
      <c r="EF73" s="80"/>
      <c r="EG73" s="88" t="str">
        <f t="array" aca="1" ref="EG73" ca="1">IF(EH71&lt;&gt;"",SUBSTITUTE(ADDRESS(1,
(COLUMN(INDIRECT("数出表_Excel!"&amp;EG71&amp;1&amp;""))-2 +
MATCH(TRUE, ISNUMBER(--INDIRECT("数出表_Excel!"&amp;EG71&amp; (MATCH(EL29,数出表_Excel!$A:$A,0)-1) &amp; ":U" &amp; (MATCH(EL29,数出表_Excel!$A:$A,0)-1))), 0))
*2,4),"1",""),"")</f>
        <v/>
      </c>
      <c r="EH73" s="189" t="str">
        <f ca="1">IF(EH74&lt;&gt;"","園児","")</f>
        <v/>
      </c>
      <c r="EI73" s="190"/>
      <c r="EJ73" s="193" t="str">
        <f ca="1">IF(EH74&lt;&gt;"","先生","")</f>
        <v/>
      </c>
      <c r="EK73" s="190"/>
      <c r="EL73" s="101">
        <f t="array" aca="1" ref="EL73" ca="1">IF(EH71&lt;&gt;"",
IF(IFERROR(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"")&lt;&gt;0,
IF(IFERROR(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"")="",
0,
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"")),IFERROR(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"")),0)</f>
        <v>0</v>
      </c>
      <c r="EM73" s="80"/>
      <c r="EN73" s="88" t="str">
        <f t="array" aca="1" ref="EN73" ca="1">IF(EO71&lt;&gt;"",SUBSTITUTE(ADDRESS(1,
(COLUMN(INDIRECT("数出表_Excel!"&amp;EN71&amp;1&amp;""))-2 +
MATCH(TRUE, ISNUMBER(--INDIRECT("数出表_Excel!"&amp;EN71&amp; (MATCH(ES29,数出表_Excel!$A:$A,0)-1) &amp; ":U" &amp; (MATCH(ES29,数出表_Excel!$A:$A,0)-1))), 0))
*2,4),"1",""),"")</f>
        <v/>
      </c>
      <c r="EO73" s="189" t="str">
        <f ca="1">IF(EO74&lt;&gt;"","園児","")</f>
        <v/>
      </c>
      <c r="EP73" s="190"/>
      <c r="EQ73" s="193" t="str">
        <f ca="1">IF(EO74&lt;&gt;"","先生","")</f>
        <v/>
      </c>
      <c r="ER73" s="190"/>
      <c r="ES73" s="101">
        <f t="array" aca="1" ref="ES73" ca="1">IF(EO71&lt;&gt;"",
IF(IFERROR(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"")&lt;&gt;0,
IF(IFERROR(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"")="",
0,
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"")),IFERROR(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"")),0)</f>
        <v>0</v>
      </c>
      <c r="ET73" s="110"/>
      <c r="EV73" s="83" t="str">
        <f ca="1">AV1</f>
        <v/>
      </c>
      <c r="EW73" s="83" t="str">
        <f ca="1">AV2</f>
        <v/>
      </c>
      <c r="EX73" s="83" t="str">
        <f ca="1">AX2</f>
        <v/>
      </c>
      <c r="EY73" s="84" t="str">
        <f ca="1">AY2</f>
        <v/>
      </c>
      <c r="EZ73" s="84" t="str">
        <f ca="1">AZ2</f>
        <v/>
      </c>
      <c r="FA73" s="83" t="e">
        <f ca="1">AV4</f>
        <v>#VALUE!</v>
      </c>
      <c r="FB73" s="83" t="str">
        <f ca="1">AX4</f>
        <v/>
      </c>
      <c r="FC73" s="83" t="str">
        <f ca="1">AV6</f>
        <v/>
      </c>
      <c r="FD73" s="83" t="e">
        <f ca="1">AU7</f>
        <v>#VALUE!</v>
      </c>
      <c r="FE73" s="83" t="str">
        <f ca="1">AW7</f>
        <v/>
      </c>
      <c r="FF73" s="83" t="e">
        <f ca="1">AY7</f>
        <v>#N/A</v>
      </c>
      <c r="FG73" s="82">
        <f t="shared" ca="1" si="5"/>
        <v>0</v>
      </c>
      <c r="FH73" s="82" t="e">
        <f t="array" aca="1" ref="FH73" ca="1">SUMPRODUCT((LEN(EV73:FF73)&gt;0)*1)&gt;0</f>
        <v>#VALUE!</v>
      </c>
      <c r="FI73" s="82" t="str">
        <f t="array" aca="1" ref="FI73" ca="1">IFERROR(SMALL(IF(FG$1:FG$173&lt;&gt;0,FG$1:FG$173),ROW(A73)),"")</f>
        <v/>
      </c>
      <c r="FJ73" s="82" t="str">
        <f t="array" aca="1" ref="FJ73" ca="1">IF($FI73&lt;&gt;"",
INDIRECT(""&amp;IF(COLUMN(EV73)&lt;=26,CHAR(COLUMN(EV73)+64),CHAR(INT((COLUMN(EV73)-1)/26)+64)&amp;CHAR(MOD(COLUMN(EV73)-1,26)+65))&amp;$FI73&amp;""),"")</f>
        <v/>
      </c>
      <c r="FK73" s="82" t="str">
        <f t="array" aca="1" ref="FK73" ca="1">IF($FI73&lt;&gt;"",
INDIRECT(""&amp;IF(COLUMN(EW73)&lt;=26,CHAR(COLUMN(EW73)+64),CHAR(INT((COLUMN(EW73)-1)/26)+64)&amp;CHAR(MOD(COLUMN(EW73)-1,26)+65))&amp;$FI73&amp;""),"")</f>
        <v/>
      </c>
      <c r="FL73" s="82" t="str">
        <f t="array" aca="1" ref="FL73" ca="1">IF($FI73&lt;&gt;"",
INDIRECT(""&amp;IF(COLUMN(EX73)&lt;=26,CHAR(COLUMN(EX73)+64),CHAR(INT((COLUMN(EX73)-1)/26)+64)&amp;CHAR(MOD(COLUMN(EX73)-1,26)+65))&amp;$FI73&amp;""),"")</f>
        <v/>
      </c>
      <c r="FM73" s="82" t="str">
        <f t="array" aca="1" ref="FM73" ca="1">IF($FI73&lt;&gt;"",
IF(FL73="",
IF(INDIRECT("EY"&amp;$FI73&amp;"")&lt;&gt;"",
INDIRECT("EY"&amp;$FI73&amp;"")&amp;"箱"
&amp;INDIRECT("EZ"&amp;$FI73&amp;""),""),""),"")</f>
        <v/>
      </c>
      <c r="FN73" s="82" t="str">
        <f t="array" aca="1" ref="FN73" ca="1">IF($FI73&lt;&gt;"",
INDIRECT(""&amp;IF(COLUMN(FA73)&lt;=26,CHAR(COLUMN(FA73)+64),CHAR(INT((COLUMN(FA73)-1)/26)+64)&amp;CHAR(MOD(COLUMN(FA73)-1,26)+65))&amp;$FI73&amp;""),"")</f>
        <v/>
      </c>
      <c r="FO73" s="82" t="str">
        <f t="array" aca="1" ref="FO73" ca="1">IF($FI73&lt;&gt;"",
INDIRECT(""&amp;IF(COLUMN(FB73)&lt;=26,CHAR(COLUMN(FB73)+64),CHAR(INT((COLUMN(FB73)-1)/26)+64)&amp;CHAR(MOD(COLUMN(FB73)-1,26)+65))&amp;$FI73&amp;""),"")</f>
        <v/>
      </c>
      <c r="FP73" s="82" t="str">
        <f t="array" aca="1" ref="FP73" ca="1">IF($FI73&lt;&gt;"",
INDIRECT(""&amp;IF(COLUMN(FC73)&lt;=26,CHAR(COLUMN(FC73)+64),CHAR(INT((COLUMN(FC73)-1)/26)+64)&amp;CHAR(MOD(COLUMN(FC73)-1,26)+65))&amp;$FI73&amp;""),"")</f>
        <v/>
      </c>
      <c r="FQ73" s="82" t="str">
        <f t="array" aca="1" ref="FQ73" ca="1">IF($FI73&lt;&gt;"",
INDIRECT(""&amp;IF(COLUMN(FD73)&lt;=26,CHAR(COLUMN(FD73)+64),CHAR(INT((COLUMN(FD73)-1)/26)+64)&amp;CHAR(MOD(COLUMN(FD73)-1,26)+65))&amp;$FI73&amp;""),"")</f>
        <v/>
      </c>
      <c r="FR73" s="82" t="str">
        <f t="array" aca="1" ref="FR73" ca="1">IF($FI73&lt;&gt;"",
INDIRECT(""&amp;IF(COLUMN(FE73)&lt;=26,CHAR(COLUMN(FE73)+64),CHAR(INT((COLUMN(FE73)-1)/26)+64)&amp;CHAR(MOD(COLUMN(FE73)-1,26)+65))&amp;$FI73&amp;""),"")</f>
        <v/>
      </c>
      <c r="FS73" s="82" t="str">
        <f t="array" aca="1" ref="FS73" ca="1">IF($FI73&lt;&gt;"",
INDIRECT(""&amp;IF(COLUMN(FF73)&lt;=26,CHAR(COLUMN(FF73)+64),CHAR(INT((COLUMN(FF73)-1)/26)+64)&amp;CHAR(MOD(COLUMN(FF73)-1,26)+65))&amp;$FI73&amp;""),"")</f>
        <v/>
      </c>
    </row>
    <row r="74" spans="1:175" ht="18" customHeight="1" x14ac:dyDescent="0.45">
      <c r="B74" s="90"/>
      <c r="C74" s="185" t="str">
        <f t="array" aca="1" ref="C74" ca="1">IF(C72&lt;&gt;"",
IF(IFERROR(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"")=0,"",
IF(B31=100,
IFERROR(
INDEX(INDIRECT("数出表_Excel!"&amp;B71&amp;MATCH(G29,数出表_Excel!$A:$A,0)-1+2&amp;":U"&amp;MATCH(G29,数出表_Excel!$A:$A,0)-1+2&amp;""),
 1,
 MATCH(TRUE, ISNUMBER(--INDIRECT("数出表_Excel!"&amp;B71&amp;MATCH(G29,数出表_Excel!$A:$A,0)-1+2&amp;":U"&amp;MATCH(G29,数出表_Excel!$A:$A,0)-1+2&amp;"")), 0)),
 "")
+IFERROR(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""))),"")</f>
        <v/>
      </c>
      <c r="D74" s="186"/>
      <c r="E74" s="188" t="str">
        <f t="array" aca="1" ref="E74" ca="1">IF(C30&lt;&gt;"",
IF(IFERROR(
INDEX(INDIRECT("数出表_Excel!B"&amp;MATCH(G29,数出表_Excel!$A:$A,0)&amp;":U"&amp;MATCH(G29,数出表_Excel!$A:$A,0)&amp;""),
 1,B72-1),
 "")=0,"",
IFERROR(
INDEX(INDIRECT("数出表_Excel!B"&amp;MATCH(G29,数出表_Excel!$A:$A,0)&amp;":U"&amp;MATCH(G29,数出表_Excel!$A:$A,0)&amp;""),
 1,B72-1),
 "")),"")</f>
        <v/>
      </c>
      <c r="F74" s="186"/>
      <c r="G74" s="101" t="e">
        <f t="array" aca="1" ref="G74" ca="1">IF(B31=100,
IF(C71&lt;&gt;"",
IF(IFERROR(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"")&lt;&gt;0,
IF(IFERROR(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"")="",
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""),
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"")),0),""),0)</f>
        <v>#N/A</v>
      </c>
      <c r="I74" s="90"/>
      <c r="J74" s="185" t="str">
        <f t="array" aca="1" ref="J74" ca="1">IF(J72&lt;&gt;"",
IF(IFERROR(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"")=0,"",
IF(I31=100,
IFERROR(
INDEX(INDIRECT("数出表_Excel!"&amp;I71&amp;MATCH(N29,数出表_Excel!$A:$A,0)-1+2&amp;":U"&amp;MATCH(N29,数出表_Excel!$A:$A,0)-1+2&amp;""),
 1,
 MATCH(TRUE, ISNUMBER(--INDIRECT("数出表_Excel!"&amp;I71&amp;MATCH(N29,数出表_Excel!$A:$A,0)-1+2&amp;":U"&amp;MATCH(N29,数出表_Excel!$A:$A,0)-1+2&amp;"")), 0)),
 "")
+IFERROR(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""))),"")</f>
        <v/>
      </c>
      <c r="K74" s="186"/>
      <c r="L74" s="188" t="str">
        <f t="array" aca="1" ref="L74" ca="1">IF(J30&lt;&gt;"",
IF(IFERROR(
INDEX(INDIRECT("数出表_Excel!B"&amp;MATCH(N29,数出表_Excel!$A:$A,0)&amp;":U"&amp;MATCH(N29,数出表_Excel!$A:$A,0)&amp;""),
 1,I72-1),
 "")=0,"",
IFERROR(
INDEX(INDIRECT("数出表_Excel!B"&amp;MATCH(N29,数出表_Excel!$A:$A,0)&amp;":U"&amp;MATCH(N29,数出表_Excel!$A:$A,0)&amp;""),
 1,I72-1),
 "")),"")</f>
        <v/>
      </c>
      <c r="M74" s="186"/>
      <c r="N74" s="101" t="e">
        <f t="array" aca="1" ref="N74" ca="1">IF(I31=100,
IF(J71&lt;&gt;"",
IF(IFERROR(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"")&lt;&gt;0,
IF(IFERROR(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"")="",
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""),
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"")),0),""),0)</f>
        <v>#N/A</v>
      </c>
      <c r="Q74" s="90"/>
      <c r="R74" s="185" t="str">
        <f t="array" aca="1" ref="R74" ca="1">IF(R72&lt;&gt;"",
IF(IFERROR(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"")=0,"",
IF(Q31=100,
IFERROR(
INDEX(INDIRECT("数出表_Excel!"&amp;Q71&amp;MATCH(V29,数出表_Excel!$A:$A,0)-1+2&amp;":U"&amp;MATCH(V29,数出表_Excel!$A:$A,0)-1+2&amp;""),
 1,
 MATCH(TRUE, ISNUMBER(--INDIRECT("数出表_Excel!"&amp;Q71&amp;MATCH(V29,数出表_Excel!$A:$A,0)-1+2&amp;":U"&amp;MATCH(V29,数出表_Excel!$A:$A,0)-1+2&amp;"")), 0)),
 "")
+IFERROR(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""))),"")</f>
        <v/>
      </c>
      <c r="S74" s="186"/>
      <c r="T74" s="188" t="str">
        <f t="array" aca="1" ref="T74" ca="1">IF(R30&lt;&gt;"",
IF(IFERROR(
INDEX(INDIRECT("数出表_Excel!B"&amp;MATCH(V29,数出表_Excel!$A:$A,0)&amp;":U"&amp;MATCH(V29,数出表_Excel!$A:$A,0)&amp;""),
 1,Q72-1),
 "")=0,"",
IFERROR(
INDEX(INDIRECT("数出表_Excel!B"&amp;MATCH(V29,数出表_Excel!$A:$A,0)&amp;":U"&amp;MATCH(V29,数出表_Excel!$A:$A,0)&amp;""),
 1,Q72-1),
 "")),"")</f>
        <v/>
      </c>
      <c r="U74" s="186"/>
      <c r="V74" s="101" t="e">
        <f t="array" aca="1" ref="V74" ca="1">IF(Q31=100,
IF(R71&lt;&gt;"",
IF(IFERROR(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"")&lt;&gt;0,
IF(IFERROR(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"")="",
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""),
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"")),0),""),0)</f>
        <v>#N/A</v>
      </c>
      <c r="X74" s="90"/>
      <c r="Y74" s="185" t="str">
        <f t="array" aca="1" ref="Y74" ca="1">IF(Y72&lt;&gt;"",
IF(IFERROR(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"")=0,"",
IF(X31=100,
IFERROR(
INDEX(INDIRECT("数出表_Excel!"&amp;X71&amp;MATCH(AC29,数出表_Excel!$A:$A,0)-1+2&amp;":U"&amp;MATCH(AC29,数出表_Excel!$A:$A,0)-1+2&amp;""),
 1,
 MATCH(TRUE, ISNUMBER(--INDIRECT("数出表_Excel!"&amp;X71&amp;MATCH(AC29,数出表_Excel!$A:$A,0)-1+2&amp;":U"&amp;MATCH(AC29,数出表_Excel!$A:$A,0)-1+2&amp;"")), 0)),
 "")
+IFERROR(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""))),"")</f>
        <v/>
      </c>
      <c r="Z74" s="186"/>
      <c r="AA74" s="188" t="str">
        <f t="array" aca="1" ref="AA74" ca="1">IF(Y30&lt;&gt;"",
IF(IFERROR(
INDEX(INDIRECT("数出表_Excel!B"&amp;MATCH(AC29,数出表_Excel!$A:$A,0)&amp;":U"&amp;MATCH(AC29,数出表_Excel!$A:$A,0)&amp;""),
 1,X72-1),
 "")=0,"",
IFERROR(
INDEX(INDIRECT("数出表_Excel!B"&amp;MATCH(AC29,数出表_Excel!$A:$A,0)&amp;":U"&amp;MATCH(AC29,数出表_Excel!$A:$A,0)&amp;""),
 1,X72-1),
 "")),"")</f>
        <v/>
      </c>
      <c r="AB74" s="186"/>
      <c r="AC74" s="101" t="e">
        <f t="array" aca="1" ref="AC74" ca="1">IF(X31=100,
IF(Y71&lt;&gt;"",
IF(IFERROR(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"")&lt;&gt;0,
IF(IFERROR(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"")="",
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""),
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"")),0),""),0)</f>
        <v>#N/A</v>
      </c>
      <c r="AF74" s="90"/>
      <c r="AG74" s="185" t="str">
        <f t="array" aca="1" ref="AG74" ca="1">IF(AG72&lt;&gt;"",
IF(IFERROR(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"")=0,"",
IF(AF31=100,
IFERROR(
INDEX(INDIRECT("数出表_Excel!"&amp;AF71&amp;MATCH(AK29,数出表_Excel!$A:$A,0)-1+2&amp;":U"&amp;MATCH(AK29,数出表_Excel!$A:$A,0)-1+2&amp;""),
 1,
 MATCH(TRUE, ISNUMBER(--INDIRECT("数出表_Excel!"&amp;AF71&amp;MATCH(AK29,数出表_Excel!$A:$A,0)-1+2&amp;":U"&amp;MATCH(AK29,数出表_Excel!$A:$A,0)-1+2&amp;"")), 0)),
 "")
+IFERROR(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""))),"")</f>
        <v/>
      </c>
      <c r="AH74" s="186"/>
      <c r="AI74" s="188" t="str">
        <f t="array" aca="1" ref="AI74" ca="1">IF(AG30&lt;&gt;"",
IF(IFERROR(
INDEX(INDIRECT("数出表_Excel!B"&amp;MATCH(AK29,数出表_Excel!$A:$A,0)&amp;":U"&amp;MATCH(AK29,数出表_Excel!$A:$A,0)&amp;""),
 1,AF72-1),
 "")=0,"",
IFERROR(
INDEX(INDIRECT("数出表_Excel!B"&amp;MATCH(AK29,数出表_Excel!$A:$A,0)&amp;":U"&amp;MATCH(AK29,数出表_Excel!$A:$A,0)&amp;""),
 1,AF72-1),
 "")),"")</f>
        <v/>
      </c>
      <c r="AJ74" s="186"/>
      <c r="AK74" s="101" t="e">
        <f t="array" aca="1" ref="AK74" ca="1">IF(AF31=100,
IF(AG71&lt;&gt;"",
IF(IFERROR(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"")&lt;&gt;0,
IF(IFERROR(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"")="",
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""),
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"")),0),""),0)</f>
        <v>#N/A</v>
      </c>
      <c r="AM74" s="90"/>
      <c r="AN74" s="185" t="str">
        <f t="array" aca="1" ref="AN74" ca="1">IF(AN72&lt;&gt;"",
IF(IFERROR(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"")=0,"",
IF(AM31=100,
IFERROR(
INDEX(INDIRECT("数出表_Excel!"&amp;AM71&amp;MATCH(AR29,数出表_Excel!$A:$A,0)-1+2&amp;":U"&amp;MATCH(AR29,数出表_Excel!$A:$A,0)-1+2&amp;""),
 1,
 MATCH(TRUE, ISNUMBER(--INDIRECT("数出表_Excel!"&amp;AM71&amp;MATCH(AR29,数出表_Excel!$A:$A,0)-1+2&amp;":U"&amp;MATCH(AR29,数出表_Excel!$A:$A,0)-1+2&amp;"")), 0)),
 "")
+IFERROR(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""))),"")</f>
        <v/>
      </c>
      <c r="AO74" s="186"/>
      <c r="AP74" s="188" t="str">
        <f t="array" aca="1" ref="AP74" ca="1">IF(AN30&lt;&gt;"",
IF(IFERROR(
INDEX(INDIRECT("数出表_Excel!B"&amp;MATCH(AR29,数出表_Excel!$A:$A,0)&amp;":U"&amp;MATCH(AR29,数出表_Excel!$A:$A,0)&amp;""),
 1,AM72-1),
 "")=0,"",
IFERROR(
INDEX(INDIRECT("数出表_Excel!B"&amp;MATCH(AR29,数出表_Excel!$A:$A,0)&amp;":U"&amp;MATCH(AR29,数出表_Excel!$A:$A,0)&amp;""),
 1,AM72-1),
 "")),"")</f>
        <v/>
      </c>
      <c r="AQ74" s="186"/>
      <c r="AR74" s="101" t="e">
        <f t="array" aca="1" ref="AR74" ca="1">IF(AM31=100,
IF(AN71&lt;&gt;"",
IF(IFERROR(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"")&lt;&gt;0,
IF(IFERROR(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"")="",
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""),
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"")),0),""),0)</f>
        <v>#N/A</v>
      </c>
      <c r="AU74" s="90"/>
      <c r="AV74" s="185" t="str">
        <f t="array" aca="1" ref="AV74" ca="1">IF(AV72&lt;&gt;"",
IF(IFERROR(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"")=0,"",
IF(AU31=100,
IFERROR(
INDEX(INDIRECT("数出表_Excel!"&amp;AU71&amp;MATCH(AZ29,数出表_Excel!$A:$A,0)-1+2&amp;":U"&amp;MATCH(AZ29,数出表_Excel!$A:$A,0)-1+2&amp;""),
 1,
 MATCH(TRUE, ISNUMBER(--INDIRECT("数出表_Excel!"&amp;AU71&amp;MATCH(AZ29,数出表_Excel!$A:$A,0)-1+2&amp;":U"&amp;MATCH(AZ29,数出表_Excel!$A:$A,0)-1+2&amp;"")), 0)),
 "")
+IFERROR(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""))),"")</f>
        <v/>
      </c>
      <c r="AW74" s="186"/>
      <c r="AX74" s="188" t="str">
        <f t="array" aca="1" ref="AX74" ca="1">IF(AV30&lt;&gt;"",
IF(IFERROR(
INDEX(INDIRECT("数出表_Excel!B"&amp;MATCH(AZ29,数出表_Excel!$A:$A,0)&amp;":U"&amp;MATCH(AZ29,数出表_Excel!$A:$A,0)&amp;""),
 1,AU72-1),
 "")=0,"",
IFERROR(
INDEX(INDIRECT("数出表_Excel!B"&amp;MATCH(AZ29,数出表_Excel!$A:$A,0)&amp;":U"&amp;MATCH(AZ29,数出表_Excel!$A:$A,0)&amp;""),
 1,AU72-1),
 "")),"")</f>
        <v/>
      </c>
      <c r="AY74" s="186"/>
      <c r="AZ74" s="101" t="e">
        <f t="array" aca="1" ref="AZ74" ca="1">IF(AU31=100,
IF(AV71&lt;&gt;"",
IF(IFERROR(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"")&lt;&gt;0,
IF(IFERROR(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"")="",
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""),
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"")),0),""),0)</f>
        <v>#N/A</v>
      </c>
      <c r="BB74" s="90"/>
      <c r="BC74" s="185" t="str">
        <f t="array" aca="1" ref="BC74" ca="1">IF(BC72&lt;&gt;"",
IF(IFERROR(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"")=0,"",
IF(BB31=100,
IFERROR(
INDEX(INDIRECT("数出表_Excel!"&amp;BB71&amp;MATCH(BG29,数出表_Excel!$A:$A,0)-1+2&amp;":U"&amp;MATCH(BG29,数出表_Excel!$A:$A,0)-1+2&amp;""),
 1,
 MATCH(TRUE, ISNUMBER(--INDIRECT("数出表_Excel!"&amp;BB71&amp;MATCH(BG29,数出表_Excel!$A:$A,0)-1+2&amp;":U"&amp;MATCH(BG29,数出表_Excel!$A:$A,0)-1+2&amp;"")), 0)),
 "")
+IFERROR(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""))),"")</f>
        <v/>
      </c>
      <c r="BD74" s="186"/>
      <c r="BE74" s="188" t="str">
        <f t="array" aca="1" ref="BE74" ca="1">IF(BC30&lt;&gt;"",
IF(IFERROR(
INDEX(INDIRECT("数出表_Excel!B"&amp;MATCH(BG29,数出表_Excel!$A:$A,0)&amp;":U"&amp;MATCH(BG29,数出表_Excel!$A:$A,0)&amp;""),
 1,BB72-1),
 "")=0,"",
IFERROR(
INDEX(INDIRECT("数出表_Excel!B"&amp;MATCH(BG29,数出表_Excel!$A:$A,0)&amp;":U"&amp;MATCH(BG29,数出表_Excel!$A:$A,0)&amp;""),
 1,BB72-1),
 "")),"")</f>
        <v/>
      </c>
      <c r="BF74" s="186"/>
      <c r="BG74" s="101" t="e">
        <f t="array" aca="1" ref="BG74" ca="1">IF(BB31=100,
IF(BC71&lt;&gt;"",
IF(IFERROR(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"")&lt;&gt;0,
IF(IFERROR(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"")="",
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""),
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"")),0),""),0)</f>
        <v>#N/A</v>
      </c>
      <c r="BJ74" s="90"/>
      <c r="BK74" s="185" t="str">
        <f t="array" aca="1" ref="BK74" ca="1">IF(BK72&lt;&gt;"",
IF(IFERROR(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"")=0,"",
IF(BJ31=100,
IFERROR(
INDEX(INDIRECT("数出表_Excel!"&amp;BJ71&amp;MATCH(BO29,数出表_Excel!$A:$A,0)-1+2&amp;":U"&amp;MATCH(BO29,数出表_Excel!$A:$A,0)-1+2&amp;""),
 1,
 MATCH(TRUE, ISNUMBER(--INDIRECT("数出表_Excel!"&amp;BJ71&amp;MATCH(BO29,数出表_Excel!$A:$A,0)-1+2&amp;":U"&amp;MATCH(BO29,数出表_Excel!$A:$A,0)-1+2&amp;"")), 0)),
 "")
+IFERROR(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""))),"")</f>
        <v/>
      </c>
      <c r="BL74" s="186"/>
      <c r="BM74" s="188" t="str">
        <f t="array" aca="1" ref="BM74" ca="1">IF(BK30&lt;&gt;"",
IF(IFERROR(
INDEX(INDIRECT("数出表_Excel!B"&amp;MATCH(BO29,数出表_Excel!$A:$A,0)&amp;":U"&amp;MATCH(BO29,数出表_Excel!$A:$A,0)&amp;""),
 1,BJ72-1),
 "")=0,"",
IFERROR(
INDEX(INDIRECT("数出表_Excel!B"&amp;MATCH(BO29,数出表_Excel!$A:$A,0)&amp;":U"&amp;MATCH(BO29,数出表_Excel!$A:$A,0)&amp;""),
 1,BJ72-1),
 "")),"")</f>
        <v/>
      </c>
      <c r="BN74" s="186"/>
      <c r="BO74" s="101" t="e">
        <f t="array" aca="1" ref="BO74" ca="1">IF(BJ31=100,
IF(BK71&lt;&gt;"",
IF(IFERROR(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"")&lt;&gt;0,
IF(IFERROR(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"")="",
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""),
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"")),0),""),0)</f>
        <v>#N/A</v>
      </c>
      <c r="BQ74" s="90"/>
      <c r="BR74" s="185" t="str">
        <f t="array" aca="1" ref="BR74" ca="1">IF(BR72&lt;&gt;"",
IF(IFERROR(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"")=0,"",
IF(BQ31=100,
IFERROR(
INDEX(INDIRECT("数出表_Excel!"&amp;BQ71&amp;MATCH(BV29,数出表_Excel!$A:$A,0)-1+2&amp;":U"&amp;MATCH(BV29,数出表_Excel!$A:$A,0)-1+2&amp;""),
 1,
 MATCH(TRUE, ISNUMBER(--INDIRECT("数出表_Excel!"&amp;BQ71&amp;MATCH(BV29,数出表_Excel!$A:$A,0)-1+2&amp;":U"&amp;MATCH(BV29,数出表_Excel!$A:$A,0)-1+2&amp;"")), 0)),
 "")
+IFERROR(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""))),"")</f>
        <v/>
      </c>
      <c r="BS74" s="186"/>
      <c r="BT74" s="188" t="str">
        <f t="array" aca="1" ref="BT74" ca="1">IF(BR30&lt;&gt;"",
IF(IFERROR(
INDEX(INDIRECT("数出表_Excel!B"&amp;MATCH(BV29,数出表_Excel!$A:$A,0)&amp;":U"&amp;MATCH(BV29,数出表_Excel!$A:$A,0)&amp;""),
 1,BQ72-1),
 "")=0,"",
IFERROR(
INDEX(INDIRECT("数出表_Excel!B"&amp;MATCH(BV29,数出表_Excel!$A:$A,0)&amp;":U"&amp;MATCH(BV29,数出表_Excel!$A:$A,0)&amp;""),
 1,BQ72-1),
 "")),"")</f>
        <v/>
      </c>
      <c r="BU74" s="186"/>
      <c r="BV74" s="101" t="e">
        <f t="array" aca="1" ref="BV74" ca="1">IF(BQ31=100,
IF(BR71&lt;&gt;"",
IF(IFERROR(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"")&lt;&gt;0,
IF(IFERROR(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"")="",
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""),
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"")),0),""),0)</f>
        <v>#N/A</v>
      </c>
      <c r="BY74" s="90"/>
      <c r="BZ74" s="185" t="str">
        <f t="array" aca="1" ref="BZ74" ca="1">IF(BZ72&lt;&gt;"",
IF(IFERROR(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"")=0,"",
IF(BY31=100,
IFERROR(
INDEX(INDIRECT("数出表_Excel!"&amp;BY71&amp;MATCH(CD29,数出表_Excel!$A:$A,0)-1+2&amp;":U"&amp;MATCH(CD29,数出表_Excel!$A:$A,0)-1+2&amp;""),
 1,
 MATCH(TRUE, ISNUMBER(--INDIRECT("数出表_Excel!"&amp;BY71&amp;MATCH(CD29,数出表_Excel!$A:$A,0)-1+2&amp;":U"&amp;MATCH(CD29,数出表_Excel!$A:$A,0)-1+2&amp;"")), 0)),
 "")
+IFERROR(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""),
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""))),"")</f>
        <v/>
      </c>
      <c r="CA74" s="186"/>
      <c r="CB74" s="188" t="str">
        <f t="array" aca="1" ref="CB74" ca="1">IF(BZ30&lt;&gt;"",
IF(IFERROR(
INDEX(INDIRECT("数出表_Excel!B"&amp;MATCH(CD29,数出表_Excel!$A:$A,0)&amp;":U"&amp;MATCH(CD29,数出表_Excel!$A:$A,0)&amp;""),
 1,BY72-1),
 "")=0,"",
IFERROR(
INDEX(INDIRECT("数出表_Excel!B"&amp;MATCH(CD29,数出表_Excel!$A:$A,0)&amp;":U"&amp;MATCH(CD29,数出表_Excel!$A:$A,0)&amp;""),
 1,BY72-1),
 "")),"")</f>
        <v/>
      </c>
      <c r="CC74" s="186"/>
      <c r="CD74" s="101" t="e">
        <f t="array" aca="1" ref="CD74" ca="1">IF(BY31=100,
IF(BZ71&lt;&gt;"",
IF(IFERROR(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"")&lt;&gt;0,
IF(IFERROR(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"")="",
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""),
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"")),0),""),0)</f>
        <v>#N/A</v>
      </c>
      <c r="CF74" s="90"/>
      <c r="CG74" s="185" t="str">
        <f t="array" aca="1" ref="CG74" ca="1">IF(CG72&lt;&gt;"",
IF(IFERROR(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"")=0,"",
IF(CF31=100,
IFERROR(
INDEX(INDIRECT("数出表_Excel!"&amp;CF71&amp;MATCH(CK29,数出表_Excel!$A:$A,0)-1+2&amp;":U"&amp;MATCH(CK29,数出表_Excel!$A:$A,0)-1+2&amp;""),
 1,
 MATCH(TRUE, ISNUMBER(--INDIRECT("数出表_Excel!"&amp;CF71&amp;MATCH(CK29,数出表_Excel!$A:$A,0)-1+2&amp;":U"&amp;MATCH(CK29,数出表_Excel!$A:$A,0)-1+2&amp;"")), 0)),
 "")
+IFERROR(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""),
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""))),"")</f>
        <v/>
      </c>
      <c r="CH74" s="186"/>
      <c r="CI74" s="188" t="str">
        <f t="array" aca="1" ref="CI74" ca="1">IF(CG30&lt;&gt;"",
IF(IFERROR(
INDEX(INDIRECT("数出表_Excel!B"&amp;MATCH(CK29,数出表_Excel!$A:$A,0)&amp;":U"&amp;MATCH(CK29,数出表_Excel!$A:$A,0)&amp;""),
 1,CF72-1),
 "")=0,"",
IFERROR(
INDEX(INDIRECT("数出表_Excel!B"&amp;MATCH(CK29,数出表_Excel!$A:$A,0)&amp;":U"&amp;MATCH(CK29,数出表_Excel!$A:$A,0)&amp;""),
 1,CF72-1),
 "")),"")</f>
        <v/>
      </c>
      <c r="CJ74" s="186"/>
      <c r="CK74" s="101" t="e">
        <f t="array" aca="1" ref="CK74" ca="1">IF(CF31=100,
IF(CG71&lt;&gt;"",
IF(IFERROR(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"")&lt;&gt;0,
IF(IFERROR(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"")="",
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""),
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"")),0),""),0)</f>
        <v>#N/A</v>
      </c>
      <c r="CN74" s="90"/>
      <c r="CO74" s="185" t="str">
        <f t="array" aca="1" ref="CO74" ca="1">IF(CO72&lt;&gt;"",
IF(IFERROR(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"")=0,"",
IF(CN31=100,
IFERROR(
INDEX(INDIRECT("数出表_Excel!"&amp;CN71&amp;MATCH(CS29,数出表_Excel!$A:$A,0)-1+2&amp;":U"&amp;MATCH(CS29,数出表_Excel!$A:$A,0)-1+2&amp;""),
 1,
 MATCH(TRUE, ISNUMBER(--INDIRECT("数出表_Excel!"&amp;CN71&amp;MATCH(CS29,数出表_Excel!$A:$A,0)-1+2&amp;":U"&amp;MATCH(CS29,数出表_Excel!$A:$A,0)-1+2&amp;"")), 0)),
 "")
+IFERROR(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""),
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""))),"")</f>
        <v/>
      </c>
      <c r="CP74" s="186"/>
      <c r="CQ74" s="188" t="str">
        <f t="array" aca="1" ref="CQ74" ca="1">IF(CO30&lt;&gt;"",
IF(IFERROR(
INDEX(INDIRECT("数出表_Excel!B"&amp;MATCH(CS29,数出表_Excel!$A:$A,0)&amp;":U"&amp;MATCH(CS29,数出表_Excel!$A:$A,0)&amp;""),
 1,CN72-1),
 "")=0,"",
IFERROR(
INDEX(INDIRECT("数出表_Excel!B"&amp;MATCH(CS29,数出表_Excel!$A:$A,0)&amp;":U"&amp;MATCH(CS29,数出表_Excel!$A:$A,0)&amp;""),
 1,CN72-1),
 "")),"")</f>
        <v/>
      </c>
      <c r="CR74" s="186"/>
      <c r="CS74" s="101" t="e">
        <f t="array" aca="1" ref="CS74" ca="1">IF(CN31=100,
IF(CO71&lt;&gt;"",
IF(IFERROR(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"")&lt;&gt;0,
IF(IFERROR(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"")="",
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""),
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"")),0),""),0)</f>
        <v>#N/A</v>
      </c>
      <c r="CU74" s="90"/>
      <c r="CV74" s="185" t="str">
        <f t="array" aca="1" ref="CV74" ca="1">IF(CV72&lt;&gt;"",
IF(IFERROR(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"")=0,"",
IF(CU31=100,
IFERROR(
INDEX(INDIRECT("数出表_Excel!"&amp;CU71&amp;MATCH(CZ29,数出表_Excel!$A:$A,0)-1+2&amp;":U"&amp;MATCH(CZ29,数出表_Excel!$A:$A,0)-1+2&amp;""),
 1,
 MATCH(TRUE, ISNUMBER(--INDIRECT("数出表_Excel!"&amp;CU71&amp;MATCH(CZ29,数出表_Excel!$A:$A,0)-1+2&amp;":U"&amp;MATCH(CZ29,数出表_Excel!$A:$A,0)-1+2&amp;"")), 0)),
 "")
+IFERROR(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""),
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""))),"")</f>
        <v/>
      </c>
      <c r="CW74" s="186"/>
      <c r="CX74" s="188" t="str">
        <f t="array" aca="1" ref="CX74" ca="1">IF(CV30&lt;&gt;"",
IF(IFERROR(
INDEX(INDIRECT("数出表_Excel!B"&amp;MATCH(CZ29,数出表_Excel!$A:$A,0)&amp;":U"&amp;MATCH(CZ29,数出表_Excel!$A:$A,0)&amp;""),
 1,CU72-1),
 "")=0,"",
IFERROR(
INDEX(INDIRECT("数出表_Excel!B"&amp;MATCH(CZ29,数出表_Excel!$A:$A,0)&amp;":U"&amp;MATCH(CZ29,数出表_Excel!$A:$A,0)&amp;""),
 1,CU72-1),
 "")),"")</f>
        <v/>
      </c>
      <c r="CY74" s="186"/>
      <c r="CZ74" s="101" t="e">
        <f t="array" aca="1" ref="CZ74" ca="1">IF(CU31=100,
IF(CV71&lt;&gt;"",
IF(IFERROR(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"")&lt;&gt;0,
IF(IFERROR(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"")="",
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""),
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"")),0),""),0)</f>
        <v>#N/A</v>
      </c>
      <c r="DC74" s="90"/>
      <c r="DD74" s="185" t="str">
        <f t="array" aca="1" ref="DD74" ca="1">IF(DD72&lt;&gt;"",
IF(IFERROR(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"")=0,"",
IF(DC31=100,
IFERROR(
INDEX(INDIRECT("数出表_Excel!"&amp;DC71&amp;MATCH(DH29,数出表_Excel!$A:$A,0)-1+2&amp;":U"&amp;MATCH(DH29,数出表_Excel!$A:$A,0)-1+2&amp;""),
 1,
 MATCH(TRUE, ISNUMBER(--INDIRECT("数出表_Excel!"&amp;DC71&amp;MATCH(DH29,数出表_Excel!$A:$A,0)-1+2&amp;":U"&amp;MATCH(DH29,数出表_Excel!$A:$A,0)-1+2&amp;"")), 0)),
 "")
+IFERROR(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""),
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""))),"")</f>
        <v/>
      </c>
      <c r="DE74" s="186"/>
      <c r="DF74" s="188" t="str">
        <f t="array" aca="1" ref="DF74" ca="1">IF(DD30&lt;&gt;"",
IF(IFERROR(
INDEX(INDIRECT("数出表_Excel!B"&amp;MATCH(DH29,数出表_Excel!$A:$A,0)&amp;":U"&amp;MATCH(DH29,数出表_Excel!$A:$A,0)&amp;""),
 1,DC72-1),
 "")=0,"",
IFERROR(
INDEX(INDIRECT("数出表_Excel!B"&amp;MATCH(DH29,数出表_Excel!$A:$A,0)&amp;":U"&amp;MATCH(DH29,数出表_Excel!$A:$A,0)&amp;""),
 1,DC72-1),
 "")),"")</f>
        <v/>
      </c>
      <c r="DG74" s="186"/>
      <c r="DH74" s="101" t="e">
        <f t="array" aca="1" ref="DH74" ca="1">IF(DC31=100,
IF(DD71&lt;&gt;"",
IF(IFERROR(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"")&lt;&gt;0,
IF(IFERROR(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"")="",
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""),
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"")),0),""),0)</f>
        <v>#N/A</v>
      </c>
      <c r="DJ74" s="90"/>
      <c r="DK74" s="185" t="str">
        <f t="array" aca="1" ref="DK74" ca="1">IF(DK72&lt;&gt;"",
IF(IFERROR(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"")=0,"",
IF(DJ31=100,
IFERROR(
INDEX(INDIRECT("数出表_Excel!"&amp;DJ71&amp;MATCH(DO29,数出表_Excel!$A:$A,0)-1+2&amp;":U"&amp;MATCH(DO29,数出表_Excel!$A:$A,0)-1+2&amp;""),
 1,
 MATCH(TRUE, ISNUMBER(--INDIRECT("数出表_Excel!"&amp;DJ71&amp;MATCH(DO29,数出表_Excel!$A:$A,0)-1+2&amp;":U"&amp;MATCH(DO29,数出表_Excel!$A:$A,0)-1+2&amp;"")), 0)),
 "")
+IFERROR(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""),
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""))),"")</f>
        <v/>
      </c>
      <c r="DL74" s="186"/>
      <c r="DM74" s="188" t="str">
        <f t="array" aca="1" ref="DM74" ca="1">IF(DK30&lt;&gt;"",
IF(IFERROR(
INDEX(INDIRECT("数出表_Excel!B"&amp;MATCH(DO29,数出表_Excel!$A:$A,0)&amp;":U"&amp;MATCH(DO29,数出表_Excel!$A:$A,0)&amp;""),
 1,DJ72-1),
 "")=0,"",
IFERROR(
INDEX(INDIRECT("数出表_Excel!B"&amp;MATCH(DO29,数出表_Excel!$A:$A,0)&amp;":U"&amp;MATCH(DO29,数出表_Excel!$A:$A,0)&amp;""),
 1,DJ72-1),
 "")),"")</f>
        <v/>
      </c>
      <c r="DN74" s="186"/>
      <c r="DO74" s="101" t="e">
        <f t="array" aca="1" ref="DO74" ca="1">IF(DJ31=100,
IF(DK71&lt;&gt;"",
IF(IFERROR(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"")&lt;&gt;0,
IF(IFERROR(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"")="",
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""),
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"")),0),""),0)</f>
        <v>#N/A</v>
      </c>
      <c r="DR74" s="90"/>
      <c r="DS74" s="185" t="str">
        <f t="array" aca="1" ref="DS74" ca="1">IF(DS72&lt;&gt;"",
IF(IFERROR(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"")=0,"",
IF(DR31=100,
IFERROR(
INDEX(INDIRECT("数出表_Excel!"&amp;DR71&amp;MATCH(DW29,数出表_Excel!$A:$A,0)-1+2&amp;":U"&amp;MATCH(DW29,数出表_Excel!$A:$A,0)-1+2&amp;""),
 1,
 MATCH(TRUE, ISNUMBER(--INDIRECT("数出表_Excel!"&amp;DR71&amp;MATCH(DW29,数出表_Excel!$A:$A,0)-1+2&amp;":U"&amp;MATCH(DW29,数出表_Excel!$A:$A,0)-1+2&amp;"")), 0)),
 "")
+IFERROR(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""),
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""))),"")</f>
        <v/>
      </c>
      <c r="DT74" s="186"/>
      <c r="DU74" s="188" t="str">
        <f t="array" aca="1" ref="DU74" ca="1">IF(DS30&lt;&gt;"",
IF(IFERROR(
INDEX(INDIRECT("数出表_Excel!B"&amp;MATCH(DW29,数出表_Excel!$A:$A,0)&amp;":U"&amp;MATCH(DW29,数出表_Excel!$A:$A,0)&amp;""),
 1,DR72-1),
 "")=0,"",
IFERROR(
INDEX(INDIRECT("数出表_Excel!B"&amp;MATCH(DW29,数出表_Excel!$A:$A,0)&amp;":U"&amp;MATCH(DW29,数出表_Excel!$A:$A,0)&amp;""),
 1,DR72-1),
 "")),"")</f>
        <v/>
      </c>
      <c r="DV74" s="186"/>
      <c r="DW74" s="101" t="e">
        <f t="array" aca="1" ref="DW74" ca="1">IF(DR31=100,
IF(DS71&lt;&gt;"",
IF(IFERROR(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"")&lt;&gt;0,
IF(IFERROR(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"")="",
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""),
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"")),0),""),0)</f>
        <v>#N/A</v>
      </c>
      <c r="DY74" s="90"/>
      <c r="DZ74" s="185" t="str">
        <f t="array" aca="1" ref="DZ74" ca="1">IF(DZ72&lt;&gt;"",
IF(IFERROR(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"")=0,"",
IF(DY31=100,
IFERROR(
INDEX(INDIRECT("数出表_Excel!"&amp;DY71&amp;MATCH(ED29,数出表_Excel!$A:$A,0)-1+2&amp;":U"&amp;MATCH(ED29,数出表_Excel!$A:$A,0)-1+2&amp;""),
 1,
 MATCH(TRUE, ISNUMBER(--INDIRECT("数出表_Excel!"&amp;DY71&amp;MATCH(ED29,数出表_Excel!$A:$A,0)-1+2&amp;":U"&amp;MATCH(ED29,数出表_Excel!$A:$A,0)-1+2&amp;"")), 0)),
 "")
+IFERROR(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""),
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""))),"")</f>
        <v/>
      </c>
      <c r="EA74" s="186"/>
      <c r="EB74" s="188" t="str">
        <f t="array" aca="1" ref="EB74" ca="1">IF(DZ30&lt;&gt;"",
IF(IFERROR(
INDEX(INDIRECT("数出表_Excel!B"&amp;MATCH(ED29,数出表_Excel!$A:$A,0)&amp;":U"&amp;MATCH(ED29,数出表_Excel!$A:$A,0)&amp;""),
 1,DY72-1),
 "")=0,"",
IFERROR(
INDEX(INDIRECT("数出表_Excel!B"&amp;MATCH(ED29,数出表_Excel!$A:$A,0)&amp;":U"&amp;MATCH(ED29,数出表_Excel!$A:$A,0)&amp;""),
 1,DY72-1),
 "")),"")</f>
        <v/>
      </c>
      <c r="EC74" s="186"/>
      <c r="ED74" s="101" t="e">
        <f t="array" aca="1" ref="ED74" ca="1">IF(DY31=100,
IF(DZ71&lt;&gt;"",
IF(IFERROR(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"")&lt;&gt;0,
IF(IFERROR(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"")="",
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""),
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"")),0),""),0)</f>
        <v>#N/A</v>
      </c>
      <c r="EG74" s="90"/>
      <c r="EH74" s="185" t="str">
        <f t="array" aca="1" ref="EH74" ca="1">IF(EH72&lt;&gt;"",
IF(IFERROR(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"")=0,"",
IF(EG31=100,
IFERROR(
INDEX(INDIRECT("数出表_Excel!"&amp;EG71&amp;MATCH(EL29,数出表_Excel!$A:$A,0)-1+2&amp;":U"&amp;MATCH(EL29,数出表_Excel!$A:$A,0)-1+2&amp;""),
 1,
 MATCH(TRUE, ISNUMBER(--INDIRECT("数出表_Excel!"&amp;EG71&amp;MATCH(EL29,数出表_Excel!$A:$A,0)-1+2&amp;":U"&amp;MATCH(EL29,数出表_Excel!$A:$A,0)-1+2&amp;"")), 0)),
 "")
+IFERROR(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""),
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""))),"")</f>
        <v/>
      </c>
      <c r="EI74" s="186"/>
      <c r="EJ74" s="188" t="str">
        <f t="array" aca="1" ref="EJ74" ca="1">IF(EH30&lt;&gt;"",
IF(IFERROR(
INDEX(INDIRECT("数出表_Excel!B"&amp;MATCH(EL29,数出表_Excel!$A:$A,0)&amp;":U"&amp;MATCH(EL29,数出表_Excel!$A:$A,0)&amp;""),
 1,EG72-1),
 "")=0,"",
IFERROR(
INDEX(INDIRECT("数出表_Excel!B"&amp;MATCH(EL29,数出表_Excel!$A:$A,0)&amp;":U"&amp;MATCH(EL29,数出表_Excel!$A:$A,0)&amp;""),
 1,EG72-1),
 "")),"")</f>
        <v/>
      </c>
      <c r="EK74" s="186"/>
      <c r="EL74" s="101" t="e">
        <f t="array" aca="1" ref="EL74" ca="1">IF(EG31=100,
IF(EH71&lt;&gt;"",
IF(IFERROR(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"")&lt;&gt;0,
IF(IFERROR(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"")="",
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""),
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"")),0),""),0)</f>
        <v>#N/A</v>
      </c>
      <c r="EN74" s="90"/>
      <c r="EO74" s="185" t="str">
        <f t="array" aca="1" ref="EO74" ca="1">IF(EO72&lt;&gt;"",
IF(IFERROR(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"")=0,"",
IF(EN31=100,
IFERROR(
INDEX(INDIRECT("数出表_Excel!"&amp;EN71&amp;MATCH(ES29,数出表_Excel!$A:$A,0)-1+2&amp;":U"&amp;MATCH(ES29,数出表_Excel!$A:$A,0)-1+2&amp;""),
 1,
 MATCH(TRUE, ISNUMBER(--INDIRECT("数出表_Excel!"&amp;EN71&amp;MATCH(ES29,数出表_Excel!$A:$A,0)-1+2&amp;":U"&amp;MATCH(ES29,数出表_Excel!$A:$A,0)-1+2&amp;"")), 0)),
 "")
+IFERROR(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""),
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""))),"")</f>
        <v/>
      </c>
      <c r="EP74" s="186"/>
      <c r="EQ74" s="188" t="str">
        <f t="array" aca="1" ref="EQ74" ca="1">IF(EO30&lt;&gt;"",
IF(IFERROR(
INDEX(INDIRECT("数出表_Excel!B"&amp;MATCH(ES29,数出表_Excel!$A:$A,0)&amp;":U"&amp;MATCH(ES29,数出表_Excel!$A:$A,0)&amp;""),
 1,EN72-1),
 "")=0,"",
IFERROR(
INDEX(INDIRECT("数出表_Excel!B"&amp;MATCH(ES29,数出表_Excel!$A:$A,0)&amp;":U"&amp;MATCH(ES29,数出表_Excel!$A:$A,0)&amp;""),
 1,EN72-1),
 "")),"")</f>
        <v/>
      </c>
      <c r="ER74" s="186"/>
      <c r="ES74" s="101" t="e">
        <f t="array" aca="1" ref="ES74" ca="1">IF(EN31=100,
IF(EO71&lt;&gt;"",
IF(IFERROR(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"")&lt;&gt;0,
IF(IFERROR(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"")="",
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""),
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"")),0),""),0)</f>
        <v>#N/A</v>
      </c>
      <c r="ET74" s="110"/>
      <c r="EU74" s="82">
        <v>42</v>
      </c>
      <c r="EV74" s="82" t="str">
        <f t="array" aca="1" ref="EV7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LEN(SUBSTITUTE(_xlfn.FORMULATEXT(EV$73),"=","")))+$EU74)</f>
        <v/>
      </c>
      <c r="EW74" s="82" t="str">
        <f t="array" aca="1" ref="EW7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LEN(SUBSTITUTE(_xlfn.FORMULATEXT(EW$73),"=","")))+$EU74)</f>
        <v/>
      </c>
      <c r="EX74" s="82" t="str">
        <f t="array" aca="1" ref="EX7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LEN(SUBSTITUTE(_xlfn.FORMULATEXT(EX$73),"=","")))+$EU74)</f>
        <v/>
      </c>
      <c r="EY74" s="82" t="str">
        <f t="array" aca="1" ref="EY7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LEN(SUBSTITUTE(_xlfn.FORMULATEXT(EY$73),"=","")))+$EU74)</f>
        <v/>
      </c>
      <c r="EZ74" s="82" t="str">
        <f t="array" aca="1" ref="EZ7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LEN(SUBSTITUTE(_xlfn.FORMULATEXT(EZ$73),"=","")))+$EU74)</f>
        <v/>
      </c>
      <c r="FA74" s="82" t="str">
        <f t="array" aca="1" ref="FA7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LEN(SUBSTITUTE(_xlfn.FORMULATEXT(FA$73),"=","")))+$EU74)</f>
        <v/>
      </c>
      <c r="FB74" s="82" t="str">
        <f t="array" aca="1" ref="FB7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LEN(SUBSTITUTE(_xlfn.FORMULATEXT(FB$73),"=","")))+$EU74)</f>
        <v/>
      </c>
      <c r="FC74" s="82" t="str">
        <f t="array" aca="1" ref="FC7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LEN(SUBSTITUTE(_xlfn.FORMULATEXT(FC$73),"=","")))+$EU74)</f>
        <v/>
      </c>
      <c r="FD74" s="82" t="str">
        <f t="array" aca="1" ref="FD7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LEN(SUBSTITUTE(_xlfn.FORMULATEXT(FD$73),"=","")))+$EU74)</f>
        <v/>
      </c>
      <c r="FE74" s="82" t="str">
        <f t="array" aca="1" ref="FE7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LEN(SUBSTITUTE(_xlfn.FORMULATEXT(FE$73),"=","")))+$EU74)</f>
        <v/>
      </c>
      <c r="FF74" s="82" t="str">
        <f t="array" aca="1" ref="FF7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LEN(SUBSTITUTE(_xlfn.FORMULATEXT(FF$73),"=","")))+$EU74)</f>
        <v/>
      </c>
      <c r="FG74" s="82">
        <f t="shared" ca="1" si="5"/>
        <v>0</v>
      </c>
      <c r="FH74" s="82" t="b">
        <f t="array" aca="1" ref="FH74" ca="1">SUMPRODUCT((LEN(EV74:FF74)&gt;0)*1)&gt;0</f>
        <v>0</v>
      </c>
      <c r="FI74" s="82" t="str">
        <f t="array" aca="1" ref="FI74" ca="1">IFERROR(SMALL(IF(FG$1:FG$173&lt;&gt;0,FG$1:FG$173),ROW(A74)),"")</f>
        <v/>
      </c>
      <c r="FJ74" s="82" t="str">
        <f t="array" aca="1" ref="FJ74" ca="1">IF($FI74&lt;&gt;"",
INDIRECT(""&amp;IF(COLUMN(EV74)&lt;=26,CHAR(COLUMN(EV74)+64),CHAR(INT((COLUMN(EV74)-1)/26)+64)&amp;CHAR(MOD(COLUMN(EV74)-1,26)+65))&amp;$FI74&amp;""),"")</f>
        <v/>
      </c>
      <c r="FK74" s="82" t="str">
        <f t="array" aca="1" ref="FK74" ca="1">IF($FI74&lt;&gt;"",
INDIRECT(""&amp;IF(COLUMN(EW74)&lt;=26,CHAR(COLUMN(EW74)+64),CHAR(INT((COLUMN(EW74)-1)/26)+64)&amp;CHAR(MOD(COLUMN(EW74)-1,26)+65))&amp;$FI74&amp;""),"")</f>
        <v/>
      </c>
      <c r="FL74" s="82" t="str">
        <f t="array" aca="1" ref="FL74" ca="1">IF($FI74&lt;&gt;"",
INDIRECT(""&amp;IF(COLUMN(EX74)&lt;=26,CHAR(COLUMN(EX74)+64),CHAR(INT((COLUMN(EX74)-1)/26)+64)&amp;CHAR(MOD(COLUMN(EX74)-1,26)+65))&amp;$FI74&amp;""),"")</f>
        <v/>
      </c>
      <c r="FM74" s="82" t="str">
        <f t="array" aca="1" ref="FM74" ca="1">IF($FI74&lt;&gt;"",
IF(FL74="",
IF(INDIRECT("EY"&amp;$FI74&amp;"")&lt;&gt;"",
INDIRECT("EY"&amp;$FI74&amp;"")&amp;"箱"
&amp;INDIRECT("EZ"&amp;$FI74&amp;""),""),""),"")</f>
        <v/>
      </c>
      <c r="FN74" s="82" t="str">
        <f t="array" aca="1" ref="FN74" ca="1">IF($FI74&lt;&gt;"",
INDIRECT(""&amp;IF(COLUMN(FA74)&lt;=26,CHAR(COLUMN(FA74)+64),CHAR(INT((COLUMN(FA74)-1)/26)+64)&amp;CHAR(MOD(COLUMN(FA74)-1,26)+65))&amp;$FI74&amp;""),"")</f>
        <v/>
      </c>
      <c r="FO74" s="82" t="str">
        <f t="array" aca="1" ref="FO74" ca="1">IF($FI74&lt;&gt;"",
INDIRECT(""&amp;IF(COLUMN(FB74)&lt;=26,CHAR(COLUMN(FB74)+64),CHAR(INT((COLUMN(FB74)-1)/26)+64)&amp;CHAR(MOD(COLUMN(FB74)-1,26)+65))&amp;$FI74&amp;""),"")</f>
        <v/>
      </c>
      <c r="FP74" s="82" t="str">
        <f t="array" aca="1" ref="FP74" ca="1">IF($FI74&lt;&gt;"",
INDIRECT(""&amp;IF(COLUMN(FC74)&lt;=26,CHAR(COLUMN(FC74)+64),CHAR(INT((COLUMN(FC74)-1)/26)+64)&amp;CHAR(MOD(COLUMN(FC74)-1,26)+65))&amp;$FI74&amp;""),"")</f>
        <v/>
      </c>
      <c r="FQ74" s="82" t="str">
        <f t="array" aca="1" ref="FQ74" ca="1">IF($FI74&lt;&gt;"",
INDIRECT(""&amp;IF(COLUMN(FD74)&lt;=26,CHAR(COLUMN(FD74)+64),CHAR(INT((COLUMN(FD74)-1)/26)+64)&amp;CHAR(MOD(COLUMN(FD74)-1,26)+65))&amp;$FI74&amp;""),"")</f>
        <v/>
      </c>
      <c r="FR74" s="82" t="str">
        <f t="array" aca="1" ref="FR74" ca="1">IF($FI74&lt;&gt;"",
INDIRECT(""&amp;IF(COLUMN(FE74)&lt;=26,CHAR(COLUMN(FE74)+64),CHAR(INT((COLUMN(FE74)-1)/26)+64)&amp;CHAR(MOD(COLUMN(FE74)-1,26)+65))&amp;$FI74&amp;""),"")</f>
        <v/>
      </c>
      <c r="FS74" s="82" t="str">
        <f t="array" aca="1" ref="FS74" ca="1">IF($FI74&lt;&gt;"",
INDIRECT(""&amp;IF(COLUMN(FF74)&lt;=26,CHAR(COLUMN(FF74)+64),CHAR(INT((COLUMN(FF74)-1)/26)+64)&amp;CHAR(MOD(COLUMN(FF74)-1,26)+65))&amp;$FI74&amp;""),"")</f>
        <v/>
      </c>
    </row>
    <row r="75" spans="1:175" ht="18" customHeight="1" x14ac:dyDescent="0.45">
      <c r="B75" s="92"/>
      <c r="C75" s="187"/>
      <c r="D75" s="187"/>
      <c r="E75" s="187"/>
      <c r="F75" s="187"/>
      <c r="G75" s="102" t="str">
        <f>SUBSTITUTE(SUBSTITUTE(ADDRESS(1,MATCH("おやつ",'数出表_Excel（アレルギー入力）'!$3:$3,0)),1,""),"$","")</f>
        <v>AL</v>
      </c>
      <c r="I75" s="92"/>
      <c r="J75" s="187"/>
      <c r="K75" s="187"/>
      <c r="L75" s="187"/>
      <c r="M75" s="187"/>
      <c r="N75" s="102" t="str">
        <f>SUBSTITUTE(SUBSTITUTE(ADDRESS(1,MATCH("おやつ",'数出表_Excel（アレルギー入力）'!$3:$3,0)),1,""),"$","")</f>
        <v>AL</v>
      </c>
      <c r="Q75" s="92"/>
      <c r="R75" s="187"/>
      <c r="S75" s="187"/>
      <c r="T75" s="187"/>
      <c r="U75" s="187"/>
      <c r="V75" s="102" t="str">
        <f>SUBSTITUTE(SUBSTITUTE(ADDRESS(1,MATCH("おやつ",'数出表_Excel（アレルギー入力）'!$3:$3,0)),1,""),"$","")</f>
        <v>AL</v>
      </c>
      <c r="X75" s="92"/>
      <c r="Y75" s="187"/>
      <c r="Z75" s="187"/>
      <c r="AA75" s="187"/>
      <c r="AB75" s="187"/>
      <c r="AC75" s="102" t="str">
        <f>SUBSTITUTE(SUBSTITUTE(ADDRESS(1,MATCH("おやつ",'数出表_Excel（アレルギー入力）'!$3:$3,0)),1,""),"$","")</f>
        <v>AL</v>
      </c>
      <c r="AF75" s="92"/>
      <c r="AG75" s="187"/>
      <c r="AH75" s="187"/>
      <c r="AI75" s="187"/>
      <c r="AJ75" s="187"/>
      <c r="AK75" s="102" t="str">
        <f>SUBSTITUTE(SUBSTITUTE(ADDRESS(1,MATCH("おやつ",'数出表_Excel（アレルギー入力）'!$3:$3,0)),1,""),"$","")</f>
        <v>AL</v>
      </c>
      <c r="AM75" s="92"/>
      <c r="AN75" s="187"/>
      <c r="AO75" s="187"/>
      <c r="AP75" s="187"/>
      <c r="AQ75" s="187"/>
      <c r="AR75" s="102" t="str">
        <f>SUBSTITUTE(SUBSTITUTE(ADDRESS(1,MATCH("おやつ",'数出表_Excel（アレルギー入力）'!$3:$3,0)),1,""),"$","")</f>
        <v>AL</v>
      </c>
      <c r="AU75" s="92"/>
      <c r="AV75" s="187"/>
      <c r="AW75" s="187"/>
      <c r="AX75" s="187"/>
      <c r="AY75" s="187"/>
      <c r="AZ75" s="102" t="str">
        <f>SUBSTITUTE(SUBSTITUTE(ADDRESS(1,MATCH("おやつ",'数出表_Excel（アレルギー入力）'!$3:$3,0)),1,""),"$","")</f>
        <v>AL</v>
      </c>
      <c r="BB75" s="92"/>
      <c r="BC75" s="187"/>
      <c r="BD75" s="187"/>
      <c r="BE75" s="187"/>
      <c r="BF75" s="187"/>
      <c r="BG75" s="102" t="str">
        <f>SUBSTITUTE(SUBSTITUTE(ADDRESS(1,MATCH("おやつ",'数出表_Excel（アレルギー入力）'!$3:$3,0)),1,""),"$","")</f>
        <v>AL</v>
      </c>
      <c r="BJ75" s="92"/>
      <c r="BK75" s="187"/>
      <c r="BL75" s="187"/>
      <c r="BM75" s="187"/>
      <c r="BN75" s="187"/>
      <c r="BO75" s="102" t="str">
        <f>SUBSTITUTE(SUBSTITUTE(ADDRESS(1,MATCH("おやつ",'数出表_Excel（アレルギー入力）'!$3:$3,0)),1,""),"$","")</f>
        <v>AL</v>
      </c>
      <c r="BQ75" s="92"/>
      <c r="BR75" s="187"/>
      <c r="BS75" s="187"/>
      <c r="BT75" s="187"/>
      <c r="BU75" s="187"/>
      <c r="BV75" s="102" t="str">
        <f>SUBSTITUTE(SUBSTITUTE(ADDRESS(1,MATCH("おやつ",'数出表_Excel（アレルギー入力）'!$3:$3,0)),1,""),"$","")</f>
        <v>AL</v>
      </c>
      <c r="BY75" s="92"/>
      <c r="BZ75" s="187"/>
      <c r="CA75" s="187"/>
      <c r="CB75" s="187"/>
      <c r="CC75" s="187"/>
      <c r="CD75" s="102" t="str">
        <f>SUBSTITUTE(SUBSTITUTE(ADDRESS(1,MATCH("おやつ",'数出表_Excel（アレルギー入力）'!$3:$3,0)),1,""),"$","")</f>
        <v>AL</v>
      </c>
      <c r="CF75" s="92"/>
      <c r="CG75" s="187"/>
      <c r="CH75" s="187"/>
      <c r="CI75" s="187"/>
      <c r="CJ75" s="187"/>
      <c r="CK75" s="102" t="str">
        <f>SUBSTITUTE(SUBSTITUTE(ADDRESS(1,MATCH("おやつ",'数出表_Excel（アレルギー入力）'!$3:$3,0)),1,""),"$","")</f>
        <v>AL</v>
      </c>
      <c r="CN75" s="92"/>
      <c r="CO75" s="187"/>
      <c r="CP75" s="187"/>
      <c r="CQ75" s="187"/>
      <c r="CR75" s="187"/>
      <c r="CS75" s="102" t="str">
        <f>SUBSTITUTE(SUBSTITUTE(ADDRESS(1,MATCH("おやつ",'数出表_Excel（アレルギー入力）'!$3:$3,0)),1,""),"$","")</f>
        <v>AL</v>
      </c>
      <c r="CU75" s="92"/>
      <c r="CV75" s="187"/>
      <c r="CW75" s="187"/>
      <c r="CX75" s="187"/>
      <c r="CY75" s="187"/>
      <c r="CZ75" s="102" t="str">
        <f>SUBSTITUTE(SUBSTITUTE(ADDRESS(1,MATCH("おやつ",'数出表_Excel（アレルギー入力）'!$3:$3,0)),1,""),"$","")</f>
        <v>AL</v>
      </c>
      <c r="DC75" s="92"/>
      <c r="DD75" s="187"/>
      <c r="DE75" s="187"/>
      <c r="DF75" s="187"/>
      <c r="DG75" s="187"/>
      <c r="DH75" s="102" t="str">
        <f>SUBSTITUTE(SUBSTITUTE(ADDRESS(1,MATCH("おやつ",'数出表_Excel（アレルギー入力）'!$3:$3,0)),1,""),"$","")</f>
        <v>AL</v>
      </c>
      <c r="DJ75" s="92"/>
      <c r="DK75" s="187"/>
      <c r="DL75" s="187"/>
      <c r="DM75" s="187"/>
      <c r="DN75" s="187"/>
      <c r="DO75" s="102" t="str">
        <f>SUBSTITUTE(SUBSTITUTE(ADDRESS(1,MATCH("おやつ",'数出表_Excel（アレルギー入力）'!$3:$3,0)),1,""),"$","")</f>
        <v>AL</v>
      </c>
      <c r="DR75" s="92"/>
      <c r="DS75" s="187"/>
      <c r="DT75" s="187"/>
      <c r="DU75" s="187"/>
      <c r="DV75" s="187"/>
      <c r="DW75" s="102" t="str">
        <f>SUBSTITUTE(SUBSTITUTE(ADDRESS(1,MATCH("おやつ",'数出表_Excel（アレルギー入力）'!$3:$3,0)),1,""),"$","")</f>
        <v>AL</v>
      </c>
      <c r="DY75" s="92"/>
      <c r="DZ75" s="187"/>
      <c r="EA75" s="187"/>
      <c r="EB75" s="187"/>
      <c r="EC75" s="187"/>
      <c r="ED75" s="102" t="str">
        <f>SUBSTITUTE(SUBSTITUTE(ADDRESS(1,MATCH("おやつ",'数出表_Excel（アレルギー入力）'!$3:$3,0)),1,""),"$","")</f>
        <v>AL</v>
      </c>
      <c r="EG75" s="92"/>
      <c r="EH75" s="187"/>
      <c r="EI75" s="187"/>
      <c r="EJ75" s="187"/>
      <c r="EK75" s="187"/>
      <c r="EL75" s="102" t="str">
        <f>SUBSTITUTE(SUBSTITUTE(ADDRESS(1,MATCH("おやつ",'数出表_Excel（アレルギー入力）'!$3:$3,0)),1,""),"$","")</f>
        <v>AL</v>
      </c>
      <c r="EN75" s="92"/>
      <c r="EO75" s="187"/>
      <c r="EP75" s="187"/>
      <c r="EQ75" s="187"/>
      <c r="ER75" s="187"/>
      <c r="ES75" s="102" t="str">
        <f>SUBSTITUTE(SUBSTITUTE(ADDRESS(1,MATCH("おやつ",'数出表_Excel（アレルギー入力）'!$3:$3,0)),1,""),"$","")</f>
        <v>AL</v>
      </c>
      <c r="ET75" s="110"/>
      <c r="EU75" s="82"/>
      <c r="EV75" s="83" t="str">
        <f ca="1">BC1</f>
        <v/>
      </c>
      <c r="EW75" s="83" t="str">
        <f ca="1">BC2</f>
        <v/>
      </c>
      <c r="EX75" s="83" t="str">
        <f ca="1">BE2</f>
        <v/>
      </c>
      <c r="EY75" s="84" t="str">
        <f ca="1">BF2</f>
        <v/>
      </c>
      <c r="EZ75" s="84" t="str">
        <f ca="1">BG2</f>
        <v/>
      </c>
      <c r="FA75" s="83" t="e">
        <f ca="1">BC4</f>
        <v>#VALUE!</v>
      </c>
      <c r="FB75" s="83" t="str">
        <f ca="1">BE4</f>
        <v/>
      </c>
      <c r="FC75" s="83" t="str">
        <f ca="1">BC6</f>
        <v/>
      </c>
      <c r="FD75" s="83" t="e">
        <f ca="1">BB7</f>
        <v>#VALUE!</v>
      </c>
      <c r="FE75" s="83" t="str">
        <f ca="1">BD7</f>
        <v/>
      </c>
      <c r="FF75" s="83" t="e">
        <f ca="1">BF7</f>
        <v>#N/A</v>
      </c>
      <c r="FG75" s="82">
        <f t="shared" ca="1" si="5"/>
        <v>0</v>
      </c>
      <c r="FH75" s="82" t="e">
        <f t="array" aca="1" ref="FH75" ca="1">SUMPRODUCT((LEN(EV75:FF75)&gt;0)*1)&gt;0</f>
        <v>#VALUE!</v>
      </c>
      <c r="FI75" s="82" t="str">
        <f t="array" aca="1" ref="FI75" ca="1">IFERROR(SMALL(IF(FG$1:FG$173&lt;&gt;0,FG$1:FG$173),ROW(A75)),"")</f>
        <v/>
      </c>
      <c r="FJ75" s="82" t="str">
        <f t="array" aca="1" ref="FJ75" ca="1">IF($FI75&lt;&gt;"",
INDIRECT(""&amp;IF(COLUMN(EV75)&lt;=26,CHAR(COLUMN(EV75)+64),CHAR(INT((COLUMN(EV75)-1)/26)+64)&amp;CHAR(MOD(COLUMN(EV75)-1,26)+65))&amp;$FI75&amp;""),"")</f>
        <v/>
      </c>
      <c r="FK75" s="82" t="str">
        <f t="array" aca="1" ref="FK75" ca="1">IF($FI75&lt;&gt;"",
INDIRECT(""&amp;IF(COLUMN(EW75)&lt;=26,CHAR(COLUMN(EW75)+64),CHAR(INT((COLUMN(EW75)-1)/26)+64)&amp;CHAR(MOD(COLUMN(EW75)-1,26)+65))&amp;$FI75&amp;""),"")</f>
        <v/>
      </c>
      <c r="FL75" s="82" t="str">
        <f t="array" aca="1" ref="FL75" ca="1">IF($FI75&lt;&gt;"",
INDIRECT(""&amp;IF(COLUMN(EX75)&lt;=26,CHAR(COLUMN(EX75)+64),CHAR(INT((COLUMN(EX75)-1)/26)+64)&amp;CHAR(MOD(COLUMN(EX75)-1,26)+65))&amp;$FI75&amp;""),"")</f>
        <v/>
      </c>
      <c r="FM75" s="82" t="str">
        <f t="array" aca="1" ref="FM75" ca="1">IF($FI75&lt;&gt;"",
IF(FL75="",
IF(INDIRECT("EY"&amp;$FI75&amp;"")&lt;&gt;"",
INDIRECT("EY"&amp;$FI75&amp;"")&amp;"箱"
&amp;INDIRECT("EZ"&amp;$FI75&amp;""),""),""),"")</f>
        <v/>
      </c>
      <c r="FN75" s="82" t="str">
        <f t="array" aca="1" ref="FN75" ca="1">IF($FI75&lt;&gt;"",
INDIRECT(""&amp;IF(COLUMN(FA75)&lt;=26,CHAR(COLUMN(FA75)+64),CHAR(INT((COLUMN(FA75)-1)/26)+64)&amp;CHAR(MOD(COLUMN(FA75)-1,26)+65))&amp;$FI75&amp;""),"")</f>
        <v/>
      </c>
      <c r="FO75" s="82" t="str">
        <f t="array" aca="1" ref="FO75" ca="1">IF($FI75&lt;&gt;"",
INDIRECT(""&amp;IF(COLUMN(FB75)&lt;=26,CHAR(COLUMN(FB75)+64),CHAR(INT((COLUMN(FB75)-1)/26)+64)&amp;CHAR(MOD(COLUMN(FB75)-1,26)+65))&amp;$FI75&amp;""),"")</f>
        <v/>
      </c>
      <c r="FP75" s="82" t="str">
        <f t="array" aca="1" ref="FP75" ca="1">IF($FI75&lt;&gt;"",
INDIRECT(""&amp;IF(COLUMN(FC75)&lt;=26,CHAR(COLUMN(FC75)+64),CHAR(INT((COLUMN(FC75)-1)/26)+64)&amp;CHAR(MOD(COLUMN(FC75)-1,26)+65))&amp;$FI75&amp;""),"")</f>
        <v/>
      </c>
      <c r="FQ75" s="82" t="str">
        <f t="array" aca="1" ref="FQ75" ca="1">IF($FI75&lt;&gt;"",
INDIRECT(""&amp;IF(COLUMN(FD75)&lt;=26,CHAR(COLUMN(FD75)+64),CHAR(INT((COLUMN(FD75)-1)/26)+64)&amp;CHAR(MOD(COLUMN(FD75)-1,26)+65))&amp;$FI75&amp;""),"")</f>
        <v/>
      </c>
      <c r="FR75" s="82" t="str">
        <f t="array" aca="1" ref="FR75" ca="1">IF($FI75&lt;&gt;"",
INDIRECT(""&amp;IF(COLUMN(FE75)&lt;=26,CHAR(COLUMN(FE75)+64),CHAR(INT((COLUMN(FE75)-1)/26)+64)&amp;CHAR(MOD(COLUMN(FE75)-1,26)+65))&amp;$FI75&amp;""),"")</f>
        <v/>
      </c>
      <c r="FS75" s="82" t="str">
        <f t="array" aca="1" ref="FS75" ca="1">IF($FI75&lt;&gt;"",
INDIRECT(""&amp;IF(COLUMN(FF75)&lt;=26,CHAR(COLUMN(FF75)+64),CHAR(INT((COLUMN(FF75)-1)/26)+64)&amp;CHAR(MOD(COLUMN(FF75)-1,26)+65))&amp;$FI75&amp;""),"")</f>
        <v/>
      </c>
    </row>
    <row r="76" spans="1:175" s="82" customFormat="1" ht="22.2" customHeight="1" x14ac:dyDescent="0.55000000000000004">
      <c r="A76" s="80"/>
      <c r="B76" s="93" t="str">
        <f ca="1">IF(C74&lt;&gt;"","パン箱","")</f>
        <v/>
      </c>
      <c r="C76" s="94" t="str">
        <f ca="1">IF(C74&lt;&gt;"",IF(OR(COUNTIF('盛付札（関数）'!C72,"*キャラ*"),COUNTIF('盛付札（関数）'!C72,"*赤*")),24,
VLOOKUP('盛付札（関数）'!C72,商品マスタ一覧!$D:$I,6,FALSE)),"")</f>
        <v/>
      </c>
      <c r="D76" s="93" t="str">
        <f ca="1">IF(C74&lt;&gt;"","　端数","")</f>
        <v/>
      </c>
      <c r="E76" s="94"/>
      <c r="F76" s="93" t="str">
        <f ca="1">IF(C74&lt;&gt;"","アレルギー","")</f>
        <v/>
      </c>
      <c r="G76" s="101"/>
      <c r="H76" s="80"/>
      <c r="I76" s="93" t="str">
        <f ca="1">IF(J74&lt;&gt;"","パン箱","")</f>
        <v/>
      </c>
      <c r="J76" s="94" t="str">
        <f ca="1">IF(J74&lt;&gt;"",IF(OR(COUNTIF('盛付札（関数）'!J72,"*キャラ*"),COUNTIF('盛付札（関数）'!J72,"*赤*")),24,
VLOOKUP('盛付札（関数）'!J72,商品マスタ一覧!$D:$I,6,FALSE)),"")</f>
        <v/>
      </c>
      <c r="K76" s="93" t="str">
        <f ca="1">IF(J74&lt;&gt;"","　端数","")</f>
        <v/>
      </c>
      <c r="L76" s="94"/>
      <c r="M76" s="93" t="str">
        <f ca="1">IF(J74&lt;&gt;"","アレルギー","")</f>
        <v/>
      </c>
      <c r="N76" s="97"/>
      <c r="O76" s="80"/>
      <c r="P76" s="80"/>
      <c r="Q76" s="93" t="str">
        <f ca="1">IF(R74&lt;&gt;"","パン箱","")</f>
        <v/>
      </c>
      <c r="R76" s="94" t="str">
        <f ca="1">IF(R74&lt;&gt;"",IF(OR(COUNTIF('盛付札（関数）'!R72,"*キャラ*"),COUNTIF('盛付札（関数）'!R72,"*赤*")),24,
VLOOKUP('盛付札（関数）'!R72,商品マスタ一覧!$D:$I,6,FALSE)),"")</f>
        <v/>
      </c>
      <c r="S76" s="93" t="str">
        <f ca="1">IF(R74&lt;&gt;"","　端数","")</f>
        <v/>
      </c>
      <c r="T76" s="94"/>
      <c r="U76" s="93" t="str">
        <f ca="1">IF(R74&lt;&gt;"","アレルギー","")</f>
        <v/>
      </c>
      <c r="V76" s="101"/>
      <c r="W76" s="80"/>
      <c r="X76" s="93" t="str">
        <f ca="1">IF(Y74&lt;&gt;"","パン箱","")</f>
        <v/>
      </c>
      <c r="Y76" s="94" t="str">
        <f ca="1">IF(Y74&lt;&gt;"",IF(OR(COUNTIF('盛付札（関数）'!Y72,"*キャラ*"),COUNTIF('盛付札（関数）'!Y72,"*赤*")),24,
VLOOKUP('盛付札（関数）'!Y72,商品マスタ一覧!$D:$I,6,FALSE)),"")</f>
        <v/>
      </c>
      <c r="Z76" s="93" t="str">
        <f ca="1">IF(Y74&lt;&gt;"","　端数","")</f>
        <v/>
      </c>
      <c r="AA76" s="94"/>
      <c r="AB76" s="93" t="str">
        <f ca="1">IF(Y74&lt;&gt;"","アレルギー","")</f>
        <v/>
      </c>
      <c r="AC76" s="97"/>
      <c r="AD76" s="80"/>
      <c r="AE76" s="80"/>
      <c r="AF76" s="93" t="str">
        <f ca="1">IF(AG74&lt;&gt;"","パン箱","")</f>
        <v/>
      </c>
      <c r="AG76" s="94" t="str">
        <f ca="1">IF(AG74&lt;&gt;"",IF(OR(COUNTIF('盛付札（関数）'!AG72,"*キャラ*"),COUNTIF('盛付札（関数）'!AG72,"*赤*")),24,
VLOOKUP('盛付札（関数）'!AG72,商品マスタ一覧!$D:$I,6,FALSE)),"")</f>
        <v/>
      </c>
      <c r="AH76" s="93" t="str">
        <f ca="1">IF(AG74&lt;&gt;"","　端数","")</f>
        <v/>
      </c>
      <c r="AI76" s="94"/>
      <c r="AJ76" s="93" t="str">
        <f ca="1">IF(AG74&lt;&gt;"","アレルギー","")</f>
        <v/>
      </c>
      <c r="AK76" s="101"/>
      <c r="AL76" s="80"/>
      <c r="AM76" s="93" t="str">
        <f ca="1">IF(AN74&lt;&gt;"","パン箱","")</f>
        <v/>
      </c>
      <c r="AN76" s="94" t="str">
        <f ca="1">IF(AN74&lt;&gt;"",IF(OR(COUNTIF('盛付札（関数）'!AN72,"*キャラ*"),COUNTIF('盛付札（関数）'!AN72,"*赤*")),24,
VLOOKUP('盛付札（関数）'!AN72,商品マスタ一覧!$D:$I,6,FALSE)),"")</f>
        <v/>
      </c>
      <c r="AO76" s="93" t="str">
        <f ca="1">IF(AN74&lt;&gt;"","　端数","")</f>
        <v/>
      </c>
      <c r="AP76" s="94"/>
      <c r="AQ76" s="93" t="str">
        <f ca="1">IF(AN74&lt;&gt;"","アレルギー","")</f>
        <v/>
      </c>
      <c r="AR76" s="97"/>
      <c r="AS76" s="80"/>
      <c r="AT76" s="80"/>
      <c r="AU76" s="93" t="str">
        <f ca="1">IF(AV74&lt;&gt;"","パン箱","")</f>
        <v/>
      </c>
      <c r="AV76" s="94" t="str">
        <f ca="1">IF(AV74&lt;&gt;"",IF(OR(COUNTIF('盛付札（関数）'!AV72,"*キャラ*"),COUNTIF('盛付札（関数）'!AV72,"*赤*")),24,
VLOOKUP('盛付札（関数）'!AV72,商品マスタ一覧!$D:$I,6,FALSE)),"")</f>
        <v/>
      </c>
      <c r="AW76" s="93" t="str">
        <f ca="1">IF(AV74&lt;&gt;"","　端数","")</f>
        <v/>
      </c>
      <c r="AX76" s="94"/>
      <c r="AY76" s="93" t="str">
        <f ca="1">IF(AV74&lt;&gt;"","アレルギー","")</f>
        <v/>
      </c>
      <c r="AZ76" s="101"/>
      <c r="BA76" s="80"/>
      <c r="BB76" s="93" t="str">
        <f ca="1">IF(BC74&lt;&gt;"","パン箱","")</f>
        <v/>
      </c>
      <c r="BC76" s="94" t="str">
        <f ca="1">IF(BC74&lt;&gt;"",IF(OR(COUNTIF('盛付札（関数）'!BC72,"*キャラ*"),COUNTIF('盛付札（関数）'!BC72,"*赤*")),24,
VLOOKUP('盛付札（関数）'!BC72,商品マスタ一覧!$D:$I,6,FALSE)),"")</f>
        <v/>
      </c>
      <c r="BD76" s="93" t="str">
        <f ca="1">IF(BC74&lt;&gt;"","　端数","")</f>
        <v/>
      </c>
      <c r="BE76" s="94"/>
      <c r="BF76" s="93" t="str">
        <f ca="1">IF(BC74&lt;&gt;"","アレルギー","")</f>
        <v/>
      </c>
      <c r="BG76" s="97"/>
      <c r="BH76" s="80"/>
      <c r="BI76" s="80"/>
      <c r="BJ76" s="93" t="str">
        <f ca="1">IF(BK74&lt;&gt;"","パン箱","")</f>
        <v/>
      </c>
      <c r="BK76" s="94" t="str">
        <f ca="1">IF(BK74&lt;&gt;"",IF(OR(COUNTIF('盛付札（関数）'!BK72,"*キャラ*"),COUNTIF('盛付札（関数）'!BK72,"*赤*")),24,
VLOOKUP('盛付札（関数）'!BK72,商品マスタ一覧!$D:$I,6,FALSE)),"")</f>
        <v/>
      </c>
      <c r="BL76" s="93" t="str">
        <f ca="1">IF(BK74&lt;&gt;"","　端数","")</f>
        <v/>
      </c>
      <c r="BM76" s="94"/>
      <c r="BN76" s="93" t="str">
        <f ca="1">IF(BK74&lt;&gt;"","アレルギー","")</f>
        <v/>
      </c>
      <c r="BO76" s="101"/>
      <c r="BP76" s="80"/>
      <c r="BQ76" s="93" t="str">
        <f ca="1">IF(BR74&lt;&gt;"","パン箱","")</f>
        <v/>
      </c>
      <c r="BR76" s="94" t="str">
        <f ca="1">IF(BR74&lt;&gt;"",IF(OR(COUNTIF('盛付札（関数）'!BR72,"*キャラ*"),COUNTIF('盛付札（関数）'!BR72,"*赤*")),24,
VLOOKUP('盛付札（関数）'!BR72,商品マスタ一覧!$D:$I,6,FALSE)),"")</f>
        <v/>
      </c>
      <c r="BS76" s="93" t="str">
        <f ca="1">IF(BR74&lt;&gt;"","　端数","")</f>
        <v/>
      </c>
      <c r="BT76" s="94"/>
      <c r="BU76" s="93" t="str">
        <f ca="1">IF(BR74&lt;&gt;"","アレルギー","")</f>
        <v/>
      </c>
      <c r="BV76" s="97"/>
      <c r="BW76" s="80"/>
      <c r="BX76" s="80"/>
      <c r="BY76" s="93" t="str">
        <f ca="1">IF(BZ74&lt;&gt;"","パン箱","")</f>
        <v/>
      </c>
      <c r="BZ76" s="94" t="str">
        <f ca="1">IF(BZ74&lt;&gt;"",IF(OR(COUNTIF('盛付札（関数）'!BZ72,"*キャラ*"),COUNTIF('盛付札（関数）'!BZ72,"*赤*")),24,
VLOOKUP('盛付札（関数）'!BZ72,商品マスタ一覧!$D:$I,6,FALSE)),"")</f>
        <v/>
      </c>
      <c r="CA76" s="93" t="str">
        <f ca="1">IF(BZ74&lt;&gt;"","　端数","")</f>
        <v/>
      </c>
      <c r="CB76" s="94"/>
      <c r="CC76" s="93" t="str">
        <f ca="1">IF(BZ74&lt;&gt;"","アレルギー","")</f>
        <v/>
      </c>
      <c r="CD76" s="101"/>
      <c r="CE76" s="80"/>
      <c r="CF76" s="93" t="str">
        <f ca="1">IF(CG74&lt;&gt;"","パン箱","")</f>
        <v/>
      </c>
      <c r="CG76" s="94" t="str">
        <f ca="1">IF(CG74&lt;&gt;"",IF(OR(COUNTIF('盛付札（関数）'!CG72,"*キャラ*"),COUNTIF('盛付札（関数）'!CG72,"*赤*")),24,
VLOOKUP('盛付札（関数）'!CG72,商品マスタ一覧!$D:$I,6,FALSE)),"")</f>
        <v/>
      </c>
      <c r="CH76" s="93" t="str">
        <f ca="1">IF(CG74&lt;&gt;"","　端数","")</f>
        <v/>
      </c>
      <c r="CI76" s="94"/>
      <c r="CJ76" s="93" t="str">
        <f ca="1">IF(CG74&lt;&gt;"","アレルギー","")</f>
        <v/>
      </c>
      <c r="CK76" s="97"/>
      <c r="CL76" s="80"/>
      <c r="CM76" s="80"/>
      <c r="CN76" s="93" t="str">
        <f ca="1">IF(CO74&lt;&gt;"","パン箱","")</f>
        <v/>
      </c>
      <c r="CO76" s="94" t="str">
        <f ca="1">IF(CO74&lt;&gt;"",IF(OR(COUNTIF('盛付札（関数）'!CO72,"*キャラ*"),COUNTIF('盛付札（関数）'!CO72,"*赤*")),24,
VLOOKUP('盛付札（関数）'!CO72,商品マスタ一覧!$D:$I,6,FALSE)),"")</f>
        <v/>
      </c>
      <c r="CP76" s="93" t="str">
        <f ca="1">IF(CO74&lt;&gt;"","　端数","")</f>
        <v/>
      </c>
      <c r="CQ76" s="94"/>
      <c r="CR76" s="93" t="str">
        <f ca="1">IF(CO74&lt;&gt;"","アレルギー","")</f>
        <v/>
      </c>
      <c r="CS76" s="101"/>
      <c r="CT76" s="80"/>
      <c r="CU76" s="93" t="str">
        <f ca="1">IF(CV74&lt;&gt;"","パン箱","")</f>
        <v/>
      </c>
      <c r="CV76" s="94" t="str">
        <f ca="1">IF(CV74&lt;&gt;"",IF(OR(COUNTIF('盛付札（関数）'!CV72,"*キャラ*"),COUNTIF('盛付札（関数）'!CV72,"*赤*")),24,
VLOOKUP('盛付札（関数）'!CV72,商品マスタ一覧!$D:$I,6,FALSE)),"")</f>
        <v/>
      </c>
      <c r="CW76" s="93" t="str">
        <f ca="1">IF(CV74&lt;&gt;"","　端数","")</f>
        <v/>
      </c>
      <c r="CX76" s="94"/>
      <c r="CY76" s="93" t="str">
        <f ca="1">IF(CV74&lt;&gt;"","アレルギー","")</f>
        <v/>
      </c>
      <c r="CZ76" s="97"/>
      <c r="DA76" s="80"/>
      <c r="DB76" s="80"/>
      <c r="DC76" s="93" t="str">
        <f ca="1">IF(DD74&lt;&gt;"","パン箱","")</f>
        <v/>
      </c>
      <c r="DD76" s="94" t="str">
        <f ca="1">IF(DD74&lt;&gt;"",IF(OR(COUNTIF('盛付札（関数）'!DD72,"*キャラ*"),COUNTIF('盛付札（関数）'!DD72,"*赤*")),24,
VLOOKUP('盛付札（関数）'!DD72,商品マスタ一覧!$D:$I,6,FALSE)),"")</f>
        <v/>
      </c>
      <c r="DE76" s="93" t="str">
        <f ca="1">IF(DD74&lt;&gt;"","　端数","")</f>
        <v/>
      </c>
      <c r="DF76" s="94"/>
      <c r="DG76" s="93" t="str">
        <f ca="1">IF(DD74&lt;&gt;"","アレルギー","")</f>
        <v/>
      </c>
      <c r="DH76" s="101"/>
      <c r="DI76" s="80"/>
      <c r="DJ76" s="93" t="str">
        <f ca="1">IF(DK74&lt;&gt;"","パン箱","")</f>
        <v/>
      </c>
      <c r="DK76" s="94" t="str">
        <f ca="1">IF(DK74&lt;&gt;"",IF(OR(COUNTIF('盛付札（関数）'!DK72,"*キャラ*"),COUNTIF('盛付札（関数）'!DK72,"*赤*")),24,
VLOOKUP('盛付札（関数）'!DK72,商品マスタ一覧!$D:$I,6,FALSE)),"")</f>
        <v/>
      </c>
      <c r="DL76" s="93" t="str">
        <f ca="1">IF(DK74&lt;&gt;"","　端数","")</f>
        <v/>
      </c>
      <c r="DM76" s="94"/>
      <c r="DN76" s="93" t="str">
        <f ca="1">IF(DK74&lt;&gt;"","アレルギー","")</f>
        <v/>
      </c>
      <c r="DO76" s="97"/>
      <c r="DP76" s="80"/>
      <c r="DQ76" s="80"/>
      <c r="DR76" s="93" t="str">
        <f ca="1">IF(DS74&lt;&gt;"","パン箱","")</f>
        <v/>
      </c>
      <c r="DS76" s="94" t="str">
        <f ca="1">IF(DS74&lt;&gt;"",IF(OR(COUNTIF('盛付札（関数）'!DS72,"*キャラ*"),COUNTIF('盛付札（関数）'!DS72,"*赤*")),24,
VLOOKUP('盛付札（関数）'!DS72,商品マスタ一覧!$D:$I,6,FALSE)),"")</f>
        <v/>
      </c>
      <c r="DT76" s="93" t="str">
        <f ca="1">IF(DS74&lt;&gt;"","　端数","")</f>
        <v/>
      </c>
      <c r="DU76" s="94"/>
      <c r="DV76" s="93" t="str">
        <f ca="1">IF(DS74&lt;&gt;"","アレルギー","")</f>
        <v/>
      </c>
      <c r="DW76" s="101"/>
      <c r="DX76" s="80"/>
      <c r="DY76" s="93" t="str">
        <f ca="1">IF(DZ74&lt;&gt;"","パン箱","")</f>
        <v/>
      </c>
      <c r="DZ76" s="94" t="str">
        <f ca="1">IF(DZ74&lt;&gt;"",IF(OR(COUNTIF('盛付札（関数）'!DZ72,"*キャラ*"),COUNTIF('盛付札（関数）'!DZ72,"*赤*")),24,
VLOOKUP('盛付札（関数）'!DZ72,商品マスタ一覧!$D:$I,6,FALSE)),"")</f>
        <v/>
      </c>
      <c r="EA76" s="93" t="str">
        <f ca="1">IF(DZ74&lt;&gt;"","　端数","")</f>
        <v/>
      </c>
      <c r="EB76" s="94"/>
      <c r="EC76" s="93" t="str">
        <f ca="1">IF(DZ74&lt;&gt;"","アレルギー","")</f>
        <v/>
      </c>
      <c r="ED76" s="97"/>
      <c r="EE76" s="80"/>
      <c r="EF76" s="80"/>
      <c r="EG76" s="93" t="str">
        <f ca="1">IF(EH74&lt;&gt;"","パン箱","")</f>
        <v/>
      </c>
      <c r="EH76" s="94" t="str">
        <f ca="1">IF(EH74&lt;&gt;"",IF(OR(COUNTIF('盛付札（関数）'!EH72,"*キャラ*"),COUNTIF('盛付札（関数）'!EH72,"*赤*")),24,
VLOOKUP('盛付札（関数）'!EH72,商品マスタ一覧!$D:$I,6,FALSE)),"")</f>
        <v/>
      </c>
      <c r="EI76" s="93" t="str">
        <f ca="1">IF(EH74&lt;&gt;"","　端数","")</f>
        <v/>
      </c>
      <c r="EJ76" s="94"/>
      <c r="EK76" s="93" t="str">
        <f ca="1">IF(EH74&lt;&gt;"","アレルギー","")</f>
        <v/>
      </c>
      <c r="EL76" s="101"/>
      <c r="EM76" s="80"/>
      <c r="EN76" s="93" t="str">
        <f ca="1">IF(EO74&lt;&gt;"","パン箱","")</f>
        <v/>
      </c>
      <c r="EO76" s="94" t="str">
        <f ca="1">IF(EO74&lt;&gt;"",IF(OR(COUNTIF('盛付札（関数）'!EO72,"*キャラ*"),COUNTIF('盛付札（関数）'!EO72,"*赤*")),24,
VLOOKUP('盛付札（関数）'!EO72,商品マスタ一覧!$D:$I,6,FALSE)),"")</f>
        <v/>
      </c>
      <c r="EP76" s="93" t="str">
        <f ca="1">IF(EO74&lt;&gt;"","　端数","")</f>
        <v/>
      </c>
      <c r="EQ76" s="94"/>
      <c r="ER76" s="93" t="str">
        <f ca="1">IF(EO74&lt;&gt;"","アレルギー","")</f>
        <v/>
      </c>
      <c r="ES76" s="97"/>
      <c r="ET76" s="110"/>
      <c r="EU76" s="82">
        <v>42</v>
      </c>
      <c r="EV76" s="82" t="str">
        <f t="array" aca="1" ref="EV76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LEN(SUBSTITUTE(_xlfn.FORMULATEXT(EV$75),"=","")))+$EU76)</f>
        <v/>
      </c>
      <c r="EW76" s="82" t="str">
        <f t="array" aca="1" ref="EW76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LEN(SUBSTITUTE(_xlfn.FORMULATEXT(EW$75),"=","")))+$EU76)</f>
        <v/>
      </c>
      <c r="EX76" s="82" t="str">
        <f t="array" aca="1" ref="EX76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LEN(SUBSTITUTE(_xlfn.FORMULATEXT(EX$75),"=","")))+$EU76)</f>
        <v/>
      </c>
      <c r="EY76" s="82" t="str">
        <f t="array" aca="1" ref="EY76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LEN(SUBSTITUTE(_xlfn.FORMULATEXT(EY$75),"=","")))+$EU76)</f>
        <v/>
      </c>
      <c r="EZ76" s="82" t="str">
        <f t="array" aca="1" ref="EZ76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LEN(SUBSTITUTE(_xlfn.FORMULATEXT(EZ$75),"=","")))+$EU76)</f>
        <v/>
      </c>
      <c r="FA76" s="82" t="str">
        <f t="array" aca="1" ref="FA76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LEN(SUBSTITUTE(_xlfn.FORMULATEXT(FA$75),"=","")))+$EU76)</f>
        <v/>
      </c>
      <c r="FB76" s="82" t="str">
        <f t="array" aca="1" ref="FB76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LEN(SUBSTITUTE(_xlfn.FORMULATEXT(FB$75),"=","")))+$EU76)</f>
        <v/>
      </c>
      <c r="FC76" s="82" t="str">
        <f t="array" aca="1" ref="FC76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LEN(SUBSTITUTE(_xlfn.FORMULATEXT(FC$75),"=","")))+$EU76)</f>
        <v/>
      </c>
      <c r="FD76" s="82" t="str">
        <f t="array" aca="1" ref="FD76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LEN(SUBSTITUTE(_xlfn.FORMULATEXT(FD$75),"=","")))+$EU76)</f>
        <v/>
      </c>
      <c r="FE76" s="82" t="str">
        <f t="array" aca="1" ref="FE76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LEN(SUBSTITUTE(_xlfn.FORMULATEXT(FE$75),"=","")))+$EU76)</f>
        <v/>
      </c>
      <c r="FF76" s="82" t="str">
        <f t="array" aca="1" ref="FF76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LEN(SUBSTITUTE(_xlfn.FORMULATEXT(FF$75),"=","")))+$EU76)</f>
        <v/>
      </c>
      <c r="FG76" s="82">
        <f t="shared" ca="1" si="5"/>
        <v>0</v>
      </c>
      <c r="FH76" s="82" t="b">
        <f t="array" aca="1" ref="FH76" ca="1">SUMPRODUCT((LEN(EV76:FF76)&gt;0)*1)&gt;0</f>
        <v>0</v>
      </c>
      <c r="FI76" s="82" t="str">
        <f t="array" aca="1" ref="FI76" ca="1">IFERROR(SMALL(IF(FG$1:FG$173&lt;&gt;0,FG$1:FG$173),ROW(A76)),"")</f>
        <v/>
      </c>
      <c r="FJ76" s="82" t="str">
        <f t="array" aca="1" ref="FJ76" ca="1">IF($FI76&lt;&gt;"",
INDIRECT(""&amp;IF(COLUMN(EV76)&lt;=26,CHAR(COLUMN(EV76)+64),CHAR(INT((COLUMN(EV76)-1)/26)+64)&amp;CHAR(MOD(COLUMN(EV76)-1,26)+65))&amp;$FI76&amp;""),"")</f>
        <v/>
      </c>
      <c r="FK76" s="82" t="str">
        <f t="array" aca="1" ref="FK76" ca="1">IF($FI76&lt;&gt;"",
INDIRECT(""&amp;IF(COLUMN(EW76)&lt;=26,CHAR(COLUMN(EW76)+64),CHAR(INT((COLUMN(EW76)-1)/26)+64)&amp;CHAR(MOD(COLUMN(EW76)-1,26)+65))&amp;$FI76&amp;""),"")</f>
        <v/>
      </c>
      <c r="FL76" s="82" t="str">
        <f t="array" aca="1" ref="FL76" ca="1">IF($FI76&lt;&gt;"",
INDIRECT(""&amp;IF(COLUMN(EX76)&lt;=26,CHAR(COLUMN(EX76)+64),CHAR(INT((COLUMN(EX76)-1)/26)+64)&amp;CHAR(MOD(COLUMN(EX76)-1,26)+65))&amp;$FI76&amp;""),"")</f>
        <v/>
      </c>
      <c r="FM76" s="82" t="str">
        <f t="array" aca="1" ref="FM76" ca="1">IF($FI76&lt;&gt;"",
IF(FL76="",
IF(INDIRECT("EY"&amp;$FI76&amp;"")&lt;&gt;"",
INDIRECT("EY"&amp;$FI76&amp;"")&amp;"箱"
&amp;INDIRECT("EZ"&amp;$FI76&amp;""),""),""),"")</f>
        <v/>
      </c>
      <c r="FN76" s="82" t="str">
        <f t="array" aca="1" ref="FN76" ca="1">IF($FI76&lt;&gt;"",
INDIRECT(""&amp;IF(COLUMN(FA76)&lt;=26,CHAR(COLUMN(FA76)+64),CHAR(INT((COLUMN(FA76)-1)/26)+64)&amp;CHAR(MOD(COLUMN(FA76)-1,26)+65))&amp;$FI76&amp;""),"")</f>
        <v/>
      </c>
      <c r="FO76" s="82" t="str">
        <f t="array" aca="1" ref="FO76" ca="1">IF($FI76&lt;&gt;"",
INDIRECT(""&amp;IF(COLUMN(FB76)&lt;=26,CHAR(COLUMN(FB76)+64),CHAR(INT((COLUMN(FB76)-1)/26)+64)&amp;CHAR(MOD(COLUMN(FB76)-1,26)+65))&amp;$FI76&amp;""),"")</f>
        <v/>
      </c>
      <c r="FP76" s="82" t="str">
        <f t="array" aca="1" ref="FP76" ca="1">IF($FI76&lt;&gt;"",
INDIRECT(""&amp;IF(COLUMN(FC76)&lt;=26,CHAR(COLUMN(FC76)+64),CHAR(INT((COLUMN(FC76)-1)/26)+64)&amp;CHAR(MOD(COLUMN(FC76)-1,26)+65))&amp;$FI76&amp;""),"")</f>
        <v/>
      </c>
      <c r="FQ76" s="82" t="str">
        <f t="array" aca="1" ref="FQ76" ca="1">IF($FI76&lt;&gt;"",
INDIRECT(""&amp;IF(COLUMN(FD76)&lt;=26,CHAR(COLUMN(FD76)+64),CHAR(INT((COLUMN(FD76)-1)/26)+64)&amp;CHAR(MOD(COLUMN(FD76)-1,26)+65))&amp;$FI76&amp;""),"")</f>
        <v/>
      </c>
      <c r="FR76" s="82" t="str">
        <f t="array" aca="1" ref="FR76" ca="1">IF($FI76&lt;&gt;"",
INDIRECT(""&amp;IF(COLUMN(FE76)&lt;=26,CHAR(COLUMN(FE76)+64),CHAR(INT((COLUMN(FE76)-1)/26)+64)&amp;CHAR(MOD(COLUMN(FE76)-1,26)+65))&amp;$FI76&amp;""),"")</f>
        <v/>
      </c>
      <c r="FS76" s="82" t="str">
        <f t="array" aca="1" ref="FS76" ca="1">IF($FI76&lt;&gt;"",
INDIRECT(""&amp;IF(COLUMN(FF76)&lt;=26,CHAR(COLUMN(FF76)+64),CHAR(INT((COLUMN(FF76)-1)/26)+64)&amp;CHAR(MOD(COLUMN(FF76)-1,26)+65))&amp;$FI76&amp;""),"")</f>
        <v/>
      </c>
    </row>
    <row r="77" spans="1:175" ht="21" customHeight="1" x14ac:dyDescent="0.45">
      <c r="B77" s="196" t="str">
        <f ca="1">IF(C74&lt;&gt;"",
IFERROR(INT(C74/C76),""),"")</f>
        <v/>
      </c>
      <c r="C77" s="195"/>
      <c r="D77" s="196" t="str">
        <f ca="1">IFERROR(MOD(C74,C76),"")</f>
        <v/>
      </c>
      <c r="E77" s="195"/>
      <c r="F77" s="194" t="str">
        <f ca="1">IF(C71&lt;&gt;"",G73+G74,"")</f>
        <v/>
      </c>
      <c r="G77" s="195"/>
      <c r="I77" s="196" t="str">
        <f ca="1">IF(J74&lt;&gt;"",
IFERROR(INT(J74/J76),""),"")</f>
        <v/>
      </c>
      <c r="J77" s="195"/>
      <c r="K77" s="196" t="str">
        <f ca="1">IFERROR(MOD(J74,J76),"")</f>
        <v/>
      </c>
      <c r="L77" s="195"/>
      <c r="M77" s="194" t="str">
        <f ca="1">IF(J71&lt;&gt;"",N73+N74,"")</f>
        <v/>
      </c>
      <c r="N77" s="195"/>
      <c r="Q77" s="196" t="str">
        <f ca="1">IF(R74&lt;&gt;"",
IFERROR(INT(R74/R76),""),"")</f>
        <v/>
      </c>
      <c r="R77" s="195"/>
      <c r="S77" s="196" t="str">
        <f ca="1">IFERROR(MOD(R74,R76),"")</f>
        <v/>
      </c>
      <c r="T77" s="195"/>
      <c r="U77" s="194" t="str">
        <f ca="1">IF(R71&lt;&gt;"",V73+V74,"")</f>
        <v/>
      </c>
      <c r="V77" s="195"/>
      <c r="X77" s="196" t="str">
        <f ca="1">IF(Y74&lt;&gt;"",
IFERROR(INT(Y74/Y76),""),"")</f>
        <v/>
      </c>
      <c r="Y77" s="195"/>
      <c r="Z77" s="196" t="str">
        <f ca="1">IFERROR(MOD(Y74,Y76),"")</f>
        <v/>
      </c>
      <c r="AA77" s="195"/>
      <c r="AB77" s="194" t="str">
        <f ca="1">IF(Y71&lt;&gt;"",AC73+AC74,"")</f>
        <v/>
      </c>
      <c r="AC77" s="195"/>
      <c r="AF77" s="196" t="str">
        <f ca="1">IF(AG74&lt;&gt;"",
IFERROR(INT(AG74/AG76),""),"")</f>
        <v/>
      </c>
      <c r="AG77" s="195"/>
      <c r="AH77" s="196" t="str">
        <f ca="1">IFERROR(MOD(AG74,AG76),"")</f>
        <v/>
      </c>
      <c r="AI77" s="195"/>
      <c r="AJ77" s="194" t="str">
        <f ca="1">IF(AG71&lt;&gt;"",AK73+AK74,"")</f>
        <v/>
      </c>
      <c r="AK77" s="195"/>
      <c r="AM77" s="196" t="str">
        <f ca="1">IF(AN74&lt;&gt;"",
IFERROR(INT(AN74/AN76),""),"")</f>
        <v/>
      </c>
      <c r="AN77" s="195"/>
      <c r="AO77" s="196" t="str">
        <f ca="1">IFERROR(MOD(AN74,AN76),"")</f>
        <v/>
      </c>
      <c r="AP77" s="195"/>
      <c r="AQ77" s="194" t="str">
        <f ca="1">IF(AN71&lt;&gt;"",AR73+AR74,"")</f>
        <v/>
      </c>
      <c r="AR77" s="195"/>
      <c r="AU77" s="196" t="str">
        <f ca="1">IF(AV74&lt;&gt;"",
IFERROR(INT(AV74/AV76),""),"")</f>
        <v/>
      </c>
      <c r="AV77" s="195"/>
      <c r="AW77" s="196" t="str">
        <f ca="1">IFERROR(MOD(AV74,AV76),"")</f>
        <v/>
      </c>
      <c r="AX77" s="195"/>
      <c r="AY77" s="194" t="str">
        <f ca="1">IF(AV71&lt;&gt;"",AZ73+AZ74,"")</f>
        <v/>
      </c>
      <c r="AZ77" s="195"/>
      <c r="BB77" s="196" t="str">
        <f ca="1">IF(BC74&lt;&gt;"",
IFERROR(INT(BC74/BC76),""),"")</f>
        <v/>
      </c>
      <c r="BC77" s="195"/>
      <c r="BD77" s="196" t="str">
        <f ca="1">IFERROR(MOD(BC74,BC76),"")</f>
        <v/>
      </c>
      <c r="BE77" s="195"/>
      <c r="BF77" s="194" t="str">
        <f ca="1">IF(BC71&lt;&gt;"",BG73+BG74,"")</f>
        <v/>
      </c>
      <c r="BG77" s="195"/>
      <c r="BJ77" s="196" t="str">
        <f ca="1">IF(BK74&lt;&gt;"",
IFERROR(INT(BK74/BK76),""),"")</f>
        <v/>
      </c>
      <c r="BK77" s="195"/>
      <c r="BL77" s="196" t="str">
        <f ca="1">IFERROR(MOD(BK74,BK76),"")</f>
        <v/>
      </c>
      <c r="BM77" s="195"/>
      <c r="BN77" s="194" t="str">
        <f ca="1">IF(BK71&lt;&gt;"",BO73+BO74,"")</f>
        <v/>
      </c>
      <c r="BO77" s="195"/>
      <c r="BQ77" s="196" t="str">
        <f ca="1">IF(BR74&lt;&gt;"",
IFERROR(INT(BR74/BR76),""),"")</f>
        <v/>
      </c>
      <c r="BR77" s="195"/>
      <c r="BS77" s="196" t="str">
        <f ca="1">IFERROR(MOD(BR74,BR76),"")</f>
        <v/>
      </c>
      <c r="BT77" s="195"/>
      <c r="BU77" s="194" t="str">
        <f ca="1">IF(BR71&lt;&gt;"",BV73+BV74,"")</f>
        <v/>
      </c>
      <c r="BV77" s="195"/>
      <c r="BY77" s="196" t="str">
        <f ca="1">IF(BZ74&lt;&gt;"",
IFERROR(INT(BZ74/BZ76),""),"")</f>
        <v/>
      </c>
      <c r="BZ77" s="195"/>
      <c r="CA77" s="196" t="str">
        <f ca="1">IFERROR(MOD(BZ74,BZ76),"")</f>
        <v/>
      </c>
      <c r="CB77" s="195"/>
      <c r="CC77" s="194" t="str">
        <f ca="1">IF(BZ71&lt;&gt;"",CD73+CD74,"")</f>
        <v/>
      </c>
      <c r="CD77" s="195"/>
      <c r="CF77" s="196" t="str">
        <f ca="1">IF(CG74&lt;&gt;"",
IFERROR(INT(CG74/CG76),""),"")</f>
        <v/>
      </c>
      <c r="CG77" s="195"/>
      <c r="CH77" s="196" t="str">
        <f ca="1">IFERROR(MOD(CG74,CG76),"")</f>
        <v/>
      </c>
      <c r="CI77" s="195"/>
      <c r="CJ77" s="194" t="str">
        <f ca="1">IF(CG71&lt;&gt;"",CK73+CK74,"")</f>
        <v/>
      </c>
      <c r="CK77" s="195"/>
      <c r="CN77" s="196" t="str">
        <f ca="1">IF(CO74&lt;&gt;"",
IFERROR(INT(CO74/CO76),""),"")</f>
        <v/>
      </c>
      <c r="CO77" s="195"/>
      <c r="CP77" s="196" t="str">
        <f ca="1">IFERROR(MOD(CO74,CO76),"")</f>
        <v/>
      </c>
      <c r="CQ77" s="195"/>
      <c r="CR77" s="194" t="str">
        <f ca="1">IF(CO71&lt;&gt;"",CS73+CS74,"")</f>
        <v/>
      </c>
      <c r="CS77" s="195"/>
      <c r="CU77" s="196" t="str">
        <f ca="1">IF(CV74&lt;&gt;"",
IFERROR(INT(CV74/CV76),""),"")</f>
        <v/>
      </c>
      <c r="CV77" s="195"/>
      <c r="CW77" s="196" t="str">
        <f ca="1">IFERROR(MOD(CV74,CV76),"")</f>
        <v/>
      </c>
      <c r="CX77" s="195"/>
      <c r="CY77" s="194" t="str">
        <f ca="1">IF(CV71&lt;&gt;"",CZ73+CZ74,"")</f>
        <v/>
      </c>
      <c r="CZ77" s="195"/>
      <c r="DC77" s="196" t="str">
        <f ca="1">IF(DD74&lt;&gt;"",
IFERROR(INT(DD74/DD76),""),"")</f>
        <v/>
      </c>
      <c r="DD77" s="195"/>
      <c r="DE77" s="196" t="str">
        <f ca="1">IFERROR(MOD(DD74,DD76),"")</f>
        <v/>
      </c>
      <c r="DF77" s="195"/>
      <c r="DG77" s="194" t="str">
        <f ca="1">IF(DD71&lt;&gt;"",DH73+DH74,"")</f>
        <v/>
      </c>
      <c r="DH77" s="195"/>
      <c r="DJ77" s="196" t="str">
        <f ca="1">IF(DK74&lt;&gt;"",
IFERROR(INT(DK74/DK76),""),"")</f>
        <v/>
      </c>
      <c r="DK77" s="195"/>
      <c r="DL77" s="196" t="str">
        <f ca="1">IFERROR(MOD(DK74,DK76),"")</f>
        <v/>
      </c>
      <c r="DM77" s="195"/>
      <c r="DN77" s="194" t="str">
        <f ca="1">IF(DK71&lt;&gt;"",DO73+DO74,"")</f>
        <v/>
      </c>
      <c r="DO77" s="195"/>
      <c r="DR77" s="196" t="str">
        <f ca="1">IF(DS74&lt;&gt;"",
IFERROR(INT(DS74/DS76),""),"")</f>
        <v/>
      </c>
      <c r="DS77" s="195"/>
      <c r="DT77" s="196" t="str">
        <f ca="1">IFERROR(MOD(DS74,DS76),"")</f>
        <v/>
      </c>
      <c r="DU77" s="195"/>
      <c r="DV77" s="194" t="str">
        <f ca="1">IF(DS71&lt;&gt;"",DW73+DW74,"")</f>
        <v/>
      </c>
      <c r="DW77" s="195"/>
      <c r="DY77" s="196" t="str">
        <f ca="1">IF(DZ74&lt;&gt;"",
IFERROR(INT(DZ74/DZ76),""),"")</f>
        <v/>
      </c>
      <c r="DZ77" s="195"/>
      <c r="EA77" s="196" t="str">
        <f ca="1">IFERROR(MOD(DZ74,DZ76),"")</f>
        <v/>
      </c>
      <c r="EB77" s="195"/>
      <c r="EC77" s="194" t="str">
        <f ca="1">IF(DZ71&lt;&gt;"",ED73+ED74,"")</f>
        <v/>
      </c>
      <c r="ED77" s="195"/>
      <c r="EG77" s="196" t="str">
        <f ca="1">IF(EH74&lt;&gt;"",
IFERROR(INT(EH74/EH76),""),"")</f>
        <v/>
      </c>
      <c r="EH77" s="195"/>
      <c r="EI77" s="196" t="str">
        <f ca="1">IFERROR(MOD(EH74,EH76),"")</f>
        <v/>
      </c>
      <c r="EJ77" s="195"/>
      <c r="EK77" s="194" t="str">
        <f ca="1">IF(EH71&lt;&gt;"",EL73+EL74,"")</f>
        <v/>
      </c>
      <c r="EL77" s="195"/>
      <c r="EN77" s="196" t="str">
        <f ca="1">IF(EO74&lt;&gt;"",
IFERROR(INT(EO74/EO76),""),"")</f>
        <v/>
      </c>
      <c r="EO77" s="195"/>
      <c r="EP77" s="196" t="str">
        <f ca="1">IFERROR(MOD(EO74,EO76),"")</f>
        <v/>
      </c>
      <c r="EQ77" s="195"/>
      <c r="ER77" s="194" t="str">
        <f ca="1">IF(EO71&lt;&gt;"",ES73+ES74,"")</f>
        <v/>
      </c>
      <c r="ES77" s="195"/>
      <c r="ET77" s="75"/>
      <c r="EU77" s="91">
        <v>7</v>
      </c>
      <c r="EV77" s="82" t="str">
        <f t="array" aca="1" ref="EV77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LEN(SUBSTITUTE(_xlfn.FORMULATEXT(EV$73),"=","")))+$EU77)</f>
        <v/>
      </c>
      <c r="EW77" s="82" t="str">
        <f t="array" aca="1" ref="EW77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LEN(SUBSTITUTE(_xlfn.FORMULATEXT(EW$73),"=","")))+$EU77)</f>
        <v/>
      </c>
      <c r="EX77" s="82" t="str">
        <f t="array" aca="1" ref="EX77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LEN(SUBSTITUTE(_xlfn.FORMULATEXT(EX$73),"=","")))+$EU77)</f>
        <v/>
      </c>
      <c r="EY77" s="82" t="str">
        <f t="array" aca="1" ref="EY77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LEN(SUBSTITUTE(_xlfn.FORMULATEXT(EY$73),"=","")))+$EU77)</f>
        <v/>
      </c>
      <c r="EZ77" s="82" t="str">
        <f t="array" aca="1" ref="EZ77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LEN(SUBSTITUTE(_xlfn.FORMULATEXT(EZ$73),"=","")))+$EU77)</f>
        <v/>
      </c>
      <c r="FA77" s="82" t="e">
        <f t="array" aca="1" ref="FA77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LEN(SUBSTITUTE(_xlfn.FORMULATEXT(FA$73),"=","")))+$EU77)</f>
        <v>#VALUE!</v>
      </c>
      <c r="FB77" s="82" t="str">
        <f t="array" aca="1" ref="FB77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LEN(SUBSTITUTE(_xlfn.FORMULATEXT(FB$73),"=","")))+$EU77)</f>
        <v/>
      </c>
      <c r="FC77" s="82" t="str">
        <f t="array" aca="1" ref="FC77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LEN(SUBSTITUTE(_xlfn.FORMULATEXT(FC$73),"=","")))+$EU77)</f>
        <v/>
      </c>
      <c r="FD77" s="82" t="e">
        <f t="array" aca="1" ref="FD77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LEN(SUBSTITUTE(_xlfn.FORMULATEXT(FD$73),"=","")))+$EU77)</f>
        <v>#VALUE!</v>
      </c>
      <c r="FE77" s="82" t="str">
        <f t="array" aca="1" ref="FE77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LEN(SUBSTITUTE(_xlfn.FORMULATEXT(FE$73),"=","")))+$EU77)</f>
        <v/>
      </c>
      <c r="FF77" s="82" t="e">
        <f t="array" aca="1" ref="FF77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LEN(SUBSTITUTE(_xlfn.FORMULATEXT(FF$73),"=","")))+$EU77)</f>
        <v>#N/A</v>
      </c>
      <c r="FG77" s="82">
        <f t="shared" ca="1" si="5"/>
        <v>0</v>
      </c>
      <c r="FH77" s="82" t="e">
        <f t="array" aca="1" ref="FH77" ca="1">SUMPRODUCT((LEN(EV77:FF77)&gt;0)*1)&gt;0</f>
        <v>#VALUE!</v>
      </c>
      <c r="FI77" s="82" t="str">
        <f t="array" aca="1" ref="FI77" ca="1">IFERROR(SMALL(IF(FG$1:FG$173&lt;&gt;0,FG$1:FG$173),ROW(A77)),"")</f>
        <v/>
      </c>
      <c r="FJ77" s="82" t="str">
        <f t="array" aca="1" ref="FJ77" ca="1">IF($FI77&lt;&gt;"",
INDIRECT(""&amp;IF(COLUMN(EV77)&lt;=26,CHAR(COLUMN(EV77)+64),CHAR(INT((COLUMN(EV77)-1)/26)+64)&amp;CHAR(MOD(COLUMN(EV77)-1,26)+65))&amp;$FI77&amp;""),"")</f>
        <v/>
      </c>
      <c r="FK77" s="82" t="str">
        <f t="array" aca="1" ref="FK77" ca="1">IF($FI77&lt;&gt;"",
INDIRECT(""&amp;IF(COLUMN(EW77)&lt;=26,CHAR(COLUMN(EW77)+64),CHAR(INT((COLUMN(EW77)-1)/26)+64)&amp;CHAR(MOD(COLUMN(EW77)-1,26)+65))&amp;$FI77&amp;""),"")</f>
        <v/>
      </c>
      <c r="FL77" s="82" t="str">
        <f t="array" aca="1" ref="FL77" ca="1">IF($FI77&lt;&gt;"",
INDIRECT(""&amp;IF(COLUMN(EX77)&lt;=26,CHAR(COLUMN(EX77)+64),CHAR(INT((COLUMN(EX77)-1)/26)+64)&amp;CHAR(MOD(COLUMN(EX77)-1,26)+65))&amp;$FI77&amp;""),"")</f>
        <v/>
      </c>
      <c r="FM77" s="82" t="str">
        <f t="array" aca="1" ref="FM77" ca="1">IF($FI77&lt;&gt;"",
IF(FL77="",
IF(INDIRECT("EY"&amp;$FI77&amp;"")&lt;&gt;"",
INDIRECT("EY"&amp;$FI77&amp;"")&amp;"箱"
&amp;INDIRECT("EZ"&amp;$FI77&amp;""),""),""),"")</f>
        <v/>
      </c>
      <c r="FN77" s="82" t="str">
        <f t="array" aca="1" ref="FN77" ca="1">IF($FI77&lt;&gt;"",
INDIRECT(""&amp;IF(COLUMN(FA77)&lt;=26,CHAR(COLUMN(FA77)+64),CHAR(INT((COLUMN(FA77)-1)/26)+64)&amp;CHAR(MOD(COLUMN(FA77)-1,26)+65))&amp;$FI77&amp;""),"")</f>
        <v/>
      </c>
      <c r="FO77" s="82" t="str">
        <f t="array" aca="1" ref="FO77" ca="1">IF($FI77&lt;&gt;"",
INDIRECT(""&amp;IF(COLUMN(FB77)&lt;=26,CHAR(COLUMN(FB77)+64),CHAR(INT((COLUMN(FB77)-1)/26)+64)&amp;CHAR(MOD(COLUMN(FB77)-1,26)+65))&amp;$FI77&amp;""),"")</f>
        <v/>
      </c>
      <c r="FP77" s="82" t="str">
        <f t="array" aca="1" ref="FP77" ca="1">IF($FI77&lt;&gt;"",
INDIRECT(""&amp;IF(COLUMN(FC77)&lt;=26,CHAR(COLUMN(FC77)+64),CHAR(INT((COLUMN(FC77)-1)/26)+64)&amp;CHAR(MOD(COLUMN(FC77)-1,26)+65))&amp;$FI77&amp;""),"")</f>
        <v/>
      </c>
      <c r="FQ77" s="82" t="str">
        <f t="array" aca="1" ref="FQ77" ca="1">IF($FI77&lt;&gt;"",
INDIRECT(""&amp;IF(COLUMN(FD77)&lt;=26,CHAR(COLUMN(FD77)+64),CHAR(INT((COLUMN(FD77)-1)/26)+64)&amp;CHAR(MOD(COLUMN(FD77)-1,26)+65))&amp;$FI77&amp;""),"")</f>
        <v/>
      </c>
      <c r="FR77" s="82" t="str">
        <f t="array" aca="1" ref="FR77" ca="1">IF($FI77&lt;&gt;"",
INDIRECT(""&amp;IF(COLUMN(FE77)&lt;=26,CHAR(COLUMN(FE77)+64),CHAR(INT((COLUMN(FE77)-1)/26)+64)&amp;CHAR(MOD(COLUMN(FE77)-1,26)+65))&amp;$FI77&amp;""),"")</f>
        <v/>
      </c>
      <c r="FS77" s="82" t="str">
        <f t="array" aca="1" ref="FS77" ca="1">IF($FI77&lt;&gt;"",
INDIRECT(""&amp;IF(COLUMN(FF77)&lt;=26,CHAR(COLUMN(FF77)+64),CHAR(INT((COLUMN(FF77)-1)/26)+64)&amp;CHAR(MOD(COLUMN(FF77)-1,26)+65))&amp;$FI77&amp;""),"")</f>
        <v/>
      </c>
    </row>
    <row r="78" spans="1:175" s="82" customFormat="1" ht="19.2" customHeight="1" x14ac:dyDescent="0.55000000000000004">
      <c r="A78" s="80"/>
      <c r="B78" s="81" t="str">
        <f t="array" aca="1" ref="B78" ca="1">IF(COUNTIF(G36,"*合計*"),"",
IF(C36=J71,
IFERROR(
SUBSTITUTE(ADDRESS(1,
COLUMN(INDIRECT("数出表_Excel!"&amp;I71&amp; (MATCH(G36,数出表_Excel!$A:$A,0)-1))) - 1 +
MATCH(TRUE, ISNUMBER(--INDIRECT("数出表_Excel!"&amp;I71&amp; (MATCH(G36,数出表_Excel!$A:$A,0)-1) &amp; ":U" &amp; (MATCH(G36,数出表_Excel!$A:$A,0)-1))), 0)+1,4),"1",""),
""),
IFERROR(
SUBSTITUTE(ADDRESS(1,
COLUMN(INDIRECT("数出表_Excel!B" &amp; (MATCH(G36,数出表_Excel!$A:$A,0)-1))) - 1 +
MATCH(TRUE, ISNUMBER(--INDIRECT("数出表_Excel!B" &amp; (MATCH(G36,数出表_Excel!$A:$A,0)-1) &amp; ":U" &amp; (MATCH(G36,数出表_Excel!$A:$A,0)-1))), 0)+1,4),"1",""),
"")))</f>
        <v/>
      </c>
      <c r="C78" s="191" t="str">
        <f ca="1">IF(C81&lt;&gt;"",C36,"")</f>
        <v/>
      </c>
      <c r="D78" s="192"/>
      <c r="E78" s="192"/>
      <c r="F78" s="192"/>
      <c r="G78" s="99"/>
      <c r="H78" s="80"/>
      <c r="I78" s="81" t="str">
        <f t="array" aca="1" ref="I78" ca="1">IF(COUNTIF(N36,"*合計*"),"",
IF(J36=C78,
IFERROR(
SUBSTITUTE(ADDRESS(1,
COLUMN(INDIRECT("数出表_Excel!"&amp;B78&amp; (MATCH(N36,数出表_Excel!$A:$A,0)-1))) - 1 +
MATCH(TRUE, ISNUMBER(--INDIRECT("数出表_Excel!"&amp;B78&amp; (MATCH(N36,数出表_Excel!$A:$A,0)-1) &amp; ":U" &amp; (MATCH(N36,数出表_Excel!$A:$A,0)-1))), 0)+1,4),"1",""),
""),
IFERROR(
SUBSTITUTE(ADDRESS(1,
COLUMN(INDIRECT("数出表_Excel!B" &amp; (MATCH(N36,数出表_Excel!$A:$A,0)-1))) - 1 +
MATCH(TRUE, ISNUMBER(--INDIRECT("数出表_Excel!B" &amp; (MATCH(N36,数出表_Excel!$A:$A,0)-1) &amp; ":U" &amp; (MATCH(N36,数出表_Excel!$A:$A,0)-1))), 0)+1,4),"1",""),
"")))</f>
        <v/>
      </c>
      <c r="J78" s="191" t="str">
        <f ca="1">IF(J81&lt;&gt;"",J36,"")</f>
        <v/>
      </c>
      <c r="K78" s="192"/>
      <c r="L78" s="192"/>
      <c r="M78" s="192"/>
      <c r="N78" s="95"/>
      <c r="O78" s="80"/>
      <c r="P78" s="80"/>
      <c r="Q78" s="81" t="str">
        <f t="array" aca="1" ref="Q78" ca="1">IF(COUNTIF(V36,"*合計*"),"",
IF(R36=Y71,
IFERROR(
SUBSTITUTE(ADDRESS(1,
COLUMN(INDIRECT("数出表_Excel!"&amp;X71&amp; (MATCH(V36,数出表_Excel!$A:$A,0)-1))) - 1 +
MATCH(TRUE, ISNUMBER(--INDIRECT("数出表_Excel!"&amp;X71&amp; (MATCH(V36,数出表_Excel!$A:$A,0)-1) &amp; ":U" &amp; (MATCH(V36,数出表_Excel!$A:$A,0)-1))), 0)+1,4),"1",""),
""),
IFERROR(
SUBSTITUTE(ADDRESS(1,
COLUMN(INDIRECT("数出表_Excel!B" &amp; (MATCH(V36,数出表_Excel!$A:$A,0)-1))) - 1 +
MATCH(TRUE, ISNUMBER(--INDIRECT("数出表_Excel!B" &amp; (MATCH(V36,数出表_Excel!$A:$A,0)-1) &amp; ":U" &amp; (MATCH(V36,数出表_Excel!$A:$A,0)-1))), 0)+1,4),"1",""),
"")))</f>
        <v/>
      </c>
      <c r="R78" s="191" t="str">
        <f ca="1">IF(R81&lt;&gt;"",R36,"")</f>
        <v/>
      </c>
      <c r="S78" s="192"/>
      <c r="T78" s="192"/>
      <c r="U78" s="192"/>
      <c r="V78" s="99"/>
      <c r="W78" s="80"/>
      <c r="X78" s="81" t="str">
        <f t="array" aca="1" ref="X78" ca="1">IF(COUNTIF(AC36,"*合計*"),"",
IF(Y36=R78,
IFERROR(
SUBSTITUTE(ADDRESS(1,
COLUMN(INDIRECT("数出表_Excel!"&amp;Q78&amp; (MATCH(AC36,数出表_Excel!$A:$A,0)-1))) - 1 +
MATCH(TRUE, ISNUMBER(--INDIRECT("数出表_Excel!"&amp;Q78&amp; (MATCH(AC36,数出表_Excel!$A:$A,0)-1) &amp; ":U" &amp; (MATCH(AC36,数出表_Excel!$A:$A,0)-1))), 0)+1,4),"1",""),
""),
IFERROR(
SUBSTITUTE(ADDRESS(1,
COLUMN(INDIRECT("数出表_Excel!B" &amp; (MATCH(AC36,数出表_Excel!$A:$A,0)-1))) - 1 +
MATCH(TRUE, ISNUMBER(--INDIRECT("数出表_Excel!B" &amp; (MATCH(AC36,数出表_Excel!$A:$A,0)-1) &amp; ":U" &amp; (MATCH(AC36,数出表_Excel!$A:$A,0)-1))), 0)+1,4),"1",""),
"")))</f>
        <v/>
      </c>
      <c r="Y78" s="191" t="str">
        <f ca="1">IF(Y81&lt;&gt;"",Y36,"")</f>
        <v/>
      </c>
      <c r="Z78" s="192"/>
      <c r="AA78" s="192"/>
      <c r="AB78" s="192"/>
      <c r="AC78" s="95"/>
      <c r="AD78" s="80"/>
      <c r="AE78" s="80"/>
      <c r="AF78" s="81" t="str">
        <f t="array" aca="1" ref="AF78" ca="1">IF(COUNTIF(AK36,"*合計*"),"",
IF(AG36=AN71,
IFERROR(
SUBSTITUTE(ADDRESS(1,
COLUMN(INDIRECT("数出表_Excel!"&amp;AM71&amp; (MATCH(AK36,数出表_Excel!$A:$A,0)-1))) - 1 +
MATCH(TRUE, ISNUMBER(--INDIRECT("数出表_Excel!"&amp;AM71&amp; (MATCH(AK36,数出表_Excel!$A:$A,0)-1) &amp; ":U" &amp; (MATCH(AK36,数出表_Excel!$A:$A,0)-1))), 0)+1,4),"1",""),
""),
IFERROR(
SUBSTITUTE(ADDRESS(1,
COLUMN(INDIRECT("数出表_Excel!B" &amp; (MATCH(AK36,数出表_Excel!$A:$A,0)-1))) - 1 +
MATCH(TRUE, ISNUMBER(--INDIRECT("数出表_Excel!B" &amp; (MATCH(AK36,数出表_Excel!$A:$A,0)-1) &amp; ":U" &amp; (MATCH(AK36,数出表_Excel!$A:$A,0)-1))), 0)+1,4),"1",""),
"")))</f>
        <v/>
      </c>
      <c r="AG78" s="191" t="str">
        <f ca="1">IF(AG81&lt;&gt;"",AG36,"")</f>
        <v/>
      </c>
      <c r="AH78" s="192"/>
      <c r="AI78" s="192"/>
      <c r="AJ78" s="192"/>
      <c r="AK78" s="99"/>
      <c r="AL78" s="80"/>
      <c r="AM78" s="81" t="str">
        <f t="array" aca="1" ref="AM78" ca="1">IF(COUNTIF(AR36,"*合計*"),"",
IF(AN36=AG78,
IFERROR(
SUBSTITUTE(ADDRESS(1,
COLUMN(INDIRECT("数出表_Excel!"&amp;AF78&amp; (MATCH(AR36,数出表_Excel!$A:$A,0)-1))) - 1 +
MATCH(TRUE, ISNUMBER(--INDIRECT("数出表_Excel!"&amp;AF78&amp; (MATCH(AR36,数出表_Excel!$A:$A,0)-1) &amp; ":U" &amp; (MATCH(AR36,数出表_Excel!$A:$A,0)-1))), 0)+1,4),"1",""),
""),
IFERROR(
SUBSTITUTE(ADDRESS(1,
COLUMN(INDIRECT("数出表_Excel!B" &amp; (MATCH(AR36,数出表_Excel!$A:$A,0)-1))) - 1 +
MATCH(TRUE, ISNUMBER(--INDIRECT("数出表_Excel!B" &amp; (MATCH(AR36,数出表_Excel!$A:$A,0)-1) &amp; ":U" &amp; (MATCH(AR36,数出表_Excel!$A:$A,0)-1))), 0)+1,4),"1",""),
"")))</f>
        <v/>
      </c>
      <c r="AN78" s="191" t="str">
        <f ca="1">IF(AN81&lt;&gt;"",AN36,"")</f>
        <v/>
      </c>
      <c r="AO78" s="192"/>
      <c r="AP78" s="192"/>
      <c r="AQ78" s="192"/>
      <c r="AR78" s="95"/>
      <c r="AS78" s="80"/>
      <c r="AT78" s="80"/>
      <c r="AU78" s="81" t="str">
        <f t="array" aca="1" ref="AU78" ca="1">IF(COUNTIF(AZ36,"*合計*"),"",
IF(AV36=BC71,
IFERROR(
SUBSTITUTE(ADDRESS(1,
COLUMN(INDIRECT("数出表_Excel!"&amp;BB71&amp; (MATCH(AZ36,数出表_Excel!$A:$A,0)-1))) - 1 +
MATCH(TRUE, ISNUMBER(--INDIRECT("数出表_Excel!"&amp;BB71&amp; (MATCH(AZ36,数出表_Excel!$A:$A,0)-1) &amp; ":U" &amp; (MATCH(AZ36,数出表_Excel!$A:$A,0)-1))), 0)+1,4),"1",""),
""),
IFERROR(
SUBSTITUTE(ADDRESS(1,
COLUMN(INDIRECT("数出表_Excel!B" &amp; (MATCH(AZ36,数出表_Excel!$A:$A,0)-1))) - 1 +
MATCH(TRUE, ISNUMBER(--INDIRECT("数出表_Excel!B" &amp; (MATCH(AZ36,数出表_Excel!$A:$A,0)-1) &amp; ":U" &amp; (MATCH(AZ36,数出表_Excel!$A:$A,0)-1))), 0)+1,4),"1",""),
"")))</f>
        <v/>
      </c>
      <c r="AV78" s="191" t="str">
        <f ca="1">IF(AV81&lt;&gt;"",AV36,"")</f>
        <v/>
      </c>
      <c r="AW78" s="192"/>
      <c r="AX78" s="192"/>
      <c r="AY78" s="192"/>
      <c r="AZ78" s="99"/>
      <c r="BA78" s="80"/>
      <c r="BB78" s="81" t="str">
        <f t="array" aca="1" ref="BB78" ca="1">IF(COUNTIF(BG36,"*合計*"),"",
IF(BC36=AV78,
IFERROR(
SUBSTITUTE(ADDRESS(1,
COLUMN(INDIRECT("数出表_Excel!"&amp;AU78&amp; (MATCH(BG36,数出表_Excel!$A:$A,0)-1))) - 1 +
MATCH(TRUE, ISNUMBER(--INDIRECT("数出表_Excel!"&amp;AU78&amp; (MATCH(BG36,数出表_Excel!$A:$A,0)-1) &amp; ":U" &amp; (MATCH(BG36,数出表_Excel!$A:$A,0)-1))), 0)+1,4),"1",""),
""),
IFERROR(
SUBSTITUTE(ADDRESS(1,
COLUMN(INDIRECT("数出表_Excel!B" &amp; (MATCH(BG36,数出表_Excel!$A:$A,0)-1))) - 1 +
MATCH(TRUE, ISNUMBER(--INDIRECT("数出表_Excel!B" &amp; (MATCH(BG36,数出表_Excel!$A:$A,0)-1) &amp; ":U" &amp; (MATCH(BG36,数出表_Excel!$A:$A,0)-1))), 0)+1,4),"1",""),
"")))</f>
        <v/>
      </c>
      <c r="BC78" s="191" t="str">
        <f ca="1">IF(BC81&lt;&gt;"",BC36,"")</f>
        <v/>
      </c>
      <c r="BD78" s="192"/>
      <c r="BE78" s="192"/>
      <c r="BF78" s="192"/>
      <c r="BG78" s="95"/>
      <c r="BH78" s="80"/>
      <c r="BI78" s="80"/>
      <c r="BJ78" s="81" t="str">
        <f t="array" aca="1" ref="BJ78" ca="1">IF(COUNTIF(BO36,"*合計*"),"",
IF(BK36=BR71,
IFERROR(
SUBSTITUTE(ADDRESS(1,
COLUMN(INDIRECT("数出表_Excel!"&amp;BQ71&amp; (MATCH(BO36,数出表_Excel!$A:$A,0)-1))) - 1 +
MATCH(TRUE, ISNUMBER(--INDIRECT("数出表_Excel!"&amp;BQ71&amp; (MATCH(BO36,数出表_Excel!$A:$A,0)-1) &amp; ":U" &amp; (MATCH(BO36,数出表_Excel!$A:$A,0)-1))), 0)+1,4),"1",""),
""),
IFERROR(
SUBSTITUTE(ADDRESS(1,
COLUMN(INDIRECT("数出表_Excel!B" &amp; (MATCH(BO36,数出表_Excel!$A:$A,0)-1))) - 1 +
MATCH(TRUE, ISNUMBER(--INDIRECT("数出表_Excel!B" &amp; (MATCH(BO36,数出表_Excel!$A:$A,0)-1) &amp; ":U" &amp; (MATCH(BO36,数出表_Excel!$A:$A,0)-1))), 0)+1,4),"1",""),
"")))</f>
        <v/>
      </c>
      <c r="BK78" s="191" t="str">
        <f ca="1">IF(BK81&lt;&gt;"",BK36,"")</f>
        <v/>
      </c>
      <c r="BL78" s="192"/>
      <c r="BM78" s="192"/>
      <c r="BN78" s="192"/>
      <c r="BO78" s="99"/>
      <c r="BP78" s="80"/>
      <c r="BQ78" s="81" t="str">
        <f t="array" aca="1" ref="BQ78" ca="1">IF(COUNTIF(BV36,"*合計*"),"",
IF(BR36=BK78,
IFERROR(
SUBSTITUTE(ADDRESS(1,
COLUMN(INDIRECT("数出表_Excel!"&amp;BJ78&amp; (MATCH(BV36,数出表_Excel!$A:$A,0)-1))) - 1 +
MATCH(TRUE, ISNUMBER(--INDIRECT("数出表_Excel!"&amp;BJ78&amp; (MATCH(BV36,数出表_Excel!$A:$A,0)-1) &amp; ":U" &amp; (MATCH(BV36,数出表_Excel!$A:$A,0)-1))), 0)+1,4),"1",""),
""),
IFERROR(
SUBSTITUTE(ADDRESS(1,
COLUMN(INDIRECT("数出表_Excel!B" &amp; (MATCH(BV36,数出表_Excel!$A:$A,0)-1))) - 1 +
MATCH(TRUE, ISNUMBER(--INDIRECT("数出表_Excel!B" &amp; (MATCH(BV36,数出表_Excel!$A:$A,0)-1) &amp; ":U" &amp; (MATCH(BV36,数出表_Excel!$A:$A,0)-1))), 0)+1,4),"1",""),
"")))</f>
        <v/>
      </c>
      <c r="BR78" s="191" t="str">
        <f ca="1">IF(BR81&lt;&gt;"",BR36,"")</f>
        <v/>
      </c>
      <c r="BS78" s="192"/>
      <c r="BT78" s="192"/>
      <c r="BU78" s="192"/>
      <c r="BV78" s="95"/>
      <c r="BW78" s="80"/>
      <c r="BX78" s="80"/>
      <c r="BY78" s="81" t="str">
        <f t="array" aca="1" ref="BY78" ca="1">IF(COUNTIF(CD36,"*合計*"),"",
IF(BZ36=CG71,
IFERROR(
SUBSTITUTE(ADDRESS(1,
COLUMN(INDIRECT("数出表_Excel!"&amp;CF71&amp; (MATCH(CD36,数出表_Excel!$A:$A,0)-1))) - 1 +
MATCH(TRUE, ISNUMBER(--INDIRECT("数出表_Excel!"&amp;CF71&amp; (MATCH(CD36,数出表_Excel!$A:$A,0)-1) &amp; ":U" &amp; (MATCH(CD36,数出表_Excel!$A:$A,0)-1))), 0)+1,4),"1",""),
""),
IFERROR(
SUBSTITUTE(ADDRESS(1,
COLUMN(INDIRECT("数出表_Excel!B" &amp; (MATCH(CD36,数出表_Excel!$A:$A,0)-1))) - 1 +
MATCH(TRUE, ISNUMBER(--INDIRECT("数出表_Excel!B" &amp; (MATCH(CD36,数出表_Excel!$A:$A,0)-1) &amp; ":U" &amp; (MATCH(CD36,数出表_Excel!$A:$A,0)-1))), 0)+1,4),"1",""),
"")))</f>
        <v/>
      </c>
      <c r="BZ78" s="191" t="str">
        <f ca="1">IF(BZ81&lt;&gt;"",BZ36,"")</f>
        <v/>
      </c>
      <c r="CA78" s="192"/>
      <c r="CB78" s="192"/>
      <c r="CC78" s="192"/>
      <c r="CD78" s="99"/>
      <c r="CE78" s="80"/>
      <c r="CF78" s="81" t="str">
        <f t="array" aca="1" ref="CF78" ca="1">IF(COUNTIF(CK36,"*合計*"),"",
IF(CG36=BZ78,
IFERROR(
SUBSTITUTE(ADDRESS(1,
COLUMN(INDIRECT("数出表_Excel!"&amp;BY78&amp; (MATCH(CK36,数出表_Excel!$A:$A,0)-1))) - 1 +
MATCH(TRUE, ISNUMBER(--INDIRECT("数出表_Excel!"&amp;BY78&amp; (MATCH(CK36,数出表_Excel!$A:$A,0)-1) &amp; ":U" &amp; (MATCH(CK36,数出表_Excel!$A:$A,0)-1))), 0)+1,4),"1",""),
""),
IFERROR(
SUBSTITUTE(ADDRESS(1,
COLUMN(INDIRECT("数出表_Excel!B" &amp; (MATCH(CK36,数出表_Excel!$A:$A,0)-1))) - 1 +
MATCH(TRUE, ISNUMBER(--INDIRECT("数出表_Excel!B" &amp; (MATCH(CK36,数出表_Excel!$A:$A,0)-1) &amp; ":U" &amp; (MATCH(CK36,数出表_Excel!$A:$A,0)-1))), 0)+1,4),"1",""),
"")))</f>
        <v/>
      </c>
      <c r="CG78" s="191" t="str">
        <f ca="1">IF(CG81&lt;&gt;"",CG36,"")</f>
        <v/>
      </c>
      <c r="CH78" s="192"/>
      <c r="CI78" s="192"/>
      <c r="CJ78" s="192"/>
      <c r="CK78" s="95"/>
      <c r="CL78" s="80"/>
      <c r="CM78" s="80"/>
      <c r="CN78" s="81" t="str">
        <f t="array" aca="1" ref="CN78" ca="1">IF(COUNTIF(CS36,"*合計*"),"",
IF(CO36=CV71,
IFERROR(
SUBSTITUTE(ADDRESS(1,
COLUMN(INDIRECT("数出表_Excel!"&amp;CU71&amp; (MATCH(CS36,数出表_Excel!$A:$A,0)-1))) - 1 +
MATCH(TRUE, ISNUMBER(--INDIRECT("数出表_Excel!"&amp;CU71&amp; (MATCH(CS36,数出表_Excel!$A:$A,0)-1) &amp; ":U" &amp; (MATCH(CS36,数出表_Excel!$A:$A,0)-1))), 0)+1,4),"1",""),
""),
IFERROR(
SUBSTITUTE(ADDRESS(1,
COLUMN(INDIRECT("数出表_Excel!B" &amp; (MATCH(CS36,数出表_Excel!$A:$A,0)-1))) - 1 +
MATCH(TRUE, ISNUMBER(--INDIRECT("数出表_Excel!B" &amp; (MATCH(CS36,数出表_Excel!$A:$A,0)-1) &amp; ":U" &amp; (MATCH(CS36,数出表_Excel!$A:$A,0)-1))), 0)+1,4),"1",""),
"")))</f>
        <v/>
      </c>
      <c r="CO78" s="191" t="str">
        <f ca="1">IF(CO81&lt;&gt;"",CO36,"")</f>
        <v/>
      </c>
      <c r="CP78" s="192"/>
      <c r="CQ78" s="192"/>
      <c r="CR78" s="192"/>
      <c r="CS78" s="99"/>
      <c r="CT78" s="80"/>
      <c r="CU78" s="81" t="str">
        <f t="array" aca="1" ref="CU78" ca="1">IF(COUNTIF(CZ36,"*合計*"),"",
IF(CV36=CO78,
IFERROR(
SUBSTITUTE(ADDRESS(1,
COLUMN(INDIRECT("数出表_Excel!"&amp;CN78&amp; (MATCH(CZ36,数出表_Excel!$A:$A,0)-1))) - 1 +
MATCH(TRUE, ISNUMBER(--INDIRECT("数出表_Excel!"&amp;CN78&amp; (MATCH(CZ36,数出表_Excel!$A:$A,0)-1) &amp; ":U" &amp; (MATCH(CZ36,数出表_Excel!$A:$A,0)-1))), 0)+1,4),"1",""),
""),
IFERROR(
SUBSTITUTE(ADDRESS(1,
COLUMN(INDIRECT("数出表_Excel!B" &amp; (MATCH(CZ36,数出表_Excel!$A:$A,0)-1))) - 1 +
MATCH(TRUE, ISNUMBER(--INDIRECT("数出表_Excel!B" &amp; (MATCH(CZ36,数出表_Excel!$A:$A,0)-1) &amp; ":U" &amp; (MATCH(CZ36,数出表_Excel!$A:$A,0)-1))), 0)+1,4),"1",""),
"")))</f>
        <v/>
      </c>
      <c r="CV78" s="191" t="str">
        <f ca="1">IF(CV81&lt;&gt;"",CV36,"")</f>
        <v/>
      </c>
      <c r="CW78" s="192"/>
      <c r="CX78" s="192"/>
      <c r="CY78" s="192"/>
      <c r="CZ78" s="95"/>
      <c r="DA78" s="80"/>
      <c r="DB78" s="80"/>
      <c r="DC78" s="81" t="str">
        <f t="array" aca="1" ref="DC78" ca="1">IF(COUNTIF(DH36,"*合計*"),"",
IF(DD36=DK71,
IFERROR(
SUBSTITUTE(ADDRESS(1,
COLUMN(INDIRECT("数出表_Excel!"&amp;DJ71&amp; (MATCH(DH36,数出表_Excel!$A:$A,0)-1))) - 1 +
MATCH(TRUE, ISNUMBER(--INDIRECT("数出表_Excel!"&amp;DJ71&amp; (MATCH(DH36,数出表_Excel!$A:$A,0)-1) &amp; ":U" &amp; (MATCH(DH36,数出表_Excel!$A:$A,0)-1))), 0)+1,4),"1",""),
""),
IFERROR(
SUBSTITUTE(ADDRESS(1,
COLUMN(INDIRECT("数出表_Excel!B" &amp; (MATCH(DH36,数出表_Excel!$A:$A,0)-1))) - 1 +
MATCH(TRUE, ISNUMBER(--INDIRECT("数出表_Excel!B" &amp; (MATCH(DH36,数出表_Excel!$A:$A,0)-1) &amp; ":U" &amp; (MATCH(DH36,数出表_Excel!$A:$A,0)-1))), 0)+1,4),"1",""),
"")))</f>
        <v/>
      </c>
      <c r="DD78" s="191" t="str">
        <f ca="1">IF(DD81&lt;&gt;"",DD36,"")</f>
        <v/>
      </c>
      <c r="DE78" s="192"/>
      <c r="DF78" s="192"/>
      <c r="DG78" s="192"/>
      <c r="DH78" s="99"/>
      <c r="DI78" s="80"/>
      <c r="DJ78" s="81" t="str">
        <f t="array" aca="1" ref="DJ78" ca="1">IF(COUNTIF(DO36,"*合計*"),"",
IF(DK36=DD78,
IFERROR(
SUBSTITUTE(ADDRESS(1,
COLUMN(INDIRECT("数出表_Excel!"&amp;DC78&amp; (MATCH(DO36,数出表_Excel!$A:$A,0)-1))) - 1 +
MATCH(TRUE, ISNUMBER(--INDIRECT("数出表_Excel!"&amp;DC78&amp; (MATCH(DO36,数出表_Excel!$A:$A,0)-1) &amp; ":U" &amp; (MATCH(DO36,数出表_Excel!$A:$A,0)-1))), 0)+1,4),"1",""),
""),
IFERROR(
SUBSTITUTE(ADDRESS(1,
COLUMN(INDIRECT("数出表_Excel!B" &amp; (MATCH(DO36,数出表_Excel!$A:$A,0)-1))) - 1 +
MATCH(TRUE, ISNUMBER(--INDIRECT("数出表_Excel!B" &amp; (MATCH(DO36,数出表_Excel!$A:$A,0)-1) &amp; ":U" &amp; (MATCH(DO36,数出表_Excel!$A:$A,0)-1))), 0)+1,4),"1",""),
"")))</f>
        <v/>
      </c>
      <c r="DK78" s="191" t="str">
        <f ca="1">IF(DK81&lt;&gt;"",DK36,"")</f>
        <v/>
      </c>
      <c r="DL78" s="192"/>
      <c r="DM78" s="192"/>
      <c r="DN78" s="192"/>
      <c r="DO78" s="95"/>
      <c r="DP78" s="80"/>
      <c r="DQ78" s="80"/>
      <c r="DR78" s="81" t="str">
        <f t="array" aca="1" ref="DR78" ca="1">IF(COUNTIF(DW36,"*合計*"),"",
IF(DS36=DZ71,
IFERROR(
SUBSTITUTE(ADDRESS(1,
COLUMN(INDIRECT("数出表_Excel!"&amp;DY71&amp; (MATCH(DW36,数出表_Excel!$A:$A,0)-1))) - 1 +
MATCH(TRUE, ISNUMBER(--INDIRECT("数出表_Excel!"&amp;DY71&amp; (MATCH(DW36,数出表_Excel!$A:$A,0)-1) &amp; ":U" &amp; (MATCH(DW36,数出表_Excel!$A:$A,0)-1))), 0)+1,4),"1",""),
""),
IFERROR(
SUBSTITUTE(ADDRESS(1,
COLUMN(INDIRECT("数出表_Excel!B" &amp; (MATCH(DW36,数出表_Excel!$A:$A,0)-1))) - 1 +
MATCH(TRUE, ISNUMBER(--INDIRECT("数出表_Excel!B" &amp; (MATCH(DW36,数出表_Excel!$A:$A,0)-1) &amp; ":U" &amp; (MATCH(DW36,数出表_Excel!$A:$A,0)-1))), 0)+1,4),"1",""),
"")))</f>
        <v/>
      </c>
      <c r="DS78" s="191" t="str">
        <f ca="1">IF(DS81&lt;&gt;"",DS36,"")</f>
        <v/>
      </c>
      <c r="DT78" s="192"/>
      <c r="DU78" s="192"/>
      <c r="DV78" s="192"/>
      <c r="DW78" s="99"/>
      <c r="DX78" s="80"/>
      <c r="DY78" s="81" t="str">
        <f t="array" aca="1" ref="DY78" ca="1">IF(COUNTIF(ED36,"*合計*"),"",
IF(DZ36=DS78,
IFERROR(
SUBSTITUTE(ADDRESS(1,
COLUMN(INDIRECT("数出表_Excel!"&amp;DR78&amp; (MATCH(ED36,数出表_Excel!$A:$A,0)-1))) - 1 +
MATCH(TRUE, ISNUMBER(--INDIRECT("数出表_Excel!"&amp;DR78&amp; (MATCH(ED36,数出表_Excel!$A:$A,0)-1) &amp; ":U" &amp; (MATCH(ED36,数出表_Excel!$A:$A,0)-1))), 0)+1,4),"1",""),
""),
IFERROR(
SUBSTITUTE(ADDRESS(1,
COLUMN(INDIRECT("数出表_Excel!B" &amp; (MATCH(ED36,数出表_Excel!$A:$A,0)-1))) - 1 +
MATCH(TRUE, ISNUMBER(--INDIRECT("数出表_Excel!B" &amp; (MATCH(ED36,数出表_Excel!$A:$A,0)-1) &amp; ":U" &amp; (MATCH(ED36,数出表_Excel!$A:$A,0)-1))), 0)+1,4),"1",""),
"")))</f>
        <v/>
      </c>
      <c r="DZ78" s="191" t="str">
        <f ca="1">IF(DZ81&lt;&gt;"",DZ36,"")</f>
        <v/>
      </c>
      <c r="EA78" s="192"/>
      <c r="EB78" s="192"/>
      <c r="EC78" s="192"/>
      <c r="ED78" s="95"/>
      <c r="EE78" s="80"/>
      <c r="EF78" s="80"/>
      <c r="EG78" s="81" t="str">
        <f t="array" aca="1" ref="EG78" ca="1">IF(COUNTIF(EL36,"*合計*"),"",
IF(EH36=EO71,
IFERROR(
SUBSTITUTE(ADDRESS(1,
COLUMN(INDIRECT("数出表_Excel!"&amp;EN71&amp; (MATCH(EL36,数出表_Excel!$A:$A,0)-1))) - 1 +
MATCH(TRUE, ISNUMBER(--INDIRECT("数出表_Excel!"&amp;EN71&amp; (MATCH(EL36,数出表_Excel!$A:$A,0)-1) &amp; ":U" &amp; (MATCH(EL36,数出表_Excel!$A:$A,0)-1))), 0)+1,4),"1",""),
""),
IFERROR(
SUBSTITUTE(ADDRESS(1,
COLUMN(INDIRECT("数出表_Excel!B" &amp; (MATCH(EL36,数出表_Excel!$A:$A,0)-1))) - 1 +
MATCH(TRUE, ISNUMBER(--INDIRECT("数出表_Excel!B" &amp; (MATCH(EL36,数出表_Excel!$A:$A,0)-1) &amp; ":U" &amp; (MATCH(EL36,数出表_Excel!$A:$A,0)-1))), 0)+1,4),"1",""),
"")))</f>
        <v/>
      </c>
      <c r="EH78" s="191" t="str">
        <f ca="1">IF(EH81&lt;&gt;"",EH36,"")</f>
        <v/>
      </c>
      <c r="EI78" s="192"/>
      <c r="EJ78" s="192"/>
      <c r="EK78" s="192"/>
      <c r="EL78" s="99"/>
      <c r="EM78" s="80"/>
      <c r="EN78" s="81" t="str">
        <f t="array" aca="1" ref="EN78" ca="1">IF(COUNTIF(ES36,"*合計*"),"",
IF(EO36=EH78,
IFERROR(
SUBSTITUTE(ADDRESS(1,
COLUMN(INDIRECT("数出表_Excel!"&amp;EG78&amp; (MATCH(ES36,数出表_Excel!$A:$A,0)-1))) - 1 +
MATCH(TRUE, ISNUMBER(--INDIRECT("数出表_Excel!"&amp;EG78&amp; (MATCH(ES36,数出表_Excel!$A:$A,0)-1) &amp; ":U" &amp; (MATCH(ES36,数出表_Excel!$A:$A,0)-1))), 0)+1,4),"1",""),
""),
IFERROR(
SUBSTITUTE(ADDRESS(1,
COLUMN(INDIRECT("数出表_Excel!B" &amp; (MATCH(ES36,数出表_Excel!$A:$A,0)-1))) - 1 +
MATCH(TRUE, ISNUMBER(--INDIRECT("数出表_Excel!B" &amp; (MATCH(ES36,数出表_Excel!$A:$A,0)-1) &amp; ":U" &amp; (MATCH(ES36,数出表_Excel!$A:$A,0)-1))), 0)+1,4),"1",""),
"")))</f>
        <v/>
      </c>
      <c r="EO78" s="191" t="str">
        <f ca="1">IF(EO81&lt;&gt;"",EO36,"")</f>
        <v/>
      </c>
      <c r="EP78" s="192"/>
      <c r="EQ78" s="192"/>
      <c r="ER78" s="192"/>
      <c r="ES78" s="95"/>
      <c r="ET78" s="110"/>
      <c r="EU78" s="82">
        <f>EU74+7</f>
        <v>49</v>
      </c>
      <c r="EV78" s="82" t="str">
        <f t="array" aca="1" ref="EV78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LEN(SUBSTITUTE(_xlfn.FORMULATEXT(EV$73),"=","")))+$EU78)</f>
        <v/>
      </c>
      <c r="EW78" s="82" t="str">
        <f t="array" aca="1" ref="EW78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LEN(SUBSTITUTE(_xlfn.FORMULATEXT(EW$73),"=","")))+$EU78)</f>
        <v/>
      </c>
      <c r="EX78" s="82" t="str">
        <f t="array" aca="1" ref="EX78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LEN(SUBSTITUTE(_xlfn.FORMULATEXT(EX$73),"=","")))+$EU78)</f>
        <v/>
      </c>
      <c r="EY78" s="82" t="str">
        <f t="array" aca="1" ref="EY78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LEN(SUBSTITUTE(_xlfn.FORMULATEXT(EY$73),"=","")))+$EU78)</f>
        <v/>
      </c>
      <c r="EZ78" s="82" t="str">
        <f t="array" aca="1" ref="EZ78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LEN(SUBSTITUTE(_xlfn.FORMULATEXT(EZ$73),"=","")))+$EU78)</f>
        <v/>
      </c>
      <c r="FA78" s="82" t="str">
        <f t="array" aca="1" ref="FA78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LEN(SUBSTITUTE(_xlfn.FORMULATEXT(FA$73),"=","")))+$EU78)</f>
        <v/>
      </c>
      <c r="FB78" s="82" t="str">
        <f t="array" aca="1" ref="FB78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LEN(SUBSTITUTE(_xlfn.FORMULATEXT(FB$73),"=","")))+$EU78)</f>
        <v/>
      </c>
      <c r="FC78" s="82" t="str">
        <f t="array" aca="1" ref="FC78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LEN(SUBSTITUTE(_xlfn.FORMULATEXT(FC$73),"=","")))+$EU78)</f>
        <v/>
      </c>
      <c r="FD78" s="82" t="str">
        <f t="array" aca="1" ref="FD78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LEN(SUBSTITUTE(_xlfn.FORMULATEXT(FD$73),"=","")))+$EU78)</f>
        <v/>
      </c>
      <c r="FE78" s="82" t="str">
        <f t="array" aca="1" ref="FE78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LEN(SUBSTITUTE(_xlfn.FORMULATEXT(FE$73),"=","")))+$EU78)</f>
        <v/>
      </c>
      <c r="FF78" s="82" t="str">
        <f t="array" aca="1" ref="FF78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LEN(SUBSTITUTE(_xlfn.FORMULATEXT(FF$73),"=","")))+$EU78)</f>
        <v/>
      </c>
      <c r="FG78" s="82">
        <f t="shared" ca="1" si="5"/>
        <v>0</v>
      </c>
      <c r="FH78" s="82" t="b">
        <f t="array" aca="1" ref="FH78" ca="1">SUMPRODUCT((LEN(EV78:FF78)&gt;0)*1)&gt;0</f>
        <v>0</v>
      </c>
      <c r="FI78" s="82" t="str">
        <f t="array" aca="1" ref="FI78" ca="1">IFERROR(SMALL(IF(FG$1:FG$173&lt;&gt;0,FG$1:FG$173),ROW(A78)),"")</f>
        <v/>
      </c>
      <c r="FJ78" s="82" t="str">
        <f t="array" aca="1" ref="FJ78" ca="1">IF($FI78&lt;&gt;"",
INDIRECT(""&amp;IF(COLUMN(EV78)&lt;=26,CHAR(COLUMN(EV78)+64),CHAR(INT((COLUMN(EV78)-1)/26)+64)&amp;CHAR(MOD(COLUMN(EV78)-1,26)+65))&amp;$FI78&amp;""),"")</f>
        <v/>
      </c>
      <c r="FK78" s="82" t="str">
        <f t="array" aca="1" ref="FK78" ca="1">IF($FI78&lt;&gt;"",
INDIRECT(""&amp;IF(COLUMN(EW78)&lt;=26,CHAR(COLUMN(EW78)+64),CHAR(INT((COLUMN(EW78)-1)/26)+64)&amp;CHAR(MOD(COLUMN(EW78)-1,26)+65))&amp;$FI78&amp;""),"")</f>
        <v/>
      </c>
      <c r="FL78" s="82" t="str">
        <f t="array" aca="1" ref="FL78" ca="1">IF($FI78&lt;&gt;"",
INDIRECT(""&amp;IF(COLUMN(EX78)&lt;=26,CHAR(COLUMN(EX78)+64),CHAR(INT((COLUMN(EX78)-1)/26)+64)&amp;CHAR(MOD(COLUMN(EX78)-1,26)+65))&amp;$FI78&amp;""),"")</f>
        <v/>
      </c>
      <c r="FM78" s="82" t="str">
        <f t="array" aca="1" ref="FM78" ca="1">IF($FI78&lt;&gt;"",
IF(FL78="",
IF(INDIRECT("EY"&amp;$FI78&amp;"")&lt;&gt;"",
INDIRECT("EY"&amp;$FI78&amp;"")&amp;"箱"
&amp;INDIRECT("EZ"&amp;$FI78&amp;""),""),""),"")</f>
        <v/>
      </c>
      <c r="FN78" s="82" t="str">
        <f t="array" aca="1" ref="FN78" ca="1">IF($FI78&lt;&gt;"",
INDIRECT(""&amp;IF(COLUMN(FA78)&lt;=26,CHAR(COLUMN(FA78)+64),CHAR(INT((COLUMN(FA78)-1)/26)+64)&amp;CHAR(MOD(COLUMN(FA78)-1,26)+65))&amp;$FI78&amp;""),"")</f>
        <v/>
      </c>
      <c r="FO78" s="82" t="str">
        <f t="array" aca="1" ref="FO78" ca="1">IF($FI78&lt;&gt;"",
INDIRECT(""&amp;IF(COLUMN(FB78)&lt;=26,CHAR(COLUMN(FB78)+64),CHAR(INT((COLUMN(FB78)-1)/26)+64)&amp;CHAR(MOD(COLUMN(FB78)-1,26)+65))&amp;$FI78&amp;""),"")</f>
        <v/>
      </c>
      <c r="FP78" s="82" t="str">
        <f t="array" aca="1" ref="FP78" ca="1">IF($FI78&lt;&gt;"",
INDIRECT(""&amp;IF(COLUMN(FC78)&lt;=26,CHAR(COLUMN(FC78)+64),CHAR(INT((COLUMN(FC78)-1)/26)+64)&amp;CHAR(MOD(COLUMN(FC78)-1,26)+65))&amp;$FI78&amp;""),"")</f>
        <v/>
      </c>
      <c r="FQ78" s="82" t="str">
        <f t="array" aca="1" ref="FQ78" ca="1">IF($FI78&lt;&gt;"",
INDIRECT(""&amp;IF(COLUMN(FD78)&lt;=26,CHAR(COLUMN(FD78)+64),CHAR(INT((COLUMN(FD78)-1)/26)+64)&amp;CHAR(MOD(COLUMN(FD78)-1,26)+65))&amp;$FI78&amp;""),"")</f>
        <v/>
      </c>
      <c r="FR78" s="82" t="str">
        <f t="array" aca="1" ref="FR78" ca="1">IF($FI78&lt;&gt;"",
INDIRECT(""&amp;IF(COLUMN(FE78)&lt;=26,CHAR(COLUMN(FE78)+64),CHAR(INT((COLUMN(FE78)-1)/26)+64)&amp;CHAR(MOD(COLUMN(FE78)-1,26)+65))&amp;$FI78&amp;""),"")</f>
        <v/>
      </c>
      <c r="FS78" s="82" t="str">
        <f t="array" aca="1" ref="FS78" ca="1">IF($FI78&lt;&gt;"",
INDIRECT(""&amp;IF(COLUMN(FF78)&lt;=26,CHAR(COLUMN(FF78)+64),CHAR(INT((COLUMN(FF78)-1)/26)+64)&amp;CHAR(MOD(COLUMN(FF78)-1,26)+65))&amp;$FI78&amp;""),"")</f>
        <v/>
      </c>
    </row>
    <row r="79" spans="1:175" s="82" customFormat="1" ht="19.2" customHeight="1" x14ac:dyDescent="0.55000000000000004">
      <c r="A79" s="80"/>
      <c r="B79" s="85" t="e">
        <f t="array" aca="1" ref="B79" ca="1">IF(B38&lt;&gt;100,
IF(C81&lt;&gt;"",MATCH(C81,INDIRECT("数出表_Excel!B"&amp;MATCH(G36,数出表_Excel!$A:$A,0)-1&amp;":U"&amp;MATCH(G36,数出表_Excel!$A:$A,0)-1&amp;""),0)+1,""),
IF(C81&lt;&gt;"",
MATCH(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INDIRECT("数出表_Excel!B"&amp;MATCH(G36,数出表_Excel!$A:$A,0)-1&amp;":U"&amp;MATCH(G36,数出表_Excel!$A:$A,0)-1&amp;""),0)+1,""))</f>
        <v>#N/A</v>
      </c>
      <c r="C79" s="62" t="str">
        <f t="array" aca="1" ref="C79" ca="1">IF(C36=J71,"",IFERROR(IF(OR(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"3"),"*配膳*"),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"3"),"*カレー*"),
COUNTIF(C36,"*合計*")),"",
IF(IFERROR(INDIRECT("数出表_Excel!"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"3"),0)=0,"",
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"3"),""))),""))</f>
        <v/>
      </c>
      <c r="D79" s="80"/>
      <c r="E79" s="86" t="str">
        <f t="array" aca="1" ref="E79" ca="1">IF(F79&lt;&gt;"","",
IF(COUNTIF(C78,"*雙葉*"),"",
IF(C78&lt;&gt;"",
IF(
(COLUMN(INDIRECT("数出表_Excel!B" &amp; (MATCH(G36,数出表_Excel!$A:$A,0)-1))) - 1 +
MATCH(TRUE, ISNUMBER(--INDIRECT("数出表_Excel!B" &amp; (MATCH(G36,数出表_Excel!$A:$A,0)-1) &amp; ":U" &amp; (MATCH(G36,数出表_Excel!$A:$A,0)-1))), 0)+1
+MATCH(TRUE,INDIRECT("'数出表_Excel'!"&amp;B78&amp;MATCH(G36,数出表_Excel!$A:$A,0)-1&amp;":AL"&amp;MATCH(G36,数出表_Excel!$A:$A,0)-1&amp;"")&lt;&gt;"",0))&gt;12,"",
IFERROR(
INDEX(INDIRECT("数出表_Excel!$"&amp;B78&amp;"4:$AL4"),
 1,
MATCH(TRUE,INDIRECT("'数出表_Excel'!"&amp;B78&amp;MATCH(G36,数出表_Excel!$A:$A,0)-1&amp;":AL"&amp;MATCH(G36,数出表_Excel!$A:$A,0)-1&amp;"")&lt;&gt;"",0)
),
 "")
&amp;IFERROR(
INDEX(INDIRECT("数出表_Excel!$"&amp;B78&amp;"5:$AL5"),
 1,
MATCH(TRUE,INDIRECT("'数出表_Excel'!"&amp;B78&amp;MATCH(G36,数出表_Excel!$A:$A,0)-1&amp;":AL"&amp;MATCH(G36,数出表_Excel!$A:$A,0)-1&amp;"")&lt;&gt;"",0)),
 "")),"")))</f>
        <v/>
      </c>
      <c r="F79" s="87" t="str">
        <f t="array" aca="1" ref="F79" ca="1">IF(C79&lt;&gt;"",
IF(COUNTIF(C78,"*雙葉*"),
IF(ROUND(
IF(F84&lt;&gt;"",(C81-F84),C81)
/IF(COUNTIF(C79,"*キャラ*"),
VLOOKUP("*キャラ*",商品マスタ一覧!$D:$J,7,FALSE),
IF(COUNTIF(C79,"*赤*"),
VLOOKUP("*赤*",商品マスタ一覧!$D:$J,7,FALSE),
VLOOKUP(C79,商品マスタ一覧!$D:$J,7,FALSE))),0)&lt;=0,1,
ROUND(
IF(F84&lt;&gt;"",(C81-F84),C81)
/IF(COUNTIF(C79,"*キャラ*"),
VLOOKUP("*キャラ*",商品マスタ一覧!$D:$J,7,FALSE),
IF(COUNTIF(C79,"*赤*"),
VLOOKUP("*赤*",商品マスタ一覧!$D:$J,7,FALSE),
VLOOKUP(C79,商品マスタ一覧!$D:$J,7,FALSE))),0)),
IF(MATCH(TRUE,
ISNUMBER(--INDIRECT("'数出表_Excel（アレルギー入力）'!B"&amp;MATCH(G36,'数出表_Excel（アレルギー入力）'!$A:$A,0)-1&amp;":AL"&amp;MATCH(G36,'数出表_Excel（アレルギー入力）'!$A:$A,0)-1&amp;"")),0)&gt;10,
IF(C79&lt;&gt;"",
IF(IF(COUNTIF(C79,"*キャラ*"),
VLOOKUP("*キャラ*",商品マスタ一覧!$D:$J,7,FALSE),
IF(COUNTIF(C79,"*赤*"),
VLOOKUP("*赤*",商品マスタ一覧!$D:$J,7,FALSE),
VLOOKUP(C79,商品マスタ一覧!$D:$J,7,FALSE)))=0,"",
IF(ROUND(
IF(F84&lt;&gt;"",(C81-F84),C81)
/IF(COUNTIF(C79,"*キャラ*"),
VLOOKUP("*キャラ*",商品マスタ一覧!$D:$J,7,FALSE),
IF(COUNTIF(C79,"*赤*"),
VLOOKUP("*赤*",商品マスタ一覧!$D:$J,7,FALSE),
VLOOKUP(C79,商品マスタ一覧!$D:$J,7,FALSE))),0)&lt;=0,1,
ROUND(
IF(F84&lt;&gt;"",(C81-F84),C81)
/IF(COUNTIF(C79,"*キャラ*"),
VLOOKUP("*キャラ*",商品マスタ一覧!$D:$J,7,FALSE),
IF(COUNTIF(C79,"*赤*"),
VLOOKUP("*赤*",商品マスタ一覧!$D:$J,7,FALSE),
VLOOKUP(C79,商品マスタ一覧!$D:$J,7,FALSE))),0))),""),"")),"")</f>
        <v/>
      </c>
      <c r="G79" s="100" t="str">
        <f ca="1">IF(F79&lt;&gt;"",IF(C81&lt;&gt;"",IF(VALUE(IF(F84&lt;&gt;"",C81-F84,C81))&gt;VALUE(IF(COUNTIF('盛付札（関数）'!C79,"*キャラ*"),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
"+"&amp;IF(F84&lt;&gt;"",C81-F84,C81)-IF(COUNTIF('盛付札（関数）'!C79,"*キャラ*"),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VLOOKUP('盛付札（関数）'!C79,商品マスタ一覧!$D:$J,7,FALSE)))*F79,
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VLOOKUP('盛付札（関数）'!C79,商品マスタ一覧!$D:$J,7,FALSE)))*F79),""),"")</f>
        <v/>
      </c>
      <c r="H79" s="80"/>
      <c r="I79" s="85" t="e">
        <f t="array" aca="1" ref="I79" ca="1">IF(I38&lt;&gt;100,
IF(J81&lt;&gt;"",MATCH(J81,INDIRECT("数出表_Excel!B"&amp;MATCH(N36,数出表_Excel!$A:$A,0)-1&amp;":U"&amp;MATCH(N36,数出表_Excel!$A:$A,0)-1&amp;""),0)+1,""),
IF(J81&lt;&gt;"",
MATCH(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INDIRECT("数出表_Excel!B"&amp;MATCH(N36,数出表_Excel!$A:$A,0)-1&amp;":U"&amp;MATCH(N36,数出表_Excel!$A:$A,0)-1&amp;""),0)+1,""))</f>
        <v>#N/A</v>
      </c>
      <c r="J79" s="62" t="str">
        <f t="array" aca="1" ref="J79" ca="1">IF(J36=C78,"",IFERROR(IF(OR(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"3"),"*配膳*"),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"3"),"*カレー*"),
COUNTIF(J36,"*合計*")),"",
IF(IFERROR(INDIRECT("数出表_Excel!"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"3"),0)=0,"",
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"3"),""))),""))</f>
        <v/>
      </c>
      <c r="K79" s="80"/>
      <c r="L79" s="86" t="str">
        <f t="array" aca="1" ref="L79" ca="1">IF(M79&lt;&gt;"","",
IF(COUNTIF(J78,"*雙葉*"),"",
IF(J78&lt;&gt;"",
IF(
(COLUMN(INDIRECT("数出表_Excel!B" &amp; (MATCH(N36,数出表_Excel!$A:$A,0)-1))) - 1 +
MATCH(TRUE, ISNUMBER(--INDIRECT("数出表_Excel!B" &amp; (MATCH(N36,数出表_Excel!$A:$A,0)-1) &amp; ":U" &amp; (MATCH(N36,数出表_Excel!$A:$A,0)-1))), 0)+1
+MATCH(TRUE,INDIRECT("'数出表_Excel'!"&amp;I78&amp;MATCH(N36,数出表_Excel!$A:$A,0)-1&amp;":AL"&amp;MATCH(N36,数出表_Excel!$A:$A,0)-1&amp;"")&lt;&gt;"",0))&gt;12,"",
IFERROR(
INDEX(INDIRECT("数出表_Excel!$"&amp;I78&amp;"4:$AL4"),
 1,
MATCH(TRUE,INDIRECT("'数出表_Excel'!"&amp;I78&amp;MATCH(N36,数出表_Excel!$A:$A,0)-1&amp;":AL"&amp;MATCH(N36,数出表_Excel!$A:$A,0)-1&amp;"")&lt;&gt;"",0)
),
 "")
&amp;IFERROR(
INDEX(INDIRECT("数出表_Excel!$"&amp;I78&amp;"5:$AL5"),
 1,
MATCH(TRUE,INDIRECT("'数出表_Excel'!"&amp;I78&amp;MATCH(N36,数出表_Excel!$A:$A,0)-1&amp;":AL"&amp;MATCH(N36,数出表_Excel!$A:$A,0)-1&amp;"")&lt;&gt;"",0)),
 "")),"")))</f>
        <v/>
      </c>
      <c r="M79" s="87" t="str">
        <f t="array" aca="1" ref="M79" ca="1">IF(J79&lt;&gt;"",
IF(COUNTIF(J78,"*雙葉*"),
IF(ROUND(
IF(M84&lt;&gt;"",(J81-M84),J81)
/IF(COUNTIF(J79,"*キャラ*"),
VLOOKUP("*キャラ*",商品マスタ一覧!$D:$J,7,FALSE),
IF(COUNTIF(J79,"*赤*"),
VLOOKUP("*赤*",商品マスタ一覧!$D:$J,7,FALSE),
VLOOKUP(J79,商品マスタ一覧!$D:$J,7,FALSE))),0)&lt;=0,1,
ROUND(
IF(M84&lt;&gt;"",(J81-M84),J81)
/IF(COUNTIF(J79,"*キャラ*"),
VLOOKUP("*キャラ*",商品マスタ一覧!$D:$J,7,FALSE),
IF(COUNTIF(J79,"*赤*"),
VLOOKUP("*赤*",商品マスタ一覧!$D:$J,7,FALSE),
VLOOKUP(J79,商品マスタ一覧!$D:$J,7,FALSE))),0)),
IF(MATCH(TRUE,
ISNUMBER(--INDIRECT("'数出表_Excel（アレルギー入力）'!B"&amp;MATCH(N36,'数出表_Excel（アレルギー入力）'!$A:$A,0)-1&amp;":AL"&amp;MATCH(N36,'数出表_Excel（アレルギー入力）'!$A:$A,0)-1&amp;"")),0)&gt;10,
IF(J79&lt;&gt;"",
IF(IF(COUNTIF(J79,"*キャラ*"),
VLOOKUP("*キャラ*",商品マスタ一覧!$D:$J,7,FALSE),
IF(COUNTIF(J79,"*赤*"),
VLOOKUP("*赤*",商品マスタ一覧!$D:$J,7,FALSE),
VLOOKUP(J79,商品マスタ一覧!$D:$J,7,FALSE)))=0,"",
IF(ROUND(
IF(M84&lt;&gt;"",(J81-M84),J81)
/IF(COUNTIF(J79,"*キャラ*"),
VLOOKUP("*キャラ*",商品マスタ一覧!$D:$J,7,FALSE),
IF(COUNTIF(J79,"*赤*"),
VLOOKUP("*赤*",商品マスタ一覧!$D:$J,7,FALSE),
VLOOKUP(J79,商品マスタ一覧!$D:$J,7,FALSE))),0)&lt;=0,1,
ROUND(
IF(M84&lt;&gt;"",(J81-M84),J81)
/IF(COUNTIF(J79,"*キャラ*"),
VLOOKUP("*キャラ*",商品マスタ一覧!$D:$J,7,FALSE),
IF(COUNTIF(J79,"*赤*"),
VLOOKUP("*赤*",商品マスタ一覧!$D:$J,7,FALSE),
VLOOKUP(J79,商品マスタ一覧!$D:$J,7,FALSE))),0))),""),"")),"")</f>
        <v/>
      </c>
      <c r="N79" s="96" t="str">
        <f ca="1">IF(M79&lt;&gt;"",IF(J81&lt;&gt;"",IF(VALUE(IF(M84&lt;&gt;"",J81-M84,J81))&gt;VALUE(IF(COUNTIF('盛付札（関数）'!J79,"*キャラ*"),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
"+"&amp;IF(M84&lt;&gt;"",J81-M84,J81)-IF(COUNTIF('盛付札（関数）'!J79,"*キャラ*"),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VLOOKUP('盛付札（関数）'!J79,商品マスタ一覧!$D:$J,7,FALSE)))*M79,
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VLOOKUP('盛付札（関数）'!J79,商品マスタ一覧!$D:$J,7,FALSE)))*M79),""),"")</f>
        <v/>
      </c>
      <c r="O79" s="80"/>
      <c r="P79" s="80"/>
      <c r="Q79" s="85" t="e">
        <f t="array" aca="1" ref="Q79" ca="1">IF(Q38&lt;&gt;100,
IF(R81&lt;&gt;"",MATCH(R81,INDIRECT("数出表_Excel!B"&amp;MATCH(V36,数出表_Excel!$A:$A,0)-1&amp;":U"&amp;MATCH(V36,数出表_Excel!$A:$A,0)-1&amp;""),0)+1,""),
IF(R81&lt;&gt;"",
MATCH(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INDIRECT("数出表_Excel!B"&amp;MATCH(V36,数出表_Excel!$A:$A,0)-1&amp;":U"&amp;MATCH(V36,数出表_Excel!$A:$A,0)-1&amp;""),0)+1,""))</f>
        <v>#N/A</v>
      </c>
      <c r="R79" s="62" t="str">
        <f t="array" aca="1" ref="R79" ca="1">IF(R36=Y71,"",IFERROR(IF(OR(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"3"),"*配膳*"),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"3"),"*カレー*"),
COUNTIF(R36,"*合計*")),"",
IF(IFERROR(INDIRECT("数出表_Excel!"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"3"),0)=0,"",
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"3"),""))),""))</f>
        <v/>
      </c>
      <c r="S79" s="80"/>
      <c r="T79" s="86" t="str">
        <f t="array" aca="1" ref="T79" ca="1">IF(U79&lt;&gt;"","",
IF(COUNTIF(R78,"*雙葉*"),"",
IF(R78&lt;&gt;"",
IF(
(COLUMN(INDIRECT("数出表_Excel!B" &amp; (MATCH(V36,数出表_Excel!$A:$A,0)-1))) - 1 +
MATCH(TRUE, ISNUMBER(--INDIRECT("数出表_Excel!B" &amp; (MATCH(V36,数出表_Excel!$A:$A,0)-1) &amp; ":U" &amp; (MATCH(V36,数出表_Excel!$A:$A,0)-1))), 0)+1
+MATCH(TRUE,INDIRECT("'数出表_Excel'!"&amp;Q78&amp;MATCH(V36,数出表_Excel!$A:$A,0)-1&amp;":AL"&amp;MATCH(V36,数出表_Excel!$A:$A,0)-1&amp;"")&lt;&gt;"",0))&gt;12,"",
IFERROR(
INDEX(INDIRECT("数出表_Excel!$"&amp;Q78&amp;"4:$AL4"),
 1,
MATCH(TRUE,INDIRECT("'数出表_Excel'!"&amp;Q78&amp;MATCH(V36,数出表_Excel!$A:$A,0)-1&amp;":AL"&amp;MATCH(V36,数出表_Excel!$A:$A,0)-1&amp;"")&lt;&gt;"",0)
),
 "")
&amp;IFERROR(
INDEX(INDIRECT("数出表_Excel!$"&amp;Q78&amp;"5:$AL5"),
 1,
MATCH(TRUE,INDIRECT("'数出表_Excel'!"&amp;Q78&amp;MATCH(V36,数出表_Excel!$A:$A,0)-1&amp;":AL"&amp;MATCH(V36,数出表_Excel!$A:$A,0)-1&amp;"")&lt;&gt;"",0)),
 "")),"")))</f>
        <v/>
      </c>
      <c r="U79" s="87" t="str">
        <f t="array" aca="1" ref="U79" ca="1">IF(R79&lt;&gt;"",
IF(COUNTIF(R78,"*雙葉*"),
IF(ROUND(
IF(U84&lt;&gt;"",(R81-U84),R81)
/IF(COUNTIF(R79,"*キャラ*"),
VLOOKUP("*キャラ*",商品マスタ一覧!$D:$J,7,FALSE),
IF(COUNTIF(R79,"*赤*"),
VLOOKUP("*赤*",商品マスタ一覧!$D:$J,7,FALSE),
VLOOKUP(R79,商品マスタ一覧!$D:$J,7,FALSE))),0)&lt;=0,1,
ROUND(
IF(U84&lt;&gt;"",(R81-U84),R81)
/IF(COUNTIF(R79,"*キャラ*"),
VLOOKUP("*キャラ*",商品マスタ一覧!$D:$J,7,FALSE),
IF(COUNTIF(R79,"*赤*"),
VLOOKUP("*赤*",商品マスタ一覧!$D:$J,7,FALSE),
VLOOKUP(R79,商品マスタ一覧!$D:$J,7,FALSE))),0)),
IF(MATCH(TRUE,
ISNUMBER(--INDIRECT("'数出表_Excel（アレルギー入力）'!B"&amp;MATCH(V36,'数出表_Excel（アレルギー入力）'!$A:$A,0)-1&amp;":AL"&amp;MATCH(V36,'数出表_Excel（アレルギー入力）'!$A:$A,0)-1&amp;"")),0)&gt;10,
IF(R79&lt;&gt;"",
IF(IF(COUNTIF(R79,"*キャラ*"),
VLOOKUP("*キャラ*",商品マスタ一覧!$D:$J,7,FALSE),
IF(COUNTIF(R79,"*赤*"),
VLOOKUP("*赤*",商品マスタ一覧!$D:$J,7,FALSE),
VLOOKUP(R79,商品マスタ一覧!$D:$J,7,FALSE)))=0,"",
IF(ROUND(
IF(U84&lt;&gt;"",(R81-U84),R81)
/IF(COUNTIF(R79,"*キャラ*"),
VLOOKUP("*キャラ*",商品マスタ一覧!$D:$J,7,FALSE),
IF(COUNTIF(R79,"*赤*"),
VLOOKUP("*赤*",商品マスタ一覧!$D:$J,7,FALSE),
VLOOKUP(R79,商品マスタ一覧!$D:$J,7,FALSE))),0)&lt;=0,1,
ROUND(
IF(U84&lt;&gt;"",(R81-U84),R81)
/IF(COUNTIF(R79,"*キャラ*"),
VLOOKUP("*キャラ*",商品マスタ一覧!$D:$J,7,FALSE),
IF(COUNTIF(R79,"*赤*"),
VLOOKUP("*赤*",商品マスタ一覧!$D:$J,7,FALSE),
VLOOKUP(R79,商品マスタ一覧!$D:$J,7,FALSE))),0))),""),"")),"")</f>
        <v/>
      </c>
      <c r="V79" s="100" t="str">
        <f ca="1">IF(U79&lt;&gt;"",IF(R81&lt;&gt;"",IF(VALUE(IF(U84&lt;&gt;"",R81-U84,R81))&gt;VALUE(IF(COUNTIF('盛付札（関数）'!R79,"*キャラ*"),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
"+"&amp;IF(U84&lt;&gt;"",R81-U84,R81)-IF(COUNTIF('盛付札（関数）'!R79,"*キャラ*"),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VLOOKUP('盛付札（関数）'!R79,商品マスタ一覧!$D:$J,7,FALSE)))*U79,
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VLOOKUP('盛付札（関数）'!R79,商品マスタ一覧!$D:$J,7,FALSE)))*U79),""),"")</f>
        <v/>
      </c>
      <c r="W79" s="80"/>
      <c r="X79" s="85" t="e">
        <f t="array" aca="1" ref="X79" ca="1">IF(X38&lt;&gt;100,
IF(Y81&lt;&gt;"",MATCH(Y81,INDIRECT("数出表_Excel!B"&amp;MATCH(AC36,数出表_Excel!$A:$A,0)-1&amp;":U"&amp;MATCH(AC36,数出表_Excel!$A:$A,0)-1&amp;""),0)+1,""),
IF(Y81&lt;&gt;"",
MATCH(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INDIRECT("数出表_Excel!B"&amp;MATCH(AC36,数出表_Excel!$A:$A,0)-1&amp;":U"&amp;MATCH(AC36,数出表_Excel!$A:$A,0)-1&amp;""),0)+1,""))</f>
        <v>#N/A</v>
      </c>
      <c r="Y79" s="62" t="str">
        <f t="array" aca="1" ref="Y79" ca="1">IF(Y36=R78,"",IFERROR(IF(OR(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"3"),"*配膳*"),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"3"),"*カレー*"),
COUNTIF(Y36,"*合計*")),"",
IF(IFERROR(INDIRECT("数出表_Excel!"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"3"),0)=0,"",
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"3"),""))),""))</f>
        <v/>
      </c>
      <c r="Z79" s="80"/>
      <c r="AA79" s="86" t="str">
        <f t="array" aca="1" ref="AA79" ca="1">IF(AB79&lt;&gt;"","",
IF(COUNTIF(Y78,"*雙葉*"),"",
IF(Y78&lt;&gt;"",
IF(
(COLUMN(INDIRECT("数出表_Excel!B" &amp; (MATCH(AC36,数出表_Excel!$A:$A,0)-1))) - 1 +
MATCH(TRUE, ISNUMBER(--INDIRECT("数出表_Excel!B" &amp; (MATCH(AC36,数出表_Excel!$A:$A,0)-1) &amp; ":U" &amp; (MATCH(AC36,数出表_Excel!$A:$A,0)-1))), 0)+1
+MATCH(TRUE,INDIRECT("'数出表_Excel'!"&amp;X78&amp;MATCH(AC36,数出表_Excel!$A:$A,0)-1&amp;":AL"&amp;MATCH(AC36,数出表_Excel!$A:$A,0)-1&amp;"")&lt;&gt;"",0))&gt;12,"",
IFERROR(
INDEX(INDIRECT("数出表_Excel!$"&amp;X78&amp;"4:$AL4"),
 1,
MATCH(TRUE,INDIRECT("'数出表_Excel'!"&amp;X78&amp;MATCH(AC36,数出表_Excel!$A:$A,0)-1&amp;":AL"&amp;MATCH(AC36,数出表_Excel!$A:$A,0)-1&amp;"")&lt;&gt;"",0)
),
 "")
&amp;IFERROR(
INDEX(INDIRECT("数出表_Excel!$"&amp;X78&amp;"5:$AL5"),
 1,
MATCH(TRUE,INDIRECT("'数出表_Excel'!"&amp;X78&amp;MATCH(AC36,数出表_Excel!$A:$A,0)-1&amp;":AL"&amp;MATCH(AC36,数出表_Excel!$A:$A,0)-1&amp;"")&lt;&gt;"",0)),
 "")),"")))</f>
        <v/>
      </c>
      <c r="AB79" s="87" t="str">
        <f t="array" aca="1" ref="AB79" ca="1">IF(Y79&lt;&gt;"",
IF(COUNTIF(Y78,"*雙葉*"),
IF(ROUND(
IF(AB84&lt;&gt;"",(Y81-AB84),Y81)
/IF(COUNTIF(Y79,"*キャラ*"),
VLOOKUP("*キャラ*",商品マスタ一覧!$D:$J,7,FALSE),
IF(COUNTIF(Y79,"*赤*"),
VLOOKUP("*赤*",商品マスタ一覧!$D:$J,7,FALSE),
VLOOKUP(Y79,商品マスタ一覧!$D:$J,7,FALSE))),0)&lt;=0,1,
ROUND(
IF(AB84&lt;&gt;"",(Y81-AB84),Y81)
/IF(COUNTIF(Y79,"*キャラ*"),
VLOOKUP("*キャラ*",商品マスタ一覧!$D:$J,7,FALSE),
IF(COUNTIF(Y79,"*赤*"),
VLOOKUP("*赤*",商品マスタ一覧!$D:$J,7,FALSE),
VLOOKUP(Y79,商品マスタ一覧!$D:$J,7,FALSE))),0)),
IF(MATCH(TRUE,
ISNUMBER(--INDIRECT("'数出表_Excel（アレルギー入力）'!B"&amp;MATCH(AC36,'数出表_Excel（アレルギー入力）'!$A:$A,0)-1&amp;":AL"&amp;MATCH(AC36,'数出表_Excel（アレルギー入力）'!$A:$A,0)-1&amp;"")),0)&gt;10,
IF(Y79&lt;&gt;"",
IF(IF(COUNTIF(Y79,"*キャラ*"),
VLOOKUP("*キャラ*",商品マスタ一覧!$D:$J,7,FALSE),
IF(COUNTIF(Y79,"*赤*"),
VLOOKUP("*赤*",商品マスタ一覧!$D:$J,7,FALSE),
VLOOKUP(Y79,商品マスタ一覧!$D:$J,7,FALSE)))=0,"",
IF(ROUND(
IF(AB84&lt;&gt;"",(Y81-AB84),Y81)
/IF(COUNTIF(Y79,"*キャラ*"),
VLOOKUP("*キャラ*",商品マスタ一覧!$D:$J,7,FALSE),
IF(COUNTIF(Y79,"*赤*"),
VLOOKUP("*赤*",商品マスタ一覧!$D:$J,7,FALSE),
VLOOKUP(Y79,商品マスタ一覧!$D:$J,7,FALSE))),0)&lt;=0,1,
ROUND(
IF(AB84&lt;&gt;"",(Y81-AB84),Y81)
/IF(COUNTIF(Y79,"*キャラ*"),
VLOOKUP("*キャラ*",商品マスタ一覧!$D:$J,7,FALSE),
IF(COUNTIF(Y79,"*赤*"),
VLOOKUP("*赤*",商品マスタ一覧!$D:$J,7,FALSE),
VLOOKUP(Y79,商品マスタ一覧!$D:$J,7,FALSE))),0))),""),"")),"")</f>
        <v/>
      </c>
      <c r="AC79" s="96" t="str">
        <f ca="1">IF(AB79&lt;&gt;"",IF(Y81&lt;&gt;"",IF(VALUE(IF(AB84&lt;&gt;"",Y81-AB84,Y81))&gt;VALUE(IF(COUNTIF('盛付札（関数）'!Y79,"*キャラ*"),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
"+"&amp;IF(AB84&lt;&gt;"",Y81-AB84,Y81)-IF(COUNTIF('盛付札（関数）'!Y79,"*キャラ*"),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VLOOKUP('盛付札（関数）'!Y79,商品マスタ一覧!$D:$J,7,FALSE)))*AB79,
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VLOOKUP('盛付札（関数）'!Y79,商品マスタ一覧!$D:$J,7,FALSE)))*AB79),""),"")</f>
        <v/>
      </c>
      <c r="AD79" s="80"/>
      <c r="AE79" s="80"/>
      <c r="AF79" s="85" t="e">
        <f t="array" aca="1" ref="AF79" ca="1">IF(AF38&lt;&gt;100,
IF(AG81&lt;&gt;"",MATCH(AG81,INDIRECT("数出表_Excel!B"&amp;MATCH(AK36,数出表_Excel!$A:$A,0)-1&amp;":U"&amp;MATCH(AK36,数出表_Excel!$A:$A,0)-1&amp;""),0)+1,""),
IF(AG81&lt;&gt;"",
MATCH(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INDIRECT("数出表_Excel!B"&amp;MATCH(AK36,数出表_Excel!$A:$A,0)-1&amp;":U"&amp;MATCH(AK36,数出表_Excel!$A:$A,0)-1&amp;""),0)+1,""))</f>
        <v>#N/A</v>
      </c>
      <c r="AG79" s="62" t="str">
        <f t="array" aca="1" ref="AG79" ca="1">IF(AG36=AN71,"",IFERROR(IF(OR(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"3"),"*配膳*"),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"3"),"*カレー*"),
COUNTIF(AG36,"*合計*")),"",
IF(IFERROR(INDIRECT("数出表_Excel!"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"3"),0)=0,"",
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"3"),""))),""))</f>
        <v/>
      </c>
      <c r="AH79" s="80"/>
      <c r="AI79" s="86" t="str">
        <f t="array" aca="1" ref="AI79" ca="1">IF(AJ79&lt;&gt;"","",
IF(COUNTIF(AG78,"*雙葉*"),"",
IF(AG78&lt;&gt;"",
IF(
(COLUMN(INDIRECT("数出表_Excel!B" &amp; (MATCH(AK36,数出表_Excel!$A:$A,0)-1))) - 1 +
MATCH(TRUE, ISNUMBER(--INDIRECT("数出表_Excel!B" &amp; (MATCH(AK36,数出表_Excel!$A:$A,0)-1) &amp; ":U" &amp; (MATCH(AK36,数出表_Excel!$A:$A,0)-1))), 0)+1
+MATCH(TRUE,INDIRECT("'数出表_Excel'!"&amp;AF78&amp;MATCH(AK36,数出表_Excel!$A:$A,0)-1&amp;":AL"&amp;MATCH(AK36,数出表_Excel!$A:$A,0)-1&amp;"")&lt;&gt;"",0))&gt;12,"",
IFERROR(
INDEX(INDIRECT("数出表_Excel!$"&amp;AF78&amp;"4:$AL4"),
 1,
MATCH(TRUE,INDIRECT("'数出表_Excel'!"&amp;AF78&amp;MATCH(AK36,数出表_Excel!$A:$A,0)-1&amp;":AL"&amp;MATCH(AK36,数出表_Excel!$A:$A,0)-1&amp;"")&lt;&gt;"",0)
),
 "")
&amp;IFERROR(
INDEX(INDIRECT("数出表_Excel!$"&amp;AF78&amp;"5:$AL5"),
 1,
MATCH(TRUE,INDIRECT("'数出表_Excel'!"&amp;AF78&amp;MATCH(AK36,数出表_Excel!$A:$A,0)-1&amp;":AL"&amp;MATCH(AK36,数出表_Excel!$A:$A,0)-1&amp;"")&lt;&gt;"",0)),
 "")),"")))</f>
        <v/>
      </c>
      <c r="AJ79" s="87" t="str">
        <f t="array" aca="1" ref="AJ79" ca="1">IF(AG79&lt;&gt;"",
IF(COUNTIF(AG78,"*雙葉*"),
IF(ROUND(
IF(AJ84&lt;&gt;"",(AG81-AJ84),AG81)
/IF(COUNTIF(AG79,"*キャラ*"),
VLOOKUP("*キャラ*",商品マスタ一覧!$D:$J,7,FALSE),
IF(COUNTIF(AG79,"*赤*"),
VLOOKUP("*赤*",商品マスタ一覧!$D:$J,7,FALSE),
VLOOKUP(AG79,商品マスタ一覧!$D:$J,7,FALSE))),0)&lt;=0,1,
ROUND(
IF(AJ84&lt;&gt;"",(AG81-AJ84),AG81)
/IF(COUNTIF(AG79,"*キャラ*"),
VLOOKUP("*キャラ*",商品マスタ一覧!$D:$J,7,FALSE),
IF(COUNTIF(AG79,"*赤*"),
VLOOKUP("*赤*",商品マスタ一覧!$D:$J,7,FALSE),
VLOOKUP(AG79,商品マスタ一覧!$D:$J,7,FALSE))),0)),
IF(MATCH(TRUE,
ISNUMBER(--INDIRECT("'数出表_Excel（アレルギー入力）'!B"&amp;MATCH(AK36,'数出表_Excel（アレルギー入力）'!$A:$A,0)-1&amp;":AL"&amp;MATCH(AK36,'数出表_Excel（アレルギー入力）'!$A:$A,0)-1&amp;"")),0)&gt;10,
IF(AG79&lt;&gt;"",
IF(IF(COUNTIF(AG79,"*キャラ*"),
VLOOKUP("*キャラ*",商品マスタ一覧!$D:$J,7,FALSE),
IF(COUNTIF(AG79,"*赤*"),
VLOOKUP("*赤*",商品マスタ一覧!$D:$J,7,FALSE),
VLOOKUP(AG79,商品マスタ一覧!$D:$J,7,FALSE)))=0,"",
IF(ROUND(
IF(AJ84&lt;&gt;"",(AG81-AJ84),AG81)
/IF(COUNTIF(AG79,"*キャラ*"),
VLOOKUP("*キャラ*",商品マスタ一覧!$D:$J,7,FALSE),
IF(COUNTIF(AG79,"*赤*"),
VLOOKUP("*赤*",商品マスタ一覧!$D:$J,7,FALSE),
VLOOKUP(AG79,商品マスタ一覧!$D:$J,7,FALSE))),0)&lt;=0,1,
ROUND(
IF(AJ84&lt;&gt;"",(AG81-AJ84),AG81)
/IF(COUNTIF(AG79,"*キャラ*"),
VLOOKUP("*キャラ*",商品マスタ一覧!$D:$J,7,FALSE),
IF(COUNTIF(AG79,"*赤*"),
VLOOKUP("*赤*",商品マスタ一覧!$D:$J,7,FALSE),
VLOOKUP(AG79,商品マスタ一覧!$D:$J,7,FALSE))),0))),""),"")),"")</f>
        <v/>
      </c>
      <c r="AK79" s="100" t="str">
        <f ca="1">IF(AJ79&lt;&gt;"",IF(AG81&lt;&gt;"",IF(VALUE(IF(AJ84&lt;&gt;"",AG81-AJ84,AG81))&gt;VALUE(IF(COUNTIF('盛付札（関数）'!AG79,"*キャラ*"),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
"+"&amp;IF(AJ84&lt;&gt;"",AG81-AJ84,AG81)-IF(COUNTIF('盛付札（関数）'!AG79,"*キャラ*"),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VLOOKUP('盛付札（関数）'!AG79,商品マスタ一覧!$D:$J,7,FALSE)))*AJ79,
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VLOOKUP('盛付札（関数）'!AG79,商品マスタ一覧!$D:$J,7,FALSE)))*AJ79),""),"")</f>
        <v/>
      </c>
      <c r="AL79" s="80"/>
      <c r="AM79" s="85" t="e">
        <f t="array" aca="1" ref="AM79" ca="1">IF(AM38&lt;&gt;100,
IF(AN81&lt;&gt;"",MATCH(AN81,INDIRECT("数出表_Excel!B"&amp;MATCH(AR36,数出表_Excel!$A:$A,0)-1&amp;":U"&amp;MATCH(AR36,数出表_Excel!$A:$A,0)-1&amp;""),0)+1,""),
IF(AN81&lt;&gt;"",
MATCH(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INDIRECT("数出表_Excel!B"&amp;MATCH(AR36,数出表_Excel!$A:$A,0)-1&amp;":U"&amp;MATCH(AR36,数出表_Excel!$A:$A,0)-1&amp;""),0)+1,""))</f>
        <v>#N/A</v>
      </c>
      <c r="AN79" s="62" t="str">
        <f t="array" aca="1" ref="AN79" ca="1">IF(AN36=AG78,"",IFERROR(IF(OR(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"3"),"*配膳*"),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"3"),"*カレー*"),
COUNTIF(AN36,"*合計*")),"",
IF(IFERROR(INDIRECT("数出表_Excel!"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"3"),0)=0,"",
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"3"),""))),""))</f>
        <v/>
      </c>
      <c r="AO79" s="80"/>
      <c r="AP79" s="86" t="str">
        <f t="array" aca="1" ref="AP79" ca="1">IF(AQ79&lt;&gt;"","",
IF(COUNTIF(AN78,"*雙葉*"),"",
IF(AN78&lt;&gt;"",
IF(
(COLUMN(INDIRECT("数出表_Excel!B" &amp; (MATCH(AR36,数出表_Excel!$A:$A,0)-1))) - 1 +
MATCH(TRUE, ISNUMBER(--INDIRECT("数出表_Excel!B" &amp; (MATCH(AR36,数出表_Excel!$A:$A,0)-1) &amp; ":U" &amp; (MATCH(AR36,数出表_Excel!$A:$A,0)-1))), 0)+1
+MATCH(TRUE,INDIRECT("'数出表_Excel'!"&amp;AM78&amp;MATCH(AR36,数出表_Excel!$A:$A,0)-1&amp;":AL"&amp;MATCH(AR36,数出表_Excel!$A:$A,0)-1&amp;"")&lt;&gt;"",0))&gt;12,"",
IFERROR(
INDEX(INDIRECT("数出表_Excel!$"&amp;AM78&amp;"4:$AL4"),
 1,
MATCH(TRUE,INDIRECT("'数出表_Excel'!"&amp;AM78&amp;MATCH(AR36,数出表_Excel!$A:$A,0)-1&amp;":AL"&amp;MATCH(AR36,数出表_Excel!$A:$A,0)-1&amp;"")&lt;&gt;"",0)
),
 "")
&amp;IFERROR(
INDEX(INDIRECT("数出表_Excel!$"&amp;AM78&amp;"5:$AL5"),
 1,
MATCH(TRUE,INDIRECT("'数出表_Excel'!"&amp;AM78&amp;MATCH(AR36,数出表_Excel!$A:$A,0)-1&amp;":AL"&amp;MATCH(AR36,数出表_Excel!$A:$A,0)-1&amp;"")&lt;&gt;"",0)),
 "")),"")))</f>
        <v/>
      </c>
      <c r="AQ79" s="87" t="str">
        <f t="array" aca="1" ref="AQ79" ca="1">IF(AN79&lt;&gt;"",
IF(COUNTIF(AN78,"*雙葉*"),
IF(ROUND(
IF(AQ84&lt;&gt;"",(AN81-AQ84),AN81)
/IF(COUNTIF(AN79,"*キャラ*"),
VLOOKUP("*キャラ*",商品マスタ一覧!$D:$J,7,FALSE),
IF(COUNTIF(AN79,"*赤*"),
VLOOKUP("*赤*",商品マスタ一覧!$D:$J,7,FALSE),
VLOOKUP(AN79,商品マスタ一覧!$D:$J,7,FALSE))),0)&lt;=0,1,
ROUND(
IF(AQ84&lt;&gt;"",(AN81-AQ84),AN81)
/IF(COUNTIF(AN79,"*キャラ*"),
VLOOKUP("*キャラ*",商品マスタ一覧!$D:$J,7,FALSE),
IF(COUNTIF(AN79,"*赤*"),
VLOOKUP("*赤*",商品マスタ一覧!$D:$J,7,FALSE),
VLOOKUP(AN79,商品マスタ一覧!$D:$J,7,FALSE))),0)),
IF(MATCH(TRUE,
ISNUMBER(--INDIRECT("'数出表_Excel（アレルギー入力）'!B"&amp;MATCH(AR36,'数出表_Excel（アレルギー入力）'!$A:$A,0)-1&amp;":AL"&amp;MATCH(AR36,'数出表_Excel（アレルギー入力）'!$A:$A,0)-1&amp;"")),0)&gt;10,
IF(AN79&lt;&gt;"",
IF(IF(COUNTIF(AN79,"*キャラ*"),
VLOOKUP("*キャラ*",商品マスタ一覧!$D:$J,7,FALSE),
IF(COUNTIF(AN79,"*赤*"),
VLOOKUP("*赤*",商品マスタ一覧!$D:$J,7,FALSE),
VLOOKUP(AN79,商品マスタ一覧!$D:$J,7,FALSE)))=0,"",
IF(ROUND(
IF(AQ84&lt;&gt;"",(AN81-AQ84),AN81)
/IF(COUNTIF(AN79,"*キャラ*"),
VLOOKUP("*キャラ*",商品マスタ一覧!$D:$J,7,FALSE),
IF(COUNTIF(AN79,"*赤*"),
VLOOKUP("*赤*",商品マスタ一覧!$D:$J,7,FALSE),
VLOOKUP(AN79,商品マスタ一覧!$D:$J,7,FALSE))),0)&lt;=0,1,
ROUND(
IF(AQ84&lt;&gt;"",(AN81-AQ84),AN81)
/IF(COUNTIF(AN79,"*キャラ*"),
VLOOKUP("*キャラ*",商品マスタ一覧!$D:$J,7,FALSE),
IF(COUNTIF(AN79,"*赤*"),
VLOOKUP("*赤*",商品マスタ一覧!$D:$J,7,FALSE),
VLOOKUP(AN79,商品マスタ一覧!$D:$J,7,FALSE))),0))),""),"")),"")</f>
        <v/>
      </c>
      <c r="AR79" s="96" t="str">
        <f ca="1">IF(AQ79&lt;&gt;"",IF(AN81&lt;&gt;"",IF(VALUE(IF(AQ84&lt;&gt;"",AN81-AQ84,AN81))&gt;VALUE(IF(COUNTIF('盛付札（関数）'!AN79,"*キャラ*"),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
"+"&amp;IF(AQ84&lt;&gt;"",AN81-AQ84,AN81)-IF(COUNTIF('盛付札（関数）'!AN79,"*キャラ*"),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VLOOKUP('盛付札（関数）'!AN79,商品マスタ一覧!$D:$J,7,FALSE)))*AQ79,
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VLOOKUP('盛付札（関数）'!AN79,商品マスタ一覧!$D:$J,7,FALSE)))*AQ79),""),"")</f>
        <v/>
      </c>
      <c r="AS79" s="80"/>
      <c r="AT79" s="80"/>
      <c r="AU79" s="85" t="e">
        <f t="array" aca="1" ref="AU79" ca="1">IF(AU38&lt;&gt;100,
IF(AV81&lt;&gt;"",MATCH(AV81,INDIRECT("数出表_Excel!B"&amp;MATCH(AZ36,数出表_Excel!$A:$A,0)-1&amp;":U"&amp;MATCH(AZ36,数出表_Excel!$A:$A,0)-1&amp;""),0)+1,""),
IF(AV81&lt;&gt;"",
MATCH(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INDIRECT("数出表_Excel!B"&amp;MATCH(AZ36,数出表_Excel!$A:$A,0)-1&amp;":U"&amp;MATCH(AZ36,数出表_Excel!$A:$A,0)-1&amp;""),0)+1,""))</f>
        <v>#N/A</v>
      </c>
      <c r="AV79" s="62" t="str">
        <f t="array" aca="1" ref="AV79" ca="1">IF(AV36=BC71,"",IFERROR(IF(OR(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"3"),"*配膳*"),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"3"),"*カレー*"),
COUNTIF(AV36,"*合計*")),"",
IF(IFERROR(INDIRECT("数出表_Excel!"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"3"),0)=0,"",
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"3"),""))),""))</f>
        <v/>
      </c>
      <c r="AW79" s="80"/>
      <c r="AX79" s="86" t="str">
        <f t="array" aca="1" ref="AX79" ca="1">IF(AY79&lt;&gt;"","",
IF(COUNTIF(AV78,"*雙葉*"),"",
IF(AV78&lt;&gt;"",
IF(
(COLUMN(INDIRECT("数出表_Excel!B" &amp; (MATCH(AZ36,数出表_Excel!$A:$A,0)-1))) - 1 +
MATCH(TRUE, ISNUMBER(--INDIRECT("数出表_Excel!B" &amp; (MATCH(AZ36,数出表_Excel!$A:$A,0)-1) &amp; ":U" &amp; (MATCH(AZ36,数出表_Excel!$A:$A,0)-1))), 0)+1
+MATCH(TRUE,INDIRECT("'数出表_Excel'!"&amp;AU78&amp;MATCH(AZ36,数出表_Excel!$A:$A,0)-1&amp;":AL"&amp;MATCH(AZ36,数出表_Excel!$A:$A,0)-1&amp;"")&lt;&gt;"",0))&gt;12,"",
IFERROR(
INDEX(INDIRECT("数出表_Excel!$"&amp;AU78&amp;"4:$AL4"),
 1,
MATCH(TRUE,INDIRECT("'数出表_Excel'!"&amp;AU78&amp;MATCH(AZ36,数出表_Excel!$A:$A,0)-1&amp;":AL"&amp;MATCH(AZ36,数出表_Excel!$A:$A,0)-1&amp;"")&lt;&gt;"",0)
),
 "")
&amp;IFERROR(
INDEX(INDIRECT("数出表_Excel!$"&amp;AU78&amp;"5:$AL5"),
 1,
MATCH(TRUE,INDIRECT("'数出表_Excel'!"&amp;AU78&amp;MATCH(AZ36,数出表_Excel!$A:$A,0)-1&amp;":AL"&amp;MATCH(AZ36,数出表_Excel!$A:$A,0)-1&amp;"")&lt;&gt;"",0)),
 "")),"")))</f>
        <v/>
      </c>
      <c r="AY79" s="87" t="str">
        <f t="array" aca="1" ref="AY79" ca="1">IF(AV79&lt;&gt;"",
IF(COUNTIF(AV78,"*雙葉*"),
IF(ROUND(
IF(AY84&lt;&gt;"",(AV81-AY84),AV81)
/IF(COUNTIF(AV79,"*キャラ*"),
VLOOKUP("*キャラ*",商品マスタ一覧!$D:$J,7,FALSE),
IF(COUNTIF(AV79,"*赤*"),
VLOOKUP("*赤*",商品マスタ一覧!$D:$J,7,FALSE),
VLOOKUP(AV79,商品マスタ一覧!$D:$J,7,FALSE))),0)&lt;=0,1,
ROUND(
IF(AY84&lt;&gt;"",(AV81-AY84),AV81)
/IF(COUNTIF(AV79,"*キャラ*"),
VLOOKUP("*キャラ*",商品マスタ一覧!$D:$J,7,FALSE),
IF(COUNTIF(AV79,"*赤*"),
VLOOKUP("*赤*",商品マスタ一覧!$D:$J,7,FALSE),
VLOOKUP(AV79,商品マスタ一覧!$D:$J,7,FALSE))),0)),
IF(MATCH(TRUE,
ISNUMBER(--INDIRECT("'数出表_Excel（アレルギー入力）'!B"&amp;MATCH(AZ36,'数出表_Excel（アレルギー入力）'!$A:$A,0)-1&amp;":AL"&amp;MATCH(AZ36,'数出表_Excel（アレルギー入力）'!$A:$A,0)-1&amp;"")),0)&gt;10,
IF(AV79&lt;&gt;"",
IF(IF(COUNTIF(AV79,"*キャラ*"),
VLOOKUP("*キャラ*",商品マスタ一覧!$D:$J,7,FALSE),
IF(COUNTIF(AV79,"*赤*"),
VLOOKUP("*赤*",商品マスタ一覧!$D:$J,7,FALSE),
VLOOKUP(AV79,商品マスタ一覧!$D:$J,7,FALSE)))=0,"",
IF(ROUND(
IF(AY84&lt;&gt;"",(AV81-AY84),AV81)
/IF(COUNTIF(AV79,"*キャラ*"),
VLOOKUP("*キャラ*",商品マスタ一覧!$D:$J,7,FALSE),
IF(COUNTIF(AV79,"*赤*"),
VLOOKUP("*赤*",商品マスタ一覧!$D:$J,7,FALSE),
VLOOKUP(AV79,商品マスタ一覧!$D:$J,7,FALSE))),0)&lt;=0,1,
ROUND(
IF(AY84&lt;&gt;"",(AV81-AY84),AV81)
/IF(COUNTIF(AV79,"*キャラ*"),
VLOOKUP("*キャラ*",商品マスタ一覧!$D:$J,7,FALSE),
IF(COUNTIF(AV79,"*赤*"),
VLOOKUP("*赤*",商品マスタ一覧!$D:$J,7,FALSE),
VLOOKUP(AV79,商品マスタ一覧!$D:$J,7,FALSE))),0))),""),"")),"")</f>
        <v/>
      </c>
      <c r="AZ79" s="100" t="str">
        <f ca="1">IF(AY79&lt;&gt;"",IF(AV81&lt;&gt;"",IF(VALUE(IF(AY84&lt;&gt;"",AV81-AY84,AV81))&gt;VALUE(IF(COUNTIF('盛付札（関数）'!AV79,"*キャラ*"),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
"+"&amp;IF(AY84&lt;&gt;"",AV81-AY84,AV81)-IF(COUNTIF('盛付札（関数）'!AV79,"*キャラ*"),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VLOOKUP('盛付札（関数）'!AV79,商品マスタ一覧!$D:$J,7,FALSE)))*AY79,
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VLOOKUP('盛付札（関数）'!AV79,商品マスタ一覧!$D:$J,7,FALSE)))*AY79),""),"")</f>
        <v/>
      </c>
      <c r="BA79" s="80"/>
      <c r="BB79" s="85" t="e">
        <f t="array" aca="1" ref="BB79" ca="1">IF(BB38&lt;&gt;100,
IF(BC81&lt;&gt;"",MATCH(BC81,INDIRECT("数出表_Excel!B"&amp;MATCH(BG36,数出表_Excel!$A:$A,0)-1&amp;":U"&amp;MATCH(BG36,数出表_Excel!$A:$A,0)-1&amp;""),0)+1,""),
IF(BC81&lt;&gt;"",
MATCH(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INDIRECT("数出表_Excel!B"&amp;MATCH(BG36,数出表_Excel!$A:$A,0)-1&amp;":U"&amp;MATCH(BG36,数出表_Excel!$A:$A,0)-1&amp;""),0)+1,""))</f>
        <v>#N/A</v>
      </c>
      <c r="BC79" s="62" t="str">
        <f t="array" aca="1" ref="BC79" ca="1">IF(BC36=AV78,"",IFERROR(IF(OR(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"3"),"*配膳*"),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"3"),"*カレー*"),
COUNTIF(BC36,"*合計*")),"",
IF(IFERROR(INDIRECT("数出表_Excel!"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"3"),0)=0,"",
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"3"),""))),""))</f>
        <v/>
      </c>
      <c r="BD79" s="80"/>
      <c r="BE79" s="86" t="str">
        <f t="array" aca="1" ref="BE79" ca="1">IF(BF79&lt;&gt;"","",
IF(COUNTIF(BC78,"*雙葉*"),"",
IF(BC78&lt;&gt;"",
IF(
(COLUMN(INDIRECT("数出表_Excel!B" &amp; (MATCH(BG36,数出表_Excel!$A:$A,0)-1))) - 1 +
MATCH(TRUE, ISNUMBER(--INDIRECT("数出表_Excel!B" &amp; (MATCH(BG36,数出表_Excel!$A:$A,0)-1) &amp; ":U" &amp; (MATCH(BG36,数出表_Excel!$A:$A,0)-1))), 0)+1
+MATCH(TRUE,INDIRECT("'数出表_Excel'!"&amp;BB78&amp;MATCH(BG36,数出表_Excel!$A:$A,0)-1&amp;":AL"&amp;MATCH(BG36,数出表_Excel!$A:$A,0)-1&amp;"")&lt;&gt;"",0))&gt;12,"",
IFERROR(
INDEX(INDIRECT("数出表_Excel!$"&amp;BB78&amp;"4:$AL4"),
 1,
MATCH(TRUE,INDIRECT("'数出表_Excel'!"&amp;BB78&amp;MATCH(BG36,数出表_Excel!$A:$A,0)-1&amp;":AL"&amp;MATCH(BG36,数出表_Excel!$A:$A,0)-1&amp;"")&lt;&gt;"",0)
),
 "")
&amp;IFERROR(
INDEX(INDIRECT("数出表_Excel!$"&amp;BB78&amp;"5:$AL5"),
 1,
MATCH(TRUE,INDIRECT("'数出表_Excel'!"&amp;BB78&amp;MATCH(BG36,数出表_Excel!$A:$A,0)-1&amp;":AL"&amp;MATCH(BG36,数出表_Excel!$A:$A,0)-1&amp;"")&lt;&gt;"",0)),
 "")),"")))</f>
        <v/>
      </c>
      <c r="BF79" s="87" t="str">
        <f t="array" aca="1" ref="BF79" ca="1">IF(BC79&lt;&gt;"",
IF(COUNTIF(BC78,"*雙葉*"),
IF(ROUND(
IF(BF84&lt;&gt;"",(BC81-BF84),BC81)
/IF(COUNTIF(BC79,"*キャラ*"),
VLOOKUP("*キャラ*",商品マスタ一覧!$D:$J,7,FALSE),
IF(COUNTIF(BC79,"*赤*"),
VLOOKUP("*赤*",商品マスタ一覧!$D:$J,7,FALSE),
VLOOKUP(BC79,商品マスタ一覧!$D:$J,7,FALSE))),0)&lt;=0,1,
ROUND(
IF(BF84&lt;&gt;"",(BC81-BF84),BC81)
/IF(COUNTIF(BC79,"*キャラ*"),
VLOOKUP("*キャラ*",商品マスタ一覧!$D:$J,7,FALSE),
IF(COUNTIF(BC79,"*赤*"),
VLOOKUP("*赤*",商品マスタ一覧!$D:$J,7,FALSE),
VLOOKUP(BC79,商品マスタ一覧!$D:$J,7,FALSE))),0)),
IF(MATCH(TRUE,
ISNUMBER(--INDIRECT("'数出表_Excel（アレルギー入力）'!B"&amp;MATCH(BG36,'数出表_Excel（アレルギー入力）'!$A:$A,0)-1&amp;":AL"&amp;MATCH(BG36,'数出表_Excel（アレルギー入力）'!$A:$A,0)-1&amp;"")),0)&gt;10,
IF(BC79&lt;&gt;"",
IF(IF(COUNTIF(BC79,"*キャラ*"),
VLOOKUP("*キャラ*",商品マスタ一覧!$D:$J,7,FALSE),
IF(COUNTIF(BC79,"*赤*"),
VLOOKUP("*赤*",商品マスタ一覧!$D:$J,7,FALSE),
VLOOKUP(BC79,商品マスタ一覧!$D:$J,7,FALSE)))=0,"",
IF(ROUND(
IF(BF84&lt;&gt;"",(BC81-BF84),BC81)
/IF(COUNTIF(BC79,"*キャラ*"),
VLOOKUP("*キャラ*",商品マスタ一覧!$D:$J,7,FALSE),
IF(COUNTIF(BC79,"*赤*"),
VLOOKUP("*赤*",商品マスタ一覧!$D:$J,7,FALSE),
VLOOKUP(BC79,商品マスタ一覧!$D:$J,7,FALSE))),0)&lt;=0,1,
ROUND(
IF(BF84&lt;&gt;"",(BC81-BF84),BC81)
/IF(COUNTIF(BC79,"*キャラ*"),
VLOOKUP("*キャラ*",商品マスタ一覧!$D:$J,7,FALSE),
IF(COUNTIF(BC79,"*赤*"),
VLOOKUP("*赤*",商品マスタ一覧!$D:$J,7,FALSE),
VLOOKUP(BC79,商品マスタ一覧!$D:$J,7,FALSE))),0))),""),"")),"")</f>
        <v/>
      </c>
      <c r="BG79" s="96" t="str">
        <f ca="1">IF(BF79&lt;&gt;"",IF(BC81&lt;&gt;"",IF(VALUE(IF(BF84&lt;&gt;"",BC81-BF84,BC81))&gt;VALUE(IF(COUNTIF('盛付札（関数）'!BC79,"*キャラ*"),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
"+"&amp;IF(BF84&lt;&gt;"",BC81-BF84,BC81)-IF(COUNTIF('盛付札（関数）'!BC79,"*キャラ*"),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VLOOKUP('盛付札（関数）'!BC79,商品マスタ一覧!$D:$J,7,FALSE)))*BF79,
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VLOOKUP('盛付札（関数）'!BC79,商品マスタ一覧!$D:$J,7,FALSE)))*BF79),""),"")</f>
        <v/>
      </c>
      <c r="BH79" s="80"/>
      <c r="BI79" s="80"/>
      <c r="BJ79" s="85" t="e">
        <f t="array" aca="1" ref="BJ79" ca="1">IF(BJ38&lt;&gt;100,
IF(BK81&lt;&gt;"",MATCH(BK81,INDIRECT("数出表_Excel!B"&amp;MATCH(BO36,数出表_Excel!$A:$A,0)-1&amp;":U"&amp;MATCH(BO36,数出表_Excel!$A:$A,0)-1&amp;""),0)+1,""),
IF(BK81&lt;&gt;"",
MATCH(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INDIRECT("数出表_Excel!B"&amp;MATCH(BO36,数出表_Excel!$A:$A,0)-1&amp;":U"&amp;MATCH(BO36,数出表_Excel!$A:$A,0)-1&amp;""),0)+1,""))</f>
        <v>#N/A</v>
      </c>
      <c r="BK79" s="62" t="str">
        <f t="array" aca="1" ref="BK79" ca="1">IF(BK36=BR71,"",IFERROR(IF(OR(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"3"),"*配膳*"),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"3"),"*カレー*"),
COUNTIF(BK36,"*合計*")),"",
IF(IFERROR(INDIRECT("数出表_Excel!"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"3"),0)=0,"",
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"3"),""))),""))</f>
        <v/>
      </c>
      <c r="BL79" s="80"/>
      <c r="BM79" s="86" t="str">
        <f t="array" aca="1" ref="BM79" ca="1">IF(BN79&lt;&gt;"","",
IF(COUNTIF(BK78,"*雙葉*"),"",
IF(BK78&lt;&gt;"",
IF(
(COLUMN(INDIRECT("数出表_Excel!B" &amp; (MATCH(BO36,数出表_Excel!$A:$A,0)-1))) - 1 +
MATCH(TRUE, ISNUMBER(--INDIRECT("数出表_Excel!B" &amp; (MATCH(BO36,数出表_Excel!$A:$A,0)-1) &amp; ":U" &amp; (MATCH(BO36,数出表_Excel!$A:$A,0)-1))), 0)+1
+MATCH(TRUE,INDIRECT("'数出表_Excel'!"&amp;BJ78&amp;MATCH(BO36,数出表_Excel!$A:$A,0)-1&amp;":AL"&amp;MATCH(BO36,数出表_Excel!$A:$A,0)-1&amp;"")&lt;&gt;"",0))&gt;12,"",
IFERROR(
INDEX(INDIRECT("数出表_Excel!$"&amp;BJ78&amp;"4:$AL4"),
 1,
MATCH(TRUE,INDIRECT("'数出表_Excel'!"&amp;BJ78&amp;MATCH(BO36,数出表_Excel!$A:$A,0)-1&amp;":AL"&amp;MATCH(BO36,数出表_Excel!$A:$A,0)-1&amp;"")&lt;&gt;"",0)
),
 "")
&amp;IFERROR(
INDEX(INDIRECT("数出表_Excel!$"&amp;BJ78&amp;"5:$AL5"),
 1,
MATCH(TRUE,INDIRECT("'数出表_Excel'!"&amp;BJ78&amp;MATCH(BO36,数出表_Excel!$A:$A,0)-1&amp;":AL"&amp;MATCH(BO36,数出表_Excel!$A:$A,0)-1&amp;"")&lt;&gt;"",0)),
 "")),"")))</f>
        <v/>
      </c>
      <c r="BN79" s="87" t="str">
        <f t="array" aca="1" ref="BN79" ca="1">IF(BK79&lt;&gt;"",
IF(COUNTIF(BK78,"*雙葉*"),
IF(ROUND(
IF(BN84&lt;&gt;"",(BK81-BN84),BK81)
/IF(COUNTIF(BK79,"*キャラ*"),
VLOOKUP("*キャラ*",商品マスタ一覧!$D:$J,7,FALSE),
IF(COUNTIF(BK79,"*赤*"),
VLOOKUP("*赤*",商品マスタ一覧!$D:$J,7,FALSE),
VLOOKUP(BK79,商品マスタ一覧!$D:$J,7,FALSE))),0)&lt;=0,1,
ROUND(
IF(BN84&lt;&gt;"",(BK81-BN84),BK81)
/IF(COUNTIF(BK79,"*キャラ*"),
VLOOKUP("*キャラ*",商品マスタ一覧!$D:$J,7,FALSE),
IF(COUNTIF(BK79,"*赤*"),
VLOOKUP("*赤*",商品マスタ一覧!$D:$J,7,FALSE),
VLOOKUP(BK79,商品マスタ一覧!$D:$J,7,FALSE))),0)),
IF(MATCH(TRUE,
ISNUMBER(--INDIRECT("'数出表_Excel（アレルギー入力）'!B"&amp;MATCH(BO36,'数出表_Excel（アレルギー入力）'!$A:$A,0)-1&amp;":AL"&amp;MATCH(BO36,'数出表_Excel（アレルギー入力）'!$A:$A,0)-1&amp;"")),0)&gt;10,
IF(BK79&lt;&gt;"",
IF(IF(COUNTIF(BK79,"*キャラ*"),
VLOOKUP("*キャラ*",商品マスタ一覧!$D:$J,7,FALSE),
IF(COUNTIF(BK79,"*赤*"),
VLOOKUP("*赤*",商品マスタ一覧!$D:$J,7,FALSE),
VLOOKUP(BK79,商品マスタ一覧!$D:$J,7,FALSE)))=0,"",
IF(ROUND(
IF(BN84&lt;&gt;"",(BK81-BN84),BK81)
/IF(COUNTIF(BK79,"*キャラ*"),
VLOOKUP("*キャラ*",商品マスタ一覧!$D:$J,7,FALSE),
IF(COUNTIF(BK79,"*赤*"),
VLOOKUP("*赤*",商品マスタ一覧!$D:$J,7,FALSE),
VLOOKUP(BK79,商品マスタ一覧!$D:$J,7,FALSE))),0)&lt;=0,1,
ROUND(
IF(BN84&lt;&gt;"",(BK81-BN84),BK81)
/IF(COUNTIF(BK79,"*キャラ*"),
VLOOKUP("*キャラ*",商品マスタ一覧!$D:$J,7,FALSE),
IF(COUNTIF(BK79,"*赤*"),
VLOOKUP("*赤*",商品マスタ一覧!$D:$J,7,FALSE),
VLOOKUP(BK79,商品マスタ一覧!$D:$J,7,FALSE))),0))),""),"")),"")</f>
        <v/>
      </c>
      <c r="BO79" s="100" t="str">
        <f ca="1">IF(BN79&lt;&gt;"",IF(BK81&lt;&gt;"",IF(VALUE(IF(BN84&lt;&gt;"",BK81-BN84,BK81))&gt;VALUE(IF(COUNTIF('盛付札（関数）'!BK79,"*キャラ*"),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
"+"&amp;IF(BN84&lt;&gt;"",BK81-BN84,BK81)-IF(COUNTIF('盛付札（関数）'!BK79,"*キャラ*"),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VLOOKUP('盛付札（関数）'!BK79,商品マスタ一覧!$D:$J,7,FALSE)))*BN79,
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VLOOKUP('盛付札（関数）'!BK79,商品マスタ一覧!$D:$J,7,FALSE)))*BN79),""),"")</f>
        <v/>
      </c>
      <c r="BP79" s="80"/>
      <c r="BQ79" s="85" t="e">
        <f t="array" aca="1" ref="BQ79" ca="1">IF(BQ38&lt;&gt;100,
IF(BR81&lt;&gt;"",MATCH(BR81,INDIRECT("数出表_Excel!B"&amp;MATCH(BV36,数出表_Excel!$A:$A,0)-1&amp;":U"&amp;MATCH(BV36,数出表_Excel!$A:$A,0)-1&amp;""),0)+1,""),
IF(BR81&lt;&gt;"",
MATCH(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INDIRECT("数出表_Excel!B"&amp;MATCH(BV36,数出表_Excel!$A:$A,0)-1&amp;":U"&amp;MATCH(BV36,数出表_Excel!$A:$A,0)-1&amp;""),0)+1,""))</f>
        <v>#N/A</v>
      </c>
      <c r="BR79" s="62" t="str">
        <f t="array" aca="1" ref="BR79" ca="1">IF(BR36=BK78,"",IFERROR(IF(OR(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"3"),"*配膳*"),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"3"),"*カレー*"),
COUNTIF(BR36,"*合計*")),"",
IF(IFERROR(INDIRECT("数出表_Excel!"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"3"),0)=0,"",
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"3"),""))),""))</f>
        <v/>
      </c>
      <c r="BS79" s="80"/>
      <c r="BT79" s="86" t="str">
        <f t="array" aca="1" ref="BT79" ca="1">IF(BU79&lt;&gt;"","",
IF(COUNTIF(BR78,"*雙葉*"),"",
IF(BR78&lt;&gt;"",
IF(
(COLUMN(INDIRECT("数出表_Excel!B" &amp; (MATCH(BV36,数出表_Excel!$A:$A,0)-1))) - 1 +
MATCH(TRUE, ISNUMBER(--INDIRECT("数出表_Excel!B" &amp; (MATCH(BV36,数出表_Excel!$A:$A,0)-1) &amp; ":U" &amp; (MATCH(BV36,数出表_Excel!$A:$A,0)-1))), 0)+1
+MATCH(TRUE,INDIRECT("'数出表_Excel'!"&amp;BQ78&amp;MATCH(BV36,数出表_Excel!$A:$A,0)-1&amp;":AL"&amp;MATCH(BV36,数出表_Excel!$A:$A,0)-1&amp;"")&lt;&gt;"",0))&gt;12,"",
IFERROR(
INDEX(INDIRECT("数出表_Excel!$"&amp;BQ78&amp;"4:$AL4"),
 1,
MATCH(TRUE,INDIRECT("'数出表_Excel'!"&amp;BQ78&amp;MATCH(BV36,数出表_Excel!$A:$A,0)-1&amp;":AL"&amp;MATCH(BV36,数出表_Excel!$A:$A,0)-1&amp;"")&lt;&gt;"",0)
),
 "")
&amp;IFERROR(
INDEX(INDIRECT("数出表_Excel!$"&amp;BQ78&amp;"5:$AL5"),
 1,
MATCH(TRUE,INDIRECT("'数出表_Excel'!"&amp;BQ78&amp;MATCH(BV36,数出表_Excel!$A:$A,0)-1&amp;":AL"&amp;MATCH(BV36,数出表_Excel!$A:$A,0)-1&amp;"")&lt;&gt;"",0)),
 "")),"")))</f>
        <v/>
      </c>
      <c r="BU79" s="87" t="str">
        <f t="array" aca="1" ref="BU79" ca="1">IF(BR79&lt;&gt;"",
IF(COUNTIF(BR78,"*雙葉*"),
IF(ROUND(
IF(BU84&lt;&gt;"",(BR81-BU84),BR81)
/IF(COUNTIF(BR79,"*キャラ*"),
VLOOKUP("*キャラ*",商品マスタ一覧!$D:$J,7,FALSE),
IF(COUNTIF(BR79,"*赤*"),
VLOOKUP("*赤*",商品マスタ一覧!$D:$J,7,FALSE),
VLOOKUP(BR79,商品マスタ一覧!$D:$J,7,FALSE))),0)&lt;=0,1,
ROUND(
IF(BU84&lt;&gt;"",(BR81-BU84),BR81)
/IF(COUNTIF(BR79,"*キャラ*"),
VLOOKUP("*キャラ*",商品マスタ一覧!$D:$J,7,FALSE),
IF(COUNTIF(BR79,"*赤*"),
VLOOKUP("*赤*",商品マスタ一覧!$D:$J,7,FALSE),
VLOOKUP(BR79,商品マスタ一覧!$D:$J,7,FALSE))),0)),
IF(MATCH(TRUE,
ISNUMBER(--INDIRECT("'数出表_Excel（アレルギー入力）'!B"&amp;MATCH(BV36,'数出表_Excel（アレルギー入力）'!$A:$A,0)-1&amp;":AL"&amp;MATCH(BV36,'数出表_Excel（アレルギー入力）'!$A:$A,0)-1&amp;"")),0)&gt;10,
IF(BR79&lt;&gt;"",
IF(IF(COUNTIF(BR79,"*キャラ*"),
VLOOKUP("*キャラ*",商品マスタ一覧!$D:$J,7,FALSE),
IF(COUNTIF(BR79,"*赤*"),
VLOOKUP("*赤*",商品マスタ一覧!$D:$J,7,FALSE),
VLOOKUP(BR79,商品マスタ一覧!$D:$J,7,FALSE)))=0,"",
IF(ROUND(
IF(BU84&lt;&gt;"",(BR81-BU84),BR81)
/IF(COUNTIF(BR79,"*キャラ*"),
VLOOKUP("*キャラ*",商品マスタ一覧!$D:$J,7,FALSE),
IF(COUNTIF(BR79,"*赤*"),
VLOOKUP("*赤*",商品マスタ一覧!$D:$J,7,FALSE),
VLOOKUP(BR79,商品マスタ一覧!$D:$J,7,FALSE))),0)&lt;=0,1,
ROUND(
IF(BU84&lt;&gt;"",(BR81-BU84),BR81)
/IF(COUNTIF(BR79,"*キャラ*"),
VLOOKUP("*キャラ*",商品マスタ一覧!$D:$J,7,FALSE),
IF(COUNTIF(BR79,"*赤*"),
VLOOKUP("*赤*",商品マスタ一覧!$D:$J,7,FALSE),
VLOOKUP(BR79,商品マスタ一覧!$D:$J,7,FALSE))),0))),""),"")),"")</f>
        <v/>
      </c>
      <c r="BV79" s="96" t="str">
        <f ca="1">IF(BU79&lt;&gt;"",IF(BR81&lt;&gt;"",IF(VALUE(IF(BU84&lt;&gt;"",BR81-BU84,BR81))&gt;VALUE(IF(COUNTIF('盛付札（関数）'!BR79,"*キャラ*"),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
"+"&amp;IF(BU84&lt;&gt;"",BR81-BU84,BR81)-IF(COUNTIF('盛付札（関数）'!BR79,"*キャラ*"),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VLOOKUP('盛付札（関数）'!BR79,商品マスタ一覧!$D:$J,7,FALSE)))*BU79,
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VLOOKUP('盛付札（関数）'!BR79,商品マスタ一覧!$D:$J,7,FALSE)))*BU79),""),"")</f>
        <v/>
      </c>
      <c r="BW79" s="80"/>
      <c r="BX79" s="80"/>
      <c r="BY79" s="85" t="e">
        <f t="array" aca="1" ref="BY79" ca="1">IF(BY38&lt;&gt;100,
IF(BZ81&lt;&gt;"",MATCH(BZ81,INDIRECT("数出表_Excel!B"&amp;MATCH(CD36,数出表_Excel!$A:$A,0)-1&amp;":U"&amp;MATCH(CD36,数出表_Excel!$A:$A,0)-1&amp;""),0)+1,""),
IF(BZ81&lt;&gt;"",
MATCH(
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""),
INDIRECT("数出表_Excel!B"&amp;MATCH(CD36,数出表_Excel!$A:$A,0)-1&amp;":U"&amp;MATCH(CD36,数出表_Excel!$A:$A,0)-1&amp;""),0)+1,""))</f>
        <v>#N/A</v>
      </c>
      <c r="BZ79" s="62" t="str">
        <f t="array" aca="1" ref="BZ79" ca="1">IF(BZ36=CG71,"",IFERROR(IF(OR(
COUNTIF(INDIRECT("数出表_Excel!"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"3"),"*配膳*"),
COUNTIF(INDIRECT("数出表_Excel!"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"3"),"*カレー*"),
COUNTIF(BZ36,"*合計*")),"",
IF(IFERROR(INDIRECT("数出表_Excel!"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"3"),0)=0,"",
IFERROR(INDIRECT("数出表_Excel!"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"3"),""))),""))</f>
        <v/>
      </c>
      <c r="CA79" s="80"/>
      <c r="CB79" s="86" t="str">
        <f t="array" aca="1" ref="CB79" ca="1">IF(CC79&lt;&gt;"","",
IF(COUNTIF(BZ78,"*雙葉*"),"",
IF(BZ78&lt;&gt;"",
IF(
(COLUMN(INDIRECT("数出表_Excel!B" &amp; (MATCH(CD36,数出表_Excel!$A:$A,0)-1))) - 1 +
MATCH(TRUE, ISNUMBER(--INDIRECT("数出表_Excel!B" &amp; (MATCH(CD36,数出表_Excel!$A:$A,0)-1) &amp; ":U" &amp; (MATCH(CD36,数出表_Excel!$A:$A,0)-1))), 0)+1
+MATCH(TRUE,INDIRECT("'数出表_Excel'!"&amp;BY78&amp;MATCH(CD36,数出表_Excel!$A:$A,0)-1&amp;":AL"&amp;MATCH(CD36,数出表_Excel!$A:$A,0)-1&amp;"")&lt;&gt;"",0))&gt;12,"",
IFERROR(
INDEX(INDIRECT("数出表_Excel!$"&amp;BY78&amp;"4:$AL4"),
 1,
MATCH(TRUE,INDIRECT("'数出表_Excel'!"&amp;BY78&amp;MATCH(CD36,数出表_Excel!$A:$A,0)-1&amp;":AL"&amp;MATCH(CD36,数出表_Excel!$A:$A,0)-1&amp;"")&lt;&gt;"",0)
),
 "")
&amp;IFERROR(
INDEX(INDIRECT("数出表_Excel!$"&amp;BY78&amp;"5:$AL5"),
 1,
MATCH(TRUE,INDIRECT("'数出表_Excel'!"&amp;BY78&amp;MATCH(CD36,数出表_Excel!$A:$A,0)-1&amp;":AL"&amp;MATCH(CD36,数出表_Excel!$A:$A,0)-1&amp;"")&lt;&gt;"",0)),
 "")),"")))</f>
        <v/>
      </c>
      <c r="CC79" s="87" t="str">
        <f t="array" aca="1" ref="CC79" ca="1">IF(BZ79&lt;&gt;"",
IF(COUNTIF(BZ78,"*雙葉*"),
IF(ROUND(
IF(CC84&lt;&gt;"",(BZ81-CC84),BZ81)
/IF(COUNTIF(BZ79,"*キャラ*"),
VLOOKUP("*キャラ*",商品マスタ一覧!$D:$J,7,FALSE),
IF(COUNTIF(BZ79,"*赤*"),
VLOOKUP("*赤*",商品マスタ一覧!$D:$J,7,FALSE),
VLOOKUP(BZ79,商品マスタ一覧!$D:$J,7,FALSE))),0)&lt;=0,1,
ROUND(
IF(CC84&lt;&gt;"",(BZ81-CC84),BZ81)
/IF(COUNTIF(BZ79,"*キャラ*"),
VLOOKUP("*キャラ*",商品マスタ一覧!$D:$J,7,FALSE),
IF(COUNTIF(BZ79,"*赤*"),
VLOOKUP("*赤*",商品マスタ一覧!$D:$J,7,FALSE),
VLOOKUP(BZ79,商品マスタ一覧!$D:$J,7,FALSE))),0)),
IF(MATCH(TRUE,
ISNUMBER(--INDIRECT("'数出表_Excel（アレルギー入力）'!B"&amp;MATCH(CD36,'数出表_Excel（アレルギー入力）'!$A:$A,0)-1&amp;":AL"&amp;MATCH(CD36,'数出表_Excel（アレルギー入力）'!$A:$A,0)-1&amp;"")),0)&gt;10,
IF(BZ79&lt;&gt;"",
IF(IF(COUNTIF(BZ79,"*キャラ*"),
VLOOKUP("*キャラ*",商品マスタ一覧!$D:$J,7,FALSE),
IF(COUNTIF(BZ79,"*赤*"),
VLOOKUP("*赤*",商品マスタ一覧!$D:$J,7,FALSE),
VLOOKUP(BZ79,商品マスタ一覧!$D:$J,7,FALSE)))=0,"",
IF(ROUND(
IF(CC84&lt;&gt;"",(BZ81-CC84),BZ81)
/IF(COUNTIF(BZ79,"*キャラ*"),
VLOOKUP("*キャラ*",商品マスタ一覧!$D:$J,7,FALSE),
IF(COUNTIF(BZ79,"*赤*"),
VLOOKUP("*赤*",商品マスタ一覧!$D:$J,7,FALSE),
VLOOKUP(BZ79,商品マスタ一覧!$D:$J,7,FALSE))),0)&lt;=0,1,
ROUND(
IF(CC84&lt;&gt;"",(BZ81-CC84),BZ81)
/IF(COUNTIF(BZ79,"*キャラ*"),
VLOOKUP("*キャラ*",商品マスタ一覧!$D:$J,7,FALSE),
IF(COUNTIF(BZ79,"*赤*"),
VLOOKUP("*赤*",商品マスタ一覧!$D:$J,7,FALSE),
VLOOKUP(BZ79,商品マスタ一覧!$D:$J,7,FALSE))),0))),""),"")),"")</f>
        <v/>
      </c>
      <c r="CD79" s="100" t="str">
        <f ca="1">IF(CC79&lt;&gt;"",IF(BZ81&lt;&gt;"",IF(VALUE(IF(CC84&lt;&gt;"",BZ81-CC84,BZ81))&gt;VALUE(IF(COUNTIF('盛付札（関数）'!BZ79,"*キャラ*"),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VLOOKUP('盛付札（関数）'!BZ79,商品マスタ一覧!$D:$J,7,FALSE)))*CC79),
"+"&amp;IF(CC84&lt;&gt;"",BZ81-CC84,BZ81)-IF(COUNTIF('盛付札（関数）'!BZ79,"*キャラ*"),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VLOOKUP('盛付札（関数）'!BZ79,商品マスタ一覧!$D:$J,7,FALSE)))*CC79,
IF(CC84&lt;&gt;"",BZ81-CC84,BZ81)-IF(COUNTIF('盛付札（関数）'!BZ79,"*キャラ*"),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VLOOKUP('盛付札（関数）'!BZ79,商品マスタ一覧!$D:$J,7,FALSE)))*CC79),""),"")</f>
        <v/>
      </c>
      <c r="CE79" s="80"/>
      <c r="CF79" s="85" t="e">
        <f t="array" aca="1" ref="CF79" ca="1">IF(CF38&lt;&gt;100,
IF(CG81&lt;&gt;"",MATCH(CG81,INDIRECT("数出表_Excel!B"&amp;MATCH(CK36,数出表_Excel!$A:$A,0)-1&amp;":U"&amp;MATCH(CK36,数出表_Excel!$A:$A,0)-1&amp;""),0)+1,""),
IF(CG81&lt;&gt;"",
MATCH(
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""),
INDIRECT("数出表_Excel!B"&amp;MATCH(CK36,数出表_Excel!$A:$A,0)-1&amp;":U"&amp;MATCH(CK36,数出表_Excel!$A:$A,0)-1&amp;""),0)+1,""))</f>
        <v>#N/A</v>
      </c>
      <c r="CG79" s="62" t="str">
        <f t="array" aca="1" ref="CG79" ca="1">IF(CG36=BZ78,"",IFERROR(IF(OR(
COUNTIF(INDIRECT("数出表_Excel!"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"3"),"*配膳*"),
COUNTIF(INDIRECT("数出表_Excel!"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"3"),"*カレー*"),
COUNTIF(CG36,"*合計*")),"",
IF(IFERROR(INDIRECT("数出表_Excel!"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"3"),0)=0,"",
IFERROR(INDIRECT("数出表_Excel!"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"3"),""))),""))</f>
        <v/>
      </c>
      <c r="CH79" s="80"/>
      <c r="CI79" s="86" t="str">
        <f t="array" aca="1" ref="CI79" ca="1">IF(CJ79&lt;&gt;"","",
IF(COUNTIF(CG78,"*雙葉*"),"",
IF(CG78&lt;&gt;"",
IF(
(COLUMN(INDIRECT("数出表_Excel!B" &amp; (MATCH(CK36,数出表_Excel!$A:$A,0)-1))) - 1 +
MATCH(TRUE, ISNUMBER(--INDIRECT("数出表_Excel!B" &amp; (MATCH(CK36,数出表_Excel!$A:$A,0)-1) &amp; ":U" &amp; (MATCH(CK36,数出表_Excel!$A:$A,0)-1))), 0)+1
+MATCH(TRUE,INDIRECT("'数出表_Excel'!"&amp;CF78&amp;MATCH(CK36,数出表_Excel!$A:$A,0)-1&amp;":AL"&amp;MATCH(CK36,数出表_Excel!$A:$A,0)-1&amp;"")&lt;&gt;"",0))&gt;12,"",
IFERROR(
INDEX(INDIRECT("数出表_Excel!$"&amp;CF78&amp;"4:$AL4"),
 1,
MATCH(TRUE,INDIRECT("'数出表_Excel'!"&amp;CF78&amp;MATCH(CK36,数出表_Excel!$A:$A,0)-1&amp;":AL"&amp;MATCH(CK36,数出表_Excel!$A:$A,0)-1&amp;"")&lt;&gt;"",0)
),
 "")
&amp;IFERROR(
INDEX(INDIRECT("数出表_Excel!$"&amp;CF78&amp;"5:$AL5"),
 1,
MATCH(TRUE,INDIRECT("'数出表_Excel'!"&amp;CF78&amp;MATCH(CK36,数出表_Excel!$A:$A,0)-1&amp;":AL"&amp;MATCH(CK36,数出表_Excel!$A:$A,0)-1&amp;"")&lt;&gt;"",0)),
 "")),"")))</f>
        <v/>
      </c>
      <c r="CJ79" s="87" t="str">
        <f t="array" aca="1" ref="CJ79" ca="1">IF(CG79&lt;&gt;"",
IF(COUNTIF(CG78,"*雙葉*"),
IF(ROUND(
IF(CJ84&lt;&gt;"",(CG81-CJ84),CG81)
/IF(COUNTIF(CG79,"*キャラ*"),
VLOOKUP("*キャラ*",商品マスタ一覧!$D:$J,7,FALSE),
IF(COUNTIF(CG79,"*赤*"),
VLOOKUP("*赤*",商品マスタ一覧!$D:$J,7,FALSE),
VLOOKUP(CG79,商品マスタ一覧!$D:$J,7,FALSE))),0)&lt;=0,1,
ROUND(
IF(CJ84&lt;&gt;"",(CG81-CJ84),CG81)
/IF(COUNTIF(CG79,"*キャラ*"),
VLOOKUP("*キャラ*",商品マスタ一覧!$D:$J,7,FALSE),
IF(COUNTIF(CG79,"*赤*"),
VLOOKUP("*赤*",商品マスタ一覧!$D:$J,7,FALSE),
VLOOKUP(CG79,商品マスタ一覧!$D:$J,7,FALSE))),0)),
IF(MATCH(TRUE,
ISNUMBER(--INDIRECT("'数出表_Excel（アレルギー入力）'!B"&amp;MATCH(CK36,'数出表_Excel（アレルギー入力）'!$A:$A,0)-1&amp;":AL"&amp;MATCH(CK36,'数出表_Excel（アレルギー入力）'!$A:$A,0)-1&amp;"")),0)&gt;10,
IF(CG79&lt;&gt;"",
IF(IF(COUNTIF(CG79,"*キャラ*"),
VLOOKUP("*キャラ*",商品マスタ一覧!$D:$J,7,FALSE),
IF(COUNTIF(CG79,"*赤*"),
VLOOKUP("*赤*",商品マスタ一覧!$D:$J,7,FALSE),
VLOOKUP(CG79,商品マスタ一覧!$D:$J,7,FALSE)))=0,"",
IF(ROUND(
IF(CJ84&lt;&gt;"",(CG81-CJ84),CG81)
/IF(COUNTIF(CG79,"*キャラ*"),
VLOOKUP("*キャラ*",商品マスタ一覧!$D:$J,7,FALSE),
IF(COUNTIF(CG79,"*赤*"),
VLOOKUP("*赤*",商品マスタ一覧!$D:$J,7,FALSE),
VLOOKUP(CG79,商品マスタ一覧!$D:$J,7,FALSE))),0)&lt;=0,1,
ROUND(
IF(CJ84&lt;&gt;"",(CG81-CJ84),CG81)
/IF(COUNTIF(CG79,"*キャラ*"),
VLOOKUP("*キャラ*",商品マスタ一覧!$D:$J,7,FALSE),
IF(COUNTIF(CG79,"*赤*"),
VLOOKUP("*赤*",商品マスタ一覧!$D:$J,7,FALSE),
VLOOKUP(CG79,商品マスタ一覧!$D:$J,7,FALSE))),0))),""),"")),"")</f>
        <v/>
      </c>
      <c r="CK79" s="96" t="str">
        <f ca="1">IF(CJ79&lt;&gt;"",IF(CG81&lt;&gt;"",IF(VALUE(IF(CJ84&lt;&gt;"",CG81-CJ84,CG81))&gt;VALUE(IF(COUNTIF('盛付札（関数）'!CG79,"*キャラ*"),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VLOOKUP('盛付札（関数）'!CG79,商品マスタ一覧!$D:$J,7,FALSE)))*CJ79),
"+"&amp;IF(CJ84&lt;&gt;"",CG81-CJ84,CG81)-IF(COUNTIF('盛付札（関数）'!CG79,"*キャラ*"),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VLOOKUP('盛付札（関数）'!CG79,商品マスタ一覧!$D:$J,7,FALSE)))*CJ79,
IF(CJ84&lt;&gt;"",CG81-CJ84,CG81)-IF(COUNTIF('盛付札（関数）'!CG79,"*キャラ*"),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VLOOKUP('盛付札（関数）'!CG79,商品マスタ一覧!$D:$J,7,FALSE)))*CJ79),""),"")</f>
        <v/>
      </c>
      <c r="CL79" s="80"/>
      <c r="CM79" s="80"/>
      <c r="CN79" s="85" t="e">
        <f t="array" aca="1" ref="CN79" ca="1">IF(CN38&lt;&gt;100,
IF(CO81&lt;&gt;"",MATCH(CO81,INDIRECT("数出表_Excel!B"&amp;MATCH(CS36,数出表_Excel!$A:$A,0)-1&amp;":U"&amp;MATCH(CS36,数出表_Excel!$A:$A,0)-1&amp;""),0)+1,""),
IF(CO81&lt;&gt;"",
MATCH(
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""),
INDIRECT("数出表_Excel!B"&amp;MATCH(CS36,数出表_Excel!$A:$A,0)-1&amp;":U"&amp;MATCH(CS36,数出表_Excel!$A:$A,0)-1&amp;""),0)+1,""))</f>
        <v>#N/A</v>
      </c>
      <c r="CO79" s="62" t="str">
        <f t="array" aca="1" ref="CO79" ca="1">IF(CO36=CV71,"",IFERROR(IF(OR(
COUNTIF(INDIRECT("数出表_Excel!"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"3"),"*配膳*"),
COUNTIF(INDIRECT("数出表_Excel!"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"3"),"*カレー*"),
COUNTIF(CO36,"*合計*")),"",
IF(IFERROR(INDIRECT("数出表_Excel!"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"3"),0)=0,"",
IFERROR(INDIRECT("数出表_Excel!"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"3"),""))),""))</f>
        <v/>
      </c>
      <c r="CP79" s="80"/>
      <c r="CQ79" s="86" t="str">
        <f t="array" aca="1" ref="CQ79" ca="1">IF(CR79&lt;&gt;"","",
IF(COUNTIF(CO78,"*雙葉*"),"",
IF(CO78&lt;&gt;"",
IF(
(COLUMN(INDIRECT("数出表_Excel!B" &amp; (MATCH(CS36,数出表_Excel!$A:$A,0)-1))) - 1 +
MATCH(TRUE, ISNUMBER(--INDIRECT("数出表_Excel!B" &amp; (MATCH(CS36,数出表_Excel!$A:$A,0)-1) &amp; ":U" &amp; (MATCH(CS36,数出表_Excel!$A:$A,0)-1))), 0)+1
+MATCH(TRUE,INDIRECT("'数出表_Excel'!"&amp;CN78&amp;MATCH(CS36,数出表_Excel!$A:$A,0)-1&amp;":AL"&amp;MATCH(CS36,数出表_Excel!$A:$A,0)-1&amp;"")&lt;&gt;"",0))&gt;12,"",
IFERROR(
INDEX(INDIRECT("数出表_Excel!$"&amp;CN78&amp;"4:$AL4"),
 1,
MATCH(TRUE,INDIRECT("'数出表_Excel'!"&amp;CN78&amp;MATCH(CS36,数出表_Excel!$A:$A,0)-1&amp;":AL"&amp;MATCH(CS36,数出表_Excel!$A:$A,0)-1&amp;"")&lt;&gt;"",0)
),
 "")
&amp;IFERROR(
INDEX(INDIRECT("数出表_Excel!$"&amp;CN78&amp;"5:$AL5"),
 1,
MATCH(TRUE,INDIRECT("'数出表_Excel'!"&amp;CN78&amp;MATCH(CS36,数出表_Excel!$A:$A,0)-1&amp;":AL"&amp;MATCH(CS36,数出表_Excel!$A:$A,0)-1&amp;"")&lt;&gt;"",0)),
 "")),"")))</f>
        <v/>
      </c>
      <c r="CR79" s="87" t="str">
        <f t="array" aca="1" ref="CR79" ca="1">IF(CO79&lt;&gt;"",
IF(COUNTIF(CO78,"*雙葉*"),
IF(ROUND(
IF(CR84&lt;&gt;"",(CO81-CR84),CO81)
/IF(COUNTIF(CO79,"*キャラ*"),
VLOOKUP("*キャラ*",商品マスタ一覧!$D:$J,7,FALSE),
IF(COUNTIF(CO79,"*赤*"),
VLOOKUP("*赤*",商品マスタ一覧!$D:$J,7,FALSE),
VLOOKUP(CO79,商品マスタ一覧!$D:$J,7,FALSE))),0)&lt;=0,1,
ROUND(
IF(CR84&lt;&gt;"",(CO81-CR84),CO81)
/IF(COUNTIF(CO79,"*キャラ*"),
VLOOKUP("*キャラ*",商品マスタ一覧!$D:$J,7,FALSE),
IF(COUNTIF(CO79,"*赤*"),
VLOOKUP("*赤*",商品マスタ一覧!$D:$J,7,FALSE),
VLOOKUP(CO79,商品マスタ一覧!$D:$J,7,FALSE))),0)),
IF(MATCH(TRUE,
ISNUMBER(--INDIRECT("'数出表_Excel（アレルギー入力）'!B"&amp;MATCH(CS36,'数出表_Excel（アレルギー入力）'!$A:$A,0)-1&amp;":AL"&amp;MATCH(CS36,'数出表_Excel（アレルギー入力）'!$A:$A,0)-1&amp;"")),0)&gt;10,
IF(CO79&lt;&gt;"",
IF(IF(COUNTIF(CO79,"*キャラ*"),
VLOOKUP("*キャラ*",商品マスタ一覧!$D:$J,7,FALSE),
IF(COUNTIF(CO79,"*赤*"),
VLOOKUP("*赤*",商品マスタ一覧!$D:$J,7,FALSE),
VLOOKUP(CO79,商品マスタ一覧!$D:$J,7,FALSE)))=0,"",
IF(ROUND(
IF(CR84&lt;&gt;"",(CO81-CR84),CO81)
/IF(COUNTIF(CO79,"*キャラ*"),
VLOOKUP("*キャラ*",商品マスタ一覧!$D:$J,7,FALSE),
IF(COUNTIF(CO79,"*赤*"),
VLOOKUP("*赤*",商品マスタ一覧!$D:$J,7,FALSE),
VLOOKUP(CO79,商品マスタ一覧!$D:$J,7,FALSE))),0)&lt;=0,1,
ROUND(
IF(CR84&lt;&gt;"",(CO81-CR84),CO81)
/IF(COUNTIF(CO79,"*キャラ*"),
VLOOKUP("*キャラ*",商品マスタ一覧!$D:$J,7,FALSE),
IF(COUNTIF(CO79,"*赤*"),
VLOOKUP("*赤*",商品マスタ一覧!$D:$J,7,FALSE),
VLOOKUP(CO79,商品マスタ一覧!$D:$J,7,FALSE))),0))),""),"")),"")</f>
        <v/>
      </c>
      <c r="CS79" s="100" t="str">
        <f ca="1">IF(CR79&lt;&gt;"",IF(CO81&lt;&gt;"",IF(VALUE(IF(CR84&lt;&gt;"",CO81-CR84,CO81))&gt;VALUE(IF(COUNTIF('盛付札（関数）'!CO79,"*キャラ*"),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VLOOKUP('盛付札（関数）'!CO79,商品マスタ一覧!$D:$J,7,FALSE)))*CR79),
"+"&amp;IF(CR84&lt;&gt;"",CO81-CR84,CO81)-IF(COUNTIF('盛付札（関数）'!CO79,"*キャラ*"),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VLOOKUP('盛付札（関数）'!CO79,商品マスタ一覧!$D:$J,7,FALSE)))*CR79,
IF(CR84&lt;&gt;"",CO81-CR84,CO81)-IF(COUNTIF('盛付札（関数）'!CO79,"*キャラ*"),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VLOOKUP('盛付札（関数）'!CO79,商品マスタ一覧!$D:$J,7,FALSE)))*CR79),""),"")</f>
        <v/>
      </c>
      <c r="CT79" s="80"/>
      <c r="CU79" s="85" t="e">
        <f t="array" aca="1" ref="CU79" ca="1">IF(CU38&lt;&gt;100,
IF(CV81&lt;&gt;"",MATCH(CV81,INDIRECT("数出表_Excel!B"&amp;MATCH(CZ36,数出表_Excel!$A:$A,0)-1&amp;":U"&amp;MATCH(CZ36,数出表_Excel!$A:$A,0)-1&amp;""),0)+1,""),
IF(CV81&lt;&gt;"",
MATCH(
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""),
INDIRECT("数出表_Excel!B"&amp;MATCH(CZ36,数出表_Excel!$A:$A,0)-1&amp;":U"&amp;MATCH(CZ36,数出表_Excel!$A:$A,0)-1&amp;""),0)+1,""))</f>
        <v>#N/A</v>
      </c>
      <c r="CV79" s="62" t="str">
        <f t="array" aca="1" ref="CV79" ca="1">IF(CV36=CO78,"",IFERROR(IF(OR(
COUNTIF(INDIRECT("数出表_Excel!"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"3"),"*配膳*"),
COUNTIF(INDIRECT("数出表_Excel!"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"3"),"*カレー*"),
COUNTIF(CV36,"*合計*")),"",
IF(IFERROR(INDIRECT("数出表_Excel!"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"3"),0)=0,"",
IFERROR(INDIRECT("数出表_Excel!"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"3"),""))),""))</f>
        <v/>
      </c>
      <c r="CW79" s="80"/>
      <c r="CX79" s="86" t="str">
        <f t="array" aca="1" ref="CX79" ca="1">IF(CY79&lt;&gt;"","",
IF(COUNTIF(CV78,"*雙葉*"),"",
IF(CV78&lt;&gt;"",
IF(
(COLUMN(INDIRECT("数出表_Excel!B" &amp; (MATCH(CZ36,数出表_Excel!$A:$A,0)-1))) - 1 +
MATCH(TRUE, ISNUMBER(--INDIRECT("数出表_Excel!B" &amp; (MATCH(CZ36,数出表_Excel!$A:$A,0)-1) &amp; ":U" &amp; (MATCH(CZ36,数出表_Excel!$A:$A,0)-1))), 0)+1
+MATCH(TRUE,INDIRECT("'数出表_Excel'!"&amp;CU78&amp;MATCH(CZ36,数出表_Excel!$A:$A,0)-1&amp;":AL"&amp;MATCH(CZ36,数出表_Excel!$A:$A,0)-1&amp;"")&lt;&gt;"",0))&gt;12,"",
IFERROR(
INDEX(INDIRECT("数出表_Excel!$"&amp;CU78&amp;"4:$AL4"),
 1,
MATCH(TRUE,INDIRECT("'数出表_Excel'!"&amp;CU78&amp;MATCH(CZ36,数出表_Excel!$A:$A,0)-1&amp;":AL"&amp;MATCH(CZ36,数出表_Excel!$A:$A,0)-1&amp;"")&lt;&gt;"",0)
),
 "")
&amp;IFERROR(
INDEX(INDIRECT("数出表_Excel!$"&amp;CU78&amp;"5:$AL5"),
 1,
MATCH(TRUE,INDIRECT("'数出表_Excel'!"&amp;CU78&amp;MATCH(CZ36,数出表_Excel!$A:$A,0)-1&amp;":AL"&amp;MATCH(CZ36,数出表_Excel!$A:$A,0)-1&amp;"")&lt;&gt;"",0)),
 "")),"")))</f>
        <v/>
      </c>
      <c r="CY79" s="87" t="str">
        <f t="array" aca="1" ref="CY79" ca="1">IF(CV79&lt;&gt;"",
IF(COUNTIF(CV78,"*雙葉*"),
IF(ROUND(
IF(CY84&lt;&gt;"",(CV81-CY84),CV81)
/IF(COUNTIF(CV79,"*キャラ*"),
VLOOKUP("*キャラ*",商品マスタ一覧!$D:$J,7,FALSE),
IF(COUNTIF(CV79,"*赤*"),
VLOOKUP("*赤*",商品マスタ一覧!$D:$J,7,FALSE),
VLOOKUP(CV79,商品マスタ一覧!$D:$J,7,FALSE))),0)&lt;=0,1,
ROUND(
IF(CY84&lt;&gt;"",(CV81-CY84),CV81)
/IF(COUNTIF(CV79,"*キャラ*"),
VLOOKUP("*キャラ*",商品マスタ一覧!$D:$J,7,FALSE),
IF(COUNTIF(CV79,"*赤*"),
VLOOKUP("*赤*",商品マスタ一覧!$D:$J,7,FALSE),
VLOOKUP(CV79,商品マスタ一覧!$D:$J,7,FALSE))),0)),
IF(MATCH(TRUE,
ISNUMBER(--INDIRECT("'数出表_Excel（アレルギー入力）'!B"&amp;MATCH(CZ36,'数出表_Excel（アレルギー入力）'!$A:$A,0)-1&amp;":AL"&amp;MATCH(CZ36,'数出表_Excel（アレルギー入力）'!$A:$A,0)-1&amp;"")),0)&gt;10,
IF(CV79&lt;&gt;"",
IF(IF(COUNTIF(CV79,"*キャラ*"),
VLOOKUP("*キャラ*",商品マスタ一覧!$D:$J,7,FALSE),
IF(COUNTIF(CV79,"*赤*"),
VLOOKUP("*赤*",商品マスタ一覧!$D:$J,7,FALSE),
VLOOKUP(CV79,商品マスタ一覧!$D:$J,7,FALSE)))=0,"",
IF(ROUND(
IF(CY84&lt;&gt;"",(CV81-CY84),CV81)
/IF(COUNTIF(CV79,"*キャラ*"),
VLOOKUP("*キャラ*",商品マスタ一覧!$D:$J,7,FALSE),
IF(COUNTIF(CV79,"*赤*"),
VLOOKUP("*赤*",商品マスタ一覧!$D:$J,7,FALSE),
VLOOKUP(CV79,商品マスタ一覧!$D:$J,7,FALSE))),0)&lt;=0,1,
ROUND(
IF(CY84&lt;&gt;"",(CV81-CY84),CV81)
/IF(COUNTIF(CV79,"*キャラ*"),
VLOOKUP("*キャラ*",商品マスタ一覧!$D:$J,7,FALSE),
IF(COUNTIF(CV79,"*赤*"),
VLOOKUP("*赤*",商品マスタ一覧!$D:$J,7,FALSE),
VLOOKUP(CV79,商品マスタ一覧!$D:$J,7,FALSE))),0))),""),"")),"")</f>
        <v/>
      </c>
      <c r="CZ79" s="96" t="str">
        <f ca="1">IF(CY79&lt;&gt;"",IF(CV81&lt;&gt;"",IF(VALUE(IF(CY84&lt;&gt;"",CV81-CY84,CV81))&gt;VALUE(IF(COUNTIF('盛付札（関数）'!CV79,"*キャラ*"),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VLOOKUP('盛付札（関数）'!CV79,商品マスタ一覧!$D:$J,7,FALSE)))*CY79),
"+"&amp;IF(CY84&lt;&gt;"",CV81-CY84,CV81)-IF(COUNTIF('盛付札（関数）'!CV79,"*キャラ*"),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VLOOKUP('盛付札（関数）'!CV79,商品マスタ一覧!$D:$J,7,FALSE)))*CY79,
IF(CY84&lt;&gt;"",CV81-CY84,CV81)-IF(COUNTIF('盛付札（関数）'!CV79,"*キャラ*"),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VLOOKUP('盛付札（関数）'!CV79,商品マスタ一覧!$D:$J,7,FALSE)))*CY79),""),"")</f>
        <v/>
      </c>
      <c r="DA79" s="80"/>
      <c r="DB79" s="80"/>
      <c r="DC79" s="85" t="e">
        <f t="array" aca="1" ref="DC79" ca="1">IF(DC38&lt;&gt;100,
IF(DD81&lt;&gt;"",MATCH(DD81,INDIRECT("数出表_Excel!B"&amp;MATCH(DH36,数出表_Excel!$A:$A,0)-1&amp;":U"&amp;MATCH(DH36,数出表_Excel!$A:$A,0)-1&amp;""),0)+1,""),
IF(DD81&lt;&gt;"",
MATCH(
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""),
INDIRECT("数出表_Excel!B"&amp;MATCH(DH36,数出表_Excel!$A:$A,0)-1&amp;":U"&amp;MATCH(DH36,数出表_Excel!$A:$A,0)-1&amp;""),0)+1,""))</f>
        <v>#N/A</v>
      </c>
      <c r="DD79" s="62" t="str">
        <f t="array" aca="1" ref="DD79" ca="1">IF(DD36=DK71,"",IFERROR(IF(OR(
COUNTIF(INDIRECT("数出表_Excel!"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"3"),"*配膳*"),
COUNTIF(INDIRECT("数出表_Excel!"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"3"),"*カレー*"),
COUNTIF(DD36,"*合計*")),"",
IF(IFERROR(INDIRECT("数出表_Excel!"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"3"),0)=0,"",
IFERROR(INDIRECT("数出表_Excel!"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"3"),""))),""))</f>
        <v/>
      </c>
      <c r="DE79" s="80"/>
      <c r="DF79" s="86" t="str">
        <f t="array" aca="1" ref="DF79" ca="1">IF(DG79&lt;&gt;"","",
IF(COUNTIF(DD78,"*雙葉*"),"",
IF(DD78&lt;&gt;"",
IF(
(COLUMN(INDIRECT("数出表_Excel!B" &amp; (MATCH(DH36,数出表_Excel!$A:$A,0)-1))) - 1 +
MATCH(TRUE, ISNUMBER(--INDIRECT("数出表_Excel!B" &amp; (MATCH(DH36,数出表_Excel!$A:$A,0)-1) &amp; ":U" &amp; (MATCH(DH36,数出表_Excel!$A:$A,0)-1))), 0)+1
+MATCH(TRUE,INDIRECT("'数出表_Excel'!"&amp;DC78&amp;MATCH(DH36,数出表_Excel!$A:$A,0)-1&amp;":AL"&amp;MATCH(DH36,数出表_Excel!$A:$A,0)-1&amp;"")&lt;&gt;"",0))&gt;12,"",
IFERROR(
INDEX(INDIRECT("数出表_Excel!$"&amp;DC78&amp;"4:$AL4"),
 1,
MATCH(TRUE,INDIRECT("'数出表_Excel'!"&amp;DC78&amp;MATCH(DH36,数出表_Excel!$A:$A,0)-1&amp;":AL"&amp;MATCH(DH36,数出表_Excel!$A:$A,0)-1&amp;"")&lt;&gt;"",0)
),
 "")
&amp;IFERROR(
INDEX(INDIRECT("数出表_Excel!$"&amp;DC78&amp;"5:$AL5"),
 1,
MATCH(TRUE,INDIRECT("'数出表_Excel'!"&amp;DC78&amp;MATCH(DH36,数出表_Excel!$A:$A,0)-1&amp;":AL"&amp;MATCH(DH36,数出表_Excel!$A:$A,0)-1&amp;"")&lt;&gt;"",0)),
 "")),"")))</f>
        <v/>
      </c>
      <c r="DG79" s="87" t="str">
        <f t="array" aca="1" ref="DG79" ca="1">IF(DD79&lt;&gt;"",
IF(COUNTIF(DD78,"*雙葉*"),
IF(ROUND(
IF(DG84&lt;&gt;"",(DD81-DG84),DD81)
/IF(COUNTIF(DD79,"*キャラ*"),
VLOOKUP("*キャラ*",商品マスタ一覧!$D:$J,7,FALSE),
IF(COUNTIF(DD79,"*赤*"),
VLOOKUP("*赤*",商品マスタ一覧!$D:$J,7,FALSE),
VLOOKUP(DD79,商品マスタ一覧!$D:$J,7,FALSE))),0)&lt;=0,1,
ROUND(
IF(DG84&lt;&gt;"",(DD81-DG84),DD81)
/IF(COUNTIF(DD79,"*キャラ*"),
VLOOKUP("*キャラ*",商品マスタ一覧!$D:$J,7,FALSE),
IF(COUNTIF(DD79,"*赤*"),
VLOOKUP("*赤*",商品マスタ一覧!$D:$J,7,FALSE),
VLOOKUP(DD79,商品マスタ一覧!$D:$J,7,FALSE))),0)),
IF(MATCH(TRUE,
ISNUMBER(--INDIRECT("'数出表_Excel（アレルギー入力）'!B"&amp;MATCH(DH36,'数出表_Excel（アレルギー入力）'!$A:$A,0)-1&amp;":AL"&amp;MATCH(DH36,'数出表_Excel（アレルギー入力）'!$A:$A,0)-1&amp;"")),0)&gt;10,
IF(DD79&lt;&gt;"",
IF(IF(COUNTIF(DD79,"*キャラ*"),
VLOOKUP("*キャラ*",商品マスタ一覧!$D:$J,7,FALSE),
IF(COUNTIF(DD79,"*赤*"),
VLOOKUP("*赤*",商品マスタ一覧!$D:$J,7,FALSE),
VLOOKUP(DD79,商品マスタ一覧!$D:$J,7,FALSE)))=0,"",
IF(ROUND(
IF(DG84&lt;&gt;"",(DD81-DG84),DD81)
/IF(COUNTIF(DD79,"*キャラ*"),
VLOOKUP("*キャラ*",商品マスタ一覧!$D:$J,7,FALSE),
IF(COUNTIF(DD79,"*赤*"),
VLOOKUP("*赤*",商品マスタ一覧!$D:$J,7,FALSE),
VLOOKUP(DD79,商品マスタ一覧!$D:$J,7,FALSE))),0)&lt;=0,1,
ROUND(
IF(DG84&lt;&gt;"",(DD81-DG84),DD81)
/IF(COUNTIF(DD79,"*キャラ*"),
VLOOKUP("*キャラ*",商品マスタ一覧!$D:$J,7,FALSE),
IF(COUNTIF(DD79,"*赤*"),
VLOOKUP("*赤*",商品マスタ一覧!$D:$J,7,FALSE),
VLOOKUP(DD79,商品マスタ一覧!$D:$J,7,FALSE))),0))),""),"")),"")</f>
        <v/>
      </c>
      <c r="DH79" s="100" t="str">
        <f ca="1">IF(DG79&lt;&gt;"",IF(DD81&lt;&gt;"",IF(VALUE(IF(DG84&lt;&gt;"",DD81-DG84,DD81))&gt;VALUE(IF(COUNTIF('盛付札（関数）'!DD79,"*キャラ*"),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VLOOKUP('盛付札（関数）'!DD79,商品マスタ一覧!$D:$J,7,FALSE)))*DG79),
"+"&amp;IF(DG84&lt;&gt;"",DD81-DG84,DD81)-IF(COUNTIF('盛付札（関数）'!DD79,"*キャラ*"),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VLOOKUP('盛付札（関数）'!DD79,商品マスタ一覧!$D:$J,7,FALSE)))*DG79,
IF(DG84&lt;&gt;"",DD81-DG84,DD81)-IF(COUNTIF('盛付札（関数）'!DD79,"*キャラ*"),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VLOOKUP('盛付札（関数）'!DD79,商品マスタ一覧!$D:$J,7,FALSE)))*DG79),""),"")</f>
        <v/>
      </c>
      <c r="DI79" s="80"/>
      <c r="DJ79" s="85" t="e">
        <f t="array" aca="1" ref="DJ79" ca="1">IF(DJ38&lt;&gt;100,
IF(DK81&lt;&gt;"",MATCH(DK81,INDIRECT("数出表_Excel!B"&amp;MATCH(DO36,数出表_Excel!$A:$A,0)-1&amp;":U"&amp;MATCH(DO36,数出表_Excel!$A:$A,0)-1&amp;""),0)+1,""),
IF(DK81&lt;&gt;"",
MATCH(
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""),
INDIRECT("数出表_Excel!B"&amp;MATCH(DO36,数出表_Excel!$A:$A,0)-1&amp;":U"&amp;MATCH(DO36,数出表_Excel!$A:$A,0)-1&amp;""),0)+1,""))</f>
        <v>#N/A</v>
      </c>
      <c r="DK79" s="62" t="str">
        <f t="array" aca="1" ref="DK79" ca="1">IF(DK36=DD78,"",IFERROR(IF(OR(
COUNTIF(INDIRECT("数出表_Excel!"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"3"),"*配膳*"),
COUNTIF(INDIRECT("数出表_Excel!"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"3"),"*カレー*"),
COUNTIF(DK36,"*合計*")),"",
IF(IFERROR(INDIRECT("数出表_Excel!"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"3"),0)=0,"",
IFERROR(INDIRECT("数出表_Excel!"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"3"),""))),""))</f>
        <v/>
      </c>
      <c r="DL79" s="80"/>
      <c r="DM79" s="86" t="str">
        <f t="array" aca="1" ref="DM79" ca="1">IF(DN79&lt;&gt;"","",
IF(COUNTIF(DK78,"*雙葉*"),"",
IF(DK78&lt;&gt;"",
IF(
(COLUMN(INDIRECT("数出表_Excel!B" &amp; (MATCH(DO36,数出表_Excel!$A:$A,0)-1))) - 1 +
MATCH(TRUE, ISNUMBER(--INDIRECT("数出表_Excel!B" &amp; (MATCH(DO36,数出表_Excel!$A:$A,0)-1) &amp; ":U" &amp; (MATCH(DO36,数出表_Excel!$A:$A,0)-1))), 0)+1
+MATCH(TRUE,INDIRECT("'数出表_Excel'!"&amp;DJ78&amp;MATCH(DO36,数出表_Excel!$A:$A,0)-1&amp;":AL"&amp;MATCH(DO36,数出表_Excel!$A:$A,0)-1&amp;"")&lt;&gt;"",0))&gt;12,"",
IFERROR(
INDEX(INDIRECT("数出表_Excel!$"&amp;DJ78&amp;"4:$AL4"),
 1,
MATCH(TRUE,INDIRECT("'数出表_Excel'!"&amp;DJ78&amp;MATCH(DO36,数出表_Excel!$A:$A,0)-1&amp;":AL"&amp;MATCH(DO36,数出表_Excel!$A:$A,0)-1&amp;"")&lt;&gt;"",0)
),
 "")
&amp;IFERROR(
INDEX(INDIRECT("数出表_Excel!$"&amp;DJ78&amp;"5:$AL5"),
 1,
MATCH(TRUE,INDIRECT("'数出表_Excel'!"&amp;DJ78&amp;MATCH(DO36,数出表_Excel!$A:$A,0)-1&amp;":AL"&amp;MATCH(DO36,数出表_Excel!$A:$A,0)-1&amp;"")&lt;&gt;"",0)),
 "")),"")))</f>
        <v/>
      </c>
      <c r="DN79" s="87" t="str">
        <f t="array" aca="1" ref="DN79" ca="1">IF(DK79&lt;&gt;"",
IF(COUNTIF(DK78,"*雙葉*"),
IF(ROUND(
IF(DN84&lt;&gt;"",(DK81-DN84),DK81)
/IF(COUNTIF(DK79,"*キャラ*"),
VLOOKUP("*キャラ*",商品マスタ一覧!$D:$J,7,FALSE),
IF(COUNTIF(DK79,"*赤*"),
VLOOKUP("*赤*",商品マスタ一覧!$D:$J,7,FALSE),
VLOOKUP(DK79,商品マスタ一覧!$D:$J,7,FALSE))),0)&lt;=0,1,
ROUND(
IF(DN84&lt;&gt;"",(DK81-DN84),DK81)
/IF(COUNTIF(DK79,"*キャラ*"),
VLOOKUP("*キャラ*",商品マスタ一覧!$D:$J,7,FALSE),
IF(COUNTIF(DK79,"*赤*"),
VLOOKUP("*赤*",商品マスタ一覧!$D:$J,7,FALSE),
VLOOKUP(DK79,商品マスタ一覧!$D:$J,7,FALSE))),0)),
IF(MATCH(TRUE,
ISNUMBER(--INDIRECT("'数出表_Excel（アレルギー入力）'!B"&amp;MATCH(DO36,'数出表_Excel（アレルギー入力）'!$A:$A,0)-1&amp;":AL"&amp;MATCH(DO36,'数出表_Excel（アレルギー入力）'!$A:$A,0)-1&amp;"")),0)&gt;10,
IF(DK79&lt;&gt;"",
IF(IF(COUNTIF(DK79,"*キャラ*"),
VLOOKUP("*キャラ*",商品マスタ一覧!$D:$J,7,FALSE),
IF(COUNTIF(DK79,"*赤*"),
VLOOKUP("*赤*",商品マスタ一覧!$D:$J,7,FALSE),
VLOOKUP(DK79,商品マスタ一覧!$D:$J,7,FALSE)))=0,"",
IF(ROUND(
IF(DN84&lt;&gt;"",(DK81-DN84),DK81)
/IF(COUNTIF(DK79,"*キャラ*"),
VLOOKUP("*キャラ*",商品マスタ一覧!$D:$J,7,FALSE),
IF(COUNTIF(DK79,"*赤*"),
VLOOKUP("*赤*",商品マスタ一覧!$D:$J,7,FALSE),
VLOOKUP(DK79,商品マスタ一覧!$D:$J,7,FALSE))),0)&lt;=0,1,
ROUND(
IF(DN84&lt;&gt;"",(DK81-DN84),DK81)
/IF(COUNTIF(DK79,"*キャラ*"),
VLOOKUP("*キャラ*",商品マスタ一覧!$D:$J,7,FALSE),
IF(COUNTIF(DK79,"*赤*"),
VLOOKUP("*赤*",商品マスタ一覧!$D:$J,7,FALSE),
VLOOKUP(DK79,商品マスタ一覧!$D:$J,7,FALSE))),0))),""),"")),"")</f>
        <v/>
      </c>
      <c r="DO79" s="96" t="str">
        <f ca="1">IF(DN79&lt;&gt;"",IF(DK81&lt;&gt;"",IF(VALUE(IF(DN84&lt;&gt;"",DK81-DN84,DK81))&gt;VALUE(IF(COUNTIF('盛付札（関数）'!DK79,"*キャラ*"),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VLOOKUP('盛付札（関数）'!DK79,商品マスタ一覧!$D:$J,7,FALSE)))*DN79),
"+"&amp;IF(DN84&lt;&gt;"",DK81-DN84,DK81)-IF(COUNTIF('盛付札（関数）'!DK79,"*キャラ*"),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VLOOKUP('盛付札（関数）'!DK79,商品マスタ一覧!$D:$J,7,FALSE)))*DN79,
IF(DN84&lt;&gt;"",DK81-DN84,DK81)-IF(COUNTIF('盛付札（関数）'!DK79,"*キャラ*"),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VLOOKUP('盛付札（関数）'!DK79,商品マスタ一覧!$D:$J,7,FALSE)))*DN79),""),"")</f>
        <v/>
      </c>
      <c r="DP79" s="80"/>
      <c r="DQ79" s="80"/>
      <c r="DR79" s="85" t="e">
        <f t="array" aca="1" ref="DR79" ca="1">IF(DR38&lt;&gt;100,
IF(DS81&lt;&gt;"",MATCH(DS81,INDIRECT("数出表_Excel!B"&amp;MATCH(DW36,数出表_Excel!$A:$A,0)-1&amp;":U"&amp;MATCH(DW36,数出表_Excel!$A:$A,0)-1&amp;""),0)+1,""),
IF(DS81&lt;&gt;"",
MATCH(
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""),
INDIRECT("数出表_Excel!B"&amp;MATCH(DW36,数出表_Excel!$A:$A,0)-1&amp;":U"&amp;MATCH(DW36,数出表_Excel!$A:$A,0)-1&amp;""),0)+1,""))</f>
        <v>#N/A</v>
      </c>
      <c r="DS79" s="62" t="str">
        <f t="array" aca="1" ref="DS79" ca="1">IF(DS36=DZ71,"",IFERROR(IF(OR(
COUNTIF(INDIRECT("数出表_Excel!"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"3"),"*配膳*"),
COUNTIF(INDIRECT("数出表_Excel!"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"3"),"*カレー*"),
COUNTIF(DS36,"*合計*")),"",
IF(IFERROR(INDIRECT("数出表_Excel!"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"3"),0)=0,"",
IFERROR(INDIRECT("数出表_Excel!"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"3"),""))),""))</f>
        <v/>
      </c>
      <c r="DT79" s="80"/>
      <c r="DU79" s="86" t="str">
        <f t="array" aca="1" ref="DU79" ca="1">IF(DV79&lt;&gt;"","",
IF(COUNTIF(DS78,"*雙葉*"),"",
IF(DS78&lt;&gt;"",
IF(
(COLUMN(INDIRECT("数出表_Excel!B" &amp; (MATCH(DW36,数出表_Excel!$A:$A,0)-1))) - 1 +
MATCH(TRUE, ISNUMBER(--INDIRECT("数出表_Excel!B" &amp; (MATCH(DW36,数出表_Excel!$A:$A,0)-1) &amp; ":U" &amp; (MATCH(DW36,数出表_Excel!$A:$A,0)-1))), 0)+1
+MATCH(TRUE,INDIRECT("'数出表_Excel'!"&amp;DR78&amp;MATCH(DW36,数出表_Excel!$A:$A,0)-1&amp;":AL"&amp;MATCH(DW36,数出表_Excel!$A:$A,0)-1&amp;"")&lt;&gt;"",0))&gt;12,"",
IFERROR(
INDEX(INDIRECT("数出表_Excel!$"&amp;DR78&amp;"4:$AL4"),
 1,
MATCH(TRUE,INDIRECT("'数出表_Excel'!"&amp;DR78&amp;MATCH(DW36,数出表_Excel!$A:$A,0)-1&amp;":AL"&amp;MATCH(DW36,数出表_Excel!$A:$A,0)-1&amp;"")&lt;&gt;"",0)
),
 "")
&amp;IFERROR(
INDEX(INDIRECT("数出表_Excel!$"&amp;DR78&amp;"5:$AL5"),
 1,
MATCH(TRUE,INDIRECT("'数出表_Excel'!"&amp;DR78&amp;MATCH(DW36,数出表_Excel!$A:$A,0)-1&amp;":AL"&amp;MATCH(DW36,数出表_Excel!$A:$A,0)-1&amp;"")&lt;&gt;"",0)),
 "")),"")))</f>
        <v/>
      </c>
      <c r="DV79" s="87" t="str">
        <f t="array" aca="1" ref="DV79" ca="1">IF(DS79&lt;&gt;"",
IF(COUNTIF(DS78,"*雙葉*"),
IF(ROUND(
IF(DV84&lt;&gt;"",(DS81-DV84),DS81)
/IF(COUNTIF(DS79,"*キャラ*"),
VLOOKUP("*キャラ*",商品マスタ一覧!$D:$J,7,FALSE),
IF(COUNTIF(DS79,"*赤*"),
VLOOKUP("*赤*",商品マスタ一覧!$D:$J,7,FALSE),
VLOOKUP(DS79,商品マスタ一覧!$D:$J,7,FALSE))),0)&lt;=0,1,
ROUND(
IF(DV84&lt;&gt;"",(DS81-DV84),DS81)
/IF(COUNTIF(DS79,"*キャラ*"),
VLOOKUP("*キャラ*",商品マスタ一覧!$D:$J,7,FALSE),
IF(COUNTIF(DS79,"*赤*"),
VLOOKUP("*赤*",商品マスタ一覧!$D:$J,7,FALSE),
VLOOKUP(DS79,商品マスタ一覧!$D:$J,7,FALSE))),0)),
IF(MATCH(TRUE,
ISNUMBER(--INDIRECT("'数出表_Excel（アレルギー入力）'!B"&amp;MATCH(DW36,'数出表_Excel（アレルギー入力）'!$A:$A,0)-1&amp;":AL"&amp;MATCH(DW36,'数出表_Excel（アレルギー入力）'!$A:$A,0)-1&amp;"")),0)&gt;10,
IF(DS79&lt;&gt;"",
IF(IF(COUNTIF(DS79,"*キャラ*"),
VLOOKUP("*キャラ*",商品マスタ一覧!$D:$J,7,FALSE),
IF(COUNTIF(DS79,"*赤*"),
VLOOKUP("*赤*",商品マスタ一覧!$D:$J,7,FALSE),
VLOOKUP(DS79,商品マスタ一覧!$D:$J,7,FALSE)))=0,"",
IF(ROUND(
IF(DV84&lt;&gt;"",(DS81-DV84),DS81)
/IF(COUNTIF(DS79,"*キャラ*"),
VLOOKUP("*キャラ*",商品マスタ一覧!$D:$J,7,FALSE),
IF(COUNTIF(DS79,"*赤*"),
VLOOKUP("*赤*",商品マスタ一覧!$D:$J,7,FALSE),
VLOOKUP(DS79,商品マスタ一覧!$D:$J,7,FALSE))),0)&lt;=0,1,
ROUND(
IF(DV84&lt;&gt;"",(DS81-DV84),DS81)
/IF(COUNTIF(DS79,"*キャラ*"),
VLOOKUP("*キャラ*",商品マスタ一覧!$D:$J,7,FALSE),
IF(COUNTIF(DS79,"*赤*"),
VLOOKUP("*赤*",商品マスタ一覧!$D:$J,7,FALSE),
VLOOKUP(DS79,商品マスタ一覧!$D:$J,7,FALSE))),0))),""),"")),"")</f>
        <v/>
      </c>
      <c r="DW79" s="100" t="str">
        <f ca="1">IF(DV79&lt;&gt;"",IF(DS81&lt;&gt;"",IF(VALUE(IF(DV84&lt;&gt;"",DS81-DV84,DS81))&gt;VALUE(IF(COUNTIF('盛付札（関数）'!DS79,"*キャラ*"),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VLOOKUP('盛付札（関数）'!DS79,商品マスタ一覧!$D:$J,7,FALSE)))*DV79),
"+"&amp;IF(DV84&lt;&gt;"",DS81-DV84,DS81)-IF(COUNTIF('盛付札（関数）'!DS79,"*キャラ*"),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VLOOKUP('盛付札（関数）'!DS79,商品マスタ一覧!$D:$J,7,FALSE)))*DV79,
IF(DV84&lt;&gt;"",DS81-DV84,DS81)-IF(COUNTIF('盛付札（関数）'!DS79,"*キャラ*"),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VLOOKUP('盛付札（関数）'!DS79,商品マスタ一覧!$D:$J,7,FALSE)))*DV79),""),"")</f>
        <v/>
      </c>
      <c r="DX79" s="80"/>
      <c r="DY79" s="85" t="e">
        <f t="array" aca="1" ref="DY79" ca="1">IF(DY38&lt;&gt;100,
IF(DZ81&lt;&gt;"",MATCH(DZ81,INDIRECT("数出表_Excel!B"&amp;MATCH(ED36,数出表_Excel!$A:$A,0)-1&amp;":U"&amp;MATCH(ED36,数出表_Excel!$A:$A,0)-1&amp;""),0)+1,""),
IF(DZ81&lt;&gt;"",
MATCH(
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""),
INDIRECT("数出表_Excel!B"&amp;MATCH(ED36,数出表_Excel!$A:$A,0)-1&amp;":U"&amp;MATCH(ED36,数出表_Excel!$A:$A,0)-1&amp;""),0)+1,""))</f>
        <v>#N/A</v>
      </c>
      <c r="DZ79" s="62" t="str">
        <f t="array" aca="1" ref="DZ79" ca="1">IF(DZ36=DS78,"",IFERROR(IF(OR(
COUNTIF(INDIRECT("数出表_Excel!"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"3"),"*配膳*"),
COUNTIF(INDIRECT("数出表_Excel!"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"3"),"*カレー*"),
COUNTIF(DZ36,"*合計*")),"",
IF(IFERROR(INDIRECT("数出表_Excel!"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"3"),0)=0,"",
IFERROR(INDIRECT("数出表_Excel!"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"3"),""))),""))</f>
        <v/>
      </c>
      <c r="EA79" s="80"/>
      <c r="EB79" s="86" t="str">
        <f t="array" aca="1" ref="EB79" ca="1">IF(EC79&lt;&gt;"","",
IF(COUNTIF(DZ78,"*雙葉*"),"",
IF(DZ78&lt;&gt;"",
IF(
(COLUMN(INDIRECT("数出表_Excel!B" &amp; (MATCH(ED36,数出表_Excel!$A:$A,0)-1))) - 1 +
MATCH(TRUE, ISNUMBER(--INDIRECT("数出表_Excel!B" &amp; (MATCH(ED36,数出表_Excel!$A:$A,0)-1) &amp; ":U" &amp; (MATCH(ED36,数出表_Excel!$A:$A,0)-1))), 0)+1
+MATCH(TRUE,INDIRECT("'数出表_Excel'!"&amp;DY78&amp;MATCH(ED36,数出表_Excel!$A:$A,0)-1&amp;":AL"&amp;MATCH(ED36,数出表_Excel!$A:$A,0)-1&amp;"")&lt;&gt;"",0))&gt;12,"",
IFERROR(
INDEX(INDIRECT("数出表_Excel!$"&amp;DY78&amp;"4:$AL4"),
 1,
MATCH(TRUE,INDIRECT("'数出表_Excel'!"&amp;DY78&amp;MATCH(ED36,数出表_Excel!$A:$A,0)-1&amp;":AL"&amp;MATCH(ED36,数出表_Excel!$A:$A,0)-1&amp;"")&lt;&gt;"",0)
),
 "")
&amp;IFERROR(
INDEX(INDIRECT("数出表_Excel!$"&amp;DY78&amp;"5:$AL5"),
 1,
MATCH(TRUE,INDIRECT("'数出表_Excel'!"&amp;DY78&amp;MATCH(ED36,数出表_Excel!$A:$A,0)-1&amp;":AL"&amp;MATCH(ED36,数出表_Excel!$A:$A,0)-1&amp;"")&lt;&gt;"",0)),
 "")),"")))</f>
        <v/>
      </c>
      <c r="EC79" s="87" t="str">
        <f t="array" aca="1" ref="EC79" ca="1">IF(DZ79&lt;&gt;"",
IF(COUNTIF(DZ78,"*雙葉*"),
IF(ROUND(
IF(EC84&lt;&gt;"",(DZ81-EC84),DZ81)
/IF(COUNTIF(DZ79,"*キャラ*"),
VLOOKUP("*キャラ*",商品マスタ一覧!$D:$J,7,FALSE),
IF(COUNTIF(DZ79,"*赤*"),
VLOOKUP("*赤*",商品マスタ一覧!$D:$J,7,FALSE),
VLOOKUP(DZ79,商品マスタ一覧!$D:$J,7,FALSE))),0)&lt;=0,1,
ROUND(
IF(EC84&lt;&gt;"",(DZ81-EC84),DZ81)
/IF(COUNTIF(DZ79,"*キャラ*"),
VLOOKUP("*キャラ*",商品マスタ一覧!$D:$J,7,FALSE),
IF(COUNTIF(DZ79,"*赤*"),
VLOOKUP("*赤*",商品マスタ一覧!$D:$J,7,FALSE),
VLOOKUP(DZ79,商品マスタ一覧!$D:$J,7,FALSE))),0)),
IF(MATCH(TRUE,
ISNUMBER(--INDIRECT("'数出表_Excel（アレルギー入力）'!B"&amp;MATCH(ED36,'数出表_Excel（アレルギー入力）'!$A:$A,0)-1&amp;":AL"&amp;MATCH(ED36,'数出表_Excel（アレルギー入力）'!$A:$A,0)-1&amp;"")),0)&gt;10,
IF(DZ79&lt;&gt;"",
IF(IF(COUNTIF(DZ79,"*キャラ*"),
VLOOKUP("*キャラ*",商品マスタ一覧!$D:$J,7,FALSE),
IF(COUNTIF(DZ79,"*赤*"),
VLOOKUP("*赤*",商品マスタ一覧!$D:$J,7,FALSE),
VLOOKUP(DZ79,商品マスタ一覧!$D:$J,7,FALSE)))=0,"",
IF(ROUND(
IF(EC84&lt;&gt;"",(DZ81-EC84),DZ81)
/IF(COUNTIF(DZ79,"*キャラ*"),
VLOOKUP("*キャラ*",商品マスタ一覧!$D:$J,7,FALSE),
IF(COUNTIF(DZ79,"*赤*"),
VLOOKUP("*赤*",商品マスタ一覧!$D:$J,7,FALSE),
VLOOKUP(DZ79,商品マスタ一覧!$D:$J,7,FALSE))),0)&lt;=0,1,
ROUND(
IF(EC84&lt;&gt;"",(DZ81-EC84),DZ81)
/IF(COUNTIF(DZ79,"*キャラ*"),
VLOOKUP("*キャラ*",商品マスタ一覧!$D:$J,7,FALSE),
IF(COUNTIF(DZ79,"*赤*"),
VLOOKUP("*赤*",商品マスタ一覧!$D:$J,7,FALSE),
VLOOKUP(DZ79,商品マスタ一覧!$D:$J,7,FALSE))),0))),""),"")),"")</f>
        <v/>
      </c>
      <c r="ED79" s="96" t="str">
        <f ca="1">IF(EC79&lt;&gt;"",IF(DZ81&lt;&gt;"",IF(VALUE(IF(EC84&lt;&gt;"",DZ81-EC84,DZ81))&gt;VALUE(IF(COUNTIF('盛付札（関数）'!DZ79,"*キャラ*"),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VLOOKUP('盛付札（関数）'!DZ79,商品マスタ一覧!$D:$J,7,FALSE)))*EC79),
"+"&amp;IF(EC84&lt;&gt;"",DZ81-EC84,DZ81)-IF(COUNTIF('盛付札（関数）'!DZ79,"*キャラ*"),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VLOOKUP('盛付札（関数）'!DZ79,商品マスタ一覧!$D:$J,7,FALSE)))*EC79,
IF(EC84&lt;&gt;"",DZ81-EC84,DZ81)-IF(COUNTIF('盛付札（関数）'!DZ79,"*キャラ*"),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VLOOKUP('盛付札（関数）'!DZ79,商品マスタ一覧!$D:$J,7,FALSE)))*EC79),""),"")</f>
        <v/>
      </c>
      <c r="EE79" s="80"/>
      <c r="EF79" s="80"/>
      <c r="EG79" s="85" t="e">
        <f t="array" aca="1" ref="EG79" ca="1">IF(EG38&lt;&gt;100,
IF(EH81&lt;&gt;"",MATCH(EH81,INDIRECT("数出表_Excel!B"&amp;MATCH(EL36,数出表_Excel!$A:$A,0)-1&amp;":U"&amp;MATCH(EL36,数出表_Excel!$A:$A,0)-1&amp;""),0)+1,""),
IF(EH81&lt;&gt;"",
MATCH(
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""),
INDIRECT("数出表_Excel!B"&amp;MATCH(EL36,数出表_Excel!$A:$A,0)-1&amp;":U"&amp;MATCH(EL36,数出表_Excel!$A:$A,0)-1&amp;""),0)+1,""))</f>
        <v>#N/A</v>
      </c>
      <c r="EH79" s="62" t="str">
        <f t="array" aca="1" ref="EH79" ca="1">IF(EH36=EO71,"",IFERROR(IF(OR(
COUNTIF(INDIRECT("数出表_Excel!"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"3"),"*配膳*"),
COUNTIF(INDIRECT("数出表_Excel!"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"3"),"*カレー*"),
COUNTIF(EH36,"*合計*")),"",
IF(IFERROR(INDIRECT("数出表_Excel!"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"3"),0)=0,"",
IFERROR(INDIRECT("数出表_Excel!"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"3"),""))),""))</f>
        <v/>
      </c>
      <c r="EI79" s="80"/>
      <c r="EJ79" s="86" t="str">
        <f t="array" aca="1" ref="EJ79" ca="1">IF(EK79&lt;&gt;"","",
IF(COUNTIF(EH78,"*雙葉*"),"",
IF(EH78&lt;&gt;"",
IF(
(COLUMN(INDIRECT("数出表_Excel!B" &amp; (MATCH(EL36,数出表_Excel!$A:$A,0)-1))) - 1 +
MATCH(TRUE, ISNUMBER(--INDIRECT("数出表_Excel!B" &amp; (MATCH(EL36,数出表_Excel!$A:$A,0)-1) &amp; ":U" &amp; (MATCH(EL36,数出表_Excel!$A:$A,0)-1))), 0)+1
+MATCH(TRUE,INDIRECT("'数出表_Excel'!"&amp;EG78&amp;MATCH(EL36,数出表_Excel!$A:$A,0)-1&amp;":AL"&amp;MATCH(EL36,数出表_Excel!$A:$A,0)-1&amp;"")&lt;&gt;"",0))&gt;12,"",
IFERROR(
INDEX(INDIRECT("数出表_Excel!$"&amp;EG78&amp;"4:$AL4"),
 1,
MATCH(TRUE,INDIRECT("'数出表_Excel'!"&amp;EG78&amp;MATCH(EL36,数出表_Excel!$A:$A,0)-1&amp;":AL"&amp;MATCH(EL36,数出表_Excel!$A:$A,0)-1&amp;"")&lt;&gt;"",0)
),
 "")
&amp;IFERROR(
INDEX(INDIRECT("数出表_Excel!$"&amp;EG78&amp;"5:$AL5"),
 1,
MATCH(TRUE,INDIRECT("'数出表_Excel'!"&amp;EG78&amp;MATCH(EL36,数出表_Excel!$A:$A,0)-1&amp;":AL"&amp;MATCH(EL36,数出表_Excel!$A:$A,0)-1&amp;"")&lt;&gt;"",0)),
 "")),"")))</f>
        <v/>
      </c>
      <c r="EK79" s="87" t="str">
        <f t="array" aca="1" ref="EK79" ca="1">IF(EH79&lt;&gt;"",
IF(COUNTIF(EH78,"*雙葉*"),
IF(ROUND(
IF(EK84&lt;&gt;"",(EH81-EK84),EH81)
/IF(COUNTIF(EH79,"*キャラ*"),
VLOOKUP("*キャラ*",商品マスタ一覧!$D:$J,7,FALSE),
IF(COUNTIF(EH79,"*赤*"),
VLOOKUP("*赤*",商品マスタ一覧!$D:$J,7,FALSE),
VLOOKUP(EH79,商品マスタ一覧!$D:$J,7,FALSE))),0)&lt;=0,1,
ROUND(
IF(EK84&lt;&gt;"",(EH81-EK84),EH81)
/IF(COUNTIF(EH79,"*キャラ*"),
VLOOKUP("*キャラ*",商品マスタ一覧!$D:$J,7,FALSE),
IF(COUNTIF(EH79,"*赤*"),
VLOOKUP("*赤*",商品マスタ一覧!$D:$J,7,FALSE),
VLOOKUP(EH79,商品マスタ一覧!$D:$J,7,FALSE))),0)),
IF(MATCH(TRUE,
ISNUMBER(--INDIRECT("'数出表_Excel（アレルギー入力）'!B"&amp;MATCH(EL36,'数出表_Excel（アレルギー入力）'!$A:$A,0)-1&amp;":AL"&amp;MATCH(EL36,'数出表_Excel（アレルギー入力）'!$A:$A,0)-1&amp;"")),0)&gt;10,
IF(EH79&lt;&gt;"",
IF(IF(COUNTIF(EH79,"*キャラ*"),
VLOOKUP("*キャラ*",商品マスタ一覧!$D:$J,7,FALSE),
IF(COUNTIF(EH79,"*赤*"),
VLOOKUP("*赤*",商品マスタ一覧!$D:$J,7,FALSE),
VLOOKUP(EH79,商品マスタ一覧!$D:$J,7,FALSE)))=0,"",
IF(ROUND(
IF(EK84&lt;&gt;"",(EH81-EK84),EH81)
/IF(COUNTIF(EH79,"*キャラ*"),
VLOOKUP("*キャラ*",商品マスタ一覧!$D:$J,7,FALSE),
IF(COUNTIF(EH79,"*赤*"),
VLOOKUP("*赤*",商品マスタ一覧!$D:$J,7,FALSE),
VLOOKUP(EH79,商品マスタ一覧!$D:$J,7,FALSE))),0)&lt;=0,1,
ROUND(
IF(EK84&lt;&gt;"",(EH81-EK84),EH81)
/IF(COUNTIF(EH79,"*キャラ*"),
VLOOKUP("*キャラ*",商品マスタ一覧!$D:$J,7,FALSE),
IF(COUNTIF(EH79,"*赤*"),
VLOOKUP("*赤*",商品マスタ一覧!$D:$J,7,FALSE),
VLOOKUP(EH79,商品マスタ一覧!$D:$J,7,FALSE))),0))),""),"")),"")</f>
        <v/>
      </c>
      <c r="EL79" s="100" t="str">
        <f ca="1">IF(EK79&lt;&gt;"",IF(EH81&lt;&gt;"",IF(VALUE(IF(EK84&lt;&gt;"",EH81-EK84,EH81))&gt;VALUE(IF(COUNTIF('盛付札（関数）'!EH79,"*キャラ*"),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VLOOKUP('盛付札（関数）'!EH79,商品マスタ一覧!$D:$J,7,FALSE)))*EK79),
"+"&amp;IF(EK84&lt;&gt;"",EH81-EK84,EH81)-IF(COUNTIF('盛付札（関数）'!EH79,"*キャラ*"),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VLOOKUP('盛付札（関数）'!EH79,商品マスタ一覧!$D:$J,7,FALSE)))*EK79,
IF(EK84&lt;&gt;"",EH81-EK84,EH81)-IF(COUNTIF('盛付札（関数）'!EH79,"*キャラ*"),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VLOOKUP('盛付札（関数）'!EH79,商品マスタ一覧!$D:$J,7,FALSE)))*EK79),""),"")</f>
        <v/>
      </c>
      <c r="EM79" s="80"/>
      <c r="EN79" s="85" t="e">
        <f t="array" aca="1" ref="EN79" ca="1">IF(EN38&lt;&gt;100,
IF(EO81&lt;&gt;"",MATCH(EO81,INDIRECT("数出表_Excel!B"&amp;MATCH(ES36,数出表_Excel!$A:$A,0)-1&amp;":U"&amp;MATCH(ES36,数出表_Excel!$A:$A,0)-1&amp;""),0)+1,""),
IF(EO81&lt;&gt;"",
MATCH(
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""),
INDIRECT("数出表_Excel!B"&amp;MATCH(ES36,数出表_Excel!$A:$A,0)-1&amp;":U"&amp;MATCH(ES36,数出表_Excel!$A:$A,0)-1&amp;""),0)+1,""))</f>
        <v>#N/A</v>
      </c>
      <c r="EO79" s="62" t="str">
        <f t="array" aca="1" ref="EO79" ca="1">IF(EO36=EH78,"",IFERROR(IF(OR(
COUNTIF(INDIRECT("数出表_Excel!"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"3"),"*配膳*"),
COUNTIF(INDIRECT("数出表_Excel!"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"3"),"*カレー*"),
COUNTIF(EO36,"*合計*")),"",
IF(IFERROR(INDIRECT("数出表_Excel!"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"3"),0)=0,"",
IFERROR(INDIRECT("数出表_Excel!"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"3"),""))),""))</f>
        <v/>
      </c>
      <c r="EP79" s="80"/>
      <c r="EQ79" s="86" t="str">
        <f t="array" aca="1" ref="EQ79" ca="1">IF(ER79&lt;&gt;"","",
IF(COUNTIF(EO78,"*雙葉*"),"",
IF(EO78&lt;&gt;"",
IF(
(COLUMN(INDIRECT("数出表_Excel!B" &amp; (MATCH(ES36,数出表_Excel!$A:$A,0)-1))) - 1 +
MATCH(TRUE, ISNUMBER(--INDIRECT("数出表_Excel!B" &amp; (MATCH(ES36,数出表_Excel!$A:$A,0)-1) &amp; ":U" &amp; (MATCH(ES36,数出表_Excel!$A:$A,0)-1))), 0)+1
+MATCH(TRUE,INDIRECT("'数出表_Excel'!"&amp;EN78&amp;MATCH(ES36,数出表_Excel!$A:$A,0)-1&amp;":AL"&amp;MATCH(ES36,数出表_Excel!$A:$A,0)-1&amp;"")&lt;&gt;"",0))&gt;12,"",
IFERROR(
INDEX(INDIRECT("数出表_Excel!$"&amp;EN78&amp;"4:$AL4"),
 1,
MATCH(TRUE,INDIRECT("'数出表_Excel'!"&amp;EN78&amp;MATCH(ES36,数出表_Excel!$A:$A,0)-1&amp;":AL"&amp;MATCH(ES36,数出表_Excel!$A:$A,0)-1&amp;"")&lt;&gt;"",0)
),
 "")
&amp;IFERROR(
INDEX(INDIRECT("数出表_Excel!$"&amp;EN78&amp;"5:$AL5"),
 1,
MATCH(TRUE,INDIRECT("'数出表_Excel'!"&amp;EN78&amp;MATCH(ES36,数出表_Excel!$A:$A,0)-1&amp;":AL"&amp;MATCH(ES36,数出表_Excel!$A:$A,0)-1&amp;"")&lt;&gt;"",0)),
 "")),"")))</f>
        <v/>
      </c>
      <c r="ER79" s="87" t="str">
        <f t="array" aca="1" ref="ER79" ca="1">IF(EO79&lt;&gt;"",
IF(COUNTIF(EO78,"*雙葉*"),
IF(ROUND(
IF(ER84&lt;&gt;"",(EO81-ER84),EO81)
/IF(COUNTIF(EO79,"*キャラ*"),
VLOOKUP("*キャラ*",商品マスタ一覧!$D:$J,7,FALSE),
IF(COUNTIF(EO79,"*赤*"),
VLOOKUP("*赤*",商品マスタ一覧!$D:$J,7,FALSE),
VLOOKUP(EO79,商品マスタ一覧!$D:$J,7,FALSE))),0)&lt;=0,1,
ROUND(
IF(ER84&lt;&gt;"",(EO81-ER84),EO81)
/IF(COUNTIF(EO79,"*キャラ*"),
VLOOKUP("*キャラ*",商品マスタ一覧!$D:$J,7,FALSE),
IF(COUNTIF(EO79,"*赤*"),
VLOOKUP("*赤*",商品マスタ一覧!$D:$J,7,FALSE),
VLOOKUP(EO79,商品マスタ一覧!$D:$J,7,FALSE))),0)),
IF(MATCH(TRUE,
ISNUMBER(--INDIRECT("'数出表_Excel（アレルギー入力）'!B"&amp;MATCH(ES36,'数出表_Excel（アレルギー入力）'!$A:$A,0)-1&amp;":AL"&amp;MATCH(ES36,'数出表_Excel（アレルギー入力）'!$A:$A,0)-1&amp;"")),0)&gt;10,
IF(EO79&lt;&gt;"",
IF(IF(COUNTIF(EO79,"*キャラ*"),
VLOOKUP("*キャラ*",商品マスタ一覧!$D:$J,7,FALSE),
IF(COUNTIF(EO79,"*赤*"),
VLOOKUP("*赤*",商品マスタ一覧!$D:$J,7,FALSE),
VLOOKUP(EO79,商品マスタ一覧!$D:$J,7,FALSE)))=0,"",
IF(ROUND(
IF(ER84&lt;&gt;"",(EO81-ER84),EO81)
/IF(COUNTIF(EO79,"*キャラ*"),
VLOOKUP("*キャラ*",商品マスタ一覧!$D:$J,7,FALSE),
IF(COUNTIF(EO79,"*赤*"),
VLOOKUP("*赤*",商品マスタ一覧!$D:$J,7,FALSE),
VLOOKUP(EO79,商品マスタ一覧!$D:$J,7,FALSE))),0)&lt;=0,1,
ROUND(
IF(ER84&lt;&gt;"",(EO81-ER84),EO81)
/IF(COUNTIF(EO79,"*キャラ*"),
VLOOKUP("*キャラ*",商品マスタ一覧!$D:$J,7,FALSE),
IF(COUNTIF(EO79,"*赤*"),
VLOOKUP("*赤*",商品マスタ一覧!$D:$J,7,FALSE),
VLOOKUP(EO79,商品マスタ一覧!$D:$J,7,FALSE))),0))),""),"")),"")</f>
        <v/>
      </c>
      <c r="ES79" s="96" t="str">
        <f ca="1">IF(ER79&lt;&gt;"",IF(EO81&lt;&gt;"",IF(VALUE(IF(ER84&lt;&gt;"",EO81-ER84,EO81))&gt;VALUE(IF(COUNTIF('盛付札（関数）'!EO79,"*キャラ*"),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VLOOKUP('盛付札（関数）'!EO79,商品マスタ一覧!$D:$J,7,FALSE)))*ER79),
"+"&amp;IF(ER84&lt;&gt;"",EO81-ER84,EO81)-IF(COUNTIF('盛付札（関数）'!EO79,"*キャラ*"),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VLOOKUP('盛付札（関数）'!EO79,商品マスタ一覧!$D:$J,7,FALSE)))*ER79,
IF(ER84&lt;&gt;"",EO81-ER84,EO81)-IF(COUNTIF('盛付札（関数）'!EO79,"*キャラ*"),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VLOOKUP('盛付札（関数）'!EO79,商品マスタ一覧!$D:$J,7,FALSE)))*ER79),""),"")</f>
        <v/>
      </c>
      <c r="ET79" s="111"/>
      <c r="EU79" s="82">
        <v>7</v>
      </c>
      <c r="EV79" s="82" t="str">
        <f t="array" aca="1" ref="EV79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LEN(SUBSTITUTE(_xlfn.FORMULATEXT(EV$75),"=","")))+$EU79)</f>
        <v/>
      </c>
      <c r="EW79" s="82" t="str">
        <f t="array" aca="1" ref="EW79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LEN(SUBSTITUTE(_xlfn.FORMULATEXT(EW$75),"=","")))+$EU79)</f>
        <v/>
      </c>
      <c r="EX79" s="82" t="str">
        <f t="array" aca="1" ref="EX79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LEN(SUBSTITUTE(_xlfn.FORMULATEXT(EX$75),"=","")))+$EU79)</f>
        <v/>
      </c>
      <c r="EY79" s="82" t="str">
        <f t="array" aca="1" ref="EY79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LEN(SUBSTITUTE(_xlfn.FORMULATEXT(EY$75),"=","")))+$EU79)</f>
        <v/>
      </c>
      <c r="EZ79" s="82" t="str">
        <f t="array" aca="1" ref="EZ79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LEN(SUBSTITUTE(_xlfn.FORMULATEXT(EZ$75),"=","")))+$EU79)</f>
        <v/>
      </c>
      <c r="FA79" s="82" t="e">
        <f t="array" aca="1" ref="FA79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LEN(SUBSTITUTE(_xlfn.FORMULATEXT(FA$75),"=","")))+$EU79)</f>
        <v>#VALUE!</v>
      </c>
      <c r="FB79" s="82" t="str">
        <f t="array" aca="1" ref="FB79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LEN(SUBSTITUTE(_xlfn.FORMULATEXT(FB$75),"=","")))+$EU79)</f>
        <v/>
      </c>
      <c r="FC79" s="82" t="str">
        <f t="array" aca="1" ref="FC79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LEN(SUBSTITUTE(_xlfn.FORMULATEXT(FC$75),"=","")))+$EU79)</f>
        <v/>
      </c>
      <c r="FD79" s="82" t="e">
        <f t="array" aca="1" ref="FD79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LEN(SUBSTITUTE(_xlfn.FORMULATEXT(FD$75),"=","")))+$EU79)</f>
        <v>#VALUE!</v>
      </c>
      <c r="FE79" s="82" t="str">
        <f t="array" aca="1" ref="FE79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LEN(SUBSTITUTE(_xlfn.FORMULATEXT(FE$75),"=","")))+$EU79)</f>
        <v/>
      </c>
      <c r="FF79" s="82" t="e">
        <f t="array" aca="1" ref="FF79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LEN(SUBSTITUTE(_xlfn.FORMULATEXT(FF$75),"=","")))+$EU79)</f>
        <v>#N/A</v>
      </c>
      <c r="FG79" s="82">
        <f t="shared" ca="1" si="5"/>
        <v>0</v>
      </c>
      <c r="FH79" s="82" t="e">
        <f t="array" aca="1" ref="FH79" ca="1">SUMPRODUCT((LEN(EV79:FF79)&gt;0)*1)&gt;0</f>
        <v>#VALUE!</v>
      </c>
      <c r="FI79" s="82" t="str">
        <f t="array" aca="1" ref="FI79" ca="1">IFERROR(SMALL(IF(FG$1:FG$173&lt;&gt;0,FG$1:FG$173),ROW(A79)),"")</f>
        <v/>
      </c>
      <c r="FJ79" s="82" t="str">
        <f t="array" aca="1" ref="FJ79" ca="1">IF($FI79&lt;&gt;"",
INDIRECT(""&amp;IF(COLUMN(EV79)&lt;=26,CHAR(COLUMN(EV79)+64),CHAR(INT((COLUMN(EV79)-1)/26)+64)&amp;CHAR(MOD(COLUMN(EV79)-1,26)+65))&amp;$FI79&amp;""),"")</f>
        <v/>
      </c>
      <c r="FK79" s="82" t="str">
        <f t="array" aca="1" ref="FK79" ca="1">IF($FI79&lt;&gt;"",
INDIRECT(""&amp;IF(COLUMN(EW79)&lt;=26,CHAR(COLUMN(EW79)+64),CHAR(INT((COLUMN(EW79)-1)/26)+64)&amp;CHAR(MOD(COLUMN(EW79)-1,26)+65))&amp;$FI79&amp;""),"")</f>
        <v/>
      </c>
      <c r="FL79" s="82" t="str">
        <f t="array" aca="1" ref="FL79" ca="1">IF($FI79&lt;&gt;"",
INDIRECT(""&amp;IF(COLUMN(EX79)&lt;=26,CHAR(COLUMN(EX79)+64),CHAR(INT((COLUMN(EX79)-1)/26)+64)&amp;CHAR(MOD(COLUMN(EX79)-1,26)+65))&amp;$FI79&amp;""),"")</f>
        <v/>
      </c>
      <c r="FM79" s="82" t="str">
        <f t="array" aca="1" ref="FM79" ca="1">IF($FI79&lt;&gt;"",
IF(FL79="",
IF(INDIRECT("EY"&amp;$FI79&amp;"")&lt;&gt;"",
INDIRECT("EY"&amp;$FI79&amp;"")&amp;"箱"
&amp;INDIRECT("EZ"&amp;$FI79&amp;""),""),""),"")</f>
        <v/>
      </c>
      <c r="FN79" s="82" t="str">
        <f t="array" aca="1" ref="FN79" ca="1">IF($FI79&lt;&gt;"",
INDIRECT(""&amp;IF(COLUMN(FA79)&lt;=26,CHAR(COLUMN(FA79)+64),CHAR(INT((COLUMN(FA79)-1)/26)+64)&amp;CHAR(MOD(COLUMN(FA79)-1,26)+65))&amp;$FI79&amp;""),"")</f>
        <v/>
      </c>
      <c r="FO79" s="82" t="str">
        <f t="array" aca="1" ref="FO79" ca="1">IF($FI79&lt;&gt;"",
INDIRECT(""&amp;IF(COLUMN(FB79)&lt;=26,CHAR(COLUMN(FB79)+64),CHAR(INT((COLUMN(FB79)-1)/26)+64)&amp;CHAR(MOD(COLUMN(FB79)-1,26)+65))&amp;$FI79&amp;""),"")</f>
        <v/>
      </c>
      <c r="FP79" s="82" t="str">
        <f t="array" aca="1" ref="FP79" ca="1">IF($FI79&lt;&gt;"",
INDIRECT(""&amp;IF(COLUMN(FC79)&lt;=26,CHAR(COLUMN(FC79)+64),CHAR(INT((COLUMN(FC79)-1)/26)+64)&amp;CHAR(MOD(COLUMN(FC79)-1,26)+65))&amp;$FI79&amp;""),"")</f>
        <v/>
      </c>
      <c r="FQ79" s="82" t="str">
        <f t="array" aca="1" ref="FQ79" ca="1">IF($FI79&lt;&gt;"",
INDIRECT(""&amp;IF(COLUMN(FD79)&lt;=26,CHAR(COLUMN(FD79)+64),CHAR(INT((COLUMN(FD79)-1)/26)+64)&amp;CHAR(MOD(COLUMN(FD79)-1,26)+65))&amp;$FI79&amp;""),"")</f>
        <v/>
      </c>
      <c r="FR79" s="82" t="str">
        <f t="array" aca="1" ref="FR79" ca="1">IF($FI79&lt;&gt;"",
INDIRECT(""&amp;IF(COLUMN(FE79)&lt;=26,CHAR(COLUMN(FE79)+64),CHAR(INT((COLUMN(FE79)-1)/26)+64)&amp;CHAR(MOD(COLUMN(FE79)-1,26)+65))&amp;$FI79&amp;""),"")</f>
        <v/>
      </c>
      <c r="FS79" s="82" t="str">
        <f t="array" aca="1" ref="FS79" ca="1">IF($FI79&lt;&gt;"",
INDIRECT(""&amp;IF(COLUMN(FF79)&lt;=26,CHAR(COLUMN(FF79)+64),CHAR(INT((COLUMN(FF79)-1)/26)+64)&amp;CHAR(MOD(COLUMN(FF79)-1,26)+65))&amp;$FI79&amp;""),"")</f>
        <v/>
      </c>
    </row>
    <row r="80" spans="1:175" s="82" customFormat="1" ht="22.2" customHeight="1" x14ac:dyDescent="0.55000000000000004">
      <c r="A80" s="80"/>
      <c r="B80" s="88" t="str">
        <f t="array" aca="1" ref="B80" ca="1">IF(C78&lt;&gt;"",SUBSTITUTE(ADDRESS(1,
(COLUMN(INDIRECT("数出表_Excel!"&amp;B78&amp;1&amp;""))-2 +
MATCH(TRUE, ISNUMBER(--INDIRECT("数出表_Excel!"&amp;B78&amp; (MATCH(G36,数出表_Excel!$A:$A,0)-1) &amp; ":U" &amp; (MATCH(G36,数出表_Excel!$A:$A,0)-1))), 0))
*2,4),"1",""),"")</f>
        <v/>
      </c>
      <c r="C80" s="189" t="str">
        <f ca="1">IF(C81&lt;&gt;"","園児","")</f>
        <v/>
      </c>
      <c r="D80" s="190"/>
      <c r="E80" s="193" t="str">
        <f ca="1">IF(C81&lt;&gt;"","先生","")</f>
        <v/>
      </c>
      <c r="F80" s="190"/>
      <c r="G80" s="101">
        <f t="array" aca="1" ref="G80" ca="1">IF(C78&lt;&gt;"",
IF(IFERROR(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"")&lt;&gt;0,
IF(IFERROR(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"")="",
0,
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"")),IFERROR(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"")),0)</f>
        <v>0</v>
      </c>
      <c r="H80" s="80"/>
      <c r="I80" s="88" t="str">
        <f t="array" aca="1" ref="I80" ca="1">IF(J78&lt;&gt;"",SUBSTITUTE(ADDRESS(1,
(COLUMN(INDIRECT("数出表_Excel!"&amp;I78&amp;1&amp;""))-2 +
MATCH(TRUE, ISNUMBER(--INDIRECT("数出表_Excel!"&amp;I78&amp; (MATCH(N36,数出表_Excel!$A:$A,0)-1) &amp; ":U" &amp; (MATCH(N36,数出表_Excel!$A:$A,0)-1))), 0))
*2,4),"1",""),"")</f>
        <v/>
      </c>
      <c r="J80" s="189" t="str">
        <f ca="1">IF(J81&lt;&gt;"","園児","")</f>
        <v/>
      </c>
      <c r="K80" s="190"/>
      <c r="L80" s="193" t="str">
        <f ca="1">IF(J81&lt;&gt;"","先生","")</f>
        <v/>
      </c>
      <c r="M80" s="190"/>
      <c r="N80" s="101">
        <f t="array" aca="1" ref="N80" ca="1">IF(J78&lt;&gt;"",
IF(IFERROR(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"")&lt;&gt;0,
IF(IFERROR(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"")="",
0,
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"")),IFERROR(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"")),0)</f>
        <v>0</v>
      </c>
      <c r="O80" s="80"/>
      <c r="P80" s="80"/>
      <c r="Q80" s="88" t="str">
        <f t="array" aca="1" ref="Q80" ca="1">IF(R78&lt;&gt;"",SUBSTITUTE(ADDRESS(1,
(COLUMN(INDIRECT("数出表_Excel!"&amp;Q78&amp;1&amp;""))-2 +
MATCH(TRUE, ISNUMBER(--INDIRECT("数出表_Excel!"&amp;Q78&amp; (MATCH(V36,数出表_Excel!$A:$A,0)-1) &amp; ":U" &amp; (MATCH(V36,数出表_Excel!$A:$A,0)-1))), 0))
*2,4),"1",""),"")</f>
        <v/>
      </c>
      <c r="R80" s="189" t="str">
        <f ca="1">IF(R81&lt;&gt;"","園児","")</f>
        <v/>
      </c>
      <c r="S80" s="190"/>
      <c r="T80" s="193" t="str">
        <f ca="1">IF(R81&lt;&gt;"","先生","")</f>
        <v/>
      </c>
      <c r="U80" s="190"/>
      <c r="V80" s="101">
        <f t="array" aca="1" ref="V80" ca="1">IF(R78&lt;&gt;"",
IF(IFERROR(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"")&lt;&gt;0,
IF(IFERROR(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"")="",
0,
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"")),IFERROR(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"")),0)</f>
        <v>0</v>
      </c>
      <c r="W80" s="80"/>
      <c r="X80" s="88" t="str">
        <f t="array" aca="1" ref="X80" ca="1">IF(Y78&lt;&gt;"",SUBSTITUTE(ADDRESS(1,
(COLUMN(INDIRECT("数出表_Excel!"&amp;X78&amp;1&amp;""))-2 +
MATCH(TRUE, ISNUMBER(--INDIRECT("数出表_Excel!"&amp;X78&amp; (MATCH(AC36,数出表_Excel!$A:$A,0)-1) &amp; ":U" &amp; (MATCH(AC36,数出表_Excel!$A:$A,0)-1))), 0))
*2,4),"1",""),"")</f>
        <v/>
      </c>
      <c r="Y80" s="189" t="str">
        <f ca="1">IF(Y81&lt;&gt;"","園児","")</f>
        <v/>
      </c>
      <c r="Z80" s="190"/>
      <c r="AA80" s="193" t="str">
        <f ca="1">IF(Y81&lt;&gt;"","先生","")</f>
        <v/>
      </c>
      <c r="AB80" s="190"/>
      <c r="AC80" s="101">
        <f t="array" aca="1" ref="AC80" ca="1">IF(Y78&lt;&gt;"",
IF(IFERROR(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"")&lt;&gt;0,
IF(IFERROR(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"")="",
0,
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"")),IFERROR(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"")),0)</f>
        <v>0</v>
      </c>
      <c r="AD80" s="80"/>
      <c r="AE80" s="80"/>
      <c r="AF80" s="88" t="str">
        <f t="array" aca="1" ref="AF80" ca="1">IF(AG78&lt;&gt;"",SUBSTITUTE(ADDRESS(1,
(COLUMN(INDIRECT("数出表_Excel!"&amp;AF78&amp;1&amp;""))-2 +
MATCH(TRUE, ISNUMBER(--INDIRECT("数出表_Excel!"&amp;AF78&amp; (MATCH(AK36,数出表_Excel!$A:$A,0)-1) &amp; ":U" &amp; (MATCH(AK36,数出表_Excel!$A:$A,0)-1))), 0))
*2,4),"1",""),"")</f>
        <v/>
      </c>
      <c r="AG80" s="189" t="str">
        <f ca="1">IF(AG81&lt;&gt;"","園児","")</f>
        <v/>
      </c>
      <c r="AH80" s="190"/>
      <c r="AI80" s="193" t="str">
        <f ca="1">IF(AG81&lt;&gt;"","先生","")</f>
        <v/>
      </c>
      <c r="AJ80" s="190"/>
      <c r="AK80" s="101">
        <f t="array" aca="1" ref="AK80" ca="1">IF(AG78&lt;&gt;"",
IF(IFERROR(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"")&lt;&gt;0,
IF(IFERROR(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"")="",
0,
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"")),IFERROR(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"")),0)</f>
        <v>0</v>
      </c>
      <c r="AL80" s="80"/>
      <c r="AM80" s="88" t="str">
        <f t="array" aca="1" ref="AM80" ca="1">IF(AN78&lt;&gt;"",SUBSTITUTE(ADDRESS(1,
(COLUMN(INDIRECT("数出表_Excel!"&amp;AM78&amp;1&amp;""))-2 +
MATCH(TRUE, ISNUMBER(--INDIRECT("数出表_Excel!"&amp;AM78&amp; (MATCH(AR36,数出表_Excel!$A:$A,0)-1) &amp; ":U" &amp; (MATCH(AR36,数出表_Excel!$A:$A,0)-1))), 0))
*2,4),"1",""),"")</f>
        <v/>
      </c>
      <c r="AN80" s="189" t="str">
        <f ca="1">IF(AN81&lt;&gt;"","園児","")</f>
        <v/>
      </c>
      <c r="AO80" s="190"/>
      <c r="AP80" s="193" t="str">
        <f ca="1">IF(AN81&lt;&gt;"","先生","")</f>
        <v/>
      </c>
      <c r="AQ80" s="190"/>
      <c r="AR80" s="101">
        <f t="array" aca="1" ref="AR80" ca="1">IF(AN78&lt;&gt;"",
IF(IFERROR(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"")&lt;&gt;0,
IF(IFERROR(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"")="",
0,
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"")),IFERROR(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"")),0)</f>
        <v>0</v>
      </c>
      <c r="AS80" s="80"/>
      <c r="AT80" s="80"/>
      <c r="AU80" s="88" t="str">
        <f t="array" aca="1" ref="AU80" ca="1">IF(AV78&lt;&gt;"",SUBSTITUTE(ADDRESS(1,
(COLUMN(INDIRECT("数出表_Excel!"&amp;AU78&amp;1&amp;""))-2 +
MATCH(TRUE, ISNUMBER(--INDIRECT("数出表_Excel!"&amp;AU78&amp; (MATCH(AZ36,数出表_Excel!$A:$A,0)-1) &amp; ":U" &amp; (MATCH(AZ36,数出表_Excel!$A:$A,0)-1))), 0))
*2,4),"1",""),"")</f>
        <v/>
      </c>
      <c r="AV80" s="189" t="str">
        <f ca="1">IF(AV81&lt;&gt;"","園児","")</f>
        <v/>
      </c>
      <c r="AW80" s="190"/>
      <c r="AX80" s="193" t="str">
        <f ca="1">IF(AV81&lt;&gt;"","先生","")</f>
        <v/>
      </c>
      <c r="AY80" s="190"/>
      <c r="AZ80" s="101">
        <f t="array" aca="1" ref="AZ80" ca="1">IF(AV78&lt;&gt;"",
IF(IFERROR(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"")&lt;&gt;0,
IF(IFERROR(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"")="",
0,
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"")),IFERROR(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"")),0)</f>
        <v>0</v>
      </c>
      <c r="BA80" s="80"/>
      <c r="BB80" s="88" t="str">
        <f t="array" aca="1" ref="BB80" ca="1">IF(BC78&lt;&gt;"",SUBSTITUTE(ADDRESS(1,
(COLUMN(INDIRECT("数出表_Excel!"&amp;BB78&amp;1&amp;""))-2 +
MATCH(TRUE, ISNUMBER(--INDIRECT("数出表_Excel!"&amp;BB78&amp; (MATCH(BG36,数出表_Excel!$A:$A,0)-1) &amp; ":U" &amp; (MATCH(BG36,数出表_Excel!$A:$A,0)-1))), 0))
*2,4),"1",""),"")</f>
        <v/>
      </c>
      <c r="BC80" s="189" t="str">
        <f ca="1">IF(BC81&lt;&gt;"","園児","")</f>
        <v/>
      </c>
      <c r="BD80" s="190"/>
      <c r="BE80" s="193" t="str">
        <f ca="1">IF(BC81&lt;&gt;"","先生","")</f>
        <v/>
      </c>
      <c r="BF80" s="190"/>
      <c r="BG80" s="101">
        <f t="array" aca="1" ref="BG80" ca="1">IF(BC78&lt;&gt;"",
IF(IFERROR(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"")&lt;&gt;0,
IF(IFERROR(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"")="",
0,
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"")),IFERROR(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"")),0)</f>
        <v>0</v>
      </c>
      <c r="BH80" s="80"/>
      <c r="BI80" s="80"/>
      <c r="BJ80" s="88" t="str">
        <f t="array" aca="1" ref="BJ80" ca="1">IF(BK78&lt;&gt;"",SUBSTITUTE(ADDRESS(1,
(COLUMN(INDIRECT("数出表_Excel!"&amp;BJ78&amp;1&amp;""))-2 +
MATCH(TRUE, ISNUMBER(--INDIRECT("数出表_Excel!"&amp;BJ78&amp; (MATCH(BO36,数出表_Excel!$A:$A,0)-1) &amp; ":U" &amp; (MATCH(BO36,数出表_Excel!$A:$A,0)-1))), 0))
*2,4),"1",""),"")</f>
        <v/>
      </c>
      <c r="BK80" s="189" t="str">
        <f ca="1">IF(BK81&lt;&gt;"","園児","")</f>
        <v/>
      </c>
      <c r="BL80" s="190"/>
      <c r="BM80" s="193" t="str">
        <f ca="1">IF(BK81&lt;&gt;"","先生","")</f>
        <v/>
      </c>
      <c r="BN80" s="190"/>
      <c r="BO80" s="101">
        <f t="array" aca="1" ref="BO80" ca="1">IF(BK78&lt;&gt;"",
IF(IFERROR(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"")&lt;&gt;0,
IF(IFERROR(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"")="",
0,
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"")),IFERROR(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"")),0)</f>
        <v>0</v>
      </c>
      <c r="BP80" s="80"/>
      <c r="BQ80" s="88" t="str">
        <f t="array" aca="1" ref="BQ80" ca="1">IF(BR78&lt;&gt;"",SUBSTITUTE(ADDRESS(1,
(COLUMN(INDIRECT("数出表_Excel!"&amp;BQ78&amp;1&amp;""))-2 +
MATCH(TRUE, ISNUMBER(--INDIRECT("数出表_Excel!"&amp;BQ78&amp; (MATCH(BV36,数出表_Excel!$A:$A,0)-1) &amp; ":U" &amp; (MATCH(BV36,数出表_Excel!$A:$A,0)-1))), 0))
*2,4),"1",""),"")</f>
        <v/>
      </c>
      <c r="BR80" s="189" t="str">
        <f ca="1">IF(BR81&lt;&gt;"","園児","")</f>
        <v/>
      </c>
      <c r="BS80" s="190"/>
      <c r="BT80" s="193" t="str">
        <f ca="1">IF(BR81&lt;&gt;"","先生","")</f>
        <v/>
      </c>
      <c r="BU80" s="190"/>
      <c r="BV80" s="101">
        <f t="array" aca="1" ref="BV80" ca="1">IF(BR78&lt;&gt;"",
IF(IFERROR(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"")&lt;&gt;0,
IF(IFERROR(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"")="",
0,
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"")),IFERROR(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"")),0)</f>
        <v>0</v>
      </c>
      <c r="BW80" s="80"/>
      <c r="BX80" s="80"/>
      <c r="BY80" s="88" t="str">
        <f t="array" aca="1" ref="BY80" ca="1">IF(BZ78&lt;&gt;"",SUBSTITUTE(ADDRESS(1,
(COLUMN(INDIRECT("数出表_Excel!"&amp;BY78&amp;1&amp;""))-2 +
MATCH(TRUE, ISNUMBER(--INDIRECT("数出表_Excel!"&amp;BY78&amp; (MATCH(CD36,数出表_Excel!$A:$A,0)-1) &amp; ":U" &amp; (MATCH(CD36,数出表_Excel!$A:$A,0)-1))), 0))
*2,4),"1",""),"")</f>
        <v/>
      </c>
      <c r="BZ80" s="189" t="str">
        <f ca="1">IF(BZ81&lt;&gt;"","園児","")</f>
        <v/>
      </c>
      <c r="CA80" s="190"/>
      <c r="CB80" s="193" t="str">
        <f ca="1">IF(BZ81&lt;&gt;"","先生","")</f>
        <v/>
      </c>
      <c r="CC80" s="190"/>
      <c r="CD80" s="101">
        <f t="array" aca="1" ref="CD80" ca="1">IF(BZ78&lt;&gt;"",
IF(IFERROR(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"")&lt;&gt;0,
IF(IFERROR(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"")="",
0,
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"")),IFERROR(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"")),0)</f>
        <v>0</v>
      </c>
      <c r="CE80" s="80"/>
      <c r="CF80" s="88" t="str">
        <f t="array" aca="1" ref="CF80" ca="1">IF(CG78&lt;&gt;"",SUBSTITUTE(ADDRESS(1,
(COLUMN(INDIRECT("数出表_Excel!"&amp;CF78&amp;1&amp;""))-2 +
MATCH(TRUE, ISNUMBER(--INDIRECT("数出表_Excel!"&amp;CF78&amp; (MATCH(CK36,数出表_Excel!$A:$A,0)-1) &amp; ":U" &amp; (MATCH(CK36,数出表_Excel!$A:$A,0)-1))), 0))
*2,4),"1",""),"")</f>
        <v/>
      </c>
      <c r="CG80" s="189" t="str">
        <f ca="1">IF(CG81&lt;&gt;"","園児","")</f>
        <v/>
      </c>
      <c r="CH80" s="190"/>
      <c r="CI80" s="193" t="str">
        <f ca="1">IF(CG81&lt;&gt;"","先生","")</f>
        <v/>
      </c>
      <c r="CJ80" s="190"/>
      <c r="CK80" s="101">
        <f t="array" aca="1" ref="CK80" ca="1">IF(CG78&lt;&gt;"",
IF(IFERROR(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"")&lt;&gt;0,
IF(IFERROR(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"")="",
0,
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"")),IFERROR(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"")),0)</f>
        <v>0</v>
      </c>
      <c r="CL80" s="80"/>
      <c r="CM80" s="80"/>
      <c r="CN80" s="88" t="str">
        <f t="array" aca="1" ref="CN80" ca="1">IF(CO78&lt;&gt;"",SUBSTITUTE(ADDRESS(1,
(COLUMN(INDIRECT("数出表_Excel!"&amp;CN78&amp;1&amp;""))-2 +
MATCH(TRUE, ISNUMBER(--INDIRECT("数出表_Excel!"&amp;CN78&amp; (MATCH(CS36,数出表_Excel!$A:$A,0)-1) &amp; ":U" &amp; (MATCH(CS36,数出表_Excel!$A:$A,0)-1))), 0))
*2,4),"1",""),"")</f>
        <v/>
      </c>
      <c r="CO80" s="189" t="str">
        <f ca="1">IF(CO81&lt;&gt;"","園児","")</f>
        <v/>
      </c>
      <c r="CP80" s="190"/>
      <c r="CQ80" s="193" t="str">
        <f ca="1">IF(CO81&lt;&gt;"","先生","")</f>
        <v/>
      </c>
      <c r="CR80" s="190"/>
      <c r="CS80" s="101">
        <f t="array" aca="1" ref="CS80" ca="1">IF(CO78&lt;&gt;"",
IF(IFERROR(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"")&lt;&gt;0,
IF(IFERROR(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"")="",
0,
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"")),IFERROR(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"")),0)</f>
        <v>0</v>
      </c>
      <c r="CT80" s="80"/>
      <c r="CU80" s="88" t="str">
        <f t="array" aca="1" ref="CU80" ca="1">IF(CV78&lt;&gt;"",SUBSTITUTE(ADDRESS(1,
(COLUMN(INDIRECT("数出表_Excel!"&amp;CU78&amp;1&amp;""))-2 +
MATCH(TRUE, ISNUMBER(--INDIRECT("数出表_Excel!"&amp;CU78&amp; (MATCH(CZ36,数出表_Excel!$A:$A,0)-1) &amp; ":U" &amp; (MATCH(CZ36,数出表_Excel!$A:$A,0)-1))), 0))
*2,4),"1",""),"")</f>
        <v/>
      </c>
      <c r="CV80" s="189" t="str">
        <f ca="1">IF(CV81&lt;&gt;"","園児","")</f>
        <v/>
      </c>
      <c r="CW80" s="190"/>
      <c r="CX80" s="193" t="str">
        <f ca="1">IF(CV81&lt;&gt;"","先生","")</f>
        <v/>
      </c>
      <c r="CY80" s="190"/>
      <c r="CZ80" s="101">
        <f t="array" aca="1" ref="CZ80" ca="1">IF(CV78&lt;&gt;"",
IF(IFERROR(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"")&lt;&gt;0,
IF(IFERROR(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"")="",
0,
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"")),IFERROR(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"")),0)</f>
        <v>0</v>
      </c>
      <c r="DA80" s="80"/>
      <c r="DB80" s="80"/>
      <c r="DC80" s="88" t="str">
        <f t="array" aca="1" ref="DC80" ca="1">IF(DD78&lt;&gt;"",SUBSTITUTE(ADDRESS(1,
(COLUMN(INDIRECT("数出表_Excel!"&amp;DC78&amp;1&amp;""))-2 +
MATCH(TRUE, ISNUMBER(--INDIRECT("数出表_Excel!"&amp;DC78&amp; (MATCH(DH36,数出表_Excel!$A:$A,0)-1) &amp; ":U" &amp; (MATCH(DH36,数出表_Excel!$A:$A,0)-1))), 0))
*2,4),"1",""),"")</f>
        <v/>
      </c>
      <c r="DD80" s="189" t="str">
        <f ca="1">IF(DD81&lt;&gt;"","園児","")</f>
        <v/>
      </c>
      <c r="DE80" s="190"/>
      <c r="DF80" s="193" t="str">
        <f ca="1">IF(DD81&lt;&gt;"","先生","")</f>
        <v/>
      </c>
      <c r="DG80" s="190"/>
      <c r="DH80" s="101">
        <f t="array" aca="1" ref="DH80" ca="1">IF(DD78&lt;&gt;"",
IF(IFERROR(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"")&lt;&gt;0,
IF(IFERROR(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"")="",
0,
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"")),IFERROR(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"")),0)</f>
        <v>0</v>
      </c>
      <c r="DI80" s="80"/>
      <c r="DJ80" s="88" t="str">
        <f t="array" aca="1" ref="DJ80" ca="1">IF(DK78&lt;&gt;"",SUBSTITUTE(ADDRESS(1,
(COLUMN(INDIRECT("数出表_Excel!"&amp;DJ78&amp;1&amp;""))-2 +
MATCH(TRUE, ISNUMBER(--INDIRECT("数出表_Excel!"&amp;DJ78&amp; (MATCH(DO36,数出表_Excel!$A:$A,0)-1) &amp; ":U" &amp; (MATCH(DO36,数出表_Excel!$A:$A,0)-1))), 0))
*2,4),"1",""),"")</f>
        <v/>
      </c>
      <c r="DK80" s="189" t="str">
        <f ca="1">IF(DK81&lt;&gt;"","園児","")</f>
        <v/>
      </c>
      <c r="DL80" s="190"/>
      <c r="DM80" s="193" t="str">
        <f ca="1">IF(DK81&lt;&gt;"","先生","")</f>
        <v/>
      </c>
      <c r="DN80" s="190"/>
      <c r="DO80" s="101">
        <f t="array" aca="1" ref="DO80" ca="1">IF(DK78&lt;&gt;"",
IF(IFERROR(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"")&lt;&gt;0,
IF(IFERROR(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"")="",
0,
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"")),IFERROR(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"")),0)</f>
        <v>0</v>
      </c>
      <c r="DP80" s="80"/>
      <c r="DQ80" s="80"/>
      <c r="DR80" s="88" t="str">
        <f t="array" aca="1" ref="DR80" ca="1">IF(DS78&lt;&gt;"",SUBSTITUTE(ADDRESS(1,
(COLUMN(INDIRECT("数出表_Excel!"&amp;DR78&amp;1&amp;""))-2 +
MATCH(TRUE, ISNUMBER(--INDIRECT("数出表_Excel!"&amp;DR78&amp; (MATCH(DW36,数出表_Excel!$A:$A,0)-1) &amp; ":U" &amp; (MATCH(DW36,数出表_Excel!$A:$A,0)-1))), 0))
*2,4),"1",""),"")</f>
        <v/>
      </c>
      <c r="DS80" s="189" t="str">
        <f ca="1">IF(DS81&lt;&gt;"","園児","")</f>
        <v/>
      </c>
      <c r="DT80" s="190"/>
      <c r="DU80" s="193" t="str">
        <f ca="1">IF(DS81&lt;&gt;"","先生","")</f>
        <v/>
      </c>
      <c r="DV80" s="190"/>
      <c r="DW80" s="101">
        <f t="array" aca="1" ref="DW80" ca="1">IF(DS78&lt;&gt;"",
IF(IFERROR(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"")&lt;&gt;0,
IF(IFERROR(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"")="",
0,
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"")),IFERROR(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"")),0)</f>
        <v>0</v>
      </c>
      <c r="DX80" s="80"/>
      <c r="DY80" s="88" t="str">
        <f t="array" aca="1" ref="DY80" ca="1">IF(DZ78&lt;&gt;"",SUBSTITUTE(ADDRESS(1,
(COLUMN(INDIRECT("数出表_Excel!"&amp;DY78&amp;1&amp;""))-2 +
MATCH(TRUE, ISNUMBER(--INDIRECT("数出表_Excel!"&amp;DY78&amp; (MATCH(ED36,数出表_Excel!$A:$A,0)-1) &amp; ":U" &amp; (MATCH(ED36,数出表_Excel!$A:$A,0)-1))), 0))
*2,4),"1",""),"")</f>
        <v/>
      </c>
      <c r="DZ80" s="189" t="str">
        <f ca="1">IF(DZ81&lt;&gt;"","園児","")</f>
        <v/>
      </c>
      <c r="EA80" s="190"/>
      <c r="EB80" s="193" t="str">
        <f ca="1">IF(DZ81&lt;&gt;"","先生","")</f>
        <v/>
      </c>
      <c r="EC80" s="190"/>
      <c r="ED80" s="101">
        <f t="array" aca="1" ref="ED80" ca="1">IF(DZ78&lt;&gt;"",
IF(IFERROR(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"")&lt;&gt;0,
IF(IFERROR(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"")="",
0,
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"")),IFERROR(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"")),0)</f>
        <v>0</v>
      </c>
      <c r="EE80" s="80"/>
      <c r="EF80" s="80"/>
      <c r="EG80" s="88" t="str">
        <f t="array" aca="1" ref="EG80" ca="1">IF(EH78&lt;&gt;"",SUBSTITUTE(ADDRESS(1,
(COLUMN(INDIRECT("数出表_Excel!"&amp;EG78&amp;1&amp;""))-2 +
MATCH(TRUE, ISNUMBER(--INDIRECT("数出表_Excel!"&amp;EG78&amp; (MATCH(EL36,数出表_Excel!$A:$A,0)-1) &amp; ":U" &amp; (MATCH(EL36,数出表_Excel!$A:$A,0)-1))), 0))
*2,4),"1",""),"")</f>
        <v/>
      </c>
      <c r="EH80" s="189" t="str">
        <f ca="1">IF(EH81&lt;&gt;"","園児","")</f>
        <v/>
      </c>
      <c r="EI80" s="190"/>
      <c r="EJ80" s="193" t="str">
        <f ca="1">IF(EH81&lt;&gt;"","先生","")</f>
        <v/>
      </c>
      <c r="EK80" s="190"/>
      <c r="EL80" s="101">
        <f t="array" aca="1" ref="EL80" ca="1">IF(EH78&lt;&gt;"",
IF(IFERROR(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"")&lt;&gt;0,
IF(IFERROR(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"")="",
0,
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"")),IFERROR(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"")),0)</f>
        <v>0</v>
      </c>
      <c r="EM80" s="80"/>
      <c r="EN80" s="88" t="str">
        <f t="array" aca="1" ref="EN80" ca="1">IF(EO78&lt;&gt;"",SUBSTITUTE(ADDRESS(1,
(COLUMN(INDIRECT("数出表_Excel!"&amp;EN78&amp;1&amp;""))-2 +
MATCH(TRUE, ISNUMBER(--INDIRECT("数出表_Excel!"&amp;EN78&amp; (MATCH(ES36,数出表_Excel!$A:$A,0)-1) &amp; ":U" &amp; (MATCH(ES36,数出表_Excel!$A:$A,0)-1))), 0))
*2,4),"1",""),"")</f>
        <v/>
      </c>
      <c r="EO80" s="189" t="str">
        <f ca="1">IF(EO81&lt;&gt;"","園児","")</f>
        <v/>
      </c>
      <c r="EP80" s="190"/>
      <c r="EQ80" s="193" t="str">
        <f ca="1">IF(EO81&lt;&gt;"","先生","")</f>
        <v/>
      </c>
      <c r="ER80" s="190"/>
      <c r="ES80" s="101">
        <f t="array" aca="1" ref="ES80" ca="1">IF(EO78&lt;&gt;"",
IF(IFERROR(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"")&lt;&gt;0,
IF(IFERROR(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"")="",
0,
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"")),IFERROR(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"")),0)</f>
        <v>0</v>
      </c>
      <c r="ET80" s="110"/>
      <c r="EU80" s="82">
        <f t="shared" ref="EU80:EU96" si="6">EU76+7</f>
        <v>49</v>
      </c>
      <c r="EV80" s="82" t="str">
        <f t="array" aca="1" ref="EV80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LEN(SUBSTITUTE(_xlfn.FORMULATEXT(EV$75),"=","")))+$EU80)</f>
        <v/>
      </c>
      <c r="EW80" s="82" t="str">
        <f t="array" aca="1" ref="EW80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LEN(SUBSTITUTE(_xlfn.FORMULATEXT(EW$75),"=","")))+$EU80)</f>
        <v/>
      </c>
      <c r="EX80" s="82" t="str">
        <f t="array" aca="1" ref="EX80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LEN(SUBSTITUTE(_xlfn.FORMULATEXT(EX$75),"=","")))+$EU80)</f>
        <v/>
      </c>
      <c r="EY80" s="82" t="str">
        <f t="array" aca="1" ref="EY80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LEN(SUBSTITUTE(_xlfn.FORMULATEXT(EY$75),"=","")))+$EU80)</f>
        <v/>
      </c>
      <c r="EZ80" s="82" t="str">
        <f t="array" aca="1" ref="EZ80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LEN(SUBSTITUTE(_xlfn.FORMULATEXT(EZ$75),"=","")))+$EU80)</f>
        <v/>
      </c>
      <c r="FA80" s="82" t="str">
        <f t="array" aca="1" ref="FA80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LEN(SUBSTITUTE(_xlfn.FORMULATEXT(FA$75),"=","")))+$EU80)</f>
        <v/>
      </c>
      <c r="FB80" s="82" t="str">
        <f t="array" aca="1" ref="FB80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LEN(SUBSTITUTE(_xlfn.FORMULATEXT(FB$75),"=","")))+$EU80)</f>
        <v/>
      </c>
      <c r="FC80" s="82" t="str">
        <f t="array" aca="1" ref="FC80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LEN(SUBSTITUTE(_xlfn.FORMULATEXT(FC$75),"=","")))+$EU80)</f>
        <v/>
      </c>
      <c r="FD80" s="82" t="str">
        <f t="array" aca="1" ref="FD80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LEN(SUBSTITUTE(_xlfn.FORMULATEXT(FD$75),"=","")))+$EU80)</f>
        <v/>
      </c>
      <c r="FE80" s="82" t="str">
        <f t="array" aca="1" ref="FE80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LEN(SUBSTITUTE(_xlfn.FORMULATEXT(FE$75),"=","")))+$EU80)</f>
        <v/>
      </c>
      <c r="FF80" s="82" t="str">
        <f t="array" aca="1" ref="FF80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LEN(SUBSTITUTE(_xlfn.FORMULATEXT(FF$75),"=","")))+$EU80)</f>
        <v/>
      </c>
      <c r="FG80" s="82">
        <f t="shared" ca="1" si="5"/>
        <v>0</v>
      </c>
      <c r="FH80" s="82" t="b">
        <f t="array" aca="1" ref="FH80" ca="1">SUMPRODUCT((LEN(EV80:FF80)&gt;0)*1)&gt;0</f>
        <v>0</v>
      </c>
      <c r="FI80" s="82" t="str">
        <f t="array" aca="1" ref="FI80" ca="1">IFERROR(SMALL(IF(FG$1:FG$173&lt;&gt;0,FG$1:FG$173),ROW(A80)),"")</f>
        <v/>
      </c>
      <c r="FJ80" s="82" t="str">
        <f t="array" aca="1" ref="FJ80" ca="1">IF($FI80&lt;&gt;"",
INDIRECT(""&amp;IF(COLUMN(EV80)&lt;=26,CHAR(COLUMN(EV80)+64),CHAR(INT((COLUMN(EV80)-1)/26)+64)&amp;CHAR(MOD(COLUMN(EV80)-1,26)+65))&amp;$FI80&amp;""),"")</f>
        <v/>
      </c>
      <c r="FK80" s="82" t="str">
        <f t="array" aca="1" ref="FK80" ca="1">IF($FI80&lt;&gt;"",
INDIRECT(""&amp;IF(COLUMN(EW80)&lt;=26,CHAR(COLUMN(EW80)+64),CHAR(INT((COLUMN(EW80)-1)/26)+64)&amp;CHAR(MOD(COLUMN(EW80)-1,26)+65))&amp;$FI80&amp;""),"")</f>
        <v/>
      </c>
      <c r="FL80" s="82" t="str">
        <f t="array" aca="1" ref="FL80" ca="1">IF($FI80&lt;&gt;"",
INDIRECT(""&amp;IF(COLUMN(EX80)&lt;=26,CHAR(COLUMN(EX80)+64),CHAR(INT((COLUMN(EX80)-1)/26)+64)&amp;CHAR(MOD(COLUMN(EX80)-1,26)+65))&amp;$FI80&amp;""),"")</f>
        <v/>
      </c>
      <c r="FM80" s="82" t="str">
        <f t="array" aca="1" ref="FM80" ca="1">IF($FI80&lt;&gt;"",
IF(FL80="",
IF(INDIRECT("EY"&amp;$FI80&amp;"")&lt;&gt;"",
INDIRECT("EY"&amp;$FI80&amp;"")&amp;"箱"
&amp;INDIRECT("EZ"&amp;$FI80&amp;""),""),""),"")</f>
        <v/>
      </c>
      <c r="FN80" s="82" t="str">
        <f t="array" aca="1" ref="FN80" ca="1">IF($FI80&lt;&gt;"",
INDIRECT(""&amp;IF(COLUMN(FA80)&lt;=26,CHAR(COLUMN(FA80)+64),CHAR(INT((COLUMN(FA80)-1)/26)+64)&amp;CHAR(MOD(COLUMN(FA80)-1,26)+65))&amp;$FI80&amp;""),"")</f>
        <v/>
      </c>
      <c r="FO80" s="82" t="str">
        <f t="array" aca="1" ref="FO80" ca="1">IF($FI80&lt;&gt;"",
INDIRECT(""&amp;IF(COLUMN(FB80)&lt;=26,CHAR(COLUMN(FB80)+64),CHAR(INT((COLUMN(FB80)-1)/26)+64)&amp;CHAR(MOD(COLUMN(FB80)-1,26)+65))&amp;$FI80&amp;""),"")</f>
        <v/>
      </c>
      <c r="FP80" s="82" t="str">
        <f t="array" aca="1" ref="FP80" ca="1">IF($FI80&lt;&gt;"",
INDIRECT(""&amp;IF(COLUMN(FC80)&lt;=26,CHAR(COLUMN(FC80)+64),CHAR(INT((COLUMN(FC80)-1)/26)+64)&amp;CHAR(MOD(COLUMN(FC80)-1,26)+65))&amp;$FI80&amp;""),"")</f>
        <v/>
      </c>
      <c r="FQ80" s="82" t="str">
        <f t="array" aca="1" ref="FQ80" ca="1">IF($FI80&lt;&gt;"",
INDIRECT(""&amp;IF(COLUMN(FD80)&lt;=26,CHAR(COLUMN(FD80)+64),CHAR(INT((COLUMN(FD80)-1)/26)+64)&amp;CHAR(MOD(COLUMN(FD80)-1,26)+65))&amp;$FI80&amp;""),"")</f>
        <v/>
      </c>
      <c r="FR80" s="82" t="str">
        <f t="array" aca="1" ref="FR80" ca="1">IF($FI80&lt;&gt;"",
INDIRECT(""&amp;IF(COLUMN(FE80)&lt;=26,CHAR(COLUMN(FE80)+64),CHAR(INT((COLUMN(FE80)-1)/26)+64)&amp;CHAR(MOD(COLUMN(FE80)-1,26)+65))&amp;$FI80&amp;""),"")</f>
        <v/>
      </c>
      <c r="FS80" s="82" t="str">
        <f t="array" aca="1" ref="FS80" ca="1">IF($FI80&lt;&gt;"",
INDIRECT(""&amp;IF(COLUMN(FF80)&lt;=26,CHAR(COLUMN(FF80)+64),CHAR(INT((COLUMN(FF80)-1)/26)+64)&amp;CHAR(MOD(COLUMN(FF80)-1,26)+65))&amp;$FI80&amp;""),"")</f>
        <v/>
      </c>
    </row>
    <row r="81" spans="1:175" ht="18" customHeight="1" x14ac:dyDescent="0.45">
      <c r="B81" s="90"/>
      <c r="C81" s="185" t="str">
        <f t="array" aca="1" ref="C81" ca="1">IF(C79&lt;&gt;"",
IF(IFERROR(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"")=0,"",
IF(B38=100,
IFERROR(
INDEX(INDIRECT("数出表_Excel!"&amp;B78&amp;MATCH(G36,数出表_Excel!$A:$A,0)-1+2&amp;":U"&amp;MATCH(G36,数出表_Excel!$A:$A,0)-1+2&amp;""),
 1,
 MATCH(TRUE, ISNUMBER(--INDIRECT("数出表_Excel!"&amp;B78&amp;MATCH(G36,数出表_Excel!$A:$A,0)-1+2&amp;":U"&amp;MATCH(G36,数出表_Excel!$A:$A,0)-1+2&amp;"")), 0)),
 "")
+IFERROR(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""))),"")</f>
        <v/>
      </c>
      <c r="D81" s="186"/>
      <c r="E81" s="188" t="str">
        <f t="array" aca="1" ref="E81" ca="1">IF(C37&lt;&gt;"",
IF(IFERROR(
INDEX(INDIRECT("数出表_Excel!B"&amp;MATCH(G36,数出表_Excel!$A:$A,0)&amp;":U"&amp;MATCH(G36,数出表_Excel!$A:$A,0)&amp;""),
 1,B79-1),
 "")=0,"",
IFERROR(
INDEX(INDIRECT("数出表_Excel!B"&amp;MATCH(G36,数出表_Excel!$A:$A,0)&amp;":U"&amp;MATCH(G36,数出表_Excel!$A:$A,0)&amp;""),
 1,B79-1),
 "")),"")</f>
        <v/>
      </c>
      <c r="F81" s="186"/>
      <c r="G81" s="101" t="e">
        <f t="array" aca="1" ref="G81" ca="1">IF(B38=100,
IF(C78&lt;&gt;"",
IF(IFERROR(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"")&lt;&gt;0,
IF(IFERROR(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"")="",
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""),
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"")),0),""),0)</f>
        <v>#N/A</v>
      </c>
      <c r="I81" s="90"/>
      <c r="J81" s="185" t="str">
        <f t="array" aca="1" ref="J81" ca="1">IF(J79&lt;&gt;"",
IF(IFERROR(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"")=0,"",
IF(I38=100,
IFERROR(
INDEX(INDIRECT("数出表_Excel!"&amp;I78&amp;MATCH(N36,数出表_Excel!$A:$A,0)-1+2&amp;":U"&amp;MATCH(N36,数出表_Excel!$A:$A,0)-1+2&amp;""),
 1,
 MATCH(TRUE, ISNUMBER(--INDIRECT("数出表_Excel!"&amp;I78&amp;MATCH(N36,数出表_Excel!$A:$A,0)-1+2&amp;":U"&amp;MATCH(N36,数出表_Excel!$A:$A,0)-1+2&amp;"")), 0)),
 "")
+IFERROR(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""))),"")</f>
        <v/>
      </c>
      <c r="K81" s="186"/>
      <c r="L81" s="188" t="str">
        <f t="array" aca="1" ref="L81" ca="1">IF(J37&lt;&gt;"",
IF(IFERROR(
INDEX(INDIRECT("数出表_Excel!B"&amp;MATCH(N36,数出表_Excel!$A:$A,0)&amp;":U"&amp;MATCH(N36,数出表_Excel!$A:$A,0)&amp;""),
 1,I79-1),
 "")=0,"",
IFERROR(
INDEX(INDIRECT("数出表_Excel!B"&amp;MATCH(N36,数出表_Excel!$A:$A,0)&amp;":U"&amp;MATCH(N36,数出表_Excel!$A:$A,0)&amp;""),
 1,I79-1),
 "")),"")</f>
        <v/>
      </c>
      <c r="M81" s="186"/>
      <c r="N81" s="101" t="e">
        <f t="array" aca="1" ref="N81" ca="1">IF(I38=100,
IF(J78&lt;&gt;"",
IF(IFERROR(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"")&lt;&gt;0,
IF(IFERROR(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"")="",
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""),
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"")),0),""),0)</f>
        <v>#N/A</v>
      </c>
      <c r="Q81" s="90"/>
      <c r="R81" s="185" t="str">
        <f t="array" aca="1" ref="R81" ca="1">IF(R79&lt;&gt;"",
IF(IFERROR(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"")=0,"",
IF(Q38=100,
IFERROR(
INDEX(INDIRECT("数出表_Excel!"&amp;Q78&amp;MATCH(V36,数出表_Excel!$A:$A,0)-1+2&amp;":U"&amp;MATCH(V36,数出表_Excel!$A:$A,0)-1+2&amp;""),
 1,
 MATCH(TRUE, ISNUMBER(--INDIRECT("数出表_Excel!"&amp;Q78&amp;MATCH(V36,数出表_Excel!$A:$A,0)-1+2&amp;":U"&amp;MATCH(V36,数出表_Excel!$A:$A,0)-1+2&amp;"")), 0)),
 "")
+IFERROR(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""))),"")</f>
        <v/>
      </c>
      <c r="S81" s="186"/>
      <c r="T81" s="188" t="str">
        <f t="array" aca="1" ref="T81" ca="1">IF(R37&lt;&gt;"",
IF(IFERROR(
INDEX(INDIRECT("数出表_Excel!B"&amp;MATCH(V36,数出表_Excel!$A:$A,0)&amp;":U"&amp;MATCH(V36,数出表_Excel!$A:$A,0)&amp;""),
 1,Q79-1),
 "")=0,"",
IFERROR(
INDEX(INDIRECT("数出表_Excel!B"&amp;MATCH(V36,数出表_Excel!$A:$A,0)&amp;":U"&amp;MATCH(V36,数出表_Excel!$A:$A,0)&amp;""),
 1,Q79-1),
 "")),"")</f>
        <v/>
      </c>
      <c r="U81" s="186"/>
      <c r="V81" s="101" t="e">
        <f t="array" aca="1" ref="V81" ca="1">IF(Q38=100,
IF(R78&lt;&gt;"",
IF(IFERROR(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"")&lt;&gt;0,
IF(IFERROR(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"")="",
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""),
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"")),0),""),0)</f>
        <v>#N/A</v>
      </c>
      <c r="X81" s="90"/>
      <c r="Y81" s="185" t="str">
        <f t="array" aca="1" ref="Y81" ca="1">IF(Y79&lt;&gt;"",
IF(IFERROR(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"")=0,"",
IF(X38=100,
IFERROR(
INDEX(INDIRECT("数出表_Excel!"&amp;X78&amp;MATCH(AC36,数出表_Excel!$A:$A,0)-1+2&amp;":U"&amp;MATCH(AC36,数出表_Excel!$A:$A,0)-1+2&amp;""),
 1,
 MATCH(TRUE, ISNUMBER(--INDIRECT("数出表_Excel!"&amp;X78&amp;MATCH(AC36,数出表_Excel!$A:$A,0)-1+2&amp;":U"&amp;MATCH(AC36,数出表_Excel!$A:$A,0)-1+2&amp;"")), 0)),
 "")
+IFERROR(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""))),"")</f>
        <v/>
      </c>
      <c r="Z81" s="186"/>
      <c r="AA81" s="188" t="str">
        <f t="array" aca="1" ref="AA81" ca="1">IF(Y37&lt;&gt;"",
IF(IFERROR(
INDEX(INDIRECT("数出表_Excel!B"&amp;MATCH(AC36,数出表_Excel!$A:$A,0)&amp;":U"&amp;MATCH(AC36,数出表_Excel!$A:$A,0)&amp;""),
 1,X79-1),
 "")=0,"",
IFERROR(
INDEX(INDIRECT("数出表_Excel!B"&amp;MATCH(AC36,数出表_Excel!$A:$A,0)&amp;":U"&amp;MATCH(AC36,数出表_Excel!$A:$A,0)&amp;""),
 1,X79-1),
 "")),"")</f>
        <v/>
      </c>
      <c r="AB81" s="186"/>
      <c r="AC81" s="101" t="e">
        <f t="array" aca="1" ref="AC81" ca="1">IF(X38=100,
IF(Y78&lt;&gt;"",
IF(IFERROR(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"")&lt;&gt;0,
IF(IFERROR(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"")="",
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""),
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"")),0),""),0)</f>
        <v>#N/A</v>
      </c>
      <c r="AF81" s="90"/>
      <c r="AG81" s="185" t="str">
        <f t="array" aca="1" ref="AG81" ca="1">IF(AG79&lt;&gt;"",
IF(IFERROR(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"")=0,"",
IF(AF38=100,
IFERROR(
INDEX(INDIRECT("数出表_Excel!"&amp;AF78&amp;MATCH(AK36,数出表_Excel!$A:$A,0)-1+2&amp;":U"&amp;MATCH(AK36,数出表_Excel!$A:$A,0)-1+2&amp;""),
 1,
 MATCH(TRUE, ISNUMBER(--INDIRECT("数出表_Excel!"&amp;AF78&amp;MATCH(AK36,数出表_Excel!$A:$A,0)-1+2&amp;":U"&amp;MATCH(AK36,数出表_Excel!$A:$A,0)-1+2&amp;"")), 0)),
 "")
+IFERROR(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""))),"")</f>
        <v/>
      </c>
      <c r="AH81" s="186"/>
      <c r="AI81" s="188" t="str">
        <f t="array" aca="1" ref="AI81" ca="1">IF(AG37&lt;&gt;"",
IF(IFERROR(
INDEX(INDIRECT("数出表_Excel!B"&amp;MATCH(AK36,数出表_Excel!$A:$A,0)&amp;":U"&amp;MATCH(AK36,数出表_Excel!$A:$A,0)&amp;""),
 1,AF79-1),
 "")=0,"",
IFERROR(
INDEX(INDIRECT("数出表_Excel!B"&amp;MATCH(AK36,数出表_Excel!$A:$A,0)&amp;":U"&amp;MATCH(AK36,数出表_Excel!$A:$A,0)&amp;""),
 1,AF79-1),
 "")),"")</f>
        <v/>
      </c>
      <c r="AJ81" s="186"/>
      <c r="AK81" s="101" t="e">
        <f t="array" aca="1" ref="AK81" ca="1">IF(AF38=100,
IF(AG78&lt;&gt;"",
IF(IFERROR(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"")&lt;&gt;0,
IF(IFERROR(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"")="",
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""),
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"")),0),""),0)</f>
        <v>#N/A</v>
      </c>
      <c r="AM81" s="90"/>
      <c r="AN81" s="185" t="str">
        <f t="array" aca="1" ref="AN81" ca="1">IF(AN79&lt;&gt;"",
IF(IFERROR(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"")=0,"",
IF(AM38=100,
IFERROR(
INDEX(INDIRECT("数出表_Excel!"&amp;AM78&amp;MATCH(AR36,数出表_Excel!$A:$A,0)-1+2&amp;":U"&amp;MATCH(AR36,数出表_Excel!$A:$A,0)-1+2&amp;""),
 1,
 MATCH(TRUE, ISNUMBER(--INDIRECT("数出表_Excel!"&amp;AM78&amp;MATCH(AR36,数出表_Excel!$A:$A,0)-1+2&amp;":U"&amp;MATCH(AR36,数出表_Excel!$A:$A,0)-1+2&amp;"")), 0)),
 "")
+IFERROR(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""))),"")</f>
        <v/>
      </c>
      <c r="AO81" s="186"/>
      <c r="AP81" s="188" t="str">
        <f t="array" aca="1" ref="AP81" ca="1">IF(AN37&lt;&gt;"",
IF(IFERROR(
INDEX(INDIRECT("数出表_Excel!B"&amp;MATCH(AR36,数出表_Excel!$A:$A,0)&amp;":U"&amp;MATCH(AR36,数出表_Excel!$A:$A,0)&amp;""),
 1,AM79-1),
 "")=0,"",
IFERROR(
INDEX(INDIRECT("数出表_Excel!B"&amp;MATCH(AR36,数出表_Excel!$A:$A,0)&amp;":U"&amp;MATCH(AR36,数出表_Excel!$A:$A,0)&amp;""),
 1,AM79-1),
 "")),"")</f>
        <v/>
      </c>
      <c r="AQ81" s="186"/>
      <c r="AR81" s="101" t="e">
        <f t="array" aca="1" ref="AR81" ca="1">IF(AM38=100,
IF(AN78&lt;&gt;"",
IF(IFERROR(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"")&lt;&gt;0,
IF(IFERROR(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"")="",
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""),
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"")),0),""),0)</f>
        <v>#N/A</v>
      </c>
      <c r="AU81" s="90"/>
      <c r="AV81" s="185" t="str">
        <f t="array" aca="1" ref="AV81" ca="1">IF(AV79&lt;&gt;"",
IF(IFERROR(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"")=0,"",
IF(AU38=100,
IFERROR(
INDEX(INDIRECT("数出表_Excel!"&amp;AU78&amp;MATCH(AZ36,数出表_Excel!$A:$A,0)-1+2&amp;":U"&amp;MATCH(AZ36,数出表_Excel!$A:$A,0)-1+2&amp;""),
 1,
 MATCH(TRUE, ISNUMBER(--INDIRECT("数出表_Excel!"&amp;AU78&amp;MATCH(AZ36,数出表_Excel!$A:$A,0)-1+2&amp;":U"&amp;MATCH(AZ36,数出表_Excel!$A:$A,0)-1+2&amp;"")), 0)),
 "")
+IFERROR(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""))),"")</f>
        <v/>
      </c>
      <c r="AW81" s="186"/>
      <c r="AX81" s="188" t="str">
        <f t="array" aca="1" ref="AX81" ca="1">IF(AV37&lt;&gt;"",
IF(IFERROR(
INDEX(INDIRECT("数出表_Excel!B"&amp;MATCH(AZ36,数出表_Excel!$A:$A,0)&amp;":U"&amp;MATCH(AZ36,数出表_Excel!$A:$A,0)&amp;""),
 1,AU79-1),
 "")=0,"",
IFERROR(
INDEX(INDIRECT("数出表_Excel!B"&amp;MATCH(AZ36,数出表_Excel!$A:$A,0)&amp;":U"&amp;MATCH(AZ36,数出表_Excel!$A:$A,0)&amp;""),
 1,AU79-1),
 "")),"")</f>
        <v/>
      </c>
      <c r="AY81" s="186"/>
      <c r="AZ81" s="101" t="e">
        <f t="array" aca="1" ref="AZ81" ca="1">IF(AU38=100,
IF(AV78&lt;&gt;"",
IF(IFERROR(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"")&lt;&gt;0,
IF(IFERROR(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"")="",
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""),
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"")),0),""),0)</f>
        <v>#N/A</v>
      </c>
      <c r="BB81" s="90"/>
      <c r="BC81" s="185" t="str">
        <f t="array" aca="1" ref="BC81" ca="1">IF(BC79&lt;&gt;"",
IF(IFERROR(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"")=0,"",
IF(BB38=100,
IFERROR(
INDEX(INDIRECT("数出表_Excel!"&amp;BB78&amp;MATCH(BG36,数出表_Excel!$A:$A,0)-1+2&amp;":U"&amp;MATCH(BG36,数出表_Excel!$A:$A,0)-1+2&amp;""),
 1,
 MATCH(TRUE, ISNUMBER(--INDIRECT("数出表_Excel!"&amp;BB78&amp;MATCH(BG36,数出表_Excel!$A:$A,0)-1+2&amp;":U"&amp;MATCH(BG36,数出表_Excel!$A:$A,0)-1+2&amp;"")), 0)),
 "")
+IFERROR(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""))),"")</f>
        <v/>
      </c>
      <c r="BD81" s="186"/>
      <c r="BE81" s="188" t="str">
        <f t="array" aca="1" ref="BE81" ca="1">IF(BC37&lt;&gt;"",
IF(IFERROR(
INDEX(INDIRECT("数出表_Excel!B"&amp;MATCH(BG36,数出表_Excel!$A:$A,0)&amp;":U"&amp;MATCH(BG36,数出表_Excel!$A:$A,0)&amp;""),
 1,BB79-1),
 "")=0,"",
IFERROR(
INDEX(INDIRECT("数出表_Excel!B"&amp;MATCH(BG36,数出表_Excel!$A:$A,0)&amp;":U"&amp;MATCH(BG36,数出表_Excel!$A:$A,0)&amp;""),
 1,BB79-1),
 "")),"")</f>
        <v/>
      </c>
      <c r="BF81" s="186"/>
      <c r="BG81" s="101" t="e">
        <f t="array" aca="1" ref="BG81" ca="1">IF(BB38=100,
IF(BC78&lt;&gt;"",
IF(IFERROR(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"")&lt;&gt;0,
IF(IFERROR(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"")="",
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""),
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"")),0),""),0)</f>
        <v>#N/A</v>
      </c>
      <c r="BJ81" s="90"/>
      <c r="BK81" s="185" t="str">
        <f t="array" aca="1" ref="BK81" ca="1">IF(BK79&lt;&gt;"",
IF(IFERROR(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"")=0,"",
IF(BJ38=100,
IFERROR(
INDEX(INDIRECT("数出表_Excel!"&amp;BJ78&amp;MATCH(BO36,数出表_Excel!$A:$A,0)-1+2&amp;":U"&amp;MATCH(BO36,数出表_Excel!$A:$A,0)-1+2&amp;""),
 1,
 MATCH(TRUE, ISNUMBER(--INDIRECT("数出表_Excel!"&amp;BJ78&amp;MATCH(BO36,数出表_Excel!$A:$A,0)-1+2&amp;":U"&amp;MATCH(BO36,数出表_Excel!$A:$A,0)-1+2&amp;"")), 0)),
 "")
+IFERROR(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""))),"")</f>
        <v/>
      </c>
      <c r="BL81" s="186"/>
      <c r="BM81" s="188" t="str">
        <f t="array" aca="1" ref="BM81" ca="1">IF(BK37&lt;&gt;"",
IF(IFERROR(
INDEX(INDIRECT("数出表_Excel!B"&amp;MATCH(BO36,数出表_Excel!$A:$A,0)&amp;":U"&amp;MATCH(BO36,数出表_Excel!$A:$A,0)&amp;""),
 1,BJ79-1),
 "")=0,"",
IFERROR(
INDEX(INDIRECT("数出表_Excel!B"&amp;MATCH(BO36,数出表_Excel!$A:$A,0)&amp;":U"&amp;MATCH(BO36,数出表_Excel!$A:$A,0)&amp;""),
 1,BJ79-1),
 "")),"")</f>
        <v/>
      </c>
      <c r="BN81" s="186"/>
      <c r="BO81" s="101" t="e">
        <f t="array" aca="1" ref="BO81" ca="1">IF(BJ38=100,
IF(BK78&lt;&gt;"",
IF(IFERROR(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"")&lt;&gt;0,
IF(IFERROR(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"")="",
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""),
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"")),0),""),0)</f>
        <v>#N/A</v>
      </c>
      <c r="BQ81" s="90"/>
      <c r="BR81" s="185" t="str">
        <f t="array" aca="1" ref="BR81" ca="1">IF(BR79&lt;&gt;"",
IF(IFERROR(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"")=0,"",
IF(BQ38=100,
IFERROR(
INDEX(INDIRECT("数出表_Excel!"&amp;BQ78&amp;MATCH(BV36,数出表_Excel!$A:$A,0)-1+2&amp;":U"&amp;MATCH(BV36,数出表_Excel!$A:$A,0)-1+2&amp;""),
 1,
 MATCH(TRUE, ISNUMBER(--INDIRECT("数出表_Excel!"&amp;BQ78&amp;MATCH(BV36,数出表_Excel!$A:$A,0)-1+2&amp;":U"&amp;MATCH(BV36,数出表_Excel!$A:$A,0)-1+2&amp;"")), 0)),
 "")
+IFERROR(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""))),"")</f>
        <v/>
      </c>
      <c r="BS81" s="186"/>
      <c r="BT81" s="188" t="str">
        <f t="array" aca="1" ref="BT81" ca="1">IF(BR37&lt;&gt;"",
IF(IFERROR(
INDEX(INDIRECT("数出表_Excel!B"&amp;MATCH(BV36,数出表_Excel!$A:$A,0)&amp;":U"&amp;MATCH(BV36,数出表_Excel!$A:$A,0)&amp;""),
 1,BQ79-1),
 "")=0,"",
IFERROR(
INDEX(INDIRECT("数出表_Excel!B"&amp;MATCH(BV36,数出表_Excel!$A:$A,0)&amp;":U"&amp;MATCH(BV36,数出表_Excel!$A:$A,0)&amp;""),
 1,BQ79-1),
 "")),"")</f>
        <v/>
      </c>
      <c r="BU81" s="186"/>
      <c r="BV81" s="101" t="e">
        <f t="array" aca="1" ref="BV81" ca="1">IF(BQ38=100,
IF(BR78&lt;&gt;"",
IF(IFERROR(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"")&lt;&gt;0,
IF(IFERROR(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"")="",
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""),
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"")),0),""),0)</f>
        <v>#N/A</v>
      </c>
      <c r="BY81" s="90"/>
      <c r="BZ81" s="185" t="str">
        <f t="array" aca="1" ref="BZ81" ca="1">IF(BZ79&lt;&gt;"",
IF(IFERROR(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"")=0,"",
IF(BY38=100,
IFERROR(
INDEX(INDIRECT("数出表_Excel!"&amp;BY78&amp;MATCH(CD36,数出表_Excel!$A:$A,0)-1+2&amp;":U"&amp;MATCH(CD36,数出表_Excel!$A:$A,0)-1+2&amp;""),
 1,
 MATCH(TRUE, ISNUMBER(--INDIRECT("数出表_Excel!"&amp;BY78&amp;MATCH(CD36,数出表_Excel!$A:$A,0)-1+2&amp;":U"&amp;MATCH(CD36,数出表_Excel!$A:$A,0)-1+2&amp;"")), 0)),
 "")
+IFERROR(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""),
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""))),"")</f>
        <v/>
      </c>
      <c r="CA81" s="186"/>
      <c r="CB81" s="188" t="str">
        <f t="array" aca="1" ref="CB81" ca="1">IF(BZ37&lt;&gt;"",
IF(IFERROR(
INDEX(INDIRECT("数出表_Excel!B"&amp;MATCH(CD36,数出表_Excel!$A:$A,0)&amp;":U"&amp;MATCH(CD36,数出表_Excel!$A:$A,0)&amp;""),
 1,BY79-1),
 "")=0,"",
IFERROR(
INDEX(INDIRECT("数出表_Excel!B"&amp;MATCH(CD36,数出表_Excel!$A:$A,0)&amp;":U"&amp;MATCH(CD36,数出表_Excel!$A:$A,0)&amp;""),
 1,BY79-1),
 "")),"")</f>
        <v/>
      </c>
      <c r="CC81" s="186"/>
      <c r="CD81" s="101" t="e">
        <f t="array" aca="1" ref="CD81" ca="1">IF(BY38=100,
IF(BZ78&lt;&gt;"",
IF(IFERROR(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"")&lt;&gt;0,
IF(IFERROR(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"")="",
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""),
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"")),0),""),0)</f>
        <v>#N/A</v>
      </c>
      <c r="CF81" s="90"/>
      <c r="CG81" s="185" t="str">
        <f t="array" aca="1" ref="CG81" ca="1">IF(CG79&lt;&gt;"",
IF(IFERROR(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"")=0,"",
IF(CF38=100,
IFERROR(
INDEX(INDIRECT("数出表_Excel!"&amp;CF78&amp;MATCH(CK36,数出表_Excel!$A:$A,0)-1+2&amp;":U"&amp;MATCH(CK36,数出表_Excel!$A:$A,0)-1+2&amp;""),
 1,
 MATCH(TRUE, ISNUMBER(--INDIRECT("数出表_Excel!"&amp;CF78&amp;MATCH(CK36,数出表_Excel!$A:$A,0)-1+2&amp;":U"&amp;MATCH(CK36,数出表_Excel!$A:$A,0)-1+2&amp;"")), 0)),
 "")
+IFERROR(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""),
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""))),"")</f>
        <v/>
      </c>
      <c r="CH81" s="186"/>
      <c r="CI81" s="188" t="str">
        <f t="array" aca="1" ref="CI81" ca="1">IF(CG37&lt;&gt;"",
IF(IFERROR(
INDEX(INDIRECT("数出表_Excel!B"&amp;MATCH(CK36,数出表_Excel!$A:$A,0)&amp;":U"&amp;MATCH(CK36,数出表_Excel!$A:$A,0)&amp;""),
 1,CF79-1),
 "")=0,"",
IFERROR(
INDEX(INDIRECT("数出表_Excel!B"&amp;MATCH(CK36,数出表_Excel!$A:$A,0)&amp;":U"&amp;MATCH(CK36,数出表_Excel!$A:$A,0)&amp;""),
 1,CF79-1),
 "")),"")</f>
        <v/>
      </c>
      <c r="CJ81" s="186"/>
      <c r="CK81" s="101" t="e">
        <f t="array" aca="1" ref="CK81" ca="1">IF(CF38=100,
IF(CG78&lt;&gt;"",
IF(IFERROR(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"")&lt;&gt;0,
IF(IFERROR(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"")="",
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""),
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"")),0),""),0)</f>
        <v>#N/A</v>
      </c>
      <c r="CN81" s="90"/>
      <c r="CO81" s="185" t="str">
        <f t="array" aca="1" ref="CO81" ca="1">IF(CO79&lt;&gt;"",
IF(IFERROR(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"")=0,"",
IF(CN38=100,
IFERROR(
INDEX(INDIRECT("数出表_Excel!"&amp;CN78&amp;MATCH(CS36,数出表_Excel!$A:$A,0)-1+2&amp;":U"&amp;MATCH(CS36,数出表_Excel!$A:$A,0)-1+2&amp;""),
 1,
 MATCH(TRUE, ISNUMBER(--INDIRECT("数出表_Excel!"&amp;CN78&amp;MATCH(CS36,数出表_Excel!$A:$A,0)-1+2&amp;":U"&amp;MATCH(CS36,数出表_Excel!$A:$A,0)-1+2&amp;"")), 0)),
 "")
+IFERROR(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""),
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""))),"")</f>
        <v/>
      </c>
      <c r="CP81" s="186"/>
      <c r="CQ81" s="188" t="str">
        <f t="array" aca="1" ref="CQ81" ca="1">IF(CO37&lt;&gt;"",
IF(IFERROR(
INDEX(INDIRECT("数出表_Excel!B"&amp;MATCH(CS36,数出表_Excel!$A:$A,0)&amp;":U"&amp;MATCH(CS36,数出表_Excel!$A:$A,0)&amp;""),
 1,CN79-1),
 "")=0,"",
IFERROR(
INDEX(INDIRECT("数出表_Excel!B"&amp;MATCH(CS36,数出表_Excel!$A:$A,0)&amp;":U"&amp;MATCH(CS36,数出表_Excel!$A:$A,0)&amp;""),
 1,CN79-1),
 "")),"")</f>
        <v/>
      </c>
      <c r="CR81" s="186"/>
      <c r="CS81" s="101" t="e">
        <f t="array" aca="1" ref="CS81" ca="1">IF(CN38=100,
IF(CO78&lt;&gt;"",
IF(IFERROR(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"")&lt;&gt;0,
IF(IFERROR(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"")="",
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""),
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"")),0),""),0)</f>
        <v>#N/A</v>
      </c>
      <c r="CU81" s="90"/>
      <c r="CV81" s="185" t="str">
        <f t="array" aca="1" ref="CV81" ca="1">IF(CV79&lt;&gt;"",
IF(IFERROR(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"")=0,"",
IF(CU38=100,
IFERROR(
INDEX(INDIRECT("数出表_Excel!"&amp;CU78&amp;MATCH(CZ36,数出表_Excel!$A:$A,0)-1+2&amp;":U"&amp;MATCH(CZ36,数出表_Excel!$A:$A,0)-1+2&amp;""),
 1,
 MATCH(TRUE, ISNUMBER(--INDIRECT("数出表_Excel!"&amp;CU78&amp;MATCH(CZ36,数出表_Excel!$A:$A,0)-1+2&amp;":U"&amp;MATCH(CZ36,数出表_Excel!$A:$A,0)-1+2&amp;"")), 0)),
 "")
+IFERROR(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""),
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""))),"")</f>
        <v/>
      </c>
      <c r="CW81" s="186"/>
      <c r="CX81" s="188" t="str">
        <f t="array" aca="1" ref="CX81" ca="1">IF(CV37&lt;&gt;"",
IF(IFERROR(
INDEX(INDIRECT("数出表_Excel!B"&amp;MATCH(CZ36,数出表_Excel!$A:$A,0)&amp;":U"&amp;MATCH(CZ36,数出表_Excel!$A:$A,0)&amp;""),
 1,CU79-1),
 "")=0,"",
IFERROR(
INDEX(INDIRECT("数出表_Excel!B"&amp;MATCH(CZ36,数出表_Excel!$A:$A,0)&amp;":U"&amp;MATCH(CZ36,数出表_Excel!$A:$A,0)&amp;""),
 1,CU79-1),
 "")),"")</f>
        <v/>
      </c>
      <c r="CY81" s="186"/>
      <c r="CZ81" s="101" t="e">
        <f t="array" aca="1" ref="CZ81" ca="1">IF(CU38=100,
IF(CV78&lt;&gt;"",
IF(IFERROR(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"")&lt;&gt;0,
IF(IFERROR(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"")="",
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""),
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"")),0),""),0)</f>
        <v>#N/A</v>
      </c>
      <c r="DC81" s="90"/>
      <c r="DD81" s="185" t="str">
        <f t="array" aca="1" ref="DD81" ca="1">IF(DD79&lt;&gt;"",
IF(IFERROR(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"")=0,"",
IF(DC38=100,
IFERROR(
INDEX(INDIRECT("数出表_Excel!"&amp;DC78&amp;MATCH(DH36,数出表_Excel!$A:$A,0)-1+2&amp;":U"&amp;MATCH(DH36,数出表_Excel!$A:$A,0)-1+2&amp;""),
 1,
 MATCH(TRUE, ISNUMBER(--INDIRECT("数出表_Excel!"&amp;DC78&amp;MATCH(DH36,数出表_Excel!$A:$A,0)-1+2&amp;":U"&amp;MATCH(DH36,数出表_Excel!$A:$A,0)-1+2&amp;"")), 0)),
 "")
+IFERROR(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""),
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""))),"")</f>
        <v/>
      </c>
      <c r="DE81" s="186"/>
      <c r="DF81" s="188" t="str">
        <f t="array" aca="1" ref="DF81" ca="1">IF(DD37&lt;&gt;"",
IF(IFERROR(
INDEX(INDIRECT("数出表_Excel!B"&amp;MATCH(DH36,数出表_Excel!$A:$A,0)&amp;":U"&amp;MATCH(DH36,数出表_Excel!$A:$A,0)&amp;""),
 1,DC79-1),
 "")=0,"",
IFERROR(
INDEX(INDIRECT("数出表_Excel!B"&amp;MATCH(DH36,数出表_Excel!$A:$A,0)&amp;":U"&amp;MATCH(DH36,数出表_Excel!$A:$A,0)&amp;""),
 1,DC79-1),
 "")),"")</f>
        <v/>
      </c>
      <c r="DG81" s="186"/>
      <c r="DH81" s="101" t="e">
        <f t="array" aca="1" ref="DH81" ca="1">IF(DC38=100,
IF(DD78&lt;&gt;"",
IF(IFERROR(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"")&lt;&gt;0,
IF(IFERROR(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"")="",
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""),
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"")),0),""),0)</f>
        <v>#N/A</v>
      </c>
      <c r="DJ81" s="90"/>
      <c r="DK81" s="185" t="str">
        <f t="array" aca="1" ref="DK81" ca="1">IF(DK79&lt;&gt;"",
IF(IFERROR(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"")=0,"",
IF(DJ38=100,
IFERROR(
INDEX(INDIRECT("数出表_Excel!"&amp;DJ78&amp;MATCH(DO36,数出表_Excel!$A:$A,0)-1+2&amp;":U"&amp;MATCH(DO36,数出表_Excel!$A:$A,0)-1+2&amp;""),
 1,
 MATCH(TRUE, ISNUMBER(--INDIRECT("数出表_Excel!"&amp;DJ78&amp;MATCH(DO36,数出表_Excel!$A:$A,0)-1+2&amp;":U"&amp;MATCH(DO36,数出表_Excel!$A:$A,0)-1+2&amp;"")), 0)),
 "")
+IFERROR(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""),
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""))),"")</f>
        <v/>
      </c>
      <c r="DL81" s="186"/>
      <c r="DM81" s="188" t="str">
        <f t="array" aca="1" ref="DM81" ca="1">IF(DK37&lt;&gt;"",
IF(IFERROR(
INDEX(INDIRECT("数出表_Excel!B"&amp;MATCH(DO36,数出表_Excel!$A:$A,0)&amp;":U"&amp;MATCH(DO36,数出表_Excel!$A:$A,0)&amp;""),
 1,DJ79-1),
 "")=0,"",
IFERROR(
INDEX(INDIRECT("数出表_Excel!B"&amp;MATCH(DO36,数出表_Excel!$A:$A,0)&amp;":U"&amp;MATCH(DO36,数出表_Excel!$A:$A,0)&amp;""),
 1,DJ79-1),
 "")),"")</f>
        <v/>
      </c>
      <c r="DN81" s="186"/>
      <c r="DO81" s="101" t="e">
        <f t="array" aca="1" ref="DO81" ca="1">IF(DJ38=100,
IF(DK78&lt;&gt;"",
IF(IFERROR(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"")&lt;&gt;0,
IF(IFERROR(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"")="",
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""),
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"")),0),""),0)</f>
        <v>#N/A</v>
      </c>
      <c r="DR81" s="90"/>
      <c r="DS81" s="185" t="str">
        <f t="array" aca="1" ref="DS81" ca="1">IF(DS79&lt;&gt;"",
IF(IFERROR(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"")=0,"",
IF(DR38=100,
IFERROR(
INDEX(INDIRECT("数出表_Excel!"&amp;DR78&amp;MATCH(DW36,数出表_Excel!$A:$A,0)-1+2&amp;":U"&amp;MATCH(DW36,数出表_Excel!$A:$A,0)-1+2&amp;""),
 1,
 MATCH(TRUE, ISNUMBER(--INDIRECT("数出表_Excel!"&amp;DR78&amp;MATCH(DW36,数出表_Excel!$A:$A,0)-1+2&amp;":U"&amp;MATCH(DW36,数出表_Excel!$A:$A,0)-1+2&amp;"")), 0)),
 "")
+IFERROR(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""),
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""))),"")</f>
        <v/>
      </c>
      <c r="DT81" s="186"/>
      <c r="DU81" s="188" t="str">
        <f t="array" aca="1" ref="DU81" ca="1">IF(DS37&lt;&gt;"",
IF(IFERROR(
INDEX(INDIRECT("数出表_Excel!B"&amp;MATCH(DW36,数出表_Excel!$A:$A,0)&amp;":U"&amp;MATCH(DW36,数出表_Excel!$A:$A,0)&amp;""),
 1,DR79-1),
 "")=0,"",
IFERROR(
INDEX(INDIRECT("数出表_Excel!B"&amp;MATCH(DW36,数出表_Excel!$A:$A,0)&amp;":U"&amp;MATCH(DW36,数出表_Excel!$A:$A,0)&amp;""),
 1,DR79-1),
 "")),"")</f>
        <v/>
      </c>
      <c r="DV81" s="186"/>
      <c r="DW81" s="101" t="e">
        <f t="array" aca="1" ref="DW81" ca="1">IF(DR38=100,
IF(DS78&lt;&gt;"",
IF(IFERROR(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"")&lt;&gt;0,
IF(IFERROR(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"")="",
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""),
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"")),0),""),0)</f>
        <v>#N/A</v>
      </c>
      <c r="DY81" s="90"/>
      <c r="DZ81" s="185" t="str">
        <f t="array" aca="1" ref="DZ81" ca="1">IF(DZ79&lt;&gt;"",
IF(IFERROR(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"")=0,"",
IF(DY38=100,
IFERROR(
INDEX(INDIRECT("数出表_Excel!"&amp;DY78&amp;MATCH(ED36,数出表_Excel!$A:$A,0)-1+2&amp;":U"&amp;MATCH(ED36,数出表_Excel!$A:$A,0)-1+2&amp;""),
 1,
 MATCH(TRUE, ISNUMBER(--INDIRECT("数出表_Excel!"&amp;DY78&amp;MATCH(ED36,数出表_Excel!$A:$A,0)-1+2&amp;":U"&amp;MATCH(ED36,数出表_Excel!$A:$A,0)-1+2&amp;"")), 0)),
 "")
+IFERROR(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""),
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""))),"")</f>
        <v/>
      </c>
      <c r="EA81" s="186"/>
      <c r="EB81" s="188" t="str">
        <f t="array" aca="1" ref="EB81" ca="1">IF(DZ37&lt;&gt;"",
IF(IFERROR(
INDEX(INDIRECT("数出表_Excel!B"&amp;MATCH(ED36,数出表_Excel!$A:$A,0)&amp;":U"&amp;MATCH(ED36,数出表_Excel!$A:$A,0)&amp;""),
 1,DY79-1),
 "")=0,"",
IFERROR(
INDEX(INDIRECT("数出表_Excel!B"&amp;MATCH(ED36,数出表_Excel!$A:$A,0)&amp;":U"&amp;MATCH(ED36,数出表_Excel!$A:$A,0)&amp;""),
 1,DY79-1),
 "")),"")</f>
        <v/>
      </c>
      <c r="EC81" s="186"/>
      <c r="ED81" s="101" t="e">
        <f t="array" aca="1" ref="ED81" ca="1">IF(DY38=100,
IF(DZ78&lt;&gt;"",
IF(IFERROR(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"")&lt;&gt;0,
IF(IFERROR(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"")="",
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""),
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"")),0),""),0)</f>
        <v>#N/A</v>
      </c>
      <c r="EG81" s="90"/>
      <c r="EH81" s="185" t="str">
        <f t="array" aca="1" ref="EH81" ca="1">IF(EH79&lt;&gt;"",
IF(IFERROR(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"")=0,"",
IF(EG38=100,
IFERROR(
INDEX(INDIRECT("数出表_Excel!"&amp;EG78&amp;MATCH(EL36,数出表_Excel!$A:$A,0)-1+2&amp;":U"&amp;MATCH(EL36,数出表_Excel!$A:$A,0)-1+2&amp;""),
 1,
 MATCH(TRUE, ISNUMBER(--INDIRECT("数出表_Excel!"&amp;EG78&amp;MATCH(EL36,数出表_Excel!$A:$A,0)-1+2&amp;":U"&amp;MATCH(EL36,数出表_Excel!$A:$A,0)-1+2&amp;"")), 0)),
 "")
+IFERROR(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""),
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""))),"")</f>
        <v/>
      </c>
      <c r="EI81" s="186"/>
      <c r="EJ81" s="188" t="str">
        <f t="array" aca="1" ref="EJ81" ca="1">IF(EH37&lt;&gt;"",
IF(IFERROR(
INDEX(INDIRECT("数出表_Excel!B"&amp;MATCH(EL36,数出表_Excel!$A:$A,0)&amp;":U"&amp;MATCH(EL36,数出表_Excel!$A:$A,0)&amp;""),
 1,EG79-1),
 "")=0,"",
IFERROR(
INDEX(INDIRECT("数出表_Excel!B"&amp;MATCH(EL36,数出表_Excel!$A:$A,0)&amp;":U"&amp;MATCH(EL36,数出表_Excel!$A:$A,0)&amp;""),
 1,EG79-1),
 "")),"")</f>
        <v/>
      </c>
      <c r="EK81" s="186"/>
      <c r="EL81" s="101" t="e">
        <f t="array" aca="1" ref="EL81" ca="1">IF(EG38=100,
IF(EH78&lt;&gt;"",
IF(IFERROR(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"")&lt;&gt;0,
IF(IFERROR(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"")="",
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""),
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"")),0),""),0)</f>
        <v>#N/A</v>
      </c>
      <c r="EN81" s="90"/>
      <c r="EO81" s="185" t="str">
        <f t="array" aca="1" ref="EO81" ca="1">IF(EO79&lt;&gt;"",
IF(IFERROR(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"")=0,"",
IF(EN38=100,
IFERROR(
INDEX(INDIRECT("数出表_Excel!"&amp;EN78&amp;MATCH(ES36,数出表_Excel!$A:$A,0)-1+2&amp;":U"&amp;MATCH(ES36,数出表_Excel!$A:$A,0)-1+2&amp;""),
 1,
 MATCH(TRUE, ISNUMBER(--INDIRECT("数出表_Excel!"&amp;EN78&amp;MATCH(ES36,数出表_Excel!$A:$A,0)-1+2&amp;":U"&amp;MATCH(ES36,数出表_Excel!$A:$A,0)-1+2&amp;"")), 0)),
 "")
+IFERROR(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""),
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""))),"")</f>
        <v/>
      </c>
      <c r="EP81" s="186"/>
      <c r="EQ81" s="188" t="str">
        <f t="array" aca="1" ref="EQ81" ca="1">IF(EO37&lt;&gt;"",
IF(IFERROR(
INDEX(INDIRECT("数出表_Excel!B"&amp;MATCH(ES36,数出表_Excel!$A:$A,0)&amp;":U"&amp;MATCH(ES36,数出表_Excel!$A:$A,0)&amp;""),
 1,EN79-1),
 "")=0,"",
IFERROR(
INDEX(INDIRECT("数出表_Excel!B"&amp;MATCH(ES36,数出表_Excel!$A:$A,0)&amp;":U"&amp;MATCH(ES36,数出表_Excel!$A:$A,0)&amp;""),
 1,EN79-1),
 "")),"")</f>
        <v/>
      </c>
      <c r="ER81" s="186"/>
      <c r="ES81" s="101" t="e">
        <f t="array" aca="1" ref="ES81" ca="1">IF(EN38=100,
IF(EO78&lt;&gt;"",
IF(IFERROR(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"")&lt;&gt;0,
IF(IFERROR(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"")="",
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""),
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"")),0),""),0)</f>
        <v>#N/A</v>
      </c>
      <c r="ET81" s="110"/>
      <c r="EU81" s="82">
        <f t="shared" si="6"/>
        <v>14</v>
      </c>
      <c r="EV81" s="82" t="str">
        <f t="array" aca="1" ref="EV81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LEN(SUBSTITUTE(_xlfn.FORMULATEXT(EV$73),"=","")))+$EU81)</f>
        <v/>
      </c>
      <c r="EW81" s="82" t="str">
        <f t="array" aca="1" ref="EW81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LEN(SUBSTITUTE(_xlfn.FORMULATEXT(EW$73),"=","")))+$EU81)</f>
        <v/>
      </c>
      <c r="EX81" s="82" t="str">
        <f t="array" aca="1" ref="EX81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LEN(SUBSTITUTE(_xlfn.FORMULATEXT(EX$73),"=","")))+$EU81)</f>
        <v/>
      </c>
      <c r="EY81" s="82" t="str">
        <f t="array" aca="1" ref="EY81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LEN(SUBSTITUTE(_xlfn.FORMULATEXT(EY$73),"=","")))+$EU81)</f>
        <v/>
      </c>
      <c r="EZ81" s="82" t="str">
        <f t="array" aca="1" ref="EZ81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LEN(SUBSTITUTE(_xlfn.FORMULATEXT(EZ$73),"=","")))+$EU81)</f>
        <v/>
      </c>
      <c r="FA81" s="82" t="e">
        <f t="array" aca="1" ref="FA81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LEN(SUBSTITUTE(_xlfn.FORMULATEXT(FA$73),"=","")))+$EU81)</f>
        <v>#VALUE!</v>
      </c>
      <c r="FB81" s="82" t="str">
        <f t="array" aca="1" ref="FB81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LEN(SUBSTITUTE(_xlfn.FORMULATEXT(FB$73),"=","")))+$EU81)</f>
        <v/>
      </c>
      <c r="FC81" s="82" t="str">
        <f t="array" aca="1" ref="FC81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LEN(SUBSTITUTE(_xlfn.FORMULATEXT(FC$73),"=","")))+$EU81)</f>
        <v/>
      </c>
      <c r="FD81" s="82" t="e">
        <f t="array" aca="1" ref="FD81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LEN(SUBSTITUTE(_xlfn.FORMULATEXT(FD$73),"=","")))+$EU81)</f>
        <v>#VALUE!</v>
      </c>
      <c r="FE81" s="82" t="str">
        <f t="array" aca="1" ref="FE81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LEN(SUBSTITUTE(_xlfn.FORMULATEXT(FE$73),"=","")))+$EU81)</f>
        <v/>
      </c>
      <c r="FF81" s="82" t="e">
        <f t="array" aca="1" ref="FF81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LEN(SUBSTITUTE(_xlfn.FORMULATEXT(FF$73),"=","")))+$EU81)</f>
        <v>#N/A</v>
      </c>
      <c r="FG81" s="82">
        <f t="shared" ca="1" si="5"/>
        <v>0</v>
      </c>
      <c r="FH81" s="82" t="e">
        <f t="array" aca="1" ref="FH81" ca="1">SUMPRODUCT((LEN(EV81:FF81)&gt;0)*1)&gt;0</f>
        <v>#VALUE!</v>
      </c>
      <c r="FI81" s="82" t="str">
        <f t="array" aca="1" ref="FI81" ca="1">IFERROR(SMALL(IF(FG$1:FG$173&lt;&gt;0,FG$1:FG$173),ROW(A81)),"")</f>
        <v/>
      </c>
      <c r="FJ81" s="82" t="str">
        <f t="array" aca="1" ref="FJ81" ca="1">IF($FI81&lt;&gt;"",
INDIRECT(""&amp;IF(COLUMN(EV81)&lt;=26,CHAR(COLUMN(EV81)+64),CHAR(INT((COLUMN(EV81)-1)/26)+64)&amp;CHAR(MOD(COLUMN(EV81)-1,26)+65))&amp;$FI81&amp;""),"")</f>
        <v/>
      </c>
      <c r="FK81" s="82" t="str">
        <f t="array" aca="1" ref="FK81" ca="1">IF($FI81&lt;&gt;"",
INDIRECT(""&amp;IF(COLUMN(EW81)&lt;=26,CHAR(COLUMN(EW81)+64),CHAR(INT((COLUMN(EW81)-1)/26)+64)&amp;CHAR(MOD(COLUMN(EW81)-1,26)+65))&amp;$FI81&amp;""),"")</f>
        <v/>
      </c>
      <c r="FL81" s="82" t="str">
        <f t="array" aca="1" ref="FL81" ca="1">IF($FI81&lt;&gt;"",
INDIRECT(""&amp;IF(COLUMN(EX81)&lt;=26,CHAR(COLUMN(EX81)+64),CHAR(INT((COLUMN(EX81)-1)/26)+64)&amp;CHAR(MOD(COLUMN(EX81)-1,26)+65))&amp;$FI81&amp;""),"")</f>
        <v/>
      </c>
      <c r="FM81" s="82" t="str">
        <f t="array" aca="1" ref="FM81" ca="1">IF($FI81&lt;&gt;"",
IF(FL81="",
IF(INDIRECT("EY"&amp;$FI81&amp;"")&lt;&gt;"",
INDIRECT("EY"&amp;$FI81&amp;"")&amp;"箱"
&amp;INDIRECT("EZ"&amp;$FI81&amp;""),""),""),"")</f>
        <v/>
      </c>
      <c r="FN81" s="82" t="str">
        <f t="array" aca="1" ref="FN81" ca="1">IF($FI81&lt;&gt;"",
INDIRECT(""&amp;IF(COLUMN(FA81)&lt;=26,CHAR(COLUMN(FA81)+64),CHAR(INT((COLUMN(FA81)-1)/26)+64)&amp;CHAR(MOD(COLUMN(FA81)-1,26)+65))&amp;$FI81&amp;""),"")</f>
        <v/>
      </c>
      <c r="FO81" s="82" t="str">
        <f t="array" aca="1" ref="FO81" ca="1">IF($FI81&lt;&gt;"",
INDIRECT(""&amp;IF(COLUMN(FB81)&lt;=26,CHAR(COLUMN(FB81)+64),CHAR(INT((COLUMN(FB81)-1)/26)+64)&amp;CHAR(MOD(COLUMN(FB81)-1,26)+65))&amp;$FI81&amp;""),"")</f>
        <v/>
      </c>
      <c r="FP81" s="82" t="str">
        <f t="array" aca="1" ref="FP81" ca="1">IF($FI81&lt;&gt;"",
INDIRECT(""&amp;IF(COLUMN(FC81)&lt;=26,CHAR(COLUMN(FC81)+64),CHAR(INT((COLUMN(FC81)-1)/26)+64)&amp;CHAR(MOD(COLUMN(FC81)-1,26)+65))&amp;$FI81&amp;""),"")</f>
        <v/>
      </c>
      <c r="FQ81" s="82" t="str">
        <f t="array" aca="1" ref="FQ81" ca="1">IF($FI81&lt;&gt;"",
INDIRECT(""&amp;IF(COLUMN(FD81)&lt;=26,CHAR(COLUMN(FD81)+64),CHAR(INT((COLUMN(FD81)-1)/26)+64)&amp;CHAR(MOD(COLUMN(FD81)-1,26)+65))&amp;$FI81&amp;""),"")</f>
        <v/>
      </c>
      <c r="FR81" s="82" t="str">
        <f t="array" aca="1" ref="FR81" ca="1">IF($FI81&lt;&gt;"",
INDIRECT(""&amp;IF(COLUMN(FE81)&lt;=26,CHAR(COLUMN(FE81)+64),CHAR(INT((COLUMN(FE81)-1)/26)+64)&amp;CHAR(MOD(COLUMN(FE81)-1,26)+65))&amp;$FI81&amp;""),"")</f>
        <v/>
      </c>
      <c r="FS81" s="82" t="str">
        <f t="array" aca="1" ref="FS81" ca="1">IF($FI81&lt;&gt;"",
INDIRECT(""&amp;IF(COLUMN(FF81)&lt;=26,CHAR(COLUMN(FF81)+64),CHAR(INT((COLUMN(FF81)-1)/26)+64)&amp;CHAR(MOD(COLUMN(FF81)-1,26)+65))&amp;$FI81&amp;""),"")</f>
        <v/>
      </c>
    </row>
    <row r="82" spans="1:175" ht="18" customHeight="1" x14ac:dyDescent="0.45">
      <c r="B82" s="92"/>
      <c r="C82" s="187"/>
      <c r="D82" s="187"/>
      <c r="E82" s="187"/>
      <c r="F82" s="187"/>
      <c r="G82" s="102" t="str">
        <f>SUBSTITUTE(SUBSTITUTE(ADDRESS(1,MATCH("おやつ",'数出表_Excel（アレルギー入力）'!$3:$3,0)),1,""),"$","")</f>
        <v>AL</v>
      </c>
      <c r="I82" s="92"/>
      <c r="J82" s="187"/>
      <c r="K82" s="187"/>
      <c r="L82" s="187"/>
      <c r="M82" s="187"/>
      <c r="N82" s="102" t="str">
        <f>SUBSTITUTE(SUBSTITUTE(ADDRESS(1,MATCH("おやつ",'数出表_Excel（アレルギー入力）'!$3:$3,0)),1,""),"$","")</f>
        <v>AL</v>
      </c>
      <c r="Q82" s="92"/>
      <c r="R82" s="187"/>
      <c r="S82" s="187"/>
      <c r="T82" s="187"/>
      <c r="U82" s="187"/>
      <c r="V82" s="102" t="str">
        <f>SUBSTITUTE(SUBSTITUTE(ADDRESS(1,MATCH("おやつ",'数出表_Excel（アレルギー入力）'!$3:$3,0)),1,""),"$","")</f>
        <v>AL</v>
      </c>
      <c r="X82" s="92"/>
      <c r="Y82" s="187"/>
      <c r="Z82" s="187"/>
      <c r="AA82" s="187"/>
      <c r="AB82" s="187"/>
      <c r="AC82" s="102" t="str">
        <f>SUBSTITUTE(SUBSTITUTE(ADDRESS(1,MATCH("おやつ",'数出表_Excel（アレルギー入力）'!$3:$3,0)),1,""),"$","")</f>
        <v>AL</v>
      </c>
      <c r="AF82" s="92"/>
      <c r="AG82" s="187"/>
      <c r="AH82" s="187"/>
      <c r="AI82" s="187"/>
      <c r="AJ82" s="187"/>
      <c r="AK82" s="102" t="str">
        <f>SUBSTITUTE(SUBSTITUTE(ADDRESS(1,MATCH("おやつ",'数出表_Excel（アレルギー入力）'!$3:$3,0)),1,""),"$","")</f>
        <v>AL</v>
      </c>
      <c r="AM82" s="92"/>
      <c r="AN82" s="187"/>
      <c r="AO82" s="187"/>
      <c r="AP82" s="187"/>
      <c r="AQ82" s="187"/>
      <c r="AR82" s="102" t="str">
        <f>SUBSTITUTE(SUBSTITUTE(ADDRESS(1,MATCH("おやつ",'数出表_Excel（アレルギー入力）'!$3:$3,0)),1,""),"$","")</f>
        <v>AL</v>
      </c>
      <c r="AU82" s="92"/>
      <c r="AV82" s="187"/>
      <c r="AW82" s="187"/>
      <c r="AX82" s="187"/>
      <c r="AY82" s="187"/>
      <c r="AZ82" s="102" t="str">
        <f>SUBSTITUTE(SUBSTITUTE(ADDRESS(1,MATCH("おやつ",'数出表_Excel（アレルギー入力）'!$3:$3,0)),1,""),"$","")</f>
        <v>AL</v>
      </c>
      <c r="BB82" s="92"/>
      <c r="BC82" s="187"/>
      <c r="BD82" s="187"/>
      <c r="BE82" s="187"/>
      <c r="BF82" s="187"/>
      <c r="BG82" s="102" t="str">
        <f>SUBSTITUTE(SUBSTITUTE(ADDRESS(1,MATCH("おやつ",'数出表_Excel（アレルギー入力）'!$3:$3,0)),1,""),"$","")</f>
        <v>AL</v>
      </c>
      <c r="BJ82" s="92"/>
      <c r="BK82" s="187"/>
      <c r="BL82" s="187"/>
      <c r="BM82" s="187"/>
      <c r="BN82" s="187"/>
      <c r="BO82" s="102" t="str">
        <f>SUBSTITUTE(SUBSTITUTE(ADDRESS(1,MATCH("おやつ",'数出表_Excel（アレルギー入力）'!$3:$3,0)),1,""),"$","")</f>
        <v>AL</v>
      </c>
      <c r="BQ82" s="92"/>
      <c r="BR82" s="187"/>
      <c r="BS82" s="187"/>
      <c r="BT82" s="187"/>
      <c r="BU82" s="187"/>
      <c r="BV82" s="102" t="str">
        <f>SUBSTITUTE(SUBSTITUTE(ADDRESS(1,MATCH("おやつ",'数出表_Excel（アレルギー入力）'!$3:$3,0)),1,""),"$","")</f>
        <v>AL</v>
      </c>
      <c r="BY82" s="92"/>
      <c r="BZ82" s="187"/>
      <c r="CA82" s="187"/>
      <c r="CB82" s="187"/>
      <c r="CC82" s="187"/>
      <c r="CD82" s="102" t="str">
        <f>SUBSTITUTE(SUBSTITUTE(ADDRESS(1,MATCH("おやつ",'数出表_Excel（アレルギー入力）'!$3:$3,0)),1,""),"$","")</f>
        <v>AL</v>
      </c>
      <c r="CF82" s="92"/>
      <c r="CG82" s="187"/>
      <c r="CH82" s="187"/>
      <c r="CI82" s="187"/>
      <c r="CJ82" s="187"/>
      <c r="CK82" s="102" t="str">
        <f>SUBSTITUTE(SUBSTITUTE(ADDRESS(1,MATCH("おやつ",'数出表_Excel（アレルギー入力）'!$3:$3,0)),1,""),"$","")</f>
        <v>AL</v>
      </c>
      <c r="CN82" s="92"/>
      <c r="CO82" s="187"/>
      <c r="CP82" s="187"/>
      <c r="CQ82" s="187"/>
      <c r="CR82" s="187"/>
      <c r="CS82" s="102" t="str">
        <f>SUBSTITUTE(SUBSTITUTE(ADDRESS(1,MATCH("おやつ",'数出表_Excel（アレルギー入力）'!$3:$3,0)),1,""),"$","")</f>
        <v>AL</v>
      </c>
      <c r="CU82" s="92"/>
      <c r="CV82" s="187"/>
      <c r="CW82" s="187"/>
      <c r="CX82" s="187"/>
      <c r="CY82" s="187"/>
      <c r="CZ82" s="102" t="str">
        <f>SUBSTITUTE(SUBSTITUTE(ADDRESS(1,MATCH("おやつ",'数出表_Excel（アレルギー入力）'!$3:$3,0)),1,""),"$","")</f>
        <v>AL</v>
      </c>
      <c r="DC82" s="92"/>
      <c r="DD82" s="187"/>
      <c r="DE82" s="187"/>
      <c r="DF82" s="187"/>
      <c r="DG82" s="187"/>
      <c r="DH82" s="102" t="str">
        <f>SUBSTITUTE(SUBSTITUTE(ADDRESS(1,MATCH("おやつ",'数出表_Excel（アレルギー入力）'!$3:$3,0)),1,""),"$","")</f>
        <v>AL</v>
      </c>
      <c r="DJ82" s="92"/>
      <c r="DK82" s="187"/>
      <c r="DL82" s="187"/>
      <c r="DM82" s="187"/>
      <c r="DN82" s="187"/>
      <c r="DO82" s="102" t="str">
        <f>SUBSTITUTE(SUBSTITUTE(ADDRESS(1,MATCH("おやつ",'数出表_Excel（アレルギー入力）'!$3:$3,0)),1,""),"$","")</f>
        <v>AL</v>
      </c>
      <c r="DR82" s="92"/>
      <c r="DS82" s="187"/>
      <c r="DT82" s="187"/>
      <c r="DU82" s="187"/>
      <c r="DV82" s="187"/>
      <c r="DW82" s="102" t="str">
        <f>SUBSTITUTE(SUBSTITUTE(ADDRESS(1,MATCH("おやつ",'数出表_Excel（アレルギー入力）'!$3:$3,0)),1,""),"$","")</f>
        <v>AL</v>
      </c>
      <c r="DY82" s="92"/>
      <c r="DZ82" s="187"/>
      <c r="EA82" s="187"/>
      <c r="EB82" s="187"/>
      <c r="EC82" s="187"/>
      <c r="ED82" s="102" t="str">
        <f>SUBSTITUTE(SUBSTITUTE(ADDRESS(1,MATCH("おやつ",'数出表_Excel（アレルギー入力）'!$3:$3,0)),1,""),"$","")</f>
        <v>AL</v>
      </c>
      <c r="EG82" s="92"/>
      <c r="EH82" s="187"/>
      <c r="EI82" s="187"/>
      <c r="EJ82" s="187"/>
      <c r="EK82" s="187"/>
      <c r="EL82" s="102" t="str">
        <f>SUBSTITUTE(SUBSTITUTE(ADDRESS(1,MATCH("おやつ",'数出表_Excel（アレルギー入力）'!$3:$3,0)),1,""),"$","")</f>
        <v>AL</v>
      </c>
      <c r="EN82" s="92"/>
      <c r="EO82" s="187"/>
      <c r="EP82" s="187"/>
      <c r="EQ82" s="187"/>
      <c r="ER82" s="187"/>
      <c r="ES82" s="102" t="str">
        <f>SUBSTITUTE(SUBSTITUTE(ADDRESS(1,MATCH("おやつ",'数出表_Excel（アレルギー入力）'!$3:$3,0)),1,""),"$","")</f>
        <v>AL</v>
      </c>
      <c r="ET82" s="110"/>
      <c r="EU82" s="82">
        <f t="shared" si="6"/>
        <v>56</v>
      </c>
      <c r="EV82" s="82" t="str">
        <f t="array" aca="1" ref="EV82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LEN(SUBSTITUTE(_xlfn.FORMULATEXT(EV$73),"=","")))+$EU82)</f>
        <v/>
      </c>
      <c r="EW82" s="82" t="str">
        <f t="array" aca="1" ref="EW82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LEN(SUBSTITUTE(_xlfn.FORMULATEXT(EW$73),"=","")))+$EU82)</f>
        <v/>
      </c>
      <c r="EX82" s="82" t="str">
        <f t="array" aca="1" ref="EX82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LEN(SUBSTITUTE(_xlfn.FORMULATEXT(EX$73),"=","")))+$EU82)</f>
        <v/>
      </c>
      <c r="EY82" s="82" t="str">
        <f t="array" aca="1" ref="EY82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LEN(SUBSTITUTE(_xlfn.FORMULATEXT(EY$73),"=","")))+$EU82)</f>
        <v/>
      </c>
      <c r="EZ82" s="82" t="str">
        <f t="array" aca="1" ref="EZ82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LEN(SUBSTITUTE(_xlfn.FORMULATEXT(EZ$73),"=","")))+$EU82)</f>
        <v/>
      </c>
      <c r="FA82" s="82" t="str">
        <f t="array" aca="1" ref="FA82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LEN(SUBSTITUTE(_xlfn.FORMULATEXT(FA$73),"=","")))+$EU82)</f>
        <v/>
      </c>
      <c r="FB82" s="82" t="str">
        <f t="array" aca="1" ref="FB82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LEN(SUBSTITUTE(_xlfn.FORMULATEXT(FB$73),"=","")))+$EU82)</f>
        <v/>
      </c>
      <c r="FC82" s="82" t="str">
        <f t="array" aca="1" ref="FC82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LEN(SUBSTITUTE(_xlfn.FORMULATEXT(FC$73),"=","")))+$EU82)</f>
        <v/>
      </c>
      <c r="FD82" s="82" t="str">
        <f t="array" aca="1" ref="FD82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LEN(SUBSTITUTE(_xlfn.FORMULATEXT(FD$73),"=","")))+$EU82)</f>
        <v/>
      </c>
      <c r="FE82" s="82" t="str">
        <f t="array" aca="1" ref="FE82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LEN(SUBSTITUTE(_xlfn.FORMULATEXT(FE$73),"=","")))+$EU82)</f>
        <v/>
      </c>
      <c r="FF82" s="82" t="str">
        <f t="array" aca="1" ref="FF82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LEN(SUBSTITUTE(_xlfn.FORMULATEXT(FF$73),"=","")))+$EU82)</f>
        <v/>
      </c>
      <c r="FG82" s="82">
        <f t="shared" ca="1" si="5"/>
        <v>0</v>
      </c>
      <c r="FH82" s="82" t="b">
        <f t="array" aca="1" ref="FH82" ca="1">SUMPRODUCT((LEN(EV82:FF82)&gt;0)*1)&gt;0</f>
        <v>0</v>
      </c>
      <c r="FI82" s="82" t="str">
        <f t="array" aca="1" ref="FI82" ca="1">IFERROR(SMALL(IF(FG$1:FG$173&lt;&gt;0,FG$1:FG$173),ROW(A82)),"")</f>
        <v/>
      </c>
      <c r="FJ82" s="82" t="str">
        <f t="array" aca="1" ref="FJ82" ca="1">IF($FI82&lt;&gt;"",
INDIRECT(""&amp;IF(COLUMN(EV82)&lt;=26,CHAR(COLUMN(EV82)+64),CHAR(INT((COLUMN(EV82)-1)/26)+64)&amp;CHAR(MOD(COLUMN(EV82)-1,26)+65))&amp;$FI82&amp;""),"")</f>
        <v/>
      </c>
      <c r="FK82" s="82" t="str">
        <f t="array" aca="1" ref="FK82" ca="1">IF($FI82&lt;&gt;"",
INDIRECT(""&amp;IF(COLUMN(EW82)&lt;=26,CHAR(COLUMN(EW82)+64),CHAR(INT((COLUMN(EW82)-1)/26)+64)&amp;CHAR(MOD(COLUMN(EW82)-1,26)+65))&amp;$FI82&amp;""),"")</f>
        <v/>
      </c>
      <c r="FL82" s="82" t="str">
        <f t="array" aca="1" ref="FL82" ca="1">IF($FI82&lt;&gt;"",
INDIRECT(""&amp;IF(COLUMN(EX82)&lt;=26,CHAR(COLUMN(EX82)+64),CHAR(INT((COLUMN(EX82)-1)/26)+64)&amp;CHAR(MOD(COLUMN(EX82)-1,26)+65))&amp;$FI82&amp;""),"")</f>
        <v/>
      </c>
      <c r="FM82" s="82" t="str">
        <f t="array" aca="1" ref="FM82" ca="1">IF($FI82&lt;&gt;"",
IF(FL82="",
IF(INDIRECT("EY"&amp;$FI82&amp;"")&lt;&gt;"",
INDIRECT("EY"&amp;$FI82&amp;"")&amp;"箱"
&amp;INDIRECT("EZ"&amp;$FI82&amp;""),""),""),"")</f>
        <v/>
      </c>
      <c r="FN82" s="82" t="str">
        <f t="array" aca="1" ref="FN82" ca="1">IF($FI82&lt;&gt;"",
INDIRECT(""&amp;IF(COLUMN(FA82)&lt;=26,CHAR(COLUMN(FA82)+64),CHAR(INT((COLUMN(FA82)-1)/26)+64)&amp;CHAR(MOD(COLUMN(FA82)-1,26)+65))&amp;$FI82&amp;""),"")</f>
        <v/>
      </c>
      <c r="FO82" s="82" t="str">
        <f t="array" aca="1" ref="FO82" ca="1">IF($FI82&lt;&gt;"",
INDIRECT(""&amp;IF(COLUMN(FB82)&lt;=26,CHAR(COLUMN(FB82)+64),CHAR(INT((COLUMN(FB82)-1)/26)+64)&amp;CHAR(MOD(COLUMN(FB82)-1,26)+65))&amp;$FI82&amp;""),"")</f>
        <v/>
      </c>
      <c r="FP82" s="82" t="str">
        <f t="array" aca="1" ref="FP82" ca="1">IF($FI82&lt;&gt;"",
INDIRECT(""&amp;IF(COLUMN(FC82)&lt;=26,CHAR(COLUMN(FC82)+64),CHAR(INT((COLUMN(FC82)-1)/26)+64)&amp;CHAR(MOD(COLUMN(FC82)-1,26)+65))&amp;$FI82&amp;""),"")</f>
        <v/>
      </c>
      <c r="FQ82" s="82" t="str">
        <f t="array" aca="1" ref="FQ82" ca="1">IF($FI82&lt;&gt;"",
INDIRECT(""&amp;IF(COLUMN(FD82)&lt;=26,CHAR(COLUMN(FD82)+64),CHAR(INT((COLUMN(FD82)-1)/26)+64)&amp;CHAR(MOD(COLUMN(FD82)-1,26)+65))&amp;$FI82&amp;""),"")</f>
        <v/>
      </c>
      <c r="FR82" s="82" t="str">
        <f t="array" aca="1" ref="FR82" ca="1">IF($FI82&lt;&gt;"",
INDIRECT(""&amp;IF(COLUMN(FE82)&lt;=26,CHAR(COLUMN(FE82)+64),CHAR(INT((COLUMN(FE82)-1)/26)+64)&amp;CHAR(MOD(COLUMN(FE82)-1,26)+65))&amp;$FI82&amp;""),"")</f>
        <v/>
      </c>
      <c r="FS82" s="82" t="str">
        <f t="array" aca="1" ref="FS82" ca="1">IF($FI82&lt;&gt;"",
INDIRECT(""&amp;IF(COLUMN(FF82)&lt;=26,CHAR(COLUMN(FF82)+64),CHAR(INT((COLUMN(FF82)-1)/26)+64)&amp;CHAR(MOD(COLUMN(FF82)-1,26)+65))&amp;$FI82&amp;""),"")</f>
        <v/>
      </c>
    </row>
    <row r="83" spans="1:175" s="82" customFormat="1" ht="22.2" customHeight="1" x14ac:dyDescent="0.55000000000000004">
      <c r="A83" s="80"/>
      <c r="B83" s="93" t="str">
        <f ca="1">IF(C81&lt;&gt;"","パン箱","")</f>
        <v/>
      </c>
      <c r="C83" s="94" t="str">
        <f ca="1">IF(C81&lt;&gt;"",IF(OR(COUNTIF('盛付札（関数）'!C79,"*キャラ*"),COUNTIF('盛付札（関数）'!C79,"*赤*")),24,
VLOOKUP('盛付札（関数）'!C79,商品マスタ一覧!$D:$I,6,FALSE)),"")</f>
        <v/>
      </c>
      <c r="D83" s="93" t="str">
        <f ca="1">IF(C81&lt;&gt;"","　端数","")</f>
        <v/>
      </c>
      <c r="E83" s="94"/>
      <c r="F83" s="93" t="str">
        <f ca="1">IF(C81&lt;&gt;"","アレルギー","")</f>
        <v/>
      </c>
      <c r="G83" s="101"/>
      <c r="H83" s="80"/>
      <c r="I83" s="93" t="str">
        <f ca="1">IF(J81&lt;&gt;"","パン箱","")</f>
        <v/>
      </c>
      <c r="J83" s="94" t="str">
        <f ca="1">IF(J81&lt;&gt;"",IF(OR(COUNTIF('盛付札（関数）'!J79,"*キャラ*"),COUNTIF('盛付札（関数）'!J79,"*赤*")),24,
VLOOKUP('盛付札（関数）'!J79,商品マスタ一覧!$D:$I,6,FALSE)),"")</f>
        <v/>
      </c>
      <c r="K83" s="93" t="str">
        <f ca="1">IF(J81&lt;&gt;"","　端数","")</f>
        <v/>
      </c>
      <c r="L83" s="94"/>
      <c r="M83" s="93" t="str">
        <f ca="1">IF(J81&lt;&gt;"","アレルギー","")</f>
        <v/>
      </c>
      <c r="N83" s="97"/>
      <c r="O83" s="80"/>
      <c r="P83" s="80"/>
      <c r="Q83" s="93" t="str">
        <f ca="1">IF(R81&lt;&gt;"","パン箱","")</f>
        <v/>
      </c>
      <c r="R83" s="94" t="str">
        <f ca="1">IF(R81&lt;&gt;"",IF(OR(COUNTIF('盛付札（関数）'!R79,"*キャラ*"),COUNTIF('盛付札（関数）'!R79,"*赤*")),24,
VLOOKUP('盛付札（関数）'!R79,商品マスタ一覧!$D:$I,6,FALSE)),"")</f>
        <v/>
      </c>
      <c r="S83" s="93" t="str">
        <f ca="1">IF(R81&lt;&gt;"","　端数","")</f>
        <v/>
      </c>
      <c r="T83" s="94"/>
      <c r="U83" s="93" t="str">
        <f ca="1">IF(R81&lt;&gt;"","アレルギー","")</f>
        <v/>
      </c>
      <c r="V83" s="101"/>
      <c r="W83" s="80"/>
      <c r="X83" s="93" t="str">
        <f ca="1">IF(Y81&lt;&gt;"","パン箱","")</f>
        <v/>
      </c>
      <c r="Y83" s="94" t="str">
        <f ca="1">IF(Y81&lt;&gt;"",IF(OR(COUNTIF('盛付札（関数）'!Y79,"*キャラ*"),COUNTIF('盛付札（関数）'!Y79,"*赤*")),24,
VLOOKUP('盛付札（関数）'!Y79,商品マスタ一覧!$D:$I,6,FALSE)),"")</f>
        <v/>
      </c>
      <c r="Z83" s="93" t="str">
        <f ca="1">IF(Y81&lt;&gt;"","　端数","")</f>
        <v/>
      </c>
      <c r="AA83" s="94"/>
      <c r="AB83" s="93" t="str">
        <f ca="1">IF(Y81&lt;&gt;"","アレルギー","")</f>
        <v/>
      </c>
      <c r="AC83" s="97"/>
      <c r="AD83" s="80"/>
      <c r="AE83" s="80"/>
      <c r="AF83" s="93" t="str">
        <f ca="1">IF(AG81&lt;&gt;"","パン箱","")</f>
        <v/>
      </c>
      <c r="AG83" s="94" t="str">
        <f ca="1">IF(AG81&lt;&gt;"",IF(OR(COUNTIF('盛付札（関数）'!AG79,"*キャラ*"),COUNTIF('盛付札（関数）'!AG79,"*赤*")),24,
VLOOKUP('盛付札（関数）'!AG79,商品マスタ一覧!$D:$I,6,FALSE)),"")</f>
        <v/>
      </c>
      <c r="AH83" s="93" t="str">
        <f ca="1">IF(AG81&lt;&gt;"","　端数","")</f>
        <v/>
      </c>
      <c r="AI83" s="94"/>
      <c r="AJ83" s="93" t="str">
        <f ca="1">IF(AG81&lt;&gt;"","アレルギー","")</f>
        <v/>
      </c>
      <c r="AK83" s="101"/>
      <c r="AL83" s="80"/>
      <c r="AM83" s="93" t="str">
        <f ca="1">IF(AN81&lt;&gt;"","パン箱","")</f>
        <v/>
      </c>
      <c r="AN83" s="94" t="str">
        <f ca="1">IF(AN81&lt;&gt;"",IF(OR(COUNTIF('盛付札（関数）'!AN79,"*キャラ*"),COUNTIF('盛付札（関数）'!AN79,"*赤*")),24,
VLOOKUP('盛付札（関数）'!AN79,商品マスタ一覧!$D:$I,6,FALSE)),"")</f>
        <v/>
      </c>
      <c r="AO83" s="93" t="str">
        <f ca="1">IF(AN81&lt;&gt;"","　端数","")</f>
        <v/>
      </c>
      <c r="AP83" s="94"/>
      <c r="AQ83" s="93" t="str">
        <f ca="1">IF(AN81&lt;&gt;"","アレルギー","")</f>
        <v/>
      </c>
      <c r="AR83" s="97"/>
      <c r="AS83" s="80"/>
      <c r="AT83" s="80"/>
      <c r="AU83" s="93" t="str">
        <f ca="1">IF(AV81&lt;&gt;"","パン箱","")</f>
        <v/>
      </c>
      <c r="AV83" s="94" t="str">
        <f ca="1">IF(AV81&lt;&gt;"",IF(OR(COUNTIF('盛付札（関数）'!AV79,"*キャラ*"),COUNTIF('盛付札（関数）'!AV79,"*赤*")),24,
VLOOKUP('盛付札（関数）'!AV79,商品マスタ一覧!$D:$I,6,FALSE)),"")</f>
        <v/>
      </c>
      <c r="AW83" s="93" t="str">
        <f ca="1">IF(AV81&lt;&gt;"","　端数","")</f>
        <v/>
      </c>
      <c r="AX83" s="94"/>
      <c r="AY83" s="93" t="str">
        <f ca="1">IF(AV81&lt;&gt;"","アレルギー","")</f>
        <v/>
      </c>
      <c r="AZ83" s="101"/>
      <c r="BA83" s="80"/>
      <c r="BB83" s="93" t="str">
        <f ca="1">IF(BC81&lt;&gt;"","パン箱","")</f>
        <v/>
      </c>
      <c r="BC83" s="94" t="str">
        <f ca="1">IF(BC81&lt;&gt;"",IF(OR(COUNTIF('盛付札（関数）'!BC79,"*キャラ*"),COUNTIF('盛付札（関数）'!BC79,"*赤*")),24,
VLOOKUP('盛付札（関数）'!BC79,商品マスタ一覧!$D:$I,6,FALSE)),"")</f>
        <v/>
      </c>
      <c r="BD83" s="93" t="str">
        <f ca="1">IF(BC81&lt;&gt;"","　端数","")</f>
        <v/>
      </c>
      <c r="BE83" s="94"/>
      <c r="BF83" s="93" t="str">
        <f ca="1">IF(BC81&lt;&gt;"","アレルギー","")</f>
        <v/>
      </c>
      <c r="BG83" s="97"/>
      <c r="BH83" s="80"/>
      <c r="BI83" s="80"/>
      <c r="BJ83" s="93" t="str">
        <f ca="1">IF(BK81&lt;&gt;"","パン箱","")</f>
        <v/>
      </c>
      <c r="BK83" s="94" t="str">
        <f ca="1">IF(BK81&lt;&gt;"",IF(OR(COUNTIF('盛付札（関数）'!BK79,"*キャラ*"),COUNTIF('盛付札（関数）'!BK79,"*赤*")),24,
VLOOKUP('盛付札（関数）'!BK79,商品マスタ一覧!$D:$I,6,FALSE)),"")</f>
        <v/>
      </c>
      <c r="BL83" s="93" t="str">
        <f ca="1">IF(BK81&lt;&gt;"","　端数","")</f>
        <v/>
      </c>
      <c r="BM83" s="94"/>
      <c r="BN83" s="93" t="str">
        <f ca="1">IF(BK81&lt;&gt;"","アレルギー","")</f>
        <v/>
      </c>
      <c r="BO83" s="101"/>
      <c r="BP83" s="80"/>
      <c r="BQ83" s="93" t="str">
        <f ca="1">IF(BR81&lt;&gt;"","パン箱","")</f>
        <v/>
      </c>
      <c r="BR83" s="94" t="str">
        <f ca="1">IF(BR81&lt;&gt;"",IF(OR(COUNTIF('盛付札（関数）'!BR79,"*キャラ*"),COUNTIF('盛付札（関数）'!BR79,"*赤*")),24,
VLOOKUP('盛付札（関数）'!BR79,商品マスタ一覧!$D:$I,6,FALSE)),"")</f>
        <v/>
      </c>
      <c r="BS83" s="93" t="str">
        <f ca="1">IF(BR81&lt;&gt;"","　端数","")</f>
        <v/>
      </c>
      <c r="BT83" s="94"/>
      <c r="BU83" s="93" t="str">
        <f ca="1">IF(BR81&lt;&gt;"","アレルギー","")</f>
        <v/>
      </c>
      <c r="BV83" s="97"/>
      <c r="BW83" s="80"/>
      <c r="BX83" s="80"/>
      <c r="BY83" s="93" t="str">
        <f ca="1">IF(BZ81&lt;&gt;"","パン箱","")</f>
        <v/>
      </c>
      <c r="BZ83" s="94" t="str">
        <f ca="1">IF(BZ81&lt;&gt;"",IF(OR(COUNTIF('盛付札（関数）'!BZ79,"*キャラ*"),COUNTIF('盛付札（関数）'!BZ79,"*赤*")),24,
VLOOKUP('盛付札（関数）'!BZ79,商品マスタ一覧!$D:$I,6,FALSE)),"")</f>
        <v/>
      </c>
      <c r="CA83" s="93" t="str">
        <f ca="1">IF(BZ81&lt;&gt;"","　端数","")</f>
        <v/>
      </c>
      <c r="CB83" s="94"/>
      <c r="CC83" s="93" t="str">
        <f ca="1">IF(BZ81&lt;&gt;"","アレルギー","")</f>
        <v/>
      </c>
      <c r="CD83" s="101"/>
      <c r="CE83" s="80"/>
      <c r="CF83" s="93" t="str">
        <f ca="1">IF(CG81&lt;&gt;"","パン箱","")</f>
        <v/>
      </c>
      <c r="CG83" s="94" t="str">
        <f ca="1">IF(CG81&lt;&gt;"",IF(OR(COUNTIF('盛付札（関数）'!CG79,"*キャラ*"),COUNTIF('盛付札（関数）'!CG79,"*赤*")),24,
VLOOKUP('盛付札（関数）'!CG79,商品マスタ一覧!$D:$I,6,FALSE)),"")</f>
        <v/>
      </c>
      <c r="CH83" s="93" t="str">
        <f ca="1">IF(CG81&lt;&gt;"","　端数","")</f>
        <v/>
      </c>
      <c r="CI83" s="94"/>
      <c r="CJ83" s="93" t="str">
        <f ca="1">IF(CG81&lt;&gt;"","アレルギー","")</f>
        <v/>
      </c>
      <c r="CK83" s="97"/>
      <c r="CL83" s="80"/>
      <c r="CM83" s="80"/>
      <c r="CN83" s="93" t="str">
        <f ca="1">IF(CO81&lt;&gt;"","パン箱","")</f>
        <v/>
      </c>
      <c r="CO83" s="94" t="str">
        <f ca="1">IF(CO81&lt;&gt;"",IF(OR(COUNTIF('盛付札（関数）'!CO79,"*キャラ*"),COUNTIF('盛付札（関数）'!CO79,"*赤*")),24,
VLOOKUP('盛付札（関数）'!CO79,商品マスタ一覧!$D:$I,6,FALSE)),"")</f>
        <v/>
      </c>
      <c r="CP83" s="93" t="str">
        <f ca="1">IF(CO81&lt;&gt;"","　端数","")</f>
        <v/>
      </c>
      <c r="CQ83" s="94"/>
      <c r="CR83" s="93" t="str">
        <f ca="1">IF(CO81&lt;&gt;"","アレルギー","")</f>
        <v/>
      </c>
      <c r="CS83" s="101"/>
      <c r="CT83" s="80"/>
      <c r="CU83" s="93" t="str">
        <f ca="1">IF(CV81&lt;&gt;"","パン箱","")</f>
        <v/>
      </c>
      <c r="CV83" s="94" t="str">
        <f ca="1">IF(CV81&lt;&gt;"",IF(OR(COUNTIF('盛付札（関数）'!CV79,"*キャラ*"),COUNTIF('盛付札（関数）'!CV79,"*赤*")),24,
VLOOKUP('盛付札（関数）'!CV79,商品マスタ一覧!$D:$I,6,FALSE)),"")</f>
        <v/>
      </c>
      <c r="CW83" s="93" t="str">
        <f ca="1">IF(CV81&lt;&gt;"","　端数","")</f>
        <v/>
      </c>
      <c r="CX83" s="94"/>
      <c r="CY83" s="93" t="str">
        <f ca="1">IF(CV81&lt;&gt;"","アレルギー","")</f>
        <v/>
      </c>
      <c r="CZ83" s="97"/>
      <c r="DA83" s="80"/>
      <c r="DB83" s="80"/>
      <c r="DC83" s="93" t="str">
        <f ca="1">IF(DD81&lt;&gt;"","パン箱","")</f>
        <v/>
      </c>
      <c r="DD83" s="94" t="str">
        <f ca="1">IF(DD81&lt;&gt;"",IF(OR(COUNTIF('盛付札（関数）'!DD79,"*キャラ*"),COUNTIF('盛付札（関数）'!DD79,"*赤*")),24,
VLOOKUP('盛付札（関数）'!DD79,商品マスタ一覧!$D:$I,6,FALSE)),"")</f>
        <v/>
      </c>
      <c r="DE83" s="93" t="str">
        <f ca="1">IF(DD81&lt;&gt;"","　端数","")</f>
        <v/>
      </c>
      <c r="DF83" s="94"/>
      <c r="DG83" s="93" t="str">
        <f ca="1">IF(DD81&lt;&gt;"","アレルギー","")</f>
        <v/>
      </c>
      <c r="DH83" s="101"/>
      <c r="DI83" s="80"/>
      <c r="DJ83" s="93" t="str">
        <f ca="1">IF(DK81&lt;&gt;"","パン箱","")</f>
        <v/>
      </c>
      <c r="DK83" s="94" t="str">
        <f ca="1">IF(DK81&lt;&gt;"",IF(OR(COUNTIF('盛付札（関数）'!DK79,"*キャラ*"),COUNTIF('盛付札（関数）'!DK79,"*赤*")),24,
VLOOKUP('盛付札（関数）'!DK79,商品マスタ一覧!$D:$I,6,FALSE)),"")</f>
        <v/>
      </c>
      <c r="DL83" s="93" t="str">
        <f ca="1">IF(DK81&lt;&gt;"","　端数","")</f>
        <v/>
      </c>
      <c r="DM83" s="94"/>
      <c r="DN83" s="93" t="str">
        <f ca="1">IF(DK81&lt;&gt;"","アレルギー","")</f>
        <v/>
      </c>
      <c r="DO83" s="97"/>
      <c r="DP83" s="80"/>
      <c r="DQ83" s="80"/>
      <c r="DR83" s="93" t="str">
        <f ca="1">IF(DS81&lt;&gt;"","パン箱","")</f>
        <v/>
      </c>
      <c r="DS83" s="94" t="str">
        <f ca="1">IF(DS81&lt;&gt;"",IF(OR(COUNTIF('盛付札（関数）'!DS79,"*キャラ*"),COUNTIF('盛付札（関数）'!DS79,"*赤*")),24,
VLOOKUP('盛付札（関数）'!DS79,商品マスタ一覧!$D:$I,6,FALSE)),"")</f>
        <v/>
      </c>
      <c r="DT83" s="93" t="str">
        <f ca="1">IF(DS81&lt;&gt;"","　端数","")</f>
        <v/>
      </c>
      <c r="DU83" s="94"/>
      <c r="DV83" s="93" t="str">
        <f ca="1">IF(DS81&lt;&gt;"","アレルギー","")</f>
        <v/>
      </c>
      <c r="DW83" s="101"/>
      <c r="DX83" s="80"/>
      <c r="DY83" s="93" t="str">
        <f ca="1">IF(DZ81&lt;&gt;"","パン箱","")</f>
        <v/>
      </c>
      <c r="DZ83" s="94" t="str">
        <f ca="1">IF(DZ81&lt;&gt;"",IF(OR(COUNTIF('盛付札（関数）'!DZ79,"*キャラ*"),COUNTIF('盛付札（関数）'!DZ79,"*赤*")),24,
VLOOKUP('盛付札（関数）'!DZ79,商品マスタ一覧!$D:$I,6,FALSE)),"")</f>
        <v/>
      </c>
      <c r="EA83" s="93" t="str">
        <f ca="1">IF(DZ81&lt;&gt;"","　端数","")</f>
        <v/>
      </c>
      <c r="EB83" s="94"/>
      <c r="EC83" s="93" t="str">
        <f ca="1">IF(DZ81&lt;&gt;"","アレルギー","")</f>
        <v/>
      </c>
      <c r="ED83" s="97"/>
      <c r="EE83" s="80"/>
      <c r="EF83" s="80"/>
      <c r="EG83" s="93" t="str">
        <f ca="1">IF(EH81&lt;&gt;"","パン箱","")</f>
        <v/>
      </c>
      <c r="EH83" s="94" t="str">
        <f ca="1">IF(EH81&lt;&gt;"",IF(OR(COUNTIF('盛付札（関数）'!EH79,"*キャラ*"),COUNTIF('盛付札（関数）'!EH79,"*赤*")),24,
VLOOKUP('盛付札（関数）'!EH79,商品マスタ一覧!$D:$I,6,FALSE)),"")</f>
        <v/>
      </c>
      <c r="EI83" s="93" t="str">
        <f ca="1">IF(EH81&lt;&gt;"","　端数","")</f>
        <v/>
      </c>
      <c r="EJ83" s="94"/>
      <c r="EK83" s="93" t="str">
        <f ca="1">IF(EH81&lt;&gt;"","アレルギー","")</f>
        <v/>
      </c>
      <c r="EL83" s="101"/>
      <c r="EM83" s="80"/>
      <c r="EN83" s="93" t="str">
        <f ca="1">IF(EO81&lt;&gt;"","パン箱","")</f>
        <v/>
      </c>
      <c r="EO83" s="94" t="str">
        <f ca="1">IF(EO81&lt;&gt;"",IF(OR(COUNTIF('盛付札（関数）'!EO79,"*キャラ*"),COUNTIF('盛付札（関数）'!EO79,"*赤*")),24,
VLOOKUP('盛付札（関数）'!EO79,商品マスタ一覧!$D:$I,6,FALSE)),"")</f>
        <v/>
      </c>
      <c r="EP83" s="93" t="str">
        <f ca="1">IF(EO81&lt;&gt;"","　端数","")</f>
        <v/>
      </c>
      <c r="EQ83" s="94"/>
      <c r="ER83" s="93" t="str">
        <f ca="1">IF(EO81&lt;&gt;"","アレルギー","")</f>
        <v/>
      </c>
      <c r="ES83" s="97"/>
      <c r="ET83" s="110"/>
      <c r="EU83" s="91">
        <f t="shared" si="6"/>
        <v>14</v>
      </c>
      <c r="EV83" s="82" t="str">
        <f t="array" aca="1" ref="EV83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LEN(SUBSTITUTE(_xlfn.FORMULATEXT(EV$75),"=","")))+$EU83)</f>
        <v/>
      </c>
      <c r="EW83" s="82" t="str">
        <f t="array" aca="1" ref="EW83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LEN(SUBSTITUTE(_xlfn.FORMULATEXT(EW$75),"=","")))+$EU83)</f>
        <v/>
      </c>
      <c r="EX83" s="82" t="str">
        <f t="array" aca="1" ref="EX83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LEN(SUBSTITUTE(_xlfn.FORMULATEXT(EX$75),"=","")))+$EU83)</f>
        <v/>
      </c>
      <c r="EY83" s="82" t="str">
        <f t="array" aca="1" ref="EY83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LEN(SUBSTITUTE(_xlfn.FORMULATEXT(EY$75),"=","")))+$EU83)</f>
        <v/>
      </c>
      <c r="EZ83" s="82" t="str">
        <f t="array" aca="1" ref="EZ83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LEN(SUBSTITUTE(_xlfn.FORMULATEXT(EZ$75),"=","")))+$EU83)</f>
        <v/>
      </c>
      <c r="FA83" s="82" t="e">
        <f t="array" aca="1" ref="FA83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LEN(SUBSTITUTE(_xlfn.FORMULATEXT(FA$75),"=","")))+$EU83)</f>
        <v>#VALUE!</v>
      </c>
      <c r="FB83" s="82" t="str">
        <f t="array" aca="1" ref="FB83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LEN(SUBSTITUTE(_xlfn.FORMULATEXT(FB$75),"=","")))+$EU83)</f>
        <v/>
      </c>
      <c r="FC83" s="82" t="str">
        <f t="array" aca="1" ref="FC83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LEN(SUBSTITUTE(_xlfn.FORMULATEXT(FC$75),"=","")))+$EU83)</f>
        <v/>
      </c>
      <c r="FD83" s="82" t="e">
        <f t="array" aca="1" ref="FD83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LEN(SUBSTITUTE(_xlfn.FORMULATEXT(FD$75),"=","")))+$EU83)</f>
        <v>#VALUE!</v>
      </c>
      <c r="FE83" s="82" t="str">
        <f t="array" aca="1" ref="FE83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LEN(SUBSTITUTE(_xlfn.FORMULATEXT(FE$75),"=","")))+$EU83)</f>
        <v/>
      </c>
      <c r="FF83" s="82" t="e">
        <f t="array" aca="1" ref="FF83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LEN(SUBSTITUTE(_xlfn.FORMULATEXT(FF$75),"=","")))+$EU83)</f>
        <v>#N/A</v>
      </c>
      <c r="FG83" s="82">
        <f t="shared" ca="1" si="5"/>
        <v>0</v>
      </c>
      <c r="FH83" s="82" t="e">
        <f t="array" aca="1" ref="FH83" ca="1">SUMPRODUCT((LEN(EV83:FF83)&gt;0)*1)&gt;0</f>
        <v>#VALUE!</v>
      </c>
      <c r="FI83" s="82" t="str">
        <f t="array" aca="1" ref="FI83" ca="1">IFERROR(SMALL(IF(FG$1:FG$173&lt;&gt;0,FG$1:FG$173),ROW(A83)),"")</f>
        <v/>
      </c>
      <c r="FJ83" s="82" t="str">
        <f t="array" aca="1" ref="FJ83" ca="1">IF($FI83&lt;&gt;"",
INDIRECT(""&amp;IF(COLUMN(EV83)&lt;=26,CHAR(COLUMN(EV83)+64),CHAR(INT((COLUMN(EV83)-1)/26)+64)&amp;CHAR(MOD(COLUMN(EV83)-1,26)+65))&amp;$FI83&amp;""),"")</f>
        <v/>
      </c>
      <c r="FK83" s="82" t="str">
        <f t="array" aca="1" ref="FK83" ca="1">IF($FI83&lt;&gt;"",
INDIRECT(""&amp;IF(COLUMN(EW83)&lt;=26,CHAR(COLUMN(EW83)+64),CHAR(INT((COLUMN(EW83)-1)/26)+64)&amp;CHAR(MOD(COLUMN(EW83)-1,26)+65))&amp;$FI83&amp;""),"")</f>
        <v/>
      </c>
      <c r="FL83" s="82" t="str">
        <f t="array" aca="1" ref="FL83" ca="1">IF($FI83&lt;&gt;"",
INDIRECT(""&amp;IF(COLUMN(EX83)&lt;=26,CHAR(COLUMN(EX83)+64),CHAR(INT((COLUMN(EX83)-1)/26)+64)&amp;CHAR(MOD(COLUMN(EX83)-1,26)+65))&amp;$FI83&amp;""),"")</f>
        <v/>
      </c>
      <c r="FM83" s="82" t="str">
        <f t="array" aca="1" ref="FM83" ca="1">IF($FI83&lt;&gt;"",
IF(FL83="",
IF(INDIRECT("EY"&amp;$FI83&amp;"")&lt;&gt;"",
INDIRECT("EY"&amp;$FI83&amp;"")&amp;"箱"
&amp;INDIRECT("EZ"&amp;$FI83&amp;""),""),""),"")</f>
        <v/>
      </c>
      <c r="FN83" s="82" t="str">
        <f t="array" aca="1" ref="FN83" ca="1">IF($FI83&lt;&gt;"",
INDIRECT(""&amp;IF(COLUMN(FA83)&lt;=26,CHAR(COLUMN(FA83)+64),CHAR(INT((COLUMN(FA83)-1)/26)+64)&amp;CHAR(MOD(COLUMN(FA83)-1,26)+65))&amp;$FI83&amp;""),"")</f>
        <v/>
      </c>
      <c r="FO83" s="82" t="str">
        <f t="array" aca="1" ref="FO83" ca="1">IF($FI83&lt;&gt;"",
INDIRECT(""&amp;IF(COLUMN(FB83)&lt;=26,CHAR(COLUMN(FB83)+64),CHAR(INT((COLUMN(FB83)-1)/26)+64)&amp;CHAR(MOD(COLUMN(FB83)-1,26)+65))&amp;$FI83&amp;""),"")</f>
        <v/>
      </c>
      <c r="FP83" s="82" t="str">
        <f t="array" aca="1" ref="FP83" ca="1">IF($FI83&lt;&gt;"",
INDIRECT(""&amp;IF(COLUMN(FC83)&lt;=26,CHAR(COLUMN(FC83)+64),CHAR(INT((COLUMN(FC83)-1)/26)+64)&amp;CHAR(MOD(COLUMN(FC83)-1,26)+65))&amp;$FI83&amp;""),"")</f>
        <v/>
      </c>
      <c r="FQ83" s="82" t="str">
        <f t="array" aca="1" ref="FQ83" ca="1">IF($FI83&lt;&gt;"",
INDIRECT(""&amp;IF(COLUMN(FD83)&lt;=26,CHAR(COLUMN(FD83)+64),CHAR(INT((COLUMN(FD83)-1)/26)+64)&amp;CHAR(MOD(COLUMN(FD83)-1,26)+65))&amp;$FI83&amp;""),"")</f>
        <v/>
      </c>
      <c r="FR83" s="82" t="str">
        <f t="array" aca="1" ref="FR83" ca="1">IF($FI83&lt;&gt;"",
INDIRECT(""&amp;IF(COLUMN(FE83)&lt;=26,CHAR(COLUMN(FE83)+64),CHAR(INT((COLUMN(FE83)-1)/26)+64)&amp;CHAR(MOD(COLUMN(FE83)-1,26)+65))&amp;$FI83&amp;""),"")</f>
        <v/>
      </c>
      <c r="FS83" s="82" t="str">
        <f t="array" aca="1" ref="FS83" ca="1">IF($FI83&lt;&gt;"",
INDIRECT(""&amp;IF(COLUMN(FF83)&lt;=26,CHAR(COLUMN(FF83)+64),CHAR(INT((COLUMN(FF83)-1)/26)+64)&amp;CHAR(MOD(COLUMN(FF83)-1,26)+65))&amp;$FI83&amp;""),"")</f>
        <v/>
      </c>
    </row>
    <row r="84" spans="1:175" ht="21" customHeight="1" x14ac:dyDescent="0.45">
      <c r="B84" s="196" t="str">
        <f ca="1">IF(C81&lt;&gt;"",
IFERROR(INT(C81/C83),""),"")</f>
        <v/>
      </c>
      <c r="C84" s="195"/>
      <c r="D84" s="196" t="str">
        <f ca="1">IFERROR(MOD(C81,C83),"")</f>
        <v/>
      </c>
      <c r="E84" s="195"/>
      <c r="F84" s="194" t="str">
        <f ca="1">IF(C78&lt;&gt;"",G80+G81,"")</f>
        <v/>
      </c>
      <c r="G84" s="195"/>
      <c r="I84" s="196" t="str">
        <f ca="1">IF(J81&lt;&gt;"",
IFERROR(INT(J81/J83),""),"")</f>
        <v/>
      </c>
      <c r="J84" s="195"/>
      <c r="K84" s="196" t="str">
        <f ca="1">IFERROR(MOD(J81,J83),"")</f>
        <v/>
      </c>
      <c r="L84" s="195"/>
      <c r="M84" s="194" t="str">
        <f ca="1">IF(J78&lt;&gt;"",N80+N81,"")</f>
        <v/>
      </c>
      <c r="N84" s="195"/>
      <c r="Q84" s="196" t="str">
        <f ca="1">IF(R81&lt;&gt;"",
IFERROR(INT(R81/R83),""),"")</f>
        <v/>
      </c>
      <c r="R84" s="195"/>
      <c r="S84" s="196" t="str">
        <f ca="1">IFERROR(MOD(R81,R83),"")</f>
        <v/>
      </c>
      <c r="T84" s="195"/>
      <c r="U84" s="194" t="str">
        <f ca="1">IF(R78&lt;&gt;"",V80+V81,"")</f>
        <v/>
      </c>
      <c r="V84" s="195"/>
      <c r="X84" s="196" t="str">
        <f ca="1">IF(Y81&lt;&gt;"",
IFERROR(INT(Y81/Y83),""),"")</f>
        <v/>
      </c>
      <c r="Y84" s="195"/>
      <c r="Z84" s="196" t="str">
        <f ca="1">IFERROR(MOD(Y81,Y83),"")</f>
        <v/>
      </c>
      <c r="AA84" s="195"/>
      <c r="AB84" s="194" t="str">
        <f ca="1">IF(Y78&lt;&gt;"",AC80+AC81,"")</f>
        <v/>
      </c>
      <c r="AC84" s="195"/>
      <c r="AF84" s="196" t="str">
        <f ca="1">IF(AG81&lt;&gt;"",
IFERROR(INT(AG81/AG83),""),"")</f>
        <v/>
      </c>
      <c r="AG84" s="195"/>
      <c r="AH84" s="196" t="str">
        <f ca="1">IFERROR(MOD(AG81,AG83),"")</f>
        <v/>
      </c>
      <c r="AI84" s="195"/>
      <c r="AJ84" s="194" t="str">
        <f ca="1">IF(AG78&lt;&gt;"",AK80+AK81,"")</f>
        <v/>
      </c>
      <c r="AK84" s="195"/>
      <c r="AM84" s="196" t="str">
        <f ca="1">IF(AN81&lt;&gt;"",
IFERROR(INT(AN81/AN83),""),"")</f>
        <v/>
      </c>
      <c r="AN84" s="195"/>
      <c r="AO84" s="196" t="str">
        <f ca="1">IFERROR(MOD(AN81,AN83),"")</f>
        <v/>
      </c>
      <c r="AP84" s="195"/>
      <c r="AQ84" s="194" t="str">
        <f ca="1">IF(AN78&lt;&gt;"",AR80+AR81,"")</f>
        <v/>
      </c>
      <c r="AR84" s="195"/>
      <c r="AU84" s="196" t="str">
        <f ca="1">IF(AV81&lt;&gt;"",
IFERROR(INT(AV81/AV83),""),"")</f>
        <v/>
      </c>
      <c r="AV84" s="195"/>
      <c r="AW84" s="196" t="str">
        <f ca="1">IFERROR(MOD(AV81,AV83),"")</f>
        <v/>
      </c>
      <c r="AX84" s="195"/>
      <c r="AY84" s="194" t="str">
        <f ca="1">IF(AV78&lt;&gt;"",AZ80+AZ81,"")</f>
        <v/>
      </c>
      <c r="AZ84" s="195"/>
      <c r="BB84" s="196" t="str">
        <f ca="1">IF(BC81&lt;&gt;"",
IFERROR(INT(BC81/BC83),""),"")</f>
        <v/>
      </c>
      <c r="BC84" s="195"/>
      <c r="BD84" s="196" t="str">
        <f ca="1">IFERROR(MOD(BC81,BC83),"")</f>
        <v/>
      </c>
      <c r="BE84" s="195"/>
      <c r="BF84" s="194" t="str">
        <f ca="1">IF(BC78&lt;&gt;"",BG80+BG81,"")</f>
        <v/>
      </c>
      <c r="BG84" s="195"/>
      <c r="BJ84" s="196" t="str">
        <f ca="1">IF(BK81&lt;&gt;"",
IFERROR(INT(BK81/BK83),""),"")</f>
        <v/>
      </c>
      <c r="BK84" s="195"/>
      <c r="BL84" s="196" t="str">
        <f ca="1">IFERROR(MOD(BK81,BK83),"")</f>
        <v/>
      </c>
      <c r="BM84" s="195"/>
      <c r="BN84" s="194" t="str">
        <f ca="1">IF(BK78&lt;&gt;"",BO80+BO81,"")</f>
        <v/>
      </c>
      <c r="BO84" s="195"/>
      <c r="BQ84" s="196" t="str">
        <f ca="1">IF(BR81&lt;&gt;"",
IFERROR(INT(BR81/BR83),""),"")</f>
        <v/>
      </c>
      <c r="BR84" s="195"/>
      <c r="BS84" s="196" t="str">
        <f ca="1">IFERROR(MOD(BR81,BR83),"")</f>
        <v/>
      </c>
      <c r="BT84" s="195"/>
      <c r="BU84" s="194" t="str">
        <f ca="1">IF(BR78&lt;&gt;"",BV80+BV81,"")</f>
        <v/>
      </c>
      <c r="BV84" s="195"/>
      <c r="BY84" s="196" t="str">
        <f ca="1">IF(BZ81&lt;&gt;"",
IFERROR(INT(BZ81/BZ83),""),"")</f>
        <v/>
      </c>
      <c r="BZ84" s="195"/>
      <c r="CA84" s="196" t="str">
        <f ca="1">IFERROR(MOD(BZ81,BZ83),"")</f>
        <v/>
      </c>
      <c r="CB84" s="195"/>
      <c r="CC84" s="194" t="str">
        <f ca="1">IF(BZ78&lt;&gt;"",CD80+CD81,"")</f>
        <v/>
      </c>
      <c r="CD84" s="195"/>
      <c r="CF84" s="196" t="str">
        <f ca="1">IF(CG81&lt;&gt;"",
IFERROR(INT(CG81/CG83),""),"")</f>
        <v/>
      </c>
      <c r="CG84" s="195"/>
      <c r="CH84" s="196" t="str">
        <f ca="1">IFERROR(MOD(CG81,CG83),"")</f>
        <v/>
      </c>
      <c r="CI84" s="195"/>
      <c r="CJ84" s="194" t="str">
        <f ca="1">IF(CG78&lt;&gt;"",CK80+CK81,"")</f>
        <v/>
      </c>
      <c r="CK84" s="195"/>
      <c r="CN84" s="196" t="str">
        <f ca="1">IF(CO81&lt;&gt;"",
IFERROR(INT(CO81/CO83),""),"")</f>
        <v/>
      </c>
      <c r="CO84" s="195"/>
      <c r="CP84" s="196" t="str">
        <f ca="1">IFERROR(MOD(CO81,CO83),"")</f>
        <v/>
      </c>
      <c r="CQ84" s="195"/>
      <c r="CR84" s="194" t="str">
        <f ca="1">IF(CO78&lt;&gt;"",CS80+CS81,"")</f>
        <v/>
      </c>
      <c r="CS84" s="195"/>
      <c r="CU84" s="196" t="str">
        <f ca="1">IF(CV81&lt;&gt;"",
IFERROR(INT(CV81/CV83),""),"")</f>
        <v/>
      </c>
      <c r="CV84" s="195"/>
      <c r="CW84" s="196" t="str">
        <f ca="1">IFERROR(MOD(CV81,CV83),"")</f>
        <v/>
      </c>
      <c r="CX84" s="195"/>
      <c r="CY84" s="194" t="str">
        <f ca="1">IF(CV78&lt;&gt;"",CZ80+CZ81,"")</f>
        <v/>
      </c>
      <c r="CZ84" s="195"/>
      <c r="DC84" s="196" t="str">
        <f ca="1">IF(DD81&lt;&gt;"",
IFERROR(INT(DD81/DD83),""),"")</f>
        <v/>
      </c>
      <c r="DD84" s="195"/>
      <c r="DE84" s="196" t="str">
        <f ca="1">IFERROR(MOD(DD81,DD83),"")</f>
        <v/>
      </c>
      <c r="DF84" s="195"/>
      <c r="DG84" s="194" t="str">
        <f ca="1">IF(DD78&lt;&gt;"",DH80+DH81,"")</f>
        <v/>
      </c>
      <c r="DH84" s="195"/>
      <c r="DJ84" s="196" t="str">
        <f ca="1">IF(DK81&lt;&gt;"",
IFERROR(INT(DK81/DK83),""),"")</f>
        <v/>
      </c>
      <c r="DK84" s="195"/>
      <c r="DL84" s="196" t="str">
        <f ca="1">IFERROR(MOD(DK81,DK83),"")</f>
        <v/>
      </c>
      <c r="DM84" s="195"/>
      <c r="DN84" s="194" t="str">
        <f ca="1">IF(DK78&lt;&gt;"",DO80+DO81,"")</f>
        <v/>
      </c>
      <c r="DO84" s="195"/>
      <c r="DR84" s="196" t="str">
        <f ca="1">IF(DS81&lt;&gt;"",
IFERROR(INT(DS81/DS83),""),"")</f>
        <v/>
      </c>
      <c r="DS84" s="195"/>
      <c r="DT84" s="196" t="str">
        <f ca="1">IFERROR(MOD(DS81,DS83),"")</f>
        <v/>
      </c>
      <c r="DU84" s="195"/>
      <c r="DV84" s="194" t="str">
        <f ca="1">IF(DS78&lt;&gt;"",DW80+DW81,"")</f>
        <v/>
      </c>
      <c r="DW84" s="195"/>
      <c r="DY84" s="196" t="str">
        <f ca="1">IF(DZ81&lt;&gt;"",
IFERROR(INT(DZ81/DZ83),""),"")</f>
        <v/>
      </c>
      <c r="DZ84" s="195"/>
      <c r="EA84" s="196" t="str">
        <f ca="1">IFERROR(MOD(DZ81,DZ83),"")</f>
        <v/>
      </c>
      <c r="EB84" s="195"/>
      <c r="EC84" s="194" t="str">
        <f ca="1">IF(DZ78&lt;&gt;"",ED80+ED81,"")</f>
        <v/>
      </c>
      <c r="ED84" s="195"/>
      <c r="EG84" s="196" t="str">
        <f ca="1">IF(EH81&lt;&gt;"",
IFERROR(INT(EH81/EH83),""),"")</f>
        <v/>
      </c>
      <c r="EH84" s="195"/>
      <c r="EI84" s="196" t="str">
        <f ca="1">IFERROR(MOD(EH81,EH83),"")</f>
        <v/>
      </c>
      <c r="EJ84" s="195"/>
      <c r="EK84" s="194" t="str">
        <f ca="1">IF(EH78&lt;&gt;"",EL80+EL81,"")</f>
        <v/>
      </c>
      <c r="EL84" s="195"/>
      <c r="EN84" s="196" t="str">
        <f ca="1">IF(EO81&lt;&gt;"",
IFERROR(INT(EO81/EO83),""),"")</f>
        <v/>
      </c>
      <c r="EO84" s="195"/>
      <c r="EP84" s="196" t="str">
        <f ca="1">IFERROR(MOD(EO81,EO83),"")</f>
        <v/>
      </c>
      <c r="EQ84" s="195"/>
      <c r="ER84" s="194" t="str">
        <f ca="1">IF(EO78&lt;&gt;"",ES80+ES81,"")</f>
        <v/>
      </c>
      <c r="ES84" s="195"/>
      <c r="ET84" s="75"/>
      <c r="EU84" s="82">
        <f t="shared" si="6"/>
        <v>56</v>
      </c>
      <c r="EV84" s="82" t="str">
        <f t="array" aca="1" ref="EV84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LEN(SUBSTITUTE(_xlfn.FORMULATEXT(EV$75),"=","")))+$EU84)</f>
        <v/>
      </c>
      <c r="EW84" s="82" t="str">
        <f t="array" aca="1" ref="EW84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LEN(SUBSTITUTE(_xlfn.FORMULATEXT(EW$75),"=","")))+$EU84)</f>
        <v/>
      </c>
      <c r="EX84" s="82" t="str">
        <f t="array" aca="1" ref="EX84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LEN(SUBSTITUTE(_xlfn.FORMULATEXT(EX$75),"=","")))+$EU84)</f>
        <v/>
      </c>
      <c r="EY84" s="82" t="str">
        <f t="array" aca="1" ref="EY84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LEN(SUBSTITUTE(_xlfn.FORMULATEXT(EY$75),"=","")))+$EU84)</f>
        <v/>
      </c>
      <c r="EZ84" s="82" t="str">
        <f t="array" aca="1" ref="EZ84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LEN(SUBSTITUTE(_xlfn.FORMULATEXT(EZ$75),"=","")))+$EU84)</f>
        <v/>
      </c>
      <c r="FA84" s="82" t="str">
        <f t="array" aca="1" ref="FA84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LEN(SUBSTITUTE(_xlfn.FORMULATEXT(FA$75),"=","")))+$EU84)</f>
        <v/>
      </c>
      <c r="FB84" s="82" t="str">
        <f t="array" aca="1" ref="FB84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LEN(SUBSTITUTE(_xlfn.FORMULATEXT(FB$75),"=","")))+$EU84)</f>
        <v/>
      </c>
      <c r="FC84" s="82" t="str">
        <f t="array" aca="1" ref="FC84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LEN(SUBSTITUTE(_xlfn.FORMULATEXT(FC$75),"=","")))+$EU84)</f>
        <v/>
      </c>
      <c r="FD84" s="82" t="str">
        <f t="array" aca="1" ref="FD84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LEN(SUBSTITUTE(_xlfn.FORMULATEXT(FD$75),"=","")))+$EU84)</f>
        <v/>
      </c>
      <c r="FE84" s="82" t="str">
        <f t="array" aca="1" ref="FE84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LEN(SUBSTITUTE(_xlfn.FORMULATEXT(FE$75),"=","")))+$EU84)</f>
        <v/>
      </c>
      <c r="FF84" s="82" t="str">
        <f t="array" aca="1" ref="FF84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LEN(SUBSTITUTE(_xlfn.FORMULATEXT(FF$75),"=","")))+$EU84)</f>
        <v/>
      </c>
      <c r="FG84" s="82">
        <f t="shared" ca="1" si="5"/>
        <v>0</v>
      </c>
      <c r="FH84" s="82" t="b">
        <f t="array" aca="1" ref="FH84" ca="1">SUMPRODUCT((LEN(EV84:FF84)&gt;0)*1)&gt;0</f>
        <v>0</v>
      </c>
      <c r="FI84" s="82" t="str">
        <f t="array" aca="1" ref="FI84" ca="1">IFERROR(SMALL(IF(FG$1:FG$173&lt;&gt;0,FG$1:FG$173),ROW(A84)),"")</f>
        <v/>
      </c>
      <c r="FJ84" s="82" t="str">
        <f t="array" aca="1" ref="FJ84" ca="1">IF($FI84&lt;&gt;"",
INDIRECT(""&amp;IF(COLUMN(EV84)&lt;=26,CHAR(COLUMN(EV84)+64),CHAR(INT((COLUMN(EV84)-1)/26)+64)&amp;CHAR(MOD(COLUMN(EV84)-1,26)+65))&amp;$FI84&amp;""),"")</f>
        <v/>
      </c>
      <c r="FK84" s="82" t="str">
        <f t="array" aca="1" ref="FK84" ca="1">IF($FI84&lt;&gt;"",
INDIRECT(""&amp;IF(COLUMN(EW84)&lt;=26,CHAR(COLUMN(EW84)+64),CHAR(INT((COLUMN(EW84)-1)/26)+64)&amp;CHAR(MOD(COLUMN(EW84)-1,26)+65))&amp;$FI84&amp;""),"")</f>
        <v/>
      </c>
      <c r="FL84" s="82" t="str">
        <f t="array" aca="1" ref="FL84" ca="1">IF($FI84&lt;&gt;"",
INDIRECT(""&amp;IF(COLUMN(EX84)&lt;=26,CHAR(COLUMN(EX84)+64),CHAR(INT((COLUMN(EX84)-1)/26)+64)&amp;CHAR(MOD(COLUMN(EX84)-1,26)+65))&amp;$FI84&amp;""),"")</f>
        <v/>
      </c>
      <c r="FM84" s="82" t="str">
        <f t="array" aca="1" ref="FM84" ca="1">IF($FI84&lt;&gt;"",
IF(FL84="",
IF(INDIRECT("EY"&amp;$FI84&amp;"")&lt;&gt;"",
INDIRECT("EY"&amp;$FI84&amp;"")&amp;"箱"
&amp;INDIRECT("EZ"&amp;$FI84&amp;""),""),""),"")</f>
        <v/>
      </c>
      <c r="FN84" s="82" t="str">
        <f t="array" aca="1" ref="FN84" ca="1">IF($FI84&lt;&gt;"",
INDIRECT(""&amp;IF(COLUMN(FA84)&lt;=26,CHAR(COLUMN(FA84)+64),CHAR(INT((COLUMN(FA84)-1)/26)+64)&amp;CHAR(MOD(COLUMN(FA84)-1,26)+65))&amp;$FI84&amp;""),"")</f>
        <v/>
      </c>
      <c r="FO84" s="82" t="str">
        <f t="array" aca="1" ref="FO84" ca="1">IF($FI84&lt;&gt;"",
INDIRECT(""&amp;IF(COLUMN(FB84)&lt;=26,CHAR(COLUMN(FB84)+64),CHAR(INT((COLUMN(FB84)-1)/26)+64)&amp;CHAR(MOD(COLUMN(FB84)-1,26)+65))&amp;$FI84&amp;""),"")</f>
        <v/>
      </c>
      <c r="FP84" s="82" t="str">
        <f t="array" aca="1" ref="FP84" ca="1">IF($FI84&lt;&gt;"",
INDIRECT(""&amp;IF(COLUMN(FC84)&lt;=26,CHAR(COLUMN(FC84)+64),CHAR(INT((COLUMN(FC84)-1)/26)+64)&amp;CHAR(MOD(COLUMN(FC84)-1,26)+65))&amp;$FI84&amp;""),"")</f>
        <v/>
      </c>
      <c r="FQ84" s="82" t="str">
        <f t="array" aca="1" ref="FQ84" ca="1">IF($FI84&lt;&gt;"",
INDIRECT(""&amp;IF(COLUMN(FD84)&lt;=26,CHAR(COLUMN(FD84)+64),CHAR(INT((COLUMN(FD84)-1)/26)+64)&amp;CHAR(MOD(COLUMN(FD84)-1,26)+65))&amp;$FI84&amp;""),"")</f>
        <v/>
      </c>
      <c r="FR84" s="82" t="str">
        <f t="array" aca="1" ref="FR84" ca="1">IF($FI84&lt;&gt;"",
INDIRECT(""&amp;IF(COLUMN(FE84)&lt;=26,CHAR(COLUMN(FE84)+64),CHAR(INT((COLUMN(FE84)-1)/26)+64)&amp;CHAR(MOD(COLUMN(FE84)-1,26)+65))&amp;$FI84&amp;""),"")</f>
        <v/>
      </c>
      <c r="FS84" s="82" t="str">
        <f t="array" aca="1" ref="FS84" ca="1">IF($FI84&lt;&gt;"",
INDIRECT(""&amp;IF(COLUMN(FF84)&lt;=26,CHAR(COLUMN(FF84)+64),CHAR(INT((COLUMN(FF84)-1)/26)+64)&amp;CHAR(MOD(COLUMN(FF84)-1,26)+65))&amp;$FI84&amp;""),"")</f>
        <v/>
      </c>
    </row>
    <row r="85" spans="1:175" ht="22.2" customHeight="1" x14ac:dyDescent="0.45">
      <c r="EU85" s="82">
        <f t="shared" si="6"/>
        <v>21</v>
      </c>
      <c r="EV85" s="82" t="str">
        <f t="array" aca="1" ref="EV85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LEN(SUBSTITUTE(_xlfn.FORMULATEXT(EV$73),"=","")))+$EU85)</f>
        <v/>
      </c>
      <c r="EW85" s="82" t="str">
        <f t="array" aca="1" ref="EW85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LEN(SUBSTITUTE(_xlfn.FORMULATEXT(EW$73),"=","")))+$EU85)</f>
        <v/>
      </c>
      <c r="EX85" s="82" t="str">
        <f t="array" aca="1" ref="EX85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LEN(SUBSTITUTE(_xlfn.FORMULATEXT(EX$73),"=","")))+$EU85)</f>
        <v/>
      </c>
      <c r="EY85" s="82" t="str">
        <f t="array" aca="1" ref="EY85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LEN(SUBSTITUTE(_xlfn.FORMULATEXT(EY$73),"=","")))+$EU85)</f>
        <v/>
      </c>
      <c r="EZ85" s="82" t="str">
        <f t="array" aca="1" ref="EZ85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LEN(SUBSTITUTE(_xlfn.FORMULATEXT(EZ$73),"=","")))+$EU85)</f>
        <v/>
      </c>
      <c r="FA85" s="82" t="e">
        <f t="array" aca="1" ref="FA85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LEN(SUBSTITUTE(_xlfn.FORMULATEXT(FA$73),"=","")))+$EU85)</f>
        <v>#VALUE!</v>
      </c>
      <c r="FB85" s="82" t="str">
        <f t="array" aca="1" ref="FB85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LEN(SUBSTITUTE(_xlfn.FORMULATEXT(FB$73),"=","")))+$EU85)</f>
        <v/>
      </c>
      <c r="FC85" s="82" t="str">
        <f t="array" aca="1" ref="FC85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LEN(SUBSTITUTE(_xlfn.FORMULATEXT(FC$73),"=","")))+$EU85)</f>
        <v/>
      </c>
      <c r="FD85" s="82" t="e">
        <f t="array" aca="1" ref="FD85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LEN(SUBSTITUTE(_xlfn.FORMULATEXT(FD$73),"=","")))+$EU85)</f>
        <v>#VALUE!</v>
      </c>
      <c r="FE85" s="82" t="str">
        <f t="array" aca="1" ref="FE85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LEN(SUBSTITUTE(_xlfn.FORMULATEXT(FE$73),"=","")))+$EU85)</f>
        <v/>
      </c>
      <c r="FF85" s="82" t="e">
        <f t="array" aca="1" ref="FF85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LEN(SUBSTITUTE(_xlfn.FORMULATEXT(FF$73),"=","")))+$EU85)</f>
        <v>#N/A</v>
      </c>
      <c r="FG85" s="82">
        <f t="shared" ca="1" si="5"/>
        <v>0</v>
      </c>
      <c r="FH85" s="82" t="e">
        <f t="array" aca="1" ref="FH85" ca="1">SUMPRODUCT((LEN(EV85:FF85)&gt;0)*1)&gt;0</f>
        <v>#VALUE!</v>
      </c>
      <c r="FI85" s="82" t="str">
        <f t="array" aca="1" ref="FI85" ca="1">IFERROR(SMALL(IF(FG$1:FG$173&lt;&gt;0,FG$1:FG$173),ROW(A85)),"")</f>
        <v/>
      </c>
      <c r="FJ85" s="82" t="str">
        <f t="array" aca="1" ref="FJ85" ca="1">IF($FI85&lt;&gt;"",
INDIRECT(""&amp;IF(COLUMN(EV85)&lt;=26,CHAR(COLUMN(EV85)+64),CHAR(INT((COLUMN(EV85)-1)/26)+64)&amp;CHAR(MOD(COLUMN(EV85)-1,26)+65))&amp;$FI85&amp;""),"")</f>
        <v/>
      </c>
      <c r="FK85" s="82" t="str">
        <f t="array" aca="1" ref="FK85" ca="1">IF($FI85&lt;&gt;"",
INDIRECT(""&amp;IF(COLUMN(EW85)&lt;=26,CHAR(COLUMN(EW85)+64),CHAR(INT((COLUMN(EW85)-1)/26)+64)&amp;CHAR(MOD(COLUMN(EW85)-1,26)+65))&amp;$FI85&amp;""),"")</f>
        <v/>
      </c>
      <c r="FL85" s="82" t="str">
        <f t="array" aca="1" ref="FL85" ca="1">IF($FI85&lt;&gt;"",
INDIRECT(""&amp;IF(COLUMN(EX85)&lt;=26,CHAR(COLUMN(EX85)+64),CHAR(INT((COLUMN(EX85)-1)/26)+64)&amp;CHAR(MOD(COLUMN(EX85)-1,26)+65))&amp;$FI85&amp;""),"")</f>
        <v/>
      </c>
      <c r="FM85" s="82" t="str">
        <f t="array" aca="1" ref="FM85" ca="1">IF($FI85&lt;&gt;"",
IF(FL85="",
IF(INDIRECT("EY"&amp;$FI85&amp;"")&lt;&gt;"",
INDIRECT("EY"&amp;$FI85&amp;"")&amp;"箱"
&amp;INDIRECT("EZ"&amp;$FI85&amp;""),""),""),"")</f>
        <v/>
      </c>
      <c r="FN85" s="82" t="str">
        <f t="array" aca="1" ref="FN85" ca="1">IF($FI85&lt;&gt;"",
INDIRECT(""&amp;IF(COLUMN(FA85)&lt;=26,CHAR(COLUMN(FA85)+64),CHAR(INT((COLUMN(FA85)-1)/26)+64)&amp;CHAR(MOD(COLUMN(FA85)-1,26)+65))&amp;$FI85&amp;""),"")</f>
        <v/>
      </c>
      <c r="FO85" s="82" t="str">
        <f t="array" aca="1" ref="FO85" ca="1">IF($FI85&lt;&gt;"",
INDIRECT(""&amp;IF(COLUMN(FB85)&lt;=26,CHAR(COLUMN(FB85)+64),CHAR(INT((COLUMN(FB85)-1)/26)+64)&amp;CHAR(MOD(COLUMN(FB85)-1,26)+65))&amp;$FI85&amp;""),"")</f>
        <v/>
      </c>
      <c r="FP85" s="82" t="str">
        <f t="array" aca="1" ref="FP85" ca="1">IF($FI85&lt;&gt;"",
INDIRECT(""&amp;IF(COLUMN(FC85)&lt;=26,CHAR(COLUMN(FC85)+64),CHAR(INT((COLUMN(FC85)-1)/26)+64)&amp;CHAR(MOD(COLUMN(FC85)-1,26)+65))&amp;$FI85&amp;""),"")</f>
        <v/>
      </c>
      <c r="FQ85" s="82" t="str">
        <f t="array" aca="1" ref="FQ85" ca="1">IF($FI85&lt;&gt;"",
INDIRECT(""&amp;IF(COLUMN(FD85)&lt;=26,CHAR(COLUMN(FD85)+64),CHAR(INT((COLUMN(FD85)-1)/26)+64)&amp;CHAR(MOD(COLUMN(FD85)-1,26)+65))&amp;$FI85&amp;""),"")</f>
        <v/>
      </c>
      <c r="FR85" s="82" t="str">
        <f t="array" aca="1" ref="FR85" ca="1">IF($FI85&lt;&gt;"",
INDIRECT(""&amp;IF(COLUMN(FE85)&lt;=26,CHAR(COLUMN(FE85)+64),CHAR(INT((COLUMN(FE85)-1)/26)+64)&amp;CHAR(MOD(COLUMN(FE85)-1,26)+65))&amp;$FI85&amp;""),"")</f>
        <v/>
      </c>
      <c r="FS85" s="82" t="str">
        <f t="array" aca="1" ref="FS85" ca="1">IF($FI85&lt;&gt;"",
INDIRECT(""&amp;IF(COLUMN(FF85)&lt;=26,CHAR(COLUMN(FF85)+64),CHAR(INT((COLUMN(FF85)-1)/26)+64)&amp;CHAR(MOD(COLUMN(FF85)-1,26)+65))&amp;$FI85&amp;""),"")</f>
        <v/>
      </c>
    </row>
    <row r="86" spans="1:175" ht="22.2" customHeight="1" x14ac:dyDescent="0.45">
      <c r="EU86" s="82">
        <f t="shared" si="6"/>
        <v>63</v>
      </c>
      <c r="EV86" s="82" t="str">
        <f t="array" aca="1" ref="EV86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LEN(SUBSTITUTE(_xlfn.FORMULATEXT(EV$73),"=","")))+$EU86)</f>
        <v/>
      </c>
      <c r="EW86" s="82" t="str">
        <f t="array" aca="1" ref="EW86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LEN(SUBSTITUTE(_xlfn.FORMULATEXT(EW$73),"=","")))+$EU86)</f>
        <v/>
      </c>
      <c r="EX86" s="82" t="str">
        <f t="array" aca="1" ref="EX86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LEN(SUBSTITUTE(_xlfn.FORMULATEXT(EX$73),"=","")))+$EU86)</f>
        <v/>
      </c>
      <c r="EY86" s="82" t="str">
        <f t="array" aca="1" ref="EY86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LEN(SUBSTITUTE(_xlfn.FORMULATEXT(EY$73),"=","")))+$EU86)</f>
        <v/>
      </c>
      <c r="EZ86" s="82" t="str">
        <f t="array" aca="1" ref="EZ86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LEN(SUBSTITUTE(_xlfn.FORMULATEXT(EZ$73),"=","")))+$EU86)</f>
        <v/>
      </c>
      <c r="FA86" s="82" t="str">
        <f t="array" aca="1" ref="FA86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LEN(SUBSTITUTE(_xlfn.FORMULATEXT(FA$73),"=","")))+$EU86)</f>
        <v/>
      </c>
      <c r="FB86" s="82" t="str">
        <f t="array" aca="1" ref="FB86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LEN(SUBSTITUTE(_xlfn.FORMULATEXT(FB$73),"=","")))+$EU86)</f>
        <v/>
      </c>
      <c r="FC86" s="82" t="str">
        <f t="array" aca="1" ref="FC86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LEN(SUBSTITUTE(_xlfn.FORMULATEXT(FC$73),"=","")))+$EU86)</f>
        <v/>
      </c>
      <c r="FD86" s="82" t="str">
        <f t="array" aca="1" ref="FD86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LEN(SUBSTITUTE(_xlfn.FORMULATEXT(FD$73),"=","")))+$EU86)</f>
        <v/>
      </c>
      <c r="FE86" s="82" t="str">
        <f t="array" aca="1" ref="FE86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LEN(SUBSTITUTE(_xlfn.FORMULATEXT(FE$73),"=","")))+$EU86)</f>
        <v/>
      </c>
      <c r="FF86" s="82" t="str">
        <f t="array" aca="1" ref="FF86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LEN(SUBSTITUTE(_xlfn.FORMULATEXT(FF$73),"=","")))+$EU86)</f>
        <v/>
      </c>
      <c r="FG86" s="82">
        <f t="shared" ca="1" si="5"/>
        <v>0</v>
      </c>
      <c r="FH86" s="82" t="b">
        <f t="array" aca="1" ref="FH86" ca="1">SUMPRODUCT((LEN(EV86:FF86)&gt;0)*1)&gt;0</f>
        <v>0</v>
      </c>
      <c r="FI86" s="82" t="str">
        <f t="array" aca="1" ref="FI86" ca="1">IFERROR(SMALL(IF(FG$1:FG$173&lt;&gt;0,FG$1:FG$173),ROW(A86)),"")</f>
        <v/>
      </c>
      <c r="FJ86" s="82" t="str">
        <f t="array" aca="1" ref="FJ86" ca="1">IF($FI86&lt;&gt;"",
INDIRECT(""&amp;IF(COLUMN(EV86)&lt;=26,CHAR(COLUMN(EV86)+64),CHAR(INT((COLUMN(EV86)-1)/26)+64)&amp;CHAR(MOD(COLUMN(EV86)-1,26)+65))&amp;$FI86&amp;""),"")</f>
        <v/>
      </c>
      <c r="FK86" s="82" t="str">
        <f t="array" aca="1" ref="FK86" ca="1">IF($FI86&lt;&gt;"",
INDIRECT(""&amp;IF(COLUMN(EW86)&lt;=26,CHAR(COLUMN(EW86)+64),CHAR(INT((COLUMN(EW86)-1)/26)+64)&amp;CHAR(MOD(COLUMN(EW86)-1,26)+65))&amp;$FI86&amp;""),"")</f>
        <v/>
      </c>
      <c r="FL86" s="82" t="str">
        <f t="array" aca="1" ref="FL86" ca="1">IF($FI86&lt;&gt;"",
INDIRECT(""&amp;IF(COLUMN(EX86)&lt;=26,CHAR(COLUMN(EX86)+64),CHAR(INT((COLUMN(EX86)-1)/26)+64)&amp;CHAR(MOD(COLUMN(EX86)-1,26)+65))&amp;$FI86&amp;""),"")</f>
        <v/>
      </c>
      <c r="FM86" s="82" t="str">
        <f t="array" aca="1" ref="FM86" ca="1">IF($FI86&lt;&gt;"",
IF(FL86="",
IF(INDIRECT("EY"&amp;$FI86&amp;"")&lt;&gt;"",
INDIRECT("EY"&amp;$FI86&amp;"")&amp;"箱"
&amp;INDIRECT("EZ"&amp;$FI86&amp;""),""),""),"")</f>
        <v/>
      </c>
      <c r="FN86" s="82" t="str">
        <f t="array" aca="1" ref="FN86" ca="1">IF($FI86&lt;&gt;"",
INDIRECT(""&amp;IF(COLUMN(FA86)&lt;=26,CHAR(COLUMN(FA86)+64),CHAR(INT((COLUMN(FA86)-1)/26)+64)&amp;CHAR(MOD(COLUMN(FA86)-1,26)+65))&amp;$FI86&amp;""),"")</f>
        <v/>
      </c>
      <c r="FO86" s="82" t="str">
        <f t="array" aca="1" ref="FO86" ca="1">IF($FI86&lt;&gt;"",
INDIRECT(""&amp;IF(COLUMN(FB86)&lt;=26,CHAR(COLUMN(FB86)+64),CHAR(INT((COLUMN(FB86)-1)/26)+64)&amp;CHAR(MOD(COLUMN(FB86)-1,26)+65))&amp;$FI86&amp;""),"")</f>
        <v/>
      </c>
      <c r="FP86" s="82" t="str">
        <f t="array" aca="1" ref="FP86" ca="1">IF($FI86&lt;&gt;"",
INDIRECT(""&amp;IF(COLUMN(FC86)&lt;=26,CHAR(COLUMN(FC86)+64),CHAR(INT((COLUMN(FC86)-1)/26)+64)&amp;CHAR(MOD(COLUMN(FC86)-1,26)+65))&amp;$FI86&amp;""),"")</f>
        <v/>
      </c>
      <c r="FQ86" s="82" t="str">
        <f t="array" aca="1" ref="FQ86" ca="1">IF($FI86&lt;&gt;"",
INDIRECT(""&amp;IF(COLUMN(FD86)&lt;=26,CHAR(COLUMN(FD86)+64),CHAR(INT((COLUMN(FD86)-1)/26)+64)&amp;CHAR(MOD(COLUMN(FD86)-1,26)+65))&amp;$FI86&amp;""),"")</f>
        <v/>
      </c>
      <c r="FR86" s="82" t="str">
        <f t="array" aca="1" ref="FR86" ca="1">IF($FI86&lt;&gt;"",
INDIRECT(""&amp;IF(COLUMN(FE86)&lt;=26,CHAR(COLUMN(FE86)+64),CHAR(INT((COLUMN(FE86)-1)/26)+64)&amp;CHAR(MOD(COLUMN(FE86)-1,26)+65))&amp;$FI86&amp;""),"")</f>
        <v/>
      </c>
      <c r="FS86" s="82" t="str">
        <f t="array" aca="1" ref="FS86" ca="1">IF($FI86&lt;&gt;"",
INDIRECT(""&amp;IF(COLUMN(FF86)&lt;=26,CHAR(COLUMN(FF86)+64),CHAR(INT((COLUMN(FF86)-1)/26)+64)&amp;CHAR(MOD(COLUMN(FF86)-1,26)+65))&amp;$FI86&amp;""),"")</f>
        <v/>
      </c>
    </row>
    <row r="87" spans="1:175" ht="22.2" customHeight="1" x14ac:dyDescent="0.45">
      <c r="EU87" s="91">
        <f t="shared" si="6"/>
        <v>21</v>
      </c>
      <c r="EV87" s="82" t="str">
        <f t="array" aca="1" ref="EV87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LEN(SUBSTITUTE(_xlfn.FORMULATEXT(EV$75),"=","")))+$EU87)</f>
        <v/>
      </c>
      <c r="EW87" s="82" t="str">
        <f t="array" aca="1" ref="EW87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LEN(SUBSTITUTE(_xlfn.FORMULATEXT(EW$75),"=","")))+$EU87)</f>
        <v/>
      </c>
      <c r="EX87" s="82" t="str">
        <f t="array" aca="1" ref="EX87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LEN(SUBSTITUTE(_xlfn.FORMULATEXT(EX$75),"=","")))+$EU87)</f>
        <v/>
      </c>
      <c r="EY87" s="82" t="str">
        <f t="array" aca="1" ref="EY87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LEN(SUBSTITUTE(_xlfn.FORMULATEXT(EY$75),"=","")))+$EU87)</f>
        <v/>
      </c>
      <c r="EZ87" s="82" t="str">
        <f t="array" aca="1" ref="EZ87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LEN(SUBSTITUTE(_xlfn.FORMULATEXT(EZ$75),"=","")))+$EU87)</f>
        <v/>
      </c>
      <c r="FA87" s="82" t="e">
        <f t="array" aca="1" ref="FA87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LEN(SUBSTITUTE(_xlfn.FORMULATEXT(FA$75),"=","")))+$EU87)</f>
        <v>#VALUE!</v>
      </c>
      <c r="FB87" s="82" t="str">
        <f t="array" aca="1" ref="FB87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LEN(SUBSTITUTE(_xlfn.FORMULATEXT(FB$75),"=","")))+$EU87)</f>
        <v/>
      </c>
      <c r="FC87" s="82" t="str">
        <f t="array" aca="1" ref="FC87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LEN(SUBSTITUTE(_xlfn.FORMULATEXT(FC$75),"=","")))+$EU87)</f>
        <v/>
      </c>
      <c r="FD87" s="82" t="e">
        <f t="array" aca="1" ref="FD87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LEN(SUBSTITUTE(_xlfn.FORMULATEXT(FD$75),"=","")))+$EU87)</f>
        <v>#VALUE!</v>
      </c>
      <c r="FE87" s="82" t="str">
        <f t="array" aca="1" ref="FE87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LEN(SUBSTITUTE(_xlfn.FORMULATEXT(FE$75),"=","")))+$EU87)</f>
        <v/>
      </c>
      <c r="FF87" s="82" t="e">
        <f t="array" aca="1" ref="FF87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LEN(SUBSTITUTE(_xlfn.FORMULATEXT(FF$75),"=","")))+$EU87)</f>
        <v>#N/A</v>
      </c>
      <c r="FG87" s="82">
        <f t="shared" ca="1" si="5"/>
        <v>0</v>
      </c>
      <c r="FH87" s="82" t="e">
        <f t="array" aca="1" ref="FH87" ca="1">SUMPRODUCT((LEN(EV87:FF87)&gt;0)*1)&gt;0</f>
        <v>#VALUE!</v>
      </c>
      <c r="FI87" s="82" t="str">
        <f t="array" aca="1" ref="FI87" ca="1">IFERROR(SMALL(IF(FG$1:FG$173&lt;&gt;0,FG$1:FG$173),ROW(A87)),"")</f>
        <v/>
      </c>
      <c r="FJ87" s="82" t="str">
        <f t="array" aca="1" ref="FJ87" ca="1">IF($FI87&lt;&gt;"",
INDIRECT(""&amp;IF(COLUMN(EV87)&lt;=26,CHAR(COLUMN(EV87)+64),CHAR(INT((COLUMN(EV87)-1)/26)+64)&amp;CHAR(MOD(COLUMN(EV87)-1,26)+65))&amp;$FI87&amp;""),"")</f>
        <v/>
      </c>
      <c r="FK87" s="82" t="str">
        <f t="array" aca="1" ref="FK87" ca="1">IF($FI87&lt;&gt;"",
INDIRECT(""&amp;IF(COLUMN(EW87)&lt;=26,CHAR(COLUMN(EW87)+64),CHAR(INT((COLUMN(EW87)-1)/26)+64)&amp;CHAR(MOD(COLUMN(EW87)-1,26)+65))&amp;$FI87&amp;""),"")</f>
        <v/>
      </c>
      <c r="FL87" s="82" t="str">
        <f t="array" aca="1" ref="FL87" ca="1">IF($FI87&lt;&gt;"",
INDIRECT(""&amp;IF(COLUMN(EX87)&lt;=26,CHAR(COLUMN(EX87)+64),CHAR(INT((COLUMN(EX87)-1)/26)+64)&amp;CHAR(MOD(COLUMN(EX87)-1,26)+65))&amp;$FI87&amp;""),"")</f>
        <v/>
      </c>
      <c r="FM87" s="82" t="str">
        <f t="array" aca="1" ref="FM87" ca="1">IF($FI87&lt;&gt;"",
IF(FL87="",
IF(INDIRECT("EY"&amp;$FI87&amp;"")&lt;&gt;"",
INDIRECT("EY"&amp;$FI87&amp;"")&amp;"箱"
&amp;INDIRECT("EZ"&amp;$FI87&amp;""),""),""),"")</f>
        <v/>
      </c>
      <c r="FN87" s="82" t="str">
        <f t="array" aca="1" ref="FN87" ca="1">IF($FI87&lt;&gt;"",
INDIRECT(""&amp;IF(COLUMN(FA87)&lt;=26,CHAR(COLUMN(FA87)+64),CHAR(INT((COLUMN(FA87)-1)/26)+64)&amp;CHAR(MOD(COLUMN(FA87)-1,26)+65))&amp;$FI87&amp;""),"")</f>
        <v/>
      </c>
      <c r="FO87" s="82" t="str">
        <f t="array" aca="1" ref="FO87" ca="1">IF($FI87&lt;&gt;"",
INDIRECT(""&amp;IF(COLUMN(FB87)&lt;=26,CHAR(COLUMN(FB87)+64),CHAR(INT((COLUMN(FB87)-1)/26)+64)&amp;CHAR(MOD(COLUMN(FB87)-1,26)+65))&amp;$FI87&amp;""),"")</f>
        <v/>
      </c>
      <c r="FP87" s="82" t="str">
        <f t="array" aca="1" ref="FP87" ca="1">IF($FI87&lt;&gt;"",
INDIRECT(""&amp;IF(COLUMN(FC87)&lt;=26,CHAR(COLUMN(FC87)+64),CHAR(INT((COLUMN(FC87)-1)/26)+64)&amp;CHAR(MOD(COLUMN(FC87)-1,26)+65))&amp;$FI87&amp;""),"")</f>
        <v/>
      </c>
      <c r="FQ87" s="82" t="str">
        <f t="array" aca="1" ref="FQ87" ca="1">IF($FI87&lt;&gt;"",
INDIRECT(""&amp;IF(COLUMN(FD87)&lt;=26,CHAR(COLUMN(FD87)+64),CHAR(INT((COLUMN(FD87)-1)/26)+64)&amp;CHAR(MOD(COLUMN(FD87)-1,26)+65))&amp;$FI87&amp;""),"")</f>
        <v/>
      </c>
      <c r="FR87" s="82" t="str">
        <f t="array" aca="1" ref="FR87" ca="1">IF($FI87&lt;&gt;"",
INDIRECT(""&amp;IF(COLUMN(FE87)&lt;=26,CHAR(COLUMN(FE87)+64),CHAR(INT((COLUMN(FE87)-1)/26)+64)&amp;CHAR(MOD(COLUMN(FE87)-1,26)+65))&amp;$FI87&amp;""),"")</f>
        <v/>
      </c>
      <c r="FS87" s="82" t="str">
        <f t="array" aca="1" ref="FS87" ca="1">IF($FI87&lt;&gt;"",
INDIRECT(""&amp;IF(COLUMN(FF87)&lt;=26,CHAR(COLUMN(FF87)+64),CHAR(INT((COLUMN(FF87)-1)/26)+64)&amp;CHAR(MOD(COLUMN(FF87)-1,26)+65))&amp;$FI87&amp;""),"")</f>
        <v/>
      </c>
    </row>
    <row r="88" spans="1:175" ht="22.2" customHeight="1" x14ac:dyDescent="0.45">
      <c r="EU88" s="82">
        <f t="shared" si="6"/>
        <v>63</v>
      </c>
      <c r="EV88" s="82" t="str">
        <f t="array" aca="1" ref="EV88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LEN(SUBSTITUTE(_xlfn.FORMULATEXT(EV$75),"=","")))+$EU88)</f>
        <v/>
      </c>
      <c r="EW88" s="82" t="str">
        <f t="array" aca="1" ref="EW88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LEN(SUBSTITUTE(_xlfn.FORMULATEXT(EW$75),"=","")))+$EU88)</f>
        <v/>
      </c>
      <c r="EX88" s="82" t="str">
        <f t="array" aca="1" ref="EX88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LEN(SUBSTITUTE(_xlfn.FORMULATEXT(EX$75),"=","")))+$EU88)</f>
        <v/>
      </c>
      <c r="EY88" s="82" t="str">
        <f t="array" aca="1" ref="EY88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LEN(SUBSTITUTE(_xlfn.FORMULATEXT(EY$75),"=","")))+$EU88)</f>
        <v/>
      </c>
      <c r="EZ88" s="82" t="str">
        <f t="array" aca="1" ref="EZ88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LEN(SUBSTITUTE(_xlfn.FORMULATEXT(EZ$75),"=","")))+$EU88)</f>
        <v/>
      </c>
      <c r="FA88" s="82" t="str">
        <f t="array" aca="1" ref="FA88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LEN(SUBSTITUTE(_xlfn.FORMULATEXT(FA$75),"=","")))+$EU88)</f>
        <v/>
      </c>
      <c r="FB88" s="82" t="str">
        <f t="array" aca="1" ref="FB88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LEN(SUBSTITUTE(_xlfn.FORMULATEXT(FB$75),"=","")))+$EU88)</f>
        <v/>
      </c>
      <c r="FC88" s="82" t="str">
        <f t="array" aca="1" ref="FC88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LEN(SUBSTITUTE(_xlfn.FORMULATEXT(FC$75),"=","")))+$EU88)</f>
        <v/>
      </c>
      <c r="FD88" s="82" t="str">
        <f t="array" aca="1" ref="FD88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LEN(SUBSTITUTE(_xlfn.FORMULATEXT(FD$75),"=","")))+$EU88)</f>
        <v/>
      </c>
      <c r="FE88" s="82" t="str">
        <f t="array" aca="1" ref="FE88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LEN(SUBSTITUTE(_xlfn.FORMULATEXT(FE$75),"=","")))+$EU88)</f>
        <v/>
      </c>
      <c r="FF88" s="82" t="str">
        <f t="array" aca="1" ref="FF88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LEN(SUBSTITUTE(_xlfn.FORMULATEXT(FF$75),"=","")))+$EU88)</f>
        <v/>
      </c>
      <c r="FG88" s="82">
        <f t="shared" ca="1" si="5"/>
        <v>0</v>
      </c>
      <c r="FH88" s="82" t="b">
        <f t="array" aca="1" ref="FH88" ca="1">SUMPRODUCT((LEN(EV88:FF88)&gt;0)*1)&gt;0</f>
        <v>0</v>
      </c>
      <c r="FI88" s="82" t="str">
        <f t="array" aca="1" ref="FI88" ca="1">IFERROR(SMALL(IF(FG$1:FG$173&lt;&gt;0,FG$1:FG$173),ROW(A88)),"")</f>
        <v/>
      </c>
      <c r="FJ88" s="82" t="str">
        <f t="array" aca="1" ref="FJ88" ca="1">IF($FI88&lt;&gt;"",
INDIRECT(""&amp;IF(COLUMN(EV88)&lt;=26,CHAR(COLUMN(EV88)+64),CHAR(INT((COLUMN(EV88)-1)/26)+64)&amp;CHAR(MOD(COLUMN(EV88)-1,26)+65))&amp;$FI88&amp;""),"")</f>
        <v/>
      </c>
      <c r="FK88" s="82" t="str">
        <f t="array" aca="1" ref="FK88" ca="1">IF($FI88&lt;&gt;"",
INDIRECT(""&amp;IF(COLUMN(EW88)&lt;=26,CHAR(COLUMN(EW88)+64),CHAR(INT((COLUMN(EW88)-1)/26)+64)&amp;CHAR(MOD(COLUMN(EW88)-1,26)+65))&amp;$FI88&amp;""),"")</f>
        <v/>
      </c>
      <c r="FL88" s="82" t="str">
        <f t="array" aca="1" ref="FL88" ca="1">IF($FI88&lt;&gt;"",
INDIRECT(""&amp;IF(COLUMN(EX88)&lt;=26,CHAR(COLUMN(EX88)+64),CHAR(INT((COLUMN(EX88)-1)/26)+64)&amp;CHAR(MOD(COLUMN(EX88)-1,26)+65))&amp;$FI88&amp;""),"")</f>
        <v/>
      </c>
      <c r="FM88" s="82" t="str">
        <f t="array" aca="1" ref="FM88" ca="1">IF($FI88&lt;&gt;"",
IF(FL88="",
IF(INDIRECT("EY"&amp;$FI88&amp;"")&lt;&gt;"",
INDIRECT("EY"&amp;$FI88&amp;"")&amp;"箱"
&amp;INDIRECT("EZ"&amp;$FI88&amp;""),""),""),"")</f>
        <v/>
      </c>
      <c r="FN88" s="82" t="str">
        <f t="array" aca="1" ref="FN88" ca="1">IF($FI88&lt;&gt;"",
INDIRECT(""&amp;IF(COLUMN(FA88)&lt;=26,CHAR(COLUMN(FA88)+64),CHAR(INT((COLUMN(FA88)-1)/26)+64)&amp;CHAR(MOD(COLUMN(FA88)-1,26)+65))&amp;$FI88&amp;""),"")</f>
        <v/>
      </c>
      <c r="FO88" s="82" t="str">
        <f t="array" aca="1" ref="FO88" ca="1">IF($FI88&lt;&gt;"",
INDIRECT(""&amp;IF(COLUMN(FB88)&lt;=26,CHAR(COLUMN(FB88)+64),CHAR(INT((COLUMN(FB88)-1)/26)+64)&amp;CHAR(MOD(COLUMN(FB88)-1,26)+65))&amp;$FI88&amp;""),"")</f>
        <v/>
      </c>
      <c r="FP88" s="82" t="str">
        <f t="array" aca="1" ref="FP88" ca="1">IF($FI88&lt;&gt;"",
INDIRECT(""&amp;IF(COLUMN(FC88)&lt;=26,CHAR(COLUMN(FC88)+64),CHAR(INT((COLUMN(FC88)-1)/26)+64)&amp;CHAR(MOD(COLUMN(FC88)-1,26)+65))&amp;$FI88&amp;""),"")</f>
        <v/>
      </c>
      <c r="FQ88" s="82" t="str">
        <f t="array" aca="1" ref="FQ88" ca="1">IF($FI88&lt;&gt;"",
INDIRECT(""&amp;IF(COLUMN(FD88)&lt;=26,CHAR(COLUMN(FD88)+64),CHAR(INT((COLUMN(FD88)-1)/26)+64)&amp;CHAR(MOD(COLUMN(FD88)-1,26)+65))&amp;$FI88&amp;""),"")</f>
        <v/>
      </c>
      <c r="FR88" s="82" t="str">
        <f t="array" aca="1" ref="FR88" ca="1">IF($FI88&lt;&gt;"",
INDIRECT(""&amp;IF(COLUMN(FE88)&lt;=26,CHAR(COLUMN(FE88)+64),CHAR(INT((COLUMN(FE88)-1)/26)+64)&amp;CHAR(MOD(COLUMN(FE88)-1,26)+65))&amp;$FI88&amp;""),"")</f>
        <v/>
      </c>
      <c r="FS88" s="82" t="str">
        <f t="array" aca="1" ref="FS88" ca="1">IF($FI88&lt;&gt;"",
INDIRECT(""&amp;IF(COLUMN(FF88)&lt;=26,CHAR(COLUMN(FF88)+64),CHAR(INT((COLUMN(FF88)-1)/26)+64)&amp;CHAR(MOD(COLUMN(FF88)-1,26)+65))&amp;$FI88&amp;""),"")</f>
        <v/>
      </c>
    </row>
    <row r="89" spans="1:175" ht="22.2" customHeight="1" x14ac:dyDescent="0.45">
      <c r="EU89" s="82">
        <f t="shared" si="6"/>
        <v>28</v>
      </c>
      <c r="EV89" s="82" t="str">
        <f t="array" aca="1" ref="EV89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LEN(SUBSTITUTE(_xlfn.FORMULATEXT(EV$73),"=","")))+$EU89)</f>
        <v/>
      </c>
      <c r="EW89" s="82" t="str">
        <f t="array" aca="1" ref="EW89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LEN(SUBSTITUTE(_xlfn.FORMULATEXT(EW$73),"=","")))+$EU89)</f>
        <v/>
      </c>
      <c r="EX89" s="82" t="str">
        <f t="array" aca="1" ref="EX89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LEN(SUBSTITUTE(_xlfn.FORMULATEXT(EX$73),"=","")))+$EU89)</f>
        <v/>
      </c>
      <c r="EY89" s="82" t="str">
        <f t="array" aca="1" ref="EY89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LEN(SUBSTITUTE(_xlfn.FORMULATEXT(EY$73),"=","")))+$EU89)</f>
        <v/>
      </c>
      <c r="EZ89" s="82" t="str">
        <f t="array" aca="1" ref="EZ89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LEN(SUBSTITUTE(_xlfn.FORMULATEXT(EZ$73),"=","")))+$EU89)</f>
        <v/>
      </c>
      <c r="FA89" s="82" t="e">
        <f t="array" aca="1" ref="FA89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LEN(SUBSTITUTE(_xlfn.FORMULATEXT(FA$73),"=","")))+$EU89)</f>
        <v>#VALUE!</v>
      </c>
      <c r="FB89" s="82" t="str">
        <f t="array" aca="1" ref="FB89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LEN(SUBSTITUTE(_xlfn.FORMULATEXT(FB$73),"=","")))+$EU89)</f>
        <v/>
      </c>
      <c r="FC89" s="82" t="str">
        <f t="array" aca="1" ref="FC89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LEN(SUBSTITUTE(_xlfn.FORMULATEXT(FC$73),"=","")))+$EU89)</f>
        <v/>
      </c>
      <c r="FD89" s="82" t="e">
        <f t="array" aca="1" ref="FD89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LEN(SUBSTITUTE(_xlfn.FORMULATEXT(FD$73),"=","")))+$EU89)</f>
        <v>#VALUE!</v>
      </c>
      <c r="FE89" s="82" t="str">
        <f t="array" aca="1" ref="FE89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LEN(SUBSTITUTE(_xlfn.FORMULATEXT(FE$73),"=","")))+$EU89)</f>
        <v/>
      </c>
      <c r="FF89" s="82" t="e">
        <f t="array" aca="1" ref="FF89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LEN(SUBSTITUTE(_xlfn.FORMULATEXT(FF$73),"=","")))+$EU89)</f>
        <v>#N/A</v>
      </c>
      <c r="FG89" s="82">
        <f t="shared" ca="1" si="5"/>
        <v>0</v>
      </c>
      <c r="FH89" s="82" t="e">
        <f t="array" aca="1" ref="FH89" ca="1">SUMPRODUCT((LEN(EV89:FF89)&gt;0)*1)&gt;0</f>
        <v>#VALUE!</v>
      </c>
      <c r="FI89" s="82" t="str">
        <f t="array" aca="1" ref="FI89" ca="1">IFERROR(SMALL(IF(FG$1:FG$173&lt;&gt;0,FG$1:FG$173),ROW(A89)),"")</f>
        <v/>
      </c>
      <c r="FJ89" s="82" t="str">
        <f t="array" aca="1" ref="FJ89" ca="1">IF($FI89&lt;&gt;"",
INDIRECT(""&amp;IF(COLUMN(EV89)&lt;=26,CHAR(COLUMN(EV89)+64),CHAR(INT((COLUMN(EV89)-1)/26)+64)&amp;CHAR(MOD(COLUMN(EV89)-1,26)+65))&amp;$FI89&amp;""),"")</f>
        <v/>
      </c>
      <c r="FK89" s="82" t="str">
        <f t="array" aca="1" ref="FK89" ca="1">IF($FI89&lt;&gt;"",
INDIRECT(""&amp;IF(COLUMN(EW89)&lt;=26,CHAR(COLUMN(EW89)+64),CHAR(INT((COLUMN(EW89)-1)/26)+64)&amp;CHAR(MOD(COLUMN(EW89)-1,26)+65))&amp;$FI89&amp;""),"")</f>
        <v/>
      </c>
      <c r="FL89" s="82" t="str">
        <f t="array" aca="1" ref="FL89" ca="1">IF($FI89&lt;&gt;"",
INDIRECT(""&amp;IF(COLUMN(EX89)&lt;=26,CHAR(COLUMN(EX89)+64),CHAR(INT((COLUMN(EX89)-1)/26)+64)&amp;CHAR(MOD(COLUMN(EX89)-1,26)+65))&amp;$FI89&amp;""),"")</f>
        <v/>
      </c>
      <c r="FM89" s="82" t="str">
        <f t="array" aca="1" ref="FM89" ca="1">IF($FI89&lt;&gt;"",
IF(FL89="",
IF(INDIRECT("EY"&amp;$FI89&amp;"")&lt;&gt;"",
INDIRECT("EY"&amp;$FI89&amp;"")&amp;"箱"
&amp;INDIRECT("EZ"&amp;$FI89&amp;""),""),""),"")</f>
        <v/>
      </c>
      <c r="FN89" s="82" t="str">
        <f t="array" aca="1" ref="FN89" ca="1">IF($FI89&lt;&gt;"",
INDIRECT(""&amp;IF(COLUMN(FA89)&lt;=26,CHAR(COLUMN(FA89)+64),CHAR(INT((COLUMN(FA89)-1)/26)+64)&amp;CHAR(MOD(COLUMN(FA89)-1,26)+65))&amp;$FI89&amp;""),"")</f>
        <v/>
      </c>
      <c r="FO89" s="82" t="str">
        <f t="array" aca="1" ref="FO89" ca="1">IF($FI89&lt;&gt;"",
INDIRECT(""&amp;IF(COLUMN(FB89)&lt;=26,CHAR(COLUMN(FB89)+64),CHAR(INT((COLUMN(FB89)-1)/26)+64)&amp;CHAR(MOD(COLUMN(FB89)-1,26)+65))&amp;$FI89&amp;""),"")</f>
        <v/>
      </c>
      <c r="FP89" s="82" t="str">
        <f t="array" aca="1" ref="FP89" ca="1">IF($FI89&lt;&gt;"",
INDIRECT(""&amp;IF(COLUMN(FC89)&lt;=26,CHAR(COLUMN(FC89)+64),CHAR(INT((COLUMN(FC89)-1)/26)+64)&amp;CHAR(MOD(COLUMN(FC89)-1,26)+65))&amp;$FI89&amp;""),"")</f>
        <v/>
      </c>
      <c r="FQ89" s="82" t="str">
        <f t="array" aca="1" ref="FQ89" ca="1">IF($FI89&lt;&gt;"",
INDIRECT(""&amp;IF(COLUMN(FD89)&lt;=26,CHAR(COLUMN(FD89)+64),CHAR(INT((COLUMN(FD89)-1)/26)+64)&amp;CHAR(MOD(COLUMN(FD89)-1,26)+65))&amp;$FI89&amp;""),"")</f>
        <v/>
      </c>
      <c r="FR89" s="82" t="str">
        <f t="array" aca="1" ref="FR89" ca="1">IF($FI89&lt;&gt;"",
INDIRECT(""&amp;IF(COLUMN(FE89)&lt;=26,CHAR(COLUMN(FE89)+64),CHAR(INT((COLUMN(FE89)-1)/26)+64)&amp;CHAR(MOD(COLUMN(FE89)-1,26)+65))&amp;$FI89&amp;""),"")</f>
        <v/>
      </c>
      <c r="FS89" s="82" t="str">
        <f t="array" aca="1" ref="FS89" ca="1">IF($FI89&lt;&gt;"",
INDIRECT(""&amp;IF(COLUMN(FF89)&lt;=26,CHAR(COLUMN(FF89)+64),CHAR(INT((COLUMN(FF89)-1)/26)+64)&amp;CHAR(MOD(COLUMN(FF89)-1,26)+65))&amp;$FI89&amp;""),"")</f>
        <v/>
      </c>
    </row>
    <row r="90" spans="1:175" ht="22.2" customHeight="1" x14ac:dyDescent="0.45">
      <c r="EU90" s="82">
        <f t="shared" si="6"/>
        <v>70</v>
      </c>
      <c r="EV90" s="82" t="str">
        <f t="array" aca="1" ref="EV90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LEN(SUBSTITUTE(_xlfn.FORMULATEXT(EV$73),"=","")))+$EU90)</f>
        <v/>
      </c>
      <c r="EW90" s="82" t="str">
        <f t="array" aca="1" ref="EW90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LEN(SUBSTITUTE(_xlfn.FORMULATEXT(EW$73),"=","")))+$EU90)</f>
        <v/>
      </c>
      <c r="EX90" s="82" t="str">
        <f t="array" aca="1" ref="EX90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LEN(SUBSTITUTE(_xlfn.FORMULATEXT(EX$73),"=","")))+$EU90)</f>
        <v/>
      </c>
      <c r="EY90" s="82" t="str">
        <f t="array" aca="1" ref="EY90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LEN(SUBSTITUTE(_xlfn.FORMULATEXT(EY$73),"=","")))+$EU90)</f>
        <v/>
      </c>
      <c r="EZ90" s="82" t="str">
        <f t="array" aca="1" ref="EZ90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LEN(SUBSTITUTE(_xlfn.FORMULATEXT(EZ$73),"=","")))+$EU90)</f>
        <v/>
      </c>
      <c r="FA90" s="82" t="str">
        <f t="array" aca="1" ref="FA90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LEN(SUBSTITUTE(_xlfn.FORMULATEXT(FA$73),"=","")))+$EU90)</f>
        <v/>
      </c>
      <c r="FB90" s="82" t="str">
        <f t="array" aca="1" ref="FB90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LEN(SUBSTITUTE(_xlfn.FORMULATEXT(FB$73),"=","")))+$EU90)</f>
        <v/>
      </c>
      <c r="FC90" s="82" t="str">
        <f t="array" aca="1" ref="FC90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LEN(SUBSTITUTE(_xlfn.FORMULATEXT(FC$73),"=","")))+$EU90)</f>
        <v/>
      </c>
      <c r="FD90" s="82" t="str">
        <f t="array" aca="1" ref="FD90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LEN(SUBSTITUTE(_xlfn.FORMULATEXT(FD$73),"=","")))+$EU90)</f>
        <v/>
      </c>
      <c r="FE90" s="82" t="str">
        <f t="array" aca="1" ref="FE90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LEN(SUBSTITUTE(_xlfn.FORMULATEXT(FE$73),"=","")))+$EU90)</f>
        <v/>
      </c>
      <c r="FF90" s="82" t="str">
        <f t="array" aca="1" ref="FF90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LEN(SUBSTITUTE(_xlfn.FORMULATEXT(FF$73),"=","")))+$EU90)</f>
        <v/>
      </c>
      <c r="FG90" s="82">
        <f t="shared" ca="1" si="5"/>
        <v>0</v>
      </c>
      <c r="FH90" s="82" t="b">
        <f t="array" aca="1" ref="FH90" ca="1">SUMPRODUCT((LEN(EV90:FF90)&gt;0)*1)&gt;0</f>
        <v>0</v>
      </c>
      <c r="FI90" s="82" t="str">
        <f t="array" aca="1" ref="FI90" ca="1">IFERROR(SMALL(IF(FG$1:FG$173&lt;&gt;0,FG$1:FG$173),ROW(A90)),"")</f>
        <v/>
      </c>
      <c r="FJ90" s="82" t="str">
        <f t="array" aca="1" ref="FJ90" ca="1">IF($FI90&lt;&gt;"",
INDIRECT(""&amp;IF(COLUMN(EV90)&lt;=26,CHAR(COLUMN(EV90)+64),CHAR(INT((COLUMN(EV90)-1)/26)+64)&amp;CHAR(MOD(COLUMN(EV90)-1,26)+65))&amp;$FI90&amp;""),"")</f>
        <v/>
      </c>
      <c r="FK90" s="82" t="str">
        <f t="array" aca="1" ref="FK90" ca="1">IF($FI90&lt;&gt;"",
INDIRECT(""&amp;IF(COLUMN(EW90)&lt;=26,CHAR(COLUMN(EW90)+64),CHAR(INT((COLUMN(EW90)-1)/26)+64)&amp;CHAR(MOD(COLUMN(EW90)-1,26)+65))&amp;$FI90&amp;""),"")</f>
        <v/>
      </c>
      <c r="FL90" s="82" t="str">
        <f t="array" aca="1" ref="FL90" ca="1">IF($FI90&lt;&gt;"",
INDIRECT(""&amp;IF(COLUMN(EX90)&lt;=26,CHAR(COLUMN(EX90)+64),CHAR(INT((COLUMN(EX90)-1)/26)+64)&amp;CHAR(MOD(COLUMN(EX90)-1,26)+65))&amp;$FI90&amp;""),"")</f>
        <v/>
      </c>
      <c r="FM90" s="82" t="str">
        <f t="array" aca="1" ref="FM90" ca="1">IF($FI90&lt;&gt;"",
IF(FL90="",
IF(INDIRECT("EY"&amp;$FI90&amp;"")&lt;&gt;"",
INDIRECT("EY"&amp;$FI90&amp;"")&amp;"箱"
&amp;INDIRECT("EZ"&amp;$FI90&amp;""),""),""),"")</f>
        <v/>
      </c>
      <c r="FN90" s="82" t="str">
        <f t="array" aca="1" ref="FN90" ca="1">IF($FI90&lt;&gt;"",
INDIRECT(""&amp;IF(COLUMN(FA90)&lt;=26,CHAR(COLUMN(FA90)+64),CHAR(INT((COLUMN(FA90)-1)/26)+64)&amp;CHAR(MOD(COLUMN(FA90)-1,26)+65))&amp;$FI90&amp;""),"")</f>
        <v/>
      </c>
      <c r="FO90" s="82" t="str">
        <f t="array" aca="1" ref="FO90" ca="1">IF($FI90&lt;&gt;"",
INDIRECT(""&amp;IF(COLUMN(FB90)&lt;=26,CHAR(COLUMN(FB90)+64),CHAR(INT((COLUMN(FB90)-1)/26)+64)&amp;CHAR(MOD(COLUMN(FB90)-1,26)+65))&amp;$FI90&amp;""),"")</f>
        <v/>
      </c>
      <c r="FP90" s="82" t="str">
        <f t="array" aca="1" ref="FP90" ca="1">IF($FI90&lt;&gt;"",
INDIRECT(""&amp;IF(COLUMN(FC90)&lt;=26,CHAR(COLUMN(FC90)+64),CHAR(INT((COLUMN(FC90)-1)/26)+64)&amp;CHAR(MOD(COLUMN(FC90)-1,26)+65))&amp;$FI90&amp;""),"")</f>
        <v/>
      </c>
      <c r="FQ90" s="82" t="str">
        <f t="array" aca="1" ref="FQ90" ca="1">IF($FI90&lt;&gt;"",
INDIRECT(""&amp;IF(COLUMN(FD90)&lt;=26,CHAR(COLUMN(FD90)+64),CHAR(INT((COLUMN(FD90)-1)/26)+64)&amp;CHAR(MOD(COLUMN(FD90)-1,26)+65))&amp;$FI90&amp;""),"")</f>
        <v/>
      </c>
      <c r="FR90" s="82" t="str">
        <f t="array" aca="1" ref="FR90" ca="1">IF($FI90&lt;&gt;"",
INDIRECT(""&amp;IF(COLUMN(FE90)&lt;=26,CHAR(COLUMN(FE90)+64),CHAR(INT((COLUMN(FE90)-1)/26)+64)&amp;CHAR(MOD(COLUMN(FE90)-1,26)+65))&amp;$FI90&amp;""),"")</f>
        <v/>
      </c>
      <c r="FS90" s="82" t="str">
        <f t="array" aca="1" ref="FS90" ca="1">IF($FI90&lt;&gt;"",
INDIRECT(""&amp;IF(COLUMN(FF90)&lt;=26,CHAR(COLUMN(FF90)+64),CHAR(INT((COLUMN(FF90)-1)/26)+64)&amp;CHAR(MOD(COLUMN(FF90)-1,26)+65))&amp;$FI90&amp;""),"")</f>
        <v/>
      </c>
    </row>
    <row r="91" spans="1:175" ht="22.2" customHeight="1" x14ac:dyDescent="0.45">
      <c r="EU91" s="91">
        <f t="shared" si="6"/>
        <v>28</v>
      </c>
      <c r="EV91" s="82" t="str">
        <f t="array" aca="1" ref="EV91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LEN(SUBSTITUTE(_xlfn.FORMULATEXT(EV$75),"=","")))+$EU91)</f>
        <v/>
      </c>
      <c r="EW91" s="82" t="str">
        <f t="array" aca="1" ref="EW91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LEN(SUBSTITUTE(_xlfn.FORMULATEXT(EW$75),"=","")))+$EU91)</f>
        <v/>
      </c>
      <c r="EX91" s="82" t="str">
        <f t="array" aca="1" ref="EX91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LEN(SUBSTITUTE(_xlfn.FORMULATEXT(EX$75),"=","")))+$EU91)</f>
        <v/>
      </c>
      <c r="EY91" s="82" t="str">
        <f t="array" aca="1" ref="EY91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LEN(SUBSTITUTE(_xlfn.FORMULATEXT(EY$75),"=","")))+$EU91)</f>
        <v/>
      </c>
      <c r="EZ91" s="82" t="str">
        <f t="array" aca="1" ref="EZ91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LEN(SUBSTITUTE(_xlfn.FORMULATEXT(EZ$75),"=","")))+$EU91)</f>
        <v/>
      </c>
      <c r="FA91" s="82" t="e">
        <f t="array" aca="1" ref="FA91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LEN(SUBSTITUTE(_xlfn.FORMULATEXT(FA$75),"=","")))+$EU91)</f>
        <v>#VALUE!</v>
      </c>
      <c r="FB91" s="82" t="str">
        <f t="array" aca="1" ref="FB91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LEN(SUBSTITUTE(_xlfn.FORMULATEXT(FB$75),"=","")))+$EU91)</f>
        <v/>
      </c>
      <c r="FC91" s="82" t="str">
        <f t="array" aca="1" ref="FC91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LEN(SUBSTITUTE(_xlfn.FORMULATEXT(FC$75),"=","")))+$EU91)</f>
        <v/>
      </c>
      <c r="FD91" s="82" t="e">
        <f t="array" aca="1" ref="FD91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LEN(SUBSTITUTE(_xlfn.FORMULATEXT(FD$75),"=","")))+$EU91)</f>
        <v>#VALUE!</v>
      </c>
      <c r="FE91" s="82" t="str">
        <f t="array" aca="1" ref="FE91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LEN(SUBSTITUTE(_xlfn.FORMULATEXT(FE$75),"=","")))+$EU91)</f>
        <v/>
      </c>
      <c r="FF91" s="82" t="e">
        <f t="array" aca="1" ref="FF91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LEN(SUBSTITUTE(_xlfn.FORMULATEXT(FF$75),"=","")))+$EU91)</f>
        <v>#N/A</v>
      </c>
      <c r="FG91" s="82">
        <f t="shared" ca="1" si="5"/>
        <v>0</v>
      </c>
      <c r="FH91" s="82" t="e">
        <f t="array" aca="1" ref="FH91" ca="1">SUMPRODUCT((LEN(EV91:FF91)&gt;0)*1)&gt;0</f>
        <v>#VALUE!</v>
      </c>
      <c r="FI91" s="82" t="str">
        <f t="array" aca="1" ref="FI91" ca="1">IFERROR(SMALL(IF(FG$1:FG$173&lt;&gt;0,FG$1:FG$173),ROW(A91)),"")</f>
        <v/>
      </c>
      <c r="FJ91" s="82" t="str">
        <f t="array" aca="1" ref="FJ91" ca="1">IF($FI91&lt;&gt;"",
INDIRECT(""&amp;IF(COLUMN(EV91)&lt;=26,CHAR(COLUMN(EV91)+64),CHAR(INT((COLUMN(EV91)-1)/26)+64)&amp;CHAR(MOD(COLUMN(EV91)-1,26)+65))&amp;$FI91&amp;""),"")</f>
        <v/>
      </c>
      <c r="FK91" s="82" t="str">
        <f t="array" aca="1" ref="FK91" ca="1">IF($FI91&lt;&gt;"",
INDIRECT(""&amp;IF(COLUMN(EW91)&lt;=26,CHAR(COLUMN(EW91)+64),CHAR(INT((COLUMN(EW91)-1)/26)+64)&amp;CHAR(MOD(COLUMN(EW91)-1,26)+65))&amp;$FI91&amp;""),"")</f>
        <v/>
      </c>
      <c r="FL91" s="82" t="str">
        <f t="array" aca="1" ref="FL91" ca="1">IF($FI91&lt;&gt;"",
INDIRECT(""&amp;IF(COLUMN(EX91)&lt;=26,CHAR(COLUMN(EX91)+64),CHAR(INT((COLUMN(EX91)-1)/26)+64)&amp;CHAR(MOD(COLUMN(EX91)-1,26)+65))&amp;$FI91&amp;""),"")</f>
        <v/>
      </c>
      <c r="FM91" s="82" t="str">
        <f t="array" aca="1" ref="FM91" ca="1">IF($FI91&lt;&gt;"",
IF(FL91="",
IF(INDIRECT("EY"&amp;$FI91&amp;"")&lt;&gt;"",
INDIRECT("EY"&amp;$FI91&amp;"")&amp;"箱"
&amp;INDIRECT("EZ"&amp;$FI91&amp;""),""),""),"")</f>
        <v/>
      </c>
      <c r="FN91" s="82" t="str">
        <f t="array" aca="1" ref="FN91" ca="1">IF($FI91&lt;&gt;"",
INDIRECT(""&amp;IF(COLUMN(FA91)&lt;=26,CHAR(COLUMN(FA91)+64),CHAR(INT((COLUMN(FA91)-1)/26)+64)&amp;CHAR(MOD(COLUMN(FA91)-1,26)+65))&amp;$FI91&amp;""),"")</f>
        <v/>
      </c>
      <c r="FO91" s="82" t="str">
        <f t="array" aca="1" ref="FO91" ca="1">IF($FI91&lt;&gt;"",
INDIRECT(""&amp;IF(COLUMN(FB91)&lt;=26,CHAR(COLUMN(FB91)+64),CHAR(INT((COLUMN(FB91)-1)/26)+64)&amp;CHAR(MOD(COLUMN(FB91)-1,26)+65))&amp;$FI91&amp;""),"")</f>
        <v/>
      </c>
      <c r="FP91" s="82" t="str">
        <f t="array" aca="1" ref="FP91" ca="1">IF($FI91&lt;&gt;"",
INDIRECT(""&amp;IF(COLUMN(FC91)&lt;=26,CHAR(COLUMN(FC91)+64),CHAR(INT((COLUMN(FC91)-1)/26)+64)&amp;CHAR(MOD(COLUMN(FC91)-1,26)+65))&amp;$FI91&amp;""),"")</f>
        <v/>
      </c>
      <c r="FQ91" s="82" t="str">
        <f t="array" aca="1" ref="FQ91" ca="1">IF($FI91&lt;&gt;"",
INDIRECT(""&amp;IF(COLUMN(FD91)&lt;=26,CHAR(COLUMN(FD91)+64),CHAR(INT((COLUMN(FD91)-1)/26)+64)&amp;CHAR(MOD(COLUMN(FD91)-1,26)+65))&amp;$FI91&amp;""),"")</f>
        <v/>
      </c>
      <c r="FR91" s="82" t="str">
        <f t="array" aca="1" ref="FR91" ca="1">IF($FI91&lt;&gt;"",
INDIRECT(""&amp;IF(COLUMN(FE91)&lt;=26,CHAR(COLUMN(FE91)+64),CHAR(INT((COLUMN(FE91)-1)/26)+64)&amp;CHAR(MOD(COLUMN(FE91)-1,26)+65))&amp;$FI91&amp;""),"")</f>
        <v/>
      </c>
      <c r="FS91" s="82" t="str">
        <f t="array" aca="1" ref="FS91" ca="1">IF($FI91&lt;&gt;"",
INDIRECT(""&amp;IF(COLUMN(FF91)&lt;=26,CHAR(COLUMN(FF91)+64),CHAR(INT((COLUMN(FF91)-1)/26)+64)&amp;CHAR(MOD(COLUMN(FF91)-1,26)+65))&amp;$FI91&amp;""),"")</f>
        <v/>
      </c>
    </row>
    <row r="92" spans="1:175" ht="22.2" customHeight="1" x14ac:dyDescent="0.45">
      <c r="EU92" s="82">
        <f t="shared" si="6"/>
        <v>70</v>
      </c>
      <c r="EV92" s="82" t="str">
        <f t="array" aca="1" ref="EV92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LEN(SUBSTITUTE(_xlfn.FORMULATEXT(EV$75),"=","")))+$EU92)</f>
        <v/>
      </c>
      <c r="EW92" s="82" t="str">
        <f t="array" aca="1" ref="EW92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LEN(SUBSTITUTE(_xlfn.FORMULATEXT(EW$75),"=","")))+$EU92)</f>
        <v/>
      </c>
      <c r="EX92" s="82" t="str">
        <f t="array" aca="1" ref="EX92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LEN(SUBSTITUTE(_xlfn.FORMULATEXT(EX$75),"=","")))+$EU92)</f>
        <v/>
      </c>
      <c r="EY92" s="82" t="str">
        <f t="array" aca="1" ref="EY92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LEN(SUBSTITUTE(_xlfn.FORMULATEXT(EY$75),"=","")))+$EU92)</f>
        <v/>
      </c>
      <c r="EZ92" s="82" t="str">
        <f t="array" aca="1" ref="EZ92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LEN(SUBSTITUTE(_xlfn.FORMULATEXT(EZ$75),"=","")))+$EU92)</f>
        <v/>
      </c>
      <c r="FA92" s="82" t="str">
        <f t="array" aca="1" ref="FA92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LEN(SUBSTITUTE(_xlfn.FORMULATEXT(FA$75),"=","")))+$EU92)</f>
        <v/>
      </c>
      <c r="FB92" s="82" t="str">
        <f t="array" aca="1" ref="FB92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LEN(SUBSTITUTE(_xlfn.FORMULATEXT(FB$75),"=","")))+$EU92)</f>
        <v/>
      </c>
      <c r="FC92" s="82" t="str">
        <f t="array" aca="1" ref="FC92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LEN(SUBSTITUTE(_xlfn.FORMULATEXT(FC$75),"=","")))+$EU92)</f>
        <v/>
      </c>
      <c r="FD92" s="82" t="str">
        <f t="array" aca="1" ref="FD92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LEN(SUBSTITUTE(_xlfn.FORMULATEXT(FD$75),"=","")))+$EU92)</f>
        <v/>
      </c>
      <c r="FE92" s="82" t="str">
        <f t="array" aca="1" ref="FE92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LEN(SUBSTITUTE(_xlfn.FORMULATEXT(FE$75),"=","")))+$EU92)</f>
        <v/>
      </c>
      <c r="FF92" s="82" t="str">
        <f t="array" aca="1" ref="FF92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LEN(SUBSTITUTE(_xlfn.FORMULATEXT(FF$75),"=","")))+$EU92)</f>
        <v/>
      </c>
      <c r="FG92" s="82">
        <f t="shared" ca="1" si="5"/>
        <v>0</v>
      </c>
      <c r="FH92" s="82" t="b">
        <f t="array" aca="1" ref="FH92" ca="1">SUMPRODUCT((LEN(EV92:FF92)&gt;0)*1)&gt;0</f>
        <v>0</v>
      </c>
      <c r="FI92" s="82" t="str">
        <f t="array" aca="1" ref="FI92" ca="1">IFERROR(SMALL(IF(FG$1:FG$173&lt;&gt;0,FG$1:FG$173),ROW(A92)),"")</f>
        <v/>
      </c>
      <c r="FJ92" s="82" t="str">
        <f t="array" aca="1" ref="FJ92" ca="1">IF($FI92&lt;&gt;"",
INDIRECT(""&amp;IF(COLUMN(EV92)&lt;=26,CHAR(COLUMN(EV92)+64),CHAR(INT((COLUMN(EV92)-1)/26)+64)&amp;CHAR(MOD(COLUMN(EV92)-1,26)+65))&amp;$FI92&amp;""),"")</f>
        <v/>
      </c>
      <c r="FK92" s="82" t="str">
        <f t="array" aca="1" ref="FK92" ca="1">IF($FI92&lt;&gt;"",
INDIRECT(""&amp;IF(COLUMN(EW92)&lt;=26,CHAR(COLUMN(EW92)+64),CHAR(INT((COLUMN(EW92)-1)/26)+64)&amp;CHAR(MOD(COLUMN(EW92)-1,26)+65))&amp;$FI92&amp;""),"")</f>
        <v/>
      </c>
      <c r="FL92" s="82" t="str">
        <f t="array" aca="1" ref="FL92" ca="1">IF($FI92&lt;&gt;"",
INDIRECT(""&amp;IF(COLUMN(EX92)&lt;=26,CHAR(COLUMN(EX92)+64),CHAR(INT((COLUMN(EX92)-1)/26)+64)&amp;CHAR(MOD(COLUMN(EX92)-1,26)+65))&amp;$FI92&amp;""),"")</f>
        <v/>
      </c>
      <c r="FM92" s="82" t="str">
        <f t="array" aca="1" ref="FM92" ca="1">IF($FI92&lt;&gt;"",
IF(FL92="",
IF(INDIRECT("EY"&amp;$FI92&amp;"")&lt;&gt;"",
INDIRECT("EY"&amp;$FI92&amp;"")&amp;"箱"
&amp;INDIRECT("EZ"&amp;$FI92&amp;""),""),""),"")</f>
        <v/>
      </c>
      <c r="FN92" s="82" t="str">
        <f t="array" aca="1" ref="FN92" ca="1">IF($FI92&lt;&gt;"",
INDIRECT(""&amp;IF(COLUMN(FA92)&lt;=26,CHAR(COLUMN(FA92)+64),CHAR(INT((COLUMN(FA92)-1)/26)+64)&amp;CHAR(MOD(COLUMN(FA92)-1,26)+65))&amp;$FI92&amp;""),"")</f>
        <v/>
      </c>
      <c r="FO92" s="82" t="str">
        <f t="array" aca="1" ref="FO92" ca="1">IF($FI92&lt;&gt;"",
INDIRECT(""&amp;IF(COLUMN(FB92)&lt;=26,CHAR(COLUMN(FB92)+64),CHAR(INT((COLUMN(FB92)-1)/26)+64)&amp;CHAR(MOD(COLUMN(FB92)-1,26)+65))&amp;$FI92&amp;""),"")</f>
        <v/>
      </c>
      <c r="FP92" s="82" t="str">
        <f t="array" aca="1" ref="FP92" ca="1">IF($FI92&lt;&gt;"",
INDIRECT(""&amp;IF(COLUMN(FC92)&lt;=26,CHAR(COLUMN(FC92)+64),CHAR(INT((COLUMN(FC92)-1)/26)+64)&amp;CHAR(MOD(COLUMN(FC92)-1,26)+65))&amp;$FI92&amp;""),"")</f>
        <v/>
      </c>
      <c r="FQ92" s="82" t="str">
        <f t="array" aca="1" ref="FQ92" ca="1">IF($FI92&lt;&gt;"",
INDIRECT(""&amp;IF(COLUMN(FD92)&lt;=26,CHAR(COLUMN(FD92)+64),CHAR(INT((COLUMN(FD92)-1)/26)+64)&amp;CHAR(MOD(COLUMN(FD92)-1,26)+65))&amp;$FI92&amp;""),"")</f>
        <v/>
      </c>
      <c r="FR92" s="82" t="str">
        <f t="array" aca="1" ref="FR92" ca="1">IF($FI92&lt;&gt;"",
INDIRECT(""&amp;IF(COLUMN(FE92)&lt;=26,CHAR(COLUMN(FE92)+64),CHAR(INT((COLUMN(FE92)-1)/26)+64)&amp;CHAR(MOD(COLUMN(FE92)-1,26)+65))&amp;$FI92&amp;""),"")</f>
        <v/>
      </c>
      <c r="FS92" s="82" t="str">
        <f t="array" aca="1" ref="FS92" ca="1">IF($FI92&lt;&gt;"",
INDIRECT(""&amp;IF(COLUMN(FF92)&lt;=26,CHAR(COLUMN(FF92)+64),CHAR(INT((COLUMN(FF92)-1)/26)+64)&amp;CHAR(MOD(COLUMN(FF92)-1,26)+65))&amp;$FI92&amp;""),"")</f>
        <v/>
      </c>
    </row>
    <row r="93" spans="1:175" ht="22.2" customHeight="1" x14ac:dyDescent="0.45">
      <c r="EU93" s="82">
        <f t="shared" si="6"/>
        <v>35</v>
      </c>
      <c r="EV93" s="82" t="str">
        <f t="array" aca="1" ref="EV93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LEN(SUBSTITUTE(_xlfn.FORMULATEXT(EV$73),"=","")))+$EU93)</f>
        <v/>
      </c>
      <c r="EW93" s="82" t="str">
        <f t="array" aca="1" ref="EW93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LEN(SUBSTITUTE(_xlfn.FORMULATEXT(EW$73),"=","")))+$EU93)</f>
        <v/>
      </c>
      <c r="EX93" s="82" t="str">
        <f t="array" aca="1" ref="EX93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LEN(SUBSTITUTE(_xlfn.FORMULATEXT(EX$73),"=","")))+$EU93)</f>
        <v/>
      </c>
      <c r="EY93" s="82" t="str">
        <f t="array" aca="1" ref="EY93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LEN(SUBSTITUTE(_xlfn.FORMULATEXT(EY$73),"=","")))+$EU93)</f>
        <v/>
      </c>
      <c r="EZ93" s="82" t="str">
        <f t="array" aca="1" ref="EZ93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LEN(SUBSTITUTE(_xlfn.FORMULATEXT(EZ$73),"=","")))+$EU93)</f>
        <v/>
      </c>
      <c r="FA93" s="82" t="e">
        <f t="array" aca="1" ref="FA93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LEN(SUBSTITUTE(_xlfn.FORMULATEXT(FA$73),"=","")))+$EU93)</f>
        <v>#VALUE!</v>
      </c>
      <c r="FB93" s="82" t="str">
        <f t="array" aca="1" ref="FB93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LEN(SUBSTITUTE(_xlfn.FORMULATEXT(FB$73),"=","")))+$EU93)</f>
        <v/>
      </c>
      <c r="FC93" s="82" t="str">
        <f t="array" aca="1" ref="FC93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LEN(SUBSTITUTE(_xlfn.FORMULATEXT(FC$73),"=","")))+$EU93)</f>
        <v/>
      </c>
      <c r="FD93" s="82" t="e">
        <f t="array" aca="1" ref="FD93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LEN(SUBSTITUTE(_xlfn.FORMULATEXT(FD$73),"=","")))+$EU93)</f>
        <v>#VALUE!</v>
      </c>
      <c r="FE93" s="82" t="str">
        <f t="array" aca="1" ref="FE93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LEN(SUBSTITUTE(_xlfn.FORMULATEXT(FE$73),"=","")))+$EU93)</f>
        <v/>
      </c>
      <c r="FF93" s="82" t="e">
        <f t="array" aca="1" ref="FF93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LEN(SUBSTITUTE(_xlfn.FORMULATEXT(FF$73),"=","")))+$EU93)</f>
        <v>#N/A</v>
      </c>
      <c r="FG93" s="82">
        <f t="shared" ca="1" si="5"/>
        <v>0</v>
      </c>
      <c r="FH93" s="82" t="e">
        <f t="array" aca="1" ref="FH93" ca="1">SUMPRODUCT((LEN(EV93:FF93)&gt;0)*1)&gt;0</f>
        <v>#VALUE!</v>
      </c>
      <c r="FI93" s="82" t="str">
        <f t="array" aca="1" ref="FI93" ca="1">IFERROR(SMALL(IF(FG$1:FG$173&lt;&gt;0,FG$1:FG$173),ROW(A93)),"")</f>
        <v/>
      </c>
      <c r="FJ93" s="82" t="str">
        <f t="array" aca="1" ref="FJ93" ca="1">IF($FI93&lt;&gt;"",
INDIRECT(""&amp;IF(COLUMN(EV93)&lt;=26,CHAR(COLUMN(EV93)+64),CHAR(INT((COLUMN(EV93)-1)/26)+64)&amp;CHAR(MOD(COLUMN(EV93)-1,26)+65))&amp;$FI93&amp;""),"")</f>
        <v/>
      </c>
      <c r="FK93" s="82" t="str">
        <f t="array" aca="1" ref="FK93" ca="1">IF($FI93&lt;&gt;"",
INDIRECT(""&amp;IF(COLUMN(EW93)&lt;=26,CHAR(COLUMN(EW93)+64),CHAR(INT((COLUMN(EW93)-1)/26)+64)&amp;CHAR(MOD(COLUMN(EW93)-1,26)+65))&amp;$FI93&amp;""),"")</f>
        <v/>
      </c>
      <c r="FL93" s="82" t="str">
        <f t="array" aca="1" ref="FL93" ca="1">IF($FI93&lt;&gt;"",
INDIRECT(""&amp;IF(COLUMN(EX93)&lt;=26,CHAR(COLUMN(EX93)+64),CHAR(INT((COLUMN(EX93)-1)/26)+64)&amp;CHAR(MOD(COLUMN(EX93)-1,26)+65))&amp;$FI93&amp;""),"")</f>
        <v/>
      </c>
      <c r="FM93" s="82" t="str">
        <f t="array" aca="1" ref="FM93" ca="1">IF($FI93&lt;&gt;"",
IF(FL93="",
IF(INDIRECT("EY"&amp;$FI93&amp;"")&lt;&gt;"",
INDIRECT("EY"&amp;$FI93&amp;"")&amp;"箱"
&amp;INDIRECT("EZ"&amp;$FI93&amp;""),""),""),"")</f>
        <v/>
      </c>
      <c r="FN93" s="82" t="str">
        <f t="array" aca="1" ref="FN93" ca="1">IF($FI93&lt;&gt;"",
INDIRECT(""&amp;IF(COLUMN(FA93)&lt;=26,CHAR(COLUMN(FA93)+64),CHAR(INT((COLUMN(FA93)-1)/26)+64)&amp;CHAR(MOD(COLUMN(FA93)-1,26)+65))&amp;$FI93&amp;""),"")</f>
        <v/>
      </c>
      <c r="FO93" s="82" t="str">
        <f t="array" aca="1" ref="FO93" ca="1">IF($FI93&lt;&gt;"",
INDIRECT(""&amp;IF(COLUMN(FB93)&lt;=26,CHAR(COLUMN(FB93)+64),CHAR(INT((COLUMN(FB93)-1)/26)+64)&amp;CHAR(MOD(COLUMN(FB93)-1,26)+65))&amp;$FI93&amp;""),"")</f>
        <v/>
      </c>
      <c r="FP93" s="82" t="str">
        <f t="array" aca="1" ref="FP93" ca="1">IF($FI93&lt;&gt;"",
INDIRECT(""&amp;IF(COLUMN(FC93)&lt;=26,CHAR(COLUMN(FC93)+64),CHAR(INT((COLUMN(FC93)-1)/26)+64)&amp;CHAR(MOD(COLUMN(FC93)-1,26)+65))&amp;$FI93&amp;""),"")</f>
        <v/>
      </c>
      <c r="FQ93" s="82" t="str">
        <f t="array" aca="1" ref="FQ93" ca="1">IF($FI93&lt;&gt;"",
INDIRECT(""&amp;IF(COLUMN(FD93)&lt;=26,CHAR(COLUMN(FD93)+64),CHAR(INT((COLUMN(FD93)-1)/26)+64)&amp;CHAR(MOD(COLUMN(FD93)-1,26)+65))&amp;$FI93&amp;""),"")</f>
        <v/>
      </c>
      <c r="FR93" s="82" t="str">
        <f t="array" aca="1" ref="FR93" ca="1">IF($FI93&lt;&gt;"",
INDIRECT(""&amp;IF(COLUMN(FE93)&lt;=26,CHAR(COLUMN(FE93)+64),CHAR(INT((COLUMN(FE93)-1)/26)+64)&amp;CHAR(MOD(COLUMN(FE93)-1,26)+65))&amp;$FI93&amp;""),"")</f>
        <v/>
      </c>
      <c r="FS93" s="82" t="str">
        <f t="array" aca="1" ref="FS93" ca="1">IF($FI93&lt;&gt;"",
INDIRECT(""&amp;IF(COLUMN(FF93)&lt;=26,CHAR(COLUMN(FF93)+64),CHAR(INT((COLUMN(FF93)-1)/26)+64)&amp;CHAR(MOD(COLUMN(FF93)-1,26)+65))&amp;$FI93&amp;""),"")</f>
        <v/>
      </c>
    </row>
    <row r="94" spans="1:175" ht="22.2" customHeight="1" x14ac:dyDescent="0.45">
      <c r="EU94" s="82">
        <f t="shared" si="6"/>
        <v>77</v>
      </c>
      <c r="EV94" s="82" t="str">
        <f t="array" aca="1" ref="EV9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LEN(SUBSTITUTE(_xlfn.FORMULATEXT(EV$73),"=","")))+$EU94)</f>
        <v/>
      </c>
      <c r="EW94" s="82" t="str">
        <f t="array" aca="1" ref="EW9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LEN(SUBSTITUTE(_xlfn.FORMULATEXT(EW$73),"=","")))+$EU94)</f>
        <v/>
      </c>
      <c r="EX94" s="82" t="str">
        <f t="array" aca="1" ref="EX9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LEN(SUBSTITUTE(_xlfn.FORMULATEXT(EX$73),"=","")))+$EU94)</f>
        <v/>
      </c>
      <c r="EY94" s="82" t="str">
        <f t="array" aca="1" ref="EY9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LEN(SUBSTITUTE(_xlfn.FORMULATEXT(EY$73),"=","")))+$EU94)</f>
        <v/>
      </c>
      <c r="EZ94" s="82" t="str">
        <f t="array" aca="1" ref="EZ9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LEN(SUBSTITUTE(_xlfn.FORMULATEXT(EZ$73),"=","")))+$EU94)</f>
        <v/>
      </c>
      <c r="FA94" s="82" t="str">
        <f t="array" aca="1" ref="FA9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LEN(SUBSTITUTE(_xlfn.FORMULATEXT(FA$73),"=","")))+$EU94)</f>
        <v/>
      </c>
      <c r="FB94" s="82" t="str">
        <f t="array" aca="1" ref="FB9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LEN(SUBSTITUTE(_xlfn.FORMULATEXT(FB$73),"=","")))+$EU94)</f>
        <v/>
      </c>
      <c r="FC94" s="82" t="str">
        <f t="array" aca="1" ref="FC9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LEN(SUBSTITUTE(_xlfn.FORMULATEXT(FC$73),"=","")))+$EU94)</f>
        <v/>
      </c>
      <c r="FD94" s="82" t="str">
        <f t="array" aca="1" ref="FD9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LEN(SUBSTITUTE(_xlfn.FORMULATEXT(FD$73),"=","")))+$EU94)</f>
        <v/>
      </c>
      <c r="FE94" s="82" t="str">
        <f t="array" aca="1" ref="FE9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LEN(SUBSTITUTE(_xlfn.FORMULATEXT(FE$73),"=","")))+$EU94)</f>
        <v/>
      </c>
      <c r="FF94" s="82" t="str">
        <f t="array" aca="1" ref="FF9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LEN(SUBSTITUTE(_xlfn.FORMULATEXT(FF$73),"=","")))+$EU94)</f>
        <v/>
      </c>
      <c r="FG94" s="82">
        <f t="shared" ca="1" si="5"/>
        <v>0</v>
      </c>
      <c r="FH94" s="82" t="b">
        <f t="array" aca="1" ref="FH94" ca="1">SUMPRODUCT((LEN(EV94:FF94)&gt;0)*1)&gt;0</f>
        <v>0</v>
      </c>
      <c r="FI94" s="82" t="str">
        <f t="array" aca="1" ref="FI94" ca="1">IFERROR(SMALL(IF(FG$1:FG$173&lt;&gt;0,FG$1:FG$173),ROW(A94)),"")</f>
        <v/>
      </c>
      <c r="FJ94" s="82" t="str">
        <f t="array" aca="1" ref="FJ94" ca="1">IF($FI94&lt;&gt;"",
INDIRECT(""&amp;IF(COLUMN(EV94)&lt;=26,CHAR(COLUMN(EV94)+64),CHAR(INT((COLUMN(EV94)-1)/26)+64)&amp;CHAR(MOD(COLUMN(EV94)-1,26)+65))&amp;$FI94&amp;""),"")</f>
        <v/>
      </c>
      <c r="FK94" s="82" t="str">
        <f t="array" aca="1" ref="FK94" ca="1">IF($FI94&lt;&gt;"",
INDIRECT(""&amp;IF(COLUMN(EW94)&lt;=26,CHAR(COLUMN(EW94)+64),CHAR(INT((COLUMN(EW94)-1)/26)+64)&amp;CHAR(MOD(COLUMN(EW94)-1,26)+65))&amp;$FI94&amp;""),"")</f>
        <v/>
      </c>
      <c r="FL94" s="82" t="str">
        <f t="array" aca="1" ref="FL94" ca="1">IF($FI94&lt;&gt;"",
INDIRECT(""&amp;IF(COLUMN(EX94)&lt;=26,CHAR(COLUMN(EX94)+64),CHAR(INT((COLUMN(EX94)-1)/26)+64)&amp;CHAR(MOD(COLUMN(EX94)-1,26)+65))&amp;$FI94&amp;""),"")</f>
        <v/>
      </c>
      <c r="FM94" s="82" t="str">
        <f t="array" aca="1" ref="FM94" ca="1">IF($FI94&lt;&gt;"",
IF(FL94="",
IF(INDIRECT("EY"&amp;$FI94&amp;"")&lt;&gt;"",
INDIRECT("EY"&amp;$FI94&amp;"")&amp;"箱"
&amp;INDIRECT("EZ"&amp;$FI94&amp;""),""),""),"")</f>
        <v/>
      </c>
      <c r="FN94" s="82" t="str">
        <f t="array" aca="1" ref="FN94" ca="1">IF($FI94&lt;&gt;"",
INDIRECT(""&amp;IF(COLUMN(FA94)&lt;=26,CHAR(COLUMN(FA94)+64),CHAR(INT((COLUMN(FA94)-1)/26)+64)&amp;CHAR(MOD(COLUMN(FA94)-1,26)+65))&amp;$FI94&amp;""),"")</f>
        <v/>
      </c>
      <c r="FO94" s="82" t="str">
        <f t="array" aca="1" ref="FO94" ca="1">IF($FI94&lt;&gt;"",
INDIRECT(""&amp;IF(COLUMN(FB94)&lt;=26,CHAR(COLUMN(FB94)+64),CHAR(INT((COLUMN(FB94)-1)/26)+64)&amp;CHAR(MOD(COLUMN(FB94)-1,26)+65))&amp;$FI94&amp;""),"")</f>
        <v/>
      </c>
      <c r="FP94" s="82" t="str">
        <f t="array" aca="1" ref="FP94" ca="1">IF($FI94&lt;&gt;"",
INDIRECT(""&amp;IF(COLUMN(FC94)&lt;=26,CHAR(COLUMN(FC94)+64),CHAR(INT((COLUMN(FC94)-1)/26)+64)&amp;CHAR(MOD(COLUMN(FC94)-1,26)+65))&amp;$FI94&amp;""),"")</f>
        <v/>
      </c>
      <c r="FQ94" s="82" t="str">
        <f t="array" aca="1" ref="FQ94" ca="1">IF($FI94&lt;&gt;"",
INDIRECT(""&amp;IF(COLUMN(FD94)&lt;=26,CHAR(COLUMN(FD94)+64),CHAR(INT((COLUMN(FD94)-1)/26)+64)&amp;CHAR(MOD(COLUMN(FD94)-1,26)+65))&amp;$FI94&amp;""),"")</f>
        <v/>
      </c>
      <c r="FR94" s="82" t="str">
        <f t="array" aca="1" ref="FR94" ca="1">IF($FI94&lt;&gt;"",
INDIRECT(""&amp;IF(COLUMN(FE94)&lt;=26,CHAR(COLUMN(FE94)+64),CHAR(INT((COLUMN(FE94)-1)/26)+64)&amp;CHAR(MOD(COLUMN(FE94)-1,26)+65))&amp;$FI94&amp;""),"")</f>
        <v/>
      </c>
      <c r="FS94" s="82" t="str">
        <f t="array" aca="1" ref="FS94" ca="1">IF($FI94&lt;&gt;"",
INDIRECT(""&amp;IF(COLUMN(FF94)&lt;=26,CHAR(COLUMN(FF94)+64),CHAR(INT((COLUMN(FF94)-1)/26)+64)&amp;CHAR(MOD(COLUMN(FF94)-1,26)+65))&amp;$FI94&amp;""),"")</f>
        <v/>
      </c>
    </row>
    <row r="95" spans="1:175" ht="22.2" customHeight="1" x14ac:dyDescent="0.45">
      <c r="EU95" s="91">
        <f t="shared" si="6"/>
        <v>35</v>
      </c>
      <c r="EV95" s="82" t="str">
        <f t="array" aca="1" ref="EV95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LEN(SUBSTITUTE(_xlfn.FORMULATEXT(EV$75),"=","")))+$EU95)</f>
        <v/>
      </c>
      <c r="EW95" s="82" t="str">
        <f t="array" aca="1" ref="EW95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LEN(SUBSTITUTE(_xlfn.FORMULATEXT(EW$75),"=","")))+$EU95)</f>
        <v/>
      </c>
      <c r="EX95" s="82" t="str">
        <f t="array" aca="1" ref="EX95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LEN(SUBSTITUTE(_xlfn.FORMULATEXT(EX$75),"=","")))+$EU95)</f>
        <v/>
      </c>
      <c r="EY95" s="82" t="str">
        <f t="array" aca="1" ref="EY95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LEN(SUBSTITUTE(_xlfn.FORMULATEXT(EY$75),"=","")))+$EU95)</f>
        <v/>
      </c>
      <c r="EZ95" s="82" t="str">
        <f t="array" aca="1" ref="EZ95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LEN(SUBSTITUTE(_xlfn.FORMULATEXT(EZ$75),"=","")))+$EU95)</f>
        <v/>
      </c>
      <c r="FA95" s="82" t="e">
        <f t="array" aca="1" ref="FA95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LEN(SUBSTITUTE(_xlfn.FORMULATEXT(FA$75),"=","")))+$EU95)</f>
        <v>#VALUE!</v>
      </c>
      <c r="FB95" s="82" t="str">
        <f t="array" aca="1" ref="FB95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LEN(SUBSTITUTE(_xlfn.FORMULATEXT(FB$75),"=","")))+$EU95)</f>
        <v/>
      </c>
      <c r="FC95" s="82" t="str">
        <f t="array" aca="1" ref="FC95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LEN(SUBSTITUTE(_xlfn.FORMULATEXT(FC$75),"=","")))+$EU95)</f>
        <v/>
      </c>
      <c r="FD95" s="82" t="e">
        <f t="array" aca="1" ref="FD95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LEN(SUBSTITUTE(_xlfn.FORMULATEXT(FD$75),"=","")))+$EU95)</f>
        <v>#VALUE!</v>
      </c>
      <c r="FE95" s="82" t="str">
        <f t="array" aca="1" ref="FE95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LEN(SUBSTITUTE(_xlfn.FORMULATEXT(FE$75),"=","")))+$EU95)</f>
        <v/>
      </c>
      <c r="FF95" s="82" t="e">
        <f t="array" aca="1" ref="FF95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LEN(SUBSTITUTE(_xlfn.FORMULATEXT(FF$75),"=","")))+$EU95)</f>
        <v>#N/A</v>
      </c>
      <c r="FG95" s="82">
        <f t="shared" ca="1" si="5"/>
        <v>0</v>
      </c>
      <c r="FH95" s="82" t="e">
        <f t="array" aca="1" ref="FH95" ca="1">SUMPRODUCT((LEN(EV95:FF95)&gt;0)*1)&gt;0</f>
        <v>#VALUE!</v>
      </c>
      <c r="FI95" s="82" t="str">
        <f t="array" aca="1" ref="FI95" ca="1">IFERROR(SMALL(IF(FG$1:FG$173&lt;&gt;0,FG$1:FG$173),ROW(A95)),"")</f>
        <v/>
      </c>
      <c r="FJ95" s="82" t="str">
        <f t="array" aca="1" ref="FJ95" ca="1">IF($FI95&lt;&gt;"",
INDIRECT(""&amp;IF(COLUMN(EV95)&lt;=26,CHAR(COLUMN(EV95)+64),CHAR(INT((COLUMN(EV95)-1)/26)+64)&amp;CHAR(MOD(COLUMN(EV95)-1,26)+65))&amp;$FI95&amp;""),"")</f>
        <v/>
      </c>
      <c r="FK95" s="82" t="str">
        <f t="array" aca="1" ref="FK95" ca="1">IF($FI95&lt;&gt;"",
INDIRECT(""&amp;IF(COLUMN(EW95)&lt;=26,CHAR(COLUMN(EW95)+64),CHAR(INT((COLUMN(EW95)-1)/26)+64)&amp;CHAR(MOD(COLUMN(EW95)-1,26)+65))&amp;$FI95&amp;""),"")</f>
        <v/>
      </c>
      <c r="FL95" s="82" t="str">
        <f t="array" aca="1" ref="FL95" ca="1">IF($FI95&lt;&gt;"",
INDIRECT(""&amp;IF(COLUMN(EX95)&lt;=26,CHAR(COLUMN(EX95)+64),CHAR(INT((COLUMN(EX95)-1)/26)+64)&amp;CHAR(MOD(COLUMN(EX95)-1,26)+65))&amp;$FI95&amp;""),"")</f>
        <v/>
      </c>
      <c r="FM95" s="82" t="str">
        <f t="array" aca="1" ref="FM95" ca="1">IF($FI95&lt;&gt;"",
IF(FL95="",
IF(INDIRECT("EY"&amp;$FI95&amp;"")&lt;&gt;"",
INDIRECT("EY"&amp;$FI95&amp;"")&amp;"箱"
&amp;INDIRECT("EZ"&amp;$FI95&amp;""),""),""),"")</f>
        <v/>
      </c>
      <c r="FN95" s="82" t="str">
        <f t="array" aca="1" ref="FN95" ca="1">IF($FI95&lt;&gt;"",
INDIRECT(""&amp;IF(COLUMN(FA95)&lt;=26,CHAR(COLUMN(FA95)+64),CHAR(INT((COLUMN(FA95)-1)/26)+64)&amp;CHAR(MOD(COLUMN(FA95)-1,26)+65))&amp;$FI95&amp;""),"")</f>
        <v/>
      </c>
      <c r="FO95" s="82" t="str">
        <f t="array" aca="1" ref="FO95" ca="1">IF($FI95&lt;&gt;"",
INDIRECT(""&amp;IF(COLUMN(FB95)&lt;=26,CHAR(COLUMN(FB95)+64),CHAR(INT((COLUMN(FB95)-1)/26)+64)&amp;CHAR(MOD(COLUMN(FB95)-1,26)+65))&amp;$FI95&amp;""),"")</f>
        <v/>
      </c>
      <c r="FP95" s="82" t="str">
        <f t="array" aca="1" ref="FP95" ca="1">IF($FI95&lt;&gt;"",
INDIRECT(""&amp;IF(COLUMN(FC95)&lt;=26,CHAR(COLUMN(FC95)+64),CHAR(INT((COLUMN(FC95)-1)/26)+64)&amp;CHAR(MOD(COLUMN(FC95)-1,26)+65))&amp;$FI95&amp;""),"")</f>
        <v/>
      </c>
      <c r="FQ95" s="82" t="str">
        <f t="array" aca="1" ref="FQ95" ca="1">IF($FI95&lt;&gt;"",
INDIRECT(""&amp;IF(COLUMN(FD95)&lt;=26,CHAR(COLUMN(FD95)+64),CHAR(INT((COLUMN(FD95)-1)/26)+64)&amp;CHAR(MOD(COLUMN(FD95)-1,26)+65))&amp;$FI95&amp;""),"")</f>
        <v/>
      </c>
      <c r="FR95" s="82" t="str">
        <f t="array" aca="1" ref="FR95" ca="1">IF($FI95&lt;&gt;"",
INDIRECT(""&amp;IF(COLUMN(FE95)&lt;=26,CHAR(COLUMN(FE95)+64),CHAR(INT((COLUMN(FE95)-1)/26)+64)&amp;CHAR(MOD(COLUMN(FE95)-1,26)+65))&amp;$FI95&amp;""),"")</f>
        <v/>
      </c>
      <c r="FS95" s="82" t="str">
        <f t="array" aca="1" ref="FS95" ca="1">IF($FI95&lt;&gt;"",
INDIRECT(""&amp;IF(COLUMN(FF95)&lt;=26,CHAR(COLUMN(FF95)+64),CHAR(INT((COLUMN(FF95)-1)/26)+64)&amp;CHAR(MOD(COLUMN(FF95)-1,26)+65))&amp;$FI95&amp;""),"")</f>
        <v/>
      </c>
    </row>
    <row r="96" spans="1:175" ht="22.2" customHeight="1" x14ac:dyDescent="0.45">
      <c r="EU96" s="82">
        <f t="shared" si="6"/>
        <v>77</v>
      </c>
      <c r="EV96" s="82" t="str">
        <f t="array" aca="1" ref="EV96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LEN(SUBSTITUTE(_xlfn.FORMULATEXT(EV$75),"=","")))+$EU96)</f>
        <v/>
      </c>
      <c r="EW96" s="82" t="str">
        <f t="array" aca="1" ref="EW96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LEN(SUBSTITUTE(_xlfn.FORMULATEXT(EW$75),"=","")))+$EU96)</f>
        <v/>
      </c>
      <c r="EX96" s="82" t="str">
        <f t="array" aca="1" ref="EX96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LEN(SUBSTITUTE(_xlfn.FORMULATEXT(EX$75),"=","")))+$EU96)</f>
        <v/>
      </c>
      <c r="EY96" s="82" t="str">
        <f t="array" aca="1" ref="EY96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LEN(SUBSTITUTE(_xlfn.FORMULATEXT(EY$75),"=","")))+$EU96)</f>
        <v/>
      </c>
      <c r="EZ96" s="82" t="str">
        <f t="array" aca="1" ref="EZ96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LEN(SUBSTITUTE(_xlfn.FORMULATEXT(EZ$75),"=","")))+$EU96)</f>
        <v/>
      </c>
      <c r="FA96" s="82" t="str">
        <f t="array" aca="1" ref="FA96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LEN(SUBSTITUTE(_xlfn.FORMULATEXT(FA$75),"=","")))+$EU96)</f>
        <v/>
      </c>
      <c r="FB96" s="82" t="str">
        <f t="array" aca="1" ref="FB96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LEN(SUBSTITUTE(_xlfn.FORMULATEXT(FB$75),"=","")))+$EU96)</f>
        <v/>
      </c>
      <c r="FC96" s="82" t="str">
        <f t="array" aca="1" ref="FC96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LEN(SUBSTITUTE(_xlfn.FORMULATEXT(FC$75),"=","")))+$EU96)</f>
        <v/>
      </c>
      <c r="FD96" s="82" t="str">
        <f t="array" aca="1" ref="FD96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LEN(SUBSTITUTE(_xlfn.FORMULATEXT(FD$75),"=","")))+$EU96)</f>
        <v/>
      </c>
      <c r="FE96" s="82" t="str">
        <f t="array" aca="1" ref="FE96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LEN(SUBSTITUTE(_xlfn.FORMULATEXT(FE$75),"=","")))+$EU96)</f>
        <v/>
      </c>
      <c r="FF96" s="82" t="str">
        <f t="array" aca="1" ref="FF96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LEN(SUBSTITUTE(_xlfn.FORMULATEXT(FF$75),"=","")))+$EU96)</f>
        <v/>
      </c>
      <c r="FG96" s="82">
        <f t="shared" ca="1" si="5"/>
        <v>0</v>
      </c>
      <c r="FH96" s="82" t="b">
        <f t="array" aca="1" ref="FH96" ca="1">SUMPRODUCT((LEN(EV96:FF96)&gt;0)*1)&gt;0</f>
        <v>0</v>
      </c>
      <c r="FI96" s="82" t="str">
        <f t="array" aca="1" ref="FI96" ca="1">IFERROR(SMALL(IF(FG$1:FG$173&lt;&gt;0,FG$1:FG$173),ROW(A96)),"")</f>
        <v/>
      </c>
      <c r="FJ96" s="82" t="str">
        <f t="array" aca="1" ref="FJ96" ca="1">IF($FI96&lt;&gt;"",
INDIRECT(""&amp;IF(COLUMN(EV96)&lt;=26,CHAR(COLUMN(EV96)+64),CHAR(INT((COLUMN(EV96)-1)/26)+64)&amp;CHAR(MOD(COLUMN(EV96)-1,26)+65))&amp;$FI96&amp;""),"")</f>
        <v/>
      </c>
      <c r="FK96" s="82" t="str">
        <f t="array" aca="1" ref="FK96" ca="1">IF($FI96&lt;&gt;"",
INDIRECT(""&amp;IF(COLUMN(EW96)&lt;=26,CHAR(COLUMN(EW96)+64),CHAR(INT((COLUMN(EW96)-1)/26)+64)&amp;CHAR(MOD(COLUMN(EW96)-1,26)+65))&amp;$FI96&amp;""),"")</f>
        <v/>
      </c>
      <c r="FL96" s="82" t="str">
        <f t="array" aca="1" ref="FL96" ca="1">IF($FI96&lt;&gt;"",
INDIRECT(""&amp;IF(COLUMN(EX96)&lt;=26,CHAR(COLUMN(EX96)+64),CHAR(INT((COLUMN(EX96)-1)/26)+64)&amp;CHAR(MOD(COLUMN(EX96)-1,26)+65))&amp;$FI96&amp;""),"")</f>
        <v/>
      </c>
      <c r="FM96" s="82" t="str">
        <f t="array" aca="1" ref="FM96" ca="1">IF($FI96&lt;&gt;"",
IF(FL96="",
IF(INDIRECT("EY"&amp;$FI96&amp;"")&lt;&gt;"",
INDIRECT("EY"&amp;$FI96&amp;"")&amp;"箱"
&amp;INDIRECT("EZ"&amp;$FI96&amp;""),""),""),"")</f>
        <v/>
      </c>
      <c r="FN96" s="82" t="str">
        <f t="array" aca="1" ref="FN96" ca="1">IF($FI96&lt;&gt;"",
INDIRECT(""&amp;IF(COLUMN(FA96)&lt;=26,CHAR(COLUMN(FA96)+64),CHAR(INT((COLUMN(FA96)-1)/26)+64)&amp;CHAR(MOD(COLUMN(FA96)-1,26)+65))&amp;$FI96&amp;""),"")</f>
        <v/>
      </c>
      <c r="FO96" s="82" t="str">
        <f t="array" aca="1" ref="FO96" ca="1">IF($FI96&lt;&gt;"",
INDIRECT(""&amp;IF(COLUMN(FB96)&lt;=26,CHAR(COLUMN(FB96)+64),CHAR(INT((COLUMN(FB96)-1)/26)+64)&amp;CHAR(MOD(COLUMN(FB96)-1,26)+65))&amp;$FI96&amp;""),"")</f>
        <v/>
      </c>
      <c r="FP96" s="82" t="str">
        <f t="array" aca="1" ref="FP96" ca="1">IF($FI96&lt;&gt;"",
INDIRECT(""&amp;IF(COLUMN(FC96)&lt;=26,CHAR(COLUMN(FC96)+64),CHAR(INT((COLUMN(FC96)-1)/26)+64)&amp;CHAR(MOD(COLUMN(FC96)-1,26)+65))&amp;$FI96&amp;""),"")</f>
        <v/>
      </c>
      <c r="FQ96" s="82" t="str">
        <f t="array" aca="1" ref="FQ96" ca="1">IF($FI96&lt;&gt;"",
INDIRECT(""&amp;IF(COLUMN(FD96)&lt;=26,CHAR(COLUMN(FD96)+64),CHAR(INT((COLUMN(FD96)-1)/26)+64)&amp;CHAR(MOD(COLUMN(FD96)-1,26)+65))&amp;$FI96&amp;""),"")</f>
        <v/>
      </c>
      <c r="FR96" s="82" t="str">
        <f t="array" aca="1" ref="FR96" ca="1">IF($FI96&lt;&gt;"",
INDIRECT(""&amp;IF(COLUMN(FE96)&lt;=26,CHAR(COLUMN(FE96)+64),CHAR(INT((COLUMN(FE96)-1)/26)+64)&amp;CHAR(MOD(COLUMN(FE96)-1,26)+65))&amp;$FI96&amp;""),"")</f>
        <v/>
      </c>
      <c r="FS96" s="82" t="str">
        <f t="array" aca="1" ref="FS96" ca="1">IF($FI96&lt;&gt;"",
INDIRECT(""&amp;IF(COLUMN(FF96)&lt;=26,CHAR(COLUMN(FF96)+64),CHAR(INT((COLUMN(FF96)-1)/26)+64)&amp;CHAR(MOD(COLUMN(FF96)-1,26)+65))&amp;$FI96&amp;""),"")</f>
        <v/>
      </c>
    </row>
    <row r="97" spans="151:175" ht="22.2" customHeight="1" x14ac:dyDescent="0.45">
      <c r="EU97" s="82"/>
      <c r="EV97" s="83" t="str">
        <f ca="1">BK1</f>
        <v/>
      </c>
      <c r="EW97" s="83" t="str">
        <f ca="1">BK2</f>
        <v/>
      </c>
      <c r="EX97" s="83" t="str">
        <f ca="1">BM2</f>
        <v/>
      </c>
      <c r="EY97" s="84" t="str">
        <f ca="1">BN2</f>
        <v/>
      </c>
      <c r="EZ97" s="84" t="str">
        <f ca="1">BO2</f>
        <v/>
      </c>
      <c r="FA97" s="83" t="e">
        <f ca="1">BK4</f>
        <v>#VALUE!</v>
      </c>
      <c r="FB97" s="83" t="str">
        <f ca="1">BM4</f>
        <v/>
      </c>
      <c r="FC97" s="83" t="str">
        <f ca="1">BK6</f>
        <v/>
      </c>
      <c r="FD97" s="83" t="e">
        <f ca="1">BJ7</f>
        <v>#VALUE!</v>
      </c>
      <c r="FE97" s="83" t="str">
        <f ca="1">BL7</f>
        <v/>
      </c>
      <c r="FF97" s="83" t="e">
        <f ca="1">BN7</f>
        <v>#N/A</v>
      </c>
      <c r="FG97" s="82">
        <f t="shared" ref="FG97:FG128" ca="1" si="7">IF(COUNTIF(FH97,"TRUE"),ROW(),0)</f>
        <v>0</v>
      </c>
      <c r="FH97" s="82" t="e">
        <f t="array" aca="1" ref="FH97" ca="1">SUMPRODUCT((LEN(EV97:FF97)&gt;0)*1)&gt;0</f>
        <v>#VALUE!</v>
      </c>
      <c r="FI97" s="82" t="str">
        <f t="array" aca="1" ref="FI97" ca="1">IFERROR(SMALL(IF(FG$1:FG$173&lt;&gt;0,FG$1:FG$173),ROW(A97)),"")</f>
        <v/>
      </c>
      <c r="FJ97" s="82" t="str">
        <f t="array" aca="1" ref="FJ97" ca="1">IF($FI97&lt;&gt;"",
INDIRECT(""&amp;IF(COLUMN(EV97)&lt;=26,CHAR(COLUMN(EV97)+64),CHAR(INT((COLUMN(EV97)-1)/26)+64)&amp;CHAR(MOD(COLUMN(EV97)-1,26)+65))&amp;$FI97&amp;""),"")</f>
        <v/>
      </c>
      <c r="FK97" s="82" t="str">
        <f t="array" aca="1" ref="FK97" ca="1">IF($FI97&lt;&gt;"",
INDIRECT(""&amp;IF(COLUMN(EW97)&lt;=26,CHAR(COLUMN(EW97)+64),CHAR(INT((COLUMN(EW97)-1)/26)+64)&amp;CHAR(MOD(COLUMN(EW97)-1,26)+65))&amp;$FI97&amp;""),"")</f>
        <v/>
      </c>
      <c r="FL97" s="82" t="str">
        <f t="array" aca="1" ref="FL97" ca="1">IF($FI97&lt;&gt;"",
INDIRECT(""&amp;IF(COLUMN(EX97)&lt;=26,CHAR(COLUMN(EX97)+64),CHAR(INT((COLUMN(EX97)-1)/26)+64)&amp;CHAR(MOD(COLUMN(EX97)-1,26)+65))&amp;$FI97&amp;""),"")</f>
        <v/>
      </c>
      <c r="FM97" s="82" t="str">
        <f t="array" aca="1" ref="FM97" ca="1">IF($FI97&lt;&gt;"",
IF(FL97="",
IF(INDIRECT("EY"&amp;$FI97&amp;"")&lt;&gt;"",
INDIRECT("EY"&amp;$FI97&amp;"")&amp;"箱"
&amp;INDIRECT("EZ"&amp;$FI97&amp;""),""),""),"")</f>
        <v/>
      </c>
      <c r="FN97" s="82" t="str">
        <f t="array" aca="1" ref="FN97" ca="1">IF($FI97&lt;&gt;"",
INDIRECT(""&amp;IF(COLUMN(FA97)&lt;=26,CHAR(COLUMN(FA97)+64),CHAR(INT((COLUMN(FA97)-1)/26)+64)&amp;CHAR(MOD(COLUMN(FA97)-1,26)+65))&amp;$FI97&amp;""),"")</f>
        <v/>
      </c>
      <c r="FO97" s="82" t="str">
        <f t="array" aca="1" ref="FO97" ca="1">IF($FI97&lt;&gt;"",
INDIRECT(""&amp;IF(COLUMN(FB97)&lt;=26,CHAR(COLUMN(FB97)+64),CHAR(INT((COLUMN(FB97)-1)/26)+64)&amp;CHAR(MOD(COLUMN(FB97)-1,26)+65))&amp;$FI97&amp;""),"")</f>
        <v/>
      </c>
      <c r="FP97" s="82" t="str">
        <f t="array" aca="1" ref="FP97" ca="1">IF($FI97&lt;&gt;"",
INDIRECT(""&amp;IF(COLUMN(FC97)&lt;=26,CHAR(COLUMN(FC97)+64),CHAR(INT((COLUMN(FC97)-1)/26)+64)&amp;CHAR(MOD(COLUMN(FC97)-1,26)+65))&amp;$FI97&amp;""),"")</f>
        <v/>
      </c>
      <c r="FQ97" s="82" t="str">
        <f t="array" aca="1" ref="FQ97" ca="1">IF($FI97&lt;&gt;"",
INDIRECT(""&amp;IF(COLUMN(FD97)&lt;=26,CHAR(COLUMN(FD97)+64),CHAR(INT((COLUMN(FD97)-1)/26)+64)&amp;CHAR(MOD(COLUMN(FD97)-1,26)+65))&amp;$FI97&amp;""),"")</f>
        <v/>
      </c>
      <c r="FR97" s="82" t="str">
        <f t="array" aca="1" ref="FR97" ca="1">IF($FI97&lt;&gt;"",
INDIRECT(""&amp;IF(COLUMN(FE97)&lt;=26,CHAR(COLUMN(FE97)+64),CHAR(INT((COLUMN(FE97)-1)/26)+64)&amp;CHAR(MOD(COLUMN(FE97)-1,26)+65))&amp;$FI97&amp;""),"")</f>
        <v/>
      </c>
      <c r="FS97" s="82" t="str">
        <f t="array" aca="1" ref="FS97" ca="1">IF($FI97&lt;&gt;"",
INDIRECT(""&amp;IF(COLUMN(FF97)&lt;=26,CHAR(COLUMN(FF97)+64),CHAR(INT((COLUMN(FF97)-1)/26)+64)&amp;CHAR(MOD(COLUMN(FF97)-1,26)+65))&amp;$FI97&amp;""),"")</f>
        <v/>
      </c>
    </row>
    <row r="98" spans="151:175" ht="22.2" customHeight="1" x14ac:dyDescent="0.45">
      <c r="EU98" s="82">
        <v>42</v>
      </c>
      <c r="EV98" s="82" t="str">
        <f t="array" aca="1" ref="EV98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LEN(SUBSTITUTE(_xlfn.FORMULATEXT(EV$97),"=","")))+$EU98)</f>
        <v/>
      </c>
      <c r="EW98" s="82" t="str">
        <f t="array" aca="1" ref="EW98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LEN(SUBSTITUTE(_xlfn.FORMULATEXT(EW$97),"=","")))+$EU98)</f>
        <v/>
      </c>
      <c r="EX98" s="82" t="str">
        <f t="array" aca="1" ref="EX98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LEN(SUBSTITUTE(_xlfn.FORMULATEXT(EX$97),"=","")))+$EU98)</f>
        <v/>
      </c>
      <c r="EY98" s="82" t="str">
        <f t="array" aca="1" ref="EY98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LEN(SUBSTITUTE(_xlfn.FORMULATEXT(EY$97),"=","")))+$EU98)</f>
        <v/>
      </c>
      <c r="EZ98" s="82" t="str">
        <f t="array" aca="1" ref="EZ98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LEN(SUBSTITUTE(_xlfn.FORMULATEXT(EZ$97),"=","")))+$EU98)</f>
        <v/>
      </c>
      <c r="FA98" s="82" t="str">
        <f t="array" aca="1" ref="FA98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LEN(SUBSTITUTE(_xlfn.FORMULATEXT(FA$97),"=","")))+$EU98)</f>
        <v/>
      </c>
      <c r="FB98" s="82" t="str">
        <f t="array" aca="1" ref="FB98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LEN(SUBSTITUTE(_xlfn.FORMULATEXT(FB$97),"=","")))+$EU98)</f>
        <v/>
      </c>
      <c r="FC98" s="82" t="str">
        <f t="array" aca="1" ref="FC98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LEN(SUBSTITUTE(_xlfn.FORMULATEXT(FC$97),"=","")))+$EU98)</f>
        <v/>
      </c>
      <c r="FD98" s="82" t="str">
        <f t="array" aca="1" ref="FD98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LEN(SUBSTITUTE(_xlfn.FORMULATEXT(FD$97),"=","")))+$EU98)</f>
        <v/>
      </c>
      <c r="FE98" s="82" t="str">
        <f t="array" aca="1" ref="FE98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LEN(SUBSTITUTE(_xlfn.FORMULATEXT(FE$97),"=","")))+$EU98)</f>
        <v/>
      </c>
      <c r="FF98" s="82" t="str">
        <f t="array" aca="1" ref="FF98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LEN(SUBSTITUTE(_xlfn.FORMULATEXT(FF$97),"=","")))+$EU98)</f>
        <v/>
      </c>
      <c r="FG98" s="82">
        <f t="shared" ca="1" si="7"/>
        <v>0</v>
      </c>
      <c r="FH98" s="82" t="b">
        <f t="array" aca="1" ref="FH98" ca="1">SUMPRODUCT((LEN(EV98:FF98)&gt;0)*1)&gt;0</f>
        <v>0</v>
      </c>
      <c r="FI98" s="82" t="str">
        <f t="array" aca="1" ref="FI98" ca="1">IFERROR(SMALL(IF(FG$1:FG$173&lt;&gt;0,FG$1:FG$173),ROW(A98)),"")</f>
        <v/>
      </c>
      <c r="FJ98" s="82" t="str">
        <f t="array" aca="1" ref="FJ98" ca="1">IF($FI98&lt;&gt;"",
INDIRECT(""&amp;IF(COLUMN(EV98)&lt;=26,CHAR(COLUMN(EV98)+64),CHAR(INT((COLUMN(EV98)-1)/26)+64)&amp;CHAR(MOD(COLUMN(EV98)-1,26)+65))&amp;$FI98&amp;""),"")</f>
        <v/>
      </c>
      <c r="FK98" s="82" t="str">
        <f t="array" aca="1" ref="FK98" ca="1">IF($FI98&lt;&gt;"",
INDIRECT(""&amp;IF(COLUMN(EW98)&lt;=26,CHAR(COLUMN(EW98)+64),CHAR(INT((COLUMN(EW98)-1)/26)+64)&amp;CHAR(MOD(COLUMN(EW98)-1,26)+65))&amp;$FI98&amp;""),"")</f>
        <v/>
      </c>
      <c r="FL98" s="82" t="str">
        <f t="array" aca="1" ref="FL98" ca="1">IF($FI98&lt;&gt;"",
INDIRECT(""&amp;IF(COLUMN(EX98)&lt;=26,CHAR(COLUMN(EX98)+64),CHAR(INT((COLUMN(EX98)-1)/26)+64)&amp;CHAR(MOD(COLUMN(EX98)-1,26)+65))&amp;$FI98&amp;""),"")</f>
        <v/>
      </c>
      <c r="FM98" s="82" t="str">
        <f t="array" aca="1" ref="FM98" ca="1">IF($FI98&lt;&gt;"",
IF(FL98="",
IF(INDIRECT("EY"&amp;$FI98&amp;"")&lt;&gt;"",
INDIRECT("EY"&amp;$FI98&amp;"")&amp;"箱"
&amp;INDIRECT("EZ"&amp;$FI98&amp;""),""),""),"")</f>
        <v/>
      </c>
      <c r="FN98" s="82" t="str">
        <f t="array" aca="1" ref="FN98" ca="1">IF($FI98&lt;&gt;"",
INDIRECT(""&amp;IF(COLUMN(FA98)&lt;=26,CHAR(COLUMN(FA98)+64),CHAR(INT((COLUMN(FA98)-1)/26)+64)&amp;CHAR(MOD(COLUMN(FA98)-1,26)+65))&amp;$FI98&amp;""),"")</f>
        <v/>
      </c>
      <c r="FO98" s="82" t="str">
        <f t="array" aca="1" ref="FO98" ca="1">IF($FI98&lt;&gt;"",
INDIRECT(""&amp;IF(COLUMN(FB98)&lt;=26,CHAR(COLUMN(FB98)+64),CHAR(INT((COLUMN(FB98)-1)/26)+64)&amp;CHAR(MOD(COLUMN(FB98)-1,26)+65))&amp;$FI98&amp;""),"")</f>
        <v/>
      </c>
      <c r="FP98" s="82" t="str">
        <f t="array" aca="1" ref="FP98" ca="1">IF($FI98&lt;&gt;"",
INDIRECT(""&amp;IF(COLUMN(FC98)&lt;=26,CHAR(COLUMN(FC98)+64),CHAR(INT((COLUMN(FC98)-1)/26)+64)&amp;CHAR(MOD(COLUMN(FC98)-1,26)+65))&amp;$FI98&amp;""),"")</f>
        <v/>
      </c>
      <c r="FQ98" s="82" t="str">
        <f t="array" aca="1" ref="FQ98" ca="1">IF($FI98&lt;&gt;"",
INDIRECT(""&amp;IF(COLUMN(FD98)&lt;=26,CHAR(COLUMN(FD98)+64),CHAR(INT((COLUMN(FD98)-1)/26)+64)&amp;CHAR(MOD(COLUMN(FD98)-1,26)+65))&amp;$FI98&amp;""),"")</f>
        <v/>
      </c>
      <c r="FR98" s="82" t="str">
        <f t="array" aca="1" ref="FR98" ca="1">IF($FI98&lt;&gt;"",
INDIRECT(""&amp;IF(COLUMN(FE98)&lt;=26,CHAR(COLUMN(FE98)+64),CHAR(INT((COLUMN(FE98)-1)/26)+64)&amp;CHAR(MOD(COLUMN(FE98)-1,26)+65))&amp;$FI98&amp;""),"")</f>
        <v/>
      </c>
      <c r="FS98" s="82" t="str">
        <f t="array" aca="1" ref="FS98" ca="1">IF($FI98&lt;&gt;"",
INDIRECT(""&amp;IF(COLUMN(FF98)&lt;=26,CHAR(COLUMN(FF98)+64),CHAR(INT((COLUMN(FF98)-1)/26)+64)&amp;CHAR(MOD(COLUMN(FF98)-1,26)+65))&amp;$FI98&amp;""),"")</f>
        <v/>
      </c>
    </row>
    <row r="99" spans="151:175" ht="22.2" customHeight="1" x14ac:dyDescent="0.45">
      <c r="EU99" s="82"/>
      <c r="EV99" s="83" t="str">
        <f ca="1">BR1</f>
        <v/>
      </c>
      <c r="EW99" s="83" t="str">
        <f ca="1">BR2</f>
        <v/>
      </c>
      <c r="EX99" s="83" t="str">
        <f ca="1">BT2</f>
        <v/>
      </c>
      <c r="EY99" s="84" t="str">
        <f ca="1">BU2</f>
        <v/>
      </c>
      <c r="EZ99" s="84" t="str">
        <f ca="1">BV2</f>
        <v/>
      </c>
      <c r="FA99" s="83" t="e">
        <f ca="1">BR4</f>
        <v>#VALUE!</v>
      </c>
      <c r="FB99" s="83" t="str">
        <f ca="1">BT4</f>
        <v/>
      </c>
      <c r="FC99" s="83" t="str">
        <f ca="1">BR6</f>
        <v/>
      </c>
      <c r="FD99" s="83" t="e">
        <f ca="1">BQ7</f>
        <v>#VALUE!</v>
      </c>
      <c r="FE99" s="83" t="str">
        <f ca="1">BS7</f>
        <v/>
      </c>
      <c r="FF99" s="83" t="e">
        <f ca="1">BU7</f>
        <v>#N/A</v>
      </c>
      <c r="FG99" s="82">
        <f t="shared" ca="1" si="7"/>
        <v>0</v>
      </c>
      <c r="FH99" s="82" t="e">
        <f t="array" aca="1" ref="FH99" ca="1">SUMPRODUCT((LEN(EV99:FF99)&gt;0)*1)&gt;0</f>
        <v>#VALUE!</v>
      </c>
      <c r="FI99" s="82" t="str">
        <f t="array" aca="1" ref="FI99" ca="1">IFERROR(SMALL(IF(FG$1:FG$173&lt;&gt;0,FG$1:FG$173),ROW(A99)),"")</f>
        <v/>
      </c>
      <c r="FJ99" s="82" t="str">
        <f t="array" aca="1" ref="FJ99" ca="1">IF($FI99&lt;&gt;"",
INDIRECT(""&amp;IF(COLUMN(EV99)&lt;=26,CHAR(COLUMN(EV99)+64),CHAR(INT((COLUMN(EV99)-1)/26)+64)&amp;CHAR(MOD(COLUMN(EV99)-1,26)+65))&amp;$FI99&amp;""),"")</f>
        <v/>
      </c>
      <c r="FK99" s="82" t="str">
        <f t="array" aca="1" ref="FK99" ca="1">IF($FI99&lt;&gt;"",
INDIRECT(""&amp;IF(COLUMN(EW99)&lt;=26,CHAR(COLUMN(EW99)+64),CHAR(INT((COLUMN(EW99)-1)/26)+64)&amp;CHAR(MOD(COLUMN(EW99)-1,26)+65))&amp;$FI99&amp;""),"")</f>
        <v/>
      </c>
      <c r="FL99" s="82" t="str">
        <f t="array" aca="1" ref="FL99" ca="1">IF($FI99&lt;&gt;"",
INDIRECT(""&amp;IF(COLUMN(EX99)&lt;=26,CHAR(COLUMN(EX99)+64),CHAR(INT((COLUMN(EX99)-1)/26)+64)&amp;CHAR(MOD(COLUMN(EX99)-1,26)+65))&amp;$FI99&amp;""),"")</f>
        <v/>
      </c>
      <c r="FM99" s="82" t="str">
        <f t="array" aca="1" ref="FM99" ca="1">IF($FI99&lt;&gt;"",
IF(FL99="",
IF(INDIRECT("EY"&amp;$FI99&amp;"")&lt;&gt;"",
INDIRECT("EY"&amp;$FI99&amp;"")&amp;"箱"
&amp;INDIRECT("EZ"&amp;$FI99&amp;""),""),""),"")</f>
        <v/>
      </c>
      <c r="FN99" s="82" t="str">
        <f t="array" aca="1" ref="FN99" ca="1">IF($FI99&lt;&gt;"",
INDIRECT(""&amp;IF(COLUMN(FA99)&lt;=26,CHAR(COLUMN(FA99)+64),CHAR(INT((COLUMN(FA99)-1)/26)+64)&amp;CHAR(MOD(COLUMN(FA99)-1,26)+65))&amp;$FI99&amp;""),"")</f>
        <v/>
      </c>
      <c r="FO99" s="82" t="str">
        <f t="array" aca="1" ref="FO99" ca="1">IF($FI99&lt;&gt;"",
INDIRECT(""&amp;IF(COLUMN(FB99)&lt;=26,CHAR(COLUMN(FB99)+64),CHAR(INT((COLUMN(FB99)-1)/26)+64)&amp;CHAR(MOD(COLUMN(FB99)-1,26)+65))&amp;$FI99&amp;""),"")</f>
        <v/>
      </c>
      <c r="FP99" s="82" t="str">
        <f t="array" aca="1" ref="FP99" ca="1">IF($FI99&lt;&gt;"",
INDIRECT(""&amp;IF(COLUMN(FC99)&lt;=26,CHAR(COLUMN(FC99)+64),CHAR(INT((COLUMN(FC99)-1)/26)+64)&amp;CHAR(MOD(COLUMN(FC99)-1,26)+65))&amp;$FI99&amp;""),"")</f>
        <v/>
      </c>
      <c r="FQ99" s="82" t="str">
        <f t="array" aca="1" ref="FQ99" ca="1">IF($FI99&lt;&gt;"",
INDIRECT(""&amp;IF(COLUMN(FD99)&lt;=26,CHAR(COLUMN(FD99)+64),CHAR(INT((COLUMN(FD99)-1)/26)+64)&amp;CHAR(MOD(COLUMN(FD99)-1,26)+65))&amp;$FI99&amp;""),"")</f>
        <v/>
      </c>
      <c r="FR99" s="82" t="str">
        <f t="array" aca="1" ref="FR99" ca="1">IF($FI99&lt;&gt;"",
INDIRECT(""&amp;IF(COLUMN(FE99)&lt;=26,CHAR(COLUMN(FE99)+64),CHAR(INT((COLUMN(FE99)-1)/26)+64)&amp;CHAR(MOD(COLUMN(FE99)-1,26)+65))&amp;$FI99&amp;""),"")</f>
        <v/>
      </c>
      <c r="FS99" s="82" t="str">
        <f t="array" aca="1" ref="FS99" ca="1">IF($FI99&lt;&gt;"",
INDIRECT(""&amp;IF(COLUMN(FF99)&lt;=26,CHAR(COLUMN(FF99)+64),CHAR(INT((COLUMN(FF99)-1)/26)+64)&amp;CHAR(MOD(COLUMN(FF99)-1,26)+65))&amp;$FI99&amp;""),"")</f>
        <v/>
      </c>
    </row>
    <row r="100" spans="151:175" ht="22.2" customHeight="1" x14ac:dyDescent="0.45">
      <c r="EU100" s="82">
        <v>42</v>
      </c>
      <c r="EV100" s="82" t="str">
        <f t="array" aca="1" ref="EV100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LEN(SUBSTITUTE(_xlfn.FORMULATEXT(EV$99),"=","")))+$EU100)</f>
        <v/>
      </c>
      <c r="EW100" s="82" t="str">
        <f t="array" aca="1" ref="EW100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LEN(SUBSTITUTE(_xlfn.FORMULATEXT(EW$99),"=","")))+$EU100)</f>
        <v/>
      </c>
      <c r="EX100" s="82" t="str">
        <f t="array" aca="1" ref="EX100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LEN(SUBSTITUTE(_xlfn.FORMULATEXT(EX$99),"=","")))+$EU100)</f>
        <v/>
      </c>
      <c r="EY100" s="82" t="str">
        <f t="array" aca="1" ref="EY100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LEN(SUBSTITUTE(_xlfn.FORMULATEXT(EY$99),"=","")))+$EU100)</f>
        <v/>
      </c>
      <c r="EZ100" s="82" t="str">
        <f t="array" aca="1" ref="EZ100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LEN(SUBSTITUTE(_xlfn.FORMULATEXT(EZ$99),"=","")))+$EU100)</f>
        <v/>
      </c>
      <c r="FA100" s="82" t="str">
        <f t="array" aca="1" ref="FA100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LEN(SUBSTITUTE(_xlfn.FORMULATEXT(FA$99),"=","")))+$EU100)</f>
        <v/>
      </c>
      <c r="FB100" s="82" t="str">
        <f t="array" aca="1" ref="FB100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LEN(SUBSTITUTE(_xlfn.FORMULATEXT(FB$99),"=","")))+$EU100)</f>
        <v/>
      </c>
      <c r="FC100" s="82" t="str">
        <f t="array" aca="1" ref="FC100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LEN(SUBSTITUTE(_xlfn.FORMULATEXT(FC$99),"=","")))+$EU100)</f>
        <v/>
      </c>
      <c r="FD100" s="82" t="str">
        <f t="array" aca="1" ref="FD100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LEN(SUBSTITUTE(_xlfn.FORMULATEXT(FD$99),"=","")))+$EU100)</f>
        <v/>
      </c>
      <c r="FE100" s="82" t="str">
        <f t="array" aca="1" ref="FE100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LEN(SUBSTITUTE(_xlfn.FORMULATEXT(FE$99),"=","")))+$EU100)</f>
        <v/>
      </c>
      <c r="FF100" s="82" t="str">
        <f t="array" aca="1" ref="FF100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LEN(SUBSTITUTE(_xlfn.FORMULATEXT(FF$99),"=","")))+$EU100)</f>
        <v/>
      </c>
      <c r="FG100" s="82">
        <f t="shared" ca="1" si="7"/>
        <v>0</v>
      </c>
      <c r="FH100" s="82" t="b">
        <f t="array" aca="1" ref="FH100" ca="1">SUMPRODUCT((LEN(EV100:FF100)&gt;0)*1)&gt;0</f>
        <v>0</v>
      </c>
      <c r="FI100" s="82" t="str">
        <f t="array" aca="1" ref="FI100" ca="1">IFERROR(SMALL(IF(FG$1:FG$173&lt;&gt;0,FG$1:FG$173),ROW(A100)),"")</f>
        <v/>
      </c>
      <c r="FJ100" s="82" t="str">
        <f t="array" aca="1" ref="FJ100" ca="1">IF($FI100&lt;&gt;"",
INDIRECT(""&amp;IF(COLUMN(EV100)&lt;=26,CHAR(COLUMN(EV100)+64),CHAR(INT((COLUMN(EV100)-1)/26)+64)&amp;CHAR(MOD(COLUMN(EV100)-1,26)+65))&amp;$FI100&amp;""),"")</f>
        <v/>
      </c>
      <c r="FK100" s="82" t="str">
        <f t="array" aca="1" ref="FK100" ca="1">IF($FI100&lt;&gt;"",
INDIRECT(""&amp;IF(COLUMN(EW100)&lt;=26,CHAR(COLUMN(EW100)+64),CHAR(INT((COLUMN(EW100)-1)/26)+64)&amp;CHAR(MOD(COLUMN(EW100)-1,26)+65))&amp;$FI100&amp;""),"")</f>
        <v/>
      </c>
      <c r="FL100" s="82" t="str">
        <f t="array" aca="1" ref="FL100" ca="1">IF($FI100&lt;&gt;"",
INDIRECT(""&amp;IF(COLUMN(EX100)&lt;=26,CHAR(COLUMN(EX100)+64),CHAR(INT((COLUMN(EX100)-1)/26)+64)&amp;CHAR(MOD(COLUMN(EX100)-1,26)+65))&amp;$FI100&amp;""),"")</f>
        <v/>
      </c>
      <c r="FM100" s="82" t="str">
        <f t="array" aca="1" ref="FM100" ca="1">IF($FI100&lt;&gt;"",
IF(FL100="",
IF(INDIRECT("EY"&amp;$FI100&amp;"")&lt;&gt;"",
INDIRECT("EY"&amp;$FI100&amp;"")&amp;"箱"
&amp;INDIRECT("EZ"&amp;$FI100&amp;""),""),""),"")</f>
        <v/>
      </c>
      <c r="FN100" s="82" t="str">
        <f t="array" aca="1" ref="FN100" ca="1">IF($FI100&lt;&gt;"",
INDIRECT(""&amp;IF(COLUMN(FA100)&lt;=26,CHAR(COLUMN(FA100)+64),CHAR(INT((COLUMN(FA100)-1)/26)+64)&amp;CHAR(MOD(COLUMN(FA100)-1,26)+65))&amp;$FI100&amp;""),"")</f>
        <v/>
      </c>
      <c r="FO100" s="82" t="str">
        <f t="array" aca="1" ref="FO100" ca="1">IF($FI100&lt;&gt;"",
INDIRECT(""&amp;IF(COLUMN(FB100)&lt;=26,CHAR(COLUMN(FB100)+64),CHAR(INT((COLUMN(FB100)-1)/26)+64)&amp;CHAR(MOD(COLUMN(FB100)-1,26)+65))&amp;$FI100&amp;""),"")</f>
        <v/>
      </c>
      <c r="FP100" s="82" t="str">
        <f t="array" aca="1" ref="FP100" ca="1">IF($FI100&lt;&gt;"",
INDIRECT(""&amp;IF(COLUMN(FC100)&lt;=26,CHAR(COLUMN(FC100)+64),CHAR(INT((COLUMN(FC100)-1)/26)+64)&amp;CHAR(MOD(COLUMN(FC100)-1,26)+65))&amp;$FI100&amp;""),"")</f>
        <v/>
      </c>
      <c r="FQ100" s="82" t="str">
        <f t="array" aca="1" ref="FQ100" ca="1">IF($FI100&lt;&gt;"",
INDIRECT(""&amp;IF(COLUMN(FD100)&lt;=26,CHAR(COLUMN(FD100)+64),CHAR(INT((COLUMN(FD100)-1)/26)+64)&amp;CHAR(MOD(COLUMN(FD100)-1,26)+65))&amp;$FI100&amp;""),"")</f>
        <v/>
      </c>
      <c r="FR100" s="82" t="str">
        <f t="array" aca="1" ref="FR100" ca="1">IF($FI100&lt;&gt;"",
INDIRECT(""&amp;IF(COLUMN(FE100)&lt;=26,CHAR(COLUMN(FE100)+64),CHAR(INT((COLUMN(FE100)-1)/26)+64)&amp;CHAR(MOD(COLUMN(FE100)-1,26)+65))&amp;$FI100&amp;""),"")</f>
        <v/>
      </c>
      <c r="FS100" s="82" t="str">
        <f t="array" aca="1" ref="FS100" ca="1">IF($FI100&lt;&gt;"",
INDIRECT(""&amp;IF(COLUMN(FF100)&lt;=26,CHAR(COLUMN(FF100)+64),CHAR(INT((COLUMN(FF100)-1)/26)+64)&amp;CHAR(MOD(COLUMN(FF100)-1,26)+65))&amp;$FI100&amp;""),"")</f>
        <v/>
      </c>
    </row>
    <row r="101" spans="151:175" ht="22.2" customHeight="1" x14ac:dyDescent="0.45">
      <c r="EU101" s="91">
        <v>7</v>
      </c>
      <c r="EV101" s="82" t="str">
        <f t="array" aca="1" ref="EV101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LEN(SUBSTITUTE(_xlfn.FORMULATEXT(EV$97),"=","")))+$EU101)</f>
        <v/>
      </c>
      <c r="EW101" s="82" t="str">
        <f t="array" aca="1" ref="EW101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LEN(SUBSTITUTE(_xlfn.FORMULATEXT(EW$97),"=","")))+$EU101)</f>
        <v/>
      </c>
      <c r="EX101" s="82" t="str">
        <f t="array" aca="1" ref="EX101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LEN(SUBSTITUTE(_xlfn.FORMULATEXT(EX$97),"=","")))+$EU101)</f>
        <v/>
      </c>
      <c r="EY101" s="82" t="str">
        <f t="array" aca="1" ref="EY101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LEN(SUBSTITUTE(_xlfn.FORMULATEXT(EY$97),"=","")))+$EU101)</f>
        <v/>
      </c>
      <c r="EZ101" s="82" t="str">
        <f t="array" aca="1" ref="EZ101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LEN(SUBSTITUTE(_xlfn.FORMULATEXT(EZ$97),"=","")))+$EU101)</f>
        <v/>
      </c>
      <c r="FA101" s="82" t="e">
        <f t="array" aca="1" ref="FA101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LEN(SUBSTITUTE(_xlfn.FORMULATEXT(FA$97),"=","")))+$EU101)</f>
        <v>#VALUE!</v>
      </c>
      <c r="FB101" s="82" t="str">
        <f t="array" aca="1" ref="FB101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LEN(SUBSTITUTE(_xlfn.FORMULATEXT(FB$97),"=","")))+$EU101)</f>
        <v/>
      </c>
      <c r="FC101" s="82" t="str">
        <f t="array" aca="1" ref="FC101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LEN(SUBSTITUTE(_xlfn.FORMULATEXT(FC$97),"=","")))+$EU101)</f>
        <v/>
      </c>
      <c r="FD101" s="82" t="e">
        <f t="array" aca="1" ref="FD101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LEN(SUBSTITUTE(_xlfn.FORMULATEXT(FD$97),"=","")))+$EU101)</f>
        <v>#VALUE!</v>
      </c>
      <c r="FE101" s="82" t="str">
        <f t="array" aca="1" ref="FE101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LEN(SUBSTITUTE(_xlfn.FORMULATEXT(FE$97),"=","")))+$EU101)</f>
        <v/>
      </c>
      <c r="FF101" s="82" t="e">
        <f t="array" aca="1" ref="FF101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LEN(SUBSTITUTE(_xlfn.FORMULATEXT(FF$97),"=","")))+$EU101)</f>
        <v>#N/A</v>
      </c>
      <c r="FG101" s="82">
        <f t="shared" ca="1" si="7"/>
        <v>0</v>
      </c>
      <c r="FH101" s="82" t="e">
        <f t="array" aca="1" ref="FH101" ca="1">SUMPRODUCT((LEN(EV101:FF101)&gt;0)*1)&gt;0</f>
        <v>#VALUE!</v>
      </c>
      <c r="FI101" s="82" t="str">
        <f t="array" aca="1" ref="FI101" ca="1">IFERROR(SMALL(IF(FG$1:FG$173&lt;&gt;0,FG$1:FG$173),ROW(A101)),"")</f>
        <v/>
      </c>
      <c r="FJ101" s="82" t="str">
        <f t="array" aca="1" ref="FJ101" ca="1">IF($FI101&lt;&gt;"",
INDIRECT(""&amp;IF(COLUMN(EV101)&lt;=26,CHAR(COLUMN(EV101)+64),CHAR(INT((COLUMN(EV101)-1)/26)+64)&amp;CHAR(MOD(COLUMN(EV101)-1,26)+65))&amp;$FI101&amp;""),"")</f>
        <v/>
      </c>
      <c r="FK101" s="82" t="str">
        <f t="array" aca="1" ref="FK101" ca="1">IF($FI101&lt;&gt;"",
INDIRECT(""&amp;IF(COLUMN(EW101)&lt;=26,CHAR(COLUMN(EW101)+64),CHAR(INT((COLUMN(EW101)-1)/26)+64)&amp;CHAR(MOD(COLUMN(EW101)-1,26)+65))&amp;$FI101&amp;""),"")</f>
        <v/>
      </c>
      <c r="FL101" s="82" t="str">
        <f t="array" aca="1" ref="FL101" ca="1">IF($FI101&lt;&gt;"",
INDIRECT(""&amp;IF(COLUMN(EX101)&lt;=26,CHAR(COLUMN(EX101)+64),CHAR(INT((COLUMN(EX101)-1)/26)+64)&amp;CHAR(MOD(COLUMN(EX101)-1,26)+65))&amp;$FI101&amp;""),"")</f>
        <v/>
      </c>
      <c r="FM101" s="82" t="str">
        <f t="array" aca="1" ref="FM101" ca="1">IF($FI101&lt;&gt;"",
IF(FL101="",
IF(INDIRECT("EY"&amp;$FI101&amp;"")&lt;&gt;"",
INDIRECT("EY"&amp;$FI101&amp;"")&amp;"箱"
&amp;INDIRECT("EZ"&amp;$FI101&amp;""),""),""),"")</f>
        <v/>
      </c>
      <c r="FN101" s="82" t="str">
        <f t="array" aca="1" ref="FN101" ca="1">IF($FI101&lt;&gt;"",
INDIRECT(""&amp;IF(COLUMN(FA101)&lt;=26,CHAR(COLUMN(FA101)+64),CHAR(INT((COLUMN(FA101)-1)/26)+64)&amp;CHAR(MOD(COLUMN(FA101)-1,26)+65))&amp;$FI101&amp;""),"")</f>
        <v/>
      </c>
      <c r="FO101" s="82" t="str">
        <f t="array" aca="1" ref="FO101" ca="1">IF($FI101&lt;&gt;"",
INDIRECT(""&amp;IF(COLUMN(FB101)&lt;=26,CHAR(COLUMN(FB101)+64),CHAR(INT((COLUMN(FB101)-1)/26)+64)&amp;CHAR(MOD(COLUMN(FB101)-1,26)+65))&amp;$FI101&amp;""),"")</f>
        <v/>
      </c>
      <c r="FP101" s="82" t="str">
        <f t="array" aca="1" ref="FP101" ca="1">IF($FI101&lt;&gt;"",
INDIRECT(""&amp;IF(COLUMN(FC101)&lt;=26,CHAR(COLUMN(FC101)+64),CHAR(INT((COLUMN(FC101)-1)/26)+64)&amp;CHAR(MOD(COLUMN(FC101)-1,26)+65))&amp;$FI101&amp;""),"")</f>
        <v/>
      </c>
      <c r="FQ101" s="82" t="str">
        <f t="array" aca="1" ref="FQ101" ca="1">IF($FI101&lt;&gt;"",
INDIRECT(""&amp;IF(COLUMN(FD101)&lt;=26,CHAR(COLUMN(FD101)+64),CHAR(INT((COLUMN(FD101)-1)/26)+64)&amp;CHAR(MOD(COLUMN(FD101)-1,26)+65))&amp;$FI101&amp;""),"")</f>
        <v/>
      </c>
      <c r="FR101" s="82" t="str">
        <f t="array" aca="1" ref="FR101" ca="1">IF($FI101&lt;&gt;"",
INDIRECT(""&amp;IF(COLUMN(FE101)&lt;=26,CHAR(COLUMN(FE101)+64),CHAR(INT((COLUMN(FE101)-1)/26)+64)&amp;CHAR(MOD(COLUMN(FE101)-1,26)+65))&amp;$FI101&amp;""),"")</f>
        <v/>
      </c>
      <c r="FS101" s="82" t="str">
        <f t="array" aca="1" ref="FS101" ca="1">IF($FI101&lt;&gt;"",
INDIRECT(""&amp;IF(COLUMN(FF101)&lt;=26,CHAR(COLUMN(FF101)+64),CHAR(INT((COLUMN(FF101)-1)/26)+64)&amp;CHAR(MOD(COLUMN(FF101)-1,26)+65))&amp;$FI101&amp;""),"")</f>
        <v/>
      </c>
    </row>
    <row r="102" spans="151:175" ht="22.2" customHeight="1" x14ac:dyDescent="0.45">
      <c r="EU102" s="82">
        <f>EU98+7</f>
        <v>49</v>
      </c>
      <c r="EV102" s="82" t="str">
        <f t="array" aca="1" ref="EV102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LEN(SUBSTITUTE(_xlfn.FORMULATEXT(EV$97),"=","")))+$EU102)</f>
        <v/>
      </c>
      <c r="EW102" s="82" t="str">
        <f t="array" aca="1" ref="EW102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LEN(SUBSTITUTE(_xlfn.FORMULATEXT(EW$97),"=","")))+$EU102)</f>
        <v/>
      </c>
      <c r="EX102" s="82" t="str">
        <f t="array" aca="1" ref="EX102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LEN(SUBSTITUTE(_xlfn.FORMULATEXT(EX$97),"=","")))+$EU102)</f>
        <v/>
      </c>
      <c r="EY102" s="82" t="str">
        <f t="array" aca="1" ref="EY102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LEN(SUBSTITUTE(_xlfn.FORMULATEXT(EY$97),"=","")))+$EU102)</f>
        <v/>
      </c>
      <c r="EZ102" s="82" t="str">
        <f t="array" aca="1" ref="EZ102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LEN(SUBSTITUTE(_xlfn.FORMULATEXT(EZ$97),"=","")))+$EU102)</f>
        <v/>
      </c>
      <c r="FA102" s="82" t="str">
        <f t="array" aca="1" ref="FA102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LEN(SUBSTITUTE(_xlfn.FORMULATEXT(FA$97),"=","")))+$EU102)</f>
        <v/>
      </c>
      <c r="FB102" s="82" t="str">
        <f t="array" aca="1" ref="FB102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LEN(SUBSTITUTE(_xlfn.FORMULATEXT(FB$97),"=","")))+$EU102)</f>
        <v/>
      </c>
      <c r="FC102" s="82" t="str">
        <f t="array" aca="1" ref="FC102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LEN(SUBSTITUTE(_xlfn.FORMULATEXT(FC$97),"=","")))+$EU102)</f>
        <v/>
      </c>
      <c r="FD102" s="82" t="str">
        <f t="array" aca="1" ref="FD102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LEN(SUBSTITUTE(_xlfn.FORMULATEXT(FD$97),"=","")))+$EU102)</f>
        <v/>
      </c>
      <c r="FE102" s="82" t="str">
        <f t="array" aca="1" ref="FE102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LEN(SUBSTITUTE(_xlfn.FORMULATEXT(FE$97),"=","")))+$EU102)</f>
        <v/>
      </c>
      <c r="FF102" s="82" t="str">
        <f t="array" aca="1" ref="FF102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LEN(SUBSTITUTE(_xlfn.FORMULATEXT(FF$97),"=","")))+$EU102)</f>
        <v/>
      </c>
      <c r="FG102" s="82">
        <f t="shared" ca="1" si="7"/>
        <v>0</v>
      </c>
      <c r="FH102" s="82" t="b">
        <f t="array" aca="1" ref="FH102" ca="1">SUMPRODUCT((LEN(EV102:FF102)&gt;0)*1)&gt;0</f>
        <v>0</v>
      </c>
      <c r="FI102" s="82" t="str">
        <f t="array" aca="1" ref="FI102" ca="1">IFERROR(SMALL(IF(FG$1:FG$173&lt;&gt;0,FG$1:FG$173),ROW(A102)),"")</f>
        <v/>
      </c>
      <c r="FJ102" s="82" t="str">
        <f t="array" aca="1" ref="FJ102" ca="1">IF($FI102&lt;&gt;"",
INDIRECT(""&amp;IF(COLUMN(EV102)&lt;=26,CHAR(COLUMN(EV102)+64),CHAR(INT((COLUMN(EV102)-1)/26)+64)&amp;CHAR(MOD(COLUMN(EV102)-1,26)+65))&amp;$FI102&amp;""),"")</f>
        <v/>
      </c>
      <c r="FK102" s="82" t="str">
        <f t="array" aca="1" ref="FK102" ca="1">IF($FI102&lt;&gt;"",
INDIRECT(""&amp;IF(COLUMN(EW102)&lt;=26,CHAR(COLUMN(EW102)+64),CHAR(INT((COLUMN(EW102)-1)/26)+64)&amp;CHAR(MOD(COLUMN(EW102)-1,26)+65))&amp;$FI102&amp;""),"")</f>
        <v/>
      </c>
      <c r="FL102" s="82" t="str">
        <f t="array" aca="1" ref="FL102" ca="1">IF($FI102&lt;&gt;"",
INDIRECT(""&amp;IF(COLUMN(EX102)&lt;=26,CHAR(COLUMN(EX102)+64),CHAR(INT((COLUMN(EX102)-1)/26)+64)&amp;CHAR(MOD(COLUMN(EX102)-1,26)+65))&amp;$FI102&amp;""),"")</f>
        <v/>
      </c>
      <c r="FM102" s="82" t="str">
        <f t="array" aca="1" ref="FM102" ca="1">IF($FI102&lt;&gt;"",
IF(FL102="",
IF(INDIRECT("EY"&amp;$FI102&amp;"")&lt;&gt;"",
INDIRECT("EY"&amp;$FI102&amp;"")&amp;"箱"
&amp;INDIRECT("EZ"&amp;$FI102&amp;""),""),""),"")</f>
        <v/>
      </c>
      <c r="FN102" s="82" t="str">
        <f t="array" aca="1" ref="FN102" ca="1">IF($FI102&lt;&gt;"",
INDIRECT(""&amp;IF(COLUMN(FA102)&lt;=26,CHAR(COLUMN(FA102)+64),CHAR(INT((COLUMN(FA102)-1)/26)+64)&amp;CHAR(MOD(COLUMN(FA102)-1,26)+65))&amp;$FI102&amp;""),"")</f>
        <v/>
      </c>
      <c r="FO102" s="82" t="str">
        <f t="array" aca="1" ref="FO102" ca="1">IF($FI102&lt;&gt;"",
INDIRECT(""&amp;IF(COLUMN(FB102)&lt;=26,CHAR(COLUMN(FB102)+64),CHAR(INT((COLUMN(FB102)-1)/26)+64)&amp;CHAR(MOD(COLUMN(FB102)-1,26)+65))&amp;$FI102&amp;""),"")</f>
        <v/>
      </c>
      <c r="FP102" s="82" t="str">
        <f t="array" aca="1" ref="FP102" ca="1">IF($FI102&lt;&gt;"",
INDIRECT(""&amp;IF(COLUMN(FC102)&lt;=26,CHAR(COLUMN(FC102)+64),CHAR(INT((COLUMN(FC102)-1)/26)+64)&amp;CHAR(MOD(COLUMN(FC102)-1,26)+65))&amp;$FI102&amp;""),"")</f>
        <v/>
      </c>
      <c r="FQ102" s="82" t="str">
        <f t="array" aca="1" ref="FQ102" ca="1">IF($FI102&lt;&gt;"",
INDIRECT(""&amp;IF(COLUMN(FD102)&lt;=26,CHAR(COLUMN(FD102)+64),CHAR(INT((COLUMN(FD102)-1)/26)+64)&amp;CHAR(MOD(COLUMN(FD102)-1,26)+65))&amp;$FI102&amp;""),"")</f>
        <v/>
      </c>
      <c r="FR102" s="82" t="str">
        <f t="array" aca="1" ref="FR102" ca="1">IF($FI102&lt;&gt;"",
INDIRECT(""&amp;IF(COLUMN(FE102)&lt;=26,CHAR(COLUMN(FE102)+64),CHAR(INT((COLUMN(FE102)-1)/26)+64)&amp;CHAR(MOD(COLUMN(FE102)-1,26)+65))&amp;$FI102&amp;""),"")</f>
        <v/>
      </c>
      <c r="FS102" s="82" t="str">
        <f t="array" aca="1" ref="FS102" ca="1">IF($FI102&lt;&gt;"",
INDIRECT(""&amp;IF(COLUMN(FF102)&lt;=26,CHAR(COLUMN(FF102)+64),CHAR(INT((COLUMN(FF102)-1)/26)+64)&amp;CHAR(MOD(COLUMN(FF102)-1,26)+65))&amp;$FI102&amp;""),"")</f>
        <v/>
      </c>
    </row>
    <row r="103" spans="151:175" ht="22.2" customHeight="1" x14ac:dyDescent="0.45">
      <c r="EU103" s="82">
        <v>7</v>
      </c>
      <c r="EV103" s="82" t="str">
        <f t="array" aca="1" ref="EV103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LEN(SUBSTITUTE(_xlfn.FORMULATEXT(EV$99),"=","")))+$EU103)</f>
        <v/>
      </c>
      <c r="EW103" s="82" t="str">
        <f t="array" aca="1" ref="EW103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LEN(SUBSTITUTE(_xlfn.FORMULATEXT(EW$99),"=","")))+$EU103)</f>
        <v/>
      </c>
      <c r="EX103" s="82" t="str">
        <f t="array" aca="1" ref="EX103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LEN(SUBSTITUTE(_xlfn.FORMULATEXT(EX$99),"=","")))+$EU103)</f>
        <v/>
      </c>
      <c r="EY103" s="82" t="str">
        <f t="array" aca="1" ref="EY103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LEN(SUBSTITUTE(_xlfn.FORMULATEXT(EY$99),"=","")))+$EU103)</f>
        <v/>
      </c>
      <c r="EZ103" s="82" t="str">
        <f t="array" aca="1" ref="EZ103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LEN(SUBSTITUTE(_xlfn.FORMULATEXT(EZ$99),"=","")))+$EU103)</f>
        <v/>
      </c>
      <c r="FA103" s="82" t="e">
        <f t="array" aca="1" ref="FA103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LEN(SUBSTITUTE(_xlfn.FORMULATEXT(FA$99),"=","")))+$EU103)</f>
        <v>#VALUE!</v>
      </c>
      <c r="FB103" s="82" t="str">
        <f t="array" aca="1" ref="FB103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LEN(SUBSTITUTE(_xlfn.FORMULATEXT(FB$99),"=","")))+$EU103)</f>
        <v/>
      </c>
      <c r="FC103" s="82" t="str">
        <f t="array" aca="1" ref="FC103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LEN(SUBSTITUTE(_xlfn.FORMULATEXT(FC$99),"=","")))+$EU103)</f>
        <v/>
      </c>
      <c r="FD103" s="82" t="e">
        <f t="array" aca="1" ref="FD103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LEN(SUBSTITUTE(_xlfn.FORMULATEXT(FD$99),"=","")))+$EU103)</f>
        <v>#VALUE!</v>
      </c>
      <c r="FE103" s="82" t="str">
        <f t="array" aca="1" ref="FE103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LEN(SUBSTITUTE(_xlfn.FORMULATEXT(FE$99),"=","")))+$EU103)</f>
        <v/>
      </c>
      <c r="FF103" s="82" t="e">
        <f t="array" aca="1" ref="FF103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LEN(SUBSTITUTE(_xlfn.FORMULATEXT(FF$99),"=","")))+$EU103)</f>
        <v>#N/A</v>
      </c>
      <c r="FG103" s="82">
        <f t="shared" ca="1" si="7"/>
        <v>0</v>
      </c>
      <c r="FH103" s="82" t="e">
        <f t="array" aca="1" ref="FH103" ca="1">SUMPRODUCT((LEN(EV103:FF103)&gt;0)*1)&gt;0</f>
        <v>#VALUE!</v>
      </c>
      <c r="FI103" s="82" t="str">
        <f t="array" aca="1" ref="FI103" ca="1">IFERROR(SMALL(IF(FG$1:FG$173&lt;&gt;0,FG$1:FG$173),ROW(A103)),"")</f>
        <v/>
      </c>
      <c r="FJ103" s="82" t="str">
        <f t="array" aca="1" ref="FJ103" ca="1">IF($FI103&lt;&gt;"",
INDIRECT(""&amp;IF(COLUMN(EV103)&lt;=26,CHAR(COLUMN(EV103)+64),CHAR(INT((COLUMN(EV103)-1)/26)+64)&amp;CHAR(MOD(COLUMN(EV103)-1,26)+65))&amp;$FI103&amp;""),"")</f>
        <v/>
      </c>
      <c r="FK103" s="82" t="str">
        <f t="array" aca="1" ref="FK103" ca="1">IF($FI103&lt;&gt;"",
INDIRECT(""&amp;IF(COLUMN(EW103)&lt;=26,CHAR(COLUMN(EW103)+64),CHAR(INT((COLUMN(EW103)-1)/26)+64)&amp;CHAR(MOD(COLUMN(EW103)-1,26)+65))&amp;$FI103&amp;""),"")</f>
        <v/>
      </c>
      <c r="FL103" s="82" t="str">
        <f t="array" aca="1" ref="FL103" ca="1">IF($FI103&lt;&gt;"",
INDIRECT(""&amp;IF(COLUMN(EX103)&lt;=26,CHAR(COLUMN(EX103)+64),CHAR(INT((COLUMN(EX103)-1)/26)+64)&amp;CHAR(MOD(COLUMN(EX103)-1,26)+65))&amp;$FI103&amp;""),"")</f>
        <v/>
      </c>
      <c r="FM103" s="82" t="str">
        <f t="array" aca="1" ref="FM103" ca="1">IF($FI103&lt;&gt;"",
IF(FL103="",
IF(INDIRECT("EY"&amp;$FI103&amp;"")&lt;&gt;"",
INDIRECT("EY"&amp;$FI103&amp;"")&amp;"箱"
&amp;INDIRECT("EZ"&amp;$FI103&amp;""),""),""),"")</f>
        <v/>
      </c>
      <c r="FN103" s="82" t="str">
        <f t="array" aca="1" ref="FN103" ca="1">IF($FI103&lt;&gt;"",
INDIRECT(""&amp;IF(COLUMN(FA103)&lt;=26,CHAR(COLUMN(FA103)+64),CHAR(INT((COLUMN(FA103)-1)/26)+64)&amp;CHAR(MOD(COLUMN(FA103)-1,26)+65))&amp;$FI103&amp;""),"")</f>
        <v/>
      </c>
      <c r="FO103" s="82" t="str">
        <f t="array" aca="1" ref="FO103" ca="1">IF($FI103&lt;&gt;"",
INDIRECT(""&amp;IF(COLUMN(FB103)&lt;=26,CHAR(COLUMN(FB103)+64),CHAR(INT((COLUMN(FB103)-1)/26)+64)&amp;CHAR(MOD(COLUMN(FB103)-1,26)+65))&amp;$FI103&amp;""),"")</f>
        <v/>
      </c>
      <c r="FP103" s="82" t="str">
        <f t="array" aca="1" ref="FP103" ca="1">IF($FI103&lt;&gt;"",
INDIRECT(""&amp;IF(COLUMN(FC103)&lt;=26,CHAR(COLUMN(FC103)+64),CHAR(INT((COLUMN(FC103)-1)/26)+64)&amp;CHAR(MOD(COLUMN(FC103)-1,26)+65))&amp;$FI103&amp;""),"")</f>
        <v/>
      </c>
      <c r="FQ103" s="82" t="str">
        <f t="array" aca="1" ref="FQ103" ca="1">IF($FI103&lt;&gt;"",
INDIRECT(""&amp;IF(COLUMN(FD103)&lt;=26,CHAR(COLUMN(FD103)+64),CHAR(INT((COLUMN(FD103)-1)/26)+64)&amp;CHAR(MOD(COLUMN(FD103)-1,26)+65))&amp;$FI103&amp;""),"")</f>
        <v/>
      </c>
      <c r="FR103" s="82" t="str">
        <f t="array" aca="1" ref="FR103" ca="1">IF($FI103&lt;&gt;"",
INDIRECT(""&amp;IF(COLUMN(FE103)&lt;=26,CHAR(COLUMN(FE103)+64),CHAR(INT((COLUMN(FE103)-1)/26)+64)&amp;CHAR(MOD(COLUMN(FE103)-1,26)+65))&amp;$FI103&amp;""),"")</f>
        <v/>
      </c>
      <c r="FS103" s="82" t="str">
        <f t="array" aca="1" ref="FS103" ca="1">IF($FI103&lt;&gt;"",
INDIRECT(""&amp;IF(COLUMN(FF103)&lt;=26,CHAR(COLUMN(FF103)+64),CHAR(INT((COLUMN(FF103)-1)/26)+64)&amp;CHAR(MOD(COLUMN(FF103)-1,26)+65))&amp;$FI103&amp;""),"")</f>
        <v/>
      </c>
    </row>
    <row r="104" spans="151:175" ht="22.2" customHeight="1" x14ac:dyDescent="0.45">
      <c r="EU104" s="82">
        <f t="shared" ref="EU104:EU120" si="8">EU100+7</f>
        <v>49</v>
      </c>
      <c r="EV104" s="82" t="str">
        <f t="array" aca="1" ref="EV104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LEN(SUBSTITUTE(_xlfn.FORMULATEXT(EV$99),"=","")))+$EU104)</f>
        <v/>
      </c>
      <c r="EW104" s="82" t="str">
        <f t="array" aca="1" ref="EW104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LEN(SUBSTITUTE(_xlfn.FORMULATEXT(EW$99),"=","")))+$EU104)</f>
        <v/>
      </c>
      <c r="EX104" s="82" t="str">
        <f t="array" aca="1" ref="EX104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LEN(SUBSTITUTE(_xlfn.FORMULATEXT(EX$99),"=","")))+$EU104)</f>
        <v/>
      </c>
      <c r="EY104" s="82" t="str">
        <f t="array" aca="1" ref="EY104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LEN(SUBSTITUTE(_xlfn.FORMULATEXT(EY$99),"=","")))+$EU104)</f>
        <v/>
      </c>
      <c r="EZ104" s="82" t="str">
        <f t="array" aca="1" ref="EZ104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LEN(SUBSTITUTE(_xlfn.FORMULATEXT(EZ$99),"=","")))+$EU104)</f>
        <v/>
      </c>
      <c r="FA104" s="82" t="str">
        <f t="array" aca="1" ref="FA104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LEN(SUBSTITUTE(_xlfn.FORMULATEXT(FA$99),"=","")))+$EU104)</f>
        <v/>
      </c>
      <c r="FB104" s="82" t="str">
        <f t="array" aca="1" ref="FB104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LEN(SUBSTITUTE(_xlfn.FORMULATEXT(FB$99),"=","")))+$EU104)</f>
        <v/>
      </c>
      <c r="FC104" s="82" t="str">
        <f t="array" aca="1" ref="FC104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LEN(SUBSTITUTE(_xlfn.FORMULATEXT(FC$99),"=","")))+$EU104)</f>
        <v/>
      </c>
      <c r="FD104" s="82" t="str">
        <f t="array" aca="1" ref="FD104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LEN(SUBSTITUTE(_xlfn.FORMULATEXT(FD$99),"=","")))+$EU104)</f>
        <v/>
      </c>
      <c r="FE104" s="82" t="str">
        <f t="array" aca="1" ref="FE104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LEN(SUBSTITUTE(_xlfn.FORMULATEXT(FE$99),"=","")))+$EU104)</f>
        <v/>
      </c>
      <c r="FF104" s="82" t="str">
        <f t="array" aca="1" ref="FF104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LEN(SUBSTITUTE(_xlfn.FORMULATEXT(FF$99),"=","")))+$EU104)</f>
        <v/>
      </c>
      <c r="FG104" s="82">
        <f t="shared" ca="1" si="7"/>
        <v>0</v>
      </c>
      <c r="FH104" s="82" t="b">
        <f t="array" aca="1" ref="FH104" ca="1">SUMPRODUCT((LEN(EV104:FF104)&gt;0)*1)&gt;0</f>
        <v>0</v>
      </c>
      <c r="FI104" s="82" t="str">
        <f t="array" aca="1" ref="FI104" ca="1">IFERROR(SMALL(IF(FG$1:FG$173&lt;&gt;0,FG$1:FG$173),ROW(A104)),"")</f>
        <v/>
      </c>
      <c r="FJ104" s="82" t="str">
        <f t="array" aca="1" ref="FJ104" ca="1">IF($FI104&lt;&gt;"",
INDIRECT(""&amp;IF(COLUMN(EV104)&lt;=26,CHAR(COLUMN(EV104)+64),CHAR(INT((COLUMN(EV104)-1)/26)+64)&amp;CHAR(MOD(COLUMN(EV104)-1,26)+65))&amp;$FI104&amp;""),"")</f>
        <v/>
      </c>
      <c r="FK104" s="82" t="str">
        <f t="array" aca="1" ref="FK104" ca="1">IF($FI104&lt;&gt;"",
INDIRECT(""&amp;IF(COLUMN(EW104)&lt;=26,CHAR(COLUMN(EW104)+64),CHAR(INT((COLUMN(EW104)-1)/26)+64)&amp;CHAR(MOD(COLUMN(EW104)-1,26)+65))&amp;$FI104&amp;""),"")</f>
        <v/>
      </c>
      <c r="FL104" s="82" t="str">
        <f t="array" aca="1" ref="FL104" ca="1">IF($FI104&lt;&gt;"",
INDIRECT(""&amp;IF(COLUMN(EX104)&lt;=26,CHAR(COLUMN(EX104)+64),CHAR(INT((COLUMN(EX104)-1)/26)+64)&amp;CHAR(MOD(COLUMN(EX104)-1,26)+65))&amp;$FI104&amp;""),"")</f>
        <v/>
      </c>
      <c r="FM104" s="82" t="str">
        <f t="array" aca="1" ref="FM104" ca="1">IF($FI104&lt;&gt;"",
IF(FL104="",
IF(INDIRECT("EY"&amp;$FI104&amp;"")&lt;&gt;"",
INDIRECT("EY"&amp;$FI104&amp;"")&amp;"箱"
&amp;INDIRECT("EZ"&amp;$FI104&amp;""),""),""),"")</f>
        <v/>
      </c>
      <c r="FN104" s="82" t="str">
        <f t="array" aca="1" ref="FN104" ca="1">IF($FI104&lt;&gt;"",
INDIRECT(""&amp;IF(COLUMN(FA104)&lt;=26,CHAR(COLUMN(FA104)+64),CHAR(INT((COLUMN(FA104)-1)/26)+64)&amp;CHAR(MOD(COLUMN(FA104)-1,26)+65))&amp;$FI104&amp;""),"")</f>
        <v/>
      </c>
      <c r="FO104" s="82" t="str">
        <f t="array" aca="1" ref="FO104" ca="1">IF($FI104&lt;&gt;"",
INDIRECT(""&amp;IF(COLUMN(FB104)&lt;=26,CHAR(COLUMN(FB104)+64),CHAR(INT((COLUMN(FB104)-1)/26)+64)&amp;CHAR(MOD(COLUMN(FB104)-1,26)+65))&amp;$FI104&amp;""),"")</f>
        <v/>
      </c>
      <c r="FP104" s="82" t="str">
        <f t="array" aca="1" ref="FP104" ca="1">IF($FI104&lt;&gt;"",
INDIRECT(""&amp;IF(COLUMN(FC104)&lt;=26,CHAR(COLUMN(FC104)+64),CHAR(INT((COLUMN(FC104)-1)/26)+64)&amp;CHAR(MOD(COLUMN(FC104)-1,26)+65))&amp;$FI104&amp;""),"")</f>
        <v/>
      </c>
      <c r="FQ104" s="82" t="str">
        <f t="array" aca="1" ref="FQ104" ca="1">IF($FI104&lt;&gt;"",
INDIRECT(""&amp;IF(COLUMN(FD104)&lt;=26,CHAR(COLUMN(FD104)+64),CHAR(INT((COLUMN(FD104)-1)/26)+64)&amp;CHAR(MOD(COLUMN(FD104)-1,26)+65))&amp;$FI104&amp;""),"")</f>
        <v/>
      </c>
      <c r="FR104" s="82" t="str">
        <f t="array" aca="1" ref="FR104" ca="1">IF($FI104&lt;&gt;"",
INDIRECT(""&amp;IF(COLUMN(FE104)&lt;=26,CHAR(COLUMN(FE104)+64),CHAR(INT((COLUMN(FE104)-1)/26)+64)&amp;CHAR(MOD(COLUMN(FE104)-1,26)+65))&amp;$FI104&amp;""),"")</f>
        <v/>
      </c>
      <c r="FS104" s="82" t="str">
        <f t="array" aca="1" ref="FS104" ca="1">IF($FI104&lt;&gt;"",
INDIRECT(""&amp;IF(COLUMN(FF104)&lt;=26,CHAR(COLUMN(FF104)+64),CHAR(INT((COLUMN(FF104)-1)/26)+64)&amp;CHAR(MOD(COLUMN(FF104)-1,26)+65))&amp;$FI104&amp;""),"")</f>
        <v/>
      </c>
    </row>
    <row r="105" spans="151:175" ht="22.2" customHeight="1" x14ac:dyDescent="0.45">
      <c r="EU105" s="82">
        <f t="shared" si="8"/>
        <v>14</v>
      </c>
      <c r="EV105" s="82" t="str">
        <f t="array" aca="1" ref="EV105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LEN(SUBSTITUTE(_xlfn.FORMULATEXT(EV$97),"=","")))+$EU105)</f>
        <v/>
      </c>
      <c r="EW105" s="82" t="str">
        <f t="array" aca="1" ref="EW105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LEN(SUBSTITUTE(_xlfn.FORMULATEXT(EW$97),"=","")))+$EU105)</f>
        <v/>
      </c>
      <c r="EX105" s="82" t="str">
        <f t="array" aca="1" ref="EX105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LEN(SUBSTITUTE(_xlfn.FORMULATEXT(EX$97),"=","")))+$EU105)</f>
        <v/>
      </c>
      <c r="EY105" s="82" t="str">
        <f t="array" aca="1" ref="EY105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LEN(SUBSTITUTE(_xlfn.FORMULATEXT(EY$97),"=","")))+$EU105)</f>
        <v/>
      </c>
      <c r="EZ105" s="82" t="str">
        <f t="array" aca="1" ref="EZ105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LEN(SUBSTITUTE(_xlfn.FORMULATEXT(EZ$97),"=","")))+$EU105)</f>
        <v/>
      </c>
      <c r="FA105" s="82" t="e">
        <f t="array" aca="1" ref="FA105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LEN(SUBSTITUTE(_xlfn.FORMULATEXT(FA$97),"=","")))+$EU105)</f>
        <v>#VALUE!</v>
      </c>
      <c r="FB105" s="82" t="str">
        <f t="array" aca="1" ref="FB105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LEN(SUBSTITUTE(_xlfn.FORMULATEXT(FB$97),"=","")))+$EU105)</f>
        <v/>
      </c>
      <c r="FC105" s="82" t="str">
        <f t="array" aca="1" ref="FC105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LEN(SUBSTITUTE(_xlfn.FORMULATEXT(FC$97),"=","")))+$EU105)</f>
        <v/>
      </c>
      <c r="FD105" s="82" t="e">
        <f t="array" aca="1" ref="FD105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LEN(SUBSTITUTE(_xlfn.FORMULATEXT(FD$97),"=","")))+$EU105)</f>
        <v>#VALUE!</v>
      </c>
      <c r="FE105" s="82" t="str">
        <f t="array" aca="1" ref="FE105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LEN(SUBSTITUTE(_xlfn.FORMULATEXT(FE$97),"=","")))+$EU105)</f>
        <v/>
      </c>
      <c r="FF105" s="82" t="e">
        <f t="array" aca="1" ref="FF105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LEN(SUBSTITUTE(_xlfn.FORMULATEXT(FF$97),"=","")))+$EU105)</f>
        <v>#N/A</v>
      </c>
      <c r="FG105" s="82">
        <f t="shared" ca="1" si="7"/>
        <v>0</v>
      </c>
      <c r="FH105" s="82" t="e">
        <f t="array" aca="1" ref="FH105" ca="1">SUMPRODUCT((LEN(EV105:FF105)&gt;0)*1)&gt;0</f>
        <v>#VALUE!</v>
      </c>
      <c r="FI105" s="82" t="str">
        <f t="array" aca="1" ref="FI105" ca="1">IFERROR(SMALL(IF(FG$1:FG$173&lt;&gt;0,FG$1:FG$173),ROW(A105)),"")</f>
        <v/>
      </c>
      <c r="FJ105" s="82" t="str">
        <f t="array" aca="1" ref="FJ105" ca="1">IF($FI105&lt;&gt;"",
INDIRECT(""&amp;IF(COLUMN(EV105)&lt;=26,CHAR(COLUMN(EV105)+64),CHAR(INT((COLUMN(EV105)-1)/26)+64)&amp;CHAR(MOD(COLUMN(EV105)-1,26)+65))&amp;$FI105&amp;""),"")</f>
        <v/>
      </c>
      <c r="FK105" s="82" t="str">
        <f t="array" aca="1" ref="FK105" ca="1">IF($FI105&lt;&gt;"",
INDIRECT(""&amp;IF(COLUMN(EW105)&lt;=26,CHAR(COLUMN(EW105)+64),CHAR(INT((COLUMN(EW105)-1)/26)+64)&amp;CHAR(MOD(COLUMN(EW105)-1,26)+65))&amp;$FI105&amp;""),"")</f>
        <v/>
      </c>
      <c r="FL105" s="82" t="str">
        <f t="array" aca="1" ref="FL105" ca="1">IF($FI105&lt;&gt;"",
INDIRECT(""&amp;IF(COLUMN(EX105)&lt;=26,CHAR(COLUMN(EX105)+64),CHAR(INT((COLUMN(EX105)-1)/26)+64)&amp;CHAR(MOD(COLUMN(EX105)-1,26)+65))&amp;$FI105&amp;""),"")</f>
        <v/>
      </c>
      <c r="FM105" s="82" t="str">
        <f t="array" aca="1" ref="FM105" ca="1">IF($FI105&lt;&gt;"",
IF(FL105="",
IF(INDIRECT("EY"&amp;$FI105&amp;"")&lt;&gt;"",
INDIRECT("EY"&amp;$FI105&amp;"")&amp;"箱"
&amp;INDIRECT("EZ"&amp;$FI105&amp;""),""),""),"")</f>
        <v/>
      </c>
      <c r="FN105" s="82" t="str">
        <f t="array" aca="1" ref="FN105" ca="1">IF($FI105&lt;&gt;"",
INDIRECT(""&amp;IF(COLUMN(FA105)&lt;=26,CHAR(COLUMN(FA105)+64),CHAR(INT((COLUMN(FA105)-1)/26)+64)&amp;CHAR(MOD(COLUMN(FA105)-1,26)+65))&amp;$FI105&amp;""),"")</f>
        <v/>
      </c>
      <c r="FO105" s="82" t="str">
        <f t="array" aca="1" ref="FO105" ca="1">IF($FI105&lt;&gt;"",
INDIRECT(""&amp;IF(COLUMN(FB105)&lt;=26,CHAR(COLUMN(FB105)+64),CHAR(INT((COLUMN(FB105)-1)/26)+64)&amp;CHAR(MOD(COLUMN(FB105)-1,26)+65))&amp;$FI105&amp;""),"")</f>
        <v/>
      </c>
      <c r="FP105" s="82" t="str">
        <f t="array" aca="1" ref="FP105" ca="1">IF($FI105&lt;&gt;"",
INDIRECT(""&amp;IF(COLUMN(FC105)&lt;=26,CHAR(COLUMN(FC105)+64),CHAR(INT((COLUMN(FC105)-1)/26)+64)&amp;CHAR(MOD(COLUMN(FC105)-1,26)+65))&amp;$FI105&amp;""),"")</f>
        <v/>
      </c>
      <c r="FQ105" s="82" t="str">
        <f t="array" aca="1" ref="FQ105" ca="1">IF($FI105&lt;&gt;"",
INDIRECT(""&amp;IF(COLUMN(FD105)&lt;=26,CHAR(COLUMN(FD105)+64),CHAR(INT((COLUMN(FD105)-1)/26)+64)&amp;CHAR(MOD(COLUMN(FD105)-1,26)+65))&amp;$FI105&amp;""),"")</f>
        <v/>
      </c>
      <c r="FR105" s="82" t="str">
        <f t="array" aca="1" ref="FR105" ca="1">IF($FI105&lt;&gt;"",
INDIRECT(""&amp;IF(COLUMN(FE105)&lt;=26,CHAR(COLUMN(FE105)+64),CHAR(INT((COLUMN(FE105)-1)/26)+64)&amp;CHAR(MOD(COLUMN(FE105)-1,26)+65))&amp;$FI105&amp;""),"")</f>
        <v/>
      </c>
      <c r="FS105" s="82" t="str">
        <f t="array" aca="1" ref="FS105" ca="1">IF($FI105&lt;&gt;"",
INDIRECT(""&amp;IF(COLUMN(FF105)&lt;=26,CHAR(COLUMN(FF105)+64),CHAR(INT((COLUMN(FF105)-1)/26)+64)&amp;CHAR(MOD(COLUMN(FF105)-1,26)+65))&amp;$FI105&amp;""),"")</f>
        <v/>
      </c>
    </row>
    <row r="106" spans="151:175" ht="22.2" customHeight="1" x14ac:dyDescent="0.45">
      <c r="EU106" s="82">
        <f t="shared" si="8"/>
        <v>56</v>
      </c>
      <c r="EV106" s="82" t="str">
        <f t="array" aca="1" ref="EV106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LEN(SUBSTITUTE(_xlfn.FORMULATEXT(EV$97),"=","")))+$EU106)</f>
        <v/>
      </c>
      <c r="EW106" s="82" t="str">
        <f t="array" aca="1" ref="EW106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LEN(SUBSTITUTE(_xlfn.FORMULATEXT(EW$97),"=","")))+$EU106)</f>
        <v/>
      </c>
      <c r="EX106" s="82" t="str">
        <f t="array" aca="1" ref="EX106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LEN(SUBSTITUTE(_xlfn.FORMULATEXT(EX$97),"=","")))+$EU106)</f>
        <v/>
      </c>
      <c r="EY106" s="82" t="str">
        <f t="array" aca="1" ref="EY106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LEN(SUBSTITUTE(_xlfn.FORMULATEXT(EY$97),"=","")))+$EU106)</f>
        <v/>
      </c>
      <c r="EZ106" s="82" t="str">
        <f t="array" aca="1" ref="EZ106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LEN(SUBSTITUTE(_xlfn.FORMULATEXT(EZ$97),"=","")))+$EU106)</f>
        <v/>
      </c>
      <c r="FA106" s="82" t="str">
        <f t="array" aca="1" ref="FA106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LEN(SUBSTITUTE(_xlfn.FORMULATEXT(FA$97),"=","")))+$EU106)</f>
        <v/>
      </c>
      <c r="FB106" s="82" t="str">
        <f t="array" aca="1" ref="FB106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LEN(SUBSTITUTE(_xlfn.FORMULATEXT(FB$97),"=","")))+$EU106)</f>
        <v/>
      </c>
      <c r="FC106" s="82" t="str">
        <f t="array" aca="1" ref="FC106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LEN(SUBSTITUTE(_xlfn.FORMULATEXT(FC$97),"=","")))+$EU106)</f>
        <v/>
      </c>
      <c r="FD106" s="82" t="str">
        <f t="array" aca="1" ref="FD106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LEN(SUBSTITUTE(_xlfn.FORMULATEXT(FD$97),"=","")))+$EU106)</f>
        <v/>
      </c>
      <c r="FE106" s="82" t="str">
        <f t="array" aca="1" ref="FE106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LEN(SUBSTITUTE(_xlfn.FORMULATEXT(FE$97),"=","")))+$EU106)</f>
        <v/>
      </c>
      <c r="FF106" s="82" t="str">
        <f t="array" aca="1" ref="FF106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LEN(SUBSTITUTE(_xlfn.FORMULATEXT(FF$97),"=","")))+$EU106)</f>
        <v/>
      </c>
      <c r="FG106" s="82">
        <f t="shared" ca="1" si="7"/>
        <v>0</v>
      </c>
      <c r="FH106" s="82" t="b">
        <f t="array" aca="1" ref="FH106" ca="1">SUMPRODUCT((LEN(EV106:FF106)&gt;0)*1)&gt;0</f>
        <v>0</v>
      </c>
      <c r="FI106" s="82" t="str">
        <f t="array" aca="1" ref="FI106" ca="1">IFERROR(SMALL(IF(FG$1:FG$173&lt;&gt;0,FG$1:FG$173),ROW(A106)),"")</f>
        <v/>
      </c>
      <c r="FJ106" s="82" t="str">
        <f t="array" aca="1" ref="FJ106" ca="1">IF($FI106&lt;&gt;"",
INDIRECT(""&amp;IF(COLUMN(EV106)&lt;=26,CHAR(COLUMN(EV106)+64),CHAR(INT((COLUMN(EV106)-1)/26)+64)&amp;CHAR(MOD(COLUMN(EV106)-1,26)+65))&amp;$FI106&amp;""),"")</f>
        <v/>
      </c>
      <c r="FK106" s="82" t="str">
        <f t="array" aca="1" ref="FK106" ca="1">IF($FI106&lt;&gt;"",
INDIRECT(""&amp;IF(COLUMN(EW106)&lt;=26,CHAR(COLUMN(EW106)+64),CHAR(INT((COLUMN(EW106)-1)/26)+64)&amp;CHAR(MOD(COLUMN(EW106)-1,26)+65))&amp;$FI106&amp;""),"")</f>
        <v/>
      </c>
      <c r="FL106" s="82" t="str">
        <f t="array" aca="1" ref="FL106" ca="1">IF($FI106&lt;&gt;"",
INDIRECT(""&amp;IF(COLUMN(EX106)&lt;=26,CHAR(COLUMN(EX106)+64),CHAR(INT((COLUMN(EX106)-1)/26)+64)&amp;CHAR(MOD(COLUMN(EX106)-1,26)+65))&amp;$FI106&amp;""),"")</f>
        <v/>
      </c>
      <c r="FM106" s="82" t="str">
        <f t="array" aca="1" ref="FM106" ca="1">IF($FI106&lt;&gt;"",
IF(FL106="",
IF(INDIRECT("EY"&amp;$FI106&amp;"")&lt;&gt;"",
INDIRECT("EY"&amp;$FI106&amp;"")&amp;"箱"
&amp;INDIRECT("EZ"&amp;$FI106&amp;""),""),""),"")</f>
        <v/>
      </c>
      <c r="FN106" s="82" t="str">
        <f t="array" aca="1" ref="FN106" ca="1">IF($FI106&lt;&gt;"",
INDIRECT(""&amp;IF(COLUMN(FA106)&lt;=26,CHAR(COLUMN(FA106)+64),CHAR(INT((COLUMN(FA106)-1)/26)+64)&amp;CHAR(MOD(COLUMN(FA106)-1,26)+65))&amp;$FI106&amp;""),"")</f>
        <v/>
      </c>
      <c r="FO106" s="82" t="str">
        <f t="array" aca="1" ref="FO106" ca="1">IF($FI106&lt;&gt;"",
INDIRECT(""&amp;IF(COLUMN(FB106)&lt;=26,CHAR(COLUMN(FB106)+64),CHAR(INT((COLUMN(FB106)-1)/26)+64)&amp;CHAR(MOD(COLUMN(FB106)-1,26)+65))&amp;$FI106&amp;""),"")</f>
        <v/>
      </c>
      <c r="FP106" s="82" t="str">
        <f t="array" aca="1" ref="FP106" ca="1">IF($FI106&lt;&gt;"",
INDIRECT(""&amp;IF(COLUMN(FC106)&lt;=26,CHAR(COLUMN(FC106)+64),CHAR(INT((COLUMN(FC106)-1)/26)+64)&amp;CHAR(MOD(COLUMN(FC106)-1,26)+65))&amp;$FI106&amp;""),"")</f>
        <v/>
      </c>
      <c r="FQ106" s="82" t="str">
        <f t="array" aca="1" ref="FQ106" ca="1">IF($FI106&lt;&gt;"",
INDIRECT(""&amp;IF(COLUMN(FD106)&lt;=26,CHAR(COLUMN(FD106)+64),CHAR(INT((COLUMN(FD106)-1)/26)+64)&amp;CHAR(MOD(COLUMN(FD106)-1,26)+65))&amp;$FI106&amp;""),"")</f>
        <v/>
      </c>
      <c r="FR106" s="82" t="str">
        <f t="array" aca="1" ref="FR106" ca="1">IF($FI106&lt;&gt;"",
INDIRECT(""&amp;IF(COLUMN(FE106)&lt;=26,CHAR(COLUMN(FE106)+64),CHAR(INT((COLUMN(FE106)-1)/26)+64)&amp;CHAR(MOD(COLUMN(FE106)-1,26)+65))&amp;$FI106&amp;""),"")</f>
        <v/>
      </c>
      <c r="FS106" s="82" t="str">
        <f t="array" aca="1" ref="FS106" ca="1">IF($FI106&lt;&gt;"",
INDIRECT(""&amp;IF(COLUMN(FF106)&lt;=26,CHAR(COLUMN(FF106)+64),CHAR(INT((COLUMN(FF106)-1)/26)+64)&amp;CHAR(MOD(COLUMN(FF106)-1,26)+65))&amp;$FI106&amp;""),"")</f>
        <v/>
      </c>
    </row>
    <row r="107" spans="151:175" ht="22.2" customHeight="1" x14ac:dyDescent="0.45">
      <c r="EU107" s="91">
        <f t="shared" si="8"/>
        <v>14</v>
      </c>
      <c r="EV107" s="82" t="str">
        <f t="array" aca="1" ref="EV107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LEN(SUBSTITUTE(_xlfn.FORMULATEXT(EV$99),"=","")))+$EU107)</f>
        <v/>
      </c>
      <c r="EW107" s="82" t="str">
        <f t="array" aca="1" ref="EW107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LEN(SUBSTITUTE(_xlfn.FORMULATEXT(EW$99),"=","")))+$EU107)</f>
        <v/>
      </c>
      <c r="EX107" s="82" t="str">
        <f t="array" aca="1" ref="EX107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LEN(SUBSTITUTE(_xlfn.FORMULATEXT(EX$99),"=","")))+$EU107)</f>
        <v/>
      </c>
      <c r="EY107" s="82" t="str">
        <f t="array" aca="1" ref="EY107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LEN(SUBSTITUTE(_xlfn.FORMULATEXT(EY$99),"=","")))+$EU107)</f>
        <v/>
      </c>
      <c r="EZ107" s="82" t="str">
        <f t="array" aca="1" ref="EZ107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LEN(SUBSTITUTE(_xlfn.FORMULATEXT(EZ$99),"=","")))+$EU107)</f>
        <v/>
      </c>
      <c r="FA107" s="82" t="e">
        <f t="array" aca="1" ref="FA107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LEN(SUBSTITUTE(_xlfn.FORMULATEXT(FA$99),"=","")))+$EU107)</f>
        <v>#VALUE!</v>
      </c>
      <c r="FB107" s="82" t="str">
        <f t="array" aca="1" ref="FB107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LEN(SUBSTITUTE(_xlfn.FORMULATEXT(FB$99),"=","")))+$EU107)</f>
        <v/>
      </c>
      <c r="FC107" s="82" t="str">
        <f t="array" aca="1" ref="FC107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LEN(SUBSTITUTE(_xlfn.FORMULATEXT(FC$99),"=","")))+$EU107)</f>
        <v/>
      </c>
      <c r="FD107" s="82" t="e">
        <f t="array" aca="1" ref="FD107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LEN(SUBSTITUTE(_xlfn.FORMULATEXT(FD$99),"=","")))+$EU107)</f>
        <v>#VALUE!</v>
      </c>
      <c r="FE107" s="82" t="str">
        <f t="array" aca="1" ref="FE107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LEN(SUBSTITUTE(_xlfn.FORMULATEXT(FE$99),"=","")))+$EU107)</f>
        <v/>
      </c>
      <c r="FF107" s="82" t="e">
        <f t="array" aca="1" ref="FF107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LEN(SUBSTITUTE(_xlfn.FORMULATEXT(FF$99),"=","")))+$EU107)</f>
        <v>#N/A</v>
      </c>
      <c r="FG107" s="82">
        <f t="shared" ca="1" si="7"/>
        <v>0</v>
      </c>
      <c r="FH107" s="82" t="e">
        <f t="array" aca="1" ref="FH107" ca="1">SUMPRODUCT((LEN(EV107:FF107)&gt;0)*1)&gt;0</f>
        <v>#VALUE!</v>
      </c>
      <c r="FI107" s="82" t="str">
        <f t="array" aca="1" ref="FI107" ca="1">IFERROR(SMALL(IF(FG$1:FG$173&lt;&gt;0,FG$1:FG$173),ROW(A107)),"")</f>
        <v/>
      </c>
      <c r="FJ107" s="82" t="str">
        <f t="array" aca="1" ref="FJ107" ca="1">IF($FI107&lt;&gt;"",
INDIRECT(""&amp;IF(COLUMN(EV107)&lt;=26,CHAR(COLUMN(EV107)+64),CHAR(INT((COLUMN(EV107)-1)/26)+64)&amp;CHAR(MOD(COLUMN(EV107)-1,26)+65))&amp;$FI107&amp;""),"")</f>
        <v/>
      </c>
      <c r="FK107" s="82" t="str">
        <f t="array" aca="1" ref="FK107" ca="1">IF($FI107&lt;&gt;"",
INDIRECT(""&amp;IF(COLUMN(EW107)&lt;=26,CHAR(COLUMN(EW107)+64),CHAR(INT((COLUMN(EW107)-1)/26)+64)&amp;CHAR(MOD(COLUMN(EW107)-1,26)+65))&amp;$FI107&amp;""),"")</f>
        <v/>
      </c>
      <c r="FL107" s="82" t="str">
        <f t="array" aca="1" ref="FL107" ca="1">IF($FI107&lt;&gt;"",
INDIRECT(""&amp;IF(COLUMN(EX107)&lt;=26,CHAR(COLUMN(EX107)+64),CHAR(INT((COLUMN(EX107)-1)/26)+64)&amp;CHAR(MOD(COLUMN(EX107)-1,26)+65))&amp;$FI107&amp;""),"")</f>
        <v/>
      </c>
      <c r="FM107" s="82" t="str">
        <f t="array" aca="1" ref="FM107" ca="1">IF($FI107&lt;&gt;"",
IF(FL107="",
IF(INDIRECT("EY"&amp;$FI107&amp;"")&lt;&gt;"",
INDIRECT("EY"&amp;$FI107&amp;"")&amp;"箱"
&amp;INDIRECT("EZ"&amp;$FI107&amp;""),""),""),"")</f>
        <v/>
      </c>
      <c r="FN107" s="82" t="str">
        <f t="array" aca="1" ref="FN107" ca="1">IF($FI107&lt;&gt;"",
INDIRECT(""&amp;IF(COLUMN(FA107)&lt;=26,CHAR(COLUMN(FA107)+64),CHAR(INT((COLUMN(FA107)-1)/26)+64)&amp;CHAR(MOD(COLUMN(FA107)-1,26)+65))&amp;$FI107&amp;""),"")</f>
        <v/>
      </c>
      <c r="FO107" s="82" t="str">
        <f t="array" aca="1" ref="FO107" ca="1">IF($FI107&lt;&gt;"",
INDIRECT(""&amp;IF(COLUMN(FB107)&lt;=26,CHAR(COLUMN(FB107)+64),CHAR(INT((COLUMN(FB107)-1)/26)+64)&amp;CHAR(MOD(COLUMN(FB107)-1,26)+65))&amp;$FI107&amp;""),"")</f>
        <v/>
      </c>
      <c r="FP107" s="82" t="str">
        <f t="array" aca="1" ref="FP107" ca="1">IF($FI107&lt;&gt;"",
INDIRECT(""&amp;IF(COLUMN(FC107)&lt;=26,CHAR(COLUMN(FC107)+64),CHAR(INT((COLUMN(FC107)-1)/26)+64)&amp;CHAR(MOD(COLUMN(FC107)-1,26)+65))&amp;$FI107&amp;""),"")</f>
        <v/>
      </c>
      <c r="FQ107" s="82" t="str">
        <f t="array" aca="1" ref="FQ107" ca="1">IF($FI107&lt;&gt;"",
INDIRECT(""&amp;IF(COLUMN(FD107)&lt;=26,CHAR(COLUMN(FD107)+64),CHAR(INT((COLUMN(FD107)-1)/26)+64)&amp;CHAR(MOD(COLUMN(FD107)-1,26)+65))&amp;$FI107&amp;""),"")</f>
        <v/>
      </c>
      <c r="FR107" s="82" t="str">
        <f t="array" aca="1" ref="FR107" ca="1">IF($FI107&lt;&gt;"",
INDIRECT(""&amp;IF(COLUMN(FE107)&lt;=26,CHAR(COLUMN(FE107)+64),CHAR(INT((COLUMN(FE107)-1)/26)+64)&amp;CHAR(MOD(COLUMN(FE107)-1,26)+65))&amp;$FI107&amp;""),"")</f>
        <v/>
      </c>
      <c r="FS107" s="82" t="str">
        <f t="array" aca="1" ref="FS107" ca="1">IF($FI107&lt;&gt;"",
INDIRECT(""&amp;IF(COLUMN(FF107)&lt;=26,CHAR(COLUMN(FF107)+64),CHAR(INT((COLUMN(FF107)-1)/26)+64)&amp;CHAR(MOD(COLUMN(FF107)-1,26)+65))&amp;$FI107&amp;""),"")</f>
        <v/>
      </c>
    </row>
    <row r="108" spans="151:175" ht="22.2" customHeight="1" x14ac:dyDescent="0.45">
      <c r="EU108" s="82">
        <f t="shared" si="8"/>
        <v>56</v>
      </c>
      <c r="EV108" s="82" t="str">
        <f t="array" aca="1" ref="EV108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LEN(SUBSTITUTE(_xlfn.FORMULATEXT(EV$99),"=","")))+$EU108)</f>
        <v/>
      </c>
      <c r="EW108" s="82" t="str">
        <f t="array" aca="1" ref="EW108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LEN(SUBSTITUTE(_xlfn.FORMULATEXT(EW$99),"=","")))+$EU108)</f>
        <v/>
      </c>
      <c r="EX108" s="82" t="str">
        <f t="array" aca="1" ref="EX108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LEN(SUBSTITUTE(_xlfn.FORMULATEXT(EX$99),"=","")))+$EU108)</f>
        <v/>
      </c>
      <c r="EY108" s="82" t="str">
        <f t="array" aca="1" ref="EY108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LEN(SUBSTITUTE(_xlfn.FORMULATEXT(EY$99),"=","")))+$EU108)</f>
        <v/>
      </c>
      <c r="EZ108" s="82" t="str">
        <f t="array" aca="1" ref="EZ108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LEN(SUBSTITUTE(_xlfn.FORMULATEXT(EZ$99),"=","")))+$EU108)</f>
        <v/>
      </c>
      <c r="FA108" s="82" t="str">
        <f t="array" aca="1" ref="FA108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LEN(SUBSTITUTE(_xlfn.FORMULATEXT(FA$99),"=","")))+$EU108)</f>
        <v/>
      </c>
      <c r="FB108" s="82" t="str">
        <f t="array" aca="1" ref="FB108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LEN(SUBSTITUTE(_xlfn.FORMULATEXT(FB$99),"=","")))+$EU108)</f>
        <v/>
      </c>
      <c r="FC108" s="82" t="str">
        <f t="array" aca="1" ref="FC108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LEN(SUBSTITUTE(_xlfn.FORMULATEXT(FC$99),"=","")))+$EU108)</f>
        <v/>
      </c>
      <c r="FD108" s="82" t="str">
        <f t="array" aca="1" ref="FD108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LEN(SUBSTITUTE(_xlfn.FORMULATEXT(FD$99),"=","")))+$EU108)</f>
        <v/>
      </c>
      <c r="FE108" s="82" t="str">
        <f t="array" aca="1" ref="FE108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LEN(SUBSTITUTE(_xlfn.FORMULATEXT(FE$99),"=","")))+$EU108)</f>
        <v/>
      </c>
      <c r="FF108" s="82" t="str">
        <f t="array" aca="1" ref="FF108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LEN(SUBSTITUTE(_xlfn.FORMULATEXT(FF$99),"=","")))+$EU108)</f>
        <v/>
      </c>
      <c r="FG108" s="82">
        <f t="shared" ca="1" si="7"/>
        <v>0</v>
      </c>
      <c r="FH108" s="82" t="b">
        <f t="array" aca="1" ref="FH108" ca="1">SUMPRODUCT((LEN(EV108:FF108)&gt;0)*1)&gt;0</f>
        <v>0</v>
      </c>
      <c r="FI108" s="82" t="str">
        <f t="array" aca="1" ref="FI108" ca="1">IFERROR(SMALL(IF(FG$1:FG$173&lt;&gt;0,FG$1:FG$173),ROW(A108)),"")</f>
        <v/>
      </c>
      <c r="FJ108" s="82" t="str">
        <f t="array" aca="1" ref="FJ108" ca="1">IF($FI108&lt;&gt;"",
INDIRECT(""&amp;IF(COLUMN(EV108)&lt;=26,CHAR(COLUMN(EV108)+64),CHAR(INT((COLUMN(EV108)-1)/26)+64)&amp;CHAR(MOD(COLUMN(EV108)-1,26)+65))&amp;$FI108&amp;""),"")</f>
        <v/>
      </c>
      <c r="FK108" s="82" t="str">
        <f t="array" aca="1" ref="FK108" ca="1">IF($FI108&lt;&gt;"",
INDIRECT(""&amp;IF(COLUMN(EW108)&lt;=26,CHAR(COLUMN(EW108)+64),CHAR(INT((COLUMN(EW108)-1)/26)+64)&amp;CHAR(MOD(COLUMN(EW108)-1,26)+65))&amp;$FI108&amp;""),"")</f>
        <v/>
      </c>
      <c r="FL108" s="82" t="str">
        <f t="array" aca="1" ref="FL108" ca="1">IF($FI108&lt;&gt;"",
INDIRECT(""&amp;IF(COLUMN(EX108)&lt;=26,CHAR(COLUMN(EX108)+64),CHAR(INT((COLUMN(EX108)-1)/26)+64)&amp;CHAR(MOD(COLUMN(EX108)-1,26)+65))&amp;$FI108&amp;""),"")</f>
        <v/>
      </c>
      <c r="FM108" s="82" t="str">
        <f t="array" aca="1" ref="FM108" ca="1">IF($FI108&lt;&gt;"",
IF(FL108="",
IF(INDIRECT("EY"&amp;$FI108&amp;"")&lt;&gt;"",
INDIRECT("EY"&amp;$FI108&amp;"")&amp;"箱"
&amp;INDIRECT("EZ"&amp;$FI108&amp;""),""),""),"")</f>
        <v/>
      </c>
      <c r="FN108" s="82" t="str">
        <f t="array" aca="1" ref="FN108" ca="1">IF($FI108&lt;&gt;"",
INDIRECT(""&amp;IF(COLUMN(FA108)&lt;=26,CHAR(COLUMN(FA108)+64),CHAR(INT((COLUMN(FA108)-1)/26)+64)&amp;CHAR(MOD(COLUMN(FA108)-1,26)+65))&amp;$FI108&amp;""),"")</f>
        <v/>
      </c>
      <c r="FO108" s="82" t="str">
        <f t="array" aca="1" ref="FO108" ca="1">IF($FI108&lt;&gt;"",
INDIRECT(""&amp;IF(COLUMN(FB108)&lt;=26,CHAR(COLUMN(FB108)+64),CHAR(INT((COLUMN(FB108)-1)/26)+64)&amp;CHAR(MOD(COLUMN(FB108)-1,26)+65))&amp;$FI108&amp;""),"")</f>
        <v/>
      </c>
      <c r="FP108" s="82" t="str">
        <f t="array" aca="1" ref="FP108" ca="1">IF($FI108&lt;&gt;"",
INDIRECT(""&amp;IF(COLUMN(FC108)&lt;=26,CHAR(COLUMN(FC108)+64),CHAR(INT((COLUMN(FC108)-1)/26)+64)&amp;CHAR(MOD(COLUMN(FC108)-1,26)+65))&amp;$FI108&amp;""),"")</f>
        <v/>
      </c>
      <c r="FQ108" s="82" t="str">
        <f t="array" aca="1" ref="FQ108" ca="1">IF($FI108&lt;&gt;"",
INDIRECT(""&amp;IF(COLUMN(FD108)&lt;=26,CHAR(COLUMN(FD108)+64),CHAR(INT((COLUMN(FD108)-1)/26)+64)&amp;CHAR(MOD(COLUMN(FD108)-1,26)+65))&amp;$FI108&amp;""),"")</f>
        <v/>
      </c>
      <c r="FR108" s="82" t="str">
        <f t="array" aca="1" ref="FR108" ca="1">IF($FI108&lt;&gt;"",
INDIRECT(""&amp;IF(COLUMN(FE108)&lt;=26,CHAR(COLUMN(FE108)+64),CHAR(INT((COLUMN(FE108)-1)/26)+64)&amp;CHAR(MOD(COLUMN(FE108)-1,26)+65))&amp;$FI108&amp;""),"")</f>
        <v/>
      </c>
      <c r="FS108" s="82" t="str">
        <f t="array" aca="1" ref="FS108" ca="1">IF($FI108&lt;&gt;"",
INDIRECT(""&amp;IF(COLUMN(FF108)&lt;=26,CHAR(COLUMN(FF108)+64),CHAR(INT((COLUMN(FF108)-1)/26)+64)&amp;CHAR(MOD(COLUMN(FF108)-1,26)+65))&amp;$FI108&amp;""),"")</f>
        <v/>
      </c>
    </row>
    <row r="109" spans="151:175" ht="22.2" customHeight="1" x14ac:dyDescent="0.45">
      <c r="EU109" s="82">
        <f t="shared" si="8"/>
        <v>21</v>
      </c>
      <c r="EV109" s="82" t="str">
        <f t="array" aca="1" ref="EV109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LEN(SUBSTITUTE(_xlfn.FORMULATEXT(EV$97),"=","")))+$EU109)</f>
        <v/>
      </c>
      <c r="EW109" s="82" t="str">
        <f t="array" aca="1" ref="EW109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LEN(SUBSTITUTE(_xlfn.FORMULATEXT(EW$97),"=","")))+$EU109)</f>
        <v/>
      </c>
      <c r="EX109" s="82" t="str">
        <f t="array" aca="1" ref="EX109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LEN(SUBSTITUTE(_xlfn.FORMULATEXT(EX$97),"=","")))+$EU109)</f>
        <v/>
      </c>
      <c r="EY109" s="82" t="str">
        <f t="array" aca="1" ref="EY109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LEN(SUBSTITUTE(_xlfn.FORMULATEXT(EY$97),"=","")))+$EU109)</f>
        <v/>
      </c>
      <c r="EZ109" s="82" t="str">
        <f t="array" aca="1" ref="EZ109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LEN(SUBSTITUTE(_xlfn.FORMULATEXT(EZ$97),"=","")))+$EU109)</f>
        <v/>
      </c>
      <c r="FA109" s="82" t="e">
        <f t="array" aca="1" ref="FA109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LEN(SUBSTITUTE(_xlfn.FORMULATEXT(FA$97),"=","")))+$EU109)</f>
        <v>#VALUE!</v>
      </c>
      <c r="FB109" s="82" t="str">
        <f t="array" aca="1" ref="FB109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LEN(SUBSTITUTE(_xlfn.FORMULATEXT(FB$97),"=","")))+$EU109)</f>
        <v/>
      </c>
      <c r="FC109" s="82" t="str">
        <f t="array" aca="1" ref="FC109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LEN(SUBSTITUTE(_xlfn.FORMULATEXT(FC$97),"=","")))+$EU109)</f>
        <v/>
      </c>
      <c r="FD109" s="82" t="e">
        <f t="array" aca="1" ref="FD109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LEN(SUBSTITUTE(_xlfn.FORMULATEXT(FD$97),"=","")))+$EU109)</f>
        <v>#VALUE!</v>
      </c>
      <c r="FE109" s="82" t="str">
        <f t="array" aca="1" ref="FE109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LEN(SUBSTITUTE(_xlfn.FORMULATEXT(FE$97),"=","")))+$EU109)</f>
        <v/>
      </c>
      <c r="FF109" s="82" t="e">
        <f t="array" aca="1" ref="FF109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LEN(SUBSTITUTE(_xlfn.FORMULATEXT(FF$97),"=","")))+$EU109)</f>
        <v>#N/A</v>
      </c>
      <c r="FG109" s="82">
        <f t="shared" ca="1" si="7"/>
        <v>0</v>
      </c>
      <c r="FH109" s="82" t="e">
        <f t="array" aca="1" ref="FH109" ca="1">SUMPRODUCT((LEN(EV109:FF109)&gt;0)*1)&gt;0</f>
        <v>#VALUE!</v>
      </c>
      <c r="FI109" s="82" t="str">
        <f t="array" aca="1" ref="FI109" ca="1">IFERROR(SMALL(IF(FG$1:FG$173&lt;&gt;0,FG$1:FG$173),ROW(A109)),"")</f>
        <v/>
      </c>
      <c r="FJ109" s="82" t="str">
        <f t="array" aca="1" ref="FJ109" ca="1">IF($FI109&lt;&gt;"",
INDIRECT(""&amp;IF(COLUMN(EV109)&lt;=26,CHAR(COLUMN(EV109)+64),CHAR(INT((COLUMN(EV109)-1)/26)+64)&amp;CHAR(MOD(COLUMN(EV109)-1,26)+65))&amp;$FI109&amp;""),"")</f>
        <v/>
      </c>
      <c r="FK109" s="82" t="str">
        <f t="array" aca="1" ref="FK109" ca="1">IF($FI109&lt;&gt;"",
INDIRECT(""&amp;IF(COLUMN(EW109)&lt;=26,CHAR(COLUMN(EW109)+64),CHAR(INT((COLUMN(EW109)-1)/26)+64)&amp;CHAR(MOD(COLUMN(EW109)-1,26)+65))&amp;$FI109&amp;""),"")</f>
        <v/>
      </c>
      <c r="FL109" s="82" t="str">
        <f t="array" aca="1" ref="FL109" ca="1">IF($FI109&lt;&gt;"",
INDIRECT(""&amp;IF(COLUMN(EX109)&lt;=26,CHAR(COLUMN(EX109)+64),CHAR(INT((COLUMN(EX109)-1)/26)+64)&amp;CHAR(MOD(COLUMN(EX109)-1,26)+65))&amp;$FI109&amp;""),"")</f>
        <v/>
      </c>
      <c r="FM109" s="82" t="str">
        <f t="array" aca="1" ref="FM109" ca="1">IF($FI109&lt;&gt;"",
IF(FL109="",
IF(INDIRECT("EY"&amp;$FI109&amp;"")&lt;&gt;"",
INDIRECT("EY"&amp;$FI109&amp;"")&amp;"箱"
&amp;INDIRECT("EZ"&amp;$FI109&amp;""),""),""),"")</f>
        <v/>
      </c>
      <c r="FN109" s="82" t="str">
        <f t="array" aca="1" ref="FN109" ca="1">IF($FI109&lt;&gt;"",
INDIRECT(""&amp;IF(COLUMN(FA109)&lt;=26,CHAR(COLUMN(FA109)+64),CHAR(INT((COLUMN(FA109)-1)/26)+64)&amp;CHAR(MOD(COLUMN(FA109)-1,26)+65))&amp;$FI109&amp;""),"")</f>
        <v/>
      </c>
      <c r="FO109" s="82" t="str">
        <f t="array" aca="1" ref="FO109" ca="1">IF($FI109&lt;&gt;"",
INDIRECT(""&amp;IF(COLUMN(FB109)&lt;=26,CHAR(COLUMN(FB109)+64),CHAR(INT((COLUMN(FB109)-1)/26)+64)&amp;CHAR(MOD(COLUMN(FB109)-1,26)+65))&amp;$FI109&amp;""),"")</f>
        <v/>
      </c>
      <c r="FP109" s="82" t="str">
        <f t="array" aca="1" ref="FP109" ca="1">IF($FI109&lt;&gt;"",
INDIRECT(""&amp;IF(COLUMN(FC109)&lt;=26,CHAR(COLUMN(FC109)+64),CHAR(INT((COLUMN(FC109)-1)/26)+64)&amp;CHAR(MOD(COLUMN(FC109)-1,26)+65))&amp;$FI109&amp;""),"")</f>
        <v/>
      </c>
      <c r="FQ109" s="82" t="str">
        <f t="array" aca="1" ref="FQ109" ca="1">IF($FI109&lt;&gt;"",
INDIRECT(""&amp;IF(COLUMN(FD109)&lt;=26,CHAR(COLUMN(FD109)+64),CHAR(INT((COLUMN(FD109)-1)/26)+64)&amp;CHAR(MOD(COLUMN(FD109)-1,26)+65))&amp;$FI109&amp;""),"")</f>
        <v/>
      </c>
      <c r="FR109" s="82" t="str">
        <f t="array" aca="1" ref="FR109" ca="1">IF($FI109&lt;&gt;"",
INDIRECT(""&amp;IF(COLUMN(FE109)&lt;=26,CHAR(COLUMN(FE109)+64),CHAR(INT((COLUMN(FE109)-1)/26)+64)&amp;CHAR(MOD(COLUMN(FE109)-1,26)+65))&amp;$FI109&amp;""),"")</f>
        <v/>
      </c>
      <c r="FS109" s="82" t="str">
        <f t="array" aca="1" ref="FS109" ca="1">IF($FI109&lt;&gt;"",
INDIRECT(""&amp;IF(COLUMN(FF109)&lt;=26,CHAR(COLUMN(FF109)+64),CHAR(INT((COLUMN(FF109)-1)/26)+64)&amp;CHAR(MOD(COLUMN(FF109)-1,26)+65))&amp;$FI109&amp;""),"")</f>
        <v/>
      </c>
    </row>
    <row r="110" spans="151:175" ht="22.2" customHeight="1" x14ac:dyDescent="0.45">
      <c r="EU110" s="82">
        <f t="shared" si="8"/>
        <v>63</v>
      </c>
      <c r="EV110" s="82" t="str">
        <f t="array" aca="1" ref="EV110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LEN(SUBSTITUTE(_xlfn.FORMULATEXT(EV$97),"=","")))+$EU110)</f>
        <v/>
      </c>
      <c r="EW110" s="82" t="str">
        <f t="array" aca="1" ref="EW110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LEN(SUBSTITUTE(_xlfn.FORMULATEXT(EW$97),"=","")))+$EU110)</f>
        <v/>
      </c>
      <c r="EX110" s="82" t="str">
        <f t="array" aca="1" ref="EX110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LEN(SUBSTITUTE(_xlfn.FORMULATEXT(EX$97),"=","")))+$EU110)</f>
        <v/>
      </c>
      <c r="EY110" s="82" t="str">
        <f t="array" aca="1" ref="EY110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LEN(SUBSTITUTE(_xlfn.FORMULATEXT(EY$97),"=","")))+$EU110)</f>
        <v/>
      </c>
      <c r="EZ110" s="82" t="str">
        <f t="array" aca="1" ref="EZ110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LEN(SUBSTITUTE(_xlfn.FORMULATEXT(EZ$97),"=","")))+$EU110)</f>
        <v/>
      </c>
      <c r="FA110" s="82" t="str">
        <f t="array" aca="1" ref="FA110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LEN(SUBSTITUTE(_xlfn.FORMULATEXT(FA$97),"=","")))+$EU110)</f>
        <v/>
      </c>
      <c r="FB110" s="82" t="str">
        <f t="array" aca="1" ref="FB110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LEN(SUBSTITUTE(_xlfn.FORMULATEXT(FB$97),"=","")))+$EU110)</f>
        <v/>
      </c>
      <c r="FC110" s="82" t="str">
        <f t="array" aca="1" ref="FC110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LEN(SUBSTITUTE(_xlfn.FORMULATEXT(FC$97),"=","")))+$EU110)</f>
        <v/>
      </c>
      <c r="FD110" s="82" t="str">
        <f t="array" aca="1" ref="FD110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LEN(SUBSTITUTE(_xlfn.FORMULATEXT(FD$97),"=","")))+$EU110)</f>
        <v/>
      </c>
      <c r="FE110" s="82" t="str">
        <f t="array" aca="1" ref="FE110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LEN(SUBSTITUTE(_xlfn.FORMULATEXT(FE$97),"=","")))+$EU110)</f>
        <v/>
      </c>
      <c r="FF110" s="82" t="str">
        <f t="array" aca="1" ref="FF110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LEN(SUBSTITUTE(_xlfn.FORMULATEXT(FF$97),"=","")))+$EU110)</f>
        <v/>
      </c>
      <c r="FG110" s="82">
        <f t="shared" ca="1" si="7"/>
        <v>0</v>
      </c>
      <c r="FH110" s="82" t="b">
        <f t="array" aca="1" ref="FH110" ca="1">SUMPRODUCT((LEN(EV110:FF110)&gt;0)*1)&gt;0</f>
        <v>0</v>
      </c>
      <c r="FI110" s="82" t="str">
        <f t="array" aca="1" ref="FI110" ca="1">IFERROR(SMALL(IF(FG$1:FG$173&lt;&gt;0,FG$1:FG$173),ROW(A110)),"")</f>
        <v/>
      </c>
      <c r="FJ110" s="82" t="str">
        <f t="array" aca="1" ref="FJ110" ca="1">IF($FI110&lt;&gt;"",
INDIRECT(""&amp;IF(COLUMN(EV110)&lt;=26,CHAR(COLUMN(EV110)+64),CHAR(INT((COLUMN(EV110)-1)/26)+64)&amp;CHAR(MOD(COLUMN(EV110)-1,26)+65))&amp;$FI110&amp;""),"")</f>
        <v/>
      </c>
      <c r="FK110" s="82" t="str">
        <f t="array" aca="1" ref="FK110" ca="1">IF($FI110&lt;&gt;"",
INDIRECT(""&amp;IF(COLUMN(EW110)&lt;=26,CHAR(COLUMN(EW110)+64),CHAR(INT((COLUMN(EW110)-1)/26)+64)&amp;CHAR(MOD(COLUMN(EW110)-1,26)+65))&amp;$FI110&amp;""),"")</f>
        <v/>
      </c>
      <c r="FL110" s="82" t="str">
        <f t="array" aca="1" ref="FL110" ca="1">IF($FI110&lt;&gt;"",
INDIRECT(""&amp;IF(COLUMN(EX110)&lt;=26,CHAR(COLUMN(EX110)+64),CHAR(INT((COLUMN(EX110)-1)/26)+64)&amp;CHAR(MOD(COLUMN(EX110)-1,26)+65))&amp;$FI110&amp;""),"")</f>
        <v/>
      </c>
      <c r="FM110" s="82" t="str">
        <f t="array" aca="1" ref="FM110" ca="1">IF($FI110&lt;&gt;"",
IF(FL110="",
IF(INDIRECT("EY"&amp;$FI110&amp;"")&lt;&gt;"",
INDIRECT("EY"&amp;$FI110&amp;"")&amp;"箱"
&amp;INDIRECT("EZ"&amp;$FI110&amp;""),""),""),"")</f>
        <v/>
      </c>
      <c r="FN110" s="82" t="str">
        <f t="array" aca="1" ref="FN110" ca="1">IF($FI110&lt;&gt;"",
INDIRECT(""&amp;IF(COLUMN(FA110)&lt;=26,CHAR(COLUMN(FA110)+64),CHAR(INT((COLUMN(FA110)-1)/26)+64)&amp;CHAR(MOD(COLUMN(FA110)-1,26)+65))&amp;$FI110&amp;""),"")</f>
        <v/>
      </c>
      <c r="FO110" s="82" t="str">
        <f t="array" aca="1" ref="FO110" ca="1">IF($FI110&lt;&gt;"",
INDIRECT(""&amp;IF(COLUMN(FB110)&lt;=26,CHAR(COLUMN(FB110)+64),CHAR(INT((COLUMN(FB110)-1)/26)+64)&amp;CHAR(MOD(COLUMN(FB110)-1,26)+65))&amp;$FI110&amp;""),"")</f>
        <v/>
      </c>
      <c r="FP110" s="82" t="str">
        <f t="array" aca="1" ref="FP110" ca="1">IF($FI110&lt;&gt;"",
INDIRECT(""&amp;IF(COLUMN(FC110)&lt;=26,CHAR(COLUMN(FC110)+64),CHAR(INT((COLUMN(FC110)-1)/26)+64)&amp;CHAR(MOD(COLUMN(FC110)-1,26)+65))&amp;$FI110&amp;""),"")</f>
        <v/>
      </c>
      <c r="FQ110" s="82" t="str">
        <f t="array" aca="1" ref="FQ110" ca="1">IF($FI110&lt;&gt;"",
INDIRECT(""&amp;IF(COLUMN(FD110)&lt;=26,CHAR(COLUMN(FD110)+64),CHAR(INT((COLUMN(FD110)-1)/26)+64)&amp;CHAR(MOD(COLUMN(FD110)-1,26)+65))&amp;$FI110&amp;""),"")</f>
        <v/>
      </c>
      <c r="FR110" s="82" t="str">
        <f t="array" aca="1" ref="FR110" ca="1">IF($FI110&lt;&gt;"",
INDIRECT(""&amp;IF(COLUMN(FE110)&lt;=26,CHAR(COLUMN(FE110)+64),CHAR(INT((COLUMN(FE110)-1)/26)+64)&amp;CHAR(MOD(COLUMN(FE110)-1,26)+65))&amp;$FI110&amp;""),"")</f>
        <v/>
      </c>
      <c r="FS110" s="82" t="str">
        <f t="array" aca="1" ref="FS110" ca="1">IF($FI110&lt;&gt;"",
INDIRECT(""&amp;IF(COLUMN(FF110)&lt;=26,CHAR(COLUMN(FF110)+64),CHAR(INT((COLUMN(FF110)-1)/26)+64)&amp;CHAR(MOD(COLUMN(FF110)-1,26)+65))&amp;$FI110&amp;""),"")</f>
        <v/>
      </c>
    </row>
    <row r="111" spans="151:175" ht="22.2" customHeight="1" x14ac:dyDescent="0.45">
      <c r="EU111" s="91">
        <f t="shared" si="8"/>
        <v>21</v>
      </c>
      <c r="EV111" s="82" t="str">
        <f t="array" aca="1" ref="EV111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LEN(SUBSTITUTE(_xlfn.FORMULATEXT(EV$99),"=","")))+$EU111)</f>
        <v/>
      </c>
      <c r="EW111" s="82" t="str">
        <f t="array" aca="1" ref="EW111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LEN(SUBSTITUTE(_xlfn.FORMULATEXT(EW$99),"=","")))+$EU111)</f>
        <v/>
      </c>
      <c r="EX111" s="82" t="str">
        <f t="array" aca="1" ref="EX111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LEN(SUBSTITUTE(_xlfn.FORMULATEXT(EX$99),"=","")))+$EU111)</f>
        <v/>
      </c>
      <c r="EY111" s="82" t="str">
        <f t="array" aca="1" ref="EY111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LEN(SUBSTITUTE(_xlfn.FORMULATEXT(EY$99),"=","")))+$EU111)</f>
        <v/>
      </c>
      <c r="EZ111" s="82" t="str">
        <f t="array" aca="1" ref="EZ111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LEN(SUBSTITUTE(_xlfn.FORMULATEXT(EZ$99),"=","")))+$EU111)</f>
        <v/>
      </c>
      <c r="FA111" s="82" t="e">
        <f t="array" aca="1" ref="FA111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LEN(SUBSTITUTE(_xlfn.FORMULATEXT(FA$99),"=","")))+$EU111)</f>
        <v>#VALUE!</v>
      </c>
      <c r="FB111" s="82" t="str">
        <f t="array" aca="1" ref="FB111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LEN(SUBSTITUTE(_xlfn.FORMULATEXT(FB$99),"=","")))+$EU111)</f>
        <v/>
      </c>
      <c r="FC111" s="82" t="str">
        <f t="array" aca="1" ref="FC111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LEN(SUBSTITUTE(_xlfn.FORMULATEXT(FC$99),"=","")))+$EU111)</f>
        <v/>
      </c>
      <c r="FD111" s="82" t="e">
        <f t="array" aca="1" ref="FD111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LEN(SUBSTITUTE(_xlfn.FORMULATEXT(FD$99),"=","")))+$EU111)</f>
        <v>#VALUE!</v>
      </c>
      <c r="FE111" s="82" t="str">
        <f t="array" aca="1" ref="FE111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LEN(SUBSTITUTE(_xlfn.FORMULATEXT(FE$99),"=","")))+$EU111)</f>
        <v/>
      </c>
      <c r="FF111" s="82" t="e">
        <f t="array" aca="1" ref="FF111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LEN(SUBSTITUTE(_xlfn.FORMULATEXT(FF$99),"=","")))+$EU111)</f>
        <v>#N/A</v>
      </c>
      <c r="FG111" s="82">
        <f t="shared" ca="1" si="7"/>
        <v>0</v>
      </c>
      <c r="FH111" s="82" t="e">
        <f t="array" aca="1" ref="FH111" ca="1">SUMPRODUCT((LEN(EV111:FF111)&gt;0)*1)&gt;0</f>
        <v>#VALUE!</v>
      </c>
      <c r="FI111" s="82" t="str">
        <f t="array" aca="1" ref="FI111" ca="1">IFERROR(SMALL(IF(FG$1:FG$173&lt;&gt;0,FG$1:FG$173),ROW(A111)),"")</f>
        <v/>
      </c>
      <c r="FJ111" s="82" t="str">
        <f t="array" aca="1" ref="FJ111" ca="1">IF($FI111&lt;&gt;"",
INDIRECT(""&amp;IF(COLUMN(EV111)&lt;=26,CHAR(COLUMN(EV111)+64),CHAR(INT((COLUMN(EV111)-1)/26)+64)&amp;CHAR(MOD(COLUMN(EV111)-1,26)+65))&amp;$FI111&amp;""),"")</f>
        <v/>
      </c>
      <c r="FK111" s="82" t="str">
        <f t="array" aca="1" ref="FK111" ca="1">IF($FI111&lt;&gt;"",
INDIRECT(""&amp;IF(COLUMN(EW111)&lt;=26,CHAR(COLUMN(EW111)+64),CHAR(INT((COLUMN(EW111)-1)/26)+64)&amp;CHAR(MOD(COLUMN(EW111)-1,26)+65))&amp;$FI111&amp;""),"")</f>
        <v/>
      </c>
      <c r="FL111" s="82" t="str">
        <f t="array" aca="1" ref="FL111" ca="1">IF($FI111&lt;&gt;"",
INDIRECT(""&amp;IF(COLUMN(EX111)&lt;=26,CHAR(COLUMN(EX111)+64),CHAR(INT((COLUMN(EX111)-1)/26)+64)&amp;CHAR(MOD(COLUMN(EX111)-1,26)+65))&amp;$FI111&amp;""),"")</f>
        <v/>
      </c>
      <c r="FM111" s="82" t="str">
        <f t="array" aca="1" ref="FM111" ca="1">IF($FI111&lt;&gt;"",
IF(FL111="",
IF(INDIRECT("EY"&amp;$FI111&amp;"")&lt;&gt;"",
INDIRECT("EY"&amp;$FI111&amp;"")&amp;"箱"
&amp;INDIRECT("EZ"&amp;$FI111&amp;""),""),""),"")</f>
        <v/>
      </c>
      <c r="FN111" s="82" t="str">
        <f t="array" aca="1" ref="FN111" ca="1">IF($FI111&lt;&gt;"",
INDIRECT(""&amp;IF(COLUMN(FA111)&lt;=26,CHAR(COLUMN(FA111)+64),CHAR(INT((COLUMN(FA111)-1)/26)+64)&amp;CHAR(MOD(COLUMN(FA111)-1,26)+65))&amp;$FI111&amp;""),"")</f>
        <v/>
      </c>
      <c r="FO111" s="82" t="str">
        <f t="array" aca="1" ref="FO111" ca="1">IF($FI111&lt;&gt;"",
INDIRECT(""&amp;IF(COLUMN(FB111)&lt;=26,CHAR(COLUMN(FB111)+64),CHAR(INT((COLUMN(FB111)-1)/26)+64)&amp;CHAR(MOD(COLUMN(FB111)-1,26)+65))&amp;$FI111&amp;""),"")</f>
        <v/>
      </c>
      <c r="FP111" s="82" t="str">
        <f t="array" aca="1" ref="FP111" ca="1">IF($FI111&lt;&gt;"",
INDIRECT(""&amp;IF(COLUMN(FC111)&lt;=26,CHAR(COLUMN(FC111)+64),CHAR(INT((COLUMN(FC111)-1)/26)+64)&amp;CHAR(MOD(COLUMN(FC111)-1,26)+65))&amp;$FI111&amp;""),"")</f>
        <v/>
      </c>
      <c r="FQ111" s="82" t="str">
        <f t="array" aca="1" ref="FQ111" ca="1">IF($FI111&lt;&gt;"",
INDIRECT(""&amp;IF(COLUMN(FD111)&lt;=26,CHAR(COLUMN(FD111)+64),CHAR(INT((COLUMN(FD111)-1)/26)+64)&amp;CHAR(MOD(COLUMN(FD111)-1,26)+65))&amp;$FI111&amp;""),"")</f>
        <v/>
      </c>
      <c r="FR111" s="82" t="str">
        <f t="array" aca="1" ref="FR111" ca="1">IF($FI111&lt;&gt;"",
INDIRECT(""&amp;IF(COLUMN(FE111)&lt;=26,CHAR(COLUMN(FE111)+64),CHAR(INT((COLUMN(FE111)-1)/26)+64)&amp;CHAR(MOD(COLUMN(FE111)-1,26)+65))&amp;$FI111&amp;""),"")</f>
        <v/>
      </c>
      <c r="FS111" s="82" t="str">
        <f t="array" aca="1" ref="FS111" ca="1">IF($FI111&lt;&gt;"",
INDIRECT(""&amp;IF(COLUMN(FF111)&lt;=26,CHAR(COLUMN(FF111)+64),CHAR(INT((COLUMN(FF111)-1)/26)+64)&amp;CHAR(MOD(COLUMN(FF111)-1,26)+65))&amp;$FI111&amp;""),"")</f>
        <v/>
      </c>
    </row>
    <row r="112" spans="151:175" ht="22.2" customHeight="1" x14ac:dyDescent="0.45">
      <c r="EU112" s="82">
        <f t="shared" si="8"/>
        <v>63</v>
      </c>
      <c r="EV112" s="82" t="str">
        <f t="array" aca="1" ref="EV112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LEN(SUBSTITUTE(_xlfn.FORMULATEXT(EV$99),"=","")))+$EU112)</f>
        <v/>
      </c>
      <c r="EW112" s="82" t="str">
        <f t="array" aca="1" ref="EW112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LEN(SUBSTITUTE(_xlfn.FORMULATEXT(EW$99),"=","")))+$EU112)</f>
        <v/>
      </c>
      <c r="EX112" s="82" t="str">
        <f t="array" aca="1" ref="EX112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LEN(SUBSTITUTE(_xlfn.FORMULATEXT(EX$99),"=","")))+$EU112)</f>
        <v/>
      </c>
      <c r="EY112" s="82" t="str">
        <f t="array" aca="1" ref="EY112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LEN(SUBSTITUTE(_xlfn.FORMULATEXT(EY$99),"=","")))+$EU112)</f>
        <v/>
      </c>
      <c r="EZ112" s="82" t="str">
        <f t="array" aca="1" ref="EZ112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LEN(SUBSTITUTE(_xlfn.FORMULATEXT(EZ$99),"=","")))+$EU112)</f>
        <v/>
      </c>
      <c r="FA112" s="82" t="str">
        <f t="array" aca="1" ref="FA112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LEN(SUBSTITUTE(_xlfn.FORMULATEXT(FA$99),"=","")))+$EU112)</f>
        <v/>
      </c>
      <c r="FB112" s="82" t="str">
        <f t="array" aca="1" ref="FB112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LEN(SUBSTITUTE(_xlfn.FORMULATEXT(FB$99),"=","")))+$EU112)</f>
        <v/>
      </c>
      <c r="FC112" s="82" t="str">
        <f t="array" aca="1" ref="FC112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LEN(SUBSTITUTE(_xlfn.FORMULATEXT(FC$99),"=","")))+$EU112)</f>
        <v/>
      </c>
      <c r="FD112" s="82" t="str">
        <f t="array" aca="1" ref="FD112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LEN(SUBSTITUTE(_xlfn.FORMULATEXT(FD$99),"=","")))+$EU112)</f>
        <v/>
      </c>
      <c r="FE112" s="82" t="str">
        <f t="array" aca="1" ref="FE112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LEN(SUBSTITUTE(_xlfn.FORMULATEXT(FE$99),"=","")))+$EU112)</f>
        <v/>
      </c>
      <c r="FF112" s="82" t="str">
        <f t="array" aca="1" ref="FF112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LEN(SUBSTITUTE(_xlfn.FORMULATEXT(FF$99),"=","")))+$EU112)</f>
        <v/>
      </c>
      <c r="FG112" s="82">
        <f t="shared" ca="1" si="7"/>
        <v>0</v>
      </c>
      <c r="FH112" s="82" t="b">
        <f t="array" aca="1" ref="FH112" ca="1">SUMPRODUCT((LEN(EV112:FF112)&gt;0)*1)&gt;0</f>
        <v>0</v>
      </c>
      <c r="FI112" s="82" t="str">
        <f t="array" aca="1" ref="FI112" ca="1">IFERROR(SMALL(IF(FG$1:FG$173&lt;&gt;0,FG$1:FG$173),ROW(A112)),"")</f>
        <v/>
      </c>
      <c r="FJ112" s="82" t="str">
        <f t="array" aca="1" ref="FJ112" ca="1">IF($FI112&lt;&gt;"",
INDIRECT(""&amp;IF(COLUMN(EV112)&lt;=26,CHAR(COLUMN(EV112)+64),CHAR(INT((COLUMN(EV112)-1)/26)+64)&amp;CHAR(MOD(COLUMN(EV112)-1,26)+65))&amp;$FI112&amp;""),"")</f>
        <v/>
      </c>
      <c r="FK112" s="82" t="str">
        <f t="array" aca="1" ref="FK112" ca="1">IF($FI112&lt;&gt;"",
INDIRECT(""&amp;IF(COLUMN(EW112)&lt;=26,CHAR(COLUMN(EW112)+64),CHAR(INT((COLUMN(EW112)-1)/26)+64)&amp;CHAR(MOD(COLUMN(EW112)-1,26)+65))&amp;$FI112&amp;""),"")</f>
        <v/>
      </c>
      <c r="FL112" s="82" t="str">
        <f t="array" aca="1" ref="FL112" ca="1">IF($FI112&lt;&gt;"",
INDIRECT(""&amp;IF(COLUMN(EX112)&lt;=26,CHAR(COLUMN(EX112)+64),CHAR(INT((COLUMN(EX112)-1)/26)+64)&amp;CHAR(MOD(COLUMN(EX112)-1,26)+65))&amp;$FI112&amp;""),"")</f>
        <v/>
      </c>
      <c r="FM112" s="82" t="str">
        <f t="array" aca="1" ref="FM112" ca="1">IF($FI112&lt;&gt;"",
IF(FL112="",
IF(INDIRECT("EY"&amp;$FI112&amp;"")&lt;&gt;"",
INDIRECT("EY"&amp;$FI112&amp;"")&amp;"箱"
&amp;INDIRECT("EZ"&amp;$FI112&amp;""),""),""),"")</f>
        <v/>
      </c>
      <c r="FN112" s="82" t="str">
        <f t="array" aca="1" ref="FN112" ca="1">IF($FI112&lt;&gt;"",
INDIRECT(""&amp;IF(COLUMN(FA112)&lt;=26,CHAR(COLUMN(FA112)+64),CHAR(INT((COLUMN(FA112)-1)/26)+64)&amp;CHAR(MOD(COLUMN(FA112)-1,26)+65))&amp;$FI112&amp;""),"")</f>
        <v/>
      </c>
      <c r="FO112" s="82" t="str">
        <f t="array" aca="1" ref="FO112" ca="1">IF($FI112&lt;&gt;"",
INDIRECT(""&amp;IF(COLUMN(FB112)&lt;=26,CHAR(COLUMN(FB112)+64),CHAR(INT((COLUMN(FB112)-1)/26)+64)&amp;CHAR(MOD(COLUMN(FB112)-1,26)+65))&amp;$FI112&amp;""),"")</f>
        <v/>
      </c>
      <c r="FP112" s="82" t="str">
        <f t="array" aca="1" ref="FP112" ca="1">IF($FI112&lt;&gt;"",
INDIRECT(""&amp;IF(COLUMN(FC112)&lt;=26,CHAR(COLUMN(FC112)+64),CHAR(INT((COLUMN(FC112)-1)/26)+64)&amp;CHAR(MOD(COLUMN(FC112)-1,26)+65))&amp;$FI112&amp;""),"")</f>
        <v/>
      </c>
      <c r="FQ112" s="82" t="str">
        <f t="array" aca="1" ref="FQ112" ca="1">IF($FI112&lt;&gt;"",
INDIRECT(""&amp;IF(COLUMN(FD112)&lt;=26,CHAR(COLUMN(FD112)+64),CHAR(INT((COLUMN(FD112)-1)/26)+64)&amp;CHAR(MOD(COLUMN(FD112)-1,26)+65))&amp;$FI112&amp;""),"")</f>
        <v/>
      </c>
      <c r="FR112" s="82" t="str">
        <f t="array" aca="1" ref="FR112" ca="1">IF($FI112&lt;&gt;"",
INDIRECT(""&amp;IF(COLUMN(FE112)&lt;=26,CHAR(COLUMN(FE112)+64),CHAR(INT((COLUMN(FE112)-1)/26)+64)&amp;CHAR(MOD(COLUMN(FE112)-1,26)+65))&amp;$FI112&amp;""),"")</f>
        <v/>
      </c>
      <c r="FS112" s="82" t="str">
        <f t="array" aca="1" ref="FS112" ca="1">IF($FI112&lt;&gt;"",
INDIRECT(""&amp;IF(COLUMN(FF112)&lt;=26,CHAR(COLUMN(FF112)+64),CHAR(INT((COLUMN(FF112)-1)/26)+64)&amp;CHAR(MOD(COLUMN(FF112)-1,26)+65))&amp;$FI112&amp;""),"")</f>
        <v/>
      </c>
    </row>
    <row r="113" spans="151:175" ht="22.2" customHeight="1" x14ac:dyDescent="0.45">
      <c r="EU113" s="82">
        <f t="shared" si="8"/>
        <v>28</v>
      </c>
      <c r="EV113" s="82" t="str">
        <f t="array" aca="1" ref="EV113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LEN(SUBSTITUTE(_xlfn.FORMULATEXT(EV$97),"=","")))+$EU113)</f>
        <v/>
      </c>
      <c r="EW113" s="82" t="str">
        <f t="array" aca="1" ref="EW113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LEN(SUBSTITUTE(_xlfn.FORMULATEXT(EW$97),"=","")))+$EU113)</f>
        <v/>
      </c>
      <c r="EX113" s="82" t="str">
        <f t="array" aca="1" ref="EX113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LEN(SUBSTITUTE(_xlfn.FORMULATEXT(EX$97),"=","")))+$EU113)</f>
        <v/>
      </c>
      <c r="EY113" s="82" t="str">
        <f t="array" aca="1" ref="EY113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LEN(SUBSTITUTE(_xlfn.FORMULATEXT(EY$97),"=","")))+$EU113)</f>
        <v/>
      </c>
      <c r="EZ113" s="82" t="str">
        <f t="array" aca="1" ref="EZ113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LEN(SUBSTITUTE(_xlfn.FORMULATEXT(EZ$97),"=","")))+$EU113)</f>
        <v/>
      </c>
      <c r="FA113" s="82" t="e">
        <f t="array" aca="1" ref="FA113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LEN(SUBSTITUTE(_xlfn.FORMULATEXT(FA$97),"=","")))+$EU113)</f>
        <v>#VALUE!</v>
      </c>
      <c r="FB113" s="82" t="str">
        <f t="array" aca="1" ref="FB113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LEN(SUBSTITUTE(_xlfn.FORMULATEXT(FB$97),"=","")))+$EU113)</f>
        <v/>
      </c>
      <c r="FC113" s="82" t="str">
        <f t="array" aca="1" ref="FC113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LEN(SUBSTITUTE(_xlfn.FORMULATEXT(FC$97),"=","")))+$EU113)</f>
        <v/>
      </c>
      <c r="FD113" s="82" t="e">
        <f t="array" aca="1" ref="FD113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LEN(SUBSTITUTE(_xlfn.FORMULATEXT(FD$97),"=","")))+$EU113)</f>
        <v>#VALUE!</v>
      </c>
      <c r="FE113" s="82" t="str">
        <f t="array" aca="1" ref="FE113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LEN(SUBSTITUTE(_xlfn.FORMULATEXT(FE$97),"=","")))+$EU113)</f>
        <v/>
      </c>
      <c r="FF113" s="82" t="e">
        <f t="array" aca="1" ref="FF113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LEN(SUBSTITUTE(_xlfn.FORMULATEXT(FF$97),"=","")))+$EU113)</f>
        <v>#N/A</v>
      </c>
      <c r="FG113" s="82">
        <f t="shared" ca="1" si="7"/>
        <v>0</v>
      </c>
      <c r="FH113" s="82" t="e">
        <f t="array" aca="1" ref="FH113" ca="1">SUMPRODUCT((LEN(EV113:FF113)&gt;0)*1)&gt;0</f>
        <v>#VALUE!</v>
      </c>
      <c r="FI113" s="82" t="str">
        <f t="array" aca="1" ref="FI113" ca="1">IFERROR(SMALL(IF(FG$1:FG$173&lt;&gt;0,FG$1:FG$173),ROW(A113)),"")</f>
        <v/>
      </c>
      <c r="FJ113" s="82" t="str">
        <f t="array" aca="1" ref="FJ113" ca="1">IF($FI113&lt;&gt;"",
INDIRECT(""&amp;IF(COLUMN(EV113)&lt;=26,CHAR(COLUMN(EV113)+64),CHAR(INT((COLUMN(EV113)-1)/26)+64)&amp;CHAR(MOD(COLUMN(EV113)-1,26)+65))&amp;$FI113&amp;""),"")</f>
        <v/>
      </c>
      <c r="FK113" s="82" t="str">
        <f t="array" aca="1" ref="FK113" ca="1">IF($FI113&lt;&gt;"",
INDIRECT(""&amp;IF(COLUMN(EW113)&lt;=26,CHAR(COLUMN(EW113)+64),CHAR(INT((COLUMN(EW113)-1)/26)+64)&amp;CHAR(MOD(COLUMN(EW113)-1,26)+65))&amp;$FI113&amp;""),"")</f>
        <v/>
      </c>
      <c r="FL113" s="82" t="str">
        <f t="array" aca="1" ref="FL113" ca="1">IF($FI113&lt;&gt;"",
INDIRECT(""&amp;IF(COLUMN(EX113)&lt;=26,CHAR(COLUMN(EX113)+64),CHAR(INT((COLUMN(EX113)-1)/26)+64)&amp;CHAR(MOD(COLUMN(EX113)-1,26)+65))&amp;$FI113&amp;""),"")</f>
        <v/>
      </c>
      <c r="FM113" s="82" t="str">
        <f t="array" aca="1" ref="FM113" ca="1">IF($FI113&lt;&gt;"",
IF(FL113="",
IF(INDIRECT("EY"&amp;$FI113&amp;"")&lt;&gt;"",
INDIRECT("EY"&amp;$FI113&amp;"")&amp;"箱"
&amp;INDIRECT("EZ"&amp;$FI113&amp;""),""),""),"")</f>
        <v/>
      </c>
      <c r="FN113" s="82" t="str">
        <f t="array" aca="1" ref="FN113" ca="1">IF($FI113&lt;&gt;"",
INDIRECT(""&amp;IF(COLUMN(FA113)&lt;=26,CHAR(COLUMN(FA113)+64),CHAR(INT((COLUMN(FA113)-1)/26)+64)&amp;CHAR(MOD(COLUMN(FA113)-1,26)+65))&amp;$FI113&amp;""),"")</f>
        <v/>
      </c>
      <c r="FO113" s="82" t="str">
        <f t="array" aca="1" ref="FO113" ca="1">IF($FI113&lt;&gt;"",
INDIRECT(""&amp;IF(COLUMN(FB113)&lt;=26,CHAR(COLUMN(FB113)+64),CHAR(INT((COLUMN(FB113)-1)/26)+64)&amp;CHAR(MOD(COLUMN(FB113)-1,26)+65))&amp;$FI113&amp;""),"")</f>
        <v/>
      </c>
      <c r="FP113" s="82" t="str">
        <f t="array" aca="1" ref="FP113" ca="1">IF($FI113&lt;&gt;"",
INDIRECT(""&amp;IF(COLUMN(FC113)&lt;=26,CHAR(COLUMN(FC113)+64),CHAR(INT((COLUMN(FC113)-1)/26)+64)&amp;CHAR(MOD(COLUMN(FC113)-1,26)+65))&amp;$FI113&amp;""),"")</f>
        <v/>
      </c>
      <c r="FQ113" s="82" t="str">
        <f t="array" aca="1" ref="FQ113" ca="1">IF($FI113&lt;&gt;"",
INDIRECT(""&amp;IF(COLUMN(FD113)&lt;=26,CHAR(COLUMN(FD113)+64),CHAR(INT((COLUMN(FD113)-1)/26)+64)&amp;CHAR(MOD(COLUMN(FD113)-1,26)+65))&amp;$FI113&amp;""),"")</f>
        <v/>
      </c>
      <c r="FR113" s="82" t="str">
        <f t="array" aca="1" ref="FR113" ca="1">IF($FI113&lt;&gt;"",
INDIRECT(""&amp;IF(COLUMN(FE113)&lt;=26,CHAR(COLUMN(FE113)+64),CHAR(INT((COLUMN(FE113)-1)/26)+64)&amp;CHAR(MOD(COLUMN(FE113)-1,26)+65))&amp;$FI113&amp;""),"")</f>
        <v/>
      </c>
      <c r="FS113" s="82" t="str">
        <f t="array" aca="1" ref="FS113" ca="1">IF($FI113&lt;&gt;"",
INDIRECT(""&amp;IF(COLUMN(FF113)&lt;=26,CHAR(COLUMN(FF113)+64),CHAR(INT((COLUMN(FF113)-1)/26)+64)&amp;CHAR(MOD(COLUMN(FF113)-1,26)+65))&amp;$FI113&amp;""),"")</f>
        <v/>
      </c>
    </row>
    <row r="114" spans="151:175" ht="22.2" customHeight="1" x14ac:dyDescent="0.45">
      <c r="EU114" s="82">
        <f t="shared" si="8"/>
        <v>70</v>
      </c>
      <c r="EV114" s="82" t="str">
        <f t="array" aca="1" ref="EV114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LEN(SUBSTITUTE(_xlfn.FORMULATEXT(EV$97),"=","")))+$EU114)</f>
        <v/>
      </c>
      <c r="EW114" s="82" t="str">
        <f t="array" aca="1" ref="EW114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LEN(SUBSTITUTE(_xlfn.FORMULATEXT(EW$97),"=","")))+$EU114)</f>
        <v/>
      </c>
      <c r="EX114" s="82" t="str">
        <f t="array" aca="1" ref="EX114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LEN(SUBSTITUTE(_xlfn.FORMULATEXT(EX$97),"=","")))+$EU114)</f>
        <v/>
      </c>
      <c r="EY114" s="82" t="str">
        <f t="array" aca="1" ref="EY114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LEN(SUBSTITUTE(_xlfn.FORMULATEXT(EY$97),"=","")))+$EU114)</f>
        <v/>
      </c>
      <c r="EZ114" s="82" t="str">
        <f t="array" aca="1" ref="EZ114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LEN(SUBSTITUTE(_xlfn.FORMULATEXT(EZ$97),"=","")))+$EU114)</f>
        <v/>
      </c>
      <c r="FA114" s="82" t="str">
        <f t="array" aca="1" ref="FA114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LEN(SUBSTITUTE(_xlfn.FORMULATEXT(FA$97),"=","")))+$EU114)</f>
        <v/>
      </c>
      <c r="FB114" s="82" t="str">
        <f t="array" aca="1" ref="FB114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LEN(SUBSTITUTE(_xlfn.FORMULATEXT(FB$97),"=","")))+$EU114)</f>
        <v/>
      </c>
      <c r="FC114" s="82" t="str">
        <f t="array" aca="1" ref="FC114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LEN(SUBSTITUTE(_xlfn.FORMULATEXT(FC$97),"=","")))+$EU114)</f>
        <v/>
      </c>
      <c r="FD114" s="82" t="str">
        <f t="array" aca="1" ref="FD114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LEN(SUBSTITUTE(_xlfn.FORMULATEXT(FD$97),"=","")))+$EU114)</f>
        <v/>
      </c>
      <c r="FE114" s="82" t="str">
        <f t="array" aca="1" ref="FE114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LEN(SUBSTITUTE(_xlfn.FORMULATEXT(FE$97),"=","")))+$EU114)</f>
        <v/>
      </c>
      <c r="FF114" s="82" t="str">
        <f t="array" aca="1" ref="FF114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LEN(SUBSTITUTE(_xlfn.FORMULATEXT(FF$97),"=","")))+$EU114)</f>
        <v/>
      </c>
      <c r="FG114" s="82">
        <f t="shared" ca="1" si="7"/>
        <v>0</v>
      </c>
      <c r="FH114" s="82" t="b">
        <f t="array" aca="1" ref="FH114" ca="1">SUMPRODUCT((LEN(EV114:FF114)&gt;0)*1)&gt;0</f>
        <v>0</v>
      </c>
      <c r="FI114" s="82" t="str">
        <f t="array" aca="1" ref="FI114" ca="1">IFERROR(SMALL(IF(FG$1:FG$173&lt;&gt;0,FG$1:FG$173),ROW(A114)),"")</f>
        <v/>
      </c>
      <c r="FJ114" s="82" t="str">
        <f t="array" aca="1" ref="FJ114" ca="1">IF($FI114&lt;&gt;"",
INDIRECT(""&amp;IF(COLUMN(EV114)&lt;=26,CHAR(COLUMN(EV114)+64),CHAR(INT((COLUMN(EV114)-1)/26)+64)&amp;CHAR(MOD(COLUMN(EV114)-1,26)+65))&amp;$FI114&amp;""),"")</f>
        <v/>
      </c>
      <c r="FK114" s="82" t="str">
        <f t="array" aca="1" ref="FK114" ca="1">IF($FI114&lt;&gt;"",
INDIRECT(""&amp;IF(COLUMN(EW114)&lt;=26,CHAR(COLUMN(EW114)+64),CHAR(INT((COLUMN(EW114)-1)/26)+64)&amp;CHAR(MOD(COLUMN(EW114)-1,26)+65))&amp;$FI114&amp;""),"")</f>
        <v/>
      </c>
      <c r="FL114" s="82" t="str">
        <f t="array" aca="1" ref="FL114" ca="1">IF($FI114&lt;&gt;"",
INDIRECT(""&amp;IF(COLUMN(EX114)&lt;=26,CHAR(COLUMN(EX114)+64),CHAR(INT((COLUMN(EX114)-1)/26)+64)&amp;CHAR(MOD(COLUMN(EX114)-1,26)+65))&amp;$FI114&amp;""),"")</f>
        <v/>
      </c>
      <c r="FM114" s="82" t="str">
        <f t="array" aca="1" ref="FM114" ca="1">IF($FI114&lt;&gt;"",
IF(FL114="",
IF(INDIRECT("EY"&amp;$FI114&amp;"")&lt;&gt;"",
INDIRECT("EY"&amp;$FI114&amp;"")&amp;"箱"
&amp;INDIRECT("EZ"&amp;$FI114&amp;""),""),""),"")</f>
        <v/>
      </c>
      <c r="FN114" s="82" t="str">
        <f t="array" aca="1" ref="FN114" ca="1">IF($FI114&lt;&gt;"",
INDIRECT(""&amp;IF(COLUMN(FA114)&lt;=26,CHAR(COLUMN(FA114)+64),CHAR(INT((COLUMN(FA114)-1)/26)+64)&amp;CHAR(MOD(COLUMN(FA114)-1,26)+65))&amp;$FI114&amp;""),"")</f>
        <v/>
      </c>
      <c r="FO114" s="82" t="str">
        <f t="array" aca="1" ref="FO114" ca="1">IF($FI114&lt;&gt;"",
INDIRECT(""&amp;IF(COLUMN(FB114)&lt;=26,CHAR(COLUMN(FB114)+64),CHAR(INT((COLUMN(FB114)-1)/26)+64)&amp;CHAR(MOD(COLUMN(FB114)-1,26)+65))&amp;$FI114&amp;""),"")</f>
        <v/>
      </c>
      <c r="FP114" s="82" t="str">
        <f t="array" aca="1" ref="FP114" ca="1">IF($FI114&lt;&gt;"",
INDIRECT(""&amp;IF(COLUMN(FC114)&lt;=26,CHAR(COLUMN(FC114)+64),CHAR(INT((COLUMN(FC114)-1)/26)+64)&amp;CHAR(MOD(COLUMN(FC114)-1,26)+65))&amp;$FI114&amp;""),"")</f>
        <v/>
      </c>
      <c r="FQ114" s="82" t="str">
        <f t="array" aca="1" ref="FQ114" ca="1">IF($FI114&lt;&gt;"",
INDIRECT(""&amp;IF(COLUMN(FD114)&lt;=26,CHAR(COLUMN(FD114)+64),CHAR(INT((COLUMN(FD114)-1)/26)+64)&amp;CHAR(MOD(COLUMN(FD114)-1,26)+65))&amp;$FI114&amp;""),"")</f>
        <v/>
      </c>
      <c r="FR114" s="82" t="str">
        <f t="array" aca="1" ref="FR114" ca="1">IF($FI114&lt;&gt;"",
INDIRECT(""&amp;IF(COLUMN(FE114)&lt;=26,CHAR(COLUMN(FE114)+64),CHAR(INT((COLUMN(FE114)-1)/26)+64)&amp;CHAR(MOD(COLUMN(FE114)-1,26)+65))&amp;$FI114&amp;""),"")</f>
        <v/>
      </c>
      <c r="FS114" s="82" t="str">
        <f t="array" aca="1" ref="FS114" ca="1">IF($FI114&lt;&gt;"",
INDIRECT(""&amp;IF(COLUMN(FF114)&lt;=26,CHAR(COLUMN(FF114)+64),CHAR(INT((COLUMN(FF114)-1)/26)+64)&amp;CHAR(MOD(COLUMN(FF114)-1,26)+65))&amp;$FI114&amp;""),"")</f>
        <v/>
      </c>
    </row>
    <row r="115" spans="151:175" ht="22.2" customHeight="1" x14ac:dyDescent="0.45">
      <c r="EU115" s="91">
        <f t="shared" si="8"/>
        <v>28</v>
      </c>
      <c r="EV115" s="82" t="str">
        <f t="array" aca="1" ref="EV115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LEN(SUBSTITUTE(_xlfn.FORMULATEXT(EV$99),"=","")))+$EU115)</f>
        <v/>
      </c>
      <c r="EW115" s="82" t="str">
        <f t="array" aca="1" ref="EW115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LEN(SUBSTITUTE(_xlfn.FORMULATEXT(EW$99),"=","")))+$EU115)</f>
        <v/>
      </c>
      <c r="EX115" s="82" t="str">
        <f t="array" aca="1" ref="EX115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LEN(SUBSTITUTE(_xlfn.FORMULATEXT(EX$99),"=","")))+$EU115)</f>
        <v/>
      </c>
      <c r="EY115" s="82" t="str">
        <f t="array" aca="1" ref="EY115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LEN(SUBSTITUTE(_xlfn.FORMULATEXT(EY$99),"=","")))+$EU115)</f>
        <v/>
      </c>
      <c r="EZ115" s="82" t="str">
        <f t="array" aca="1" ref="EZ115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LEN(SUBSTITUTE(_xlfn.FORMULATEXT(EZ$99),"=","")))+$EU115)</f>
        <v/>
      </c>
      <c r="FA115" s="82" t="e">
        <f t="array" aca="1" ref="FA115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LEN(SUBSTITUTE(_xlfn.FORMULATEXT(FA$99),"=","")))+$EU115)</f>
        <v>#VALUE!</v>
      </c>
      <c r="FB115" s="82" t="str">
        <f t="array" aca="1" ref="FB115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LEN(SUBSTITUTE(_xlfn.FORMULATEXT(FB$99),"=","")))+$EU115)</f>
        <v/>
      </c>
      <c r="FC115" s="82" t="str">
        <f t="array" aca="1" ref="FC115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LEN(SUBSTITUTE(_xlfn.FORMULATEXT(FC$99),"=","")))+$EU115)</f>
        <v/>
      </c>
      <c r="FD115" s="82" t="e">
        <f t="array" aca="1" ref="FD115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LEN(SUBSTITUTE(_xlfn.FORMULATEXT(FD$99),"=","")))+$EU115)</f>
        <v>#VALUE!</v>
      </c>
      <c r="FE115" s="82" t="str">
        <f t="array" aca="1" ref="FE115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LEN(SUBSTITUTE(_xlfn.FORMULATEXT(FE$99),"=","")))+$EU115)</f>
        <v/>
      </c>
      <c r="FF115" s="82" t="e">
        <f t="array" aca="1" ref="FF115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LEN(SUBSTITUTE(_xlfn.FORMULATEXT(FF$99),"=","")))+$EU115)</f>
        <v>#N/A</v>
      </c>
      <c r="FG115" s="82">
        <f t="shared" ca="1" si="7"/>
        <v>0</v>
      </c>
      <c r="FH115" s="82" t="e">
        <f t="array" aca="1" ref="FH115" ca="1">SUMPRODUCT((LEN(EV115:FF115)&gt;0)*1)&gt;0</f>
        <v>#VALUE!</v>
      </c>
      <c r="FI115" s="82" t="str">
        <f t="array" aca="1" ref="FI115" ca="1">IFERROR(SMALL(IF(FG$1:FG$173&lt;&gt;0,FG$1:FG$173),ROW(A115)),"")</f>
        <v/>
      </c>
      <c r="FJ115" s="82" t="str">
        <f t="array" aca="1" ref="FJ115" ca="1">IF($FI115&lt;&gt;"",
INDIRECT(""&amp;IF(COLUMN(EV115)&lt;=26,CHAR(COLUMN(EV115)+64),CHAR(INT((COLUMN(EV115)-1)/26)+64)&amp;CHAR(MOD(COLUMN(EV115)-1,26)+65))&amp;$FI115&amp;""),"")</f>
        <v/>
      </c>
      <c r="FK115" s="82" t="str">
        <f t="array" aca="1" ref="FK115" ca="1">IF($FI115&lt;&gt;"",
INDIRECT(""&amp;IF(COLUMN(EW115)&lt;=26,CHAR(COLUMN(EW115)+64),CHAR(INT((COLUMN(EW115)-1)/26)+64)&amp;CHAR(MOD(COLUMN(EW115)-1,26)+65))&amp;$FI115&amp;""),"")</f>
        <v/>
      </c>
      <c r="FL115" s="82" t="str">
        <f t="array" aca="1" ref="FL115" ca="1">IF($FI115&lt;&gt;"",
INDIRECT(""&amp;IF(COLUMN(EX115)&lt;=26,CHAR(COLUMN(EX115)+64),CHAR(INT((COLUMN(EX115)-1)/26)+64)&amp;CHAR(MOD(COLUMN(EX115)-1,26)+65))&amp;$FI115&amp;""),"")</f>
        <v/>
      </c>
      <c r="FM115" s="82" t="str">
        <f t="array" aca="1" ref="FM115" ca="1">IF($FI115&lt;&gt;"",
IF(FL115="",
IF(INDIRECT("EY"&amp;$FI115&amp;"")&lt;&gt;"",
INDIRECT("EY"&amp;$FI115&amp;"")&amp;"箱"
&amp;INDIRECT("EZ"&amp;$FI115&amp;""),""),""),"")</f>
        <v/>
      </c>
      <c r="FN115" s="82" t="str">
        <f t="array" aca="1" ref="FN115" ca="1">IF($FI115&lt;&gt;"",
INDIRECT(""&amp;IF(COLUMN(FA115)&lt;=26,CHAR(COLUMN(FA115)+64),CHAR(INT((COLUMN(FA115)-1)/26)+64)&amp;CHAR(MOD(COLUMN(FA115)-1,26)+65))&amp;$FI115&amp;""),"")</f>
        <v/>
      </c>
      <c r="FO115" s="82" t="str">
        <f t="array" aca="1" ref="FO115" ca="1">IF($FI115&lt;&gt;"",
INDIRECT(""&amp;IF(COLUMN(FB115)&lt;=26,CHAR(COLUMN(FB115)+64),CHAR(INT((COLUMN(FB115)-1)/26)+64)&amp;CHAR(MOD(COLUMN(FB115)-1,26)+65))&amp;$FI115&amp;""),"")</f>
        <v/>
      </c>
      <c r="FP115" s="82" t="str">
        <f t="array" aca="1" ref="FP115" ca="1">IF($FI115&lt;&gt;"",
INDIRECT(""&amp;IF(COLUMN(FC115)&lt;=26,CHAR(COLUMN(FC115)+64),CHAR(INT((COLUMN(FC115)-1)/26)+64)&amp;CHAR(MOD(COLUMN(FC115)-1,26)+65))&amp;$FI115&amp;""),"")</f>
        <v/>
      </c>
      <c r="FQ115" s="82" t="str">
        <f t="array" aca="1" ref="FQ115" ca="1">IF($FI115&lt;&gt;"",
INDIRECT(""&amp;IF(COLUMN(FD115)&lt;=26,CHAR(COLUMN(FD115)+64),CHAR(INT((COLUMN(FD115)-1)/26)+64)&amp;CHAR(MOD(COLUMN(FD115)-1,26)+65))&amp;$FI115&amp;""),"")</f>
        <v/>
      </c>
      <c r="FR115" s="82" t="str">
        <f t="array" aca="1" ref="FR115" ca="1">IF($FI115&lt;&gt;"",
INDIRECT(""&amp;IF(COLUMN(FE115)&lt;=26,CHAR(COLUMN(FE115)+64),CHAR(INT((COLUMN(FE115)-1)/26)+64)&amp;CHAR(MOD(COLUMN(FE115)-1,26)+65))&amp;$FI115&amp;""),"")</f>
        <v/>
      </c>
      <c r="FS115" s="82" t="str">
        <f t="array" aca="1" ref="FS115" ca="1">IF($FI115&lt;&gt;"",
INDIRECT(""&amp;IF(COLUMN(FF115)&lt;=26,CHAR(COLUMN(FF115)+64),CHAR(INT((COLUMN(FF115)-1)/26)+64)&amp;CHAR(MOD(COLUMN(FF115)-1,26)+65))&amp;$FI115&amp;""),"")</f>
        <v/>
      </c>
    </row>
    <row r="116" spans="151:175" ht="22.2" customHeight="1" x14ac:dyDescent="0.45">
      <c r="EU116" s="82">
        <f t="shared" si="8"/>
        <v>70</v>
      </c>
      <c r="EV116" s="82" t="str">
        <f t="array" aca="1" ref="EV116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LEN(SUBSTITUTE(_xlfn.FORMULATEXT(EV$99),"=","")))+$EU116)</f>
        <v/>
      </c>
      <c r="EW116" s="82" t="str">
        <f t="array" aca="1" ref="EW116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LEN(SUBSTITUTE(_xlfn.FORMULATEXT(EW$99),"=","")))+$EU116)</f>
        <v/>
      </c>
      <c r="EX116" s="82" t="str">
        <f t="array" aca="1" ref="EX116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LEN(SUBSTITUTE(_xlfn.FORMULATEXT(EX$99),"=","")))+$EU116)</f>
        <v/>
      </c>
      <c r="EY116" s="82" t="str">
        <f t="array" aca="1" ref="EY116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LEN(SUBSTITUTE(_xlfn.FORMULATEXT(EY$99),"=","")))+$EU116)</f>
        <v/>
      </c>
      <c r="EZ116" s="82" t="str">
        <f t="array" aca="1" ref="EZ116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LEN(SUBSTITUTE(_xlfn.FORMULATEXT(EZ$99),"=","")))+$EU116)</f>
        <v/>
      </c>
      <c r="FA116" s="82" t="str">
        <f t="array" aca="1" ref="FA116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LEN(SUBSTITUTE(_xlfn.FORMULATEXT(FA$99),"=","")))+$EU116)</f>
        <v/>
      </c>
      <c r="FB116" s="82" t="str">
        <f t="array" aca="1" ref="FB116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LEN(SUBSTITUTE(_xlfn.FORMULATEXT(FB$99),"=","")))+$EU116)</f>
        <v/>
      </c>
      <c r="FC116" s="82" t="str">
        <f t="array" aca="1" ref="FC116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LEN(SUBSTITUTE(_xlfn.FORMULATEXT(FC$99),"=","")))+$EU116)</f>
        <v/>
      </c>
      <c r="FD116" s="82" t="str">
        <f t="array" aca="1" ref="FD116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LEN(SUBSTITUTE(_xlfn.FORMULATEXT(FD$99),"=","")))+$EU116)</f>
        <v/>
      </c>
      <c r="FE116" s="82" t="str">
        <f t="array" aca="1" ref="FE116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LEN(SUBSTITUTE(_xlfn.FORMULATEXT(FE$99),"=","")))+$EU116)</f>
        <v/>
      </c>
      <c r="FF116" s="82" t="str">
        <f t="array" aca="1" ref="FF116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LEN(SUBSTITUTE(_xlfn.FORMULATEXT(FF$99),"=","")))+$EU116)</f>
        <v/>
      </c>
      <c r="FG116" s="82">
        <f t="shared" ca="1" si="7"/>
        <v>0</v>
      </c>
      <c r="FH116" s="82" t="b">
        <f t="array" aca="1" ref="FH116" ca="1">SUMPRODUCT((LEN(EV116:FF116)&gt;0)*1)&gt;0</f>
        <v>0</v>
      </c>
      <c r="FI116" s="82" t="str">
        <f t="array" aca="1" ref="FI116" ca="1">IFERROR(SMALL(IF(FG$1:FG$173&lt;&gt;0,FG$1:FG$173),ROW(A116)),"")</f>
        <v/>
      </c>
      <c r="FJ116" s="82" t="str">
        <f t="array" aca="1" ref="FJ116" ca="1">IF($FI116&lt;&gt;"",
INDIRECT(""&amp;IF(COLUMN(EV116)&lt;=26,CHAR(COLUMN(EV116)+64),CHAR(INT((COLUMN(EV116)-1)/26)+64)&amp;CHAR(MOD(COLUMN(EV116)-1,26)+65))&amp;$FI116&amp;""),"")</f>
        <v/>
      </c>
      <c r="FK116" s="82" t="str">
        <f t="array" aca="1" ref="FK116" ca="1">IF($FI116&lt;&gt;"",
INDIRECT(""&amp;IF(COLUMN(EW116)&lt;=26,CHAR(COLUMN(EW116)+64),CHAR(INT((COLUMN(EW116)-1)/26)+64)&amp;CHAR(MOD(COLUMN(EW116)-1,26)+65))&amp;$FI116&amp;""),"")</f>
        <v/>
      </c>
      <c r="FL116" s="82" t="str">
        <f t="array" aca="1" ref="FL116" ca="1">IF($FI116&lt;&gt;"",
INDIRECT(""&amp;IF(COLUMN(EX116)&lt;=26,CHAR(COLUMN(EX116)+64),CHAR(INT((COLUMN(EX116)-1)/26)+64)&amp;CHAR(MOD(COLUMN(EX116)-1,26)+65))&amp;$FI116&amp;""),"")</f>
        <v/>
      </c>
      <c r="FM116" s="82" t="str">
        <f t="array" aca="1" ref="FM116" ca="1">IF($FI116&lt;&gt;"",
IF(FL116="",
IF(INDIRECT("EY"&amp;$FI116&amp;"")&lt;&gt;"",
INDIRECT("EY"&amp;$FI116&amp;"")&amp;"箱"
&amp;INDIRECT("EZ"&amp;$FI116&amp;""),""),""),"")</f>
        <v/>
      </c>
      <c r="FN116" s="82" t="str">
        <f t="array" aca="1" ref="FN116" ca="1">IF($FI116&lt;&gt;"",
INDIRECT(""&amp;IF(COLUMN(FA116)&lt;=26,CHAR(COLUMN(FA116)+64),CHAR(INT((COLUMN(FA116)-1)/26)+64)&amp;CHAR(MOD(COLUMN(FA116)-1,26)+65))&amp;$FI116&amp;""),"")</f>
        <v/>
      </c>
      <c r="FO116" s="82" t="str">
        <f t="array" aca="1" ref="FO116" ca="1">IF($FI116&lt;&gt;"",
INDIRECT(""&amp;IF(COLUMN(FB116)&lt;=26,CHAR(COLUMN(FB116)+64),CHAR(INT((COLUMN(FB116)-1)/26)+64)&amp;CHAR(MOD(COLUMN(FB116)-1,26)+65))&amp;$FI116&amp;""),"")</f>
        <v/>
      </c>
      <c r="FP116" s="82" t="str">
        <f t="array" aca="1" ref="FP116" ca="1">IF($FI116&lt;&gt;"",
INDIRECT(""&amp;IF(COLUMN(FC116)&lt;=26,CHAR(COLUMN(FC116)+64),CHAR(INT((COLUMN(FC116)-1)/26)+64)&amp;CHAR(MOD(COLUMN(FC116)-1,26)+65))&amp;$FI116&amp;""),"")</f>
        <v/>
      </c>
      <c r="FQ116" s="82" t="str">
        <f t="array" aca="1" ref="FQ116" ca="1">IF($FI116&lt;&gt;"",
INDIRECT(""&amp;IF(COLUMN(FD116)&lt;=26,CHAR(COLUMN(FD116)+64),CHAR(INT((COLUMN(FD116)-1)/26)+64)&amp;CHAR(MOD(COLUMN(FD116)-1,26)+65))&amp;$FI116&amp;""),"")</f>
        <v/>
      </c>
      <c r="FR116" s="82" t="str">
        <f t="array" aca="1" ref="FR116" ca="1">IF($FI116&lt;&gt;"",
INDIRECT(""&amp;IF(COLUMN(FE116)&lt;=26,CHAR(COLUMN(FE116)+64),CHAR(INT((COLUMN(FE116)-1)/26)+64)&amp;CHAR(MOD(COLUMN(FE116)-1,26)+65))&amp;$FI116&amp;""),"")</f>
        <v/>
      </c>
      <c r="FS116" s="82" t="str">
        <f t="array" aca="1" ref="FS116" ca="1">IF($FI116&lt;&gt;"",
INDIRECT(""&amp;IF(COLUMN(FF116)&lt;=26,CHAR(COLUMN(FF116)+64),CHAR(INT((COLUMN(FF116)-1)/26)+64)&amp;CHAR(MOD(COLUMN(FF116)-1,26)+65))&amp;$FI116&amp;""),"")</f>
        <v/>
      </c>
    </row>
    <row r="117" spans="151:175" ht="22.2" customHeight="1" x14ac:dyDescent="0.45">
      <c r="EU117" s="82">
        <f t="shared" si="8"/>
        <v>35</v>
      </c>
      <c r="EV117" s="82" t="str">
        <f t="array" aca="1" ref="EV117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LEN(SUBSTITUTE(_xlfn.FORMULATEXT(EV$97),"=","")))+$EU117)</f>
        <v/>
      </c>
      <c r="EW117" s="82" t="str">
        <f t="array" aca="1" ref="EW117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LEN(SUBSTITUTE(_xlfn.FORMULATEXT(EW$97),"=","")))+$EU117)</f>
        <v/>
      </c>
      <c r="EX117" s="82" t="str">
        <f t="array" aca="1" ref="EX117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LEN(SUBSTITUTE(_xlfn.FORMULATEXT(EX$97),"=","")))+$EU117)</f>
        <v/>
      </c>
      <c r="EY117" s="82" t="str">
        <f t="array" aca="1" ref="EY117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LEN(SUBSTITUTE(_xlfn.FORMULATEXT(EY$97),"=","")))+$EU117)</f>
        <v/>
      </c>
      <c r="EZ117" s="82" t="str">
        <f t="array" aca="1" ref="EZ117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LEN(SUBSTITUTE(_xlfn.FORMULATEXT(EZ$97),"=","")))+$EU117)</f>
        <v/>
      </c>
      <c r="FA117" s="82" t="e">
        <f t="array" aca="1" ref="FA117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LEN(SUBSTITUTE(_xlfn.FORMULATEXT(FA$97),"=","")))+$EU117)</f>
        <v>#VALUE!</v>
      </c>
      <c r="FB117" s="82" t="str">
        <f t="array" aca="1" ref="FB117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LEN(SUBSTITUTE(_xlfn.FORMULATEXT(FB$97),"=","")))+$EU117)</f>
        <v/>
      </c>
      <c r="FC117" s="82" t="str">
        <f t="array" aca="1" ref="FC117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LEN(SUBSTITUTE(_xlfn.FORMULATEXT(FC$97),"=","")))+$EU117)</f>
        <v/>
      </c>
      <c r="FD117" s="82" t="e">
        <f t="array" aca="1" ref="FD117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LEN(SUBSTITUTE(_xlfn.FORMULATEXT(FD$97),"=","")))+$EU117)</f>
        <v>#VALUE!</v>
      </c>
      <c r="FE117" s="82" t="str">
        <f t="array" aca="1" ref="FE117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LEN(SUBSTITUTE(_xlfn.FORMULATEXT(FE$97),"=","")))+$EU117)</f>
        <v/>
      </c>
      <c r="FF117" s="82" t="e">
        <f t="array" aca="1" ref="FF117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LEN(SUBSTITUTE(_xlfn.FORMULATEXT(FF$97),"=","")))+$EU117)</f>
        <v>#N/A</v>
      </c>
      <c r="FG117" s="82">
        <f t="shared" ca="1" si="7"/>
        <v>0</v>
      </c>
      <c r="FH117" s="82" t="e">
        <f t="array" aca="1" ref="FH117" ca="1">SUMPRODUCT((LEN(EV117:FF117)&gt;0)*1)&gt;0</f>
        <v>#VALUE!</v>
      </c>
      <c r="FI117" s="82" t="str">
        <f t="array" aca="1" ref="FI117" ca="1">IFERROR(SMALL(IF(FG$1:FG$173&lt;&gt;0,FG$1:FG$173),ROW(A117)),"")</f>
        <v/>
      </c>
      <c r="FJ117" s="82" t="str">
        <f t="array" aca="1" ref="FJ117" ca="1">IF($FI117&lt;&gt;"",
INDIRECT(""&amp;IF(COLUMN(EV117)&lt;=26,CHAR(COLUMN(EV117)+64),CHAR(INT((COLUMN(EV117)-1)/26)+64)&amp;CHAR(MOD(COLUMN(EV117)-1,26)+65))&amp;$FI117&amp;""),"")</f>
        <v/>
      </c>
      <c r="FK117" s="82" t="str">
        <f t="array" aca="1" ref="FK117" ca="1">IF($FI117&lt;&gt;"",
INDIRECT(""&amp;IF(COLUMN(EW117)&lt;=26,CHAR(COLUMN(EW117)+64),CHAR(INT((COLUMN(EW117)-1)/26)+64)&amp;CHAR(MOD(COLUMN(EW117)-1,26)+65))&amp;$FI117&amp;""),"")</f>
        <v/>
      </c>
      <c r="FL117" s="82" t="str">
        <f t="array" aca="1" ref="FL117" ca="1">IF($FI117&lt;&gt;"",
INDIRECT(""&amp;IF(COLUMN(EX117)&lt;=26,CHAR(COLUMN(EX117)+64),CHAR(INT((COLUMN(EX117)-1)/26)+64)&amp;CHAR(MOD(COLUMN(EX117)-1,26)+65))&amp;$FI117&amp;""),"")</f>
        <v/>
      </c>
      <c r="FM117" s="82" t="str">
        <f t="array" aca="1" ref="FM117" ca="1">IF($FI117&lt;&gt;"",
IF(FL117="",
IF(INDIRECT("EY"&amp;$FI117&amp;"")&lt;&gt;"",
INDIRECT("EY"&amp;$FI117&amp;"")&amp;"箱"
&amp;INDIRECT("EZ"&amp;$FI117&amp;""),""),""),"")</f>
        <v/>
      </c>
      <c r="FN117" s="82" t="str">
        <f t="array" aca="1" ref="FN117" ca="1">IF($FI117&lt;&gt;"",
INDIRECT(""&amp;IF(COLUMN(FA117)&lt;=26,CHAR(COLUMN(FA117)+64),CHAR(INT((COLUMN(FA117)-1)/26)+64)&amp;CHAR(MOD(COLUMN(FA117)-1,26)+65))&amp;$FI117&amp;""),"")</f>
        <v/>
      </c>
      <c r="FO117" s="82" t="str">
        <f t="array" aca="1" ref="FO117" ca="1">IF($FI117&lt;&gt;"",
INDIRECT(""&amp;IF(COLUMN(FB117)&lt;=26,CHAR(COLUMN(FB117)+64),CHAR(INT((COLUMN(FB117)-1)/26)+64)&amp;CHAR(MOD(COLUMN(FB117)-1,26)+65))&amp;$FI117&amp;""),"")</f>
        <v/>
      </c>
      <c r="FP117" s="82" t="str">
        <f t="array" aca="1" ref="FP117" ca="1">IF($FI117&lt;&gt;"",
INDIRECT(""&amp;IF(COLUMN(FC117)&lt;=26,CHAR(COLUMN(FC117)+64),CHAR(INT((COLUMN(FC117)-1)/26)+64)&amp;CHAR(MOD(COLUMN(FC117)-1,26)+65))&amp;$FI117&amp;""),"")</f>
        <v/>
      </c>
      <c r="FQ117" s="82" t="str">
        <f t="array" aca="1" ref="FQ117" ca="1">IF($FI117&lt;&gt;"",
INDIRECT(""&amp;IF(COLUMN(FD117)&lt;=26,CHAR(COLUMN(FD117)+64),CHAR(INT((COLUMN(FD117)-1)/26)+64)&amp;CHAR(MOD(COLUMN(FD117)-1,26)+65))&amp;$FI117&amp;""),"")</f>
        <v/>
      </c>
      <c r="FR117" s="82" t="str">
        <f t="array" aca="1" ref="FR117" ca="1">IF($FI117&lt;&gt;"",
INDIRECT(""&amp;IF(COLUMN(FE117)&lt;=26,CHAR(COLUMN(FE117)+64),CHAR(INT((COLUMN(FE117)-1)/26)+64)&amp;CHAR(MOD(COLUMN(FE117)-1,26)+65))&amp;$FI117&amp;""),"")</f>
        <v/>
      </c>
      <c r="FS117" s="82" t="str">
        <f t="array" aca="1" ref="FS117" ca="1">IF($FI117&lt;&gt;"",
INDIRECT(""&amp;IF(COLUMN(FF117)&lt;=26,CHAR(COLUMN(FF117)+64),CHAR(INT((COLUMN(FF117)-1)/26)+64)&amp;CHAR(MOD(COLUMN(FF117)-1,26)+65))&amp;$FI117&amp;""),"")</f>
        <v/>
      </c>
    </row>
    <row r="118" spans="151:175" ht="22.2" customHeight="1" x14ac:dyDescent="0.45">
      <c r="EU118" s="82">
        <f t="shared" si="8"/>
        <v>77</v>
      </c>
      <c r="EV118" s="82" t="str">
        <f t="array" aca="1" ref="EV118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LEN(SUBSTITUTE(_xlfn.FORMULATEXT(EV$97),"=","")))+$EU118)</f>
        <v/>
      </c>
      <c r="EW118" s="82" t="str">
        <f t="array" aca="1" ref="EW118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LEN(SUBSTITUTE(_xlfn.FORMULATEXT(EW$97),"=","")))+$EU118)</f>
        <v/>
      </c>
      <c r="EX118" s="82" t="str">
        <f t="array" aca="1" ref="EX118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LEN(SUBSTITUTE(_xlfn.FORMULATEXT(EX$97),"=","")))+$EU118)</f>
        <v/>
      </c>
      <c r="EY118" s="82" t="str">
        <f t="array" aca="1" ref="EY118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LEN(SUBSTITUTE(_xlfn.FORMULATEXT(EY$97),"=","")))+$EU118)</f>
        <v/>
      </c>
      <c r="EZ118" s="82" t="str">
        <f t="array" aca="1" ref="EZ118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LEN(SUBSTITUTE(_xlfn.FORMULATEXT(EZ$97),"=","")))+$EU118)</f>
        <v/>
      </c>
      <c r="FA118" s="82" t="str">
        <f t="array" aca="1" ref="FA118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LEN(SUBSTITUTE(_xlfn.FORMULATEXT(FA$97),"=","")))+$EU118)</f>
        <v/>
      </c>
      <c r="FB118" s="82" t="str">
        <f t="array" aca="1" ref="FB118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LEN(SUBSTITUTE(_xlfn.FORMULATEXT(FB$97),"=","")))+$EU118)</f>
        <v/>
      </c>
      <c r="FC118" s="82" t="str">
        <f t="array" aca="1" ref="FC118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LEN(SUBSTITUTE(_xlfn.FORMULATEXT(FC$97),"=","")))+$EU118)</f>
        <v/>
      </c>
      <c r="FD118" s="82" t="str">
        <f t="array" aca="1" ref="FD118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LEN(SUBSTITUTE(_xlfn.FORMULATEXT(FD$97),"=","")))+$EU118)</f>
        <v/>
      </c>
      <c r="FE118" s="82" t="str">
        <f t="array" aca="1" ref="FE118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LEN(SUBSTITUTE(_xlfn.FORMULATEXT(FE$97),"=","")))+$EU118)</f>
        <v/>
      </c>
      <c r="FF118" s="82" t="str">
        <f t="array" aca="1" ref="FF118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LEN(SUBSTITUTE(_xlfn.FORMULATEXT(FF$97),"=","")))+$EU118)</f>
        <v/>
      </c>
      <c r="FG118" s="82">
        <f t="shared" ca="1" si="7"/>
        <v>0</v>
      </c>
      <c r="FH118" s="82" t="b">
        <f t="array" aca="1" ref="FH118" ca="1">SUMPRODUCT((LEN(EV118:FF118)&gt;0)*1)&gt;0</f>
        <v>0</v>
      </c>
      <c r="FI118" s="82" t="str">
        <f t="array" aca="1" ref="FI118" ca="1">IFERROR(SMALL(IF(FG$1:FG$173&lt;&gt;0,FG$1:FG$173),ROW(A118)),"")</f>
        <v/>
      </c>
      <c r="FJ118" s="82" t="str">
        <f t="array" aca="1" ref="FJ118" ca="1">IF($FI118&lt;&gt;"",
INDIRECT(""&amp;IF(COLUMN(EV118)&lt;=26,CHAR(COLUMN(EV118)+64),CHAR(INT((COLUMN(EV118)-1)/26)+64)&amp;CHAR(MOD(COLUMN(EV118)-1,26)+65))&amp;$FI118&amp;""),"")</f>
        <v/>
      </c>
      <c r="FK118" s="82" t="str">
        <f t="array" aca="1" ref="FK118" ca="1">IF($FI118&lt;&gt;"",
INDIRECT(""&amp;IF(COLUMN(EW118)&lt;=26,CHAR(COLUMN(EW118)+64),CHAR(INT((COLUMN(EW118)-1)/26)+64)&amp;CHAR(MOD(COLUMN(EW118)-1,26)+65))&amp;$FI118&amp;""),"")</f>
        <v/>
      </c>
      <c r="FL118" s="82" t="str">
        <f t="array" aca="1" ref="FL118" ca="1">IF($FI118&lt;&gt;"",
INDIRECT(""&amp;IF(COLUMN(EX118)&lt;=26,CHAR(COLUMN(EX118)+64),CHAR(INT((COLUMN(EX118)-1)/26)+64)&amp;CHAR(MOD(COLUMN(EX118)-1,26)+65))&amp;$FI118&amp;""),"")</f>
        <v/>
      </c>
      <c r="FM118" s="82" t="str">
        <f t="array" aca="1" ref="FM118" ca="1">IF($FI118&lt;&gt;"",
IF(FL118="",
IF(INDIRECT("EY"&amp;$FI118&amp;"")&lt;&gt;"",
INDIRECT("EY"&amp;$FI118&amp;"")&amp;"箱"
&amp;INDIRECT("EZ"&amp;$FI118&amp;""),""),""),"")</f>
        <v/>
      </c>
      <c r="FN118" s="82" t="str">
        <f t="array" aca="1" ref="FN118" ca="1">IF($FI118&lt;&gt;"",
INDIRECT(""&amp;IF(COLUMN(FA118)&lt;=26,CHAR(COLUMN(FA118)+64),CHAR(INT((COLUMN(FA118)-1)/26)+64)&amp;CHAR(MOD(COLUMN(FA118)-1,26)+65))&amp;$FI118&amp;""),"")</f>
        <v/>
      </c>
      <c r="FO118" s="82" t="str">
        <f t="array" aca="1" ref="FO118" ca="1">IF($FI118&lt;&gt;"",
INDIRECT(""&amp;IF(COLUMN(FB118)&lt;=26,CHAR(COLUMN(FB118)+64),CHAR(INT((COLUMN(FB118)-1)/26)+64)&amp;CHAR(MOD(COLUMN(FB118)-1,26)+65))&amp;$FI118&amp;""),"")</f>
        <v/>
      </c>
      <c r="FP118" s="82" t="str">
        <f t="array" aca="1" ref="FP118" ca="1">IF($FI118&lt;&gt;"",
INDIRECT(""&amp;IF(COLUMN(FC118)&lt;=26,CHAR(COLUMN(FC118)+64),CHAR(INT((COLUMN(FC118)-1)/26)+64)&amp;CHAR(MOD(COLUMN(FC118)-1,26)+65))&amp;$FI118&amp;""),"")</f>
        <v/>
      </c>
      <c r="FQ118" s="82" t="str">
        <f t="array" aca="1" ref="FQ118" ca="1">IF($FI118&lt;&gt;"",
INDIRECT(""&amp;IF(COLUMN(FD118)&lt;=26,CHAR(COLUMN(FD118)+64),CHAR(INT((COLUMN(FD118)-1)/26)+64)&amp;CHAR(MOD(COLUMN(FD118)-1,26)+65))&amp;$FI118&amp;""),"")</f>
        <v/>
      </c>
      <c r="FR118" s="82" t="str">
        <f t="array" aca="1" ref="FR118" ca="1">IF($FI118&lt;&gt;"",
INDIRECT(""&amp;IF(COLUMN(FE118)&lt;=26,CHAR(COLUMN(FE118)+64),CHAR(INT((COLUMN(FE118)-1)/26)+64)&amp;CHAR(MOD(COLUMN(FE118)-1,26)+65))&amp;$FI118&amp;""),"")</f>
        <v/>
      </c>
      <c r="FS118" s="82" t="str">
        <f t="array" aca="1" ref="FS118" ca="1">IF($FI118&lt;&gt;"",
INDIRECT(""&amp;IF(COLUMN(FF118)&lt;=26,CHAR(COLUMN(FF118)+64),CHAR(INT((COLUMN(FF118)-1)/26)+64)&amp;CHAR(MOD(COLUMN(FF118)-1,26)+65))&amp;$FI118&amp;""),"")</f>
        <v/>
      </c>
    </row>
    <row r="119" spans="151:175" ht="22.2" customHeight="1" x14ac:dyDescent="0.45">
      <c r="EU119" s="91">
        <f t="shared" si="8"/>
        <v>35</v>
      </c>
      <c r="EV119" s="82" t="str">
        <f t="array" aca="1" ref="EV119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LEN(SUBSTITUTE(_xlfn.FORMULATEXT(EV$99),"=","")))+$EU119)</f>
        <v/>
      </c>
      <c r="EW119" s="82" t="str">
        <f t="array" aca="1" ref="EW119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LEN(SUBSTITUTE(_xlfn.FORMULATEXT(EW$99),"=","")))+$EU119)</f>
        <v/>
      </c>
      <c r="EX119" s="82" t="str">
        <f t="array" aca="1" ref="EX119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LEN(SUBSTITUTE(_xlfn.FORMULATEXT(EX$99),"=","")))+$EU119)</f>
        <v/>
      </c>
      <c r="EY119" s="82" t="str">
        <f t="array" aca="1" ref="EY119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LEN(SUBSTITUTE(_xlfn.FORMULATEXT(EY$99),"=","")))+$EU119)</f>
        <v/>
      </c>
      <c r="EZ119" s="82" t="str">
        <f t="array" aca="1" ref="EZ119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LEN(SUBSTITUTE(_xlfn.FORMULATEXT(EZ$99),"=","")))+$EU119)</f>
        <v/>
      </c>
      <c r="FA119" s="82" t="e">
        <f t="array" aca="1" ref="FA119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LEN(SUBSTITUTE(_xlfn.FORMULATEXT(FA$99),"=","")))+$EU119)</f>
        <v>#VALUE!</v>
      </c>
      <c r="FB119" s="82" t="str">
        <f t="array" aca="1" ref="FB119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LEN(SUBSTITUTE(_xlfn.FORMULATEXT(FB$99),"=","")))+$EU119)</f>
        <v/>
      </c>
      <c r="FC119" s="82" t="str">
        <f t="array" aca="1" ref="FC119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LEN(SUBSTITUTE(_xlfn.FORMULATEXT(FC$99),"=","")))+$EU119)</f>
        <v/>
      </c>
      <c r="FD119" s="82" t="e">
        <f t="array" aca="1" ref="FD119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LEN(SUBSTITUTE(_xlfn.FORMULATEXT(FD$99),"=","")))+$EU119)</f>
        <v>#VALUE!</v>
      </c>
      <c r="FE119" s="82" t="str">
        <f t="array" aca="1" ref="FE119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LEN(SUBSTITUTE(_xlfn.FORMULATEXT(FE$99),"=","")))+$EU119)</f>
        <v/>
      </c>
      <c r="FF119" s="82" t="e">
        <f t="array" aca="1" ref="FF119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LEN(SUBSTITUTE(_xlfn.FORMULATEXT(FF$99),"=","")))+$EU119)</f>
        <v>#N/A</v>
      </c>
      <c r="FG119" s="82">
        <f t="shared" ca="1" si="7"/>
        <v>0</v>
      </c>
      <c r="FH119" s="82" t="e">
        <f t="array" aca="1" ref="FH119" ca="1">SUMPRODUCT((LEN(EV119:FF119)&gt;0)*1)&gt;0</f>
        <v>#VALUE!</v>
      </c>
      <c r="FI119" s="82" t="str">
        <f t="array" aca="1" ref="FI119" ca="1">IFERROR(SMALL(IF(FG$1:FG$173&lt;&gt;0,FG$1:FG$173),ROW(A119)),"")</f>
        <v/>
      </c>
      <c r="FJ119" s="82" t="str">
        <f t="array" aca="1" ref="FJ119" ca="1">IF($FI119&lt;&gt;"",
INDIRECT(""&amp;IF(COLUMN(EV119)&lt;=26,CHAR(COLUMN(EV119)+64),CHAR(INT((COLUMN(EV119)-1)/26)+64)&amp;CHAR(MOD(COLUMN(EV119)-1,26)+65))&amp;$FI119&amp;""),"")</f>
        <v/>
      </c>
      <c r="FK119" s="82" t="str">
        <f t="array" aca="1" ref="FK119" ca="1">IF($FI119&lt;&gt;"",
INDIRECT(""&amp;IF(COLUMN(EW119)&lt;=26,CHAR(COLUMN(EW119)+64),CHAR(INT((COLUMN(EW119)-1)/26)+64)&amp;CHAR(MOD(COLUMN(EW119)-1,26)+65))&amp;$FI119&amp;""),"")</f>
        <v/>
      </c>
      <c r="FL119" s="82" t="str">
        <f t="array" aca="1" ref="FL119" ca="1">IF($FI119&lt;&gt;"",
INDIRECT(""&amp;IF(COLUMN(EX119)&lt;=26,CHAR(COLUMN(EX119)+64),CHAR(INT((COLUMN(EX119)-1)/26)+64)&amp;CHAR(MOD(COLUMN(EX119)-1,26)+65))&amp;$FI119&amp;""),"")</f>
        <v/>
      </c>
      <c r="FM119" s="82" t="str">
        <f t="array" aca="1" ref="FM119" ca="1">IF($FI119&lt;&gt;"",
IF(FL119="",
IF(INDIRECT("EY"&amp;$FI119&amp;"")&lt;&gt;"",
INDIRECT("EY"&amp;$FI119&amp;"")&amp;"箱"
&amp;INDIRECT("EZ"&amp;$FI119&amp;""),""),""),"")</f>
        <v/>
      </c>
      <c r="FN119" s="82" t="str">
        <f t="array" aca="1" ref="FN119" ca="1">IF($FI119&lt;&gt;"",
INDIRECT(""&amp;IF(COLUMN(FA119)&lt;=26,CHAR(COLUMN(FA119)+64),CHAR(INT((COLUMN(FA119)-1)/26)+64)&amp;CHAR(MOD(COLUMN(FA119)-1,26)+65))&amp;$FI119&amp;""),"")</f>
        <v/>
      </c>
      <c r="FO119" s="82" t="str">
        <f t="array" aca="1" ref="FO119" ca="1">IF($FI119&lt;&gt;"",
INDIRECT(""&amp;IF(COLUMN(FB119)&lt;=26,CHAR(COLUMN(FB119)+64),CHAR(INT((COLUMN(FB119)-1)/26)+64)&amp;CHAR(MOD(COLUMN(FB119)-1,26)+65))&amp;$FI119&amp;""),"")</f>
        <v/>
      </c>
      <c r="FP119" s="82" t="str">
        <f t="array" aca="1" ref="FP119" ca="1">IF($FI119&lt;&gt;"",
INDIRECT(""&amp;IF(COLUMN(FC119)&lt;=26,CHAR(COLUMN(FC119)+64),CHAR(INT((COLUMN(FC119)-1)/26)+64)&amp;CHAR(MOD(COLUMN(FC119)-1,26)+65))&amp;$FI119&amp;""),"")</f>
        <v/>
      </c>
      <c r="FQ119" s="82" t="str">
        <f t="array" aca="1" ref="FQ119" ca="1">IF($FI119&lt;&gt;"",
INDIRECT(""&amp;IF(COLUMN(FD119)&lt;=26,CHAR(COLUMN(FD119)+64),CHAR(INT((COLUMN(FD119)-1)/26)+64)&amp;CHAR(MOD(COLUMN(FD119)-1,26)+65))&amp;$FI119&amp;""),"")</f>
        <v/>
      </c>
      <c r="FR119" s="82" t="str">
        <f t="array" aca="1" ref="FR119" ca="1">IF($FI119&lt;&gt;"",
INDIRECT(""&amp;IF(COLUMN(FE119)&lt;=26,CHAR(COLUMN(FE119)+64),CHAR(INT((COLUMN(FE119)-1)/26)+64)&amp;CHAR(MOD(COLUMN(FE119)-1,26)+65))&amp;$FI119&amp;""),"")</f>
        <v/>
      </c>
      <c r="FS119" s="82" t="str">
        <f t="array" aca="1" ref="FS119" ca="1">IF($FI119&lt;&gt;"",
INDIRECT(""&amp;IF(COLUMN(FF119)&lt;=26,CHAR(COLUMN(FF119)+64),CHAR(INT((COLUMN(FF119)-1)/26)+64)&amp;CHAR(MOD(COLUMN(FF119)-1,26)+65))&amp;$FI119&amp;""),"")</f>
        <v/>
      </c>
    </row>
    <row r="120" spans="151:175" ht="22.2" customHeight="1" x14ac:dyDescent="0.45">
      <c r="EU120" s="82">
        <f t="shared" si="8"/>
        <v>77</v>
      </c>
      <c r="EV120" s="82" t="str">
        <f t="array" aca="1" ref="EV120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LEN(SUBSTITUTE(_xlfn.FORMULATEXT(EV$99),"=","")))+$EU120)</f>
        <v/>
      </c>
      <c r="EW120" s="82" t="str">
        <f t="array" aca="1" ref="EW120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LEN(SUBSTITUTE(_xlfn.FORMULATEXT(EW$99),"=","")))+$EU120)</f>
        <v/>
      </c>
      <c r="EX120" s="82" t="str">
        <f t="array" aca="1" ref="EX120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LEN(SUBSTITUTE(_xlfn.FORMULATEXT(EX$99),"=","")))+$EU120)</f>
        <v/>
      </c>
      <c r="EY120" s="82" t="str">
        <f t="array" aca="1" ref="EY120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LEN(SUBSTITUTE(_xlfn.FORMULATEXT(EY$99),"=","")))+$EU120)</f>
        <v/>
      </c>
      <c r="EZ120" s="82" t="str">
        <f t="array" aca="1" ref="EZ120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LEN(SUBSTITUTE(_xlfn.FORMULATEXT(EZ$99),"=","")))+$EU120)</f>
        <v/>
      </c>
      <c r="FA120" s="82" t="str">
        <f t="array" aca="1" ref="FA120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LEN(SUBSTITUTE(_xlfn.FORMULATEXT(FA$99),"=","")))+$EU120)</f>
        <v/>
      </c>
      <c r="FB120" s="82" t="str">
        <f t="array" aca="1" ref="FB120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LEN(SUBSTITUTE(_xlfn.FORMULATEXT(FB$99),"=","")))+$EU120)</f>
        <v/>
      </c>
      <c r="FC120" s="82" t="str">
        <f t="array" aca="1" ref="FC120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LEN(SUBSTITUTE(_xlfn.FORMULATEXT(FC$99),"=","")))+$EU120)</f>
        <v/>
      </c>
      <c r="FD120" s="82" t="str">
        <f t="array" aca="1" ref="FD120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LEN(SUBSTITUTE(_xlfn.FORMULATEXT(FD$99),"=","")))+$EU120)</f>
        <v/>
      </c>
      <c r="FE120" s="82" t="str">
        <f t="array" aca="1" ref="FE120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LEN(SUBSTITUTE(_xlfn.FORMULATEXT(FE$99),"=","")))+$EU120)</f>
        <v/>
      </c>
      <c r="FF120" s="82" t="str">
        <f t="array" aca="1" ref="FF120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LEN(SUBSTITUTE(_xlfn.FORMULATEXT(FF$99),"=","")))+$EU120)</f>
        <v/>
      </c>
      <c r="FG120" s="82">
        <f t="shared" ca="1" si="7"/>
        <v>0</v>
      </c>
      <c r="FH120" s="82" t="b">
        <f t="array" aca="1" ref="FH120" ca="1">SUMPRODUCT((LEN(EV120:FF120)&gt;0)*1)&gt;0</f>
        <v>0</v>
      </c>
      <c r="FI120" s="82" t="str">
        <f t="array" aca="1" ref="FI120" ca="1">IFERROR(SMALL(IF(FG$1:FG$173&lt;&gt;0,FG$1:FG$173),ROW(A120)),"")</f>
        <v/>
      </c>
      <c r="FJ120" s="82" t="str">
        <f t="array" aca="1" ref="FJ120" ca="1">IF($FI120&lt;&gt;"",
INDIRECT(""&amp;IF(COLUMN(EV120)&lt;=26,CHAR(COLUMN(EV120)+64),CHAR(INT((COLUMN(EV120)-1)/26)+64)&amp;CHAR(MOD(COLUMN(EV120)-1,26)+65))&amp;$FI120&amp;""),"")</f>
        <v/>
      </c>
      <c r="FK120" s="82" t="str">
        <f t="array" aca="1" ref="FK120" ca="1">IF($FI120&lt;&gt;"",
INDIRECT(""&amp;IF(COLUMN(EW120)&lt;=26,CHAR(COLUMN(EW120)+64),CHAR(INT((COLUMN(EW120)-1)/26)+64)&amp;CHAR(MOD(COLUMN(EW120)-1,26)+65))&amp;$FI120&amp;""),"")</f>
        <v/>
      </c>
      <c r="FL120" s="82" t="str">
        <f t="array" aca="1" ref="FL120" ca="1">IF($FI120&lt;&gt;"",
INDIRECT(""&amp;IF(COLUMN(EX120)&lt;=26,CHAR(COLUMN(EX120)+64),CHAR(INT((COLUMN(EX120)-1)/26)+64)&amp;CHAR(MOD(COLUMN(EX120)-1,26)+65))&amp;$FI120&amp;""),"")</f>
        <v/>
      </c>
      <c r="FM120" s="82" t="str">
        <f t="array" aca="1" ref="FM120" ca="1">IF($FI120&lt;&gt;"",
IF(FL120="",
IF(INDIRECT("EY"&amp;$FI120&amp;"")&lt;&gt;"",
INDIRECT("EY"&amp;$FI120&amp;"")&amp;"箱"
&amp;INDIRECT("EZ"&amp;$FI120&amp;""),""),""),"")</f>
        <v/>
      </c>
      <c r="FN120" s="82" t="str">
        <f t="array" aca="1" ref="FN120" ca="1">IF($FI120&lt;&gt;"",
INDIRECT(""&amp;IF(COLUMN(FA120)&lt;=26,CHAR(COLUMN(FA120)+64),CHAR(INT((COLUMN(FA120)-1)/26)+64)&amp;CHAR(MOD(COLUMN(FA120)-1,26)+65))&amp;$FI120&amp;""),"")</f>
        <v/>
      </c>
      <c r="FO120" s="82" t="str">
        <f t="array" aca="1" ref="FO120" ca="1">IF($FI120&lt;&gt;"",
INDIRECT(""&amp;IF(COLUMN(FB120)&lt;=26,CHAR(COLUMN(FB120)+64),CHAR(INT((COLUMN(FB120)-1)/26)+64)&amp;CHAR(MOD(COLUMN(FB120)-1,26)+65))&amp;$FI120&amp;""),"")</f>
        <v/>
      </c>
      <c r="FP120" s="82" t="str">
        <f t="array" aca="1" ref="FP120" ca="1">IF($FI120&lt;&gt;"",
INDIRECT(""&amp;IF(COLUMN(FC120)&lt;=26,CHAR(COLUMN(FC120)+64),CHAR(INT((COLUMN(FC120)-1)/26)+64)&amp;CHAR(MOD(COLUMN(FC120)-1,26)+65))&amp;$FI120&amp;""),"")</f>
        <v/>
      </c>
      <c r="FQ120" s="82" t="str">
        <f t="array" aca="1" ref="FQ120" ca="1">IF($FI120&lt;&gt;"",
INDIRECT(""&amp;IF(COLUMN(FD120)&lt;=26,CHAR(COLUMN(FD120)+64),CHAR(INT((COLUMN(FD120)-1)/26)+64)&amp;CHAR(MOD(COLUMN(FD120)-1,26)+65))&amp;$FI120&amp;""),"")</f>
        <v/>
      </c>
      <c r="FR120" s="82" t="str">
        <f t="array" aca="1" ref="FR120" ca="1">IF($FI120&lt;&gt;"",
INDIRECT(""&amp;IF(COLUMN(FE120)&lt;=26,CHAR(COLUMN(FE120)+64),CHAR(INT((COLUMN(FE120)-1)/26)+64)&amp;CHAR(MOD(COLUMN(FE120)-1,26)+65))&amp;$FI120&amp;""),"")</f>
        <v/>
      </c>
      <c r="FS120" s="82" t="str">
        <f t="array" aca="1" ref="FS120" ca="1">IF($FI120&lt;&gt;"",
INDIRECT(""&amp;IF(COLUMN(FF120)&lt;=26,CHAR(COLUMN(FF120)+64),CHAR(INT((COLUMN(FF120)-1)/26)+64)&amp;CHAR(MOD(COLUMN(FF120)-1,26)+65))&amp;$FI120&amp;""),"")</f>
        <v/>
      </c>
    </row>
    <row r="121" spans="151:175" ht="22.2" customHeight="1" x14ac:dyDescent="0.45">
      <c r="EU121" s="104"/>
      <c r="EV121" s="105" t="str">
        <f>社食等の札!A3</f>
        <v>ニシム</v>
      </c>
      <c r="EW121" s="105"/>
      <c r="EX121" s="105"/>
      <c r="EY121" s="105"/>
      <c r="EZ121" s="105"/>
      <c r="FA121" s="104" t="e">
        <f ca="1">社食等の札!E3</f>
        <v>#N/A</v>
      </c>
      <c r="FB121" s="104"/>
      <c r="FC121" s="104"/>
      <c r="FD121" s="104"/>
      <c r="FE121" s="104"/>
      <c r="FF121" s="104"/>
      <c r="FG121" s="104">
        <f>ROW()</f>
        <v>121</v>
      </c>
      <c r="FH121" s="104" t="b">
        <v>1</v>
      </c>
      <c r="FI121" s="91" t="str">
        <f t="array" aca="1" ref="FI121" ca="1">IFERROR(SMALL(IF(FG$1:FG$173&lt;&gt;0,FG$1:FG$173),ROW(A121)),"")</f>
        <v/>
      </c>
      <c r="FJ121" s="89" t="str">
        <f t="array" aca="1" ref="FJ121" ca="1">IF($FI121&lt;&gt;"",
INDIRECT(""&amp;IF(COLUMN(EV121)&lt;=26,CHAR(COLUMN(EV121)+64),CHAR(INT((COLUMN(EV121)-1)/26)+64)&amp;CHAR(MOD(COLUMN(EV121)-1,26)+65))&amp;$FI121&amp;""),"")</f>
        <v/>
      </c>
      <c r="FM121" s="82"/>
      <c r="FN121" s="91" t="str">
        <f t="array" aca="1" ref="FN121" ca="1">IF($FI121&lt;&gt;"",
INDIRECT(""&amp;IF(COLUMN(FA121)&lt;=26,CHAR(COLUMN(FA121)+64),CHAR(INT((COLUMN(FA121)-1)/26)+64)&amp;CHAR(MOD(COLUMN(FA121)-1,26)+65))&amp;$FI121&amp;""),"")</f>
        <v/>
      </c>
    </row>
    <row r="122" spans="151:175" ht="22.2" customHeight="1" x14ac:dyDescent="0.45">
      <c r="EU122" s="104"/>
      <c r="EV122" s="105" t="str">
        <f>社食等の札!A4</f>
        <v>新日本製薬</v>
      </c>
      <c r="EW122" s="105"/>
      <c r="EX122" s="105"/>
      <c r="EY122" s="105"/>
      <c r="EZ122" s="105"/>
      <c r="FA122" s="104" t="e">
        <f ca="1">社食等の札!E4</f>
        <v>#N/A</v>
      </c>
      <c r="FB122" s="104"/>
      <c r="FC122" s="104"/>
      <c r="FD122" s="104"/>
      <c r="FE122" s="104"/>
      <c r="FF122" s="104"/>
      <c r="FG122" s="104">
        <f>ROW()</f>
        <v>122</v>
      </c>
      <c r="FH122" s="104" t="b">
        <v>1</v>
      </c>
      <c r="FM122" s="82"/>
    </row>
    <row r="123" spans="151:175" ht="22.2" customHeight="1" x14ac:dyDescent="0.45">
      <c r="EU123" s="104"/>
      <c r="EV123" s="105" t="str">
        <f>社食等の札!A5</f>
        <v>配送</v>
      </c>
      <c r="EW123" s="105"/>
      <c r="EX123" s="105"/>
      <c r="EY123" s="105"/>
      <c r="EZ123" s="105"/>
      <c r="FA123" s="104">
        <f>社食等の札!E5</f>
        <v>2</v>
      </c>
      <c r="FB123" s="104"/>
      <c r="FC123" s="104"/>
      <c r="FD123" s="104"/>
      <c r="FE123" s="104"/>
      <c r="FF123" s="104"/>
      <c r="FG123" s="104">
        <f>ROW()</f>
        <v>123</v>
      </c>
      <c r="FH123" s="104" t="b">
        <v>1</v>
      </c>
      <c r="FM123" s="82"/>
    </row>
    <row r="124" spans="151:175" ht="22.2" customHeight="1" x14ac:dyDescent="0.45">
      <c r="EU124" s="104"/>
      <c r="EV124" s="105" t="str">
        <f>社食等の札!A6</f>
        <v>先生用</v>
      </c>
      <c r="EW124" s="105"/>
      <c r="EX124" s="105" t="str">
        <f>社食等の札!B6</f>
        <v/>
      </c>
      <c r="EY124" s="104" t="e">
        <f ca="1">社食等の札!C6</f>
        <v>#N/A</v>
      </c>
      <c r="EZ124" s="104" t="e">
        <f ca="1">社食等の札!D6</f>
        <v>#N/A</v>
      </c>
      <c r="FA124" s="104" t="e">
        <f ca="1">社食等の札!E6</f>
        <v>#N/A</v>
      </c>
      <c r="FB124" s="104"/>
      <c r="FC124" s="104">
        <f>社食等の札!G6</f>
        <v>12</v>
      </c>
      <c r="FD124" s="104">
        <f>社食等の札!H6</f>
        <v>30</v>
      </c>
      <c r="FE124" s="104"/>
      <c r="FF124" s="104"/>
      <c r="FG124" s="104">
        <f>ROW()</f>
        <v>124</v>
      </c>
      <c r="FH124" s="104" t="b">
        <v>1</v>
      </c>
      <c r="FM124" s="82"/>
    </row>
    <row r="125" spans="151:175" x14ac:dyDescent="0.45">
      <c r="EU125" s="107">
        <v>2</v>
      </c>
      <c r="EV125" s="108" t="str">
        <f t="array" aca="1" ref="EV125" ca="1">IF(INDIRECT("まとめ札!A"&amp;EU125&amp;"")&lt;&gt;0,INDIRECT("まとめ札!A"&amp;EU125&amp;"")&amp;"【1】","")</f>
        <v>キャラ弁当 飯あり【1】</v>
      </c>
      <c r="EW125" s="108"/>
      <c r="EX125" s="108" t="str">
        <f>""</f>
        <v/>
      </c>
      <c r="EY125" s="108">
        <f ca="1">IF(EV125&lt;&gt;"",
IF(IF(COUNTIF(EV125,"*キャラ*"),
VLOOKUP("*キャラ*",商品マスタ一覧!$D:$J,7,FALSE),
IF(COUNTIF(EV125,"*赤*"),
VLOOKUP("*赤*",商品マスタ一覧!$D:$J,7,FALSE),
VLOOKUP(EV125,商品マスタ一覧!$D:$J,7,FALSE)))=0,"",
IF(FA125&lt;&gt;"",
IF(ROUND(
FA125/IF(COUNTIF(EV125,"*キャラ*"),
VLOOKUP("*キャラ*",商品マスタ一覧!$D:$J,7,FALSE),
IF(COUNTIF(EV125,"*赤*"),
VLOOKUP("*赤*",商品マスタ一覧!$D:$J,7,FALSE),
VLOOKUP(EV125,商品マスタ一覧!$D:$J,7,FALSE))),0)&lt;=0,1,
ROUND(
FA125/IF(COUNTIF(EV125,"*キャラ*"),
VLOOKUP("*キャラ*",商品マスタ一覧!$D:$J,7,FALSE),
IF(COUNTIF(EV125,"*赤*"),
VLOOKUP("*赤*",商品マスタ一覧!$D:$J,7,FALSE),
VLOOKUP(EV125,商品マスタ一覧!$D:$J,7,FALSE))),0)),"")),"")</f>
        <v>10</v>
      </c>
      <c r="EZ125" s="109" t="str">
        <f ca="1">IF(EY125&lt;&gt;"",IF(VALUE(FA125)&gt;VALUE(IF(COUNTIF(EV125,"*キャラ*"),
VLOOKUP("*キャラ*",商品マスタ一覧!$D:$J,7,FALSE),
IF(COUNTIF(EV125,"*赤*"),
VLOOKUP("*赤*",商品マスタ一覧!$D:$J,7,FALSE),
VLOOKUP(EV125,商品マスタ一覧!$D:$J,7,FALSE)))*EY125),
"+"&amp;FA125-IF(COUNTIF(EV125,"*キャラ*"),
VLOOKUP("*キャラ*",商品マスタ一覧!$D:$J,7,FALSE),
IF(COUNTIF(EV125,"*赤*"),
VLOOKUP("*赤*",商品マスタ一覧!$D:$J,7,FALSE),
VLOOKUP(EV125,商品マスタ一覧!$D:$J,7,FALSE)))*EY125,
FA125-IF(COUNTIF(EV125,"*キャラ*"),
VLOOKUP("*キャラ*",商品マスタ一覧!$D:$J,7,FALSE),
IF(COUNTIF(EV125,"*赤*"),
VLOOKUP("*赤*",商品マスタ一覧!$D:$J,7,FALSE),
VLOOKUP(EV125,商品マスタ一覧!$D:$J,7,FALSE)))*EY125),"")</f>
        <v>+10</v>
      </c>
      <c r="FA125" s="107">
        <f t="array" aca="1" ref="FA125" ca="1">IF(INDIRECT("まとめ札!F"&amp;EU125&amp;"")&lt;&gt;0,INDIRECT("まとめ札!F"&amp;EU125&amp;""),"")</f>
        <v>720</v>
      </c>
      <c r="FB125" s="107"/>
      <c r="FC125" s="107">
        <f ca="1">IF(EV125&lt;&gt;"",
IF(OR(COUNTIF(EV125,"*キャラ*"),COUNTIF(EV125,"*赤*")),24,
VLOOKUP(EV125,商品マスタ一覧!$D:$I,6,FALSE)),"")</f>
        <v>24</v>
      </c>
      <c r="FD125" s="107">
        <f t="shared" ref="FD125:FD156" ca="1" si="9">IF(FA125&lt;&gt;"",
IFERROR(INT(FA125/FC125),""),"")</f>
        <v>30</v>
      </c>
      <c r="FE125" s="107">
        <f t="shared" ref="FE125:FE156" ca="1" si="10">IFERROR(MOD(FA125,FD125),"")</f>
        <v>0</v>
      </c>
      <c r="FF125" s="107"/>
      <c r="FG125" s="107">
        <f t="shared" ref="FG125:FG168" ca="1" si="11">IF(FH125&lt;&gt;"",ROW(),"")</f>
        <v>125</v>
      </c>
      <c r="FH125" s="107" t="str">
        <f t="shared" ref="FH125:FH156" ca="1" si="12">IF(FA125&lt;&gt;"","TRUE","")</f>
        <v>TRUE</v>
      </c>
    </row>
    <row r="126" spans="151:175" x14ac:dyDescent="0.45">
      <c r="EU126" s="107"/>
      <c r="EV126" s="108" t="str">
        <f t="array" aca="1" ref="EV126" ca="1">IF(OR(INDIRECT("まとめ札!G"&amp;EU125&amp;"")="",INDIRECT("まとめ札!G"&amp;EU125&amp;"")=0),"",INDIRECT("まとめ札!A"&amp;EU125&amp;"")&amp;"【2】")</f>
        <v>キャラ弁当 飯あり【2】</v>
      </c>
      <c r="EW126" s="108"/>
      <c r="EX126" s="108" t="str">
        <f>""</f>
        <v/>
      </c>
      <c r="EY126" s="108">
        <f ca="1">IF(EV126&lt;&gt;"",
IF(IF(COUNTIF(EV126,"*キャラ*"),
VLOOKUP("*キャラ*",商品マスタ一覧!$D:$J,7,FALSE),
IF(COUNTIF(EV126,"*赤*"),
VLOOKUP("*赤*",商品マスタ一覧!$D:$J,7,FALSE),
VLOOKUP(EV126,商品マスタ一覧!$D:$J,7,FALSE)))=0,"",
IF(FA126&lt;&gt;"",
IF(ROUND(
FA126/IF(COUNTIF(EV126,"*キャラ*"),
VLOOKUP("*キャラ*",商品マスタ一覧!$D:$J,7,FALSE),
IF(COUNTIF(EV126,"*赤*"),
VLOOKUP("*赤*",商品マスタ一覧!$D:$J,7,FALSE),
VLOOKUP(EV126,商品マスタ一覧!$D:$J,7,FALSE))),0)&lt;=0,1,
ROUND(
FA126/IF(COUNTIF(EV126,"*キャラ*"),
VLOOKUP("*キャラ*",商品マスタ一覧!$D:$J,7,FALSE),
IF(COUNTIF(EV126,"*赤*"),
VLOOKUP("*赤*",商品マスタ一覧!$D:$J,7,FALSE),
VLOOKUP(EV126,商品マスタ一覧!$D:$J,7,FALSE))),0)),"")),"")</f>
        <v>1</v>
      </c>
      <c r="EZ126" s="109">
        <f ca="1">IF(EY126&lt;&gt;"",IF(VALUE(FA126)&gt;VALUE(IF(COUNTIF(EV126,"*キャラ*"),
VLOOKUP("*キャラ*",商品マスタ一覧!$D:$J,7,FALSE),
IF(COUNTIF(EV126,"*赤*"),
VLOOKUP("*赤*",商品マスタ一覧!$D:$J,7,FALSE),
VLOOKUP(EV126,商品マスタ一覧!$D:$J,7,FALSE)))*EY126),
"+"&amp;FA126-IF(COUNTIF(EV126,"*キャラ*"),
VLOOKUP("*キャラ*",商品マスタ一覧!$D:$J,7,FALSE),
IF(COUNTIF(EV126,"*赤*"),
VLOOKUP("*赤*",商品マスタ一覧!$D:$J,7,FALSE),
VLOOKUP(EV126,商品マスタ一覧!$D:$J,7,FALSE)))*EY126,
FA126-IF(COUNTIF(EV126,"*キャラ*"),
VLOOKUP("*キャラ*",商品マスタ一覧!$D:$J,7,FALSE),
IF(COUNTIF(EV126,"*赤*"),
VLOOKUP("*赤*",商品マスタ一覧!$D:$J,7,FALSE),
VLOOKUP(EV126,商品マスタ一覧!$D:$J,7,FALSE)))*EY126),"")</f>
        <v>-810</v>
      </c>
      <c r="FA126" s="107">
        <f t="array" aca="1" ref="FA126" ca="1">IF(OR(INDIRECT("まとめ札!G"&amp;EU125&amp;"")="",INDIRECT("まとめ札!G"&amp;EU125&amp;"")=0),"",INDIRECT("まとめ札!G"&amp;EU125&amp;""))</f>
        <v>-739</v>
      </c>
      <c r="FB126" s="107"/>
      <c r="FC126" s="107">
        <f ca="1">IF(EV126&lt;&gt;"",
IF(OR(COUNTIF(EV126,"*キャラ*"),COUNTIF(EV126,"*赤*")),24,
VLOOKUP(EV126,商品マスタ一覧!$D:$I,6,FALSE)),"")</f>
        <v>24</v>
      </c>
      <c r="FD126" s="107">
        <f t="shared" ca="1" si="9"/>
        <v>-31</v>
      </c>
      <c r="FE126" s="107">
        <f t="shared" ca="1" si="10"/>
        <v>-26</v>
      </c>
      <c r="FF126" s="107"/>
      <c r="FG126" s="107">
        <f t="shared" ca="1" si="11"/>
        <v>126</v>
      </c>
      <c r="FH126" s="107" t="str">
        <f t="shared" ca="1" si="12"/>
        <v>TRUE</v>
      </c>
    </row>
    <row r="127" spans="151:175" x14ac:dyDescent="0.45">
      <c r="EU127" s="107"/>
      <c r="EV127" s="108" t="str">
        <f t="array" aca="1" ref="EV127" ca="1">IF(OR(INDIRECT("まとめ札!H"&amp;EU125&amp;"")="",INDIRECT("まとめ札!H"&amp;EU125&amp;"")=0),"",INDIRECT("まとめ札!A"&amp;EU125&amp;"")&amp;"【3】")</f>
        <v/>
      </c>
      <c r="EW127" s="108"/>
      <c r="EX127" s="108" t="str">
        <f>""</f>
        <v/>
      </c>
      <c r="EY127" s="108" t="str">
        <f ca="1">IF(EV127&lt;&gt;"",
IF(IF(COUNTIF(EV127,"*キャラ*"),
VLOOKUP("*キャラ*",商品マスタ一覧!$D:$J,7,FALSE),
IF(COUNTIF(EV127,"*赤*"),
VLOOKUP("*赤*",商品マスタ一覧!$D:$J,7,FALSE),
VLOOKUP(EV127,商品マスタ一覧!$D:$J,7,FALSE)))=0,"",
IF(FA127&lt;&gt;"",
IF(ROUND(
FA127/IF(COUNTIF(EV127,"*キャラ*"),
VLOOKUP("*キャラ*",商品マスタ一覧!$D:$J,7,FALSE),
IF(COUNTIF(EV127,"*赤*"),
VLOOKUP("*赤*",商品マスタ一覧!$D:$J,7,FALSE),
VLOOKUP(EV127,商品マスタ一覧!$D:$J,7,FALSE))),0)&lt;=0,1,
ROUND(
FA127/IF(COUNTIF(EV127,"*キャラ*"),
VLOOKUP("*キャラ*",商品マスタ一覧!$D:$J,7,FALSE),
IF(COUNTIF(EV127,"*赤*"),
VLOOKUP("*赤*",商品マスタ一覧!$D:$J,7,FALSE),
VLOOKUP(EV127,商品マスタ一覧!$D:$J,7,FALSE))),0)),"")),"")</f>
        <v/>
      </c>
      <c r="EZ127" s="109" t="str">
        <f ca="1">IF(EY127&lt;&gt;"",IF(VALUE(FA127)&gt;VALUE(IF(COUNTIF(EV127,"*キャラ*"),
VLOOKUP("*キャラ*",商品マスタ一覧!$D:$J,7,FALSE),
IF(COUNTIF(EV127,"*赤*"),
VLOOKUP("*赤*",商品マスタ一覧!$D:$J,7,FALSE),
VLOOKUP(EV127,商品マスタ一覧!$D:$J,7,FALSE)))*EY127),
"+"&amp;FA127-IF(COUNTIF(EV127,"*キャラ*"),
VLOOKUP("*キャラ*",商品マスタ一覧!$D:$J,7,FALSE),
IF(COUNTIF(EV127,"*赤*"),
VLOOKUP("*赤*",商品マスタ一覧!$D:$J,7,FALSE),
VLOOKUP(EV127,商品マスタ一覧!$D:$J,7,FALSE)))*EY127,
FA127-IF(COUNTIF(EV127,"*キャラ*"),
VLOOKUP("*キャラ*",商品マスタ一覧!$D:$J,7,FALSE),
IF(COUNTIF(EV127,"*赤*"),
VLOOKUP("*赤*",商品マスタ一覧!$D:$J,7,FALSE),
VLOOKUP(EV127,商品マスタ一覧!$D:$J,7,FALSE)))*EY127),"")</f>
        <v/>
      </c>
      <c r="FA127" s="107" t="str">
        <f t="array" aca="1" ref="FA127" ca="1">IF(OR(INDIRECT("まとめ札!H"&amp;EU125&amp;"")="",INDIRECT("まとめ札!H"&amp;EU125&amp;"")=0),"",INDIRECT("まとめ札!H"&amp;EU125&amp;""))</f>
        <v/>
      </c>
      <c r="FB127" s="107"/>
      <c r="FC127" s="107" t="str">
        <f ca="1">IF(EV127&lt;&gt;"",
IF(OR(COUNTIF(EV127,"*キャラ*"),COUNTIF(EV127,"*赤*")),24,
VLOOKUP(EV127,商品マスタ一覧!$D:$I,6,FALSE)),"")</f>
        <v/>
      </c>
      <c r="FD127" s="107" t="str">
        <f t="shared" ca="1" si="9"/>
        <v/>
      </c>
      <c r="FE127" s="107" t="str">
        <f t="shared" ca="1" si="10"/>
        <v/>
      </c>
      <c r="FF127" s="107"/>
      <c r="FG127" s="107" t="str">
        <f t="shared" ca="1" si="11"/>
        <v/>
      </c>
      <c r="FH127" s="107" t="str">
        <f t="shared" ca="1" si="12"/>
        <v/>
      </c>
    </row>
    <row r="128" spans="151:175" x14ac:dyDescent="0.45">
      <c r="EU128" s="107"/>
      <c r="EV128" s="108" t="str">
        <f t="array" aca="1" ref="EV128" ca="1">IF(OR(INDIRECT("まとめ札!I"&amp;EU125&amp;"")="",INDIRECT("まとめ札!I"&amp;EU125&amp;"")=0),"",INDIRECT("まとめ札!A"&amp;EU125&amp;"")&amp;"【4】")</f>
        <v/>
      </c>
      <c r="EW128" s="108"/>
      <c r="EX128" s="108" t="str">
        <f>""</f>
        <v/>
      </c>
      <c r="EY128" s="108" t="str">
        <f ca="1">IF(EV128&lt;&gt;"",
IF(IF(COUNTIF(EV128,"*キャラ*"),
VLOOKUP("*キャラ*",商品マスタ一覧!$D:$J,7,FALSE),
IF(COUNTIF(EV128,"*赤*"),
VLOOKUP("*赤*",商品マスタ一覧!$D:$J,7,FALSE),
VLOOKUP(EV128,商品マスタ一覧!$D:$J,7,FALSE)))=0,"",
IF(FA128&lt;&gt;"",
IF(ROUND(
FA128/IF(COUNTIF(EV128,"*キャラ*"),
VLOOKUP("*キャラ*",商品マスタ一覧!$D:$J,7,FALSE),
IF(COUNTIF(EV128,"*赤*"),
VLOOKUP("*赤*",商品マスタ一覧!$D:$J,7,FALSE),
VLOOKUP(EV128,商品マスタ一覧!$D:$J,7,FALSE))),0)&lt;=0,1,
ROUND(
FA128/IF(COUNTIF(EV128,"*キャラ*"),
VLOOKUP("*キャラ*",商品マスタ一覧!$D:$J,7,FALSE),
IF(COUNTIF(EV128,"*赤*"),
VLOOKUP("*赤*",商品マスタ一覧!$D:$J,7,FALSE),
VLOOKUP(EV128,商品マスタ一覧!$D:$J,7,FALSE))),0)),"")),"")</f>
        <v/>
      </c>
      <c r="EZ128" s="109" t="str">
        <f ca="1">IF(EY128&lt;&gt;"",IF(VALUE(FA128)&gt;VALUE(IF(COUNTIF(EV128,"*キャラ*"),
VLOOKUP("*キャラ*",商品マスタ一覧!$D:$J,7,FALSE),
IF(COUNTIF(EV128,"*赤*"),
VLOOKUP("*赤*",商品マスタ一覧!$D:$J,7,FALSE),
VLOOKUP(EV128,商品マスタ一覧!$D:$J,7,FALSE)))*EY128),
"+"&amp;FA128-IF(COUNTIF(EV128,"*キャラ*"),
VLOOKUP("*キャラ*",商品マスタ一覧!$D:$J,7,FALSE),
IF(COUNTIF(EV128,"*赤*"),
VLOOKUP("*赤*",商品マスタ一覧!$D:$J,7,FALSE),
VLOOKUP(EV128,商品マスタ一覧!$D:$J,7,FALSE)))*EY128,
FA128-IF(COUNTIF(EV128,"*キャラ*"),
VLOOKUP("*キャラ*",商品マスタ一覧!$D:$J,7,FALSE),
IF(COUNTIF(EV128,"*赤*"),
VLOOKUP("*赤*",商品マスタ一覧!$D:$J,7,FALSE),
VLOOKUP(EV128,商品マスタ一覧!$D:$J,7,FALSE)))*EY128),"")</f>
        <v/>
      </c>
      <c r="FA128" s="107" t="str">
        <f t="array" aca="1" ref="FA128" ca="1">IF(OR(INDIRECT("まとめ札!I"&amp;EU125&amp;"")="",INDIRECT("まとめ札!I"&amp;EU125&amp;"")=0),"",INDIRECT("まとめ札!I"&amp;EU125&amp;""))</f>
        <v/>
      </c>
      <c r="FB128" s="107"/>
      <c r="FC128" s="107" t="str">
        <f ca="1">IF(EV128&lt;&gt;"",
IF(OR(COUNTIF(EV128,"*キャラ*"),COUNTIF(EV128,"*赤*")),24,
VLOOKUP(EV128,商品マスタ一覧!$D:$I,6,FALSE)),"")</f>
        <v/>
      </c>
      <c r="FD128" s="107" t="str">
        <f t="shared" ca="1" si="9"/>
        <v/>
      </c>
      <c r="FE128" s="107" t="str">
        <f t="shared" ca="1" si="10"/>
        <v/>
      </c>
      <c r="FF128" s="107"/>
      <c r="FG128" s="107" t="str">
        <f t="shared" ca="1" si="11"/>
        <v/>
      </c>
      <c r="FH128" s="107" t="str">
        <f t="shared" ca="1" si="12"/>
        <v/>
      </c>
    </row>
    <row r="129" spans="151:164" x14ac:dyDescent="0.45">
      <c r="EU129" s="107">
        <v>3</v>
      </c>
      <c r="EV129" s="108" t="str">
        <f t="array" aca="1" ref="EV129" ca="1">IF(INDIRECT("まとめ札!A"&amp;EU129&amp;"")&lt;&gt;0,INDIRECT("まとめ札!A"&amp;EU129&amp;"")&amp;"【1】","")</f>
        <v>キャラ弁当 おにぎり【1】</v>
      </c>
      <c r="EW129" s="108"/>
      <c r="EX129" s="108" t="str">
        <f>""</f>
        <v/>
      </c>
      <c r="EY129" s="108" t="str">
        <f ca="1">IF(EV129&lt;&gt;"",
IF(IF(COUNTIF(EV129,"*キャラ*"),
VLOOKUP("*キャラ*",商品マスタ一覧!$D:$J,7,FALSE),
IF(COUNTIF(EV129,"*赤*"),
VLOOKUP("*赤*",商品マスタ一覧!$D:$J,7,FALSE),
VLOOKUP(EV129,商品マスタ一覧!$D:$J,7,FALSE)))=0,"",
IF(FA129&lt;&gt;"",
IF(ROUND(
FA129/IF(COUNTIF(EV129,"*キャラ*"),
VLOOKUP("*キャラ*",商品マスタ一覧!$D:$J,7,FALSE),
IF(COUNTIF(EV129,"*赤*"),
VLOOKUP("*赤*",商品マスタ一覧!$D:$J,7,FALSE),
VLOOKUP(EV129,商品マスタ一覧!$D:$J,7,FALSE))),0)&lt;=0,1,
ROUND(
FA129/IF(COUNTIF(EV129,"*キャラ*"),
VLOOKUP("*キャラ*",商品マスタ一覧!$D:$J,7,FALSE),
IF(COUNTIF(EV129,"*赤*"),
VLOOKUP("*赤*",商品マスタ一覧!$D:$J,7,FALSE),
VLOOKUP(EV129,商品マスタ一覧!$D:$J,7,FALSE))),0)),"")),"")</f>
        <v/>
      </c>
      <c r="EZ129" s="109" t="str">
        <f ca="1">IF(EY129&lt;&gt;"",IF(VALUE(FA129)&gt;VALUE(IF(COUNTIF(EV129,"*キャラ*"),
VLOOKUP("*キャラ*",商品マスタ一覧!$D:$J,7,FALSE),
IF(COUNTIF(EV129,"*赤*"),
VLOOKUP("*赤*",商品マスタ一覧!$D:$J,7,FALSE),
VLOOKUP(EV129,商品マスタ一覧!$D:$J,7,FALSE)))*EY129),
"+"&amp;FA129-IF(COUNTIF(EV129,"*キャラ*"),
VLOOKUP("*キャラ*",商品マスタ一覧!$D:$J,7,FALSE),
IF(COUNTIF(EV129,"*赤*"),
VLOOKUP("*赤*",商品マスタ一覧!$D:$J,7,FALSE),
VLOOKUP(EV129,商品マスタ一覧!$D:$J,7,FALSE)))*EY129,
FA129-IF(COUNTIF(EV129,"*キャラ*"),
VLOOKUP("*キャラ*",商品マスタ一覧!$D:$J,7,FALSE),
IF(COUNTIF(EV129,"*赤*"),
VLOOKUP("*赤*",商品マスタ一覧!$D:$J,7,FALSE),
VLOOKUP(EV129,商品マスタ一覧!$D:$J,7,FALSE)))*EY129),"")</f>
        <v/>
      </c>
      <c r="FA129" s="107" t="str">
        <f t="array" aca="1" ref="FA129" ca="1">IF(INDIRECT("まとめ札!F"&amp;EU129&amp;"")&lt;&gt;0,INDIRECT("まとめ札!F"&amp;EU129&amp;""),"")</f>
        <v/>
      </c>
      <c r="FB129" s="107"/>
      <c r="FC129" s="107">
        <f ca="1">IF(EV129&lt;&gt;"",
IF(OR(COUNTIF(EV129,"*キャラ*"),COUNTIF(EV129,"*赤*")),24,
VLOOKUP(EV129,商品マスタ一覧!$D:$I,6,FALSE)),"")</f>
        <v>24</v>
      </c>
      <c r="FD129" s="107" t="str">
        <f t="shared" ca="1" si="9"/>
        <v/>
      </c>
      <c r="FE129" s="107" t="str">
        <f t="shared" ca="1" si="10"/>
        <v/>
      </c>
      <c r="FF129" s="107"/>
      <c r="FG129" s="107" t="str">
        <f t="shared" ca="1" si="11"/>
        <v/>
      </c>
      <c r="FH129" s="107" t="str">
        <f t="shared" ca="1" si="12"/>
        <v/>
      </c>
    </row>
    <row r="130" spans="151:164" x14ac:dyDescent="0.45">
      <c r="EU130" s="107"/>
      <c r="EV130" s="108" t="str">
        <f t="array" aca="1" ref="EV130" ca="1">IF(OR(INDIRECT("まとめ札!G"&amp;EU129&amp;"")="",INDIRECT("まとめ札!G"&amp;EU129&amp;"")=0),"",INDIRECT("まとめ札!A"&amp;EU129&amp;"")&amp;"【2】")</f>
        <v/>
      </c>
      <c r="EW130" s="108"/>
      <c r="EX130" s="108" t="str">
        <f>""</f>
        <v/>
      </c>
      <c r="EY130" s="108" t="str">
        <f ca="1">IF(EV130&lt;&gt;"",
IF(IF(COUNTIF(EV130,"*キャラ*"),
VLOOKUP("*キャラ*",商品マスタ一覧!$D:$J,7,FALSE),
IF(COUNTIF(EV130,"*赤*"),
VLOOKUP("*赤*",商品マスタ一覧!$D:$J,7,FALSE),
VLOOKUP(EV130,商品マスタ一覧!$D:$J,7,FALSE)))=0,"",
IF(FA130&lt;&gt;"",
IF(ROUND(
FA130/IF(COUNTIF(EV130,"*キャラ*"),
VLOOKUP("*キャラ*",商品マスタ一覧!$D:$J,7,FALSE),
IF(COUNTIF(EV130,"*赤*"),
VLOOKUP("*赤*",商品マスタ一覧!$D:$J,7,FALSE),
VLOOKUP(EV130,商品マスタ一覧!$D:$J,7,FALSE))),0)&lt;=0,1,
ROUND(
FA130/IF(COUNTIF(EV130,"*キャラ*"),
VLOOKUP("*キャラ*",商品マスタ一覧!$D:$J,7,FALSE),
IF(COUNTIF(EV130,"*赤*"),
VLOOKUP("*赤*",商品マスタ一覧!$D:$J,7,FALSE),
VLOOKUP(EV130,商品マスタ一覧!$D:$J,7,FALSE))),0)),"")),"")</f>
        <v/>
      </c>
      <c r="EZ130" s="109" t="str">
        <f ca="1">IF(EY130&lt;&gt;"",IF(VALUE(FA130)&gt;VALUE(IF(COUNTIF(EV130,"*キャラ*"),
VLOOKUP("*キャラ*",商品マスタ一覧!$D:$J,7,FALSE),
IF(COUNTIF(EV130,"*赤*"),
VLOOKUP("*赤*",商品マスタ一覧!$D:$J,7,FALSE),
VLOOKUP(EV130,商品マスタ一覧!$D:$J,7,FALSE)))*EY130),
"+"&amp;FA130-IF(COUNTIF(EV130,"*キャラ*"),
VLOOKUP("*キャラ*",商品マスタ一覧!$D:$J,7,FALSE),
IF(COUNTIF(EV130,"*赤*"),
VLOOKUP("*赤*",商品マスタ一覧!$D:$J,7,FALSE),
VLOOKUP(EV130,商品マスタ一覧!$D:$J,7,FALSE)))*EY130,
FA130-IF(COUNTIF(EV130,"*キャラ*"),
VLOOKUP("*キャラ*",商品マスタ一覧!$D:$J,7,FALSE),
IF(COUNTIF(EV130,"*赤*"),
VLOOKUP("*赤*",商品マスタ一覧!$D:$J,7,FALSE),
VLOOKUP(EV130,商品マスタ一覧!$D:$J,7,FALSE)))*EY130),"")</f>
        <v/>
      </c>
      <c r="FA130" s="107" t="str">
        <f t="array" aca="1" ref="FA130" ca="1">IF(OR(INDIRECT("まとめ札!G"&amp;EU129&amp;"")="",INDIRECT("まとめ札!G"&amp;EU129&amp;"")=0),"",INDIRECT("まとめ札!G"&amp;EU129&amp;""))</f>
        <v/>
      </c>
      <c r="FB130" s="107"/>
      <c r="FC130" s="107" t="str">
        <f ca="1">IF(EV130&lt;&gt;"",
IF(OR(COUNTIF(EV130,"*キャラ*"),COUNTIF(EV130,"*赤*")),24,
VLOOKUP(EV130,商品マスタ一覧!$D:$I,6,FALSE)),"")</f>
        <v/>
      </c>
      <c r="FD130" s="107" t="str">
        <f t="shared" ca="1" si="9"/>
        <v/>
      </c>
      <c r="FE130" s="107" t="str">
        <f t="shared" ca="1" si="10"/>
        <v/>
      </c>
      <c r="FF130" s="107"/>
      <c r="FG130" s="107" t="str">
        <f t="shared" ca="1" si="11"/>
        <v/>
      </c>
      <c r="FH130" s="107" t="str">
        <f t="shared" ca="1" si="12"/>
        <v/>
      </c>
    </row>
    <row r="131" spans="151:164" x14ac:dyDescent="0.45">
      <c r="EU131" s="107"/>
      <c r="EV131" s="108" t="str">
        <f t="array" aca="1" ref="EV131" ca="1">IF(OR(INDIRECT("まとめ札!H"&amp;EU129&amp;"")="",INDIRECT("まとめ札!H"&amp;EU129&amp;"")=0),"",INDIRECT("まとめ札!A"&amp;EU129&amp;"")&amp;"【3】")</f>
        <v/>
      </c>
      <c r="EW131" s="108"/>
      <c r="EX131" s="108" t="str">
        <f>""</f>
        <v/>
      </c>
      <c r="EY131" s="108" t="str">
        <f ca="1">IF(EV131&lt;&gt;"",
IF(IF(COUNTIF(EV131,"*キャラ*"),
VLOOKUP("*キャラ*",商品マスタ一覧!$D:$J,7,FALSE),
IF(COUNTIF(EV131,"*赤*"),
VLOOKUP("*赤*",商品マスタ一覧!$D:$J,7,FALSE),
VLOOKUP(EV131,商品マスタ一覧!$D:$J,7,FALSE)))=0,"",
IF(FA131&lt;&gt;"",
IF(ROUND(
FA131/IF(COUNTIF(EV131,"*キャラ*"),
VLOOKUP("*キャラ*",商品マスタ一覧!$D:$J,7,FALSE),
IF(COUNTIF(EV131,"*赤*"),
VLOOKUP("*赤*",商品マスタ一覧!$D:$J,7,FALSE),
VLOOKUP(EV131,商品マスタ一覧!$D:$J,7,FALSE))),0)&lt;=0,1,
ROUND(
FA131/IF(COUNTIF(EV131,"*キャラ*"),
VLOOKUP("*キャラ*",商品マスタ一覧!$D:$J,7,FALSE),
IF(COUNTIF(EV131,"*赤*"),
VLOOKUP("*赤*",商品マスタ一覧!$D:$J,7,FALSE),
VLOOKUP(EV131,商品マスタ一覧!$D:$J,7,FALSE))),0)),"")),"")</f>
        <v/>
      </c>
      <c r="EZ131" s="109" t="str">
        <f ca="1">IF(EY131&lt;&gt;"",IF(VALUE(FA131)&gt;VALUE(IF(COUNTIF(EV131,"*キャラ*"),
VLOOKUP("*キャラ*",商品マスタ一覧!$D:$J,7,FALSE),
IF(COUNTIF(EV131,"*赤*"),
VLOOKUP("*赤*",商品マスタ一覧!$D:$J,7,FALSE),
VLOOKUP(EV131,商品マスタ一覧!$D:$J,7,FALSE)))*EY131),
"+"&amp;FA131-IF(COUNTIF(EV131,"*キャラ*"),
VLOOKUP("*キャラ*",商品マスタ一覧!$D:$J,7,FALSE),
IF(COUNTIF(EV131,"*赤*"),
VLOOKUP("*赤*",商品マスタ一覧!$D:$J,7,FALSE),
VLOOKUP(EV131,商品マスタ一覧!$D:$J,7,FALSE)))*EY131,
FA131-IF(COUNTIF(EV131,"*キャラ*"),
VLOOKUP("*キャラ*",商品マスタ一覧!$D:$J,7,FALSE),
IF(COUNTIF(EV131,"*赤*"),
VLOOKUP("*赤*",商品マスタ一覧!$D:$J,7,FALSE),
VLOOKUP(EV131,商品マスタ一覧!$D:$J,7,FALSE)))*EY131),"")</f>
        <v/>
      </c>
      <c r="FA131" s="107" t="str">
        <f t="array" aca="1" ref="FA131" ca="1">IF(OR(INDIRECT("まとめ札!H"&amp;EU129&amp;"")="",INDIRECT("まとめ札!H"&amp;EU129&amp;"")=0),"",INDIRECT("まとめ札!H"&amp;EU129&amp;""))</f>
        <v/>
      </c>
      <c r="FB131" s="107"/>
      <c r="FC131" s="107" t="str">
        <f ca="1">IF(EV131&lt;&gt;"",
IF(OR(COUNTIF(EV131,"*キャラ*"),COUNTIF(EV131,"*赤*")),24,
VLOOKUP(EV131,商品マスタ一覧!$D:$I,6,FALSE)),"")</f>
        <v/>
      </c>
      <c r="FD131" s="107" t="str">
        <f t="shared" ca="1" si="9"/>
        <v/>
      </c>
      <c r="FE131" s="107" t="str">
        <f t="shared" ca="1" si="10"/>
        <v/>
      </c>
      <c r="FF131" s="107"/>
      <c r="FG131" s="107" t="str">
        <f t="shared" ca="1" si="11"/>
        <v/>
      </c>
      <c r="FH131" s="107" t="str">
        <f t="shared" ca="1" si="12"/>
        <v/>
      </c>
    </row>
    <row r="132" spans="151:164" x14ac:dyDescent="0.45">
      <c r="EU132" s="107"/>
      <c r="EV132" s="108" t="str">
        <f t="array" aca="1" ref="EV132" ca="1">IF(OR(INDIRECT("まとめ札!I"&amp;EU129&amp;"")="",INDIRECT("まとめ札!I"&amp;EU129&amp;"")=0),"",INDIRECT("まとめ札!A"&amp;EU129&amp;"")&amp;"【4】")</f>
        <v/>
      </c>
      <c r="EW132" s="108"/>
      <c r="EX132" s="108" t="str">
        <f>""</f>
        <v/>
      </c>
      <c r="EY132" s="108" t="str">
        <f ca="1">IF(EV132&lt;&gt;"",
IF(IF(COUNTIF(EV132,"*キャラ*"),
VLOOKUP("*キャラ*",商品マスタ一覧!$D:$J,7,FALSE),
IF(COUNTIF(EV132,"*赤*"),
VLOOKUP("*赤*",商品マスタ一覧!$D:$J,7,FALSE),
VLOOKUP(EV132,商品マスタ一覧!$D:$J,7,FALSE)))=0,"",
IF(FA132&lt;&gt;"",
IF(ROUND(
FA132/IF(COUNTIF(EV132,"*キャラ*"),
VLOOKUP("*キャラ*",商品マスタ一覧!$D:$J,7,FALSE),
IF(COUNTIF(EV132,"*赤*"),
VLOOKUP("*赤*",商品マスタ一覧!$D:$J,7,FALSE),
VLOOKUP(EV132,商品マスタ一覧!$D:$J,7,FALSE))),0)&lt;=0,1,
ROUND(
FA132/IF(COUNTIF(EV132,"*キャラ*"),
VLOOKUP("*キャラ*",商品マスタ一覧!$D:$J,7,FALSE),
IF(COUNTIF(EV132,"*赤*"),
VLOOKUP("*赤*",商品マスタ一覧!$D:$J,7,FALSE),
VLOOKUP(EV132,商品マスタ一覧!$D:$J,7,FALSE))),0)),"")),"")</f>
        <v/>
      </c>
      <c r="EZ132" s="109" t="str">
        <f ca="1">IF(EY132&lt;&gt;"",IF(VALUE(FA132)&gt;VALUE(IF(COUNTIF(EV132,"*キャラ*"),
VLOOKUP("*キャラ*",商品マスタ一覧!$D:$J,7,FALSE),
IF(COUNTIF(EV132,"*赤*"),
VLOOKUP("*赤*",商品マスタ一覧!$D:$J,7,FALSE),
VLOOKUP(EV132,商品マスタ一覧!$D:$J,7,FALSE)))*EY132),
"+"&amp;FA132-IF(COUNTIF(EV132,"*キャラ*"),
VLOOKUP("*キャラ*",商品マスタ一覧!$D:$J,7,FALSE),
IF(COUNTIF(EV132,"*赤*"),
VLOOKUP("*赤*",商品マスタ一覧!$D:$J,7,FALSE),
VLOOKUP(EV132,商品マスタ一覧!$D:$J,7,FALSE)))*EY132,
FA132-IF(COUNTIF(EV132,"*キャラ*"),
VLOOKUP("*キャラ*",商品マスタ一覧!$D:$J,7,FALSE),
IF(COUNTIF(EV132,"*赤*"),
VLOOKUP("*赤*",商品マスタ一覧!$D:$J,7,FALSE),
VLOOKUP(EV132,商品マスタ一覧!$D:$J,7,FALSE)))*EY132),"")</f>
        <v/>
      </c>
      <c r="FA132" s="107" t="str">
        <f t="array" aca="1" ref="FA132" ca="1">IF(OR(INDIRECT("まとめ札!I"&amp;EU129&amp;"")="",INDIRECT("まとめ札!I"&amp;EU129&amp;"")=0),"",INDIRECT("まとめ札!I"&amp;EU129&amp;""))</f>
        <v/>
      </c>
      <c r="FB132" s="107"/>
      <c r="FC132" s="107" t="str">
        <f ca="1">IF(EV132&lt;&gt;"",
IF(OR(COUNTIF(EV132,"*キャラ*"),COUNTIF(EV132,"*赤*")),24,
VLOOKUP(EV132,商品マスタ一覧!$D:$I,6,FALSE)),"")</f>
        <v/>
      </c>
      <c r="FD132" s="107" t="str">
        <f t="shared" ca="1" si="9"/>
        <v/>
      </c>
      <c r="FE132" s="107" t="str">
        <f t="shared" ca="1" si="10"/>
        <v/>
      </c>
      <c r="FF132" s="107"/>
      <c r="FG132" s="107" t="str">
        <f t="shared" ca="1" si="11"/>
        <v/>
      </c>
      <c r="FH132" s="107" t="str">
        <f t="shared" ca="1" si="12"/>
        <v/>
      </c>
    </row>
    <row r="133" spans="151:164" x14ac:dyDescent="0.45">
      <c r="EU133" s="107">
        <v>4</v>
      </c>
      <c r="EV133" s="108" t="str">
        <f t="array" aca="1" ref="EV133" ca="1">IF(INDIRECT("まとめ札!A"&amp;EU133&amp;"")&lt;&gt;0,INDIRECT("まとめ札!A"&amp;EU133&amp;"")&amp;"【1】","")</f>
        <v>キャラ弁当 飯なし【1】</v>
      </c>
      <c r="EW133" s="108"/>
      <c r="EX133" s="108" t="str">
        <f>""</f>
        <v/>
      </c>
      <c r="EY133" s="108" t="str">
        <f ca="1">IF(EV133&lt;&gt;"",
IF(IF(COUNTIF(EV133,"*キャラ*"),
VLOOKUP("*キャラ*",商品マスタ一覧!$D:$J,7,FALSE),
IF(COUNTIF(EV133,"*赤*"),
VLOOKUP("*赤*",商品マスタ一覧!$D:$J,7,FALSE),
VLOOKUP(EV133,商品マスタ一覧!$D:$J,7,FALSE)))=0,"",
IF(FA133&lt;&gt;"",
IF(ROUND(
FA133/IF(COUNTIF(EV133,"*キャラ*"),
VLOOKUP("*キャラ*",商品マスタ一覧!$D:$J,7,FALSE),
IF(COUNTIF(EV133,"*赤*"),
VLOOKUP("*赤*",商品マスタ一覧!$D:$J,7,FALSE),
VLOOKUP(EV133,商品マスタ一覧!$D:$J,7,FALSE))),0)&lt;=0,1,
ROUND(
FA133/IF(COUNTIF(EV133,"*キャラ*"),
VLOOKUP("*キャラ*",商品マスタ一覧!$D:$J,7,FALSE),
IF(COUNTIF(EV133,"*赤*"),
VLOOKUP("*赤*",商品マスタ一覧!$D:$J,7,FALSE),
VLOOKUP(EV133,商品マスタ一覧!$D:$J,7,FALSE))),0)),"")),"")</f>
        <v/>
      </c>
      <c r="EZ133" s="109" t="str">
        <f ca="1">IF(EY133&lt;&gt;"",IF(VALUE(FA133)&gt;VALUE(IF(COUNTIF(EV133,"*キャラ*"),
VLOOKUP("*キャラ*",商品マスタ一覧!$D:$J,7,FALSE),
IF(COUNTIF(EV133,"*赤*"),
VLOOKUP("*赤*",商品マスタ一覧!$D:$J,7,FALSE),
VLOOKUP(EV133,商品マスタ一覧!$D:$J,7,FALSE)))*EY133),
"+"&amp;FA133-IF(COUNTIF(EV133,"*キャラ*"),
VLOOKUP("*キャラ*",商品マスタ一覧!$D:$J,7,FALSE),
IF(COUNTIF(EV133,"*赤*"),
VLOOKUP("*赤*",商品マスタ一覧!$D:$J,7,FALSE),
VLOOKUP(EV133,商品マスタ一覧!$D:$J,7,FALSE)))*EY133,
FA133-IF(COUNTIF(EV133,"*キャラ*"),
VLOOKUP("*キャラ*",商品マスタ一覧!$D:$J,7,FALSE),
IF(COUNTIF(EV133,"*赤*"),
VLOOKUP("*赤*",商品マスタ一覧!$D:$J,7,FALSE),
VLOOKUP(EV133,商品マスタ一覧!$D:$J,7,FALSE)))*EY133),"")</f>
        <v/>
      </c>
      <c r="FA133" s="107" t="str">
        <f t="array" aca="1" ref="FA133" ca="1">IF(INDIRECT("まとめ札!F"&amp;EU133&amp;"")&lt;&gt;0,INDIRECT("まとめ札!F"&amp;EU133&amp;""),"")</f>
        <v/>
      </c>
      <c r="FB133" s="107"/>
      <c r="FC133" s="107">
        <f ca="1">IF(EV133&lt;&gt;"",
IF(OR(COUNTIF(EV133,"*キャラ*"),COUNTIF(EV133,"*赤*")),24,
VLOOKUP(EV133,商品マスタ一覧!$D:$I,6,FALSE)),"")</f>
        <v>24</v>
      </c>
      <c r="FD133" s="107" t="str">
        <f t="shared" ca="1" si="9"/>
        <v/>
      </c>
      <c r="FE133" s="107" t="str">
        <f t="shared" ca="1" si="10"/>
        <v/>
      </c>
      <c r="FF133" s="107"/>
      <c r="FG133" s="107" t="str">
        <f t="shared" ca="1" si="11"/>
        <v/>
      </c>
      <c r="FH133" s="107" t="str">
        <f t="shared" ca="1" si="12"/>
        <v/>
      </c>
    </row>
    <row r="134" spans="151:164" x14ac:dyDescent="0.45">
      <c r="EU134" s="107"/>
      <c r="EV134" s="108" t="str">
        <f t="array" aca="1" ref="EV134" ca="1">IF(OR(INDIRECT("まとめ札!G"&amp;EU133&amp;"")="",INDIRECT("まとめ札!G"&amp;EU133&amp;"")=0),"",INDIRECT("まとめ札!A"&amp;EU133&amp;"")&amp;"【2】")</f>
        <v/>
      </c>
      <c r="EW134" s="108"/>
      <c r="EX134" s="108" t="str">
        <f>""</f>
        <v/>
      </c>
      <c r="EY134" s="108" t="str">
        <f ca="1">IF(EV134&lt;&gt;"",
IF(IF(COUNTIF(EV134,"*キャラ*"),
VLOOKUP("*キャラ*",商品マスタ一覧!$D:$J,7,FALSE),
IF(COUNTIF(EV134,"*赤*"),
VLOOKUP("*赤*",商品マスタ一覧!$D:$J,7,FALSE),
VLOOKUP(EV134,商品マスタ一覧!$D:$J,7,FALSE)))=0,"",
IF(FA134&lt;&gt;"",
IF(ROUND(
FA134/IF(COUNTIF(EV134,"*キャラ*"),
VLOOKUP("*キャラ*",商品マスタ一覧!$D:$J,7,FALSE),
IF(COUNTIF(EV134,"*赤*"),
VLOOKUP("*赤*",商品マスタ一覧!$D:$J,7,FALSE),
VLOOKUP(EV134,商品マスタ一覧!$D:$J,7,FALSE))),0)&lt;=0,1,
ROUND(
FA134/IF(COUNTIF(EV134,"*キャラ*"),
VLOOKUP("*キャラ*",商品マスタ一覧!$D:$J,7,FALSE),
IF(COUNTIF(EV134,"*赤*"),
VLOOKUP("*赤*",商品マスタ一覧!$D:$J,7,FALSE),
VLOOKUP(EV134,商品マスタ一覧!$D:$J,7,FALSE))),0)),"")),"")</f>
        <v/>
      </c>
      <c r="EZ134" s="109" t="str">
        <f ca="1">IF(EY134&lt;&gt;"",IF(VALUE(FA134)&gt;VALUE(IF(COUNTIF(EV134,"*キャラ*"),
VLOOKUP("*キャラ*",商品マスタ一覧!$D:$J,7,FALSE),
IF(COUNTIF(EV134,"*赤*"),
VLOOKUP("*赤*",商品マスタ一覧!$D:$J,7,FALSE),
VLOOKUP(EV134,商品マスタ一覧!$D:$J,7,FALSE)))*EY134),
"+"&amp;FA134-IF(COUNTIF(EV134,"*キャラ*"),
VLOOKUP("*キャラ*",商品マスタ一覧!$D:$J,7,FALSE),
IF(COUNTIF(EV134,"*赤*"),
VLOOKUP("*赤*",商品マスタ一覧!$D:$J,7,FALSE),
VLOOKUP(EV134,商品マスタ一覧!$D:$J,7,FALSE)))*EY134,
FA134-IF(COUNTIF(EV134,"*キャラ*"),
VLOOKUP("*キャラ*",商品マスタ一覧!$D:$J,7,FALSE),
IF(COUNTIF(EV134,"*赤*"),
VLOOKUP("*赤*",商品マスタ一覧!$D:$J,7,FALSE),
VLOOKUP(EV134,商品マスタ一覧!$D:$J,7,FALSE)))*EY134),"")</f>
        <v/>
      </c>
      <c r="FA134" s="107" t="str">
        <f t="array" aca="1" ref="FA134" ca="1">IF(OR(INDIRECT("まとめ札!G"&amp;EU133&amp;"")="",INDIRECT("まとめ札!G"&amp;EU133&amp;"")=0),"",INDIRECT("まとめ札!G"&amp;EU133&amp;""))</f>
        <v/>
      </c>
      <c r="FB134" s="107"/>
      <c r="FC134" s="107" t="str">
        <f ca="1">IF(EV134&lt;&gt;"",
IF(OR(COUNTIF(EV134,"*キャラ*"),COUNTIF(EV134,"*赤*")),24,
VLOOKUP(EV134,商品マスタ一覧!$D:$I,6,FALSE)),"")</f>
        <v/>
      </c>
      <c r="FD134" s="107" t="str">
        <f t="shared" ca="1" si="9"/>
        <v/>
      </c>
      <c r="FE134" s="107" t="str">
        <f t="shared" ca="1" si="10"/>
        <v/>
      </c>
      <c r="FF134" s="107"/>
      <c r="FG134" s="107" t="str">
        <f t="shared" ca="1" si="11"/>
        <v/>
      </c>
      <c r="FH134" s="107" t="str">
        <f t="shared" ca="1" si="12"/>
        <v/>
      </c>
    </row>
    <row r="135" spans="151:164" x14ac:dyDescent="0.45">
      <c r="EU135" s="107"/>
      <c r="EV135" s="108" t="str">
        <f t="array" aca="1" ref="EV135" ca="1">IF(OR(INDIRECT("まとめ札!H"&amp;EU133&amp;"")="",INDIRECT("まとめ札!H"&amp;EU133&amp;"")=0),"",INDIRECT("まとめ札!A"&amp;EU133&amp;"")&amp;"【3】")</f>
        <v/>
      </c>
      <c r="EW135" s="108"/>
      <c r="EX135" s="108" t="str">
        <f>""</f>
        <v/>
      </c>
      <c r="EY135" s="108" t="str">
        <f ca="1">IF(EV135&lt;&gt;"",
IF(IF(COUNTIF(EV135,"*キャラ*"),
VLOOKUP("*キャラ*",商品マスタ一覧!$D:$J,7,FALSE),
IF(COUNTIF(EV135,"*赤*"),
VLOOKUP("*赤*",商品マスタ一覧!$D:$J,7,FALSE),
VLOOKUP(EV135,商品マスタ一覧!$D:$J,7,FALSE)))=0,"",
IF(FA135&lt;&gt;"",
IF(ROUND(
FA135/IF(COUNTIF(EV135,"*キャラ*"),
VLOOKUP("*キャラ*",商品マスタ一覧!$D:$J,7,FALSE),
IF(COUNTIF(EV135,"*赤*"),
VLOOKUP("*赤*",商品マスタ一覧!$D:$J,7,FALSE),
VLOOKUP(EV135,商品マスタ一覧!$D:$J,7,FALSE))),0)&lt;=0,1,
ROUND(
FA135/IF(COUNTIF(EV135,"*キャラ*"),
VLOOKUP("*キャラ*",商品マスタ一覧!$D:$J,7,FALSE),
IF(COUNTIF(EV135,"*赤*"),
VLOOKUP("*赤*",商品マスタ一覧!$D:$J,7,FALSE),
VLOOKUP(EV135,商品マスタ一覧!$D:$J,7,FALSE))),0)),"")),"")</f>
        <v/>
      </c>
      <c r="EZ135" s="109" t="str">
        <f ca="1">IF(EY135&lt;&gt;"",IF(VALUE(FA135)&gt;VALUE(IF(COUNTIF(EV135,"*キャラ*"),
VLOOKUP("*キャラ*",商品マスタ一覧!$D:$J,7,FALSE),
IF(COUNTIF(EV135,"*赤*"),
VLOOKUP("*赤*",商品マスタ一覧!$D:$J,7,FALSE),
VLOOKUP(EV135,商品マスタ一覧!$D:$J,7,FALSE)))*EY135),
"+"&amp;FA135-IF(COUNTIF(EV135,"*キャラ*"),
VLOOKUP("*キャラ*",商品マスタ一覧!$D:$J,7,FALSE),
IF(COUNTIF(EV135,"*赤*"),
VLOOKUP("*赤*",商品マスタ一覧!$D:$J,7,FALSE),
VLOOKUP(EV135,商品マスタ一覧!$D:$J,7,FALSE)))*EY135,
FA135-IF(COUNTIF(EV135,"*キャラ*"),
VLOOKUP("*キャラ*",商品マスタ一覧!$D:$J,7,FALSE),
IF(COUNTIF(EV135,"*赤*"),
VLOOKUP("*赤*",商品マスタ一覧!$D:$J,7,FALSE),
VLOOKUP(EV135,商品マスタ一覧!$D:$J,7,FALSE)))*EY135),"")</f>
        <v/>
      </c>
      <c r="FA135" s="107" t="str">
        <f t="array" aca="1" ref="FA135" ca="1">IF(OR(INDIRECT("まとめ札!H"&amp;EU133&amp;"")="",INDIRECT("まとめ札!H"&amp;EU133&amp;"")=0),"",INDIRECT("まとめ札!H"&amp;EU133&amp;""))</f>
        <v/>
      </c>
      <c r="FB135" s="107"/>
      <c r="FC135" s="107" t="str">
        <f ca="1">IF(EV135&lt;&gt;"",
IF(OR(COUNTIF(EV135,"*キャラ*"),COUNTIF(EV135,"*赤*")),24,
VLOOKUP(EV135,商品マスタ一覧!$D:$I,6,FALSE)),"")</f>
        <v/>
      </c>
      <c r="FD135" s="107" t="str">
        <f t="shared" ca="1" si="9"/>
        <v/>
      </c>
      <c r="FE135" s="107" t="str">
        <f t="shared" ca="1" si="10"/>
        <v/>
      </c>
      <c r="FF135" s="107"/>
      <c r="FG135" s="107" t="str">
        <f t="shared" ca="1" si="11"/>
        <v/>
      </c>
      <c r="FH135" s="107" t="str">
        <f t="shared" ca="1" si="12"/>
        <v/>
      </c>
    </row>
    <row r="136" spans="151:164" x14ac:dyDescent="0.45">
      <c r="EU136" s="107"/>
      <c r="EV136" s="108" t="str">
        <f t="array" aca="1" ref="EV136" ca="1">IF(OR(INDIRECT("まとめ札!I"&amp;EU133&amp;"")="",INDIRECT("まとめ札!I"&amp;EU133&amp;"")=0),"",INDIRECT("まとめ札!A"&amp;EU133&amp;"")&amp;"【4】")</f>
        <v/>
      </c>
      <c r="EW136" s="108"/>
      <c r="EX136" s="108" t="str">
        <f>""</f>
        <v/>
      </c>
      <c r="EY136" s="108" t="str">
        <f ca="1">IF(EV136&lt;&gt;"",
IF(IF(COUNTIF(EV136,"*キャラ*"),
VLOOKUP("*キャラ*",商品マスタ一覧!$D:$J,7,FALSE),
IF(COUNTIF(EV136,"*赤*"),
VLOOKUP("*赤*",商品マスタ一覧!$D:$J,7,FALSE),
VLOOKUP(EV136,商品マスタ一覧!$D:$J,7,FALSE)))=0,"",
IF(FA136&lt;&gt;"",
IF(ROUND(
FA136/IF(COUNTIF(EV136,"*キャラ*"),
VLOOKUP("*キャラ*",商品マスタ一覧!$D:$J,7,FALSE),
IF(COUNTIF(EV136,"*赤*"),
VLOOKUP("*赤*",商品マスタ一覧!$D:$J,7,FALSE),
VLOOKUP(EV136,商品マスタ一覧!$D:$J,7,FALSE))),0)&lt;=0,1,
ROUND(
FA136/IF(COUNTIF(EV136,"*キャラ*"),
VLOOKUP("*キャラ*",商品マスタ一覧!$D:$J,7,FALSE),
IF(COUNTIF(EV136,"*赤*"),
VLOOKUP("*赤*",商品マスタ一覧!$D:$J,7,FALSE),
VLOOKUP(EV136,商品マスタ一覧!$D:$J,7,FALSE))),0)),"")),"")</f>
        <v/>
      </c>
      <c r="EZ136" s="109" t="str">
        <f ca="1">IF(EY136&lt;&gt;"",IF(VALUE(FA136)&gt;VALUE(IF(COUNTIF(EV136,"*キャラ*"),
VLOOKUP("*キャラ*",商品マスタ一覧!$D:$J,7,FALSE),
IF(COUNTIF(EV136,"*赤*"),
VLOOKUP("*赤*",商品マスタ一覧!$D:$J,7,FALSE),
VLOOKUP(EV136,商品マスタ一覧!$D:$J,7,FALSE)))*EY136),
"+"&amp;FA136-IF(COUNTIF(EV136,"*キャラ*"),
VLOOKUP("*キャラ*",商品マスタ一覧!$D:$J,7,FALSE),
IF(COUNTIF(EV136,"*赤*"),
VLOOKUP("*赤*",商品マスタ一覧!$D:$J,7,FALSE),
VLOOKUP(EV136,商品マスタ一覧!$D:$J,7,FALSE)))*EY136,
FA136-IF(COUNTIF(EV136,"*キャラ*"),
VLOOKUP("*キャラ*",商品マスタ一覧!$D:$J,7,FALSE),
IF(COUNTIF(EV136,"*赤*"),
VLOOKUP("*赤*",商品マスタ一覧!$D:$J,7,FALSE),
VLOOKUP(EV136,商品マスタ一覧!$D:$J,7,FALSE)))*EY136),"")</f>
        <v/>
      </c>
      <c r="FA136" s="107" t="str">
        <f t="array" aca="1" ref="FA136" ca="1">IF(OR(INDIRECT("まとめ札!I"&amp;EU133&amp;"")="",INDIRECT("まとめ札!I"&amp;EU133&amp;"")=0),"",INDIRECT("まとめ札!I"&amp;EU133&amp;""))</f>
        <v/>
      </c>
      <c r="FB136" s="107"/>
      <c r="FC136" s="107" t="str">
        <f ca="1">IF(EV136&lt;&gt;"",
IF(OR(COUNTIF(EV136,"*キャラ*"),COUNTIF(EV136,"*赤*")),24,
VLOOKUP(EV136,商品マスタ一覧!$D:$I,6,FALSE)),"")</f>
        <v/>
      </c>
      <c r="FD136" s="107" t="str">
        <f t="shared" ca="1" si="9"/>
        <v/>
      </c>
      <c r="FE136" s="107" t="str">
        <f t="shared" ca="1" si="10"/>
        <v/>
      </c>
      <c r="FF136" s="107"/>
      <c r="FG136" s="107" t="str">
        <f t="shared" ca="1" si="11"/>
        <v/>
      </c>
      <c r="FH136" s="107" t="str">
        <f t="shared" ca="1" si="12"/>
        <v/>
      </c>
    </row>
    <row r="137" spans="151:164" x14ac:dyDescent="0.45">
      <c r="EU137" s="107">
        <v>5</v>
      </c>
      <c r="EV137" s="108" t="str">
        <f t="array" aca="1" ref="EV137" ca="1">IF(INDIRECT("まとめ札!A"&amp;EU137&amp;"")&lt;&gt;0,INDIRECT("まとめ札!A"&amp;EU137&amp;"")&amp;"【1】","")</f>
        <v>赤 飯あり【1】</v>
      </c>
      <c r="EW137" s="108"/>
      <c r="EX137" s="108" t="str">
        <f>""</f>
        <v/>
      </c>
      <c r="EY137" s="108" t="str">
        <f ca="1">IF(EV137&lt;&gt;"",
IF(IF(COUNTIF(EV137,"*キャラ*"),
VLOOKUP("*キャラ*",商品マスタ一覧!$D:$J,7,FALSE),
IF(COUNTIF(EV137,"*赤*"),
VLOOKUP("*赤*",商品マスタ一覧!$D:$J,7,FALSE),
VLOOKUP(EV137,商品マスタ一覧!$D:$J,7,FALSE)))=0,"",
IF(FA137&lt;&gt;"",
IF(ROUND(
FA137/IF(COUNTIF(EV137,"*キャラ*"),
VLOOKUP("*キャラ*",商品マスタ一覧!$D:$J,7,FALSE),
IF(COUNTIF(EV137,"*赤*"),
VLOOKUP("*赤*",商品マスタ一覧!$D:$J,7,FALSE),
VLOOKUP(EV137,商品マスタ一覧!$D:$J,7,FALSE))),0)&lt;=0,1,
ROUND(
FA137/IF(COUNTIF(EV137,"*キャラ*"),
VLOOKUP("*キャラ*",商品マスタ一覧!$D:$J,7,FALSE),
IF(COUNTIF(EV137,"*赤*"),
VLOOKUP("*赤*",商品マスタ一覧!$D:$J,7,FALSE),
VLOOKUP(EV137,商品マスタ一覧!$D:$J,7,FALSE))),0)),"")),"")</f>
        <v/>
      </c>
      <c r="EZ137" s="109" t="str">
        <f ca="1">IF(EY137&lt;&gt;"",IF(VALUE(FA137)&gt;VALUE(IF(COUNTIF(EV137,"*キャラ*"),
VLOOKUP("*キャラ*",商品マスタ一覧!$D:$J,7,FALSE),
IF(COUNTIF(EV137,"*赤*"),
VLOOKUP("*赤*",商品マスタ一覧!$D:$J,7,FALSE),
VLOOKUP(EV137,商品マスタ一覧!$D:$J,7,FALSE)))*EY137),
"+"&amp;FA137-IF(COUNTIF(EV137,"*キャラ*"),
VLOOKUP("*キャラ*",商品マスタ一覧!$D:$J,7,FALSE),
IF(COUNTIF(EV137,"*赤*"),
VLOOKUP("*赤*",商品マスタ一覧!$D:$J,7,FALSE),
VLOOKUP(EV137,商品マスタ一覧!$D:$J,7,FALSE)))*EY137,
FA137-IF(COUNTIF(EV137,"*キャラ*"),
VLOOKUP("*キャラ*",商品マスタ一覧!$D:$J,7,FALSE),
IF(COUNTIF(EV137,"*赤*"),
VLOOKUP("*赤*",商品マスタ一覧!$D:$J,7,FALSE),
VLOOKUP(EV137,商品マスタ一覧!$D:$J,7,FALSE)))*EY137),"")</f>
        <v/>
      </c>
      <c r="FA137" s="107" t="str">
        <f t="array" aca="1" ref="FA137" ca="1">IF(INDIRECT("まとめ札!F"&amp;EU137&amp;"")&lt;&gt;0,INDIRECT("まとめ札!F"&amp;EU137&amp;""),"")</f>
        <v/>
      </c>
      <c r="FB137" s="107"/>
      <c r="FC137" s="107">
        <f ca="1">IF(EV137&lt;&gt;"",
IF(OR(COUNTIF(EV137,"*キャラ*"),COUNTIF(EV137,"*赤*")),24,
VLOOKUP(EV137,商品マスタ一覧!$D:$I,6,FALSE)),"")</f>
        <v>24</v>
      </c>
      <c r="FD137" s="107" t="str">
        <f t="shared" ca="1" si="9"/>
        <v/>
      </c>
      <c r="FE137" s="107" t="str">
        <f t="shared" ca="1" si="10"/>
        <v/>
      </c>
      <c r="FF137" s="107"/>
      <c r="FG137" s="107" t="str">
        <f t="shared" ca="1" si="11"/>
        <v/>
      </c>
      <c r="FH137" s="107" t="str">
        <f t="shared" ca="1" si="12"/>
        <v/>
      </c>
    </row>
    <row r="138" spans="151:164" x14ac:dyDescent="0.45">
      <c r="EU138" s="107"/>
      <c r="EV138" s="108" t="str">
        <f t="array" aca="1" ref="EV138" ca="1">IF(OR(INDIRECT("まとめ札!G"&amp;EU137&amp;"")="",INDIRECT("まとめ札!G"&amp;EU137&amp;"")=0),"",INDIRECT("まとめ札!A"&amp;EU137&amp;"")&amp;"【2】")</f>
        <v/>
      </c>
      <c r="EW138" s="108"/>
      <c r="EX138" s="108" t="str">
        <f>""</f>
        <v/>
      </c>
      <c r="EY138" s="108" t="str">
        <f ca="1">IF(EV138&lt;&gt;"",
IF(IF(COUNTIF(EV138,"*キャラ*"),
VLOOKUP("*キャラ*",商品マスタ一覧!$D:$J,7,FALSE),
IF(COUNTIF(EV138,"*赤*"),
VLOOKUP("*赤*",商品マスタ一覧!$D:$J,7,FALSE),
VLOOKUP(EV138,商品マスタ一覧!$D:$J,7,FALSE)))=0,"",
IF(FA138&lt;&gt;"",
IF(ROUND(
FA138/IF(COUNTIF(EV138,"*キャラ*"),
VLOOKUP("*キャラ*",商品マスタ一覧!$D:$J,7,FALSE),
IF(COUNTIF(EV138,"*赤*"),
VLOOKUP("*赤*",商品マスタ一覧!$D:$J,7,FALSE),
VLOOKUP(EV138,商品マスタ一覧!$D:$J,7,FALSE))),0)&lt;=0,1,
ROUND(
FA138/IF(COUNTIF(EV138,"*キャラ*"),
VLOOKUP("*キャラ*",商品マスタ一覧!$D:$J,7,FALSE),
IF(COUNTIF(EV138,"*赤*"),
VLOOKUP("*赤*",商品マスタ一覧!$D:$J,7,FALSE),
VLOOKUP(EV138,商品マスタ一覧!$D:$J,7,FALSE))),0)),"")),"")</f>
        <v/>
      </c>
      <c r="EZ138" s="109" t="str">
        <f ca="1">IF(EY138&lt;&gt;"",IF(VALUE(FA138)&gt;VALUE(IF(COUNTIF(EV138,"*キャラ*"),
VLOOKUP("*キャラ*",商品マスタ一覧!$D:$J,7,FALSE),
IF(COUNTIF(EV138,"*赤*"),
VLOOKUP("*赤*",商品マスタ一覧!$D:$J,7,FALSE),
VLOOKUP(EV138,商品マスタ一覧!$D:$J,7,FALSE)))*EY138),
"+"&amp;FA138-IF(COUNTIF(EV138,"*キャラ*"),
VLOOKUP("*キャラ*",商品マスタ一覧!$D:$J,7,FALSE),
IF(COUNTIF(EV138,"*赤*"),
VLOOKUP("*赤*",商品マスタ一覧!$D:$J,7,FALSE),
VLOOKUP(EV138,商品マスタ一覧!$D:$J,7,FALSE)))*EY138,
FA138-IF(COUNTIF(EV138,"*キャラ*"),
VLOOKUP("*キャラ*",商品マスタ一覧!$D:$J,7,FALSE),
IF(COUNTIF(EV138,"*赤*"),
VLOOKUP("*赤*",商品マスタ一覧!$D:$J,7,FALSE),
VLOOKUP(EV138,商品マスタ一覧!$D:$J,7,FALSE)))*EY138),"")</f>
        <v/>
      </c>
      <c r="FA138" s="107" t="str">
        <f t="array" aca="1" ref="FA138" ca="1">IF(OR(INDIRECT("まとめ札!G"&amp;EU137&amp;"")="",INDIRECT("まとめ札!G"&amp;EU137&amp;"")=0),"",INDIRECT("まとめ札!G"&amp;EU137&amp;""))</f>
        <v/>
      </c>
      <c r="FB138" s="107"/>
      <c r="FC138" s="107" t="str">
        <f ca="1">IF(EV138&lt;&gt;"",
IF(OR(COUNTIF(EV138,"*キャラ*"),COUNTIF(EV138,"*赤*")),24,
VLOOKUP(EV138,商品マスタ一覧!$D:$I,6,FALSE)),"")</f>
        <v/>
      </c>
      <c r="FD138" s="107" t="str">
        <f t="shared" ca="1" si="9"/>
        <v/>
      </c>
      <c r="FE138" s="107" t="str">
        <f t="shared" ca="1" si="10"/>
        <v/>
      </c>
      <c r="FF138" s="107"/>
      <c r="FG138" s="107" t="str">
        <f t="shared" ca="1" si="11"/>
        <v/>
      </c>
      <c r="FH138" s="107" t="str">
        <f t="shared" ca="1" si="12"/>
        <v/>
      </c>
    </row>
    <row r="139" spans="151:164" x14ac:dyDescent="0.45">
      <c r="EU139" s="107"/>
      <c r="EV139" s="108" t="str">
        <f t="array" aca="1" ref="EV139" ca="1">IF(OR(INDIRECT("まとめ札!H"&amp;EU137&amp;"")="",INDIRECT("まとめ札!H"&amp;EU137&amp;"")=0),"",INDIRECT("まとめ札!A"&amp;EU137&amp;"")&amp;"【3】")</f>
        <v/>
      </c>
      <c r="EW139" s="108"/>
      <c r="EX139" s="108" t="str">
        <f>""</f>
        <v/>
      </c>
      <c r="EY139" s="108" t="str">
        <f ca="1">IF(EV139&lt;&gt;"",
IF(IF(COUNTIF(EV139,"*キャラ*"),
VLOOKUP("*キャラ*",商品マスタ一覧!$D:$J,7,FALSE),
IF(COUNTIF(EV139,"*赤*"),
VLOOKUP("*赤*",商品マスタ一覧!$D:$J,7,FALSE),
VLOOKUP(EV139,商品マスタ一覧!$D:$J,7,FALSE)))=0,"",
IF(FA139&lt;&gt;"",
IF(ROUND(
FA139/IF(COUNTIF(EV139,"*キャラ*"),
VLOOKUP("*キャラ*",商品マスタ一覧!$D:$J,7,FALSE),
IF(COUNTIF(EV139,"*赤*"),
VLOOKUP("*赤*",商品マスタ一覧!$D:$J,7,FALSE),
VLOOKUP(EV139,商品マスタ一覧!$D:$J,7,FALSE))),0)&lt;=0,1,
ROUND(
FA139/IF(COUNTIF(EV139,"*キャラ*"),
VLOOKUP("*キャラ*",商品マスタ一覧!$D:$J,7,FALSE),
IF(COUNTIF(EV139,"*赤*"),
VLOOKUP("*赤*",商品マスタ一覧!$D:$J,7,FALSE),
VLOOKUP(EV139,商品マスタ一覧!$D:$J,7,FALSE))),0)),"")),"")</f>
        <v/>
      </c>
      <c r="EZ139" s="109" t="str">
        <f ca="1">IF(EY139&lt;&gt;"",IF(VALUE(FA139)&gt;VALUE(IF(COUNTIF(EV139,"*キャラ*"),
VLOOKUP("*キャラ*",商品マスタ一覧!$D:$J,7,FALSE),
IF(COUNTIF(EV139,"*赤*"),
VLOOKUP("*赤*",商品マスタ一覧!$D:$J,7,FALSE),
VLOOKUP(EV139,商品マスタ一覧!$D:$J,7,FALSE)))*EY139),
"+"&amp;FA139-IF(COUNTIF(EV139,"*キャラ*"),
VLOOKUP("*キャラ*",商品マスタ一覧!$D:$J,7,FALSE),
IF(COUNTIF(EV139,"*赤*"),
VLOOKUP("*赤*",商品マスタ一覧!$D:$J,7,FALSE),
VLOOKUP(EV139,商品マスタ一覧!$D:$J,7,FALSE)))*EY139,
FA139-IF(COUNTIF(EV139,"*キャラ*"),
VLOOKUP("*キャラ*",商品マスタ一覧!$D:$J,7,FALSE),
IF(COUNTIF(EV139,"*赤*"),
VLOOKUP("*赤*",商品マスタ一覧!$D:$J,7,FALSE),
VLOOKUP(EV139,商品マスタ一覧!$D:$J,7,FALSE)))*EY139),"")</f>
        <v/>
      </c>
      <c r="FA139" s="107" t="str">
        <f t="array" aca="1" ref="FA139" ca="1">IF(OR(INDIRECT("まとめ札!H"&amp;EU137&amp;"")="",INDIRECT("まとめ札!H"&amp;EU137&amp;"")=0),"",INDIRECT("まとめ札!H"&amp;EU137&amp;""))</f>
        <v/>
      </c>
      <c r="FB139" s="107"/>
      <c r="FC139" s="107" t="str">
        <f ca="1">IF(EV139&lt;&gt;"",
IF(OR(COUNTIF(EV139,"*キャラ*"),COUNTIF(EV139,"*赤*")),24,
VLOOKUP(EV139,商品マスタ一覧!$D:$I,6,FALSE)),"")</f>
        <v/>
      </c>
      <c r="FD139" s="107" t="str">
        <f t="shared" ca="1" si="9"/>
        <v/>
      </c>
      <c r="FE139" s="107" t="str">
        <f t="shared" ca="1" si="10"/>
        <v/>
      </c>
      <c r="FF139" s="107"/>
      <c r="FG139" s="107" t="str">
        <f t="shared" ca="1" si="11"/>
        <v/>
      </c>
      <c r="FH139" s="107" t="str">
        <f t="shared" ca="1" si="12"/>
        <v/>
      </c>
    </row>
    <row r="140" spans="151:164" x14ac:dyDescent="0.45">
      <c r="EU140" s="107"/>
      <c r="EV140" s="108" t="str">
        <f t="array" aca="1" ref="EV140" ca="1">IF(OR(INDIRECT("まとめ札!I"&amp;EU137&amp;"")="",INDIRECT("まとめ札!I"&amp;EU137&amp;"")=0),"",INDIRECT("まとめ札!A"&amp;EU137&amp;"")&amp;"【4】")</f>
        <v/>
      </c>
      <c r="EW140" s="108"/>
      <c r="EX140" s="108" t="str">
        <f>""</f>
        <v/>
      </c>
      <c r="EY140" s="108" t="str">
        <f ca="1">IF(EV140&lt;&gt;"",
IF(IF(COUNTIF(EV140,"*キャラ*"),
VLOOKUP("*キャラ*",商品マスタ一覧!$D:$J,7,FALSE),
IF(COUNTIF(EV140,"*赤*"),
VLOOKUP("*赤*",商品マスタ一覧!$D:$J,7,FALSE),
VLOOKUP(EV140,商品マスタ一覧!$D:$J,7,FALSE)))=0,"",
IF(FA140&lt;&gt;"",
IF(ROUND(
FA140/IF(COUNTIF(EV140,"*キャラ*"),
VLOOKUP("*キャラ*",商品マスタ一覧!$D:$J,7,FALSE),
IF(COUNTIF(EV140,"*赤*"),
VLOOKUP("*赤*",商品マスタ一覧!$D:$J,7,FALSE),
VLOOKUP(EV140,商品マスタ一覧!$D:$J,7,FALSE))),0)&lt;=0,1,
ROUND(
FA140/IF(COUNTIF(EV140,"*キャラ*"),
VLOOKUP("*キャラ*",商品マスタ一覧!$D:$J,7,FALSE),
IF(COUNTIF(EV140,"*赤*"),
VLOOKUP("*赤*",商品マスタ一覧!$D:$J,7,FALSE),
VLOOKUP(EV140,商品マスタ一覧!$D:$J,7,FALSE))),0)),"")),"")</f>
        <v/>
      </c>
      <c r="EZ140" s="109" t="str">
        <f ca="1">IF(EY140&lt;&gt;"",IF(VALUE(FA140)&gt;VALUE(IF(COUNTIF(EV140,"*キャラ*"),
VLOOKUP("*キャラ*",商品マスタ一覧!$D:$J,7,FALSE),
IF(COUNTIF(EV140,"*赤*"),
VLOOKUP("*赤*",商品マスタ一覧!$D:$J,7,FALSE),
VLOOKUP(EV140,商品マスタ一覧!$D:$J,7,FALSE)))*EY140),
"+"&amp;FA140-IF(COUNTIF(EV140,"*キャラ*"),
VLOOKUP("*キャラ*",商品マスタ一覧!$D:$J,7,FALSE),
IF(COUNTIF(EV140,"*赤*"),
VLOOKUP("*赤*",商品マスタ一覧!$D:$J,7,FALSE),
VLOOKUP(EV140,商品マスタ一覧!$D:$J,7,FALSE)))*EY140,
FA140-IF(COUNTIF(EV140,"*キャラ*"),
VLOOKUP("*キャラ*",商品マスタ一覧!$D:$J,7,FALSE),
IF(COUNTIF(EV140,"*赤*"),
VLOOKUP("*赤*",商品マスタ一覧!$D:$J,7,FALSE),
VLOOKUP(EV140,商品マスタ一覧!$D:$J,7,FALSE)))*EY140),"")</f>
        <v/>
      </c>
      <c r="FA140" s="107" t="str">
        <f t="array" aca="1" ref="FA140" ca="1">IF(OR(INDIRECT("まとめ札!I"&amp;EU137&amp;"")="",INDIRECT("まとめ札!I"&amp;EU137&amp;"")=0),"",INDIRECT("まとめ札!I"&amp;EU137&amp;""))</f>
        <v/>
      </c>
      <c r="FB140" s="107"/>
      <c r="FC140" s="107" t="str">
        <f ca="1">IF(EV140&lt;&gt;"",
IF(OR(COUNTIF(EV140,"*キャラ*"),COUNTIF(EV140,"*赤*")),24,
VLOOKUP(EV140,商品マスタ一覧!$D:$I,6,FALSE)),"")</f>
        <v/>
      </c>
      <c r="FD140" s="107" t="str">
        <f t="shared" ca="1" si="9"/>
        <v/>
      </c>
      <c r="FE140" s="107" t="str">
        <f t="shared" ca="1" si="10"/>
        <v/>
      </c>
      <c r="FF140" s="107"/>
      <c r="FG140" s="107" t="str">
        <f t="shared" ca="1" si="11"/>
        <v/>
      </c>
      <c r="FH140" s="107" t="str">
        <f t="shared" ca="1" si="12"/>
        <v/>
      </c>
    </row>
    <row r="141" spans="151:164" x14ac:dyDescent="0.45">
      <c r="EU141" s="107">
        <v>6</v>
      </c>
      <c r="EV141" s="108" t="str">
        <f t="array" aca="1" ref="EV141" ca="1">IF(INDIRECT("まとめ札!A"&amp;EU141&amp;"")&lt;&gt;0,INDIRECT("まとめ札!A"&amp;EU141&amp;"")&amp;"【1】","")</f>
        <v>赤 おにぎり 三角【1】</v>
      </c>
      <c r="EW141" s="108"/>
      <c r="EX141" s="108" t="str">
        <f>""</f>
        <v/>
      </c>
      <c r="EY141" s="108" t="str">
        <f ca="1">IF(EV141&lt;&gt;"",
IF(IF(COUNTIF(EV141,"*キャラ*"),
VLOOKUP("*キャラ*",商品マスタ一覧!$D:$J,7,FALSE),
IF(COUNTIF(EV141,"*赤*"),
VLOOKUP("*赤*",商品マスタ一覧!$D:$J,7,FALSE),
VLOOKUP(EV141,商品マスタ一覧!$D:$J,7,FALSE)))=0,"",
IF(FA141&lt;&gt;"",
IF(ROUND(
FA141/IF(COUNTIF(EV141,"*キャラ*"),
VLOOKUP("*キャラ*",商品マスタ一覧!$D:$J,7,FALSE),
IF(COUNTIF(EV141,"*赤*"),
VLOOKUP("*赤*",商品マスタ一覧!$D:$J,7,FALSE),
VLOOKUP(EV141,商品マスタ一覧!$D:$J,7,FALSE))),0)&lt;=0,1,
ROUND(
FA141/IF(COUNTIF(EV141,"*キャラ*"),
VLOOKUP("*キャラ*",商品マスタ一覧!$D:$J,7,FALSE),
IF(COUNTIF(EV141,"*赤*"),
VLOOKUP("*赤*",商品マスタ一覧!$D:$J,7,FALSE),
VLOOKUP(EV141,商品マスタ一覧!$D:$J,7,FALSE))),0)),"")),"")</f>
        <v/>
      </c>
      <c r="EZ141" s="109" t="str">
        <f ca="1">IF(EY141&lt;&gt;"",IF(VALUE(FA141)&gt;VALUE(IF(COUNTIF(EV141,"*キャラ*"),
VLOOKUP("*キャラ*",商品マスタ一覧!$D:$J,7,FALSE),
IF(COUNTIF(EV141,"*赤*"),
VLOOKUP("*赤*",商品マスタ一覧!$D:$J,7,FALSE),
VLOOKUP(EV141,商品マスタ一覧!$D:$J,7,FALSE)))*EY141),
"+"&amp;FA141-IF(COUNTIF(EV141,"*キャラ*"),
VLOOKUP("*キャラ*",商品マスタ一覧!$D:$J,7,FALSE),
IF(COUNTIF(EV141,"*赤*"),
VLOOKUP("*赤*",商品マスタ一覧!$D:$J,7,FALSE),
VLOOKUP(EV141,商品マスタ一覧!$D:$J,7,FALSE)))*EY141,
FA141-IF(COUNTIF(EV141,"*キャラ*"),
VLOOKUP("*キャラ*",商品マスタ一覧!$D:$J,7,FALSE),
IF(COUNTIF(EV141,"*赤*"),
VLOOKUP("*赤*",商品マスタ一覧!$D:$J,7,FALSE),
VLOOKUP(EV141,商品マスタ一覧!$D:$J,7,FALSE)))*EY141),"")</f>
        <v/>
      </c>
      <c r="FA141" s="107" t="str">
        <f t="array" aca="1" ref="FA141" ca="1">IF(INDIRECT("まとめ札!F"&amp;EU141&amp;"")&lt;&gt;0,INDIRECT("まとめ札!F"&amp;EU141&amp;""),"")</f>
        <v/>
      </c>
      <c r="FB141" s="107"/>
      <c r="FC141" s="107">
        <f ca="1">IF(EV141&lt;&gt;"",
IF(OR(COUNTIF(EV141,"*キャラ*"),COUNTIF(EV141,"*赤*")),24,
VLOOKUP(EV141,商品マスタ一覧!$D:$I,6,FALSE)),"")</f>
        <v>24</v>
      </c>
      <c r="FD141" s="107" t="str">
        <f t="shared" ca="1" si="9"/>
        <v/>
      </c>
      <c r="FE141" s="107" t="str">
        <f t="shared" ca="1" si="10"/>
        <v/>
      </c>
      <c r="FF141" s="107"/>
      <c r="FG141" s="107" t="str">
        <f t="shared" ca="1" si="11"/>
        <v/>
      </c>
      <c r="FH141" s="107" t="str">
        <f t="shared" ca="1" si="12"/>
        <v/>
      </c>
    </row>
    <row r="142" spans="151:164" x14ac:dyDescent="0.45">
      <c r="EU142" s="107"/>
      <c r="EV142" s="108" t="str">
        <f t="array" aca="1" ref="EV142" ca="1">IF(OR(INDIRECT("まとめ札!G"&amp;EU141&amp;"")="",INDIRECT("まとめ札!G"&amp;EU141&amp;"")=0),"",INDIRECT("まとめ札!A"&amp;EU141&amp;"")&amp;"【2】")</f>
        <v/>
      </c>
      <c r="EW142" s="108"/>
      <c r="EX142" s="108" t="str">
        <f>""</f>
        <v/>
      </c>
      <c r="EY142" s="108" t="str">
        <f ca="1">IF(EV142&lt;&gt;"",
IF(IF(COUNTIF(EV142,"*キャラ*"),
VLOOKUP("*キャラ*",商品マスタ一覧!$D:$J,7,FALSE),
IF(COUNTIF(EV142,"*赤*"),
VLOOKUP("*赤*",商品マスタ一覧!$D:$J,7,FALSE),
VLOOKUP(EV142,商品マスタ一覧!$D:$J,7,FALSE)))=0,"",
IF(FA142&lt;&gt;"",
IF(ROUND(
FA142/IF(COUNTIF(EV142,"*キャラ*"),
VLOOKUP("*キャラ*",商品マスタ一覧!$D:$J,7,FALSE),
IF(COUNTIF(EV142,"*赤*"),
VLOOKUP("*赤*",商品マスタ一覧!$D:$J,7,FALSE),
VLOOKUP(EV142,商品マスタ一覧!$D:$J,7,FALSE))),0)&lt;=0,1,
ROUND(
FA142/IF(COUNTIF(EV142,"*キャラ*"),
VLOOKUP("*キャラ*",商品マスタ一覧!$D:$J,7,FALSE),
IF(COUNTIF(EV142,"*赤*"),
VLOOKUP("*赤*",商品マスタ一覧!$D:$J,7,FALSE),
VLOOKUP(EV142,商品マスタ一覧!$D:$J,7,FALSE))),0)),"")),"")</f>
        <v/>
      </c>
      <c r="EZ142" s="109" t="str">
        <f ca="1">IF(EY142&lt;&gt;"",IF(VALUE(FA142)&gt;VALUE(IF(COUNTIF(EV142,"*キャラ*"),
VLOOKUP("*キャラ*",商品マスタ一覧!$D:$J,7,FALSE),
IF(COUNTIF(EV142,"*赤*"),
VLOOKUP("*赤*",商品マスタ一覧!$D:$J,7,FALSE),
VLOOKUP(EV142,商品マスタ一覧!$D:$J,7,FALSE)))*EY142),
"+"&amp;FA142-IF(COUNTIF(EV142,"*キャラ*"),
VLOOKUP("*キャラ*",商品マスタ一覧!$D:$J,7,FALSE),
IF(COUNTIF(EV142,"*赤*"),
VLOOKUP("*赤*",商品マスタ一覧!$D:$J,7,FALSE),
VLOOKUP(EV142,商品マスタ一覧!$D:$J,7,FALSE)))*EY142,
FA142-IF(COUNTIF(EV142,"*キャラ*"),
VLOOKUP("*キャラ*",商品マスタ一覧!$D:$J,7,FALSE),
IF(COUNTIF(EV142,"*赤*"),
VLOOKUP("*赤*",商品マスタ一覧!$D:$J,7,FALSE),
VLOOKUP(EV142,商品マスタ一覧!$D:$J,7,FALSE)))*EY142),"")</f>
        <v/>
      </c>
      <c r="FA142" s="107" t="str">
        <f t="array" aca="1" ref="FA142" ca="1">IF(OR(INDIRECT("まとめ札!G"&amp;EU141&amp;"")="",INDIRECT("まとめ札!G"&amp;EU141&amp;"")=0),"",INDIRECT("まとめ札!G"&amp;EU141&amp;""))</f>
        <v/>
      </c>
      <c r="FB142" s="107"/>
      <c r="FC142" s="107" t="str">
        <f ca="1">IF(EV142&lt;&gt;"",
IF(OR(COUNTIF(EV142,"*キャラ*"),COUNTIF(EV142,"*赤*")),24,
VLOOKUP(EV142,商品マスタ一覧!$D:$I,6,FALSE)),"")</f>
        <v/>
      </c>
      <c r="FD142" s="107" t="str">
        <f t="shared" ca="1" si="9"/>
        <v/>
      </c>
      <c r="FE142" s="107" t="str">
        <f t="shared" ca="1" si="10"/>
        <v/>
      </c>
      <c r="FF142" s="107"/>
      <c r="FG142" s="107" t="str">
        <f t="shared" ca="1" si="11"/>
        <v/>
      </c>
      <c r="FH142" s="107" t="str">
        <f t="shared" ca="1" si="12"/>
        <v/>
      </c>
    </row>
    <row r="143" spans="151:164" x14ac:dyDescent="0.45">
      <c r="EU143" s="107"/>
      <c r="EV143" s="108" t="str">
        <f t="array" aca="1" ref="EV143" ca="1">IF(OR(INDIRECT("まとめ札!H"&amp;EU141&amp;"")="",INDIRECT("まとめ札!H"&amp;EU141&amp;"")=0),"",INDIRECT("まとめ札!A"&amp;EU141&amp;"")&amp;"【3】")</f>
        <v/>
      </c>
      <c r="EW143" s="108"/>
      <c r="EX143" s="108" t="str">
        <f>""</f>
        <v/>
      </c>
      <c r="EY143" s="108" t="str">
        <f ca="1">IF(EV143&lt;&gt;"",
IF(IF(COUNTIF(EV143,"*キャラ*"),
VLOOKUP("*キャラ*",商品マスタ一覧!$D:$J,7,FALSE),
IF(COUNTIF(EV143,"*赤*"),
VLOOKUP("*赤*",商品マスタ一覧!$D:$J,7,FALSE),
VLOOKUP(EV143,商品マスタ一覧!$D:$J,7,FALSE)))=0,"",
IF(FA143&lt;&gt;"",
IF(ROUND(
FA143/IF(COUNTIF(EV143,"*キャラ*"),
VLOOKUP("*キャラ*",商品マスタ一覧!$D:$J,7,FALSE),
IF(COUNTIF(EV143,"*赤*"),
VLOOKUP("*赤*",商品マスタ一覧!$D:$J,7,FALSE),
VLOOKUP(EV143,商品マスタ一覧!$D:$J,7,FALSE))),0)&lt;=0,1,
ROUND(
FA143/IF(COUNTIF(EV143,"*キャラ*"),
VLOOKUP("*キャラ*",商品マスタ一覧!$D:$J,7,FALSE),
IF(COUNTIF(EV143,"*赤*"),
VLOOKUP("*赤*",商品マスタ一覧!$D:$J,7,FALSE),
VLOOKUP(EV143,商品マスタ一覧!$D:$J,7,FALSE))),0)),"")),"")</f>
        <v/>
      </c>
      <c r="EZ143" s="109" t="str">
        <f ca="1">IF(EY143&lt;&gt;"",IF(VALUE(FA143)&gt;VALUE(IF(COUNTIF(EV143,"*キャラ*"),
VLOOKUP("*キャラ*",商品マスタ一覧!$D:$J,7,FALSE),
IF(COUNTIF(EV143,"*赤*"),
VLOOKUP("*赤*",商品マスタ一覧!$D:$J,7,FALSE),
VLOOKUP(EV143,商品マスタ一覧!$D:$J,7,FALSE)))*EY143),
"+"&amp;FA143-IF(COUNTIF(EV143,"*キャラ*"),
VLOOKUP("*キャラ*",商品マスタ一覧!$D:$J,7,FALSE),
IF(COUNTIF(EV143,"*赤*"),
VLOOKUP("*赤*",商品マスタ一覧!$D:$J,7,FALSE),
VLOOKUP(EV143,商品マスタ一覧!$D:$J,7,FALSE)))*EY143,
FA143-IF(COUNTIF(EV143,"*キャラ*"),
VLOOKUP("*キャラ*",商品マスタ一覧!$D:$J,7,FALSE),
IF(COUNTIF(EV143,"*赤*"),
VLOOKUP("*赤*",商品マスタ一覧!$D:$J,7,FALSE),
VLOOKUP(EV143,商品マスタ一覧!$D:$J,7,FALSE)))*EY143),"")</f>
        <v/>
      </c>
      <c r="FA143" s="107" t="str">
        <f t="array" aca="1" ref="FA143" ca="1">IF(OR(INDIRECT("まとめ札!H"&amp;EU141&amp;"")="",INDIRECT("まとめ札!H"&amp;EU141&amp;"")=0),"",INDIRECT("まとめ札!H"&amp;EU141&amp;""))</f>
        <v/>
      </c>
      <c r="FB143" s="107"/>
      <c r="FC143" s="107" t="str">
        <f ca="1">IF(EV143&lt;&gt;"",
IF(OR(COUNTIF(EV143,"*キャラ*"),COUNTIF(EV143,"*赤*")),24,
VLOOKUP(EV143,商品マスタ一覧!$D:$I,6,FALSE)),"")</f>
        <v/>
      </c>
      <c r="FD143" s="107" t="str">
        <f t="shared" ca="1" si="9"/>
        <v/>
      </c>
      <c r="FE143" s="107" t="str">
        <f t="shared" ca="1" si="10"/>
        <v/>
      </c>
      <c r="FF143" s="107"/>
      <c r="FG143" s="107" t="str">
        <f t="shared" ca="1" si="11"/>
        <v/>
      </c>
      <c r="FH143" s="107" t="str">
        <f t="shared" ca="1" si="12"/>
        <v/>
      </c>
    </row>
    <row r="144" spans="151:164" x14ac:dyDescent="0.45">
      <c r="EU144" s="107"/>
      <c r="EV144" s="108" t="str">
        <f t="array" aca="1" ref="EV144" ca="1">IF(OR(INDIRECT("まとめ札!I"&amp;EU141&amp;"")="",INDIRECT("まとめ札!I"&amp;EU141&amp;"")=0),"",INDIRECT("まとめ札!A"&amp;EU141&amp;"")&amp;"【4】")</f>
        <v/>
      </c>
      <c r="EW144" s="108"/>
      <c r="EX144" s="108" t="str">
        <f>""</f>
        <v/>
      </c>
      <c r="EY144" s="108" t="str">
        <f ca="1">IF(EV144&lt;&gt;"",
IF(IF(COUNTIF(EV144,"*キャラ*"),
VLOOKUP("*キャラ*",商品マスタ一覧!$D:$J,7,FALSE),
IF(COUNTIF(EV144,"*赤*"),
VLOOKUP("*赤*",商品マスタ一覧!$D:$J,7,FALSE),
VLOOKUP(EV144,商品マスタ一覧!$D:$J,7,FALSE)))=0,"",
IF(FA144&lt;&gt;"",
IF(ROUND(
FA144/IF(COUNTIF(EV144,"*キャラ*"),
VLOOKUP("*キャラ*",商品マスタ一覧!$D:$J,7,FALSE),
IF(COUNTIF(EV144,"*赤*"),
VLOOKUP("*赤*",商品マスタ一覧!$D:$J,7,FALSE),
VLOOKUP(EV144,商品マスタ一覧!$D:$J,7,FALSE))),0)&lt;=0,1,
ROUND(
FA144/IF(COUNTIF(EV144,"*キャラ*"),
VLOOKUP("*キャラ*",商品マスタ一覧!$D:$J,7,FALSE),
IF(COUNTIF(EV144,"*赤*"),
VLOOKUP("*赤*",商品マスタ一覧!$D:$J,7,FALSE),
VLOOKUP(EV144,商品マスタ一覧!$D:$J,7,FALSE))),0)),"")),"")</f>
        <v/>
      </c>
      <c r="EZ144" s="109" t="str">
        <f ca="1">IF(EY144&lt;&gt;"",IF(VALUE(FA144)&gt;VALUE(IF(COUNTIF(EV144,"*キャラ*"),
VLOOKUP("*キャラ*",商品マスタ一覧!$D:$J,7,FALSE),
IF(COUNTIF(EV144,"*赤*"),
VLOOKUP("*赤*",商品マスタ一覧!$D:$J,7,FALSE),
VLOOKUP(EV144,商品マスタ一覧!$D:$J,7,FALSE)))*EY144),
"+"&amp;FA144-IF(COUNTIF(EV144,"*キャラ*"),
VLOOKUP("*キャラ*",商品マスタ一覧!$D:$J,7,FALSE),
IF(COUNTIF(EV144,"*赤*"),
VLOOKUP("*赤*",商品マスタ一覧!$D:$J,7,FALSE),
VLOOKUP(EV144,商品マスタ一覧!$D:$J,7,FALSE)))*EY144,
FA144-IF(COUNTIF(EV144,"*キャラ*"),
VLOOKUP("*キャラ*",商品マスタ一覧!$D:$J,7,FALSE),
IF(COUNTIF(EV144,"*赤*"),
VLOOKUP("*赤*",商品マスタ一覧!$D:$J,7,FALSE),
VLOOKUP(EV144,商品マスタ一覧!$D:$J,7,FALSE)))*EY144),"")</f>
        <v/>
      </c>
      <c r="FA144" s="107" t="str">
        <f t="array" aca="1" ref="FA144" ca="1">IF(OR(INDIRECT("まとめ札!I"&amp;EU141&amp;"")="",INDIRECT("まとめ札!I"&amp;EU141&amp;"")=0),"",INDIRECT("まとめ札!I"&amp;EU141&amp;""))</f>
        <v/>
      </c>
      <c r="FB144" s="107"/>
      <c r="FC144" s="107" t="str">
        <f ca="1">IF(EV144&lt;&gt;"",
IF(OR(COUNTIF(EV144,"*キャラ*"),COUNTIF(EV144,"*赤*")),24,
VLOOKUP(EV144,商品マスタ一覧!$D:$I,6,FALSE)),"")</f>
        <v/>
      </c>
      <c r="FD144" s="107" t="str">
        <f t="shared" ca="1" si="9"/>
        <v/>
      </c>
      <c r="FE144" s="107" t="str">
        <f t="shared" ca="1" si="10"/>
        <v/>
      </c>
      <c r="FF144" s="107"/>
      <c r="FG144" s="107" t="str">
        <f t="shared" ca="1" si="11"/>
        <v/>
      </c>
      <c r="FH144" s="107" t="str">
        <f t="shared" ca="1" si="12"/>
        <v/>
      </c>
    </row>
    <row r="145" spans="151:164" x14ac:dyDescent="0.45">
      <c r="EU145" s="107">
        <v>7</v>
      </c>
      <c r="EV145" s="108" t="str">
        <f t="array" aca="1" ref="EV145" ca="1">IF(INDIRECT("まとめ札!A"&amp;EU145&amp;"")&lt;&gt;0,INDIRECT("まとめ札!A"&amp;EU145&amp;"")&amp;"【1】","")</f>
        <v>赤 おにぎり 半俵【1】</v>
      </c>
      <c r="EW145" s="108"/>
      <c r="EX145" s="108" t="str">
        <f>""</f>
        <v/>
      </c>
      <c r="EY145" s="108" t="str">
        <f ca="1">IF(EV145&lt;&gt;"",
IF(IF(COUNTIF(EV145,"*キャラ*"),
VLOOKUP("*キャラ*",商品マスタ一覧!$D:$J,7,FALSE),
IF(COUNTIF(EV145,"*赤*"),
VLOOKUP("*赤*",商品マスタ一覧!$D:$J,7,FALSE),
VLOOKUP(EV145,商品マスタ一覧!$D:$J,7,FALSE)))=0,"",
IF(FA145&lt;&gt;"",
IF(ROUND(
FA145/IF(COUNTIF(EV145,"*キャラ*"),
VLOOKUP("*キャラ*",商品マスタ一覧!$D:$J,7,FALSE),
IF(COUNTIF(EV145,"*赤*"),
VLOOKUP("*赤*",商品マスタ一覧!$D:$J,7,FALSE),
VLOOKUP(EV145,商品マスタ一覧!$D:$J,7,FALSE))),0)&lt;=0,1,
ROUND(
FA145/IF(COUNTIF(EV145,"*キャラ*"),
VLOOKUP("*キャラ*",商品マスタ一覧!$D:$J,7,FALSE),
IF(COUNTIF(EV145,"*赤*"),
VLOOKUP("*赤*",商品マスタ一覧!$D:$J,7,FALSE),
VLOOKUP(EV145,商品マスタ一覧!$D:$J,7,FALSE))),0)),"")),"")</f>
        <v/>
      </c>
      <c r="EZ145" s="109" t="str">
        <f ca="1">IF(EY145&lt;&gt;"",IF(VALUE(FA145)&gt;VALUE(IF(COUNTIF(EV145,"*キャラ*"),
VLOOKUP("*キャラ*",商品マスタ一覧!$D:$J,7,FALSE),
IF(COUNTIF(EV145,"*赤*"),
VLOOKUP("*赤*",商品マスタ一覧!$D:$J,7,FALSE),
VLOOKUP(EV145,商品マスタ一覧!$D:$J,7,FALSE)))*EY145),
"+"&amp;FA145-IF(COUNTIF(EV145,"*キャラ*"),
VLOOKUP("*キャラ*",商品マスタ一覧!$D:$J,7,FALSE),
IF(COUNTIF(EV145,"*赤*"),
VLOOKUP("*赤*",商品マスタ一覧!$D:$J,7,FALSE),
VLOOKUP(EV145,商品マスタ一覧!$D:$J,7,FALSE)))*EY145,
FA145-IF(COUNTIF(EV145,"*キャラ*"),
VLOOKUP("*キャラ*",商品マスタ一覧!$D:$J,7,FALSE),
IF(COUNTIF(EV145,"*赤*"),
VLOOKUP("*赤*",商品マスタ一覧!$D:$J,7,FALSE),
VLOOKUP(EV145,商品マスタ一覧!$D:$J,7,FALSE)))*EY145),"")</f>
        <v/>
      </c>
      <c r="FA145" s="107" t="str">
        <f t="array" aca="1" ref="FA145" ca="1">IF(INDIRECT("まとめ札!F"&amp;EU145&amp;"")&lt;&gt;0,INDIRECT("まとめ札!F"&amp;EU145&amp;""),"")</f>
        <v/>
      </c>
      <c r="FB145" s="107"/>
      <c r="FC145" s="107">
        <f ca="1">IF(EV145&lt;&gt;"",
IF(OR(COUNTIF(EV145,"*キャラ*"),COUNTIF(EV145,"*赤*")),24,
VLOOKUP(EV145,商品マスタ一覧!$D:$I,6,FALSE)),"")</f>
        <v>24</v>
      </c>
      <c r="FD145" s="107" t="str">
        <f t="shared" ca="1" si="9"/>
        <v/>
      </c>
      <c r="FE145" s="107" t="str">
        <f t="shared" ca="1" si="10"/>
        <v/>
      </c>
      <c r="FF145" s="107"/>
      <c r="FG145" s="107" t="str">
        <f t="shared" ca="1" si="11"/>
        <v/>
      </c>
      <c r="FH145" s="107" t="str">
        <f t="shared" ca="1" si="12"/>
        <v/>
      </c>
    </row>
    <row r="146" spans="151:164" x14ac:dyDescent="0.45">
      <c r="EU146" s="107"/>
      <c r="EV146" s="108" t="str">
        <f t="array" aca="1" ref="EV146" ca="1">IF(OR(INDIRECT("まとめ札!G"&amp;EU145&amp;"")="",INDIRECT("まとめ札!G"&amp;EU145&amp;"")=0),"",INDIRECT("まとめ札!A"&amp;EU145&amp;"")&amp;"【2】")</f>
        <v/>
      </c>
      <c r="EW146" s="108"/>
      <c r="EX146" s="108" t="str">
        <f>""</f>
        <v/>
      </c>
      <c r="EY146" s="108" t="str">
        <f ca="1">IF(EV146&lt;&gt;"",
IF(IF(COUNTIF(EV146,"*キャラ*"),
VLOOKUP("*キャラ*",商品マスタ一覧!$D:$J,7,FALSE),
IF(COUNTIF(EV146,"*赤*"),
VLOOKUP("*赤*",商品マスタ一覧!$D:$J,7,FALSE),
VLOOKUP(EV146,商品マスタ一覧!$D:$J,7,FALSE)))=0,"",
IF(FA146&lt;&gt;"",
IF(ROUND(
FA146/IF(COUNTIF(EV146,"*キャラ*"),
VLOOKUP("*キャラ*",商品マスタ一覧!$D:$J,7,FALSE),
IF(COUNTIF(EV146,"*赤*"),
VLOOKUP("*赤*",商品マスタ一覧!$D:$J,7,FALSE),
VLOOKUP(EV146,商品マスタ一覧!$D:$J,7,FALSE))),0)&lt;=0,1,
ROUND(
FA146/IF(COUNTIF(EV146,"*キャラ*"),
VLOOKUP("*キャラ*",商品マスタ一覧!$D:$J,7,FALSE),
IF(COUNTIF(EV146,"*赤*"),
VLOOKUP("*赤*",商品マスタ一覧!$D:$J,7,FALSE),
VLOOKUP(EV146,商品マスタ一覧!$D:$J,7,FALSE))),0)),"")),"")</f>
        <v/>
      </c>
      <c r="EZ146" s="109" t="str">
        <f ca="1">IF(EY146&lt;&gt;"",IF(VALUE(FA146)&gt;VALUE(IF(COUNTIF(EV146,"*キャラ*"),
VLOOKUP("*キャラ*",商品マスタ一覧!$D:$J,7,FALSE),
IF(COUNTIF(EV146,"*赤*"),
VLOOKUP("*赤*",商品マスタ一覧!$D:$J,7,FALSE),
VLOOKUP(EV146,商品マスタ一覧!$D:$J,7,FALSE)))*EY146),
"+"&amp;FA146-IF(COUNTIF(EV146,"*キャラ*"),
VLOOKUP("*キャラ*",商品マスタ一覧!$D:$J,7,FALSE),
IF(COUNTIF(EV146,"*赤*"),
VLOOKUP("*赤*",商品マスタ一覧!$D:$J,7,FALSE),
VLOOKUP(EV146,商品マスタ一覧!$D:$J,7,FALSE)))*EY146,
FA146-IF(COUNTIF(EV146,"*キャラ*"),
VLOOKUP("*キャラ*",商品マスタ一覧!$D:$J,7,FALSE),
IF(COUNTIF(EV146,"*赤*"),
VLOOKUP("*赤*",商品マスタ一覧!$D:$J,7,FALSE),
VLOOKUP(EV146,商品マスタ一覧!$D:$J,7,FALSE)))*EY146),"")</f>
        <v/>
      </c>
      <c r="FA146" s="107" t="str">
        <f t="array" aca="1" ref="FA146" ca="1">IF(OR(INDIRECT("まとめ札!G"&amp;EU145&amp;"")="",INDIRECT("まとめ札!G"&amp;EU145&amp;"")=0),"",INDIRECT("まとめ札!G"&amp;EU145&amp;""))</f>
        <v/>
      </c>
      <c r="FB146" s="107"/>
      <c r="FC146" s="107" t="str">
        <f ca="1">IF(EV146&lt;&gt;"",
IF(OR(COUNTIF(EV146,"*キャラ*"),COUNTIF(EV146,"*赤*")),24,
VLOOKUP(EV146,商品マスタ一覧!$D:$I,6,FALSE)),"")</f>
        <v/>
      </c>
      <c r="FD146" s="107" t="str">
        <f t="shared" ca="1" si="9"/>
        <v/>
      </c>
      <c r="FE146" s="107" t="str">
        <f t="shared" ca="1" si="10"/>
        <v/>
      </c>
      <c r="FF146" s="107"/>
      <c r="FG146" s="107" t="str">
        <f t="shared" ca="1" si="11"/>
        <v/>
      </c>
      <c r="FH146" s="107" t="str">
        <f t="shared" ca="1" si="12"/>
        <v/>
      </c>
    </row>
    <row r="147" spans="151:164" x14ac:dyDescent="0.45">
      <c r="EU147" s="107"/>
      <c r="EV147" s="108" t="str">
        <f t="array" aca="1" ref="EV147" ca="1">IF(OR(INDIRECT("まとめ札!H"&amp;EU145&amp;"")="",INDIRECT("まとめ札!H"&amp;EU145&amp;"")=0),"",INDIRECT("まとめ札!A"&amp;EU145&amp;"")&amp;"【3】")</f>
        <v/>
      </c>
      <c r="EW147" s="108"/>
      <c r="EX147" s="108" t="str">
        <f>""</f>
        <v/>
      </c>
      <c r="EY147" s="108" t="str">
        <f ca="1">IF(EV147&lt;&gt;"",
IF(IF(COUNTIF(EV147,"*キャラ*"),
VLOOKUP("*キャラ*",商品マスタ一覧!$D:$J,7,FALSE),
IF(COUNTIF(EV147,"*赤*"),
VLOOKUP("*赤*",商品マスタ一覧!$D:$J,7,FALSE),
VLOOKUP(EV147,商品マスタ一覧!$D:$J,7,FALSE)))=0,"",
IF(FA147&lt;&gt;"",
IF(ROUND(
FA147/IF(COUNTIF(EV147,"*キャラ*"),
VLOOKUP("*キャラ*",商品マスタ一覧!$D:$J,7,FALSE),
IF(COUNTIF(EV147,"*赤*"),
VLOOKUP("*赤*",商品マスタ一覧!$D:$J,7,FALSE),
VLOOKUP(EV147,商品マスタ一覧!$D:$J,7,FALSE))),0)&lt;=0,1,
ROUND(
FA147/IF(COUNTIF(EV147,"*キャラ*"),
VLOOKUP("*キャラ*",商品マスタ一覧!$D:$J,7,FALSE),
IF(COUNTIF(EV147,"*赤*"),
VLOOKUP("*赤*",商品マスタ一覧!$D:$J,7,FALSE),
VLOOKUP(EV147,商品マスタ一覧!$D:$J,7,FALSE))),0)),"")),"")</f>
        <v/>
      </c>
      <c r="EZ147" s="109" t="str">
        <f ca="1">IF(EY147&lt;&gt;"",IF(VALUE(FA147)&gt;VALUE(IF(COUNTIF(EV147,"*キャラ*"),
VLOOKUP("*キャラ*",商品マスタ一覧!$D:$J,7,FALSE),
IF(COUNTIF(EV147,"*赤*"),
VLOOKUP("*赤*",商品マスタ一覧!$D:$J,7,FALSE),
VLOOKUP(EV147,商品マスタ一覧!$D:$J,7,FALSE)))*EY147),
"+"&amp;FA147-IF(COUNTIF(EV147,"*キャラ*"),
VLOOKUP("*キャラ*",商品マスタ一覧!$D:$J,7,FALSE),
IF(COUNTIF(EV147,"*赤*"),
VLOOKUP("*赤*",商品マスタ一覧!$D:$J,7,FALSE),
VLOOKUP(EV147,商品マスタ一覧!$D:$J,7,FALSE)))*EY147,
FA147-IF(COUNTIF(EV147,"*キャラ*"),
VLOOKUP("*キャラ*",商品マスタ一覧!$D:$J,7,FALSE),
IF(COUNTIF(EV147,"*赤*"),
VLOOKUP("*赤*",商品マスタ一覧!$D:$J,7,FALSE),
VLOOKUP(EV147,商品マスタ一覧!$D:$J,7,FALSE)))*EY147),"")</f>
        <v/>
      </c>
      <c r="FA147" s="107" t="str">
        <f t="array" aca="1" ref="FA147" ca="1">IF(OR(INDIRECT("まとめ札!H"&amp;EU145&amp;"")="",INDIRECT("まとめ札!H"&amp;EU145&amp;"")=0),"",INDIRECT("まとめ札!H"&amp;EU145&amp;""))</f>
        <v/>
      </c>
      <c r="FB147" s="107"/>
      <c r="FC147" s="107" t="str">
        <f ca="1">IF(EV147&lt;&gt;"",
IF(OR(COUNTIF(EV147,"*キャラ*"),COUNTIF(EV147,"*赤*")),24,
VLOOKUP(EV147,商品マスタ一覧!$D:$I,6,FALSE)),"")</f>
        <v/>
      </c>
      <c r="FD147" s="107" t="str">
        <f t="shared" ca="1" si="9"/>
        <v/>
      </c>
      <c r="FE147" s="107" t="str">
        <f t="shared" ca="1" si="10"/>
        <v/>
      </c>
      <c r="FF147" s="107"/>
      <c r="FG147" s="107" t="str">
        <f t="shared" ca="1" si="11"/>
        <v/>
      </c>
      <c r="FH147" s="107" t="str">
        <f t="shared" ca="1" si="12"/>
        <v/>
      </c>
    </row>
    <row r="148" spans="151:164" x14ac:dyDescent="0.45">
      <c r="EU148" s="107"/>
      <c r="EV148" s="108" t="str">
        <f t="array" aca="1" ref="EV148" ca="1">IF(OR(INDIRECT("まとめ札!I"&amp;EU145&amp;"")="",INDIRECT("まとめ札!I"&amp;EU145&amp;"")=0),"",INDIRECT("まとめ札!A"&amp;EU145&amp;"")&amp;"【4】")</f>
        <v/>
      </c>
      <c r="EW148" s="108"/>
      <c r="EX148" s="108" t="str">
        <f>""</f>
        <v/>
      </c>
      <c r="EY148" s="108" t="str">
        <f ca="1">IF(EV148&lt;&gt;"",
IF(IF(COUNTIF(EV148,"*キャラ*"),
VLOOKUP("*キャラ*",商品マスタ一覧!$D:$J,7,FALSE),
IF(COUNTIF(EV148,"*赤*"),
VLOOKUP("*赤*",商品マスタ一覧!$D:$J,7,FALSE),
VLOOKUP(EV148,商品マスタ一覧!$D:$J,7,FALSE)))=0,"",
IF(FA148&lt;&gt;"",
IF(ROUND(
FA148/IF(COUNTIF(EV148,"*キャラ*"),
VLOOKUP("*キャラ*",商品マスタ一覧!$D:$J,7,FALSE),
IF(COUNTIF(EV148,"*赤*"),
VLOOKUP("*赤*",商品マスタ一覧!$D:$J,7,FALSE),
VLOOKUP(EV148,商品マスタ一覧!$D:$J,7,FALSE))),0)&lt;=0,1,
ROUND(
FA148/IF(COUNTIF(EV148,"*キャラ*"),
VLOOKUP("*キャラ*",商品マスタ一覧!$D:$J,7,FALSE),
IF(COUNTIF(EV148,"*赤*"),
VLOOKUP("*赤*",商品マスタ一覧!$D:$J,7,FALSE),
VLOOKUP(EV148,商品マスタ一覧!$D:$J,7,FALSE))),0)),"")),"")</f>
        <v/>
      </c>
      <c r="EZ148" s="109" t="str">
        <f ca="1">IF(EY148&lt;&gt;"",IF(VALUE(FA148)&gt;VALUE(IF(COUNTIF(EV148,"*キャラ*"),
VLOOKUP("*キャラ*",商品マスタ一覧!$D:$J,7,FALSE),
IF(COUNTIF(EV148,"*赤*"),
VLOOKUP("*赤*",商品マスタ一覧!$D:$J,7,FALSE),
VLOOKUP(EV148,商品マスタ一覧!$D:$J,7,FALSE)))*EY148),
"+"&amp;FA148-IF(COUNTIF(EV148,"*キャラ*"),
VLOOKUP("*キャラ*",商品マスタ一覧!$D:$J,7,FALSE),
IF(COUNTIF(EV148,"*赤*"),
VLOOKUP("*赤*",商品マスタ一覧!$D:$J,7,FALSE),
VLOOKUP(EV148,商品マスタ一覧!$D:$J,7,FALSE)))*EY148,
FA148-IF(COUNTIF(EV148,"*キャラ*"),
VLOOKUP("*キャラ*",商品マスタ一覧!$D:$J,7,FALSE),
IF(COUNTIF(EV148,"*赤*"),
VLOOKUP("*赤*",商品マスタ一覧!$D:$J,7,FALSE),
VLOOKUP(EV148,商品マスタ一覧!$D:$J,7,FALSE)))*EY148),"")</f>
        <v/>
      </c>
      <c r="FA148" s="107" t="str">
        <f t="array" aca="1" ref="FA148" ca="1">IF(OR(INDIRECT("まとめ札!I"&amp;EU145&amp;"")="",INDIRECT("まとめ札!I"&amp;EU145&amp;"")=0),"",INDIRECT("まとめ札!I"&amp;EU145&amp;""))</f>
        <v/>
      </c>
      <c r="FB148" s="107"/>
      <c r="FC148" s="107" t="str">
        <f ca="1">IF(EV148&lt;&gt;"",
IF(OR(COUNTIF(EV148,"*キャラ*"),COUNTIF(EV148,"*赤*")),24,
VLOOKUP(EV148,商品マスタ一覧!$D:$I,6,FALSE)),"")</f>
        <v/>
      </c>
      <c r="FD148" s="107" t="str">
        <f t="shared" ca="1" si="9"/>
        <v/>
      </c>
      <c r="FE148" s="107" t="str">
        <f t="shared" ca="1" si="10"/>
        <v/>
      </c>
      <c r="FF148" s="107"/>
      <c r="FG148" s="107" t="str">
        <f t="shared" ca="1" si="11"/>
        <v/>
      </c>
      <c r="FH148" s="107" t="str">
        <f t="shared" ca="1" si="12"/>
        <v/>
      </c>
    </row>
    <row r="149" spans="151:164" x14ac:dyDescent="0.45">
      <c r="EU149" s="107">
        <v>8</v>
      </c>
      <c r="EV149" s="108" t="str">
        <f t="array" aca="1" ref="EV149" ca="1">IF(INDIRECT("まとめ札!A"&amp;EU149&amp;"")&lt;&gt;0,INDIRECT("まとめ札!A"&amp;EU149&amp;"")&amp;"【1】","")</f>
        <v>赤 飯なし【1】</v>
      </c>
      <c r="EW149" s="108"/>
      <c r="EX149" s="108" t="str">
        <f>""</f>
        <v/>
      </c>
      <c r="EY149" s="108" t="str">
        <f ca="1">IF(EV149&lt;&gt;"",
IF(IF(COUNTIF(EV149,"*キャラ*"),
VLOOKUP("*キャラ*",商品マスタ一覧!$D:$J,7,FALSE),
IF(COUNTIF(EV149,"*赤*"),
VLOOKUP("*赤*",商品マスタ一覧!$D:$J,7,FALSE),
VLOOKUP(EV149,商品マスタ一覧!$D:$J,7,FALSE)))=0,"",
IF(FA149&lt;&gt;"",
IF(ROUND(
FA149/IF(COUNTIF(EV149,"*キャラ*"),
VLOOKUP("*キャラ*",商品マスタ一覧!$D:$J,7,FALSE),
IF(COUNTIF(EV149,"*赤*"),
VLOOKUP("*赤*",商品マスタ一覧!$D:$J,7,FALSE),
VLOOKUP(EV149,商品マスタ一覧!$D:$J,7,FALSE))),0)&lt;=0,1,
ROUND(
FA149/IF(COUNTIF(EV149,"*キャラ*"),
VLOOKUP("*キャラ*",商品マスタ一覧!$D:$J,7,FALSE),
IF(COUNTIF(EV149,"*赤*"),
VLOOKUP("*赤*",商品マスタ一覧!$D:$J,7,FALSE),
VLOOKUP(EV149,商品マスタ一覧!$D:$J,7,FALSE))),0)),"")),"")</f>
        <v/>
      </c>
      <c r="EZ149" s="109" t="str">
        <f ca="1">IF(EY149&lt;&gt;"",IF(VALUE(FA149)&gt;VALUE(IF(COUNTIF(EV149,"*キャラ*"),
VLOOKUP("*キャラ*",商品マスタ一覧!$D:$J,7,FALSE),
IF(COUNTIF(EV149,"*赤*"),
VLOOKUP("*赤*",商品マスタ一覧!$D:$J,7,FALSE),
VLOOKUP(EV149,商品マスタ一覧!$D:$J,7,FALSE)))*EY149),
"+"&amp;FA149-IF(COUNTIF(EV149,"*キャラ*"),
VLOOKUP("*キャラ*",商品マスタ一覧!$D:$J,7,FALSE),
IF(COUNTIF(EV149,"*赤*"),
VLOOKUP("*赤*",商品マスタ一覧!$D:$J,7,FALSE),
VLOOKUP(EV149,商品マスタ一覧!$D:$J,7,FALSE)))*EY149,
FA149-IF(COUNTIF(EV149,"*キャラ*"),
VLOOKUP("*キャラ*",商品マスタ一覧!$D:$J,7,FALSE),
IF(COUNTIF(EV149,"*赤*"),
VLOOKUP("*赤*",商品マスタ一覧!$D:$J,7,FALSE),
VLOOKUP(EV149,商品マスタ一覧!$D:$J,7,FALSE)))*EY149),"")</f>
        <v/>
      </c>
      <c r="FA149" s="107" t="str">
        <f t="array" aca="1" ref="FA149" ca="1">IF(INDIRECT("まとめ札!F"&amp;EU149&amp;"")&lt;&gt;0,INDIRECT("まとめ札!F"&amp;EU149&amp;""),"")</f>
        <v/>
      </c>
      <c r="FB149" s="107"/>
      <c r="FC149" s="107">
        <f ca="1">IF(EV149&lt;&gt;"",
IF(OR(COUNTIF(EV149,"*キャラ*"),COUNTIF(EV149,"*赤*")),24,
VLOOKUP(EV149,商品マスタ一覧!$D:$I,6,FALSE)),"")</f>
        <v>24</v>
      </c>
      <c r="FD149" s="107" t="str">
        <f t="shared" ca="1" si="9"/>
        <v/>
      </c>
      <c r="FE149" s="107" t="str">
        <f t="shared" ca="1" si="10"/>
        <v/>
      </c>
      <c r="FF149" s="107"/>
      <c r="FG149" s="107" t="str">
        <f t="shared" ca="1" si="11"/>
        <v/>
      </c>
      <c r="FH149" s="107" t="str">
        <f t="shared" ca="1" si="12"/>
        <v/>
      </c>
    </row>
    <row r="150" spans="151:164" x14ac:dyDescent="0.45">
      <c r="EU150" s="107"/>
      <c r="EV150" s="108" t="str">
        <f t="array" aca="1" ref="EV150" ca="1">IF(OR(INDIRECT("まとめ札!G"&amp;EU149&amp;"")="",INDIRECT("まとめ札!G"&amp;EU149&amp;"")=0),"",INDIRECT("まとめ札!A"&amp;EU149&amp;"")&amp;"【2】")</f>
        <v/>
      </c>
      <c r="EW150" s="108"/>
      <c r="EX150" s="108" t="str">
        <f>""</f>
        <v/>
      </c>
      <c r="EY150" s="108" t="str">
        <f ca="1">IF(EV150&lt;&gt;"",
IF(IF(COUNTIF(EV150,"*キャラ*"),
VLOOKUP("*キャラ*",商品マスタ一覧!$D:$J,7,FALSE),
IF(COUNTIF(EV150,"*赤*"),
VLOOKUP("*赤*",商品マスタ一覧!$D:$J,7,FALSE),
VLOOKUP(EV150,商品マスタ一覧!$D:$J,7,FALSE)))=0,"",
IF(FA150&lt;&gt;"",
IF(ROUND(
FA150/IF(COUNTIF(EV150,"*キャラ*"),
VLOOKUP("*キャラ*",商品マスタ一覧!$D:$J,7,FALSE),
IF(COUNTIF(EV150,"*赤*"),
VLOOKUP("*赤*",商品マスタ一覧!$D:$J,7,FALSE),
VLOOKUP(EV150,商品マスタ一覧!$D:$J,7,FALSE))),0)&lt;=0,1,
ROUND(
FA150/IF(COUNTIF(EV150,"*キャラ*"),
VLOOKUP("*キャラ*",商品マスタ一覧!$D:$J,7,FALSE),
IF(COUNTIF(EV150,"*赤*"),
VLOOKUP("*赤*",商品マスタ一覧!$D:$J,7,FALSE),
VLOOKUP(EV150,商品マスタ一覧!$D:$J,7,FALSE))),0)),"")),"")</f>
        <v/>
      </c>
      <c r="EZ150" s="109" t="str">
        <f ca="1">IF(EY150&lt;&gt;"",IF(VALUE(FA150)&gt;VALUE(IF(COUNTIF(EV150,"*キャラ*"),
VLOOKUP("*キャラ*",商品マスタ一覧!$D:$J,7,FALSE),
IF(COUNTIF(EV150,"*赤*"),
VLOOKUP("*赤*",商品マスタ一覧!$D:$J,7,FALSE),
VLOOKUP(EV150,商品マスタ一覧!$D:$J,7,FALSE)))*EY150),
"+"&amp;FA150-IF(COUNTIF(EV150,"*キャラ*"),
VLOOKUP("*キャラ*",商品マスタ一覧!$D:$J,7,FALSE),
IF(COUNTIF(EV150,"*赤*"),
VLOOKUP("*赤*",商品マスタ一覧!$D:$J,7,FALSE),
VLOOKUP(EV150,商品マスタ一覧!$D:$J,7,FALSE)))*EY150,
FA150-IF(COUNTIF(EV150,"*キャラ*"),
VLOOKUP("*キャラ*",商品マスタ一覧!$D:$J,7,FALSE),
IF(COUNTIF(EV150,"*赤*"),
VLOOKUP("*赤*",商品マスタ一覧!$D:$J,7,FALSE),
VLOOKUP(EV150,商品マスタ一覧!$D:$J,7,FALSE)))*EY150),"")</f>
        <v/>
      </c>
      <c r="FA150" s="107" t="str">
        <f t="array" aca="1" ref="FA150" ca="1">IF(OR(INDIRECT("まとめ札!G"&amp;EU149&amp;"")="",INDIRECT("まとめ札!G"&amp;EU149&amp;"")=0),"",INDIRECT("まとめ札!G"&amp;EU149&amp;""))</f>
        <v/>
      </c>
      <c r="FB150" s="107"/>
      <c r="FC150" s="107" t="str">
        <f ca="1">IF(EV150&lt;&gt;"",
IF(OR(COUNTIF(EV150,"*キャラ*"),COUNTIF(EV150,"*赤*")),24,
VLOOKUP(EV150,商品マスタ一覧!$D:$I,6,FALSE)),"")</f>
        <v/>
      </c>
      <c r="FD150" s="107" t="str">
        <f t="shared" ca="1" si="9"/>
        <v/>
      </c>
      <c r="FE150" s="107" t="str">
        <f t="shared" ca="1" si="10"/>
        <v/>
      </c>
      <c r="FF150" s="107"/>
      <c r="FG150" s="107" t="str">
        <f t="shared" ca="1" si="11"/>
        <v/>
      </c>
      <c r="FH150" s="107" t="str">
        <f t="shared" ca="1" si="12"/>
        <v/>
      </c>
    </row>
    <row r="151" spans="151:164" x14ac:dyDescent="0.45">
      <c r="EU151" s="107"/>
      <c r="EV151" s="108" t="str">
        <f t="array" aca="1" ref="EV151" ca="1">IF(OR(INDIRECT("まとめ札!H"&amp;EU149&amp;"")="",INDIRECT("まとめ札!H"&amp;EU149&amp;"")=0),"",INDIRECT("まとめ札!A"&amp;EU149&amp;"")&amp;"【3】")</f>
        <v/>
      </c>
      <c r="EW151" s="108"/>
      <c r="EX151" s="108" t="str">
        <f>""</f>
        <v/>
      </c>
      <c r="EY151" s="108" t="str">
        <f ca="1">IF(EV151&lt;&gt;"",
IF(IF(COUNTIF(EV151,"*キャラ*"),
VLOOKUP("*キャラ*",商品マスタ一覧!$D:$J,7,FALSE),
IF(COUNTIF(EV151,"*赤*"),
VLOOKUP("*赤*",商品マスタ一覧!$D:$J,7,FALSE),
VLOOKUP(EV151,商品マスタ一覧!$D:$J,7,FALSE)))=0,"",
IF(FA151&lt;&gt;"",
IF(ROUND(
FA151/IF(COUNTIF(EV151,"*キャラ*"),
VLOOKUP("*キャラ*",商品マスタ一覧!$D:$J,7,FALSE),
IF(COUNTIF(EV151,"*赤*"),
VLOOKUP("*赤*",商品マスタ一覧!$D:$J,7,FALSE),
VLOOKUP(EV151,商品マスタ一覧!$D:$J,7,FALSE))),0)&lt;=0,1,
ROUND(
FA151/IF(COUNTIF(EV151,"*キャラ*"),
VLOOKUP("*キャラ*",商品マスタ一覧!$D:$J,7,FALSE),
IF(COUNTIF(EV151,"*赤*"),
VLOOKUP("*赤*",商品マスタ一覧!$D:$J,7,FALSE),
VLOOKUP(EV151,商品マスタ一覧!$D:$J,7,FALSE))),0)),"")),"")</f>
        <v/>
      </c>
      <c r="EZ151" s="109" t="str">
        <f ca="1">IF(EY151&lt;&gt;"",IF(VALUE(FA151)&gt;VALUE(IF(COUNTIF(EV151,"*キャラ*"),
VLOOKUP("*キャラ*",商品マスタ一覧!$D:$J,7,FALSE),
IF(COUNTIF(EV151,"*赤*"),
VLOOKUP("*赤*",商品マスタ一覧!$D:$J,7,FALSE),
VLOOKUP(EV151,商品マスタ一覧!$D:$J,7,FALSE)))*EY151),
"+"&amp;FA151-IF(COUNTIF(EV151,"*キャラ*"),
VLOOKUP("*キャラ*",商品マスタ一覧!$D:$J,7,FALSE),
IF(COUNTIF(EV151,"*赤*"),
VLOOKUP("*赤*",商品マスタ一覧!$D:$J,7,FALSE),
VLOOKUP(EV151,商品マスタ一覧!$D:$J,7,FALSE)))*EY151,
FA151-IF(COUNTIF(EV151,"*キャラ*"),
VLOOKUP("*キャラ*",商品マスタ一覧!$D:$J,7,FALSE),
IF(COUNTIF(EV151,"*赤*"),
VLOOKUP("*赤*",商品マスタ一覧!$D:$J,7,FALSE),
VLOOKUP(EV151,商品マスタ一覧!$D:$J,7,FALSE)))*EY151),"")</f>
        <v/>
      </c>
      <c r="FA151" s="107" t="str">
        <f t="array" aca="1" ref="FA151" ca="1">IF(OR(INDIRECT("まとめ札!H"&amp;EU149&amp;"")="",INDIRECT("まとめ札!H"&amp;EU149&amp;"")=0),"",INDIRECT("まとめ札!H"&amp;EU149&amp;""))</f>
        <v/>
      </c>
      <c r="FB151" s="107"/>
      <c r="FC151" s="107" t="str">
        <f ca="1">IF(EV151&lt;&gt;"",
IF(OR(COUNTIF(EV151,"*キャラ*"),COUNTIF(EV151,"*赤*")),24,
VLOOKUP(EV151,商品マスタ一覧!$D:$I,6,FALSE)),"")</f>
        <v/>
      </c>
      <c r="FD151" s="107" t="str">
        <f t="shared" ca="1" si="9"/>
        <v/>
      </c>
      <c r="FE151" s="107" t="str">
        <f t="shared" ca="1" si="10"/>
        <v/>
      </c>
      <c r="FF151" s="107"/>
      <c r="FG151" s="107" t="str">
        <f t="shared" ca="1" si="11"/>
        <v/>
      </c>
      <c r="FH151" s="107" t="str">
        <f t="shared" ca="1" si="12"/>
        <v/>
      </c>
    </row>
    <row r="152" spans="151:164" x14ac:dyDescent="0.45">
      <c r="EU152" s="107"/>
      <c r="EV152" s="108" t="str">
        <f t="array" aca="1" ref="EV152" ca="1">IF(OR(INDIRECT("まとめ札!I"&amp;EU149&amp;"")="",INDIRECT("まとめ札!I"&amp;EU149&amp;"")=0),"",INDIRECT("まとめ札!A"&amp;EU149&amp;"")&amp;"【4】")</f>
        <v/>
      </c>
      <c r="EW152" s="108"/>
      <c r="EX152" s="108" t="str">
        <f>""</f>
        <v/>
      </c>
      <c r="EY152" s="108" t="str">
        <f ca="1">IF(EV152&lt;&gt;"",
IF(IF(COUNTIF(EV152,"*キャラ*"),
VLOOKUP("*キャラ*",商品マスタ一覧!$D:$J,7,FALSE),
IF(COUNTIF(EV152,"*赤*"),
VLOOKUP("*赤*",商品マスタ一覧!$D:$J,7,FALSE),
VLOOKUP(EV152,商品マスタ一覧!$D:$J,7,FALSE)))=0,"",
IF(FA152&lt;&gt;"",
IF(ROUND(
FA152/IF(COUNTIF(EV152,"*キャラ*"),
VLOOKUP("*キャラ*",商品マスタ一覧!$D:$J,7,FALSE),
IF(COUNTIF(EV152,"*赤*"),
VLOOKUP("*赤*",商品マスタ一覧!$D:$J,7,FALSE),
VLOOKUP(EV152,商品マスタ一覧!$D:$J,7,FALSE))),0)&lt;=0,1,
ROUND(
FA152/IF(COUNTIF(EV152,"*キャラ*"),
VLOOKUP("*キャラ*",商品マスタ一覧!$D:$J,7,FALSE),
IF(COUNTIF(EV152,"*赤*"),
VLOOKUP("*赤*",商品マスタ一覧!$D:$J,7,FALSE),
VLOOKUP(EV152,商品マスタ一覧!$D:$J,7,FALSE))),0)),"")),"")</f>
        <v/>
      </c>
      <c r="EZ152" s="109" t="str">
        <f ca="1">IF(EY152&lt;&gt;"",IF(VALUE(FA152)&gt;VALUE(IF(COUNTIF(EV152,"*キャラ*"),
VLOOKUP("*キャラ*",商品マスタ一覧!$D:$J,7,FALSE),
IF(COUNTIF(EV152,"*赤*"),
VLOOKUP("*赤*",商品マスタ一覧!$D:$J,7,FALSE),
VLOOKUP(EV152,商品マスタ一覧!$D:$J,7,FALSE)))*EY152),
"+"&amp;FA152-IF(COUNTIF(EV152,"*キャラ*"),
VLOOKUP("*キャラ*",商品マスタ一覧!$D:$J,7,FALSE),
IF(COUNTIF(EV152,"*赤*"),
VLOOKUP("*赤*",商品マスタ一覧!$D:$J,7,FALSE),
VLOOKUP(EV152,商品マスタ一覧!$D:$J,7,FALSE)))*EY152,
FA152-IF(COUNTIF(EV152,"*キャラ*"),
VLOOKUP("*キャラ*",商品マスタ一覧!$D:$J,7,FALSE),
IF(COUNTIF(EV152,"*赤*"),
VLOOKUP("*赤*",商品マスタ一覧!$D:$J,7,FALSE),
VLOOKUP(EV152,商品マスタ一覧!$D:$J,7,FALSE)))*EY152),"")</f>
        <v/>
      </c>
      <c r="FA152" s="107" t="str">
        <f t="array" aca="1" ref="FA152" ca="1">IF(OR(INDIRECT("まとめ札!I"&amp;EU149&amp;"")="",INDIRECT("まとめ札!I"&amp;EU149&amp;"")=0),"",INDIRECT("まとめ札!I"&amp;EU149&amp;""))</f>
        <v/>
      </c>
      <c r="FB152" s="107"/>
      <c r="FC152" s="107" t="str">
        <f ca="1">IF(EV152&lt;&gt;"",
IF(OR(COUNTIF(EV152,"*キャラ*"),COUNTIF(EV152,"*赤*")),24,
VLOOKUP(EV152,商品マスタ一覧!$D:$I,6,FALSE)),"")</f>
        <v/>
      </c>
      <c r="FD152" s="107" t="str">
        <f t="shared" ca="1" si="9"/>
        <v/>
      </c>
      <c r="FE152" s="107" t="str">
        <f t="shared" ca="1" si="10"/>
        <v/>
      </c>
      <c r="FF152" s="107"/>
      <c r="FG152" s="107" t="str">
        <f t="shared" ca="1" si="11"/>
        <v/>
      </c>
      <c r="FH152" s="107" t="str">
        <f t="shared" ca="1" si="12"/>
        <v/>
      </c>
    </row>
    <row r="153" spans="151:164" x14ac:dyDescent="0.45">
      <c r="EU153" s="107">
        <v>9</v>
      </c>
      <c r="EV153" s="108" t="str">
        <f t="array" aca="1" ref="EV153" ca="1">IF(INDIRECT("まとめ札!A"&amp;EU153&amp;"")&lt;&gt;0,INDIRECT("まとめ札!A"&amp;EU153&amp;"")&amp;"【1】","")</f>
        <v>社食  【1】</v>
      </c>
      <c r="EW153" s="108"/>
      <c r="EX153" s="108" t="str">
        <f>""</f>
        <v/>
      </c>
      <c r="EY153" s="108" t="e">
        <f ca="1">IF(EV153&lt;&gt;"",
IF(IF(COUNTIF(EV153,"*キャラ*"),
VLOOKUP("*キャラ*",商品マスタ一覧!$D:$J,7,FALSE),
IF(COUNTIF(EV153,"*赤*"),
VLOOKUP("*赤*",商品マスタ一覧!$D:$J,7,FALSE),
VLOOKUP(EV153,商品マスタ一覧!$D:$J,7,FALSE)))=0,"",
IF(FA153&lt;&gt;"",
IF(ROUND(
FA153/IF(COUNTIF(EV153,"*キャラ*"),
VLOOKUP("*キャラ*",商品マスタ一覧!$D:$J,7,FALSE),
IF(COUNTIF(EV153,"*赤*"),
VLOOKUP("*赤*",商品マスタ一覧!$D:$J,7,FALSE),
VLOOKUP(EV153,商品マスタ一覧!$D:$J,7,FALSE))),0)&lt;=0,1,
ROUND(
FA153/IF(COUNTIF(EV153,"*キャラ*"),
VLOOKUP("*キャラ*",商品マスタ一覧!$D:$J,7,FALSE),
IF(COUNTIF(EV153,"*赤*"),
VLOOKUP("*赤*",商品マスタ一覧!$D:$J,7,FALSE),
VLOOKUP(EV153,商品マスタ一覧!$D:$J,7,FALSE))),0)),"")),"")</f>
        <v>#N/A</v>
      </c>
      <c r="EZ153" s="109" t="e">
        <f ca="1">IF(EY153&lt;&gt;"",IF(VALUE(FA153)&gt;VALUE(IF(COUNTIF(EV153,"*キャラ*"),
VLOOKUP("*キャラ*",商品マスタ一覧!$D:$J,7,FALSE),
IF(COUNTIF(EV153,"*赤*"),
VLOOKUP("*赤*",商品マスタ一覧!$D:$J,7,FALSE),
VLOOKUP(EV153,商品マスタ一覧!$D:$J,7,FALSE)))*EY153),
"+"&amp;FA153-IF(COUNTIF(EV153,"*キャラ*"),
VLOOKUP("*キャラ*",商品マスタ一覧!$D:$J,7,FALSE),
IF(COUNTIF(EV153,"*赤*"),
VLOOKUP("*赤*",商品マスタ一覧!$D:$J,7,FALSE),
VLOOKUP(EV153,商品マスタ一覧!$D:$J,7,FALSE)))*EY153,
FA153-IF(COUNTIF(EV153,"*キャラ*"),
VLOOKUP("*キャラ*",商品マスタ一覧!$D:$J,7,FALSE),
IF(COUNTIF(EV153,"*赤*"),
VLOOKUP("*赤*",商品マスタ一覧!$D:$J,7,FALSE),
VLOOKUP(EV153,商品マスタ一覧!$D:$J,7,FALSE)))*EY153),"")</f>
        <v>#N/A</v>
      </c>
      <c r="FA153" s="107" t="str">
        <f t="array" aca="1" ref="FA153" ca="1">IF(INDIRECT("まとめ札!F"&amp;EU153&amp;"")&lt;&gt;0,INDIRECT("まとめ札!F"&amp;EU153&amp;""),"")</f>
        <v/>
      </c>
      <c r="FB153" s="107"/>
      <c r="FC153" s="107" t="e">
        <f ca="1">IF(EV153&lt;&gt;"",
IF(OR(COUNTIF(EV153,"*キャラ*"),COUNTIF(EV153,"*赤*")),24,
VLOOKUP(EV153,商品マスタ一覧!$D:$I,6,FALSE)),"")</f>
        <v>#N/A</v>
      </c>
      <c r="FD153" s="107" t="str">
        <f t="shared" ca="1" si="9"/>
        <v/>
      </c>
      <c r="FE153" s="107" t="str">
        <f t="shared" ca="1" si="10"/>
        <v/>
      </c>
      <c r="FF153" s="107"/>
      <c r="FG153" s="107" t="str">
        <f t="shared" ca="1" si="11"/>
        <v/>
      </c>
      <c r="FH153" s="107" t="str">
        <f t="shared" ca="1" si="12"/>
        <v/>
      </c>
    </row>
    <row r="154" spans="151:164" x14ac:dyDescent="0.45">
      <c r="EU154" s="107"/>
      <c r="EV154" s="108" t="str">
        <f t="array" aca="1" ref="EV154" ca="1">IF(OR(INDIRECT("まとめ札!G"&amp;EU153&amp;"")="",INDIRECT("まとめ札!G"&amp;EU153&amp;"")=0),"",INDIRECT("まとめ札!A"&amp;EU153&amp;"")&amp;"【2】")</f>
        <v/>
      </c>
      <c r="EW154" s="108"/>
      <c r="EX154" s="108" t="str">
        <f>""</f>
        <v/>
      </c>
      <c r="EY154" s="108" t="str">
        <f ca="1">IF(EV154&lt;&gt;"",
IF(IF(COUNTIF(EV154,"*キャラ*"),
VLOOKUP("*キャラ*",商品マスタ一覧!$D:$J,7,FALSE),
IF(COUNTIF(EV154,"*赤*"),
VLOOKUP("*赤*",商品マスタ一覧!$D:$J,7,FALSE),
VLOOKUP(EV154,商品マスタ一覧!$D:$J,7,FALSE)))=0,"",
IF(FA154&lt;&gt;"",
IF(ROUND(
FA154/IF(COUNTIF(EV154,"*キャラ*"),
VLOOKUP("*キャラ*",商品マスタ一覧!$D:$J,7,FALSE),
IF(COUNTIF(EV154,"*赤*"),
VLOOKUP("*赤*",商品マスタ一覧!$D:$J,7,FALSE),
VLOOKUP(EV154,商品マスタ一覧!$D:$J,7,FALSE))),0)&lt;=0,1,
ROUND(
FA154/IF(COUNTIF(EV154,"*キャラ*"),
VLOOKUP("*キャラ*",商品マスタ一覧!$D:$J,7,FALSE),
IF(COUNTIF(EV154,"*赤*"),
VLOOKUP("*赤*",商品マスタ一覧!$D:$J,7,FALSE),
VLOOKUP(EV154,商品マスタ一覧!$D:$J,7,FALSE))),0)),"")),"")</f>
        <v/>
      </c>
      <c r="EZ154" s="109" t="str">
        <f ca="1">IF(EY154&lt;&gt;"",IF(VALUE(FA154)&gt;VALUE(IF(COUNTIF(EV154,"*キャラ*"),
VLOOKUP("*キャラ*",商品マスタ一覧!$D:$J,7,FALSE),
IF(COUNTIF(EV154,"*赤*"),
VLOOKUP("*赤*",商品マスタ一覧!$D:$J,7,FALSE),
VLOOKUP(EV154,商品マスタ一覧!$D:$J,7,FALSE)))*EY154),
"+"&amp;FA154-IF(COUNTIF(EV154,"*キャラ*"),
VLOOKUP("*キャラ*",商品マスタ一覧!$D:$J,7,FALSE),
IF(COUNTIF(EV154,"*赤*"),
VLOOKUP("*赤*",商品マスタ一覧!$D:$J,7,FALSE),
VLOOKUP(EV154,商品マスタ一覧!$D:$J,7,FALSE)))*EY154,
FA154-IF(COUNTIF(EV154,"*キャラ*"),
VLOOKUP("*キャラ*",商品マスタ一覧!$D:$J,7,FALSE),
IF(COUNTIF(EV154,"*赤*"),
VLOOKUP("*赤*",商品マスタ一覧!$D:$J,7,FALSE),
VLOOKUP(EV154,商品マスタ一覧!$D:$J,7,FALSE)))*EY154),"")</f>
        <v/>
      </c>
      <c r="FA154" s="107" t="str">
        <f t="array" aca="1" ref="FA154" ca="1">IF(OR(INDIRECT("まとめ札!G"&amp;EU153&amp;"")="",INDIRECT("まとめ札!G"&amp;EU153&amp;"")=0),"",INDIRECT("まとめ札!G"&amp;EU153&amp;""))</f>
        <v/>
      </c>
      <c r="FB154" s="107"/>
      <c r="FC154" s="107" t="str">
        <f ca="1">IF(EV154&lt;&gt;"",
IF(OR(COUNTIF(EV154,"*キャラ*"),COUNTIF(EV154,"*赤*")),24,
VLOOKUP(EV154,商品マスタ一覧!$D:$I,6,FALSE)),"")</f>
        <v/>
      </c>
      <c r="FD154" s="107" t="str">
        <f t="shared" ca="1" si="9"/>
        <v/>
      </c>
      <c r="FE154" s="107" t="str">
        <f t="shared" ca="1" si="10"/>
        <v/>
      </c>
      <c r="FF154" s="107"/>
      <c r="FG154" s="107" t="str">
        <f t="shared" ca="1" si="11"/>
        <v/>
      </c>
      <c r="FH154" s="107" t="str">
        <f t="shared" ca="1" si="12"/>
        <v/>
      </c>
    </row>
    <row r="155" spans="151:164" x14ac:dyDescent="0.45">
      <c r="EU155" s="107"/>
      <c r="EV155" s="108" t="str">
        <f t="array" aca="1" ref="EV155" ca="1">IF(OR(INDIRECT("まとめ札!H"&amp;EU153&amp;"")="",INDIRECT("まとめ札!H"&amp;EU153&amp;"")=0),"",INDIRECT("まとめ札!A"&amp;EU153&amp;"")&amp;"【3】")</f>
        <v/>
      </c>
      <c r="EW155" s="108"/>
      <c r="EX155" s="108" t="str">
        <f>""</f>
        <v/>
      </c>
      <c r="EY155" s="108" t="str">
        <f ca="1">IF(EV155&lt;&gt;"",
IF(IF(COUNTIF(EV155,"*キャラ*"),
VLOOKUP("*キャラ*",商品マスタ一覧!$D:$J,7,FALSE),
IF(COUNTIF(EV155,"*赤*"),
VLOOKUP("*赤*",商品マスタ一覧!$D:$J,7,FALSE),
VLOOKUP(EV155,商品マスタ一覧!$D:$J,7,FALSE)))=0,"",
IF(FA155&lt;&gt;"",
IF(ROUND(
FA155/IF(COUNTIF(EV155,"*キャラ*"),
VLOOKUP("*キャラ*",商品マスタ一覧!$D:$J,7,FALSE),
IF(COUNTIF(EV155,"*赤*"),
VLOOKUP("*赤*",商品マスタ一覧!$D:$J,7,FALSE),
VLOOKUP(EV155,商品マスタ一覧!$D:$J,7,FALSE))),0)&lt;=0,1,
ROUND(
FA155/IF(COUNTIF(EV155,"*キャラ*"),
VLOOKUP("*キャラ*",商品マスタ一覧!$D:$J,7,FALSE),
IF(COUNTIF(EV155,"*赤*"),
VLOOKUP("*赤*",商品マスタ一覧!$D:$J,7,FALSE),
VLOOKUP(EV155,商品マスタ一覧!$D:$J,7,FALSE))),0)),"")),"")</f>
        <v/>
      </c>
      <c r="EZ155" s="109" t="str">
        <f ca="1">IF(EY155&lt;&gt;"",IF(VALUE(FA155)&gt;VALUE(IF(COUNTIF(EV155,"*キャラ*"),
VLOOKUP("*キャラ*",商品マスタ一覧!$D:$J,7,FALSE),
IF(COUNTIF(EV155,"*赤*"),
VLOOKUP("*赤*",商品マスタ一覧!$D:$J,7,FALSE),
VLOOKUP(EV155,商品マスタ一覧!$D:$J,7,FALSE)))*EY155),
"+"&amp;FA155-IF(COUNTIF(EV155,"*キャラ*"),
VLOOKUP("*キャラ*",商品マスタ一覧!$D:$J,7,FALSE),
IF(COUNTIF(EV155,"*赤*"),
VLOOKUP("*赤*",商品マスタ一覧!$D:$J,7,FALSE),
VLOOKUP(EV155,商品マスタ一覧!$D:$J,7,FALSE)))*EY155,
FA155-IF(COUNTIF(EV155,"*キャラ*"),
VLOOKUP("*キャラ*",商品マスタ一覧!$D:$J,7,FALSE),
IF(COUNTIF(EV155,"*赤*"),
VLOOKUP("*赤*",商品マスタ一覧!$D:$J,7,FALSE),
VLOOKUP(EV155,商品マスタ一覧!$D:$J,7,FALSE)))*EY155),"")</f>
        <v/>
      </c>
      <c r="FA155" s="107" t="str">
        <f t="array" aca="1" ref="FA155" ca="1">IF(OR(INDIRECT("まとめ札!H"&amp;EU153&amp;"")="",INDIRECT("まとめ札!H"&amp;EU153&amp;"")=0),"",INDIRECT("まとめ札!H"&amp;EU153&amp;""))</f>
        <v/>
      </c>
      <c r="FB155" s="107"/>
      <c r="FC155" s="107" t="str">
        <f ca="1">IF(EV155&lt;&gt;"",
IF(OR(COUNTIF(EV155,"*キャラ*"),COUNTIF(EV155,"*赤*")),24,
VLOOKUP(EV155,商品マスタ一覧!$D:$I,6,FALSE)),"")</f>
        <v/>
      </c>
      <c r="FD155" s="107" t="str">
        <f t="shared" ca="1" si="9"/>
        <v/>
      </c>
      <c r="FE155" s="107" t="str">
        <f t="shared" ca="1" si="10"/>
        <v/>
      </c>
      <c r="FF155" s="107"/>
      <c r="FG155" s="107" t="str">
        <f t="shared" ca="1" si="11"/>
        <v/>
      </c>
      <c r="FH155" s="107" t="str">
        <f t="shared" ca="1" si="12"/>
        <v/>
      </c>
    </row>
    <row r="156" spans="151:164" x14ac:dyDescent="0.45">
      <c r="EU156" s="107"/>
      <c r="EV156" s="108" t="str">
        <f t="array" aca="1" ref="EV156" ca="1">IF(OR(INDIRECT("まとめ札!I"&amp;EU153&amp;"")="",INDIRECT("まとめ札!I"&amp;EU153&amp;"")=0),"",INDIRECT("まとめ札!A"&amp;EU153&amp;"")&amp;"【4】")</f>
        <v/>
      </c>
      <c r="EW156" s="108"/>
      <c r="EX156" s="108" t="str">
        <f>""</f>
        <v/>
      </c>
      <c r="EY156" s="108" t="str">
        <f ca="1">IF(EV156&lt;&gt;"",
IF(IF(COUNTIF(EV156,"*キャラ*"),
VLOOKUP("*キャラ*",商品マスタ一覧!$D:$J,7,FALSE),
IF(COUNTIF(EV156,"*赤*"),
VLOOKUP("*赤*",商品マスタ一覧!$D:$J,7,FALSE),
VLOOKUP(EV156,商品マスタ一覧!$D:$J,7,FALSE)))=0,"",
IF(FA156&lt;&gt;"",
IF(ROUND(
FA156/IF(COUNTIF(EV156,"*キャラ*"),
VLOOKUP("*キャラ*",商品マスタ一覧!$D:$J,7,FALSE),
IF(COUNTIF(EV156,"*赤*"),
VLOOKUP("*赤*",商品マスタ一覧!$D:$J,7,FALSE),
VLOOKUP(EV156,商品マスタ一覧!$D:$J,7,FALSE))),0)&lt;=0,1,
ROUND(
FA156/IF(COUNTIF(EV156,"*キャラ*"),
VLOOKUP("*キャラ*",商品マスタ一覧!$D:$J,7,FALSE),
IF(COUNTIF(EV156,"*赤*"),
VLOOKUP("*赤*",商品マスタ一覧!$D:$J,7,FALSE),
VLOOKUP(EV156,商品マスタ一覧!$D:$J,7,FALSE))),0)),"")),"")</f>
        <v/>
      </c>
      <c r="EZ156" s="109" t="str">
        <f ca="1">IF(EY156&lt;&gt;"",IF(VALUE(FA156)&gt;VALUE(IF(COUNTIF(EV156,"*キャラ*"),
VLOOKUP("*キャラ*",商品マスタ一覧!$D:$J,7,FALSE),
IF(COUNTIF(EV156,"*赤*"),
VLOOKUP("*赤*",商品マスタ一覧!$D:$J,7,FALSE),
VLOOKUP(EV156,商品マスタ一覧!$D:$J,7,FALSE)))*EY156),
"+"&amp;FA156-IF(COUNTIF(EV156,"*キャラ*"),
VLOOKUP("*キャラ*",商品マスタ一覧!$D:$J,7,FALSE),
IF(COUNTIF(EV156,"*赤*"),
VLOOKUP("*赤*",商品マスタ一覧!$D:$J,7,FALSE),
VLOOKUP(EV156,商品マスタ一覧!$D:$J,7,FALSE)))*EY156,
FA156-IF(COUNTIF(EV156,"*キャラ*"),
VLOOKUP("*キャラ*",商品マスタ一覧!$D:$J,7,FALSE),
IF(COUNTIF(EV156,"*赤*"),
VLOOKUP("*赤*",商品マスタ一覧!$D:$J,7,FALSE),
VLOOKUP(EV156,商品マスタ一覧!$D:$J,7,FALSE)))*EY156),"")</f>
        <v/>
      </c>
      <c r="FA156" s="107" t="str">
        <f t="array" aca="1" ref="FA156" ca="1">IF(OR(INDIRECT("まとめ札!I"&amp;EU153&amp;"")="",INDIRECT("まとめ札!I"&amp;EU153&amp;"")=0),"",INDIRECT("まとめ札!I"&amp;EU153&amp;""))</f>
        <v/>
      </c>
      <c r="FB156" s="107"/>
      <c r="FC156" s="107" t="str">
        <f ca="1">IF(EV156&lt;&gt;"",
IF(OR(COUNTIF(EV156,"*キャラ*"),COUNTIF(EV156,"*赤*")),24,
VLOOKUP(EV156,商品マスタ一覧!$D:$I,6,FALSE)),"")</f>
        <v/>
      </c>
      <c r="FD156" s="107" t="str">
        <f t="shared" ca="1" si="9"/>
        <v/>
      </c>
      <c r="FE156" s="107" t="str">
        <f t="shared" ca="1" si="10"/>
        <v/>
      </c>
      <c r="FF156" s="107"/>
      <c r="FG156" s="107" t="str">
        <f t="shared" ca="1" si="11"/>
        <v/>
      </c>
      <c r="FH156" s="107" t="str">
        <f t="shared" ca="1" si="12"/>
        <v/>
      </c>
    </row>
    <row r="157" spans="151:164" x14ac:dyDescent="0.45">
      <c r="EU157" s="116"/>
      <c r="EV157" s="117" t="str" cm="1">
        <f t="array" aca="1" ref="EV157" ca="1">IFERROR(INDEX(先生札!$A$1:$N$24,SMALL(IF(先生札!$B$1:$B$24&lt;&gt;"",ROW(先生札!$B$1:$B$24),""),ROW(先生札!A1)),COLUMN(先生札!A$1)),"")</f>
        <v/>
      </c>
      <c r="EW157" s="117" cm="1">
        <f t="array" aca="1" ref="EW157" ca="1">IFERROR(INDEX(先生札!$A$1:$N$24,SMALL(IF(先生札!$B$1:$B$24&lt;&gt;"",ROW(先生札!$B$1:$B$24),""),ROW(先生札!B1)),COLUMN(先生札!B$1)),"")</f>
        <v>0</v>
      </c>
      <c r="EX157" s="116" t="s">
        <v>259</v>
      </c>
      <c r="EY157" s="116" t="str">
        <f>""</f>
        <v/>
      </c>
      <c r="EZ157" s="116" t="str">
        <f>""</f>
        <v/>
      </c>
      <c r="FA157" s="116" t="str">
        <f>""</f>
        <v/>
      </c>
      <c r="FB157" s="116" t="str" cm="1">
        <f t="array" aca="1" ref="FB157" ca="1">IFERROR(INDEX(先生札!$A$1:$N$24,SMALL(IF(先生札!$B$1:$B$24&lt;&gt;"",ROW(先生札!$B$1:$B$24),""),ROW(先生札!F1)),COLUMN(先生札!F$1)),"")</f>
        <v/>
      </c>
      <c r="FC157" s="116" t="str">
        <f>""</f>
        <v/>
      </c>
      <c r="FD157" s="116" t="str">
        <f>""</f>
        <v/>
      </c>
      <c r="FE157" s="116" t="str">
        <f>""</f>
        <v/>
      </c>
      <c r="FF157" s="116" t="str">
        <f>""</f>
        <v/>
      </c>
      <c r="FG157" s="116" t="str">
        <f t="shared" ca="1" si="11"/>
        <v/>
      </c>
      <c r="FH157" s="116" t="str">
        <f t="shared" ref="FH157:FH164" ca="1" si="13">IF(FB157&lt;&gt;"","TRUE","")</f>
        <v/>
      </c>
    </row>
    <row r="158" spans="151:164" x14ac:dyDescent="0.45">
      <c r="EU158" s="116"/>
      <c r="EV158" s="117" t="str" cm="1">
        <f t="array" aca="1" ref="EV158" ca="1">IFERROR(INDEX(先生札!$A$1:$N$24,SMALL(IF(先生札!$B$1:$B$24&lt;&gt;"",ROW(先生札!$B$1:$B$24),""),ROW(先生札!A2)),COLUMN(先生札!A$1)),"")</f>
        <v/>
      </c>
      <c r="EW158" s="117" cm="1">
        <f t="array" aca="1" ref="EW158" ca="1">IFERROR(INDEX(先生札!$A$1:$N$24,SMALL(IF(先生札!$B$1:$B$24&lt;&gt;"",ROW(先生札!$B$1:$B$24),""),ROW(先生札!B2)),COLUMN(先生札!B$1)),"")</f>
        <v>0</v>
      </c>
      <c r="EX158" s="116" t="s">
        <v>259</v>
      </c>
      <c r="EY158" s="116" t="str">
        <f>""</f>
        <v/>
      </c>
      <c r="EZ158" s="116" t="str">
        <f>""</f>
        <v/>
      </c>
      <c r="FA158" s="116" t="str">
        <f>""</f>
        <v/>
      </c>
      <c r="FB158" s="116" t="str" cm="1">
        <f t="array" aca="1" ref="FB158" ca="1">IFERROR(INDEX(先生札!$A$1:$N$24,SMALL(IF(先生札!$B$1:$B$24&lt;&gt;"",ROW(先生札!$B$1:$B$24),""),ROW(先生札!F2)),COLUMN(先生札!F$1)),"")</f>
        <v/>
      </c>
      <c r="FC158" s="116" t="str">
        <f>""</f>
        <v/>
      </c>
      <c r="FD158" s="116" t="str">
        <f>""</f>
        <v/>
      </c>
      <c r="FE158" s="116" t="str">
        <f>""</f>
        <v/>
      </c>
      <c r="FF158" s="116" t="str">
        <f>""</f>
        <v/>
      </c>
      <c r="FG158" s="116" t="str">
        <f t="shared" ca="1" si="11"/>
        <v/>
      </c>
      <c r="FH158" s="116" t="str">
        <f t="shared" ca="1" si="13"/>
        <v/>
      </c>
    </row>
    <row r="159" spans="151:164" x14ac:dyDescent="0.45">
      <c r="EU159" s="116"/>
      <c r="EV159" s="117" t="str" cm="1">
        <f t="array" aca="1" ref="EV159" ca="1">IFERROR(INDEX(先生札!$A$1:$N$24,SMALL(IF(先生札!$B$1:$B$24&lt;&gt;"",ROW(先生札!$B$1:$B$24),""),ROW(先生札!A3)),COLUMN(先生札!A$1)),"")</f>
        <v/>
      </c>
      <c r="EW159" s="117" cm="1">
        <f t="array" aca="1" ref="EW159" ca="1">IFERROR(INDEX(先生札!$A$1:$N$24,SMALL(IF(先生札!$B$1:$B$24&lt;&gt;"",ROW(先生札!$B$1:$B$24),""),ROW(先生札!B3)),COLUMN(先生札!B$1)),"")</f>
        <v>0</v>
      </c>
      <c r="EX159" s="116" t="s">
        <v>259</v>
      </c>
      <c r="EY159" s="116" t="str">
        <f>""</f>
        <v/>
      </c>
      <c r="EZ159" s="116" t="str">
        <f>""</f>
        <v/>
      </c>
      <c r="FA159" s="116" t="str">
        <f>""</f>
        <v/>
      </c>
      <c r="FB159" s="116" t="str" cm="1">
        <f t="array" aca="1" ref="FB159" ca="1">IFERROR(INDEX(先生札!$A$1:$N$24,SMALL(IF(先生札!$B$1:$B$24&lt;&gt;"",ROW(先生札!$B$1:$B$24),""),ROW(先生札!F3)),COLUMN(先生札!F$1)),"")</f>
        <v/>
      </c>
      <c r="FC159" s="116" t="str">
        <f>""</f>
        <v/>
      </c>
      <c r="FD159" s="116" t="str">
        <f>""</f>
        <v/>
      </c>
      <c r="FE159" s="116" t="str">
        <f>""</f>
        <v/>
      </c>
      <c r="FF159" s="116" t="str">
        <f>""</f>
        <v/>
      </c>
      <c r="FG159" s="116" t="str">
        <f t="shared" ca="1" si="11"/>
        <v/>
      </c>
      <c r="FH159" s="116" t="str">
        <f t="shared" ca="1" si="13"/>
        <v/>
      </c>
    </row>
    <row r="160" spans="151:164" x14ac:dyDescent="0.45">
      <c r="EU160" s="116"/>
      <c r="EV160" s="117" t="str" cm="1">
        <f t="array" aca="1" ref="EV160" ca="1">IFERROR(INDEX(先生札!$A$1:$N$24,SMALL(IF(先生札!$B$1:$B$24&lt;&gt;"",ROW(先生札!$B$1:$B$24),""),ROW(先生札!A4)),COLUMN(先生札!A$1)),"")</f>
        <v/>
      </c>
      <c r="EW160" s="117" cm="1">
        <f t="array" aca="1" ref="EW160" ca="1">IFERROR(INDEX(先生札!$A$1:$N$24,SMALL(IF(先生札!$B$1:$B$24&lt;&gt;"",ROW(先生札!$B$1:$B$24),""),ROW(先生札!B4)),COLUMN(先生札!B$1)),"")</f>
        <v>0</v>
      </c>
      <c r="EX160" s="116" t="s">
        <v>259</v>
      </c>
      <c r="EY160" s="116" t="str">
        <f>""</f>
        <v/>
      </c>
      <c r="EZ160" s="116" t="str">
        <f>""</f>
        <v/>
      </c>
      <c r="FA160" s="116" t="str">
        <f>""</f>
        <v/>
      </c>
      <c r="FB160" s="116" t="str" cm="1">
        <f t="array" aca="1" ref="FB160" ca="1">IFERROR(INDEX(先生札!$A$1:$N$24,SMALL(IF(先生札!$B$1:$B$24&lt;&gt;"",ROW(先生札!$B$1:$B$24),""),ROW(先生札!F4)),COLUMN(先生札!F$1)),"")</f>
        <v/>
      </c>
      <c r="FC160" s="116" t="str">
        <f>""</f>
        <v/>
      </c>
      <c r="FD160" s="116" t="str">
        <f>""</f>
        <v/>
      </c>
      <c r="FE160" s="116" t="str">
        <f>""</f>
        <v/>
      </c>
      <c r="FF160" s="116" t="str">
        <f>""</f>
        <v/>
      </c>
      <c r="FG160" s="116" t="str">
        <f t="shared" ca="1" si="11"/>
        <v/>
      </c>
      <c r="FH160" s="116" t="str">
        <f t="shared" ca="1" si="13"/>
        <v/>
      </c>
    </row>
    <row r="161" spans="151:164" x14ac:dyDescent="0.45">
      <c r="EU161" s="116"/>
      <c r="EV161" s="117" t="str" cm="1">
        <f t="array" aca="1" ref="EV161" ca="1">IFERROR(INDEX(先生札!$A$1:$N$24,SMALL(IF(先生札!$B$1:$B$24&lt;&gt;"",ROW(先生札!$B$1:$B$24),""),ROW(先生札!A5)),COLUMN(先生札!A$1)),"")</f>
        <v/>
      </c>
      <c r="EW161" s="117" cm="1">
        <f t="array" aca="1" ref="EW161" ca="1">IFERROR(INDEX(先生札!$A$1:$N$24,SMALL(IF(先生札!$B$1:$B$24&lt;&gt;"",ROW(先生札!$B$1:$B$24),""),ROW(先生札!B5)),COLUMN(先生札!B$1)),"")</f>
        <v>0</v>
      </c>
      <c r="EX161" s="116" t="s">
        <v>259</v>
      </c>
      <c r="EY161" s="116" t="str">
        <f>""</f>
        <v/>
      </c>
      <c r="EZ161" s="116" t="str">
        <f>""</f>
        <v/>
      </c>
      <c r="FA161" s="116" t="str">
        <f>""</f>
        <v/>
      </c>
      <c r="FB161" s="116" t="str" cm="1">
        <f t="array" aca="1" ref="FB161" ca="1">IFERROR(INDEX(先生札!$A$1:$N$24,SMALL(IF(先生札!$B$1:$B$24&lt;&gt;"",ROW(先生札!$B$1:$B$24),""),ROW(先生札!F5)),COLUMN(先生札!F$1)),"")</f>
        <v/>
      </c>
      <c r="FC161" s="116" t="str">
        <f>""</f>
        <v/>
      </c>
      <c r="FD161" s="116" t="str">
        <f>""</f>
        <v/>
      </c>
      <c r="FE161" s="116" t="str">
        <f>""</f>
        <v/>
      </c>
      <c r="FF161" s="116" t="str">
        <f>""</f>
        <v/>
      </c>
      <c r="FG161" s="116" t="str">
        <f t="shared" ca="1" si="11"/>
        <v/>
      </c>
      <c r="FH161" s="116" t="str">
        <f t="shared" ca="1" si="13"/>
        <v/>
      </c>
    </row>
    <row r="162" spans="151:164" x14ac:dyDescent="0.45">
      <c r="EU162" s="116"/>
      <c r="EV162" s="117" t="str" cm="1">
        <f t="array" aca="1" ref="EV162" ca="1">IFERROR(INDEX(先生札!$A$1:$N$24,SMALL(IF(先生札!$B$1:$B$24&lt;&gt;"",ROW(先生札!$B$1:$B$24),""),ROW(先生札!A6)),COLUMN(先生札!A$1)),"")</f>
        <v/>
      </c>
      <c r="EW162" s="117" cm="1">
        <f t="array" aca="1" ref="EW162" ca="1">IFERROR(INDEX(先生札!$A$1:$N$24,SMALL(IF(先生札!$B$1:$B$24&lt;&gt;"",ROW(先生札!$B$1:$B$24),""),ROW(先生札!B6)),COLUMN(先生札!B$1)),"")</f>
        <v>0</v>
      </c>
      <c r="EX162" s="116" t="s">
        <v>259</v>
      </c>
      <c r="EY162" s="116" t="str">
        <f>""</f>
        <v/>
      </c>
      <c r="EZ162" s="116" t="str">
        <f>""</f>
        <v/>
      </c>
      <c r="FA162" s="116" t="str">
        <f>""</f>
        <v/>
      </c>
      <c r="FB162" s="116" t="str" cm="1">
        <f t="array" aca="1" ref="FB162" ca="1">IFERROR(INDEX(先生札!$A$1:$N$24,SMALL(IF(先生札!$B$1:$B$24&lt;&gt;"",ROW(先生札!$B$1:$B$24),""),ROW(先生札!F6)),COLUMN(先生札!F$1)),"")</f>
        <v/>
      </c>
      <c r="FC162" s="116" t="str">
        <f>""</f>
        <v/>
      </c>
      <c r="FD162" s="116" t="str">
        <f>""</f>
        <v/>
      </c>
      <c r="FE162" s="116" t="str">
        <f>""</f>
        <v/>
      </c>
      <c r="FF162" s="116" t="str">
        <f>""</f>
        <v/>
      </c>
      <c r="FG162" s="116" t="str">
        <f t="shared" ca="1" si="11"/>
        <v/>
      </c>
      <c r="FH162" s="116" t="str">
        <f t="shared" ca="1" si="13"/>
        <v/>
      </c>
    </row>
    <row r="163" spans="151:164" x14ac:dyDescent="0.45">
      <c r="EU163" s="116"/>
      <c r="EV163" s="117" t="str" cm="1">
        <f t="array" aca="1" ref="EV163" ca="1">IFERROR(INDEX(先生札!$A$1:$N$24,SMALL(IF(先生札!$B$1:$B$24&lt;&gt;"",ROW(先生札!$B$1:$B$24),""),ROW(先生札!A7)),COLUMN(先生札!A$1)),"")</f>
        <v/>
      </c>
      <c r="EW163" s="117" cm="1">
        <f t="array" aca="1" ref="EW163" ca="1">IFERROR(INDEX(先生札!$A$1:$N$24,SMALL(IF(先生札!$B$1:$B$24&lt;&gt;"",ROW(先生札!$B$1:$B$24),""),ROW(先生札!B7)),COLUMN(先生札!B$1)),"")</f>
        <v>0</v>
      </c>
      <c r="EX163" s="116" t="s">
        <v>259</v>
      </c>
      <c r="EY163" s="116" t="str">
        <f>""</f>
        <v/>
      </c>
      <c r="EZ163" s="116" t="str">
        <f>""</f>
        <v/>
      </c>
      <c r="FA163" s="116" t="str">
        <f>""</f>
        <v/>
      </c>
      <c r="FB163" s="116" t="str" cm="1">
        <f t="array" aca="1" ref="FB163" ca="1">IFERROR(INDEX(先生札!$A$1:$N$24,SMALL(IF(先生札!$B$1:$B$24&lt;&gt;"",ROW(先生札!$B$1:$B$24),""),ROW(先生札!F7)),COLUMN(先生札!F$1)),"")</f>
        <v/>
      </c>
      <c r="FC163" s="116" t="str">
        <f>""</f>
        <v/>
      </c>
      <c r="FD163" s="116" t="str">
        <f>""</f>
        <v/>
      </c>
      <c r="FE163" s="116" t="str">
        <f>""</f>
        <v/>
      </c>
      <c r="FF163" s="116" t="str">
        <f>""</f>
        <v/>
      </c>
      <c r="FG163" s="116" t="str">
        <f t="shared" ca="1" si="11"/>
        <v/>
      </c>
      <c r="FH163" s="116" t="str">
        <f t="shared" ca="1" si="13"/>
        <v/>
      </c>
    </row>
    <row r="164" spans="151:164" x14ac:dyDescent="0.45">
      <c r="EU164" s="116"/>
      <c r="EV164" s="117" t="str" cm="1">
        <f t="array" aca="1" ref="EV164" ca="1">IFERROR(INDEX(先生札!$A$1:$N$24,SMALL(IF(先生札!$B$1:$B$24&lt;&gt;"",ROW(先生札!$B$1:$B$24),""),ROW(先生札!A8)),COLUMN(先生札!A$1)),"")</f>
        <v/>
      </c>
      <c r="EW164" s="117" cm="1">
        <f t="array" aca="1" ref="EW164" ca="1">IFERROR(INDEX(先生札!$A$1:$N$24,SMALL(IF(先生札!$B$1:$B$24&lt;&gt;"",ROW(先生札!$B$1:$B$24),""),ROW(先生札!B8)),COLUMN(先生札!B$1)),"")</f>
        <v>0</v>
      </c>
      <c r="EX164" s="116" t="s">
        <v>259</v>
      </c>
      <c r="EY164" s="116" t="str">
        <f>""</f>
        <v/>
      </c>
      <c r="EZ164" s="116" t="str">
        <f>""</f>
        <v/>
      </c>
      <c r="FA164" s="116" t="str">
        <f>""</f>
        <v/>
      </c>
      <c r="FB164" s="116" t="str" cm="1">
        <f t="array" aca="1" ref="FB164" ca="1">IFERROR(INDEX(先生札!$A$1:$N$24,SMALL(IF(先生札!$B$1:$B$24&lt;&gt;"",ROW(先生札!$B$1:$B$24),""),ROW(先生札!F8)),COLUMN(先生札!F$1)),"")</f>
        <v/>
      </c>
      <c r="FC164" s="116" t="str">
        <f>""</f>
        <v/>
      </c>
      <c r="FD164" s="116" t="str">
        <f>""</f>
        <v/>
      </c>
      <c r="FE164" s="116" t="str">
        <f>""</f>
        <v/>
      </c>
      <c r="FF164" s="116" t="str">
        <f>""</f>
        <v/>
      </c>
      <c r="FG164" s="116" t="str">
        <f t="shared" ca="1" si="11"/>
        <v/>
      </c>
      <c r="FH164" s="116" t="str">
        <f t="shared" ca="1" si="13"/>
        <v/>
      </c>
    </row>
    <row r="165" spans="151:164" x14ac:dyDescent="0.45">
      <c r="EU165" s="126"/>
      <c r="EV165" s="127" t="str">
        <f>社食等の札!A1</f>
        <v>社食</v>
      </c>
      <c r="EW165" s="127" t="str">
        <f ca="1">社食等の札!H1</f>
        <v/>
      </c>
      <c r="EX165" s="127" t="str">
        <f ca="1">社食等の札!I1</f>
        <v/>
      </c>
      <c r="EY165" s="127"/>
      <c r="EZ165" s="127"/>
      <c r="FA165" s="126" t="e">
        <f ca="1">社食等の札!E1</f>
        <v>#N/A</v>
      </c>
      <c r="FB165" s="126" t="str">
        <f>""</f>
        <v/>
      </c>
      <c r="FC165" s="126" t="e">
        <f ca="1">社食等の札!G1</f>
        <v>#N/A</v>
      </c>
      <c r="FD165" s="126"/>
      <c r="FE165" s="126" t="str">
        <f ca="1">社食等の札!J1</f>
        <v/>
      </c>
      <c r="FF165" s="126"/>
      <c r="FG165" s="126">
        <f t="shared" si="11"/>
        <v>165</v>
      </c>
      <c r="FH165" s="126" t="str">
        <f>IF(EV165&lt;&gt;"","TRUE","")</f>
        <v>TRUE</v>
      </c>
    </row>
    <row r="166" spans="151:164" x14ac:dyDescent="0.45">
      <c r="EU166" s="126"/>
      <c r="EV166" s="127" t="str">
        <f>社食等の札!A2</f>
        <v>社食</v>
      </c>
      <c r="EW166" s="127" t="str">
        <f ca="1">社食等の札!H2</f>
        <v/>
      </c>
      <c r="EX166" s="127" t="str">
        <f ca="1">社食等の札!I2</f>
        <v/>
      </c>
      <c r="EY166" s="127"/>
      <c r="EZ166" s="127"/>
      <c r="FA166" s="126" t="str">
        <f>""</f>
        <v/>
      </c>
      <c r="FB166" s="126" t="e">
        <f ca="1">社食等の札!F2</f>
        <v>#N/A</v>
      </c>
      <c r="FC166" s="126" t="e">
        <f ca="1">社食等の札!G2</f>
        <v>#N/A</v>
      </c>
      <c r="FD166" s="126"/>
      <c r="FE166" s="126" t="str">
        <f ca="1">社食等の札!J2</f>
        <v/>
      </c>
      <c r="FF166" s="126"/>
      <c r="FG166" s="126">
        <f t="shared" si="11"/>
        <v>166</v>
      </c>
      <c r="FH166" s="126" t="str">
        <f>IF(EV166&lt;&gt;"","TRUE","")</f>
        <v>TRUE</v>
      </c>
    </row>
    <row r="167" spans="151:164" x14ac:dyDescent="0.45">
      <c r="EU167" s="126"/>
      <c r="EV167" s="127" t="str">
        <f ca="1">社食等の札!A7</f>
        <v/>
      </c>
      <c r="EW167" s="127" t="str">
        <f ca="1">社食等の札!H7</f>
        <v/>
      </c>
      <c r="EX167" s="127"/>
      <c r="EY167" s="127"/>
      <c r="EZ167" s="127"/>
      <c r="FA167" s="126" t="str">
        <f ca="1">社食等の札!E7</f>
        <v/>
      </c>
      <c r="FB167" s="126" t="str">
        <f>""</f>
        <v/>
      </c>
      <c r="FC167" s="126" t="str">
        <f ca="1">社食等の札!G7</f>
        <v/>
      </c>
      <c r="FD167" s="126"/>
      <c r="FE167" s="126" t="str">
        <f ca="1">社食等の札!J7</f>
        <v/>
      </c>
      <c r="FF167" s="126"/>
      <c r="FG167" s="126" t="str">
        <f t="shared" ca="1" si="11"/>
        <v/>
      </c>
      <c r="FH167" s="126" t="str">
        <f ca="1">IF(EV167&lt;&gt;"","TRUE","")</f>
        <v/>
      </c>
    </row>
    <row r="168" spans="151:164" x14ac:dyDescent="0.45">
      <c r="EU168" s="126"/>
      <c r="EV168" s="127" t="str">
        <f ca="1">社食等の札!A8</f>
        <v/>
      </c>
      <c r="EW168" s="127" t="str">
        <f ca="1">社食等の札!H8</f>
        <v/>
      </c>
      <c r="EX168" s="127"/>
      <c r="EY168" s="127"/>
      <c r="EZ168" s="127"/>
      <c r="FA168" s="126" t="str">
        <f>""</f>
        <v/>
      </c>
      <c r="FB168" s="126" t="str">
        <f ca="1">社食等の札!F8</f>
        <v/>
      </c>
      <c r="FC168" s="126" t="str">
        <f ca="1">社食等の札!G8</f>
        <v/>
      </c>
      <c r="FD168" s="126"/>
      <c r="FE168" s="126" t="str">
        <f ca="1">社食等の札!J8</f>
        <v/>
      </c>
      <c r="FF168" s="126"/>
      <c r="FG168" s="126" t="str">
        <f t="shared" ca="1" si="11"/>
        <v/>
      </c>
      <c r="FH168" s="126" t="str">
        <f ca="1">IF(EV168&lt;&gt;"","TRUE","")</f>
        <v/>
      </c>
    </row>
  </sheetData>
  <mergeCells count="1920">
    <mergeCell ref="BS84:BT84"/>
    <mergeCell ref="BZ81:CA82"/>
    <mergeCell ref="AN74:AO75"/>
    <mergeCell ref="AA59:AB59"/>
    <mergeCell ref="R66:S66"/>
    <mergeCell ref="ER28:ES28"/>
    <mergeCell ref="DZ80:EA80"/>
    <mergeCell ref="AP18:AQ19"/>
    <mergeCell ref="J60:K61"/>
    <mergeCell ref="EN49:EO49"/>
    <mergeCell ref="DV63:DW63"/>
    <mergeCell ref="CI24:CJ24"/>
    <mergeCell ref="CX67:CY68"/>
    <mergeCell ref="AI73:AJ73"/>
    <mergeCell ref="CI39:CJ40"/>
    <mergeCell ref="AG10:AH10"/>
    <mergeCell ref="CI32:CJ33"/>
    <mergeCell ref="AV53:AW54"/>
    <mergeCell ref="EN77:EO77"/>
    <mergeCell ref="EO45:EP45"/>
    <mergeCell ref="DU24:DV24"/>
    <mergeCell ref="AI81:AJ82"/>
    <mergeCell ref="EJ67:EK68"/>
    <mergeCell ref="EO81:EP82"/>
    <mergeCell ref="DJ21:DK21"/>
    <mergeCell ref="DU32:DV33"/>
    <mergeCell ref="CW49:CX49"/>
    <mergeCell ref="L46:M47"/>
    <mergeCell ref="BJ70:BK70"/>
    <mergeCell ref="EH52:EI52"/>
    <mergeCell ref="DK57:DN57"/>
    <mergeCell ref="EI49:EJ49"/>
    <mergeCell ref="T39:U40"/>
    <mergeCell ref="BZ57:CC57"/>
    <mergeCell ref="DG70:DH70"/>
    <mergeCell ref="EC7:ED7"/>
    <mergeCell ref="AV43:AY43"/>
    <mergeCell ref="J36:M36"/>
    <mergeCell ref="CC56:CD56"/>
    <mergeCell ref="BL77:BM77"/>
    <mergeCell ref="BK10:BL10"/>
    <mergeCell ref="BU7:BV7"/>
    <mergeCell ref="AH28:AI28"/>
    <mergeCell ref="DM32:DN33"/>
    <mergeCell ref="C71:F71"/>
    <mergeCell ref="BZ53:CA54"/>
    <mergeCell ref="AH21:AI21"/>
    <mergeCell ref="AY77:AZ77"/>
    <mergeCell ref="AV36:AY36"/>
    <mergeCell ref="C11:D12"/>
    <mergeCell ref="J32:K33"/>
    <mergeCell ref="U49:V49"/>
    <mergeCell ref="AI25:AJ26"/>
    <mergeCell ref="CN70:CO70"/>
    <mergeCell ref="CR21:CS21"/>
    <mergeCell ref="CV11:CW12"/>
    <mergeCell ref="Y31:Z31"/>
    <mergeCell ref="E25:F26"/>
    <mergeCell ref="E45:F45"/>
    <mergeCell ref="CG43:CJ43"/>
    <mergeCell ref="DN56:DO56"/>
    <mergeCell ref="DK17:DL17"/>
    <mergeCell ref="DU52:DV52"/>
    <mergeCell ref="DR7:DS7"/>
    <mergeCell ref="C74:D75"/>
    <mergeCell ref="DG56:DH56"/>
    <mergeCell ref="AN36:AQ36"/>
    <mergeCell ref="EN84:EO84"/>
    <mergeCell ref="DY14:DZ14"/>
    <mergeCell ref="AN29:AQ29"/>
    <mergeCell ref="CV59:CW59"/>
    <mergeCell ref="CB38:CC38"/>
    <mergeCell ref="AQ35:AR35"/>
    <mergeCell ref="Y1:AB1"/>
    <mergeCell ref="S35:T35"/>
    <mergeCell ref="BL21:BM21"/>
    <mergeCell ref="BD70:BE70"/>
    <mergeCell ref="AX24:AY24"/>
    <mergeCell ref="AG11:AH12"/>
    <mergeCell ref="CV67:CW68"/>
    <mergeCell ref="BD63:BE63"/>
    <mergeCell ref="BZ29:CC29"/>
    <mergeCell ref="EH59:EI59"/>
    <mergeCell ref="DM66:DN66"/>
    <mergeCell ref="I77:J77"/>
    <mergeCell ref="AX32:AY33"/>
    <mergeCell ref="Z49:AA49"/>
    <mergeCell ref="AV15:AY15"/>
    <mergeCell ref="CC28:CD28"/>
    <mergeCell ref="CX31:CY31"/>
    <mergeCell ref="DN63:DO63"/>
    <mergeCell ref="BS14:BT14"/>
    <mergeCell ref="AN57:AQ57"/>
    <mergeCell ref="CW84:CX84"/>
    <mergeCell ref="BU70:BV70"/>
    <mergeCell ref="DD81:DE82"/>
    <mergeCell ref="DF46:DG47"/>
    <mergeCell ref="X35:Y35"/>
    <mergeCell ref="CX80:CY80"/>
    <mergeCell ref="EQ66:ER66"/>
    <mergeCell ref="CB32:CC33"/>
    <mergeCell ref="EO3:EP3"/>
    <mergeCell ref="EG77:EH77"/>
    <mergeCell ref="EB31:EC31"/>
    <mergeCell ref="CO52:CP52"/>
    <mergeCell ref="CW14:CX14"/>
    <mergeCell ref="BR57:BU57"/>
    <mergeCell ref="EQ74:ER75"/>
    <mergeCell ref="DC21:DD21"/>
    <mergeCell ref="CP49:CQ49"/>
    <mergeCell ref="DK22:DN22"/>
    <mergeCell ref="BD42:BE42"/>
    <mergeCell ref="BD77:BE77"/>
    <mergeCell ref="BK11:BL12"/>
    <mergeCell ref="DD57:DG57"/>
    <mergeCell ref="EK70:EL70"/>
    <mergeCell ref="Z21:AA21"/>
    <mergeCell ref="AG17:AH17"/>
    <mergeCell ref="AP53:AQ54"/>
    <mergeCell ref="BR74:BS75"/>
    <mergeCell ref="BE59:BF59"/>
    <mergeCell ref="BL49:BM49"/>
    <mergeCell ref="EN21:EO21"/>
    <mergeCell ref="AG80:AH80"/>
    <mergeCell ref="CV80:CW80"/>
    <mergeCell ref="DE35:DF35"/>
    <mergeCell ref="BS28:BT28"/>
    <mergeCell ref="AN71:AQ71"/>
    <mergeCell ref="DS8:DV8"/>
    <mergeCell ref="S77:T77"/>
    <mergeCell ref="DK66:DL66"/>
    <mergeCell ref="DR56:DS56"/>
    <mergeCell ref="CB81:CC82"/>
    <mergeCell ref="DR28:DS28"/>
    <mergeCell ref="BM31:BN31"/>
    <mergeCell ref="BB35:BC35"/>
    <mergeCell ref="C29:F29"/>
    <mergeCell ref="EP21:EQ21"/>
    <mergeCell ref="EC42:ED42"/>
    <mergeCell ref="Z84:AA84"/>
    <mergeCell ref="CY28:CZ28"/>
    <mergeCell ref="AA52:AB52"/>
    <mergeCell ref="BT18:BU19"/>
    <mergeCell ref="R31:S31"/>
    <mergeCell ref="BL84:BM84"/>
    <mergeCell ref="BT53:BU54"/>
    <mergeCell ref="AG74:AH75"/>
    <mergeCell ref="L81:M82"/>
    <mergeCell ref="EN14:EO14"/>
    <mergeCell ref="T59:U59"/>
    <mergeCell ref="R24:S24"/>
    <mergeCell ref="CG73:CH73"/>
    <mergeCell ref="AG67:AH68"/>
    <mergeCell ref="BR29:BU29"/>
    <mergeCell ref="DZ59:EA59"/>
    <mergeCell ref="CN56:CO56"/>
    <mergeCell ref="AX81:AY82"/>
    <mergeCell ref="BC52:BD52"/>
    <mergeCell ref="AI31:AJ31"/>
    <mergeCell ref="DZ67:EA68"/>
    <mergeCell ref="AV73:AW73"/>
    <mergeCell ref="K63:L63"/>
    <mergeCell ref="CF7:CG7"/>
    <mergeCell ref="AG29:AJ29"/>
    <mergeCell ref="CH63:CI63"/>
    <mergeCell ref="CO59:CP59"/>
    <mergeCell ref="BD28:BE28"/>
    <mergeCell ref="CV71:CY71"/>
    <mergeCell ref="Z14:AA14"/>
    <mergeCell ref="AW63:AX63"/>
    <mergeCell ref="BD84:BE84"/>
    <mergeCell ref="ER77:ES77"/>
    <mergeCell ref="EH60:EI61"/>
    <mergeCell ref="Y74:Z75"/>
    <mergeCell ref="DF66:DG66"/>
    <mergeCell ref="J3:K3"/>
    <mergeCell ref="L59:M59"/>
    <mergeCell ref="BK71:BN71"/>
    <mergeCell ref="DN21:DO21"/>
    <mergeCell ref="CQ31:CR31"/>
    <mergeCell ref="CF35:CG35"/>
    <mergeCell ref="BL14:BM14"/>
    <mergeCell ref="AG57:AJ57"/>
    <mergeCell ref="CP84:CQ84"/>
    <mergeCell ref="DD39:DE40"/>
    <mergeCell ref="BN70:BO70"/>
    <mergeCell ref="AA10:AB10"/>
    <mergeCell ref="R81:S82"/>
    <mergeCell ref="BZ22:CC22"/>
    <mergeCell ref="EA56:EB56"/>
    <mergeCell ref="S42:T42"/>
    <mergeCell ref="BK67:BL68"/>
    <mergeCell ref="EJ66:EK66"/>
    <mergeCell ref="BF42:BG42"/>
    <mergeCell ref="J81:K82"/>
    <mergeCell ref="CQ73:CR73"/>
    <mergeCell ref="AV25:AW26"/>
    <mergeCell ref="K42:L42"/>
    <mergeCell ref="EQ39:ER40"/>
    <mergeCell ref="EH3:EI3"/>
    <mergeCell ref="BC46:BD47"/>
    <mergeCell ref="BR22:BU22"/>
    <mergeCell ref="DF31:DG31"/>
    <mergeCell ref="D56:E56"/>
    <mergeCell ref="J53:K54"/>
    <mergeCell ref="DJ35:DK35"/>
    <mergeCell ref="CP14:CQ14"/>
    <mergeCell ref="EJ74:EK75"/>
    <mergeCell ref="Y50:AB50"/>
    <mergeCell ref="CR70:CS70"/>
    <mergeCell ref="DJ28:DK28"/>
    <mergeCell ref="CP7:CQ7"/>
    <mergeCell ref="CR42:CS42"/>
    <mergeCell ref="DD22:DG22"/>
    <mergeCell ref="AB49:AC49"/>
    <mergeCell ref="BE3:BF3"/>
    <mergeCell ref="X70:Y70"/>
    <mergeCell ref="J73:K73"/>
    <mergeCell ref="BT46:BU47"/>
    <mergeCell ref="BC59:BD59"/>
    <mergeCell ref="AI38:AJ38"/>
    <mergeCell ref="EH31:EI31"/>
    <mergeCell ref="CV24:CW24"/>
    <mergeCell ref="I7:J7"/>
    <mergeCell ref="ER84:ES84"/>
    <mergeCell ref="EH25:EI26"/>
    <mergeCell ref="DM74:DN75"/>
    <mergeCell ref="CX3:CY3"/>
    <mergeCell ref="AU35:AV35"/>
    <mergeCell ref="AQ56:AR56"/>
    <mergeCell ref="BR4:BS5"/>
    <mergeCell ref="CJ42:CK42"/>
    <mergeCell ref="BK60:BL61"/>
    <mergeCell ref="AX45:AY45"/>
    <mergeCell ref="DD46:DE47"/>
    <mergeCell ref="M77:N77"/>
    <mergeCell ref="C18:D19"/>
    <mergeCell ref="S84:T84"/>
    <mergeCell ref="DG77:DH77"/>
    <mergeCell ref="AN73:AO73"/>
    <mergeCell ref="T52:U52"/>
    <mergeCell ref="ER70:ES70"/>
    <mergeCell ref="AN66:AO66"/>
    <mergeCell ref="AA4:AB5"/>
    <mergeCell ref="DZ24:EA24"/>
    <mergeCell ref="AN81:AO82"/>
    <mergeCell ref="T60:U61"/>
    <mergeCell ref="EO67:EP68"/>
    <mergeCell ref="BM46:BN47"/>
    <mergeCell ref="DZ17:EA17"/>
    <mergeCell ref="BE80:BF80"/>
    <mergeCell ref="EQ11:ER12"/>
    <mergeCell ref="BZ66:CA66"/>
    <mergeCell ref="J25:K26"/>
    <mergeCell ref="J45:K45"/>
    <mergeCell ref="T80:U80"/>
    <mergeCell ref="B7:C7"/>
    <mergeCell ref="D63:E63"/>
    <mergeCell ref="EJ60:EK61"/>
    <mergeCell ref="CO17:CP17"/>
    <mergeCell ref="EH43:EK43"/>
    <mergeCell ref="CO60:CP61"/>
    <mergeCell ref="DF11:DG12"/>
    <mergeCell ref="CB45:CC45"/>
    <mergeCell ref="BQ49:BR49"/>
    <mergeCell ref="AW28:AX28"/>
    <mergeCell ref="R71:U71"/>
    <mergeCell ref="R18:S19"/>
    <mergeCell ref="L24:M24"/>
    <mergeCell ref="S14:T14"/>
    <mergeCell ref="BK36:BN36"/>
    <mergeCell ref="AA67:AB68"/>
    <mergeCell ref="EK77:EL77"/>
    <mergeCell ref="Y32:Z33"/>
    <mergeCell ref="E59:F59"/>
    <mergeCell ref="AG22:AJ22"/>
    <mergeCell ref="CH56:CI56"/>
    <mergeCell ref="BN35:BO35"/>
    <mergeCell ref="DG21:DH21"/>
    <mergeCell ref="CB11:CC12"/>
    <mergeCell ref="BR66:BS66"/>
    <mergeCell ref="CV64:CY64"/>
    <mergeCell ref="BR38:BS38"/>
    <mergeCell ref="BY28:BZ28"/>
    <mergeCell ref="AM21:AN21"/>
    <mergeCell ref="DT56:DU56"/>
    <mergeCell ref="AN25:AO26"/>
    <mergeCell ref="EB18:EC19"/>
    <mergeCell ref="C45:D45"/>
    <mergeCell ref="EP70:EQ70"/>
    <mergeCell ref="BE67:BF68"/>
    <mergeCell ref="EB73:EC73"/>
    <mergeCell ref="AY42:AZ42"/>
    <mergeCell ref="BK22:BN22"/>
    <mergeCell ref="EJ39:EK40"/>
    <mergeCell ref="DL56:DM56"/>
    <mergeCell ref="CR35:CS35"/>
    <mergeCell ref="C53:D54"/>
    <mergeCell ref="EG42:EH42"/>
    <mergeCell ref="BK15:BN15"/>
    <mergeCell ref="T67:U68"/>
    <mergeCell ref="DS45:DT45"/>
    <mergeCell ref="CG38:CH38"/>
    <mergeCell ref="EB81:EC82"/>
    <mergeCell ref="DZ64:EC64"/>
    <mergeCell ref="DC28:DD28"/>
    <mergeCell ref="BQ21:BR21"/>
    <mergeCell ref="BC24:BD24"/>
    <mergeCell ref="EJ52:EK52"/>
    <mergeCell ref="C66:D66"/>
    <mergeCell ref="BC32:BD33"/>
    <mergeCell ref="M63:N63"/>
    <mergeCell ref="CH28:CI28"/>
    <mergeCell ref="BT31:BU31"/>
    <mergeCell ref="EQ46:ER47"/>
    <mergeCell ref="AV31:AW31"/>
    <mergeCell ref="Y80:Z80"/>
    <mergeCell ref="EO50:ER50"/>
    <mergeCell ref="CV60:CW61"/>
    <mergeCell ref="CX74:CY75"/>
    <mergeCell ref="AN1:AQ1"/>
    <mergeCell ref="CV31:CW31"/>
    <mergeCell ref="CB10:CC10"/>
    <mergeCell ref="R36:U36"/>
    <mergeCell ref="CQ53:CR54"/>
    <mergeCell ref="BS70:BT70"/>
    <mergeCell ref="U35:V35"/>
    <mergeCell ref="CG78:CJ78"/>
    <mergeCell ref="Q56:R56"/>
    <mergeCell ref="X77:Y77"/>
    <mergeCell ref="E24:F24"/>
    <mergeCell ref="BJ42:BK42"/>
    <mergeCell ref="DE70:DF70"/>
    <mergeCell ref="BC64:BF64"/>
    <mergeCell ref="R32:S33"/>
    <mergeCell ref="EA7:EB7"/>
    <mergeCell ref="E17:F17"/>
    <mergeCell ref="BT66:BU66"/>
    <mergeCell ref="BR31:BS31"/>
    <mergeCell ref="DN35:DO35"/>
    <mergeCell ref="CA56:CB56"/>
    <mergeCell ref="BR3:BS3"/>
    <mergeCell ref="DN28:DO28"/>
    <mergeCell ref="CA49:CB49"/>
    <mergeCell ref="CI18:CJ19"/>
    <mergeCell ref="CO64:CR64"/>
    <mergeCell ref="AB70:AC70"/>
    <mergeCell ref="AF21:AG21"/>
    <mergeCell ref="DU18:DV19"/>
    <mergeCell ref="CJ7:CK7"/>
    <mergeCell ref="AF49:AG49"/>
    <mergeCell ref="DK11:DL12"/>
    <mergeCell ref="AJ84:AK84"/>
    <mergeCell ref="E74:F75"/>
    <mergeCell ref="X21:Y21"/>
    <mergeCell ref="CB80:CC80"/>
    <mergeCell ref="DL14:DM14"/>
    <mergeCell ref="Y3:Z3"/>
    <mergeCell ref="DU66:DV66"/>
    <mergeCell ref="Q77:R77"/>
    <mergeCell ref="AN46:AO47"/>
    <mergeCell ref="DU81:DV82"/>
    <mergeCell ref="BZ38:CA38"/>
    <mergeCell ref="BE45:BF45"/>
    <mergeCell ref="DS57:DV57"/>
    <mergeCell ref="AP10:AQ10"/>
    <mergeCell ref="C31:D31"/>
    <mergeCell ref="BB63:BC63"/>
    <mergeCell ref="BE53:BF54"/>
    <mergeCell ref="BC36:BF36"/>
    <mergeCell ref="AV32:AW33"/>
    <mergeCell ref="D28:E28"/>
    <mergeCell ref="DL84:DM84"/>
    <mergeCell ref="BM81:BN82"/>
    <mergeCell ref="DM80:DN80"/>
    <mergeCell ref="AN31:AO31"/>
    <mergeCell ref="CJ35:CK35"/>
    <mergeCell ref="CX11:CY12"/>
    <mergeCell ref="AG66:AH66"/>
    <mergeCell ref="BZ11:CA12"/>
    <mergeCell ref="CG32:CH33"/>
    <mergeCell ref="AQ63:AR63"/>
    <mergeCell ref="B49:C49"/>
    <mergeCell ref="BZ31:CA31"/>
    <mergeCell ref="C1:F1"/>
    <mergeCell ref="DM81:DN82"/>
    <mergeCell ref="CW21:CX21"/>
    <mergeCell ref="Y45:Z45"/>
    <mergeCell ref="BU49:BV49"/>
    <mergeCell ref="BR11:BS12"/>
    <mergeCell ref="AH70:AI70"/>
    <mergeCell ref="EP14:EQ14"/>
    <mergeCell ref="DF80:DG80"/>
    <mergeCell ref="CI25:CJ26"/>
    <mergeCell ref="BR46:BS47"/>
    <mergeCell ref="CI45:CJ45"/>
    <mergeCell ref="DU25:DV26"/>
    <mergeCell ref="AG31:AH31"/>
    <mergeCell ref="CI53:CJ54"/>
    <mergeCell ref="AV74:AW75"/>
    <mergeCell ref="J8:M8"/>
    <mergeCell ref="AQ21:AR21"/>
    <mergeCell ref="CV73:CW73"/>
    <mergeCell ref="BZ32:CA33"/>
    <mergeCell ref="AX18:AY19"/>
    <mergeCell ref="L11:M12"/>
    <mergeCell ref="EO59:EP59"/>
    <mergeCell ref="AG39:AH40"/>
    <mergeCell ref="I56:J56"/>
    <mergeCell ref="M7:N7"/>
    <mergeCell ref="EO74:EP75"/>
    <mergeCell ref="DU53:DV54"/>
    <mergeCell ref="CW70:CX70"/>
    <mergeCell ref="L67:M68"/>
    <mergeCell ref="AV8:AY8"/>
    <mergeCell ref="BK73:BL73"/>
    <mergeCell ref="DE84:DF84"/>
    <mergeCell ref="DM53:DN54"/>
    <mergeCell ref="BZ74:CA75"/>
    <mergeCell ref="BM59:BN59"/>
    <mergeCell ref="AN8:AQ8"/>
    <mergeCell ref="BU21:BV21"/>
    <mergeCell ref="CO22:CR22"/>
    <mergeCell ref="CB18:CC19"/>
    <mergeCell ref="AP11:AQ12"/>
    <mergeCell ref="EH8:EK8"/>
    <mergeCell ref="BK39:BL40"/>
    <mergeCell ref="AM56:AN56"/>
    <mergeCell ref="AQ7:AR7"/>
    <mergeCell ref="S7:T7"/>
    <mergeCell ref="BC81:BD82"/>
    <mergeCell ref="BZ8:CC8"/>
    <mergeCell ref="Q63:R63"/>
    <mergeCell ref="BT80:BU80"/>
    <mergeCell ref="DK10:DL10"/>
    <mergeCell ref="CC7:CD7"/>
    <mergeCell ref="DM38:DN38"/>
    <mergeCell ref="Y52:Z52"/>
    <mergeCell ref="CU7:CV7"/>
    <mergeCell ref="EH73:EI73"/>
    <mergeCell ref="CQ39:CR40"/>
    <mergeCell ref="DK78:DN78"/>
    <mergeCell ref="AU56:AV56"/>
    <mergeCell ref="AY7:AZ7"/>
    <mergeCell ref="CN42:CO42"/>
    <mergeCell ref="DC84:DD84"/>
    <mergeCell ref="AN38:AO38"/>
    <mergeCell ref="CG64:CJ64"/>
    <mergeCell ref="EP77:EQ77"/>
    <mergeCell ref="Z70:AA70"/>
    <mergeCell ref="B70:C70"/>
    <mergeCell ref="CX52:CY52"/>
    <mergeCell ref="EQ38:ER38"/>
    <mergeCell ref="BS35:BT35"/>
    <mergeCell ref="AN78:AQ78"/>
    <mergeCell ref="DK60:DL61"/>
    <mergeCell ref="DL21:DM21"/>
    <mergeCell ref="CG11:CH12"/>
    <mergeCell ref="BL70:BM70"/>
    <mergeCell ref="DZ29:EC29"/>
    <mergeCell ref="BJ7:BK7"/>
    <mergeCell ref="AA66:AB66"/>
    <mergeCell ref="BZ78:CC78"/>
    <mergeCell ref="DY49:DZ49"/>
    <mergeCell ref="DM17:DN17"/>
    <mergeCell ref="Y39:Z40"/>
    <mergeCell ref="BT24:BU24"/>
    <mergeCell ref="BK31:BL31"/>
    <mergeCell ref="CA14:CB14"/>
    <mergeCell ref="EO15:ER15"/>
    <mergeCell ref="EO39:EP40"/>
    <mergeCell ref="EB25:EC26"/>
    <mergeCell ref="EK63:EL63"/>
    <mergeCell ref="DV35:DW35"/>
    <mergeCell ref="EB53:EC54"/>
    <mergeCell ref="DS17:DT17"/>
    <mergeCell ref="DV28:DW28"/>
    <mergeCell ref="C25:D26"/>
    <mergeCell ref="DS32:DT33"/>
    <mergeCell ref="CU49:CV49"/>
    <mergeCell ref="C8:F8"/>
    <mergeCell ref="BB7:BC7"/>
    <mergeCell ref="AJ21:AK21"/>
    <mergeCell ref="CO73:CP73"/>
    <mergeCell ref="E11:F12"/>
    <mergeCell ref="CW35:CX35"/>
    <mergeCell ref="BR78:BU78"/>
    <mergeCell ref="B56:C56"/>
    <mergeCell ref="F7:G7"/>
    <mergeCell ref="Y25:Z26"/>
    <mergeCell ref="EO32:EP33"/>
    <mergeCell ref="CY63:CZ63"/>
    <mergeCell ref="CW28:CX28"/>
    <mergeCell ref="CN7:CO7"/>
    <mergeCell ref="EH67:EI68"/>
    <mergeCell ref="CP63:CQ63"/>
    <mergeCell ref="DD78:DG78"/>
    <mergeCell ref="BK25:BL26"/>
    <mergeCell ref="CG22:CJ22"/>
    <mergeCell ref="DD71:DG71"/>
    <mergeCell ref="Z42:AA42"/>
    <mergeCell ref="DY35:DZ35"/>
    <mergeCell ref="DE14:DF14"/>
    <mergeCell ref="AN50:AQ50"/>
    <mergeCell ref="K7:L7"/>
    <mergeCell ref="AG46:AH47"/>
    <mergeCell ref="I63:J63"/>
    <mergeCell ref="DS22:DV22"/>
    <mergeCell ref="CG45:CH45"/>
    <mergeCell ref="CN35:CO35"/>
    <mergeCell ref="AB14:AC14"/>
    <mergeCell ref="AI10:AJ10"/>
    <mergeCell ref="C50:F50"/>
    <mergeCell ref="BE66:BF66"/>
    <mergeCell ref="BM60:BN61"/>
    <mergeCell ref="CH42:CI42"/>
    <mergeCell ref="BN21:BO21"/>
    <mergeCell ref="AI11:AJ12"/>
    <mergeCell ref="AO49:AP49"/>
    <mergeCell ref="AV45:AW45"/>
    <mergeCell ref="CV50:CY50"/>
    <mergeCell ref="BC25:BD26"/>
    <mergeCell ref="AI4:AJ5"/>
    <mergeCell ref="EK35:EL35"/>
    <mergeCell ref="DE77:DF77"/>
    <mergeCell ref="BM80:BN80"/>
    <mergeCell ref="CY49:CZ49"/>
    <mergeCell ref="BU14:BV14"/>
    <mergeCell ref="Y46:Z47"/>
    <mergeCell ref="DF38:DG38"/>
    <mergeCell ref="DM39:DN40"/>
    <mergeCell ref="R45:S45"/>
    <mergeCell ref="BN49:BO49"/>
    <mergeCell ref="U56:V56"/>
    <mergeCell ref="AB77:AC77"/>
    <mergeCell ref="BN42:BO42"/>
    <mergeCell ref="BK46:BL47"/>
    <mergeCell ref="EA28:EB28"/>
    <mergeCell ref="DK45:DL45"/>
    <mergeCell ref="BC73:BD73"/>
    <mergeCell ref="CV18:CW19"/>
    <mergeCell ref="DF67:DG68"/>
    <mergeCell ref="BN77:BO77"/>
    <mergeCell ref="CB53:CC54"/>
    <mergeCell ref="C10:D10"/>
    <mergeCell ref="AM77:AN77"/>
    <mergeCell ref="DJ77:DK77"/>
    <mergeCell ref="I28:J28"/>
    <mergeCell ref="CF28:CG28"/>
    <mergeCell ref="AI67:AJ68"/>
    <mergeCell ref="AG50:AJ50"/>
    <mergeCell ref="EO64:ER64"/>
    <mergeCell ref="CV81:CW82"/>
    <mergeCell ref="CI66:CJ66"/>
    <mergeCell ref="CF21:CG21"/>
    <mergeCell ref="CP56:CQ56"/>
    <mergeCell ref="CW77:CX77"/>
    <mergeCell ref="R15:U15"/>
    <mergeCell ref="BY77:BZ77"/>
    <mergeCell ref="BZ45:CA45"/>
    <mergeCell ref="BE52:BF52"/>
    <mergeCell ref="Z35:AA35"/>
    <mergeCell ref="AU21:AV21"/>
    <mergeCell ref="M56:N56"/>
    <mergeCell ref="J17:K17"/>
    <mergeCell ref="CQ52:CR52"/>
    <mergeCell ref="EJ38:EK38"/>
    <mergeCell ref="AG78:AJ78"/>
    <mergeCell ref="DD60:DE61"/>
    <mergeCell ref="CF49:CG49"/>
    <mergeCell ref="BL28:BM28"/>
    <mergeCell ref="BZ43:CC43"/>
    <mergeCell ref="AV17:AW17"/>
    <mergeCell ref="AY56:AZ56"/>
    <mergeCell ref="DS29:DV29"/>
    <mergeCell ref="BF77:BG77"/>
    <mergeCell ref="AO84:AP84"/>
    <mergeCell ref="EH24:EI24"/>
    <mergeCell ref="EQ60:ER61"/>
    <mergeCell ref="AN17:AO17"/>
    <mergeCell ref="J74:K75"/>
    <mergeCell ref="AU7:AV7"/>
    <mergeCell ref="EN63:EO63"/>
    <mergeCell ref="BR36:BU36"/>
    <mergeCell ref="L18:M19"/>
    <mergeCell ref="AF84:AG84"/>
    <mergeCell ref="DU45:DV45"/>
    <mergeCell ref="CI38:CJ38"/>
    <mergeCell ref="R25:S26"/>
    <mergeCell ref="EH32:EI33"/>
    <mergeCell ref="DJ49:DK49"/>
    <mergeCell ref="CR63:CS63"/>
    <mergeCell ref="CP28:CQ28"/>
    <mergeCell ref="DK31:DL31"/>
    <mergeCell ref="BE24:BF24"/>
    <mergeCell ref="BT67:BU68"/>
    <mergeCell ref="AI59:AJ59"/>
    <mergeCell ref="Q7:R7"/>
    <mergeCell ref="AA24:AB24"/>
    <mergeCell ref="AB21:AC21"/>
    <mergeCell ref="DR49:DS49"/>
    <mergeCell ref="X42:Y42"/>
    <mergeCell ref="DZ18:EA19"/>
    <mergeCell ref="R39:S40"/>
    <mergeCell ref="BM24:BN24"/>
    <mergeCell ref="ER14:ES14"/>
    <mergeCell ref="AF70:AG70"/>
    <mergeCell ref="BU84:BV84"/>
    <mergeCell ref="EO71:ER71"/>
    <mergeCell ref="BY49:BZ49"/>
    <mergeCell ref="CG18:CH19"/>
    <mergeCell ref="T24:U24"/>
    <mergeCell ref="BY84:BZ84"/>
    <mergeCell ref="DZ36:EC36"/>
    <mergeCell ref="DT70:DU70"/>
    <mergeCell ref="EC35:ED35"/>
    <mergeCell ref="DS18:DT19"/>
    <mergeCell ref="J64:M64"/>
    <mergeCell ref="DS11:DT12"/>
    <mergeCell ref="CJ63:CK63"/>
    <mergeCell ref="DZ32:EA33"/>
    <mergeCell ref="AO14:AP14"/>
    <mergeCell ref="BK81:BL82"/>
    <mergeCell ref="J57:M57"/>
    <mergeCell ref="AX66:AY66"/>
    <mergeCell ref="DD67:DE68"/>
    <mergeCell ref="CV15:CY15"/>
    <mergeCell ref="DK80:DL80"/>
    <mergeCell ref="AH49:AI49"/>
    <mergeCell ref="AF14:AG14"/>
    <mergeCell ref="AV57:AY57"/>
    <mergeCell ref="DF39:DG40"/>
    <mergeCell ref="T38:U38"/>
    <mergeCell ref="T81:U82"/>
    <mergeCell ref="BC18:BD19"/>
    <mergeCell ref="BM67:BN68"/>
    <mergeCell ref="U77:V77"/>
    <mergeCell ref="EC49:ED49"/>
    <mergeCell ref="EQ25:ER26"/>
    <mergeCell ref="DC77:DD77"/>
    <mergeCell ref="EJ81:EK82"/>
    <mergeCell ref="EH64:EK64"/>
    <mergeCell ref="B21:C21"/>
    <mergeCell ref="CB66:CC66"/>
    <mergeCell ref="BY21:BZ21"/>
    <mergeCell ref="DT84:DU84"/>
    <mergeCell ref="AW49:AX49"/>
    <mergeCell ref="BZ3:CA3"/>
    <mergeCell ref="AX52:AY52"/>
    <mergeCell ref="L45:M45"/>
    <mergeCell ref="BQ63:BR63"/>
    <mergeCell ref="CO46:CP47"/>
    <mergeCell ref="DZ8:EC8"/>
    <mergeCell ref="L38:M38"/>
    <mergeCell ref="EJ3:EK3"/>
    <mergeCell ref="C17:D17"/>
    <mergeCell ref="F56:G56"/>
    <mergeCell ref="CQ10:CR10"/>
    <mergeCell ref="CF14:CG14"/>
    <mergeCell ref="DC63:DD63"/>
    <mergeCell ref="DJ84:DK84"/>
    <mergeCell ref="CH70:CI70"/>
    <mergeCell ref="AX38:AY38"/>
    <mergeCell ref="CV8:CY8"/>
    <mergeCell ref="CY7:CZ7"/>
    <mergeCell ref="DF3:DG3"/>
    <mergeCell ref="BN7:BO7"/>
    <mergeCell ref="EK7:EL7"/>
    <mergeCell ref="DT28:DU28"/>
    <mergeCell ref="CI52:CJ52"/>
    <mergeCell ref="CO18:CP19"/>
    <mergeCell ref="BK52:BL52"/>
    <mergeCell ref="DS66:DT66"/>
    <mergeCell ref="DC49:DD49"/>
    <mergeCell ref="BQ42:BR42"/>
    <mergeCell ref="DZ78:EC78"/>
    <mergeCell ref="L32:M33"/>
    <mergeCell ref="BQ77:BR77"/>
    <mergeCell ref="DS74:DT75"/>
    <mergeCell ref="EJ73:EK73"/>
    <mergeCell ref="AN10:AO10"/>
    <mergeCell ref="BK59:BL59"/>
    <mergeCell ref="AP66:AQ66"/>
    <mergeCell ref="BC53:BD54"/>
    <mergeCell ref="AI32:AJ33"/>
    <mergeCell ref="K49:L49"/>
    <mergeCell ref="AN3:AO3"/>
    <mergeCell ref="AF77:AG77"/>
    <mergeCell ref="EB17:EC17"/>
    <mergeCell ref="EH4:EI5"/>
    <mergeCell ref="DD38:DE38"/>
    <mergeCell ref="CV32:CW33"/>
    <mergeCell ref="BF63:BG63"/>
    <mergeCell ref="BR43:BU43"/>
    <mergeCell ref="CX4:CY5"/>
    <mergeCell ref="AU63:AV63"/>
    <mergeCell ref="EI56:EJ56"/>
    <mergeCell ref="AX53:AY54"/>
    <mergeCell ref="CQ18:CR19"/>
    <mergeCell ref="CX39:CY40"/>
    <mergeCell ref="BF35:BG35"/>
    <mergeCell ref="EJ4:EK5"/>
    <mergeCell ref="BF7:BG7"/>
    <mergeCell ref="CU42:CV42"/>
    <mergeCell ref="J11:K12"/>
    <mergeCell ref="R52:S52"/>
    <mergeCell ref="CO36:CR36"/>
    <mergeCell ref="AV11:AW12"/>
    <mergeCell ref="DV49:DW49"/>
    <mergeCell ref="EN35:EO35"/>
    <mergeCell ref="J4:K5"/>
    <mergeCell ref="CX60:CY61"/>
    <mergeCell ref="DD3:DE3"/>
    <mergeCell ref="EJ25:EK26"/>
    <mergeCell ref="CI10:CJ10"/>
    <mergeCell ref="BF28:BG28"/>
    <mergeCell ref="DS46:DT47"/>
    <mergeCell ref="CU63:CV63"/>
    <mergeCell ref="CX53:CY54"/>
    <mergeCell ref="BT4:BU5"/>
    <mergeCell ref="AP38:AQ38"/>
    <mergeCell ref="CO32:CP33"/>
    <mergeCell ref="AY63:AZ63"/>
    <mergeCell ref="EO31:EP31"/>
    <mergeCell ref="DU10:DV10"/>
    <mergeCell ref="DJ14:DK14"/>
    <mergeCell ref="EG63:EH63"/>
    <mergeCell ref="EJ53:EK54"/>
    <mergeCell ref="EP42:EQ42"/>
    <mergeCell ref="EQ3:ER3"/>
    <mergeCell ref="EO4:EP5"/>
    <mergeCell ref="AM7:AN7"/>
    <mergeCell ref="T3:U3"/>
    <mergeCell ref="BD14:BE14"/>
    <mergeCell ref="Q35:R35"/>
    <mergeCell ref="AI46:AJ47"/>
    <mergeCell ref="DZ1:EC1"/>
    <mergeCell ref="BS21:BT21"/>
    <mergeCell ref="AF42:AG42"/>
    <mergeCell ref="DK46:DL47"/>
    <mergeCell ref="CO78:CR78"/>
    <mergeCell ref="BL35:BM35"/>
    <mergeCell ref="CG29:CJ29"/>
    <mergeCell ref="AN4:AO5"/>
    <mergeCell ref="S63:T63"/>
    <mergeCell ref="DN77:DO77"/>
    <mergeCell ref="E66:F66"/>
    <mergeCell ref="BE32:BF33"/>
    <mergeCell ref="CJ28:CK28"/>
    <mergeCell ref="BR80:BS80"/>
    <mergeCell ref="J22:M22"/>
    <mergeCell ref="AG71:AJ71"/>
    <mergeCell ref="BC8:BF8"/>
    <mergeCell ref="CJ21:CK21"/>
    <mergeCell ref="BR73:BS73"/>
    <mergeCell ref="DK38:DL38"/>
    <mergeCell ref="CQ17:CR17"/>
    <mergeCell ref="BZ4:CA5"/>
    <mergeCell ref="AH14:AI14"/>
    <mergeCell ref="CC77:CD77"/>
    <mergeCell ref="C57:F57"/>
    <mergeCell ref="AJ70:AK70"/>
    <mergeCell ref="BS42:BT42"/>
    <mergeCell ref="CO8:CR8"/>
    <mergeCell ref="DV21:DW21"/>
    <mergeCell ref="DD73:DE73"/>
    <mergeCell ref="AA32:AB33"/>
    <mergeCell ref="CR7:CS7"/>
    <mergeCell ref="C4:D5"/>
    <mergeCell ref="BQ14:BR14"/>
    <mergeCell ref="CN63:CO63"/>
    <mergeCell ref="AY21:AZ21"/>
    <mergeCell ref="EQ52:ER52"/>
    <mergeCell ref="Y24:Z24"/>
    <mergeCell ref="AN67:AO68"/>
    <mergeCell ref="DC14:DD14"/>
    <mergeCell ref="ER21:ES21"/>
    <mergeCell ref="DF52:DG52"/>
    <mergeCell ref="DC7:DD7"/>
    <mergeCell ref="DS39:DT40"/>
    <mergeCell ref="DM11:DN12"/>
    <mergeCell ref="DS78:DV78"/>
    <mergeCell ref="CP35:CQ35"/>
    <mergeCell ref="Y71:AB71"/>
    <mergeCell ref="AP31:AQ31"/>
    <mergeCell ref="CI17:CJ17"/>
    <mergeCell ref="BE74:BF75"/>
    <mergeCell ref="DD43:DG43"/>
    <mergeCell ref="AI66:AJ66"/>
    <mergeCell ref="AP39:AQ40"/>
    <mergeCell ref="AN22:AQ22"/>
    <mergeCell ref="CV52:CW52"/>
    <mergeCell ref="CB31:CC31"/>
    <mergeCell ref="AV46:AW47"/>
    <mergeCell ref="CG8:CJ8"/>
    <mergeCell ref="EO38:EP38"/>
    <mergeCell ref="DU17:DV17"/>
    <mergeCell ref="CQ74:CR75"/>
    <mergeCell ref="CV45:CW45"/>
    <mergeCell ref="BQ28:BR28"/>
    <mergeCell ref="DN84:DO84"/>
    <mergeCell ref="CI74:CJ75"/>
    <mergeCell ref="J29:M29"/>
    <mergeCell ref="CC49:CD49"/>
    <mergeCell ref="AQ42:AR42"/>
    <mergeCell ref="T73:U73"/>
    <mergeCell ref="AQ77:AR77"/>
    <mergeCell ref="BT39:BU40"/>
    <mergeCell ref="BK3:BL3"/>
    <mergeCell ref="AG60:AH61"/>
    <mergeCell ref="CO1:CR1"/>
    <mergeCell ref="DV14:DW14"/>
    <mergeCell ref="M28:N28"/>
    <mergeCell ref="BZ46:CA47"/>
    <mergeCell ref="DU74:DV75"/>
    <mergeCell ref="DZ45:EA45"/>
    <mergeCell ref="AV29:AY29"/>
    <mergeCell ref="CU28:CV28"/>
    <mergeCell ref="CJ84:CK84"/>
    <mergeCell ref="AG3:AH3"/>
    <mergeCell ref="DV84:DW84"/>
    <mergeCell ref="BD56:BE56"/>
    <mergeCell ref="AX10:AY10"/>
    <mergeCell ref="CW42:CX42"/>
    <mergeCell ref="AM14:AN14"/>
    <mergeCell ref="BJ63:BK63"/>
    <mergeCell ref="BQ84:BR84"/>
    <mergeCell ref="DK50:DN50"/>
    <mergeCell ref="AV1:AY1"/>
    <mergeCell ref="DN49:DO49"/>
    <mergeCell ref="CA70:CB70"/>
    <mergeCell ref="BR60:BS61"/>
    <mergeCell ref="CG1:CJ1"/>
    <mergeCell ref="DD50:DG50"/>
    <mergeCell ref="DN14:DO14"/>
    <mergeCell ref="AP46:AQ47"/>
    <mergeCell ref="DG49:DH49"/>
    <mergeCell ref="DM46:DN47"/>
    <mergeCell ref="BU42:BV42"/>
    <mergeCell ref="AG43:AJ43"/>
    <mergeCell ref="BU77:BV77"/>
    <mergeCell ref="DS1:DV1"/>
    <mergeCell ref="AM49:AN49"/>
    <mergeCell ref="S28:T28"/>
    <mergeCell ref="E31:F31"/>
    <mergeCell ref="AX17:AY17"/>
    <mergeCell ref="AG4:AH5"/>
    <mergeCell ref="EO18:EP19"/>
    <mergeCell ref="AJ77:AK77"/>
    <mergeCell ref="DK3:DL3"/>
    <mergeCell ref="DM59:DN59"/>
    <mergeCell ref="E39:F40"/>
    <mergeCell ref="C22:F22"/>
    <mergeCell ref="AJ35:AK35"/>
    <mergeCell ref="CC21:CD21"/>
    <mergeCell ref="DK39:DL40"/>
    <mergeCell ref="AX11:AY12"/>
    <mergeCell ref="DM67:DN68"/>
    <mergeCell ref="BR67:BS68"/>
    <mergeCell ref="S56:T56"/>
    <mergeCell ref="Z77:AA77"/>
    <mergeCell ref="EG7:EH7"/>
    <mergeCell ref="DY56:DZ56"/>
    <mergeCell ref="BZ50:CC50"/>
    <mergeCell ref="F42:G42"/>
    <mergeCell ref="CX73:CY73"/>
    <mergeCell ref="EJ80:EK80"/>
    <mergeCell ref="AX67:AY68"/>
    <mergeCell ref="EQ59:ER59"/>
    <mergeCell ref="AI39:AJ40"/>
    <mergeCell ref="K56:L56"/>
    <mergeCell ref="CV10:CW10"/>
    <mergeCell ref="ER35:ES35"/>
    <mergeCell ref="Y64:AB64"/>
    <mergeCell ref="CO45:CP45"/>
    <mergeCell ref="CW7:CX7"/>
    <mergeCell ref="EQ67:ER68"/>
    <mergeCell ref="BJ28:BK28"/>
    <mergeCell ref="AW56:AX56"/>
    <mergeCell ref="CO81:CP82"/>
    <mergeCell ref="DK15:DN15"/>
    <mergeCell ref="BT25:BU26"/>
    <mergeCell ref="DY70:DZ70"/>
    <mergeCell ref="BK64:BN64"/>
    <mergeCell ref="Y60:Z61"/>
    <mergeCell ref="ER63:ES63"/>
    <mergeCell ref="DG63:DH63"/>
    <mergeCell ref="EG35:EH35"/>
    <mergeCell ref="EQ80:ER80"/>
    <mergeCell ref="EH45:EI45"/>
    <mergeCell ref="E38:F38"/>
    <mergeCell ref="E53:F54"/>
    <mergeCell ref="EI42:EJ42"/>
    <mergeCell ref="AA80:AB80"/>
    <mergeCell ref="DE42:DF42"/>
    <mergeCell ref="CJ49:CK49"/>
    <mergeCell ref="DG84:DH84"/>
    <mergeCell ref="BM3:BN3"/>
    <mergeCell ref="DR21:DS21"/>
    <mergeCell ref="AJ42:AK42"/>
    <mergeCell ref="BB28:BC28"/>
    <mergeCell ref="CB67:CC68"/>
    <mergeCell ref="CI80:CJ80"/>
    <mergeCell ref="BM39:BN40"/>
    <mergeCell ref="DZ10:EA10"/>
    <mergeCell ref="EB66:EC66"/>
    <mergeCell ref="EO53:EP54"/>
    <mergeCell ref="CN28:CO28"/>
    <mergeCell ref="CN21:CO21"/>
    <mergeCell ref="CX25:CY26"/>
    <mergeCell ref="J31:K31"/>
    <mergeCell ref="BC17:BD17"/>
    <mergeCell ref="BM52:BN52"/>
    <mergeCell ref="BT11:BU12"/>
    <mergeCell ref="K28:L28"/>
    <mergeCell ref="AQ84:AR84"/>
    <mergeCell ref="L74:M75"/>
    <mergeCell ref="BK43:BN43"/>
    <mergeCell ref="Y36:AB36"/>
    <mergeCell ref="CR56:CS56"/>
    <mergeCell ref="CG66:CH66"/>
    <mergeCell ref="DY84:DZ84"/>
    <mergeCell ref="AB35:AC35"/>
    <mergeCell ref="DF4:DG5"/>
    <mergeCell ref="CC84:CD84"/>
    <mergeCell ref="AX74:AY75"/>
    <mergeCell ref="BC45:BD45"/>
    <mergeCell ref="AI24:AJ24"/>
    <mergeCell ref="CA84:CB84"/>
    <mergeCell ref="AA81:AB82"/>
    <mergeCell ref="BM25:BN26"/>
    <mergeCell ref="L10:M10"/>
    <mergeCell ref="DD15:DG15"/>
    <mergeCell ref="X63:Y63"/>
    <mergeCell ref="R17:S17"/>
    <mergeCell ref="J66:K66"/>
    <mergeCell ref="DD8:DG8"/>
    <mergeCell ref="R60:S61"/>
    <mergeCell ref="DG14:DH14"/>
    <mergeCell ref="DG7:DH7"/>
    <mergeCell ref="EO43:ER43"/>
    <mergeCell ref="AO70:AP70"/>
    <mergeCell ref="AV66:AW66"/>
    <mergeCell ref="EO36:ER36"/>
    <mergeCell ref="AV59:AW59"/>
    <mergeCell ref="BC78:BF78"/>
    <mergeCell ref="EA21:EB21"/>
    <mergeCell ref="EK56:EL56"/>
    <mergeCell ref="EH18:EI19"/>
    <mergeCell ref="DM24:DN24"/>
    <mergeCell ref="DF59:DG59"/>
    <mergeCell ref="DM60:DN61"/>
    <mergeCell ref="K84:L84"/>
    <mergeCell ref="BM66:BN66"/>
    <mergeCell ref="BE18:BF19"/>
    <mergeCell ref="BL7:BM7"/>
    <mergeCell ref="DD32:DE33"/>
    <mergeCell ref="BN63:BO63"/>
    <mergeCell ref="AW84:AX84"/>
    <mergeCell ref="R74:S75"/>
    <mergeCell ref="B35:C35"/>
    <mergeCell ref="DS10:DT10"/>
    <mergeCell ref="BE25:BF26"/>
    <mergeCell ref="EH53:EI54"/>
    <mergeCell ref="DJ70:DK70"/>
    <mergeCell ref="DK52:DL52"/>
    <mergeCell ref="CU35:CV35"/>
    <mergeCell ref="CQ25:CR26"/>
    <mergeCell ref="BY70:BZ70"/>
    <mergeCell ref="EP56:EQ56"/>
    <mergeCell ref="CF84:CG84"/>
    <mergeCell ref="AY28:AZ28"/>
    <mergeCell ref="M21:N21"/>
    <mergeCell ref="T18:U19"/>
    <mergeCell ref="AN59:AO59"/>
    <mergeCell ref="T53:U54"/>
    <mergeCell ref="DS31:DT31"/>
    <mergeCell ref="CG24:CH24"/>
    <mergeCell ref="BE73:BF73"/>
    <mergeCell ref="DR84:DS84"/>
    <mergeCell ref="L80:M80"/>
    <mergeCell ref="BC10:BD10"/>
    <mergeCell ref="BZ59:CA59"/>
    <mergeCell ref="AU42:AV42"/>
    <mergeCell ref="EQ24:ER24"/>
    <mergeCell ref="AU77:AV77"/>
    <mergeCell ref="BE81:BF82"/>
    <mergeCell ref="J38:K38"/>
    <mergeCell ref="Q28:R28"/>
    <mergeCell ref="EQ17:ER17"/>
    <mergeCell ref="M49:N49"/>
    <mergeCell ref="AX80:AY80"/>
    <mergeCell ref="D84:E84"/>
    <mergeCell ref="DF60:DG61"/>
    <mergeCell ref="CH49:CI49"/>
    <mergeCell ref="BN28:BO28"/>
    <mergeCell ref="DS80:DT80"/>
    <mergeCell ref="AI18:AJ19"/>
    <mergeCell ref="Y73:Z73"/>
    <mergeCell ref="BR59:BS59"/>
    <mergeCell ref="CV57:CY57"/>
    <mergeCell ref="EC70:ED70"/>
    <mergeCell ref="DK24:DL24"/>
    <mergeCell ref="DT49:DU49"/>
    <mergeCell ref="AP80:AQ80"/>
    <mergeCell ref="CG10:CH10"/>
    <mergeCell ref="DT42:DU42"/>
    <mergeCell ref="DD59:DE59"/>
    <mergeCell ref="EB11:EC12"/>
    <mergeCell ref="CV53:CW54"/>
    <mergeCell ref="CI81:CJ82"/>
    <mergeCell ref="BD21:BE21"/>
    <mergeCell ref="Y11:Z12"/>
    <mergeCell ref="AQ49:AR49"/>
    <mergeCell ref="CO10:CP10"/>
    <mergeCell ref="CQ66:CR66"/>
    <mergeCell ref="BR15:BU15"/>
    <mergeCell ref="AA25:AB26"/>
    <mergeCell ref="CF70:CG70"/>
    <mergeCell ref="D49:E49"/>
    <mergeCell ref="J46:K47"/>
    <mergeCell ref="R64:U64"/>
    <mergeCell ref="CQ81:CR82"/>
    <mergeCell ref="AV38:AW38"/>
    <mergeCell ref="E10:F10"/>
    <mergeCell ref="EC56:ED56"/>
    <mergeCell ref="AO77:AP77"/>
    <mergeCell ref="DE56:DF56"/>
    <mergeCell ref="DL77:DM77"/>
    <mergeCell ref="DZ53:EA54"/>
    <mergeCell ref="AO35:AP35"/>
    <mergeCell ref="J78:M78"/>
    <mergeCell ref="EO1:ER1"/>
    <mergeCell ref="CH21:CI21"/>
    <mergeCell ref="BC11:BD12"/>
    <mergeCell ref="AF35:AG35"/>
    <mergeCell ref="EH36:EK36"/>
    <mergeCell ref="CV29:CY29"/>
    <mergeCell ref="AF7:AG7"/>
    <mergeCell ref="AV78:AY78"/>
    <mergeCell ref="AW21:AX21"/>
    <mergeCell ref="DT21:DU21"/>
    <mergeCell ref="L17:M17"/>
    <mergeCell ref="EH57:EK57"/>
    <mergeCell ref="BQ7:BR7"/>
    <mergeCell ref="EQ4:ER5"/>
    <mergeCell ref="BD7:BE7"/>
    <mergeCell ref="EQ32:ER33"/>
    <mergeCell ref="AA45:AB45"/>
    <mergeCell ref="BQ35:BR35"/>
    <mergeCell ref="AW14:AX14"/>
    <mergeCell ref="R57:U57"/>
    <mergeCell ref="AA3:AB3"/>
    <mergeCell ref="BZ15:CC15"/>
    <mergeCell ref="EA49:EB49"/>
    <mergeCell ref="AA39:AB40"/>
    <mergeCell ref="F21:G21"/>
    <mergeCell ref="X7:Y7"/>
    <mergeCell ref="EB38:EC38"/>
    <mergeCell ref="AG59:AH59"/>
    <mergeCell ref="EO73:EP73"/>
    <mergeCell ref="R1:U1"/>
    <mergeCell ref="B42:C42"/>
    <mergeCell ref="BZ24:CA24"/>
    <mergeCell ref="BE31:BF31"/>
    <mergeCell ref="EB46:EC47"/>
    <mergeCell ref="CO67:CP68"/>
    <mergeCell ref="CG4:CH5"/>
    <mergeCell ref="E80:F80"/>
    <mergeCell ref="AV10:AW10"/>
    <mergeCell ref="CQ11:CR12"/>
    <mergeCell ref="CX32:CY33"/>
    <mergeCell ref="BB49:BC49"/>
    <mergeCell ref="AP17:AQ17"/>
    <mergeCell ref="BC22:BF22"/>
    <mergeCell ref="C38:D38"/>
    <mergeCell ref="EP63:EQ63"/>
    <mergeCell ref="EJ17:EK17"/>
    <mergeCell ref="F49:G49"/>
    <mergeCell ref="D14:E14"/>
    <mergeCell ref="DY21:DZ21"/>
    <mergeCell ref="T25:U26"/>
    <mergeCell ref="EJ32:EK33"/>
    <mergeCell ref="DL49:DM49"/>
    <mergeCell ref="C46:D47"/>
    <mergeCell ref="R22:U22"/>
    <mergeCell ref="BS56:BT56"/>
    <mergeCell ref="DL42:DM42"/>
    <mergeCell ref="EC84:ED84"/>
    <mergeCell ref="DS67:DT68"/>
    <mergeCell ref="AI80:AJ80"/>
    <mergeCell ref="BZ10:CA10"/>
    <mergeCell ref="DU11:DV12"/>
    <mergeCell ref="EB32:EC33"/>
    <mergeCell ref="J1:M1"/>
    <mergeCell ref="CO53:CP54"/>
    <mergeCell ref="BR52:BS52"/>
    <mergeCell ref="EO52:EP52"/>
    <mergeCell ref="DU31:DV31"/>
    <mergeCell ref="R11:S12"/>
    <mergeCell ref="AJ49:AK49"/>
    <mergeCell ref="CB74:CC75"/>
    <mergeCell ref="AP67:AQ68"/>
    <mergeCell ref="DM73:DN73"/>
    <mergeCell ref="R4:S5"/>
    <mergeCell ref="EO60:EP61"/>
    <mergeCell ref="DU39:DV40"/>
    <mergeCell ref="CW56:CX56"/>
    <mergeCell ref="L53:M54"/>
    <mergeCell ref="DD52:DE52"/>
    <mergeCell ref="DK64:DN64"/>
    <mergeCell ref="DK4:DL5"/>
    <mergeCell ref="CH84:CI84"/>
    <mergeCell ref="AN24:AO24"/>
    <mergeCell ref="EO80:EP80"/>
    <mergeCell ref="DR14:DS14"/>
    <mergeCell ref="AH84:AI84"/>
    <mergeCell ref="T45:U45"/>
    <mergeCell ref="DZ57:EC57"/>
    <mergeCell ref="BJ35:BK35"/>
    <mergeCell ref="AP3:AQ3"/>
    <mergeCell ref="AH77:AI77"/>
    <mergeCell ref="DM3:DN3"/>
    <mergeCell ref="J43:M43"/>
    <mergeCell ref="BC29:BF29"/>
    <mergeCell ref="AH35:AI35"/>
    <mergeCell ref="C60:D61"/>
    <mergeCell ref="C78:F78"/>
    <mergeCell ref="BZ60:CA61"/>
    <mergeCell ref="EH1:EK1"/>
    <mergeCell ref="CA21:CB21"/>
    <mergeCell ref="CB3:CC3"/>
    <mergeCell ref="CQ46:CR47"/>
    <mergeCell ref="BS63:BT63"/>
    <mergeCell ref="CO29:CR29"/>
    <mergeCell ref="AV4:AW5"/>
    <mergeCell ref="U28:V28"/>
    <mergeCell ref="CR28:CS28"/>
    <mergeCell ref="Q49:R49"/>
    <mergeCell ref="DM31:DN31"/>
    <mergeCell ref="DZ4:EA5"/>
    <mergeCell ref="CH14:CI14"/>
    <mergeCell ref="DE63:DF63"/>
    <mergeCell ref="CJ70:CK70"/>
    <mergeCell ref="DZ39:EA40"/>
    <mergeCell ref="BT59:BU59"/>
    <mergeCell ref="BR24:BS24"/>
    <mergeCell ref="CG67:CH68"/>
    <mergeCell ref="BU35:BV35"/>
    <mergeCell ref="R73:S73"/>
    <mergeCell ref="AH56:AI56"/>
    <mergeCell ref="BR39:BS40"/>
    <mergeCell ref="F35:G35"/>
    <mergeCell ref="AX39:AY40"/>
    <mergeCell ref="AV22:AY22"/>
    <mergeCell ref="EQ31:ER31"/>
    <mergeCell ref="EI63:EJ63"/>
    <mergeCell ref="DN70:DO70"/>
    <mergeCell ref="AN64:AQ64"/>
    <mergeCell ref="E67:F68"/>
    <mergeCell ref="DL7:DM7"/>
    <mergeCell ref="BR81:BS82"/>
    <mergeCell ref="DZ22:EC22"/>
    <mergeCell ref="DK67:DL68"/>
    <mergeCell ref="CY35:CZ35"/>
    <mergeCell ref="BL56:BM56"/>
    <mergeCell ref="BS77:BT77"/>
    <mergeCell ref="DZ15:EC15"/>
    <mergeCell ref="BZ64:CC64"/>
    <mergeCell ref="DS50:DV50"/>
    <mergeCell ref="EC14:ED14"/>
    <mergeCell ref="Q21:R21"/>
    <mergeCell ref="CA42:CB42"/>
    <mergeCell ref="CI11:CJ12"/>
    <mergeCell ref="CO57:CR57"/>
    <mergeCell ref="EN56:EO56"/>
    <mergeCell ref="DV70:DW70"/>
    <mergeCell ref="AB63:AC63"/>
    <mergeCell ref="BR32:BS33"/>
    <mergeCell ref="AV64:AY64"/>
    <mergeCell ref="DT7:DU7"/>
    <mergeCell ref="DD24:DE24"/>
    <mergeCell ref="K21:L21"/>
    <mergeCell ref="CI31:CJ31"/>
    <mergeCell ref="I21:J21"/>
    <mergeCell ref="DM25:DN26"/>
    <mergeCell ref="DF81:DG82"/>
    <mergeCell ref="BK38:BL38"/>
    <mergeCell ref="DD64:DG64"/>
    <mergeCell ref="AP45:AQ45"/>
    <mergeCell ref="DD4:DE5"/>
    <mergeCell ref="Z28:AA28"/>
    <mergeCell ref="AP60:AQ61"/>
    <mergeCell ref="AG24:AH24"/>
    <mergeCell ref="AN43:AQ43"/>
    <mergeCell ref="CB25:CC26"/>
    <mergeCell ref="CI46:CJ47"/>
    <mergeCell ref="EG70:EH70"/>
    <mergeCell ref="AV67:AW68"/>
    <mergeCell ref="CV66:CW66"/>
    <mergeCell ref="EP35:EQ35"/>
    <mergeCell ref="L4:M5"/>
    <mergeCell ref="DC56:DD56"/>
    <mergeCell ref="AG32:AH33"/>
    <mergeCell ref="I49:J49"/>
    <mergeCell ref="L39:M40"/>
    <mergeCell ref="AX31:AY31"/>
    <mergeCell ref="DU46:DV47"/>
    <mergeCell ref="CW63:CX63"/>
    <mergeCell ref="EH66:EI66"/>
    <mergeCell ref="DK71:DN71"/>
    <mergeCell ref="AU49:AV49"/>
    <mergeCell ref="Z56:AA56"/>
    <mergeCell ref="DZ81:EA82"/>
    <mergeCell ref="EO25:EP26"/>
    <mergeCell ref="DU4:DV5"/>
    <mergeCell ref="DZ66:EA66"/>
    <mergeCell ref="EG56:EH56"/>
    <mergeCell ref="U63:V63"/>
    <mergeCell ref="BK32:BL33"/>
    <mergeCell ref="DZ74:EA75"/>
    <mergeCell ref="BT73:BU73"/>
    <mergeCell ref="CV25:CW26"/>
    <mergeCell ref="EQ73:ER73"/>
    <mergeCell ref="CB4:CC5"/>
    <mergeCell ref="AJ14:AK14"/>
    <mergeCell ref="CB39:CC40"/>
    <mergeCell ref="EO10:EP10"/>
    <mergeCell ref="AJ7:AK7"/>
    <mergeCell ref="Y18:Z19"/>
    <mergeCell ref="BT81:BU82"/>
    <mergeCell ref="BR64:BU64"/>
    <mergeCell ref="EQ81:ER82"/>
    <mergeCell ref="ER42:ES42"/>
    <mergeCell ref="EP7:EQ7"/>
    <mergeCell ref="DF73:DG73"/>
    <mergeCell ref="DS60:DT61"/>
    <mergeCell ref="DK59:DL59"/>
    <mergeCell ref="CC14:CD14"/>
    <mergeCell ref="CG53:CH54"/>
    <mergeCell ref="BM32:BN33"/>
    <mergeCell ref="BJ77:BK77"/>
    <mergeCell ref="AN60:AO61"/>
    <mergeCell ref="AO21:AP21"/>
    <mergeCell ref="CG46:CH47"/>
    <mergeCell ref="AV18:AW19"/>
    <mergeCell ref="BZ80:CA80"/>
    <mergeCell ref="DL70:DM70"/>
    <mergeCell ref="B77:C77"/>
    <mergeCell ref="CG15:CJ15"/>
    <mergeCell ref="EJ24:EK24"/>
    <mergeCell ref="CX17:CY17"/>
    <mergeCell ref="AG64:AJ64"/>
    <mergeCell ref="DY28:DZ28"/>
    <mergeCell ref="DE7:DF7"/>
    <mergeCell ref="Y15:AB15"/>
    <mergeCell ref="AM70:AN70"/>
    <mergeCell ref="S49:T49"/>
    <mergeCell ref="BT3:BU3"/>
    <mergeCell ref="BK74:BL75"/>
    <mergeCell ref="DS15:DV15"/>
    <mergeCell ref="EH80:EI80"/>
    <mergeCell ref="AG25:AH26"/>
    <mergeCell ref="AM63:AN63"/>
    <mergeCell ref="AB7:AC7"/>
    <mergeCell ref="AI3:AJ3"/>
    <mergeCell ref="E60:F61"/>
    <mergeCell ref="C43:F43"/>
    <mergeCell ref="AX46:AY47"/>
    <mergeCell ref="Z63:AA63"/>
    <mergeCell ref="B63:C63"/>
    <mergeCell ref="BK8:BN8"/>
    <mergeCell ref="BY63:BZ63"/>
    <mergeCell ref="C36:F36"/>
    <mergeCell ref="CX45:CY45"/>
    <mergeCell ref="AN18:AO19"/>
    <mergeCell ref="BL63:BM63"/>
    <mergeCell ref="CV36:CY36"/>
    <mergeCell ref="S70:T70"/>
    <mergeCell ref="BZ71:CC71"/>
    <mergeCell ref="EB45:EC45"/>
    <mergeCell ref="CO66:CP66"/>
    <mergeCell ref="EI35:EJ35"/>
    <mergeCell ref="EG84:EH84"/>
    <mergeCell ref="E4:F5"/>
    <mergeCell ref="DM18:DN19"/>
    <mergeCell ref="BR71:BU71"/>
    <mergeCell ref="BD35:BE35"/>
    <mergeCell ref="Y78:AB78"/>
    <mergeCell ref="DK36:DN36"/>
    <mergeCell ref="CO74:CP75"/>
    <mergeCell ref="AW70:AX70"/>
    <mergeCell ref="Y38:Z38"/>
    <mergeCell ref="DK29:DN29"/>
    <mergeCell ref="Y81:Z82"/>
    <mergeCell ref="J10:K10"/>
    <mergeCell ref="L66:M66"/>
    <mergeCell ref="E32:F33"/>
    <mergeCell ref="BK78:BN78"/>
    <mergeCell ref="EI21:EJ21"/>
    <mergeCell ref="I84:J84"/>
    <mergeCell ref="DY42:DZ42"/>
    <mergeCell ref="DE21:DF21"/>
    <mergeCell ref="CC70:CD70"/>
    <mergeCell ref="DF24:DG24"/>
    <mergeCell ref="BT17:BU17"/>
    <mergeCell ref="BK24:BL24"/>
    <mergeCell ref="BT60:BU61"/>
    <mergeCell ref="AG81:AH82"/>
    <mergeCell ref="T66:U66"/>
    <mergeCell ref="BZ67:CA68"/>
    <mergeCell ref="CG80:CH80"/>
    <mergeCell ref="EG14:EH14"/>
    <mergeCell ref="EQ18:ER19"/>
    <mergeCell ref="AO42:AP42"/>
    <mergeCell ref="U21:V21"/>
    <mergeCell ref="BZ73:CA73"/>
    <mergeCell ref="DS59:DT59"/>
    <mergeCell ref="DT14:DU14"/>
    <mergeCell ref="BC50:BF50"/>
    <mergeCell ref="BY14:BZ14"/>
    <mergeCell ref="CX81:CY82"/>
    <mergeCell ref="BC38:BD38"/>
    <mergeCell ref="CY42:CZ42"/>
    <mergeCell ref="BM73:BN73"/>
    <mergeCell ref="BF49:BG49"/>
    <mergeCell ref="BM45:BN45"/>
    <mergeCell ref="EH10:EI10"/>
    <mergeCell ref="ER7:ES7"/>
    <mergeCell ref="DZ52:EA52"/>
    <mergeCell ref="Y57:AB57"/>
    <mergeCell ref="EI7:EJ7"/>
    <mergeCell ref="CR49:CS49"/>
    <mergeCell ref="DF25:DG26"/>
    <mergeCell ref="BC66:BD66"/>
    <mergeCell ref="AI45:AJ45"/>
    <mergeCell ref="X49:Y49"/>
    <mergeCell ref="BY35:BZ35"/>
    <mergeCell ref="AI60:AJ61"/>
    <mergeCell ref="CB46:CC47"/>
    <mergeCell ref="EO17:EP17"/>
    <mergeCell ref="ER56:ES56"/>
    <mergeCell ref="BC74:BD75"/>
    <mergeCell ref="AI53:AJ54"/>
    <mergeCell ref="B84:C84"/>
    <mergeCell ref="CP77:CQ77"/>
    <mergeCell ref="CQ45:CR45"/>
    <mergeCell ref="DD53:DE54"/>
    <mergeCell ref="CV1:CY1"/>
    <mergeCell ref="CQ38:CR38"/>
    <mergeCell ref="CF42:CG42"/>
    <mergeCell ref="EA70:EB70"/>
    <mergeCell ref="AN32:AO33"/>
    <mergeCell ref="AA17:AB17"/>
    <mergeCell ref="AA60:AB61"/>
    <mergeCell ref="EA63:EB63"/>
    <mergeCell ref="DR70:DS70"/>
    <mergeCell ref="AA53:AB54"/>
    <mergeCell ref="AN80:AO80"/>
    <mergeCell ref="DR42:DS42"/>
    <mergeCell ref="DZ11:EA12"/>
    <mergeCell ref="Y8:AB8"/>
    <mergeCell ref="BM17:BN17"/>
    <mergeCell ref="DZ31:EA31"/>
    <mergeCell ref="C80:D80"/>
    <mergeCell ref="CG74:CH75"/>
    <mergeCell ref="BM53:BN54"/>
    <mergeCell ref="R38:S38"/>
    <mergeCell ref="R46:S47"/>
    <mergeCell ref="J80:K80"/>
    <mergeCell ref="AP4:AQ5"/>
    <mergeCell ref="I14:J14"/>
    <mergeCell ref="EA77:EB77"/>
    <mergeCell ref="AM84:AN84"/>
    <mergeCell ref="AG36:AJ36"/>
    <mergeCell ref="K70:L70"/>
    <mergeCell ref="EQ53:ER54"/>
    <mergeCell ref="EH17:EI17"/>
    <mergeCell ref="B14:C14"/>
    <mergeCell ref="EB3:EC3"/>
    <mergeCell ref="D70:E70"/>
    <mergeCell ref="DT77:DU77"/>
    <mergeCell ref="CO24:CP24"/>
    <mergeCell ref="Y43:AB43"/>
    <mergeCell ref="EK28:EL28"/>
    <mergeCell ref="J67:K68"/>
    <mergeCell ref="BR8:BU8"/>
    <mergeCell ref="DF18:DG19"/>
    <mergeCell ref="CB52:CC52"/>
    <mergeCell ref="BQ56:BR56"/>
    <mergeCell ref="DU38:DV38"/>
    <mergeCell ref="AW35:AX35"/>
    <mergeCell ref="R78:U78"/>
    <mergeCell ref="DJ42:DK42"/>
    <mergeCell ref="CP21:CQ21"/>
    <mergeCell ref="L31:M31"/>
    <mergeCell ref="BE17:BF17"/>
    <mergeCell ref="DD29:DG29"/>
    <mergeCell ref="C3:D3"/>
    <mergeCell ref="DG28:DH28"/>
    <mergeCell ref="EO57:ER57"/>
    <mergeCell ref="AM28:AN28"/>
    <mergeCell ref="CI59:CJ59"/>
    <mergeCell ref="T10:U10"/>
    <mergeCell ref="R8:U8"/>
    <mergeCell ref="AF63:AG63"/>
    <mergeCell ref="U7:V7"/>
    <mergeCell ref="CG50:CJ50"/>
    <mergeCell ref="EN42:EO42"/>
    <mergeCell ref="EJ11:EK12"/>
    <mergeCell ref="AV50:AY50"/>
    <mergeCell ref="M84:N84"/>
    <mergeCell ref="CC63:CD63"/>
    <mergeCell ref="BF14:BG14"/>
    <mergeCell ref="BM10:BN10"/>
    <mergeCell ref="EB80:EC80"/>
    <mergeCell ref="AY49:AZ49"/>
    <mergeCell ref="M42:N42"/>
    <mergeCell ref="R3:S3"/>
    <mergeCell ref="DF32:DG33"/>
    <mergeCell ref="AY84:AZ84"/>
    <mergeCell ref="D42:E42"/>
    <mergeCell ref="T74:U75"/>
    <mergeCell ref="DS52:DT52"/>
    <mergeCell ref="DC35:DD35"/>
    <mergeCell ref="R50:U50"/>
    <mergeCell ref="BC31:BD31"/>
    <mergeCell ref="CH77:CI77"/>
    <mergeCell ref="CO11:CP12"/>
    <mergeCell ref="J59:K59"/>
    <mergeCell ref="BK45:BL45"/>
    <mergeCell ref="AP52:AQ52"/>
    <mergeCell ref="C73:D73"/>
    <mergeCell ref="M70:N70"/>
    <mergeCell ref="BC39:BD40"/>
    <mergeCell ref="K35:L35"/>
    <mergeCell ref="EH29:EK29"/>
    <mergeCell ref="EB10:EC10"/>
    <mergeCell ref="CO31:CP31"/>
    <mergeCell ref="CX10:CY10"/>
    <mergeCell ref="E52:F52"/>
    <mergeCell ref="BK50:BN50"/>
    <mergeCell ref="BC1:BF1"/>
    <mergeCell ref="CJ14:CK14"/>
    <mergeCell ref="CQ3:CR3"/>
    <mergeCell ref="CV78:CY78"/>
    <mergeCell ref="AY14:AZ14"/>
    <mergeCell ref="BY42:BZ42"/>
    <mergeCell ref="DR35:DS35"/>
    <mergeCell ref="T17:U17"/>
    <mergeCell ref="CG31:CH31"/>
    <mergeCell ref="DT63:DU63"/>
    <mergeCell ref="F77:G77"/>
    <mergeCell ref="EA84:EB84"/>
    <mergeCell ref="CV74:CW75"/>
    <mergeCell ref="EC28:ED28"/>
    <mergeCell ref="EH71:EK71"/>
    <mergeCell ref="CX18:CY19"/>
    <mergeCell ref="BT52:BU52"/>
    <mergeCell ref="AG73:AH73"/>
    <mergeCell ref="BZ18:CA19"/>
    <mergeCell ref="CG39:CH40"/>
    <mergeCell ref="AQ70:AR70"/>
    <mergeCell ref="DS4:DT5"/>
    <mergeCell ref="AO7:AP7"/>
    <mergeCell ref="J50:M50"/>
    <mergeCell ref="AX59:AY59"/>
    <mergeCell ref="EB60:EC61"/>
    <mergeCell ref="DS24:DT24"/>
    <mergeCell ref="DK73:DL73"/>
    <mergeCell ref="EJ18:EK19"/>
    <mergeCell ref="AH42:AI42"/>
    <mergeCell ref="CI3:CJ3"/>
    <mergeCell ref="BB70:BC70"/>
    <mergeCell ref="CA77:CB77"/>
    <mergeCell ref="BE60:BF61"/>
    <mergeCell ref="BF21:BG21"/>
    <mergeCell ref="CX46:CY47"/>
    <mergeCell ref="BM18:BN19"/>
    <mergeCell ref="AI52:AJ52"/>
    <mergeCell ref="X56:Y56"/>
    <mergeCell ref="D35:E35"/>
    <mergeCell ref="AV39:AW40"/>
    <mergeCell ref="F63:G63"/>
    <mergeCell ref="EO24:EP24"/>
    <mergeCell ref="DU3:DV3"/>
    <mergeCell ref="C67:D68"/>
    <mergeCell ref="R43:U43"/>
    <mergeCell ref="DM52:DN52"/>
    <mergeCell ref="CQ60:CR61"/>
    <mergeCell ref="DJ7:DK7"/>
    <mergeCell ref="EJ46:EK47"/>
    <mergeCell ref="DL63:DM63"/>
    <mergeCell ref="BJ56:BK56"/>
    <mergeCell ref="DC42:DD42"/>
    <mergeCell ref="BM4:BN5"/>
    <mergeCell ref="DZ71:EC71"/>
    <mergeCell ref="BJ49:BK49"/>
    <mergeCell ref="DK43:DN43"/>
    <mergeCell ref="EA14:EB14"/>
    <mergeCell ref="AP59:AQ59"/>
    <mergeCell ref="EO22:ER22"/>
    <mergeCell ref="EI28:EJ28"/>
    <mergeCell ref="DD18:DE19"/>
    <mergeCell ref="EO66:EP66"/>
    <mergeCell ref="BE4:BF5"/>
    <mergeCell ref="AH7:AI7"/>
    <mergeCell ref="M14:N14"/>
    <mergeCell ref="AJ63:AK63"/>
    <mergeCell ref="DU60:DV61"/>
    <mergeCell ref="EN7:EO7"/>
    <mergeCell ref="CU14:CV14"/>
    <mergeCell ref="BK80:BL80"/>
    <mergeCell ref="DD66:DE66"/>
    <mergeCell ref="DK25:DL26"/>
    <mergeCell ref="CQ4:CR5"/>
    <mergeCell ref="F84:G84"/>
    <mergeCell ref="CN49:CO49"/>
    <mergeCell ref="AN45:AO45"/>
    <mergeCell ref="AA73:AB73"/>
    <mergeCell ref="X28:Y28"/>
    <mergeCell ref="BZ25:CA26"/>
    <mergeCell ref="DU73:DV73"/>
    <mergeCell ref="Y10:Z10"/>
    <mergeCell ref="AN53:AO54"/>
    <mergeCell ref="T32:U33"/>
    <mergeCell ref="EB67:EC68"/>
    <mergeCell ref="J39:K40"/>
    <mergeCell ref="CJ77:CK77"/>
    <mergeCell ref="EN28:EO28"/>
    <mergeCell ref="DS64:DV64"/>
    <mergeCell ref="DV42:DW42"/>
    <mergeCell ref="CU84:CV84"/>
    <mergeCell ref="CQ80:CR80"/>
    <mergeCell ref="BS7:BT7"/>
    <mergeCell ref="AF28:AG28"/>
    <mergeCell ref="DK1:DN1"/>
    <mergeCell ref="Q42:R42"/>
    <mergeCell ref="AP24:AQ24"/>
    <mergeCell ref="BK18:BL19"/>
    <mergeCell ref="Z7:AA7"/>
    <mergeCell ref="DD36:DG36"/>
    <mergeCell ref="C81:D82"/>
    <mergeCell ref="EG49:EH49"/>
    <mergeCell ref="EH22:EK22"/>
    <mergeCell ref="AP32:AQ33"/>
    <mergeCell ref="AN15:AQ15"/>
    <mergeCell ref="DG35:DH35"/>
    <mergeCell ref="CU77:CV77"/>
    <mergeCell ref="BU28:BV28"/>
    <mergeCell ref="CB24:CC24"/>
    <mergeCell ref="EH15:EK15"/>
    <mergeCell ref="CQ67:CR68"/>
    <mergeCell ref="CV38:CW38"/>
    <mergeCell ref="CB17:CC17"/>
    <mergeCell ref="AQ14:AR14"/>
    <mergeCell ref="AM35:AN35"/>
    <mergeCell ref="BD49:BE49"/>
    <mergeCell ref="Q70:R70"/>
    <mergeCell ref="AX3:AY3"/>
    <mergeCell ref="CO80:CP80"/>
    <mergeCell ref="F14:G14"/>
    <mergeCell ref="DZ60:EA61"/>
    <mergeCell ref="EH38:EI38"/>
    <mergeCell ref="DM45:DN45"/>
    <mergeCell ref="EH81:EI82"/>
    <mergeCell ref="BR45:BS45"/>
    <mergeCell ref="E46:F47"/>
    <mergeCell ref="C39:D40"/>
    <mergeCell ref="DZ38:EA38"/>
    <mergeCell ref="EG28:EH28"/>
    <mergeCell ref="CU21:CV21"/>
    <mergeCell ref="AU70:AV70"/>
    <mergeCell ref="AX60:AY61"/>
    <mergeCell ref="X14:Y14"/>
    <mergeCell ref="F28:G28"/>
    <mergeCell ref="BB84:BC84"/>
    <mergeCell ref="EQ45:ER45"/>
    <mergeCell ref="EG21:EH21"/>
    <mergeCell ref="T4:U5"/>
    <mergeCell ref="DL28:DM28"/>
    <mergeCell ref="CY56:CZ56"/>
    <mergeCell ref="CV17:CW17"/>
    <mergeCell ref="BJ14:BK14"/>
    <mergeCell ref="CN84:CO84"/>
    <mergeCell ref="DM4:DN5"/>
    <mergeCell ref="DS71:DV71"/>
    <mergeCell ref="X84:Y84"/>
    <mergeCell ref="BU56:BV56"/>
    <mergeCell ref="BR17:BS17"/>
    <mergeCell ref="BR18:BS19"/>
    <mergeCell ref="BY7:BZ7"/>
    <mergeCell ref="DN42:DO42"/>
    <mergeCell ref="CA63:CB63"/>
    <mergeCell ref="BJ84:BK84"/>
    <mergeCell ref="BR53:BS54"/>
    <mergeCell ref="CI4:CJ5"/>
    <mergeCell ref="DD45:DE45"/>
    <mergeCell ref="CO71:CR71"/>
    <mergeCell ref="AG18:AH19"/>
    <mergeCell ref="EH74:EI75"/>
    <mergeCell ref="CP70:CQ70"/>
    <mergeCell ref="EB39:EC40"/>
    <mergeCell ref="DD25:DE26"/>
    <mergeCell ref="CF56:CG56"/>
    <mergeCell ref="AP81:AQ82"/>
    <mergeCell ref="CI67:CJ68"/>
    <mergeCell ref="AJ56:AK56"/>
    <mergeCell ref="AG38:AH38"/>
    <mergeCell ref="AP74:AQ75"/>
    <mergeCell ref="CC42:CD42"/>
    <mergeCell ref="R10:S10"/>
    <mergeCell ref="L25:M26"/>
    <mergeCell ref="BT32:BU33"/>
    <mergeCell ref="AG53:AH54"/>
    <mergeCell ref="DY77:DZ77"/>
    <mergeCell ref="I70:J70"/>
    <mergeCell ref="L60:M61"/>
    <mergeCell ref="DK18:DL19"/>
    <mergeCell ref="CG52:CH52"/>
    <mergeCell ref="AN39:AO40"/>
    <mergeCell ref="BZ36:CC36"/>
    <mergeCell ref="CI60:CJ61"/>
    <mergeCell ref="J15:M15"/>
    <mergeCell ref="CC35:CD35"/>
    <mergeCell ref="AQ28:AR28"/>
    <mergeCell ref="BZ39:CA40"/>
    <mergeCell ref="BB56:BC56"/>
    <mergeCell ref="BU63:BV63"/>
    <mergeCell ref="BE10:BF10"/>
    <mergeCell ref="CB59:CC59"/>
    <mergeCell ref="AV81:AW82"/>
    <mergeCell ref="EP84:EQ84"/>
    <mergeCell ref="DK74:DL75"/>
    <mergeCell ref="CV3:CW3"/>
    <mergeCell ref="AG15:AJ15"/>
    <mergeCell ref="CN77:CO77"/>
    <mergeCell ref="AV80:AW80"/>
    <mergeCell ref="CX59:CY59"/>
    <mergeCell ref="AV52:AW52"/>
    <mergeCell ref="AG8:AJ8"/>
    <mergeCell ref="CO38:CP38"/>
    <mergeCell ref="BJ21:BK21"/>
    <mergeCell ref="Y17:Z17"/>
    <mergeCell ref="AB56:AC56"/>
    <mergeCell ref="DM10:DN10"/>
    <mergeCell ref="EJ59:EK59"/>
    <mergeCell ref="K77:L77"/>
    <mergeCell ref="DY63:DZ63"/>
    <mergeCell ref="AW42:AX42"/>
    <mergeCell ref="Q84:R84"/>
    <mergeCell ref="BK57:BN57"/>
    <mergeCell ref="Y53:Z54"/>
    <mergeCell ref="DF45:DG45"/>
    <mergeCell ref="BT38:BU38"/>
    <mergeCell ref="DN7:DO7"/>
    <mergeCell ref="CA28:CB28"/>
    <mergeCell ref="CY84:CZ84"/>
    <mergeCell ref="BN56:BO56"/>
    <mergeCell ref="BK17:BL17"/>
    <mergeCell ref="BT74:BU75"/>
    <mergeCell ref="DG42:DH42"/>
    <mergeCell ref="AB42:AC42"/>
    <mergeCell ref="BK53:BL54"/>
    <mergeCell ref="C59:D59"/>
    <mergeCell ref="DE28:DF28"/>
    <mergeCell ref="AA11:AB12"/>
    <mergeCell ref="BR1:BU1"/>
    <mergeCell ref="AV24:AW24"/>
    <mergeCell ref="DS36:DV36"/>
    <mergeCell ref="AA31:AB31"/>
    <mergeCell ref="Y29:AB29"/>
    <mergeCell ref="CG59:CH59"/>
    <mergeCell ref="BM11:BN12"/>
    <mergeCell ref="DD1:DG1"/>
    <mergeCell ref="EK14:EL14"/>
    <mergeCell ref="BB77:BC77"/>
    <mergeCell ref="AB28:AC28"/>
    <mergeCell ref="J52:K52"/>
    <mergeCell ref="EI70:EJ70"/>
    <mergeCell ref="BK29:BN29"/>
    <mergeCell ref="AI17:AJ17"/>
    <mergeCell ref="DF17:DG17"/>
    <mergeCell ref="CX66:CY66"/>
    <mergeCell ref="AM42:AN42"/>
    <mergeCell ref="BZ1:CC1"/>
    <mergeCell ref="S21:T21"/>
    <mergeCell ref="EA35:EB35"/>
    <mergeCell ref="DF74:DG75"/>
    <mergeCell ref="CB60:CC61"/>
    <mergeCell ref="C15:F15"/>
    <mergeCell ref="AJ28:AK28"/>
    <mergeCell ref="BB14:BC14"/>
    <mergeCell ref="E18:F19"/>
    <mergeCell ref="Y59:Z59"/>
    <mergeCell ref="DK32:DL33"/>
    <mergeCell ref="ER49:ES49"/>
    <mergeCell ref="DU80:DV80"/>
    <mergeCell ref="CI73:CJ73"/>
    <mergeCell ref="DZ3:EA3"/>
    <mergeCell ref="DR77:DS77"/>
    <mergeCell ref="EB59:EC59"/>
    <mergeCell ref="EO46:EP47"/>
    <mergeCell ref="BZ52:CA52"/>
    <mergeCell ref="EB74:EC75"/>
    <mergeCell ref="DS38:DT38"/>
    <mergeCell ref="DD11:DE12"/>
    <mergeCell ref="AU28:AV28"/>
    <mergeCell ref="BF56:BG56"/>
    <mergeCell ref="EQ10:ER10"/>
    <mergeCell ref="J24:K24"/>
    <mergeCell ref="CG36:CJ36"/>
    <mergeCell ref="Q14:R14"/>
    <mergeCell ref="AA18:AB19"/>
    <mergeCell ref="EI77:EJ77"/>
    <mergeCell ref="EJ45:EK45"/>
    <mergeCell ref="CX38:CY38"/>
    <mergeCell ref="BC80:BD80"/>
    <mergeCell ref="EO11:EP12"/>
    <mergeCell ref="R80:S80"/>
    <mergeCell ref="EH78:EK78"/>
    <mergeCell ref="BR25:BS26"/>
    <mergeCell ref="AX4:AY5"/>
    <mergeCell ref="EP28:EQ28"/>
    <mergeCell ref="I42:J42"/>
    <mergeCell ref="CY70:CZ70"/>
    <mergeCell ref="DD31:DE31"/>
    <mergeCell ref="CN14:CO14"/>
    <mergeCell ref="D77:E77"/>
    <mergeCell ref="DR63:DS63"/>
    <mergeCell ref="AA46:AB47"/>
    <mergeCell ref="R53:S54"/>
    <mergeCell ref="BM38:BN38"/>
    <mergeCell ref="DZ25:EA26"/>
    <mergeCell ref="AG1:AJ1"/>
    <mergeCell ref="CH35:CI35"/>
    <mergeCell ref="BN14:BO14"/>
    <mergeCell ref="CR84:CS84"/>
    <mergeCell ref="BM74:BN75"/>
    <mergeCell ref="CV43:CY43"/>
    <mergeCell ref="U42:V42"/>
    <mergeCell ref="AO63:AP63"/>
    <mergeCell ref="EO29:ER29"/>
    <mergeCell ref="DT35:DU35"/>
    <mergeCell ref="BC71:BF71"/>
    <mergeCell ref="EH11:EI12"/>
    <mergeCell ref="CV4:CW5"/>
    <mergeCell ref="CY77:CZ77"/>
    <mergeCell ref="CV39:CW40"/>
    <mergeCell ref="BF70:BG70"/>
    <mergeCell ref="AU14:AV14"/>
    <mergeCell ref="EN70:EO70"/>
    <mergeCell ref="BC67:BD68"/>
    <mergeCell ref="DK8:DN8"/>
    <mergeCell ref="R59:S59"/>
    <mergeCell ref="DZ73:EA73"/>
    <mergeCell ref="BE11:BF12"/>
    <mergeCell ref="U70:V70"/>
    <mergeCell ref="EH39:EI40"/>
    <mergeCell ref="DJ56:DK56"/>
    <mergeCell ref="EO78:ER78"/>
    <mergeCell ref="T11:U12"/>
    <mergeCell ref="BK1:BN1"/>
    <mergeCell ref="D21:E21"/>
    <mergeCell ref="DL35:DM35"/>
    <mergeCell ref="CR14:CS14"/>
    <mergeCell ref="C32:D33"/>
    <mergeCell ref="T46:U47"/>
    <mergeCell ref="CG17:CH17"/>
    <mergeCell ref="R29:U29"/>
    <mergeCell ref="DZ43:EC43"/>
    <mergeCell ref="L73:M73"/>
    <mergeCell ref="BC3:BD3"/>
    <mergeCell ref="CG71:CJ71"/>
    <mergeCell ref="C52:D52"/>
    <mergeCell ref="K14:L14"/>
    <mergeCell ref="EJ31:EK31"/>
    <mergeCell ref="CX24:CY24"/>
    <mergeCell ref="BC57:BF57"/>
    <mergeCell ref="CH7:CI7"/>
    <mergeCell ref="AX73:AY73"/>
    <mergeCell ref="Y22:AB22"/>
    <mergeCell ref="CO3:CP3"/>
    <mergeCell ref="DD74:DE75"/>
    <mergeCell ref="CV22:CY22"/>
    <mergeCell ref="CQ59:CR59"/>
    <mergeCell ref="BT10:BU10"/>
    <mergeCell ref="CF63:CG63"/>
    <mergeCell ref="EO8:ER8"/>
    <mergeCell ref="BL42:BM42"/>
    <mergeCell ref="AY70:AZ70"/>
    <mergeCell ref="AA38:AB38"/>
    <mergeCell ref="B28:C28"/>
    <mergeCell ref="CB73:CC73"/>
    <mergeCell ref="DS3:DT3"/>
    <mergeCell ref="EK42:EL42"/>
    <mergeCell ref="DU59:DV59"/>
    <mergeCell ref="EH46:EI47"/>
    <mergeCell ref="DJ63:DK63"/>
    <mergeCell ref="CP42:CQ42"/>
    <mergeCell ref="L52:M52"/>
    <mergeCell ref="BQ70:BR70"/>
    <mergeCell ref="BE38:BF38"/>
    <mergeCell ref="BK4:BL5"/>
    <mergeCell ref="DU67:DV68"/>
    <mergeCell ref="EJ10:EK10"/>
    <mergeCell ref="C24:D24"/>
    <mergeCell ref="AX25:AY26"/>
    <mergeCell ref="EP49:EQ49"/>
    <mergeCell ref="BE46:BF47"/>
    <mergeCell ref="DC70:DD70"/>
    <mergeCell ref="EB52:EC52"/>
    <mergeCell ref="DY7:DZ7"/>
    <mergeCell ref="AW7:AX7"/>
    <mergeCell ref="CO50:CR50"/>
    <mergeCell ref="CY14:CZ14"/>
    <mergeCell ref="DF10:DG10"/>
    <mergeCell ref="L3:M3"/>
    <mergeCell ref="R67:S68"/>
    <mergeCell ref="EA42:EB42"/>
    <mergeCell ref="BY56:BZ56"/>
    <mergeCell ref="AN52:AO52"/>
    <mergeCell ref="T31:U31"/>
    <mergeCell ref="I35:J35"/>
    <mergeCell ref="CG81:CH82"/>
    <mergeCell ref="DS73:DT73"/>
    <mergeCell ref="EK21:EL21"/>
    <mergeCell ref="Y66:Z66"/>
    <mergeCell ref="AF56:AG56"/>
    <mergeCell ref="EC63:ED63"/>
    <mergeCell ref="U84:V84"/>
    <mergeCell ref="DS81:DT82"/>
    <mergeCell ref="BK66:BL66"/>
    <mergeCell ref="AP73:AQ73"/>
    <mergeCell ref="CG3:CH3"/>
    <mergeCell ref="BC60:BD61"/>
    <mergeCell ref="EH50:EK50"/>
    <mergeCell ref="CO25:CP26"/>
    <mergeCell ref="CV46:CW47"/>
    <mergeCell ref="AG52:AH52"/>
    <mergeCell ref="EB24:EC24"/>
    <mergeCell ref="EK49:EL49"/>
    <mergeCell ref="EI14:EJ14"/>
    <mergeCell ref="Y4:Z5"/>
    <mergeCell ref="AG45:AH45"/>
    <mergeCell ref="BR50:BU50"/>
    <mergeCell ref="EI84:EJ84"/>
    <mergeCell ref="BF84:BG84"/>
    <mergeCell ref="AA74:AB75"/>
    <mergeCell ref="AB84:AC84"/>
    <mergeCell ref="CF77:CG77"/>
    <mergeCell ref="BN84:BO84"/>
    <mergeCell ref="AI74:AJ75"/>
    <mergeCell ref="BB21:BC21"/>
    <mergeCell ref="AU84:AV84"/>
    <mergeCell ref="EK84:EL84"/>
    <mergeCell ref="CJ56:CK56"/>
    <mergeCell ref="CG60:CH61"/>
    <mergeCell ref="DS25:DT26"/>
    <mergeCell ref="BT45:BU45"/>
    <mergeCell ref="DZ46:EA47"/>
    <mergeCell ref="BR10:BS10"/>
    <mergeCell ref="CA35:CB35"/>
    <mergeCell ref="AO28:AP28"/>
    <mergeCell ref="J71:M71"/>
    <mergeCell ref="J18:K19"/>
    <mergeCell ref="BC4:BD5"/>
    <mergeCell ref="CO43:CR43"/>
    <mergeCell ref="AH63:AI63"/>
    <mergeCell ref="DV56:DW56"/>
    <mergeCell ref="EC77:ED77"/>
    <mergeCell ref="AV60:AW61"/>
    <mergeCell ref="DD10:DE10"/>
    <mergeCell ref="AP25:AQ26"/>
    <mergeCell ref="AV71:AY71"/>
    <mergeCell ref="DS53:DT54"/>
    <mergeCell ref="CU70:CV70"/>
    <mergeCell ref="CY21:CZ21"/>
    <mergeCell ref="CO4:CP5"/>
    <mergeCell ref="CR77:CS77"/>
    <mergeCell ref="CO39:CP40"/>
    <mergeCell ref="DF53:DG54"/>
    <mergeCell ref="AO56:AP56"/>
    <mergeCell ref="Y67:Z68"/>
    <mergeCell ref="DV7:DW7"/>
    <mergeCell ref="AW77:AX77"/>
    <mergeCell ref="CU56:CV56"/>
    <mergeCell ref="DD17:DE17"/>
    <mergeCell ref="DK53:DL54"/>
    <mergeCell ref="EB4:EC5"/>
    <mergeCell ref="BZ17:CA17"/>
    <mergeCell ref="DS43:DV43"/>
    <mergeCell ref="AN11:AO12"/>
    <mergeCell ref="E73:F73"/>
    <mergeCell ref="AV3:AW3"/>
    <mergeCell ref="M35:N35"/>
    <mergeCell ref="BE39:BF40"/>
    <mergeCell ref="EC21:ED21"/>
    <mergeCell ref="BB42:BC42"/>
    <mergeCell ref="BC15:BF15"/>
    <mergeCell ref="F70:G70"/>
    <mergeCell ref="DV77:DW77"/>
    <mergeCell ref="CQ24:CR24"/>
    <mergeCell ref="E81:F82"/>
    <mergeCell ref="C64:F64"/>
    <mergeCell ref="D7:E7"/>
    <mergeCell ref="CA7:CB7"/>
    <mergeCell ref="AY35:AZ35"/>
    <mergeCell ref="DK81:DL82"/>
    <mergeCell ref="BS49:BT49"/>
    <mergeCell ref="CQ32:CR33"/>
    <mergeCell ref="CO15:CR15"/>
    <mergeCell ref="DD80:DE80"/>
    <mergeCell ref="DZ50:EC50"/>
    <mergeCell ref="CG25:CH26"/>
    <mergeCell ref="U14:V14"/>
    <mergeCell ref="CG57:CJ57"/>
    <mergeCell ref="E3:F3"/>
    <mergeCell ref="DE49:DF49"/>
    <mergeCell ref="BC43:BF43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ET47"/>
  <sheetViews>
    <sheetView view="pageLayout" topLeftCell="AS1" zoomScale="55" zoomScaleNormal="70" zoomScalePageLayoutView="55" workbookViewId="0"/>
  </sheetViews>
  <sheetFormatPr defaultRowHeight="22.2" x14ac:dyDescent="0.55000000000000004"/>
  <cols>
    <col min="1" max="1" width="2.796875" style="106" customWidth="1"/>
    <col min="2" max="2" width="8.09765625" style="57" customWidth="1"/>
    <col min="3" max="5" width="7.59765625" style="57" customWidth="1"/>
    <col min="6" max="6" width="12.19921875" style="57" customWidth="1"/>
    <col min="7" max="7" width="4.19921875" style="70" customWidth="1"/>
    <col min="8" max="8" width="8.5" style="57" hidden="1" customWidth="1"/>
    <col min="9" max="9" width="8.5" style="57" customWidth="1"/>
    <col min="10" max="12" width="7.59765625" style="57" customWidth="1"/>
    <col min="13" max="13" width="12.19921875" style="57" customWidth="1"/>
    <col min="14" max="14" width="4.19921875" style="67" customWidth="1"/>
    <col min="15" max="15" width="2.796875" style="57" customWidth="1"/>
    <col min="16" max="16" width="2.796875" style="106" customWidth="1"/>
    <col min="17" max="17" width="8.09765625" style="57" customWidth="1"/>
    <col min="18" max="20" width="7.59765625" style="57" customWidth="1"/>
    <col min="21" max="21" width="12.19921875" style="57" customWidth="1"/>
    <col min="22" max="22" width="4.19921875" style="70" customWidth="1"/>
    <col min="23" max="23" width="8.5" style="57" hidden="1" customWidth="1"/>
    <col min="24" max="24" width="8.5" style="57" customWidth="1"/>
    <col min="25" max="27" width="7.59765625" style="57" customWidth="1"/>
    <col min="28" max="28" width="12.19921875" style="57" customWidth="1"/>
    <col min="29" max="29" width="4.19921875" style="67" customWidth="1"/>
    <col min="30" max="30" width="2.796875" style="57" customWidth="1"/>
    <col min="31" max="31" width="2.796875" style="106" customWidth="1"/>
    <col min="32" max="32" width="8.09765625" style="57" customWidth="1"/>
    <col min="33" max="35" width="7.59765625" style="57" customWidth="1"/>
    <col min="36" max="36" width="12.19921875" style="57" customWidth="1"/>
    <col min="37" max="37" width="4.19921875" style="70" bestFit="1" customWidth="1"/>
    <col min="38" max="38" width="8.5" style="57" hidden="1" customWidth="1"/>
    <col min="39" max="39" width="8.5" style="57" customWidth="1"/>
    <col min="40" max="42" width="7.59765625" style="57" customWidth="1"/>
    <col min="43" max="43" width="12.19921875" style="57" customWidth="1"/>
    <col min="44" max="44" width="4.19921875" style="67" customWidth="1"/>
    <col min="45" max="45" width="2.796875" style="57" customWidth="1"/>
    <col min="46" max="46" width="2.796875" style="106" customWidth="1"/>
    <col min="47" max="47" width="8.09765625" style="57" customWidth="1"/>
    <col min="48" max="50" width="7.59765625" style="57" customWidth="1"/>
    <col min="51" max="51" width="12.19921875" style="57" customWidth="1"/>
    <col min="52" max="52" width="4.19921875" style="70" bestFit="1" customWidth="1"/>
    <col min="53" max="53" width="8.5" style="57" hidden="1" customWidth="1"/>
    <col min="54" max="54" width="8.5" style="57" customWidth="1"/>
    <col min="55" max="57" width="7.59765625" style="57" customWidth="1"/>
    <col min="58" max="58" width="12.19921875" style="57" customWidth="1"/>
    <col min="59" max="59" width="4.19921875" style="67" customWidth="1"/>
    <col min="60" max="60" width="2.796875" style="57" customWidth="1"/>
    <col min="61" max="61" width="2.796875" style="106" customWidth="1"/>
    <col min="62" max="62" width="8.09765625" style="57" customWidth="1"/>
    <col min="63" max="65" width="7.59765625" style="57" customWidth="1"/>
    <col min="66" max="66" width="12.19921875" style="57" customWidth="1"/>
    <col min="67" max="67" width="4.19921875" style="70" bestFit="1" customWidth="1"/>
    <col min="68" max="68" width="8.5" style="57" hidden="1" customWidth="1"/>
    <col min="69" max="69" width="8.5" style="57" customWidth="1"/>
    <col min="70" max="72" width="7.59765625" style="57" customWidth="1"/>
    <col min="73" max="73" width="12.19921875" style="57" customWidth="1"/>
    <col min="74" max="74" width="4.19921875" style="67" customWidth="1"/>
    <col min="75" max="75" width="2.796875" style="57" customWidth="1"/>
    <col min="76" max="76" width="2.796875" style="106" customWidth="1"/>
    <col min="77" max="77" width="8.09765625" style="57" customWidth="1"/>
    <col min="78" max="80" width="7.59765625" style="57" customWidth="1"/>
    <col min="81" max="81" width="12.19921875" style="57" customWidth="1"/>
    <col min="82" max="82" width="4.19921875" style="70" bestFit="1" customWidth="1"/>
    <col min="83" max="83" width="8.5" style="57" hidden="1" customWidth="1"/>
    <col min="84" max="84" width="8.5" style="57" customWidth="1"/>
    <col min="85" max="87" width="7.59765625" style="57" customWidth="1"/>
    <col min="88" max="88" width="12.19921875" style="57" customWidth="1"/>
    <col min="89" max="89" width="4.19921875" style="67" customWidth="1"/>
    <col min="90" max="90" width="2.796875" style="57" customWidth="1"/>
    <col min="91" max="91" width="2.796875" style="106" customWidth="1"/>
    <col min="92" max="92" width="8.09765625" style="57" customWidth="1"/>
    <col min="93" max="95" width="7.59765625" style="57" customWidth="1"/>
    <col min="96" max="96" width="12.19921875" style="57" customWidth="1"/>
    <col min="97" max="97" width="4.19921875" style="70" bestFit="1" customWidth="1"/>
    <col min="98" max="98" width="8.5" style="57" hidden="1" customWidth="1"/>
    <col min="99" max="99" width="8.5" style="57" customWidth="1"/>
    <col min="100" max="102" width="7.59765625" style="57" customWidth="1"/>
    <col min="103" max="103" width="12.19921875" style="57" customWidth="1"/>
    <col min="104" max="104" width="4.19921875" style="67" customWidth="1"/>
    <col min="105" max="105" width="2.796875" style="57" customWidth="1"/>
    <col min="106" max="106" width="2.796875" style="106" customWidth="1"/>
    <col min="107" max="107" width="8.09765625" style="57" customWidth="1"/>
    <col min="108" max="110" width="7.59765625" style="57" customWidth="1"/>
    <col min="111" max="111" width="12.19921875" style="57" customWidth="1"/>
    <col min="112" max="112" width="4.19921875" style="70" bestFit="1" customWidth="1"/>
    <col min="113" max="113" width="8.5" style="57" hidden="1" customWidth="1"/>
    <col min="114" max="114" width="8.5" style="57" customWidth="1"/>
    <col min="115" max="117" width="7.59765625" style="57" customWidth="1"/>
    <col min="118" max="118" width="12.19921875" style="57" customWidth="1"/>
    <col min="119" max="119" width="4.19921875" style="67" customWidth="1"/>
    <col min="120" max="120" width="2.796875" style="57" customWidth="1"/>
    <col min="121" max="121" width="2.796875" style="106" customWidth="1"/>
    <col min="122" max="122" width="8.09765625" style="57" customWidth="1"/>
    <col min="123" max="125" width="7.59765625" style="57" customWidth="1"/>
    <col min="126" max="126" width="12.19921875" style="57" customWidth="1"/>
    <col min="127" max="127" width="4.19921875" style="70" bestFit="1" customWidth="1"/>
    <col min="128" max="128" width="8.5" style="57" hidden="1" customWidth="1"/>
    <col min="129" max="129" width="8.5" style="57" customWidth="1"/>
    <col min="130" max="132" width="7.59765625" style="57" customWidth="1"/>
    <col min="133" max="133" width="12.19921875" style="57" customWidth="1"/>
    <col min="134" max="134" width="4.19921875" style="67" customWidth="1"/>
    <col min="135" max="135" width="2.796875" style="57" customWidth="1"/>
    <col min="136" max="136" width="2.796875" style="106" customWidth="1"/>
    <col min="137" max="137" width="8.09765625" style="57" customWidth="1"/>
    <col min="138" max="140" width="7.59765625" style="57" customWidth="1"/>
    <col min="141" max="141" width="12.19921875" style="57" customWidth="1"/>
    <col min="142" max="142" width="4.19921875" style="70" bestFit="1" customWidth="1"/>
    <col min="143" max="143" width="8.5" style="57" hidden="1" customWidth="1"/>
    <col min="144" max="144" width="8.5" style="57" customWidth="1"/>
    <col min="145" max="147" width="7.59765625" style="57" customWidth="1"/>
    <col min="148" max="148" width="12.19921875" style="57" customWidth="1"/>
    <col min="149" max="149" width="4.19921875" style="67" customWidth="1"/>
    <col min="150" max="150" width="2.796875" style="57" customWidth="1"/>
  </cols>
  <sheetData>
    <row r="1" spans="1:150" s="60" customFormat="1" ht="25.8" customHeight="1" x14ac:dyDescent="0.55000000000000004">
      <c r="A1" s="59">
        <v>1</v>
      </c>
      <c r="B1" s="72" t="str">
        <f ca="1">IF(C1&lt;&gt;"",
MID(貼り付け用!$A$2, FIND("年",貼り付け用!$A$2)+1,2)&amp;"/"&amp;MID(貼り付け用!$A$2, FIND("月",貼り付け用!$A$2)+1,2),"")</f>
        <v>06/18</v>
      </c>
      <c r="C1" s="202" t="str">
        <f t="array" aca="1" ref="C1" ca="1">SUBSTITUTE(SUBSTITUTE(SUBSTITUTE(SUBSTITUTE(SUBSTITUTE(SUBSTITUTE(SUBSTITUTE(SUBSTITUTE(SUBSTITUTE(SUBSTITUTE(
IF(B2="△",
INDIRECT("'盛付札（関数）'!FJ"&amp;A1+1),INDIRECT("'盛付札（関数）'!FJ"&amp;A1)),"①",""),"②",""),"③",""),"④",""),"⑤",""),"⑥",""),"⑦",""),"⑧",""),"⑨",""),"⑩","")</f>
        <v>ニシム</v>
      </c>
      <c r="D1" s="203"/>
      <c r="E1" s="203"/>
      <c r="F1" s="203"/>
      <c r="G1" s="71" t="str">
        <f t="array" aca="1" ref="G1" ca="1">IF(C1&lt;&gt;"",
IF(AND(INDIRECT("'盛付札（関数）'!FI"&amp;A1)&gt;=124,INDIRECT("'盛付札（関数）'!FI"&amp;A1)&lt;=144),"",
"様"),"")</f>
        <v>様</v>
      </c>
      <c r="H1" s="65">
        <f ca="1">IF(OR(B2="●",B2="△"),
A1+2,A1+1)</f>
        <v>2</v>
      </c>
      <c r="I1" s="72" t="str">
        <f ca="1">IF(J1&lt;&gt;"",
MID(貼り付け用!$A$2, FIND("年",貼り付け用!$A$2)+1,2)&amp;"/"&amp;MID(貼り付け用!$A$2, FIND("月",貼り付け用!$A$2)+1,2),"")</f>
        <v>06/18</v>
      </c>
      <c r="J1" s="202" t="str">
        <f t="array" aca="1" ref="J1" ca="1">SUBSTITUTE(SUBSTITUTE(SUBSTITUTE(SUBSTITUTE(SUBSTITUTE(SUBSTITUTE(SUBSTITUTE(SUBSTITUTE(SUBSTITUTE(SUBSTITUTE(
IF(I2="△",
INDIRECT("'盛付札（関数）'!FJ"&amp;H1+1),INDIRECT("'盛付札（関数）'!FJ"&amp;H1)),"①",""),"②",""),"③",""),"④",""),"⑤",""),"⑥",""),"⑦",""),"⑧",""),"⑨",""),"⑩","")</f>
        <v>新日本製薬</v>
      </c>
      <c r="K1" s="203"/>
      <c r="L1" s="203"/>
      <c r="M1" s="203"/>
      <c r="N1" s="71" t="str">
        <f t="array" aca="1" ref="N1" ca="1">IF(J1&lt;&gt;"",
IF(AND(INDIRECT("'盛付札（関数）'!FI"&amp;H1)&gt;=124,INDIRECT("'盛付札（関数）'!FI"&amp;H1)&lt;=144),"",
"様"),"")</f>
        <v>様</v>
      </c>
      <c r="O1" s="49"/>
      <c r="P1" s="59">
        <f ca="1">IF(OR(I42="●",I42="△"),
H41+2,H41+1)</f>
        <v>13</v>
      </c>
      <c r="Q1" s="72" t="str">
        <f ca="1">IF(R1&lt;&gt;"",
MID(貼り付け用!$A$2, FIND("年",貼り付け用!$A$2)+1,2)&amp;"/"&amp;MID(貼り付け用!$A$2, FIND("月",貼り付け用!$A$2)+1,2),"")</f>
        <v/>
      </c>
      <c r="R1" s="202" t="str">
        <f t="array" aca="1" ref="R1" ca="1">SUBSTITUTE(SUBSTITUTE(SUBSTITUTE(SUBSTITUTE(SUBSTITUTE(SUBSTITUTE(SUBSTITUTE(SUBSTITUTE(SUBSTITUTE(SUBSTITUTE(
IF(Q2="△",
INDIRECT("'盛付札（関数）'!FJ"&amp;P1+1),INDIRECT("'盛付札（関数）'!FJ"&amp;P1)),"①",""),"②",""),"③",""),"④",""),"⑤",""),"⑥",""),"⑦",""),"⑧",""),"⑨",""),"⑩","")</f>
        <v/>
      </c>
      <c r="S1" s="203"/>
      <c r="T1" s="203"/>
      <c r="U1" s="203"/>
      <c r="V1" s="71" t="str">
        <f t="array" aca="1" ref="V1" ca="1">IF(R1&lt;&gt;"",
IF(AND(INDIRECT("'盛付札（関数）'!FI"&amp;P1)&gt;=124,INDIRECT("'盛付札（関数）'!FI"&amp;P1)&lt;=144),"",
"様"),"")</f>
        <v/>
      </c>
      <c r="W1" s="65">
        <f ca="1">IF(OR(Q2="●",Q2="△"),
P1+2,P1+1)</f>
        <v>14</v>
      </c>
      <c r="X1" s="72" t="str">
        <f ca="1">IF(Y1&lt;&gt;"",
MID(貼り付け用!$A$2, FIND("年",貼り付け用!$A$2)+1,2)&amp;"/"&amp;MID(貼り付け用!$A$2, FIND("月",貼り付け用!$A$2)+1,2),"")</f>
        <v/>
      </c>
      <c r="Y1" s="202" t="str">
        <f t="array" aca="1" ref="Y1" ca="1">SUBSTITUTE(SUBSTITUTE(SUBSTITUTE(SUBSTITUTE(SUBSTITUTE(SUBSTITUTE(SUBSTITUTE(SUBSTITUTE(SUBSTITUTE(SUBSTITUTE(
IF(X2="△",
INDIRECT("'盛付札（関数）'!FJ"&amp;W1+1),INDIRECT("'盛付札（関数）'!FJ"&amp;W1)),"①",""),"②",""),"③",""),"④",""),"⑤",""),"⑥",""),"⑦",""),"⑧",""),"⑨",""),"⑩","")</f>
        <v/>
      </c>
      <c r="Z1" s="203"/>
      <c r="AA1" s="203"/>
      <c r="AB1" s="203"/>
      <c r="AC1" s="71" t="str">
        <f t="array" aca="1" ref="AC1" ca="1">IF(Y1&lt;&gt;"",
IF(AND(INDIRECT("'盛付札（関数）'!FI"&amp;W1)&gt;=124,INDIRECT("'盛付札（関数）'!FI"&amp;W1)&lt;=144),"",
"様"),"")</f>
        <v/>
      </c>
      <c r="AD1" s="49"/>
      <c r="AE1" s="59">
        <f ca="1">IF(OR(X42="●",X42="△"),
W41+2,W41+1)</f>
        <v>25</v>
      </c>
      <c r="AF1" s="72" t="str">
        <f ca="1">IF(AG1&lt;&gt;"",
MID(貼り付け用!$A$2, FIND("年",貼り付け用!$A$2)+1,2)&amp;"/"&amp;MID(貼り付け用!$A$2, FIND("月",貼り付け用!$A$2)+1,2),"")</f>
        <v/>
      </c>
      <c r="AG1" s="202" t="str">
        <f t="array" aca="1" ref="AG1" ca="1">SUBSTITUTE(SUBSTITUTE(SUBSTITUTE(SUBSTITUTE(SUBSTITUTE(SUBSTITUTE(SUBSTITUTE(SUBSTITUTE(SUBSTITUTE(SUBSTITUTE(
IF(AF2="△",
INDIRECT("'盛付札（関数）'!FJ"&amp;AE1+1),INDIRECT("'盛付札（関数）'!FJ"&amp;AE1)),"①",""),"②",""),"③",""),"④",""),"⑤",""),"⑥",""),"⑦",""),"⑧",""),"⑨",""),"⑩","")</f>
        <v/>
      </c>
      <c r="AH1" s="203"/>
      <c r="AI1" s="203"/>
      <c r="AJ1" s="203"/>
      <c r="AK1" s="71" t="str">
        <f t="array" aca="1" ref="AK1" ca="1">IF(AG1&lt;&gt;"",
IF(AND(INDIRECT("'盛付札（関数）'!FI"&amp;AE1)&gt;=124,INDIRECT("'盛付札（関数）'!FI"&amp;AE1)&lt;=144),"",
"様"),"")</f>
        <v/>
      </c>
      <c r="AL1" s="65">
        <f ca="1">IF(OR(AF2="●",AF2="△"),
AE1+2,AE1+1)</f>
        <v>26</v>
      </c>
      <c r="AM1" s="72" t="str">
        <f ca="1">IF(AN1&lt;&gt;"",
MID(貼り付け用!$A$2, FIND("年",貼り付け用!$A$2)+1,2)&amp;"/"&amp;MID(貼り付け用!$A$2, FIND("月",貼り付け用!$A$2)+1,2),"")</f>
        <v/>
      </c>
      <c r="AN1" s="202" t="str">
        <f t="array" aca="1" ref="AN1" ca="1">SUBSTITUTE(SUBSTITUTE(SUBSTITUTE(SUBSTITUTE(SUBSTITUTE(SUBSTITUTE(SUBSTITUTE(SUBSTITUTE(SUBSTITUTE(SUBSTITUTE(
IF(AM2="△",
INDIRECT("'盛付札（関数）'!FJ"&amp;AL1+1),INDIRECT("'盛付札（関数）'!FJ"&amp;AL1)),"①",""),"②",""),"③",""),"④",""),"⑤",""),"⑥",""),"⑦",""),"⑧",""),"⑨",""),"⑩","")</f>
        <v/>
      </c>
      <c r="AO1" s="203"/>
      <c r="AP1" s="203"/>
      <c r="AQ1" s="203"/>
      <c r="AR1" s="71" t="str">
        <f t="array" aca="1" ref="AR1" ca="1">IF(AN1&lt;&gt;"",
IF(AND(INDIRECT("'盛付札（関数）'!FI"&amp;AL1)&gt;=124,INDIRECT("'盛付札（関数）'!FI"&amp;AL1)&lt;=144),"",
"様"),"")</f>
        <v/>
      </c>
      <c r="AS1" s="49"/>
      <c r="AT1" s="59">
        <f ca="1">IF(OR(AM42="●",AM42="△"),
AL41+2,AL41+1)</f>
        <v>37</v>
      </c>
      <c r="AU1" s="72" t="str">
        <f ca="1">IF(AV1&lt;&gt;"",
MID(貼り付け用!$A$2, FIND("年",貼り付け用!$A$2)+1,2)&amp;"/"&amp;MID(貼り付け用!$A$2, FIND("月",貼り付け用!$A$2)+1,2),"")</f>
        <v/>
      </c>
      <c r="AV1" s="202" t="str">
        <f t="array" aca="1" ref="AV1" ca="1">SUBSTITUTE(SUBSTITUTE(SUBSTITUTE(SUBSTITUTE(SUBSTITUTE(SUBSTITUTE(SUBSTITUTE(SUBSTITUTE(SUBSTITUTE(SUBSTITUTE(
IF(AU2="△",
INDIRECT("'盛付札（関数）'!FJ"&amp;AT1+1),INDIRECT("'盛付札（関数）'!FJ"&amp;AT1)),"①",""),"②",""),"③",""),"④",""),"⑤",""),"⑥",""),"⑦",""),"⑧",""),"⑨",""),"⑩","")</f>
        <v/>
      </c>
      <c r="AW1" s="203"/>
      <c r="AX1" s="203"/>
      <c r="AY1" s="203"/>
      <c r="AZ1" s="71" t="str">
        <f t="array" aca="1" ref="AZ1" ca="1">IF(AV1&lt;&gt;"",
IF(AND(INDIRECT("'盛付札（関数）'!FI"&amp;AT1)&gt;=124,INDIRECT("'盛付札（関数）'!FI"&amp;AT1)&lt;=144),"",
"様"),"")</f>
        <v/>
      </c>
      <c r="BA1" s="65">
        <f ca="1">IF(OR(AU2="●",AU2="△"),
AT1+2,AT1+1)</f>
        <v>38</v>
      </c>
      <c r="BB1" s="72" t="str">
        <f ca="1">IF(BC1&lt;&gt;"",
MID(貼り付け用!$A$2, FIND("年",貼り付け用!$A$2)+1,2)&amp;"/"&amp;MID(貼り付け用!$A$2, FIND("月",貼り付け用!$A$2)+1,2),"")</f>
        <v/>
      </c>
      <c r="BC1" s="202" t="str">
        <f t="array" aca="1" ref="BC1" ca="1">SUBSTITUTE(SUBSTITUTE(SUBSTITUTE(SUBSTITUTE(SUBSTITUTE(SUBSTITUTE(SUBSTITUTE(SUBSTITUTE(SUBSTITUTE(SUBSTITUTE(
IF(BB2="△",
INDIRECT("'盛付札（関数）'!FJ"&amp;BA1+1),INDIRECT("'盛付札（関数）'!FJ"&amp;BA1)),"①",""),"②",""),"③",""),"④",""),"⑤",""),"⑥",""),"⑦",""),"⑧",""),"⑨",""),"⑩","")</f>
        <v/>
      </c>
      <c r="BD1" s="203"/>
      <c r="BE1" s="203"/>
      <c r="BF1" s="203"/>
      <c r="BG1" s="71" t="str">
        <f t="array" aca="1" ref="BG1" ca="1">IF(BC1&lt;&gt;"",
IF(AND(INDIRECT("'盛付札（関数）'!FI"&amp;BA1)&gt;=124,INDIRECT("'盛付札（関数）'!FI"&amp;BA1)&lt;=144),"",
"様"),"")</f>
        <v/>
      </c>
      <c r="BH1" s="49"/>
      <c r="BI1" s="59">
        <f ca="1">IF(OR(BB42="●",BB42="△"),
BA41+2,BA41+1)</f>
        <v>49</v>
      </c>
      <c r="BJ1" s="72" t="str">
        <f ca="1">IF(BK1&lt;&gt;"",
MID(貼り付け用!$A$2, FIND("年",貼り付け用!$A$2)+1,2)&amp;"/"&amp;MID(貼り付け用!$A$2, FIND("月",貼り付け用!$A$2)+1,2),"")</f>
        <v/>
      </c>
      <c r="BK1" s="202" t="str">
        <f t="array" aca="1" ref="BK1" ca="1">SUBSTITUTE(SUBSTITUTE(SUBSTITUTE(SUBSTITUTE(SUBSTITUTE(SUBSTITUTE(SUBSTITUTE(SUBSTITUTE(SUBSTITUTE(SUBSTITUTE(
IF(BJ2="△",
INDIRECT("'盛付札（関数）'!FJ"&amp;BI1+1),INDIRECT("'盛付札（関数）'!FJ"&amp;BI1)),"①",""),"②",""),"③",""),"④",""),"⑤",""),"⑥",""),"⑦",""),"⑧",""),"⑨",""),"⑩","")</f>
        <v/>
      </c>
      <c r="BL1" s="203"/>
      <c r="BM1" s="203"/>
      <c r="BN1" s="203"/>
      <c r="BO1" s="71" t="str">
        <f t="array" aca="1" ref="BO1" ca="1">IF(BK1&lt;&gt;"",
IF(AND(INDIRECT("'盛付札（関数）'!FI"&amp;BI1)&gt;=124,INDIRECT("'盛付札（関数）'!FI"&amp;BI1)&lt;=144),"",
"様"),"")</f>
        <v/>
      </c>
      <c r="BP1" s="65">
        <f ca="1">IF(OR(BJ2="●",BJ2="△"),
BI1+2,BI1+1)</f>
        <v>50</v>
      </c>
      <c r="BQ1" s="72" t="str">
        <f ca="1">IF(BR1&lt;&gt;"",
MID(貼り付け用!$A$2, FIND("年",貼り付け用!$A$2)+1,2)&amp;"/"&amp;MID(貼り付け用!$A$2, FIND("月",貼り付け用!$A$2)+1,2),"")</f>
        <v/>
      </c>
      <c r="BR1" s="202" t="str">
        <f t="array" aca="1" ref="BR1" ca="1">SUBSTITUTE(SUBSTITUTE(SUBSTITUTE(SUBSTITUTE(SUBSTITUTE(SUBSTITUTE(SUBSTITUTE(SUBSTITUTE(SUBSTITUTE(SUBSTITUTE(
IF(BQ2="△",
INDIRECT("'盛付札（関数）'!FJ"&amp;BP1+1),INDIRECT("'盛付札（関数）'!FJ"&amp;BP1)),"①",""),"②",""),"③",""),"④",""),"⑤",""),"⑥",""),"⑦",""),"⑧",""),"⑨",""),"⑩","")</f>
        <v/>
      </c>
      <c r="BS1" s="203"/>
      <c r="BT1" s="203"/>
      <c r="BU1" s="203"/>
      <c r="BV1" s="71" t="str">
        <f t="array" aca="1" ref="BV1" ca="1">IF(BR1&lt;&gt;"",
IF(AND(INDIRECT("'盛付札（関数）'!FI"&amp;BP1)&gt;=124,INDIRECT("'盛付札（関数）'!FI"&amp;BP1)&lt;=144),"",
"様"),"")</f>
        <v/>
      </c>
      <c r="BW1" s="49"/>
      <c r="BX1" s="59">
        <f ca="1">IF(OR(BQ42="●",BQ42="△"),
BP41+2,BP41+1)</f>
        <v>61</v>
      </c>
      <c r="BY1" s="72" t="str">
        <f ca="1">IF(BZ1&lt;&gt;"",
MID(貼り付け用!$A$2, FIND("年",貼り付け用!$A$2)+1,2)&amp;"/"&amp;MID(貼り付け用!$A$2, FIND("月",貼り付け用!$A$2)+1,2),"")</f>
        <v/>
      </c>
      <c r="BZ1" s="202" t="str">
        <f t="array" aca="1" ref="BZ1" ca="1">SUBSTITUTE(SUBSTITUTE(SUBSTITUTE(SUBSTITUTE(SUBSTITUTE(SUBSTITUTE(SUBSTITUTE(SUBSTITUTE(SUBSTITUTE(SUBSTITUTE(
IF(BY2="△",
INDIRECT("'盛付札（関数）'!FJ"&amp;BX1+1),INDIRECT("'盛付札（関数）'!FJ"&amp;BX1)),"①",""),"②",""),"③",""),"④",""),"⑤",""),"⑥",""),"⑦",""),"⑧",""),"⑨",""),"⑩","")</f>
        <v/>
      </c>
      <c r="CA1" s="203"/>
      <c r="CB1" s="203"/>
      <c r="CC1" s="203"/>
      <c r="CD1" s="71" t="str">
        <f t="array" aca="1" ref="CD1" ca="1">IF(BZ1&lt;&gt;"",
IF(AND(INDIRECT("'盛付札（関数）'!FI"&amp;BX1)&gt;=124,INDIRECT("'盛付札（関数）'!FI"&amp;BX1)&lt;=144),"",
"様"),"")</f>
        <v/>
      </c>
      <c r="CE1" s="65">
        <f ca="1">IF(OR(BY2="●",BY2="△"),
BX1+2,BX1+1)</f>
        <v>62</v>
      </c>
      <c r="CF1" s="72" t="str">
        <f ca="1">IF(CG1&lt;&gt;"",
MID(貼り付け用!$A$2, FIND("年",貼り付け用!$A$2)+1,2)&amp;"/"&amp;MID(貼り付け用!$A$2, FIND("月",貼り付け用!$A$2)+1,2),"")</f>
        <v/>
      </c>
      <c r="CG1" s="202" t="str">
        <f t="array" aca="1" ref="CG1" ca="1">SUBSTITUTE(SUBSTITUTE(SUBSTITUTE(SUBSTITUTE(SUBSTITUTE(SUBSTITUTE(SUBSTITUTE(SUBSTITUTE(SUBSTITUTE(SUBSTITUTE(
IF(CF2="△",
INDIRECT("'盛付札（関数）'!FJ"&amp;CE1+1),INDIRECT("'盛付札（関数）'!FJ"&amp;CE1)),"①",""),"②",""),"③",""),"④",""),"⑤",""),"⑥",""),"⑦",""),"⑧",""),"⑨",""),"⑩","")</f>
        <v/>
      </c>
      <c r="CH1" s="203"/>
      <c r="CI1" s="203"/>
      <c r="CJ1" s="203"/>
      <c r="CK1" s="71" t="str">
        <f t="array" aca="1" ref="CK1" ca="1">IF(CG1&lt;&gt;"",
IF(AND(INDIRECT("'盛付札（関数）'!FI"&amp;CE1)&gt;=124,INDIRECT("'盛付札（関数）'!FI"&amp;CE1)&lt;=144),"",
"様"),"")</f>
        <v/>
      </c>
      <c r="CL1" s="49"/>
      <c r="CM1" s="59">
        <f ca="1">IF(OR(CF42="●",CF42="△"),
CE41+2,CE41+1)</f>
        <v>73</v>
      </c>
      <c r="CN1" s="72" t="str">
        <f ca="1">IF(CO1&lt;&gt;"",
MID(貼り付け用!$A$2, FIND("年",貼り付け用!$A$2)+1,2)&amp;"/"&amp;MID(貼り付け用!$A$2, FIND("月",貼り付け用!$A$2)+1,2),"")</f>
        <v/>
      </c>
      <c r="CO1" s="202" t="str">
        <f t="array" aca="1" ref="CO1" ca="1">SUBSTITUTE(SUBSTITUTE(SUBSTITUTE(SUBSTITUTE(SUBSTITUTE(SUBSTITUTE(SUBSTITUTE(SUBSTITUTE(SUBSTITUTE(SUBSTITUTE(
IF(CN2="△",
INDIRECT("'盛付札（関数）'!FJ"&amp;CM1+1),INDIRECT("'盛付札（関数）'!FJ"&amp;CM1)),"①",""),"②",""),"③",""),"④",""),"⑤",""),"⑥",""),"⑦",""),"⑧",""),"⑨",""),"⑩","")</f>
        <v/>
      </c>
      <c r="CP1" s="203"/>
      <c r="CQ1" s="203"/>
      <c r="CR1" s="203"/>
      <c r="CS1" s="71" t="str">
        <f t="array" aca="1" ref="CS1" ca="1">IF(CO1&lt;&gt;"",
IF(AND(INDIRECT("'盛付札（関数）'!FI"&amp;CM1)&gt;=124,INDIRECT("'盛付札（関数）'!FI"&amp;CM1)&lt;=144),"",
"様"),"")</f>
        <v/>
      </c>
      <c r="CT1" s="65">
        <f ca="1">IF(OR(CN2="●",CN2="△"),
CM1+2,CM1+1)</f>
        <v>74</v>
      </c>
      <c r="CU1" s="72" t="str">
        <f ca="1">IF(CV1&lt;&gt;"",
MID(貼り付け用!$A$2, FIND("年",貼り付け用!$A$2)+1,2)&amp;"/"&amp;MID(貼り付け用!$A$2, FIND("月",貼り付け用!$A$2)+1,2),"")</f>
        <v/>
      </c>
      <c r="CV1" s="202" t="str">
        <f t="array" aca="1" ref="CV1" ca="1">SUBSTITUTE(SUBSTITUTE(SUBSTITUTE(SUBSTITUTE(SUBSTITUTE(SUBSTITUTE(SUBSTITUTE(SUBSTITUTE(SUBSTITUTE(SUBSTITUTE(
IF(CU2="△",
INDIRECT("'盛付札（関数）'!FJ"&amp;CT1+1),INDIRECT("'盛付札（関数）'!FJ"&amp;CT1)),"①",""),"②",""),"③",""),"④",""),"⑤",""),"⑥",""),"⑦",""),"⑧",""),"⑨",""),"⑩","")</f>
        <v/>
      </c>
      <c r="CW1" s="203"/>
      <c r="CX1" s="203"/>
      <c r="CY1" s="203"/>
      <c r="CZ1" s="71" t="str">
        <f t="array" aca="1" ref="CZ1" ca="1">IF(CV1&lt;&gt;"",
IF(AND(INDIRECT("'盛付札（関数）'!FI"&amp;CT1)&gt;=124,INDIRECT("'盛付札（関数）'!FI"&amp;CT1)&lt;=144),"",
"様"),"")</f>
        <v/>
      </c>
      <c r="DA1" s="49"/>
      <c r="DB1" s="59">
        <f ca="1">IF(OR(CU42="●",CU42="△"),
CT41+2,CT41+1)</f>
        <v>85</v>
      </c>
      <c r="DC1" s="72" t="str">
        <f ca="1">IF(DD1&lt;&gt;"",
MID(貼り付け用!$A$2, FIND("年",貼り付け用!$A$2)+1,2)&amp;"/"&amp;MID(貼り付け用!$A$2, FIND("月",貼り付け用!$A$2)+1,2),"")</f>
        <v/>
      </c>
      <c r="DD1" s="202" t="str">
        <f t="array" aca="1" ref="DD1" ca="1">SUBSTITUTE(SUBSTITUTE(SUBSTITUTE(SUBSTITUTE(SUBSTITUTE(SUBSTITUTE(SUBSTITUTE(SUBSTITUTE(SUBSTITUTE(SUBSTITUTE(
IF(DC2="△",
INDIRECT("'盛付札（関数）'!FJ"&amp;DB1+1),INDIRECT("'盛付札（関数）'!FJ"&amp;DB1)),"①",""),"②",""),"③",""),"④",""),"⑤",""),"⑥",""),"⑦",""),"⑧",""),"⑨",""),"⑩","")</f>
        <v/>
      </c>
      <c r="DE1" s="203"/>
      <c r="DF1" s="203"/>
      <c r="DG1" s="203"/>
      <c r="DH1" s="71" t="str">
        <f t="array" aca="1" ref="DH1" ca="1">IF(DD1&lt;&gt;"",
IF(AND(INDIRECT("'盛付札（関数）'!FI"&amp;DB1)&gt;=124,INDIRECT("'盛付札（関数）'!FI"&amp;DB1)&lt;=144),"",
"様"),"")</f>
        <v/>
      </c>
      <c r="DI1" s="65">
        <f ca="1">IF(OR(DC2="●",DC2="△"),
DB1+2,DB1+1)</f>
        <v>86</v>
      </c>
      <c r="DJ1" s="72" t="str">
        <f ca="1">IF(DK1&lt;&gt;"",
MID(貼り付け用!$A$2, FIND("年",貼り付け用!$A$2)+1,2)&amp;"/"&amp;MID(貼り付け用!$A$2, FIND("月",貼り付け用!$A$2)+1,2),"")</f>
        <v/>
      </c>
      <c r="DK1" s="202" t="str">
        <f t="array" aca="1" ref="DK1" ca="1">SUBSTITUTE(SUBSTITUTE(SUBSTITUTE(SUBSTITUTE(SUBSTITUTE(SUBSTITUTE(SUBSTITUTE(SUBSTITUTE(SUBSTITUTE(SUBSTITUTE(
IF(DJ2="△",
INDIRECT("'盛付札（関数）'!FJ"&amp;DI1+1),INDIRECT("'盛付札（関数）'!FJ"&amp;DI1)),"①",""),"②",""),"③",""),"④",""),"⑤",""),"⑥",""),"⑦",""),"⑧",""),"⑨",""),"⑩","")</f>
        <v/>
      </c>
      <c r="DL1" s="203"/>
      <c r="DM1" s="203"/>
      <c r="DN1" s="203"/>
      <c r="DO1" s="71" t="str">
        <f t="array" aca="1" ref="DO1" ca="1">IF(DK1&lt;&gt;"",
IF(AND(INDIRECT("'盛付札（関数）'!FI"&amp;DI1)&gt;=124,INDIRECT("'盛付札（関数）'!FI"&amp;DI1)&lt;=144),"",
"様"),"")</f>
        <v/>
      </c>
      <c r="DP1" s="49"/>
      <c r="DQ1" s="59">
        <f ca="1">IF(OR(DJ42="●",DJ42="△"),
DI41+2,DI41+1)</f>
        <v>97</v>
      </c>
      <c r="DR1" s="72" t="str">
        <f ca="1">IF(DS1&lt;&gt;"",
MID(貼り付け用!$A$2, FIND("年",貼り付け用!$A$2)+1,2)&amp;"/"&amp;MID(貼り付け用!$A$2, FIND("月",貼り付け用!$A$2)+1,2),"")</f>
        <v/>
      </c>
      <c r="DS1" s="202" t="str">
        <f t="array" aca="1" ref="DS1" ca="1">SUBSTITUTE(SUBSTITUTE(SUBSTITUTE(SUBSTITUTE(SUBSTITUTE(SUBSTITUTE(SUBSTITUTE(SUBSTITUTE(SUBSTITUTE(SUBSTITUTE(
IF(DR2="△",
INDIRECT("'盛付札（関数）'!FJ"&amp;DQ1+1),INDIRECT("'盛付札（関数）'!FJ"&amp;DQ1)),"①",""),"②",""),"③",""),"④",""),"⑤",""),"⑥",""),"⑦",""),"⑧",""),"⑨",""),"⑩","")</f>
        <v/>
      </c>
      <c r="DT1" s="203"/>
      <c r="DU1" s="203"/>
      <c r="DV1" s="203"/>
      <c r="DW1" s="71" t="str">
        <f t="array" aca="1" ref="DW1" ca="1">IF(DS1&lt;&gt;"",
IF(AND(INDIRECT("'盛付札（関数）'!FI"&amp;DQ1)&gt;=124,INDIRECT("'盛付札（関数）'!FI"&amp;DQ1)&lt;=144),"",
"様"),"")</f>
        <v/>
      </c>
      <c r="DX1" s="65">
        <f ca="1">IF(OR(DR2="●",DR2="△"),
DQ1+2,DQ1+1)</f>
        <v>98</v>
      </c>
      <c r="DY1" s="72" t="str">
        <f ca="1">IF(DZ1&lt;&gt;"",
MID(貼り付け用!$A$2, FIND("年",貼り付け用!$A$2)+1,2)&amp;"/"&amp;MID(貼り付け用!$A$2, FIND("月",貼り付け用!$A$2)+1,2),"")</f>
        <v/>
      </c>
      <c r="DZ1" s="202" t="str">
        <f t="array" aca="1" ref="DZ1" ca="1">SUBSTITUTE(SUBSTITUTE(SUBSTITUTE(SUBSTITUTE(SUBSTITUTE(SUBSTITUTE(SUBSTITUTE(SUBSTITUTE(SUBSTITUTE(SUBSTITUTE(
IF(DY2="△",
INDIRECT("'盛付札（関数）'!FJ"&amp;DX1+1),INDIRECT("'盛付札（関数）'!FJ"&amp;DX1)),"①",""),"②",""),"③",""),"④",""),"⑤",""),"⑥",""),"⑦",""),"⑧",""),"⑨",""),"⑩","")</f>
        <v/>
      </c>
      <c r="EA1" s="203"/>
      <c r="EB1" s="203"/>
      <c r="EC1" s="203"/>
      <c r="ED1" s="71" t="str">
        <f t="array" aca="1" ref="ED1" ca="1">IF(DZ1&lt;&gt;"",
IF(AND(INDIRECT("'盛付札（関数）'!FI"&amp;DX1)&gt;=124,INDIRECT("'盛付札（関数）'!FI"&amp;DX1)&lt;=144),"",
"様"),"")</f>
        <v/>
      </c>
      <c r="EE1" s="49"/>
      <c r="EF1" s="59">
        <f ca="1">IF(OR(DY42="●",DY42="△"),
DX41+2,DX41+1)</f>
        <v>109</v>
      </c>
      <c r="EG1" s="72" t="str">
        <f ca="1">IF(EH1&lt;&gt;"",
MID(貼り付け用!$A$2, FIND("年",貼り付け用!$A$2)+1,2)&amp;"/"&amp;MID(貼り付け用!$A$2, FIND("月",貼り付け用!$A$2)+1,2),"")</f>
        <v/>
      </c>
      <c r="EH1" s="202" t="str">
        <f t="array" aca="1" ref="EH1" ca="1">SUBSTITUTE(SUBSTITUTE(SUBSTITUTE(SUBSTITUTE(SUBSTITUTE(SUBSTITUTE(SUBSTITUTE(SUBSTITUTE(SUBSTITUTE(SUBSTITUTE(
IF(EG2="△",
INDIRECT("'盛付札（関数）'!FJ"&amp;EF1+1),INDIRECT("'盛付札（関数）'!FJ"&amp;EF1)),"①",""),"②",""),"③",""),"④",""),"⑤",""),"⑥",""),"⑦",""),"⑧",""),"⑨",""),"⑩","")</f>
        <v/>
      </c>
      <c r="EI1" s="203"/>
      <c r="EJ1" s="203"/>
      <c r="EK1" s="203"/>
      <c r="EL1" s="71" t="str">
        <f t="array" aca="1" ref="EL1" ca="1">IF(EH1&lt;&gt;"",
IF(AND(INDIRECT("'盛付札（関数）'!FI"&amp;EF1)&gt;=124,INDIRECT("'盛付札（関数）'!FI"&amp;EF1)&lt;=144),"",
"様"),"")</f>
        <v/>
      </c>
      <c r="EM1" s="65">
        <f ca="1">IF(OR(EG2="●",EG2="△"),
EF1+2,EF1+1)</f>
        <v>110</v>
      </c>
      <c r="EN1" s="72" t="str">
        <f ca="1">IF(EO1&lt;&gt;"",
MID(貼り付け用!$A$2, FIND("年",貼り付け用!$A$2)+1,2)&amp;"/"&amp;MID(貼り付け用!$A$2, FIND("月",貼り付け用!$A$2)+1,2),"")</f>
        <v/>
      </c>
      <c r="EO1" s="202" t="str">
        <f t="array" aca="1" ref="EO1" ca="1">SUBSTITUTE(SUBSTITUTE(SUBSTITUTE(SUBSTITUTE(SUBSTITUTE(SUBSTITUTE(SUBSTITUTE(SUBSTITUTE(SUBSTITUTE(SUBSTITUTE(
IF(EN2="△",
INDIRECT("'盛付札（関数）'!FJ"&amp;EM1+1),INDIRECT("'盛付札（関数）'!FJ"&amp;EM1)),"①",""),"②",""),"③",""),"④",""),"⑤",""),"⑥",""),"⑦",""),"⑧",""),"⑨",""),"⑩","")</f>
        <v/>
      </c>
      <c r="EP1" s="203"/>
      <c r="EQ1" s="203"/>
      <c r="ER1" s="203"/>
      <c r="ES1" s="71" t="str">
        <f t="array" aca="1" ref="ES1" ca="1">IF(EO1&lt;&gt;"",
IF(AND(INDIRECT("'盛付札（関数）'!FI"&amp;EM1)&gt;=124,INDIRECT("'盛付札（関数）'!FI"&amp;EM1)&lt;=144),"",
"様"),"")</f>
        <v/>
      </c>
      <c r="ET1" s="49"/>
    </row>
    <row r="2" spans="1:150" s="60" customFormat="1" x14ac:dyDescent="0.55000000000000004">
      <c r="A2" s="59"/>
      <c r="B2" s="61" t="str">
        <f ca="1">IF(COUNTIF(INDIRECT("'盛付札（関数）'!FJ"&amp;A1+1),"*雙葉*"),"●",
IF(COUNTIF(INDIRECT("'盛付札（関数）'!FJ"&amp;A1+1),"*社食*"),"△","〇"))</f>
        <v>〇</v>
      </c>
      <c r="C2" s="76" t="str">
        <f t="array" aca="1" ref="C2" ca="1">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IF(B2="△",
INDIRECT("'盛付札（関数）'!FK"&amp;A1+1),INDIRECT("'盛付札（関数）'!FK"&amp;A1))))</f>
        <v/>
      </c>
      <c r="D2" s="70"/>
      <c r="E2" s="70"/>
      <c r="F2" s="77" t="str">
        <f t="array" aca="1" ref="F2" ca="1">IF(C1&lt;&gt;"",
IF(OR(INDIRECT("'盛付札（関数）'!FI"&amp;A1)=121,INDIRECT("'盛付札（関数）'!FI"&amp;A1)=122,INDIRECT("'盛付札（関数）'!FI"&amp;A1)=123),"",
IF(B2="●",
SUBSTITUTE(SUBSTITUTE(SUBSTITUTE(INDIRECT("'盛付札（関数）'!FL"&amp;A1),100,""),120,""),150,""),
IF(B2="△",
IF(INDIRECT("'盛付札（関数）'!FL"&amp;A1+1)&lt;&gt;"",
INDIRECT("'盛付札（関数）'!FL"&amp;A1+1),INDIRECT("'盛付札（関数）'!FM"&amp;A1+1)),
IF(INDIRECT("'盛付札（関数）'!FL"&amp;A1)&lt;&gt;"",
INDIRECT("'盛付札（関数）'!FL"&amp;A1),INDIRECT("'盛付札（関数）'!FM"&amp;A1))))),"")</f>
        <v/>
      </c>
      <c r="G2" s="68"/>
      <c r="H2" s="78"/>
      <c r="I2" s="61" t="str">
        <f ca="1">IF(COUNTIF(INDIRECT("'盛付札（関数）'!FJ"&amp;H1+1),"*雙葉*"),"●",
IF(COUNTIF(INDIRECT("'盛付札（関数）'!FJ"&amp;H1+1),"*社食*"),"△","〇"))</f>
        <v>〇</v>
      </c>
      <c r="J2" s="76" t="str">
        <f t="array" aca="1" ref="J2" ca="1">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IF(I2="△",
INDIRECT("'盛付札（関数）'!FK"&amp;H1+1),INDIRECT("'盛付札（関数）'!FK"&amp;H1))))</f>
        <v/>
      </c>
      <c r="K2" s="70"/>
      <c r="L2" s="70"/>
      <c r="M2" s="77" t="str">
        <f t="array" aca="1" ref="M2" ca="1">IF(J1&lt;&gt;"",
IF(OR(INDIRECT("'盛付札（関数）'!FI"&amp;H1)=121,INDIRECT("'盛付札（関数）'!FI"&amp;H1)=122,INDIRECT("'盛付札（関数）'!FI"&amp;H1)=123),"",
IF(I2="●",
SUBSTITUTE(SUBSTITUTE(SUBSTITUTE(INDIRECT("'盛付札（関数）'!FL"&amp;H1),100,""),120,""),150,""),
IF(I2="△",
IF(INDIRECT("'盛付札（関数）'!FL"&amp;H1+1)&lt;&gt;"",
INDIRECT("'盛付札（関数）'!FL"&amp;H1+1),INDIRECT("'盛付札（関数）'!FM"&amp;H1+1)),
IF(INDIRECT("'盛付札（関数）'!FL"&amp;H1)&lt;&gt;"",
INDIRECT("'盛付札（関数）'!FL"&amp;H1),INDIRECT("'盛付札（関数）'!FM"&amp;H1))))),"")</f>
        <v/>
      </c>
      <c r="N2" s="68"/>
      <c r="O2" s="49"/>
      <c r="P2" s="59"/>
      <c r="Q2" s="61" t="str">
        <f ca="1">IF(COUNTIF(INDIRECT("'盛付札（関数）'!FJ"&amp;P1+1),"*雙葉*"),"●",
"〇")</f>
        <v>〇</v>
      </c>
      <c r="R2" s="76" t="str">
        <f t="array" aca="1" ref="R2" ca="1">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IF(Q2="△",
INDIRECT("'盛付札（関数）'!FK"&amp;P1+1),INDIRECT("'盛付札（関数）'!FK"&amp;P1))))</f>
        <v/>
      </c>
      <c r="S2" s="70"/>
      <c r="T2" s="70"/>
      <c r="U2" s="77" t="str">
        <f t="array" aca="1" ref="U2" ca="1">IF(R1&lt;&gt;"",
IF(OR(INDIRECT("'盛付札（関数）'!FI"&amp;P1)=121,INDIRECT("'盛付札（関数）'!FI"&amp;P1)=122,INDIRECT("'盛付札（関数）'!FI"&amp;P1)=123),"",
IF(Q2="●",
SUBSTITUTE(SUBSTITUTE(SUBSTITUTE(INDIRECT("'盛付札（関数）'!FL"&amp;P1),100,""),120,""),150,""),
IF(Q2="△",
IF(INDIRECT("'盛付札（関数）'!FL"&amp;P1+1)&lt;&gt;"",
INDIRECT("'盛付札（関数）'!FL"&amp;P1+1),INDIRECT("'盛付札（関数）'!FM"&amp;P1+1)),
IF(INDIRECT("'盛付札（関数）'!FL"&amp;P1)&lt;&gt;"",
INDIRECT("'盛付札（関数）'!FL"&amp;P1),INDIRECT("'盛付札（関数）'!FM"&amp;P1))))),"")</f>
        <v/>
      </c>
      <c r="V2" s="68"/>
      <c r="W2" s="78"/>
      <c r="X2" s="61" t="str">
        <f ca="1">IF(COUNTIF(INDIRECT("'盛付札（関数）'!FJ"&amp;W1+1),"*雙葉*"),"●",
"〇")</f>
        <v>〇</v>
      </c>
      <c r="Y2" s="76" t="str">
        <f t="array" aca="1" ref="Y2" ca="1">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IF(X2="△",
INDIRECT("'盛付札（関数）'!FK"&amp;W1+1),INDIRECT("'盛付札（関数）'!FK"&amp;W1))))</f>
        <v/>
      </c>
      <c r="Z2" s="70"/>
      <c r="AA2" s="70"/>
      <c r="AB2" s="77" t="str">
        <f t="array" aca="1" ref="AB2" ca="1">IF(Y1&lt;&gt;"",
IF(OR(INDIRECT("'盛付札（関数）'!FI"&amp;W1)=121,INDIRECT("'盛付札（関数）'!FI"&amp;W1)=122,INDIRECT("'盛付札（関数）'!FI"&amp;W1)=123),"",
IF(X2="●",
SUBSTITUTE(SUBSTITUTE(SUBSTITUTE(INDIRECT("'盛付札（関数）'!FL"&amp;W1),100,""),120,""),150,""),
IF(X2="△",
IF(INDIRECT("'盛付札（関数）'!FL"&amp;W1+1)&lt;&gt;"",
INDIRECT("'盛付札（関数）'!FL"&amp;W1+1),INDIRECT("'盛付札（関数）'!FM"&amp;W1+1)),
IF(INDIRECT("'盛付札（関数）'!FL"&amp;W1)&lt;&gt;"",
INDIRECT("'盛付札（関数）'!FL"&amp;W1),INDIRECT("'盛付札（関数）'!FM"&amp;W1))))),"")</f>
        <v/>
      </c>
      <c r="AC2" s="68"/>
      <c r="AD2" s="49"/>
      <c r="AE2" s="59"/>
      <c r="AF2" s="61" t="str">
        <f ca="1">IF(COUNTIF(INDIRECT("'盛付札（関数）'!FJ"&amp;AE1+1),"*雙葉*"),"●",
"〇")</f>
        <v>〇</v>
      </c>
      <c r="AG2" s="76" t="str">
        <f t="array" aca="1" ref="AG2" ca="1">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IF(AF2="△",
INDIRECT("'盛付札（関数）'!FK"&amp;AE1+1),INDIRECT("'盛付札（関数）'!FK"&amp;AE1))))</f>
        <v/>
      </c>
      <c r="AH2" s="70"/>
      <c r="AI2" s="70"/>
      <c r="AJ2" s="77" t="str">
        <f t="array" aca="1" ref="AJ2" ca="1">IF(AG1&lt;&gt;"",
IF(OR(INDIRECT("'盛付札（関数）'!FI"&amp;AE1)=121,INDIRECT("'盛付札（関数）'!FI"&amp;AE1)=122,INDIRECT("'盛付札（関数）'!FI"&amp;AE1)=123),"",
IF(AF2="●",
SUBSTITUTE(SUBSTITUTE(SUBSTITUTE(INDIRECT("'盛付札（関数）'!FL"&amp;AE1),100,""),120,""),150,""),
IF(AF2="△",
IF(INDIRECT("'盛付札（関数）'!FL"&amp;AE1+1)&lt;&gt;"",
INDIRECT("'盛付札（関数）'!FL"&amp;AE1+1),INDIRECT("'盛付札（関数）'!FM"&amp;AE1+1)),
IF(INDIRECT("'盛付札（関数）'!FL"&amp;AE1)&lt;&gt;"",
INDIRECT("'盛付札（関数）'!FL"&amp;AE1),INDIRECT("'盛付札（関数）'!FM"&amp;AE1))))),"")</f>
        <v/>
      </c>
      <c r="AK2" s="68"/>
      <c r="AL2" s="78"/>
      <c r="AM2" s="61" t="str">
        <f ca="1">IF(COUNTIF(INDIRECT("'盛付札（関数）'!FJ"&amp;AL1+1),"*雙葉*"),"●",
"〇")</f>
        <v>〇</v>
      </c>
      <c r="AN2" s="76" t="str">
        <f t="array" aca="1" ref="AN2" ca="1">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IF(AM2="△",
INDIRECT("'盛付札（関数）'!FK"&amp;AL1+1),INDIRECT("'盛付札（関数）'!FK"&amp;AL1))))</f>
        <v/>
      </c>
      <c r="AO2" s="70"/>
      <c r="AP2" s="70"/>
      <c r="AQ2" s="77" t="str">
        <f t="array" aca="1" ref="AQ2" ca="1">IF(AN1&lt;&gt;"",
IF(OR(INDIRECT("'盛付札（関数）'!FI"&amp;AL1)=121,INDIRECT("'盛付札（関数）'!FI"&amp;AL1)=122,INDIRECT("'盛付札（関数）'!FI"&amp;AL1)=123),"",
IF(AM2="●",
SUBSTITUTE(SUBSTITUTE(SUBSTITUTE(INDIRECT("'盛付札（関数）'!FL"&amp;AL1),100,""),120,""),150,""),
IF(AM2="△",
IF(INDIRECT("'盛付札（関数）'!FL"&amp;AL1+1)&lt;&gt;"",
INDIRECT("'盛付札（関数）'!FL"&amp;AL1+1),INDIRECT("'盛付札（関数）'!FM"&amp;AL1+1)),
IF(INDIRECT("'盛付札（関数）'!FL"&amp;AL1)&lt;&gt;"",
INDIRECT("'盛付札（関数）'!FL"&amp;AL1),INDIRECT("'盛付札（関数）'!FM"&amp;AL1))))),"")</f>
        <v/>
      </c>
      <c r="AR2" s="68"/>
      <c r="AS2" s="49"/>
      <c r="AT2" s="59"/>
      <c r="AU2" s="61" t="str">
        <f ca="1">IF(COUNTIF(INDIRECT("'盛付札（関数）'!FJ"&amp;AT1+1),"*雙葉*"),"●",
"〇")</f>
        <v>〇</v>
      </c>
      <c r="AV2" s="76" t="str">
        <f t="array" aca="1" ref="AV2" ca="1">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IF(AU2="△",
INDIRECT("'盛付札（関数）'!FK"&amp;AT1+1),INDIRECT("'盛付札（関数）'!FK"&amp;AT1))))</f>
        <v/>
      </c>
      <c r="AW2" s="70"/>
      <c r="AX2" s="70"/>
      <c r="AY2" s="77" t="str">
        <f t="array" aca="1" ref="AY2" ca="1">IF(AV1&lt;&gt;"",
IF(OR(INDIRECT("'盛付札（関数）'!FI"&amp;AT1)=121,INDIRECT("'盛付札（関数）'!FI"&amp;AT1)=122,INDIRECT("'盛付札（関数）'!FI"&amp;AT1)=123),"",
IF(AU2="●",
SUBSTITUTE(SUBSTITUTE(SUBSTITUTE(INDIRECT("'盛付札（関数）'!FL"&amp;AT1),100,""),120,""),150,""),
IF(AU2="△",
IF(INDIRECT("'盛付札（関数）'!FL"&amp;AT1+1)&lt;&gt;"",
INDIRECT("'盛付札（関数）'!FL"&amp;AT1+1),INDIRECT("'盛付札（関数）'!FM"&amp;AT1+1)),
IF(INDIRECT("'盛付札（関数）'!FL"&amp;AT1)&lt;&gt;"",
INDIRECT("'盛付札（関数）'!FL"&amp;AT1),INDIRECT("'盛付札（関数）'!FM"&amp;AT1))))),"")</f>
        <v/>
      </c>
      <c r="AZ2" s="68"/>
      <c r="BA2" s="78"/>
      <c r="BB2" s="61" t="str">
        <f ca="1">IF(COUNTIF(INDIRECT("'盛付札（関数）'!FJ"&amp;BA1+1),"*雙葉*"),"●",
"〇")</f>
        <v>〇</v>
      </c>
      <c r="BC2" s="76" t="str">
        <f t="array" aca="1" ref="BC2" ca="1">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IF(BB2="△",
INDIRECT("'盛付札（関数）'!FK"&amp;BA1+1),INDIRECT("'盛付札（関数）'!FK"&amp;BA1))))</f>
        <v/>
      </c>
      <c r="BD2" s="70"/>
      <c r="BE2" s="70"/>
      <c r="BF2" s="77" t="str">
        <f t="array" aca="1" ref="BF2" ca="1">IF(BC1&lt;&gt;"",
IF(OR(INDIRECT("'盛付札（関数）'!FI"&amp;BA1)=121,INDIRECT("'盛付札（関数）'!FI"&amp;BA1)=122,INDIRECT("'盛付札（関数）'!FI"&amp;BA1)=123),"",
IF(BB2="●",
SUBSTITUTE(SUBSTITUTE(SUBSTITUTE(INDIRECT("'盛付札（関数）'!FL"&amp;BA1),100,""),120,""),150,""),
IF(BB2="△",
IF(INDIRECT("'盛付札（関数）'!FL"&amp;BA1+1)&lt;&gt;"",
INDIRECT("'盛付札（関数）'!FL"&amp;BA1+1),INDIRECT("'盛付札（関数）'!FM"&amp;BA1+1)),
IF(INDIRECT("'盛付札（関数）'!FL"&amp;BA1)&lt;&gt;"",
INDIRECT("'盛付札（関数）'!FL"&amp;BA1),INDIRECT("'盛付札（関数）'!FM"&amp;BA1))))),"")</f>
        <v/>
      </c>
      <c r="BG2" s="68"/>
      <c r="BH2" s="49"/>
      <c r="BI2" s="59"/>
      <c r="BJ2" s="61" t="str">
        <f ca="1">IF(COUNTIF(INDIRECT("'盛付札（関数）'!FJ"&amp;BI1+1),"*雙葉*"),"●",
"〇")</f>
        <v>〇</v>
      </c>
      <c r="BK2" s="76" t="str">
        <f t="array" aca="1" ref="BK2" ca="1">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IF(BJ2="△",
INDIRECT("'盛付札（関数）'!FK"&amp;BI1+1),INDIRECT("'盛付札（関数）'!FK"&amp;BI1))))</f>
        <v/>
      </c>
      <c r="BL2" s="70"/>
      <c r="BM2" s="70"/>
      <c r="BN2" s="77" t="str">
        <f t="array" aca="1" ref="BN2" ca="1">IF(BK1&lt;&gt;"",
IF(OR(INDIRECT("'盛付札（関数）'!FI"&amp;BI1)=121,INDIRECT("'盛付札（関数）'!FI"&amp;BI1)=122,INDIRECT("'盛付札（関数）'!FI"&amp;BI1)=123),"",
IF(BJ2="●",
SUBSTITUTE(SUBSTITUTE(SUBSTITUTE(INDIRECT("'盛付札（関数）'!FL"&amp;BI1),100,""),120,""),150,""),
IF(BJ2="△",
IF(INDIRECT("'盛付札（関数）'!FL"&amp;BI1+1)&lt;&gt;"",
INDIRECT("'盛付札（関数）'!FL"&amp;BI1+1),INDIRECT("'盛付札（関数）'!FM"&amp;BI1+1)),
IF(INDIRECT("'盛付札（関数）'!FL"&amp;BI1)&lt;&gt;"",
INDIRECT("'盛付札（関数）'!FL"&amp;BI1),INDIRECT("'盛付札（関数）'!FM"&amp;BI1))))),"")</f>
        <v/>
      </c>
      <c r="BO2" s="68"/>
      <c r="BP2" s="78"/>
      <c r="BQ2" s="61" t="str">
        <f ca="1">IF(COUNTIF(INDIRECT("'盛付札（関数）'!FJ"&amp;BP1+1),"*雙葉*"),"●",
"〇")</f>
        <v>〇</v>
      </c>
      <c r="BR2" s="76" t="str">
        <f t="array" aca="1" ref="BR2" ca="1">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IF(BQ2="△",
INDIRECT("'盛付札（関数）'!FK"&amp;BP1+1),INDIRECT("'盛付札（関数）'!FK"&amp;BP1))))</f>
        <v/>
      </c>
      <c r="BS2" s="70"/>
      <c r="BT2" s="70"/>
      <c r="BU2" s="77" t="str">
        <f t="array" aca="1" ref="BU2" ca="1">IF(BR1&lt;&gt;"",
IF(OR(INDIRECT("'盛付札（関数）'!FI"&amp;BP1)=121,INDIRECT("'盛付札（関数）'!FI"&amp;BP1)=122,INDIRECT("'盛付札（関数）'!FI"&amp;BP1)=123),"",
IF(BQ2="●",
SUBSTITUTE(SUBSTITUTE(SUBSTITUTE(INDIRECT("'盛付札（関数）'!FL"&amp;BP1),100,""),120,""),150,""),
IF(BQ2="△",
IF(INDIRECT("'盛付札（関数）'!FL"&amp;BP1+1)&lt;&gt;"",
INDIRECT("'盛付札（関数）'!FL"&amp;BP1+1),INDIRECT("'盛付札（関数）'!FM"&amp;BP1+1)),
IF(INDIRECT("'盛付札（関数）'!FL"&amp;BP1)&lt;&gt;"",
INDIRECT("'盛付札（関数）'!FL"&amp;BP1),INDIRECT("'盛付札（関数）'!FM"&amp;BP1))))),"")</f>
        <v/>
      </c>
      <c r="BV2" s="68"/>
      <c r="BW2" s="49"/>
      <c r="BX2" s="59"/>
      <c r="BY2" s="61" t="str">
        <f ca="1">IF(COUNTIF(INDIRECT("'盛付札（関数）'!FJ"&amp;BX1+1),"*雙葉*"),"●",
"〇")</f>
        <v>〇</v>
      </c>
      <c r="BZ2" s="76" t="str">
        <f t="array" aca="1" ref="BZ2" ca="1">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IF(BY2="△",
INDIRECT("'盛付札（関数）'!FK"&amp;BX1+1),INDIRECT("'盛付札（関数）'!FK"&amp;BX1))))</f>
        <v/>
      </c>
      <c r="CA2" s="70"/>
      <c r="CB2" s="70"/>
      <c r="CC2" s="77" t="str">
        <f t="array" aca="1" ref="CC2" ca="1">IF(BZ1&lt;&gt;"",
IF(OR(INDIRECT("'盛付札（関数）'!FI"&amp;BX1)=121,INDIRECT("'盛付札（関数）'!FI"&amp;BX1)=122,INDIRECT("'盛付札（関数）'!FI"&amp;BX1)=123),"",
IF(BY2="●",
SUBSTITUTE(SUBSTITUTE(SUBSTITUTE(INDIRECT("'盛付札（関数）'!FL"&amp;BX1),100,""),120,""),150,""),
IF(BY2="△",
IF(INDIRECT("'盛付札（関数）'!FL"&amp;BX1+1)&lt;&gt;"",
INDIRECT("'盛付札（関数）'!FL"&amp;BX1+1),INDIRECT("'盛付札（関数）'!FM"&amp;BX1+1)),
IF(INDIRECT("'盛付札（関数）'!FL"&amp;BX1)&lt;&gt;"",
INDIRECT("'盛付札（関数）'!FL"&amp;BX1),INDIRECT("'盛付札（関数）'!FM"&amp;BX1))))),"")</f>
        <v/>
      </c>
      <c r="CD2" s="68"/>
      <c r="CE2" s="78"/>
      <c r="CF2" s="61" t="str">
        <f ca="1">IF(COUNTIF(INDIRECT("'盛付札（関数）'!FJ"&amp;CE1+1),"*雙葉*"),"●",
"〇")</f>
        <v>〇</v>
      </c>
      <c r="CG2" s="76" t="str">
        <f t="array" aca="1" ref="CG2" ca="1">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IF(CF2="△",
INDIRECT("'盛付札（関数）'!FK"&amp;CE1+1),INDIRECT("'盛付札（関数）'!FK"&amp;CE1))))</f>
        <v/>
      </c>
      <c r="CH2" s="70"/>
      <c r="CI2" s="70"/>
      <c r="CJ2" s="77" t="str">
        <f t="array" aca="1" ref="CJ2" ca="1">IF(CG1&lt;&gt;"",
IF(OR(INDIRECT("'盛付札（関数）'!FI"&amp;CE1)=121,INDIRECT("'盛付札（関数）'!FI"&amp;CE1)=122,INDIRECT("'盛付札（関数）'!FI"&amp;CE1)=123),"",
IF(CF2="●",
SUBSTITUTE(SUBSTITUTE(SUBSTITUTE(INDIRECT("'盛付札（関数）'!FL"&amp;CE1),100,""),120,""),150,""),
IF(CF2="△",
IF(INDIRECT("'盛付札（関数）'!FL"&amp;CE1+1)&lt;&gt;"",
INDIRECT("'盛付札（関数）'!FL"&amp;CE1+1),INDIRECT("'盛付札（関数）'!FM"&amp;CE1+1)),
IF(INDIRECT("'盛付札（関数）'!FL"&amp;CE1)&lt;&gt;"",
INDIRECT("'盛付札（関数）'!FL"&amp;CE1),INDIRECT("'盛付札（関数）'!FM"&amp;CE1))))),"")</f>
        <v/>
      </c>
      <c r="CK2" s="68"/>
      <c r="CL2" s="49"/>
      <c r="CM2" s="59"/>
      <c r="CN2" s="61" t="str">
        <f ca="1">IF(COUNTIF(INDIRECT("'盛付札（関数）'!FJ"&amp;CM1+1),"*雙葉*"),"●",
"〇")</f>
        <v>〇</v>
      </c>
      <c r="CO2" s="76" t="str">
        <f t="array" aca="1" ref="CO2" ca="1">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IF(CN2="△",
INDIRECT("'盛付札（関数）'!FK"&amp;CM1+1),INDIRECT("'盛付札（関数）'!FK"&amp;CM1))))</f>
        <v/>
      </c>
      <c r="CP2" s="70"/>
      <c r="CQ2" s="70"/>
      <c r="CR2" s="77" t="str">
        <f t="array" aca="1" ref="CR2" ca="1">IF(CO1&lt;&gt;"",
IF(OR(INDIRECT("'盛付札（関数）'!FI"&amp;CM1)=121,INDIRECT("'盛付札（関数）'!FI"&amp;CM1)=122,INDIRECT("'盛付札（関数）'!FI"&amp;CM1)=123),"",
IF(CN2="●",
SUBSTITUTE(SUBSTITUTE(SUBSTITUTE(INDIRECT("'盛付札（関数）'!FL"&amp;CM1),100,""),120,""),150,""),
IF(CN2="△",
IF(INDIRECT("'盛付札（関数）'!FL"&amp;CM1+1)&lt;&gt;"",
INDIRECT("'盛付札（関数）'!FL"&amp;CM1+1),INDIRECT("'盛付札（関数）'!FM"&amp;CM1+1)),
IF(INDIRECT("'盛付札（関数）'!FL"&amp;CM1)&lt;&gt;"",
INDIRECT("'盛付札（関数）'!FL"&amp;CM1),INDIRECT("'盛付札（関数）'!FM"&amp;CM1))))),"")</f>
        <v/>
      </c>
      <c r="CS2" s="68"/>
      <c r="CT2" s="78"/>
      <c r="CU2" s="61" t="str">
        <f ca="1">IF(COUNTIF(INDIRECT("'盛付札（関数）'!FJ"&amp;CT1+1),"*雙葉*"),"●",
"〇")</f>
        <v>〇</v>
      </c>
      <c r="CV2" s="76" t="str">
        <f t="array" aca="1" ref="CV2" ca="1">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IF(CU2="△",
INDIRECT("'盛付札（関数）'!FK"&amp;CT1+1),INDIRECT("'盛付札（関数）'!FK"&amp;CT1))))</f>
        <v/>
      </c>
      <c r="CW2" s="70"/>
      <c r="CX2" s="70"/>
      <c r="CY2" s="77" t="str">
        <f t="array" aca="1" ref="CY2" ca="1">IF(CV1&lt;&gt;"",
IF(OR(INDIRECT("'盛付札（関数）'!FI"&amp;CT1)=121,INDIRECT("'盛付札（関数）'!FI"&amp;CT1)=122,INDIRECT("'盛付札（関数）'!FI"&amp;CT1)=123),"",
IF(CU2="●",
SUBSTITUTE(SUBSTITUTE(SUBSTITUTE(INDIRECT("'盛付札（関数）'!FL"&amp;CT1),100,""),120,""),150,""),
IF(CU2="△",
IF(INDIRECT("'盛付札（関数）'!FL"&amp;CT1+1)&lt;&gt;"",
INDIRECT("'盛付札（関数）'!FL"&amp;CT1+1),INDIRECT("'盛付札（関数）'!FM"&amp;CT1+1)),
IF(INDIRECT("'盛付札（関数）'!FL"&amp;CT1)&lt;&gt;"",
INDIRECT("'盛付札（関数）'!FL"&amp;CT1),INDIRECT("'盛付札（関数）'!FM"&amp;CT1))))),"")</f>
        <v/>
      </c>
      <c r="CZ2" s="68"/>
      <c r="DA2" s="49"/>
      <c r="DB2" s="59"/>
      <c r="DC2" s="61" t="str">
        <f ca="1">IF(COUNTIF(INDIRECT("'盛付札（関数）'!FJ"&amp;DB1+1),"*雙葉*"),"●",
"〇")</f>
        <v>〇</v>
      </c>
      <c r="DD2" s="76" t="str">
        <f t="array" aca="1" ref="DD2" ca="1">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IF(DC2="△",
INDIRECT("'盛付札（関数）'!FK"&amp;DB1+1),INDIRECT("'盛付札（関数）'!FK"&amp;DB1))))</f>
        <v/>
      </c>
      <c r="DE2" s="70"/>
      <c r="DF2" s="70"/>
      <c r="DG2" s="77" t="str">
        <f t="array" aca="1" ref="DG2" ca="1">IF(DD1&lt;&gt;"",
IF(OR(INDIRECT("'盛付札（関数）'!FI"&amp;DB1)=121,INDIRECT("'盛付札（関数）'!FI"&amp;DB1)=122,INDIRECT("'盛付札（関数）'!FI"&amp;DB1)=123),"",
IF(DC2="●",
SUBSTITUTE(SUBSTITUTE(SUBSTITUTE(INDIRECT("'盛付札（関数）'!FL"&amp;DB1),100,""),120,""),150,""),
IF(DC2="△",
IF(INDIRECT("'盛付札（関数）'!FL"&amp;DB1+1)&lt;&gt;"",
INDIRECT("'盛付札（関数）'!FL"&amp;DB1+1),INDIRECT("'盛付札（関数）'!FM"&amp;DB1+1)),
IF(INDIRECT("'盛付札（関数）'!FL"&amp;DB1)&lt;&gt;"",
INDIRECT("'盛付札（関数）'!FL"&amp;DB1),INDIRECT("'盛付札（関数）'!FM"&amp;DB1))))),"")</f>
        <v/>
      </c>
      <c r="DH2" s="68"/>
      <c r="DI2" s="78"/>
      <c r="DJ2" s="61" t="str">
        <f ca="1">IF(COUNTIF(INDIRECT("'盛付札（関数）'!FJ"&amp;DI1+1),"*雙葉*"),"●",
"〇")</f>
        <v>〇</v>
      </c>
      <c r="DK2" s="76" t="str">
        <f t="array" aca="1" ref="DK2" ca="1">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IF(DJ2="△",
INDIRECT("'盛付札（関数）'!FK"&amp;DI1+1),INDIRECT("'盛付札（関数）'!FK"&amp;DI1))))</f>
        <v/>
      </c>
      <c r="DL2" s="70"/>
      <c r="DM2" s="70"/>
      <c r="DN2" s="77" t="str">
        <f t="array" aca="1" ref="DN2" ca="1">IF(DK1&lt;&gt;"",
IF(OR(INDIRECT("'盛付札（関数）'!FI"&amp;DI1)=121,INDIRECT("'盛付札（関数）'!FI"&amp;DI1)=122,INDIRECT("'盛付札（関数）'!FI"&amp;DI1)=123),"",
IF(DJ2="●",
SUBSTITUTE(SUBSTITUTE(SUBSTITUTE(INDIRECT("'盛付札（関数）'!FL"&amp;DI1),100,""),120,""),150,""),
IF(DJ2="△",
IF(INDIRECT("'盛付札（関数）'!FL"&amp;DI1+1)&lt;&gt;"",
INDIRECT("'盛付札（関数）'!FL"&amp;DI1+1),INDIRECT("'盛付札（関数）'!FM"&amp;DI1+1)),
IF(INDIRECT("'盛付札（関数）'!FL"&amp;DI1)&lt;&gt;"",
INDIRECT("'盛付札（関数）'!FL"&amp;DI1),INDIRECT("'盛付札（関数）'!FM"&amp;DI1))))),"")</f>
        <v/>
      </c>
      <c r="DO2" s="68"/>
      <c r="DP2" s="49"/>
      <c r="DQ2" s="59"/>
      <c r="DR2" s="61" t="str">
        <f ca="1">IF(COUNTIF(INDIRECT("'盛付札（関数）'!FJ"&amp;DQ1+1),"*雙葉*"),"●",
"〇")</f>
        <v>〇</v>
      </c>
      <c r="DS2" s="76" t="str">
        <f t="array" aca="1" ref="DS2" ca="1">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IF(DR2="△",
INDIRECT("'盛付札（関数）'!FK"&amp;DQ1+1),INDIRECT("'盛付札（関数）'!FK"&amp;DQ1))))</f>
        <v/>
      </c>
      <c r="DT2" s="70"/>
      <c r="DU2" s="70"/>
      <c r="DV2" s="77" t="str">
        <f t="array" aca="1" ref="DV2" ca="1">IF(DS1&lt;&gt;"",
IF(OR(INDIRECT("'盛付札（関数）'!FI"&amp;DQ1)=121,INDIRECT("'盛付札（関数）'!FI"&amp;DQ1)=122,INDIRECT("'盛付札（関数）'!FI"&amp;DQ1)=123),"",
IF(DR2="●",
SUBSTITUTE(SUBSTITUTE(SUBSTITUTE(INDIRECT("'盛付札（関数）'!FL"&amp;DQ1),100,""),120,""),150,""),
IF(DR2="△",
IF(INDIRECT("'盛付札（関数）'!FL"&amp;DQ1+1)&lt;&gt;"",
INDIRECT("'盛付札（関数）'!FL"&amp;DQ1+1),INDIRECT("'盛付札（関数）'!FM"&amp;DQ1+1)),
IF(INDIRECT("'盛付札（関数）'!FL"&amp;DQ1)&lt;&gt;"",
INDIRECT("'盛付札（関数）'!FL"&amp;DQ1),INDIRECT("'盛付札（関数）'!FM"&amp;DQ1))))),"")</f>
        <v/>
      </c>
      <c r="DW2" s="68"/>
      <c r="DX2" s="78"/>
      <c r="DY2" s="61" t="str">
        <f ca="1">IF(COUNTIF(INDIRECT("'盛付札（関数）'!FJ"&amp;DX1+1),"*雙葉*"),"●",
"〇")</f>
        <v>〇</v>
      </c>
      <c r="DZ2" s="76" t="str">
        <f t="array" aca="1" ref="DZ2" ca="1">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IF(DY2="△",
INDIRECT("'盛付札（関数）'!FK"&amp;DX1+1),INDIRECT("'盛付札（関数）'!FK"&amp;DX1))))</f>
        <v/>
      </c>
      <c r="EA2" s="70"/>
      <c r="EB2" s="70"/>
      <c r="EC2" s="77" t="str">
        <f t="array" aca="1" ref="EC2" ca="1">IF(DZ1&lt;&gt;"",
IF(OR(INDIRECT("'盛付札（関数）'!FI"&amp;DX1)=121,INDIRECT("'盛付札（関数）'!FI"&amp;DX1)=122,INDIRECT("'盛付札（関数）'!FI"&amp;DX1)=123),"",
IF(DY2="●",
SUBSTITUTE(SUBSTITUTE(SUBSTITUTE(INDIRECT("'盛付札（関数）'!FL"&amp;DX1),100,""),120,""),150,""),
IF(DY2="△",
IF(INDIRECT("'盛付札（関数）'!FL"&amp;DX1+1)&lt;&gt;"",
INDIRECT("'盛付札（関数）'!FL"&amp;DX1+1),INDIRECT("'盛付札（関数）'!FM"&amp;DX1+1)),
IF(INDIRECT("'盛付札（関数）'!FL"&amp;DX1)&lt;&gt;"",
INDIRECT("'盛付札（関数）'!FL"&amp;DX1),INDIRECT("'盛付札（関数）'!FM"&amp;DX1))))),"")</f>
        <v/>
      </c>
      <c r="ED2" s="68"/>
      <c r="EE2" s="49"/>
      <c r="EF2" s="59"/>
      <c r="EG2" s="61" t="str">
        <f ca="1">IF(COUNTIF(INDIRECT("'盛付札（関数）'!FJ"&amp;EF1+1),"*雙葉*"),"●",
"〇")</f>
        <v>〇</v>
      </c>
      <c r="EH2" s="76" t="str">
        <f t="array" aca="1" ref="EH2" ca="1">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IF(EG2="△",
INDIRECT("'盛付札（関数）'!FK"&amp;EF1+1),INDIRECT("'盛付札（関数）'!FK"&amp;EF1))))</f>
        <v/>
      </c>
      <c r="EI2" s="70"/>
      <c r="EJ2" s="70"/>
      <c r="EK2" s="77" t="str">
        <f t="array" aca="1" ref="EK2" ca="1">IF(EH1&lt;&gt;"",
IF(OR(INDIRECT("'盛付札（関数）'!FI"&amp;EF1)=121,INDIRECT("'盛付札（関数）'!FI"&amp;EF1)=122,INDIRECT("'盛付札（関数）'!FI"&amp;EF1)=123),"",
IF(EG2="●",
SUBSTITUTE(SUBSTITUTE(SUBSTITUTE(INDIRECT("'盛付札（関数）'!FL"&amp;EF1),100,""),120,""),150,""),
IF(EG2="△",
IF(INDIRECT("'盛付札（関数）'!FL"&amp;EF1+1)&lt;&gt;"",
INDIRECT("'盛付札（関数）'!FL"&amp;EF1+1),INDIRECT("'盛付札（関数）'!FM"&amp;EF1+1)),
IF(INDIRECT("'盛付札（関数）'!FL"&amp;EF1)&lt;&gt;"",
INDIRECT("'盛付札（関数）'!FL"&amp;EF1),INDIRECT("'盛付札（関数）'!FM"&amp;EF1))))),"")</f>
        <v/>
      </c>
      <c r="EL2" s="68"/>
      <c r="EM2" s="78"/>
      <c r="EN2" s="61" t="str">
        <f ca="1">IF(COUNTIF(INDIRECT("'盛付札（関数）'!FJ"&amp;EM1+1),"*雙葉*"),"●",
"〇")</f>
        <v>〇</v>
      </c>
      <c r="EO2" s="76" t="str">
        <f t="array" aca="1" ref="EO2" ca="1">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IF(EN2="△",
INDIRECT("'盛付札（関数）'!FK"&amp;EM1+1),INDIRECT("'盛付札（関数）'!FK"&amp;EM1))))</f>
        <v/>
      </c>
      <c r="EP2" s="70"/>
      <c r="EQ2" s="70"/>
      <c r="ER2" s="77" t="str">
        <f t="array" aca="1" ref="ER2" ca="1">IF(EO1&lt;&gt;"",
IF(OR(INDIRECT("'盛付札（関数）'!FI"&amp;EM1)=121,INDIRECT("'盛付札（関数）'!FI"&amp;EM1)=122,INDIRECT("'盛付札（関数）'!FI"&amp;EM1)=123),"",
IF(EN2="●",
SUBSTITUTE(SUBSTITUTE(SUBSTITUTE(INDIRECT("'盛付札（関数）'!FL"&amp;EM1),100,""),120,""),150,""),
IF(EN2="△",
IF(INDIRECT("'盛付札（関数）'!FL"&amp;EM1+1)&lt;&gt;"",
INDIRECT("'盛付札（関数）'!FL"&amp;EM1+1),INDIRECT("'盛付札（関数）'!FM"&amp;EM1+1)),
IF(INDIRECT("'盛付札（関数）'!FL"&amp;EM1)&lt;&gt;"",
INDIRECT("'盛付札（関数）'!FL"&amp;EM1),INDIRECT("'盛付札（関数）'!FM"&amp;EM1))))),"")</f>
        <v/>
      </c>
      <c r="ES2" s="68"/>
      <c r="ET2" s="49"/>
    </row>
    <row r="3" spans="1:150" s="60" customFormat="1" x14ac:dyDescent="0.55000000000000004">
      <c r="A3" s="59"/>
      <c r="B3" s="63"/>
      <c r="C3" s="200" t="e">
        <f t="array" aca="1" ref="C3" ca="1">IF(C1&lt;&gt;"",
IF(C4&lt;&gt;"",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"園児")),""),"")</f>
        <v>#N/A</v>
      </c>
      <c r="D3" s="201"/>
      <c r="E3" s="49"/>
      <c r="F3" s="60" t="str">
        <f t="array" aca="1" ref="F3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"先生")),"")</f>
        <v/>
      </c>
      <c r="G3" s="69"/>
      <c r="H3" s="65"/>
      <c r="I3" s="63"/>
      <c r="J3" s="200" t="e">
        <f t="array" aca="1" ref="J3" ca="1">IF(J1&lt;&gt;"",
IF(J4&lt;&gt;"",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"園児")),""),"")</f>
        <v>#N/A</v>
      </c>
      <c r="K3" s="201"/>
      <c r="L3" s="49"/>
      <c r="M3" s="60" t="str">
        <f t="array" aca="1" ref="M3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"先生")),"")</f>
        <v/>
      </c>
      <c r="N3" s="69"/>
      <c r="O3" s="49"/>
      <c r="P3" s="59"/>
      <c r="Q3" s="63"/>
      <c r="R3" s="200" t="str">
        <f t="array" aca="1" ref="R3" ca="1">IF(R1&lt;&gt;"",
IF(R4&lt;&gt;"",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"園児")),""),"")</f>
        <v/>
      </c>
      <c r="S3" s="201"/>
      <c r="T3" s="49"/>
      <c r="U3" s="60" t="str">
        <f t="array" aca="1" ref="U3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"先生")),"")</f>
        <v/>
      </c>
      <c r="V3" s="69"/>
      <c r="W3" s="65"/>
      <c r="X3" s="63"/>
      <c r="Y3" s="200" t="str">
        <f t="array" aca="1" ref="Y3" ca="1">IF(Y1&lt;&gt;"",
IF(Y4&lt;&gt;"",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"園児")),""),"")</f>
        <v/>
      </c>
      <c r="Z3" s="201"/>
      <c r="AA3" s="49"/>
      <c r="AB3" s="60" t="str">
        <f t="array" aca="1" ref="AB3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"先生")),"")</f>
        <v/>
      </c>
      <c r="AC3" s="69"/>
      <c r="AD3" s="49"/>
      <c r="AE3" s="59"/>
      <c r="AF3" s="63"/>
      <c r="AG3" s="200" t="str">
        <f t="array" aca="1" ref="AG3" ca="1">IF(AG1&lt;&gt;"",
IF(AG4&lt;&gt;"",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"園児")),""),"")</f>
        <v/>
      </c>
      <c r="AH3" s="201"/>
      <c r="AI3" s="49"/>
      <c r="AJ3" s="60" t="str">
        <f t="array" aca="1" ref="AJ3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"先生")),"")</f>
        <v/>
      </c>
      <c r="AK3" s="69"/>
      <c r="AL3" s="65"/>
      <c r="AM3" s="63"/>
      <c r="AN3" s="200" t="str">
        <f t="array" aca="1" ref="AN3" ca="1">IF(AN1&lt;&gt;"",
IF(AN4&lt;&gt;"",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"園児")),""),"")</f>
        <v/>
      </c>
      <c r="AO3" s="201"/>
      <c r="AP3" s="49"/>
      <c r="AQ3" s="60" t="str">
        <f t="array" aca="1" ref="AQ3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"先生")),"")</f>
        <v/>
      </c>
      <c r="AR3" s="69"/>
      <c r="AS3" s="49"/>
      <c r="AT3" s="59"/>
      <c r="AU3" s="63"/>
      <c r="AV3" s="200" t="str">
        <f t="array" aca="1" ref="AV3" ca="1">IF(AV1&lt;&gt;"",
IF(AV4&lt;&gt;"",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"園児")),""),"")</f>
        <v/>
      </c>
      <c r="AW3" s="201"/>
      <c r="AX3" s="49"/>
      <c r="AY3" s="60" t="str">
        <f t="array" aca="1" ref="AY3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"先生")),"")</f>
        <v/>
      </c>
      <c r="AZ3" s="69"/>
      <c r="BA3" s="65"/>
      <c r="BB3" s="63"/>
      <c r="BC3" s="200" t="str">
        <f t="array" aca="1" ref="BC3" ca="1">IF(BC1&lt;&gt;"",
IF(BC4&lt;&gt;"",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"園児")),""),"")</f>
        <v/>
      </c>
      <c r="BD3" s="201"/>
      <c r="BE3" s="49"/>
      <c r="BF3" s="60" t="str">
        <f t="array" aca="1" ref="BF3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"先生")),"")</f>
        <v/>
      </c>
      <c r="BG3" s="69"/>
      <c r="BH3" s="49"/>
      <c r="BI3" s="59"/>
      <c r="BJ3" s="63"/>
      <c r="BK3" s="200" t="str">
        <f t="array" aca="1" ref="BK3" ca="1">IF(BK1&lt;&gt;"",
IF(BK4&lt;&gt;"",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"園児")),""),"")</f>
        <v/>
      </c>
      <c r="BL3" s="201"/>
      <c r="BM3" s="49"/>
      <c r="BN3" s="60" t="str">
        <f t="array" aca="1" ref="BN3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"先生")),"")</f>
        <v/>
      </c>
      <c r="BO3" s="69"/>
      <c r="BP3" s="65"/>
      <c r="BQ3" s="63"/>
      <c r="BR3" s="200" t="str">
        <f t="array" aca="1" ref="BR3" ca="1">IF(BR1&lt;&gt;"",
IF(BR4&lt;&gt;"",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"園児")),""),"")</f>
        <v/>
      </c>
      <c r="BS3" s="201"/>
      <c r="BT3" s="49"/>
      <c r="BU3" s="60" t="str">
        <f t="array" aca="1" ref="BU3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"先生")),"")</f>
        <v/>
      </c>
      <c r="BV3" s="69"/>
      <c r="BW3" s="49"/>
      <c r="BX3" s="59"/>
      <c r="BY3" s="63"/>
      <c r="BZ3" s="200" t="str">
        <f t="array" aca="1" ref="BZ3" ca="1">IF(BZ1&lt;&gt;"",
IF(BZ4&lt;&gt;"",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"園児")),""),"")</f>
        <v/>
      </c>
      <c r="CA3" s="201"/>
      <c r="CB3" s="49"/>
      <c r="CC3" s="60" t="str">
        <f t="array" aca="1" ref="CC3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"先生")),"")</f>
        <v/>
      </c>
      <c r="CD3" s="69"/>
      <c r="CE3" s="65"/>
      <c r="CF3" s="63"/>
      <c r="CG3" s="200" t="str">
        <f t="array" aca="1" ref="CG3" ca="1">IF(CG1&lt;&gt;"",
IF(CG4&lt;&gt;"",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"園児")),""),"")</f>
        <v/>
      </c>
      <c r="CH3" s="201"/>
      <c r="CI3" s="49"/>
      <c r="CJ3" s="60" t="str">
        <f t="array" aca="1" ref="CJ3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"先生")),"")</f>
        <v/>
      </c>
      <c r="CK3" s="69"/>
      <c r="CL3" s="49"/>
      <c r="CM3" s="59"/>
      <c r="CN3" s="63"/>
      <c r="CO3" s="200" t="str">
        <f t="array" aca="1" ref="CO3" ca="1">IF(CO1&lt;&gt;"",
IF(CO4&lt;&gt;"",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"園児")),""),"")</f>
        <v/>
      </c>
      <c r="CP3" s="201"/>
      <c r="CQ3" s="49"/>
      <c r="CR3" s="60" t="str">
        <f t="array" aca="1" ref="CR3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"先生")),"")</f>
        <v/>
      </c>
      <c r="CS3" s="69"/>
      <c r="CT3" s="65"/>
      <c r="CU3" s="63"/>
      <c r="CV3" s="200" t="str">
        <f t="array" aca="1" ref="CV3" ca="1">IF(CV1&lt;&gt;"",
IF(CV4&lt;&gt;"",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"園児")),""),"")</f>
        <v/>
      </c>
      <c r="CW3" s="201"/>
      <c r="CX3" s="49"/>
      <c r="CY3" s="60" t="str">
        <f t="array" aca="1" ref="CY3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"先生")),"")</f>
        <v/>
      </c>
      <c r="CZ3" s="69"/>
      <c r="DA3" s="49"/>
      <c r="DB3" s="59"/>
      <c r="DC3" s="63"/>
      <c r="DD3" s="200" t="str">
        <f t="array" aca="1" ref="DD3" ca="1">IF(DD1&lt;&gt;"",
IF(DD4&lt;&gt;"",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"園児")),""),"")</f>
        <v/>
      </c>
      <c r="DE3" s="201"/>
      <c r="DF3" s="49"/>
      <c r="DG3" s="60" t="str">
        <f t="array" aca="1" ref="DG3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"先生")),"")</f>
        <v/>
      </c>
      <c r="DH3" s="69"/>
      <c r="DI3" s="65"/>
      <c r="DJ3" s="63"/>
      <c r="DK3" s="200" t="str">
        <f t="array" aca="1" ref="DK3" ca="1">IF(DK1&lt;&gt;"",
IF(DK4&lt;&gt;"",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"園児")),""),"")</f>
        <v/>
      </c>
      <c r="DL3" s="201"/>
      <c r="DM3" s="49"/>
      <c r="DN3" s="60" t="str">
        <f t="array" aca="1" ref="DN3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"先生")),"")</f>
        <v/>
      </c>
      <c r="DO3" s="69"/>
      <c r="DP3" s="49"/>
      <c r="DQ3" s="59"/>
      <c r="DR3" s="63"/>
      <c r="DS3" s="200" t="str">
        <f t="array" aca="1" ref="DS3" ca="1">IF(DS1&lt;&gt;"",
IF(DS4&lt;&gt;"",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"園児")),""),"")</f>
        <v/>
      </c>
      <c r="DT3" s="201"/>
      <c r="DU3" s="49"/>
      <c r="DV3" s="60" t="str">
        <f t="array" aca="1" ref="DV3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"先生")),"")</f>
        <v/>
      </c>
      <c r="DW3" s="69"/>
      <c r="DX3" s="65"/>
      <c r="DY3" s="63"/>
      <c r="DZ3" s="200" t="str">
        <f t="array" aca="1" ref="DZ3" ca="1">IF(DZ1&lt;&gt;"",
IF(DZ4&lt;&gt;"",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"園児")),""),"")</f>
        <v/>
      </c>
      <c r="EA3" s="201"/>
      <c r="EB3" s="49"/>
      <c r="EC3" s="60" t="str">
        <f t="array" aca="1" ref="EC3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"先生")),"")</f>
        <v/>
      </c>
      <c r="ED3" s="69"/>
      <c r="EE3" s="49"/>
      <c r="EF3" s="59"/>
      <c r="EG3" s="63"/>
      <c r="EH3" s="200" t="str">
        <f t="array" aca="1" ref="EH3" ca="1">IF(EH1&lt;&gt;"",
IF(EH4&lt;&gt;"",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"園児")),""),"")</f>
        <v/>
      </c>
      <c r="EI3" s="201"/>
      <c r="EJ3" s="49"/>
      <c r="EK3" s="60" t="str">
        <f t="array" aca="1" ref="EK3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"先生")),"")</f>
        <v/>
      </c>
      <c r="EL3" s="69"/>
      <c r="EM3" s="65"/>
      <c r="EN3" s="63"/>
      <c r="EO3" s="200" t="str">
        <f t="array" aca="1" ref="EO3" ca="1">IF(EO1&lt;&gt;"",
IF(EO4&lt;&gt;"",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"園児")),""),"")</f>
        <v/>
      </c>
      <c r="EP3" s="201"/>
      <c r="EQ3" s="49"/>
      <c r="ER3" s="60" t="str">
        <f t="array" aca="1" ref="ER3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"先生")),"")</f>
        <v/>
      </c>
      <c r="ES3" s="69"/>
      <c r="ET3" s="49"/>
    </row>
    <row r="4" spans="1:150" ht="15.6" customHeight="1" x14ac:dyDescent="1.05">
      <c r="B4" s="53"/>
      <c r="C4" s="185" t="e">
        <f t="array" aca="1" ref="C4" ca="1">IF(B2="●",
INDIRECT("'盛付札（関数）'!FN"&amp;A1)+INDIRECT("'盛付札（関数）'!FN"&amp;A1+1),
IF(B2="△",
INDIRECT("'盛付札（関数）'!FN"&amp;A1+1),INDIRECT("'盛付札（関数）'!FN"&amp;A1)))</f>
        <v>#N/A</v>
      </c>
      <c r="D4" s="199"/>
      <c r="E4" s="79"/>
      <c r="F4" s="197" t="str">
        <f t="array" aca="1" ref="F4" ca="1">IF(C1&lt;&gt;"",
IF(AND(INDIRECT("'盛付札（関数）'!FI"&amp;A1)&gt;=124,INDIRECT("'盛付札（関数）'!FI"&amp;A1)&lt;=144),"",
IF(OR(INDIRECT("'盛付札（関数）'!FI"&amp;A1)=121,INDIRECT("'盛付札（関数）'!FI"&amp;A1)=122,INDIRECT("'盛付札（関数）'!FI"&amp;A1)=123),"",
IF(B2="●",
IFERROR(INDIRECT("'盛付札（関数）'!FO"&amp;A1)+INDIRECT("'盛付札（関数）'!FO"&amp;A1+1),""),
IF(B2="△",
INDIRECT("'盛付札（関数）'!FO"&amp;A1+1),INDIRECT("'盛付札（関数）'!FO"&amp;A1))))),"")</f>
        <v/>
      </c>
      <c r="G4" s="198"/>
      <c r="H4" s="54"/>
      <c r="I4" s="53"/>
      <c r="J4" s="185" t="e">
        <f t="array" aca="1" ref="J4" ca="1">IF(I2="●",
INDIRECT("'盛付札（関数）'!FN"&amp;H1)+INDIRECT("'盛付札（関数）'!FN"&amp;H1+1),
IF(I2="△",
INDIRECT("'盛付札（関数）'!FN"&amp;H1+1),INDIRECT("'盛付札（関数）'!FN"&amp;H1)))</f>
        <v>#N/A</v>
      </c>
      <c r="K4" s="199"/>
      <c r="L4" s="79"/>
      <c r="M4" s="197" t="str">
        <f t="array" aca="1" ref="M4" ca="1">IF(J1&lt;&gt;"",
IF(AND(INDIRECT("'盛付札（関数）'!FI"&amp;H1)&gt;=124,INDIRECT("'盛付札（関数）'!FI"&amp;H1)&lt;=144),"",
IF(OR(INDIRECT("'盛付札（関数）'!FI"&amp;H1)=121,INDIRECT("'盛付札（関数）'!FI"&amp;H1)=122,INDIRECT("'盛付札（関数）'!FI"&amp;H1)=123),"",
IF(I2="●",
IFERROR(INDIRECT("'盛付札（関数）'!FO"&amp;H1)+INDIRECT("'盛付札（関数）'!FO"&amp;H1+1),""),
IF(I2="△",
INDIRECT("'盛付札（関数）'!FO"&amp;H1+1),INDIRECT("'盛付札（関数）'!FO"&amp;H1))))),"")</f>
        <v/>
      </c>
      <c r="N4" s="198"/>
      <c r="Q4" s="53"/>
      <c r="R4" s="185" t="str">
        <f t="array" aca="1" ref="R4" ca="1">IF(Q2="●",
INDIRECT("'盛付札（関数）'!FN"&amp;P1)+INDIRECT("'盛付札（関数）'!FN"&amp;P1+1),
IF(Q2="△",
INDIRECT("'盛付札（関数）'!FN"&amp;P1+1),INDIRECT("'盛付札（関数）'!FN"&amp;P1)))</f>
        <v/>
      </c>
      <c r="S4" s="199"/>
      <c r="T4" s="79"/>
      <c r="U4" s="197" t="str">
        <f t="array" aca="1" ref="U4" ca="1">IF(R1&lt;&gt;"",
IF(AND(INDIRECT("'盛付札（関数）'!FI"&amp;P1)&gt;=124,INDIRECT("'盛付札（関数）'!FI"&amp;P1)&lt;=144),"",
IF(OR(INDIRECT("'盛付札（関数）'!FI"&amp;P1)=121,INDIRECT("'盛付札（関数）'!FI"&amp;P1)=122,INDIRECT("'盛付札（関数）'!FI"&amp;P1)=123),"",
IF(Q2="●",
IFERROR(INDIRECT("'盛付札（関数）'!FO"&amp;P1)+INDIRECT("'盛付札（関数）'!FO"&amp;P1+1),""),
IF(Q2="△",
INDIRECT("'盛付札（関数）'!FO"&amp;P1+1),INDIRECT("'盛付札（関数）'!FO"&amp;P1))))),"")</f>
        <v/>
      </c>
      <c r="V4" s="198"/>
      <c r="W4" s="54"/>
      <c r="X4" s="53"/>
      <c r="Y4" s="185" t="str">
        <f t="array" aca="1" ref="Y4" ca="1">IF(X2="●",
INDIRECT("'盛付札（関数）'!FN"&amp;W1)+INDIRECT("'盛付札（関数）'!FN"&amp;W1+1),
IF(X2="△",
INDIRECT("'盛付札（関数）'!FN"&amp;W1+1),INDIRECT("'盛付札（関数）'!FN"&amp;W1)))</f>
        <v/>
      </c>
      <c r="Z4" s="199"/>
      <c r="AA4" s="79"/>
      <c r="AB4" s="197" t="str">
        <f t="array" aca="1" ref="AB4" ca="1">IF(Y1&lt;&gt;"",
IF(AND(INDIRECT("'盛付札（関数）'!FI"&amp;W1)&gt;=124,INDIRECT("'盛付札（関数）'!FI"&amp;W1)&lt;=144),"",
IF(OR(INDIRECT("'盛付札（関数）'!FI"&amp;W1)=121,INDIRECT("'盛付札（関数）'!FI"&amp;W1)=122,INDIRECT("'盛付札（関数）'!FI"&amp;W1)=123),"",
IF(X2="●",
IFERROR(INDIRECT("'盛付札（関数）'!FO"&amp;W1)+INDIRECT("'盛付札（関数）'!FO"&amp;W1+1),""),
IF(X2="△",
INDIRECT("'盛付札（関数）'!FO"&amp;W1+1),INDIRECT("'盛付札（関数）'!FO"&amp;W1))))),"")</f>
        <v/>
      </c>
      <c r="AC4" s="198"/>
      <c r="AF4" s="53"/>
      <c r="AG4" s="185" t="str">
        <f t="array" aca="1" ref="AG4" ca="1">IF(AF2="●",
INDIRECT("'盛付札（関数）'!FN"&amp;AE1)+INDIRECT("'盛付札（関数）'!FN"&amp;AE1+1),
IF(AF2="△",
INDIRECT("'盛付札（関数）'!FN"&amp;AE1+1),INDIRECT("'盛付札（関数）'!FN"&amp;AE1)))</f>
        <v/>
      </c>
      <c r="AH4" s="199"/>
      <c r="AI4" s="79"/>
      <c r="AJ4" s="197" t="str">
        <f t="array" aca="1" ref="AJ4" ca="1">IF(AG1&lt;&gt;"",
IF(AND(INDIRECT("'盛付札（関数）'!FI"&amp;AE1)&gt;=124,INDIRECT("'盛付札（関数）'!FI"&amp;AE1)&lt;=144),"",
IF(OR(INDIRECT("'盛付札（関数）'!FI"&amp;AE1)=121,INDIRECT("'盛付札（関数）'!FI"&amp;AE1)=122,INDIRECT("'盛付札（関数）'!FI"&amp;AE1)=123),"",
IF(AF2="●",
IFERROR(INDIRECT("'盛付札（関数）'!FO"&amp;AE1)+INDIRECT("'盛付札（関数）'!FO"&amp;AE1+1),""),
IF(AF2="△",
INDIRECT("'盛付札（関数）'!FO"&amp;AE1+1),INDIRECT("'盛付札（関数）'!FO"&amp;AE1))))),"")</f>
        <v/>
      </c>
      <c r="AK4" s="198"/>
      <c r="AL4" s="54"/>
      <c r="AM4" s="53"/>
      <c r="AN4" s="185" t="str">
        <f t="array" aca="1" ref="AN4" ca="1">IF(AM2="●",
INDIRECT("'盛付札（関数）'!FN"&amp;AL1)+INDIRECT("'盛付札（関数）'!FN"&amp;AL1+1),
IF(AM2="△",
INDIRECT("'盛付札（関数）'!FN"&amp;AL1+1),INDIRECT("'盛付札（関数）'!FN"&amp;AL1)))</f>
        <v/>
      </c>
      <c r="AO4" s="199"/>
      <c r="AP4" s="79"/>
      <c r="AQ4" s="197" t="str">
        <f t="array" aca="1" ref="AQ4" ca="1">IF(AN1&lt;&gt;"",
IF(AND(INDIRECT("'盛付札（関数）'!FI"&amp;AL1)&gt;=124,INDIRECT("'盛付札（関数）'!FI"&amp;AL1)&lt;=144),"",
IF(OR(INDIRECT("'盛付札（関数）'!FI"&amp;AL1)=121,INDIRECT("'盛付札（関数）'!FI"&amp;AL1)=122,INDIRECT("'盛付札（関数）'!FI"&amp;AL1)=123),"",
IF(AM2="●",
IFERROR(INDIRECT("'盛付札（関数）'!FO"&amp;AL1)+INDIRECT("'盛付札（関数）'!FO"&amp;AL1+1),""),
IF(AM2="△",
INDIRECT("'盛付札（関数）'!FO"&amp;AL1+1),INDIRECT("'盛付札（関数）'!FO"&amp;AL1))))),"")</f>
        <v/>
      </c>
      <c r="AR4" s="198"/>
      <c r="AU4" s="53"/>
      <c r="AV4" s="185" t="str">
        <f t="array" aca="1" ref="AV4" ca="1">IF(AU2="●",
INDIRECT("'盛付札（関数）'!FN"&amp;AT1)+INDIRECT("'盛付札（関数）'!FN"&amp;AT1+1),
IF(AU2="△",
INDIRECT("'盛付札（関数）'!FN"&amp;AT1+1),INDIRECT("'盛付札（関数）'!FN"&amp;AT1)))</f>
        <v/>
      </c>
      <c r="AW4" s="199"/>
      <c r="AX4" s="79"/>
      <c r="AY4" s="197" t="str">
        <f t="array" aca="1" ref="AY4" ca="1">IF(AV1&lt;&gt;"",
IF(AND(INDIRECT("'盛付札（関数）'!FI"&amp;AT1)&gt;=124,INDIRECT("'盛付札（関数）'!FI"&amp;AT1)&lt;=144),"",
IF(OR(INDIRECT("'盛付札（関数）'!FI"&amp;AT1)=121,INDIRECT("'盛付札（関数）'!FI"&amp;AT1)=122,INDIRECT("'盛付札（関数）'!FI"&amp;AT1)=123),"",
IF(AU2="●",
IFERROR(INDIRECT("'盛付札（関数）'!FO"&amp;AT1)+INDIRECT("'盛付札（関数）'!FO"&amp;AT1+1),""),
IF(AU2="△",
INDIRECT("'盛付札（関数）'!FO"&amp;AT1+1),INDIRECT("'盛付札（関数）'!FO"&amp;AT1))))),"")</f>
        <v/>
      </c>
      <c r="AZ4" s="198"/>
      <c r="BA4" s="54"/>
      <c r="BB4" s="53"/>
      <c r="BC4" s="185" t="str">
        <f t="array" aca="1" ref="BC4" ca="1">IF(BB2="●",
INDIRECT("'盛付札（関数）'!FN"&amp;BA1)+INDIRECT("'盛付札（関数）'!FN"&amp;BA1+1),
IF(BB2="△",
INDIRECT("'盛付札（関数）'!FN"&amp;BA1+1),INDIRECT("'盛付札（関数）'!FN"&amp;BA1)))</f>
        <v/>
      </c>
      <c r="BD4" s="199"/>
      <c r="BE4" s="79"/>
      <c r="BF4" s="197" t="str">
        <f t="array" aca="1" ref="BF4" ca="1">IF(BC1&lt;&gt;"",
IF(AND(INDIRECT("'盛付札（関数）'!FI"&amp;BA1)&gt;=124,INDIRECT("'盛付札（関数）'!FI"&amp;BA1)&lt;=144),"",
IF(OR(INDIRECT("'盛付札（関数）'!FI"&amp;BA1)=121,INDIRECT("'盛付札（関数）'!FI"&amp;BA1)=122,INDIRECT("'盛付札（関数）'!FI"&amp;BA1)=123),"",
IF(BB2="●",
IFERROR(INDIRECT("'盛付札（関数）'!FO"&amp;BA1)+INDIRECT("'盛付札（関数）'!FO"&amp;BA1+1),""),
IF(BB2="△",
INDIRECT("'盛付札（関数）'!FO"&amp;BA1+1),INDIRECT("'盛付札（関数）'!FO"&amp;BA1))))),"")</f>
        <v/>
      </c>
      <c r="BG4" s="198"/>
      <c r="BJ4" s="53"/>
      <c r="BK4" s="185" t="str">
        <f t="array" aca="1" ref="BK4" ca="1">IF(BJ2="●",
INDIRECT("'盛付札（関数）'!FN"&amp;BI1)+INDIRECT("'盛付札（関数）'!FN"&amp;BI1+1),
IF(BJ2="△",
INDIRECT("'盛付札（関数）'!FN"&amp;BI1+1),INDIRECT("'盛付札（関数）'!FN"&amp;BI1)))</f>
        <v/>
      </c>
      <c r="BL4" s="199"/>
      <c r="BM4" s="79"/>
      <c r="BN4" s="197" t="str">
        <f t="array" aca="1" ref="BN4" ca="1">IF(BK1&lt;&gt;"",
IF(AND(INDIRECT("'盛付札（関数）'!FI"&amp;BI1)&gt;=124,INDIRECT("'盛付札（関数）'!FI"&amp;BI1)&lt;=144),"",
IF(OR(INDIRECT("'盛付札（関数）'!FI"&amp;BI1)=121,INDIRECT("'盛付札（関数）'!FI"&amp;BI1)=122,INDIRECT("'盛付札（関数）'!FI"&amp;BI1)=123),"",
IF(BJ2="●",
IFERROR(INDIRECT("'盛付札（関数）'!FO"&amp;BI1)+INDIRECT("'盛付札（関数）'!FO"&amp;BI1+1),""),
IF(BJ2="△",
INDIRECT("'盛付札（関数）'!FO"&amp;BI1+1),INDIRECT("'盛付札（関数）'!FO"&amp;BI1))))),"")</f>
        <v/>
      </c>
      <c r="BO4" s="198"/>
      <c r="BP4" s="54"/>
      <c r="BQ4" s="53"/>
      <c r="BR4" s="185" t="str">
        <f t="array" aca="1" ref="BR4" ca="1">IF(BQ2="●",
INDIRECT("'盛付札（関数）'!FN"&amp;BP1)+INDIRECT("'盛付札（関数）'!FN"&amp;BP1+1),
IF(BQ2="△",
INDIRECT("'盛付札（関数）'!FN"&amp;BP1+1),INDIRECT("'盛付札（関数）'!FN"&amp;BP1)))</f>
        <v/>
      </c>
      <c r="BS4" s="199"/>
      <c r="BT4" s="79"/>
      <c r="BU4" s="197" t="str">
        <f t="array" aca="1" ref="BU4" ca="1">IF(BR1&lt;&gt;"",
IF(AND(INDIRECT("'盛付札（関数）'!FI"&amp;BP1)&gt;=124,INDIRECT("'盛付札（関数）'!FI"&amp;BP1)&lt;=144),"",
IF(OR(INDIRECT("'盛付札（関数）'!FI"&amp;BP1)=121,INDIRECT("'盛付札（関数）'!FI"&amp;BP1)=122,INDIRECT("'盛付札（関数）'!FI"&amp;BP1)=123),"",
IF(BQ2="●",
IFERROR(INDIRECT("'盛付札（関数）'!FO"&amp;BP1)+INDIRECT("'盛付札（関数）'!FO"&amp;BP1+1),""),
IF(BQ2="△",
INDIRECT("'盛付札（関数）'!FO"&amp;BP1+1),INDIRECT("'盛付札（関数）'!FO"&amp;BP1))))),"")</f>
        <v/>
      </c>
      <c r="BV4" s="198"/>
      <c r="BY4" s="53"/>
      <c r="BZ4" s="185" t="str">
        <f t="array" aca="1" ref="BZ4" ca="1">IF(BY2="●",
INDIRECT("'盛付札（関数）'!FN"&amp;BX1)+INDIRECT("'盛付札（関数）'!FN"&amp;BX1+1),
IF(BY2="△",
INDIRECT("'盛付札（関数）'!FN"&amp;BX1+1),INDIRECT("'盛付札（関数）'!FN"&amp;BX1)))</f>
        <v/>
      </c>
      <c r="CA4" s="199"/>
      <c r="CB4" s="79"/>
      <c r="CC4" s="197" t="str">
        <f t="array" aca="1" ref="CC4" ca="1">IF(BZ1&lt;&gt;"",
IF(AND(INDIRECT("'盛付札（関数）'!FI"&amp;BX1)&gt;=124,INDIRECT("'盛付札（関数）'!FI"&amp;BX1)&lt;=144),"",
IF(OR(INDIRECT("'盛付札（関数）'!FI"&amp;BX1)=121,INDIRECT("'盛付札（関数）'!FI"&amp;BX1)=122,INDIRECT("'盛付札（関数）'!FI"&amp;BX1)=123),"",
IF(BY2="●",
IFERROR(INDIRECT("'盛付札（関数）'!FO"&amp;BX1)+INDIRECT("'盛付札（関数）'!FO"&amp;BX1+1),""),
IF(BY2="△",
INDIRECT("'盛付札（関数）'!FO"&amp;BX1+1),INDIRECT("'盛付札（関数）'!FO"&amp;BX1))))),"")</f>
        <v/>
      </c>
      <c r="CD4" s="198"/>
      <c r="CE4" s="54"/>
      <c r="CF4" s="53"/>
      <c r="CG4" s="185" t="str">
        <f t="array" aca="1" ref="CG4" ca="1">IF(CF2="●",
INDIRECT("'盛付札（関数）'!FN"&amp;CE1)+INDIRECT("'盛付札（関数）'!FN"&amp;CE1+1),
IF(CF2="△",
INDIRECT("'盛付札（関数）'!FN"&amp;CE1+1),INDIRECT("'盛付札（関数）'!FN"&amp;CE1)))</f>
        <v/>
      </c>
      <c r="CH4" s="199"/>
      <c r="CI4" s="79"/>
      <c r="CJ4" s="197" t="str">
        <f t="array" aca="1" ref="CJ4" ca="1">IF(CG1&lt;&gt;"",
IF(AND(INDIRECT("'盛付札（関数）'!FI"&amp;CE1)&gt;=124,INDIRECT("'盛付札（関数）'!FI"&amp;CE1)&lt;=144),"",
IF(OR(INDIRECT("'盛付札（関数）'!FI"&amp;CE1)=121,INDIRECT("'盛付札（関数）'!FI"&amp;CE1)=122,INDIRECT("'盛付札（関数）'!FI"&amp;CE1)=123),"",
IF(CF2="●",
IFERROR(INDIRECT("'盛付札（関数）'!FO"&amp;CE1)+INDIRECT("'盛付札（関数）'!FO"&amp;CE1+1),""),
IF(CF2="△",
INDIRECT("'盛付札（関数）'!FO"&amp;CE1+1),INDIRECT("'盛付札（関数）'!FO"&amp;CE1))))),"")</f>
        <v/>
      </c>
      <c r="CK4" s="198"/>
      <c r="CN4" s="53"/>
      <c r="CO4" s="185" t="str">
        <f t="array" aca="1" ref="CO4" ca="1">IF(CN2="●",
INDIRECT("'盛付札（関数）'!FN"&amp;CM1)+INDIRECT("'盛付札（関数）'!FN"&amp;CM1+1),
IF(CN2="△",
INDIRECT("'盛付札（関数）'!FN"&amp;CM1+1),INDIRECT("'盛付札（関数）'!FN"&amp;CM1)))</f>
        <v/>
      </c>
      <c r="CP4" s="199"/>
      <c r="CQ4" s="79"/>
      <c r="CR4" s="197" t="str">
        <f t="array" aca="1" ref="CR4" ca="1">IF(CO1&lt;&gt;"",
IF(AND(INDIRECT("'盛付札（関数）'!FI"&amp;CM1)&gt;=124,INDIRECT("'盛付札（関数）'!FI"&amp;CM1)&lt;=144),"",
IF(OR(INDIRECT("'盛付札（関数）'!FI"&amp;CM1)=121,INDIRECT("'盛付札（関数）'!FI"&amp;CM1)=122,INDIRECT("'盛付札（関数）'!FI"&amp;CM1)=123),"",
IF(CN2="●",
IFERROR(INDIRECT("'盛付札（関数）'!FO"&amp;CM1)+INDIRECT("'盛付札（関数）'!FO"&amp;CM1+1),""),
IF(CN2="△",
INDIRECT("'盛付札（関数）'!FO"&amp;CM1+1),INDIRECT("'盛付札（関数）'!FO"&amp;CM1))))),"")</f>
        <v/>
      </c>
      <c r="CS4" s="198"/>
      <c r="CT4" s="54"/>
      <c r="CU4" s="53"/>
      <c r="CV4" s="185" t="str">
        <f t="array" aca="1" ref="CV4" ca="1">IF(CU2="●",
INDIRECT("'盛付札（関数）'!FN"&amp;CT1)+INDIRECT("'盛付札（関数）'!FN"&amp;CT1+1),
IF(CU2="△",
INDIRECT("'盛付札（関数）'!FN"&amp;CT1+1),INDIRECT("'盛付札（関数）'!FN"&amp;CT1)))</f>
        <v/>
      </c>
      <c r="CW4" s="199"/>
      <c r="CX4" s="79"/>
      <c r="CY4" s="197" t="str">
        <f t="array" aca="1" ref="CY4" ca="1">IF(CV1&lt;&gt;"",
IF(AND(INDIRECT("'盛付札（関数）'!FI"&amp;CT1)&gt;=124,INDIRECT("'盛付札（関数）'!FI"&amp;CT1)&lt;=144),"",
IF(OR(INDIRECT("'盛付札（関数）'!FI"&amp;CT1)=121,INDIRECT("'盛付札（関数）'!FI"&amp;CT1)=122,INDIRECT("'盛付札（関数）'!FI"&amp;CT1)=123),"",
IF(CU2="●",
IFERROR(INDIRECT("'盛付札（関数）'!FO"&amp;CT1)+INDIRECT("'盛付札（関数）'!FO"&amp;CT1+1),""),
IF(CU2="△",
INDIRECT("'盛付札（関数）'!FO"&amp;CT1+1),INDIRECT("'盛付札（関数）'!FO"&amp;CT1))))),"")</f>
        <v/>
      </c>
      <c r="CZ4" s="198"/>
      <c r="DC4" s="53"/>
      <c r="DD4" s="185" t="str">
        <f t="array" aca="1" ref="DD4" ca="1">IF(DC2="●",
INDIRECT("'盛付札（関数）'!FN"&amp;DB1)+INDIRECT("'盛付札（関数）'!FN"&amp;DB1+1),
IF(DC2="△",
INDIRECT("'盛付札（関数）'!FN"&amp;DB1+1),INDIRECT("'盛付札（関数）'!FN"&amp;DB1)))</f>
        <v/>
      </c>
      <c r="DE4" s="199"/>
      <c r="DF4" s="79"/>
      <c r="DG4" s="197" t="str">
        <f t="array" aca="1" ref="DG4" ca="1">IF(DD1&lt;&gt;"",
IF(AND(INDIRECT("'盛付札（関数）'!FI"&amp;DB1)&gt;=124,INDIRECT("'盛付札（関数）'!FI"&amp;DB1)&lt;=144),"",
IF(OR(INDIRECT("'盛付札（関数）'!FI"&amp;DB1)=121,INDIRECT("'盛付札（関数）'!FI"&amp;DB1)=122,INDIRECT("'盛付札（関数）'!FI"&amp;DB1)=123),"",
IF(DC2="●",
IFERROR(INDIRECT("'盛付札（関数）'!FO"&amp;DB1)+INDIRECT("'盛付札（関数）'!FO"&amp;DB1+1),""),
IF(DC2="△",
INDIRECT("'盛付札（関数）'!FO"&amp;DB1+1),INDIRECT("'盛付札（関数）'!FO"&amp;DB1))))),"")</f>
        <v/>
      </c>
      <c r="DH4" s="198"/>
      <c r="DI4" s="54"/>
      <c r="DJ4" s="53"/>
      <c r="DK4" s="185" t="str">
        <f t="array" aca="1" ref="DK4" ca="1">IF(DJ2="●",
INDIRECT("'盛付札（関数）'!FN"&amp;DI1)+INDIRECT("'盛付札（関数）'!FN"&amp;DI1+1),
IF(DJ2="△",
INDIRECT("'盛付札（関数）'!FN"&amp;DI1+1),INDIRECT("'盛付札（関数）'!FN"&amp;DI1)))</f>
        <v/>
      </c>
      <c r="DL4" s="199"/>
      <c r="DM4" s="79"/>
      <c r="DN4" s="197" t="str">
        <f t="array" aca="1" ref="DN4" ca="1">IF(DK1&lt;&gt;"",
IF(AND(INDIRECT("'盛付札（関数）'!FI"&amp;DI1)&gt;=124,INDIRECT("'盛付札（関数）'!FI"&amp;DI1)&lt;=144),"",
IF(OR(INDIRECT("'盛付札（関数）'!FI"&amp;DI1)=121,INDIRECT("'盛付札（関数）'!FI"&amp;DI1)=122,INDIRECT("'盛付札（関数）'!FI"&amp;DI1)=123),"",
IF(DJ2="●",
IFERROR(INDIRECT("'盛付札（関数）'!FO"&amp;DI1)+INDIRECT("'盛付札（関数）'!FO"&amp;DI1+1),""),
IF(DJ2="△",
INDIRECT("'盛付札（関数）'!FO"&amp;DI1+1),INDIRECT("'盛付札（関数）'!FO"&amp;DI1))))),"")</f>
        <v/>
      </c>
      <c r="DO4" s="198"/>
      <c r="DR4" s="53"/>
      <c r="DS4" s="185" t="str">
        <f t="array" aca="1" ref="DS4" ca="1">IF(DR2="●",
INDIRECT("'盛付札（関数）'!FN"&amp;DQ1)+INDIRECT("'盛付札（関数）'!FN"&amp;DQ1+1),
IF(DR2="△",
INDIRECT("'盛付札（関数）'!FN"&amp;DQ1+1),INDIRECT("'盛付札（関数）'!FN"&amp;DQ1)))</f>
        <v/>
      </c>
      <c r="DT4" s="199"/>
      <c r="DU4" s="79"/>
      <c r="DV4" s="197" t="str">
        <f t="array" aca="1" ref="DV4" ca="1">IF(DS1&lt;&gt;"",
IF(AND(INDIRECT("'盛付札（関数）'!FI"&amp;DQ1)&gt;=124,INDIRECT("'盛付札（関数）'!FI"&amp;DQ1)&lt;=144),"",
IF(OR(INDIRECT("'盛付札（関数）'!FI"&amp;DQ1)=121,INDIRECT("'盛付札（関数）'!FI"&amp;DQ1)=122,INDIRECT("'盛付札（関数）'!FI"&amp;DQ1)=123),"",
IF(DR2="●",
IFERROR(INDIRECT("'盛付札（関数）'!FO"&amp;DQ1)+INDIRECT("'盛付札（関数）'!FO"&amp;DQ1+1),""),
IF(DR2="△",
INDIRECT("'盛付札（関数）'!FO"&amp;DQ1+1),INDIRECT("'盛付札（関数）'!FO"&amp;DQ1))))),"")</f>
        <v/>
      </c>
      <c r="DW4" s="198"/>
      <c r="DX4" s="54"/>
      <c r="DY4" s="53"/>
      <c r="DZ4" s="185" t="str">
        <f t="array" aca="1" ref="DZ4" ca="1">IF(DY2="●",
INDIRECT("'盛付札（関数）'!FN"&amp;DX1)+INDIRECT("'盛付札（関数）'!FN"&amp;DX1+1),
IF(DY2="△",
INDIRECT("'盛付札（関数）'!FN"&amp;DX1+1),INDIRECT("'盛付札（関数）'!FN"&amp;DX1)))</f>
        <v/>
      </c>
      <c r="EA4" s="199"/>
      <c r="EB4" s="79"/>
      <c r="EC4" s="197" t="str">
        <f t="array" aca="1" ref="EC4" ca="1">IF(DZ1&lt;&gt;"",
IF(AND(INDIRECT("'盛付札（関数）'!FI"&amp;DX1)&gt;=124,INDIRECT("'盛付札（関数）'!FI"&amp;DX1)&lt;=144),"",
IF(OR(INDIRECT("'盛付札（関数）'!FI"&amp;DX1)=121,INDIRECT("'盛付札（関数）'!FI"&amp;DX1)=122,INDIRECT("'盛付札（関数）'!FI"&amp;DX1)=123),"",
IF(DY2="●",
IFERROR(INDIRECT("'盛付札（関数）'!FO"&amp;DX1)+INDIRECT("'盛付札（関数）'!FO"&amp;DX1+1),""),
IF(DY2="△",
INDIRECT("'盛付札（関数）'!FO"&amp;DX1+1),INDIRECT("'盛付札（関数）'!FO"&amp;DX1))))),"")</f>
        <v/>
      </c>
      <c r="ED4" s="198"/>
      <c r="EG4" s="53"/>
      <c r="EH4" s="185" t="str">
        <f t="array" aca="1" ref="EH4" ca="1">IF(EG2="●",
INDIRECT("'盛付札（関数）'!FN"&amp;EF1)+INDIRECT("'盛付札（関数）'!FN"&amp;EF1+1),
IF(EG2="△",
INDIRECT("'盛付札（関数）'!FN"&amp;EF1+1),INDIRECT("'盛付札（関数）'!FN"&amp;EF1)))</f>
        <v/>
      </c>
      <c r="EI4" s="199"/>
      <c r="EJ4" s="79"/>
      <c r="EK4" s="197" t="str">
        <f t="array" aca="1" ref="EK4" ca="1">IF(EH1&lt;&gt;"",
IF(AND(INDIRECT("'盛付札（関数）'!FI"&amp;EF1)&gt;=124,INDIRECT("'盛付札（関数）'!FI"&amp;EF1)&lt;=144),"",
IF(OR(INDIRECT("'盛付札（関数）'!FI"&amp;EF1)=121,INDIRECT("'盛付札（関数）'!FI"&amp;EF1)=122,INDIRECT("'盛付札（関数）'!FI"&amp;EF1)=123),"",
IF(EG2="●",
IFERROR(INDIRECT("'盛付札（関数）'!FO"&amp;EF1)+INDIRECT("'盛付札（関数）'!FO"&amp;EF1+1),""),
IF(EG2="△",
INDIRECT("'盛付札（関数）'!FO"&amp;EF1+1),INDIRECT("'盛付札（関数）'!FO"&amp;EF1))))),"")</f>
        <v/>
      </c>
      <c r="EL4" s="198"/>
      <c r="EM4" s="54"/>
      <c r="EN4" s="53"/>
      <c r="EO4" s="185" t="str">
        <f t="array" aca="1" ref="EO4" ca="1">IF(EN2="●",
INDIRECT("'盛付札（関数）'!FN"&amp;EM1)+INDIRECT("'盛付札（関数）'!FN"&amp;EM1+1),
IF(EN2="△",
INDIRECT("'盛付札（関数）'!FN"&amp;EM1+1),INDIRECT("'盛付札（関数）'!FN"&amp;EM1)))</f>
        <v/>
      </c>
      <c r="EP4" s="199"/>
      <c r="EQ4" s="79"/>
      <c r="ER4" s="197" t="str">
        <f t="array" aca="1" ref="ER4" ca="1">IF(EO1&lt;&gt;"",
IF(AND(INDIRECT("'盛付札（関数）'!FI"&amp;EM1)&gt;=124,INDIRECT("'盛付札（関数）'!FI"&amp;EM1)&lt;=144),"",
IF(OR(INDIRECT("'盛付札（関数）'!FI"&amp;EM1)=121,INDIRECT("'盛付札（関数）'!FI"&amp;EM1)=122,INDIRECT("'盛付札（関数）'!FI"&amp;EM1)=123),"",
IF(EN2="●",
IFERROR(INDIRECT("'盛付札（関数）'!FO"&amp;EM1)+INDIRECT("'盛付札（関数）'!FO"&amp;EM1+1),""),
IF(EN2="△",
INDIRECT("'盛付札（関数）'!FO"&amp;EM1+1),INDIRECT("'盛付札（関数）'!FO"&amp;EM1))))),"")</f>
        <v/>
      </c>
      <c r="ES4" s="198"/>
    </row>
    <row r="5" spans="1:150" ht="15.6" customHeight="1" x14ac:dyDescent="0.45">
      <c r="B5" s="55"/>
      <c r="C5" s="187"/>
      <c r="D5" s="187"/>
      <c r="E5" s="73"/>
      <c r="F5" s="187"/>
      <c r="G5" s="195"/>
      <c r="H5" s="54"/>
      <c r="I5" s="55"/>
      <c r="J5" s="187"/>
      <c r="K5" s="187"/>
      <c r="L5" s="73"/>
      <c r="M5" s="187"/>
      <c r="N5" s="195"/>
      <c r="Q5" s="55"/>
      <c r="R5" s="187"/>
      <c r="S5" s="187"/>
      <c r="T5" s="73"/>
      <c r="U5" s="187"/>
      <c r="V5" s="195"/>
      <c r="W5" s="54"/>
      <c r="X5" s="55"/>
      <c r="Y5" s="187"/>
      <c r="Z5" s="187"/>
      <c r="AA5" s="73"/>
      <c r="AB5" s="187"/>
      <c r="AC5" s="195"/>
      <c r="AF5" s="55"/>
      <c r="AG5" s="187"/>
      <c r="AH5" s="187"/>
      <c r="AI5" s="73"/>
      <c r="AJ5" s="187"/>
      <c r="AK5" s="195"/>
      <c r="AL5" s="54"/>
      <c r="AM5" s="55"/>
      <c r="AN5" s="187"/>
      <c r="AO5" s="187"/>
      <c r="AP5" s="73"/>
      <c r="AQ5" s="187"/>
      <c r="AR5" s="195"/>
      <c r="AU5" s="55"/>
      <c r="AV5" s="187"/>
      <c r="AW5" s="187"/>
      <c r="AX5" s="73"/>
      <c r="AY5" s="187"/>
      <c r="AZ5" s="195"/>
      <c r="BA5" s="54"/>
      <c r="BB5" s="55"/>
      <c r="BC5" s="187"/>
      <c r="BD5" s="187"/>
      <c r="BE5" s="73"/>
      <c r="BF5" s="187"/>
      <c r="BG5" s="195"/>
      <c r="BJ5" s="55"/>
      <c r="BK5" s="187"/>
      <c r="BL5" s="187"/>
      <c r="BM5" s="73"/>
      <c r="BN5" s="187"/>
      <c r="BO5" s="195"/>
      <c r="BP5" s="54"/>
      <c r="BQ5" s="55"/>
      <c r="BR5" s="187"/>
      <c r="BS5" s="187"/>
      <c r="BT5" s="73"/>
      <c r="BU5" s="187"/>
      <c r="BV5" s="195"/>
      <c r="BY5" s="55"/>
      <c r="BZ5" s="187"/>
      <c r="CA5" s="187"/>
      <c r="CB5" s="73"/>
      <c r="CC5" s="187"/>
      <c r="CD5" s="195"/>
      <c r="CE5" s="54"/>
      <c r="CF5" s="55"/>
      <c r="CG5" s="187"/>
      <c r="CH5" s="187"/>
      <c r="CI5" s="73"/>
      <c r="CJ5" s="187"/>
      <c r="CK5" s="195"/>
      <c r="CN5" s="55"/>
      <c r="CO5" s="187"/>
      <c r="CP5" s="187"/>
      <c r="CQ5" s="73"/>
      <c r="CR5" s="187"/>
      <c r="CS5" s="195"/>
      <c r="CT5" s="54"/>
      <c r="CU5" s="55"/>
      <c r="CV5" s="187"/>
      <c r="CW5" s="187"/>
      <c r="CX5" s="73"/>
      <c r="CY5" s="187"/>
      <c r="CZ5" s="195"/>
      <c r="DC5" s="55"/>
      <c r="DD5" s="187"/>
      <c r="DE5" s="187"/>
      <c r="DF5" s="73"/>
      <c r="DG5" s="187"/>
      <c r="DH5" s="195"/>
      <c r="DI5" s="54"/>
      <c r="DJ5" s="55"/>
      <c r="DK5" s="187"/>
      <c r="DL5" s="187"/>
      <c r="DM5" s="73"/>
      <c r="DN5" s="187"/>
      <c r="DO5" s="195"/>
      <c r="DR5" s="55"/>
      <c r="DS5" s="187"/>
      <c r="DT5" s="187"/>
      <c r="DU5" s="73"/>
      <c r="DV5" s="187"/>
      <c r="DW5" s="195"/>
      <c r="DX5" s="54"/>
      <c r="DY5" s="55"/>
      <c r="DZ5" s="187"/>
      <c r="EA5" s="187"/>
      <c r="EB5" s="73"/>
      <c r="EC5" s="187"/>
      <c r="ED5" s="195"/>
      <c r="EG5" s="55"/>
      <c r="EH5" s="187"/>
      <c r="EI5" s="187"/>
      <c r="EJ5" s="73"/>
      <c r="EK5" s="187"/>
      <c r="EL5" s="195"/>
      <c r="EM5" s="54"/>
      <c r="EN5" s="55"/>
      <c r="EO5" s="187"/>
      <c r="EP5" s="187"/>
      <c r="EQ5" s="73"/>
      <c r="ER5" s="187"/>
      <c r="ES5" s="195"/>
    </row>
    <row r="6" spans="1:150" s="60" customFormat="1" x14ac:dyDescent="0.55000000000000004">
      <c r="A6" s="59"/>
      <c r="B6" s="66" t="str">
        <f t="array" aca="1" ref="B6" ca="1">IF(C1&lt;&gt;"",
IF(OR(INDIRECT("'盛付札（関数）'!FI"&amp;A1)=121,INDIRECT("'盛付札（関数）'!FI"&amp;A1)=122,INDIRECT("'盛付札（関数）'!FI"&amp;A1)=123),"",
"パン箱"),"")</f>
        <v/>
      </c>
      <c r="C6" s="64" t="str">
        <f t="array" aca="1" ref="C6" ca="1">IF(C1&lt;&gt;"",
IF(OR(INDIRECT("'盛付札（関数）'!FI"&amp;A1)=121,INDIRECT("'盛付札（関数）'!FI"&amp;A1)=122,INDIRECT("'盛付札（関数）'!FI"&amp;A1)=123),"",
IF(B2="△",
INDIRECT("'盛付札（関数）'!FP"&amp;A1+1),INDIRECT("'盛付札（関数）'!FP"&amp;A1))),"")</f>
        <v/>
      </c>
      <c r="D6" s="66" t="str">
        <f t="array" aca="1" ref="D6" ca="1">IF(C1&lt;&gt;"",
IF(OR(INDIRECT("'盛付札（関数）'!FI"&amp;A1)=121,INDIRECT("'盛付札（関数）'!FI"&amp;A1)=122,INDIRECT("'盛付札（関数）'!FI"&amp;A1)=123),"",
"端数"),"")</f>
        <v/>
      </c>
      <c r="E6" s="64"/>
      <c r="F6" s="66" t="str">
        <f t="array" aca="1" ref="F6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"アレルギー")),"")</f>
        <v/>
      </c>
      <c r="G6" s="69"/>
      <c r="H6" s="49"/>
      <c r="I6" s="66" t="str">
        <f t="array" aca="1" ref="I6" ca="1">IF(J1&lt;&gt;"",
IF(OR(INDIRECT("'盛付札（関数）'!FI"&amp;H1)=121,INDIRECT("'盛付札（関数）'!FI"&amp;H1)=122,INDIRECT("'盛付札（関数）'!FI"&amp;H1)=123),"",
"パン箱"),"")</f>
        <v/>
      </c>
      <c r="J6" s="64" t="str">
        <f t="array" aca="1" ref="J6" ca="1">IF(J1&lt;&gt;"",
IF(OR(INDIRECT("'盛付札（関数）'!FI"&amp;H1)=121,INDIRECT("'盛付札（関数）'!FI"&amp;H1)=122,INDIRECT("'盛付札（関数）'!FI"&amp;H1)=123),"",
IF(I2="△",
INDIRECT("'盛付札（関数）'!FP"&amp;H1+1),INDIRECT("'盛付札（関数）'!FP"&amp;H1))),"")</f>
        <v/>
      </c>
      <c r="K6" s="66" t="str">
        <f t="array" aca="1" ref="K6" ca="1">IF(J1&lt;&gt;"",
IF(OR(INDIRECT("'盛付札（関数）'!FI"&amp;H1)=121,INDIRECT("'盛付札（関数）'!FI"&amp;H1)=122,INDIRECT("'盛付札（関数）'!FI"&amp;H1)=123),"",
"端数"),"")</f>
        <v/>
      </c>
      <c r="L6" s="64"/>
      <c r="M6" s="66" t="str">
        <f t="array" aca="1" ref="M6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"アレルギー")),"")</f>
        <v/>
      </c>
      <c r="N6" s="69"/>
      <c r="O6" s="49"/>
      <c r="P6" s="59"/>
      <c r="Q6" s="66" t="str">
        <f t="array" aca="1" ref="Q6" ca="1">IF(R1&lt;&gt;"",
IF(OR(INDIRECT("'盛付札（関数）'!FI"&amp;P1)=121,INDIRECT("'盛付札（関数）'!FI"&amp;P1)=122,INDIRECT("'盛付札（関数）'!FI"&amp;P1)=123),"",
"パン箱"),"")</f>
        <v/>
      </c>
      <c r="R6" s="64" t="str">
        <f t="array" aca="1" ref="R6" ca="1">IF(R1&lt;&gt;"",
IF(OR(INDIRECT("'盛付札（関数）'!FI"&amp;P1)=121,INDIRECT("'盛付札（関数）'!FI"&amp;P1)=122,INDIRECT("'盛付札（関数）'!FI"&amp;P1)=123),"",
IF(Q2="△",
INDIRECT("'盛付札（関数）'!FP"&amp;P1+1),INDIRECT("'盛付札（関数）'!FP"&amp;P1))),"")</f>
        <v/>
      </c>
      <c r="S6" s="66" t="str">
        <f t="array" aca="1" ref="S6" ca="1">IF(R1&lt;&gt;"",
IF(OR(INDIRECT("'盛付札（関数）'!FI"&amp;P1)=121,INDIRECT("'盛付札（関数）'!FI"&amp;P1)=122,INDIRECT("'盛付札（関数）'!FI"&amp;P1)=123),"",
"端数"),"")</f>
        <v/>
      </c>
      <c r="T6" s="64"/>
      <c r="U6" s="66" t="str">
        <f t="array" aca="1" ref="U6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"アレルギー")),"")</f>
        <v/>
      </c>
      <c r="V6" s="69"/>
      <c r="W6" s="49"/>
      <c r="X6" s="66" t="str">
        <f t="array" aca="1" ref="X6" ca="1">IF(Y1&lt;&gt;"",
IF(OR(INDIRECT("'盛付札（関数）'!FI"&amp;W1)=121,INDIRECT("'盛付札（関数）'!FI"&amp;W1)=122,INDIRECT("'盛付札（関数）'!FI"&amp;W1)=123),"",
"パン箱"),"")</f>
        <v/>
      </c>
      <c r="Y6" s="64" t="str">
        <f t="array" aca="1" ref="Y6" ca="1">IF(Y1&lt;&gt;"",
IF(OR(INDIRECT("'盛付札（関数）'!FI"&amp;W1)=121,INDIRECT("'盛付札（関数）'!FI"&amp;W1)=122,INDIRECT("'盛付札（関数）'!FI"&amp;W1)=123),"",
IF(X2="△",
INDIRECT("'盛付札（関数）'!FP"&amp;W1+1),INDIRECT("'盛付札（関数）'!FP"&amp;W1))),"")</f>
        <v/>
      </c>
      <c r="Z6" s="66" t="str">
        <f t="array" aca="1" ref="Z6" ca="1">IF(Y1&lt;&gt;"",
IF(OR(INDIRECT("'盛付札（関数）'!FI"&amp;W1)=121,INDIRECT("'盛付札（関数）'!FI"&amp;W1)=122,INDIRECT("'盛付札（関数）'!FI"&amp;W1)=123),"",
"端数"),"")</f>
        <v/>
      </c>
      <c r="AA6" s="64"/>
      <c r="AB6" s="66" t="str">
        <f t="array" aca="1" ref="AB6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"アレルギー")),"")</f>
        <v/>
      </c>
      <c r="AC6" s="69"/>
      <c r="AD6" s="49"/>
      <c r="AE6" s="59"/>
      <c r="AF6" s="66" t="str">
        <f t="array" aca="1" ref="AF6" ca="1">IF(AG1&lt;&gt;"",
IF(OR(INDIRECT("'盛付札（関数）'!FI"&amp;AE1)=121,INDIRECT("'盛付札（関数）'!FI"&amp;AE1)=122,INDIRECT("'盛付札（関数）'!FI"&amp;AE1)=123),"",
"パン箱"),"")</f>
        <v/>
      </c>
      <c r="AG6" s="64" t="str">
        <f t="array" aca="1" ref="AG6" ca="1">IF(AG1&lt;&gt;"",
IF(OR(INDIRECT("'盛付札（関数）'!FI"&amp;AE1)=121,INDIRECT("'盛付札（関数）'!FI"&amp;AE1)=122,INDIRECT("'盛付札（関数）'!FI"&amp;AE1)=123),"",
IF(AF2="△",
INDIRECT("'盛付札（関数）'!FP"&amp;AE1+1),INDIRECT("'盛付札（関数）'!FP"&amp;AE1))),"")</f>
        <v/>
      </c>
      <c r="AH6" s="66" t="str">
        <f t="array" aca="1" ref="AH6" ca="1">IF(AG1&lt;&gt;"",
IF(OR(INDIRECT("'盛付札（関数）'!FI"&amp;AE1)=121,INDIRECT("'盛付札（関数）'!FI"&amp;AE1)=122,INDIRECT("'盛付札（関数）'!FI"&amp;AE1)=123),"",
"端数"),"")</f>
        <v/>
      </c>
      <c r="AI6" s="64"/>
      <c r="AJ6" s="66" t="str">
        <f t="array" aca="1" ref="AJ6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"アレルギー")),"")</f>
        <v/>
      </c>
      <c r="AK6" s="69"/>
      <c r="AL6" s="49"/>
      <c r="AM6" s="66" t="str">
        <f t="array" aca="1" ref="AM6" ca="1">IF(AN1&lt;&gt;"",
IF(OR(INDIRECT("'盛付札（関数）'!FI"&amp;AL1)=121,INDIRECT("'盛付札（関数）'!FI"&amp;AL1)=122,INDIRECT("'盛付札（関数）'!FI"&amp;AL1)=123),"",
"パン箱"),"")</f>
        <v/>
      </c>
      <c r="AN6" s="64" t="str">
        <f t="array" aca="1" ref="AN6" ca="1">IF(AN1&lt;&gt;"",
IF(OR(INDIRECT("'盛付札（関数）'!FI"&amp;AL1)=121,INDIRECT("'盛付札（関数）'!FI"&amp;AL1)=122,INDIRECT("'盛付札（関数）'!FI"&amp;AL1)=123),"",
IF(AM2="△",
INDIRECT("'盛付札（関数）'!FP"&amp;AL1+1),INDIRECT("'盛付札（関数）'!FP"&amp;AL1))),"")</f>
        <v/>
      </c>
      <c r="AO6" s="66" t="str">
        <f t="array" aca="1" ref="AO6" ca="1">IF(AN1&lt;&gt;"",
IF(OR(INDIRECT("'盛付札（関数）'!FI"&amp;AL1)=121,INDIRECT("'盛付札（関数）'!FI"&amp;AL1)=122,INDIRECT("'盛付札（関数）'!FI"&amp;AL1)=123),"",
"端数"),"")</f>
        <v/>
      </c>
      <c r="AP6" s="64"/>
      <c r="AQ6" s="66" t="str">
        <f t="array" aca="1" ref="AQ6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"アレルギー")),"")</f>
        <v/>
      </c>
      <c r="AR6" s="69"/>
      <c r="AS6" s="49"/>
      <c r="AT6" s="59"/>
      <c r="AU6" s="66" t="str">
        <f t="array" aca="1" ref="AU6" ca="1">IF(AV1&lt;&gt;"",
IF(OR(INDIRECT("'盛付札（関数）'!FI"&amp;AT1)=121,INDIRECT("'盛付札（関数）'!FI"&amp;AT1)=122,INDIRECT("'盛付札（関数）'!FI"&amp;AT1)=123),"",
"パン箱"),"")</f>
        <v/>
      </c>
      <c r="AV6" s="64" t="str">
        <f t="array" aca="1" ref="AV6" ca="1">IF(AV1&lt;&gt;"",
IF(OR(INDIRECT("'盛付札（関数）'!FI"&amp;AT1)=121,INDIRECT("'盛付札（関数）'!FI"&amp;AT1)=122,INDIRECT("'盛付札（関数）'!FI"&amp;AT1)=123),"",
IF(AU2="△",
INDIRECT("'盛付札（関数）'!FP"&amp;AT1+1),INDIRECT("'盛付札（関数）'!FP"&amp;AT1))),"")</f>
        <v/>
      </c>
      <c r="AW6" s="66" t="str">
        <f t="array" aca="1" ref="AW6" ca="1">IF(AV1&lt;&gt;"",
IF(OR(INDIRECT("'盛付札（関数）'!FI"&amp;AT1)=121,INDIRECT("'盛付札（関数）'!FI"&amp;AT1)=122,INDIRECT("'盛付札（関数）'!FI"&amp;AT1)=123),"",
"端数"),"")</f>
        <v/>
      </c>
      <c r="AX6" s="64"/>
      <c r="AY6" s="66" t="str">
        <f t="array" aca="1" ref="AY6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"アレルギー")),"")</f>
        <v/>
      </c>
      <c r="AZ6" s="69"/>
      <c r="BA6" s="49"/>
      <c r="BB6" s="66" t="str">
        <f t="array" aca="1" ref="BB6" ca="1">IF(BC1&lt;&gt;"",
IF(OR(INDIRECT("'盛付札（関数）'!FI"&amp;BA1)=121,INDIRECT("'盛付札（関数）'!FI"&amp;BA1)=122,INDIRECT("'盛付札（関数）'!FI"&amp;BA1)=123),"",
"パン箱"),"")</f>
        <v/>
      </c>
      <c r="BC6" s="64" t="str">
        <f t="array" aca="1" ref="BC6" ca="1">IF(BC1&lt;&gt;"",
IF(OR(INDIRECT("'盛付札（関数）'!FI"&amp;BA1)=121,INDIRECT("'盛付札（関数）'!FI"&amp;BA1)=122,INDIRECT("'盛付札（関数）'!FI"&amp;BA1)=123),"",
IF(BB2="△",
INDIRECT("'盛付札（関数）'!FP"&amp;BA1+1),INDIRECT("'盛付札（関数）'!FP"&amp;BA1))),"")</f>
        <v/>
      </c>
      <c r="BD6" s="66" t="str">
        <f t="array" aca="1" ref="BD6" ca="1">IF(BC1&lt;&gt;"",
IF(OR(INDIRECT("'盛付札（関数）'!FI"&amp;BA1)=121,INDIRECT("'盛付札（関数）'!FI"&amp;BA1)=122,INDIRECT("'盛付札（関数）'!FI"&amp;BA1)=123),"",
"端数"),"")</f>
        <v/>
      </c>
      <c r="BE6" s="64"/>
      <c r="BF6" s="66" t="str">
        <f t="array" aca="1" ref="BF6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"アレルギー")),"")</f>
        <v/>
      </c>
      <c r="BG6" s="69"/>
      <c r="BH6" s="49"/>
      <c r="BI6" s="59"/>
      <c r="BJ6" s="66" t="str">
        <f t="array" aca="1" ref="BJ6" ca="1">IF(BK1&lt;&gt;"",
IF(OR(INDIRECT("'盛付札（関数）'!FI"&amp;BI1)=121,INDIRECT("'盛付札（関数）'!FI"&amp;BI1)=122,INDIRECT("'盛付札（関数）'!FI"&amp;BI1)=123),"",
"パン箱"),"")</f>
        <v/>
      </c>
      <c r="BK6" s="64" t="str">
        <f t="array" aca="1" ref="BK6" ca="1">IF(BK1&lt;&gt;"",
IF(OR(INDIRECT("'盛付札（関数）'!FI"&amp;BI1)=121,INDIRECT("'盛付札（関数）'!FI"&amp;BI1)=122,INDIRECT("'盛付札（関数）'!FI"&amp;BI1)=123),"",
IF(BJ2="△",
INDIRECT("'盛付札（関数）'!FP"&amp;BI1+1),INDIRECT("'盛付札（関数）'!FP"&amp;BI1))),"")</f>
        <v/>
      </c>
      <c r="BL6" s="66" t="str">
        <f t="array" aca="1" ref="BL6" ca="1">IF(BK1&lt;&gt;"",
IF(OR(INDIRECT("'盛付札（関数）'!FI"&amp;BI1)=121,INDIRECT("'盛付札（関数）'!FI"&amp;BI1)=122,INDIRECT("'盛付札（関数）'!FI"&amp;BI1)=123),"",
"端数"),"")</f>
        <v/>
      </c>
      <c r="BM6" s="64"/>
      <c r="BN6" s="66" t="str">
        <f t="array" aca="1" ref="BN6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"アレルギー")),"")</f>
        <v/>
      </c>
      <c r="BO6" s="69"/>
      <c r="BP6" s="49"/>
      <c r="BQ6" s="66" t="str">
        <f t="array" aca="1" ref="BQ6" ca="1">IF(BR1&lt;&gt;"",
IF(OR(INDIRECT("'盛付札（関数）'!FI"&amp;BP1)=121,INDIRECT("'盛付札（関数）'!FI"&amp;BP1)=122,INDIRECT("'盛付札（関数）'!FI"&amp;BP1)=123),"",
"パン箱"),"")</f>
        <v/>
      </c>
      <c r="BR6" s="64" t="str">
        <f t="array" aca="1" ref="BR6" ca="1">IF(BR1&lt;&gt;"",
IF(OR(INDIRECT("'盛付札（関数）'!FI"&amp;BP1)=121,INDIRECT("'盛付札（関数）'!FI"&amp;BP1)=122,INDIRECT("'盛付札（関数）'!FI"&amp;BP1)=123),"",
IF(BQ2="△",
INDIRECT("'盛付札（関数）'!FP"&amp;BP1+1),INDIRECT("'盛付札（関数）'!FP"&amp;BP1))),"")</f>
        <v/>
      </c>
      <c r="BS6" s="66" t="str">
        <f t="array" aca="1" ref="BS6" ca="1">IF(BR1&lt;&gt;"",
IF(OR(INDIRECT("'盛付札（関数）'!FI"&amp;BP1)=121,INDIRECT("'盛付札（関数）'!FI"&amp;BP1)=122,INDIRECT("'盛付札（関数）'!FI"&amp;BP1)=123),"",
"端数"),"")</f>
        <v/>
      </c>
      <c r="BT6" s="64"/>
      <c r="BU6" s="66" t="str">
        <f t="array" aca="1" ref="BU6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"アレルギー")),"")</f>
        <v/>
      </c>
      <c r="BV6" s="69"/>
      <c r="BW6" s="49"/>
      <c r="BX6" s="59"/>
      <c r="BY6" s="66" t="str">
        <f t="array" aca="1" ref="BY6" ca="1">IF(BZ1&lt;&gt;"",
IF(OR(INDIRECT("'盛付札（関数）'!FI"&amp;BX1)=121,INDIRECT("'盛付札（関数）'!FI"&amp;BX1)=122,INDIRECT("'盛付札（関数）'!FI"&amp;BX1)=123),"",
"パン箱"),"")</f>
        <v/>
      </c>
      <c r="BZ6" s="64" t="str">
        <f t="array" aca="1" ref="BZ6" ca="1">IF(BZ1&lt;&gt;"",
IF(OR(INDIRECT("'盛付札（関数）'!FI"&amp;BX1)=121,INDIRECT("'盛付札（関数）'!FI"&amp;BX1)=122,INDIRECT("'盛付札（関数）'!FI"&amp;BX1)=123),"",
IF(BY2="△",
INDIRECT("'盛付札（関数）'!FP"&amp;BX1+1),INDIRECT("'盛付札（関数）'!FP"&amp;BX1))),"")</f>
        <v/>
      </c>
      <c r="CA6" s="66" t="str">
        <f t="array" aca="1" ref="CA6" ca="1">IF(BZ1&lt;&gt;"",
IF(OR(INDIRECT("'盛付札（関数）'!FI"&amp;BX1)=121,INDIRECT("'盛付札（関数）'!FI"&amp;BX1)=122,INDIRECT("'盛付札（関数）'!FI"&amp;BX1)=123),"",
"端数"),"")</f>
        <v/>
      </c>
      <c r="CB6" s="64"/>
      <c r="CC6" s="66" t="str">
        <f t="array" aca="1" ref="CC6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"アレルギー")),"")</f>
        <v/>
      </c>
      <c r="CD6" s="69"/>
      <c r="CE6" s="49"/>
      <c r="CF6" s="66" t="str">
        <f t="array" aca="1" ref="CF6" ca="1">IF(CG1&lt;&gt;"",
IF(OR(INDIRECT("'盛付札（関数）'!FI"&amp;CE1)=121,INDIRECT("'盛付札（関数）'!FI"&amp;CE1)=122,INDIRECT("'盛付札（関数）'!FI"&amp;CE1)=123),"",
"パン箱"),"")</f>
        <v/>
      </c>
      <c r="CG6" s="64" t="str">
        <f t="array" aca="1" ref="CG6" ca="1">IF(CG1&lt;&gt;"",
IF(OR(INDIRECT("'盛付札（関数）'!FI"&amp;CE1)=121,INDIRECT("'盛付札（関数）'!FI"&amp;CE1)=122,INDIRECT("'盛付札（関数）'!FI"&amp;CE1)=123),"",
IF(CF2="△",
INDIRECT("'盛付札（関数）'!FP"&amp;CE1+1),INDIRECT("'盛付札（関数）'!FP"&amp;CE1))),"")</f>
        <v/>
      </c>
      <c r="CH6" s="66" t="str">
        <f t="array" aca="1" ref="CH6" ca="1">IF(CG1&lt;&gt;"",
IF(OR(INDIRECT("'盛付札（関数）'!FI"&amp;CE1)=121,INDIRECT("'盛付札（関数）'!FI"&amp;CE1)=122,INDIRECT("'盛付札（関数）'!FI"&amp;CE1)=123),"",
"端数"),"")</f>
        <v/>
      </c>
      <c r="CI6" s="64"/>
      <c r="CJ6" s="66" t="str">
        <f t="array" aca="1" ref="CJ6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"アレルギー")),"")</f>
        <v/>
      </c>
      <c r="CK6" s="69"/>
      <c r="CL6" s="49"/>
      <c r="CM6" s="59"/>
      <c r="CN6" s="66" t="str">
        <f t="array" aca="1" ref="CN6" ca="1">IF(CO1&lt;&gt;"",
IF(OR(INDIRECT("'盛付札（関数）'!FI"&amp;CM1)=121,INDIRECT("'盛付札（関数）'!FI"&amp;CM1)=122,INDIRECT("'盛付札（関数）'!FI"&amp;CM1)=123),"",
"パン箱"),"")</f>
        <v/>
      </c>
      <c r="CO6" s="64" t="str">
        <f t="array" aca="1" ref="CO6" ca="1">IF(CO1&lt;&gt;"",
IF(OR(INDIRECT("'盛付札（関数）'!FI"&amp;CM1)=121,INDIRECT("'盛付札（関数）'!FI"&amp;CM1)=122,INDIRECT("'盛付札（関数）'!FI"&amp;CM1)=123),"",
IF(CN2="△",
INDIRECT("'盛付札（関数）'!FP"&amp;CM1+1),INDIRECT("'盛付札（関数）'!FP"&amp;CM1))),"")</f>
        <v/>
      </c>
      <c r="CP6" s="66" t="str">
        <f t="array" aca="1" ref="CP6" ca="1">IF(CO1&lt;&gt;"",
IF(OR(INDIRECT("'盛付札（関数）'!FI"&amp;CM1)=121,INDIRECT("'盛付札（関数）'!FI"&amp;CM1)=122,INDIRECT("'盛付札（関数）'!FI"&amp;CM1)=123),"",
"端数"),"")</f>
        <v/>
      </c>
      <c r="CQ6" s="64"/>
      <c r="CR6" s="66" t="str">
        <f t="array" aca="1" ref="CR6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"アレルギー")),"")</f>
        <v/>
      </c>
      <c r="CS6" s="69"/>
      <c r="CT6" s="49"/>
      <c r="CU6" s="66" t="str">
        <f t="array" aca="1" ref="CU6" ca="1">IF(CV1&lt;&gt;"",
IF(OR(INDIRECT("'盛付札（関数）'!FI"&amp;CT1)=121,INDIRECT("'盛付札（関数）'!FI"&amp;CT1)=122,INDIRECT("'盛付札（関数）'!FI"&amp;CT1)=123),"",
"パン箱"),"")</f>
        <v/>
      </c>
      <c r="CV6" s="64" t="str">
        <f t="array" aca="1" ref="CV6" ca="1">IF(CV1&lt;&gt;"",
IF(OR(INDIRECT("'盛付札（関数）'!FI"&amp;CT1)=121,INDIRECT("'盛付札（関数）'!FI"&amp;CT1)=122,INDIRECT("'盛付札（関数）'!FI"&amp;CT1)=123),"",
IF(CU2="△",
INDIRECT("'盛付札（関数）'!FP"&amp;CT1+1),INDIRECT("'盛付札（関数）'!FP"&amp;CT1))),"")</f>
        <v/>
      </c>
      <c r="CW6" s="66" t="str">
        <f t="array" aca="1" ref="CW6" ca="1">IF(CV1&lt;&gt;"",
IF(OR(INDIRECT("'盛付札（関数）'!FI"&amp;CT1)=121,INDIRECT("'盛付札（関数）'!FI"&amp;CT1)=122,INDIRECT("'盛付札（関数）'!FI"&amp;CT1)=123),"",
"端数"),"")</f>
        <v/>
      </c>
      <c r="CX6" s="64"/>
      <c r="CY6" s="66" t="str">
        <f t="array" aca="1" ref="CY6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"アレルギー")),"")</f>
        <v/>
      </c>
      <c r="CZ6" s="69"/>
      <c r="DA6" s="49"/>
      <c r="DB6" s="59"/>
      <c r="DC6" s="66" t="str">
        <f t="array" aca="1" ref="DC6" ca="1">IF(DD1&lt;&gt;"",
IF(OR(INDIRECT("'盛付札（関数）'!FI"&amp;DB1)=121,INDIRECT("'盛付札（関数）'!FI"&amp;DB1)=122,INDIRECT("'盛付札（関数）'!FI"&amp;DB1)=123),"",
"パン箱"),"")</f>
        <v/>
      </c>
      <c r="DD6" s="64" t="str">
        <f t="array" aca="1" ref="DD6" ca="1">IF(DD1&lt;&gt;"",
IF(OR(INDIRECT("'盛付札（関数）'!FI"&amp;DB1)=121,INDIRECT("'盛付札（関数）'!FI"&amp;DB1)=122,INDIRECT("'盛付札（関数）'!FI"&amp;DB1)=123),"",
IF(DC2="△",
INDIRECT("'盛付札（関数）'!FP"&amp;DB1+1),INDIRECT("'盛付札（関数）'!FP"&amp;DB1))),"")</f>
        <v/>
      </c>
      <c r="DE6" s="66" t="str">
        <f t="array" aca="1" ref="DE6" ca="1">IF(DD1&lt;&gt;"",
IF(OR(INDIRECT("'盛付札（関数）'!FI"&amp;DB1)=121,INDIRECT("'盛付札（関数）'!FI"&amp;DB1)=122,INDIRECT("'盛付札（関数）'!FI"&amp;DB1)=123),"",
"端数"),"")</f>
        <v/>
      </c>
      <c r="DF6" s="64"/>
      <c r="DG6" s="66" t="str">
        <f t="array" aca="1" ref="DG6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"アレルギー")),"")</f>
        <v/>
      </c>
      <c r="DH6" s="69"/>
      <c r="DI6" s="49"/>
      <c r="DJ6" s="66" t="str">
        <f t="array" aca="1" ref="DJ6" ca="1">IF(DK1&lt;&gt;"",
IF(OR(INDIRECT("'盛付札（関数）'!FI"&amp;DI1)=121,INDIRECT("'盛付札（関数）'!FI"&amp;DI1)=122,INDIRECT("'盛付札（関数）'!FI"&amp;DI1)=123),"",
"パン箱"),"")</f>
        <v/>
      </c>
      <c r="DK6" s="64" t="str">
        <f t="array" aca="1" ref="DK6" ca="1">IF(DK1&lt;&gt;"",
IF(OR(INDIRECT("'盛付札（関数）'!FI"&amp;DI1)=121,INDIRECT("'盛付札（関数）'!FI"&amp;DI1)=122,INDIRECT("'盛付札（関数）'!FI"&amp;DI1)=123),"",
IF(DJ2="△",
INDIRECT("'盛付札（関数）'!FP"&amp;DI1+1),INDIRECT("'盛付札（関数）'!FP"&amp;DI1))),"")</f>
        <v/>
      </c>
      <c r="DL6" s="66" t="str">
        <f t="array" aca="1" ref="DL6" ca="1">IF(DK1&lt;&gt;"",
IF(OR(INDIRECT("'盛付札（関数）'!FI"&amp;DI1)=121,INDIRECT("'盛付札（関数）'!FI"&amp;DI1)=122,INDIRECT("'盛付札（関数）'!FI"&amp;DI1)=123),"",
"端数"),"")</f>
        <v/>
      </c>
      <c r="DM6" s="64"/>
      <c r="DN6" s="66" t="str">
        <f t="array" aca="1" ref="DN6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"アレルギー")),"")</f>
        <v/>
      </c>
      <c r="DO6" s="69"/>
      <c r="DP6" s="49"/>
      <c r="DQ6" s="59"/>
      <c r="DR6" s="66" t="str">
        <f t="array" aca="1" ref="DR6" ca="1">IF(DS1&lt;&gt;"",
IF(OR(INDIRECT("'盛付札（関数）'!FI"&amp;DQ1)=121,INDIRECT("'盛付札（関数）'!FI"&amp;DQ1)=122,INDIRECT("'盛付札（関数）'!FI"&amp;DQ1)=123),"",
"パン箱"),"")</f>
        <v/>
      </c>
      <c r="DS6" s="64" t="str">
        <f t="array" aca="1" ref="DS6" ca="1">IF(DS1&lt;&gt;"",
IF(OR(INDIRECT("'盛付札（関数）'!FI"&amp;DQ1)=121,INDIRECT("'盛付札（関数）'!FI"&amp;DQ1)=122,INDIRECT("'盛付札（関数）'!FI"&amp;DQ1)=123),"",
IF(DR2="△",
INDIRECT("'盛付札（関数）'!FP"&amp;DQ1+1),INDIRECT("'盛付札（関数）'!FP"&amp;DQ1))),"")</f>
        <v/>
      </c>
      <c r="DT6" s="66" t="str">
        <f t="array" aca="1" ref="DT6" ca="1">IF(DS1&lt;&gt;"",
IF(OR(INDIRECT("'盛付札（関数）'!FI"&amp;DQ1)=121,INDIRECT("'盛付札（関数）'!FI"&amp;DQ1)=122,INDIRECT("'盛付札（関数）'!FI"&amp;DQ1)=123),"",
"端数"),"")</f>
        <v/>
      </c>
      <c r="DU6" s="64"/>
      <c r="DV6" s="66" t="str">
        <f t="array" aca="1" ref="DV6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"アレルギー")),"")</f>
        <v/>
      </c>
      <c r="DW6" s="69"/>
      <c r="DX6" s="49"/>
      <c r="DY6" s="66" t="str">
        <f t="array" aca="1" ref="DY6" ca="1">IF(DZ1&lt;&gt;"",
IF(OR(INDIRECT("'盛付札（関数）'!FI"&amp;DX1)=121,INDIRECT("'盛付札（関数）'!FI"&amp;DX1)=122,INDIRECT("'盛付札（関数）'!FI"&amp;DX1)=123),"",
"パン箱"),"")</f>
        <v/>
      </c>
      <c r="DZ6" s="64" t="str">
        <f t="array" aca="1" ref="DZ6" ca="1">IF(DZ1&lt;&gt;"",
IF(OR(INDIRECT("'盛付札（関数）'!FI"&amp;DX1)=121,INDIRECT("'盛付札（関数）'!FI"&amp;DX1)=122,INDIRECT("'盛付札（関数）'!FI"&amp;DX1)=123),"",
IF(DY2="△",
INDIRECT("'盛付札（関数）'!FP"&amp;DX1+1),INDIRECT("'盛付札（関数）'!FP"&amp;DX1))),"")</f>
        <v/>
      </c>
      <c r="EA6" s="66" t="str">
        <f t="array" aca="1" ref="EA6" ca="1">IF(DZ1&lt;&gt;"",
IF(OR(INDIRECT("'盛付札（関数）'!FI"&amp;DX1)=121,INDIRECT("'盛付札（関数）'!FI"&amp;DX1)=122,INDIRECT("'盛付札（関数）'!FI"&amp;DX1)=123),"",
"端数"),"")</f>
        <v/>
      </c>
      <c r="EB6" s="64"/>
      <c r="EC6" s="66" t="str">
        <f t="array" aca="1" ref="EC6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"アレルギー")),"")</f>
        <v/>
      </c>
      <c r="ED6" s="69"/>
      <c r="EE6" s="49"/>
      <c r="EF6" s="59"/>
      <c r="EG6" s="66" t="str">
        <f t="array" aca="1" ref="EG6" ca="1">IF(EH1&lt;&gt;"",
IF(OR(INDIRECT("'盛付札（関数）'!FI"&amp;EF1)=121,INDIRECT("'盛付札（関数）'!FI"&amp;EF1)=122,INDIRECT("'盛付札（関数）'!FI"&amp;EF1)=123),"",
"パン箱"),"")</f>
        <v/>
      </c>
      <c r="EH6" s="64" t="str">
        <f t="array" aca="1" ref="EH6" ca="1">IF(EH1&lt;&gt;"",
IF(OR(INDIRECT("'盛付札（関数）'!FI"&amp;EF1)=121,INDIRECT("'盛付札（関数）'!FI"&amp;EF1)=122,INDIRECT("'盛付札（関数）'!FI"&amp;EF1)=123),"",
IF(EG2="△",
INDIRECT("'盛付札（関数）'!FP"&amp;EF1+1),INDIRECT("'盛付札（関数）'!FP"&amp;EF1))),"")</f>
        <v/>
      </c>
      <c r="EI6" s="66" t="str">
        <f t="array" aca="1" ref="EI6" ca="1">IF(EH1&lt;&gt;"",
IF(OR(INDIRECT("'盛付札（関数）'!FI"&amp;EF1)=121,INDIRECT("'盛付札（関数）'!FI"&amp;EF1)=122,INDIRECT("'盛付札（関数）'!FI"&amp;EF1)=123),"",
"端数"),"")</f>
        <v/>
      </c>
      <c r="EJ6" s="64"/>
      <c r="EK6" s="66" t="str">
        <f t="array" aca="1" ref="EK6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"アレルギー")),"")</f>
        <v/>
      </c>
      <c r="EL6" s="69"/>
      <c r="EM6" s="49"/>
      <c r="EN6" s="66" t="str">
        <f t="array" aca="1" ref="EN6" ca="1">IF(EO1&lt;&gt;"",
IF(OR(INDIRECT("'盛付札（関数）'!FI"&amp;EM1)=121,INDIRECT("'盛付札（関数）'!FI"&amp;EM1)=122,INDIRECT("'盛付札（関数）'!FI"&amp;EM1)=123),"",
"パン箱"),"")</f>
        <v/>
      </c>
      <c r="EO6" s="64" t="str">
        <f t="array" aca="1" ref="EO6" ca="1">IF(EO1&lt;&gt;"",
IF(OR(INDIRECT("'盛付札（関数）'!FI"&amp;EM1)=121,INDIRECT("'盛付札（関数）'!FI"&amp;EM1)=122,INDIRECT("'盛付札（関数）'!FI"&amp;EM1)=123),"",
IF(EN2="△",
INDIRECT("'盛付札（関数）'!FP"&amp;EM1+1),INDIRECT("'盛付札（関数）'!FP"&amp;EM1))),"")</f>
        <v/>
      </c>
      <c r="EP6" s="66" t="str">
        <f t="array" aca="1" ref="EP6" ca="1">IF(EO1&lt;&gt;"",
IF(OR(INDIRECT("'盛付札（関数）'!FI"&amp;EM1)=121,INDIRECT("'盛付札（関数）'!FI"&amp;EM1)=122,INDIRECT("'盛付札（関数）'!FI"&amp;EM1)=123),"",
"端数"),"")</f>
        <v/>
      </c>
      <c r="EQ6" s="64"/>
      <c r="ER6" s="66" t="str">
        <f t="array" aca="1" ref="ER6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"アレルギー")),"")</f>
        <v/>
      </c>
      <c r="ES6" s="69"/>
      <c r="ET6" s="49"/>
    </row>
    <row r="7" spans="1:150" ht="27.6" customHeight="1" x14ac:dyDescent="0.45">
      <c r="B7" s="196" t="e">
        <f ca="1">IF(C4&lt;&gt;"",
IFERROR(INT(C4/C6),""),"")</f>
        <v>#N/A</v>
      </c>
      <c r="C7" s="195"/>
      <c r="D7" s="196" t="str">
        <f ca="1">IFERROR(MOD(C4,C6),"")</f>
        <v/>
      </c>
      <c r="E7" s="195"/>
      <c r="F7" s="194" t="str">
        <f t="array" aca="1" ref="F7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IF(B2="●",
IFERROR(INDIRECT("'盛付札（関数）'!FS"&amp;A1)+INDIRECT("'盛付札（関数）'!FS"&amp;A1+1),0),
IF(B2="△",
INDIRECT("'盛付札（関数）'!FS"&amp;A1+1),INDIRECT("'盛付札（関数）'!FS"&amp;A1))))),"")</f>
        <v/>
      </c>
      <c r="G7" s="195"/>
      <c r="I7" s="196" t="e">
        <f ca="1">IF(J4&lt;&gt;"",
IFERROR(INT(J4/J6),""),"")</f>
        <v>#N/A</v>
      </c>
      <c r="J7" s="195"/>
      <c r="K7" s="196" t="str">
        <f ca="1">IFERROR(MOD(J4,J6),"")</f>
        <v/>
      </c>
      <c r="L7" s="195"/>
      <c r="M7" s="194" t="str">
        <f t="array" aca="1" ref="M7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IF(I2="●",
IFERROR(INDIRECT("'盛付札（関数）'!FS"&amp;H1)+INDIRECT("'盛付札（関数）'!FS"&amp;H1+1),0),
IF(I2="△",
INDIRECT("'盛付札（関数）'!FS"&amp;H1+1),INDIRECT("'盛付札（関数）'!FS"&amp;H1))))),"")</f>
        <v/>
      </c>
      <c r="N7" s="195"/>
      <c r="Q7" s="196" t="str">
        <f ca="1">IF(R4&lt;&gt;"",
IFERROR(INT(R4/R6),""),"")</f>
        <v/>
      </c>
      <c r="R7" s="195"/>
      <c r="S7" s="196" t="str">
        <f ca="1">IFERROR(MOD(R4,R6),"")</f>
        <v/>
      </c>
      <c r="T7" s="195"/>
      <c r="U7" s="194" t="str">
        <f t="array" aca="1" ref="U7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IF(Q2="●",
IFERROR(INDIRECT("'盛付札（関数）'!FS"&amp;P1)+INDIRECT("'盛付札（関数）'!FS"&amp;P1+1),0),
IF(Q2="△",
INDIRECT("'盛付札（関数）'!FS"&amp;P1+1),INDIRECT("'盛付札（関数）'!FS"&amp;P1))))),"")</f>
        <v/>
      </c>
      <c r="V7" s="195"/>
      <c r="X7" s="196" t="str">
        <f ca="1">IF(Y4&lt;&gt;"",
IFERROR(INT(Y4/Y6),""),"")</f>
        <v/>
      </c>
      <c r="Y7" s="195"/>
      <c r="Z7" s="196" t="str">
        <f ca="1">IFERROR(MOD(Y4,Y6),"")</f>
        <v/>
      </c>
      <c r="AA7" s="195"/>
      <c r="AB7" s="194" t="str">
        <f t="array" aca="1" ref="AB7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IF(X2="●",
IFERROR(INDIRECT("'盛付札（関数）'!FS"&amp;W1)+INDIRECT("'盛付札（関数）'!FS"&amp;W1+1),0),
IF(X2="△",
INDIRECT("'盛付札（関数）'!FS"&amp;W1+1),INDIRECT("'盛付札（関数）'!FS"&amp;W1))))),"")</f>
        <v/>
      </c>
      <c r="AC7" s="195"/>
      <c r="AF7" s="196" t="str">
        <f ca="1">IF(AG4&lt;&gt;"",
IFERROR(INT(AG4/AG6),""),"")</f>
        <v/>
      </c>
      <c r="AG7" s="195"/>
      <c r="AH7" s="196" t="str">
        <f ca="1">IFERROR(MOD(AG4,AG6),"")</f>
        <v/>
      </c>
      <c r="AI7" s="195"/>
      <c r="AJ7" s="194" t="str">
        <f t="array" aca="1" ref="AJ7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IF(AF2="●",
IFERROR(INDIRECT("'盛付札（関数）'!FS"&amp;AE1)+INDIRECT("'盛付札（関数）'!FS"&amp;AE1+1),0),
IF(AF2="△",
INDIRECT("'盛付札（関数）'!FS"&amp;AE1+1),INDIRECT("'盛付札（関数）'!FS"&amp;AE1))))),"")</f>
        <v/>
      </c>
      <c r="AK7" s="195"/>
      <c r="AM7" s="196" t="str">
        <f ca="1">IF(AN4&lt;&gt;"",
IFERROR(INT(AN4/AN6),""),"")</f>
        <v/>
      </c>
      <c r="AN7" s="195"/>
      <c r="AO7" s="196" t="str">
        <f ca="1">IFERROR(MOD(AN4,AN6),"")</f>
        <v/>
      </c>
      <c r="AP7" s="195"/>
      <c r="AQ7" s="194" t="str">
        <f t="array" aca="1" ref="AQ7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IF(AM2="●",
IFERROR(INDIRECT("'盛付札（関数）'!FS"&amp;AL1)+INDIRECT("'盛付札（関数）'!FS"&amp;AL1+1),0),
IF(AM2="△",
INDIRECT("'盛付札（関数）'!FS"&amp;AL1+1),INDIRECT("'盛付札（関数）'!FS"&amp;AL1))))),"")</f>
        <v/>
      </c>
      <c r="AR7" s="195"/>
      <c r="AU7" s="196" t="str">
        <f ca="1">IF(AV4&lt;&gt;"",
IFERROR(INT(AV4/AV6),""),"")</f>
        <v/>
      </c>
      <c r="AV7" s="195"/>
      <c r="AW7" s="196" t="str">
        <f ca="1">IFERROR(MOD(AV4,AV6),"")</f>
        <v/>
      </c>
      <c r="AX7" s="195"/>
      <c r="AY7" s="194" t="str">
        <f t="array" aca="1" ref="AY7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IF(AU2="●",
IFERROR(INDIRECT("'盛付札（関数）'!FS"&amp;AT1)+INDIRECT("'盛付札（関数）'!FS"&amp;AT1+1),0),
IF(AU2="△",
INDIRECT("'盛付札（関数）'!FS"&amp;AT1+1),INDIRECT("'盛付札（関数）'!FS"&amp;AT1))))),"")</f>
        <v/>
      </c>
      <c r="AZ7" s="195"/>
      <c r="BB7" s="196" t="str">
        <f ca="1">IF(BC4&lt;&gt;"",
IFERROR(INT(BC4/BC6),""),"")</f>
        <v/>
      </c>
      <c r="BC7" s="195"/>
      <c r="BD7" s="196" t="str">
        <f ca="1">IFERROR(MOD(BC4,BC6),"")</f>
        <v/>
      </c>
      <c r="BE7" s="195"/>
      <c r="BF7" s="194" t="str">
        <f t="array" aca="1" ref="BF7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IF(BB2="●",
IFERROR(INDIRECT("'盛付札（関数）'!FS"&amp;BA1)+INDIRECT("'盛付札（関数）'!FS"&amp;BA1+1),0),
IF(BB2="△",
INDIRECT("'盛付札（関数）'!FS"&amp;BA1+1),INDIRECT("'盛付札（関数）'!FS"&amp;BA1))))),"")</f>
        <v/>
      </c>
      <c r="BG7" s="195"/>
      <c r="BJ7" s="196" t="str">
        <f ca="1">IF(BK4&lt;&gt;"",
IFERROR(INT(BK4/BK6),""),"")</f>
        <v/>
      </c>
      <c r="BK7" s="195"/>
      <c r="BL7" s="196" t="str">
        <f ca="1">IFERROR(MOD(BK4,BK6),"")</f>
        <v/>
      </c>
      <c r="BM7" s="195"/>
      <c r="BN7" s="194" t="str">
        <f t="array" aca="1" ref="BN7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IF(BJ2="●",
IFERROR(INDIRECT("'盛付札（関数）'!FS"&amp;BI1)+INDIRECT("'盛付札（関数）'!FS"&amp;BI1+1),0),
IF(BJ2="△",
INDIRECT("'盛付札（関数）'!FS"&amp;BI1+1),INDIRECT("'盛付札（関数）'!FS"&amp;BI1))))),"")</f>
        <v/>
      </c>
      <c r="BO7" s="195"/>
      <c r="BQ7" s="196" t="str">
        <f ca="1">IF(BR4&lt;&gt;"",
IFERROR(INT(BR4/BR6),""),"")</f>
        <v/>
      </c>
      <c r="BR7" s="195"/>
      <c r="BS7" s="196" t="str">
        <f ca="1">IFERROR(MOD(BR4,BR6),"")</f>
        <v/>
      </c>
      <c r="BT7" s="195"/>
      <c r="BU7" s="194" t="str">
        <f t="array" aca="1" ref="BU7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IF(BQ2="●",
IFERROR(INDIRECT("'盛付札（関数）'!FS"&amp;BP1)+INDIRECT("'盛付札（関数）'!FS"&amp;BP1+1),0),
IF(BQ2="△",
INDIRECT("'盛付札（関数）'!FS"&amp;BP1+1),INDIRECT("'盛付札（関数）'!FS"&amp;BP1))))),"")</f>
        <v/>
      </c>
      <c r="BV7" s="195"/>
      <c r="BY7" s="196" t="str">
        <f ca="1">IF(BZ4&lt;&gt;"",
IFERROR(INT(BZ4/BZ6),""),"")</f>
        <v/>
      </c>
      <c r="BZ7" s="195"/>
      <c r="CA7" s="196" t="str">
        <f ca="1">IFERROR(MOD(BZ4,BZ6),"")</f>
        <v/>
      </c>
      <c r="CB7" s="195"/>
      <c r="CC7" s="194" t="str">
        <f t="array" aca="1" ref="CC7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IF(BY2="●",
IFERROR(INDIRECT("'盛付札（関数）'!FS"&amp;BX1)+INDIRECT("'盛付札（関数）'!FS"&amp;BX1+1),0),
IF(BY2="△",
INDIRECT("'盛付札（関数）'!FS"&amp;BX1+1),INDIRECT("'盛付札（関数）'!FS"&amp;BX1))))),"")</f>
        <v/>
      </c>
      <c r="CD7" s="195"/>
      <c r="CF7" s="196" t="str">
        <f ca="1">IF(CG4&lt;&gt;"",
IFERROR(INT(CG4/CG6),""),"")</f>
        <v/>
      </c>
      <c r="CG7" s="195"/>
      <c r="CH7" s="196" t="str">
        <f ca="1">IFERROR(MOD(CG4,CG6),"")</f>
        <v/>
      </c>
      <c r="CI7" s="195"/>
      <c r="CJ7" s="194" t="str">
        <f t="array" aca="1" ref="CJ7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IF(CF2="●",
IFERROR(INDIRECT("'盛付札（関数）'!FS"&amp;CE1)+INDIRECT("'盛付札（関数）'!FS"&amp;CE1+1),0),
IF(CF2="△",
INDIRECT("'盛付札（関数）'!FS"&amp;CE1+1),INDIRECT("'盛付札（関数）'!FS"&amp;CE1))))),"")</f>
        <v/>
      </c>
      <c r="CK7" s="195"/>
      <c r="CN7" s="196" t="str">
        <f ca="1">IF(CO4&lt;&gt;"",
IFERROR(INT(CO4/CO6),""),"")</f>
        <v/>
      </c>
      <c r="CO7" s="195"/>
      <c r="CP7" s="196" t="str">
        <f ca="1">IFERROR(MOD(CO4,CO6),"")</f>
        <v/>
      </c>
      <c r="CQ7" s="195"/>
      <c r="CR7" s="194" t="str">
        <f t="array" aca="1" ref="CR7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IF(CN2="●",
IFERROR(INDIRECT("'盛付札（関数）'!FS"&amp;CM1)+INDIRECT("'盛付札（関数）'!FS"&amp;CM1+1),0),
IF(CN2="△",
INDIRECT("'盛付札（関数）'!FS"&amp;CM1+1),INDIRECT("'盛付札（関数）'!FS"&amp;CM1))))),"")</f>
        <v/>
      </c>
      <c r="CS7" s="195"/>
      <c r="CU7" s="196" t="str">
        <f ca="1">IF(CV4&lt;&gt;"",
IFERROR(INT(CV4/CV6),""),"")</f>
        <v/>
      </c>
      <c r="CV7" s="195"/>
      <c r="CW7" s="196" t="str">
        <f ca="1">IFERROR(MOD(CV4,CV6),"")</f>
        <v/>
      </c>
      <c r="CX7" s="195"/>
      <c r="CY7" s="194" t="str">
        <f t="array" aca="1" ref="CY7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IF(CU2="●",
IFERROR(INDIRECT("'盛付札（関数）'!FS"&amp;CT1)+INDIRECT("'盛付札（関数）'!FS"&amp;CT1+1),0),
IF(CU2="△",
INDIRECT("'盛付札（関数）'!FS"&amp;CT1+1),INDIRECT("'盛付札（関数）'!FS"&amp;CT1))))),"")</f>
        <v/>
      </c>
      <c r="CZ7" s="195"/>
      <c r="DC7" s="196" t="str">
        <f ca="1">IF(DD4&lt;&gt;"",
IFERROR(INT(DD4/DD6),""),"")</f>
        <v/>
      </c>
      <c r="DD7" s="195"/>
      <c r="DE7" s="196" t="str">
        <f ca="1">IFERROR(MOD(DD4,DD6),"")</f>
        <v/>
      </c>
      <c r="DF7" s="195"/>
      <c r="DG7" s="194" t="str">
        <f t="array" aca="1" ref="DG7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IF(DC2="●",
IFERROR(INDIRECT("'盛付札（関数）'!FS"&amp;DB1)+INDIRECT("'盛付札（関数）'!FS"&amp;DB1+1),0),
IF(DC2="△",
INDIRECT("'盛付札（関数）'!FS"&amp;DB1+1),INDIRECT("'盛付札（関数）'!FS"&amp;DB1))))),"")</f>
        <v/>
      </c>
      <c r="DH7" s="195"/>
      <c r="DJ7" s="196" t="str">
        <f ca="1">IF(DK4&lt;&gt;"",
IFERROR(INT(DK4/DK6),""),"")</f>
        <v/>
      </c>
      <c r="DK7" s="195"/>
      <c r="DL7" s="196" t="str">
        <f ca="1">IFERROR(MOD(DK4,DK6),"")</f>
        <v/>
      </c>
      <c r="DM7" s="195"/>
      <c r="DN7" s="194" t="str">
        <f t="array" aca="1" ref="DN7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IF(DJ2="●",
IFERROR(INDIRECT("'盛付札（関数）'!FS"&amp;DI1)+INDIRECT("'盛付札（関数）'!FS"&amp;DI1+1),0),
IF(DJ2="△",
INDIRECT("'盛付札（関数）'!FS"&amp;DI1+1),INDIRECT("'盛付札（関数）'!FS"&amp;DI1))))),"")</f>
        <v/>
      </c>
      <c r="DO7" s="195"/>
      <c r="DR7" s="196" t="str">
        <f ca="1">IF(DS4&lt;&gt;"",
IFERROR(INT(DS4/DS6),""),"")</f>
        <v/>
      </c>
      <c r="DS7" s="195"/>
      <c r="DT7" s="196" t="str">
        <f ca="1">IFERROR(MOD(DS4,DS6),"")</f>
        <v/>
      </c>
      <c r="DU7" s="195"/>
      <c r="DV7" s="194" t="str">
        <f t="array" aca="1" ref="DV7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IF(DR2="●",
IFERROR(INDIRECT("'盛付札（関数）'!FS"&amp;DQ1)+INDIRECT("'盛付札（関数）'!FS"&amp;DQ1+1),0),
IF(DR2="△",
INDIRECT("'盛付札（関数）'!FS"&amp;DQ1+1),INDIRECT("'盛付札（関数）'!FS"&amp;DQ1))))),"")</f>
        <v/>
      </c>
      <c r="DW7" s="195"/>
      <c r="DY7" s="196" t="str">
        <f ca="1">IF(DZ4&lt;&gt;"",
IFERROR(INT(DZ4/DZ6),""),"")</f>
        <v/>
      </c>
      <c r="DZ7" s="195"/>
      <c r="EA7" s="196" t="str">
        <f ca="1">IFERROR(MOD(DZ4,DZ6),"")</f>
        <v/>
      </c>
      <c r="EB7" s="195"/>
      <c r="EC7" s="194" t="str">
        <f t="array" aca="1" ref="EC7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IF(DY2="●",
IFERROR(INDIRECT("'盛付札（関数）'!FS"&amp;DX1)+INDIRECT("'盛付札（関数）'!FS"&amp;DX1+1),0),
IF(DY2="△",
INDIRECT("'盛付札（関数）'!FS"&amp;DX1+1),INDIRECT("'盛付札（関数）'!FS"&amp;DX1))))),"")</f>
        <v/>
      </c>
      <c r="ED7" s="195"/>
      <c r="EG7" s="196" t="str">
        <f ca="1">IF(EH4&lt;&gt;"",
IFERROR(INT(EH4/EH6),""),"")</f>
        <v/>
      </c>
      <c r="EH7" s="195"/>
      <c r="EI7" s="196" t="str">
        <f ca="1">IFERROR(MOD(EH4,EH6),"")</f>
        <v/>
      </c>
      <c r="EJ7" s="195"/>
      <c r="EK7" s="194" t="str">
        <f t="array" aca="1" ref="EK7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IF(EG2="●",
IFERROR(INDIRECT("'盛付札（関数）'!FS"&amp;EF1)+INDIRECT("'盛付札（関数）'!FS"&amp;EF1+1),0),
IF(EG2="△",
INDIRECT("'盛付札（関数）'!FS"&amp;EF1+1),INDIRECT("'盛付札（関数）'!FS"&amp;EF1))))),"")</f>
        <v/>
      </c>
      <c r="EL7" s="195"/>
      <c r="EN7" s="196" t="str">
        <f ca="1">IF(EO4&lt;&gt;"",
IFERROR(INT(EO4/EO6),""),"")</f>
        <v/>
      </c>
      <c r="EO7" s="195"/>
      <c r="EP7" s="196" t="str">
        <f ca="1">IFERROR(MOD(EO4,EO6),"")</f>
        <v/>
      </c>
      <c r="EQ7" s="195"/>
      <c r="ER7" s="194" t="str">
        <f t="array" aca="1" ref="ER7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IF(EN2="●",
IFERROR(INDIRECT("'盛付札（関数）'!FS"&amp;EM1)+INDIRECT("'盛付札（関数）'!FS"&amp;EM1+1),0),
IF(EN2="△",
INDIRECT("'盛付札（関数）'!FS"&amp;EM1+1),INDIRECT("'盛付札（関数）'!FS"&amp;EM1))))),"")</f>
        <v/>
      </c>
      <c r="ES7" s="195"/>
    </row>
    <row r="8" spans="1:150" ht="6.6" customHeight="1" x14ac:dyDescent="0.55000000000000004">
      <c r="B8" s="74"/>
      <c r="D8" s="74"/>
      <c r="F8" s="75"/>
      <c r="I8" s="74"/>
      <c r="K8" s="74"/>
      <c r="M8" s="75"/>
      <c r="Q8" s="74"/>
      <c r="S8" s="74"/>
      <c r="U8" s="75"/>
      <c r="X8" s="74"/>
      <c r="Z8" s="74"/>
      <c r="AB8" s="75"/>
      <c r="AF8" s="74"/>
      <c r="AH8" s="74"/>
      <c r="AJ8" s="75"/>
      <c r="AM8" s="74"/>
      <c r="AO8" s="74"/>
      <c r="AQ8" s="75"/>
      <c r="AU8" s="74"/>
      <c r="AW8" s="74"/>
      <c r="AY8" s="75"/>
      <c r="BB8" s="74"/>
      <c r="BD8" s="74"/>
      <c r="BF8" s="75"/>
      <c r="BJ8" s="74"/>
      <c r="BL8" s="74"/>
      <c r="BN8" s="75"/>
      <c r="BQ8" s="74"/>
      <c r="BS8" s="74"/>
      <c r="BU8" s="75"/>
      <c r="BY8" s="74"/>
      <c r="CA8" s="74"/>
      <c r="CC8" s="75"/>
      <c r="CF8" s="74"/>
      <c r="CH8" s="74"/>
      <c r="CJ8" s="75"/>
      <c r="CN8" s="74"/>
      <c r="CP8" s="74"/>
      <c r="CR8" s="75"/>
      <c r="CU8" s="74"/>
      <c r="CW8" s="74"/>
      <c r="CY8" s="75"/>
      <c r="DC8" s="74"/>
      <c r="DE8" s="74"/>
      <c r="DG8" s="75"/>
      <c r="DJ8" s="74"/>
      <c r="DL8" s="74"/>
      <c r="DN8" s="75"/>
      <c r="DR8" s="74"/>
      <c r="DT8" s="74"/>
      <c r="DV8" s="75"/>
      <c r="DY8" s="74"/>
      <c r="EA8" s="74"/>
      <c r="EC8" s="75"/>
      <c r="EG8" s="74"/>
      <c r="EI8" s="74"/>
      <c r="EK8" s="75"/>
      <c r="EN8" s="74"/>
      <c r="EP8" s="74"/>
      <c r="ER8" s="75"/>
    </row>
    <row r="9" spans="1:150" s="60" customFormat="1" ht="25.8" customHeight="1" x14ac:dyDescent="0.55000000000000004">
      <c r="A9" s="59">
        <f ca="1">IF(OR(I2="●",I2="△"),
H1+2,H1+1)</f>
        <v>3</v>
      </c>
      <c r="B9" s="72" t="str">
        <f ca="1">IF(C9&lt;&gt;"",
MID(貼り付け用!$A$2, FIND("年",貼り付け用!$A$2)+1,2)&amp;"/"&amp;MID(貼り付け用!$A$2, FIND("月",貼り付け用!$A$2)+1,2),"")</f>
        <v>06/18</v>
      </c>
      <c r="C9" s="202" t="str">
        <f t="array" aca="1" ref="C9" ca="1">SUBSTITUTE(SUBSTITUTE(SUBSTITUTE(SUBSTITUTE(SUBSTITUTE(SUBSTITUTE(SUBSTITUTE(SUBSTITUTE(SUBSTITUTE(SUBSTITUTE(
IF(B10="△",
INDIRECT("'盛付札（関数）'!FJ"&amp;A9+1),INDIRECT("'盛付札（関数）'!FJ"&amp;A9)),"①",""),"②",""),"③",""),"④",""),"⑤",""),"⑥",""),"⑦",""),"⑧",""),"⑨",""),"⑩","")</f>
        <v>配送</v>
      </c>
      <c r="D9" s="203"/>
      <c r="E9" s="203"/>
      <c r="F9" s="203"/>
      <c r="G9" s="71" t="str">
        <f t="array" aca="1" ref="G9" ca="1">IF(C9&lt;&gt;"",
IF(AND(INDIRECT("'盛付札（関数）'!FI"&amp;A9)&gt;=124,INDIRECT("'盛付札（関数）'!FI"&amp;A9)&lt;=144),"",
"様"),"")</f>
        <v>様</v>
      </c>
      <c r="H9" s="65">
        <f ca="1">IF(OR(B10="●",B10="△"),
A9+2,A9+1)</f>
        <v>4</v>
      </c>
      <c r="I9" s="72" t="str">
        <f ca="1">IF(J9&lt;&gt;"",
MID(貼り付け用!$A$2, FIND("年",貼り付け用!$A$2)+1,2)&amp;"/"&amp;MID(貼り付け用!$A$2, FIND("月",貼り付け用!$A$2)+1,2),"")</f>
        <v>06/18</v>
      </c>
      <c r="J9" s="202" t="str">
        <f t="array" aca="1" ref="J9" ca="1">SUBSTITUTE(SUBSTITUTE(SUBSTITUTE(SUBSTITUTE(SUBSTITUTE(SUBSTITUTE(SUBSTITUTE(SUBSTITUTE(SUBSTITUTE(SUBSTITUTE(
IF(I10="△",
INDIRECT("'盛付札（関数）'!FJ"&amp;H9+1),INDIRECT("'盛付札（関数）'!FJ"&amp;H9)),"①",""),"②",""),"③",""),"④",""),"⑤",""),"⑥",""),"⑦",""),"⑧",""),"⑨",""),"⑩","")</f>
        <v>先生用</v>
      </c>
      <c r="K9" s="203"/>
      <c r="L9" s="203"/>
      <c r="M9" s="203"/>
      <c r="N9" s="71" t="str">
        <f t="array" aca="1" ref="N9" ca="1">IF(J9&lt;&gt;"",
IF(AND(INDIRECT("'盛付札（関数）'!FI"&amp;H9)&gt;=124,INDIRECT("'盛付札（関数）'!FI"&amp;H9)&lt;=144),"",
"様"),"")</f>
        <v/>
      </c>
      <c r="O9" s="49"/>
      <c r="P9" s="59">
        <f ca="1">IF(OR(X2="●",X2="△"),
W1+2,W1+1)</f>
        <v>15</v>
      </c>
      <c r="Q9" s="72" t="str">
        <f ca="1">IF(R9&lt;&gt;"",
MID(貼り付け用!$A$2, FIND("年",貼り付け用!$A$2)+1,2)&amp;"/"&amp;MID(貼り付け用!$A$2, FIND("月",貼り付け用!$A$2)+1,2),"")</f>
        <v/>
      </c>
      <c r="R9" s="202" t="str">
        <f t="array" aca="1" ref="R9" ca="1">SUBSTITUTE(SUBSTITUTE(SUBSTITUTE(SUBSTITUTE(SUBSTITUTE(SUBSTITUTE(SUBSTITUTE(SUBSTITUTE(SUBSTITUTE(SUBSTITUTE(
IF(Q10="△",
INDIRECT("'盛付札（関数）'!FJ"&amp;P9+1),INDIRECT("'盛付札（関数）'!FJ"&amp;P9)),"①",""),"②",""),"③",""),"④",""),"⑤",""),"⑥",""),"⑦",""),"⑧",""),"⑨",""),"⑩","")</f>
        <v/>
      </c>
      <c r="S9" s="203"/>
      <c r="T9" s="203"/>
      <c r="U9" s="203"/>
      <c r="V9" s="71" t="str">
        <f t="array" aca="1" ref="V9" ca="1">IF(R9&lt;&gt;"",
IF(AND(INDIRECT("'盛付札（関数）'!FI"&amp;P9)&gt;=124,INDIRECT("'盛付札（関数）'!FI"&amp;P9)&lt;=144),"",
"様"),"")</f>
        <v/>
      </c>
      <c r="W9" s="65">
        <f ca="1">IF(OR(Q10="●",Q10="△"),
P9+2,P9+1)</f>
        <v>16</v>
      </c>
      <c r="X9" s="72" t="str">
        <f ca="1">IF(Y9&lt;&gt;"",
MID(貼り付け用!$A$2, FIND("年",貼り付け用!$A$2)+1,2)&amp;"/"&amp;MID(貼り付け用!$A$2, FIND("月",貼り付け用!$A$2)+1,2),"")</f>
        <v/>
      </c>
      <c r="Y9" s="202" t="str">
        <f t="array" aca="1" ref="Y9" ca="1">SUBSTITUTE(SUBSTITUTE(SUBSTITUTE(SUBSTITUTE(SUBSTITUTE(SUBSTITUTE(SUBSTITUTE(SUBSTITUTE(SUBSTITUTE(SUBSTITUTE(
IF(X10="△",
INDIRECT("'盛付札（関数）'!FJ"&amp;W9+1),INDIRECT("'盛付札（関数）'!FJ"&amp;W9)),"①",""),"②",""),"③",""),"④",""),"⑤",""),"⑥",""),"⑦",""),"⑧",""),"⑨",""),"⑩","")</f>
        <v/>
      </c>
      <c r="Z9" s="203"/>
      <c r="AA9" s="203"/>
      <c r="AB9" s="203"/>
      <c r="AC9" s="71" t="str">
        <f t="array" aca="1" ref="AC9" ca="1">IF(Y9&lt;&gt;"",
IF(AND(INDIRECT("'盛付札（関数）'!FI"&amp;W9)&gt;=124,INDIRECT("'盛付札（関数）'!FI"&amp;W9)&lt;=144),"",
"様"),"")</f>
        <v/>
      </c>
      <c r="AD9" s="49"/>
      <c r="AE9" s="59">
        <f ca="1">IF(OR(AM2="●",AM2="△"),
AL1+2,AL1+1)</f>
        <v>27</v>
      </c>
      <c r="AF9" s="72" t="str">
        <f ca="1">IF(AG9&lt;&gt;"",
MID(貼り付け用!$A$2, FIND("年",貼り付け用!$A$2)+1,2)&amp;"/"&amp;MID(貼り付け用!$A$2, FIND("月",貼り付け用!$A$2)+1,2),"")</f>
        <v/>
      </c>
      <c r="AG9" s="202" t="str">
        <f t="array" aca="1" ref="AG9" ca="1">SUBSTITUTE(SUBSTITUTE(SUBSTITUTE(SUBSTITUTE(SUBSTITUTE(SUBSTITUTE(SUBSTITUTE(SUBSTITUTE(SUBSTITUTE(SUBSTITUTE(
IF(AF10="△",
INDIRECT("'盛付札（関数）'!FJ"&amp;AE9+1),INDIRECT("'盛付札（関数）'!FJ"&amp;AE9)),"①",""),"②",""),"③",""),"④",""),"⑤",""),"⑥",""),"⑦",""),"⑧",""),"⑨",""),"⑩","")</f>
        <v/>
      </c>
      <c r="AH9" s="203"/>
      <c r="AI9" s="203"/>
      <c r="AJ9" s="203"/>
      <c r="AK9" s="71" t="str">
        <f t="array" aca="1" ref="AK9" ca="1">IF(AG9&lt;&gt;"",
IF(AND(INDIRECT("'盛付札（関数）'!FI"&amp;AE9)&gt;=124,INDIRECT("'盛付札（関数）'!FI"&amp;AE9)&lt;=144),"",
"様"),"")</f>
        <v/>
      </c>
      <c r="AL9" s="65">
        <f ca="1">IF(OR(AF10="●",AF10="△"),
AE9+2,AE9+1)</f>
        <v>28</v>
      </c>
      <c r="AM9" s="72" t="str">
        <f ca="1">IF(AN9&lt;&gt;"",
MID(貼り付け用!$A$2, FIND("年",貼り付け用!$A$2)+1,2)&amp;"/"&amp;MID(貼り付け用!$A$2, FIND("月",貼り付け用!$A$2)+1,2),"")</f>
        <v/>
      </c>
      <c r="AN9" s="202" t="str">
        <f t="array" aca="1" ref="AN9" ca="1">SUBSTITUTE(SUBSTITUTE(SUBSTITUTE(SUBSTITUTE(SUBSTITUTE(SUBSTITUTE(SUBSTITUTE(SUBSTITUTE(SUBSTITUTE(SUBSTITUTE(
IF(AM10="△",
INDIRECT("'盛付札（関数）'!FJ"&amp;AL9+1),INDIRECT("'盛付札（関数）'!FJ"&amp;AL9)),"①",""),"②",""),"③",""),"④",""),"⑤",""),"⑥",""),"⑦",""),"⑧",""),"⑨",""),"⑩","")</f>
        <v/>
      </c>
      <c r="AO9" s="203"/>
      <c r="AP9" s="203"/>
      <c r="AQ9" s="203"/>
      <c r="AR9" s="71" t="str">
        <f t="array" aca="1" ref="AR9" ca="1">IF(AN9&lt;&gt;"",
IF(AND(INDIRECT("'盛付札（関数）'!FI"&amp;AL9)&gt;=124,INDIRECT("'盛付札（関数）'!FI"&amp;AL9)&lt;=144),"",
"様"),"")</f>
        <v/>
      </c>
      <c r="AS9" s="49"/>
      <c r="AT9" s="59">
        <f ca="1">IF(OR(BB2="●",BB2="△"),
BA1+2,BA1+1)</f>
        <v>39</v>
      </c>
      <c r="AU9" s="72" t="str">
        <f ca="1">IF(AV9&lt;&gt;"",
MID(貼り付け用!$A$2, FIND("年",貼り付け用!$A$2)+1,2)&amp;"/"&amp;MID(貼り付け用!$A$2, FIND("月",貼り付け用!$A$2)+1,2),"")</f>
        <v/>
      </c>
      <c r="AV9" s="202" t="str">
        <f t="array" aca="1" ref="AV9" ca="1">SUBSTITUTE(SUBSTITUTE(SUBSTITUTE(SUBSTITUTE(SUBSTITUTE(SUBSTITUTE(SUBSTITUTE(SUBSTITUTE(SUBSTITUTE(SUBSTITUTE(
IF(AU10="△",
INDIRECT("'盛付札（関数）'!FJ"&amp;AT9+1),INDIRECT("'盛付札（関数）'!FJ"&amp;AT9)),"①",""),"②",""),"③",""),"④",""),"⑤",""),"⑥",""),"⑦",""),"⑧",""),"⑨",""),"⑩","")</f>
        <v/>
      </c>
      <c r="AW9" s="203"/>
      <c r="AX9" s="203"/>
      <c r="AY9" s="203"/>
      <c r="AZ9" s="71" t="str">
        <f t="array" aca="1" ref="AZ9" ca="1">IF(AV9&lt;&gt;"",
IF(AND(INDIRECT("'盛付札（関数）'!FI"&amp;AT9)&gt;=124,INDIRECT("'盛付札（関数）'!FI"&amp;AT9)&lt;=144),"",
"様"),"")</f>
        <v/>
      </c>
      <c r="BA9" s="65">
        <f ca="1">IF(OR(AU10="●",AU10="△"),
AT9+2,AT9+1)</f>
        <v>40</v>
      </c>
      <c r="BB9" s="72" t="str">
        <f ca="1">IF(BC9&lt;&gt;"",
MID(貼り付け用!$A$2, FIND("年",貼り付け用!$A$2)+1,2)&amp;"/"&amp;MID(貼り付け用!$A$2, FIND("月",貼り付け用!$A$2)+1,2),"")</f>
        <v/>
      </c>
      <c r="BC9" s="202" t="str">
        <f t="array" aca="1" ref="BC9" ca="1">SUBSTITUTE(SUBSTITUTE(SUBSTITUTE(SUBSTITUTE(SUBSTITUTE(SUBSTITUTE(SUBSTITUTE(SUBSTITUTE(SUBSTITUTE(SUBSTITUTE(
IF(BB10="△",
INDIRECT("'盛付札（関数）'!FJ"&amp;BA9+1),INDIRECT("'盛付札（関数）'!FJ"&amp;BA9)),"①",""),"②",""),"③",""),"④",""),"⑤",""),"⑥",""),"⑦",""),"⑧",""),"⑨",""),"⑩","")</f>
        <v/>
      </c>
      <c r="BD9" s="203"/>
      <c r="BE9" s="203"/>
      <c r="BF9" s="203"/>
      <c r="BG9" s="71" t="str">
        <f t="array" aca="1" ref="BG9" ca="1">IF(BC9&lt;&gt;"",
IF(AND(INDIRECT("'盛付札（関数）'!FI"&amp;BA9)&gt;=124,INDIRECT("'盛付札（関数）'!FI"&amp;BA9)&lt;=144),"",
"様"),"")</f>
        <v/>
      </c>
      <c r="BH9" s="49"/>
      <c r="BI9" s="59">
        <f ca="1">IF(OR(BQ2="●",BQ2="△"),
BP1+2,BP1+1)</f>
        <v>51</v>
      </c>
      <c r="BJ9" s="72" t="str">
        <f ca="1">IF(BK9&lt;&gt;"",
MID(貼り付け用!$A$2, FIND("年",貼り付け用!$A$2)+1,2)&amp;"/"&amp;MID(貼り付け用!$A$2, FIND("月",貼り付け用!$A$2)+1,2),"")</f>
        <v/>
      </c>
      <c r="BK9" s="202" t="str">
        <f t="array" aca="1" ref="BK9" ca="1">SUBSTITUTE(SUBSTITUTE(SUBSTITUTE(SUBSTITUTE(SUBSTITUTE(SUBSTITUTE(SUBSTITUTE(SUBSTITUTE(SUBSTITUTE(SUBSTITUTE(
IF(BJ10="△",
INDIRECT("'盛付札（関数）'!FJ"&amp;BI9+1),INDIRECT("'盛付札（関数）'!FJ"&amp;BI9)),"①",""),"②",""),"③",""),"④",""),"⑤",""),"⑥",""),"⑦",""),"⑧",""),"⑨",""),"⑩","")</f>
        <v/>
      </c>
      <c r="BL9" s="203"/>
      <c r="BM9" s="203"/>
      <c r="BN9" s="203"/>
      <c r="BO9" s="71" t="str">
        <f t="array" aca="1" ref="BO9" ca="1">IF(BK9&lt;&gt;"",
IF(AND(INDIRECT("'盛付札（関数）'!FI"&amp;BI9)&gt;=124,INDIRECT("'盛付札（関数）'!FI"&amp;BI9)&lt;=144),"",
"様"),"")</f>
        <v/>
      </c>
      <c r="BP9" s="65">
        <f ca="1">IF(OR(BJ10="●",BJ10="△"),
BI9+2,BI9+1)</f>
        <v>52</v>
      </c>
      <c r="BQ9" s="72" t="str">
        <f ca="1">IF(BR9&lt;&gt;"",
MID(貼り付け用!$A$2, FIND("年",貼り付け用!$A$2)+1,2)&amp;"/"&amp;MID(貼り付け用!$A$2, FIND("月",貼り付け用!$A$2)+1,2),"")</f>
        <v/>
      </c>
      <c r="BR9" s="202" t="str">
        <f t="array" aca="1" ref="BR9" ca="1">SUBSTITUTE(SUBSTITUTE(SUBSTITUTE(SUBSTITUTE(SUBSTITUTE(SUBSTITUTE(SUBSTITUTE(SUBSTITUTE(SUBSTITUTE(SUBSTITUTE(
IF(BQ10="△",
INDIRECT("'盛付札（関数）'!FJ"&amp;BP9+1),INDIRECT("'盛付札（関数）'!FJ"&amp;BP9)),"①",""),"②",""),"③",""),"④",""),"⑤",""),"⑥",""),"⑦",""),"⑧",""),"⑨",""),"⑩","")</f>
        <v/>
      </c>
      <c r="BS9" s="203"/>
      <c r="BT9" s="203"/>
      <c r="BU9" s="203"/>
      <c r="BV9" s="71" t="str">
        <f t="array" aca="1" ref="BV9" ca="1">IF(BR9&lt;&gt;"",
IF(AND(INDIRECT("'盛付札（関数）'!FI"&amp;BP9)&gt;=124,INDIRECT("'盛付札（関数）'!FI"&amp;BP9)&lt;=144),"",
"様"),"")</f>
        <v/>
      </c>
      <c r="BW9" s="49"/>
      <c r="BX9" s="59">
        <f ca="1">IF(OR(CF2="●",CF2="△"),
CE1+2,CE1+1)</f>
        <v>63</v>
      </c>
      <c r="BY9" s="72" t="str">
        <f ca="1">IF(BZ9&lt;&gt;"",
MID(貼り付け用!$A$2, FIND("年",貼り付け用!$A$2)+1,2)&amp;"/"&amp;MID(貼り付け用!$A$2, FIND("月",貼り付け用!$A$2)+1,2),"")</f>
        <v/>
      </c>
      <c r="BZ9" s="202" t="str">
        <f t="array" aca="1" ref="BZ9" ca="1">SUBSTITUTE(SUBSTITUTE(SUBSTITUTE(SUBSTITUTE(SUBSTITUTE(SUBSTITUTE(SUBSTITUTE(SUBSTITUTE(SUBSTITUTE(SUBSTITUTE(
IF(BY10="△",
INDIRECT("'盛付札（関数）'!FJ"&amp;BX9+1),INDIRECT("'盛付札（関数）'!FJ"&amp;BX9)),"①",""),"②",""),"③",""),"④",""),"⑤",""),"⑥",""),"⑦",""),"⑧",""),"⑨",""),"⑩","")</f>
        <v/>
      </c>
      <c r="CA9" s="203"/>
      <c r="CB9" s="203"/>
      <c r="CC9" s="203"/>
      <c r="CD9" s="71" t="str">
        <f t="array" aca="1" ref="CD9" ca="1">IF(BZ9&lt;&gt;"",
IF(AND(INDIRECT("'盛付札（関数）'!FI"&amp;BX9)&gt;=124,INDIRECT("'盛付札（関数）'!FI"&amp;BX9)&lt;=144),"",
"様"),"")</f>
        <v/>
      </c>
      <c r="CE9" s="65">
        <f ca="1">IF(OR(BY10="●",BY10="△"),
BX9+2,BX9+1)</f>
        <v>64</v>
      </c>
      <c r="CF9" s="72" t="str">
        <f ca="1">IF(CG9&lt;&gt;"",
MID(貼り付け用!$A$2, FIND("年",貼り付け用!$A$2)+1,2)&amp;"/"&amp;MID(貼り付け用!$A$2, FIND("月",貼り付け用!$A$2)+1,2),"")</f>
        <v/>
      </c>
      <c r="CG9" s="202" t="str">
        <f t="array" aca="1" ref="CG9" ca="1">SUBSTITUTE(SUBSTITUTE(SUBSTITUTE(SUBSTITUTE(SUBSTITUTE(SUBSTITUTE(SUBSTITUTE(SUBSTITUTE(SUBSTITUTE(SUBSTITUTE(
IF(CF10="△",
INDIRECT("'盛付札（関数）'!FJ"&amp;CE9+1),INDIRECT("'盛付札（関数）'!FJ"&amp;CE9)),"①",""),"②",""),"③",""),"④",""),"⑤",""),"⑥",""),"⑦",""),"⑧",""),"⑨",""),"⑩","")</f>
        <v/>
      </c>
      <c r="CH9" s="203"/>
      <c r="CI9" s="203"/>
      <c r="CJ9" s="203"/>
      <c r="CK9" s="71" t="str">
        <f t="array" aca="1" ref="CK9" ca="1">IF(CG9&lt;&gt;"",
IF(AND(INDIRECT("'盛付札（関数）'!FI"&amp;CE9)&gt;=124,INDIRECT("'盛付札（関数）'!FI"&amp;CE9)&lt;=144),"",
"様"),"")</f>
        <v/>
      </c>
      <c r="CL9" s="49"/>
      <c r="CM9" s="59">
        <f ca="1">IF(OR(CU2="●",CU2="△"),
CT1+2,CT1+1)</f>
        <v>75</v>
      </c>
      <c r="CN9" s="72" t="str">
        <f ca="1">IF(CO9&lt;&gt;"",
MID(貼り付け用!$A$2, FIND("年",貼り付け用!$A$2)+1,2)&amp;"/"&amp;MID(貼り付け用!$A$2, FIND("月",貼り付け用!$A$2)+1,2),"")</f>
        <v/>
      </c>
      <c r="CO9" s="202" t="str">
        <f t="array" aca="1" ref="CO9" ca="1">SUBSTITUTE(SUBSTITUTE(SUBSTITUTE(SUBSTITUTE(SUBSTITUTE(SUBSTITUTE(SUBSTITUTE(SUBSTITUTE(SUBSTITUTE(SUBSTITUTE(
IF(CN10="△",
INDIRECT("'盛付札（関数）'!FJ"&amp;CM9+1),INDIRECT("'盛付札（関数）'!FJ"&amp;CM9)),"①",""),"②",""),"③",""),"④",""),"⑤",""),"⑥",""),"⑦",""),"⑧",""),"⑨",""),"⑩","")</f>
        <v/>
      </c>
      <c r="CP9" s="203"/>
      <c r="CQ9" s="203"/>
      <c r="CR9" s="203"/>
      <c r="CS9" s="71" t="str">
        <f t="array" aca="1" ref="CS9" ca="1">IF(CO9&lt;&gt;"",
IF(AND(INDIRECT("'盛付札（関数）'!FI"&amp;CM9)&gt;=124,INDIRECT("'盛付札（関数）'!FI"&amp;CM9)&lt;=144),"",
"様"),"")</f>
        <v/>
      </c>
      <c r="CT9" s="65">
        <f ca="1">IF(OR(CN10="●",CN10="△"),
CM9+2,CM9+1)</f>
        <v>76</v>
      </c>
      <c r="CU9" s="72" t="str">
        <f ca="1">IF(CV9&lt;&gt;"",
MID(貼り付け用!$A$2, FIND("年",貼り付け用!$A$2)+1,2)&amp;"/"&amp;MID(貼り付け用!$A$2, FIND("月",貼り付け用!$A$2)+1,2),"")</f>
        <v/>
      </c>
      <c r="CV9" s="202" t="str">
        <f t="array" aca="1" ref="CV9" ca="1">SUBSTITUTE(SUBSTITUTE(SUBSTITUTE(SUBSTITUTE(SUBSTITUTE(SUBSTITUTE(SUBSTITUTE(SUBSTITUTE(SUBSTITUTE(SUBSTITUTE(
IF(CU10="△",
INDIRECT("'盛付札（関数）'!FJ"&amp;CT9+1),INDIRECT("'盛付札（関数）'!FJ"&amp;CT9)),"①",""),"②",""),"③",""),"④",""),"⑤",""),"⑥",""),"⑦",""),"⑧",""),"⑨",""),"⑩","")</f>
        <v/>
      </c>
      <c r="CW9" s="203"/>
      <c r="CX9" s="203"/>
      <c r="CY9" s="203"/>
      <c r="CZ9" s="71" t="str">
        <f t="array" aca="1" ref="CZ9" ca="1">IF(CV9&lt;&gt;"",
IF(AND(INDIRECT("'盛付札（関数）'!FI"&amp;CT9)&gt;=124,INDIRECT("'盛付札（関数）'!FI"&amp;CT9)&lt;=144),"",
"様"),"")</f>
        <v/>
      </c>
      <c r="DA9" s="49"/>
      <c r="DB9" s="59">
        <f ca="1">IF(OR(DJ2="●",DJ2="△"),
DI1+2,DI1+1)</f>
        <v>87</v>
      </c>
      <c r="DC9" s="72" t="str">
        <f ca="1">IF(DD9&lt;&gt;"",
MID(貼り付け用!$A$2, FIND("年",貼り付け用!$A$2)+1,2)&amp;"/"&amp;MID(貼り付け用!$A$2, FIND("月",貼り付け用!$A$2)+1,2),"")</f>
        <v/>
      </c>
      <c r="DD9" s="202" t="str">
        <f t="array" aca="1" ref="DD9" ca="1">SUBSTITUTE(SUBSTITUTE(SUBSTITUTE(SUBSTITUTE(SUBSTITUTE(SUBSTITUTE(SUBSTITUTE(SUBSTITUTE(SUBSTITUTE(SUBSTITUTE(
IF(DC10="△",
INDIRECT("'盛付札（関数）'!FJ"&amp;DB9+1),INDIRECT("'盛付札（関数）'!FJ"&amp;DB9)),"①",""),"②",""),"③",""),"④",""),"⑤",""),"⑥",""),"⑦",""),"⑧",""),"⑨",""),"⑩","")</f>
        <v/>
      </c>
      <c r="DE9" s="203"/>
      <c r="DF9" s="203"/>
      <c r="DG9" s="203"/>
      <c r="DH9" s="71" t="str">
        <f t="array" aca="1" ref="DH9" ca="1">IF(DD9&lt;&gt;"",
IF(AND(INDIRECT("'盛付札（関数）'!FI"&amp;DB9)&gt;=124,INDIRECT("'盛付札（関数）'!FI"&amp;DB9)&lt;=144),"",
"様"),"")</f>
        <v/>
      </c>
      <c r="DI9" s="65">
        <f ca="1">IF(OR(DC10="●",DC10="△"),
DB9+2,DB9+1)</f>
        <v>88</v>
      </c>
      <c r="DJ9" s="72" t="str">
        <f ca="1">IF(DK9&lt;&gt;"",
MID(貼り付け用!$A$2, FIND("年",貼り付け用!$A$2)+1,2)&amp;"/"&amp;MID(貼り付け用!$A$2, FIND("月",貼り付け用!$A$2)+1,2),"")</f>
        <v/>
      </c>
      <c r="DK9" s="202" t="str">
        <f t="array" aca="1" ref="DK9" ca="1">SUBSTITUTE(SUBSTITUTE(SUBSTITUTE(SUBSTITUTE(SUBSTITUTE(SUBSTITUTE(SUBSTITUTE(SUBSTITUTE(SUBSTITUTE(SUBSTITUTE(
IF(DJ10="△",
INDIRECT("'盛付札（関数）'!FJ"&amp;DI9+1),INDIRECT("'盛付札（関数）'!FJ"&amp;DI9)),"①",""),"②",""),"③",""),"④",""),"⑤",""),"⑥",""),"⑦",""),"⑧",""),"⑨",""),"⑩","")</f>
        <v/>
      </c>
      <c r="DL9" s="203"/>
      <c r="DM9" s="203"/>
      <c r="DN9" s="203"/>
      <c r="DO9" s="71" t="str">
        <f t="array" aca="1" ref="DO9" ca="1">IF(DK9&lt;&gt;"",
IF(AND(INDIRECT("'盛付札（関数）'!FI"&amp;DI9)&gt;=124,INDIRECT("'盛付札（関数）'!FI"&amp;DI9)&lt;=144),"",
"様"),"")</f>
        <v/>
      </c>
      <c r="DP9" s="49"/>
      <c r="DQ9" s="59">
        <f ca="1">IF(OR(DY2="●",DY2="△"),
DX1+2,DX1+1)</f>
        <v>99</v>
      </c>
      <c r="DR9" s="72" t="str">
        <f ca="1">IF(DS9&lt;&gt;"",
MID(貼り付け用!$A$2, FIND("年",貼り付け用!$A$2)+1,2)&amp;"/"&amp;MID(貼り付け用!$A$2, FIND("月",貼り付け用!$A$2)+1,2),"")</f>
        <v/>
      </c>
      <c r="DS9" s="202" t="str">
        <f t="array" aca="1" ref="DS9" ca="1">SUBSTITUTE(SUBSTITUTE(SUBSTITUTE(SUBSTITUTE(SUBSTITUTE(SUBSTITUTE(SUBSTITUTE(SUBSTITUTE(SUBSTITUTE(SUBSTITUTE(
IF(DR10="△",
INDIRECT("'盛付札（関数）'!FJ"&amp;DQ9+1),INDIRECT("'盛付札（関数）'!FJ"&amp;DQ9)),"①",""),"②",""),"③",""),"④",""),"⑤",""),"⑥",""),"⑦",""),"⑧",""),"⑨",""),"⑩","")</f>
        <v/>
      </c>
      <c r="DT9" s="203"/>
      <c r="DU9" s="203"/>
      <c r="DV9" s="203"/>
      <c r="DW9" s="71" t="str">
        <f t="array" aca="1" ref="DW9" ca="1">IF(DS9&lt;&gt;"",
IF(AND(INDIRECT("'盛付札（関数）'!FI"&amp;DQ9)&gt;=124,INDIRECT("'盛付札（関数）'!FI"&amp;DQ9)&lt;=144),"",
"様"),"")</f>
        <v/>
      </c>
      <c r="DX9" s="65">
        <f ca="1">IF(OR(DR10="●",DR10="△"),
DQ9+2,DQ9+1)</f>
        <v>100</v>
      </c>
      <c r="DY9" s="72" t="str">
        <f ca="1">IF(DZ9&lt;&gt;"",
MID(貼り付け用!$A$2, FIND("年",貼り付け用!$A$2)+1,2)&amp;"/"&amp;MID(貼り付け用!$A$2, FIND("月",貼り付け用!$A$2)+1,2),"")</f>
        <v/>
      </c>
      <c r="DZ9" s="202" t="str">
        <f t="array" aca="1" ref="DZ9" ca="1">SUBSTITUTE(SUBSTITUTE(SUBSTITUTE(SUBSTITUTE(SUBSTITUTE(SUBSTITUTE(SUBSTITUTE(SUBSTITUTE(SUBSTITUTE(SUBSTITUTE(
IF(DY10="△",
INDIRECT("'盛付札（関数）'!FJ"&amp;DX9+1),INDIRECT("'盛付札（関数）'!FJ"&amp;DX9)),"①",""),"②",""),"③",""),"④",""),"⑤",""),"⑥",""),"⑦",""),"⑧",""),"⑨",""),"⑩","")</f>
        <v/>
      </c>
      <c r="EA9" s="203"/>
      <c r="EB9" s="203"/>
      <c r="EC9" s="203"/>
      <c r="ED9" s="71" t="str">
        <f t="array" aca="1" ref="ED9" ca="1">IF(DZ9&lt;&gt;"",
IF(AND(INDIRECT("'盛付札（関数）'!FI"&amp;DX9)&gt;=124,INDIRECT("'盛付札（関数）'!FI"&amp;DX9)&lt;=144),"",
"様"),"")</f>
        <v/>
      </c>
      <c r="EE9" s="49"/>
      <c r="EF9" s="59">
        <f ca="1">IF(OR(EN2="●",EN2="△"),
EM1+2,EM1+1)</f>
        <v>111</v>
      </c>
      <c r="EG9" s="72" t="str">
        <f ca="1">IF(EH9&lt;&gt;"",
MID(貼り付け用!$A$2, FIND("年",貼り付け用!$A$2)+1,2)&amp;"/"&amp;MID(貼り付け用!$A$2, FIND("月",貼り付け用!$A$2)+1,2),"")</f>
        <v/>
      </c>
      <c r="EH9" s="202" t="str">
        <f t="array" aca="1" ref="EH9" ca="1">SUBSTITUTE(SUBSTITUTE(SUBSTITUTE(SUBSTITUTE(SUBSTITUTE(SUBSTITUTE(SUBSTITUTE(SUBSTITUTE(SUBSTITUTE(SUBSTITUTE(
IF(EG10="△",
INDIRECT("'盛付札（関数）'!FJ"&amp;EF9+1),INDIRECT("'盛付札（関数）'!FJ"&amp;EF9)),"①",""),"②",""),"③",""),"④",""),"⑤",""),"⑥",""),"⑦",""),"⑧",""),"⑨",""),"⑩","")</f>
        <v/>
      </c>
      <c r="EI9" s="203"/>
      <c r="EJ9" s="203"/>
      <c r="EK9" s="203"/>
      <c r="EL9" s="71" t="str">
        <f t="array" aca="1" ref="EL9" ca="1">IF(EH9&lt;&gt;"",
IF(AND(INDIRECT("'盛付札（関数）'!FI"&amp;EF9)&gt;=124,INDIRECT("'盛付札（関数）'!FI"&amp;EF9)&lt;=144),"",
"様"),"")</f>
        <v/>
      </c>
      <c r="EM9" s="65">
        <f ca="1">IF(OR(EG10="●",EG10="△"),
EF9+2,EF9+1)</f>
        <v>112</v>
      </c>
      <c r="EN9" s="72" t="str">
        <f ca="1">IF(EO9&lt;&gt;"",
MID(貼り付け用!$A$2, FIND("年",貼り付け用!$A$2)+1,2)&amp;"/"&amp;MID(貼り付け用!$A$2, FIND("月",貼り付け用!$A$2)+1,2),"")</f>
        <v/>
      </c>
      <c r="EO9" s="202" t="str">
        <f t="array" aca="1" ref="EO9" ca="1">SUBSTITUTE(SUBSTITUTE(SUBSTITUTE(SUBSTITUTE(SUBSTITUTE(SUBSTITUTE(SUBSTITUTE(SUBSTITUTE(SUBSTITUTE(SUBSTITUTE(
IF(EN10="△",
INDIRECT("'盛付札（関数）'!FJ"&amp;EM9+1),INDIRECT("'盛付札（関数）'!FJ"&amp;EM9)),"①",""),"②",""),"③",""),"④",""),"⑤",""),"⑥",""),"⑦",""),"⑧",""),"⑨",""),"⑩","")</f>
        <v/>
      </c>
      <c r="EP9" s="203"/>
      <c r="EQ9" s="203"/>
      <c r="ER9" s="203"/>
      <c r="ES9" s="71" t="str">
        <f t="array" aca="1" ref="ES9" ca="1">IF(EO9&lt;&gt;"",
IF(AND(INDIRECT("'盛付札（関数）'!FI"&amp;EM9)&gt;=124,INDIRECT("'盛付札（関数）'!FI"&amp;EM9)&lt;=144),"",
"様"),"")</f>
        <v/>
      </c>
      <c r="ET9" s="49"/>
    </row>
    <row r="10" spans="1:150" s="60" customFormat="1" x14ac:dyDescent="0.55000000000000004">
      <c r="A10" s="59"/>
      <c r="B10" s="61" t="str">
        <f ca="1">IF(COUNTIF(INDIRECT("'盛付札（関数）'!FJ"&amp;A9+1),"*雙葉*"),"●",
"〇")</f>
        <v>〇</v>
      </c>
      <c r="C10" s="76" t="str">
        <f t="array" aca="1" ref="C10" ca="1">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IF(B10="△",
INDIRECT("'盛付札（関数）'!FK"&amp;A9+1),INDIRECT("'盛付札（関数）'!FK"&amp;A9))))</f>
        <v/>
      </c>
      <c r="D10" s="70"/>
      <c r="E10" s="70"/>
      <c r="F10" s="77" t="str">
        <f t="array" aca="1" ref="F10" ca="1">IF(C9&lt;&gt;"",
IF(OR(INDIRECT("'盛付札（関数）'!FI"&amp;A9)=121,INDIRECT("'盛付札（関数）'!FI"&amp;A9)=122,INDIRECT("'盛付札（関数）'!FI"&amp;A9)=123),"",
IF(B10="●",
SUBSTITUTE(SUBSTITUTE(SUBSTITUTE(INDIRECT("'盛付札（関数）'!FL"&amp;A9),100,""),120,""),150,""),
IF(B10="△",
IF(INDIRECT("'盛付札（関数）'!FL"&amp;A9+1)&lt;&gt;"",
INDIRECT("'盛付札（関数）'!FL"&amp;A9+1),INDIRECT("'盛付札（関数）'!FM"&amp;A9+1)),
IF(INDIRECT("'盛付札（関数）'!FL"&amp;A9)&lt;&gt;"",
INDIRECT("'盛付札（関数）'!FL"&amp;A9),INDIRECT("'盛付札（関数）'!FM"&amp;A9))))),"")</f>
        <v/>
      </c>
      <c r="G10" s="68"/>
      <c r="H10" s="78"/>
      <c r="I10" s="61" t="str">
        <f ca="1">IF(COUNTIF(INDIRECT("'盛付札（関数）'!FJ"&amp;H9+1),"*雙葉*"),"●",
"〇")</f>
        <v>〇</v>
      </c>
      <c r="J10" s="76" t="str">
        <f t="array" aca="1" ref="J10" ca="1">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IF(I10="△",
INDIRECT("'盛付札（関数）'!FK"&amp;H9+1),INDIRECT("'盛付札（関数）'!FK"&amp;H9))))</f>
        <v/>
      </c>
      <c r="K10" s="70"/>
      <c r="L10" s="70"/>
      <c r="M10" s="77" t="e">
        <f t="array" aca="1" ref="M10" ca="1">IF(J9&lt;&gt;"",
IF(OR(INDIRECT("'盛付札（関数）'!FI"&amp;H9)=121,INDIRECT("'盛付札（関数）'!FI"&amp;H9)=122,INDIRECT("'盛付札（関数）'!FI"&amp;H9)=123),"",
IF(I10="●",
SUBSTITUTE(SUBSTITUTE(SUBSTITUTE(INDIRECT("'盛付札（関数）'!FL"&amp;H9),100,""),120,""),150,""),
IF(I10="△",
IF(INDIRECT("'盛付札（関数）'!FL"&amp;H9+1)&lt;&gt;"",
INDIRECT("'盛付札（関数）'!FL"&amp;H9+1),INDIRECT("'盛付札（関数）'!FM"&amp;H9+1)),
IF(INDIRECT("'盛付札（関数）'!FL"&amp;H9)&lt;&gt;"",
INDIRECT("'盛付札（関数）'!FL"&amp;H9),INDIRECT("'盛付札（関数）'!FM"&amp;H9))))),"")</f>
        <v>#N/A</v>
      </c>
      <c r="N10" s="68"/>
      <c r="O10" s="49"/>
      <c r="P10" s="59"/>
      <c r="Q10" s="61" t="str">
        <f ca="1">IF(COUNTIF(INDIRECT("'盛付札（関数）'!FJ"&amp;P9+1),"*雙葉*"),"●",
"〇")</f>
        <v>〇</v>
      </c>
      <c r="R10" s="76" t="str">
        <f t="array" aca="1" ref="R10" ca="1">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IF(Q10="△",
INDIRECT("'盛付札（関数）'!FK"&amp;P9+1),INDIRECT("'盛付札（関数）'!FK"&amp;P9))))</f>
        <v/>
      </c>
      <c r="S10" s="70"/>
      <c r="T10" s="70"/>
      <c r="U10" s="77" t="str">
        <f t="array" aca="1" ref="U10" ca="1">IF(R9&lt;&gt;"",
IF(OR(INDIRECT("'盛付札（関数）'!FI"&amp;P9)=121,INDIRECT("'盛付札（関数）'!FI"&amp;P9)=122,INDIRECT("'盛付札（関数）'!FI"&amp;P9)=123),"",
IF(Q10="●",
SUBSTITUTE(SUBSTITUTE(SUBSTITUTE(INDIRECT("'盛付札（関数）'!FL"&amp;P9),100,""),120,""),150,""),
IF(Q10="△",
IF(INDIRECT("'盛付札（関数）'!FL"&amp;P9+1)&lt;&gt;"",
INDIRECT("'盛付札（関数）'!FL"&amp;P9+1),INDIRECT("'盛付札（関数）'!FM"&amp;P9+1)),
IF(INDIRECT("'盛付札（関数）'!FL"&amp;P9)&lt;&gt;"",
INDIRECT("'盛付札（関数）'!FL"&amp;P9),INDIRECT("'盛付札（関数）'!FM"&amp;P9))))),"")</f>
        <v/>
      </c>
      <c r="V10" s="68"/>
      <c r="W10" s="78"/>
      <c r="X10" s="61" t="str">
        <f ca="1">IF(COUNTIF(INDIRECT("'盛付札（関数）'!FJ"&amp;W9+1),"*雙葉*"),"●",
"〇")</f>
        <v>〇</v>
      </c>
      <c r="Y10" s="76" t="str">
        <f t="array" aca="1" ref="Y10" ca="1">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IF(X10="△",
INDIRECT("'盛付札（関数）'!FK"&amp;W9+1),INDIRECT("'盛付札（関数）'!FK"&amp;W9))))</f>
        <v/>
      </c>
      <c r="Z10" s="70"/>
      <c r="AA10" s="70"/>
      <c r="AB10" s="77" t="str">
        <f t="array" aca="1" ref="AB10" ca="1">IF(Y9&lt;&gt;"",
IF(OR(INDIRECT("'盛付札（関数）'!FI"&amp;W9)=121,INDIRECT("'盛付札（関数）'!FI"&amp;W9)=122,INDIRECT("'盛付札（関数）'!FI"&amp;W9)=123),"",
IF(X10="●",
SUBSTITUTE(SUBSTITUTE(SUBSTITUTE(INDIRECT("'盛付札（関数）'!FL"&amp;W9),100,""),120,""),150,""),
IF(X10="△",
IF(INDIRECT("'盛付札（関数）'!FL"&amp;W9+1)&lt;&gt;"",
INDIRECT("'盛付札（関数）'!FL"&amp;W9+1),INDIRECT("'盛付札（関数）'!FM"&amp;W9+1)),
IF(INDIRECT("'盛付札（関数）'!FL"&amp;W9)&lt;&gt;"",
INDIRECT("'盛付札（関数）'!FL"&amp;W9),INDIRECT("'盛付札（関数）'!FM"&amp;W9))))),"")</f>
        <v/>
      </c>
      <c r="AC10" s="68"/>
      <c r="AD10" s="49"/>
      <c r="AE10" s="59"/>
      <c r="AF10" s="61" t="str">
        <f ca="1">IF(COUNTIF(INDIRECT("'盛付札（関数）'!FJ"&amp;AE9+1),"*雙葉*"),"●",
"〇")</f>
        <v>〇</v>
      </c>
      <c r="AG10" s="76" t="str">
        <f t="array" aca="1" ref="AG10" ca="1">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IF(AF10="△",
INDIRECT("'盛付札（関数）'!FK"&amp;AE9+1),INDIRECT("'盛付札（関数）'!FK"&amp;AE9))))</f>
        <v/>
      </c>
      <c r="AH10" s="70"/>
      <c r="AI10" s="70"/>
      <c r="AJ10" s="77" t="str">
        <f t="array" aca="1" ref="AJ10" ca="1">IF(AG9&lt;&gt;"",
IF(OR(INDIRECT("'盛付札（関数）'!FI"&amp;AE9)=121,INDIRECT("'盛付札（関数）'!FI"&amp;AE9)=122,INDIRECT("'盛付札（関数）'!FI"&amp;AE9)=123),"",
IF(AF10="●",
SUBSTITUTE(SUBSTITUTE(SUBSTITUTE(INDIRECT("'盛付札（関数）'!FL"&amp;AE9),100,""),120,""),150,""),
IF(AF10="△",
IF(INDIRECT("'盛付札（関数）'!FL"&amp;AE9+1)&lt;&gt;"",
INDIRECT("'盛付札（関数）'!FL"&amp;AE9+1),INDIRECT("'盛付札（関数）'!FM"&amp;AE9+1)),
IF(INDIRECT("'盛付札（関数）'!FL"&amp;AE9)&lt;&gt;"",
INDIRECT("'盛付札（関数）'!FL"&amp;AE9),INDIRECT("'盛付札（関数）'!FM"&amp;AE9))))),"")</f>
        <v/>
      </c>
      <c r="AK10" s="68"/>
      <c r="AL10" s="78"/>
      <c r="AM10" s="61" t="str">
        <f ca="1">IF(COUNTIF(INDIRECT("'盛付札（関数）'!FJ"&amp;AL9+1),"*雙葉*"),"●",
"〇")</f>
        <v>〇</v>
      </c>
      <c r="AN10" s="76" t="str">
        <f t="array" aca="1" ref="AN10" ca="1">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IF(AM10="△",
INDIRECT("'盛付札（関数）'!FK"&amp;AL9+1),INDIRECT("'盛付札（関数）'!FK"&amp;AL9))))</f>
        <v/>
      </c>
      <c r="AO10" s="70"/>
      <c r="AP10" s="70"/>
      <c r="AQ10" s="77" t="str">
        <f t="array" aca="1" ref="AQ10" ca="1">IF(AN9&lt;&gt;"",
IF(OR(INDIRECT("'盛付札（関数）'!FI"&amp;AL9)=121,INDIRECT("'盛付札（関数）'!FI"&amp;AL9)=122,INDIRECT("'盛付札（関数）'!FI"&amp;AL9)=123),"",
IF(AM10="●",
SUBSTITUTE(SUBSTITUTE(SUBSTITUTE(INDIRECT("'盛付札（関数）'!FL"&amp;AL9),100,""),120,""),150,""),
IF(AM10="△",
IF(INDIRECT("'盛付札（関数）'!FL"&amp;AL9+1)&lt;&gt;"",
INDIRECT("'盛付札（関数）'!FL"&amp;AL9+1),INDIRECT("'盛付札（関数）'!FM"&amp;AL9+1)),
IF(INDIRECT("'盛付札（関数）'!FL"&amp;AL9)&lt;&gt;"",
INDIRECT("'盛付札（関数）'!FL"&amp;AL9),INDIRECT("'盛付札（関数）'!FM"&amp;AL9))))),"")</f>
        <v/>
      </c>
      <c r="AR10" s="68"/>
      <c r="AS10" s="49"/>
      <c r="AT10" s="59"/>
      <c r="AU10" s="61" t="str">
        <f ca="1">IF(COUNTIF(INDIRECT("'盛付札（関数）'!FJ"&amp;AT9+1),"*雙葉*"),"●",
"〇")</f>
        <v>〇</v>
      </c>
      <c r="AV10" s="76" t="str">
        <f t="array" aca="1" ref="AV10" ca="1">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IF(AU10="△",
INDIRECT("'盛付札（関数）'!FK"&amp;AT9+1),INDIRECT("'盛付札（関数）'!FK"&amp;AT9))))</f>
        <v/>
      </c>
      <c r="AW10" s="70"/>
      <c r="AX10" s="70"/>
      <c r="AY10" s="77" t="str">
        <f t="array" aca="1" ref="AY10" ca="1">IF(AV9&lt;&gt;"",
IF(OR(INDIRECT("'盛付札（関数）'!FI"&amp;AT9)=121,INDIRECT("'盛付札（関数）'!FI"&amp;AT9)=122,INDIRECT("'盛付札（関数）'!FI"&amp;AT9)=123),"",
IF(AU10="●",
SUBSTITUTE(SUBSTITUTE(SUBSTITUTE(INDIRECT("'盛付札（関数）'!FL"&amp;AT9),100,""),120,""),150,""),
IF(AU10="△",
IF(INDIRECT("'盛付札（関数）'!FL"&amp;AT9+1)&lt;&gt;"",
INDIRECT("'盛付札（関数）'!FL"&amp;AT9+1),INDIRECT("'盛付札（関数）'!FM"&amp;AT9+1)),
IF(INDIRECT("'盛付札（関数）'!FL"&amp;AT9)&lt;&gt;"",
INDIRECT("'盛付札（関数）'!FL"&amp;AT9),INDIRECT("'盛付札（関数）'!FM"&amp;AT9))))),"")</f>
        <v/>
      </c>
      <c r="AZ10" s="68"/>
      <c r="BA10" s="78"/>
      <c r="BB10" s="61" t="str">
        <f ca="1">IF(COUNTIF(INDIRECT("'盛付札（関数）'!FJ"&amp;BA9+1),"*雙葉*"),"●",
"〇")</f>
        <v>〇</v>
      </c>
      <c r="BC10" s="76" t="str">
        <f t="array" aca="1" ref="BC10" ca="1">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IF(BB10="△",
INDIRECT("'盛付札（関数）'!FK"&amp;BA9+1),INDIRECT("'盛付札（関数）'!FK"&amp;BA9))))</f>
        <v/>
      </c>
      <c r="BD10" s="70"/>
      <c r="BE10" s="70"/>
      <c r="BF10" s="77" t="str">
        <f t="array" aca="1" ref="BF10" ca="1">IF(BC9&lt;&gt;"",
IF(OR(INDIRECT("'盛付札（関数）'!FI"&amp;BA9)=121,INDIRECT("'盛付札（関数）'!FI"&amp;BA9)=122,INDIRECT("'盛付札（関数）'!FI"&amp;BA9)=123),"",
IF(BB10="●",
SUBSTITUTE(SUBSTITUTE(SUBSTITUTE(INDIRECT("'盛付札（関数）'!FL"&amp;BA9),100,""),120,""),150,""),
IF(BB10="△",
IF(INDIRECT("'盛付札（関数）'!FL"&amp;BA9+1)&lt;&gt;"",
INDIRECT("'盛付札（関数）'!FL"&amp;BA9+1),INDIRECT("'盛付札（関数）'!FM"&amp;BA9+1)),
IF(INDIRECT("'盛付札（関数）'!FL"&amp;BA9)&lt;&gt;"",
INDIRECT("'盛付札（関数）'!FL"&amp;BA9),INDIRECT("'盛付札（関数）'!FM"&amp;BA9))))),"")</f>
        <v/>
      </c>
      <c r="BG10" s="68"/>
      <c r="BH10" s="49"/>
      <c r="BI10" s="59"/>
      <c r="BJ10" s="61" t="str">
        <f ca="1">IF(COUNTIF(INDIRECT("'盛付札（関数）'!FJ"&amp;BI9+1),"*雙葉*"),"●",
"〇")</f>
        <v>〇</v>
      </c>
      <c r="BK10" s="76" t="str">
        <f t="array" aca="1" ref="BK10" ca="1">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IF(BJ10="△",
INDIRECT("'盛付札（関数）'!FK"&amp;BI9+1),INDIRECT("'盛付札（関数）'!FK"&amp;BI9))))</f>
        <v/>
      </c>
      <c r="BL10" s="70"/>
      <c r="BM10" s="70"/>
      <c r="BN10" s="77" t="str">
        <f t="array" aca="1" ref="BN10" ca="1">IF(BK9&lt;&gt;"",
IF(OR(INDIRECT("'盛付札（関数）'!FI"&amp;BI9)=121,INDIRECT("'盛付札（関数）'!FI"&amp;BI9)=122,INDIRECT("'盛付札（関数）'!FI"&amp;BI9)=123),"",
IF(BJ10="●",
SUBSTITUTE(SUBSTITUTE(SUBSTITUTE(INDIRECT("'盛付札（関数）'!FL"&amp;BI9),100,""),120,""),150,""),
IF(BJ10="△",
IF(INDIRECT("'盛付札（関数）'!FL"&amp;BI9+1)&lt;&gt;"",
INDIRECT("'盛付札（関数）'!FL"&amp;BI9+1),INDIRECT("'盛付札（関数）'!FM"&amp;BI9+1)),
IF(INDIRECT("'盛付札（関数）'!FL"&amp;BI9)&lt;&gt;"",
INDIRECT("'盛付札（関数）'!FL"&amp;BI9),INDIRECT("'盛付札（関数）'!FM"&amp;BI9))))),"")</f>
        <v/>
      </c>
      <c r="BO10" s="68"/>
      <c r="BP10" s="78"/>
      <c r="BQ10" s="61" t="str">
        <f ca="1">IF(COUNTIF(INDIRECT("'盛付札（関数）'!FJ"&amp;BP9+1),"*雙葉*"),"●",
"〇")</f>
        <v>〇</v>
      </c>
      <c r="BR10" s="76" t="str">
        <f t="array" aca="1" ref="BR10" ca="1">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IF(BQ10="△",
INDIRECT("'盛付札（関数）'!FK"&amp;BP9+1),INDIRECT("'盛付札（関数）'!FK"&amp;BP9))))</f>
        <v/>
      </c>
      <c r="BS10" s="70"/>
      <c r="BT10" s="70"/>
      <c r="BU10" s="77" t="str">
        <f t="array" aca="1" ref="BU10" ca="1">IF(BR9&lt;&gt;"",
IF(OR(INDIRECT("'盛付札（関数）'!FI"&amp;BP9)=121,INDIRECT("'盛付札（関数）'!FI"&amp;BP9)=122,INDIRECT("'盛付札（関数）'!FI"&amp;BP9)=123),"",
IF(BQ10="●",
SUBSTITUTE(SUBSTITUTE(SUBSTITUTE(INDIRECT("'盛付札（関数）'!FL"&amp;BP9),100,""),120,""),150,""),
IF(BQ10="△",
IF(INDIRECT("'盛付札（関数）'!FL"&amp;BP9+1)&lt;&gt;"",
INDIRECT("'盛付札（関数）'!FL"&amp;BP9+1),INDIRECT("'盛付札（関数）'!FM"&amp;BP9+1)),
IF(INDIRECT("'盛付札（関数）'!FL"&amp;BP9)&lt;&gt;"",
INDIRECT("'盛付札（関数）'!FL"&amp;BP9),INDIRECT("'盛付札（関数）'!FM"&amp;BP9))))),"")</f>
        <v/>
      </c>
      <c r="BV10" s="68"/>
      <c r="BW10" s="49"/>
      <c r="BX10" s="59"/>
      <c r="BY10" s="61" t="str">
        <f ca="1">IF(COUNTIF(INDIRECT("'盛付札（関数）'!FJ"&amp;BX9+1),"*雙葉*"),"●",
"〇")</f>
        <v>〇</v>
      </c>
      <c r="BZ10" s="76" t="str">
        <f t="array" aca="1" ref="BZ10" ca="1">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IF(BY10="△",
INDIRECT("'盛付札（関数）'!FK"&amp;BX9+1),INDIRECT("'盛付札（関数）'!FK"&amp;BX9))))</f>
        <v/>
      </c>
      <c r="CA10" s="70"/>
      <c r="CB10" s="70"/>
      <c r="CC10" s="77" t="str">
        <f t="array" aca="1" ref="CC10" ca="1">IF(BZ9&lt;&gt;"",
IF(OR(INDIRECT("'盛付札（関数）'!FI"&amp;BX9)=121,INDIRECT("'盛付札（関数）'!FI"&amp;BX9)=122,INDIRECT("'盛付札（関数）'!FI"&amp;BX9)=123),"",
IF(BY10="●",
SUBSTITUTE(SUBSTITUTE(SUBSTITUTE(INDIRECT("'盛付札（関数）'!FL"&amp;BX9),100,""),120,""),150,""),
IF(BY10="△",
IF(INDIRECT("'盛付札（関数）'!FL"&amp;BX9+1)&lt;&gt;"",
INDIRECT("'盛付札（関数）'!FL"&amp;BX9+1),INDIRECT("'盛付札（関数）'!FM"&amp;BX9+1)),
IF(INDIRECT("'盛付札（関数）'!FL"&amp;BX9)&lt;&gt;"",
INDIRECT("'盛付札（関数）'!FL"&amp;BX9),INDIRECT("'盛付札（関数）'!FM"&amp;BX9))))),"")</f>
        <v/>
      </c>
      <c r="CD10" s="68"/>
      <c r="CE10" s="78"/>
      <c r="CF10" s="61" t="str">
        <f ca="1">IF(COUNTIF(INDIRECT("'盛付札（関数）'!FJ"&amp;CE9+1),"*雙葉*"),"●",
"〇")</f>
        <v>〇</v>
      </c>
      <c r="CG10" s="76" t="str">
        <f t="array" aca="1" ref="CG10" ca="1">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IF(CF10="△",
INDIRECT("'盛付札（関数）'!FK"&amp;CE9+1),INDIRECT("'盛付札（関数）'!FK"&amp;CE9))))</f>
        <v/>
      </c>
      <c r="CH10" s="70"/>
      <c r="CI10" s="70"/>
      <c r="CJ10" s="77" t="str">
        <f t="array" aca="1" ref="CJ10" ca="1">IF(CG9&lt;&gt;"",
IF(OR(INDIRECT("'盛付札（関数）'!FI"&amp;CE9)=121,INDIRECT("'盛付札（関数）'!FI"&amp;CE9)=122,INDIRECT("'盛付札（関数）'!FI"&amp;CE9)=123),"",
IF(CF10="●",
SUBSTITUTE(SUBSTITUTE(SUBSTITUTE(INDIRECT("'盛付札（関数）'!FL"&amp;CE9),100,""),120,""),150,""),
IF(CF10="△",
IF(INDIRECT("'盛付札（関数）'!FL"&amp;CE9+1)&lt;&gt;"",
INDIRECT("'盛付札（関数）'!FL"&amp;CE9+1),INDIRECT("'盛付札（関数）'!FM"&amp;CE9+1)),
IF(INDIRECT("'盛付札（関数）'!FL"&amp;CE9)&lt;&gt;"",
INDIRECT("'盛付札（関数）'!FL"&amp;CE9),INDIRECT("'盛付札（関数）'!FM"&amp;CE9))))),"")</f>
        <v/>
      </c>
      <c r="CK10" s="68"/>
      <c r="CL10" s="49"/>
      <c r="CM10" s="59"/>
      <c r="CN10" s="61" t="str">
        <f ca="1">IF(COUNTIF(INDIRECT("'盛付札（関数）'!FJ"&amp;CM9+1),"*雙葉*"),"●",
"〇")</f>
        <v>〇</v>
      </c>
      <c r="CO10" s="76" t="str">
        <f t="array" aca="1" ref="CO10" ca="1">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IF(CN10="△",
INDIRECT("'盛付札（関数）'!FK"&amp;CM9+1),INDIRECT("'盛付札（関数）'!FK"&amp;CM9))))</f>
        <v/>
      </c>
      <c r="CP10" s="70"/>
      <c r="CQ10" s="70"/>
      <c r="CR10" s="77" t="str">
        <f t="array" aca="1" ref="CR10" ca="1">IF(CO9&lt;&gt;"",
IF(OR(INDIRECT("'盛付札（関数）'!FI"&amp;CM9)=121,INDIRECT("'盛付札（関数）'!FI"&amp;CM9)=122,INDIRECT("'盛付札（関数）'!FI"&amp;CM9)=123),"",
IF(CN10="●",
SUBSTITUTE(SUBSTITUTE(SUBSTITUTE(INDIRECT("'盛付札（関数）'!FL"&amp;CM9),100,""),120,""),150,""),
IF(CN10="△",
IF(INDIRECT("'盛付札（関数）'!FL"&amp;CM9+1)&lt;&gt;"",
INDIRECT("'盛付札（関数）'!FL"&amp;CM9+1),INDIRECT("'盛付札（関数）'!FM"&amp;CM9+1)),
IF(INDIRECT("'盛付札（関数）'!FL"&amp;CM9)&lt;&gt;"",
INDIRECT("'盛付札（関数）'!FL"&amp;CM9),INDIRECT("'盛付札（関数）'!FM"&amp;CM9))))),"")</f>
        <v/>
      </c>
      <c r="CS10" s="68"/>
      <c r="CT10" s="78"/>
      <c r="CU10" s="61" t="str">
        <f ca="1">IF(COUNTIF(INDIRECT("'盛付札（関数）'!FJ"&amp;CT9+1),"*雙葉*"),"●",
"〇")</f>
        <v>〇</v>
      </c>
      <c r="CV10" s="76" t="str">
        <f t="array" aca="1" ref="CV10" ca="1">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IF(CU10="△",
INDIRECT("'盛付札（関数）'!FK"&amp;CT9+1),INDIRECT("'盛付札（関数）'!FK"&amp;CT9))))</f>
        <v/>
      </c>
      <c r="CW10" s="70"/>
      <c r="CX10" s="70"/>
      <c r="CY10" s="77" t="str">
        <f t="array" aca="1" ref="CY10" ca="1">IF(CV9&lt;&gt;"",
IF(OR(INDIRECT("'盛付札（関数）'!FI"&amp;CT9)=121,INDIRECT("'盛付札（関数）'!FI"&amp;CT9)=122,INDIRECT("'盛付札（関数）'!FI"&amp;CT9)=123),"",
IF(CU10="●",
SUBSTITUTE(SUBSTITUTE(SUBSTITUTE(INDIRECT("'盛付札（関数）'!FL"&amp;CT9),100,""),120,""),150,""),
IF(CU10="△",
IF(INDIRECT("'盛付札（関数）'!FL"&amp;CT9+1)&lt;&gt;"",
INDIRECT("'盛付札（関数）'!FL"&amp;CT9+1),INDIRECT("'盛付札（関数）'!FM"&amp;CT9+1)),
IF(INDIRECT("'盛付札（関数）'!FL"&amp;CT9)&lt;&gt;"",
INDIRECT("'盛付札（関数）'!FL"&amp;CT9),INDIRECT("'盛付札（関数）'!FM"&amp;CT9))))),"")</f>
        <v/>
      </c>
      <c r="CZ10" s="68"/>
      <c r="DA10" s="49"/>
      <c r="DB10" s="59"/>
      <c r="DC10" s="61" t="str">
        <f ca="1">IF(COUNTIF(INDIRECT("'盛付札（関数）'!FJ"&amp;DB9+1),"*雙葉*"),"●",
"〇")</f>
        <v>〇</v>
      </c>
      <c r="DD10" s="76" t="str">
        <f t="array" aca="1" ref="DD10" ca="1">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IF(DC10="△",
INDIRECT("'盛付札（関数）'!FK"&amp;DB9+1),INDIRECT("'盛付札（関数）'!FK"&amp;DB9))))</f>
        <v/>
      </c>
      <c r="DE10" s="70"/>
      <c r="DF10" s="70"/>
      <c r="DG10" s="77" t="str">
        <f t="array" aca="1" ref="DG10" ca="1">IF(DD9&lt;&gt;"",
IF(OR(INDIRECT("'盛付札（関数）'!FI"&amp;DB9)=121,INDIRECT("'盛付札（関数）'!FI"&amp;DB9)=122,INDIRECT("'盛付札（関数）'!FI"&amp;DB9)=123),"",
IF(DC10="●",
SUBSTITUTE(SUBSTITUTE(SUBSTITUTE(INDIRECT("'盛付札（関数）'!FL"&amp;DB9),100,""),120,""),150,""),
IF(DC10="△",
IF(INDIRECT("'盛付札（関数）'!FL"&amp;DB9+1)&lt;&gt;"",
INDIRECT("'盛付札（関数）'!FL"&amp;DB9+1),INDIRECT("'盛付札（関数）'!FM"&amp;DB9+1)),
IF(INDIRECT("'盛付札（関数）'!FL"&amp;DB9)&lt;&gt;"",
INDIRECT("'盛付札（関数）'!FL"&amp;DB9),INDIRECT("'盛付札（関数）'!FM"&amp;DB9))))),"")</f>
        <v/>
      </c>
      <c r="DH10" s="68"/>
      <c r="DI10" s="78"/>
      <c r="DJ10" s="61" t="str">
        <f ca="1">IF(COUNTIF(INDIRECT("'盛付札（関数）'!FJ"&amp;DI9+1),"*雙葉*"),"●",
"〇")</f>
        <v>〇</v>
      </c>
      <c r="DK10" s="76" t="str">
        <f t="array" aca="1" ref="DK10" ca="1">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IF(DJ10="△",
INDIRECT("'盛付札（関数）'!FK"&amp;DI9+1),INDIRECT("'盛付札（関数）'!FK"&amp;DI9))))</f>
        <v/>
      </c>
      <c r="DL10" s="70"/>
      <c r="DM10" s="70"/>
      <c r="DN10" s="77" t="str">
        <f t="array" aca="1" ref="DN10" ca="1">IF(DK9&lt;&gt;"",
IF(OR(INDIRECT("'盛付札（関数）'!FI"&amp;DI9)=121,INDIRECT("'盛付札（関数）'!FI"&amp;DI9)=122,INDIRECT("'盛付札（関数）'!FI"&amp;DI9)=123),"",
IF(DJ10="●",
SUBSTITUTE(SUBSTITUTE(SUBSTITUTE(INDIRECT("'盛付札（関数）'!FL"&amp;DI9),100,""),120,""),150,""),
IF(DJ10="△",
IF(INDIRECT("'盛付札（関数）'!FL"&amp;DI9+1)&lt;&gt;"",
INDIRECT("'盛付札（関数）'!FL"&amp;DI9+1),INDIRECT("'盛付札（関数）'!FM"&amp;DI9+1)),
IF(INDIRECT("'盛付札（関数）'!FL"&amp;DI9)&lt;&gt;"",
INDIRECT("'盛付札（関数）'!FL"&amp;DI9),INDIRECT("'盛付札（関数）'!FM"&amp;DI9))))),"")</f>
        <v/>
      </c>
      <c r="DO10" s="68"/>
      <c r="DP10" s="49"/>
      <c r="DQ10" s="59"/>
      <c r="DR10" s="61" t="str">
        <f ca="1">IF(COUNTIF(INDIRECT("'盛付札（関数）'!FJ"&amp;DQ9+1),"*雙葉*"),"●",
"〇")</f>
        <v>〇</v>
      </c>
      <c r="DS10" s="76" t="str">
        <f t="array" aca="1" ref="DS10" ca="1">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IF(DR10="△",
INDIRECT("'盛付札（関数）'!FK"&amp;DQ9+1),INDIRECT("'盛付札（関数）'!FK"&amp;DQ9))))</f>
        <v/>
      </c>
      <c r="DT10" s="70"/>
      <c r="DU10" s="70"/>
      <c r="DV10" s="77" t="str">
        <f t="array" aca="1" ref="DV10" ca="1">IF(DS9&lt;&gt;"",
IF(OR(INDIRECT("'盛付札（関数）'!FI"&amp;DQ9)=121,INDIRECT("'盛付札（関数）'!FI"&amp;DQ9)=122,INDIRECT("'盛付札（関数）'!FI"&amp;DQ9)=123),"",
IF(DR10="●",
SUBSTITUTE(SUBSTITUTE(SUBSTITUTE(INDIRECT("'盛付札（関数）'!FL"&amp;DQ9),100,""),120,""),150,""),
IF(DR10="△",
IF(INDIRECT("'盛付札（関数）'!FL"&amp;DQ9+1)&lt;&gt;"",
INDIRECT("'盛付札（関数）'!FL"&amp;DQ9+1),INDIRECT("'盛付札（関数）'!FM"&amp;DQ9+1)),
IF(INDIRECT("'盛付札（関数）'!FL"&amp;DQ9)&lt;&gt;"",
INDIRECT("'盛付札（関数）'!FL"&amp;DQ9),INDIRECT("'盛付札（関数）'!FM"&amp;DQ9))))),"")</f>
        <v/>
      </c>
      <c r="DW10" s="68"/>
      <c r="DX10" s="78"/>
      <c r="DY10" s="61" t="str">
        <f ca="1">IF(COUNTIF(INDIRECT("'盛付札（関数）'!FJ"&amp;DX9+1),"*雙葉*"),"●",
"〇")</f>
        <v>〇</v>
      </c>
      <c r="DZ10" s="76" t="str">
        <f t="array" aca="1" ref="DZ10" ca="1">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IF(DY10="△",
INDIRECT("'盛付札（関数）'!FK"&amp;DX9+1),INDIRECT("'盛付札（関数）'!FK"&amp;DX9))))</f>
        <v/>
      </c>
      <c r="EA10" s="70"/>
      <c r="EB10" s="70"/>
      <c r="EC10" s="77" t="str">
        <f t="array" aca="1" ref="EC10" ca="1">IF(DZ9&lt;&gt;"",
IF(OR(INDIRECT("'盛付札（関数）'!FI"&amp;DX9)=121,INDIRECT("'盛付札（関数）'!FI"&amp;DX9)=122,INDIRECT("'盛付札（関数）'!FI"&amp;DX9)=123),"",
IF(DY10="●",
SUBSTITUTE(SUBSTITUTE(SUBSTITUTE(INDIRECT("'盛付札（関数）'!FL"&amp;DX9),100,""),120,""),150,""),
IF(DY10="△",
IF(INDIRECT("'盛付札（関数）'!FL"&amp;DX9+1)&lt;&gt;"",
INDIRECT("'盛付札（関数）'!FL"&amp;DX9+1),INDIRECT("'盛付札（関数）'!FM"&amp;DX9+1)),
IF(INDIRECT("'盛付札（関数）'!FL"&amp;DX9)&lt;&gt;"",
INDIRECT("'盛付札（関数）'!FL"&amp;DX9),INDIRECT("'盛付札（関数）'!FM"&amp;DX9))))),"")</f>
        <v/>
      </c>
      <c r="ED10" s="68"/>
      <c r="EE10" s="49"/>
      <c r="EF10" s="59"/>
      <c r="EG10" s="61" t="str">
        <f ca="1">IF(COUNTIF(INDIRECT("'盛付札（関数）'!FJ"&amp;EF9+1),"*雙葉*"),"●",
"〇")</f>
        <v>〇</v>
      </c>
      <c r="EH10" s="76" t="str">
        <f t="array" aca="1" ref="EH10" ca="1">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IF(EG10="△",
INDIRECT("'盛付札（関数）'!FK"&amp;EF9+1),INDIRECT("'盛付札（関数）'!FK"&amp;EF9))))</f>
        <v/>
      </c>
      <c r="EI10" s="70"/>
      <c r="EJ10" s="70"/>
      <c r="EK10" s="77" t="str">
        <f t="array" aca="1" ref="EK10" ca="1">IF(EH9&lt;&gt;"",
IF(OR(INDIRECT("'盛付札（関数）'!FI"&amp;EF9)=121,INDIRECT("'盛付札（関数）'!FI"&amp;EF9)=122,INDIRECT("'盛付札（関数）'!FI"&amp;EF9)=123),"",
IF(EG10="●",
SUBSTITUTE(SUBSTITUTE(SUBSTITUTE(INDIRECT("'盛付札（関数）'!FL"&amp;EF9),100,""),120,""),150,""),
IF(EG10="△",
IF(INDIRECT("'盛付札（関数）'!FL"&amp;EF9+1)&lt;&gt;"",
INDIRECT("'盛付札（関数）'!FL"&amp;EF9+1),INDIRECT("'盛付札（関数）'!FM"&amp;EF9+1)),
IF(INDIRECT("'盛付札（関数）'!FL"&amp;EF9)&lt;&gt;"",
INDIRECT("'盛付札（関数）'!FL"&amp;EF9),INDIRECT("'盛付札（関数）'!FM"&amp;EF9))))),"")</f>
        <v/>
      </c>
      <c r="EL10" s="68"/>
      <c r="EM10" s="78"/>
      <c r="EN10" s="61" t="str">
        <f ca="1">IF(COUNTIF(INDIRECT("'盛付札（関数）'!FJ"&amp;EM9+1),"*雙葉*"),"●",
"〇")</f>
        <v>〇</v>
      </c>
      <c r="EO10" s="76" t="str">
        <f t="array" aca="1" ref="EO10" ca="1">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IF(EN10="△",
INDIRECT("'盛付札（関数）'!FK"&amp;EM9+1),INDIRECT("'盛付札（関数）'!FK"&amp;EM9))))</f>
        <v/>
      </c>
      <c r="EP10" s="70"/>
      <c r="EQ10" s="70"/>
      <c r="ER10" s="77" t="str">
        <f t="array" aca="1" ref="ER10" ca="1">IF(EO9&lt;&gt;"",
IF(OR(INDIRECT("'盛付札（関数）'!FI"&amp;EM9)=121,INDIRECT("'盛付札（関数）'!FI"&amp;EM9)=122,INDIRECT("'盛付札（関数）'!FI"&amp;EM9)=123),"",
IF(EN10="●",
SUBSTITUTE(SUBSTITUTE(SUBSTITUTE(INDIRECT("'盛付札（関数）'!FL"&amp;EM9),100,""),120,""),150,""),
IF(EN10="△",
IF(INDIRECT("'盛付札（関数）'!FL"&amp;EM9+1)&lt;&gt;"",
INDIRECT("'盛付札（関数）'!FL"&amp;EM9+1),INDIRECT("'盛付札（関数）'!FM"&amp;EM9+1)),
IF(INDIRECT("'盛付札（関数）'!FL"&amp;EM9)&lt;&gt;"",
INDIRECT("'盛付札（関数）'!FL"&amp;EM9),INDIRECT("'盛付札（関数）'!FM"&amp;EM9))))),"")</f>
        <v/>
      </c>
      <c r="ES10" s="68"/>
      <c r="ET10" s="49"/>
    </row>
    <row r="11" spans="1:150" s="60" customFormat="1" x14ac:dyDescent="0.55000000000000004">
      <c r="A11" s="59"/>
      <c r="B11" s="63"/>
      <c r="C11" s="200" t="str">
        <f t="array" aca="1" ref="C11" ca="1">IF(C9&lt;&gt;"",
IF(C12&lt;&gt;"",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"園児")),""),"")</f>
        <v/>
      </c>
      <c r="D11" s="201"/>
      <c r="E11" s="49"/>
      <c r="F11" s="60" t="str">
        <f t="array" aca="1" ref="F11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"先生")),"")</f>
        <v/>
      </c>
      <c r="G11" s="69"/>
      <c r="H11" s="65"/>
      <c r="I11" s="63"/>
      <c r="J11" s="200" t="e">
        <f t="array" aca="1" ref="J11" ca="1">IF(J9&lt;&gt;"",
IF(J12&lt;&gt;"",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"園児")),""),"")</f>
        <v>#N/A</v>
      </c>
      <c r="K11" s="201"/>
      <c r="L11" s="49"/>
      <c r="M11" s="60" t="str">
        <f t="array" aca="1" ref="M11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"先生")),"")</f>
        <v/>
      </c>
      <c r="N11" s="69"/>
      <c r="O11" s="49"/>
      <c r="P11" s="59"/>
      <c r="Q11" s="63"/>
      <c r="R11" s="200" t="str">
        <f t="array" aca="1" ref="R11" ca="1">IF(R9&lt;&gt;"",
IF(R12&lt;&gt;"",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"園児")),""),"")</f>
        <v/>
      </c>
      <c r="S11" s="201"/>
      <c r="T11" s="49"/>
      <c r="U11" s="60" t="str">
        <f t="array" aca="1" ref="U11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"先生")),"")</f>
        <v/>
      </c>
      <c r="V11" s="69"/>
      <c r="W11" s="65"/>
      <c r="X11" s="63"/>
      <c r="Y11" s="200" t="str">
        <f t="array" aca="1" ref="Y11" ca="1">IF(Y9&lt;&gt;"",
IF(Y12&lt;&gt;"",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"園児")),""),"")</f>
        <v/>
      </c>
      <c r="Z11" s="201"/>
      <c r="AA11" s="49"/>
      <c r="AB11" s="60" t="str">
        <f t="array" aca="1" ref="AB11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"先生")),"")</f>
        <v/>
      </c>
      <c r="AC11" s="69"/>
      <c r="AD11" s="49"/>
      <c r="AE11" s="59"/>
      <c r="AF11" s="63"/>
      <c r="AG11" s="200" t="str">
        <f t="array" aca="1" ref="AG11" ca="1">IF(AG9&lt;&gt;"",
IF(AG12&lt;&gt;"",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"園児")),""),"")</f>
        <v/>
      </c>
      <c r="AH11" s="201"/>
      <c r="AI11" s="49"/>
      <c r="AJ11" s="60" t="str">
        <f t="array" aca="1" ref="AJ11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"先生")),"")</f>
        <v/>
      </c>
      <c r="AK11" s="69"/>
      <c r="AL11" s="65"/>
      <c r="AM11" s="63"/>
      <c r="AN11" s="200" t="str">
        <f t="array" aca="1" ref="AN11" ca="1">IF(AN9&lt;&gt;"",
IF(AN12&lt;&gt;"",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"園児")),""),"")</f>
        <v/>
      </c>
      <c r="AO11" s="201"/>
      <c r="AP11" s="49"/>
      <c r="AQ11" s="60" t="str">
        <f t="array" aca="1" ref="AQ11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"先生")),"")</f>
        <v/>
      </c>
      <c r="AR11" s="69"/>
      <c r="AS11" s="49"/>
      <c r="AT11" s="59"/>
      <c r="AU11" s="63"/>
      <c r="AV11" s="200" t="str">
        <f t="array" aca="1" ref="AV11" ca="1">IF(AV9&lt;&gt;"",
IF(AV12&lt;&gt;"",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"園児")),""),"")</f>
        <v/>
      </c>
      <c r="AW11" s="201"/>
      <c r="AX11" s="49"/>
      <c r="AY11" s="60" t="str">
        <f t="array" aca="1" ref="AY11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"先生")),"")</f>
        <v/>
      </c>
      <c r="AZ11" s="69"/>
      <c r="BA11" s="65"/>
      <c r="BB11" s="63"/>
      <c r="BC11" s="200" t="str">
        <f t="array" aca="1" ref="BC11" ca="1">IF(BC9&lt;&gt;"",
IF(BC12&lt;&gt;"",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"園児")),""),"")</f>
        <v/>
      </c>
      <c r="BD11" s="201"/>
      <c r="BE11" s="49"/>
      <c r="BF11" s="60" t="str">
        <f t="array" aca="1" ref="BF11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"先生")),"")</f>
        <v/>
      </c>
      <c r="BG11" s="69"/>
      <c r="BH11" s="49"/>
      <c r="BI11" s="59"/>
      <c r="BJ11" s="63"/>
      <c r="BK11" s="200" t="str">
        <f t="array" aca="1" ref="BK11" ca="1">IF(BK9&lt;&gt;"",
IF(BK12&lt;&gt;"",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"園児")),""),"")</f>
        <v/>
      </c>
      <c r="BL11" s="201"/>
      <c r="BM11" s="49"/>
      <c r="BN11" s="60" t="str">
        <f t="array" aca="1" ref="BN11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"先生")),"")</f>
        <v/>
      </c>
      <c r="BO11" s="69"/>
      <c r="BP11" s="65"/>
      <c r="BQ11" s="63"/>
      <c r="BR11" s="200" t="str">
        <f t="array" aca="1" ref="BR11" ca="1">IF(BR9&lt;&gt;"",
IF(BR12&lt;&gt;"",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"園児")),""),"")</f>
        <v/>
      </c>
      <c r="BS11" s="201"/>
      <c r="BT11" s="49"/>
      <c r="BU11" s="60" t="str">
        <f t="array" aca="1" ref="BU11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"先生")),"")</f>
        <v/>
      </c>
      <c r="BV11" s="69"/>
      <c r="BW11" s="49"/>
      <c r="BX11" s="59"/>
      <c r="BY11" s="63"/>
      <c r="BZ11" s="200" t="str">
        <f t="array" aca="1" ref="BZ11" ca="1">IF(BZ9&lt;&gt;"",
IF(BZ12&lt;&gt;"",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"園児")),""),"")</f>
        <v/>
      </c>
      <c r="CA11" s="201"/>
      <c r="CB11" s="49"/>
      <c r="CC11" s="60" t="str">
        <f t="array" aca="1" ref="CC11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"先生")),"")</f>
        <v/>
      </c>
      <c r="CD11" s="69"/>
      <c r="CE11" s="65"/>
      <c r="CF11" s="63"/>
      <c r="CG11" s="200" t="str">
        <f t="array" aca="1" ref="CG11" ca="1">IF(CG9&lt;&gt;"",
IF(CG12&lt;&gt;"",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"園児")),""),"")</f>
        <v/>
      </c>
      <c r="CH11" s="201"/>
      <c r="CI11" s="49"/>
      <c r="CJ11" s="60" t="str">
        <f t="array" aca="1" ref="CJ11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"先生")),"")</f>
        <v/>
      </c>
      <c r="CK11" s="69"/>
      <c r="CL11" s="49"/>
      <c r="CM11" s="59"/>
      <c r="CN11" s="63"/>
      <c r="CO11" s="200" t="str">
        <f t="array" aca="1" ref="CO11" ca="1">IF(CO9&lt;&gt;"",
IF(CO12&lt;&gt;"",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"園児")),""),"")</f>
        <v/>
      </c>
      <c r="CP11" s="201"/>
      <c r="CQ11" s="49"/>
      <c r="CR11" s="60" t="str">
        <f t="array" aca="1" ref="CR11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"先生")),"")</f>
        <v/>
      </c>
      <c r="CS11" s="69"/>
      <c r="CT11" s="65"/>
      <c r="CU11" s="63"/>
      <c r="CV11" s="200" t="str">
        <f t="array" aca="1" ref="CV11" ca="1">IF(CV9&lt;&gt;"",
IF(CV12&lt;&gt;"",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"園児")),""),"")</f>
        <v/>
      </c>
      <c r="CW11" s="201"/>
      <c r="CX11" s="49"/>
      <c r="CY11" s="60" t="str">
        <f t="array" aca="1" ref="CY11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"先生")),"")</f>
        <v/>
      </c>
      <c r="CZ11" s="69"/>
      <c r="DA11" s="49"/>
      <c r="DB11" s="59"/>
      <c r="DC11" s="63"/>
      <c r="DD11" s="200" t="str">
        <f t="array" aca="1" ref="DD11" ca="1">IF(DD9&lt;&gt;"",
IF(DD12&lt;&gt;"",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"園児")),""),"")</f>
        <v/>
      </c>
      <c r="DE11" s="201"/>
      <c r="DF11" s="49"/>
      <c r="DG11" s="60" t="str">
        <f t="array" aca="1" ref="DG11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"先生")),"")</f>
        <v/>
      </c>
      <c r="DH11" s="69"/>
      <c r="DI11" s="65"/>
      <c r="DJ11" s="63"/>
      <c r="DK11" s="200" t="str">
        <f t="array" aca="1" ref="DK11" ca="1">IF(DK9&lt;&gt;"",
IF(DK12&lt;&gt;"",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"園児")),""),"")</f>
        <v/>
      </c>
      <c r="DL11" s="201"/>
      <c r="DM11" s="49"/>
      <c r="DN11" s="60" t="str">
        <f t="array" aca="1" ref="DN11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"先生")),"")</f>
        <v/>
      </c>
      <c r="DO11" s="69"/>
      <c r="DP11" s="49"/>
      <c r="DQ11" s="59"/>
      <c r="DR11" s="63"/>
      <c r="DS11" s="200" t="str">
        <f t="array" aca="1" ref="DS11" ca="1">IF(DS9&lt;&gt;"",
IF(DS12&lt;&gt;"",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"園児")),""),"")</f>
        <v/>
      </c>
      <c r="DT11" s="201"/>
      <c r="DU11" s="49"/>
      <c r="DV11" s="60" t="str">
        <f t="array" aca="1" ref="DV11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"先生")),"")</f>
        <v/>
      </c>
      <c r="DW11" s="69"/>
      <c r="DX11" s="65"/>
      <c r="DY11" s="63"/>
      <c r="DZ11" s="200" t="str">
        <f t="array" aca="1" ref="DZ11" ca="1">IF(DZ9&lt;&gt;"",
IF(DZ12&lt;&gt;"",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"園児")),""),"")</f>
        <v/>
      </c>
      <c r="EA11" s="201"/>
      <c r="EB11" s="49"/>
      <c r="EC11" s="60" t="str">
        <f t="array" aca="1" ref="EC11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"先生")),"")</f>
        <v/>
      </c>
      <c r="ED11" s="69"/>
      <c r="EE11" s="49"/>
      <c r="EF11" s="59"/>
      <c r="EG11" s="63"/>
      <c r="EH11" s="200" t="str">
        <f t="array" aca="1" ref="EH11" ca="1">IF(EH9&lt;&gt;"",
IF(EH12&lt;&gt;"",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"園児")),""),"")</f>
        <v/>
      </c>
      <c r="EI11" s="201"/>
      <c r="EJ11" s="49"/>
      <c r="EK11" s="60" t="str">
        <f t="array" aca="1" ref="EK11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"先生")),"")</f>
        <v/>
      </c>
      <c r="EL11" s="69"/>
      <c r="EM11" s="65"/>
      <c r="EN11" s="63"/>
      <c r="EO11" s="200" t="str">
        <f t="array" aca="1" ref="EO11" ca="1">IF(EO9&lt;&gt;"",
IF(EO12&lt;&gt;"",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"園児")),""),"")</f>
        <v/>
      </c>
      <c r="EP11" s="201"/>
      <c r="EQ11" s="49"/>
      <c r="ER11" s="60" t="str">
        <f t="array" aca="1" ref="ER11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"先生")),"")</f>
        <v/>
      </c>
      <c r="ES11" s="69"/>
      <c r="ET11" s="49"/>
    </row>
    <row r="12" spans="1:150" ht="15.6" customHeight="1" x14ac:dyDescent="1.05">
      <c r="B12" s="53"/>
      <c r="C12" s="185">
        <f t="array" aca="1" ref="C12" ca="1">IF(B10="●",
INDIRECT("'盛付札（関数）'!FN"&amp;A9)+INDIRECT("'盛付札（関数）'!FN"&amp;A9+1),
IF(B10="△",
INDIRECT("'盛付札（関数）'!FN"&amp;A9+1),INDIRECT("'盛付札（関数）'!FN"&amp;A9)))</f>
        <v>2</v>
      </c>
      <c r="D12" s="199"/>
      <c r="E12" s="79"/>
      <c r="F12" s="197" t="str">
        <f t="array" aca="1" ref="F12" ca="1">IF(C9&lt;&gt;"",
IF(AND(INDIRECT("'盛付札（関数）'!FI"&amp;A9)&gt;=124,INDIRECT("'盛付札（関数）'!FI"&amp;A9)&lt;=144),"",
IF(OR(INDIRECT("'盛付札（関数）'!FI"&amp;A9)=121,INDIRECT("'盛付札（関数）'!FI"&amp;A9)=122,INDIRECT("'盛付札（関数）'!FI"&amp;A9)=123),"",
IF(B10="●",
IFERROR(INDIRECT("'盛付札（関数）'!FO"&amp;A9)+INDIRECT("'盛付札（関数）'!FO"&amp;A9+1),""),
IF(B10="△",
INDIRECT("'盛付札（関数）'!FO"&amp;A9+1),INDIRECT("'盛付札（関数）'!FO"&amp;A9))))),"")</f>
        <v/>
      </c>
      <c r="G12" s="198"/>
      <c r="H12" s="54"/>
      <c r="I12" s="53"/>
      <c r="J12" s="185" t="e">
        <f t="array" aca="1" ref="J12" ca="1">IF(I10="●",
INDIRECT("'盛付札（関数）'!FN"&amp;H9)+INDIRECT("'盛付札（関数）'!FN"&amp;H9+1),
IF(I10="△",
INDIRECT("'盛付札（関数）'!FN"&amp;H9+1),INDIRECT("'盛付札（関数）'!FN"&amp;H9)))</f>
        <v>#N/A</v>
      </c>
      <c r="K12" s="199"/>
      <c r="L12" s="79"/>
      <c r="M12" s="197" t="str">
        <f t="array" aca="1" ref="M12" ca="1">IF(J9&lt;&gt;"",
IF(AND(INDIRECT("'盛付札（関数）'!FI"&amp;H9)&gt;=124,INDIRECT("'盛付札（関数）'!FI"&amp;H9)&lt;=144),"",
IF(OR(INDIRECT("'盛付札（関数）'!FI"&amp;H9)=121,INDIRECT("'盛付札（関数）'!FI"&amp;H9)=122,INDIRECT("'盛付札（関数）'!FI"&amp;H9)=123),"",
IF(I10="●",
IFERROR(INDIRECT("'盛付札（関数）'!FO"&amp;H9)+INDIRECT("'盛付札（関数）'!FO"&amp;H9+1),""),
IF(I10="△",
INDIRECT("'盛付札（関数）'!FO"&amp;H9+1),INDIRECT("'盛付札（関数）'!FO"&amp;H9))))),"")</f>
        <v/>
      </c>
      <c r="N12" s="198"/>
      <c r="Q12" s="53"/>
      <c r="R12" s="185" t="str">
        <f t="array" aca="1" ref="R12" ca="1">IF(Q10="●",
INDIRECT("'盛付札（関数）'!FN"&amp;P9)+INDIRECT("'盛付札（関数）'!FN"&amp;P9+1),
IF(Q10="△",
INDIRECT("'盛付札（関数）'!FN"&amp;P9+1),INDIRECT("'盛付札（関数）'!FN"&amp;P9)))</f>
        <v/>
      </c>
      <c r="S12" s="199"/>
      <c r="T12" s="79"/>
      <c r="U12" s="197" t="str">
        <f t="array" aca="1" ref="U12" ca="1">IF(R9&lt;&gt;"",
IF(AND(INDIRECT("'盛付札（関数）'!FI"&amp;P9)&gt;=124,INDIRECT("'盛付札（関数）'!FI"&amp;P9)&lt;=144),"",
IF(OR(INDIRECT("'盛付札（関数）'!FI"&amp;P9)=121,INDIRECT("'盛付札（関数）'!FI"&amp;P9)=122,INDIRECT("'盛付札（関数）'!FI"&amp;P9)=123),"",
IF(Q10="●",
IFERROR(INDIRECT("'盛付札（関数）'!FO"&amp;P9)+INDIRECT("'盛付札（関数）'!FO"&amp;P9+1),""),
IF(Q10="△",
INDIRECT("'盛付札（関数）'!FO"&amp;P9+1),INDIRECT("'盛付札（関数）'!FO"&amp;P9))))),"")</f>
        <v/>
      </c>
      <c r="V12" s="198"/>
      <c r="W12" s="54"/>
      <c r="X12" s="53"/>
      <c r="Y12" s="185" t="str">
        <f t="array" aca="1" ref="Y12" ca="1">IF(X10="●",
INDIRECT("'盛付札（関数）'!FN"&amp;W9)+INDIRECT("'盛付札（関数）'!FN"&amp;W9+1),
IF(X10="△",
INDIRECT("'盛付札（関数）'!FN"&amp;W9+1),INDIRECT("'盛付札（関数）'!FN"&amp;W9)))</f>
        <v/>
      </c>
      <c r="Z12" s="199"/>
      <c r="AA12" s="79"/>
      <c r="AB12" s="197" t="str">
        <f t="array" aca="1" ref="AB12" ca="1">IF(Y9&lt;&gt;"",
IF(AND(INDIRECT("'盛付札（関数）'!FI"&amp;W9)&gt;=124,INDIRECT("'盛付札（関数）'!FI"&amp;W9)&lt;=144),"",
IF(OR(INDIRECT("'盛付札（関数）'!FI"&amp;W9)=121,INDIRECT("'盛付札（関数）'!FI"&amp;W9)=122,INDIRECT("'盛付札（関数）'!FI"&amp;W9)=123),"",
IF(X10="●",
IFERROR(INDIRECT("'盛付札（関数）'!FO"&amp;W9)+INDIRECT("'盛付札（関数）'!FO"&amp;W9+1),""),
IF(X10="△",
INDIRECT("'盛付札（関数）'!FO"&amp;W9+1),INDIRECT("'盛付札（関数）'!FO"&amp;W9))))),"")</f>
        <v/>
      </c>
      <c r="AC12" s="198"/>
      <c r="AF12" s="53"/>
      <c r="AG12" s="185" t="str">
        <f t="array" aca="1" ref="AG12" ca="1">IF(AF10="●",
INDIRECT("'盛付札（関数）'!FN"&amp;AE9)+INDIRECT("'盛付札（関数）'!FN"&amp;AE9+1),
IF(AF10="△",
INDIRECT("'盛付札（関数）'!FN"&amp;AE9+1),INDIRECT("'盛付札（関数）'!FN"&amp;AE9)))</f>
        <v/>
      </c>
      <c r="AH12" s="199"/>
      <c r="AI12" s="79"/>
      <c r="AJ12" s="197" t="str">
        <f t="array" aca="1" ref="AJ12" ca="1">IF(AG9&lt;&gt;"",
IF(AND(INDIRECT("'盛付札（関数）'!FI"&amp;AE9)&gt;=124,INDIRECT("'盛付札（関数）'!FI"&amp;AE9)&lt;=144),"",
IF(OR(INDIRECT("'盛付札（関数）'!FI"&amp;AE9)=121,INDIRECT("'盛付札（関数）'!FI"&amp;AE9)=122,INDIRECT("'盛付札（関数）'!FI"&amp;AE9)=123),"",
IF(AF10="●",
IFERROR(INDIRECT("'盛付札（関数）'!FO"&amp;AE9)+INDIRECT("'盛付札（関数）'!FO"&amp;AE9+1),""),
IF(AF10="△",
INDIRECT("'盛付札（関数）'!FO"&amp;AE9+1),INDIRECT("'盛付札（関数）'!FO"&amp;AE9))))),"")</f>
        <v/>
      </c>
      <c r="AK12" s="198"/>
      <c r="AL12" s="54"/>
      <c r="AM12" s="53"/>
      <c r="AN12" s="185" t="str">
        <f t="array" aca="1" ref="AN12" ca="1">IF(AM10="●",
INDIRECT("'盛付札（関数）'!FN"&amp;AL9)+INDIRECT("'盛付札（関数）'!FN"&amp;AL9+1),
IF(AM10="△",
INDIRECT("'盛付札（関数）'!FN"&amp;AL9+1),INDIRECT("'盛付札（関数）'!FN"&amp;AL9)))</f>
        <v/>
      </c>
      <c r="AO12" s="199"/>
      <c r="AP12" s="79"/>
      <c r="AQ12" s="197" t="str">
        <f t="array" aca="1" ref="AQ12" ca="1">IF(AN9&lt;&gt;"",
IF(AND(INDIRECT("'盛付札（関数）'!FI"&amp;AL9)&gt;=124,INDIRECT("'盛付札（関数）'!FI"&amp;AL9)&lt;=144),"",
IF(OR(INDIRECT("'盛付札（関数）'!FI"&amp;AL9)=121,INDIRECT("'盛付札（関数）'!FI"&amp;AL9)=122,INDIRECT("'盛付札（関数）'!FI"&amp;AL9)=123),"",
IF(AM10="●",
IFERROR(INDIRECT("'盛付札（関数）'!FO"&amp;AL9)+INDIRECT("'盛付札（関数）'!FO"&amp;AL9+1),""),
IF(AM10="△",
INDIRECT("'盛付札（関数）'!FO"&amp;AL9+1),INDIRECT("'盛付札（関数）'!FO"&amp;AL9))))),"")</f>
        <v/>
      </c>
      <c r="AR12" s="198"/>
      <c r="AU12" s="53"/>
      <c r="AV12" s="185" t="str">
        <f t="array" aca="1" ref="AV12" ca="1">IF(AU10="●",
INDIRECT("'盛付札（関数）'!FN"&amp;AT9)+INDIRECT("'盛付札（関数）'!FN"&amp;AT9+1),
IF(AU10="△",
INDIRECT("'盛付札（関数）'!FN"&amp;AT9+1),INDIRECT("'盛付札（関数）'!FN"&amp;AT9)))</f>
        <v/>
      </c>
      <c r="AW12" s="199"/>
      <c r="AX12" s="79"/>
      <c r="AY12" s="197" t="str">
        <f t="array" aca="1" ref="AY12" ca="1">IF(AV9&lt;&gt;"",
IF(AND(INDIRECT("'盛付札（関数）'!FI"&amp;AT9)&gt;=124,INDIRECT("'盛付札（関数）'!FI"&amp;AT9)&lt;=144),"",
IF(OR(INDIRECT("'盛付札（関数）'!FI"&amp;AT9)=121,INDIRECT("'盛付札（関数）'!FI"&amp;AT9)=122,INDIRECT("'盛付札（関数）'!FI"&amp;AT9)=123),"",
IF(AU10="●",
IFERROR(INDIRECT("'盛付札（関数）'!FO"&amp;AT9)+INDIRECT("'盛付札（関数）'!FO"&amp;AT9+1),""),
IF(AU10="△",
INDIRECT("'盛付札（関数）'!FO"&amp;AT9+1),INDIRECT("'盛付札（関数）'!FO"&amp;AT9))))),"")</f>
        <v/>
      </c>
      <c r="AZ12" s="198"/>
      <c r="BA12" s="54"/>
      <c r="BB12" s="53"/>
      <c r="BC12" s="185" t="str">
        <f t="array" aca="1" ref="BC12" ca="1">IF(BB10="●",
INDIRECT("'盛付札（関数）'!FN"&amp;BA9)+INDIRECT("'盛付札（関数）'!FN"&amp;BA9+1),
IF(BB10="△",
INDIRECT("'盛付札（関数）'!FN"&amp;BA9+1),INDIRECT("'盛付札（関数）'!FN"&amp;BA9)))</f>
        <v/>
      </c>
      <c r="BD12" s="199"/>
      <c r="BE12" s="79"/>
      <c r="BF12" s="197" t="str">
        <f t="array" aca="1" ref="BF12" ca="1">IF(BC9&lt;&gt;"",
IF(AND(INDIRECT("'盛付札（関数）'!FI"&amp;BA9)&gt;=124,INDIRECT("'盛付札（関数）'!FI"&amp;BA9)&lt;=144),"",
IF(OR(INDIRECT("'盛付札（関数）'!FI"&amp;BA9)=121,INDIRECT("'盛付札（関数）'!FI"&amp;BA9)=122,INDIRECT("'盛付札（関数）'!FI"&amp;BA9)=123),"",
IF(BB10="●",
IFERROR(INDIRECT("'盛付札（関数）'!FO"&amp;BA9)+INDIRECT("'盛付札（関数）'!FO"&amp;BA9+1),""),
IF(BB10="△",
INDIRECT("'盛付札（関数）'!FO"&amp;BA9+1),INDIRECT("'盛付札（関数）'!FO"&amp;BA9))))),"")</f>
        <v/>
      </c>
      <c r="BG12" s="198"/>
      <c r="BJ12" s="53"/>
      <c r="BK12" s="185" t="str">
        <f t="array" aca="1" ref="BK12" ca="1">IF(BJ10="●",
INDIRECT("'盛付札（関数）'!FN"&amp;BI9)+INDIRECT("'盛付札（関数）'!FN"&amp;BI9+1),
IF(BJ10="△",
INDIRECT("'盛付札（関数）'!FN"&amp;BI9+1),INDIRECT("'盛付札（関数）'!FN"&amp;BI9)))</f>
        <v/>
      </c>
      <c r="BL12" s="199"/>
      <c r="BM12" s="79"/>
      <c r="BN12" s="197" t="str">
        <f t="array" aca="1" ref="BN12" ca="1">IF(BK9&lt;&gt;"",
IF(AND(INDIRECT("'盛付札（関数）'!FI"&amp;BI9)&gt;=124,INDIRECT("'盛付札（関数）'!FI"&amp;BI9)&lt;=144),"",
IF(OR(INDIRECT("'盛付札（関数）'!FI"&amp;BI9)=121,INDIRECT("'盛付札（関数）'!FI"&amp;BI9)=122,INDIRECT("'盛付札（関数）'!FI"&amp;BI9)=123),"",
IF(BJ10="●",
IFERROR(INDIRECT("'盛付札（関数）'!FO"&amp;BI9)+INDIRECT("'盛付札（関数）'!FO"&amp;BI9+1),""),
IF(BJ10="△",
INDIRECT("'盛付札（関数）'!FO"&amp;BI9+1),INDIRECT("'盛付札（関数）'!FO"&amp;BI9))))),"")</f>
        <v/>
      </c>
      <c r="BO12" s="198"/>
      <c r="BP12" s="54"/>
      <c r="BQ12" s="53"/>
      <c r="BR12" s="185" t="str">
        <f t="array" aca="1" ref="BR12" ca="1">IF(BQ10="●",
INDIRECT("'盛付札（関数）'!FN"&amp;BP9)+INDIRECT("'盛付札（関数）'!FN"&amp;BP9+1),
IF(BQ10="△",
INDIRECT("'盛付札（関数）'!FN"&amp;BP9+1),INDIRECT("'盛付札（関数）'!FN"&amp;BP9)))</f>
        <v/>
      </c>
      <c r="BS12" s="199"/>
      <c r="BT12" s="79"/>
      <c r="BU12" s="197" t="str">
        <f t="array" aca="1" ref="BU12" ca="1">IF(BR9&lt;&gt;"",
IF(AND(INDIRECT("'盛付札（関数）'!FI"&amp;BP9)&gt;=124,INDIRECT("'盛付札（関数）'!FI"&amp;BP9)&lt;=144),"",
IF(OR(INDIRECT("'盛付札（関数）'!FI"&amp;BP9)=121,INDIRECT("'盛付札（関数）'!FI"&amp;BP9)=122,INDIRECT("'盛付札（関数）'!FI"&amp;BP9)=123),"",
IF(BQ10="●",
IFERROR(INDIRECT("'盛付札（関数）'!FO"&amp;BP9)+INDIRECT("'盛付札（関数）'!FO"&amp;BP9+1),""),
IF(BQ10="△",
INDIRECT("'盛付札（関数）'!FO"&amp;BP9+1),INDIRECT("'盛付札（関数）'!FO"&amp;BP9))))),"")</f>
        <v/>
      </c>
      <c r="BV12" s="198"/>
      <c r="BY12" s="53"/>
      <c r="BZ12" s="185" t="str">
        <f t="array" aca="1" ref="BZ12" ca="1">IF(BY10="●",
INDIRECT("'盛付札（関数）'!FN"&amp;BX9)+INDIRECT("'盛付札（関数）'!FN"&amp;BX9+1),
IF(BY10="△",
INDIRECT("'盛付札（関数）'!FN"&amp;BX9+1),INDIRECT("'盛付札（関数）'!FN"&amp;BX9)))</f>
        <v/>
      </c>
      <c r="CA12" s="199"/>
      <c r="CB12" s="79"/>
      <c r="CC12" s="197" t="str">
        <f t="array" aca="1" ref="CC12" ca="1">IF(BZ9&lt;&gt;"",
IF(AND(INDIRECT("'盛付札（関数）'!FI"&amp;BX9)&gt;=124,INDIRECT("'盛付札（関数）'!FI"&amp;BX9)&lt;=144),"",
IF(OR(INDIRECT("'盛付札（関数）'!FI"&amp;BX9)=121,INDIRECT("'盛付札（関数）'!FI"&amp;BX9)=122,INDIRECT("'盛付札（関数）'!FI"&amp;BX9)=123),"",
IF(BY10="●",
IFERROR(INDIRECT("'盛付札（関数）'!FO"&amp;BX9)+INDIRECT("'盛付札（関数）'!FO"&amp;BX9+1),""),
IF(BY10="△",
INDIRECT("'盛付札（関数）'!FO"&amp;BX9+1),INDIRECT("'盛付札（関数）'!FO"&amp;BX9))))),"")</f>
        <v/>
      </c>
      <c r="CD12" s="198"/>
      <c r="CE12" s="54"/>
      <c r="CF12" s="53"/>
      <c r="CG12" s="185" t="str">
        <f t="array" aca="1" ref="CG12" ca="1">IF(CF10="●",
INDIRECT("'盛付札（関数）'!FN"&amp;CE9)+INDIRECT("'盛付札（関数）'!FN"&amp;CE9+1),
IF(CF10="△",
INDIRECT("'盛付札（関数）'!FN"&amp;CE9+1),INDIRECT("'盛付札（関数）'!FN"&amp;CE9)))</f>
        <v/>
      </c>
      <c r="CH12" s="199"/>
      <c r="CI12" s="79"/>
      <c r="CJ12" s="197" t="str">
        <f t="array" aca="1" ref="CJ12" ca="1">IF(CG9&lt;&gt;"",
IF(AND(INDIRECT("'盛付札（関数）'!FI"&amp;CE9)&gt;=124,INDIRECT("'盛付札（関数）'!FI"&amp;CE9)&lt;=144),"",
IF(OR(INDIRECT("'盛付札（関数）'!FI"&amp;CE9)=121,INDIRECT("'盛付札（関数）'!FI"&amp;CE9)=122,INDIRECT("'盛付札（関数）'!FI"&amp;CE9)=123),"",
IF(CF10="●",
IFERROR(INDIRECT("'盛付札（関数）'!FO"&amp;CE9)+INDIRECT("'盛付札（関数）'!FO"&amp;CE9+1),""),
IF(CF10="△",
INDIRECT("'盛付札（関数）'!FO"&amp;CE9+1),INDIRECT("'盛付札（関数）'!FO"&amp;CE9))))),"")</f>
        <v/>
      </c>
      <c r="CK12" s="198"/>
      <c r="CN12" s="53"/>
      <c r="CO12" s="185" t="str">
        <f t="array" aca="1" ref="CO12" ca="1">IF(CN10="●",
INDIRECT("'盛付札（関数）'!FN"&amp;CM9)+INDIRECT("'盛付札（関数）'!FN"&amp;CM9+1),
IF(CN10="△",
INDIRECT("'盛付札（関数）'!FN"&amp;CM9+1),INDIRECT("'盛付札（関数）'!FN"&amp;CM9)))</f>
        <v/>
      </c>
      <c r="CP12" s="199"/>
      <c r="CQ12" s="79"/>
      <c r="CR12" s="197" t="str">
        <f t="array" aca="1" ref="CR12" ca="1">IF(CO9&lt;&gt;"",
IF(AND(INDIRECT("'盛付札（関数）'!FI"&amp;CM9)&gt;=124,INDIRECT("'盛付札（関数）'!FI"&amp;CM9)&lt;=144),"",
IF(OR(INDIRECT("'盛付札（関数）'!FI"&amp;CM9)=121,INDIRECT("'盛付札（関数）'!FI"&amp;CM9)=122,INDIRECT("'盛付札（関数）'!FI"&amp;CM9)=123),"",
IF(CN10="●",
IFERROR(INDIRECT("'盛付札（関数）'!FO"&amp;CM9)+INDIRECT("'盛付札（関数）'!FO"&amp;CM9+1),""),
IF(CN10="△",
INDIRECT("'盛付札（関数）'!FO"&amp;CM9+1),INDIRECT("'盛付札（関数）'!FO"&amp;CM9))))),"")</f>
        <v/>
      </c>
      <c r="CS12" s="198"/>
      <c r="CT12" s="54"/>
      <c r="CU12" s="53"/>
      <c r="CV12" s="185" t="str">
        <f t="array" aca="1" ref="CV12" ca="1">IF(CU10="●",
INDIRECT("'盛付札（関数）'!FN"&amp;CT9)+INDIRECT("'盛付札（関数）'!FN"&amp;CT9+1),
IF(CU10="△",
INDIRECT("'盛付札（関数）'!FN"&amp;CT9+1),INDIRECT("'盛付札（関数）'!FN"&amp;CT9)))</f>
        <v/>
      </c>
      <c r="CW12" s="199"/>
      <c r="CX12" s="79"/>
      <c r="CY12" s="197" t="str">
        <f t="array" aca="1" ref="CY12" ca="1">IF(CV9&lt;&gt;"",
IF(AND(INDIRECT("'盛付札（関数）'!FI"&amp;CT9)&gt;=124,INDIRECT("'盛付札（関数）'!FI"&amp;CT9)&lt;=144),"",
IF(OR(INDIRECT("'盛付札（関数）'!FI"&amp;CT9)=121,INDIRECT("'盛付札（関数）'!FI"&amp;CT9)=122,INDIRECT("'盛付札（関数）'!FI"&amp;CT9)=123),"",
IF(CU10="●",
IFERROR(INDIRECT("'盛付札（関数）'!FO"&amp;CT9)+INDIRECT("'盛付札（関数）'!FO"&amp;CT9+1),""),
IF(CU10="△",
INDIRECT("'盛付札（関数）'!FO"&amp;CT9+1),INDIRECT("'盛付札（関数）'!FO"&amp;CT9))))),"")</f>
        <v/>
      </c>
      <c r="CZ12" s="198"/>
      <c r="DC12" s="53"/>
      <c r="DD12" s="185" t="str">
        <f t="array" aca="1" ref="DD12" ca="1">IF(DC10="●",
INDIRECT("'盛付札（関数）'!FN"&amp;DB9)+INDIRECT("'盛付札（関数）'!FN"&amp;DB9+1),
IF(DC10="△",
INDIRECT("'盛付札（関数）'!FN"&amp;DB9+1),INDIRECT("'盛付札（関数）'!FN"&amp;DB9)))</f>
        <v/>
      </c>
      <c r="DE12" s="199"/>
      <c r="DF12" s="79"/>
      <c r="DG12" s="197" t="str">
        <f t="array" aca="1" ref="DG12" ca="1">IF(DD9&lt;&gt;"",
IF(AND(INDIRECT("'盛付札（関数）'!FI"&amp;DB9)&gt;=124,INDIRECT("'盛付札（関数）'!FI"&amp;DB9)&lt;=144),"",
IF(OR(INDIRECT("'盛付札（関数）'!FI"&amp;DB9)=121,INDIRECT("'盛付札（関数）'!FI"&amp;DB9)=122,INDIRECT("'盛付札（関数）'!FI"&amp;DB9)=123),"",
IF(DC10="●",
IFERROR(INDIRECT("'盛付札（関数）'!FO"&amp;DB9)+INDIRECT("'盛付札（関数）'!FO"&amp;DB9+1),""),
IF(DC10="△",
INDIRECT("'盛付札（関数）'!FO"&amp;DB9+1),INDIRECT("'盛付札（関数）'!FO"&amp;DB9))))),"")</f>
        <v/>
      </c>
      <c r="DH12" s="198"/>
      <c r="DI12" s="54"/>
      <c r="DJ12" s="53"/>
      <c r="DK12" s="185" t="str">
        <f t="array" aca="1" ref="DK12" ca="1">IF(DJ10="●",
INDIRECT("'盛付札（関数）'!FN"&amp;DI9)+INDIRECT("'盛付札（関数）'!FN"&amp;DI9+1),
IF(DJ10="△",
INDIRECT("'盛付札（関数）'!FN"&amp;DI9+1),INDIRECT("'盛付札（関数）'!FN"&amp;DI9)))</f>
        <v/>
      </c>
      <c r="DL12" s="199"/>
      <c r="DM12" s="79"/>
      <c r="DN12" s="197" t="str">
        <f t="array" aca="1" ref="DN12" ca="1">IF(DK9&lt;&gt;"",
IF(AND(INDIRECT("'盛付札（関数）'!FI"&amp;DI9)&gt;=124,INDIRECT("'盛付札（関数）'!FI"&amp;DI9)&lt;=144),"",
IF(OR(INDIRECT("'盛付札（関数）'!FI"&amp;DI9)=121,INDIRECT("'盛付札（関数）'!FI"&amp;DI9)=122,INDIRECT("'盛付札（関数）'!FI"&amp;DI9)=123),"",
IF(DJ10="●",
IFERROR(INDIRECT("'盛付札（関数）'!FO"&amp;DI9)+INDIRECT("'盛付札（関数）'!FO"&amp;DI9+1),""),
IF(DJ10="△",
INDIRECT("'盛付札（関数）'!FO"&amp;DI9+1),INDIRECT("'盛付札（関数）'!FO"&amp;DI9))))),"")</f>
        <v/>
      </c>
      <c r="DO12" s="198"/>
      <c r="DR12" s="53"/>
      <c r="DS12" s="185" t="str">
        <f t="array" aca="1" ref="DS12" ca="1">IF(DR10="●",
INDIRECT("'盛付札（関数）'!FN"&amp;DQ9)+INDIRECT("'盛付札（関数）'!FN"&amp;DQ9+1),
IF(DR10="△",
INDIRECT("'盛付札（関数）'!FN"&amp;DQ9+1),INDIRECT("'盛付札（関数）'!FN"&amp;DQ9)))</f>
        <v/>
      </c>
      <c r="DT12" s="199"/>
      <c r="DU12" s="79"/>
      <c r="DV12" s="197" t="str">
        <f t="array" aca="1" ref="DV12" ca="1">IF(DS9&lt;&gt;"",
IF(AND(INDIRECT("'盛付札（関数）'!FI"&amp;DQ9)&gt;=124,INDIRECT("'盛付札（関数）'!FI"&amp;DQ9)&lt;=144),"",
IF(OR(INDIRECT("'盛付札（関数）'!FI"&amp;DQ9)=121,INDIRECT("'盛付札（関数）'!FI"&amp;DQ9)=122,INDIRECT("'盛付札（関数）'!FI"&amp;DQ9)=123),"",
IF(DR10="●",
IFERROR(INDIRECT("'盛付札（関数）'!FO"&amp;DQ9)+INDIRECT("'盛付札（関数）'!FO"&amp;DQ9+1),""),
IF(DR10="△",
INDIRECT("'盛付札（関数）'!FO"&amp;DQ9+1),INDIRECT("'盛付札（関数）'!FO"&amp;DQ9))))),"")</f>
        <v/>
      </c>
      <c r="DW12" s="198"/>
      <c r="DX12" s="54"/>
      <c r="DY12" s="53"/>
      <c r="DZ12" s="185" t="str">
        <f t="array" aca="1" ref="DZ12" ca="1">IF(DY10="●",
INDIRECT("'盛付札（関数）'!FN"&amp;DX9)+INDIRECT("'盛付札（関数）'!FN"&amp;DX9+1),
IF(DY10="△",
INDIRECT("'盛付札（関数）'!FN"&amp;DX9+1),INDIRECT("'盛付札（関数）'!FN"&amp;DX9)))</f>
        <v/>
      </c>
      <c r="EA12" s="199"/>
      <c r="EB12" s="79"/>
      <c r="EC12" s="197" t="str">
        <f t="array" aca="1" ref="EC12" ca="1">IF(DZ9&lt;&gt;"",
IF(AND(INDIRECT("'盛付札（関数）'!FI"&amp;DX9)&gt;=124,INDIRECT("'盛付札（関数）'!FI"&amp;DX9)&lt;=144),"",
IF(OR(INDIRECT("'盛付札（関数）'!FI"&amp;DX9)=121,INDIRECT("'盛付札（関数）'!FI"&amp;DX9)=122,INDIRECT("'盛付札（関数）'!FI"&amp;DX9)=123),"",
IF(DY10="●",
IFERROR(INDIRECT("'盛付札（関数）'!FO"&amp;DX9)+INDIRECT("'盛付札（関数）'!FO"&amp;DX9+1),""),
IF(DY10="△",
INDIRECT("'盛付札（関数）'!FO"&amp;DX9+1),INDIRECT("'盛付札（関数）'!FO"&amp;DX9))))),"")</f>
        <v/>
      </c>
      <c r="ED12" s="198"/>
      <c r="EG12" s="53"/>
      <c r="EH12" s="185" t="str">
        <f t="array" aca="1" ref="EH12" ca="1">IF(EG10="●",
INDIRECT("'盛付札（関数）'!FN"&amp;EF9)+INDIRECT("'盛付札（関数）'!FN"&amp;EF9+1),
IF(EG10="△",
INDIRECT("'盛付札（関数）'!FN"&amp;EF9+1),INDIRECT("'盛付札（関数）'!FN"&amp;EF9)))</f>
        <v/>
      </c>
      <c r="EI12" s="199"/>
      <c r="EJ12" s="79"/>
      <c r="EK12" s="197" t="str">
        <f t="array" aca="1" ref="EK12" ca="1">IF(EH9&lt;&gt;"",
IF(AND(INDIRECT("'盛付札（関数）'!FI"&amp;EF9)&gt;=124,INDIRECT("'盛付札（関数）'!FI"&amp;EF9)&lt;=144),"",
IF(OR(INDIRECT("'盛付札（関数）'!FI"&amp;EF9)=121,INDIRECT("'盛付札（関数）'!FI"&amp;EF9)=122,INDIRECT("'盛付札（関数）'!FI"&amp;EF9)=123),"",
IF(EG10="●",
IFERROR(INDIRECT("'盛付札（関数）'!FO"&amp;EF9)+INDIRECT("'盛付札（関数）'!FO"&amp;EF9+1),""),
IF(EG10="△",
INDIRECT("'盛付札（関数）'!FO"&amp;EF9+1),INDIRECT("'盛付札（関数）'!FO"&amp;EF9))))),"")</f>
        <v/>
      </c>
      <c r="EL12" s="198"/>
      <c r="EM12" s="54"/>
      <c r="EN12" s="53"/>
      <c r="EO12" s="185" t="str">
        <f t="array" aca="1" ref="EO12" ca="1">IF(EN10="●",
INDIRECT("'盛付札（関数）'!FN"&amp;EM9)+INDIRECT("'盛付札（関数）'!FN"&amp;EM9+1),
IF(EN10="△",
INDIRECT("'盛付札（関数）'!FN"&amp;EM9+1),INDIRECT("'盛付札（関数）'!FN"&amp;EM9)))</f>
        <v/>
      </c>
      <c r="EP12" s="199"/>
      <c r="EQ12" s="79"/>
      <c r="ER12" s="197" t="str">
        <f t="array" aca="1" ref="ER12" ca="1">IF(EO9&lt;&gt;"",
IF(AND(INDIRECT("'盛付札（関数）'!FI"&amp;EM9)&gt;=124,INDIRECT("'盛付札（関数）'!FI"&amp;EM9)&lt;=144),"",
IF(OR(INDIRECT("'盛付札（関数）'!FI"&amp;EM9)=121,INDIRECT("'盛付札（関数）'!FI"&amp;EM9)=122,INDIRECT("'盛付札（関数）'!FI"&amp;EM9)=123),"",
IF(EN10="●",
IFERROR(INDIRECT("'盛付札（関数）'!FO"&amp;EM9)+INDIRECT("'盛付札（関数）'!FO"&amp;EM9+1),""),
IF(EN10="△",
INDIRECT("'盛付札（関数）'!FO"&amp;EM9+1),INDIRECT("'盛付札（関数）'!FO"&amp;EM9))))),"")</f>
        <v/>
      </c>
      <c r="ES12" s="198"/>
    </row>
    <row r="13" spans="1:150" ht="15.6" customHeight="1" x14ac:dyDescent="0.45">
      <c r="B13" s="55"/>
      <c r="C13" s="187"/>
      <c r="D13" s="187"/>
      <c r="E13" s="73"/>
      <c r="F13" s="187"/>
      <c r="G13" s="195"/>
      <c r="H13" s="54"/>
      <c r="I13" s="55"/>
      <c r="J13" s="187"/>
      <c r="K13" s="187"/>
      <c r="L13" s="73"/>
      <c r="M13" s="187"/>
      <c r="N13" s="195"/>
      <c r="Q13" s="55"/>
      <c r="R13" s="187"/>
      <c r="S13" s="187"/>
      <c r="T13" s="73"/>
      <c r="U13" s="187"/>
      <c r="V13" s="195"/>
      <c r="W13" s="54"/>
      <c r="X13" s="55"/>
      <c r="Y13" s="187"/>
      <c r="Z13" s="187"/>
      <c r="AA13" s="73"/>
      <c r="AB13" s="187"/>
      <c r="AC13" s="195"/>
      <c r="AF13" s="55"/>
      <c r="AG13" s="187"/>
      <c r="AH13" s="187"/>
      <c r="AI13" s="73"/>
      <c r="AJ13" s="187"/>
      <c r="AK13" s="195"/>
      <c r="AL13" s="54"/>
      <c r="AM13" s="55"/>
      <c r="AN13" s="187"/>
      <c r="AO13" s="187"/>
      <c r="AP13" s="73"/>
      <c r="AQ13" s="187"/>
      <c r="AR13" s="195"/>
      <c r="AU13" s="55"/>
      <c r="AV13" s="187"/>
      <c r="AW13" s="187"/>
      <c r="AX13" s="73"/>
      <c r="AY13" s="187"/>
      <c r="AZ13" s="195"/>
      <c r="BA13" s="54"/>
      <c r="BB13" s="55"/>
      <c r="BC13" s="187"/>
      <c r="BD13" s="187"/>
      <c r="BE13" s="73"/>
      <c r="BF13" s="187"/>
      <c r="BG13" s="195"/>
      <c r="BJ13" s="55"/>
      <c r="BK13" s="187"/>
      <c r="BL13" s="187"/>
      <c r="BM13" s="73"/>
      <c r="BN13" s="187"/>
      <c r="BO13" s="195"/>
      <c r="BP13" s="54"/>
      <c r="BQ13" s="55"/>
      <c r="BR13" s="187"/>
      <c r="BS13" s="187"/>
      <c r="BT13" s="73"/>
      <c r="BU13" s="187"/>
      <c r="BV13" s="195"/>
      <c r="BY13" s="55"/>
      <c r="BZ13" s="187"/>
      <c r="CA13" s="187"/>
      <c r="CB13" s="73"/>
      <c r="CC13" s="187"/>
      <c r="CD13" s="195"/>
      <c r="CE13" s="54"/>
      <c r="CF13" s="55"/>
      <c r="CG13" s="187"/>
      <c r="CH13" s="187"/>
      <c r="CI13" s="73"/>
      <c r="CJ13" s="187"/>
      <c r="CK13" s="195"/>
      <c r="CN13" s="55"/>
      <c r="CO13" s="187"/>
      <c r="CP13" s="187"/>
      <c r="CQ13" s="73"/>
      <c r="CR13" s="187"/>
      <c r="CS13" s="195"/>
      <c r="CT13" s="54"/>
      <c r="CU13" s="55"/>
      <c r="CV13" s="187"/>
      <c r="CW13" s="187"/>
      <c r="CX13" s="73"/>
      <c r="CY13" s="187"/>
      <c r="CZ13" s="195"/>
      <c r="DC13" s="55"/>
      <c r="DD13" s="187"/>
      <c r="DE13" s="187"/>
      <c r="DF13" s="73"/>
      <c r="DG13" s="187"/>
      <c r="DH13" s="195"/>
      <c r="DI13" s="54"/>
      <c r="DJ13" s="55"/>
      <c r="DK13" s="187"/>
      <c r="DL13" s="187"/>
      <c r="DM13" s="73"/>
      <c r="DN13" s="187"/>
      <c r="DO13" s="195"/>
      <c r="DR13" s="55"/>
      <c r="DS13" s="187"/>
      <c r="DT13" s="187"/>
      <c r="DU13" s="73"/>
      <c r="DV13" s="187"/>
      <c r="DW13" s="195"/>
      <c r="DX13" s="54"/>
      <c r="DY13" s="55"/>
      <c r="DZ13" s="187"/>
      <c r="EA13" s="187"/>
      <c r="EB13" s="73"/>
      <c r="EC13" s="187"/>
      <c r="ED13" s="195"/>
      <c r="EG13" s="55"/>
      <c r="EH13" s="187"/>
      <c r="EI13" s="187"/>
      <c r="EJ13" s="73"/>
      <c r="EK13" s="187"/>
      <c r="EL13" s="195"/>
      <c r="EM13" s="54"/>
      <c r="EN13" s="55"/>
      <c r="EO13" s="187"/>
      <c r="EP13" s="187"/>
      <c r="EQ13" s="73"/>
      <c r="ER13" s="187"/>
      <c r="ES13" s="195"/>
    </row>
    <row r="14" spans="1:150" s="60" customFormat="1" x14ac:dyDescent="0.55000000000000004">
      <c r="A14" s="59"/>
      <c r="B14" s="66" t="str">
        <f t="array" aca="1" ref="B14" ca="1">IF(C9&lt;&gt;"",
IF(OR(INDIRECT("'盛付札（関数）'!FI"&amp;A9)=121,INDIRECT("'盛付札（関数）'!FI"&amp;A9)=122,INDIRECT("'盛付札（関数）'!FI"&amp;A9)=123),"",
"パン箱"),"")</f>
        <v/>
      </c>
      <c r="C14" s="64" t="str">
        <f t="array" aca="1" ref="C14" ca="1">IF(C9&lt;&gt;"",
IF(OR(INDIRECT("'盛付札（関数）'!FI"&amp;A9)=121,INDIRECT("'盛付札（関数）'!FI"&amp;A9)=122,INDIRECT("'盛付札（関数）'!FI"&amp;A9)=123),"",
IF(B10="△",
INDIRECT("'盛付札（関数）'!FP"&amp;A9+1),INDIRECT("'盛付札（関数）'!FP"&amp;A9))),"")</f>
        <v/>
      </c>
      <c r="D14" s="66" t="str">
        <f t="array" aca="1" ref="D14" ca="1">IF(C9&lt;&gt;"",
IF(OR(INDIRECT("'盛付札（関数）'!FI"&amp;A9)=121,INDIRECT("'盛付札（関数）'!FI"&amp;A9)=122,INDIRECT("'盛付札（関数）'!FI"&amp;A9)=123),"",
"端数"),"")</f>
        <v/>
      </c>
      <c r="E14" s="64"/>
      <c r="F14" s="66" t="str">
        <f t="array" aca="1" ref="F14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"アレルギー")),"")</f>
        <v/>
      </c>
      <c r="G14" s="69"/>
      <c r="H14" s="49"/>
      <c r="I14" s="66" t="str">
        <f t="array" aca="1" ref="I14" ca="1">IF(J9&lt;&gt;"",
IF(OR(INDIRECT("'盛付札（関数）'!FI"&amp;H9)=121,INDIRECT("'盛付札（関数）'!FI"&amp;H9)=122,INDIRECT("'盛付札（関数）'!FI"&amp;H9)=123),"",
"パン箱"),"")</f>
        <v>パン箱</v>
      </c>
      <c r="J14" s="64">
        <f t="array" aca="1" ref="J14" ca="1">IF(J9&lt;&gt;"",
IF(OR(INDIRECT("'盛付札（関数）'!FI"&amp;H9)=121,INDIRECT("'盛付札（関数）'!FI"&amp;H9)=122,INDIRECT("'盛付札（関数）'!FI"&amp;H9)=123),"",
IF(I10="△",
INDIRECT("'盛付札（関数）'!FP"&amp;H9+1),INDIRECT("'盛付札（関数）'!FP"&amp;H9))),"")</f>
        <v>12</v>
      </c>
      <c r="K14" s="66" t="str">
        <f t="array" aca="1" ref="K14" ca="1">IF(J9&lt;&gt;"",
IF(OR(INDIRECT("'盛付札（関数）'!FI"&amp;H9)=121,INDIRECT("'盛付札（関数）'!FI"&amp;H9)=122,INDIRECT("'盛付札（関数）'!FI"&amp;H9)=123),"",
"端数"),"")</f>
        <v>端数</v>
      </c>
      <c r="L14" s="64"/>
      <c r="M14" s="66" t="str">
        <f t="array" aca="1" ref="M14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"アレルギー")),"")</f>
        <v/>
      </c>
      <c r="N14" s="69"/>
      <c r="O14" s="49"/>
      <c r="P14" s="59"/>
      <c r="Q14" s="66" t="str">
        <f t="array" aca="1" ref="Q14" ca="1">IF(R9&lt;&gt;"",
IF(OR(INDIRECT("'盛付札（関数）'!FI"&amp;P9)=121,INDIRECT("'盛付札（関数）'!FI"&amp;P9)=122,INDIRECT("'盛付札（関数）'!FI"&amp;P9)=123),"",
"パン箱"),"")</f>
        <v/>
      </c>
      <c r="R14" s="64" t="str">
        <f t="array" aca="1" ref="R14" ca="1">IF(R9&lt;&gt;"",
IF(OR(INDIRECT("'盛付札（関数）'!FI"&amp;P9)=121,INDIRECT("'盛付札（関数）'!FI"&amp;P9)=122,INDIRECT("'盛付札（関数）'!FI"&amp;P9)=123),"",
IF(Q10="△",
INDIRECT("'盛付札（関数）'!FP"&amp;P9+1),INDIRECT("'盛付札（関数）'!FP"&amp;P9))),"")</f>
        <v/>
      </c>
      <c r="S14" s="66" t="str">
        <f t="array" aca="1" ref="S14" ca="1">IF(R9&lt;&gt;"",
IF(OR(INDIRECT("'盛付札（関数）'!FI"&amp;P9)=121,INDIRECT("'盛付札（関数）'!FI"&amp;P9)=122,INDIRECT("'盛付札（関数）'!FI"&amp;P9)=123),"",
"端数"),"")</f>
        <v/>
      </c>
      <c r="T14" s="64"/>
      <c r="U14" s="66" t="str">
        <f t="array" aca="1" ref="U14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"アレルギー")),"")</f>
        <v/>
      </c>
      <c r="V14" s="69"/>
      <c r="W14" s="49"/>
      <c r="X14" s="66" t="str">
        <f t="array" aca="1" ref="X14" ca="1">IF(Y9&lt;&gt;"",
IF(OR(INDIRECT("'盛付札（関数）'!FI"&amp;W9)=121,INDIRECT("'盛付札（関数）'!FI"&amp;W9)=122,INDIRECT("'盛付札（関数）'!FI"&amp;W9)=123),"",
"パン箱"),"")</f>
        <v/>
      </c>
      <c r="Y14" s="64" t="str">
        <f t="array" aca="1" ref="Y14" ca="1">IF(Y9&lt;&gt;"",
IF(OR(INDIRECT("'盛付札（関数）'!FI"&amp;W9)=121,INDIRECT("'盛付札（関数）'!FI"&amp;W9)=122,INDIRECT("'盛付札（関数）'!FI"&amp;W9)=123),"",
IF(X10="△",
INDIRECT("'盛付札（関数）'!FP"&amp;W9+1),INDIRECT("'盛付札（関数）'!FP"&amp;W9))),"")</f>
        <v/>
      </c>
      <c r="Z14" s="66" t="str">
        <f t="array" aca="1" ref="Z14" ca="1">IF(Y9&lt;&gt;"",
IF(OR(INDIRECT("'盛付札（関数）'!FI"&amp;W9)=121,INDIRECT("'盛付札（関数）'!FI"&amp;W9)=122,INDIRECT("'盛付札（関数）'!FI"&amp;W9)=123),"",
"端数"),"")</f>
        <v/>
      </c>
      <c r="AA14" s="64"/>
      <c r="AB14" s="66" t="str">
        <f t="array" aca="1" ref="AB14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"アレルギー")),"")</f>
        <v/>
      </c>
      <c r="AC14" s="69"/>
      <c r="AD14" s="49"/>
      <c r="AE14" s="59"/>
      <c r="AF14" s="66" t="str">
        <f t="array" aca="1" ref="AF14" ca="1">IF(AG9&lt;&gt;"",
IF(OR(INDIRECT("'盛付札（関数）'!FI"&amp;AE9)=121,INDIRECT("'盛付札（関数）'!FI"&amp;AE9)=122,INDIRECT("'盛付札（関数）'!FI"&amp;AE9)=123),"",
"パン箱"),"")</f>
        <v/>
      </c>
      <c r="AG14" s="64" t="str">
        <f t="array" aca="1" ref="AG14" ca="1">IF(AG9&lt;&gt;"",
IF(OR(INDIRECT("'盛付札（関数）'!FI"&amp;AE9)=121,INDIRECT("'盛付札（関数）'!FI"&amp;AE9)=122,INDIRECT("'盛付札（関数）'!FI"&amp;AE9)=123),"",
IF(AF10="△",
INDIRECT("'盛付札（関数）'!FP"&amp;AE9+1),INDIRECT("'盛付札（関数）'!FP"&amp;AE9))),"")</f>
        <v/>
      </c>
      <c r="AH14" s="66" t="str">
        <f t="array" aca="1" ref="AH14" ca="1">IF(AG9&lt;&gt;"",
IF(OR(INDIRECT("'盛付札（関数）'!FI"&amp;AE9)=121,INDIRECT("'盛付札（関数）'!FI"&amp;AE9)=122,INDIRECT("'盛付札（関数）'!FI"&amp;AE9)=123),"",
"端数"),"")</f>
        <v/>
      </c>
      <c r="AI14" s="64"/>
      <c r="AJ14" s="66" t="str">
        <f t="array" aca="1" ref="AJ14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"アレルギー")),"")</f>
        <v/>
      </c>
      <c r="AK14" s="69"/>
      <c r="AL14" s="49"/>
      <c r="AM14" s="66" t="str">
        <f t="array" aca="1" ref="AM14" ca="1">IF(AN9&lt;&gt;"",
IF(OR(INDIRECT("'盛付札（関数）'!FI"&amp;AL9)=121,INDIRECT("'盛付札（関数）'!FI"&amp;AL9)=122,INDIRECT("'盛付札（関数）'!FI"&amp;AL9)=123),"",
"パン箱"),"")</f>
        <v/>
      </c>
      <c r="AN14" s="64" t="str">
        <f t="array" aca="1" ref="AN14" ca="1">IF(AN9&lt;&gt;"",
IF(OR(INDIRECT("'盛付札（関数）'!FI"&amp;AL9)=121,INDIRECT("'盛付札（関数）'!FI"&amp;AL9)=122,INDIRECT("'盛付札（関数）'!FI"&amp;AL9)=123),"",
IF(AM10="△",
INDIRECT("'盛付札（関数）'!FP"&amp;AL9+1),INDIRECT("'盛付札（関数）'!FP"&amp;AL9))),"")</f>
        <v/>
      </c>
      <c r="AO14" s="66" t="str">
        <f t="array" aca="1" ref="AO14" ca="1">IF(AN9&lt;&gt;"",
IF(OR(INDIRECT("'盛付札（関数）'!FI"&amp;AL9)=121,INDIRECT("'盛付札（関数）'!FI"&amp;AL9)=122,INDIRECT("'盛付札（関数）'!FI"&amp;AL9)=123),"",
"端数"),"")</f>
        <v/>
      </c>
      <c r="AP14" s="64"/>
      <c r="AQ14" s="66" t="str">
        <f t="array" aca="1" ref="AQ14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"アレルギー")),"")</f>
        <v/>
      </c>
      <c r="AR14" s="69"/>
      <c r="AS14" s="49"/>
      <c r="AT14" s="59"/>
      <c r="AU14" s="66" t="str">
        <f t="array" aca="1" ref="AU14" ca="1">IF(AV9&lt;&gt;"",
IF(OR(INDIRECT("'盛付札（関数）'!FI"&amp;AT9)=121,INDIRECT("'盛付札（関数）'!FI"&amp;AT9)=122,INDIRECT("'盛付札（関数）'!FI"&amp;AT9)=123),"",
"パン箱"),"")</f>
        <v/>
      </c>
      <c r="AV14" s="64" t="str">
        <f t="array" aca="1" ref="AV14" ca="1">IF(AV9&lt;&gt;"",
IF(OR(INDIRECT("'盛付札（関数）'!FI"&amp;AT9)=121,INDIRECT("'盛付札（関数）'!FI"&amp;AT9)=122,INDIRECT("'盛付札（関数）'!FI"&amp;AT9)=123),"",
IF(AU10="△",
INDIRECT("'盛付札（関数）'!FP"&amp;AT9+1),INDIRECT("'盛付札（関数）'!FP"&amp;AT9))),"")</f>
        <v/>
      </c>
      <c r="AW14" s="66" t="str">
        <f t="array" aca="1" ref="AW14" ca="1">IF(AV9&lt;&gt;"",
IF(OR(INDIRECT("'盛付札（関数）'!FI"&amp;AT9)=121,INDIRECT("'盛付札（関数）'!FI"&amp;AT9)=122,INDIRECT("'盛付札（関数）'!FI"&amp;AT9)=123),"",
"端数"),"")</f>
        <v/>
      </c>
      <c r="AX14" s="64"/>
      <c r="AY14" s="66" t="str">
        <f t="array" aca="1" ref="AY14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"アレルギー")),"")</f>
        <v/>
      </c>
      <c r="AZ14" s="69"/>
      <c r="BA14" s="49"/>
      <c r="BB14" s="66" t="str">
        <f t="array" aca="1" ref="BB14" ca="1">IF(BC9&lt;&gt;"",
IF(OR(INDIRECT("'盛付札（関数）'!FI"&amp;BA9)=121,INDIRECT("'盛付札（関数）'!FI"&amp;BA9)=122,INDIRECT("'盛付札（関数）'!FI"&amp;BA9)=123),"",
"パン箱"),"")</f>
        <v/>
      </c>
      <c r="BC14" s="64" t="str">
        <f t="array" aca="1" ref="BC14" ca="1">IF(BC9&lt;&gt;"",
IF(OR(INDIRECT("'盛付札（関数）'!FI"&amp;BA9)=121,INDIRECT("'盛付札（関数）'!FI"&amp;BA9)=122,INDIRECT("'盛付札（関数）'!FI"&amp;BA9)=123),"",
IF(BB10="△",
INDIRECT("'盛付札（関数）'!FP"&amp;BA9+1),INDIRECT("'盛付札（関数）'!FP"&amp;BA9))),"")</f>
        <v/>
      </c>
      <c r="BD14" s="66" t="str">
        <f t="array" aca="1" ref="BD14" ca="1">IF(BC9&lt;&gt;"",
IF(OR(INDIRECT("'盛付札（関数）'!FI"&amp;BA9)=121,INDIRECT("'盛付札（関数）'!FI"&amp;BA9)=122,INDIRECT("'盛付札（関数）'!FI"&amp;BA9)=123),"",
"端数"),"")</f>
        <v/>
      </c>
      <c r="BE14" s="64"/>
      <c r="BF14" s="66" t="str">
        <f t="array" aca="1" ref="BF14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"アレルギー")),"")</f>
        <v/>
      </c>
      <c r="BG14" s="69"/>
      <c r="BH14" s="49"/>
      <c r="BI14" s="59"/>
      <c r="BJ14" s="66" t="str">
        <f t="array" aca="1" ref="BJ14" ca="1">IF(BK9&lt;&gt;"",
IF(OR(INDIRECT("'盛付札（関数）'!FI"&amp;BI9)=121,INDIRECT("'盛付札（関数）'!FI"&amp;BI9)=122,INDIRECT("'盛付札（関数）'!FI"&amp;BI9)=123),"",
"パン箱"),"")</f>
        <v/>
      </c>
      <c r="BK14" s="64" t="str">
        <f t="array" aca="1" ref="BK14" ca="1">IF(BK9&lt;&gt;"",
IF(OR(INDIRECT("'盛付札（関数）'!FI"&amp;BI9)=121,INDIRECT("'盛付札（関数）'!FI"&amp;BI9)=122,INDIRECT("'盛付札（関数）'!FI"&amp;BI9)=123),"",
IF(BJ10="△",
INDIRECT("'盛付札（関数）'!FP"&amp;BI9+1),INDIRECT("'盛付札（関数）'!FP"&amp;BI9))),"")</f>
        <v/>
      </c>
      <c r="BL14" s="66" t="str">
        <f t="array" aca="1" ref="BL14" ca="1">IF(BK9&lt;&gt;"",
IF(OR(INDIRECT("'盛付札（関数）'!FI"&amp;BI9)=121,INDIRECT("'盛付札（関数）'!FI"&amp;BI9)=122,INDIRECT("'盛付札（関数）'!FI"&amp;BI9)=123),"",
"端数"),"")</f>
        <v/>
      </c>
      <c r="BM14" s="64"/>
      <c r="BN14" s="66" t="str">
        <f t="array" aca="1" ref="BN14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"アレルギー")),"")</f>
        <v/>
      </c>
      <c r="BO14" s="69"/>
      <c r="BP14" s="49"/>
      <c r="BQ14" s="66" t="str">
        <f t="array" aca="1" ref="BQ14" ca="1">IF(BR9&lt;&gt;"",
IF(OR(INDIRECT("'盛付札（関数）'!FI"&amp;BP9)=121,INDIRECT("'盛付札（関数）'!FI"&amp;BP9)=122,INDIRECT("'盛付札（関数）'!FI"&amp;BP9)=123),"",
"パン箱"),"")</f>
        <v/>
      </c>
      <c r="BR14" s="64" t="str">
        <f t="array" aca="1" ref="BR14" ca="1">IF(BR9&lt;&gt;"",
IF(OR(INDIRECT("'盛付札（関数）'!FI"&amp;BP9)=121,INDIRECT("'盛付札（関数）'!FI"&amp;BP9)=122,INDIRECT("'盛付札（関数）'!FI"&amp;BP9)=123),"",
IF(BQ10="△",
INDIRECT("'盛付札（関数）'!FP"&amp;BP9+1),INDIRECT("'盛付札（関数）'!FP"&amp;BP9))),"")</f>
        <v/>
      </c>
      <c r="BS14" s="66" t="str">
        <f t="array" aca="1" ref="BS14" ca="1">IF(BR9&lt;&gt;"",
IF(OR(INDIRECT("'盛付札（関数）'!FI"&amp;BP9)=121,INDIRECT("'盛付札（関数）'!FI"&amp;BP9)=122,INDIRECT("'盛付札（関数）'!FI"&amp;BP9)=123),"",
"端数"),"")</f>
        <v/>
      </c>
      <c r="BT14" s="64"/>
      <c r="BU14" s="66" t="str">
        <f t="array" aca="1" ref="BU14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"アレルギー")),"")</f>
        <v/>
      </c>
      <c r="BV14" s="69"/>
      <c r="BW14" s="49"/>
      <c r="BX14" s="59"/>
      <c r="BY14" s="66" t="str">
        <f t="array" aca="1" ref="BY14" ca="1">IF(BZ9&lt;&gt;"",
IF(OR(INDIRECT("'盛付札（関数）'!FI"&amp;BX9)=121,INDIRECT("'盛付札（関数）'!FI"&amp;BX9)=122,INDIRECT("'盛付札（関数）'!FI"&amp;BX9)=123),"",
"パン箱"),"")</f>
        <v/>
      </c>
      <c r="BZ14" s="64" t="str">
        <f t="array" aca="1" ref="BZ14" ca="1">IF(BZ9&lt;&gt;"",
IF(OR(INDIRECT("'盛付札（関数）'!FI"&amp;BX9)=121,INDIRECT("'盛付札（関数）'!FI"&amp;BX9)=122,INDIRECT("'盛付札（関数）'!FI"&amp;BX9)=123),"",
IF(BY10="△",
INDIRECT("'盛付札（関数）'!FP"&amp;BX9+1),INDIRECT("'盛付札（関数）'!FP"&amp;BX9))),"")</f>
        <v/>
      </c>
      <c r="CA14" s="66" t="str">
        <f t="array" aca="1" ref="CA14" ca="1">IF(BZ9&lt;&gt;"",
IF(OR(INDIRECT("'盛付札（関数）'!FI"&amp;BX9)=121,INDIRECT("'盛付札（関数）'!FI"&amp;BX9)=122,INDIRECT("'盛付札（関数）'!FI"&amp;BX9)=123),"",
"端数"),"")</f>
        <v/>
      </c>
      <c r="CB14" s="64"/>
      <c r="CC14" s="66" t="str">
        <f t="array" aca="1" ref="CC14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"アレルギー")),"")</f>
        <v/>
      </c>
      <c r="CD14" s="69"/>
      <c r="CE14" s="49"/>
      <c r="CF14" s="66" t="str">
        <f t="array" aca="1" ref="CF14" ca="1">IF(CG9&lt;&gt;"",
IF(OR(INDIRECT("'盛付札（関数）'!FI"&amp;CE9)=121,INDIRECT("'盛付札（関数）'!FI"&amp;CE9)=122,INDIRECT("'盛付札（関数）'!FI"&amp;CE9)=123),"",
"パン箱"),"")</f>
        <v/>
      </c>
      <c r="CG14" s="64" t="str">
        <f t="array" aca="1" ref="CG14" ca="1">IF(CG9&lt;&gt;"",
IF(OR(INDIRECT("'盛付札（関数）'!FI"&amp;CE9)=121,INDIRECT("'盛付札（関数）'!FI"&amp;CE9)=122,INDIRECT("'盛付札（関数）'!FI"&amp;CE9)=123),"",
IF(CF10="△",
INDIRECT("'盛付札（関数）'!FP"&amp;CE9+1),INDIRECT("'盛付札（関数）'!FP"&amp;CE9))),"")</f>
        <v/>
      </c>
      <c r="CH14" s="66" t="str">
        <f t="array" aca="1" ref="CH14" ca="1">IF(CG9&lt;&gt;"",
IF(OR(INDIRECT("'盛付札（関数）'!FI"&amp;CE9)=121,INDIRECT("'盛付札（関数）'!FI"&amp;CE9)=122,INDIRECT("'盛付札（関数）'!FI"&amp;CE9)=123),"",
"端数"),"")</f>
        <v/>
      </c>
      <c r="CI14" s="64"/>
      <c r="CJ14" s="66" t="str">
        <f t="array" aca="1" ref="CJ14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"アレルギー")),"")</f>
        <v/>
      </c>
      <c r="CK14" s="69"/>
      <c r="CL14" s="49"/>
      <c r="CM14" s="59"/>
      <c r="CN14" s="66" t="str">
        <f t="array" aca="1" ref="CN14" ca="1">IF(CO9&lt;&gt;"",
IF(OR(INDIRECT("'盛付札（関数）'!FI"&amp;CM9)=121,INDIRECT("'盛付札（関数）'!FI"&amp;CM9)=122,INDIRECT("'盛付札（関数）'!FI"&amp;CM9)=123),"",
"パン箱"),"")</f>
        <v/>
      </c>
      <c r="CO14" s="64" t="str">
        <f t="array" aca="1" ref="CO14" ca="1">IF(CO9&lt;&gt;"",
IF(OR(INDIRECT("'盛付札（関数）'!FI"&amp;CM9)=121,INDIRECT("'盛付札（関数）'!FI"&amp;CM9)=122,INDIRECT("'盛付札（関数）'!FI"&amp;CM9)=123),"",
IF(CN10="△",
INDIRECT("'盛付札（関数）'!FP"&amp;CM9+1),INDIRECT("'盛付札（関数）'!FP"&amp;CM9))),"")</f>
        <v/>
      </c>
      <c r="CP14" s="66" t="str">
        <f t="array" aca="1" ref="CP14" ca="1">IF(CO9&lt;&gt;"",
IF(OR(INDIRECT("'盛付札（関数）'!FI"&amp;CM9)=121,INDIRECT("'盛付札（関数）'!FI"&amp;CM9)=122,INDIRECT("'盛付札（関数）'!FI"&amp;CM9)=123),"",
"端数"),"")</f>
        <v/>
      </c>
      <c r="CQ14" s="64"/>
      <c r="CR14" s="66" t="str">
        <f t="array" aca="1" ref="CR14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"アレルギー")),"")</f>
        <v/>
      </c>
      <c r="CS14" s="69"/>
      <c r="CT14" s="49"/>
      <c r="CU14" s="66" t="str">
        <f t="array" aca="1" ref="CU14" ca="1">IF(CV9&lt;&gt;"",
IF(OR(INDIRECT("'盛付札（関数）'!FI"&amp;CT9)=121,INDIRECT("'盛付札（関数）'!FI"&amp;CT9)=122,INDIRECT("'盛付札（関数）'!FI"&amp;CT9)=123),"",
"パン箱"),"")</f>
        <v/>
      </c>
      <c r="CV14" s="64" t="str">
        <f t="array" aca="1" ref="CV14" ca="1">IF(CV9&lt;&gt;"",
IF(OR(INDIRECT("'盛付札（関数）'!FI"&amp;CT9)=121,INDIRECT("'盛付札（関数）'!FI"&amp;CT9)=122,INDIRECT("'盛付札（関数）'!FI"&amp;CT9)=123),"",
IF(CU10="△",
INDIRECT("'盛付札（関数）'!FP"&amp;CT9+1),INDIRECT("'盛付札（関数）'!FP"&amp;CT9))),"")</f>
        <v/>
      </c>
      <c r="CW14" s="66" t="str">
        <f t="array" aca="1" ref="CW14" ca="1">IF(CV9&lt;&gt;"",
IF(OR(INDIRECT("'盛付札（関数）'!FI"&amp;CT9)=121,INDIRECT("'盛付札（関数）'!FI"&amp;CT9)=122,INDIRECT("'盛付札（関数）'!FI"&amp;CT9)=123),"",
"端数"),"")</f>
        <v/>
      </c>
      <c r="CX14" s="64"/>
      <c r="CY14" s="66" t="str">
        <f t="array" aca="1" ref="CY14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"アレルギー")),"")</f>
        <v/>
      </c>
      <c r="CZ14" s="69"/>
      <c r="DA14" s="49"/>
      <c r="DB14" s="59"/>
      <c r="DC14" s="66" t="str">
        <f t="array" aca="1" ref="DC14" ca="1">IF(DD9&lt;&gt;"",
IF(OR(INDIRECT("'盛付札（関数）'!FI"&amp;DB9)=121,INDIRECT("'盛付札（関数）'!FI"&amp;DB9)=122,INDIRECT("'盛付札（関数）'!FI"&amp;DB9)=123),"",
"パン箱"),"")</f>
        <v/>
      </c>
      <c r="DD14" s="64" t="str">
        <f t="array" aca="1" ref="DD14" ca="1">IF(DD9&lt;&gt;"",
IF(OR(INDIRECT("'盛付札（関数）'!FI"&amp;DB9)=121,INDIRECT("'盛付札（関数）'!FI"&amp;DB9)=122,INDIRECT("'盛付札（関数）'!FI"&amp;DB9)=123),"",
IF(DC10="△",
INDIRECT("'盛付札（関数）'!FP"&amp;DB9+1),INDIRECT("'盛付札（関数）'!FP"&amp;DB9))),"")</f>
        <v/>
      </c>
      <c r="DE14" s="66" t="str">
        <f t="array" aca="1" ref="DE14" ca="1">IF(DD9&lt;&gt;"",
IF(OR(INDIRECT("'盛付札（関数）'!FI"&amp;DB9)=121,INDIRECT("'盛付札（関数）'!FI"&amp;DB9)=122,INDIRECT("'盛付札（関数）'!FI"&amp;DB9)=123),"",
"端数"),"")</f>
        <v/>
      </c>
      <c r="DF14" s="64"/>
      <c r="DG14" s="66" t="str">
        <f t="array" aca="1" ref="DG14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"アレルギー")),"")</f>
        <v/>
      </c>
      <c r="DH14" s="69"/>
      <c r="DI14" s="49"/>
      <c r="DJ14" s="66" t="str">
        <f t="array" aca="1" ref="DJ14" ca="1">IF(DK9&lt;&gt;"",
IF(OR(INDIRECT("'盛付札（関数）'!FI"&amp;DI9)=121,INDIRECT("'盛付札（関数）'!FI"&amp;DI9)=122,INDIRECT("'盛付札（関数）'!FI"&amp;DI9)=123),"",
"パン箱"),"")</f>
        <v/>
      </c>
      <c r="DK14" s="64" t="str">
        <f t="array" aca="1" ref="DK14" ca="1">IF(DK9&lt;&gt;"",
IF(OR(INDIRECT("'盛付札（関数）'!FI"&amp;DI9)=121,INDIRECT("'盛付札（関数）'!FI"&amp;DI9)=122,INDIRECT("'盛付札（関数）'!FI"&amp;DI9)=123),"",
IF(DJ10="△",
INDIRECT("'盛付札（関数）'!FP"&amp;DI9+1),INDIRECT("'盛付札（関数）'!FP"&amp;DI9))),"")</f>
        <v/>
      </c>
      <c r="DL14" s="66" t="str">
        <f t="array" aca="1" ref="DL14" ca="1">IF(DK9&lt;&gt;"",
IF(OR(INDIRECT("'盛付札（関数）'!FI"&amp;DI9)=121,INDIRECT("'盛付札（関数）'!FI"&amp;DI9)=122,INDIRECT("'盛付札（関数）'!FI"&amp;DI9)=123),"",
"端数"),"")</f>
        <v/>
      </c>
      <c r="DM14" s="64"/>
      <c r="DN14" s="66" t="str">
        <f t="array" aca="1" ref="DN14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"アレルギー")),"")</f>
        <v/>
      </c>
      <c r="DO14" s="69"/>
      <c r="DP14" s="49"/>
      <c r="DQ14" s="59"/>
      <c r="DR14" s="66" t="str">
        <f t="array" aca="1" ref="DR14" ca="1">IF(DS9&lt;&gt;"",
IF(OR(INDIRECT("'盛付札（関数）'!FI"&amp;DQ9)=121,INDIRECT("'盛付札（関数）'!FI"&amp;DQ9)=122,INDIRECT("'盛付札（関数）'!FI"&amp;DQ9)=123),"",
"パン箱"),"")</f>
        <v/>
      </c>
      <c r="DS14" s="64" t="str">
        <f t="array" aca="1" ref="DS14" ca="1">IF(DS9&lt;&gt;"",
IF(OR(INDIRECT("'盛付札（関数）'!FI"&amp;DQ9)=121,INDIRECT("'盛付札（関数）'!FI"&amp;DQ9)=122,INDIRECT("'盛付札（関数）'!FI"&amp;DQ9)=123),"",
IF(DR10="△",
INDIRECT("'盛付札（関数）'!FP"&amp;DQ9+1),INDIRECT("'盛付札（関数）'!FP"&amp;DQ9))),"")</f>
        <v/>
      </c>
      <c r="DT14" s="66" t="str">
        <f t="array" aca="1" ref="DT14" ca="1">IF(DS9&lt;&gt;"",
IF(OR(INDIRECT("'盛付札（関数）'!FI"&amp;DQ9)=121,INDIRECT("'盛付札（関数）'!FI"&amp;DQ9)=122,INDIRECT("'盛付札（関数）'!FI"&amp;DQ9)=123),"",
"端数"),"")</f>
        <v/>
      </c>
      <c r="DU14" s="64"/>
      <c r="DV14" s="66" t="str">
        <f t="array" aca="1" ref="DV14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"アレルギー")),"")</f>
        <v/>
      </c>
      <c r="DW14" s="69"/>
      <c r="DX14" s="49"/>
      <c r="DY14" s="66" t="str">
        <f t="array" aca="1" ref="DY14" ca="1">IF(DZ9&lt;&gt;"",
IF(OR(INDIRECT("'盛付札（関数）'!FI"&amp;DX9)=121,INDIRECT("'盛付札（関数）'!FI"&amp;DX9)=122,INDIRECT("'盛付札（関数）'!FI"&amp;DX9)=123),"",
"パン箱"),"")</f>
        <v/>
      </c>
      <c r="DZ14" s="64" t="str">
        <f t="array" aca="1" ref="DZ14" ca="1">IF(DZ9&lt;&gt;"",
IF(OR(INDIRECT("'盛付札（関数）'!FI"&amp;DX9)=121,INDIRECT("'盛付札（関数）'!FI"&amp;DX9)=122,INDIRECT("'盛付札（関数）'!FI"&amp;DX9)=123),"",
IF(DY10="△",
INDIRECT("'盛付札（関数）'!FP"&amp;DX9+1),INDIRECT("'盛付札（関数）'!FP"&amp;DX9))),"")</f>
        <v/>
      </c>
      <c r="EA14" s="66" t="str">
        <f t="array" aca="1" ref="EA14" ca="1">IF(DZ9&lt;&gt;"",
IF(OR(INDIRECT("'盛付札（関数）'!FI"&amp;DX9)=121,INDIRECT("'盛付札（関数）'!FI"&amp;DX9)=122,INDIRECT("'盛付札（関数）'!FI"&amp;DX9)=123),"",
"端数"),"")</f>
        <v/>
      </c>
      <c r="EB14" s="64"/>
      <c r="EC14" s="66" t="str">
        <f t="array" aca="1" ref="EC14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"アレルギー")),"")</f>
        <v/>
      </c>
      <c r="ED14" s="69"/>
      <c r="EE14" s="49"/>
      <c r="EF14" s="59"/>
      <c r="EG14" s="66" t="str">
        <f t="array" aca="1" ref="EG14" ca="1">IF(EH9&lt;&gt;"",
IF(OR(INDIRECT("'盛付札（関数）'!FI"&amp;EF9)=121,INDIRECT("'盛付札（関数）'!FI"&amp;EF9)=122,INDIRECT("'盛付札（関数）'!FI"&amp;EF9)=123),"",
"パン箱"),"")</f>
        <v/>
      </c>
      <c r="EH14" s="64" t="str">
        <f t="array" aca="1" ref="EH14" ca="1">IF(EH9&lt;&gt;"",
IF(OR(INDIRECT("'盛付札（関数）'!FI"&amp;EF9)=121,INDIRECT("'盛付札（関数）'!FI"&amp;EF9)=122,INDIRECT("'盛付札（関数）'!FI"&amp;EF9)=123),"",
IF(EG10="△",
INDIRECT("'盛付札（関数）'!FP"&amp;EF9+1),INDIRECT("'盛付札（関数）'!FP"&amp;EF9))),"")</f>
        <v/>
      </c>
      <c r="EI14" s="66" t="str">
        <f t="array" aca="1" ref="EI14" ca="1">IF(EH9&lt;&gt;"",
IF(OR(INDIRECT("'盛付札（関数）'!FI"&amp;EF9)=121,INDIRECT("'盛付札（関数）'!FI"&amp;EF9)=122,INDIRECT("'盛付札（関数）'!FI"&amp;EF9)=123),"",
"端数"),"")</f>
        <v/>
      </c>
      <c r="EJ14" s="64"/>
      <c r="EK14" s="66" t="str">
        <f t="array" aca="1" ref="EK14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"アレルギー")),"")</f>
        <v/>
      </c>
      <c r="EL14" s="69"/>
      <c r="EM14" s="49"/>
      <c r="EN14" s="66" t="str">
        <f t="array" aca="1" ref="EN14" ca="1">IF(EO9&lt;&gt;"",
IF(OR(INDIRECT("'盛付札（関数）'!FI"&amp;EM9)=121,INDIRECT("'盛付札（関数）'!FI"&amp;EM9)=122,INDIRECT("'盛付札（関数）'!FI"&amp;EM9)=123),"",
"パン箱"),"")</f>
        <v/>
      </c>
      <c r="EO14" s="64" t="str">
        <f t="array" aca="1" ref="EO14" ca="1">IF(EO9&lt;&gt;"",
IF(OR(INDIRECT("'盛付札（関数）'!FI"&amp;EM9)=121,INDIRECT("'盛付札（関数）'!FI"&amp;EM9)=122,INDIRECT("'盛付札（関数）'!FI"&amp;EM9)=123),"",
IF(EN10="△",
INDIRECT("'盛付札（関数）'!FP"&amp;EM9+1),INDIRECT("'盛付札（関数）'!FP"&amp;EM9))),"")</f>
        <v/>
      </c>
      <c r="EP14" s="66" t="str">
        <f t="array" aca="1" ref="EP14" ca="1">IF(EO9&lt;&gt;"",
IF(OR(INDIRECT("'盛付札（関数）'!FI"&amp;EM9)=121,INDIRECT("'盛付札（関数）'!FI"&amp;EM9)=122,INDIRECT("'盛付札（関数）'!FI"&amp;EM9)=123),"",
"端数"),"")</f>
        <v/>
      </c>
      <c r="EQ14" s="64"/>
      <c r="ER14" s="66" t="str">
        <f t="array" aca="1" ref="ER14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"アレルギー")),"")</f>
        <v/>
      </c>
      <c r="ES14" s="69"/>
      <c r="ET14" s="49"/>
    </row>
    <row r="15" spans="1:150" ht="27.6" customHeight="1" x14ac:dyDescent="0.45">
      <c r="B15" s="196" t="str">
        <f ca="1">IF(C12&lt;&gt;"",
IFERROR(INT(C12/C14),""),"")</f>
        <v/>
      </c>
      <c r="C15" s="195"/>
      <c r="D15" s="196" t="str">
        <f ca="1">IFERROR(MOD(C12,C14),"")</f>
        <v/>
      </c>
      <c r="E15" s="195"/>
      <c r="F15" s="194" t="str">
        <f t="array" aca="1" ref="F15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IF(B10="●",
IFERROR(INDIRECT("'盛付札（関数）'!FS"&amp;A9)+INDIRECT("'盛付札（関数）'!FS"&amp;A9+1),0),
IF(B10="△",
INDIRECT("'盛付札（関数）'!FS"&amp;A9+1),INDIRECT("'盛付札（関数）'!FS"&amp;A9))))),"")</f>
        <v/>
      </c>
      <c r="G15" s="195"/>
      <c r="I15" s="196" t="e">
        <f ca="1">IF(J12&lt;&gt;"",
IFERROR(INT(J12/J14),""),"")</f>
        <v>#N/A</v>
      </c>
      <c r="J15" s="195"/>
      <c r="K15" s="196" t="str">
        <f ca="1">IFERROR(MOD(J12,J14),"")</f>
        <v/>
      </c>
      <c r="L15" s="195"/>
      <c r="M15" s="194" t="str">
        <f t="array" aca="1" ref="M15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IF(I10="●",
IFERROR(INDIRECT("'盛付札（関数）'!FS"&amp;H9)+INDIRECT("'盛付札（関数）'!FS"&amp;H9+1),0),
IF(I10="△",
INDIRECT("'盛付札（関数）'!FS"&amp;H9+1),INDIRECT("'盛付札（関数）'!FS"&amp;H9))))),"")</f>
        <v/>
      </c>
      <c r="N15" s="195"/>
      <c r="Q15" s="196" t="str">
        <f ca="1">IF(R12&lt;&gt;"",
IFERROR(INT(R12/R14),""),"")</f>
        <v/>
      </c>
      <c r="R15" s="195"/>
      <c r="S15" s="196" t="str">
        <f ca="1">IFERROR(MOD(R12,R14),"")</f>
        <v/>
      </c>
      <c r="T15" s="195"/>
      <c r="U15" s="194" t="str">
        <f t="array" aca="1" ref="U15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IF(Q10="●",
IFERROR(INDIRECT("'盛付札（関数）'!FS"&amp;P9)+INDIRECT("'盛付札（関数）'!FS"&amp;P9+1),0),
IF(Q10="△",
INDIRECT("'盛付札（関数）'!FS"&amp;P9+1),INDIRECT("'盛付札（関数）'!FS"&amp;P9))))),"")</f>
        <v/>
      </c>
      <c r="V15" s="195"/>
      <c r="X15" s="196" t="str">
        <f ca="1">IF(Y12&lt;&gt;"",
IFERROR(INT(Y12/Y14),""),"")</f>
        <v/>
      </c>
      <c r="Y15" s="195"/>
      <c r="Z15" s="196" t="str">
        <f ca="1">IFERROR(MOD(Y12,Y14),"")</f>
        <v/>
      </c>
      <c r="AA15" s="195"/>
      <c r="AB15" s="194" t="str">
        <f t="array" aca="1" ref="AB15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IF(X10="●",
IFERROR(INDIRECT("'盛付札（関数）'!FS"&amp;W9)+INDIRECT("'盛付札（関数）'!FS"&amp;W9+1),0),
IF(X10="△",
INDIRECT("'盛付札（関数）'!FS"&amp;W9+1),INDIRECT("'盛付札（関数）'!FS"&amp;W9))))),"")</f>
        <v/>
      </c>
      <c r="AC15" s="195"/>
      <c r="AF15" s="196" t="str">
        <f ca="1">IF(AG12&lt;&gt;"",
IFERROR(INT(AG12/AG14),""),"")</f>
        <v/>
      </c>
      <c r="AG15" s="195"/>
      <c r="AH15" s="196" t="str">
        <f ca="1">IFERROR(MOD(AG12,AG14),"")</f>
        <v/>
      </c>
      <c r="AI15" s="195"/>
      <c r="AJ15" s="194" t="str">
        <f t="array" aca="1" ref="AJ15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IF(AF10="●",
IFERROR(INDIRECT("'盛付札（関数）'!FS"&amp;AE9)+INDIRECT("'盛付札（関数）'!FS"&amp;AE9+1),0),
IF(AF10="△",
INDIRECT("'盛付札（関数）'!FS"&amp;AE9+1),INDIRECT("'盛付札（関数）'!FS"&amp;AE9))))),"")</f>
        <v/>
      </c>
      <c r="AK15" s="195"/>
      <c r="AM15" s="196" t="str">
        <f ca="1">IF(AN12&lt;&gt;"",
IFERROR(INT(AN12/AN14),""),"")</f>
        <v/>
      </c>
      <c r="AN15" s="195"/>
      <c r="AO15" s="196" t="str">
        <f ca="1">IFERROR(MOD(AN12,AN14),"")</f>
        <v/>
      </c>
      <c r="AP15" s="195"/>
      <c r="AQ15" s="194" t="str">
        <f t="array" aca="1" ref="AQ15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IF(AM10="●",
IFERROR(INDIRECT("'盛付札（関数）'!FS"&amp;AL9)+INDIRECT("'盛付札（関数）'!FS"&amp;AL9+1),0),
IF(AM10="△",
INDIRECT("'盛付札（関数）'!FS"&amp;AL9+1),INDIRECT("'盛付札（関数）'!FS"&amp;AL9))))),"")</f>
        <v/>
      </c>
      <c r="AR15" s="195"/>
      <c r="AU15" s="196" t="str">
        <f ca="1">IF(AV12&lt;&gt;"",
IFERROR(INT(AV12/AV14),""),"")</f>
        <v/>
      </c>
      <c r="AV15" s="195"/>
      <c r="AW15" s="196" t="str">
        <f ca="1">IFERROR(MOD(AV12,AV14),"")</f>
        <v/>
      </c>
      <c r="AX15" s="195"/>
      <c r="AY15" s="194" t="str">
        <f t="array" aca="1" ref="AY15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IF(AU10="●",
IFERROR(INDIRECT("'盛付札（関数）'!FS"&amp;AT9)+INDIRECT("'盛付札（関数）'!FS"&amp;AT9+1),0),
IF(AU10="△",
INDIRECT("'盛付札（関数）'!FS"&amp;AT9+1),INDIRECT("'盛付札（関数）'!FS"&amp;AT9))))),"")</f>
        <v/>
      </c>
      <c r="AZ15" s="195"/>
      <c r="BB15" s="196" t="str">
        <f ca="1">IF(BC12&lt;&gt;"",
IFERROR(INT(BC12/BC14),""),"")</f>
        <v/>
      </c>
      <c r="BC15" s="195"/>
      <c r="BD15" s="196" t="str">
        <f ca="1">IFERROR(MOD(BC12,BC14),"")</f>
        <v/>
      </c>
      <c r="BE15" s="195"/>
      <c r="BF15" s="194" t="str">
        <f t="array" aca="1" ref="BF15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IF(BB10="●",
IFERROR(INDIRECT("'盛付札（関数）'!FS"&amp;BA9)+INDIRECT("'盛付札（関数）'!FS"&amp;BA9+1),0),
IF(BB10="△",
INDIRECT("'盛付札（関数）'!FS"&amp;BA9+1),INDIRECT("'盛付札（関数）'!FS"&amp;BA9))))),"")</f>
        <v/>
      </c>
      <c r="BG15" s="195"/>
      <c r="BJ15" s="196" t="str">
        <f ca="1">IF(BK12&lt;&gt;"",
IFERROR(INT(BK12/BK14),""),"")</f>
        <v/>
      </c>
      <c r="BK15" s="195"/>
      <c r="BL15" s="196" t="str">
        <f ca="1">IFERROR(MOD(BK12,BK14),"")</f>
        <v/>
      </c>
      <c r="BM15" s="195"/>
      <c r="BN15" s="194" t="str">
        <f t="array" aca="1" ref="BN15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IF(BJ10="●",
IFERROR(INDIRECT("'盛付札（関数）'!FS"&amp;BI9)+INDIRECT("'盛付札（関数）'!FS"&amp;BI9+1),0),
IF(BJ10="△",
INDIRECT("'盛付札（関数）'!FS"&amp;BI9+1),INDIRECT("'盛付札（関数）'!FS"&amp;BI9))))),"")</f>
        <v/>
      </c>
      <c r="BO15" s="195"/>
      <c r="BQ15" s="196" t="str">
        <f ca="1">IF(BR12&lt;&gt;"",
IFERROR(INT(BR12/BR14),""),"")</f>
        <v/>
      </c>
      <c r="BR15" s="195"/>
      <c r="BS15" s="196" t="str">
        <f ca="1">IFERROR(MOD(BR12,BR14),"")</f>
        <v/>
      </c>
      <c r="BT15" s="195"/>
      <c r="BU15" s="194" t="str">
        <f t="array" aca="1" ref="BU15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IF(BQ10="●",
IFERROR(INDIRECT("'盛付札（関数）'!FS"&amp;BP9)+INDIRECT("'盛付札（関数）'!FS"&amp;BP9+1),0),
IF(BQ10="△",
INDIRECT("'盛付札（関数）'!FS"&amp;BP9+1),INDIRECT("'盛付札（関数）'!FS"&amp;BP9))))),"")</f>
        <v/>
      </c>
      <c r="BV15" s="195"/>
      <c r="BY15" s="196" t="str">
        <f ca="1">IF(BZ12&lt;&gt;"",
IFERROR(INT(BZ12/BZ14),""),"")</f>
        <v/>
      </c>
      <c r="BZ15" s="195"/>
      <c r="CA15" s="196" t="str">
        <f ca="1">IFERROR(MOD(BZ12,BZ14),"")</f>
        <v/>
      </c>
      <c r="CB15" s="195"/>
      <c r="CC15" s="194" t="str">
        <f t="array" aca="1" ref="CC15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IF(BY10="●",
IFERROR(INDIRECT("'盛付札（関数）'!FS"&amp;BX9)+INDIRECT("'盛付札（関数）'!FS"&amp;BX9+1),0),
IF(BY10="△",
INDIRECT("'盛付札（関数）'!FS"&amp;BX9+1),INDIRECT("'盛付札（関数）'!FS"&amp;BX9))))),"")</f>
        <v/>
      </c>
      <c r="CD15" s="195"/>
      <c r="CF15" s="196" t="str">
        <f ca="1">IF(CG12&lt;&gt;"",
IFERROR(INT(CG12/CG14),""),"")</f>
        <v/>
      </c>
      <c r="CG15" s="195"/>
      <c r="CH15" s="196" t="str">
        <f ca="1">IFERROR(MOD(CG12,CG14),"")</f>
        <v/>
      </c>
      <c r="CI15" s="195"/>
      <c r="CJ15" s="194" t="str">
        <f t="array" aca="1" ref="CJ15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IF(CF10="●",
IFERROR(INDIRECT("'盛付札（関数）'!FS"&amp;CE9)+INDIRECT("'盛付札（関数）'!FS"&amp;CE9+1),0),
IF(CF10="△",
INDIRECT("'盛付札（関数）'!FS"&amp;CE9+1),INDIRECT("'盛付札（関数）'!FS"&amp;CE9))))),"")</f>
        <v/>
      </c>
      <c r="CK15" s="195"/>
      <c r="CN15" s="196" t="str">
        <f ca="1">IF(CO12&lt;&gt;"",
IFERROR(INT(CO12/CO14),""),"")</f>
        <v/>
      </c>
      <c r="CO15" s="195"/>
      <c r="CP15" s="196" t="str">
        <f ca="1">IFERROR(MOD(CO12,CO14),"")</f>
        <v/>
      </c>
      <c r="CQ15" s="195"/>
      <c r="CR15" s="194" t="str">
        <f t="array" aca="1" ref="CR15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IF(CN10="●",
IFERROR(INDIRECT("'盛付札（関数）'!FS"&amp;CM9)+INDIRECT("'盛付札（関数）'!FS"&amp;CM9+1),0),
IF(CN10="△",
INDIRECT("'盛付札（関数）'!FS"&amp;CM9+1),INDIRECT("'盛付札（関数）'!FS"&amp;CM9))))),"")</f>
        <v/>
      </c>
      <c r="CS15" s="195"/>
      <c r="CU15" s="196" t="str">
        <f ca="1">IF(CV12&lt;&gt;"",
IFERROR(INT(CV12/CV14),""),"")</f>
        <v/>
      </c>
      <c r="CV15" s="195"/>
      <c r="CW15" s="196" t="str">
        <f ca="1">IFERROR(MOD(CV12,CV14),"")</f>
        <v/>
      </c>
      <c r="CX15" s="195"/>
      <c r="CY15" s="194" t="str">
        <f t="array" aca="1" ref="CY15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IF(CU10="●",
IFERROR(INDIRECT("'盛付札（関数）'!FS"&amp;CT9)+INDIRECT("'盛付札（関数）'!FS"&amp;CT9+1),0),
IF(CU10="△",
INDIRECT("'盛付札（関数）'!FS"&amp;CT9+1),INDIRECT("'盛付札（関数）'!FS"&amp;CT9))))),"")</f>
        <v/>
      </c>
      <c r="CZ15" s="195"/>
      <c r="DC15" s="196" t="str">
        <f ca="1">IF(DD12&lt;&gt;"",
IFERROR(INT(DD12/DD14),""),"")</f>
        <v/>
      </c>
      <c r="DD15" s="195"/>
      <c r="DE15" s="196" t="str">
        <f ca="1">IFERROR(MOD(DD12,DD14),"")</f>
        <v/>
      </c>
      <c r="DF15" s="195"/>
      <c r="DG15" s="194" t="str">
        <f t="array" aca="1" ref="DG15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IF(DC10="●",
IFERROR(INDIRECT("'盛付札（関数）'!FS"&amp;DB9)+INDIRECT("'盛付札（関数）'!FS"&amp;DB9+1),0),
IF(DC10="△",
INDIRECT("'盛付札（関数）'!FS"&amp;DB9+1),INDIRECT("'盛付札（関数）'!FS"&amp;DB9))))),"")</f>
        <v/>
      </c>
      <c r="DH15" s="195"/>
      <c r="DJ15" s="196" t="str">
        <f ca="1">IF(DK12&lt;&gt;"",
IFERROR(INT(DK12/DK14),""),"")</f>
        <v/>
      </c>
      <c r="DK15" s="195"/>
      <c r="DL15" s="196" t="str">
        <f ca="1">IFERROR(MOD(DK12,DK14),"")</f>
        <v/>
      </c>
      <c r="DM15" s="195"/>
      <c r="DN15" s="194" t="str">
        <f t="array" aca="1" ref="DN15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IF(DJ10="●",
IFERROR(INDIRECT("'盛付札（関数）'!FS"&amp;DI9)+INDIRECT("'盛付札（関数）'!FS"&amp;DI9+1),0),
IF(DJ10="△",
INDIRECT("'盛付札（関数）'!FS"&amp;DI9+1),INDIRECT("'盛付札（関数）'!FS"&amp;DI9))))),"")</f>
        <v/>
      </c>
      <c r="DO15" s="195"/>
      <c r="DR15" s="196" t="str">
        <f ca="1">IF(DS12&lt;&gt;"",
IFERROR(INT(DS12/DS14),""),"")</f>
        <v/>
      </c>
      <c r="DS15" s="195"/>
      <c r="DT15" s="196" t="str">
        <f ca="1">IFERROR(MOD(DS12,DS14),"")</f>
        <v/>
      </c>
      <c r="DU15" s="195"/>
      <c r="DV15" s="194" t="str">
        <f t="array" aca="1" ref="DV15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IF(DR10="●",
IFERROR(INDIRECT("'盛付札（関数）'!FS"&amp;DQ9)+INDIRECT("'盛付札（関数）'!FS"&amp;DQ9+1),0),
IF(DR10="△",
INDIRECT("'盛付札（関数）'!FS"&amp;DQ9+1),INDIRECT("'盛付札（関数）'!FS"&amp;DQ9))))),"")</f>
        <v/>
      </c>
      <c r="DW15" s="195"/>
      <c r="DY15" s="196" t="str">
        <f ca="1">IF(DZ12&lt;&gt;"",
IFERROR(INT(DZ12/DZ14),""),"")</f>
        <v/>
      </c>
      <c r="DZ15" s="195"/>
      <c r="EA15" s="196" t="str">
        <f ca="1">IFERROR(MOD(DZ12,DZ14),"")</f>
        <v/>
      </c>
      <c r="EB15" s="195"/>
      <c r="EC15" s="194" t="str">
        <f t="array" aca="1" ref="EC15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IF(DY10="●",
IFERROR(INDIRECT("'盛付札（関数）'!FS"&amp;DX9)+INDIRECT("'盛付札（関数）'!FS"&amp;DX9+1),0),
IF(DY10="△",
INDIRECT("'盛付札（関数）'!FS"&amp;DX9+1),INDIRECT("'盛付札（関数）'!FS"&amp;DX9))))),"")</f>
        <v/>
      </c>
      <c r="ED15" s="195"/>
      <c r="EG15" s="196" t="str">
        <f ca="1">IF(EH12&lt;&gt;"",
IFERROR(INT(EH12/EH14),""),"")</f>
        <v/>
      </c>
      <c r="EH15" s="195"/>
      <c r="EI15" s="196" t="str">
        <f ca="1">IFERROR(MOD(EH12,EH14),"")</f>
        <v/>
      </c>
      <c r="EJ15" s="195"/>
      <c r="EK15" s="194" t="str">
        <f t="array" aca="1" ref="EK15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IF(EG10="●",
IFERROR(INDIRECT("'盛付札（関数）'!FS"&amp;EF9)+INDIRECT("'盛付札（関数）'!FS"&amp;EF9+1),0),
IF(EG10="△",
INDIRECT("'盛付札（関数）'!FS"&amp;EF9+1),INDIRECT("'盛付札（関数）'!FS"&amp;EF9))))),"")</f>
        <v/>
      </c>
      <c r="EL15" s="195"/>
      <c r="EN15" s="196" t="str">
        <f ca="1">IF(EO12&lt;&gt;"",
IFERROR(INT(EO12/EO14),""),"")</f>
        <v/>
      </c>
      <c r="EO15" s="195"/>
      <c r="EP15" s="196" t="str">
        <f ca="1">IFERROR(MOD(EO12,EO14),"")</f>
        <v/>
      </c>
      <c r="EQ15" s="195"/>
      <c r="ER15" s="194" t="str">
        <f t="array" aca="1" ref="ER15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IF(EN10="●",
IFERROR(INDIRECT("'盛付札（関数）'!FS"&amp;EM9)+INDIRECT("'盛付札（関数）'!FS"&amp;EM9+1),0),
IF(EN10="△",
INDIRECT("'盛付札（関数）'!FS"&amp;EM9+1),INDIRECT("'盛付札（関数）'!FS"&amp;EM9))))),"")</f>
        <v/>
      </c>
      <c r="ES15" s="195"/>
    </row>
    <row r="16" spans="1:150" ht="6.6" customHeight="1" x14ac:dyDescent="0.55000000000000004">
      <c r="B16" s="74"/>
      <c r="D16" s="74"/>
      <c r="F16" s="75"/>
      <c r="I16" s="74"/>
      <c r="K16" s="74"/>
      <c r="M16" s="75"/>
      <c r="Q16" s="74"/>
      <c r="S16" s="74"/>
      <c r="U16" s="75"/>
      <c r="X16" s="74"/>
      <c r="Z16" s="74"/>
      <c r="AB16" s="75"/>
      <c r="AF16" s="74"/>
      <c r="AH16" s="74"/>
      <c r="AJ16" s="75"/>
      <c r="AM16" s="74"/>
      <c r="AO16" s="74"/>
      <c r="AQ16" s="75"/>
      <c r="AU16" s="74"/>
      <c r="AW16" s="74"/>
      <c r="AY16" s="75"/>
      <c r="BB16" s="74"/>
      <c r="BD16" s="74"/>
      <c r="BF16" s="75"/>
      <c r="BJ16" s="74"/>
      <c r="BL16" s="74"/>
      <c r="BN16" s="75"/>
      <c r="BQ16" s="74"/>
      <c r="BS16" s="74"/>
      <c r="BU16" s="75"/>
      <c r="BY16" s="74"/>
      <c r="CA16" s="74"/>
      <c r="CC16" s="75"/>
      <c r="CF16" s="74"/>
      <c r="CH16" s="74"/>
      <c r="CJ16" s="75"/>
      <c r="CN16" s="74"/>
      <c r="CP16" s="74"/>
      <c r="CR16" s="75"/>
      <c r="CU16" s="74"/>
      <c r="CW16" s="74"/>
      <c r="CY16" s="75"/>
      <c r="DC16" s="74"/>
      <c r="DE16" s="74"/>
      <c r="DG16" s="75"/>
      <c r="DJ16" s="74"/>
      <c r="DL16" s="74"/>
      <c r="DN16" s="75"/>
      <c r="DR16" s="74"/>
      <c r="DT16" s="74"/>
      <c r="DV16" s="75"/>
      <c r="DY16" s="74"/>
      <c r="EA16" s="74"/>
      <c r="EC16" s="75"/>
      <c r="EG16" s="74"/>
      <c r="EI16" s="74"/>
      <c r="EK16" s="75"/>
      <c r="EN16" s="74"/>
      <c r="EP16" s="74"/>
      <c r="ER16" s="75"/>
    </row>
    <row r="17" spans="1:150" s="60" customFormat="1" ht="25.8" customHeight="1" x14ac:dyDescent="0.55000000000000004">
      <c r="A17" s="59">
        <f ca="1">IF(OR(I10="●",I10="△"),
H9+2,H9+1)</f>
        <v>5</v>
      </c>
      <c r="B17" s="72" t="str">
        <f ca="1">IF(C17&lt;&gt;"",
MID(貼り付け用!$A$2, FIND("年",貼り付け用!$A$2)+1,2)&amp;"/"&amp;MID(貼り付け用!$A$2, FIND("月",貼り付け用!$A$2)+1,2),"")</f>
        <v>06/18</v>
      </c>
      <c r="C17" s="202" t="str">
        <f t="array" aca="1" ref="C17" ca="1">SUBSTITUTE(SUBSTITUTE(SUBSTITUTE(SUBSTITUTE(SUBSTITUTE(SUBSTITUTE(SUBSTITUTE(SUBSTITUTE(SUBSTITUTE(SUBSTITUTE(
IF(B18="△",
INDIRECT("'盛付札（関数）'!FJ"&amp;A17+1),INDIRECT("'盛付札（関数）'!FJ"&amp;A17)),"①",""),"②",""),"③",""),"④",""),"⑤",""),"⑥",""),"⑦",""),"⑧",""),"⑨",""),"⑩","")</f>
        <v>キャラ弁当 飯あり【1】</v>
      </c>
      <c r="D17" s="203"/>
      <c r="E17" s="203"/>
      <c r="F17" s="203"/>
      <c r="G17" s="71" t="str">
        <f t="array" aca="1" ref="G17" ca="1">IF(C17&lt;&gt;"",
IF(AND(INDIRECT("'盛付札（関数）'!FI"&amp;A17)&gt;=124,INDIRECT("'盛付札（関数）'!FI"&amp;A17)&lt;=144),"",
"様"),"")</f>
        <v/>
      </c>
      <c r="H17" s="65">
        <f ca="1">IF(OR(B18="●",B18="△"),
A17+2,A17+1)</f>
        <v>6</v>
      </c>
      <c r="I17" s="72" t="str">
        <f ca="1">IF(J17&lt;&gt;"",
MID(貼り付け用!$A$2, FIND("年",貼り付け用!$A$2)+1,2)&amp;"/"&amp;MID(貼り付け用!$A$2, FIND("月",貼り付け用!$A$2)+1,2),"")</f>
        <v>06/18</v>
      </c>
      <c r="J17" s="202" t="str">
        <f t="array" aca="1" ref="J17" ca="1">SUBSTITUTE(SUBSTITUTE(SUBSTITUTE(SUBSTITUTE(SUBSTITUTE(SUBSTITUTE(SUBSTITUTE(SUBSTITUTE(SUBSTITUTE(SUBSTITUTE(
IF(I18="△",
INDIRECT("'盛付札（関数）'!FJ"&amp;H17+1),INDIRECT("'盛付札（関数）'!FJ"&amp;H17)),"①",""),"②",""),"③",""),"④",""),"⑤",""),"⑥",""),"⑦",""),"⑧",""),"⑨",""),"⑩","")</f>
        <v>キャラ弁当 飯あり【2】</v>
      </c>
      <c r="K17" s="203"/>
      <c r="L17" s="203"/>
      <c r="M17" s="203"/>
      <c r="N17" s="71" t="str">
        <f t="array" aca="1" ref="N17" ca="1">IF(J17&lt;&gt;"",
IF(AND(INDIRECT("'盛付札（関数）'!FI"&amp;H17)&gt;=124,INDIRECT("'盛付札（関数）'!FI"&amp;H17)&lt;=144),"",
"様"),"")</f>
        <v/>
      </c>
      <c r="O17" s="49"/>
      <c r="P17" s="59">
        <f ca="1">IF(OR(X10="●",X10="△"),
W9+2,W9+1)</f>
        <v>17</v>
      </c>
      <c r="Q17" s="72" t="str">
        <f ca="1">IF(R17&lt;&gt;"",
MID(貼り付け用!$A$2, FIND("年",貼り付け用!$A$2)+1,2)&amp;"/"&amp;MID(貼り付け用!$A$2, FIND("月",貼り付け用!$A$2)+1,2),"")</f>
        <v/>
      </c>
      <c r="R17" s="202" t="str">
        <f t="array" aca="1" ref="R17" ca="1">SUBSTITUTE(SUBSTITUTE(SUBSTITUTE(SUBSTITUTE(SUBSTITUTE(SUBSTITUTE(SUBSTITUTE(SUBSTITUTE(SUBSTITUTE(SUBSTITUTE(
IF(Q18="△",
INDIRECT("'盛付札（関数）'!FJ"&amp;P17+1),INDIRECT("'盛付札（関数）'!FJ"&amp;P17)),"①",""),"②",""),"③",""),"④",""),"⑤",""),"⑥",""),"⑦",""),"⑧",""),"⑨",""),"⑩","")</f>
        <v/>
      </c>
      <c r="S17" s="203"/>
      <c r="T17" s="203"/>
      <c r="U17" s="203"/>
      <c r="V17" s="71" t="str">
        <f t="array" aca="1" ref="V17" ca="1">IF(R17&lt;&gt;"",
IF(AND(INDIRECT("'盛付札（関数）'!FI"&amp;P17)&gt;=124,INDIRECT("'盛付札（関数）'!FI"&amp;P17)&lt;=144),"",
"様"),"")</f>
        <v/>
      </c>
      <c r="W17" s="65">
        <f ca="1">IF(OR(Q18="●",Q18="△"),
P17+2,P17+1)</f>
        <v>18</v>
      </c>
      <c r="X17" s="72" t="str">
        <f ca="1">IF(Y17&lt;&gt;"",
MID(貼り付け用!$A$2, FIND("年",貼り付け用!$A$2)+1,2)&amp;"/"&amp;MID(貼り付け用!$A$2, FIND("月",貼り付け用!$A$2)+1,2),"")</f>
        <v/>
      </c>
      <c r="Y17" s="202" t="str">
        <f t="array" aca="1" ref="Y17" ca="1">SUBSTITUTE(SUBSTITUTE(SUBSTITUTE(SUBSTITUTE(SUBSTITUTE(SUBSTITUTE(SUBSTITUTE(SUBSTITUTE(SUBSTITUTE(SUBSTITUTE(
IF(X18="△",
INDIRECT("'盛付札（関数）'!FJ"&amp;W17+1),INDIRECT("'盛付札（関数）'!FJ"&amp;W17)),"①",""),"②",""),"③",""),"④",""),"⑤",""),"⑥",""),"⑦",""),"⑧",""),"⑨",""),"⑩","")</f>
        <v/>
      </c>
      <c r="Z17" s="203"/>
      <c r="AA17" s="203"/>
      <c r="AB17" s="203"/>
      <c r="AC17" s="71" t="str">
        <f t="array" aca="1" ref="AC17" ca="1">IF(Y17&lt;&gt;"",
IF(AND(INDIRECT("'盛付札（関数）'!FI"&amp;W17)&gt;=124,INDIRECT("'盛付札（関数）'!FI"&amp;W17)&lt;=144),"",
"様"),"")</f>
        <v/>
      </c>
      <c r="AD17" s="49"/>
      <c r="AE17" s="59">
        <f ca="1">IF(OR(AM10="●",AM10="△"),
AL9+2,AL9+1)</f>
        <v>29</v>
      </c>
      <c r="AF17" s="72" t="str">
        <f ca="1">IF(AG17&lt;&gt;"",
MID(貼り付け用!$A$2, FIND("年",貼り付け用!$A$2)+1,2)&amp;"/"&amp;MID(貼り付け用!$A$2, FIND("月",貼り付け用!$A$2)+1,2),"")</f>
        <v/>
      </c>
      <c r="AG17" s="202" t="str">
        <f t="array" aca="1" ref="AG17" ca="1">SUBSTITUTE(SUBSTITUTE(SUBSTITUTE(SUBSTITUTE(SUBSTITUTE(SUBSTITUTE(SUBSTITUTE(SUBSTITUTE(SUBSTITUTE(SUBSTITUTE(
IF(AF18="△",
INDIRECT("'盛付札（関数）'!FJ"&amp;AE17+1),INDIRECT("'盛付札（関数）'!FJ"&amp;AE17)),"①",""),"②",""),"③",""),"④",""),"⑤",""),"⑥",""),"⑦",""),"⑧",""),"⑨",""),"⑩","")</f>
        <v/>
      </c>
      <c r="AH17" s="203"/>
      <c r="AI17" s="203"/>
      <c r="AJ17" s="203"/>
      <c r="AK17" s="71" t="str">
        <f t="array" aca="1" ref="AK17" ca="1">IF(AG17&lt;&gt;"",
IF(AND(INDIRECT("'盛付札（関数）'!FI"&amp;AE17)&gt;=124,INDIRECT("'盛付札（関数）'!FI"&amp;AE17)&lt;=144),"",
"様"),"")</f>
        <v/>
      </c>
      <c r="AL17" s="65">
        <f ca="1">IF(OR(AF18="●",AF18="△"),
AE17+2,AE17+1)</f>
        <v>30</v>
      </c>
      <c r="AM17" s="72" t="str">
        <f ca="1">IF(AN17&lt;&gt;"",
MID(貼り付け用!$A$2, FIND("年",貼り付け用!$A$2)+1,2)&amp;"/"&amp;MID(貼り付け用!$A$2, FIND("月",貼り付け用!$A$2)+1,2),"")</f>
        <v/>
      </c>
      <c r="AN17" s="202" t="str">
        <f t="array" aca="1" ref="AN17" ca="1">SUBSTITUTE(SUBSTITUTE(SUBSTITUTE(SUBSTITUTE(SUBSTITUTE(SUBSTITUTE(SUBSTITUTE(SUBSTITUTE(SUBSTITUTE(SUBSTITUTE(
IF(AM18="△",
INDIRECT("'盛付札（関数）'!FJ"&amp;AL17+1),INDIRECT("'盛付札（関数）'!FJ"&amp;AL17)),"①",""),"②",""),"③",""),"④",""),"⑤",""),"⑥",""),"⑦",""),"⑧",""),"⑨",""),"⑩","")</f>
        <v/>
      </c>
      <c r="AO17" s="203"/>
      <c r="AP17" s="203"/>
      <c r="AQ17" s="203"/>
      <c r="AR17" s="71" t="str">
        <f t="array" aca="1" ref="AR17" ca="1">IF(AN17&lt;&gt;"",
IF(AND(INDIRECT("'盛付札（関数）'!FI"&amp;AL17)&gt;=124,INDIRECT("'盛付札（関数）'!FI"&amp;AL17)&lt;=144),"",
"様"),"")</f>
        <v/>
      </c>
      <c r="AS17" s="49"/>
      <c r="AT17" s="59">
        <f ca="1">IF(OR(BB10="●",BB10="△"),
BA9+2,BA9+1)</f>
        <v>41</v>
      </c>
      <c r="AU17" s="72" t="str">
        <f ca="1">IF(AV17&lt;&gt;"",
MID(貼り付け用!$A$2, FIND("年",貼り付け用!$A$2)+1,2)&amp;"/"&amp;MID(貼り付け用!$A$2, FIND("月",貼り付け用!$A$2)+1,2),"")</f>
        <v/>
      </c>
      <c r="AV17" s="202" t="str">
        <f t="array" aca="1" ref="AV17" ca="1">SUBSTITUTE(SUBSTITUTE(SUBSTITUTE(SUBSTITUTE(SUBSTITUTE(SUBSTITUTE(SUBSTITUTE(SUBSTITUTE(SUBSTITUTE(SUBSTITUTE(
IF(AU18="△",
INDIRECT("'盛付札（関数）'!FJ"&amp;AT17+1),INDIRECT("'盛付札（関数）'!FJ"&amp;AT17)),"①",""),"②",""),"③",""),"④",""),"⑤",""),"⑥",""),"⑦",""),"⑧",""),"⑨",""),"⑩","")</f>
        <v/>
      </c>
      <c r="AW17" s="203"/>
      <c r="AX17" s="203"/>
      <c r="AY17" s="203"/>
      <c r="AZ17" s="71" t="str">
        <f t="array" aca="1" ref="AZ17" ca="1">IF(AV17&lt;&gt;"",
IF(AND(INDIRECT("'盛付札（関数）'!FI"&amp;AT17)&gt;=124,INDIRECT("'盛付札（関数）'!FI"&amp;AT17)&lt;=144),"",
"様"),"")</f>
        <v/>
      </c>
      <c r="BA17" s="65">
        <f ca="1">IF(OR(AU18="●",AU18="△"),
AT17+2,AT17+1)</f>
        <v>42</v>
      </c>
      <c r="BB17" s="72" t="str">
        <f ca="1">IF(BC17&lt;&gt;"",
MID(貼り付け用!$A$2, FIND("年",貼り付け用!$A$2)+1,2)&amp;"/"&amp;MID(貼り付け用!$A$2, FIND("月",貼り付け用!$A$2)+1,2),"")</f>
        <v/>
      </c>
      <c r="BC17" s="202" t="str">
        <f t="array" aca="1" ref="BC17" ca="1">SUBSTITUTE(SUBSTITUTE(SUBSTITUTE(SUBSTITUTE(SUBSTITUTE(SUBSTITUTE(SUBSTITUTE(SUBSTITUTE(SUBSTITUTE(SUBSTITUTE(
IF(BB18="△",
INDIRECT("'盛付札（関数）'!FJ"&amp;BA17+1),INDIRECT("'盛付札（関数）'!FJ"&amp;BA17)),"①",""),"②",""),"③",""),"④",""),"⑤",""),"⑥",""),"⑦",""),"⑧",""),"⑨",""),"⑩","")</f>
        <v/>
      </c>
      <c r="BD17" s="203"/>
      <c r="BE17" s="203"/>
      <c r="BF17" s="203"/>
      <c r="BG17" s="71" t="str">
        <f t="array" aca="1" ref="BG17" ca="1">IF(BC17&lt;&gt;"",
IF(AND(INDIRECT("'盛付札（関数）'!FI"&amp;BA17)&gt;=124,INDIRECT("'盛付札（関数）'!FI"&amp;BA17)&lt;=144),"",
"様"),"")</f>
        <v/>
      </c>
      <c r="BH17" s="49"/>
      <c r="BI17" s="59">
        <f ca="1">IF(OR(BQ10="●",BQ10="△"),
BP9+2,BP9+1)</f>
        <v>53</v>
      </c>
      <c r="BJ17" s="72" t="str">
        <f ca="1">IF(BK17&lt;&gt;"",
MID(貼り付け用!$A$2, FIND("年",貼り付け用!$A$2)+1,2)&amp;"/"&amp;MID(貼り付け用!$A$2, FIND("月",貼り付け用!$A$2)+1,2),"")</f>
        <v/>
      </c>
      <c r="BK17" s="202" t="str">
        <f t="array" aca="1" ref="BK17" ca="1">SUBSTITUTE(SUBSTITUTE(SUBSTITUTE(SUBSTITUTE(SUBSTITUTE(SUBSTITUTE(SUBSTITUTE(SUBSTITUTE(SUBSTITUTE(SUBSTITUTE(
IF(BJ18="△",
INDIRECT("'盛付札（関数）'!FJ"&amp;BI17+1),INDIRECT("'盛付札（関数）'!FJ"&amp;BI17)),"①",""),"②",""),"③",""),"④",""),"⑤",""),"⑥",""),"⑦",""),"⑧",""),"⑨",""),"⑩","")</f>
        <v/>
      </c>
      <c r="BL17" s="203"/>
      <c r="BM17" s="203"/>
      <c r="BN17" s="203"/>
      <c r="BO17" s="71" t="str">
        <f t="array" aca="1" ref="BO17" ca="1">IF(BK17&lt;&gt;"",
IF(AND(INDIRECT("'盛付札（関数）'!FI"&amp;BI17)&gt;=124,INDIRECT("'盛付札（関数）'!FI"&amp;BI17)&lt;=144),"",
"様"),"")</f>
        <v/>
      </c>
      <c r="BP17" s="65">
        <f ca="1">IF(OR(BJ18="●",BJ18="△"),
BI17+2,BI17+1)</f>
        <v>54</v>
      </c>
      <c r="BQ17" s="72" t="str">
        <f ca="1">IF(BR17&lt;&gt;"",
MID(貼り付け用!$A$2, FIND("年",貼り付け用!$A$2)+1,2)&amp;"/"&amp;MID(貼り付け用!$A$2, FIND("月",貼り付け用!$A$2)+1,2),"")</f>
        <v/>
      </c>
      <c r="BR17" s="202" t="str">
        <f t="array" aca="1" ref="BR17" ca="1">SUBSTITUTE(SUBSTITUTE(SUBSTITUTE(SUBSTITUTE(SUBSTITUTE(SUBSTITUTE(SUBSTITUTE(SUBSTITUTE(SUBSTITUTE(SUBSTITUTE(
IF(BQ18="△",
INDIRECT("'盛付札（関数）'!FJ"&amp;BP17+1),INDIRECT("'盛付札（関数）'!FJ"&amp;BP17)),"①",""),"②",""),"③",""),"④",""),"⑤",""),"⑥",""),"⑦",""),"⑧",""),"⑨",""),"⑩","")</f>
        <v/>
      </c>
      <c r="BS17" s="203"/>
      <c r="BT17" s="203"/>
      <c r="BU17" s="203"/>
      <c r="BV17" s="71" t="str">
        <f t="array" aca="1" ref="BV17" ca="1">IF(BR17&lt;&gt;"",
IF(AND(INDIRECT("'盛付札（関数）'!FI"&amp;BP17)&gt;=124,INDIRECT("'盛付札（関数）'!FI"&amp;BP17)&lt;=144),"",
"様"),"")</f>
        <v/>
      </c>
      <c r="BW17" s="49"/>
      <c r="BX17" s="59">
        <f ca="1">IF(OR(CF10="●",CF10="△"),
CE9+2,CE9+1)</f>
        <v>65</v>
      </c>
      <c r="BY17" s="72" t="str">
        <f ca="1">IF(BZ17&lt;&gt;"",
MID(貼り付け用!$A$2, FIND("年",貼り付け用!$A$2)+1,2)&amp;"/"&amp;MID(貼り付け用!$A$2, FIND("月",貼り付け用!$A$2)+1,2),"")</f>
        <v/>
      </c>
      <c r="BZ17" s="202" t="str">
        <f t="array" aca="1" ref="BZ17" ca="1">SUBSTITUTE(SUBSTITUTE(SUBSTITUTE(SUBSTITUTE(SUBSTITUTE(SUBSTITUTE(SUBSTITUTE(SUBSTITUTE(SUBSTITUTE(SUBSTITUTE(
IF(BY18="△",
INDIRECT("'盛付札（関数）'!FJ"&amp;BX17+1),INDIRECT("'盛付札（関数）'!FJ"&amp;BX17)),"①",""),"②",""),"③",""),"④",""),"⑤",""),"⑥",""),"⑦",""),"⑧",""),"⑨",""),"⑩","")</f>
        <v/>
      </c>
      <c r="CA17" s="203"/>
      <c r="CB17" s="203"/>
      <c r="CC17" s="203"/>
      <c r="CD17" s="71" t="str">
        <f t="array" aca="1" ref="CD17" ca="1">IF(BZ17&lt;&gt;"",
IF(AND(INDIRECT("'盛付札（関数）'!FI"&amp;BX17)&gt;=124,INDIRECT("'盛付札（関数）'!FI"&amp;BX17)&lt;=144),"",
"様"),"")</f>
        <v/>
      </c>
      <c r="CE17" s="65">
        <f ca="1">IF(OR(BY18="●",BY18="△"),
BX17+2,BX17+1)</f>
        <v>66</v>
      </c>
      <c r="CF17" s="72" t="str">
        <f ca="1">IF(CG17&lt;&gt;"",
MID(貼り付け用!$A$2, FIND("年",貼り付け用!$A$2)+1,2)&amp;"/"&amp;MID(貼り付け用!$A$2, FIND("月",貼り付け用!$A$2)+1,2),"")</f>
        <v/>
      </c>
      <c r="CG17" s="202" t="str">
        <f t="array" aca="1" ref="CG17" ca="1">SUBSTITUTE(SUBSTITUTE(SUBSTITUTE(SUBSTITUTE(SUBSTITUTE(SUBSTITUTE(SUBSTITUTE(SUBSTITUTE(SUBSTITUTE(SUBSTITUTE(
IF(CF18="△",
INDIRECT("'盛付札（関数）'!FJ"&amp;CE17+1),INDIRECT("'盛付札（関数）'!FJ"&amp;CE17)),"①",""),"②",""),"③",""),"④",""),"⑤",""),"⑥",""),"⑦",""),"⑧",""),"⑨",""),"⑩","")</f>
        <v/>
      </c>
      <c r="CH17" s="203"/>
      <c r="CI17" s="203"/>
      <c r="CJ17" s="203"/>
      <c r="CK17" s="71" t="str">
        <f t="array" aca="1" ref="CK17" ca="1">IF(CG17&lt;&gt;"",
IF(AND(INDIRECT("'盛付札（関数）'!FI"&amp;CE17)&gt;=124,INDIRECT("'盛付札（関数）'!FI"&amp;CE17)&lt;=144),"",
"様"),"")</f>
        <v/>
      </c>
      <c r="CL17" s="49"/>
      <c r="CM17" s="59">
        <f ca="1">IF(OR(CU10="●",CU10="△"),
CT9+2,CT9+1)</f>
        <v>77</v>
      </c>
      <c r="CN17" s="72" t="str">
        <f ca="1">IF(CO17&lt;&gt;"",
MID(貼り付け用!$A$2, FIND("年",貼り付け用!$A$2)+1,2)&amp;"/"&amp;MID(貼り付け用!$A$2, FIND("月",貼り付け用!$A$2)+1,2),"")</f>
        <v/>
      </c>
      <c r="CO17" s="202" t="str">
        <f t="array" aca="1" ref="CO17" ca="1">SUBSTITUTE(SUBSTITUTE(SUBSTITUTE(SUBSTITUTE(SUBSTITUTE(SUBSTITUTE(SUBSTITUTE(SUBSTITUTE(SUBSTITUTE(SUBSTITUTE(
IF(CN18="△",
INDIRECT("'盛付札（関数）'!FJ"&amp;CM17+1),INDIRECT("'盛付札（関数）'!FJ"&amp;CM17)),"①",""),"②",""),"③",""),"④",""),"⑤",""),"⑥",""),"⑦",""),"⑧",""),"⑨",""),"⑩","")</f>
        <v/>
      </c>
      <c r="CP17" s="203"/>
      <c r="CQ17" s="203"/>
      <c r="CR17" s="203"/>
      <c r="CS17" s="71" t="str">
        <f t="array" aca="1" ref="CS17" ca="1">IF(CO17&lt;&gt;"",
IF(AND(INDIRECT("'盛付札（関数）'!FI"&amp;CM17)&gt;=124,INDIRECT("'盛付札（関数）'!FI"&amp;CM17)&lt;=144),"",
"様"),"")</f>
        <v/>
      </c>
      <c r="CT17" s="65">
        <f ca="1">IF(OR(CN18="●",CN18="△"),
CM17+2,CM17+1)</f>
        <v>78</v>
      </c>
      <c r="CU17" s="72" t="str">
        <f ca="1">IF(CV17&lt;&gt;"",
MID(貼り付け用!$A$2, FIND("年",貼り付け用!$A$2)+1,2)&amp;"/"&amp;MID(貼り付け用!$A$2, FIND("月",貼り付け用!$A$2)+1,2),"")</f>
        <v/>
      </c>
      <c r="CV17" s="202" t="str">
        <f t="array" aca="1" ref="CV17" ca="1">SUBSTITUTE(SUBSTITUTE(SUBSTITUTE(SUBSTITUTE(SUBSTITUTE(SUBSTITUTE(SUBSTITUTE(SUBSTITUTE(SUBSTITUTE(SUBSTITUTE(
IF(CU18="△",
INDIRECT("'盛付札（関数）'!FJ"&amp;CT17+1),INDIRECT("'盛付札（関数）'!FJ"&amp;CT17)),"①",""),"②",""),"③",""),"④",""),"⑤",""),"⑥",""),"⑦",""),"⑧",""),"⑨",""),"⑩","")</f>
        <v/>
      </c>
      <c r="CW17" s="203"/>
      <c r="CX17" s="203"/>
      <c r="CY17" s="203"/>
      <c r="CZ17" s="71" t="str">
        <f t="array" aca="1" ref="CZ17" ca="1">IF(CV17&lt;&gt;"",
IF(AND(INDIRECT("'盛付札（関数）'!FI"&amp;CT17)&gt;=124,INDIRECT("'盛付札（関数）'!FI"&amp;CT17)&lt;=144),"",
"様"),"")</f>
        <v/>
      </c>
      <c r="DA17" s="49"/>
      <c r="DB17" s="59">
        <f ca="1">IF(OR(DJ10="●",DJ10="△"),
DI9+2,DI9+1)</f>
        <v>89</v>
      </c>
      <c r="DC17" s="72" t="str">
        <f ca="1">IF(DD17&lt;&gt;"",
MID(貼り付け用!$A$2, FIND("年",貼り付け用!$A$2)+1,2)&amp;"/"&amp;MID(貼り付け用!$A$2, FIND("月",貼り付け用!$A$2)+1,2),"")</f>
        <v/>
      </c>
      <c r="DD17" s="202" t="str">
        <f t="array" aca="1" ref="DD17" ca="1">SUBSTITUTE(SUBSTITUTE(SUBSTITUTE(SUBSTITUTE(SUBSTITUTE(SUBSTITUTE(SUBSTITUTE(SUBSTITUTE(SUBSTITUTE(SUBSTITUTE(
IF(DC18="△",
INDIRECT("'盛付札（関数）'!FJ"&amp;DB17+1),INDIRECT("'盛付札（関数）'!FJ"&amp;DB17)),"①",""),"②",""),"③",""),"④",""),"⑤",""),"⑥",""),"⑦",""),"⑧",""),"⑨",""),"⑩","")</f>
        <v/>
      </c>
      <c r="DE17" s="203"/>
      <c r="DF17" s="203"/>
      <c r="DG17" s="203"/>
      <c r="DH17" s="71" t="str">
        <f t="array" aca="1" ref="DH17" ca="1">IF(DD17&lt;&gt;"",
IF(AND(INDIRECT("'盛付札（関数）'!FI"&amp;DB17)&gt;=124,INDIRECT("'盛付札（関数）'!FI"&amp;DB17)&lt;=144),"",
"様"),"")</f>
        <v/>
      </c>
      <c r="DI17" s="65">
        <f ca="1">IF(OR(DC18="●",DC18="△"),
DB17+2,DB17+1)</f>
        <v>90</v>
      </c>
      <c r="DJ17" s="72" t="str">
        <f ca="1">IF(DK17&lt;&gt;"",
MID(貼り付け用!$A$2, FIND("年",貼り付け用!$A$2)+1,2)&amp;"/"&amp;MID(貼り付け用!$A$2, FIND("月",貼り付け用!$A$2)+1,2),"")</f>
        <v/>
      </c>
      <c r="DK17" s="202" t="str">
        <f t="array" aca="1" ref="DK17" ca="1">SUBSTITUTE(SUBSTITUTE(SUBSTITUTE(SUBSTITUTE(SUBSTITUTE(SUBSTITUTE(SUBSTITUTE(SUBSTITUTE(SUBSTITUTE(SUBSTITUTE(
IF(DJ18="△",
INDIRECT("'盛付札（関数）'!FJ"&amp;DI17+1),INDIRECT("'盛付札（関数）'!FJ"&amp;DI17)),"①",""),"②",""),"③",""),"④",""),"⑤",""),"⑥",""),"⑦",""),"⑧",""),"⑨",""),"⑩","")</f>
        <v/>
      </c>
      <c r="DL17" s="203"/>
      <c r="DM17" s="203"/>
      <c r="DN17" s="203"/>
      <c r="DO17" s="71" t="str">
        <f t="array" aca="1" ref="DO17" ca="1">IF(DK17&lt;&gt;"",
IF(AND(INDIRECT("'盛付札（関数）'!FI"&amp;DI17)&gt;=124,INDIRECT("'盛付札（関数）'!FI"&amp;DI17)&lt;=144),"",
"様"),"")</f>
        <v/>
      </c>
      <c r="DP17" s="49"/>
      <c r="DQ17" s="59">
        <f ca="1">IF(OR(DY10="●",DY10="△"),
DX9+2,DX9+1)</f>
        <v>101</v>
      </c>
      <c r="DR17" s="72" t="str">
        <f ca="1">IF(DS17&lt;&gt;"",
MID(貼り付け用!$A$2, FIND("年",貼り付け用!$A$2)+1,2)&amp;"/"&amp;MID(貼り付け用!$A$2, FIND("月",貼り付け用!$A$2)+1,2),"")</f>
        <v/>
      </c>
      <c r="DS17" s="202" t="str">
        <f t="array" aca="1" ref="DS17" ca="1">SUBSTITUTE(SUBSTITUTE(SUBSTITUTE(SUBSTITUTE(SUBSTITUTE(SUBSTITUTE(SUBSTITUTE(SUBSTITUTE(SUBSTITUTE(SUBSTITUTE(
IF(DR18="△",
INDIRECT("'盛付札（関数）'!FJ"&amp;DQ17+1),INDIRECT("'盛付札（関数）'!FJ"&amp;DQ17)),"①",""),"②",""),"③",""),"④",""),"⑤",""),"⑥",""),"⑦",""),"⑧",""),"⑨",""),"⑩","")</f>
        <v/>
      </c>
      <c r="DT17" s="203"/>
      <c r="DU17" s="203"/>
      <c r="DV17" s="203"/>
      <c r="DW17" s="71" t="str">
        <f t="array" aca="1" ref="DW17" ca="1">IF(DS17&lt;&gt;"",
IF(AND(INDIRECT("'盛付札（関数）'!FI"&amp;DQ17)&gt;=124,INDIRECT("'盛付札（関数）'!FI"&amp;DQ17)&lt;=144),"",
"様"),"")</f>
        <v/>
      </c>
      <c r="DX17" s="65">
        <f ca="1">IF(OR(DR18="●",DR18="△"),
DQ17+2,DQ17+1)</f>
        <v>102</v>
      </c>
      <c r="DY17" s="72" t="str">
        <f ca="1">IF(DZ17&lt;&gt;"",
MID(貼り付け用!$A$2, FIND("年",貼り付け用!$A$2)+1,2)&amp;"/"&amp;MID(貼り付け用!$A$2, FIND("月",貼り付け用!$A$2)+1,2),"")</f>
        <v/>
      </c>
      <c r="DZ17" s="202" t="str">
        <f t="array" aca="1" ref="DZ17" ca="1">SUBSTITUTE(SUBSTITUTE(SUBSTITUTE(SUBSTITUTE(SUBSTITUTE(SUBSTITUTE(SUBSTITUTE(SUBSTITUTE(SUBSTITUTE(SUBSTITUTE(
IF(DY18="△",
INDIRECT("'盛付札（関数）'!FJ"&amp;DX17+1),INDIRECT("'盛付札（関数）'!FJ"&amp;DX17)),"①",""),"②",""),"③",""),"④",""),"⑤",""),"⑥",""),"⑦",""),"⑧",""),"⑨",""),"⑩","")</f>
        <v/>
      </c>
      <c r="EA17" s="203"/>
      <c r="EB17" s="203"/>
      <c r="EC17" s="203"/>
      <c r="ED17" s="71" t="str">
        <f t="array" aca="1" ref="ED17" ca="1">IF(DZ17&lt;&gt;"",
IF(AND(INDIRECT("'盛付札（関数）'!FI"&amp;DX17)&gt;=124,INDIRECT("'盛付札（関数）'!FI"&amp;DX17)&lt;=144),"",
"様"),"")</f>
        <v/>
      </c>
      <c r="EE17" s="49"/>
      <c r="EF17" s="59">
        <f ca="1">IF(OR(EN10="●",EN10="△"),
EM9+2,EM9+1)</f>
        <v>113</v>
      </c>
      <c r="EG17" s="72" t="str">
        <f ca="1">IF(EH17&lt;&gt;"",
MID(貼り付け用!$A$2, FIND("年",貼り付け用!$A$2)+1,2)&amp;"/"&amp;MID(貼り付け用!$A$2, FIND("月",貼り付け用!$A$2)+1,2),"")</f>
        <v/>
      </c>
      <c r="EH17" s="202" t="str">
        <f t="array" aca="1" ref="EH17" ca="1">SUBSTITUTE(SUBSTITUTE(SUBSTITUTE(SUBSTITUTE(SUBSTITUTE(SUBSTITUTE(SUBSTITUTE(SUBSTITUTE(SUBSTITUTE(SUBSTITUTE(
IF(EG18="△",
INDIRECT("'盛付札（関数）'!FJ"&amp;EF17+1),INDIRECT("'盛付札（関数）'!FJ"&amp;EF17)),"①",""),"②",""),"③",""),"④",""),"⑤",""),"⑥",""),"⑦",""),"⑧",""),"⑨",""),"⑩","")</f>
        <v/>
      </c>
      <c r="EI17" s="203"/>
      <c r="EJ17" s="203"/>
      <c r="EK17" s="203"/>
      <c r="EL17" s="71" t="str">
        <f t="array" aca="1" ref="EL17" ca="1">IF(EH17&lt;&gt;"",
IF(AND(INDIRECT("'盛付札（関数）'!FI"&amp;EF17)&gt;=124,INDIRECT("'盛付札（関数）'!FI"&amp;EF17)&lt;=144),"",
"様"),"")</f>
        <v/>
      </c>
      <c r="EM17" s="65">
        <f ca="1">IF(OR(EG18="●",EG18="△"),
EF17+2,EF17+1)</f>
        <v>114</v>
      </c>
      <c r="EN17" s="72" t="str">
        <f ca="1">IF(EO17&lt;&gt;"",
MID(貼り付け用!$A$2, FIND("年",貼り付け用!$A$2)+1,2)&amp;"/"&amp;MID(貼り付け用!$A$2, FIND("月",貼り付け用!$A$2)+1,2),"")</f>
        <v/>
      </c>
      <c r="EO17" s="202" t="str">
        <f t="array" aca="1" ref="EO17" ca="1">SUBSTITUTE(SUBSTITUTE(SUBSTITUTE(SUBSTITUTE(SUBSTITUTE(SUBSTITUTE(SUBSTITUTE(SUBSTITUTE(SUBSTITUTE(SUBSTITUTE(
IF(EN18="△",
INDIRECT("'盛付札（関数）'!FJ"&amp;EM17+1),INDIRECT("'盛付札（関数）'!FJ"&amp;EM17)),"①",""),"②",""),"③",""),"④",""),"⑤",""),"⑥",""),"⑦",""),"⑧",""),"⑨",""),"⑩","")</f>
        <v/>
      </c>
      <c r="EP17" s="203"/>
      <c r="EQ17" s="203"/>
      <c r="ER17" s="203"/>
      <c r="ES17" s="71" t="str">
        <f t="array" aca="1" ref="ES17" ca="1">IF(EO17&lt;&gt;"",
IF(AND(INDIRECT("'盛付札（関数）'!FI"&amp;EM17)&gt;=124,INDIRECT("'盛付札（関数）'!FI"&amp;EM17)&lt;=144),"",
"様"),"")</f>
        <v/>
      </c>
      <c r="ET17" s="49"/>
    </row>
    <row r="18" spans="1:150" s="60" customFormat="1" x14ac:dyDescent="0.55000000000000004">
      <c r="A18" s="59"/>
      <c r="B18" s="61" t="str">
        <f ca="1">IF(COUNTIF(INDIRECT("'盛付札（関数）'!FJ"&amp;A17+1),"*雙葉*"),"●",
"〇")</f>
        <v>〇</v>
      </c>
      <c r="C18" s="76" t="str">
        <f t="array" aca="1" ref="C18" ca="1">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IF(B18="△",
INDIRECT("'盛付札（関数）'!FK"&amp;A17+1),INDIRECT("'盛付札（関数）'!FK"&amp;A17))))</f>
        <v/>
      </c>
      <c r="D18" s="70"/>
      <c r="E18" s="70"/>
      <c r="F18" s="77" t="str">
        <f t="array" aca="1" ref="F18" ca="1">IF(C17&lt;&gt;"",
IF(OR(INDIRECT("'盛付札（関数）'!FI"&amp;A17)=121,INDIRECT("'盛付札（関数）'!FI"&amp;A17)=122,INDIRECT("'盛付札（関数）'!FI"&amp;A17)=123),"",
IF(B18="●",
SUBSTITUTE(SUBSTITUTE(SUBSTITUTE(INDIRECT("'盛付札（関数）'!FL"&amp;A17),100,""),120,""),150,""),
IF(B18="△",
IF(INDIRECT("'盛付札（関数）'!FL"&amp;A17+1)&lt;&gt;"",
INDIRECT("'盛付札（関数）'!FL"&amp;A17+1),INDIRECT("'盛付札（関数）'!FM"&amp;A17+1)),
IF(INDIRECT("'盛付札（関数）'!FL"&amp;A17)&lt;&gt;"",
INDIRECT("'盛付札（関数）'!FL"&amp;A17),INDIRECT("'盛付札（関数）'!FM"&amp;A17))))),"")</f>
        <v>10箱+10</v>
      </c>
      <c r="G18" s="68"/>
      <c r="H18" s="78"/>
      <c r="I18" s="61" t="str">
        <f ca="1">IF(COUNTIF(INDIRECT("'盛付札（関数）'!FJ"&amp;H17+1),"*雙葉*"),"●",
"〇")</f>
        <v>〇</v>
      </c>
      <c r="J18" s="76" t="str">
        <f t="array" aca="1" ref="J18" ca="1">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IF(I18="△",
INDIRECT("'盛付札（関数）'!FK"&amp;H17+1),INDIRECT("'盛付札（関数）'!FK"&amp;H17))))</f>
        <v/>
      </c>
      <c r="K18" s="70"/>
      <c r="L18" s="70"/>
      <c r="M18" s="77" t="str">
        <f t="array" aca="1" ref="M18" ca="1">IF(J17&lt;&gt;"",
IF(OR(INDIRECT("'盛付札（関数）'!FI"&amp;H17)=121,INDIRECT("'盛付札（関数）'!FI"&amp;H17)=122,INDIRECT("'盛付札（関数）'!FI"&amp;H17)=123),"",
IF(I18="●",
SUBSTITUTE(SUBSTITUTE(SUBSTITUTE(INDIRECT("'盛付札（関数）'!FL"&amp;H17),100,""),120,""),150,""),
IF(I18="△",
IF(INDIRECT("'盛付札（関数）'!FL"&amp;H17+1)&lt;&gt;"",
INDIRECT("'盛付札（関数）'!FL"&amp;H17+1),INDIRECT("'盛付札（関数）'!FM"&amp;H17+1)),
IF(INDIRECT("'盛付札（関数）'!FL"&amp;H17)&lt;&gt;"",
INDIRECT("'盛付札（関数）'!FL"&amp;H17),INDIRECT("'盛付札（関数）'!FM"&amp;H17))))),"")</f>
        <v>1箱-810</v>
      </c>
      <c r="N18" s="68"/>
      <c r="O18" s="49"/>
      <c r="P18" s="59"/>
      <c r="Q18" s="61" t="str">
        <f ca="1">IF(COUNTIF(INDIRECT("'盛付札（関数）'!FJ"&amp;P17+1),"*雙葉*"),"●",
"〇")</f>
        <v>〇</v>
      </c>
      <c r="R18" s="76" t="str">
        <f t="array" aca="1" ref="R18" ca="1">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IF(Q18="△",
INDIRECT("'盛付札（関数）'!FK"&amp;P17+1),INDIRECT("'盛付札（関数）'!FK"&amp;P17))))</f>
        <v/>
      </c>
      <c r="S18" s="70"/>
      <c r="T18" s="70"/>
      <c r="U18" s="77" t="str">
        <f t="array" aca="1" ref="U18" ca="1">IF(R17&lt;&gt;"",
IF(OR(INDIRECT("'盛付札（関数）'!FI"&amp;P17)=121,INDIRECT("'盛付札（関数）'!FI"&amp;P17)=122,INDIRECT("'盛付札（関数）'!FI"&amp;P17)=123),"",
IF(Q18="●",
SUBSTITUTE(SUBSTITUTE(SUBSTITUTE(INDIRECT("'盛付札（関数）'!FL"&amp;P17),100,""),120,""),150,""),
IF(Q18="△",
IF(INDIRECT("'盛付札（関数）'!FL"&amp;P17+1)&lt;&gt;"",
INDIRECT("'盛付札（関数）'!FL"&amp;P17+1),INDIRECT("'盛付札（関数）'!FM"&amp;P17+1)),
IF(INDIRECT("'盛付札（関数）'!FL"&amp;P17)&lt;&gt;"",
INDIRECT("'盛付札（関数）'!FL"&amp;P17),INDIRECT("'盛付札（関数）'!FM"&amp;P17))))),"")</f>
        <v/>
      </c>
      <c r="V18" s="68"/>
      <c r="W18" s="78"/>
      <c r="X18" s="61" t="str">
        <f ca="1">IF(COUNTIF(INDIRECT("'盛付札（関数）'!FJ"&amp;W17+1),"*雙葉*"),"●",
"〇")</f>
        <v>〇</v>
      </c>
      <c r="Y18" s="76" t="str">
        <f t="array" aca="1" ref="Y18" ca="1">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IF(X18="△",
INDIRECT("'盛付札（関数）'!FK"&amp;W17+1),INDIRECT("'盛付札（関数）'!FK"&amp;W17))))</f>
        <v/>
      </c>
      <c r="Z18" s="70"/>
      <c r="AA18" s="70"/>
      <c r="AB18" s="77" t="str">
        <f t="array" aca="1" ref="AB18" ca="1">IF(Y17&lt;&gt;"",
IF(OR(INDIRECT("'盛付札（関数）'!FI"&amp;W17)=121,INDIRECT("'盛付札（関数）'!FI"&amp;W17)=122,INDIRECT("'盛付札（関数）'!FI"&amp;W17)=123),"",
IF(X18="●",
SUBSTITUTE(SUBSTITUTE(SUBSTITUTE(INDIRECT("'盛付札（関数）'!FL"&amp;W17),100,""),120,""),150,""),
IF(X18="△",
IF(INDIRECT("'盛付札（関数）'!FL"&amp;W17+1)&lt;&gt;"",
INDIRECT("'盛付札（関数）'!FL"&amp;W17+1),INDIRECT("'盛付札（関数）'!FM"&amp;W17+1)),
IF(INDIRECT("'盛付札（関数）'!FL"&amp;W17)&lt;&gt;"",
INDIRECT("'盛付札（関数）'!FL"&amp;W17),INDIRECT("'盛付札（関数）'!FM"&amp;W17))))),"")</f>
        <v/>
      </c>
      <c r="AC18" s="68"/>
      <c r="AD18" s="49"/>
      <c r="AE18" s="59"/>
      <c r="AF18" s="61" t="str">
        <f ca="1">IF(COUNTIF(INDIRECT("'盛付札（関数）'!FJ"&amp;AE17+1),"*雙葉*"),"●",
"〇")</f>
        <v>〇</v>
      </c>
      <c r="AG18" s="76" t="str">
        <f t="array" aca="1" ref="AG18" ca="1">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IF(AF18="△",
INDIRECT("'盛付札（関数）'!FK"&amp;AE17+1),INDIRECT("'盛付札（関数）'!FK"&amp;AE17))))</f>
        <v/>
      </c>
      <c r="AH18" s="70"/>
      <c r="AI18" s="70"/>
      <c r="AJ18" s="77" t="str">
        <f t="array" aca="1" ref="AJ18" ca="1">IF(AG17&lt;&gt;"",
IF(OR(INDIRECT("'盛付札（関数）'!FI"&amp;AE17)=121,INDIRECT("'盛付札（関数）'!FI"&amp;AE17)=122,INDIRECT("'盛付札（関数）'!FI"&amp;AE17)=123),"",
IF(AF18="●",
SUBSTITUTE(SUBSTITUTE(SUBSTITUTE(INDIRECT("'盛付札（関数）'!FL"&amp;AE17),100,""),120,""),150,""),
IF(AF18="△",
IF(INDIRECT("'盛付札（関数）'!FL"&amp;AE17+1)&lt;&gt;"",
INDIRECT("'盛付札（関数）'!FL"&amp;AE17+1),INDIRECT("'盛付札（関数）'!FM"&amp;AE17+1)),
IF(INDIRECT("'盛付札（関数）'!FL"&amp;AE17)&lt;&gt;"",
INDIRECT("'盛付札（関数）'!FL"&amp;AE17),INDIRECT("'盛付札（関数）'!FM"&amp;AE17))))),"")</f>
        <v/>
      </c>
      <c r="AK18" s="68"/>
      <c r="AL18" s="78"/>
      <c r="AM18" s="61" t="str">
        <f ca="1">IF(COUNTIF(INDIRECT("'盛付札（関数）'!FJ"&amp;AL17+1),"*雙葉*"),"●",
"〇")</f>
        <v>〇</v>
      </c>
      <c r="AN18" s="76" t="str">
        <f t="array" aca="1" ref="AN18" ca="1">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IF(AM18="△",
INDIRECT("'盛付札（関数）'!FK"&amp;AL17+1),INDIRECT("'盛付札（関数）'!FK"&amp;AL17))))</f>
        <v/>
      </c>
      <c r="AO18" s="70"/>
      <c r="AP18" s="70"/>
      <c r="AQ18" s="77" t="str">
        <f t="array" aca="1" ref="AQ18" ca="1">IF(AN17&lt;&gt;"",
IF(OR(INDIRECT("'盛付札（関数）'!FI"&amp;AL17)=121,INDIRECT("'盛付札（関数）'!FI"&amp;AL17)=122,INDIRECT("'盛付札（関数）'!FI"&amp;AL17)=123),"",
IF(AM18="●",
SUBSTITUTE(SUBSTITUTE(SUBSTITUTE(INDIRECT("'盛付札（関数）'!FL"&amp;AL17),100,""),120,""),150,""),
IF(AM18="△",
IF(INDIRECT("'盛付札（関数）'!FL"&amp;AL17+1)&lt;&gt;"",
INDIRECT("'盛付札（関数）'!FL"&amp;AL17+1),INDIRECT("'盛付札（関数）'!FM"&amp;AL17+1)),
IF(INDIRECT("'盛付札（関数）'!FL"&amp;AL17)&lt;&gt;"",
INDIRECT("'盛付札（関数）'!FL"&amp;AL17),INDIRECT("'盛付札（関数）'!FM"&amp;AL17))))),"")</f>
        <v/>
      </c>
      <c r="AR18" s="68"/>
      <c r="AS18" s="49"/>
      <c r="AT18" s="59"/>
      <c r="AU18" s="61" t="str">
        <f ca="1">IF(COUNTIF(INDIRECT("'盛付札（関数）'!FJ"&amp;AT17+1),"*雙葉*"),"●",
"〇")</f>
        <v>〇</v>
      </c>
      <c r="AV18" s="76" t="str">
        <f t="array" aca="1" ref="AV18" ca="1">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IF(AU18="△",
INDIRECT("'盛付札（関数）'!FK"&amp;AT17+1),INDIRECT("'盛付札（関数）'!FK"&amp;AT17))))</f>
        <v/>
      </c>
      <c r="AW18" s="70"/>
      <c r="AX18" s="70"/>
      <c r="AY18" s="77" t="str">
        <f t="array" aca="1" ref="AY18" ca="1">IF(AV17&lt;&gt;"",
IF(OR(INDIRECT("'盛付札（関数）'!FI"&amp;AT17)=121,INDIRECT("'盛付札（関数）'!FI"&amp;AT17)=122,INDIRECT("'盛付札（関数）'!FI"&amp;AT17)=123),"",
IF(AU18="●",
SUBSTITUTE(SUBSTITUTE(SUBSTITUTE(INDIRECT("'盛付札（関数）'!FL"&amp;AT17),100,""),120,""),150,""),
IF(AU18="△",
IF(INDIRECT("'盛付札（関数）'!FL"&amp;AT17+1)&lt;&gt;"",
INDIRECT("'盛付札（関数）'!FL"&amp;AT17+1),INDIRECT("'盛付札（関数）'!FM"&amp;AT17+1)),
IF(INDIRECT("'盛付札（関数）'!FL"&amp;AT17)&lt;&gt;"",
INDIRECT("'盛付札（関数）'!FL"&amp;AT17),INDIRECT("'盛付札（関数）'!FM"&amp;AT17))))),"")</f>
        <v/>
      </c>
      <c r="AZ18" s="68"/>
      <c r="BA18" s="78"/>
      <c r="BB18" s="61" t="str">
        <f ca="1">IF(COUNTIF(INDIRECT("'盛付札（関数）'!FJ"&amp;BA17+1),"*雙葉*"),"●",
"〇")</f>
        <v>〇</v>
      </c>
      <c r="BC18" s="76" t="str">
        <f t="array" aca="1" ref="BC18" ca="1">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IF(BB18="△",
INDIRECT("'盛付札（関数）'!FK"&amp;BA17+1),INDIRECT("'盛付札（関数）'!FK"&amp;BA17))))</f>
        <v/>
      </c>
      <c r="BD18" s="70"/>
      <c r="BE18" s="70"/>
      <c r="BF18" s="77" t="str">
        <f t="array" aca="1" ref="BF18" ca="1">IF(BC17&lt;&gt;"",
IF(OR(INDIRECT("'盛付札（関数）'!FI"&amp;BA17)=121,INDIRECT("'盛付札（関数）'!FI"&amp;BA17)=122,INDIRECT("'盛付札（関数）'!FI"&amp;BA17)=123),"",
IF(BB18="●",
SUBSTITUTE(SUBSTITUTE(SUBSTITUTE(INDIRECT("'盛付札（関数）'!FL"&amp;BA17),100,""),120,""),150,""),
IF(BB18="△",
IF(INDIRECT("'盛付札（関数）'!FL"&amp;BA17+1)&lt;&gt;"",
INDIRECT("'盛付札（関数）'!FL"&amp;BA17+1),INDIRECT("'盛付札（関数）'!FM"&amp;BA17+1)),
IF(INDIRECT("'盛付札（関数）'!FL"&amp;BA17)&lt;&gt;"",
INDIRECT("'盛付札（関数）'!FL"&amp;BA17),INDIRECT("'盛付札（関数）'!FM"&amp;BA17))))),"")</f>
        <v/>
      </c>
      <c r="BG18" s="68"/>
      <c r="BH18" s="49"/>
      <c r="BI18" s="59"/>
      <c r="BJ18" s="61" t="str">
        <f ca="1">IF(COUNTIF(INDIRECT("'盛付札（関数）'!FJ"&amp;BI17+1),"*雙葉*"),"●",
"〇")</f>
        <v>〇</v>
      </c>
      <c r="BK18" s="76" t="str">
        <f t="array" aca="1" ref="BK18" ca="1">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IF(BJ18="△",
INDIRECT("'盛付札（関数）'!FK"&amp;BI17+1),INDIRECT("'盛付札（関数）'!FK"&amp;BI17))))</f>
        <v/>
      </c>
      <c r="BL18" s="70"/>
      <c r="BM18" s="70"/>
      <c r="BN18" s="77" t="str">
        <f t="array" aca="1" ref="BN18" ca="1">IF(BK17&lt;&gt;"",
IF(OR(INDIRECT("'盛付札（関数）'!FI"&amp;BI17)=121,INDIRECT("'盛付札（関数）'!FI"&amp;BI17)=122,INDIRECT("'盛付札（関数）'!FI"&amp;BI17)=123),"",
IF(BJ18="●",
SUBSTITUTE(SUBSTITUTE(SUBSTITUTE(INDIRECT("'盛付札（関数）'!FL"&amp;BI17),100,""),120,""),150,""),
IF(BJ18="△",
IF(INDIRECT("'盛付札（関数）'!FL"&amp;BI17+1)&lt;&gt;"",
INDIRECT("'盛付札（関数）'!FL"&amp;BI17+1),INDIRECT("'盛付札（関数）'!FM"&amp;BI17+1)),
IF(INDIRECT("'盛付札（関数）'!FL"&amp;BI17)&lt;&gt;"",
INDIRECT("'盛付札（関数）'!FL"&amp;BI17),INDIRECT("'盛付札（関数）'!FM"&amp;BI17))))),"")</f>
        <v/>
      </c>
      <c r="BO18" s="68"/>
      <c r="BP18" s="78"/>
      <c r="BQ18" s="61" t="str">
        <f ca="1">IF(COUNTIF(INDIRECT("'盛付札（関数）'!FJ"&amp;BP17+1),"*雙葉*"),"●",
"〇")</f>
        <v>〇</v>
      </c>
      <c r="BR18" s="76" t="str">
        <f t="array" aca="1" ref="BR18" ca="1">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IF(BQ18="△",
INDIRECT("'盛付札（関数）'!FK"&amp;BP17+1),INDIRECT("'盛付札（関数）'!FK"&amp;BP17))))</f>
        <v/>
      </c>
      <c r="BS18" s="70"/>
      <c r="BT18" s="70"/>
      <c r="BU18" s="77" t="str">
        <f t="array" aca="1" ref="BU18" ca="1">IF(BR17&lt;&gt;"",
IF(OR(INDIRECT("'盛付札（関数）'!FI"&amp;BP17)=121,INDIRECT("'盛付札（関数）'!FI"&amp;BP17)=122,INDIRECT("'盛付札（関数）'!FI"&amp;BP17)=123),"",
IF(BQ18="●",
SUBSTITUTE(SUBSTITUTE(SUBSTITUTE(INDIRECT("'盛付札（関数）'!FL"&amp;BP17),100,""),120,""),150,""),
IF(BQ18="△",
IF(INDIRECT("'盛付札（関数）'!FL"&amp;BP17+1)&lt;&gt;"",
INDIRECT("'盛付札（関数）'!FL"&amp;BP17+1),INDIRECT("'盛付札（関数）'!FM"&amp;BP17+1)),
IF(INDIRECT("'盛付札（関数）'!FL"&amp;BP17)&lt;&gt;"",
INDIRECT("'盛付札（関数）'!FL"&amp;BP17),INDIRECT("'盛付札（関数）'!FM"&amp;BP17))))),"")</f>
        <v/>
      </c>
      <c r="BV18" s="68"/>
      <c r="BW18" s="49"/>
      <c r="BX18" s="59"/>
      <c r="BY18" s="61" t="str">
        <f ca="1">IF(COUNTIF(INDIRECT("'盛付札（関数）'!FJ"&amp;BX17+1),"*雙葉*"),"●",
"〇")</f>
        <v>〇</v>
      </c>
      <c r="BZ18" s="76" t="str">
        <f t="array" aca="1" ref="BZ18" ca="1">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IF(BY18="△",
INDIRECT("'盛付札（関数）'!FK"&amp;BX17+1),INDIRECT("'盛付札（関数）'!FK"&amp;BX17))))</f>
        <v/>
      </c>
      <c r="CA18" s="70"/>
      <c r="CB18" s="70"/>
      <c r="CC18" s="77" t="str">
        <f t="array" aca="1" ref="CC18" ca="1">IF(BZ17&lt;&gt;"",
IF(OR(INDIRECT("'盛付札（関数）'!FI"&amp;BX17)=121,INDIRECT("'盛付札（関数）'!FI"&amp;BX17)=122,INDIRECT("'盛付札（関数）'!FI"&amp;BX17)=123),"",
IF(BY18="●",
SUBSTITUTE(SUBSTITUTE(SUBSTITUTE(INDIRECT("'盛付札（関数）'!FL"&amp;BX17),100,""),120,""),150,""),
IF(BY18="△",
IF(INDIRECT("'盛付札（関数）'!FL"&amp;BX17+1)&lt;&gt;"",
INDIRECT("'盛付札（関数）'!FL"&amp;BX17+1),INDIRECT("'盛付札（関数）'!FM"&amp;BX17+1)),
IF(INDIRECT("'盛付札（関数）'!FL"&amp;BX17)&lt;&gt;"",
INDIRECT("'盛付札（関数）'!FL"&amp;BX17),INDIRECT("'盛付札（関数）'!FM"&amp;BX17))))),"")</f>
        <v/>
      </c>
      <c r="CD18" s="68"/>
      <c r="CE18" s="78"/>
      <c r="CF18" s="61" t="str">
        <f ca="1">IF(COUNTIF(INDIRECT("'盛付札（関数）'!FJ"&amp;CE17+1),"*雙葉*"),"●",
"〇")</f>
        <v>〇</v>
      </c>
      <c r="CG18" s="76" t="str">
        <f t="array" aca="1" ref="CG18" ca="1">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IF(CF18="△",
INDIRECT("'盛付札（関数）'!FK"&amp;CE17+1),INDIRECT("'盛付札（関数）'!FK"&amp;CE17))))</f>
        <v/>
      </c>
      <c r="CH18" s="70"/>
      <c r="CI18" s="70"/>
      <c r="CJ18" s="77" t="str">
        <f t="array" aca="1" ref="CJ18" ca="1">IF(CG17&lt;&gt;"",
IF(OR(INDIRECT("'盛付札（関数）'!FI"&amp;CE17)=121,INDIRECT("'盛付札（関数）'!FI"&amp;CE17)=122,INDIRECT("'盛付札（関数）'!FI"&amp;CE17)=123),"",
IF(CF18="●",
SUBSTITUTE(SUBSTITUTE(SUBSTITUTE(INDIRECT("'盛付札（関数）'!FL"&amp;CE17),100,""),120,""),150,""),
IF(CF18="△",
IF(INDIRECT("'盛付札（関数）'!FL"&amp;CE17+1)&lt;&gt;"",
INDIRECT("'盛付札（関数）'!FL"&amp;CE17+1),INDIRECT("'盛付札（関数）'!FM"&amp;CE17+1)),
IF(INDIRECT("'盛付札（関数）'!FL"&amp;CE17)&lt;&gt;"",
INDIRECT("'盛付札（関数）'!FL"&amp;CE17),INDIRECT("'盛付札（関数）'!FM"&amp;CE17))))),"")</f>
        <v/>
      </c>
      <c r="CK18" s="68"/>
      <c r="CL18" s="49"/>
      <c r="CM18" s="59"/>
      <c r="CN18" s="61" t="str">
        <f ca="1">IF(COUNTIF(INDIRECT("'盛付札（関数）'!FJ"&amp;CM17+1),"*雙葉*"),"●",
"〇")</f>
        <v>〇</v>
      </c>
      <c r="CO18" s="76" t="str">
        <f t="array" aca="1" ref="CO18" ca="1">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IF(CN18="△",
INDIRECT("'盛付札（関数）'!FK"&amp;CM17+1),INDIRECT("'盛付札（関数）'!FK"&amp;CM17))))</f>
        <v/>
      </c>
      <c r="CP18" s="70"/>
      <c r="CQ18" s="70"/>
      <c r="CR18" s="77" t="str">
        <f t="array" aca="1" ref="CR18" ca="1">IF(CO17&lt;&gt;"",
IF(OR(INDIRECT("'盛付札（関数）'!FI"&amp;CM17)=121,INDIRECT("'盛付札（関数）'!FI"&amp;CM17)=122,INDIRECT("'盛付札（関数）'!FI"&amp;CM17)=123),"",
IF(CN18="●",
SUBSTITUTE(SUBSTITUTE(SUBSTITUTE(INDIRECT("'盛付札（関数）'!FL"&amp;CM17),100,""),120,""),150,""),
IF(CN18="△",
IF(INDIRECT("'盛付札（関数）'!FL"&amp;CM17+1)&lt;&gt;"",
INDIRECT("'盛付札（関数）'!FL"&amp;CM17+1),INDIRECT("'盛付札（関数）'!FM"&amp;CM17+1)),
IF(INDIRECT("'盛付札（関数）'!FL"&amp;CM17)&lt;&gt;"",
INDIRECT("'盛付札（関数）'!FL"&amp;CM17),INDIRECT("'盛付札（関数）'!FM"&amp;CM17))))),"")</f>
        <v/>
      </c>
      <c r="CS18" s="68"/>
      <c r="CT18" s="78"/>
      <c r="CU18" s="61" t="str">
        <f ca="1">IF(COUNTIF(INDIRECT("'盛付札（関数）'!FJ"&amp;CT17+1),"*雙葉*"),"●",
"〇")</f>
        <v>〇</v>
      </c>
      <c r="CV18" s="76" t="str">
        <f t="array" aca="1" ref="CV18" ca="1">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IF(CU18="△",
INDIRECT("'盛付札（関数）'!FK"&amp;CT17+1),INDIRECT("'盛付札（関数）'!FK"&amp;CT17))))</f>
        <v/>
      </c>
      <c r="CW18" s="70"/>
      <c r="CX18" s="70"/>
      <c r="CY18" s="77" t="str">
        <f t="array" aca="1" ref="CY18" ca="1">IF(CV17&lt;&gt;"",
IF(OR(INDIRECT("'盛付札（関数）'!FI"&amp;CT17)=121,INDIRECT("'盛付札（関数）'!FI"&amp;CT17)=122,INDIRECT("'盛付札（関数）'!FI"&amp;CT17)=123),"",
IF(CU18="●",
SUBSTITUTE(SUBSTITUTE(SUBSTITUTE(INDIRECT("'盛付札（関数）'!FL"&amp;CT17),100,""),120,""),150,""),
IF(CU18="△",
IF(INDIRECT("'盛付札（関数）'!FL"&amp;CT17+1)&lt;&gt;"",
INDIRECT("'盛付札（関数）'!FL"&amp;CT17+1),INDIRECT("'盛付札（関数）'!FM"&amp;CT17+1)),
IF(INDIRECT("'盛付札（関数）'!FL"&amp;CT17)&lt;&gt;"",
INDIRECT("'盛付札（関数）'!FL"&amp;CT17),INDIRECT("'盛付札（関数）'!FM"&amp;CT17))))),"")</f>
        <v/>
      </c>
      <c r="CZ18" s="68"/>
      <c r="DA18" s="49"/>
      <c r="DB18" s="59"/>
      <c r="DC18" s="61" t="str">
        <f ca="1">IF(COUNTIF(INDIRECT("'盛付札（関数）'!FJ"&amp;DB17+1),"*雙葉*"),"●",
"〇")</f>
        <v>〇</v>
      </c>
      <c r="DD18" s="76" t="str">
        <f t="array" aca="1" ref="DD18" ca="1">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IF(DC18="△",
INDIRECT("'盛付札（関数）'!FK"&amp;DB17+1),INDIRECT("'盛付札（関数）'!FK"&amp;DB17))))</f>
        <v/>
      </c>
      <c r="DE18" s="70"/>
      <c r="DF18" s="70"/>
      <c r="DG18" s="77" t="str">
        <f t="array" aca="1" ref="DG18" ca="1">IF(DD17&lt;&gt;"",
IF(OR(INDIRECT("'盛付札（関数）'!FI"&amp;DB17)=121,INDIRECT("'盛付札（関数）'!FI"&amp;DB17)=122,INDIRECT("'盛付札（関数）'!FI"&amp;DB17)=123),"",
IF(DC18="●",
SUBSTITUTE(SUBSTITUTE(SUBSTITUTE(INDIRECT("'盛付札（関数）'!FL"&amp;DB17),100,""),120,""),150,""),
IF(DC18="△",
IF(INDIRECT("'盛付札（関数）'!FL"&amp;DB17+1)&lt;&gt;"",
INDIRECT("'盛付札（関数）'!FL"&amp;DB17+1),INDIRECT("'盛付札（関数）'!FM"&amp;DB17+1)),
IF(INDIRECT("'盛付札（関数）'!FL"&amp;DB17)&lt;&gt;"",
INDIRECT("'盛付札（関数）'!FL"&amp;DB17),INDIRECT("'盛付札（関数）'!FM"&amp;DB17))))),"")</f>
        <v/>
      </c>
      <c r="DH18" s="68"/>
      <c r="DI18" s="78"/>
      <c r="DJ18" s="61" t="str">
        <f ca="1">IF(COUNTIF(INDIRECT("'盛付札（関数）'!FJ"&amp;DI17+1),"*雙葉*"),"●",
"〇")</f>
        <v>〇</v>
      </c>
      <c r="DK18" s="76" t="str">
        <f t="array" aca="1" ref="DK18" ca="1">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IF(DJ18="△",
INDIRECT("'盛付札（関数）'!FK"&amp;DI17+1),INDIRECT("'盛付札（関数）'!FK"&amp;DI17))))</f>
        <v/>
      </c>
      <c r="DL18" s="70"/>
      <c r="DM18" s="70"/>
      <c r="DN18" s="77" t="str">
        <f t="array" aca="1" ref="DN18" ca="1">IF(DK17&lt;&gt;"",
IF(OR(INDIRECT("'盛付札（関数）'!FI"&amp;DI17)=121,INDIRECT("'盛付札（関数）'!FI"&amp;DI17)=122,INDIRECT("'盛付札（関数）'!FI"&amp;DI17)=123),"",
IF(DJ18="●",
SUBSTITUTE(SUBSTITUTE(SUBSTITUTE(INDIRECT("'盛付札（関数）'!FL"&amp;DI17),100,""),120,""),150,""),
IF(DJ18="△",
IF(INDIRECT("'盛付札（関数）'!FL"&amp;DI17+1)&lt;&gt;"",
INDIRECT("'盛付札（関数）'!FL"&amp;DI17+1),INDIRECT("'盛付札（関数）'!FM"&amp;DI17+1)),
IF(INDIRECT("'盛付札（関数）'!FL"&amp;DI17)&lt;&gt;"",
INDIRECT("'盛付札（関数）'!FL"&amp;DI17),INDIRECT("'盛付札（関数）'!FM"&amp;DI17))))),"")</f>
        <v/>
      </c>
      <c r="DO18" s="68"/>
      <c r="DP18" s="49"/>
      <c r="DQ18" s="59"/>
      <c r="DR18" s="61" t="str">
        <f ca="1">IF(COUNTIF(INDIRECT("'盛付札（関数）'!FJ"&amp;DQ17+1),"*雙葉*"),"●",
"〇")</f>
        <v>〇</v>
      </c>
      <c r="DS18" s="76" t="str">
        <f t="array" aca="1" ref="DS18" ca="1">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IF(DR18="△",
INDIRECT("'盛付札（関数）'!FK"&amp;DQ17+1),INDIRECT("'盛付札（関数）'!FK"&amp;DQ17))))</f>
        <v/>
      </c>
      <c r="DT18" s="70"/>
      <c r="DU18" s="70"/>
      <c r="DV18" s="77" t="str">
        <f t="array" aca="1" ref="DV18" ca="1">IF(DS17&lt;&gt;"",
IF(OR(INDIRECT("'盛付札（関数）'!FI"&amp;DQ17)=121,INDIRECT("'盛付札（関数）'!FI"&amp;DQ17)=122,INDIRECT("'盛付札（関数）'!FI"&amp;DQ17)=123),"",
IF(DR18="●",
SUBSTITUTE(SUBSTITUTE(SUBSTITUTE(INDIRECT("'盛付札（関数）'!FL"&amp;DQ17),100,""),120,""),150,""),
IF(DR18="△",
IF(INDIRECT("'盛付札（関数）'!FL"&amp;DQ17+1)&lt;&gt;"",
INDIRECT("'盛付札（関数）'!FL"&amp;DQ17+1),INDIRECT("'盛付札（関数）'!FM"&amp;DQ17+1)),
IF(INDIRECT("'盛付札（関数）'!FL"&amp;DQ17)&lt;&gt;"",
INDIRECT("'盛付札（関数）'!FL"&amp;DQ17),INDIRECT("'盛付札（関数）'!FM"&amp;DQ17))))),"")</f>
        <v/>
      </c>
      <c r="DW18" s="68"/>
      <c r="DX18" s="78"/>
      <c r="DY18" s="61" t="str">
        <f ca="1">IF(COUNTIF(INDIRECT("'盛付札（関数）'!FJ"&amp;DX17+1),"*雙葉*"),"●",
"〇")</f>
        <v>〇</v>
      </c>
      <c r="DZ18" s="76" t="str">
        <f t="array" aca="1" ref="DZ18" ca="1">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IF(DY18="△",
INDIRECT("'盛付札（関数）'!FK"&amp;DX17+1),INDIRECT("'盛付札（関数）'!FK"&amp;DX17))))</f>
        <v/>
      </c>
      <c r="EA18" s="70"/>
      <c r="EB18" s="70"/>
      <c r="EC18" s="77" t="str">
        <f t="array" aca="1" ref="EC18" ca="1">IF(DZ17&lt;&gt;"",
IF(OR(INDIRECT("'盛付札（関数）'!FI"&amp;DX17)=121,INDIRECT("'盛付札（関数）'!FI"&amp;DX17)=122,INDIRECT("'盛付札（関数）'!FI"&amp;DX17)=123),"",
IF(DY18="●",
SUBSTITUTE(SUBSTITUTE(SUBSTITUTE(INDIRECT("'盛付札（関数）'!FL"&amp;DX17),100,""),120,""),150,""),
IF(DY18="△",
IF(INDIRECT("'盛付札（関数）'!FL"&amp;DX17+1)&lt;&gt;"",
INDIRECT("'盛付札（関数）'!FL"&amp;DX17+1),INDIRECT("'盛付札（関数）'!FM"&amp;DX17+1)),
IF(INDIRECT("'盛付札（関数）'!FL"&amp;DX17)&lt;&gt;"",
INDIRECT("'盛付札（関数）'!FL"&amp;DX17),INDIRECT("'盛付札（関数）'!FM"&amp;DX17))))),"")</f>
        <v/>
      </c>
      <c r="ED18" s="68"/>
      <c r="EE18" s="49"/>
      <c r="EF18" s="59"/>
      <c r="EG18" s="61" t="str">
        <f ca="1">IF(COUNTIF(INDIRECT("'盛付札（関数）'!FJ"&amp;EF17+1),"*雙葉*"),"●",
"〇")</f>
        <v>〇</v>
      </c>
      <c r="EH18" s="76" t="str">
        <f t="array" aca="1" ref="EH18" ca="1">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IF(EG18="△",
INDIRECT("'盛付札（関数）'!FK"&amp;EF17+1),INDIRECT("'盛付札（関数）'!FK"&amp;EF17))))</f>
        <v/>
      </c>
      <c r="EI18" s="70"/>
      <c r="EJ18" s="70"/>
      <c r="EK18" s="77" t="str">
        <f t="array" aca="1" ref="EK18" ca="1">IF(EH17&lt;&gt;"",
IF(OR(INDIRECT("'盛付札（関数）'!FI"&amp;EF17)=121,INDIRECT("'盛付札（関数）'!FI"&amp;EF17)=122,INDIRECT("'盛付札（関数）'!FI"&amp;EF17)=123),"",
IF(EG18="●",
SUBSTITUTE(SUBSTITUTE(SUBSTITUTE(INDIRECT("'盛付札（関数）'!FL"&amp;EF17),100,""),120,""),150,""),
IF(EG18="△",
IF(INDIRECT("'盛付札（関数）'!FL"&amp;EF17+1)&lt;&gt;"",
INDIRECT("'盛付札（関数）'!FL"&amp;EF17+1),INDIRECT("'盛付札（関数）'!FM"&amp;EF17+1)),
IF(INDIRECT("'盛付札（関数）'!FL"&amp;EF17)&lt;&gt;"",
INDIRECT("'盛付札（関数）'!FL"&amp;EF17),INDIRECT("'盛付札（関数）'!FM"&amp;EF17))))),"")</f>
        <v/>
      </c>
      <c r="EL18" s="68"/>
      <c r="EM18" s="78"/>
      <c r="EN18" s="61" t="str">
        <f ca="1">IF(COUNTIF(INDIRECT("'盛付札（関数）'!FJ"&amp;EM17+1),"*雙葉*"),"●",
"〇")</f>
        <v>〇</v>
      </c>
      <c r="EO18" s="76" t="str">
        <f t="array" aca="1" ref="EO18" ca="1">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IF(EN18="△",
INDIRECT("'盛付札（関数）'!FK"&amp;EM17+1),INDIRECT("'盛付札（関数）'!FK"&amp;EM17))))</f>
        <v/>
      </c>
      <c r="EP18" s="70"/>
      <c r="EQ18" s="70"/>
      <c r="ER18" s="77" t="str">
        <f t="array" aca="1" ref="ER18" ca="1">IF(EO17&lt;&gt;"",
IF(OR(INDIRECT("'盛付札（関数）'!FI"&amp;EM17)=121,INDIRECT("'盛付札（関数）'!FI"&amp;EM17)=122,INDIRECT("'盛付札（関数）'!FI"&amp;EM17)=123),"",
IF(EN18="●",
SUBSTITUTE(SUBSTITUTE(SUBSTITUTE(INDIRECT("'盛付札（関数）'!FL"&amp;EM17),100,""),120,""),150,""),
IF(EN18="△",
IF(INDIRECT("'盛付札（関数）'!FL"&amp;EM17+1)&lt;&gt;"",
INDIRECT("'盛付札（関数）'!FL"&amp;EM17+1),INDIRECT("'盛付札（関数）'!FM"&amp;EM17+1)),
IF(INDIRECT("'盛付札（関数）'!FL"&amp;EM17)&lt;&gt;"",
INDIRECT("'盛付札（関数）'!FL"&amp;EM17),INDIRECT("'盛付札（関数）'!FM"&amp;EM17))))),"")</f>
        <v/>
      </c>
      <c r="ES18" s="68"/>
      <c r="ET18" s="49"/>
    </row>
    <row r="19" spans="1:150" s="60" customFormat="1" x14ac:dyDescent="0.55000000000000004">
      <c r="A19" s="59"/>
      <c r="B19" s="63"/>
      <c r="C19" s="200" t="str">
        <f t="array" aca="1" ref="C19" ca="1">IF(C17&lt;&gt;"",
IF(C20&lt;&gt;"",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"園児")),""),"")</f>
        <v/>
      </c>
      <c r="D19" s="201"/>
      <c r="E19" s="49"/>
      <c r="F19" s="60" t="str">
        <f t="array" aca="1" ref="F19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"先生")),"")</f>
        <v/>
      </c>
      <c r="G19" s="69"/>
      <c r="H19" s="65"/>
      <c r="I19" s="63"/>
      <c r="J19" s="200" t="str">
        <f t="array" aca="1" ref="J19" ca="1">IF(J17&lt;&gt;"",
IF(J20&lt;&gt;"",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"園児")),""),"")</f>
        <v/>
      </c>
      <c r="K19" s="201"/>
      <c r="L19" s="49"/>
      <c r="M19" s="60" t="str">
        <f t="array" aca="1" ref="M19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"先生")),"")</f>
        <v/>
      </c>
      <c r="N19" s="69"/>
      <c r="O19" s="49"/>
      <c r="P19" s="59"/>
      <c r="Q19" s="63"/>
      <c r="R19" s="200" t="str">
        <f t="array" aca="1" ref="R19" ca="1">IF(R17&lt;&gt;"",
IF(R20&lt;&gt;"",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"園児")),""),"")</f>
        <v/>
      </c>
      <c r="S19" s="201"/>
      <c r="T19" s="49"/>
      <c r="U19" s="60" t="str">
        <f t="array" aca="1" ref="U19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"先生")),"")</f>
        <v/>
      </c>
      <c r="V19" s="69"/>
      <c r="W19" s="65"/>
      <c r="X19" s="63"/>
      <c r="Y19" s="200" t="str">
        <f t="array" aca="1" ref="Y19" ca="1">IF(Y17&lt;&gt;"",
IF(Y20&lt;&gt;"",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"園児")),""),"")</f>
        <v/>
      </c>
      <c r="Z19" s="201"/>
      <c r="AA19" s="49"/>
      <c r="AB19" s="60" t="str">
        <f t="array" aca="1" ref="AB19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"先生")),"")</f>
        <v/>
      </c>
      <c r="AC19" s="69"/>
      <c r="AD19" s="49"/>
      <c r="AE19" s="59"/>
      <c r="AF19" s="63"/>
      <c r="AG19" s="200" t="str">
        <f t="array" aca="1" ref="AG19" ca="1">IF(AG17&lt;&gt;"",
IF(AG20&lt;&gt;"",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"園児")),""),"")</f>
        <v/>
      </c>
      <c r="AH19" s="201"/>
      <c r="AI19" s="49"/>
      <c r="AJ19" s="60" t="str">
        <f t="array" aca="1" ref="AJ19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"先生")),"")</f>
        <v/>
      </c>
      <c r="AK19" s="69"/>
      <c r="AL19" s="65"/>
      <c r="AM19" s="63"/>
      <c r="AN19" s="200" t="str">
        <f t="array" aca="1" ref="AN19" ca="1">IF(AN17&lt;&gt;"",
IF(AN20&lt;&gt;"",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"園児")),""),"")</f>
        <v/>
      </c>
      <c r="AO19" s="201"/>
      <c r="AP19" s="49"/>
      <c r="AQ19" s="60" t="str">
        <f t="array" aca="1" ref="AQ19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"先生")),"")</f>
        <v/>
      </c>
      <c r="AR19" s="69"/>
      <c r="AS19" s="49"/>
      <c r="AT19" s="59"/>
      <c r="AU19" s="63"/>
      <c r="AV19" s="200" t="str">
        <f t="array" aca="1" ref="AV19" ca="1">IF(AV17&lt;&gt;"",
IF(AV20&lt;&gt;"",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"園児")),""),"")</f>
        <v/>
      </c>
      <c r="AW19" s="201"/>
      <c r="AX19" s="49"/>
      <c r="AY19" s="60" t="str">
        <f t="array" aca="1" ref="AY19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"先生")),"")</f>
        <v/>
      </c>
      <c r="AZ19" s="69"/>
      <c r="BA19" s="65"/>
      <c r="BB19" s="63"/>
      <c r="BC19" s="200" t="str">
        <f t="array" aca="1" ref="BC19" ca="1">IF(BC17&lt;&gt;"",
IF(BC20&lt;&gt;"",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"園児")),""),"")</f>
        <v/>
      </c>
      <c r="BD19" s="201"/>
      <c r="BE19" s="49"/>
      <c r="BF19" s="60" t="str">
        <f t="array" aca="1" ref="BF19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"先生")),"")</f>
        <v/>
      </c>
      <c r="BG19" s="69"/>
      <c r="BH19" s="49"/>
      <c r="BI19" s="59"/>
      <c r="BJ19" s="63"/>
      <c r="BK19" s="200" t="str">
        <f t="array" aca="1" ref="BK19" ca="1">IF(BK17&lt;&gt;"",
IF(BK20&lt;&gt;"",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"園児")),""),"")</f>
        <v/>
      </c>
      <c r="BL19" s="201"/>
      <c r="BM19" s="49"/>
      <c r="BN19" s="60" t="str">
        <f t="array" aca="1" ref="BN19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"先生")),"")</f>
        <v/>
      </c>
      <c r="BO19" s="69"/>
      <c r="BP19" s="65"/>
      <c r="BQ19" s="63"/>
      <c r="BR19" s="200" t="str">
        <f t="array" aca="1" ref="BR19" ca="1">IF(BR17&lt;&gt;"",
IF(BR20&lt;&gt;"",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"園児")),""),"")</f>
        <v/>
      </c>
      <c r="BS19" s="201"/>
      <c r="BT19" s="49"/>
      <c r="BU19" s="60" t="str">
        <f t="array" aca="1" ref="BU19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"先生")),"")</f>
        <v/>
      </c>
      <c r="BV19" s="69"/>
      <c r="BW19" s="49"/>
      <c r="BX19" s="59"/>
      <c r="BY19" s="63"/>
      <c r="BZ19" s="200" t="str">
        <f t="array" aca="1" ref="BZ19" ca="1">IF(BZ17&lt;&gt;"",
IF(BZ20&lt;&gt;"",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"園児")),""),"")</f>
        <v/>
      </c>
      <c r="CA19" s="201"/>
      <c r="CB19" s="49"/>
      <c r="CC19" s="60" t="str">
        <f t="array" aca="1" ref="CC19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"先生")),"")</f>
        <v/>
      </c>
      <c r="CD19" s="69"/>
      <c r="CE19" s="65"/>
      <c r="CF19" s="63"/>
      <c r="CG19" s="200" t="str">
        <f t="array" aca="1" ref="CG19" ca="1">IF(CG17&lt;&gt;"",
IF(CG20&lt;&gt;"",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"園児")),""),"")</f>
        <v/>
      </c>
      <c r="CH19" s="201"/>
      <c r="CI19" s="49"/>
      <c r="CJ19" s="60" t="str">
        <f t="array" aca="1" ref="CJ19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"先生")),"")</f>
        <v/>
      </c>
      <c r="CK19" s="69"/>
      <c r="CL19" s="49"/>
      <c r="CM19" s="59"/>
      <c r="CN19" s="63"/>
      <c r="CO19" s="200" t="str">
        <f t="array" aca="1" ref="CO19" ca="1">IF(CO17&lt;&gt;"",
IF(CO20&lt;&gt;"",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"園児")),""),"")</f>
        <v/>
      </c>
      <c r="CP19" s="201"/>
      <c r="CQ19" s="49"/>
      <c r="CR19" s="60" t="str">
        <f t="array" aca="1" ref="CR19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"先生")),"")</f>
        <v/>
      </c>
      <c r="CS19" s="69"/>
      <c r="CT19" s="65"/>
      <c r="CU19" s="63"/>
      <c r="CV19" s="200" t="str">
        <f t="array" aca="1" ref="CV19" ca="1">IF(CV17&lt;&gt;"",
IF(CV20&lt;&gt;"",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"園児")),""),"")</f>
        <v/>
      </c>
      <c r="CW19" s="201"/>
      <c r="CX19" s="49"/>
      <c r="CY19" s="60" t="str">
        <f t="array" aca="1" ref="CY19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"先生")),"")</f>
        <v/>
      </c>
      <c r="CZ19" s="69"/>
      <c r="DA19" s="49"/>
      <c r="DB19" s="59"/>
      <c r="DC19" s="63"/>
      <c r="DD19" s="200" t="str">
        <f t="array" aca="1" ref="DD19" ca="1">IF(DD17&lt;&gt;"",
IF(DD20&lt;&gt;"",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"園児")),""),"")</f>
        <v/>
      </c>
      <c r="DE19" s="201"/>
      <c r="DF19" s="49"/>
      <c r="DG19" s="60" t="str">
        <f t="array" aca="1" ref="DG19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"先生")),"")</f>
        <v/>
      </c>
      <c r="DH19" s="69"/>
      <c r="DI19" s="65"/>
      <c r="DJ19" s="63"/>
      <c r="DK19" s="200" t="str">
        <f t="array" aca="1" ref="DK19" ca="1">IF(DK17&lt;&gt;"",
IF(DK20&lt;&gt;"",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"園児")),""),"")</f>
        <v/>
      </c>
      <c r="DL19" s="201"/>
      <c r="DM19" s="49"/>
      <c r="DN19" s="60" t="str">
        <f t="array" aca="1" ref="DN19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"先生")),"")</f>
        <v/>
      </c>
      <c r="DO19" s="69"/>
      <c r="DP19" s="49"/>
      <c r="DQ19" s="59"/>
      <c r="DR19" s="63"/>
      <c r="DS19" s="200" t="str">
        <f t="array" aca="1" ref="DS19" ca="1">IF(DS17&lt;&gt;"",
IF(DS20&lt;&gt;"",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"園児")),""),"")</f>
        <v/>
      </c>
      <c r="DT19" s="201"/>
      <c r="DU19" s="49"/>
      <c r="DV19" s="60" t="str">
        <f t="array" aca="1" ref="DV19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"先生")),"")</f>
        <v/>
      </c>
      <c r="DW19" s="69"/>
      <c r="DX19" s="65"/>
      <c r="DY19" s="63"/>
      <c r="DZ19" s="200" t="str">
        <f t="array" aca="1" ref="DZ19" ca="1">IF(DZ17&lt;&gt;"",
IF(DZ20&lt;&gt;"",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"園児")),""),"")</f>
        <v/>
      </c>
      <c r="EA19" s="201"/>
      <c r="EB19" s="49"/>
      <c r="EC19" s="60" t="str">
        <f t="array" aca="1" ref="EC19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"先生")),"")</f>
        <v/>
      </c>
      <c r="ED19" s="69"/>
      <c r="EE19" s="49"/>
      <c r="EF19" s="59"/>
      <c r="EG19" s="63"/>
      <c r="EH19" s="200" t="str">
        <f t="array" aca="1" ref="EH19" ca="1">IF(EH17&lt;&gt;"",
IF(EH20&lt;&gt;"",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"園児")),""),"")</f>
        <v/>
      </c>
      <c r="EI19" s="201"/>
      <c r="EJ19" s="49"/>
      <c r="EK19" s="60" t="str">
        <f t="array" aca="1" ref="EK19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"先生")),"")</f>
        <v/>
      </c>
      <c r="EL19" s="69"/>
      <c r="EM19" s="65"/>
      <c r="EN19" s="63"/>
      <c r="EO19" s="200" t="str">
        <f t="array" aca="1" ref="EO19" ca="1">IF(EO17&lt;&gt;"",
IF(EO20&lt;&gt;"",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"園児")),""),"")</f>
        <v/>
      </c>
      <c r="EP19" s="201"/>
      <c r="EQ19" s="49"/>
      <c r="ER19" s="60" t="str">
        <f t="array" aca="1" ref="ER19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"先生")),"")</f>
        <v/>
      </c>
      <c r="ES19" s="69"/>
      <c r="ET19" s="49"/>
    </row>
    <row r="20" spans="1:150" ht="15.6" customHeight="1" x14ac:dyDescent="1.05">
      <c r="B20" s="53"/>
      <c r="C20" s="185">
        <f t="array" aca="1" ref="C20" ca="1">IF(B18="●",
INDIRECT("'盛付札（関数）'!FN"&amp;A17)+INDIRECT("'盛付札（関数）'!FN"&amp;A17+1),
IF(B18="△",
INDIRECT("'盛付札（関数）'!FN"&amp;A17+1),INDIRECT("'盛付札（関数）'!FN"&amp;A17)))</f>
        <v>720</v>
      </c>
      <c r="D20" s="199"/>
      <c r="E20" s="79"/>
      <c r="F20" s="197" t="str">
        <f t="array" aca="1" ref="F20" ca="1">IF(C17&lt;&gt;"",
IF(AND(INDIRECT("'盛付札（関数）'!FI"&amp;A17)&gt;=124,INDIRECT("'盛付札（関数）'!FI"&amp;A17)&lt;=144),"",
IF(OR(INDIRECT("'盛付札（関数）'!FI"&amp;A17)=121,INDIRECT("'盛付札（関数）'!FI"&amp;A17)=122,INDIRECT("'盛付札（関数）'!FI"&amp;A17)=123),"",
IF(B18="●",
IFERROR(INDIRECT("'盛付札（関数）'!FO"&amp;A17)+INDIRECT("'盛付札（関数）'!FO"&amp;A17+1),""),
IF(B18="△",
INDIRECT("'盛付札（関数）'!FO"&amp;A17+1),INDIRECT("'盛付札（関数）'!FO"&amp;A17))))),"")</f>
        <v/>
      </c>
      <c r="G20" s="198"/>
      <c r="H20" s="54"/>
      <c r="I20" s="53"/>
      <c r="J20" s="185">
        <f t="array" aca="1" ref="J20" ca="1">IF(I18="●",
INDIRECT("'盛付札（関数）'!FN"&amp;H17)+INDIRECT("'盛付札（関数）'!FN"&amp;H17+1),
IF(I18="△",
INDIRECT("'盛付札（関数）'!FN"&amp;H17+1),INDIRECT("'盛付札（関数）'!FN"&amp;H17)))</f>
        <v>-739</v>
      </c>
      <c r="K20" s="199"/>
      <c r="L20" s="79"/>
      <c r="M20" s="197" t="str">
        <f t="array" aca="1" ref="M20" ca="1">IF(J17&lt;&gt;"",
IF(AND(INDIRECT("'盛付札（関数）'!FI"&amp;H17)&gt;=124,INDIRECT("'盛付札（関数）'!FI"&amp;H17)&lt;=144),"",
IF(OR(INDIRECT("'盛付札（関数）'!FI"&amp;H17)=121,INDIRECT("'盛付札（関数）'!FI"&amp;H17)=122,INDIRECT("'盛付札（関数）'!FI"&amp;H17)=123),"",
IF(I18="●",
IFERROR(INDIRECT("'盛付札（関数）'!FO"&amp;H17)+INDIRECT("'盛付札（関数）'!FO"&amp;H17+1),""),
IF(I18="△",
INDIRECT("'盛付札（関数）'!FO"&amp;H17+1),INDIRECT("'盛付札（関数）'!FO"&amp;H17))))),"")</f>
        <v/>
      </c>
      <c r="N20" s="198"/>
      <c r="Q20" s="53"/>
      <c r="R20" s="185" t="str">
        <f t="array" aca="1" ref="R20" ca="1">IF(Q18="●",
INDIRECT("'盛付札（関数）'!FN"&amp;P17)+INDIRECT("'盛付札（関数）'!FN"&amp;P17+1),
IF(Q18="△",
INDIRECT("'盛付札（関数）'!FN"&amp;P17+1),INDIRECT("'盛付札（関数）'!FN"&amp;P17)))</f>
        <v/>
      </c>
      <c r="S20" s="199"/>
      <c r="T20" s="79"/>
      <c r="U20" s="197" t="str">
        <f t="array" aca="1" ref="U20" ca="1">IF(R17&lt;&gt;"",
IF(AND(INDIRECT("'盛付札（関数）'!FI"&amp;P17)&gt;=124,INDIRECT("'盛付札（関数）'!FI"&amp;P17)&lt;=144),"",
IF(OR(INDIRECT("'盛付札（関数）'!FI"&amp;P17)=121,INDIRECT("'盛付札（関数）'!FI"&amp;P17)=122,INDIRECT("'盛付札（関数）'!FI"&amp;P17)=123),"",
IF(Q18="●",
IFERROR(INDIRECT("'盛付札（関数）'!FO"&amp;P17)+INDIRECT("'盛付札（関数）'!FO"&amp;P17+1),""),
IF(Q18="△",
INDIRECT("'盛付札（関数）'!FO"&amp;P17+1),INDIRECT("'盛付札（関数）'!FO"&amp;P17))))),"")</f>
        <v/>
      </c>
      <c r="V20" s="198"/>
      <c r="W20" s="54"/>
      <c r="X20" s="53"/>
      <c r="Y20" s="185" t="str">
        <f t="array" aca="1" ref="Y20" ca="1">IF(X18="●",
INDIRECT("'盛付札（関数）'!FN"&amp;W17)+INDIRECT("'盛付札（関数）'!FN"&amp;W17+1),
IF(X18="△",
INDIRECT("'盛付札（関数）'!FN"&amp;W17+1),INDIRECT("'盛付札（関数）'!FN"&amp;W17)))</f>
        <v/>
      </c>
      <c r="Z20" s="199"/>
      <c r="AA20" s="79"/>
      <c r="AB20" s="197" t="str">
        <f t="array" aca="1" ref="AB20" ca="1">IF(Y17&lt;&gt;"",
IF(AND(INDIRECT("'盛付札（関数）'!FI"&amp;W17)&gt;=124,INDIRECT("'盛付札（関数）'!FI"&amp;W17)&lt;=144),"",
IF(OR(INDIRECT("'盛付札（関数）'!FI"&amp;W17)=121,INDIRECT("'盛付札（関数）'!FI"&amp;W17)=122,INDIRECT("'盛付札（関数）'!FI"&amp;W17)=123),"",
IF(X18="●",
IFERROR(INDIRECT("'盛付札（関数）'!FO"&amp;W17)+INDIRECT("'盛付札（関数）'!FO"&amp;W17+1),""),
IF(X18="△",
INDIRECT("'盛付札（関数）'!FO"&amp;W17+1),INDIRECT("'盛付札（関数）'!FO"&amp;W17))))),"")</f>
        <v/>
      </c>
      <c r="AC20" s="198"/>
      <c r="AF20" s="53"/>
      <c r="AG20" s="185" t="str">
        <f t="array" aca="1" ref="AG20" ca="1">IF(AF18="●",
INDIRECT("'盛付札（関数）'!FN"&amp;AE17)+INDIRECT("'盛付札（関数）'!FN"&amp;AE17+1),
IF(AF18="△",
INDIRECT("'盛付札（関数）'!FN"&amp;AE17+1),INDIRECT("'盛付札（関数）'!FN"&amp;AE17)))</f>
        <v/>
      </c>
      <c r="AH20" s="199"/>
      <c r="AI20" s="79"/>
      <c r="AJ20" s="197" t="str">
        <f t="array" aca="1" ref="AJ20" ca="1">IF(AG17&lt;&gt;"",
IF(AND(INDIRECT("'盛付札（関数）'!FI"&amp;AE17)&gt;=124,INDIRECT("'盛付札（関数）'!FI"&amp;AE17)&lt;=144),"",
IF(OR(INDIRECT("'盛付札（関数）'!FI"&amp;AE17)=121,INDIRECT("'盛付札（関数）'!FI"&amp;AE17)=122,INDIRECT("'盛付札（関数）'!FI"&amp;AE17)=123),"",
IF(AF18="●",
IFERROR(INDIRECT("'盛付札（関数）'!FO"&amp;AE17)+INDIRECT("'盛付札（関数）'!FO"&amp;AE17+1),""),
IF(AF18="△",
INDIRECT("'盛付札（関数）'!FO"&amp;AE17+1),INDIRECT("'盛付札（関数）'!FO"&amp;AE17))))),"")</f>
        <v/>
      </c>
      <c r="AK20" s="198"/>
      <c r="AL20" s="54"/>
      <c r="AM20" s="53"/>
      <c r="AN20" s="185" t="str">
        <f t="array" aca="1" ref="AN20" ca="1">IF(AM18="●",
INDIRECT("'盛付札（関数）'!FN"&amp;AL17)+INDIRECT("'盛付札（関数）'!FN"&amp;AL17+1),
IF(AM18="△",
INDIRECT("'盛付札（関数）'!FN"&amp;AL17+1),INDIRECT("'盛付札（関数）'!FN"&amp;AL17)))</f>
        <v/>
      </c>
      <c r="AO20" s="199"/>
      <c r="AP20" s="79"/>
      <c r="AQ20" s="197" t="str">
        <f t="array" aca="1" ref="AQ20" ca="1">IF(AN17&lt;&gt;"",
IF(AND(INDIRECT("'盛付札（関数）'!FI"&amp;AL17)&gt;=124,INDIRECT("'盛付札（関数）'!FI"&amp;AL17)&lt;=144),"",
IF(OR(INDIRECT("'盛付札（関数）'!FI"&amp;AL17)=121,INDIRECT("'盛付札（関数）'!FI"&amp;AL17)=122,INDIRECT("'盛付札（関数）'!FI"&amp;AL17)=123),"",
IF(AM18="●",
IFERROR(INDIRECT("'盛付札（関数）'!FO"&amp;AL17)+INDIRECT("'盛付札（関数）'!FO"&amp;AL17+1),""),
IF(AM18="△",
INDIRECT("'盛付札（関数）'!FO"&amp;AL17+1),INDIRECT("'盛付札（関数）'!FO"&amp;AL17))))),"")</f>
        <v/>
      </c>
      <c r="AR20" s="198"/>
      <c r="AU20" s="53"/>
      <c r="AV20" s="185" t="str">
        <f t="array" aca="1" ref="AV20" ca="1">IF(AU18="●",
INDIRECT("'盛付札（関数）'!FN"&amp;AT17)+INDIRECT("'盛付札（関数）'!FN"&amp;AT17+1),
IF(AU18="△",
INDIRECT("'盛付札（関数）'!FN"&amp;AT17+1),INDIRECT("'盛付札（関数）'!FN"&amp;AT17)))</f>
        <v/>
      </c>
      <c r="AW20" s="199"/>
      <c r="AX20" s="79"/>
      <c r="AY20" s="197" t="str">
        <f t="array" aca="1" ref="AY20" ca="1">IF(AV17&lt;&gt;"",
IF(AND(INDIRECT("'盛付札（関数）'!FI"&amp;AT17)&gt;=124,INDIRECT("'盛付札（関数）'!FI"&amp;AT17)&lt;=144),"",
IF(OR(INDIRECT("'盛付札（関数）'!FI"&amp;AT17)=121,INDIRECT("'盛付札（関数）'!FI"&amp;AT17)=122,INDIRECT("'盛付札（関数）'!FI"&amp;AT17)=123),"",
IF(AU18="●",
IFERROR(INDIRECT("'盛付札（関数）'!FO"&amp;AT17)+INDIRECT("'盛付札（関数）'!FO"&amp;AT17+1),""),
IF(AU18="△",
INDIRECT("'盛付札（関数）'!FO"&amp;AT17+1),INDIRECT("'盛付札（関数）'!FO"&amp;AT17))))),"")</f>
        <v/>
      </c>
      <c r="AZ20" s="198"/>
      <c r="BA20" s="54"/>
      <c r="BB20" s="53"/>
      <c r="BC20" s="185" t="str">
        <f t="array" aca="1" ref="BC20" ca="1">IF(BB18="●",
INDIRECT("'盛付札（関数）'!FN"&amp;BA17)+INDIRECT("'盛付札（関数）'!FN"&amp;BA17+1),
IF(BB18="△",
INDIRECT("'盛付札（関数）'!FN"&amp;BA17+1),INDIRECT("'盛付札（関数）'!FN"&amp;BA17)))</f>
        <v/>
      </c>
      <c r="BD20" s="199"/>
      <c r="BE20" s="79"/>
      <c r="BF20" s="197" t="str">
        <f t="array" aca="1" ref="BF20" ca="1">IF(BC17&lt;&gt;"",
IF(AND(INDIRECT("'盛付札（関数）'!FI"&amp;BA17)&gt;=124,INDIRECT("'盛付札（関数）'!FI"&amp;BA17)&lt;=144),"",
IF(OR(INDIRECT("'盛付札（関数）'!FI"&amp;BA17)=121,INDIRECT("'盛付札（関数）'!FI"&amp;BA17)=122,INDIRECT("'盛付札（関数）'!FI"&amp;BA17)=123),"",
IF(BB18="●",
IFERROR(INDIRECT("'盛付札（関数）'!FO"&amp;BA17)+INDIRECT("'盛付札（関数）'!FO"&amp;BA17+1),""),
IF(BB18="△",
INDIRECT("'盛付札（関数）'!FO"&amp;BA17+1),INDIRECT("'盛付札（関数）'!FO"&amp;BA17))))),"")</f>
        <v/>
      </c>
      <c r="BG20" s="198"/>
      <c r="BJ20" s="53"/>
      <c r="BK20" s="185" t="str">
        <f t="array" aca="1" ref="BK20" ca="1">IF(BJ18="●",
INDIRECT("'盛付札（関数）'!FN"&amp;BI17)+INDIRECT("'盛付札（関数）'!FN"&amp;BI17+1),
IF(BJ18="△",
INDIRECT("'盛付札（関数）'!FN"&amp;BI17+1),INDIRECT("'盛付札（関数）'!FN"&amp;BI17)))</f>
        <v/>
      </c>
      <c r="BL20" s="199"/>
      <c r="BM20" s="79"/>
      <c r="BN20" s="197" t="str">
        <f t="array" aca="1" ref="BN20" ca="1">IF(BK17&lt;&gt;"",
IF(AND(INDIRECT("'盛付札（関数）'!FI"&amp;BI17)&gt;=124,INDIRECT("'盛付札（関数）'!FI"&amp;BI17)&lt;=144),"",
IF(OR(INDIRECT("'盛付札（関数）'!FI"&amp;BI17)=121,INDIRECT("'盛付札（関数）'!FI"&amp;BI17)=122,INDIRECT("'盛付札（関数）'!FI"&amp;BI17)=123),"",
IF(BJ18="●",
IFERROR(INDIRECT("'盛付札（関数）'!FO"&amp;BI17)+INDIRECT("'盛付札（関数）'!FO"&amp;BI17+1),""),
IF(BJ18="△",
INDIRECT("'盛付札（関数）'!FO"&amp;BI17+1),INDIRECT("'盛付札（関数）'!FO"&amp;BI17))))),"")</f>
        <v/>
      </c>
      <c r="BO20" s="198"/>
      <c r="BP20" s="54"/>
      <c r="BQ20" s="53"/>
      <c r="BR20" s="185" t="str">
        <f t="array" aca="1" ref="BR20" ca="1">IF(BQ18="●",
INDIRECT("'盛付札（関数）'!FN"&amp;BP17)+INDIRECT("'盛付札（関数）'!FN"&amp;BP17+1),
IF(BQ18="△",
INDIRECT("'盛付札（関数）'!FN"&amp;BP17+1),INDIRECT("'盛付札（関数）'!FN"&amp;BP17)))</f>
        <v/>
      </c>
      <c r="BS20" s="199"/>
      <c r="BT20" s="79"/>
      <c r="BU20" s="197" t="str">
        <f t="array" aca="1" ref="BU20" ca="1">IF(BR17&lt;&gt;"",
IF(AND(INDIRECT("'盛付札（関数）'!FI"&amp;BP17)&gt;=124,INDIRECT("'盛付札（関数）'!FI"&amp;BP17)&lt;=144),"",
IF(OR(INDIRECT("'盛付札（関数）'!FI"&amp;BP17)=121,INDIRECT("'盛付札（関数）'!FI"&amp;BP17)=122,INDIRECT("'盛付札（関数）'!FI"&amp;BP17)=123),"",
IF(BQ18="●",
IFERROR(INDIRECT("'盛付札（関数）'!FO"&amp;BP17)+INDIRECT("'盛付札（関数）'!FO"&amp;BP17+1),""),
IF(BQ18="△",
INDIRECT("'盛付札（関数）'!FO"&amp;BP17+1),INDIRECT("'盛付札（関数）'!FO"&amp;BP17))))),"")</f>
        <v/>
      </c>
      <c r="BV20" s="198"/>
      <c r="BY20" s="53"/>
      <c r="BZ20" s="185" t="str">
        <f t="array" aca="1" ref="BZ20" ca="1">IF(BY18="●",
INDIRECT("'盛付札（関数）'!FN"&amp;BX17)+INDIRECT("'盛付札（関数）'!FN"&amp;BX17+1),
IF(BY18="△",
INDIRECT("'盛付札（関数）'!FN"&amp;BX17+1),INDIRECT("'盛付札（関数）'!FN"&amp;BX17)))</f>
        <v/>
      </c>
      <c r="CA20" s="199"/>
      <c r="CB20" s="79"/>
      <c r="CC20" s="197" t="str">
        <f t="array" aca="1" ref="CC20" ca="1">IF(BZ17&lt;&gt;"",
IF(AND(INDIRECT("'盛付札（関数）'!FI"&amp;BX17)&gt;=124,INDIRECT("'盛付札（関数）'!FI"&amp;BX17)&lt;=144),"",
IF(OR(INDIRECT("'盛付札（関数）'!FI"&amp;BX17)=121,INDIRECT("'盛付札（関数）'!FI"&amp;BX17)=122,INDIRECT("'盛付札（関数）'!FI"&amp;BX17)=123),"",
IF(BY18="●",
IFERROR(INDIRECT("'盛付札（関数）'!FO"&amp;BX17)+INDIRECT("'盛付札（関数）'!FO"&amp;BX17+1),""),
IF(BY18="△",
INDIRECT("'盛付札（関数）'!FO"&amp;BX17+1),INDIRECT("'盛付札（関数）'!FO"&amp;BX17))))),"")</f>
        <v/>
      </c>
      <c r="CD20" s="198"/>
      <c r="CE20" s="54"/>
      <c r="CF20" s="53"/>
      <c r="CG20" s="185" t="str">
        <f t="array" aca="1" ref="CG20" ca="1">IF(CF18="●",
INDIRECT("'盛付札（関数）'!FN"&amp;CE17)+INDIRECT("'盛付札（関数）'!FN"&amp;CE17+1),
IF(CF18="△",
INDIRECT("'盛付札（関数）'!FN"&amp;CE17+1),INDIRECT("'盛付札（関数）'!FN"&amp;CE17)))</f>
        <v/>
      </c>
      <c r="CH20" s="199"/>
      <c r="CI20" s="79"/>
      <c r="CJ20" s="197" t="str">
        <f t="array" aca="1" ref="CJ20" ca="1">IF(CG17&lt;&gt;"",
IF(AND(INDIRECT("'盛付札（関数）'!FI"&amp;CE17)&gt;=124,INDIRECT("'盛付札（関数）'!FI"&amp;CE17)&lt;=144),"",
IF(OR(INDIRECT("'盛付札（関数）'!FI"&amp;CE17)=121,INDIRECT("'盛付札（関数）'!FI"&amp;CE17)=122,INDIRECT("'盛付札（関数）'!FI"&amp;CE17)=123),"",
IF(CF18="●",
IFERROR(INDIRECT("'盛付札（関数）'!FO"&amp;CE17)+INDIRECT("'盛付札（関数）'!FO"&amp;CE17+1),""),
IF(CF18="△",
INDIRECT("'盛付札（関数）'!FO"&amp;CE17+1),INDIRECT("'盛付札（関数）'!FO"&amp;CE17))))),"")</f>
        <v/>
      </c>
      <c r="CK20" s="198"/>
      <c r="CN20" s="53"/>
      <c r="CO20" s="185" t="str">
        <f t="array" aca="1" ref="CO20" ca="1">IF(CN18="●",
INDIRECT("'盛付札（関数）'!FN"&amp;CM17)+INDIRECT("'盛付札（関数）'!FN"&amp;CM17+1),
IF(CN18="△",
INDIRECT("'盛付札（関数）'!FN"&amp;CM17+1),INDIRECT("'盛付札（関数）'!FN"&amp;CM17)))</f>
        <v/>
      </c>
      <c r="CP20" s="199"/>
      <c r="CQ20" s="79"/>
      <c r="CR20" s="197" t="str">
        <f t="array" aca="1" ref="CR20" ca="1">IF(CO17&lt;&gt;"",
IF(AND(INDIRECT("'盛付札（関数）'!FI"&amp;CM17)&gt;=124,INDIRECT("'盛付札（関数）'!FI"&amp;CM17)&lt;=144),"",
IF(OR(INDIRECT("'盛付札（関数）'!FI"&amp;CM17)=121,INDIRECT("'盛付札（関数）'!FI"&amp;CM17)=122,INDIRECT("'盛付札（関数）'!FI"&amp;CM17)=123),"",
IF(CN18="●",
IFERROR(INDIRECT("'盛付札（関数）'!FO"&amp;CM17)+INDIRECT("'盛付札（関数）'!FO"&amp;CM17+1),""),
IF(CN18="△",
INDIRECT("'盛付札（関数）'!FO"&amp;CM17+1),INDIRECT("'盛付札（関数）'!FO"&amp;CM17))))),"")</f>
        <v/>
      </c>
      <c r="CS20" s="198"/>
      <c r="CT20" s="54"/>
      <c r="CU20" s="53"/>
      <c r="CV20" s="185" t="str">
        <f t="array" aca="1" ref="CV20" ca="1">IF(CU18="●",
INDIRECT("'盛付札（関数）'!FN"&amp;CT17)+INDIRECT("'盛付札（関数）'!FN"&amp;CT17+1),
IF(CU18="△",
INDIRECT("'盛付札（関数）'!FN"&amp;CT17+1),INDIRECT("'盛付札（関数）'!FN"&amp;CT17)))</f>
        <v/>
      </c>
      <c r="CW20" s="199"/>
      <c r="CX20" s="79"/>
      <c r="CY20" s="197" t="str">
        <f t="array" aca="1" ref="CY20" ca="1">IF(CV17&lt;&gt;"",
IF(AND(INDIRECT("'盛付札（関数）'!FI"&amp;CT17)&gt;=124,INDIRECT("'盛付札（関数）'!FI"&amp;CT17)&lt;=144),"",
IF(OR(INDIRECT("'盛付札（関数）'!FI"&amp;CT17)=121,INDIRECT("'盛付札（関数）'!FI"&amp;CT17)=122,INDIRECT("'盛付札（関数）'!FI"&amp;CT17)=123),"",
IF(CU18="●",
IFERROR(INDIRECT("'盛付札（関数）'!FO"&amp;CT17)+INDIRECT("'盛付札（関数）'!FO"&amp;CT17+1),""),
IF(CU18="△",
INDIRECT("'盛付札（関数）'!FO"&amp;CT17+1),INDIRECT("'盛付札（関数）'!FO"&amp;CT17))))),"")</f>
        <v/>
      </c>
      <c r="CZ20" s="198"/>
      <c r="DC20" s="53"/>
      <c r="DD20" s="185" t="str">
        <f t="array" aca="1" ref="DD20" ca="1">IF(DC18="●",
INDIRECT("'盛付札（関数）'!FN"&amp;DB17)+INDIRECT("'盛付札（関数）'!FN"&amp;DB17+1),
IF(DC18="△",
INDIRECT("'盛付札（関数）'!FN"&amp;DB17+1),INDIRECT("'盛付札（関数）'!FN"&amp;DB17)))</f>
        <v/>
      </c>
      <c r="DE20" s="199"/>
      <c r="DF20" s="79"/>
      <c r="DG20" s="197" t="str">
        <f t="array" aca="1" ref="DG20" ca="1">IF(DD17&lt;&gt;"",
IF(AND(INDIRECT("'盛付札（関数）'!FI"&amp;DB17)&gt;=124,INDIRECT("'盛付札（関数）'!FI"&amp;DB17)&lt;=144),"",
IF(OR(INDIRECT("'盛付札（関数）'!FI"&amp;DB17)=121,INDIRECT("'盛付札（関数）'!FI"&amp;DB17)=122,INDIRECT("'盛付札（関数）'!FI"&amp;DB17)=123),"",
IF(DC18="●",
IFERROR(INDIRECT("'盛付札（関数）'!FO"&amp;DB17)+INDIRECT("'盛付札（関数）'!FO"&amp;DB17+1),""),
IF(DC18="△",
INDIRECT("'盛付札（関数）'!FO"&amp;DB17+1),INDIRECT("'盛付札（関数）'!FO"&amp;DB17))))),"")</f>
        <v/>
      </c>
      <c r="DH20" s="198"/>
      <c r="DI20" s="54"/>
      <c r="DJ20" s="53"/>
      <c r="DK20" s="185" t="str">
        <f t="array" aca="1" ref="DK20" ca="1">IF(DJ18="●",
INDIRECT("'盛付札（関数）'!FN"&amp;DI17)+INDIRECT("'盛付札（関数）'!FN"&amp;DI17+1),
IF(DJ18="△",
INDIRECT("'盛付札（関数）'!FN"&amp;DI17+1),INDIRECT("'盛付札（関数）'!FN"&amp;DI17)))</f>
        <v/>
      </c>
      <c r="DL20" s="199"/>
      <c r="DM20" s="79"/>
      <c r="DN20" s="197" t="str">
        <f t="array" aca="1" ref="DN20" ca="1">IF(DK17&lt;&gt;"",
IF(AND(INDIRECT("'盛付札（関数）'!FI"&amp;DI17)&gt;=124,INDIRECT("'盛付札（関数）'!FI"&amp;DI17)&lt;=144),"",
IF(OR(INDIRECT("'盛付札（関数）'!FI"&amp;DI17)=121,INDIRECT("'盛付札（関数）'!FI"&amp;DI17)=122,INDIRECT("'盛付札（関数）'!FI"&amp;DI17)=123),"",
IF(DJ18="●",
IFERROR(INDIRECT("'盛付札（関数）'!FO"&amp;DI17)+INDIRECT("'盛付札（関数）'!FO"&amp;DI17+1),""),
IF(DJ18="△",
INDIRECT("'盛付札（関数）'!FO"&amp;DI17+1),INDIRECT("'盛付札（関数）'!FO"&amp;DI17))))),"")</f>
        <v/>
      </c>
      <c r="DO20" s="198"/>
      <c r="DR20" s="53"/>
      <c r="DS20" s="185" t="str">
        <f t="array" aca="1" ref="DS20" ca="1">IF(DR18="●",
INDIRECT("'盛付札（関数）'!FN"&amp;DQ17)+INDIRECT("'盛付札（関数）'!FN"&amp;DQ17+1),
IF(DR18="△",
INDIRECT("'盛付札（関数）'!FN"&amp;DQ17+1),INDIRECT("'盛付札（関数）'!FN"&amp;DQ17)))</f>
        <v/>
      </c>
      <c r="DT20" s="199"/>
      <c r="DU20" s="79"/>
      <c r="DV20" s="197" t="str">
        <f t="array" aca="1" ref="DV20" ca="1">IF(DS17&lt;&gt;"",
IF(AND(INDIRECT("'盛付札（関数）'!FI"&amp;DQ17)&gt;=124,INDIRECT("'盛付札（関数）'!FI"&amp;DQ17)&lt;=144),"",
IF(OR(INDIRECT("'盛付札（関数）'!FI"&amp;DQ17)=121,INDIRECT("'盛付札（関数）'!FI"&amp;DQ17)=122,INDIRECT("'盛付札（関数）'!FI"&amp;DQ17)=123),"",
IF(DR18="●",
IFERROR(INDIRECT("'盛付札（関数）'!FO"&amp;DQ17)+INDIRECT("'盛付札（関数）'!FO"&amp;DQ17+1),""),
IF(DR18="△",
INDIRECT("'盛付札（関数）'!FO"&amp;DQ17+1),INDIRECT("'盛付札（関数）'!FO"&amp;DQ17))))),"")</f>
        <v/>
      </c>
      <c r="DW20" s="198"/>
      <c r="DX20" s="54"/>
      <c r="DY20" s="53"/>
      <c r="DZ20" s="185" t="str">
        <f t="array" aca="1" ref="DZ20" ca="1">IF(DY18="●",
INDIRECT("'盛付札（関数）'!FN"&amp;DX17)+INDIRECT("'盛付札（関数）'!FN"&amp;DX17+1),
IF(DY18="△",
INDIRECT("'盛付札（関数）'!FN"&amp;DX17+1),INDIRECT("'盛付札（関数）'!FN"&amp;DX17)))</f>
        <v/>
      </c>
      <c r="EA20" s="199"/>
      <c r="EB20" s="79"/>
      <c r="EC20" s="197" t="str">
        <f t="array" aca="1" ref="EC20" ca="1">IF(DZ17&lt;&gt;"",
IF(AND(INDIRECT("'盛付札（関数）'!FI"&amp;DX17)&gt;=124,INDIRECT("'盛付札（関数）'!FI"&amp;DX17)&lt;=144),"",
IF(OR(INDIRECT("'盛付札（関数）'!FI"&amp;DX17)=121,INDIRECT("'盛付札（関数）'!FI"&amp;DX17)=122,INDIRECT("'盛付札（関数）'!FI"&amp;DX17)=123),"",
IF(DY18="●",
IFERROR(INDIRECT("'盛付札（関数）'!FO"&amp;DX17)+INDIRECT("'盛付札（関数）'!FO"&amp;DX17+1),""),
IF(DY18="△",
INDIRECT("'盛付札（関数）'!FO"&amp;DX17+1),INDIRECT("'盛付札（関数）'!FO"&amp;DX17))))),"")</f>
        <v/>
      </c>
      <c r="ED20" s="198"/>
      <c r="EG20" s="53"/>
      <c r="EH20" s="185" t="str">
        <f t="array" aca="1" ref="EH20" ca="1">IF(EG18="●",
INDIRECT("'盛付札（関数）'!FN"&amp;EF17)+INDIRECT("'盛付札（関数）'!FN"&amp;EF17+1),
IF(EG18="△",
INDIRECT("'盛付札（関数）'!FN"&amp;EF17+1),INDIRECT("'盛付札（関数）'!FN"&amp;EF17)))</f>
        <v/>
      </c>
      <c r="EI20" s="199"/>
      <c r="EJ20" s="79"/>
      <c r="EK20" s="197" t="str">
        <f t="array" aca="1" ref="EK20" ca="1">IF(EH17&lt;&gt;"",
IF(AND(INDIRECT("'盛付札（関数）'!FI"&amp;EF17)&gt;=124,INDIRECT("'盛付札（関数）'!FI"&amp;EF17)&lt;=144),"",
IF(OR(INDIRECT("'盛付札（関数）'!FI"&amp;EF17)=121,INDIRECT("'盛付札（関数）'!FI"&amp;EF17)=122,INDIRECT("'盛付札（関数）'!FI"&amp;EF17)=123),"",
IF(EG18="●",
IFERROR(INDIRECT("'盛付札（関数）'!FO"&amp;EF17)+INDIRECT("'盛付札（関数）'!FO"&amp;EF17+1),""),
IF(EG18="△",
INDIRECT("'盛付札（関数）'!FO"&amp;EF17+1),INDIRECT("'盛付札（関数）'!FO"&amp;EF17))))),"")</f>
        <v/>
      </c>
      <c r="EL20" s="198"/>
      <c r="EM20" s="54"/>
      <c r="EN20" s="53"/>
      <c r="EO20" s="185" t="str">
        <f t="array" aca="1" ref="EO20" ca="1">IF(EN18="●",
INDIRECT("'盛付札（関数）'!FN"&amp;EM17)+INDIRECT("'盛付札（関数）'!FN"&amp;EM17+1),
IF(EN18="△",
INDIRECT("'盛付札（関数）'!FN"&amp;EM17+1),INDIRECT("'盛付札（関数）'!FN"&amp;EM17)))</f>
        <v/>
      </c>
      <c r="EP20" s="199"/>
      <c r="EQ20" s="79"/>
      <c r="ER20" s="197" t="str">
        <f t="array" aca="1" ref="ER20" ca="1">IF(EO17&lt;&gt;"",
IF(AND(INDIRECT("'盛付札（関数）'!FI"&amp;EM17)&gt;=124,INDIRECT("'盛付札（関数）'!FI"&amp;EM17)&lt;=144),"",
IF(OR(INDIRECT("'盛付札（関数）'!FI"&amp;EM17)=121,INDIRECT("'盛付札（関数）'!FI"&amp;EM17)=122,INDIRECT("'盛付札（関数）'!FI"&amp;EM17)=123),"",
IF(EN18="●",
IFERROR(INDIRECT("'盛付札（関数）'!FO"&amp;EM17)+INDIRECT("'盛付札（関数）'!FO"&amp;EM17+1),""),
IF(EN18="△",
INDIRECT("'盛付札（関数）'!FO"&amp;EM17+1),INDIRECT("'盛付札（関数）'!FO"&amp;EM17))))),"")</f>
        <v/>
      </c>
      <c r="ES20" s="198"/>
    </row>
    <row r="21" spans="1:150" ht="15.6" customHeight="1" x14ac:dyDescent="0.45">
      <c r="B21" s="55"/>
      <c r="C21" s="187"/>
      <c r="D21" s="187"/>
      <c r="E21" s="73"/>
      <c r="F21" s="187"/>
      <c r="G21" s="195"/>
      <c r="H21" s="54"/>
      <c r="I21" s="55"/>
      <c r="J21" s="187"/>
      <c r="K21" s="187"/>
      <c r="L21" s="73"/>
      <c r="M21" s="187"/>
      <c r="N21" s="195"/>
      <c r="Q21" s="55"/>
      <c r="R21" s="187"/>
      <c r="S21" s="187"/>
      <c r="T21" s="73"/>
      <c r="U21" s="187"/>
      <c r="V21" s="195"/>
      <c r="W21" s="54"/>
      <c r="X21" s="55"/>
      <c r="Y21" s="187"/>
      <c r="Z21" s="187"/>
      <c r="AA21" s="73"/>
      <c r="AB21" s="187"/>
      <c r="AC21" s="195"/>
      <c r="AF21" s="55"/>
      <c r="AG21" s="187"/>
      <c r="AH21" s="187"/>
      <c r="AI21" s="73"/>
      <c r="AJ21" s="187"/>
      <c r="AK21" s="195"/>
      <c r="AL21" s="54"/>
      <c r="AM21" s="55"/>
      <c r="AN21" s="187"/>
      <c r="AO21" s="187"/>
      <c r="AP21" s="73"/>
      <c r="AQ21" s="187"/>
      <c r="AR21" s="195"/>
      <c r="AU21" s="55"/>
      <c r="AV21" s="187"/>
      <c r="AW21" s="187"/>
      <c r="AX21" s="73"/>
      <c r="AY21" s="187"/>
      <c r="AZ21" s="195"/>
      <c r="BA21" s="54"/>
      <c r="BB21" s="55"/>
      <c r="BC21" s="187"/>
      <c r="BD21" s="187"/>
      <c r="BE21" s="73"/>
      <c r="BF21" s="187"/>
      <c r="BG21" s="195"/>
      <c r="BJ21" s="55"/>
      <c r="BK21" s="187"/>
      <c r="BL21" s="187"/>
      <c r="BM21" s="73"/>
      <c r="BN21" s="187"/>
      <c r="BO21" s="195"/>
      <c r="BP21" s="54"/>
      <c r="BQ21" s="55"/>
      <c r="BR21" s="187"/>
      <c r="BS21" s="187"/>
      <c r="BT21" s="73"/>
      <c r="BU21" s="187"/>
      <c r="BV21" s="195"/>
      <c r="BY21" s="55"/>
      <c r="BZ21" s="187"/>
      <c r="CA21" s="187"/>
      <c r="CB21" s="73"/>
      <c r="CC21" s="187"/>
      <c r="CD21" s="195"/>
      <c r="CE21" s="54"/>
      <c r="CF21" s="55"/>
      <c r="CG21" s="187"/>
      <c r="CH21" s="187"/>
      <c r="CI21" s="73"/>
      <c r="CJ21" s="187"/>
      <c r="CK21" s="195"/>
      <c r="CN21" s="55"/>
      <c r="CO21" s="187"/>
      <c r="CP21" s="187"/>
      <c r="CQ21" s="73"/>
      <c r="CR21" s="187"/>
      <c r="CS21" s="195"/>
      <c r="CT21" s="54"/>
      <c r="CU21" s="55"/>
      <c r="CV21" s="187"/>
      <c r="CW21" s="187"/>
      <c r="CX21" s="73"/>
      <c r="CY21" s="187"/>
      <c r="CZ21" s="195"/>
      <c r="DC21" s="55"/>
      <c r="DD21" s="187"/>
      <c r="DE21" s="187"/>
      <c r="DF21" s="73"/>
      <c r="DG21" s="187"/>
      <c r="DH21" s="195"/>
      <c r="DI21" s="54"/>
      <c r="DJ21" s="55"/>
      <c r="DK21" s="187"/>
      <c r="DL21" s="187"/>
      <c r="DM21" s="73"/>
      <c r="DN21" s="187"/>
      <c r="DO21" s="195"/>
      <c r="DR21" s="55"/>
      <c r="DS21" s="187"/>
      <c r="DT21" s="187"/>
      <c r="DU21" s="73"/>
      <c r="DV21" s="187"/>
      <c r="DW21" s="195"/>
      <c r="DX21" s="54"/>
      <c r="DY21" s="55"/>
      <c r="DZ21" s="187"/>
      <c r="EA21" s="187"/>
      <c r="EB21" s="73"/>
      <c r="EC21" s="187"/>
      <c r="ED21" s="195"/>
      <c r="EG21" s="55"/>
      <c r="EH21" s="187"/>
      <c r="EI21" s="187"/>
      <c r="EJ21" s="73"/>
      <c r="EK21" s="187"/>
      <c r="EL21" s="195"/>
      <c r="EM21" s="54"/>
      <c r="EN21" s="55"/>
      <c r="EO21" s="187"/>
      <c r="EP21" s="187"/>
      <c r="EQ21" s="73"/>
      <c r="ER21" s="187"/>
      <c r="ES21" s="195"/>
    </row>
    <row r="22" spans="1:150" s="60" customFormat="1" x14ac:dyDescent="0.55000000000000004">
      <c r="A22" s="59"/>
      <c r="B22" s="66" t="str">
        <f t="array" aca="1" ref="B22" ca="1">IF(C17&lt;&gt;"",
IF(OR(INDIRECT("'盛付札（関数）'!FI"&amp;A17)=121,INDIRECT("'盛付札（関数）'!FI"&amp;A17)=122,INDIRECT("'盛付札（関数）'!FI"&amp;A17)=123),"",
"パン箱"),"")</f>
        <v>パン箱</v>
      </c>
      <c r="C22" s="64">
        <f t="array" aca="1" ref="C22" ca="1">IF(C17&lt;&gt;"",
IF(OR(INDIRECT("'盛付札（関数）'!FI"&amp;A17)=121,INDIRECT("'盛付札（関数）'!FI"&amp;A17)=122,INDIRECT("'盛付札（関数）'!FI"&amp;A17)=123),"",
IF(B18="△",
INDIRECT("'盛付札（関数）'!FP"&amp;A17+1),INDIRECT("'盛付札（関数）'!FP"&amp;A17))),"")</f>
        <v>24</v>
      </c>
      <c r="D22" s="66" t="str">
        <f t="array" aca="1" ref="D22" ca="1">IF(C17&lt;&gt;"",
IF(OR(INDIRECT("'盛付札（関数）'!FI"&amp;A17)=121,INDIRECT("'盛付札（関数）'!FI"&amp;A17)=122,INDIRECT("'盛付札（関数）'!FI"&amp;A17)=123),"",
"端数"),"")</f>
        <v>端数</v>
      </c>
      <c r="E22" s="64"/>
      <c r="F22" s="66" t="str">
        <f t="array" aca="1" ref="F22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"アレルギー")),"")</f>
        <v/>
      </c>
      <c r="G22" s="69"/>
      <c r="H22" s="49"/>
      <c r="I22" s="66" t="str">
        <f t="array" aca="1" ref="I22" ca="1">IF(J17&lt;&gt;"",
IF(OR(INDIRECT("'盛付札（関数）'!FI"&amp;H17)=121,INDIRECT("'盛付札（関数）'!FI"&amp;H17)=122,INDIRECT("'盛付札（関数）'!FI"&amp;H17)=123),"",
"パン箱"),"")</f>
        <v>パン箱</v>
      </c>
      <c r="J22" s="64">
        <f t="array" aca="1" ref="J22" ca="1">IF(J17&lt;&gt;"",
IF(OR(INDIRECT("'盛付札（関数）'!FI"&amp;H17)=121,INDIRECT("'盛付札（関数）'!FI"&amp;H17)=122,INDIRECT("'盛付札（関数）'!FI"&amp;H17)=123),"",
IF(I18="△",
INDIRECT("'盛付札（関数）'!FP"&amp;H17+1),INDIRECT("'盛付札（関数）'!FP"&amp;H17))),"")</f>
        <v>24</v>
      </c>
      <c r="K22" s="66" t="str">
        <f t="array" aca="1" ref="K22" ca="1">IF(J17&lt;&gt;"",
IF(OR(INDIRECT("'盛付札（関数）'!FI"&amp;H17)=121,INDIRECT("'盛付札（関数）'!FI"&amp;H17)=122,INDIRECT("'盛付札（関数）'!FI"&amp;H17)=123),"",
"端数"),"")</f>
        <v>端数</v>
      </c>
      <c r="L22" s="64"/>
      <c r="M22" s="66" t="str">
        <f t="array" aca="1" ref="M22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"アレルギー")),"")</f>
        <v/>
      </c>
      <c r="N22" s="69"/>
      <c r="O22" s="49"/>
      <c r="P22" s="59"/>
      <c r="Q22" s="66" t="str">
        <f t="array" aca="1" ref="Q22" ca="1">IF(R17&lt;&gt;"",
IF(OR(INDIRECT("'盛付札（関数）'!FI"&amp;P17)=121,INDIRECT("'盛付札（関数）'!FI"&amp;P17)=122,INDIRECT("'盛付札（関数）'!FI"&amp;P17)=123),"",
"パン箱"),"")</f>
        <v/>
      </c>
      <c r="R22" s="64" t="str">
        <f t="array" aca="1" ref="R22" ca="1">IF(R17&lt;&gt;"",
IF(OR(INDIRECT("'盛付札（関数）'!FI"&amp;P17)=121,INDIRECT("'盛付札（関数）'!FI"&amp;P17)=122,INDIRECT("'盛付札（関数）'!FI"&amp;P17)=123),"",
IF(Q18="△",
INDIRECT("'盛付札（関数）'!FP"&amp;P17+1),INDIRECT("'盛付札（関数）'!FP"&amp;P17))),"")</f>
        <v/>
      </c>
      <c r="S22" s="66" t="str">
        <f t="array" aca="1" ref="S22" ca="1">IF(R17&lt;&gt;"",
IF(OR(INDIRECT("'盛付札（関数）'!FI"&amp;P17)=121,INDIRECT("'盛付札（関数）'!FI"&amp;P17)=122,INDIRECT("'盛付札（関数）'!FI"&amp;P17)=123),"",
"端数"),"")</f>
        <v/>
      </c>
      <c r="T22" s="64"/>
      <c r="U22" s="66" t="str">
        <f t="array" aca="1" ref="U22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"アレルギー")),"")</f>
        <v/>
      </c>
      <c r="V22" s="69"/>
      <c r="W22" s="49"/>
      <c r="X22" s="66" t="str">
        <f t="array" aca="1" ref="X22" ca="1">IF(Y17&lt;&gt;"",
IF(OR(INDIRECT("'盛付札（関数）'!FI"&amp;W17)=121,INDIRECT("'盛付札（関数）'!FI"&amp;W17)=122,INDIRECT("'盛付札（関数）'!FI"&amp;W17)=123),"",
"パン箱"),"")</f>
        <v/>
      </c>
      <c r="Y22" s="64" t="str">
        <f t="array" aca="1" ref="Y22" ca="1">IF(Y17&lt;&gt;"",
IF(OR(INDIRECT("'盛付札（関数）'!FI"&amp;W17)=121,INDIRECT("'盛付札（関数）'!FI"&amp;W17)=122,INDIRECT("'盛付札（関数）'!FI"&amp;W17)=123),"",
IF(X18="△",
INDIRECT("'盛付札（関数）'!FP"&amp;W17+1),INDIRECT("'盛付札（関数）'!FP"&amp;W17))),"")</f>
        <v/>
      </c>
      <c r="Z22" s="66" t="str">
        <f t="array" aca="1" ref="Z22" ca="1">IF(Y17&lt;&gt;"",
IF(OR(INDIRECT("'盛付札（関数）'!FI"&amp;W17)=121,INDIRECT("'盛付札（関数）'!FI"&amp;W17)=122,INDIRECT("'盛付札（関数）'!FI"&amp;W17)=123),"",
"端数"),"")</f>
        <v/>
      </c>
      <c r="AA22" s="64"/>
      <c r="AB22" s="66" t="str">
        <f t="array" aca="1" ref="AB22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"アレルギー")),"")</f>
        <v/>
      </c>
      <c r="AC22" s="69"/>
      <c r="AD22" s="49"/>
      <c r="AE22" s="59"/>
      <c r="AF22" s="66" t="str">
        <f t="array" aca="1" ref="AF22" ca="1">IF(AG17&lt;&gt;"",
IF(OR(INDIRECT("'盛付札（関数）'!FI"&amp;AE17)=121,INDIRECT("'盛付札（関数）'!FI"&amp;AE17)=122,INDIRECT("'盛付札（関数）'!FI"&amp;AE17)=123),"",
"パン箱"),"")</f>
        <v/>
      </c>
      <c r="AG22" s="64" t="str">
        <f t="array" aca="1" ref="AG22" ca="1">IF(AG17&lt;&gt;"",
IF(OR(INDIRECT("'盛付札（関数）'!FI"&amp;AE17)=121,INDIRECT("'盛付札（関数）'!FI"&amp;AE17)=122,INDIRECT("'盛付札（関数）'!FI"&amp;AE17)=123),"",
IF(AF18="△",
INDIRECT("'盛付札（関数）'!FP"&amp;AE17+1),INDIRECT("'盛付札（関数）'!FP"&amp;AE17))),"")</f>
        <v/>
      </c>
      <c r="AH22" s="66" t="str">
        <f t="array" aca="1" ref="AH22" ca="1">IF(AG17&lt;&gt;"",
IF(OR(INDIRECT("'盛付札（関数）'!FI"&amp;AE17)=121,INDIRECT("'盛付札（関数）'!FI"&amp;AE17)=122,INDIRECT("'盛付札（関数）'!FI"&amp;AE17)=123),"",
"端数"),"")</f>
        <v/>
      </c>
      <c r="AI22" s="64"/>
      <c r="AJ22" s="66" t="str">
        <f t="array" aca="1" ref="AJ22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"アレルギー")),"")</f>
        <v/>
      </c>
      <c r="AK22" s="69"/>
      <c r="AL22" s="49"/>
      <c r="AM22" s="66" t="str">
        <f t="array" aca="1" ref="AM22" ca="1">IF(AN17&lt;&gt;"",
IF(OR(INDIRECT("'盛付札（関数）'!FI"&amp;AL17)=121,INDIRECT("'盛付札（関数）'!FI"&amp;AL17)=122,INDIRECT("'盛付札（関数）'!FI"&amp;AL17)=123),"",
"パン箱"),"")</f>
        <v/>
      </c>
      <c r="AN22" s="64" t="str">
        <f t="array" aca="1" ref="AN22" ca="1">IF(AN17&lt;&gt;"",
IF(OR(INDIRECT("'盛付札（関数）'!FI"&amp;AL17)=121,INDIRECT("'盛付札（関数）'!FI"&amp;AL17)=122,INDIRECT("'盛付札（関数）'!FI"&amp;AL17)=123),"",
IF(AM18="△",
INDIRECT("'盛付札（関数）'!FP"&amp;AL17+1),INDIRECT("'盛付札（関数）'!FP"&amp;AL17))),"")</f>
        <v/>
      </c>
      <c r="AO22" s="66" t="str">
        <f t="array" aca="1" ref="AO22" ca="1">IF(AN17&lt;&gt;"",
IF(OR(INDIRECT("'盛付札（関数）'!FI"&amp;AL17)=121,INDIRECT("'盛付札（関数）'!FI"&amp;AL17)=122,INDIRECT("'盛付札（関数）'!FI"&amp;AL17)=123),"",
"端数"),"")</f>
        <v/>
      </c>
      <c r="AP22" s="64"/>
      <c r="AQ22" s="66" t="str">
        <f t="array" aca="1" ref="AQ22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"アレルギー")),"")</f>
        <v/>
      </c>
      <c r="AR22" s="69"/>
      <c r="AS22" s="49"/>
      <c r="AT22" s="59"/>
      <c r="AU22" s="66" t="str">
        <f t="array" aca="1" ref="AU22" ca="1">IF(AV17&lt;&gt;"",
IF(OR(INDIRECT("'盛付札（関数）'!FI"&amp;AT17)=121,INDIRECT("'盛付札（関数）'!FI"&amp;AT17)=122,INDIRECT("'盛付札（関数）'!FI"&amp;AT17)=123),"",
"パン箱"),"")</f>
        <v/>
      </c>
      <c r="AV22" s="64" t="str">
        <f t="array" aca="1" ref="AV22" ca="1">IF(AV17&lt;&gt;"",
IF(OR(INDIRECT("'盛付札（関数）'!FI"&amp;AT17)=121,INDIRECT("'盛付札（関数）'!FI"&amp;AT17)=122,INDIRECT("'盛付札（関数）'!FI"&amp;AT17)=123),"",
IF(AU18="△",
INDIRECT("'盛付札（関数）'!FP"&amp;AT17+1),INDIRECT("'盛付札（関数）'!FP"&amp;AT17))),"")</f>
        <v/>
      </c>
      <c r="AW22" s="66" t="str">
        <f t="array" aca="1" ref="AW22" ca="1">IF(AV17&lt;&gt;"",
IF(OR(INDIRECT("'盛付札（関数）'!FI"&amp;AT17)=121,INDIRECT("'盛付札（関数）'!FI"&amp;AT17)=122,INDIRECT("'盛付札（関数）'!FI"&amp;AT17)=123),"",
"端数"),"")</f>
        <v/>
      </c>
      <c r="AX22" s="64"/>
      <c r="AY22" s="66" t="str">
        <f t="array" aca="1" ref="AY22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"アレルギー")),"")</f>
        <v/>
      </c>
      <c r="AZ22" s="69"/>
      <c r="BA22" s="49"/>
      <c r="BB22" s="66" t="str">
        <f t="array" aca="1" ref="BB22" ca="1">IF(BC17&lt;&gt;"",
IF(OR(INDIRECT("'盛付札（関数）'!FI"&amp;BA17)=121,INDIRECT("'盛付札（関数）'!FI"&amp;BA17)=122,INDIRECT("'盛付札（関数）'!FI"&amp;BA17)=123),"",
"パン箱"),"")</f>
        <v/>
      </c>
      <c r="BC22" s="64" t="str">
        <f t="array" aca="1" ref="BC22" ca="1">IF(BC17&lt;&gt;"",
IF(OR(INDIRECT("'盛付札（関数）'!FI"&amp;BA17)=121,INDIRECT("'盛付札（関数）'!FI"&amp;BA17)=122,INDIRECT("'盛付札（関数）'!FI"&amp;BA17)=123),"",
IF(BB18="△",
INDIRECT("'盛付札（関数）'!FP"&amp;BA17+1),INDIRECT("'盛付札（関数）'!FP"&amp;BA17))),"")</f>
        <v/>
      </c>
      <c r="BD22" s="66" t="str">
        <f t="array" aca="1" ref="BD22" ca="1">IF(BC17&lt;&gt;"",
IF(OR(INDIRECT("'盛付札（関数）'!FI"&amp;BA17)=121,INDIRECT("'盛付札（関数）'!FI"&amp;BA17)=122,INDIRECT("'盛付札（関数）'!FI"&amp;BA17)=123),"",
"端数"),"")</f>
        <v/>
      </c>
      <c r="BE22" s="64"/>
      <c r="BF22" s="66" t="str">
        <f t="array" aca="1" ref="BF22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"アレルギー")),"")</f>
        <v/>
      </c>
      <c r="BG22" s="69"/>
      <c r="BH22" s="49"/>
      <c r="BI22" s="59"/>
      <c r="BJ22" s="66" t="str">
        <f t="array" aca="1" ref="BJ22" ca="1">IF(BK17&lt;&gt;"",
IF(OR(INDIRECT("'盛付札（関数）'!FI"&amp;BI17)=121,INDIRECT("'盛付札（関数）'!FI"&amp;BI17)=122,INDIRECT("'盛付札（関数）'!FI"&amp;BI17)=123),"",
"パン箱"),"")</f>
        <v/>
      </c>
      <c r="BK22" s="64" t="str">
        <f t="array" aca="1" ref="BK22" ca="1">IF(BK17&lt;&gt;"",
IF(OR(INDIRECT("'盛付札（関数）'!FI"&amp;BI17)=121,INDIRECT("'盛付札（関数）'!FI"&amp;BI17)=122,INDIRECT("'盛付札（関数）'!FI"&amp;BI17)=123),"",
IF(BJ18="△",
INDIRECT("'盛付札（関数）'!FP"&amp;BI17+1),INDIRECT("'盛付札（関数）'!FP"&amp;BI17))),"")</f>
        <v/>
      </c>
      <c r="BL22" s="66" t="str">
        <f t="array" aca="1" ref="BL22" ca="1">IF(BK17&lt;&gt;"",
IF(OR(INDIRECT("'盛付札（関数）'!FI"&amp;BI17)=121,INDIRECT("'盛付札（関数）'!FI"&amp;BI17)=122,INDIRECT("'盛付札（関数）'!FI"&amp;BI17)=123),"",
"端数"),"")</f>
        <v/>
      </c>
      <c r="BM22" s="64"/>
      <c r="BN22" s="66" t="str">
        <f t="array" aca="1" ref="BN22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"アレルギー")),"")</f>
        <v/>
      </c>
      <c r="BO22" s="69"/>
      <c r="BP22" s="49"/>
      <c r="BQ22" s="66" t="str">
        <f t="array" aca="1" ref="BQ22" ca="1">IF(BR17&lt;&gt;"",
IF(OR(INDIRECT("'盛付札（関数）'!FI"&amp;BP17)=121,INDIRECT("'盛付札（関数）'!FI"&amp;BP17)=122,INDIRECT("'盛付札（関数）'!FI"&amp;BP17)=123),"",
"パン箱"),"")</f>
        <v/>
      </c>
      <c r="BR22" s="64" t="str">
        <f t="array" aca="1" ref="BR22" ca="1">IF(BR17&lt;&gt;"",
IF(OR(INDIRECT("'盛付札（関数）'!FI"&amp;BP17)=121,INDIRECT("'盛付札（関数）'!FI"&amp;BP17)=122,INDIRECT("'盛付札（関数）'!FI"&amp;BP17)=123),"",
IF(BQ18="△",
INDIRECT("'盛付札（関数）'!FP"&amp;BP17+1),INDIRECT("'盛付札（関数）'!FP"&amp;BP17))),"")</f>
        <v/>
      </c>
      <c r="BS22" s="66" t="str">
        <f t="array" aca="1" ref="BS22" ca="1">IF(BR17&lt;&gt;"",
IF(OR(INDIRECT("'盛付札（関数）'!FI"&amp;BP17)=121,INDIRECT("'盛付札（関数）'!FI"&amp;BP17)=122,INDIRECT("'盛付札（関数）'!FI"&amp;BP17)=123),"",
"端数"),"")</f>
        <v/>
      </c>
      <c r="BT22" s="64"/>
      <c r="BU22" s="66" t="str">
        <f t="array" aca="1" ref="BU22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"アレルギー")),"")</f>
        <v/>
      </c>
      <c r="BV22" s="69"/>
      <c r="BW22" s="49"/>
      <c r="BX22" s="59"/>
      <c r="BY22" s="66" t="str">
        <f t="array" aca="1" ref="BY22" ca="1">IF(BZ17&lt;&gt;"",
IF(OR(INDIRECT("'盛付札（関数）'!FI"&amp;BX17)=121,INDIRECT("'盛付札（関数）'!FI"&amp;BX17)=122,INDIRECT("'盛付札（関数）'!FI"&amp;BX17)=123),"",
"パン箱"),"")</f>
        <v/>
      </c>
      <c r="BZ22" s="64" t="str">
        <f t="array" aca="1" ref="BZ22" ca="1">IF(BZ17&lt;&gt;"",
IF(OR(INDIRECT("'盛付札（関数）'!FI"&amp;BX17)=121,INDIRECT("'盛付札（関数）'!FI"&amp;BX17)=122,INDIRECT("'盛付札（関数）'!FI"&amp;BX17)=123),"",
IF(BY18="△",
INDIRECT("'盛付札（関数）'!FP"&amp;BX17+1),INDIRECT("'盛付札（関数）'!FP"&amp;BX17))),"")</f>
        <v/>
      </c>
      <c r="CA22" s="66" t="str">
        <f t="array" aca="1" ref="CA22" ca="1">IF(BZ17&lt;&gt;"",
IF(OR(INDIRECT("'盛付札（関数）'!FI"&amp;BX17)=121,INDIRECT("'盛付札（関数）'!FI"&amp;BX17)=122,INDIRECT("'盛付札（関数）'!FI"&amp;BX17)=123),"",
"端数"),"")</f>
        <v/>
      </c>
      <c r="CB22" s="64"/>
      <c r="CC22" s="66" t="str">
        <f t="array" aca="1" ref="CC22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"アレルギー")),"")</f>
        <v/>
      </c>
      <c r="CD22" s="69"/>
      <c r="CE22" s="49"/>
      <c r="CF22" s="66" t="str">
        <f t="array" aca="1" ref="CF22" ca="1">IF(CG17&lt;&gt;"",
IF(OR(INDIRECT("'盛付札（関数）'!FI"&amp;CE17)=121,INDIRECT("'盛付札（関数）'!FI"&amp;CE17)=122,INDIRECT("'盛付札（関数）'!FI"&amp;CE17)=123),"",
"パン箱"),"")</f>
        <v/>
      </c>
      <c r="CG22" s="64" t="str">
        <f t="array" aca="1" ref="CG22" ca="1">IF(CG17&lt;&gt;"",
IF(OR(INDIRECT("'盛付札（関数）'!FI"&amp;CE17)=121,INDIRECT("'盛付札（関数）'!FI"&amp;CE17)=122,INDIRECT("'盛付札（関数）'!FI"&amp;CE17)=123),"",
IF(CF18="△",
INDIRECT("'盛付札（関数）'!FP"&amp;CE17+1),INDIRECT("'盛付札（関数）'!FP"&amp;CE17))),"")</f>
        <v/>
      </c>
      <c r="CH22" s="66" t="str">
        <f t="array" aca="1" ref="CH22" ca="1">IF(CG17&lt;&gt;"",
IF(OR(INDIRECT("'盛付札（関数）'!FI"&amp;CE17)=121,INDIRECT("'盛付札（関数）'!FI"&amp;CE17)=122,INDIRECT("'盛付札（関数）'!FI"&amp;CE17)=123),"",
"端数"),"")</f>
        <v/>
      </c>
      <c r="CI22" s="64"/>
      <c r="CJ22" s="66" t="str">
        <f t="array" aca="1" ref="CJ22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"アレルギー")),"")</f>
        <v/>
      </c>
      <c r="CK22" s="69"/>
      <c r="CL22" s="49"/>
      <c r="CM22" s="59"/>
      <c r="CN22" s="66" t="str">
        <f t="array" aca="1" ref="CN22" ca="1">IF(CO17&lt;&gt;"",
IF(OR(INDIRECT("'盛付札（関数）'!FI"&amp;CM17)=121,INDIRECT("'盛付札（関数）'!FI"&amp;CM17)=122,INDIRECT("'盛付札（関数）'!FI"&amp;CM17)=123),"",
"パン箱"),"")</f>
        <v/>
      </c>
      <c r="CO22" s="64" t="str">
        <f t="array" aca="1" ref="CO22" ca="1">IF(CO17&lt;&gt;"",
IF(OR(INDIRECT("'盛付札（関数）'!FI"&amp;CM17)=121,INDIRECT("'盛付札（関数）'!FI"&amp;CM17)=122,INDIRECT("'盛付札（関数）'!FI"&amp;CM17)=123),"",
IF(CN18="△",
INDIRECT("'盛付札（関数）'!FP"&amp;CM17+1),INDIRECT("'盛付札（関数）'!FP"&amp;CM17))),"")</f>
        <v/>
      </c>
      <c r="CP22" s="66" t="str">
        <f t="array" aca="1" ref="CP22" ca="1">IF(CO17&lt;&gt;"",
IF(OR(INDIRECT("'盛付札（関数）'!FI"&amp;CM17)=121,INDIRECT("'盛付札（関数）'!FI"&amp;CM17)=122,INDIRECT("'盛付札（関数）'!FI"&amp;CM17)=123),"",
"端数"),"")</f>
        <v/>
      </c>
      <c r="CQ22" s="64"/>
      <c r="CR22" s="66" t="str">
        <f t="array" aca="1" ref="CR22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"アレルギー")),"")</f>
        <v/>
      </c>
      <c r="CS22" s="69"/>
      <c r="CT22" s="49"/>
      <c r="CU22" s="66" t="str">
        <f t="array" aca="1" ref="CU22" ca="1">IF(CV17&lt;&gt;"",
IF(OR(INDIRECT("'盛付札（関数）'!FI"&amp;CT17)=121,INDIRECT("'盛付札（関数）'!FI"&amp;CT17)=122,INDIRECT("'盛付札（関数）'!FI"&amp;CT17)=123),"",
"パン箱"),"")</f>
        <v/>
      </c>
      <c r="CV22" s="64" t="str">
        <f t="array" aca="1" ref="CV22" ca="1">IF(CV17&lt;&gt;"",
IF(OR(INDIRECT("'盛付札（関数）'!FI"&amp;CT17)=121,INDIRECT("'盛付札（関数）'!FI"&amp;CT17)=122,INDIRECT("'盛付札（関数）'!FI"&amp;CT17)=123),"",
IF(CU18="△",
INDIRECT("'盛付札（関数）'!FP"&amp;CT17+1),INDIRECT("'盛付札（関数）'!FP"&amp;CT17))),"")</f>
        <v/>
      </c>
      <c r="CW22" s="66" t="str">
        <f t="array" aca="1" ref="CW22" ca="1">IF(CV17&lt;&gt;"",
IF(OR(INDIRECT("'盛付札（関数）'!FI"&amp;CT17)=121,INDIRECT("'盛付札（関数）'!FI"&amp;CT17)=122,INDIRECT("'盛付札（関数）'!FI"&amp;CT17)=123),"",
"端数"),"")</f>
        <v/>
      </c>
      <c r="CX22" s="64"/>
      <c r="CY22" s="66" t="str">
        <f t="array" aca="1" ref="CY22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"アレルギー")),"")</f>
        <v/>
      </c>
      <c r="CZ22" s="69"/>
      <c r="DA22" s="49"/>
      <c r="DB22" s="59"/>
      <c r="DC22" s="66" t="str">
        <f t="array" aca="1" ref="DC22" ca="1">IF(DD17&lt;&gt;"",
IF(OR(INDIRECT("'盛付札（関数）'!FI"&amp;DB17)=121,INDIRECT("'盛付札（関数）'!FI"&amp;DB17)=122,INDIRECT("'盛付札（関数）'!FI"&amp;DB17)=123),"",
"パン箱"),"")</f>
        <v/>
      </c>
      <c r="DD22" s="64" t="str">
        <f t="array" aca="1" ref="DD22" ca="1">IF(DD17&lt;&gt;"",
IF(OR(INDIRECT("'盛付札（関数）'!FI"&amp;DB17)=121,INDIRECT("'盛付札（関数）'!FI"&amp;DB17)=122,INDIRECT("'盛付札（関数）'!FI"&amp;DB17)=123),"",
IF(DC18="△",
INDIRECT("'盛付札（関数）'!FP"&amp;DB17+1),INDIRECT("'盛付札（関数）'!FP"&amp;DB17))),"")</f>
        <v/>
      </c>
      <c r="DE22" s="66" t="str">
        <f t="array" aca="1" ref="DE22" ca="1">IF(DD17&lt;&gt;"",
IF(OR(INDIRECT("'盛付札（関数）'!FI"&amp;DB17)=121,INDIRECT("'盛付札（関数）'!FI"&amp;DB17)=122,INDIRECT("'盛付札（関数）'!FI"&amp;DB17)=123),"",
"端数"),"")</f>
        <v/>
      </c>
      <c r="DF22" s="64"/>
      <c r="DG22" s="66" t="str">
        <f t="array" aca="1" ref="DG22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"アレルギー")),"")</f>
        <v/>
      </c>
      <c r="DH22" s="69"/>
      <c r="DI22" s="49"/>
      <c r="DJ22" s="66" t="str">
        <f t="array" aca="1" ref="DJ22" ca="1">IF(DK17&lt;&gt;"",
IF(OR(INDIRECT("'盛付札（関数）'!FI"&amp;DI17)=121,INDIRECT("'盛付札（関数）'!FI"&amp;DI17)=122,INDIRECT("'盛付札（関数）'!FI"&amp;DI17)=123),"",
"パン箱"),"")</f>
        <v/>
      </c>
      <c r="DK22" s="64" t="str">
        <f t="array" aca="1" ref="DK22" ca="1">IF(DK17&lt;&gt;"",
IF(OR(INDIRECT("'盛付札（関数）'!FI"&amp;DI17)=121,INDIRECT("'盛付札（関数）'!FI"&amp;DI17)=122,INDIRECT("'盛付札（関数）'!FI"&amp;DI17)=123),"",
IF(DJ18="△",
INDIRECT("'盛付札（関数）'!FP"&amp;DI17+1),INDIRECT("'盛付札（関数）'!FP"&amp;DI17))),"")</f>
        <v/>
      </c>
      <c r="DL22" s="66" t="str">
        <f t="array" aca="1" ref="DL22" ca="1">IF(DK17&lt;&gt;"",
IF(OR(INDIRECT("'盛付札（関数）'!FI"&amp;DI17)=121,INDIRECT("'盛付札（関数）'!FI"&amp;DI17)=122,INDIRECT("'盛付札（関数）'!FI"&amp;DI17)=123),"",
"端数"),"")</f>
        <v/>
      </c>
      <c r="DM22" s="64"/>
      <c r="DN22" s="66" t="str">
        <f t="array" aca="1" ref="DN22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"アレルギー")),"")</f>
        <v/>
      </c>
      <c r="DO22" s="69"/>
      <c r="DP22" s="49"/>
      <c r="DQ22" s="59"/>
      <c r="DR22" s="66" t="str">
        <f t="array" aca="1" ref="DR22" ca="1">IF(DS17&lt;&gt;"",
IF(OR(INDIRECT("'盛付札（関数）'!FI"&amp;DQ17)=121,INDIRECT("'盛付札（関数）'!FI"&amp;DQ17)=122,INDIRECT("'盛付札（関数）'!FI"&amp;DQ17)=123),"",
"パン箱"),"")</f>
        <v/>
      </c>
      <c r="DS22" s="64" t="str">
        <f t="array" aca="1" ref="DS22" ca="1">IF(DS17&lt;&gt;"",
IF(OR(INDIRECT("'盛付札（関数）'!FI"&amp;DQ17)=121,INDIRECT("'盛付札（関数）'!FI"&amp;DQ17)=122,INDIRECT("'盛付札（関数）'!FI"&amp;DQ17)=123),"",
IF(DR18="△",
INDIRECT("'盛付札（関数）'!FP"&amp;DQ17+1),INDIRECT("'盛付札（関数）'!FP"&amp;DQ17))),"")</f>
        <v/>
      </c>
      <c r="DT22" s="66" t="str">
        <f t="array" aca="1" ref="DT22" ca="1">IF(DS17&lt;&gt;"",
IF(OR(INDIRECT("'盛付札（関数）'!FI"&amp;DQ17)=121,INDIRECT("'盛付札（関数）'!FI"&amp;DQ17)=122,INDIRECT("'盛付札（関数）'!FI"&amp;DQ17)=123),"",
"端数"),"")</f>
        <v/>
      </c>
      <c r="DU22" s="64"/>
      <c r="DV22" s="66" t="str">
        <f t="array" aca="1" ref="DV22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"アレルギー")),"")</f>
        <v/>
      </c>
      <c r="DW22" s="69"/>
      <c r="DX22" s="49"/>
      <c r="DY22" s="66" t="str">
        <f t="array" aca="1" ref="DY22" ca="1">IF(DZ17&lt;&gt;"",
IF(OR(INDIRECT("'盛付札（関数）'!FI"&amp;DX17)=121,INDIRECT("'盛付札（関数）'!FI"&amp;DX17)=122,INDIRECT("'盛付札（関数）'!FI"&amp;DX17)=123),"",
"パン箱"),"")</f>
        <v/>
      </c>
      <c r="DZ22" s="64" t="str">
        <f t="array" aca="1" ref="DZ22" ca="1">IF(DZ17&lt;&gt;"",
IF(OR(INDIRECT("'盛付札（関数）'!FI"&amp;DX17)=121,INDIRECT("'盛付札（関数）'!FI"&amp;DX17)=122,INDIRECT("'盛付札（関数）'!FI"&amp;DX17)=123),"",
IF(DY18="△",
INDIRECT("'盛付札（関数）'!FP"&amp;DX17+1),INDIRECT("'盛付札（関数）'!FP"&amp;DX17))),"")</f>
        <v/>
      </c>
      <c r="EA22" s="66" t="str">
        <f t="array" aca="1" ref="EA22" ca="1">IF(DZ17&lt;&gt;"",
IF(OR(INDIRECT("'盛付札（関数）'!FI"&amp;DX17)=121,INDIRECT("'盛付札（関数）'!FI"&amp;DX17)=122,INDIRECT("'盛付札（関数）'!FI"&amp;DX17)=123),"",
"端数"),"")</f>
        <v/>
      </c>
      <c r="EB22" s="64"/>
      <c r="EC22" s="66" t="str">
        <f t="array" aca="1" ref="EC22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"アレルギー")),"")</f>
        <v/>
      </c>
      <c r="ED22" s="69"/>
      <c r="EE22" s="49"/>
      <c r="EF22" s="59"/>
      <c r="EG22" s="66" t="str">
        <f t="array" aca="1" ref="EG22" ca="1">IF(EH17&lt;&gt;"",
IF(OR(INDIRECT("'盛付札（関数）'!FI"&amp;EF17)=121,INDIRECT("'盛付札（関数）'!FI"&amp;EF17)=122,INDIRECT("'盛付札（関数）'!FI"&amp;EF17)=123),"",
"パン箱"),"")</f>
        <v/>
      </c>
      <c r="EH22" s="64" t="str">
        <f t="array" aca="1" ref="EH22" ca="1">IF(EH17&lt;&gt;"",
IF(OR(INDIRECT("'盛付札（関数）'!FI"&amp;EF17)=121,INDIRECT("'盛付札（関数）'!FI"&amp;EF17)=122,INDIRECT("'盛付札（関数）'!FI"&amp;EF17)=123),"",
IF(EG18="△",
INDIRECT("'盛付札（関数）'!FP"&amp;EF17+1),INDIRECT("'盛付札（関数）'!FP"&amp;EF17))),"")</f>
        <v/>
      </c>
      <c r="EI22" s="66" t="str">
        <f t="array" aca="1" ref="EI22" ca="1">IF(EH17&lt;&gt;"",
IF(OR(INDIRECT("'盛付札（関数）'!FI"&amp;EF17)=121,INDIRECT("'盛付札（関数）'!FI"&amp;EF17)=122,INDIRECT("'盛付札（関数）'!FI"&amp;EF17)=123),"",
"端数"),"")</f>
        <v/>
      </c>
      <c r="EJ22" s="64"/>
      <c r="EK22" s="66" t="str">
        <f t="array" aca="1" ref="EK22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"アレルギー")),"")</f>
        <v/>
      </c>
      <c r="EL22" s="69"/>
      <c r="EM22" s="49"/>
      <c r="EN22" s="66" t="str">
        <f t="array" aca="1" ref="EN22" ca="1">IF(EO17&lt;&gt;"",
IF(OR(INDIRECT("'盛付札（関数）'!FI"&amp;EM17)=121,INDIRECT("'盛付札（関数）'!FI"&amp;EM17)=122,INDIRECT("'盛付札（関数）'!FI"&amp;EM17)=123),"",
"パン箱"),"")</f>
        <v/>
      </c>
      <c r="EO22" s="64" t="str">
        <f t="array" aca="1" ref="EO22" ca="1">IF(EO17&lt;&gt;"",
IF(OR(INDIRECT("'盛付札（関数）'!FI"&amp;EM17)=121,INDIRECT("'盛付札（関数）'!FI"&amp;EM17)=122,INDIRECT("'盛付札（関数）'!FI"&amp;EM17)=123),"",
IF(EN18="△",
INDIRECT("'盛付札（関数）'!FP"&amp;EM17+1),INDIRECT("'盛付札（関数）'!FP"&amp;EM17))),"")</f>
        <v/>
      </c>
      <c r="EP22" s="66" t="str">
        <f t="array" aca="1" ref="EP22" ca="1">IF(EO17&lt;&gt;"",
IF(OR(INDIRECT("'盛付札（関数）'!FI"&amp;EM17)=121,INDIRECT("'盛付札（関数）'!FI"&amp;EM17)=122,INDIRECT("'盛付札（関数）'!FI"&amp;EM17)=123),"",
"端数"),"")</f>
        <v/>
      </c>
      <c r="EQ22" s="64"/>
      <c r="ER22" s="66" t="str">
        <f t="array" aca="1" ref="ER22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"アレルギー")),"")</f>
        <v/>
      </c>
      <c r="ES22" s="69"/>
      <c r="ET22" s="49"/>
    </row>
    <row r="23" spans="1:150" ht="27.6" customHeight="1" x14ac:dyDescent="0.45">
      <c r="B23" s="196">
        <f ca="1">IF(C20&lt;&gt;"",
IFERROR(INT(C20/C22),""),"")</f>
        <v>30</v>
      </c>
      <c r="C23" s="195"/>
      <c r="D23" s="196">
        <f ca="1">IFERROR(MOD(C20,C22),"")</f>
        <v>0</v>
      </c>
      <c r="E23" s="195"/>
      <c r="F23" s="194" t="str">
        <f t="array" aca="1" ref="F23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IF(B18="●",
IFERROR(INDIRECT("'盛付札（関数）'!FS"&amp;A17)+INDIRECT("'盛付札（関数）'!FS"&amp;A17+1),0),
IF(B18="△",
INDIRECT("'盛付札（関数）'!FS"&amp;A17+1),INDIRECT("'盛付札（関数）'!FS"&amp;A17))))),"")</f>
        <v/>
      </c>
      <c r="G23" s="195"/>
      <c r="I23" s="196">
        <f ca="1">IF(J20&lt;&gt;"",
IFERROR(INT(J20/J22),""),"")</f>
        <v>-31</v>
      </c>
      <c r="J23" s="195"/>
      <c r="K23" s="196">
        <f ca="1">IFERROR(MOD(J20,J22),"")</f>
        <v>5</v>
      </c>
      <c r="L23" s="195"/>
      <c r="M23" s="194" t="str">
        <f t="array" aca="1" ref="M23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IF(I18="●",
IFERROR(INDIRECT("'盛付札（関数）'!FS"&amp;H17)+INDIRECT("'盛付札（関数）'!FS"&amp;H17+1),0),
IF(I18="△",
INDIRECT("'盛付札（関数）'!FS"&amp;H17+1),INDIRECT("'盛付札（関数）'!FS"&amp;H17))))),"")</f>
        <v/>
      </c>
      <c r="N23" s="195"/>
      <c r="Q23" s="196" t="str">
        <f ca="1">IF(R20&lt;&gt;"",
IFERROR(INT(R20/R22),""),"")</f>
        <v/>
      </c>
      <c r="R23" s="195"/>
      <c r="S23" s="196" t="str">
        <f ca="1">IFERROR(MOD(R20,R22),"")</f>
        <v/>
      </c>
      <c r="T23" s="195"/>
      <c r="U23" s="194" t="str">
        <f t="array" aca="1" ref="U23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IF(Q18="●",
IFERROR(INDIRECT("'盛付札（関数）'!FS"&amp;P17)+INDIRECT("'盛付札（関数）'!FS"&amp;P17+1),0),
IF(Q18="△",
INDIRECT("'盛付札（関数）'!FS"&amp;P17+1),INDIRECT("'盛付札（関数）'!FS"&amp;P17))))),"")</f>
        <v/>
      </c>
      <c r="V23" s="195"/>
      <c r="X23" s="196" t="str">
        <f ca="1">IF(Y20&lt;&gt;"",
IFERROR(INT(Y20/Y22),""),"")</f>
        <v/>
      </c>
      <c r="Y23" s="195"/>
      <c r="Z23" s="196" t="str">
        <f ca="1">IFERROR(MOD(Y20,Y22),"")</f>
        <v/>
      </c>
      <c r="AA23" s="195"/>
      <c r="AB23" s="194" t="str">
        <f t="array" aca="1" ref="AB23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IF(X18="●",
IFERROR(INDIRECT("'盛付札（関数）'!FS"&amp;W17)+INDIRECT("'盛付札（関数）'!FS"&amp;W17+1),0),
IF(X18="△",
INDIRECT("'盛付札（関数）'!FS"&amp;W17+1),INDIRECT("'盛付札（関数）'!FS"&amp;W17))))),"")</f>
        <v/>
      </c>
      <c r="AC23" s="195"/>
      <c r="AF23" s="196" t="str">
        <f ca="1">IF(AG20&lt;&gt;"",
IFERROR(INT(AG20/AG22),""),"")</f>
        <v/>
      </c>
      <c r="AG23" s="195"/>
      <c r="AH23" s="196" t="str">
        <f ca="1">IFERROR(MOD(AG20,AG22),"")</f>
        <v/>
      </c>
      <c r="AI23" s="195"/>
      <c r="AJ23" s="194" t="str">
        <f t="array" aca="1" ref="AJ23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IF(AF18="●",
IFERROR(INDIRECT("'盛付札（関数）'!FS"&amp;AE17)+INDIRECT("'盛付札（関数）'!FS"&amp;AE17+1),0),
IF(AF18="△",
INDIRECT("'盛付札（関数）'!FS"&amp;AE17+1),INDIRECT("'盛付札（関数）'!FS"&amp;AE17))))),"")</f>
        <v/>
      </c>
      <c r="AK23" s="195"/>
      <c r="AM23" s="196" t="str">
        <f ca="1">IF(AN20&lt;&gt;"",
IFERROR(INT(AN20/AN22),""),"")</f>
        <v/>
      </c>
      <c r="AN23" s="195"/>
      <c r="AO23" s="196" t="str">
        <f ca="1">IFERROR(MOD(AN20,AN22),"")</f>
        <v/>
      </c>
      <c r="AP23" s="195"/>
      <c r="AQ23" s="194" t="str">
        <f t="array" aca="1" ref="AQ23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IF(AM18="●",
IFERROR(INDIRECT("'盛付札（関数）'!FS"&amp;AL17)+INDIRECT("'盛付札（関数）'!FS"&amp;AL17+1),0),
IF(AM18="△",
INDIRECT("'盛付札（関数）'!FS"&amp;AL17+1),INDIRECT("'盛付札（関数）'!FS"&amp;AL17))))),"")</f>
        <v/>
      </c>
      <c r="AR23" s="195"/>
      <c r="AU23" s="196" t="str">
        <f ca="1">IF(AV20&lt;&gt;"",
IFERROR(INT(AV20/AV22),""),"")</f>
        <v/>
      </c>
      <c r="AV23" s="195"/>
      <c r="AW23" s="196" t="str">
        <f ca="1">IFERROR(MOD(AV20,AV22),"")</f>
        <v/>
      </c>
      <c r="AX23" s="195"/>
      <c r="AY23" s="194" t="str">
        <f t="array" aca="1" ref="AY23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IF(AU18="●",
IFERROR(INDIRECT("'盛付札（関数）'!FS"&amp;AT17)+INDIRECT("'盛付札（関数）'!FS"&amp;AT17+1),0),
IF(AU18="△",
INDIRECT("'盛付札（関数）'!FS"&amp;AT17+1),INDIRECT("'盛付札（関数）'!FS"&amp;AT17))))),"")</f>
        <v/>
      </c>
      <c r="AZ23" s="195"/>
      <c r="BB23" s="196" t="str">
        <f ca="1">IF(BC20&lt;&gt;"",
IFERROR(INT(BC20/BC22),""),"")</f>
        <v/>
      </c>
      <c r="BC23" s="195"/>
      <c r="BD23" s="196" t="str">
        <f ca="1">IFERROR(MOD(BC20,BC22),"")</f>
        <v/>
      </c>
      <c r="BE23" s="195"/>
      <c r="BF23" s="194" t="str">
        <f t="array" aca="1" ref="BF23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IF(BB18="●",
IFERROR(INDIRECT("'盛付札（関数）'!FS"&amp;BA17)+INDIRECT("'盛付札（関数）'!FS"&amp;BA17+1),0),
IF(BB18="△",
INDIRECT("'盛付札（関数）'!FS"&amp;BA17+1),INDIRECT("'盛付札（関数）'!FS"&amp;BA17))))),"")</f>
        <v/>
      </c>
      <c r="BG23" s="195"/>
      <c r="BJ23" s="196" t="str">
        <f ca="1">IF(BK20&lt;&gt;"",
IFERROR(INT(BK20/BK22),""),"")</f>
        <v/>
      </c>
      <c r="BK23" s="195"/>
      <c r="BL23" s="196" t="str">
        <f ca="1">IFERROR(MOD(BK20,BK22),"")</f>
        <v/>
      </c>
      <c r="BM23" s="195"/>
      <c r="BN23" s="194" t="str">
        <f t="array" aca="1" ref="BN23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IF(BJ18="●",
IFERROR(INDIRECT("'盛付札（関数）'!FS"&amp;BI17)+INDIRECT("'盛付札（関数）'!FS"&amp;BI17+1),0),
IF(BJ18="△",
INDIRECT("'盛付札（関数）'!FS"&amp;BI17+1),INDIRECT("'盛付札（関数）'!FS"&amp;BI17))))),"")</f>
        <v/>
      </c>
      <c r="BO23" s="195"/>
      <c r="BQ23" s="196" t="str">
        <f ca="1">IF(BR20&lt;&gt;"",
IFERROR(INT(BR20/BR22),""),"")</f>
        <v/>
      </c>
      <c r="BR23" s="195"/>
      <c r="BS23" s="196" t="str">
        <f ca="1">IFERROR(MOD(BR20,BR22),"")</f>
        <v/>
      </c>
      <c r="BT23" s="195"/>
      <c r="BU23" s="194" t="str">
        <f t="array" aca="1" ref="BU23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IF(BQ18="●",
IFERROR(INDIRECT("'盛付札（関数）'!FS"&amp;BP17)+INDIRECT("'盛付札（関数）'!FS"&amp;BP17+1),0),
IF(BQ18="△",
INDIRECT("'盛付札（関数）'!FS"&amp;BP17+1),INDIRECT("'盛付札（関数）'!FS"&amp;BP17))))),"")</f>
        <v/>
      </c>
      <c r="BV23" s="195"/>
      <c r="BY23" s="196" t="str">
        <f ca="1">IF(BZ20&lt;&gt;"",
IFERROR(INT(BZ20/BZ22),""),"")</f>
        <v/>
      </c>
      <c r="BZ23" s="195"/>
      <c r="CA23" s="196" t="str">
        <f ca="1">IFERROR(MOD(BZ20,BZ22),"")</f>
        <v/>
      </c>
      <c r="CB23" s="195"/>
      <c r="CC23" s="194" t="str">
        <f t="array" aca="1" ref="CC23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IF(BY18="●",
IFERROR(INDIRECT("'盛付札（関数）'!FS"&amp;BX17)+INDIRECT("'盛付札（関数）'!FS"&amp;BX17+1),0),
IF(BY18="△",
INDIRECT("'盛付札（関数）'!FS"&amp;BX17+1),INDIRECT("'盛付札（関数）'!FS"&amp;BX17))))),"")</f>
        <v/>
      </c>
      <c r="CD23" s="195"/>
      <c r="CF23" s="196" t="str">
        <f ca="1">IF(CG20&lt;&gt;"",
IFERROR(INT(CG20/CG22),""),"")</f>
        <v/>
      </c>
      <c r="CG23" s="195"/>
      <c r="CH23" s="196" t="str">
        <f ca="1">IFERROR(MOD(CG20,CG22),"")</f>
        <v/>
      </c>
      <c r="CI23" s="195"/>
      <c r="CJ23" s="194" t="str">
        <f t="array" aca="1" ref="CJ23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IF(CF18="●",
IFERROR(INDIRECT("'盛付札（関数）'!FS"&amp;CE17)+INDIRECT("'盛付札（関数）'!FS"&amp;CE17+1),0),
IF(CF18="△",
INDIRECT("'盛付札（関数）'!FS"&amp;CE17+1),INDIRECT("'盛付札（関数）'!FS"&amp;CE17))))),"")</f>
        <v/>
      </c>
      <c r="CK23" s="195"/>
      <c r="CN23" s="196" t="str">
        <f ca="1">IF(CO20&lt;&gt;"",
IFERROR(INT(CO20/CO22),""),"")</f>
        <v/>
      </c>
      <c r="CO23" s="195"/>
      <c r="CP23" s="196" t="str">
        <f ca="1">IFERROR(MOD(CO20,CO22),"")</f>
        <v/>
      </c>
      <c r="CQ23" s="195"/>
      <c r="CR23" s="194" t="str">
        <f t="array" aca="1" ref="CR23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IF(CN18="●",
IFERROR(INDIRECT("'盛付札（関数）'!FS"&amp;CM17)+INDIRECT("'盛付札（関数）'!FS"&amp;CM17+1),0),
IF(CN18="△",
INDIRECT("'盛付札（関数）'!FS"&amp;CM17+1),INDIRECT("'盛付札（関数）'!FS"&amp;CM17))))),"")</f>
        <v/>
      </c>
      <c r="CS23" s="195"/>
      <c r="CU23" s="196" t="str">
        <f ca="1">IF(CV20&lt;&gt;"",
IFERROR(INT(CV20/CV22),""),"")</f>
        <v/>
      </c>
      <c r="CV23" s="195"/>
      <c r="CW23" s="196" t="str">
        <f ca="1">IFERROR(MOD(CV20,CV22),"")</f>
        <v/>
      </c>
      <c r="CX23" s="195"/>
      <c r="CY23" s="194" t="str">
        <f t="array" aca="1" ref="CY23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IF(CU18="●",
IFERROR(INDIRECT("'盛付札（関数）'!FS"&amp;CT17)+INDIRECT("'盛付札（関数）'!FS"&amp;CT17+1),0),
IF(CU18="△",
INDIRECT("'盛付札（関数）'!FS"&amp;CT17+1),INDIRECT("'盛付札（関数）'!FS"&amp;CT17))))),"")</f>
        <v/>
      </c>
      <c r="CZ23" s="195"/>
      <c r="DC23" s="196" t="str">
        <f ca="1">IF(DD20&lt;&gt;"",
IFERROR(INT(DD20/DD22),""),"")</f>
        <v/>
      </c>
      <c r="DD23" s="195"/>
      <c r="DE23" s="196" t="str">
        <f ca="1">IFERROR(MOD(DD20,DD22),"")</f>
        <v/>
      </c>
      <c r="DF23" s="195"/>
      <c r="DG23" s="194" t="str">
        <f t="array" aca="1" ref="DG23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IF(DC18="●",
IFERROR(INDIRECT("'盛付札（関数）'!FS"&amp;DB17)+INDIRECT("'盛付札（関数）'!FS"&amp;DB17+1),0),
IF(DC18="△",
INDIRECT("'盛付札（関数）'!FS"&amp;DB17+1),INDIRECT("'盛付札（関数）'!FS"&amp;DB17))))),"")</f>
        <v/>
      </c>
      <c r="DH23" s="195"/>
      <c r="DJ23" s="196" t="str">
        <f ca="1">IF(DK20&lt;&gt;"",
IFERROR(INT(DK20/DK22),""),"")</f>
        <v/>
      </c>
      <c r="DK23" s="195"/>
      <c r="DL23" s="196" t="str">
        <f ca="1">IFERROR(MOD(DK20,DK22),"")</f>
        <v/>
      </c>
      <c r="DM23" s="195"/>
      <c r="DN23" s="194" t="str">
        <f t="array" aca="1" ref="DN23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IF(DJ18="●",
IFERROR(INDIRECT("'盛付札（関数）'!FS"&amp;DI17)+INDIRECT("'盛付札（関数）'!FS"&amp;DI17+1),0),
IF(DJ18="△",
INDIRECT("'盛付札（関数）'!FS"&amp;DI17+1),INDIRECT("'盛付札（関数）'!FS"&amp;DI17))))),"")</f>
        <v/>
      </c>
      <c r="DO23" s="195"/>
      <c r="DR23" s="196" t="str">
        <f ca="1">IF(DS20&lt;&gt;"",
IFERROR(INT(DS20/DS22),""),"")</f>
        <v/>
      </c>
      <c r="DS23" s="195"/>
      <c r="DT23" s="196" t="str">
        <f ca="1">IFERROR(MOD(DS20,DS22),"")</f>
        <v/>
      </c>
      <c r="DU23" s="195"/>
      <c r="DV23" s="194" t="str">
        <f t="array" aca="1" ref="DV23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IF(DR18="●",
IFERROR(INDIRECT("'盛付札（関数）'!FS"&amp;DQ17)+INDIRECT("'盛付札（関数）'!FS"&amp;DQ17+1),0),
IF(DR18="△",
INDIRECT("'盛付札（関数）'!FS"&amp;DQ17+1),INDIRECT("'盛付札（関数）'!FS"&amp;DQ17))))),"")</f>
        <v/>
      </c>
      <c r="DW23" s="195"/>
      <c r="DY23" s="196" t="str">
        <f ca="1">IF(DZ20&lt;&gt;"",
IFERROR(INT(DZ20/DZ22),""),"")</f>
        <v/>
      </c>
      <c r="DZ23" s="195"/>
      <c r="EA23" s="196" t="str">
        <f ca="1">IFERROR(MOD(DZ20,DZ22),"")</f>
        <v/>
      </c>
      <c r="EB23" s="195"/>
      <c r="EC23" s="194" t="str">
        <f t="array" aca="1" ref="EC23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IF(DY18="●",
IFERROR(INDIRECT("'盛付札（関数）'!FS"&amp;DX17)+INDIRECT("'盛付札（関数）'!FS"&amp;DX17+1),0),
IF(DY18="△",
INDIRECT("'盛付札（関数）'!FS"&amp;DX17+1),INDIRECT("'盛付札（関数）'!FS"&amp;DX17))))),"")</f>
        <v/>
      </c>
      <c r="ED23" s="195"/>
      <c r="EG23" s="196" t="str">
        <f ca="1">IF(EH20&lt;&gt;"",
IFERROR(INT(EH20/EH22),""),"")</f>
        <v/>
      </c>
      <c r="EH23" s="195"/>
      <c r="EI23" s="196" t="str">
        <f ca="1">IFERROR(MOD(EH20,EH22),"")</f>
        <v/>
      </c>
      <c r="EJ23" s="195"/>
      <c r="EK23" s="194" t="str">
        <f t="array" aca="1" ref="EK23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IF(EG18="●",
IFERROR(INDIRECT("'盛付札（関数）'!FS"&amp;EF17)+INDIRECT("'盛付札（関数）'!FS"&amp;EF17+1),0),
IF(EG18="△",
INDIRECT("'盛付札（関数）'!FS"&amp;EF17+1),INDIRECT("'盛付札（関数）'!FS"&amp;EF17))))),"")</f>
        <v/>
      </c>
      <c r="EL23" s="195"/>
      <c r="EN23" s="196" t="str">
        <f ca="1">IF(EO20&lt;&gt;"",
IFERROR(INT(EO20/EO22),""),"")</f>
        <v/>
      </c>
      <c r="EO23" s="195"/>
      <c r="EP23" s="196" t="str">
        <f ca="1">IFERROR(MOD(EO20,EO22),"")</f>
        <v/>
      </c>
      <c r="EQ23" s="195"/>
      <c r="ER23" s="194" t="str">
        <f t="array" aca="1" ref="ER23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IF(EN18="●",
IFERROR(INDIRECT("'盛付札（関数）'!FS"&amp;EM17)+INDIRECT("'盛付札（関数）'!FS"&amp;EM17+1),0),
IF(EN18="△",
INDIRECT("'盛付札（関数）'!FS"&amp;EM17+1),INDIRECT("'盛付札（関数）'!FS"&amp;EM17))))),"")</f>
        <v/>
      </c>
      <c r="ES23" s="195"/>
    </row>
    <row r="24" spans="1:150" ht="6.6" customHeight="1" x14ac:dyDescent="0.55000000000000004">
      <c r="B24" s="74"/>
      <c r="D24" s="74"/>
      <c r="F24" s="75"/>
      <c r="I24" s="74"/>
      <c r="K24" s="74"/>
      <c r="M24" s="75"/>
      <c r="Q24" s="74"/>
      <c r="S24" s="74"/>
      <c r="U24" s="75"/>
      <c r="X24" s="74"/>
      <c r="Z24" s="74"/>
      <c r="AB24" s="75"/>
      <c r="AF24" s="74"/>
      <c r="AH24" s="74"/>
      <c r="AJ24" s="75"/>
      <c r="AM24" s="74"/>
      <c r="AO24" s="74"/>
      <c r="AQ24" s="75"/>
      <c r="AU24" s="74"/>
      <c r="AW24" s="74"/>
      <c r="AY24" s="75"/>
      <c r="BB24" s="74"/>
      <c r="BD24" s="74"/>
      <c r="BF24" s="75"/>
      <c r="BJ24" s="74"/>
      <c r="BL24" s="74"/>
      <c r="BN24" s="75"/>
      <c r="BQ24" s="74"/>
      <c r="BS24" s="74"/>
      <c r="BU24" s="75"/>
      <c r="BY24" s="74"/>
      <c r="CA24" s="74"/>
      <c r="CC24" s="75"/>
      <c r="CF24" s="74"/>
      <c r="CH24" s="74"/>
      <c r="CJ24" s="75"/>
      <c r="CN24" s="74"/>
      <c r="CP24" s="74"/>
      <c r="CR24" s="75"/>
      <c r="CU24" s="74"/>
      <c r="CW24" s="74"/>
      <c r="CY24" s="75"/>
      <c r="DC24" s="74"/>
      <c r="DE24" s="74"/>
      <c r="DG24" s="75"/>
      <c r="DJ24" s="74"/>
      <c r="DL24" s="74"/>
      <c r="DN24" s="75"/>
      <c r="DR24" s="74"/>
      <c r="DT24" s="74"/>
      <c r="DV24" s="75"/>
      <c r="DY24" s="74"/>
      <c r="EA24" s="74"/>
      <c r="EC24" s="75"/>
      <c r="EG24" s="74"/>
      <c r="EI24" s="74"/>
      <c r="EK24" s="75"/>
      <c r="EN24" s="74"/>
      <c r="EP24" s="74"/>
      <c r="ER24" s="75"/>
    </row>
    <row r="25" spans="1:150" s="60" customFormat="1" ht="25.8" customHeight="1" x14ac:dyDescent="0.55000000000000004">
      <c r="A25" s="59">
        <f ca="1">IF(OR(I18="●",I18="△"),
H17+2,H17+1)</f>
        <v>7</v>
      </c>
      <c r="B25" s="72" t="str">
        <f ca="1">IF(C25&lt;&gt;"",
MID(貼り付け用!$A$2, FIND("年",貼り付け用!$A$2)+1,2)&amp;"/"&amp;MID(貼り付け用!$A$2, FIND("月",貼り付け用!$A$2)+1,2),"")</f>
        <v>06/18</v>
      </c>
      <c r="C25" s="202" t="str">
        <f t="array" aca="1" ref="C25" ca="1">SUBSTITUTE(SUBSTITUTE(SUBSTITUTE(SUBSTITUTE(SUBSTITUTE(SUBSTITUTE(SUBSTITUTE(SUBSTITUTE(SUBSTITUTE(SUBSTITUTE(
IF(B26="△",
INDIRECT("'盛付札（関数）'!FJ"&amp;A25+1),INDIRECT("'盛付札（関数）'!FJ"&amp;A25)),"①",""),"②",""),"③",""),"④",""),"⑤",""),"⑥",""),"⑦",""),"⑧",""),"⑨",""),"⑩","")</f>
        <v>社食</v>
      </c>
      <c r="D25" s="203"/>
      <c r="E25" s="203"/>
      <c r="F25" s="203"/>
      <c r="G25" s="71" t="str">
        <f t="array" aca="1" ref="G25" ca="1">IF(C25&lt;&gt;"",
IF(AND(INDIRECT("'盛付札（関数）'!FI"&amp;A25)&gt;=124,INDIRECT("'盛付札（関数）'!FI"&amp;A25)&lt;=144),"",
"様"),"")</f>
        <v>様</v>
      </c>
      <c r="H25" s="65">
        <f ca="1">IF(OR(B26="●",B26="△"),
A25+2,A25+1)</f>
        <v>8</v>
      </c>
      <c r="I25" s="72" t="str">
        <f ca="1">IF(J25&lt;&gt;"",
MID(貼り付け用!$A$2, FIND("年",貼り付け用!$A$2)+1,2)&amp;"/"&amp;MID(貼り付け用!$A$2, FIND("月",貼り付け用!$A$2)+1,2),"")</f>
        <v>06/18</v>
      </c>
      <c r="J25" s="202" t="str">
        <f t="array" aca="1" ref="J25" ca="1">SUBSTITUTE(SUBSTITUTE(SUBSTITUTE(SUBSTITUTE(SUBSTITUTE(SUBSTITUTE(SUBSTITUTE(SUBSTITUTE(SUBSTITUTE(SUBSTITUTE(
IF(I26="△",
INDIRECT("'盛付札（関数）'!FJ"&amp;H25+1),INDIRECT("'盛付札（関数）'!FJ"&amp;H25)),"①",""),"②",""),"③",""),"④",""),"⑤",""),"⑥",""),"⑦",""),"⑧",""),"⑨",""),"⑩","")</f>
        <v>社食</v>
      </c>
      <c r="K25" s="203"/>
      <c r="L25" s="203"/>
      <c r="M25" s="203"/>
      <c r="N25" s="71" t="str">
        <f t="array" aca="1" ref="N25" ca="1">IF(J25&lt;&gt;"",
IF(AND(INDIRECT("'盛付札（関数）'!FI"&amp;H25)&gt;=124,INDIRECT("'盛付札（関数）'!FI"&amp;H25)&lt;=144),"",
"様"),"")</f>
        <v>様</v>
      </c>
      <c r="O25" s="49"/>
      <c r="P25" s="59">
        <f ca="1">IF(OR(X18="●",X18="△"),
W17+2,W17+1)</f>
        <v>19</v>
      </c>
      <c r="Q25" s="72" t="str">
        <f ca="1">IF(R25&lt;&gt;"",
MID(貼り付け用!$A$2, FIND("年",貼り付け用!$A$2)+1,2)&amp;"/"&amp;MID(貼り付け用!$A$2, FIND("月",貼り付け用!$A$2)+1,2),"")</f>
        <v/>
      </c>
      <c r="R25" s="202" t="str">
        <f t="array" aca="1" ref="R25" ca="1">SUBSTITUTE(SUBSTITUTE(SUBSTITUTE(SUBSTITUTE(SUBSTITUTE(SUBSTITUTE(SUBSTITUTE(SUBSTITUTE(SUBSTITUTE(SUBSTITUTE(
IF(Q26="△",
INDIRECT("'盛付札（関数）'!FJ"&amp;P25+1),INDIRECT("'盛付札（関数）'!FJ"&amp;P25)),"①",""),"②",""),"③",""),"④",""),"⑤",""),"⑥",""),"⑦",""),"⑧",""),"⑨",""),"⑩","")</f>
        <v/>
      </c>
      <c r="S25" s="203"/>
      <c r="T25" s="203"/>
      <c r="U25" s="203"/>
      <c r="V25" s="71" t="str">
        <f t="array" aca="1" ref="V25" ca="1">IF(R25&lt;&gt;"",
IF(AND(INDIRECT("'盛付札（関数）'!FI"&amp;P25)&gt;=124,INDIRECT("'盛付札（関数）'!FI"&amp;P25)&lt;=144),"",
"様"),"")</f>
        <v/>
      </c>
      <c r="W25" s="65">
        <f ca="1">IF(OR(Q26="●",Q26="△"),
P25+2,P25+1)</f>
        <v>20</v>
      </c>
      <c r="X25" s="72" t="str">
        <f ca="1">IF(Y25&lt;&gt;"",
MID(貼り付け用!$A$2, FIND("年",貼り付け用!$A$2)+1,2)&amp;"/"&amp;MID(貼り付け用!$A$2, FIND("月",貼り付け用!$A$2)+1,2),"")</f>
        <v/>
      </c>
      <c r="Y25" s="202" t="str">
        <f t="array" aca="1" ref="Y25" ca="1">SUBSTITUTE(SUBSTITUTE(SUBSTITUTE(SUBSTITUTE(SUBSTITUTE(SUBSTITUTE(SUBSTITUTE(SUBSTITUTE(SUBSTITUTE(SUBSTITUTE(
IF(X26="△",
INDIRECT("'盛付札（関数）'!FJ"&amp;W25+1),INDIRECT("'盛付札（関数）'!FJ"&amp;W25)),"①",""),"②",""),"③",""),"④",""),"⑤",""),"⑥",""),"⑦",""),"⑧",""),"⑨",""),"⑩","")</f>
        <v/>
      </c>
      <c r="Z25" s="203"/>
      <c r="AA25" s="203"/>
      <c r="AB25" s="203"/>
      <c r="AC25" s="71" t="str">
        <f t="array" aca="1" ref="AC25" ca="1">IF(Y25&lt;&gt;"",
IF(AND(INDIRECT("'盛付札（関数）'!FI"&amp;W25)&gt;=124,INDIRECT("'盛付札（関数）'!FI"&amp;W25)&lt;=144),"",
"様"),"")</f>
        <v/>
      </c>
      <c r="AD25" s="49"/>
      <c r="AE25" s="59">
        <f ca="1">IF(OR(AM18="●",AM18="△"),
AL17+2,AL17+1)</f>
        <v>31</v>
      </c>
      <c r="AF25" s="72" t="str">
        <f ca="1">IF(AG25&lt;&gt;"",
MID(貼り付け用!$A$2, FIND("年",貼り付け用!$A$2)+1,2)&amp;"/"&amp;MID(貼り付け用!$A$2, FIND("月",貼り付け用!$A$2)+1,2),"")</f>
        <v/>
      </c>
      <c r="AG25" s="202" t="str">
        <f t="array" aca="1" ref="AG25" ca="1">SUBSTITUTE(SUBSTITUTE(SUBSTITUTE(SUBSTITUTE(SUBSTITUTE(SUBSTITUTE(SUBSTITUTE(SUBSTITUTE(SUBSTITUTE(SUBSTITUTE(
IF(AF26="△",
INDIRECT("'盛付札（関数）'!FJ"&amp;AE25+1),INDIRECT("'盛付札（関数）'!FJ"&amp;AE25)),"①",""),"②",""),"③",""),"④",""),"⑤",""),"⑥",""),"⑦",""),"⑧",""),"⑨",""),"⑩","")</f>
        <v/>
      </c>
      <c r="AH25" s="203"/>
      <c r="AI25" s="203"/>
      <c r="AJ25" s="203"/>
      <c r="AK25" s="71" t="str">
        <f t="array" aca="1" ref="AK25" ca="1">IF(AG25&lt;&gt;"",
IF(AND(INDIRECT("'盛付札（関数）'!FI"&amp;AE25)&gt;=124,INDIRECT("'盛付札（関数）'!FI"&amp;AE25)&lt;=144),"",
"様"),"")</f>
        <v/>
      </c>
      <c r="AL25" s="65">
        <f ca="1">IF(OR(AF26="●",AF26="△"),
AE25+2,AE25+1)</f>
        <v>32</v>
      </c>
      <c r="AM25" s="72" t="str">
        <f ca="1">IF(AN25&lt;&gt;"",
MID(貼り付け用!$A$2, FIND("年",貼り付け用!$A$2)+1,2)&amp;"/"&amp;MID(貼り付け用!$A$2, FIND("月",貼り付け用!$A$2)+1,2),"")</f>
        <v/>
      </c>
      <c r="AN25" s="202" t="str">
        <f t="array" aca="1" ref="AN25" ca="1">SUBSTITUTE(SUBSTITUTE(SUBSTITUTE(SUBSTITUTE(SUBSTITUTE(SUBSTITUTE(SUBSTITUTE(SUBSTITUTE(SUBSTITUTE(SUBSTITUTE(
IF(AM26="△",
INDIRECT("'盛付札（関数）'!FJ"&amp;AL25+1),INDIRECT("'盛付札（関数）'!FJ"&amp;AL25)),"①",""),"②",""),"③",""),"④",""),"⑤",""),"⑥",""),"⑦",""),"⑧",""),"⑨",""),"⑩","")</f>
        <v/>
      </c>
      <c r="AO25" s="203"/>
      <c r="AP25" s="203"/>
      <c r="AQ25" s="203"/>
      <c r="AR25" s="71" t="str">
        <f t="array" aca="1" ref="AR25" ca="1">IF(AN25&lt;&gt;"",
IF(AND(INDIRECT("'盛付札（関数）'!FI"&amp;AL25)&gt;=124,INDIRECT("'盛付札（関数）'!FI"&amp;AL25)&lt;=144),"",
"様"),"")</f>
        <v/>
      </c>
      <c r="AS25" s="49"/>
      <c r="AT25" s="59">
        <f ca="1">IF(OR(BB18="●",BB18="△"),
BA17+2,BA17+1)</f>
        <v>43</v>
      </c>
      <c r="AU25" s="72" t="str">
        <f ca="1">IF(AV25&lt;&gt;"",
MID(貼り付け用!$A$2, FIND("年",貼り付け用!$A$2)+1,2)&amp;"/"&amp;MID(貼り付け用!$A$2, FIND("月",貼り付け用!$A$2)+1,2),"")</f>
        <v/>
      </c>
      <c r="AV25" s="202" t="str">
        <f t="array" aca="1" ref="AV25" ca="1">SUBSTITUTE(SUBSTITUTE(SUBSTITUTE(SUBSTITUTE(SUBSTITUTE(SUBSTITUTE(SUBSTITUTE(SUBSTITUTE(SUBSTITUTE(SUBSTITUTE(
IF(AU26="△",
INDIRECT("'盛付札（関数）'!FJ"&amp;AT25+1),INDIRECT("'盛付札（関数）'!FJ"&amp;AT25)),"①",""),"②",""),"③",""),"④",""),"⑤",""),"⑥",""),"⑦",""),"⑧",""),"⑨",""),"⑩","")</f>
        <v/>
      </c>
      <c r="AW25" s="203"/>
      <c r="AX25" s="203"/>
      <c r="AY25" s="203"/>
      <c r="AZ25" s="71" t="str">
        <f t="array" aca="1" ref="AZ25" ca="1">IF(AV25&lt;&gt;"",
IF(AND(INDIRECT("'盛付札（関数）'!FI"&amp;AT25)&gt;=124,INDIRECT("'盛付札（関数）'!FI"&amp;AT25)&lt;=144),"",
"様"),"")</f>
        <v/>
      </c>
      <c r="BA25" s="65">
        <f ca="1">IF(OR(AU26="●",AU26="△"),
AT25+2,AT25+1)</f>
        <v>44</v>
      </c>
      <c r="BB25" s="72" t="str">
        <f ca="1">IF(BC25&lt;&gt;"",
MID(貼り付け用!$A$2, FIND("年",貼り付け用!$A$2)+1,2)&amp;"/"&amp;MID(貼り付け用!$A$2, FIND("月",貼り付け用!$A$2)+1,2),"")</f>
        <v/>
      </c>
      <c r="BC25" s="202" t="str">
        <f t="array" aca="1" ref="BC25" ca="1">SUBSTITUTE(SUBSTITUTE(SUBSTITUTE(SUBSTITUTE(SUBSTITUTE(SUBSTITUTE(SUBSTITUTE(SUBSTITUTE(SUBSTITUTE(SUBSTITUTE(
IF(BB26="△",
INDIRECT("'盛付札（関数）'!FJ"&amp;BA25+1),INDIRECT("'盛付札（関数）'!FJ"&amp;BA25)),"①",""),"②",""),"③",""),"④",""),"⑤",""),"⑥",""),"⑦",""),"⑧",""),"⑨",""),"⑩","")</f>
        <v/>
      </c>
      <c r="BD25" s="203"/>
      <c r="BE25" s="203"/>
      <c r="BF25" s="203"/>
      <c r="BG25" s="71" t="str">
        <f t="array" aca="1" ref="BG25" ca="1">IF(BC25&lt;&gt;"",
IF(AND(INDIRECT("'盛付札（関数）'!FI"&amp;BA25)&gt;=124,INDIRECT("'盛付札（関数）'!FI"&amp;BA25)&lt;=144),"",
"様"),"")</f>
        <v/>
      </c>
      <c r="BH25" s="49"/>
      <c r="BI25" s="59">
        <f ca="1">IF(OR(BQ18="●",BQ18="△"),
BP17+2,BP17+1)</f>
        <v>55</v>
      </c>
      <c r="BJ25" s="72" t="str">
        <f ca="1">IF(BK25&lt;&gt;"",
MID(貼り付け用!$A$2, FIND("年",貼り付け用!$A$2)+1,2)&amp;"/"&amp;MID(貼り付け用!$A$2, FIND("月",貼り付け用!$A$2)+1,2),"")</f>
        <v/>
      </c>
      <c r="BK25" s="202" t="str">
        <f t="array" aca="1" ref="BK25" ca="1">SUBSTITUTE(SUBSTITUTE(SUBSTITUTE(SUBSTITUTE(SUBSTITUTE(SUBSTITUTE(SUBSTITUTE(SUBSTITUTE(SUBSTITUTE(SUBSTITUTE(
IF(BJ26="△",
INDIRECT("'盛付札（関数）'!FJ"&amp;BI25+1),INDIRECT("'盛付札（関数）'!FJ"&amp;BI25)),"①",""),"②",""),"③",""),"④",""),"⑤",""),"⑥",""),"⑦",""),"⑧",""),"⑨",""),"⑩","")</f>
        <v/>
      </c>
      <c r="BL25" s="203"/>
      <c r="BM25" s="203"/>
      <c r="BN25" s="203"/>
      <c r="BO25" s="71" t="str">
        <f t="array" aca="1" ref="BO25" ca="1">IF(BK25&lt;&gt;"",
IF(AND(INDIRECT("'盛付札（関数）'!FI"&amp;BI25)&gt;=124,INDIRECT("'盛付札（関数）'!FI"&amp;BI25)&lt;=144),"",
"様"),"")</f>
        <v/>
      </c>
      <c r="BP25" s="65">
        <f ca="1">IF(OR(BJ26="●",BJ26="△"),
BI25+2,BI25+1)</f>
        <v>56</v>
      </c>
      <c r="BQ25" s="72" t="str">
        <f ca="1">IF(BR25&lt;&gt;"",
MID(貼り付け用!$A$2, FIND("年",貼り付け用!$A$2)+1,2)&amp;"/"&amp;MID(貼り付け用!$A$2, FIND("月",貼り付け用!$A$2)+1,2),"")</f>
        <v/>
      </c>
      <c r="BR25" s="202" t="str">
        <f t="array" aca="1" ref="BR25" ca="1">SUBSTITUTE(SUBSTITUTE(SUBSTITUTE(SUBSTITUTE(SUBSTITUTE(SUBSTITUTE(SUBSTITUTE(SUBSTITUTE(SUBSTITUTE(SUBSTITUTE(
IF(BQ26="△",
INDIRECT("'盛付札（関数）'!FJ"&amp;BP25+1),INDIRECT("'盛付札（関数）'!FJ"&amp;BP25)),"①",""),"②",""),"③",""),"④",""),"⑤",""),"⑥",""),"⑦",""),"⑧",""),"⑨",""),"⑩","")</f>
        <v/>
      </c>
      <c r="BS25" s="203"/>
      <c r="BT25" s="203"/>
      <c r="BU25" s="203"/>
      <c r="BV25" s="71" t="str">
        <f t="array" aca="1" ref="BV25" ca="1">IF(BR25&lt;&gt;"",
IF(AND(INDIRECT("'盛付札（関数）'!FI"&amp;BP25)&gt;=124,INDIRECT("'盛付札（関数）'!FI"&amp;BP25)&lt;=144),"",
"様"),"")</f>
        <v/>
      </c>
      <c r="BW25" s="49"/>
      <c r="BX25" s="59">
        <f ca="1">IF(OR(CF18="●",CF18="△"),
CE17+2,CE17+1)</f>
        <v>67</v>
      </c>
      <c r="BY25" s="72" t="str">
        <f ca="1">IF(BZ25&lt;&gt;"",
MID(貼り付け用!$A$2, FIND("年",貼り付け用!$A$2)+1,2)&amp;"/"&amp;MID(貼り付け用!$A$2, FIND("月",貼り付け用!$A$2)+1,2),"")</f>
        <v/>
      </c>
      <c r="BZ25" s="202" t="str">
        <f t="array" aca="1" ref="BZ25" ca="1">SUBSTITUTE(SUBSTITUTE(SUBSTITUTE(SUBSTITUTE(SUBSTITUTE(SUBSTITUTE(SUBSTITUTE(SUBSTITUTE(SUBSTITUTE(SUBSTITUTE(
IF(BY26="△",
INDIRECT("'盛付札（関数）'!FJ"&amp;BX25+1),INDIRECT("'盛付札（関数）'!FJ"&amp;BX25)),"①",""),"②",""),"③",""),"④",""),"⑤",""),"⑥",""),"⑦",""),"⑧",""),"⑨",""),"⑩","")</f>
        <v/>
      </c>
      <c r="CA25" s="203"/>
      <c r="CB25" s="203"/>
      <c r="CC25" s="203"/>
      <c r="CD25" s="71" t="str">
        <f t="array" aca="1" ref="CD25" ca="1">IF(BZ25&lt;&gt;"",
IF(AND(INDIRECT("'盛付札（関数）'!FI"&amp;BX25)&gt;=124,INDIRECT("'盛付札（関数）'!FI"&amp;BX25)&lt;=144),"",
"様"),"")</f>
        <v/>
      </c>
      <c r="CE25" s="65">
        <f ca="1">IF(OR(BY26="●",BY26="△"),
BX25+2,BX25+1)</f>
        <v>68</v>
      </c>
      <c r="CF25" s="72" t="str">
        <f ca="1">IF(CG25&lt;&gt;"",
MID(貼り付け用!$A$2, FIND("年",貼り付け用!$A$2)+1,2)&amp;"/"&amp;MID(貼り付け用!$A$2, FIND("月",貼り付け用!$A$2)+1,2),"")</f>
        <v/>
      </c>
      <c r="CG25" s="202" t="str">
        <f t="array" aca="1" ref="CG25" ca="1">SUBSTITUTE(SUBSTITUTE(SUBSTITUTE(SUBSTITUTE(SUBSTITUTE(SUBSTITUTE(SUBSTITUTE(SUBSTITUTE(SUBSTITUTE(SUBSTITUTE(
IF(CF26="△",
INDIRECT("'盛付札（関数）'!FJ"&amp;CE25+1),INDIRECT("'盛付札（関数）'!FJ"&amp;CE25)),"①",""),"②",""),"③",""),"④",""),"⑤",""),"⑥",""),"⑦",""),"⑧",""),"⑨",""),"⑩","")</f>
        <v/>
      </c>
      <c r="CH25" s="203"/>
      <c r="CI25" s="203"/>
      <c r="CJ25" s="203"/>
      <c r="CK25" s="71" t="str">
        <f t="array" aca="1" ref="CK25" ca="1">IF(CG25&lt;&gt;"",
IF(AND(INDIRECT("'盛付札（関数）'!FI"&amp;CE25)&gt;=124,INDIRECT("'盛付札（関数）'!FI"&amp;CE25)&lt;=144),"",
"様"),"")</f>
        <v/>
      </c>
      <c r="CL25" s="49"/>
      <c r="CM25" s="59">
        <f ca="1">IF(OR(CU18="●",CU18="△"),
CT17+2,CT17+1)</f>
        <v>79</v>
      </c>
      <c r="CN25" s="72" t="str">
        <f ca="1">IF(CO25&lt;&gt;"",
MID(貼り付け用!$A$2, FIND("年",貼り付け用!$A$2)+1,2)&amp;"/"&amp;MID(貼り付け用!$A$2, FIND("月",貼り付け用!$A$2)+1,2),"")</f>
        <v/>
      </c>
      <c r="CO25" s="202" t="str">
        <f t="array" aca="1" ref="CO25" ca="1">SUBSTITUTE(SUBSTITUTE(SUBSTITUTE(SUBSTITUTE(SUBSTITUTE(SUBSTITUTE(SUBSTITUTE(SUBSTITUTE(SUBSTITUTE(SUBSTITUTE(
IF(CN26="△",
INDIRECT("'盛付札（関数）'!FJ"&amp;CM25+1),INDIRECT("'盛付札（関数）'!FJ"&amp;CM25)),"①",""),"②",""),"③",""),"④",""),"⑤",""),"⑥",""),"⑦",""),"⑧",""),"⑨",""),"⑩","")</f>
        <v/>
      </c>
      <c r="CP25" s="203"/>
      <c r="CQ25" s="203"/>
      <c r="CR25" s="203"/>
      <c r="CS25" s="71" t="str">
        <f t="array" aca="1" ref="CS25" ca="1">IF(CO25&lt;&gt;"",
IF(AND(INDIRECT("'盛付札（関数）'!FI"&amp;CM25)&gt;=124,INDIRECT("'盛付札（関数）'!FI"&amp;CM25)&lt;=144),"",
"様"),"")</f>
        <v/>
      </c>
      <c r="CT25" s="65">
        <f ca="1">IF(OR(CN26="●",CN26="△"),
CM25+2,CM25+1)</f>
        <v>80</v>
      </c>
      <c r="CU25" s="72" t="str">
        <f ca="1">IF(CV25&lt;&gt;"",
MID(貼り付け用!$A$2, FIND("年",貼り付け用!$A$2)+1,2)&amp;"/"&amp;MID(貼り付け用!$A$2, FIND("月",貼り付け用!$A$2)+1,2),"")</f>
        <v/>
      </c>
      <c r="CV25" s="202" t="str">
        <f t="array" aca="1" ref="CV25" ca="1">SUBSTITUTE(SUBSTITUTE(SUBSTITUTE(SUBSTITUTE(SUBSTITUTE(SUBSTITUTE(SUBSTITUTE(SUBSTITUTE(SUBSTITUTE(SUBSTITUTE(
IF(CU26="△",
INDIRECT("'盛付札（関数）'!FJ"&amp;CT25+1),INDIRECT("'盛付札（関数）'!FJ"&amp;CT25)),"①",""),"②",""),"③",""),"④",""),"⑤",""),"⑥",""),"⑦",""),"⑧",""),"⑨",""),"⑩","")</f>
        <v/>
      </c>
      <c r="CW25" s="203"/>
      <c r="CX25" s="203"/>
      <c r="CY25" s="203"/>
      <c r="CZ25" s="71" t="str">
        <f t="array" aca="1" ref="CZ25" ca="1">IF(CV25&lt;&gt;"",
IF(AND(INDIRECT("'盛付札（関数）'!FI"&amp;CT25)&gt;=124,INDIRECT("'盛付札（関数）'!FI"&amp;CT25)&lt;=144),"",
"様"),"")</f>
        <v/>
      </c>
      <c r="DA25" s="49"/>
      <c r="DB25" s="59">
        <f ca="1">IF(OR(DJ18="●",DJ18="△"),
DI17+2,DI17+1)</f>
        <v>91</v>
      </c>
      <c r="DC25" s="72" t="str">
        <f ca="1">IF(DD25&lt;&gt;"",
MID(貼り付け用!$A$2, FIND("年",貼り付け用!$A$2)+1,2)&amp;"/"&amp;MID(貼り付け用!$A$2, FIND("月",貼り付け用!$A$2)+1,2),"")</f>
        <v/>
      </c>
      <c r="DD25" s="202" t="str">
        <f t="array" aca="1" ref="DD25" ca="1">SUBSTITUTE(SUBSTITUTE(SUBSTITUTE(SUBSTITUTE(SUBSTITUTE(SUBSTITUTE(SUBSTITUTE(SUBSTITUTE(SUBSTITUTE(SUBSTITUTE(
IF(DC26="△",
INDIRECT("'盛付札（関数）'!FJ"&amp;DB25+1),INDIRECT("'盛付札（関数）'!FJ"&amp;DB25)),"①",""),"②",""),"③",""),"④",""),"⑤",""),"⑥",""),"⑦",""),"⑧",""),"⑨",""),"⑩","")</f>
        <v/>
      </c>
      <c r="DE25" s="203"/>
      <c r="DF25" s="203"/>
      <c r="DG25" s="203"/>
      <c r="DH25" s="71" t="str">
        <f t="array" aca="1" ref="DH25" ca="1">IF(DD25&lt;&gt;"",
IF(AND(INDIRECT("'盛付札（関数）'!FI"&amp;DB25)&gt;=124,INDIRECT("'盛付札（関数）'!FI"&amp;DB25)&lt;=144),"",
"様"),"")</f>
        <v/>
      </c>
      <c r="DI25" s="65">
        <f ca="1">IF(OR(DC26="●",DC26="△"),
DB25+2,DB25+1)</f>
        <v>92</v>
      </c>
      <c r="DJ25" s="72" t="str">
        <f ca="1">IF(DK25&lt;&gt;"",
MID(貼り付け用!$A$2, FIND("年",貼り付け用!$A$2)+1,2)&amp;"/"&amp;MID(貼り付け用!$A$2, FIND("月",貼り付け用!$A$2)+1,2),"")</f>
        <v/>
      </c>
      <c r="DK25" s="202" t="str">
        <f t="array" aca="1" ref="DK25" ca="1">SUBSTITUTE(SUBSTITUTE(SUBSTITUTE(SUBSTITUTE(SUBSTITUTE(SUBSTITUTE(SUBSTITUTE(SUBSTITUTE(SUBSTITUTE(SUBSTITUTE(
IF(DJ26="△",
INDIRECT("'盛付札（関数）'!FJ"&amp;DI25+1),INDIRECT("'盛付札（関数）'!FJ"&amp;DI25)),"①",""),"②",""),"③",""),"④",""),"⑤",""),"⑥",""),"⑦",""),"⑧",""),"⑨",""),"⑩","")</f>
        <v/>
      </c>
      <c r="DL25" s="203"/>
      <c r="DM25" s="203"/>
      <c r="DN25" s="203"/>
      <c r="DO25" s="71" t="str">
        <f t="array" aca="1" ref="DO25" ca="1">IF(DK25&lt;&gt;"",
IF(AND(INDIRECT("'盛付札（関数）'!FI"&amp;DI25)&gt;=124,INDIRECT("'盛付札（関数）'!FI"&amp;DI25)&lt;=144),"",
"様"),"")</f>
        <v/>
      </c>
      <c r="DP25" s="49"/>
      <c r="DQ25" s="59">
        <f ca="1">IF(OR(DY18="●",DY18="△"),
DX17+2,DX17+1)</f>
        <v>103</v>
      </c>
      <c r="DR25" s="72" t="str">
        <f ca="1">IF(DS25&lt;&gt;"",
MID(貼り付け用!$A$2, FIND("年",貼り付け用!$A$2)+1,2)&amp;"/"&amp;MID(貼り付け用!$A$2, FIND("月",貼り付け用!$A$2)+1,2),"")</f>
        <v/>
      </c>
      <c r="DS25" s="202" t="str">
        <f t="array" aca="1" ref="DS25" ca="1">SUBSTITUTE(SUBSTITUTE(SUBSTITUTE(SUBSTITUTE(SUBSTITUTE(SUBSTITUTE(SUBSTITUTE(SUBSTITUTE(SUBSTITUTE(SUBSTITUTE(
IF(DR26="△",
INDIRECT("'盛付札（関数）'!FJ"&amp;DQ25+1),INDIRECT("'盛付札（関数）'!FJ"&amp;DQ25)),"①",""),"②",""),"③",""),"④",""),"⑤",""),"⑥",""),"⑦",""),"⑧",""),"⑨",""),"⑩","")</f>
        <v/>
      </c>
      <c r="DT25" s="203"/>
      <c r="DU25" s="203"/>
      <c r="DV25" s="203"/>
      <c r="DW25" s="71" t="str">
        <f t="array" aca="1" ref="DW25" ca="1">IF(DS25&lt;&gt;"",
IF(AND(INDIRECT("'盛付札（関数）'!FI"&amp;DQ25)&gt;=124,INDIRECT("'盛付札（関数）'!FI"&amp;DQ25)&lt;=144),"",
"様"),"")</f>
        <v/>
      </c>
      <c r="DX25" s="65">
        <f ca="1">IF(OR(DR26="●",DR26="△"),
DQ25+2,DQ25+1)</f>
        <v>104</v>
      </c>
      <c r="DY25" s="72" t="str">
        <f ca="1">IF(DZ25&lt;&gt;"",
MID(貼り付け用!$A$2, FIND("年",貼り付け用!$A$2)+1,2)&amp;"/"&amp;MID(貼り付け用!$A$2, FIND("月",貼り付け用!$A$2)+1,2),"")</f>
        <v/>
      </c>
      <c r="DZ25" s="202" t="str">
        <f t="array" aca="1" ref="DZ25" ca="1">SUBSTITUTE(SUBSTITUTE(SUBSTITUTE(SUBSTITUTE(SUBSTITUTE(SUBSTITUTE(SUBSTITUTE(SUBSTITUTE(SUBSTITUTE(SUBSTITUTE(
IF(DY26="△",
INDIRECT("'盛付札（関数）'!FJ"&amp;DX25+1),INDIRECT("'盛付札（関数）'!FJ"&amp;DX25)),"①",""),"②",""),"③",""),"④",""),"⑤",""),"⑥",""),"⑦",""),"⑧",""),"⑨",""),"⑩","")</f>
        <v/>
      </c>
      <c r="EA25" s="203"/>
      <c r="EB25" s="203"/>
      <c r="EC25" s="203"/>
      <c r="ED25" s="71" t="str">
        <f t="array" aca="1" ref="ED25" ca="1">IF(DZ25&lt;&gt;"",
IF(AND(INDIRECT("'盛付札（関数）'!FI"&amp;DX25)&gt;=124,INDIRECT("'盛付札（関数）'!FI"&amp;DX25)&lt;=144),"",
"様"),"")</f>
        <v/>
      </c>
      <c r="EE25" s="49"/>
      <c r="EF25" s="59">
        <f ca="1">IF(OR(EN18="●",EN18="△"),
EM17+2,EM17+1)</f>
        <v>115</v>
      </c>
      <c r="EG25" s="72" t="str">
        <f ca="1">IF(EH25&lt;&gt;"",
MID(貼り付け用!$A$2, FIND("年",貼り付け用!$A$2)+1,2)&amp;"/"&amp;MID(貼り付け用!$A$2, FIND("月",貼り付け用!$A$2)+1,2),"")</f>
        <v/>
      </c>
      <c r="EH25" s="202" t="str">
        <f t="array" aca="1" ref="EH25" ca="1">SUBSTITUTE(SUBSTITUTE(SUBSTITUTE(SUBSTITUTE(SUBSTITUTE(SUBSTITUTE(SUBSTITUTE(SUBSTITUTE(SUBSTITUTE(SUBSTITUTE(
IF(EG26="△",
INDIRECT("'盛付札（関数）'!FJ"&amp;EF25+1),INDIRECT("'盛付札（関数）'!FJ"&amp;EF25)),"①",""),"②",""),"③",""),"④",""),"⑤",""),"⑥",""),"⑦",""),"⑧",""),"⑨",""),"⑩","")</f>
        <v/>
      </c>
      <c r="EI25" s="203"/>
      <c r="EJ25" s="203"/>
      <c r="EK25" s="203"/>
      <c r="EL25" s="71" t="str">
        <f t="array" aca="1" ref="EL25" ca="1">IF(EH25&lt;&gt;"",
IF(AND(INDIRECT("'盛付札（関数）'!FI"&amp;EF25)&gt;=124,INDIRECT("'盛付札（関数）'!FI"&amp;EF25)&lt;=144),"",
"様"),"")</f>
        <v/>
      </c>
      <c r="EM25" s="65">
        <f ca="1">IF(OR(EG26="●",EG26="△"),
EF25+2,EF25+1)</f>
        <v>116</v>
      </c>
      <c r="EN25" s="72" t="str">
        <f ca="1">IF(EO25&lt;&gt;"",
MID(貼り付け用!$A$2, FIND("年",貼り付け用!$A$2)+1,2)&amp;"/"&amp;MID(貼り付け用!$A$2, FIND("月",貼り付け用!$A$2)+1,2),"")</f>
        <v/>
      </c>
      <c r="EO25" s="202" t="str">
        <f t="array" aca="1" ref="EO25" ca="1">SUBSTITUTE(SUBSTITUTE(SUBSTITUTE(SUBSTITUTE(SUBSTITUTE(SUBSTITUTE(SUBSTITUTE(SUBSTITUTE(SUBSTITUTE(SUBSTITUTE(
IF(EN26="△",
INDIRECT("'盛付札（関数）'!FJ"&amp;EM25+1),INDIRECT("'盛付札（関数）'!FJ"&amp;EM25)),"①",""),"②",""),"③",""),"④",""),"⑤",""),"⑥",""),"⑦",""),"⑧",""),"⑨",""),"⑩","")</f>
        <v/>
      </c>
      <c r="EP25" s="203"/>
      <c r="EQ25" s="203"/>
      <c r="ER25" s="203"/>
      <c r="ES25" s="71" t="str">
        <f t="array" aca="1" ref="ES25" ca="1">IF(EO25&lt;&gt;"",
IF(AND(INDIRECT("'盛付札（関数）'!FI"&amp;EM25)&gt;=124,INDIRECT("'盛付札（関数）'!FI"&amp;EM25)&lt;=144),"",
"様"),"")</f>
        <v/>
      </c>
      <c r="ET25" s="49"/>
    </row>
    <row r="26" spans="1:150" s="60" customFormat="1" x14ac:dyDescent="0.55000000000000004">
      <c r="A26" s="59"/>
      <c r="B26" s="61" t="str">
        <f ca="1">IF(COUNTIF(INDIRECT("'盛付札（関数）'!FJ"&amp;A25+1),"*雙葉*"),"●",
"〇")</f>
        <v>〇</v>
      </c>
      <c r="C26" s="76" t="str">
        <f t="array" aca="1" ref="C26" ca="1">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IF(B26="△",
INDIRECT("'盛付札（関数）'!FK"&amp;A25+1),INDIRECT("'盛付札（関数）'!FK"&amp;A25))))</f>
        <v/>
      </c>
      <c r="D26" s="70"/>
      <c r="E26" s="70"/>
      <c r="F26" s="77" t="str">
        <f t="array" aca="1" ref="F26" ca="1">IF(C25&lt;&gt;"",
IF(OR(INDIRECT("'盛付札（関数）'!FI"&amp;A25)=121,INDIRECT("'盛付札（関数）'!FI"&amp;A25)=122,INDIRECT("'盛付札（関数）'!FI"&amp;A25)=123),"",
IF(B26="●",
SUBSTITUTE(SUBSTITUTE(SUBSTITUTE(INDIRECT("'盛付札（関数）'!FL"&amp;A25),100,""),120,""),150,""),
IF(B26="△",
IF(INDIRECT("'盛付札（関数）'!FL"&amp;A25+1)&lt;&gt;"",
INDIRECT("'盛付札（関数）'!FL"&amp;A25+1),INDIRECT("'盛付札（関数）'!FM"&amp;A25+1)),
IF(INDIRECT("'盛付札（関数）'!FL"&amp;A25)&lt;&gt;"",
INDIRECT("'盛付札（関数）'!FL"&amp;A25),INDIRECT("'盛付札（関数）'!FM"&amp;A25))))),"")</f>
        <v/>
      </c>
      <c r="G26" s="68"/>
      <c r="H26" s="78"/>
      <c r="I26" s="61" t="str">
        <f ca="1">IF(COUNTIF(INDIRECT("'盛付札（関数）'!FJ"&amp;H25+1),"*雙葉*"),"●",
"〇")</f>
        <v>〇</v>
      </c>
      <c r="J26" s="76" t="str">
        <f t="array" aca="1" ref="J26" ca="1">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IF(I26="△",
INDIRECT("'盛付札（関数）'!FK"&amp;H25+1),INDIRECT("'盛付札（関数）'!FK"&amp;H25))))</f>
        <v/>
      </c>
      <c r="K26" s="70"/>
      <c r="L26" s="70"/>
      <c r="M26" s="77" t="str">
        <f t="array" aca="1" ref="M26" ca="1">IF(J25&lt;&gt;"",
IF(OR(INDIRECT("'盛付札（関数）'!FI"&amp;H25)=121,INDIRECT("'盛付札（関数）'!FI"&amp;H25)=122,INDIRECT("'盛付札（関数）'!FI"&amp;H25)=123),"",
IF(I26="●",
SUBSTITUTE(SUBSTITUTE(SUBSTITUTE(INDIRECT("'盛付札（関数）'!FL"&amp;H25),100,""),120,""),150,""),
IF(I26="△",
IF(INDIRECT("'盛付札（関数）'!FL"&amp;H25+1)&lt;&gt;"",
INDIRECT("'盛付札（関数）'!FL"&amp;H25+1),INDIRECT("'盛付札（関数）'!FM"&amp;H25+1)),
IF(INDIRECT("'盛付札（関数）'!FL"&amp;H25)&lt;&gt;"",
INDIRECT("'盛付札（関数）'!FL"&amp;H25),INDIRECT("'盛付札（関数）'!FM"&amp;H25))))),"")</f>
        <v/>
      </c>
      <c r="N26" s="68"/>
      <c r="O26" s="49"/>
      <c r="P26" s="59"/>
      <c r="Q26" s="61" t="str">
        <f ca="1">IF(COUNTIF(INDIRECT("'盛付札（関数）'!FJ"&amp;P25+1),"*雙葉*"),"●",
"〇")</f>
        <v>〇</v>
      </c>
      <c r="R26" s="76" t="str">
        <f t="array" aca="1" ref="R26" ca="1">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IF(Q26="△",
INDIRECT("'盛付札（関数）'!FK"&amp;P25+1),INDIRECT("'盛付札（関数）'!FK"&amp;P25))))</f>
        <v/>
      </c>
      <c r="S26" s="70"/>
      <c r="T26" s="70"/>
      <c r="U26" s="77" t="str">
        <f t="array" aca="1" ref="U26" ca="1">IF(R25&lt;&gt;"",
IF(OR(INDIRECT("'盛付札（関数）'!FI"&amp;P25)=121,INDIRECT("'盛付札（関数）'!FI"&amp;P25)=122,INDIRECT("'盛付札（関数）'!FI"&amp;P25)=123),"",
IF(Q26="●",
SUBSTITUTE(SUBSTITUTE(SUBSTITUTE(INDIRECT("'盛付札（関数）'!FL"&amp;P25),100,""),120,""),150,""),
IF(Q26="△",
IF(INDIRECT("'盛付札（関数）'!FL"&amp;P25+1)&lt;&gt;"",
INDIRECT("'盛付札（関数）'!FL"&amp;P25+1),INDIRECT("'盛付札（関数）'!FM"&amp;P25+1)),
IF(INDIRECT("'盛付札（関数）'!FL"&amp;P25)&lt;&gt;"",
INDIRECT("'盛付札（関数）'!FL"&amp;P25),INDIRECT("'盛付札（関数）'!FM"&amp;P25))))),"")</f>
        <v/>
      </c>
      <c r="V26" s="68"/>
      <c r="W26" s="78"/>
      <c r="X26" s="61" t="str">
        <f ca="1">IF(COUNTIF(INDIRECT("'盛付札（関数）'!FJ"&amp;W25+1),"*雙葉*"),"●",
"〇")</f>
        <v>〇</v>
      </c>
      <c r="Y26" s="76" t="str">
        <f t="array" aca="1" ref="Y26" ca="1">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IF(X26="△",
INDIRECT("'盛付札（関数）'!FK"&amp;W25+1),INDIRECT("'盛付札（関数）'!FK"&amp;W25))))</f>
        <v/>
      </c>
      <c r="Z26" s="70"/>
      <c r="AA26" s="70"/>
      <c r="AB26" s="77" t="str">
        <f t="array" aca="1" ref="AB26" ca="1">IF(Y25&lt;&gt;"",
IF(OR(INDIRECT("'盛付札（関数）'!FI"&amp;W25)=121,INDIRECT("'盛付札（関数）'!FI"&amp;W25)=122,INDIRECT("'盛付札（関数）'!FI"&amp;W25)=123),"",
IF(X26="●",
SUBSTITUTE(SUBSTITUTE(SUBSTITUTE(INDIRECT("'盛付札（関数）'!FL"&amp;W25),100,""),120,""),150,""),
IF(X26="△",
IF(INDIRECT("'盛付札（関数）'!FL"&amp;W25+1)&lt;&gt;"",
INDIRECT("'盛付札（関数）'!FL"&amp;W25+1),INDIRECT("'盛付札（関数）'!FM"&amp;W25+1)),
IF(INDIRECT("'盛付札（関数）'!FL"&amp;W25)&lt;&gt;"",
INDIRECT("'盛付札（関数）'!FL"&amp;W25),INDIRECT("'盛付札（関数）'!FM"&amp;W25))))),"")</f>
        <v/>
      </c>
      <c r="AC26" s="68"/>
      <c r="AD26" s="49"/>
      <c r="AE26" s="59"/>
      <c r="AF26" s="61" t="str">
        <f ca="1">IF(COUNTIF(INDIRECT("'盛付札（関数）'!FJ"&amp;AE25+1),"*雙葉*"),"●",
"〇")</f>
        <v>〇</v>
      </c>
      <c r="AG26" s="76" t="str">
        <f t="array" aca="1" ref="AG26" ca="1">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IF(AF26="△",
INDIRECT("'盛付札（関数）'!FK"&amp;AE25+1),INDIRECT("'盛付札（関数）'!FK"&amp;AE25))))</f>
        <v/>
      </c>
      <c r="AH26" s="70"/>
      <c r="AI26" s="70"/>
      <c r="AJ26" s="77" t="str">
        <f t="array" aca="1" ref="AJ26" ca="1">IF(AG25&lt;&gt;"",
IF(OR(INDIRECT("'盛付札（関数）'!FI"&amp;AE25)=121,INDIRECT("'盛付札（関数）'!FI"&amp;AE25)=122,INDIRECT("'盛付札（関数）'!FI"&amp;AE25)=123),"",
IF(AF26="●",
SUBSTITUTE(SUBSTITUTE(SUBSTITUTE(INDIRECT("'盛付札（関数）'!FL"&amp;AE25),100,""),120,""),150,""),
IF(AF26="△",
IF(INDIRECT("'盛付札（関数）'!FL"&amp;AE25+1)&lt;&gt;"",
INDIRECT("'盛付札（関数）'!FL"&amp;AE25+1),INDIRECT("'盛付札（関数）'!FM"&amp;AE25+1)),
IF(INDIRECT("'盛付札（関数）'!FL"&amp;AE25)&lt;&gt;"",
INDIRECT("'盛付札（関数）'!FL"&amp;AE25),INDIRECT("'盛付札（関数）'!FM"&amp;AE25))))),"")</f>
        <v/>
      </c>
      <c r="AK26" s="68"/>
      <c r="AL26" s="78"/>
      <c r="AM26" s="61" t="str">
        <f ca="1">IF(COUNTIF(INDIRECT("'盛付札（関数）'!FJ"&amp;AL25+1),"*雙葉*"),"●",
"〇")</f>
        <v>〇</v>
      </c>
      <c r="AN26" s="76" t="str">
        <f t="array" aca="1" ref="AN26" ca="1">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IF(AM26="△",
INDIRECT("'盛付札（関数）'!FK"&amp;AL25+1),INDIRECT("'盛付札（関数）'!FK"&amp;AL25))))</f>
        <v/>
      </c>
      <c r="AO26" s="70"/>
      <c r="AP26" s="70"/>
      <c r="AQ26" s="77" t="str">
        <f t="array" aca="1" ref="AQ26" ca="1">IF(AN25&lt;&gt;"",
IF(OR(INDIRECT("'盛付札（関数）'!FI"&amp;AL25)=121,INDIRECT("'盛付札（関数）'!FI"&amp;AL25)=122,INDIRECT("'盛付札（関数）'!FI"&amp;AL25)=123),"",
IF(AM26="●",
SUBSTITUTE(SUBSTITUTE(SUBSTITUTE(INDIRECT("'盛付札（関数）'!FL"&amp;AL25),100,""),120,""),150,""),
IF(AM26="△",
IF(INDIRECT("'盛付札（関数）'!FL"&amp;AL25+1)&lt;&gt;"",
INDIRECT("'盛付札（関数）'!FL"&amp;AL25+1),INDIRECT("'盛付札（関数）'!FM"&amp;AL25+1)),
IF(INDIRECT("'盛付札（関数）'!FL"&amp;AL25)&lt;&gt;"",
INDIRECT("'盛付札（関数）'!FL"&amp;AL25),INDIRECT("'盛付札（関数）'!FM"&amp;AL25))))),"")</f>
        <v/>
      </c>
      <c r="AR26" s="68"/>
      <c r="AS26" s="49"/>
      <c r="AT26" s="59"/>
      <c r="AU26" s="61" t="str">
        <f ca="1">IF(COUNTIF(INDIRECT("'盛付札（関数）'!FJ"&amp;AT25+1),"*雙葉*"),"●",
"〇")</f>
        <v>〇</v>
      </c>
      <c r="AV26" s="76" t="str">
        <f t="array" aca="1" ref="AV26" ca="1">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IF(AU26="△",
INDIRECT("'盛付札（関数）'!FK"&amp;AT25+1),INDIRECT("'盛付札（関数）'!FK"&amp;AT25))))</f>
        <v/>
      </c>
      <c r="AW26" s="70"/>
      <c r="AX26" s="70"/>
      <c r="AY26" s="77" t="str">
        <f t="array" aca="1" ref="AY26" ca="1">IF(AV25&lt;&gt;"",
IF(OR(INDIRECT("'盛付札（関数）'!FI"&amp;AT25)=121,INDIRECT("'盛付札（関数）'!FI"&amp;AT25)=122,INDIRECT("'盛付札（関数）'!FI"&amp;AT25)=123),"",
IF(AU26="●",
SUBSTITUTE(SUBSTITUTE(SUBSTITUTE(INDIRECT("'盛付札（関数）'!FL"&amp;AT25),100,""),120,""),150,""),
IF(AU26="△",
IF(INDIRECT("'盛付札（関数）'!FL"&amp;AT25+1)&lt;&gt;"",
INDIRECT("'盛付札（関数）'!FL"&amp;AT25+1),INDIRECT("'盛付札（関数）'!FM"&amp;AT25+1)),
IF(INDIRECT("'盛付札（関数）'!FL"&amp;AT25)&lt;&gt;"",
INDIRECT("'盛付札（関数）'!FL"&amp;AT25),INDIRECT("'盛付札（関数）'!FM"&amp;AT25))))),"")</f>
        <v/>
      </c>
      <c r="AZ26" s="68"/>
      <c r="BA26" s="78"/>
      <c r="BB26" s="61" t="str">
        <f ca="1">IF(COUNTIF(INDIRECT("'盛付札（関数）'!FJ"&amp;BA25+1),"*雙葉*"),"●",
"〇")</f>
        <v>〇</v>
      </c>
      <c r="BC26" s="76" t="str">
        <f t="array" aca="1" ref="BC26" ca="1">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IF(BB26="△",
INDIRECT("'盛付札（関数）'!FK"&amp;BA25+1),INDIRECT("'盛付札（関数）'!FK"&amp;BA25))))</f>
        <v/>
      </c>
      <c r="BD26" s="70"/>
      <c r="BE26" s="70"/>
      <c r="BF26" s="77" t="str">
        <f t="array" aca="1" ref="BF26" ca="1">IF(BC25&lt;&gt;"",
IF(OR(INDIRECT("'盛付札（関数）'!FI"&amp;BA25)=121,INDIRECT("'盛付札（関数）'!FI"&amp;BA25)=122,INDIRECT("'盛付札（関数）'!FI"&amp;BA25)=123),"",
IF(BB26="●",
SUBSTITUTE(SUBSTITUTE(SUBSTITUTE(INDIRECT("'盛付札（関数）'!FL"&amp;BA25),100,""),120,""),150,""),
IF(BB26="△",
IF(INDIRECT("'盛付札（関数）'!FL"&amp;BA25+1)&lt;&gt;"",
INDIRECT("'盛付札（関数）'!FL"&amp;BA25+1),INDIRECT("'盛付札（関数）'!FM"&amp;BA25+1)),
IF(INDIRECT("'盛付札（関数）'!FL"&amp;BA25)&lt;&gt;"",
INDIRECT("'盛付札（関数）'!FL"&amp;BA25),INDIRECT("'盛付札（関数）'!FM"&amp;BA25))))),"")</f>
        <v/>
      </c>
      <c r="BG26" s="68"/>
      <c r="BH26" s="49"/>
      <c r="BI26" s="59"/>
      <c r="BJ26" s="61" t="str">
        <f ca="1">IF(COUNTIF(INDIRECT("'盛付札（関数）'!FJ"&amp;BI25+1),"*雙葉*"),"●",
"〇")</f>
        <v>〇</v>
      </c>
      <c r="BK26" s="76" t="str">
        <f t="array" aca="1" ref="BK26" ca="1">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IF(BJ26="△",
INDIRECT("'盛付札（関数）'!FK"&amp;BI25+1),INDIRECT("'盛付札（関数）'!FK"&amp;BI25))))</f>
        <v/>
      </c>
      <c r="BL26" s="70"/>
      <c r="BM26" s="70"/>
      <c r="BN26" s="77" t="str">
        <f t="array" aca="1" ref="BN26" ca="1">IF(BK25&lt;&gt;"",
IF(OR(INDIRECT("'盛付札（関数）'!FI"&amp;BI25)=121,INDIRECT("'盛付札（関数）'!FI"&amp;BI25)=122,INDIRECT("'盛付札（関数）'!FI"&amp;BI25)=123),"",
IF(BJ26="●",
SUBSTITUTE(SUBSTITUTE(SUBSTITUTE(INDIRECT("'盛付札（関数）'!FL"&amp;BI25),100,""),120,""),150,""),
IF(BJ26="△",
IF(INDIRECT("'盛付札（関数）'!FL"&amp;BI25+1)&lt;&gt;"",
INDIRECT("'盛付札（関数）'!FL"&amp;BI25+1),INDIRECT("'盛付札（関数）'!FM"&amp;BI25+1)),
IF(INDIRECT("'盛付札（関数）'!FL"&amp;BI25)&lt;&gt;"",
INDIRECT("'盛付札（関数）'!FL"&amp;BI25),INDIRECT("'盛付札（関数）'!FM"&amp;BI25))))),"")</f>
        <v/>
      </c>
      <c r="BO26" s="68"/>
      <c r="BP26" s="78"/>
      <c r="BQ26" s="61" t="str">
        <f ca="1">IF(COUNTIF(INDIRECT("'盛付札（関数）'!FJ"&amp;BP25+1),"*雙葉*"),"●",
"〇")</f>
        <v>〇</v>
      </c>
      <c r="BR26" s="76" t="str">
        <f t="array" aca="1" ref="BR26" ca="1">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IF(BQ26="△",
INDIRECT("'盛付札（関数）'!FK"&amp;BP25+1),INDIRECT("'盛付札（関数）'!FK"&amp;BP25))))</f>
        <v/>
      </c>
      <c r="BS26" s="70"/>
      <c r="BT26" s="70"/>
      <c r="BU26" s="77" t="str">
        <f t="array" aca="1" ref="BU26" ca="1">IF(BR25&lt;&gt;"",
IF(OR(INDIRECT("'盛付札（関数）'!FI"&amp;BP25)=121,INDIRECT("'盛付札（関数）'!FI"&amp;BP25)=122,INDIRECT("'盛付札（関数）'!FI"&amp;BP25)=123),"",
IF(BQ26="●",
SUBSTITUTE(SUBSTITUTE(SUBSTITUTE(INDIRECT("'盛付札（関数）'!FL"&amp;BP25),100,""),120,""),150,""),
IF(BQ26="△",
IF(INDIRECT("'盛付札（関数）'!FL"&amp;BP25+1)&lt;&gt;"",
INDIRECT("'盛付札（関数）'!FL"&amp;BP25+1),INDIRECT("'盛付札（関数）'!FM"&amp;BP25+1)),
IF(INDIRECT("'盛付札（関数）'!FL"&amp;BP25)&lt;&gt;"",
INDIRECT("'盛付札（関数）'!FL"&amp;BP25),INDIRECT("'盛付札（関数）'!FM"&amp;BP25))))),"")</f>
        <v/>
      </c>
      <c r="BV26" s="68"/>
      <c r="BW26" s="49"/>
      <c r="BX26" s="59"/>
      <c r="BY26" s="61" t="str">
        <f ca="1">IF(COUNTIF(INDIRECT("'盛付札（関数）'!FJ"&amp;BX25+1),"*雙葉*"),"●",
"〇")</f>
        <v>〇</v>
      </c>
      <c r="BZ26" s="76" t="str">
        <f t="array" aca="1" ref="BZ26" ca="1">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IF(BY26="△",
INDIRECT("'盛付札（関数）'!FK"&amp;BX25+1),INDIRECT("'盛付札（関数）'!FK"&amp;BX25))))</f>
        <v/>
      </c>
      <c r="CA26" s="70"/>
      <c r="CB26" s="70"/>
      <c r="CC26" s="77" t="str">
        <f t="array" aca="1" ref="CC26" ca="1">IF(BZ25&lt;&gt;"",
IF(OR(INDIRECT("'盛付札（関数）'!FI"&amp;BX25)=121,INDIRECT("'盛付札（関数）'!FI"&amp;BX25)=122,INDIRECT("'盛付札（関数）'!FI"&amp;BX25)=123),"",
IF(BY26="●",
SUBSTITUTE(SUBSTITUTE(SUBSTITUTE(INDIRECT("'盛付札（関数）'!FL"&amp;BX25),100,""),120,""),150,""),
IF(BY26="△",
IF(INDIRECT("'盛付札（関数）'!FL"&amp;BX25+1)&lt;&gt;"",
INDIRECT("'盛付札（関数）'!FL"&amp;BX25+1),INDIRECT("'盛付札（関数）'!FM"&amp;BX25+1)),
IF(INDIRECT("'盛付札（関数）'!FL"&amp;BX25)&lt;&gt;"",
INDIRECT("'盛付札（関数）'!FL"&amp;BX25),INDIRECT("'盛付札（関数）'!FM"&amp;BX25))))),"")</f>
        <v/>
      </c>
      <c r="CD26" s="68"/>
      <c r="CE26" s="78"/>
      <c r="CF26" s="61" t="str">
        <f ca="1">IF(COUNTIF(INDIRECT("'盛付札（関数）'!FJ"&amp;CE25+1),"*雙葉*"),"●",
"〇")</f>
        <v>〇</v>
      </c>
      <c r="CG26" s="76" t="str">
        <f t="array" aca="1" ref="CG26" ca="1">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IF(CF26="△",
INDIRECT("'盛付札（関数）'!FK"&amp;CE25+1),INDIRECT("'盛付札（関数）'!FK"&amp;CE25))))</f>
        <v/>
      </c>
      <c r="CH26" s="70"/>
      <c r="CI26" s="70"/>
      <c r="CJ26" s="77" t="str">
        <f t="array" aca="1" ref="CJ26" ca="1">IF(CG25&lt;&gt;"",
IF(OR(INDIRECT("'盛付札（関数）'!FI"&amp;CE25)=121,INDIRECT("'盛付札（関数）'!FI"&amp;CE25)=122,INDIRECT("'盛付札（関数）'!FI"&amp;CE25)=123),"",
IF(CF26="●",
SUBSTITUTE(SUBSTITUTE(SUBSTITUTE(INDIRECT("'盛付札（関数）'!FL"&amp;CE25),100,""),120,""),150,""),
IF(CF26="△",
IF(INDIRECT("'盛付札（関数）'!FL"&amp;CE25+1)&lt;&gt;"",
INDIRECT("'盛付札（関数）'!FL"&amp;CE25+1),INDIRECT("'盛付札（関数）'!FM"&amp;CE25+1)),
IF(INDIRECT("'盛付札（関数）'!FL"&amp;CE25)&lt;&gt;"",
INDIRECT("'盛付札（関数）'!FL"&amp;CE25),INDIRECT("'盛付札（関数）'!FM"&amp;CE25))))),"")</f>
        <v/>
      </c>
      <c r="CK26" s="68"/>
      <c r="CL26" s="49"/>
      <c r="CM26" s="59"/>
      <c r="CN26" s="61" t="str">
        <f ca="1">IF(COUNTIF(INDIRECT("'盛付札（関数）'!FJ"&amp;CM25+1),"*雙葉*"),"●",
"〇")</f>
        <v>〇</v>
      </c>
      <c r="CO26" s="76" t="str">
        <f t="array" aca="1" ref="CO26" ca="1">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IF(CN26="△",
INDIRECT("'盛付札（関数）'!FK"&amp;CM25+1),INDIRECT("'盛付札（関数）'!FK"&amp;CM25))))</f>
        <v/>
      </c>
      <c r="CP26" s="70"/>
      <c r="CQ26" s="70"/>
      <c r="CR26" s="77" t="str">
        <f t="array" aca="1" ref="CR26" ca="1">IF(CO25&lt;&gt;"",
IF(OR(INDIRECT("'盛付札（関数）'!FI"&amp;CM25)=121,INDIRECT("'盛付札（関数）'!FI"&amp;CM25)=122,INDIRECT("'盛付札（関数）'!FI"&amp;CM25)=123),"",
IF(CN26="●",
SUBSTITUTE(SUBSTITUTE(SUBSTITUTE(INDIRECT("'盛付札（関数）'!FL"&amp;CM25),100,""),120,""),150,""),
IF(CN26="△",
IF(INDIRECT("'盛付札（関数）'!FL"&amp;CM25+1)&lt;&gt;"",
INDIRECT("'盛付札（関数）'!FL"&amp;CM25+1),INDIRECT("'盛付札（関数）'!FM"&amp;CM25+1)),
IF(INDIRECT("'盛付札（関数）'!FL"&amp;CM25)&lt;&gt;"",
INDIRECT("'盛付札（関数）'!FL"&amp;CM25),INDIRECT("'盛付札（関数）'!FM"&amp;CM25))))),"")</f>
        <v/>
      </c>
      <c r="CS26" s="68"/>
      <c r="CT26" s="78"/>
      <c r="CU26" s="61" t="str">
        <f ca="1">IF(COUNTIF(INDIRECT("'盛付札（関数）'!FJ"&amp;CT25+1),"*雙葉*"),"●",
"〇")</f>
        <v>〇</v>
      </c>
      <c r="CV26" s="76" t="str">
        <f t="array" aca="1" ref="CV26" ca="1">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IF(CU26="△",
INDIRECT("'盛付札（関数）'!FK"&amp;CT25+1),INDIRECT("'盛付札（関数）'!FK"&amp;CT25))))</f>
        <v/>
      </c>
      <c r="CW26" s="70"/>
      <c r="CX26" s="70"/>
      <c r="CY26" s="77" t="str">
        <f t="array" aca="1" ref="CY26" ca="1">IF(CV25&lt;&gt;"",
IF(OR(INDIRECT("'盛付札（関数）'!FI"&amp;CT25)=121,INDIRECT("'盛付札（関数）'!FI"&amp;CT25)=122,INDIRECT("'盛付札（関数）'!FI"&amp;CT25)=123),"",
IF(CU26="●",
SUBSTITUTE(SUBSTITUTE(SUBSTITUTE(INDIRECT("'盛付札（関数）'!FL"&amp;CT25),100,""),120,""),150,""),
IF(CU26="△",
IF(INDIRECT("'盛付札（関数）'!FL"&amp;CT25+1)&lt;&gt;"",
INDIRECT("'盛付札（関数）'!FL"&amp;CT25+1),INDIRECT("'盛付札（関数）'!FM"&amp;CT25+1)),
IF(INDIRECT("'盛付札（関数）'!FL"&amp;CT25)&lt;&gt;"",
INDIRECT("'盛付札（関数）'!FL"&amp;CT25),INDIRECT("'盛付札（関数）'!FM"&amp;CT25))))),"")</f>
        <v/>
      </c>
      <c r="CZ26" s="68"/>
      <c r="DA26" s="49"/>
      <c r="DB26" s="59"/>
      <c r="DC26" s="61" t="str">
        <f ca="1">IF(COUNTIF(INDIRECT("'盛付札（関数）'!FJ"&amp;DB25+1),"*雙葉*"),"●",
"〇")</f>
        <v>〇</v>
      </c>
      <c r="DD26" s="76" t="str">
        <f t="array" aca="1" ref="DD26" ca="1">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IF(DC26="△",
INDIRECT("'盛付札（関数）'!FK"&amp;DB25+1),INDIRECT("'盛付札（関数）'!FK"&amp;DB25))))</f>
        <v/>
      </c>
      <c r="DE26" s="70"/>
      <c r="DF26" s="70"/>
      <c r="DG26" s="77" t="str">
        <f t="array" aca="1" ref="DG26" ca="1">IF(DD25&lt;&gt;"",
IF(OR(INDIRECT("'盛付札（関数）'!FI"&amp;DB25)=121,INDIRECT("'盛付札（関数）'!FI"&amp;DB25)=122,INDIRECT("'盛付札（関数）'!FI"&amp;DB25)=123),"",
IF(DC26="●",
SUBSTITUTE(SUBSTITUTE(SUBSTITUTE(INDIRECT("'盛付札（関数）'!FL"&amp;DB25),100,""),120,""),150,""),
IF(DC26="△",
IF(INDIRECT("'盛付札（関数）'!FL"&amp;DB25+1)&lt;&gt;"",
INDIRECT("'盛付札（関数）'!FL"&amp;DB25+1),INDIRECT("'盛付札（関数）'!FM"&amp;DB25+1)),
IF(INDIRECT("'盛付札（関数）'!FL"&amp;DB25)&lt;&gt;"",
INDIRECT("'盛付札（関数）'!FL"&amp;DB25),INDIRECT("'盛付札（関数）'!FM"&amp;DB25))))),"")</f>
        <v/>
      </c>
      <c r="DH26" s="68"/>
      <c r="DI26" s="78"/>
      <c r="DJ26" s="61" t="str">
        <f ca="1">IF(COUNTIF(INDIRECT("'盛付札（関数）'!FJ"&amp;DI25+1),"*雙葉*"),"●",
"〇")</f>
        <v>〇</v>
      </c>
      <c r="DK26" s="76" t="str">
        <f t="array" aca="1" ref="DK26" ca="1">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IF(DJ26="△",
INDIRECT("'盛付札（関数）'!FK"&amp;DI25+1),INDIRECT("'盛付札（関数）'!FK"&amp;DI25))))</f>
        <v/>
      </c>
      <c r="DL26" s="70"/>
      <c r="DM26" s="70"/>
      <c r="DN26" s="77" t="str">
        <f t="array" aca="1" ref="DN26" ca="1">IF(DK25&lt;&gt;"",
IF(OR(INDIRECT("'盛付札（関数）'!FI"&amp;DI25)=121,INDIRECT("'盛付札（関数）'!FI"&amp;DI25)=122,INDIRECT("'盛付札（関数）'!FI"&amp;DI25)=123),"",
IF(DJ26="●",
SUBSTITUTE(SUBSTITUTE(SUBSTITUTE(INDIRECT("'盛付札（関数）'!FL"&amp;DI25),100,""),120,""),150,""),
IF(DJ26="△",
IF(INDIRECT("'盛付札（関数）'!FL"&amp;DI25+1)&lt;&gt;"",
INDIRECT("'盛付札（関数）'!FL"&amp;DI25+1),INDIRECT("'盛付札（関数）'!FM"&amp;DI25+1)),
IF(INDIRECT("'盛付札（関数）'!FL"&amp;DI25)&lt;&gt;"",
INDIRECT("'盛付札（関数）'!FL"&amp;DI25),INDIRECT("'盛付札（関数）'!FM"&amp;DI25))))),"")</f>
        <v/>
      </c>
      <c r="DO26" s="68"/>
      <c r="DP26" s="49"/>
      <c r="DQ26" s="59"/>
      <c r="DR26" s="61" t="str">
        <f ca="1">IF(COUNTIF(INDIRECT("'盛付札（関数）'!FJ"&amp;DQ25+1),"*雙葉*"),"●",
"〇")</f>
        <v>〇</v>
      </c>
      <c r="DS26" s="76" t="str">
        <f t="array" aca="1" ref="DS26" ca="1">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IF(DR26="△",
INDIRECT("'盛付札（関数）'!FK"&amp;DQ25+1),INDIRECT("'盛付札（関数）'!FK"&amp;DQ25))))</f>
        <v/>
      </c>
      <c r="DT26" s="70"/>
      <c r="DU26" s="70"/>
      <c r="DV26" s="77" t="str">
        <f t="array" aca="1" ref="DV26" ca="1">IF(DS25&lt;&gt;"",
IF(OR(INDIRECT("'盛付札（関数）'!FI"&amp;DQ25)=121,INDIRECT("'盛付札（関数）'!FI"&amp;DQ25)=122,INDIRECT("'盛付札（関数）'!FI"&amp;DQ25)=123),"",
IF(DR26="●",
SUBSTITUTE(SUBSTITUTE(SUBSTITUTE(INDIRECT("'盛付札（関数）'!FL"&amp;DQ25),100,""),120,""),150,""),
IF(DR26="△",
IF(INDIRECT("'盛付札（関数）'!FL"&amp;DQ25+1)&lt;&gt;"",
INDIRECT("'盛付札（関数）'!FL"&amp;DQ25+1),INDIRECT("'盛付札（関数）'!FM"&amp;DQ25+1)),
IF(INDIRECT("'盛付札（関数）'!FL"&amp;DQ25)&lt;&gt;"",
INDIRECT("'盛付札（関数）'!FL"&amp;DQ25),INDIRECT("'盛付札（関数）'!FM"&amp;DQ25))))),"")</f>
        <v/>
      </c>
      <c r="DW26" s="68"/>
      <c r="DX26" s="78"/>
      <c r="DY26" s="61" t="str">
        <f ca="1">IF(COUNTIF(INDIRECT("'盛付札（関数）'!FJ"&amp;DX25+1),"*雙葉*"),"●",
"〇")</f>
        <v>〇</v>
      </c>
      <c r="DZ26" s="76" t="str">
        <f t="array" aca="1" ref="DZ26" ca="1">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IF(DY26="△",
INDIRECT("'盛付札（関数）'!FK"&amp;DX25+1),INDIRECT("'盛付札（関数）'!FK"&amp;DX25))))</f>
        <v/>
      </c>
      <c r="EA26" s="70"/>
      <c r="EB26" s="70"/>
      <c r="EC26" s="77" t="str">
        <f t="array" aca="1" ref="EC26" ca="1">IF(DZ25&lt;&gt;"",
IF(OR(INDIRECT("'盛付札（関数）'!FI"&amp;DX25)=121,INDIRECT("'盛付札（関数）'!FI"&amp;DX25)=122,INDIRECT("'盛付札（関数）'!FI"&amp;DX25)=123),"",
IF(DY26="●",
SUBSTITUTE(SUBSTITUTE(SUBSTITUTE(INDIRECT("'盛付札（関数）'!FL"&amp;DX25),100,""),120,""),150,""),
IF(DY26="△",
IF(INDIRECT("'盛付札（関数）'!FL"&amp;DX25+1)&lt;&gt;"",
INDIRECT("'盛付札（関数）'!FL"&amp;DX25+1),INDIRECT("'盛付札（関数）'!FM"&amp;DX25+1)),
IF(INDIRECT("'盛付札（関数）'!FL"&amp;DX25)&lt;&gt;"",
INDIRECT("'盛付札（関数）'!FL"&amp;DX25),INDIRECT("'盛付札（関数）'!FM"&amp;DX25))))),"")</f>
        <v/>
      </c>
      <c r="ED26" s="68"/>
      <c r="EE26" s="49"/>
      <c r="EF26" s="59"/>
      <c r="EG26" s="61" t="str">
        <f ca="1">IF(COUNTIF(INDIRECT("'盛付札（関数）'!FJ"&amp;EF25+1),"*雙葉*"),"●",
"〇")</f>
        <v>〇</v>
      </c>
      <c r="EH26" s="76" t="str">
        <f t="array" aca="1" ref="EH26" ca="1">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IF(EG26="△",
INDIRECT("'盛付札（関数）'!FK"&amp;EF25+1),INDIRECT("'盛付札（関数）'!FK"&amp;EF25))))</f>
        <v/>
      </c>
      <c r="EI26" s="70"/>
      <c r="EJ26" s="70"/>
      <c r="EK26" s="77" t="str">
        <f t="array" aca="1" ref="EK26" ca="1">IF(EH25&lt;&gt;"",
IF(OR(INDIRECT("'盛付札（関数）'!FI"&amp;EF25)=121,INDIRECT("'盛付札（関数）'!FI"&amp;EF25)=122,INDIRECT("'盛付札（関数）'!FI"&amp;EF25)=123),"",
IF(EG26="●",
SUBSTITUTE(SUBSTITUTE(SUBSTITUTE(INDIRECT("'盛付札（関数）'!FL"&amp;EF25),100,""),120,""),150,""),
IF(EG26="△",
IF(INDIRECT("'盛付札（関数）'!FL"&amp;EF25+1)&lt;&gt;"",
INDIRECT("'盛付札（関数）'!FL"&amp;EF25+1),INDIRECT("'盛付札（関数）'!FM"&amp;EF25+1)),
IF(INDIRECT("'盛付札（関数）'!FL"&amp;EF25)&lt;&gt;"",
INDIRECT("'盛付札（関数）'!FL"&amp;EF25),INDIRECT("'盛付札（関数）'!FM"&amp;EF25))))),"")</f>
        <v/>
      </c>
      <c r="EL26" s="68"/>
      <c r="EM26" s="78"/>
      <c r="EN26" s="61" t="str">
        <f ca="1">IF(COUNTIF(INDIRECT("'盛付札（関数）'!FJ"&amp;EM25+1),"*雙葉*"),"●",
"〇")</f>
        <v>〇</v>
      </c>
      <c r="EO26" s="76" t="str">
        <f t="array" aca="1" ref="EO26" ca="1">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IF(EN26="△",
INDIRECT("'盛付札（関数）'!FK"&amp;EM25+1),INDIRECT("'盛付札（関数）'!FK"&amp;EM25))))</f>
        <v/>
      </c>
      <c r="EP26" s="70"/>
      <c r="EQ26" s="70"/>
      <c r="ER26" s="77" t="str">
        <f t="array" aca="1" ref="ER26" ca="1">IF(EO25&lt;&gt;"",
IF(OR(INDIRECT("'盛付札（関数）'!FI"&amp;EM25)=121,INDIRECT("'盛付札（関数）'!FI"&amp;EM25)=122,INDIRECT("'盛付札（関数）'!FI"&amp;EM25)=123),"",
IF(EN26="●",
SUBSTITUTE(SUBSTITUTE(SUBSTITUTE(INDIRECT("'盛付札（関数）'!FL"&amp;EM25),100,""),120,""),150,""),
IF(EN26="△",
IF(INDIRECT("'盛付札（関数）'!FL"&amp;EM25+1)&lt;&gt;"",
INDIRECT("'盛付札（関数）'!FL"&amp;EM25+1),INDIRECT("'盛付札（関数）'!FM"&amp;EM25+1)),
IF(INDIRECT("'盛付札（関数）'!FL"&amp;EM25)&lt;&gt;"",
INDIRECT("'盛付札（関数）'!FL"&amp;EM25),INDIRECT("'盛付札（関数）'!FM"&amp;EM25))))),"")</f>
        <v/>
      </c>
      <c r="ES26" s="68"/>
      <c r="ET26" s="49"/>
    </row>
    <row r="27" spans="1:150" s="60" customFormat="1" x14ac:dyDescent="0.55000000000000004">
      <c r="A27" s="59"/>
      <c r="B27" s="63"/>
      <c r="C27" s="200" t="e">
        <f t="array" aca="1" ref="C27" ca="1">IF(C25&lt;&gt;"",
IF(C28&lt;&gt;"",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"園児")),""),"")</f>
        <v>#N/A</v>
      </c>
      <c r="D27" s="201"/>
      <c r="E27" s="49"/>
      <c r="F27" s="60" t="str">
        <f t="array" aca="1" ref="F27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"先生")),"")</f>
        <v>先生</v>
      </c>
      <c r="G27" s="69"/>
      <c r="H27" s="65"/>
      <c r="I27" s="63"/>
      <c r="J27" s="200" t="str">
        <f t="array" aca="1" ref="J27" ca="1">IF(J25&lt;&gt;"",
IF(J28&lt;&gt;"",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"園児")),""),"")</f>
        <v/>
      </c>
      <c r="K27" s="201"/>
      <c r="L27" s="49"/>
      <c r="M27" s="60" t="str">
        <f t="array" aca="1" ref="M27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"先生")),"")</f>
        <v>先生</v>
      </c>
      <c r="N27" s="69"/>
      <c r="O27" s="49"/>
      <c r="P27" s="59"/>
      <c r="Q27" s="63"/>
      <c r="R27" s="200" t="str">
        <f t="array" aca="1" ref="R27" ca="1">IF(R25&lt;&gt;"",
IF(R28&lt;&gt;"",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"園児")),""),"")</f>
        <v/>
      </c>
      <c r="S27" s="201"/>
      <c r="T27" s="49"/>
      <c r="U27" s="60" t="str">
        <f t="array" aca="1" ref="U27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"先生")),"")</f>
        <v/>
      </c>
      <c r="V27" s="69"/>
      <c r="W27" s="65"/>
      <c r="X27" s="63"/>
      <c r="Y27" s="200" t="str">
        <f t="array" aca="1" ref="Y27" ca="1">IF(Y25&lt;&gt;"",
IF(Y28&lt;&gt;"",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"園児")),""),"")</f>
        <v/>
      </c>
      <c r="Z27" s="201"/>
      <c r="AA27" s="49"/>
      <c r="AB27" s="60" t="str">
        <f t="array" aca="1" ref="AB27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"先生")),"")</f>
        <v/>
      </c>
      <c r="AC27" s="69"/>
      <c r="AD27" s="49"/>
      <c r="AE27" s="59"/>
      <c r="AF27" s="63"/>
      <c r="AG27" s="200" t="str">
        <f t="array" aca="1" ref="AG27" ca="1">IF(AG25&lt;&gt;"",
IF(AG28&lt;&gt;"",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"園児")),""),"")</f>
        <v/>
      </c>
      <c r="AH27" s="201"/>
      <c r="AI27" s="49"/>
      <c r="AJ27" s="60" t="str">
        <f t="array" aca="1" ref="AJ27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"先生")),"")</f>
        <v/>
      </c>
      <c r="AK27" s="69"/>
      <c r="AL27" s="65"/>
      <c r="AM27" s="63"/>
      <c r="AN27" s="200" t="str">
        <f t="array" aca="1" ref="AN27" ca="1">IF(AN25&lt;&gt;"",
IF(AN28&lt;&gt;"",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"園児")),""),"")</f>
        <v/>
      </c>
      <c r="AO27" s="201"/>
      <c r="AP27" s="49"/>
      <c r="AQ27" s="60" t="str">
        <f t="array" aca="1" ref="AQ27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"先生")),"")</f>
        <v/>
      </c>
      <c r="AR27" s="69"/>
      <c r="AS27" s="49"/>
      <c r="AT27" s="59"/>
      <c r="AU27" s="63"/>
      <c r="AV27" s="200" t="str">
        <f t="array" aca="1" ref="AV27" ca="1">IF(AV25&lt;&gt;"",
IF(AV28&lt;&gt;"",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"園児")),""),"")</f>
        <v/>
      </c>
      <c r="AW27" s="201"/>
      <c r="AX27" s="49"/>
      <c r="AY27" s="60" t="str">
        <f t="array" aca="1" ref="AY27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"先生")),"")</f>
        <v/>
      </c>
      <c r="AZ27" s="69"/>
      <c r="BA27" s="65"/>
      <c r="BB27" s="63"/>
      <c r="BC27" s="200" t="str">
        <f t="array" aca="1" ref="BC27" ca="1">IF(BC25&lt;&gt;"",
IF(BC28&lt;&gt;"",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"園児")),""),"")</f>
        <v/>
      </c>
      <c r="BD27" s="201"/>
      <c r="BE27" s="49"/>
      <c r="BF27" s="60" t="str">
        <f t="array" aca="1" ref="BF27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"先生")),"")</f>
        <v/>
      </c>
      <c r="BG27" s="69"/>
      <c r="BH27" s="49"/>
      <c r="BI27" s="59"/>
      <c r="BJ27" s="63"/>
      <c r="BK27" s="200" t="str">
        <f t="array" aca="1" ref="BK27" ca="1">IF(BK25&lt;&gt;"",
IF(BK28&lt;&gt;"",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"園児")),""),"")</f>
        <v/>
      </c>
      <c r="BL27" s="201"/>
      <c r="BM27" s="49"/>
      <c r="BN27" s="60" t="str">
        <f t="array" aca="1" ref="BN27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"先生")),"")</f>
        <v/>
      </c>
      <c r="BO27" s="69"/>
      <c r="BP27" s="65"/>
      <c r="BQ27" s="63"/>
      <c r="BR27" s="200" t="str">
        <f t="array" aca="1" ref="BR27" ca="1">IF(BR25&lt;&gt;"",
IF(BR28&lt;&gt;"",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"園児")),""),"")</f>
        <v/>
      </c>
      <c r="BS27" s="201"/>
      <c r="BT27" s="49"/>
      <c r="BU27" s="60" t="str">
        <f t="array" aca="1" ref="BU27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"先生")),"")</f>
        <v/>
      </c>
      <c r="BV27" s="69"/>
      <c r="BW27" s="49"/>
      <c r="BX27" s="59"/>
      <c r="BY27" s="63"/>
      <c r="BZ27" s="200" t="str">
        <f t="array" aca="1" ref="BZ27" ca="1">IF(BZ25&lt;&gt;"",
IF(BZ28&lt;&gt;"",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"園児")),""),"")</f>
        <v/>
      </c>
      <c r="CA27" s="201"/>
      <c r="CB27" s="49"/>
      <c r="CC27" s="60" t="str">
        <f t="array" aca="1" ref="CC27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"先生")),"")</f>
        <v/>
      </c>
      <c r="CD27" s="69"/>
      <c r="CE27" s="65"/>
      <c r="CF27" s="63"/>
      <c r="CG27" s="200" t="str">
        <f t="array" aca="1" ref="CG27" ca="1">IF(CG25&lt;&gt;"",
IF(CG28&lt;&gt;"",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"園児")),""),"")</f>
        <v/>
      </c>
      <c r="CH27" s="201"/>
      <c r="CI27" s="49"/>
      <c r="CJ27" s="60" t="str">
        <f t="array" aca="1" ref="CJ27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"先生")),"")</f>
        <v/>
      </c>
      <c r="CK27" s="69"/>
      <c r="CL27" s="49"/>
      <c r="CM27" s="59"/>
      <c r="CN27" s="63"/>
      <c r="CO27" s="200" t="str">
        <f t="array" aca="1" ref="CO27" ca="1">IF(CO25&lt;&gt;"",
IF(CO28&lt;&gt;"",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"園児")),""),"")</f>
        <v/>
      </c>
      <c r="CP27" s="201"/>
      <c r="CQ27" s="49"/>
      <c r="CR27" s="60" t="str">
        <f t="array" aca="1" ref="CR27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"先生")),"")</f>
        <v/>
      </c>
      <c r="CS27" s="69"/>
      <c r="CT27" s="65"/>
      <c r="CU27" s="63"/>
      <c r="CV27" s="200" t="str">
        <f t="array" aca="1" ref="CV27" ca="1">IF(CV25&lt;&gt;"",
IF(CV28&lt;&gt;"",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"園児")),""),"")</f>
        <v/>
      </c>
      <c r="CW27" s="201"/>
      <c r="CX27" s="49"/>
      <c r="CY27" s="60" t="str">
        <f t="array" aca="1" ref="CY27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"先生")),"")</f>
        <v/>
      </c>
      <c r="CZ27" s="69"/>
      <c r="DA27" s="49"/>
      <c r="DB27" s="59"/>
      <c r="DC27" s="63"/>
      <c r="DD27" s="200" t="str">
        <f t="array" aca="1" ref="DD27" ca="1">IF(DD25&lt;&gt;"",
IF(DD28&lt;&gt;"",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"園児")),""),"")</f>
        <v/>
      </c>
      <c r="DE27" s="201"/>
      <c r="DF27" s="49"/>
      <c r="DG27" s="60" t="str">
        <f t="array" aca="1" ref="DG27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"先生")),"")</f>
        <v/>
      </c>
      <c r="DH27" s="69"/>
      <c r="DI27" s="65"/>
      <c r="DJ27" s="63"/>
      <c r="DK27" s="200" t="str">
        <f t="array" aca="1" ref="DK27" ca="1">IF(DK25&lt;&gt;"",
IF(DK28&lt;&gt;"",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"園児")),""),"")</f>
        <v/>
      </c>
      <c r="DL27" s="201"/>
      <c r="DM27" s="49"/>
      <c r="DN27" s="60" t="str">
        <f t="array" aca="1" ref="DN27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"先生")),"")</f>
        <v/>
      </c>
      <c r="DO27" s="69"/>
      <c r="DP27" s="49"/>
      <c r="DQ27" s="59"/>
      <c r="DR27" s="63"/>
      <c r="DS27" s="200" t="str">
        <f t="array" aca="1" ref="DS27" ca="1">IF(DS25&lt;&gt;"",
IF(DS28&lt;&gt;"",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"園児")),""),"")</f>
        <v/>
      </c>
      <c r="DT27" s="201"/>
      <c r="DU27" s="49"/>
      <c r="DV27" s="60" t="str">
        <f t="array" aca="1" ref="DV27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"先生")),"")</f>
        <v/>
      </c>
      <c r="DW27" s="69"/>
      <c r="DX27" s="65"/>
      <c r="DY27" s="63"/>
      <c r="DZ27" s="200" t="str">
        <f t="array" aca="1" ref="DZ27" ca="1">IF(DZ25&lt;&gt;"",
IF(DZ28&lt;&gt;"",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"園児")),""),"")</f>
        <v/>
      </c>
      <c r="EA27" s="201"/>
      <c r="EB27" s="49"/>
      <c r="EC27" s="60" t="str">
        <f t="array" aca="1" ref="EC27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"先生")),"")</f>
        <v/>
      </c>
      <c r="ED27" s="69"/>
      <c r="EE27" s="49"/>
      <c r="EF27" s="59"/>
      <c r="EG27" s="63"/>
      <c r="EH27" s="200" t="str">
        <f t="array" aca="1" ref="EH27" ca="1">IF(EH25&lt;&gt;"",
IF(EH28&lt;&gt;"",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"園児")),""),"")</f>
        <v/>
      </c>
      <c r="EI27" s="201"/>
      <c r="EJ27" s="49"/>
      <c r="EK27" s="60" t="str">
        <f t="array" aca="1" ref="EK27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"先生")),"")</f>
        <v/>
      </c>
      <c r="EL27" s="69"/>
      <c r="EM27" s="65"/>
      <c r="EN27" s="63"/>
      <c r="EO27" s="200" t="str">
        <f t="array" aca="1" ref="EO27" ca="1">IF(EO25&lt;&gt;"",
IF(EO28&lt;&gt;"",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"園児")),""),"")</f>
        <v/>
      </c>
      <c r="EP27" s="201"/>
      <c r="EQ27" s="49"/>
      <c r="ER27" s="60" t="str">
        <f t="array" aca="1" ref="ER27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"先生")),"")</f>
        <v/>
      </c>
      <c r="ES27" s="69"/>
      <c r="ET27" s="49"/>
    </row>
    <row r="28" spans="1:150" ht="15.6" customHeight="1" x14ac:dyDescent="1.05">
      <c r="B28" s="53"/>
      <c r="C28" s="185" t="e">
        <f t="array" aca="1" ref="C28" ca="1">IF(B26="●",
INDIRECT("'盛付札（関数）'!FN"&amp;A25)+INDIRECT("'盛付札（関数）'!FN"&amp;A25+1),
IF(B26="△",
INDIRECT("'盛付札（関数）'!FN"&amp;A25+1),INDIRECT("'盛付札（関数）'!FN"&amp;A25)))</f>
        <v>#N/A</v>
      </c>
      <c r="D28" s="199"/>
      <c r="E28" s="79"/>
      <c r="F28" s="197" t="str">
        <f t="array" aca="1" ref="F28" ca="1">IF(C25&lt;&gt;"",
IF(AND(INDIRECT("'盛付札（関数）'!FI"&amp;A25)&gt;=124,INDIRECT("'盛付札（関数）'!FI"&amp;A25)&lt;=144),"",
IF(OR(INDIRECT("'盛付札（関数）'!FI"&amp;A25)=121,INDIRECT("'盛付札（関数）'!FI"&amp;A25)=122,INDIRECT("'盛付札（関数）'!FI"&amp;A25)=123),"",
IF(B26="●",
IFERROR(INDIRECT("'盛付札（関数）'!FO"&amp;A25)+INDIRECT("'盛付札（関数）'!FO"&amp;A25+1),""),
IF(B26="△",
INDIRECT("'盛付札（関数）'!FO"&amp;A25+1),INDIRECT("'盛付札（関数）'!FO"&amp;A25))))),"")</f>
        <v/>
      </c>
      <c r="G28" s="198"/>
      <c r="H28" s="54"/>
      <c r="I28" s="53"/>
      <c r="J28" s="185" t="str">
        <f t="array" aca="1" ref="J28" ca="1">IF(I26="●",
INDIRECT("'盛付札（関数）'!FN"&amp;H25)+INDIRECT("'盛付札（関数）'!FN"&amp;H25+1),
IF(I26="△",
INDIRECT("'盛付札（関数）'!FN"&amp;H25+1),INDIRECT("'盛付札（関数）'!FN"&amp;H25)))</f>
        <v/>
      </c>
      <c r="K28" s="199"/>
      <c r="L28" s="79"/>
      <c r="M28" s="197" t="e">
        <f t="array" aca="1" ref="M28" ca="1">IF(J25&lt;&gt;"",
IF(AND(INDIRECT("'盛付札（関数）'!FI"&amp;H25)&gt;=124,INDIRECT("'盛付札（関数）'!FI"&amp;H25)&lt;=144),"",
IF(OR(INDIRECT("'盛付札（関数）'!FI"&amp;H25)=121,INDIRECT("'盛付札（関数）'!FI"&amp;H25)=122,INDIRECT("'盛付札（関数）'!FI"&amp;H25)=123),"",
IF(I26="●",
IFERROR(INDIRECT("'盛付札（関数）'!FO"&amp;H25)+INDIRECT("'盛付札（関数）'!FO"&amp;H25+1),""),
IF(I26="△",
INDIRECT("'盛付札（関数）'!FO"&amp;H25+1),INDIRECT("'盛付札（関数）'!FO"&amp;H25))))),"")</f>
        <v>#N/A</v>
      </c>
      <c r="N28" s="198"/>
      <c r="Q28" s="53"/>
      <c r="R28" s="185" t="str">
        <f t="array" aca="1" ref="R28" ca="1">IF(Q26="●",
INDIRECT("'盛付札（関数）'!FN"&amp;P25)+INDIRECT("'盛付札（関数）'!FN"&amp;P25+1),
IF(Q26="△",
INDIRECT("'盛付札（関数）'!FN"&amp;P25+1),INDIRECT("'盛付札（関数）'!FN"&amp;P25)))</f>
        <v/>
      </c>
      <c r="S28" s="199"/>
      <c r="T28" s="79"/>
      <c r="U28" s="197" t="str">
        <f t="array" aca="1" ref="U28" ca="1">IF(R25&lt;&gt;"",
IF(AND(INDIRECT("'盛付札（関数）'!FI"&amp;P25)&gt;=124,INDIRECT("'盛付札（関数）'!FI"&amp;P25)&lt;=144),"",
IF(OR(INDIRECT("'盛付札（関数）'!FI"&amp;P25)=121,INDIRECT("'盛付札（関数）'!FI"&amp;P25)=122,INDIRECT("'盛付札（関数）'!FI"&amp;P25)=123),"",
IF(Q26="●",
IFERROR(INDIRECT("'盛付札（関数）'!FO"&amp;P25)+INDIRECT("'盛付札（関数）'!FO"&amp;P25+1),""),
IF(Q26="△",
INDIRECT("'盛付札（関数）'!FO"&amp;P25+1),INDIRECT("'盛付札（関数）'!FO"&amp;P25))))),"")</f>
        <v/>
      </c>
      <c r="V28" s="198"/>
      <c r="W28" s="54"/>
      <c r="X28" s="53"/>
      <c r="Y28" s="185" t="str">
        <f t="array" aca="1" ref="Y28" ca="1">IF(X26="●",
INDIRECT("'盛付札（関数）'!FN"&amp;W25)+INDIRECT("'盛付札（関数）'!FN"&amp;W25+1),
IF(X26="△",
INDIRECT("'盛付札（関数）'!FN"&amp;W25+1),INDIRECT("'盛付札（関数）'!FN"&amp;W25)))</f>
        <v/>
      </c>
      <c r="Z28" s="199"/>
      <c r="AA28" s="79"/>
      <c r="AB28" s="197" t="str">
        <f t="array" aca="1" ref="AB28" ca="1">IF(Y25&lt;&gt;"",
IF(AND(INDIRECT("'盛付札（関数）'!FI"&amp;W25)&gt;=124,INDIRECT("'盛付札（関数）'!FI"&amp;W25)&lt;=144),"",
IF(OR(INDIRECT("'盛付札（関数）'!FI"&amp;W25)=121,INDIRECT("'盛付札（関数）'!FI"&amp;W25)=122,INDIRECT("'盛付札（関数）'!FI"&amp;W25)=123),"",
IF(X26="●",
IFERROR(INDIRECT("'盛付札（関数）'!FO"&amp;W25)+INDIRECT("'盛付札（関数）'!FO"&amp;W25+1),""),
IF(X26="△",
INDIRECT("'盛付札（関数）'!FO"&amp;W25+1),INDIRECT("'盛付札（関数）'!FO"&amp;W25))))),"")</f>
        <v/>
      </c>
      <c r="AC28" s="198"/>
      <c r="AF28" s="53"/>
      <c r="AG28" s="185" t="str">
        <f t="array" aca="1" ref="AG28" ca="1">IF(AF26="●",
INDIRECT("'盛付札（関数）'!FN"&amp;AE25)+INDIRECT("'盛付札（関数）'!FN"&amp;AE25+1),
IF(AF26="△",
INDIRECT("'盛付札（関数）'!FN"&amp;AE25+1),INDIRECT("'盛付札（関数）'!FN"&amp;AE25)))</f>
        <v/>
      </c>
      <c r="AH28" s="199"/>
      <c r="AI28" s="79"/>
      <c r="AJ28" s="197" t="str">
        <f t="array" aca="1" ref="AJ28" ca="1">IF(AG25&lt;&gt;"",
IF(AND(INDIRECT("'盛付札（関数）'!FI"&amp;AE25)&gt;=124,INDIRECT("'盛付札（関数）'!FI"&amp;AE25)&lt;=144),"",
IF(OR(INDIRECT("'盛付札（関数）'!FI"&amp;AE25)=121,INDIRECT("'盛付札（関数）'!FI"&amp;AE25)=122,INDIRECT("'盛付札（関数）'!FI"&amp;AE25)=123),"",
IF(AF26="●",
IFERROR(INDIRECT("'盛付札（関数）'!FO"&amp;AE25)+INDIRECT("'盛付札（関数）'!FO"&amp;AE25+1),""),
IF(AF26="△",
INDIRECT("'盛付札（関数）'!FO"&amp;AE25+1),INDIRECT("'盛付札（関数）'!FO"&amp;AE25))))),"")</f>
        <v/>
      </c>
      <c r="AK28" s="198"/>
      <c r="AL28" s="54"/>
      <c r="AM28" s="53"/>
      <c r="AN28" s="185" t="str">
        <f t="array" aca="1" ref="AN28" ca="1">IF(AM26="●",
INDIRECT("'盛付札（関数）'!FN"&amp;AL25)+INDIRECT("'盛付札（関数）'!FN"&amp;AL25+1),
IF(AM26="△",
INDIRECT("'盛付札（関数）'!FN"&amp;AL25+1),INDIRECT("'盛付札（関数）'!FN"&amp;AL25)))</f>
        <v/>
      </c>
      <c r="AO28" s="199"/>
      <c r="AP28" s="79"/>
      <c r="AQ28" s="197" t="str">
        <f t="array" aca="1" ref="AQ28" ca="1">IF(AN25&lt;&gt;"",
IF(AND(INDIRECT("'盛付札（関数）'!FI"&amp;AL25)&gt;=124,INDIRECT("'盛付札（関数）'!FI"&amp;AL25)&lt;=144),"",
IF(OR(INDIRECT("'盛付札（関数）'!FI"&amp;AL25)=121,INDIRECT("'盛付札（関数）'!FI"&amp;AL25)=122,INDIRECT("'盛付札（関数）'!FI"&amp;AL25)=123),"",
IF(AM26="●",
IFERROR(INDIRECT("'盛付札（関数）'!FO"&amp;AL25)+INDIRECT("'盛付札（関数）'!FO"&amp;AL25+1),""),
IF(AM26="△",
INDIRECT("'盛付札（関数）'!FO"&amp;AL25+1),INDIRECT("'盛付札（関数）'!FO"&amp;AL25))))),"")</f>
        <v/>
      </c>
      <c r="AR28" s="198"/>
      <c r="AU28" s="53"/>
      <c r="AV28" s="185" t="str">
        <f t="array" aca="1" ref="AV28" ca="1">IF(AU26="●",
INDIRECT("'盛付札（関数）'!FN"&amp;AT25)+INDIRECT("'盛付札（関数）'!FN"&amp;AT25+1),
IF(AU26="△",
INDIRECT("'盛付札（関数）'!FN"&amp;AT25+1),INDIRECT("'盛付札（関数）'!FN"&amp;AT25)))</f>
        <v/>
      </c>
      <c r="AW28" s="199"/>
      <c r="AX28" s="79"/>
      <c r="AY28" s="197" t="str">
        <f t="array" aca="1" ref="AY28" ca="1">IF(AV25&lt;&gt;"",
IF(AND(INDIRECT("'盛付札（関数）'!FI"&amp;AT25)&gt;=124,INDIRECT("'盛付札（関数）'!FI"&amp;AT25)&lt;=144),"",
IF(OR(INDIRECT("'盛付札（関数）'!FI"&amp;AT25)=121,INDIRECT("'盛付札（関数）'!FI"&amp;AT25)=122,INDIRECT("'盛付札（関数）'!FI"&amp;AT25)=123),"",
IF(AU26="●",
IFERROR(INDIRECT("'盛付札（関数）'!FO"&amp;AT25)+INDIRECT("'盛付札（関数）'!FO"&amp;AT25+1),""),
IF(AU26="△",
INDIRECT("'盛付札（関数）'!FO"&amp;AT25+1),INDIRECT("'盛付札（関数）'!FO"&amp;AT25))))),"")</f>
        <v/>
      </c>
      <c r="AZ28" s="198"/>
      <c r="BA28" s="54"/>
      <c r="BB28" s="53"/>
      <c r="BC28" s="185" t="str">
        <f t="array" aca="1" ref="BC28" ca="1">IF(BB26="●",
INDIRECT("'盛付札（関数）'!FN"&amp;BA25)+INDIRECT("'盛付札（関数）'!FN"&amp;BA25+1),
IF(BB26="△",
INDIRECT("'盛付札（関数）'!FN"&amp;BA25+1),INDIRECT("'盛付札（関数）'!FN"&amp;BA25)))</f>
        <v/>
      </c>
      <c r="BD28" s="199"/>
      <c r="BE28" s="79"/>
      <c r="BF28" s="197" t="str">
        <f t="array" aca="1" ref="BF28" ca="1">IF(BC25&lt;&gt;"",
IF(AND(INDIRECT("'盛付札（関数）'!FI"&amp;BA25)&gt;=124,INDIRECT("'盛付札（関数）'!FI"&amp;BA25)&lt;=144),"",
IF(OR(INDIRECT("'盛付札（関数）'!FI"&amp;BA25)=121,INDIRECT("'盛付札（関数）'!FI"&amp;BA25)=122,INDIRECT("'盛付札（関数）'!FI"&amp;BA25)=123),"",
IF(BB26="●",
IFERROR(INDIRECT("'盛付札（関数）'!FO"&amp;BA25)+INDIRECT("'盛付札（関数）'!FO"&amp;BA25+1),""),
IF(BB26="△",
INDIRECT("'盛付札（関数）'!FO"&amp;BA25+1),INDIRECT("'盛付札（関数）'!FO"&amp;BA25))))),"")</f>
        <v/>
      </c>
      <c r="BG28" s="198"/>
      <c r="BJ28" s="53"/>
      <c r="BK28" s="185" t="str">
        <f t="array" aca="1" ref="BK28" ca="1">IF(BJ26="●",
INDIRECT("'盛付札（関数）'!FN"&amp;BI25)+INDIRECT("'盛付札（関数）'!FN"&amp;BI25+1),
IF(BJ26="△",
INDIRECT("'盛付札（関数）'!FN"&amp;BI25+1),INDIRECT("'盛付札（関数）'!FN"&amp;BI25)))</f>
        <v/>
      </c>
      <c r="BL28" s="199"/>
      <c r="BM28" s="79"/>
      <c r="BN28" s="197" t="str">
        <f t="array" aca="1" ref="BN28" ca="1">IF(BK25&lt;&gt;"",
IF(AND(INDIRECT("'盛付札（関数）'!FI"&amp;BI25)&gt;=124,INDIRECT("'盛付札（関数）'!FI"&amp;BI25)&lt;=144),"",
IF(OR(INDIRECT("'盛付札（関数）'!FI"&amp;BI25)=121,INDIRECT("'盛付札（関数）'!FI"&amp;BI25)=122,INDIRECT("'盛付札（関数）'!FI"&amp;BI25)=123),"",
IF(BJ26="●",
IFERROR(INDIRECT("'盛付札（関数）'!FO"&amp;BI25)+INDIRECT("'盛付札（関数）'!FO"&amp;BI25+1),""),
IF(BJ26="△",
INDIRECT("'盛付札（関数）'!FO"&amp;BI25+1),INDIRECT("'盛付札（関数）'!FO"&amp;BI25))))),"")</f>
        <v/>
      </c>
      <c r="BO28" s="198"/>
      <c r="BP28" s="54"/>
      <c r="BQ28" s="53"/>
      <c r="BR28" s="185" t="str">
        <f t="array" aca="1" ref="BR28" ca="1">IF(BQ26="●",
INDIRECT("'盛付札（関数）'!FN"&amp;BP25)+INDIRECT("'盛付札（関数）'!FN"&amp;BP25+1),
IF(BQ26="△",
INDIRECT("'盛付札（関数）'!FN"&amp;BP25+1),INDIRECT("'盛付札（関数）'!FN"&amp;BP25)))</f>
        <v/>
      </c>
      <c r="BS28" s="199"/>
      <c r="BT28" s="79"/>
      <c r="BU28" s="197" t="str">
        <f t="array" aca="1" ref="BU28" ca="1">IF(BR25&lt;&gt;"",
IF(AND(INDIRECT("'盛付札（関数）'!FI"&amp;BP25)&gt;=124,INDIRECT("'盛付札（関数）'!FI"&amp;BP25)&lt;=144),"",
IF(OR(INDIRECT("'盛付札（関数）'!FI"&amp;BP25)=121,INDIRECT("'盛付札（関数）'!FI"&amp;BP25)=122,INDIRECT("'盛付札（関数）'!FI"&amp;BP25)=123),"",
IF(BQ26="●",
IFERROR(INDIRECT("'盛付札（関数）'!FO"&amp;BP25)+INDIRECT("'盛付札（関数）'!FO"&amp;BP25+1),""),
IF(BQ26="△",
INDIRECT("'盛付札（関数）'!FO"&amp;BP25+1),INDIRECT("'盛付札（関数）'!FO"&amp;BP25))))),"")</f>
        <v/>
      </c>
      <c r="BV28" s="198"/>
      <c r="BY28" s="53"/>
      <c r="BZ28" s="185" t="str">
        <f t="array" aca="1" ref="BZ28" ca="1">IF(BY26="●",
INDIRECT("'盛付札（関数）'!FN"&amp;BX25)+INDIRECT("'盛付札（関数）'!FN"&amp;BX25+1),
IF(BY26="△",
INDIRECT("'盛付札（関数）'!FN"&amp;BX25+1),INDIRECT("'盛付札（関数）'!FN"&amp;BX25)))</f>
        <v/>
      </c>
      <c r="CA28" s="199"/>
      <c r="CB28" s="79"/>
      <c r="CC28" s="197" t="str">
        <f t="array" aca="1" ref="CC28" ca="1">IF(BZ25&lt;&gt;"",
IF(AND(INDIRECT("'盛付札（関数）'!FI"&amp;BX25)&gt;=124,INDIRECT("'盛付札（関数）'!FI"&amp;BX25)&lt;=144),"",
IF(OR(INDIRECT("'盛付札（関数）'!FI"&amp;BX25)=121,INDIRECT("'盛付札（関数）'!FI"&amp;BX25)=122,INDIRECT("'盛付札（関数）'!FI"&amp;BX25)=123),"",
IF(BY26="●",
IFERROR(INDIRECT("'盛付札（関数）'!FO"&amp;BX25)+INDIRECT("'盛付札（関数）'!FO"&amp;BX25+1),""),
IF(BY26="△",
INDIRECT("'盛付札（関数）'!FO"&amp;BX25+1),INDIRECT("'盛付札（関数）'!FO"&amp;BX25))))),"")</f>
        <v/>
      </c>
      <c r="CD28" s="198"/>
      <c r="CE28" s="54"/>
      <c r="CF28" s="53"/>
      <c r="CG28" s="185" t="str">
        <f t="array" aca="1" ref="CG28" ca="1">IF(CF26="●",
INDIRECT("'盛付札（関数）'!FN"&amp;CE25)+INDIRECT("'盛付札（関数）'!FN"&amp;CE25+1),
IF(CF26="△",
INDIRECT("'盛付札（関数）'!FN"&amp;CE25+1),INDIRECT("'盛付札（関数）'!FN"&amp;CE25)))</f>
        <v/>
      </c>
      <c r="CH28" s="199"/>
      <c r="CI28" s="79"/>
      <c r="CJ28" s="197" t="str">
        <f t="array" aca="1" ref="CJ28" ca="1">IF(CG25&lt;&gt;"",
IF(AND(INDIRECT("'盛付札（関数）'!FI"&amp;CE25)&gt;=124,INDIRECT("'盛付札（関数）'!FI"&amp;CE25)&lt;=144),"",
IF(OR(INDIRECT("'盛付札（関数）'!FI"&amp;CE25)=121,INDIRECT("'盛付札（関数）'!FI"&amp;CE25)=122,INDIRECT("'盛付札（関数）'!FI"&amp;CE25)=123),"",
IF(CF26="●",
IFERROR(INDIRECT("'盛付札（関数）'!FO"&amp;CE25)+INDIRECT("'盛付札（関数）'!FO"&amp;CE25+1),""),
IF(CF26="△",
INDIRECT("'盛付札（関数）'!FO"&amp;CE25+1),INDIRECT("'盛付札（関数）'!FO"&amp;CE25))))),"")</f>
        <v/>
      </c>
      <c r="CK28" s="198"/>
      <c r="CN28" s="53"/>
      <c r="CO28" s="185" t="str">
        <f t="array" aca="1" ref="CO28" ca="1">IF(CN26="●",
INDIRECT("'盛付札（関数）'!FN"&amp;CM25)+INDIRECT("'盛付札（関数）'!FN"&amp;CM25+1),
IF(CN26="△",
INDIRECT("'盛付札（関数）'!FN"&amp;CM25+1),INDIRECT("'盛付札（関数）'!FN"&amp;CM25)))</f>
        <v/>
      </c>
      <c r="CP28" s="199"/>
      <c r="CQ28" s="79"/>
      <c r="CR28" s="197" t="str">
        <f t="array" aca="1" ref="CR28" ca="1">IF(CO25&lt;&gt;"",
IF(AND(INDIRECT("'盛付札（関数）'!FI"&amp;CM25)&gt;=124,INDIRECT("'盛付札（関数）'!FI"&amp;CM25)&lt;=144),"",
IF(OR(INDIRECT("'盛付札（関数）'!FI"&amp;CM25)=121,INDIRECT("'盛付札（関数）'!FI"&amp;CM25)=122,INDIRECT("'盛付札（関数）'!FI"&amp;CM25)=123),"",
IF(CN26="●",
IFERROR(INDIRECT("'盛付札（関数）'!FO"&amp;CM25)+INDIRECT("'盛付札（関数）'!FO"&amp;CM25+1),""),
IF(CN26="△",
INDIRECT("'盛付札（関数）'!FO"&amp;CM25+1),INDIRECT("'盛付札（関数）'!FO"&amp;CM25))))),"")</f>
        <v/>
      </c>
      <c r="CS28" s="198"/>
      <c r="CT28" s="54"/>
      <c r="CU28" s="53"/>
      <c r="CV28" s="185" t="str">
        <f t="array" aca="1" ref="CV28" ca="1">IF(CU26="●",
INDIRECT("'盛付札（関数）'!FN"&amp;CT25)+INDIRECT("'盛付札（関数）'!FN"&amp;CT25+1),
IF(CU26="△",
INDIRECT("'盛付札（関数）'!FN"&amp;CT25+1),INDIRECT("'盛付札（関数）'!FN"&amp;CT25)))</f>
        <v/>
      </c>
      <c r="CW28" s="199"/>
      <c r="CX28" s="79"/>
      <c r="CY28" s="197" t="str">
        <f t="array" aca="1" ref="CY28" ca="1">IF(CV25&lt;&gt;"",
IF(AND(INDIRECT("'盛付札（関数）'!FI"&amp;CT25)&gt;=124,INDIRECT("'盛付札（関数）'!FI"&amp;CT25)&lt;=144),"",
IF(OR(INDIRECT("'盛付札（関数）'!FI"&amp;CT25)=121,INDIRECT("'盛付札（関数）'!FI"&amp;CT25)=122,INDIRECT("'盛付札（関数）'!FI"&amp;CT25)=123),"",
IF(CU26="●",
IFERROR(INDIRECT("'盛付札（関数）'!FO"&amp;CT25)+INDIRECT("'盛付札（関数）'!FO"&amp;CT25+1),""),
IF(CU26="△",
INDIRECT("'盛付札（関数）'!FO"&amp;CT25+1),INDIRECT("'盛付札（関数）'!FO"&amp;CT25))))),"")</f>
        <v/>
      </c>
      <c r="CZ28" s="198"/>
      <c r="DC28" s="53"/>
      <c r="DD28" s="185" t="str">
        <f t="array" aca="1" ref="DD28" ca="1">IF(DC26="●",
INDIRECT("'盛付札（関数）'!FN"&amp;DB25)+INDIRECT("'盛付札（関数）'!FN"&amp;DB25+1),
IF(DC26="△",
INDIRECT("'盛付札（関数）'!FN"&amp;DB25+1),INDIRECT("'盛付札（関数）'!FN"&amp;DB25)))</f>
        <v/>
      </c>
      <c r="DE28" s="199"/>
      <c r="DF28" s="79"/>
      <c r="DG28" s="197" t="str">
        <f t="array" aca="1" ref="DG28" ca="1">IF(DD25&lt;&gt;"",
IF(AND(INDIRECT("'盛付札（関数）'!FI"&amp;DB25)&gt;=124,INDIRECT("'盛付札（関数）'!FI"&amp;DB25)&lt;=144),"",
IF(OR(INDIRECT("'盛付札（関数）'!FI"&amp;DB25)=121,INDIRECT("'盛付札（関数）'!FI"&amp;DB25)=122,INDIRECT("'盛付札（関数）'!FI"&amp;DB25)=123),"",
IF(DC26="●",
IFERROR(INDIRECT("'盛付札（関数）'!FO"&amp;DB25)+INDIRECT("'盛付札（関数）'!FO"&amp;DB25+1),""),
IF(DC26="△",
INDIRECT("'盛付札（関数）'!FO"&amp;DB25+1),INDIRECT("'盛付札（関数）'!FO"&amp;DB25))))),"")</f>
        <v/>
      </c>
      <c r="DH28" s="198"/>
      <c r="DI28" s="54"/>
      <c r="DJ28" s="53"/>
      <c r="DK28" s="185" t="str">
        <f t="array" aca="1" ref="DK28" ca="1">IF(DJ26="●",
INDIRECT("'盛付札（関数）'!FN"&amp;DI25)+INDIRECT("'盛付札（関数）'!FN"&amp;DI25+1),
IF(DJ26="△",
INDIRECT("'盛付札（関数）'!FN"&amp;DI25+1),INDIRECT("'盛付札（関数）'!FN"&amp;DI25)))</f>
        <v/>
      </c>
      <c r="DL28" s="199"/>
      <c r="DM28" s="79"/>
      <c r="DN28" s="197" t="str">
        <f t="array" aca="1" ref="DN28" ca="1">IF(DK25&lt;&gt;"",
IF(AND(INDIRECT("'盛付札（関数）'!FI"&amp;DI25)&gt;=124,INDIRECT("'盛付札（関数）'!FI"&amp;DI25)&lt;=144),"",
IF(OR(INDIRECT("'盛付札（関数）'!FI"&amp;DI25)=121,INDIRECT("'盛付札（関数）'!FI"&amp;DI25)=122,INDIRECT("'盛付札（関数）'!FI"&amp;DI25)=123),"",
IF(DJ26="●",
IFERROR(INDIRECT("'盛付札（関数）'!FO"&amp;DI25)+INDIRECT("'盛付札（関数）'!FO"&amp;DI25+1),""),
IF(DJ26="△",
INDIRECT("'盛付札（関数）'!FO"&amp;DI25+1),INDIRECT("'盛付札（関数）'!FO"&amp;DI25))))),"")</f>
        <v/>
      </c>
      <c r="DO28" s="198"/>
      <c r="DR28" s="53"/>
      <c r="DS28" s="185" t="str">
        <f t="array" aca="1" ref="DS28" ca="1">IF(DR26="●",
INDIRECT("'盛付札（関数）'!FN"&amp;DQ25)+INDIRECT("'盛付札（関数）'!FN"&amp;DQ25+1),
IF(DR26="△",
INDIRECT("'盛付札（関数）'!FN"&amp;DQ25+1),INDIRECT("'盛付札（関数）'!FN"&amp;DQ25)))</f>
        <v/>
      </c>
      <c r="DT28" s="199"/>
      <c r="DU28" s="79"/>
      <c r="DV28" s="197" t="str">
        <f t="array" aca="1" ref="DV28" ca="1">IF(DS25&lt;&gt;"",
IF(AND(INDIRECT("'盛付札（関数）'!FI"&amp;DQ25)&gt;=124,INDIRECT("'盛付札（関数）'!FI"&amp;DQ25)&lt;=144),"",
IF(OR(INDIRECT("'盛付札（関数）'!FI"&amp;DQ25)=121,INDIRECT("'盛付札（関数）'!FI"&amp;DQ25)=122,INDIRECT("'盛付札（関数）'!FI"&amp;DQ25)=123),"",
IF(DR26="●",
IFERROR(INDIRECT("'盛付札（関数）'!FO"&amp;DQ25)+INDIRECT("'盛付札（関数）'!FO"&amp;DQ25+1),""),
IF(DR26="△",
INDIRECT("'盛付札（関数）'!FO"&amp;DQ25+1),INDIRECT("'盛付札（関数）'!FO"&amp;DQ25))))),"")</f>
        <v/>
      </c>
      <c r="DW28" s="198"/>
      <c r="DX28" s="54"/>
      <c r="DY28" s="53"/>
      <c r="DZ28" s="185" t="str">
        <f t="array" aca="1" ref="DZ28" ca="1">IF(DY26="●",
INDIRECT("'盛付札（関数）'!FN"&amp;DX25)+INDIRECT("'盛付札（関数）'!FN"&amp;DX25+1),
IF(DY26="△",
INDIRECT("'盛付札（関数）'!FN"&amp;DX25+1),INDIRECT("'盛付札（関数）'!FN"&amp;DX25)))</f>
        <v/>
      </c>
      <c r="EA28" s="199"/>
      <c r="EB28" s="79"/>
      <c r="EC28" s="197" t="str">
        <f t="array" aca="1" ref="EC28" ca="1">IF(DZ25&lt;&gt;"",
IF(AND(INDIRECT("'盛付札（関数）'!FI"&amp;DX25)&gt;=124,INDIRECT("'盛付札（関数）'!FI"&amp;DX25)&lt;=144),"",
IF(OR(INDIRECT("'盛付札（関数）'!FI"&amp;DX25)=121,INDIRECT("'盛付札（関数）'!FI"&amp;DX25)=122,INDIRECT("'盛付札（関数）'!FI"&amp;DX25)=123),"",
IF(DY26="●",
IFERROR(INDIRECT("'盛付札（関数）'!FO"&amp;DX25)+INDIRECT("'盛付札（関数）'!FO"&amp;DX25+1),""),
IF(DY26="△",
INDIRECT("'盛付札（関数）'!FO"&amp;DX25+1),INDIRECT("'盛付札（関数）'!FO"&amp;DX25))))),"")</f>
        <v/>
      </c>
      <c r="ED28" s="198"/>
      <c r="EG28" s="53"/>
      <c r="EH28" s="185" t="str">
        <f t="array" aca="1" ref="EH28" ca="1">IF(EG26="●",
INDIRECT("'盛付札（関数）'!FN"&amp;EF25)+INDIRECT("'盛付札（関数）'!FN"&amp;EF25+1),
IF(EG26="△",
INDIRECT("'盛付札（関数）'!FN"&amp;EF25+1),INDIRECT("'盛付札（関数）'!FN"&amp;EF25)))</f>
        <v/>
      </c>
      <c r="EI28" s="199"/>
      <c r="EJ28" s="79"/>
      <c r="EK28" s="197" t="str">
        <f t="array" aca="1" ref="EK28" ca="1">IF(EH25&lt;&gt;"",
IF(AND(INDIRECT("'盛付札（関数）'!FI"&amp;EF25)&gt;=124,INDIRECT("'盛付札（関数）'!FI"&amp;EF25)&lt;=144),"",
IF(OR(INDIRECT("'盛付札（関数）'!FI"&amp;EF25)=121,INDIRECT("'盛付札（関数）'!FI"&amp;EF25)=122,INDIRECT("'盛付札（関数）'!FI"&amp;EF25)=123),"",
IF(EG26="●",
IFERROR(INDIRECT("'盛付札（関数）'!FO"&amp;EF25)+INDIRECT("'盛付札（関数）'!FO"&amp;EF25+1),""),
IF(EG26="△",
INDIRECT("'盛付札（関数）'!FO"&amp;EF25+1),INDIRECT("'盛付札（関数）'!FO"&amp;EF25))))),"")</f>
        <v/>
      </c>
      <c r="EL28" s="198"/>
      <c r="EM28" s="54"/>
      <c r="EN28" s="53"/>
      <c r="EO28" s="185" t="str">
        <f t="array" aca="1" ref="EO28" ca="1">IF(EN26="●",
INDIRECT("'盛付札（関数）'!FN"&amp;EM25)+INDIRECT("'盛付札（関数）'!FN"&amp;EM25+1),
IF(EN26="△",
INDIRECT("'盛付札（関数）'!FN"&amp;EM25+1),INDIRECT("'盛付札（関数）'!FN"&amp;EM25)))</f>
        <v/>
      </c>
      <c r="EP28" s="199"/>
      <c r="EQ28" s="79"/>
      <c r="ER28" s="197" t="str">
        <f t="array" aca="1" ref="ER28" ca="1">IF(EO25&lt;&gt;"",
IF(AND(INDIRECT("'盛付札（関数）'!FI"&amp;EM25)&gt;=124,INDIRECT("'盛付札（関数）'!FI"&amp;EM25)&lt;=144),"",
IF(OR(INDIRECT("'盛付札（関数）'!FI"&amp;EM25)=121,INDIRECT("'盛付札（関数）'!FI"&amp;EM25)=122,INDIRECT("'盛付札（関数）'!FI"&amp;EM25)=123),"",
IF(EN26="●",
IFERROR(INDIRECT("'盛付札（関数）'!FO"&amp;EM25)+INDIRECT("'盛付札（関数）'!FO"&amp;EM25+1),""),
IF(EN26="△",
INDIRECT("'盛付札（関数）'!FO"&amp;EM25+1),INDIRECT("'盛付札（関数）'!FO"&amp;EM25))))),"")</f>
        <v/>
      </c>
      <c r="ES28" s="198"/>
    </row>
    <row r="29" spans="1:150" ht="15.6" customHeight="1" x14ac:dyDescent="0.45">
      <c r="B29" s="55"/>
      <c r="C29" s="187"/>
      <c r="D29" s="187"/>
      <c r="E29" s="73"/>
      <c r="F29" s="187"/>
      <c r="G29" s="195"/>
      <c r="H29" s="54"/>
      <c r="I29" s="55"/>
      <c r="J29" s="187"/>
      <c r="K29" s="187"/>
      <c r="L29" s="73"/>
      <c r="M29" s="187"/>
      <c r="N29" s="195"/>
      <c r="Q29" s="55"/>
      <c r="R29" s="187"/>
      <c r="S29" s="187"/>
      <c r="T29" s="73"/>
      <c r="U29" s="187"/>
      <c r="V29" s="195"/>
      <c r="W29" s="54"/>
      <c r="X29" s="55"/>
      <c r="Y29" s="187"/>
      <c r="Z29" s="187"/>
      <c r="AA29" s="73"/>
      <c r="AB29" s="187"/>
      <c r="AC29" s="195"/>
      <c r="AF29" s="55"/>
      <c r="AG29" s="187"/>
      <c r="AH29" s="187"/>
      <c r="AI29" s="73"/>
      <c r="AJ29" s="187"/>
      <c r="AK29" s="195"/>
      <c r="AL29" s="54"/>
      <c r="AM29" s="55"/>
      <c r="AN29" s="187"/>
      <c r="AO29" s="187"/>
      <c r="AP29" s="73"/>
      <c r="AQ29" s="187"/>
      <c r="AR29" s="195"/>
      <c r="AU29" s="55"/>
      <c r="AV29" s="187"/>
      <c r="AW29" s="187"/>
      <c r="AX29" s="73"/>
      <c r="AY29" s="187"/>
      <c r="AZ29" s="195"/>
      <c r="BA29" s="54"/>
      <c r="BB29" s="55"/>
      <c r="BC29" s="187"/>
      <c r="BD29" s="187"/>
      <c r="BE29" s="73"/>
      <c r="BF29" s="187"/>
      <c r="BG29" s="195"/>
      <c r="BJ29" s="55"/>
      <c r="BK29" s="187"/>
      <c r="BL29" s="187"/>
      <c r="BM29" s="73"/>
      <c r="BN29" s="187"/>
      <c r="BO29" s="195"/>
      <c r="BP29" s="54"/>
      <c r="BQ29" s="55"/>
      <c r="BR29" s="187"/>
      <c r="BS29" s="187"/>
      <c r="BT29" s="73"/>
      <c r="BU29" s="187"/>
      <c r="BV29" s="195"/>
      <c r="BY29" s="55"/>
      <c r="BZ29" s="187"/>
      <c r="CA29" s="187"/>
      <c r="CB29" s="73"/>
      <c r="CC29" s="187"/>
      <c r="CD29" s="195"/>
      <c r="CE29" s="54"/>
      <c r="CF29" s="55"/>
      <c r="CG29" s="187"/>
      <c r="CH29" s="187"/>
      <c r="CI29" s="73"/>
      <c r="CJ29" s="187"/>
      <c r="CK29" s="195"/>
      <c r="CN29" s="55"/>
      <c r="CO29" s="187"/>
      <c r="CP29" s="187"/>
      <c r="CQ29" s="73"/>
      <c r="CR29" s="187"/>
      <c r="CS29" s="195"/>
      <c r="CT29" s="54"/>
      <c r="CU29" s="55"/>
      <c r="CV29" s="187"/>
      <c r="CW29" s="187"/>
      <c r="CX29" s="73"/>
      <c r="CY29" s="187"/>
      <c r="CZ29" s="195"/>
      <c r="DC29" s="55"/>
      <c r="DD29" s="187"/>
      <c r="DE29" s="187"/>
      <c r="DF29" s="73"/>
      <c r="DG29" s="187"/>
      <c r="DH29" s="195"/>
      <c r="DI29" s="54"/>
      <c r="DJ29" s="55"/>
      <c r="DK29" s="187"/>
      <c r="DL29" s="187"/>
      <c r="DM29" s="73"/>
      <c r="DN29" s="187"/>
      <c r="DO29" s="195"/>
      <c r="DR29" s="55"/>
      <c r="DS29" s="187"/>
      <c r="DT29" s="187"/>
      <c r="DU29" s="73"/>
      <c r="DV29" s="187"/>
      <c r="DW29" s="195"/>
      <c r="DX29" s="54"/>
      <c r="DY29" s="55"/>
      <c r="DZ29" s="187"/>
      <c r="EA29" s="187"/>
      <c r="EB29" s="73"/>
      <c r="EC29" s="187"/>
      <c r="ED29" s="195"/>
      <c r="EG29" s="55"/>
      <c r="EH29" s="187"/>
      <c r="EI29" s="187"/>
      <c r="EJ29" s="73"/>
      <c r="EK29" s="187"/>
      <c r="EL29" s="195"/>
      <c r="EM29" s="54"/>
      <c r="EN29" s="55"/>
      <c r="EO29" s="187"/>
      <c r="EP29" s="187"/>
      <c r="EQ29" s="73"/>
      <c r="ER29" s="187"/>
      <c r="ES29" s="195"/>
    </row>
    <row r="30" spans="1:150" s="60" customFormat="1" x14ac:dyDescent="0.55000000000000004">
      <c r="A30" s="59"/>
      <c r="B30" s="66" t="str">
        <f t="array" aca="1" ref="B30" ca="1">IF(C25&lt;&gt;"",
IF(OR(INDIRECT("'盛付札（関数）'!FI"&amp;A25)=121,INDIRECT("'盛付札（関数）'!FI"&amp;A25)=122,INDIRECT("'盛付札（関数）'!FI"&amp;A25)=123),"",
"パン箱"),"")</f>
        <v>パン箱</v>
      </c>
      <c r="C30" s="64" t="e">
        <f t="array" aca="1" ref="C30" ca="1">IF(C25&lt;&gt;"",
IF(OR(INDIRECT("'盛付札（関数）'!FI"&amp;A25)=121,INDIRECT("'盛付札（関数）'!FI"&amp;A25)=122,INDIRECT("'盛付札（関数）'!FI"&amp;A25)=123),"",
IF(B26="△",
INDIRECT("'盛付札（関数）'!FP"&amp;A25+1),INDIRECT("'盛付札（関数）'!FP"&amp;A25))),"")</f>
        <v>#N/A</v>
      </c>
      <c r="D30" s="66" t="str">
        <f t="array" aca="1" ref="D30" ca="1">IF(C25&lt;&gt;"",
IF(OR(INDIRECT("'盛付札（関数）'!FI"&amp;A25)=121,INDIRECT("'盛付札（関数）'!FI"&amp;A25)=122,INDIRECT("'盛付札（関数）'!FI"&amp;A25)=123),"",
"端数"),"")</f>
        <v>端数</v>
      </c>
      <c r="E30" s="64"/>
      <c r="F30" s="66" t="str">
        <f t="array" aca="1" ref="F30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"アレルギー")),"")</f>
        <v>アレルギー</v>
      </c>
      <c r="G30" s="69"/>
      <c r="H30" s="49"/>
      <c r="I30" s="66" t="str">
        <f t="array" aca="1" ref="I30" ca="1">IF(J25&lt;&gt;"",
IF(OR(INDIRECT("'盛付札（関数）'!FI"&amp;H25)=121,INDIRECT("'盛付札（関数）'!FI"&amp;H25)=122,INDIRECT("'盛付札（関数）'!FI"&amp;H25)=123),"",
"パン箱"),"")</f>
        <v>パン箱</v>
      </c>
      <c r="J30" s="64" t="e">
        <f t="array" aca="1" ref="J30" ca="1">IF(J25&lt;&gt;"",
IF(OR(INDIRECT("'盛付札（関数）'!FI"&amp;H25)=121,INDIRECT("'盛付札（関数）'!FI"&amp;H25)=122,INDIRECT("'盛付札（関数）'!FI"&amp;H25)=123),"",
IF(I26="△",
INDIRECT("'盛付札（関数）'!FP"&amp;H25+1),INDIRECT("'盛付札（関数）'!FP"&amp;H25))),"")</f>
        <v>#N/A</v>
      </c>
      <c r="K30" s="66" t="str">
        <f t="array" aca="1" ref="K30" ca="1">IF(J25&lt;&gt;"",
IF(OR(INDIRECT("'盛付札（関数）'!FI"&amp;H25)=121,INDIRECT("'盛付札（関数）'!FI"&amp;H25)=122,INDIRECT("'盛付札（関数）'!FI"&amp;H25)=123),"",
"端数"),"")</f>
        <v>端数</v>
      </c>
      <c r="L30" s="64"/>
      <c r="M30" s="66" t="str">
        <f t="array" aca="1" ref="M30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"アレルギー")),"")</f>
        <v>アレルギー</v>
      </c>
      <c r="N30" s="69"/>
      <c r="O30" s="49"/>
      <c r="P30" s="59"/>
      <c r="Q30" s="66" t="str">
        <f t="array" aca="1" ref="Q30" ca="1">IF(R25&lt;&gt;"",
IF(OR(INDIRECT("'盛付札（関数）'!FI"&amp;P25)=121,INDIRECT("'盛付札（関数）'!FI"&amp;P25)=122,INDIRECT("'盛付札（関数）'!FI"&amp;P25)=123),"",
"パン箱"),"")</f>
        <v/>
      </c>
      <c r="R30" s="64" t="str">
        <f t="array" aca="1" ref="R30" ca="1">IF(R25&lt;&gt;"",
IF(OR(INDIRECT("'盛付札（関数）'!FI"&amp;P25)=121,INDIRECT("'盛付札（関数）'!FI"&amp;P25)=122,INDIRECT("'盛付札（関数）'!FI"&amp;P25)=123),"",
IF(Q26="△",
INDIRECT("'盛付札（関数）'!FP"&amp;P25+1),INDIRECT("'盛付札（関数）'!FP"&amp;P25))),"")</f>
        <v/>
      </c>
      <c r="S30" s="66" t="str">
        <f t="array" aca="1" ref="S30" ca="1">IF(R25&lt;&gt;"",
IF(OR(INDIRECT("'盛付札（関数）'!FI"&amp;P25)=121,INDIRECT("'盛付札（関数）'!FI"&amp;P25)=122,INDIRECT("'盛付札（関数）'!FI"&amp;P25)=123),"",
"端数"),"")</f>
        <v/>
      </c>
      <c r="T30" s="64"/>
      <c r="U30" s="66" t="str">
        <f t="array" aca="1" ref="U30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"アレルギー")),"")</f>
        <v/>
      </c>
      <c r="V30" s="69"/>
      <c r="W30" s="49"/>
      <c r="X30" s="66" t="str">
        <f t="array" aca="1" ref="X30" ca="1">IF(Y25&lt;&gt;"",
IF(OR(INDIRECT("'盛付札（関数）'!FI"&amp;W25)=121,INDIRECT("'盛付札（関数）'!FI"&amp;W25)=122,INDIRECT("'盛付札（関数）'!FI"&amp;W25)=123),"",
"パン箱"),"")</f>
        <v/>
      </c>
      <c r="Y30" s="64" t="str">
        <f t="array" aca="1" ref="Y30" ca="1">IF(Y25&lt;&gt;"",
IF(OR(INDIRECT("'盛付札（関数）'!FI"&amp;W25)=121,INDIRECT("'盛付札（関数）'!FI"&amp;W25)=122,INDIRECT("'盛付札（関数）'!FI"&amp;W25)=123),"",
IF(X26="△",
INDIRECT("'盛付札（関数）'!FP"&amp;W25+1),INDIRECT("'盛付札（関数）'!FP"&amp;W25))),"")</f>
        <v/>
      </c>
      <c r="Z30" s="66" t="str">
        <f t="array" aca="1" ref="Z30" ca="1">IF(Y25&lt;&gt;"",
IF(OR(INDIRECT("'盛付札（関数）'!FI"&amp;W25)=121,INDIRECT("'盛付札（関数）'!FI"&amp;W25)=122,INDIRECT("'盛付札（関数）'!FI"&amp;W25)=123),"",
"端数"),"")</f>
        <v/>
      </c>
      <c r="AA30" s="64"/>
      <c r="AB30" s="66" t="str">
        <f t="array" aca="1" ref="AB30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"アレルギー")),"")</f>
        <v/>
      </c>
      <c r="AC30" s="69"/>
      <c r="AD30" s="49"/>
      <c r="AE30" s="59"/>
      <c r="AF30" s="66" t="str">
        <f t="array" aca="1" ref="AF30" ca="1">IF(AG25&lt;&gt;"",
IF(OR(INDIRECT("'盛付札（関数）'!FI"&amp;AE25)=121,INDIRECT("'盛付札（関数）'!FI"&amp;AE25)=122,INDIRECT("'盛付札（関数）'!FI"&amp;AE25)=123),"",
"パン箱"),"")</f>
        <v/>
      </c>
      <c r="AG30" s="64" t="str">
        <f t="array" aca="1" ref="AG30" ca="1">IF(AG25&lt;&gt;"",
IF(OR(INDIRECT("'盛付札（関数）'!FI"&amp;AE25)=121,INDIRECT("'盛付札（関数）'!FI"&amp;AE25)=122,INDIRECT("'盛付札（関数）'!FI"&amp;AE25)=123),"",
IF(AF26="△",
INDIRECT("'盛付札（関数）'!FP"&amp;AE25+1),INDIRECT("'盛付札（関数）'!FP"&amp;AE25))),"")</f>
        <v/>
      </c>
      <c r="AH30" s="66" t="str">
        <f t="array" aca="1" ref="AH30" ca="1">IF(AG25&lt;&gt;"",
IF(OR(INDIRECT("'盛付札（関数）'!FI"&amp;AE25)=121,INDIRECT("'盛付札（関数）'!FI"&amp;AE25)=122,INDIRECT("'盛付札（関数）'!FI"&amp;AE25)=123),"",
"端数"),"")</f>
        <v/>
      </c>
      <c r="AI30" s="64"/>
      <c r="AJ30" s="66" t="str">
        <f t="array" aca="1" ref="AJ30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"アレルギー")),"")</f>
        <v/>
      </c>
      <c r="AK30" s="69"/>
      <c r="AL30" s="49"/>
      <c r="AM30" s="66" t="str">
        <f t="array" aca="1" ref="AM30" ca="1">IF(AN25&lt;&gt;"",
IF(OR(INDIRECT("'盛付札（関数）'!FI"&amp;AL25)=121,INDIRECT("'盛付札（関数）'!FI"&amp;AL25)=122,INDIRECT("'盛付札（関数）'!FI"&amp;AL25)=123),"",
"パン箱"),"")</f>
        <v/>
      </c>
      <c r="AN30" s="64" t="str">
        <f t="array" aca="1" ref="AN30" ca="1">IF(AN25&lt;&gt;"",
IF(OR(INDIRECT("'盛付札（関数）'!FI"&amp;AL25)=121,INDIRECT("'盛付札（関数）'!FI"&amp;AL25)=122,INDIRECT("'盛付札（関数）'!FI"&amp;AL25)=123),"",
IF(AM26="△",
INDIRECT("'盛付札（関数）'!FP"&amp;AL25+1),INDIRECT("'盛付札（関数）'!FP"&amp;AL25))),"")</f>
        <v/>
      </c>
      <c r="AO30" s="66" t="str">
        <f t="array" aca="1" ref="AO30" ca="1">IF(AN25&lt;&gt;"",
IF(OR(INDIRECT("'盛付札（関数）'!FI"&amp;AL25)=121,INDIRECT("'盛付札（関数）'!FI"&amp;AL25)=122,INDIRECT("'盛付札（関数）'!FI"&amp;AL25)=123),"",
"端数"),"")</f>
        <v/>
      </c>
      <c r="AP30" s="64"/>
      <c r="AQ30" s="66" t="str">
        <f t="array" aca="1" ref="AQ30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"アレルギー")),"")</f>
        <v/>
      </c>
      <c r="AR30" s="69"/>
      <c r="AS30" s="49"/>
      <c r="AT30" s="59"/>
      <c r="AU30" s="66" t="str">
        <f t="array" aca="1" ref="AU30" ca="1">IF(AV25&lt;&gt;"",
IF(OR(INDIRECT("'盛付札（関数）'!FI"&amp;AT25)=121,INDIRECT("'盛付札（関数）'!FI"&amp;AT25)=122,INDIRECT("'盛付札（関数）'!FI"&amp;AT25)=123),"",
"パン箱"),"")</f>
        <v/>
      </c>
      <c r="AV30" s="64" t="str">
        <f t="array" aca="1" ref="AV30" ca="1">IF(AV25&lt;&gt;"",
IF(OR(INDIRECT("'盛付札（関数）'!FI"&amp;AT25)=121,INDIRECT("'盛付札（関数）'!FI"&amp;AT25)=122,INDIRECT("'盛付札（関数）'!FI"&amp;AT25)=123),"",
IF(AU26="△",
INDIRECT("'盛付札（関数）'!FP"&amp;AT25+1),INDIRECT("'盛付札（関数）'!FP"&amp;AT25))),"")</f>
        <v/>
      </c>
      <c r="AW30" s="66" t="str">
        <f t="array" aca="1" ref="AW30" ca="1">IF(AV25&lt;&gt;"",
IF(OR(INDIRECT("'盛付札（関数）'!FI"&amp;AT25)=121,INDIRECT("'盛付札（関数）'!FI"&amp;AT25)=122,INDIRECT("'盛付札（関数）'!FI"&amp;AT25)=123),"",
"端数"),"")</f>
        <v/>
      </c>
      <c r="AX30" s="64"/>
      <c r="AY30" s="66" t="str">
        <f t="array" aca="1" ref="AY30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"アレルギー")),"")</f>
        <v/>
      </c>
      <c r="AZ30" s="69"/>
      <c r="BA30" s="49"/>
      <c r="BB30" s="66" t="str">
        <f t="array" aca="1" ref="BB30" ca="1">IF(BC25&lt;&gt;"",
IF(OR(INDIRECT("'盛付札（関数）'!FI"&amp;BA25)=121,INDIRECT("'盛付札（関数）'!FI"&amp;BA25)=122,INDIRECT("'盛付札（関数）'!FI"&amp;BA25)=123),"",
"パン箱"),"")</f>
        <v/>
      </c>
      <c r="BC30" s="64" t="str">
        <f t="array" aca="1" ref="BC30" ca="1">IF(BC25&lt;&gt;"",
IF(OR(INDIRECT("'盛付札（関数）'!FI"&amp;BA25)=121,INDIRECT("'盛付札（関数）'!FI"&amp;BA25)=122,INDIRECT("'盛付札（関数）'!FI"&amp;BA25)=123),"",
IF(BB26="△",
INDIRECT("'盛付札（関数）'!FP"&amp;BA25+1),INDIRECT("'盛付札（関数）'!FP"&amp;BA25))),"")</f>
        <v/>
      </c>
      <c r="BD30" s="66" t="str">
        <f t="array" aca="1" ref="BD30" ca="1">IF(BC25&lt;&gt;"",
IF(OR(INDIRECT("'盛付札（関数）'!FI"&amp;BA25)=121,INDIRECT("'盛付札（関数）'!FI"&amp;BA25)=122,INDIRECT("'盛付札（関数）'!FI"&amp;BA25)=123),"",
"端数"),"")</f>
        <v/>
      </c>
      <c r="BE30" s="64"/>
      <c r="BF30" s="66" t="str">
        <f t="array" aca="1" ref="BF30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"アレルギー")),"")</f>
        <v/>
      </c>
      <c r="BG30" s="69"/>
      <c r="BH30" s="49"/>
      <c r="BI30" s="59"/>
      <c r="BJ30" s="66" t="str">
        <f t="array" aca="1" ref="BJ30" ca="1">IF(BK25&lt;&gt;"",
IF(OR(INDIRECT("'盛付札（関数）'!FI"&amp;BI25)=121,INDIRECT("'盛付札（関数）'!FI"&amp;BI25)=122,INDIRECT("'盛付札（関数）'!FI"&amp;BI25)=123),"",
"パン箱"),"")</f>
        <v/>
      </c>
      <c r="BK30" s="64" t="str">
        <f t="array" aca="1" ref="BK30" ca="1">IF(BK25&lt;&gt;"",
IF(OR(INDIRECT("'盛付札（関数）'!FI"&amp;BI25)=121,INDIRECT("'盛付札（関数）'!FI"&amp;BI25)=122,INDIRECT("'盛付札（関数）'!FI"&amp;BI25)=123),"",
IF(BJ26="△",
INDIRECT("'盛付札（関数）'!FP"&amp;BI25+1),INDIRECT("'盛付札（関数）'!FP"&amp;BI25))),"")</f>
        <v/>
      </c>
      <c r="BL30" s="66" t="str">
        <f t="array" aca="1" ref="BL30" ca="1">IF(BK25&lt;&gt;"",
IF(OR(INDIRECT("'盛付札（関数）'!FI"&amp;BI25)=121,INDIRECT("'盛付札（関数）'!FI"&amp;BI25)=122,INDIRECT("'盛付札（関数）'!FI"&amp;BI25)=123),"",
"端数"),"")</f>
        <v/>
      </c>
      <c r="BM30" s="64"/>
      <c r="BN30" s="66" t="str">
        <f t="array" aca="1" ref="BN30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"アレルギー")),"")</f>
        <v/>
      </c>
      <c r="BO30" s="69"/>
      <c r="BP30" s="49"/>
      <c r="BQ30" s="66" t="str">
        <f t="array" aca="1" ref="BQ30" ca="1">IF(BR25&lt;&gt;"",
IF(OR(INDIRECT("'盛付札（関数）'!FI"&amp;BP25)=121,INDIRECT("'盛付札（関数）'!FI"&amp;BP25)=122,INDIRECT("'盛付札（関数）'!FI"&amp;BP25)=123),"",
"パン箱"),"")</f>
        <v/>
      </c>
      <c r="BR30" s="64" t="str">
        <f t="array" aca="1" ref="BR30" ca="1">IF(BR25&lt;&gt;"",
IF(OR(INDIRECT("'盛付札（関数）'!FI"&amp;BP25)=121,INDIRECT("'盛付札（関数）'!FI"&amp;BP25)=122,INDIRECT("'盛付札（関数）'!FI"&amp;BP25)=123),"",
IF(BQ26="△",
INDIRECT("'盛付札（関数）'!FP"&amp;BP25+1),INDIRECT("'盛付札（関数）'!FP"&amp;BP25))),"")</f>
        <v/>
      </c>
      <c r="BS30" s="66" t="str">
        <f t="array" aca="1" ref="BS30" ca="1">IF(BR25&lt;&gt;"",
IF(OR(INDIRECT("'盛付札（関数）'!FI"&amp;BP25)=121,INDIRECT("'盛付札（関数）'!FI"&amp;BP25)=122,INDIRECT("'盛付札（関数）'!FI"&amp;BP25)=123),"",
"端数"),"")</f>
        <v/>
      </c>
      <c r="BT30" s="64"/>
      <c r="BU30" s="66" t="str">
        <f t="array" aca="1" ref="BU30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"アレルギー")),"")</f>
        <v/>
      </c>
      <c r="BV30" s="69"/>
      <c r="BW30" s="49"/>
      <c r="BX30" s="59"/>
      <c r="BY30" s="66" t="str">
        <f t="array" aca="1" ref="BY30" ca="1">IF(BZ25&lt;&gt;"",
IF(OR(INDIRECT("'盛付札（関数）'!FI"&amp;BX25)=121,INDIRECT("'盛付札（関数）'!FI"&amp;BX25)=122,INDIRECT("'盛付札（関数）'!FI"&amp;BX25)=123),"",
"パン箱"),"")</f>
        <v/>
      </c>
      <c r="BZ30" s="64" t="str">
        <f t="array" aca="1" ref="BZ30" ca="1">IF(BZ25&lt;&gt;"",
IF(OR(INDIRECT("'盛付札（関数）'!FI"&amp;BX25)=121,INDIRECT("'盛付札（関数）'!FI"&amp;BX25)=122,INDIRECT("'盛付札（関数）'!FI"&amp;BX25)=123),"",
IF(BY26="△",
INDIRECT("'盛付札（関数）'!FP"&amp;BX25+1),INDIRECT("'盛付札（関数）'!FP"&amp;BX25))),"")</f>
        <v/>
      </c>
      <c r="CA30" s="66" t="str">
        <f t="array" aca="1" ref="CA30" ca="1">IF(BZ25&lt;&gt;"",
IF(OR(INDIRECT("'盛付札（関数）'!FI"&amp;BX25)=121,INDIRECT("'盛付札（関数）'!FI"&amp;BX25)=122,INDIRECT("'盛付札（関数）'!FI"&amp;BX25)=123),"",
"端数"),"")</f>
        <v/>
      </c>
      <c r="CB30" s="64"/>
      <c r="CC30" s="66" t="str">
        <f t="array" aca="1" ref="CC30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"アレルギー")),"")</f>
        <v/>
      </c>
      <c r="CD30" s="69"/>
      <c r="CE30" s="49"/>
      <c r="CF30" s="66" t="str">
        <f t="array" aca="1" ref="CF30" ca="1">IF(CG25&lt;&gt;"",
IF(OR(INDIRECT("'盛付札（関数）'!FI"&amp;CE25)=121,INDIRECT("'盛付札（関数）'!FI"&amp;CE25)=122,INDIRECT("'盛付札（関数）'!FI"&amp;CE25)=123),"",
"パン箱"),"")</f>
        <v/>
      </c>
      <c r="CG30" s="64" t="str">
        <f t="array" aca="1" ref="CG30" ca="1">IF(CG25&lt;&gt;"",
IF(OR(INDIRECT("'盛付札（関数）'!FI"&amp;CE25)=121,INDIRECT("'盛付札（関数）'!FI"&amp;CE25)=122,INDIRECT("'盛付札（関数）'!FI"&amp;CE25)=123),"",
IF(CF26="△",
INDIRECT("'盛付札（関数）'!FP"&amp;CE25+1),INDIRECT("'盛付札（関数）'!FP"&amp;CE25))),"")</f>
        <v/>
      </c>
      <c r="CH30" s="66" t="str">
        <f t="array" aca="1" ref="CH30" ca="1">IF(CG25&lt;&gt;"",
IF(OR(INDIRECT("'盛付札（関数）'!FI"&amp;CE25)=121,INDIRECT("'盛付札（関数）'!FI"&amp;CE25)=122,INDIRECT("'盛付札（関数）'!FI"&amp;CE25)=123),"",
"端数"),"")</f>
        <v/>
      </c>
      <c r="CI30" s="64"/>
      <c r="CJ30" s="66" t="str">
        <f t="array" aca="1" ref="CJ30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"アレルギー")),"")</f>
        <v/>
      </c>
      <c r="CK30" s="69"/>
      <c r="CL30" s="49"/>
      <c r="CM30" s="59"/>
      <c r="CN30" s="66" t="str">
        <f t="array" aca="1" ref="CN30" ca="1">IF(CO25&lt;&gt;"",
IF(OR(INDIRECT("'盛付札（関数）'!FI"&amp;CM25)=121,INDIRECT("'盛付札（関数）'!FI"&amp;CM25)=122,INDIRECT("'盛付札（関数）'!FI"&amp;CM25)=123),"",
"パン箱"),"")</f>
        <v/>
      </c>
      <c r="CO30" s="64" t="str">
        <f t="array" aca="1" ref="CO30" ca="1">IF(CO25&lt;&gt;"",
IF(OR(INDIRECT("'盛付札（関数）'!FI"&amp;CM25)=121,INDIRECT("'盛付札（関数）'!FI"&amp;CM25)=122,INDIRECT("'盛付札（関数）'!FI"&amp;CM25)=123),"",
IF(CN26="△",
INDIRECT("'盛付札（関数）'!FP"&amp;CM25+1),INDIRECT("'盛付札（関数）'!FP"&amp;CM25))),"")</f>
        <v/>
      </c>
      <c r="CP30" s="66" t="str">
        <f t="array" aca="1" ref="CP30" ca="1">IF(CO25&lt;&gt;"",
IF(OR(INDIRECT("'盛付札（関数）'!FI"&amp;CM25)=121,INDIRECT("'盛付札（関数）'!FI"&amp;CM25)=122,INDIRECT("'盛付札（関数）'!FI"&amp;CM25)=123),"",
"端数"),"")</f>
        <v/>
      </c>
      <c r="CQ30" s="64"/>
      <c r="CR30" s="66" t="str">
        <f t="array" aca="1" ref="CR30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"アレルギー")),"")</f>
        <v/>
      </c>
      <c r="CS30" s="69"/>
      <c r="CT30" s="49"/>
      <c r="CU30" s="66" t="str">
        <f t="array" aca="1" ref="CU30" ca="1">IF(CV25&lt;&gt;"",
IF(OR(INDIRECT("'盛付札（関数）'!FI"&amp;CT25)=121,INDIRECT("'盛付札（関数）'!FI"&amp;CT25)=122,INDIRECT("'盛付札（関数）'!FI"&amp;CT25)=123),"",
"パン箱"),"")</f>
        <v/>
      </c>
      <c r="CV30" s="64" t="str">
        <f t="array" aca="1" ref="CV30" ca="1">IF(CV25&lt;&gt;"",
IF(OR(INDIRECT("'盛付札（関数）'!FI"&amp;CT25)=121,INDIRECT("'盛付札（関数）'!FI"&amp;CT25)=122,INDIRECT("'盛付札（関数）'!FI"&amp;CT25)=123),"",
IF(CU26="△",
INDIRECT("'盛付札（関数）'!FP"&amp;CT25+1),INDIRECT("'盛付札（関数）'!FP"&amp;CT25))),"")</f>
        <v/>
      </c>
      <c r="CW30" s="66" t="str">
        <f t="array" aca="1" ref="CW30" ca="1">IF(CV25&lt;&gt;"",
IF(OR(INDIRECT("'盛付札（関数）'!FI"&amp;CT25)=121,INDIRECT("'盛付札（関数）'!FI"&amp;CT25)=122,INDIRECT("'盛付札（関数）'!FI"&amp;CT25)=123),"",
"端数"),"")</f>
        <v/>
      </c>
      <c r="CX30" s="64"/>
      <c r="CY30" s="66" t="str">
        <f t="array" aca="1" ref="CY30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"アレルギー")),"")</f>
        <v/>
      </c>
      <c r="CZ30" s="69"/>
      <c r="DA30" s="49"/>
      <c r="DB30" s="59"/>
      <c r="DC30" s="66" t="str">
        <f t="array" aca="1" ref="DC30" ca="1">IF(DD25&lt;&gt;"",
IF(OR(INDIRECT("'盛付札（関数）'!FI"&amp;DB25)=121,INDIRECT("'盛付札（関数）'!FI"&amp;DB25)=122,INDIRECT("'盛付札（関数）'!FI"&amp;DB25)=123),"",
"パン箱"),"")</f>
        <v/>
      </c>
      <c r="DD30" s="64" t="str">
        <f t="array" aca="1" ref="DD30" ca="1">IF(DD25&lt;&gt;"",
IF(OR(INDIRECT("'盛付札（関数）'!FI"&amp;DB25)=121,INDIRECT("'盛付札（関数）'!FI"&amp;DB25)=122,INDIRECT("'盛付札（関数）'!FI"&amp;DB25)=123),"",
IF(DC26="△",
INDIRECT("'盛付札（関数）'!FP"&amp;DB25+1),INDIRECT("'盛付札（関数）'!FP"&amp;DB25))),"")</f>
        <v/>
      </c>
      <c r="DE30" s="66" t="str">
        <f t="array" aca="1" ref="DE30" ca="1">IF(DD25&lt;&gt;"",
IF(OR(INDIRECT("'盛付札（関数）'!FI"&amp;DB25)=121,INDIRECT("'盛付札（関数）'!FI"&amp;DB25)=122,INDIRECT("'盛付札（関数）'!FI"&amp;DB25)=123),"",
"端数"),"")</f>
        <v/>
      </c>
      <c r="DF30" s="64"/>
      <c r="DG30" s="66" t="str">
        <f t="array" aca="1" ref="DG30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"アレルギー")),"")</f>
        <v/>
      </c>
      <c r="DH30" s="69"/>
      <c r="DI30" s="49"/>
      <c r="DJ30" s="66" t="str">
        <f t="array" aca="1" ref="DJ30" ca="1">IF(DK25&lt;&gt;"",
IF(OR(INDIRECT("'盛付札（関数）'!FI"&amp;DI25)=121,INDIRECT("'盛付札（関数）'!FI"&amp;DI25)=122,INDIRECT("'盛付札（関数）'!FI"&amp;DI25)=123),"",
"パン箱"),"")</f>
        <v/>
      </c>
      <c r="DK30" s="64" t="str">
        <f t="array" aca="1" ref="DK30" ca="1">IF(DK25&lt;&gt;"",
IF(OR(INDIRECT("'盛付札（関数）'!FI"&amp;DI25)=121,INDIRECT("'盛付札（関数）'!FI"&amp;DI25)=122,INDIRECT("'盛付札（関数）'!FI"&amp;DI25)=123),"",
IF(DJ26="△",
INDIRECT("'盛付札（関数）'!FP"&amp;DI25+1),INDIRECT("'盛付札（関数）'!FP"&amp;DI25))),"")</f>
        <v/>
      </c>
      <c r="DL30" s="66" t="str">
        <f t="array" aca="1" ref="DL30" ca="1">IF(DK25&lt;&gt;"",
IF(OR(INDIRECT("'盛付札（関数）'!FI"&amp;DI25)=121,INDIRECT("'盛付札（関数）'!FI"&amp;DI25)=122,INDIRECT("'盛付札（関数）'!FI"&amp;DI25)=123),"",
"端数"),"")</f>
        <v/>
      </c>
      <c r="DM30" s="64"/>
      <c r="DN30" s="66" t="str">
        <f t="array" aca="1" ref="DN30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"アレルギー")),"")</f>
        <v/>
      </c>
      <c r="DO30" s="69"/>
      <c r="DP30" s="49"/>
      <c r="DQ30" s="59"/>
      <c r="DR30" s="66" t="str">
        <f t="array" aca="1" ref="DR30" ca="1">IF(DS25&lt;&gt;"",
IF(OR(INDIRECT("'盛付札（関数）'!FI"&amp;DQ25)=121,INDIRECT("'盛付札（関数）'!FI"&amp;DQ25)=122,INDIRECT("'盛付札（関数）'!FI"&amp;DQ25)=123),"",
"パン箱"),"")</f>
        <v/>
      </c>
      <c r="DS30" s="64" t="str">
        <f t="array" aca="1" ref="DS30" ca="1">IF(DS25&lt;&gt;"",
IF(OR(INDIRECT("'盛付札（関数）'!FI"&amp;DQ25)=121,INDIRECT("'盛付札（関数）'!FI"&amp;DQ25)=122,INDIRECT("'盛付札（関数）'!FI"&amp;DQ25)=123),"",
IF(DR26="△",
INDIRECT("'盛付札（関数）'!FP"&amp;DQ25+1),INDIRECT("'盛付札（関数）'!FP"&amp;DQ25))),"")</f>
        <v/>
      </c>
      <c r="DT30" s="66" t="str">
        <f t="array" aca="1" ref="DT30" ca="1">IF(DS25&lt;&gt;"",
IF(OR(INDIRECT("'盛付札（関数）'!FI"&amp;DQ25)=121,INDIRECT("'盛付札（関数）'!FI"&amp;DQ25)=122,INDIRECT("'盛付札（関数）'!FI"&amp;DQ25)=123),"",
"端数"),"")</f>
        <v/>
      </c>
      <c r="DU30" s="64"/>
      <c r="DV30" s="66" t="str">
        <f t="array" aca="1" ref="DV30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"アレルギー")),"")</f>
        <v/>
      </c>
      <c r="DW30" s="69"/>
      <c r="DX30" s="49"/>
      <c r="DY30" s="66" t="str">
        <f t="array" aca="1" ref="DY30" ca="1">IF(DZ25&lt;&gt;"",
IF(OR(INDIRECT("'盛付札（関数）'!FI"&amp;DX25)=121,INDIRECT("'盛付札（関数）'!FI"&amp;DX25)=122,INDIRECT("'盛付札（関数）'!FI"&amp;DX25)=123),"",
"パン箱"),"")</f>
        <v/>
      </c>
      <c r="DZ30" s="64" t="str">
        <f t="array" aca="1" ref="DZ30" ca="1">IF(DZ25&lt;&gt;"",
IF(OR(INDIRECT("'盛付札（関数）'!FI"&amp;DX25)=121,INDIRECT("'盛付札（関数）'!FI"&amp;DX25)=122,INDIRECT("'盛付札（関数）'!FI"&amp;DX25)=123),"",
IF(DY26="△",
INDIRECT("'盛付札（関数）'!FP"&amp;DX25+1),INDIRECT("'盛付札（関数）'!FP"&amp;DX25))),"")</f>
        <v/>
      </c>
      <c r="EA30" s="66" t="str">
        <f t="array" aca="1" ref="EA30" ca="1">IF(DZ25&lt;&gt;"",
IF(OR(INDIRECT("'盛付札（関数）'!FI"&amp;DX25)=121,INDIRECT("'盛付札（関数）'!FI"&amp;DX25)=122,INDIRECT("'盛付札（関数）'!FI"&amp;DX25)=123),"",
"端数"),"")</f>
        <v/>
      </c>
      <c r="EB30" s="64"/>
      <c r="EC30" s="66" t="str">
        <f t="array" aca="1" ref="EC30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"アレルギー")),"")</f>
        <v/>
      </c>
      <c r="ED30" s="69"/>
      <c r="EE30" s="49"/>
      <c r="EF30" s="59"/>
      <c r="EG30" s="66" t="str">
        <f t="array" aca="1" ref="EG30" ca="1">IF(EH25&lt;&gt;"",
IF(OR(INDIRECT("'盛付札（関数）'!FI"&amp;EF25)=121,INDIRECT("'盛付札（関数）'!FI"&amp;EF25)=122,INDIRECT("'盛付札（関数）'!FI"&amp;EF25)=123),"",
"パン箱"),"")</f>
        <v/>
      </c>
      <c r="EH30" s="64" t="str">
        <f t="array" aca="1" ref="EH30" ca="1">IF(EH25&lt;&gt;"",
IF(OR(INDIRECT("'盛付札（関数）'!FI"&amp;EF25)=121,INDIRECT("'盛付札（関数）'!FI"&amp;EF25)=122,INDIRECT("'盛付札（関数）'!FI"&amp;EF25)=123),"",
IF(EG26="△",
INDIRECT("'盛付札（関数）'!FP"&amp;EF25+1),INDIRECT("'盛付札（関数）'!FP"&amp;EF25))),"")</f>
        <v/>
      </c>
      <c r="EI30" s="66" t="str">
        <f t="array" aca="1" ref="EI30" ca="1">IF(EH25&lt;&gt;"",
IF(OR(INDIRECT("'盛付札（関数）'!FI"&amp;EF25)=121,INDIRECT("'盛付札（関数）'!FI"&amp;EF25)=122,INDIRECT("'盛付札（関数）'!FI"&amp;EF25)=123),"",
"端数"),"")</f>
        <v/>
      </c>
      <c r="EJ30" s="64"/>
      <c r="EK30" s="66" t="str">
        <f t="array" aca="1" ref="EK30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"アレルギー")),"")</f>
        <v/>
      </c>
      <c r="EL30" s="69"/>
      <c r="EM30" s="49"/>
      <c r="EN30" s="66" t="str">
        <f t="array" aca="1" ref="EN30" ca="1">IF(EO25&lt;&gt;"",
IF(OR(INDIRECT("'盛付札（関数）'!FI"&amp;EM25)=121,INDIRECT("'盛付札（関数）'!FI"&amp;EM25)=122,INDIRECT("'盛付札（関数）'!FI"&amp;EM25)=123),"",
"パン箱"),"")</f>
        <v/>
      </c>
      <c r="EO30" s="64" t="str">
        <f t="array" aca="1" ref="EO30" ca="1">IF(EO25&lt;&gt;"",
IF(OR(INDIRECT("'盛付札（関数）'!FI"&amp;EM25)=121,INDIRECT("'盛付札（関数）'!FI"&amp;EM25)=122,INDIRECT("'盛付札（関数）'!FI"&amp;EM25)=123),"",
IF(EN26="△",
INDIRECT("'盛付札（関数）'!FP"&amp;EM25+1),INDIRECT("'盛付札（関数）'!FP"&amp;EM25))),"")</f>
        <v/>
      </c>
      <c r="EP30" s="66" t="str">
        <f t="array" aca="1" ref="EP30" ca="1">IF(EO25&lt;&gt;"",
IF(OR(INDIRECT("'盛付札（関数）'!FI"&amp;EM25)=121,INDIRECT("'盛付札（関数）'!FI"&amp;EM25)=122,INDIRECT("'盛付札（関数）'!FI"&amp;EM25)=123),"",
"端数"),"")</f>
        <v/>
      </c>
      <c r="EQ30" s="64"/>
      <c r="ER30" s="66" t="str">
        <f t="array" aca="1" ref="ER30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"アレルギー")),"")</f>
        <v/>
      </c>
      <c r="ES30" s="69"/>
      <c r="ET30" s="49"/>
    </row>
    <row r="31" spans="1:150" ht="27.6" customHeight="1" x14ac:dyDescent="0.45">
      <c r="B31" s="196" t="e">
        <f ca="1">IF(C28&lt;&gt;"",
IFERROR(INT(C28/C30),""),"")</f>
        <v>#N/A</v>
      </c>
      <c r="C31" s="195"/>
      <c r="D31" s="196" t="str">
        <f ca="1">IFERROR(MOD(C28,C30),"")</f>
        <v/>
      </c>
      <c r="E31" s="195"/>
      <c r="F31" s="194">
        <f t="array" aca="1" ref="F31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IF(B26="●",
IFERROR(INDIRECT("'盛付札（関数）'!FS"&amp;A25)+INDIRECT("'盛付札（関数）'!FS"&amp;A25+1),0),
IF(B26="△",
INDIRECT("'盛付札（関数）'!FS"&amp;A25+1),INDIRECT("'盛付札（関数）'!FS"&amp;A25))))),"")</f>
        <v>0</v>
      </c>
      <c r="G31" s="195"/>
      <c r="I31" s="196" t="str">
        <f ca="1">IF(J28&lt;&gt;"",
IFERROR(INT(J28/J30),""),"")</f>
        <v/>
      </c>
      <c r="J31" s="195"/>
      <c r="K31" s="196" t="str">
        <f ca="1">IFERROR(MOD(J28,J30),"")</f>
        <v/>
      </c>
      <c r="L31" s="195"/>
      <c r="M31" s="194">
        <f t="array" aca="1" ref="M31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IF(I26="●",
IFERROR(INDIRECT("'盛付札（関数）'!FS"&amp;H25)+INDIRECT("'盛付札（関数）'!FS"&amp;H25+1),0),
IF(I26="△",
INDIRECT("'盛付札（関数）'!FS"&amp;H25+1),INDIRECT("'盛付札（関数）'!FS"&amp;H25))))),"")</f>
        <v>0</v>
      </c>
      <c r="N31" s="195"/>
      <c r="Q31" s="196" t="str">
        <f ca="1">IF(R28&lt;&gt;"",
IFERROR(INT(R28/R30),""),"")</f>
        <v/>
      </c>
      <c r="R31" s="195"/>
      <c r="S31" s="196" t="str">
        <f ca="1">IFERROR(MOD(R28,R30),"")</f>
        <v/>
      </c>
      <c r="T31" s="195"/>
      <c r="U31" s="194" t="str">
        <f t="array" aca="1" ref="U31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IF(Q26="●",
IFERROR(INDIRECT("'盛付札（関数）'!FS"&amp;P25)+INDIRECT("'盛付札（関数）'!FS"&amp;P25+1),0),
IF(Q26="△",
INDIRECT("'盛付札（関数）'!FS"&amp;P25+1),INDIRECT("'盛付札（関数）'!FS"&amp;P25))))),"")</f>
        <v/>
      </c>
      <c r="V31" s="195"/>
      <c r="X31" s="196" t="str">
        <f ca="1">IF(Y28&lt;&gt;"",
IFERROR(INT(Y28/Y30),""),"")</f>
        <v/>
      </c>
      <c r="Y31" s="195"/>
      <c r="Z31" s="196" t="str">
        <f ca="1">IFERROR(MOD(Y28,Y30),"")</f>
        <v/>
      </c>
      <c r="AA31" s="195"/>
      <c r="AB31" s="194" t="str">
        <f t="array" aca="1" ref="AB31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IF(X26="●",
IFERROR(INDIRECT("'盛付札（関数）'!FS"&amp;W25)+INDIRECT("'盛付札（関数）'!FS"&amp;W25+1),0),
IF(X26="△",
INDIRECT("'盛付札（関数）'!FS"&amp;W25+1),INDIRECT("'盛付札（関数）'!FS"&amp;W25))))),"")</f>
        <v/>
      </c>
      <c r="AC31" s="195"/>
      <c r="AF31" s="196" t="str">
        <f ca="1">IF(AG28&lt;&gt;"",
IFERROR(INT(AG28/AG30),""),"")</f>
        <v/>
      </c>
      <c r="AG31" s="195"/>
      <c r="AH31" s="196" t="str">
        <f ca="1">IFERROR(MOD(AG28,AG30),"")</f>
        <v/>
      </c>
      <c r="AI31" s="195"/>
      <c r="AJ31" s="194" t="str">
        <f t="array" aca="1" ref="AJ31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IF(AF26="●",
IFERROR(INDIRECT("'盛付札（関数）'!FS"&amp;AE25)+INDIRECT("'盛付札（関数）'!FS"&amp;AE25+1),0),
IF(AF26="△",
INDIRECT("'盛付札（関数）'!FS"&amp;AE25+1),INDIRECT("'盛付札（関数）'!FS"&amp;AE25))))),"")</f>
        <v/>
      </c>
      <c r="AK31" s="195"/>
      <c r="AM31" s="196" t="str">
        <f ca="1">IF(AN28&lt;&gt;"",
IFERROR(INT(AN28/AN30),""),"")</f>
        <v/>
      </c>
      <c r="AN31" s="195"/>
      <c r="AO31" s="196" t="str">
        <f ca="1">IFERROR(MOD(AN28,AN30),"")</f>
        <v/>
      </c>
      <c r="AP31" s="195"/>
      <c r="AQ31" s="194" t="str">
        <f t="array" aca="1" ref="AQ31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IF(AM26="●",
IFERROR(INDIRECT("'盛付札（関数）'!FS"&amp;AL25)+INDIRECT("'盛付札（関数）'!FS"&amp;AL25+1),0),
IF(AM26="△",
INDIRECT("'盛付札（関数）'!FS"&amp;AL25+1),INDIRECT("'盛付札（関数）'!FS"&amp;AL25))))),"")</f>
        <v/>
      </c>
      <c r="AR31" s="195"/>
      <c r="AU31" s="196" t="str">
        <f ca="1">IF(AV28&lt;&gt;"",
IFERROR(INT(AV28/AV30),""),"")</f>
        <v/>
      </c>
      <c r="AV31" s="195"/>
      <c r="AW31" s="196" t="str">
        <f ca="1">IFERROR(MOD(AV28,AV30),"")</f>
        <v/>
      </c>
      <c r="AX31" s="195"/>
      <c r="AY31" s="194" t="str">
        <f t="array" aca="1" ref="AY31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IF(AU26="●",
IFERROR(INDIRECT("'盛付札（関数）'!FS"&amp;AT25)+INDIRECT("'盛付札（関数）'!FS"&amp;AT25+1),0),
IF(AU26="△",
INDIRECT("'盛付札（関数）'!FS"&amp;AT25+1),INDIRECT("'盛付札（関数）'!FS"&amp;AT25))))),"")</f>
        <v/>
      </c>
      <c r="AZ31" s="195"/>
      <c r="BB31" s="196" t="str">
        <f ca="1">IF(BC28&lt;&gt;"",
IFERROR(INT(BC28/BC30),""),"")</f>
        <v/>
      </c>
      <c r="BC31" s="195"/>
      <c r="BD31" s="196" t="str">
        <f ca="1">IFERROR(MOD(BC28,BC30),"")</f>
        <v/>
      </c>
      <c r="BE31" s="195"/>
      <c r="BF31" s="194" t="str">
        <f t="array" aca="1" ref="BF31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IF(BB26="●",
IFERROR(INDIRECT("'盛付札（関数）'!FS"&amp;BA25)+INDIRECT("'盛付札（関数）'!FS"&amp;BA25+1),0),
IF(BB26="△",
INDIRECT("'盛付札（関数）'!FS"&amp;BA25+1),INDIRECT("'盛付札（関数）'!FS"&amp;BA25))))),"")</f>
        <v/>
      </c>
      <c r="BG31" s="195"/>
      <c r="BJ31" s="196" t="str">
        <f ca="1">IF(BK28&lt;&gt;"",
IFERROR(INT(BK28/BK30),""),"")</f>
        <v/>
      </c>
      <c r="BK31" s="195"/>
      <c r="BL31" s="196" t="str">
        <f ca="1">IFERROR(MOD(BK28,BK30),"")</f>
        <v/>
      </c>
      <c r="BM31" s="195"/>
      <c r="BN31" s="194" t="str">
        <f t="array" aca="1" ref="BN31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IF(BJ26="●",
IFERROR(INDIRECT("'盛付札（関数）'!FS"&amp;BI25)+INDIRECT("'盛付札（関数）'!FS"&amp;BI25+1),0),
IF(BJ26="△",
INDIRECT("'盛付札（関数）'!FS"&amp;BI25+1),INDIRECT("'盛付札（関数）'!FS"&amp;BI25))))),"")</f>
        <v/>
      </c>
      <c r="BO31" s="195"/>
      <c r="BQ31" s="196" t="str">
        <f ca="1">IF(BR28&lt;&gt;"",
IFERROR(INT(BR28/BR30),""),"")</f>
        <v/>
      </c>
      <c r="BR31" s="195"/>
      <c r="BS31" s="196" t="str">
        <f ca="1">IFERROR(MOD(BR28,BR30),"")</f>
        <v/>
      </c>
      <c r="BT31" s="195"/>
      <c r="BU31" s="194" t="str">
        <f t="array" aca="1" ref="BU31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IF(BQ26="●",
IFERROR(INDIRECT("'盛付札（関数）'!FS"&amp;BP25)+INDIRECT("'盛付札（関数）'!FS"&amp;BP25+1),0),
IF(BQ26="△",
INDIRECT("'盛付札（関数）'!FS"&amp;BP25+1),INDIRECT("'盛付札（関数）'!FS"&amp;BP25))))),"")</f>
        <v/>
      </c>
      <c r="BV31" s="195"/>
      <c r="BY31" s="196" t="str">
        <f ca="1">IF(BZ28&lt;&gt;"",
IFERROR(INT(BZ28/BZ30),""),"")</f>
        <v/>
      </c>
      <c r="BZ31" s="195"/>
      <c r="CA31" s="196" t="str">
        <f ca="1">IFERROR(MOD(BZ28,BZ30),"")</f>
        <v/>
      </c>
      <c r="CB31" s="195"/>
      <c r="CC31" s="194" t="str">
        <f t="array" aca="1" ref="CC31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IF(BY26="●",
IFERROR(INDIRECT("'盛付札（関数）'!FS"&amp;BX25)+INDIRECT("'盛付札（関数）'!FS"&amp;BX25+1),0),
IF(BY26="△",
INDIRECT("'盛付札（関数）'!FS"&amp;BX25+1),INDIRECT("'盛付札（関数）'!FS"&amp;BX25))))),"")</f>
        <v/>
      </c>
      <c r="CD31" s="195"/>
      <c r="CF31" s="196" t="str">
        <f ca="1">IF(CG28&lt;&gt;"",
IFERROR(INT(CG28/CG30),""),"")</f>
        <v/>
      </c>
      <c r="CG31" s="195"/>
      <c r="CH31" s="196" t="str">
        <f ca="1">IFERROR(MOD(CG28,CG30),"")</f>
        <v/>
      </c>
      <c r="CI31" s="195"/>
      <c r="CJ31" s="194" t="str">
        <f t="array" aca="1" ref="CJ31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IF(CF26="●",
IFERROR(INDIRECT("'盛付札（関数）'!FS"&amp;CE25)+INDIRECT("'盛付札（関数）'!FS"&amp;CE25+1),0),
IF(CF26="△",
INDIRECT("'盛付札（関数）'!FS"&amp;CE25+1),INDIRECT("'盛付札（関数）'!FS"&amp;CE25))))),"")</f>
        <v/>
      </c>
      <c r="CK31" s="195"/>
      <c r="CN31" s="196" t="str">
        <f ca="1">IF(CO28&lt;&gt;"",
IFERROR(INT(CO28/CO30),""),"")</f>
        <v/>
      </c>
      <c r="CO31" s="195"/>
      <c r="CP31" s="196" t="str">
        <f ca="1">IFERROR(MOD(CO28,CO30),"")</f>
        <v/>
      </c>
      <c r="CQ31" s="195"/>
      <c r="CR31" s="194" t="str">
        <f t="array" aca="1" ref="CR31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IF(CN26="●",
IFERROR(INDIRECT("'盛付札（関数）'!FS"&amp;CM25)+INDIRECT("'盛付札（関数）'!FS"&amp;CM25+1),0),
IF(CN26="△",
INDIRECT("'盛付札（関数）'!FS"&amp;CM25+1),INDIRECT("'盛付札（関数）'!FS"&amp;CM25))))),"")</f>
        <v/>
      </c>
      <c r="CS31" s="195"/>
      <c r="CU31" s="196" t="str">
        <f ca="1">IF(CV28&lt;&gt;"",
IFERROR(INT(CV28/CV30),""),"")</f>
        <v/>
      </c>
      <c r="CV31" s="195"/>
      <c r="CW31" s="196" t="str">
        <f ca="1">IFERROR(MOD(CV28,CV30),"")</f>
        <v/>
      </c>
      <c r="CX31" s="195"/>
      <c r="CY31" s="194" t="str">
        <f t="array" aca="1" ref="CY31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IF(CU26="●",
IFERROR(INDIRECT("'盛付札（関数）'!FS"&amp;CT25)+INDIRECT("'盛付札（関数）'!FS"&amp;CT25+1),0),
IF(CU26="△",
INDIRECT("'盛付札（関数）'!FS"&amp;CT25+1),INDIRECT("'盛付札（関数）'!FS"&amp;CT25))))),"")</f>
        <v/>
      </c>
      <c r="CZ31" s="195"/>
      <c r="DC31" s="196" t="str">
        <f ca="1">IF(DD28&lt;&gt;"",
IFERROR(INT(DD28/DD30),""),"")</f>
        <v/>
      </c>
      <c r="DD31" s="195"/>
      <c r="DE31" s="196" t="str">
        <f ca="1">IFERROR(MOD(DD28,DD30),"")</f>
        <v/>
      </c>
      <c r="DF31" s="195"/>
      <c r="DG31" s="194" t="str">
        <f t="array" aca="1" ref="DG31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IF(DC26="●",
IFERROR(INDIRECT("'盛付札（関数）'!FS"&amp;DB25)+INDIRECT("'盛付札（関数）'!FS"&amp;DB25+1),0),
IF(DC26="△",
INDIRECT("'盛付札（関数）'!FS"&amp;DB25+1),INDIRECT("'盛付札（関数）'!FS"&amp;DB25))))),"")</f>
        <v/>
      </c>
      <c r="DH31" s="195"/>
      <c r="DJ31" s="196" t="str">
        <f ca="1">IF(DK28&lt;&gt;"",
IFERROR(INT(DK28/DK30),""),"")</f>
        <v/>
      </c>
      <c r="DK31" s="195"/>
      <c r="DL31" s="196" t="str">
        <f ca="1">IFERROR(MOD(DK28,DK30),"")</f>
        <v/>
      </c>
      <c r="DM31" s="195"/>
      <c r="DN31" s="194" t="str">
        <f t="array" aca="1" ref="DN31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IF(DJ26="●",
IFERROR(INDIRECT("'盛付札（関数）'!FS"&amp;DI25)+INDIRECT("'盛付札（関数）'!FS"&amp;DI25+1),0),
IF(DJ26="△",
INDIRECT("'盛付札（関数）'!FS"&amp;DI25+1),INDIRECT("'盛付札（関数）'!FS"&amp;DI25))))),"")</f>
        <v/>
      </c>
      <c r="DO31" s="195"/>
      <c r="DR31" s="196" t="str">
        <f ca="1">IF(DS28&lt;&gt;"",
IFERROR(INT(DS28/DS30),""),"")</f>
        <v/>
      </c>
      <c r="DS31" s="195"/>
      <c r="DT31" s="196" t="str">
        <f ca="1">IFERROR(MOD(DS28,DS30),"")</f>
        <v/>
      </c>
      <c r="DU31" s="195"/>
      <c r="DV31" s="194" t="str">
        <f t="array" aca="1" ref="DV31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IF(DR26="●",
IFERROR(INDIRECT("'盛付札（関数）'!FS"&amp;DQ25)+INDIRECT("'盛付札（関数）'!FS"&amp;DQ25+1),0),
IF(DR26="△",
INDIRECT("'盛付札（関数）'!FS"&amp;DQ25+1),INDIRECT("'盛付札（関数）'!FS"&amp;DQ25))))),"")</f>
        <v/>
      </c>
      <c r="DW31" s="195"/>
      <c r="DY31" s="196" t="str">
        <f ca="1">IF(DZ28&lt;&gt;"",
IFERROR(INT(DZ28/DZ30),""),"")</f>
        <v/>
      </c>
      <c r="DZ31" s="195"/>
      <c r="EA31" s="196" t="str">
        <f ca="1">IFERROR(MOD(DZ28,DZ30),"")</f>
        <v/>
      </c>
      <c r="EB31" s="195"/>
      <c r="EC31" s="194" t="str">
        <f t="array" aca="1" ref="EC31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IF(DY26="●",
IFERROR(INDIRECT("'盛付札（関数）'!FS"&amp;DX25)+INDIRECT("'盛付札（関数）'!FS"&amp;DX25+1),0),
IF(DY26="△",
INDIRECT("'盛付札（関数）'!FS"&amp;DX25+1),INDIRECT("'盛付札（関数）'!FS"&amp;DX25))))),"")</f>
        <v/>
      </c>
      <c r="ED31" s="195"/>
      <c r="EG31" s="196" t="str">
        <f ca="1">IF(EH28&lt;&gt;"",
IFERROR(INT(EH28/EH30),""),"")</f>
        <v/>
      </c>
      <c r="EH31" s="195"/>
      <c r="EI31" s="196" t="str">
        <f ca="1">IFERROR(MOD(EH28,EH30),"")</f>
        <v/>
      </c>
      <c r="EJ31" s="195"/>
      <c r="EK31" s="194" t="str">
        <f t="array" aca="1" ref="EK31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IF(EG26="●",
IFERROR(INDIRECT("'盛付札（関数）'!FS"&amp;EF25)+INDIRECT("'盛付札（関数）'!FS"&amp;EF25+1),0),
IF(EG26="△",
INDIRECT("'盛付札（関数）'!FS"&amp;EF25+1),INDIRECT("'盛付札（関数）'!FS"&amp;EF25))))),"")</f>
        <v/>
      </c>
      <c r="EL31" s="195"/>
      <c r="EN31" s="196" t="str">
        <f ca="1">IF(EO28&lt;&gt;"",
IFERROR(INT(EO28/EO30),""),"")</f>
        <v/>
      </c>
      <c r="EO31" s="195"/>
      <c r="EP31" s="196" t="str">
        <f ca="1">IFERROR(MOD(EO28,EO30),"")</f>
        <v/>
      </c>
      <c r="EQ31" s="195"/>
      <c r="ER31" s="194" t="str">
        <f t="array" aca="1" ref="ER31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IF(EN26="●",
IFERROR(INDIRECT("'盛付札（関数）'!FS"&amp;EM25)+INDIRECT("'盛付札（関数）'!FS"&amp;EM25+1),0),
IF(EN26="△",
INDIRECT("'盛付札（関数）'!FS"&amp;EM25+1),INDIRECT("'盛付札（関数）'!FS"&amp;EM25))))),"")</f>
        <v/>
      </c>
      <c r="ES31" s="195"/>
    </row>
    <row r="32" spans="1:150" ht="6.6" customHeight="1" x14ac:dyDescent="0.55000000000000004">
      <c r="B32" s="74"/>
      <c r="D32" s="74"/>
      <c r="F32" s="75"/>
      <c r="I32" s="74"/>
      <c r="K32" s="74"/>
      <c r="M32" s="75"/>
      <c r="Q32" s="74"/>
      <c r="S32" s="74"/>
      <c r="U32" s="75"/>
      <c r="X32" s="74"/>
      <c r="Z32" s="74"/>
      <c r="AB32" s="75"/>
      <c r="AF32" s="74"/>
      <c r="AH32" s="74"/>
      <c r="AJ32" s="75"/>
      <c r="AM32" s="74"/>
      <c r="AO32" s="74"/>
      <c r="AQ32" s="75"/>
      <c r="AU32" s="74"/>
      <c r="AW32" s="74"/>
      <c r="AY32" s="75"/>
      <c r="BB32" s="74"/>
      <c r="BD32" s="74"/>
      <c r="BF32" s="75"/>
      <c r="BJ32" s="74"/>
      <c r="BL32" s="74"/>
      <c r="BN32" s="75"/>
      <c r="BQ32" s="74"/>
      <c r="BS32" s="74"/>
      <c r="BU32" s="75"/>
      <c r="BY32" s="74"/>
      <c r="CA32" s="74"/>
      <c r="CC32" s="75"/>
      <c r="CF32" s="74"/>
      <c r="CH32" s="74"/>
      <c r="CJ32" s="75"/>
      <c r="CN32" s="74"/>
      <c r="CP32" s="74"/>
      <c r="CR32" s="75"/>
      <c r="CU32" s="74"/>
      <c r="CW32" s="74"/>
      <c r="CY32" s="75"/>
      <c r="DC32" s="74"/>
      <c r="DE32" s="74"/>
      <c r="DG32" s="75"/>
      <c r="DJ32" s="74"/>
      <c r="DL32" s="74"/>
      <c r="DN32" s="75"/>
      <c r="DR32" s="74"/>
      <c r="DT32" s="74"/>
      <c r="DV32" s="75"/>
      <c r="DY32" s="74"/>
      <c r="EA32" s="74"/>
      <c r="EC32" s="75"/>
      <c r="EG32" s="74"/>
      <c r="EI32" s="74"/>
      <c r="EK32" s="75"/>
      <c r="EN32" s="74"/>
      <c r="EP32" s="74"/>
      <c r="ER32" s="75"/>
    </row>
    <row r="33" spans="1:150" s="60" customFormat="1" ht="25.8" customHeight="1" x14ac:dyDescent="0.55000000000000004">
      <c r="A33" s="59">
        <f ca="1">IF(OR(I26="●",I26="△"),
H25+2,H25+1)</f>
        <v>9</v>
      </c>
      <c r="B33" s="72" t="str">
        <f ca="1">IF(C33&lt;&gt;"",
MID(貼り付け用!$A$2, FIND("年",貼り付け用!$A$2)+1,2)&amp;"/"&amp;MID(貼り付け用!$A$2, FIND("月",貼り付け用!$A$2)+1,2),"")</f>
        <v/>
      </c>
      <c r="C33" s="202" t="str">
        <f t="array" aca="1" ref="C33" ca="1">SUBSTITUTE(SUBSTITUTE(SUBSTITUTE(SUBSTITUTE(SUBSTITUTE(SUBSTITUTE(SUBSTITUTE(SUBSTITUTE(SUBSTITUTE(SUBSTITUTE(
IF(B34="△",
INDIRECT("'盛付札（関数）'!FJ"&amp;A33+1),INDIRECT("'盛付札（関数）'!FJ"&amp;A33)),"①",""),"②",""),"③",""),"④",""),"⑤",""),"⑥",""),"⑦",""),"⑧",""),"⑨",""),"⑩","")</f>
        <v/>
      </c>
      <c r="D33" s="203"/>
      <c r="E33" s="203"/>
      <c r="F33" s="203"/>
      <c r="G33" s="71" t="str">
        <f t="array" aca="1" ref="G33" ca="1">IF(C33&lt;&gt;"",
IF(AND(INDIRECT("'盛付札（関数）'!FI"&amp;A33)&gt;=124,INDIRECT("'盛付札（関数）'!FI"&amp;A33)&lt;=144),"",
"様"),"")</f>
        <v/>
      </c>
      <c r="H33" s="65">
        <f ca="1">IF(OR(B34="●",B34="△"),
A33+2,A33+1)</f>
        <v>10</v>
      </c>
      <c r="I33" s="72" t="str">
        <f ca="1">IF(J33&lt;&gt;"",
MID(貼り付け用!$A$2, FIND("年",貼り付け用!$A$2)+1,2)&amp;"/"&amp;MID(貼り付け用!$A$2, FIND("月",貼り付け用!$A$2)+1,2),"")</f>
        <v/>
      </c>
      <c r="J33" s="202" t="str">
        <f t="array" aca="1" ref="J33" ca="1">SUBSTITUTE(SUBSTITUTE(SUBSTITUTE(SUBSTITUTE(SUBSTITUTE(SUBSTITUTE(SUBSTITUTE(SUBSTITUTE(SUBSTITUTE(SUBSTITUTE(
IF(I34="△",
INDIRECT("'盛付札（関数）'!FJ"&amp;H33+1),INDIRECT("'盛付札（関数）'!FJ"&amp;H33)),"①",""),"②",""),"③",""),"④",""),"⑤",""),"⑥",""),"⑦",""),"⑧",""),"⑨",""),"⑩","")</f>
        <v/>
      </c>
      <c r="K33" s="203"/>
      <c r="L33" s="203"/>
      <c r="M33" s="203"/>
      <c r="N33" s="71" t="str">
        <f t="array" aca="1" ref="N33" ca="1">IF(J33&lt;&gt;"",
IF(AND(INDIRECT("'盛付札（関数）'!FI"&amp;H33)&gt;=124,INDIRECT("'盛付札（関数）'!FI"&amp;H33)&lt;=144),"",
"様"),"")</f>
        <v/>
      </c>
      <c r="O33" s="49"/>
      <c r="P33" s="59">
        <f ca="1">IF(OR(X26="●",X26="△"),
W25+2,W25+1)</f>
        <v>21</v>
      </c>
      <c r="Q33" s="72" t="str">
        <f ca="1">IF(R33&lt;&gt;"",
MID(貼り付け用!$A$2, FIND("年",貼り付け用!$A$2)+1,2)&amp;"/"&amp;MID(貼り付け用!$A$2, FIND("月",貼り付け用!$A$2)+1,2),"")</f>
        <v/>
      </c>
      <c r="R33" s="202" t="str">
        <f t="array" aca="1" ref="R33" ca="1">SUBSTITUTE(SUBSTITUTE(SUBSTITUTE(SUBSTITUTE(SUBSTITUTE(SUBSTITUTE(SUBSTITUTE(SUBSTITUTE(SUBSTITUTE(SUBSTITUTE(
IF(Q34="△",
INDIRECT("'盛付札（関数）'!FJ"&amp;P33+1),INDIRECT("'盛付札（関数）'!FJ"&amp;P33)),"①",""),"②",""),"③",""),"④",""),"⑤",""),"⑥",""),"⑦",""),"⑧",""),"⑨",""),"⑩","")</f>
        <v/>
      </c>
      <c r="S33" s="203"/>
      <c r="T33" s="203"/>
      <c r="U33" s="203"/>
      <c r="V33" s="71" t="str">
        <f t="array" aca="1" ref="V33" ca="1">IF(R33&lt;&gt;"",
IF(AND(INDIRECT("'盛付札（関数）'!FI"&amp;P33)&gt;=124,INDIRECT("'盛付札（関数）'!FI"&amp;P33)&lt;=144),"",
"様"),"")</f>
        <v/>
      </c>
      <c r="W33" s="65">
        <f ca="1">IF(OR(Q34="●",Q34="△"),
P33+2,P33+1)</f>
        <v>22</v>
      </c>
      <c r="X33" s="72" t="str">
        <f ca="1">IF(Y33&lt;&gt;"",
MID(貼り付け用!$A$2, FIND("年",貼り付け用!$A$2)+1,2)&amp;"/"&amp;MID(貼り付け用!$A$2, FIND("月",貼り付け用!$A$2)+1,2),"")</f>
        <v/>
      </c>
      <c r="Y33" s="202" t="str">
        <f t="array" aca="1" ref="Y33" ca="1">SUBSTITUTE(SUBSTITUTE(SUBSTITUTE(SUBSTITUTE(SUBSTITUTE(SUBSTITUTE(SUBSTITUTE(SUBSTITUTE(SUBSTITUTE(SUBSTITUTE(
IF(X34="△",
INDIRECT("'盛付札（関数）'!FJ"&amp;W33+1),INDIRECT("'盛付札（関数）'!FJ"&amp;W33)),"①",""),"②",""),"③",""),"④",""),"⑤",""),"⑥",""),"⑦",""),"⑧",""),"⑨",""),"⑩","")</f>
        <v/>
      </c>
      <c r="Z33" s="203"/>
      <c r="AA33" s="203"/>
      <c r="AB33" s="203"/>
      <c r="AC33" s="71" t="str">
        <f t="array" aca="1" ref="AC33" ca="1">IF(Y33&lt;&gt;"",
IF(AND(INDIRECT("'盛付札（関数）'!FI"&amp;W33)&gt;=124,INDIRECT("'盛付札（関数）'!FI"&amp;W33)&lt;=144),"",
"様"),"")</f>
        <v/>
      </c>
      <c r="AD33" s="49"/>
      <c r="AE33" s="59">
        <f ca="1">IF(OR(AM26="●",AM26="△"),
AL25+2,AL25+1)</f>
        <v>33</v>
      </c>
      <c r="AF33" s="72" t="str">
        <f ca="1">IF(AG33&lt;&gt;"",
MID(貼り付け用!$A$2, FIND("年",貼り付け用!$A$2)+1,2)&amp;"/"&amp;MID(貼り付け用!$A$2, FIND("月",貼り付け用!$A$2)+1,2),"")</f>
        <v/>
      </c>
      <c r="AG33" s="202" t="str">
        <f t="array" aca="1" ref="AG33" ca="1">SUBSTITUTE(SUBSTITUTE(SUBSTITUTE(SUBSTITUTE(SUBSTITUTE(SUBSTITUTE(SUBSTITUTE(SUBSTITUTE(SUBSTITUTE(SUBSTITUTE(
IF(AF34="△",
INDIRECT("'盛付札（関数）'!FJ"&amp;AE33+1),INDIRECT("'盛付札（関数）'!FJ"&amp;AE33)),"①",""),"②",""),"③",""),"④",""),"⑤",""),"⑥",""),"⑦",""),"⑧",""),"⑨",""),"⑩","")</f>
        <v/>
      </c>
      <c r="AH33" s="203"/>
      <c r="AI33" s="203"/>
      <c r="AJ33" s="203"/>
      <c r="AK33" s="71" t="str">
        <f t="array" aca="1" ref="AK33" ca="1">IF(AG33&lt;&gt;"",
IF(AND(INDIRECT("'盛付札（関数）'!FI"&amp;AE33)&gt;=124,INDIRECT("'盛付札（関数）'!FI"&amp;AE33)&lt;=144),"",
"様"),"")</f>
        <v/>
      </c>
      <c r="AL33" s="65">
        <f ca="1">IF(OR(AF34="●",AF34="△"),
AE33+2,AE33+1)</f>
        <v>34</v>
      </c>
      <c r="AM33" s="72" t="str">
        <f ca="1">IF(AN33&lt;&gt;"",
MID(貼り付け用!$A$2, FIND("年",貼り付け用!$A$2)+1,2)&amp;"/"&amp;MID(貼り付け用!$A$2, FIND("月",貼り付け用!$A$2)+1,2),"")</f>
        <v/>
      </c>
      <c r="AN33" s="202" t="str">
        <f t="array" aca="1" ref="AN33" ca="1">SUBSTITUTE(SUBSTITUTE(SUBSTITUTE(SUBSTITUTE(SUBSTITUTE(SUBSTITUTE(SUBSTITUTE(SUBSTITUTE(SUBSTITUTE(SUBSTITUTE(
IF(AM34="△",
INDIRECT("'盛付札（関数）'!FJ"&amp;AL33+1),INDIRECT("'盛付札（関数）'!FJ"&amp;AL33)),"①",""),"②",""),"③",""),"④",""),"⑤",""),"⑥",""),"⑦",""),"⑧",""),"⑨",""),"⑩","")</f>
        <v/>
      </c>
      <c r="AO33" s="203"/>
      <c r="AP33" s="203"/>
      <c r="AQ33" s="203"/>
      <c r="AR33" s="71" t="str">
        <f t="array" aca="1" ref="AR33" ca="1">IF(AN33&lt;&gt;"",
IF(AND(INDIRECT("'盛付札（関数）'!FI"&amp;AL33)&gt;=124,INDIRECT("'盛付札（関数）'!FI"&amp;AL33)&lt;=144),"",
"様"),"")</f>
        <v/>
      </c>
      <c r="AS33" s="49"/>
      <c r="AT33" s="59">
        <f ca="1">IF(OR(BB26="●",BB26="△"),
BA25+2,BA25+1)</f>
        <v>45</v>
      </c>
      <c r="AU33" s="72" t="str">
        <f ca="1">IF(AV33&lt;&gt;"",
MID(貼り付け用!$A$2, FIND("年",貼り付け用!$A$2)+1,2)&amp;"/"&amp;MID(貼り付け用!$A$2, FIND("月",貼り付け用!$A$2)+1,2),"")</f>
        <v/>
      </c>
      <c r="AV33" s="202" t="str">
        <f t="array" aca="1" ref="AV33" ca="1">SUBSTITUTE(SUBSTITUTE(SUBSTITUTE(SUBSTITUTE(SUBSTITUTE(SUBSTITUTE(SUBSTITUTE(SUBSTITUTE(SUBSTITUTE(SUBSTITUTE(
IF(AU34="△",
INDIRECT("'盛付札（関数）'!FJ"&amp;AT33+1),INDIRECT("'盛付札（関数）'!FJ"&amp;AT33)),"①",""),"②",""),"③",""),"④",""),"⑤",""),"⑥",""),"⑦",""),"⑧",""),"⑨",""),"⑩","")</f>
        <v/>
      </c>
      <c r="AW33" s="203"/>
      <c r="AX33" s="203"/>
      <c r="AY33" s="203"/>
      <c r="AZ33" s="71" t="str">
        <f t="array" aca="1" ref="AZ33" ca="1">IF(AV33&lt;&gt;"",
IF(AND(INDIRECT("'盛付札（関数）'!FI"&amp;AT33)&gt;=124,INDIRECT("'盛付札（関数）'!FI"&amp;AT33)&lt;=144),"",
"様"),"")</f>
        <v/>
      </c>
      <c r="BA33" s="65">
        <f ca="1">IF(OR(AU34="●",AU34="△"),
AT33+2,AT33+1)</f>
        <v>46</v>
      </c>
      <c r="BB33" s="72" t="str">
        <f ca="1">IF(BC33&lt;&gt;"",
MID(貼り付け用!$A$2, FIND("年",貼り付け用!$A$2)+1,2)&amp;"/"&amp;MID(貼り付け用!$A$2, FIND("月",貼り付け用!$A$2)+1,2),"")</f>
        <v/>
      </c>
      <c r="BC33" s="202" t="str">
        <f t="array" aca="1" ref="BC33" ca="1">SUBSTITUTE(SUBSTITUTE(SUBSTITUTE(SUBSTITUTE(SUBSTITUTE(SUBSTITUTE(SUBSTITUTE(SUBSTITUTE(SUBSTITUTE(SUBSTITUTE(
IF(BB34="△",
INDIRECT("'盛付札（関数）'!FJ"&amp;BA33+1),INDIRECT("'盛付札（関数）'!FJ"&amp;BA33)),"①",""),"②",""),"③",""),"④",""),"⑤",""),"⑥",""),"⑦",""),"⑧",""),"⑨",""),"⑩","")</f>
        <v/>
      </c>
      <c r="BD33" s="203"/>
      <c r="BE33" s="203"/>
      <c r="BF33" s="203"/>
      <c r="BG33" s="71" t="str">
        <f t="array" aca="1" ref="BG33" ca="1">IF(BC33&lt;&gt;"",
IF(AND(INDIRECT("'盛付札（関数）'!FI"&amp;BA33)&gt;=124,INDIRECT("'盛付札（関数）'!FI"&amp;BA33)&lt;=144),"",
"様"),"")</f>
        <v/>
      </c>
      <c r="BH33" s="49"/>
      <c r="BI33" s="59">
        <f ca="1">IF(OR(BQ26="●",BQ26="△"),
BP25+2,BP25+1)</f>
        <v>57</v>
      </c>
      <c r="BJ33" s="72" t="str">
        <f ca="1">IF(BK33&lt;&gt;"",
MID(貼り付け用!$A$2, FIND("年",貼り付け用!$A$2)+1,2)&amp;"/"&amp;MID(貼り付け用!$A$2, FIND("月",貼り付け用!$A$2)+1,2),"")</f>
        <v/>
      </c>
      <c r="BK33" s="202" t="str">
        <f t="array" aca="1" ref="BK33" ca="1">SUBSTITUTE(SUBSTITUTE(SUBSTITUTE(SUBSTITUTE(SUBSTITUTE(SUBSTITUTE(SUBSTITUTE(SUBSTITUTE(SUBSTITUTE(SUBSTITUTE(
IF(BJ34="△",
INDIRECT("'盛付札（関数）'!FJ"&amp;BI33+1),INDIRECT("'盛付札（関数）'!FJ"&amp;BI33)),"①",""),"②",""),"③",""),"④",""),"⑤",""),"⑥",""),"⑦",""),"⑧",""),"⑨",""),"⑩","")</f>
        <v/>
      </c>
      <c r="BL33" s="203"/>
      <c r="BM33" s="203"/>
      <c r="BN33" s="203"/>
      <c r="BO33" s="71" t="str">
        <f t="array" aca="1" ref="BO33" ca="1">IF(BK33&lt;&gt;"",
IF(AND(INDIRECT("'盛付札（関数）'!FI"&amp;BI33)&gt;=124,INDIRECT("'盛付札（関数）'!FI"&amp;BI33)&lt;=144),"",
"様"),"")</f>
        <v/>
      </c>
      <c r="BP33" s="65">
        <f ca="1">IF(OR(BJ34="●",BJ34="△"),
BI33+2,BI33+1)</f>
        <v>58</v>
      </c>
      <c r="BQ33" s="72" t="str">
        <f ca="1">IF(BR33&lt;&gt;"",
MID(貼り付け用!$A$2, FIND("年",貼り付け用!$A$2)+1,2)&amp;"/"&amp;MID(貼り付け用!$A$2, FIND("月",貼り付け用!$A$2)+1,2),"")</f>
        <v/>
      </c>
      <c r="BR33" s="202" t="str">
        <f t="array" aca="1" ref="BR33" ca="1">SUBSTITUTE(SUBSTITUTE(SUBSTITUTE(SUBSTITUTE(SUBSTITUTE(SUBSTITUTE(SUBSTITUTE(SUBSTITUTE(SUBSTITUTE(SUBSTITUTE(
IF(BQ34="△",
INDIRECT("'盛付札（関数）'!FJ"&amp;BP33+1),INDIRECT("'盛付札（関数）'!FJ"&amp;BP33)),"①",""),"②",""),"③",""),"④",""),"⑤",""),"⑥",""),"⑦",""),"⑧",""),"⑨",""),"⑩","")</f>
        <v/>
      </c>
      <c r="BS33" s="203"/>
      <c r="BT33" s="203"/>
      <c r="BU33" s="203"/>
      <c r="BV33" s="71" t="str">
        <f t="array" aca="1" ref="BV33" ca="1">IF(BR33&lt;&gt;"",
IF(AND(INDIRECT("'盛付札（関数）'!FI"&amp;BP33)&gt;=124,INDIRECT("'盛付札（関数）'!FI"&amp;BP33)&lt;=144),"",
"様"),"")</f>
        <v/>
      </c>
      <c r="BW33" s="49"/>
      <c r="BX33" s="59">
        <f ca="1">IF(OR(CF26="●",CF26="△"),
CE25+2,CE25+1)</f>
        <v>69</v>
      </c>
      <c r="BY33" s="72" t="str">
        <f ca="1">IF(BZ33&lt;&gt;"",
MID(貼り付け用!$A$2, FIND("年",貼り付け用!$A$2)+1,2)&amp;"/"&amp;MID(貼り付け用!$A$2, FIND("月",貼り付け用!$A$2)+1,2),"")</f>
        <v/>
      </c>
      <c r="BZ33" s="202" t="str">
        <f t="array" aca="1" ref="BZ33" ca="1">SUBSTITUTE(SUBSTITUTE(SUBSTITUTE(SUBSTITUTE(SUBSTITUTE(SUBSTITUTE(SUBSTITUTE(SUBSTITUTE(SUBSTITUTE(SUBSTITUTE(
IF(BY34="△",
INDIRECT("'盛付札（関数）'!FJ"&amp;BX33+1),INDIRECT("'盛付札（関数）'!FJ"&amp;BX33)),"①",""),"②",""),"③",""),"④",""),"⑤",""),"⑥",""),"⑦",""),"⑧",""),"⑨",""),"⑩","")</f>
        <v/>
      </c>
      <c r="CA33" s="203"/>
      <c r="CB33" s="203"/>
      <c r="CC33" s="203"/>
      <c r="CD33" s="71" t="str">
        <f t="array" aca="1" ref="CD33" ca="1">IF(BZ33&lt;&gt;"",
IF(AND(INDIRECT("'盛付札（関数）'!FI"&amp;BX33)&gt;=124,INDIRECT("'盛付札（関数）'!FI"&amp;BX33)&lt;=144),"",
"様"),"")</f>
        <v/>
      </c>
      <c r="CE33" s="65">
        <f ca="1">IF(OR(BY34="●",BY34="△"),
BX33+2,BX33+1)</f>
        <v>70</v>
      </c>
      <c r="CF33" s="72" t="str">
        <f ca="1">IF(CG33&lt;&gt;"",
MID(貼り付け用!$A$2, FIND("年",貼り付け用!$A$2)+1,2)&amp;"/"&amp;MID(貼り付け用!$A$2, FIND("月",貼り付け用!$A$2)+1,2),"")</f>
        <v/>
      </c>
      <c r="CG33" s="202" t="str">
        <f t="array" aca="1" ref="CG33" ca="1">SUBSTITUTE(SUBSTITUTE(SUBSTITUTE(SUBSTITUTE(SUBSTITUTE(SUBSTITUTE(SUBSTITUTE(SUBSTITUTE(SUBSTITUTE(SUBSTITUTE(
IF(CF34="△",
INDIRECT("'盛付札（関数）'!FJ"&amp;CE33+1),INDIRECT("'盛付札（関数）'!FJ"&amp;CE33)),"①",""),"②",""),"③",""),"④",""),"⑤",""),"⑥",""),"⑦",""),"⑧",""),"⑨",""),"⑩","")</f>
        <v/>
      </c>
      <c r="CH33" s="203"/>
      <c r="CI33" s="203"/>
      <c r="CJ33" s="203"/>
      <c r="CK33" s="71" t="str">
        <f t="array" aca="1" ref="CK33" ca="1">IF(CG33&lt;&gt;"",
IF(AND(INDIRECT("'盛付札（関数）'!FI"&amp;CE33)&gt;=124,INDIRECT("'盛付札（関数）'!FI"&amp;CE33)&lt;=144),"",
"様"),"")</f>
        <v/>
      </c>
      <c r="CL33" s="49"/>
      <c r="CM33" s="59">
        <f ca="1">IF(OR(CU26="●",CU26="△"),
CT25+2,CT25+1)</f>
        <v>81</v>
      </c>
      <c r="CN33" s="72" t="str">
        <f ca="1">IF(CO33&lt;&gt;"",
MID(貼り付け用!$A$2, FIND("年",貼り付け用!$A$2)+1,2)&amp;"/"&amp;MID(貼り付け用!$A$2, FIND("月",貼り付け用!$A$2)+1,2),"")</f>
        <v/>
      </c>
      <c r="CO33" s="202" t="str">
        <f t="array" aca="1" ref="CO33" ca="1">SUBSTITUTE(SUBSTITUTE(SUBSTITUTE(SUBSTITUTE(SUBSTITUTE(SUBSTITUTE(SUBSTITUTE(SUBSTITUTE(SUBSTITUTE(SUBSTITUTE(
IF(CN34="△",
INDIRECT("'盛付札（関数）'!FJ"&amp;CM33+1),INDIRECT("'盛付札（関数）'!FJ"&amp;CM33)),"①",""),"②",""),"③",""),"④",""),"⑤",""),"⑥",""),"⑦",""),"⑧",""),"⑨",""),"⑩","")</f>
        <v/>
      </c>
      <c r="CP33" s="203"/>
      <c r="CQ33" s="203"/>
      <c r="CR33" s="203"/>
      <c r="CS33" s="71" t="str">
        <f t="array" aca="1" ref="CS33" ca="1">IF(CO33&lt;&gt;"",
IF(AND(INDIRECT("'盛付札（関数）'!FI"&amp;CM33)&gt;=124,INDIRECT("'盛付札（関数）'!FI"&amp;CM33)&lt;=144),"",
"様"),"")</f>
        <v/>
      </c>
      <c r="CT33" s="65">
        <f ca="1">IF(OR(CN34="●",CN34="△"),
CM33+2,CM33+1)</f>
        <v>82</v>
      </c>
      <c r="CU33" s="72" t="str">
        <f ca="1">IF(CV33&lt;&gt;"",
MID(貼り付け用!$A$2, FIND("年",貼り付け用!$A$2)+1,2)&amp;"/"&amp;MID(貼り付け用!$A$2, FIND("月",貼り付け用!$A$2)+1,2),"")</f>
        <v/>
      </c>
      <c r="CV33" s="202" t="str">
        <f t="array" aca="1" ref="CV33" ca="1">SUBSTITUTE(SUBSTITUTE(SUBSTITUTE(SUBSTITUTE(SUBSTITUTE(SUBSTITUTE(SUBSTITUTE(SUBSTITUTE(SUBSTITUTE(SUBSTITUTE(
IF(CU34="△",
INDIRECT("'盛付札（関数）'!FJ"&amp;CT33+1),INDIRECT("'盛付札（関数）'!FJ"&amp;CT33)),"①",""),"②",""),"③",""),"④",""),"⑤",""),"⑥",""),"⑦",""),"⑧",""),"⑨",""),"⑩","")</f>
        <v/>
      </c>
      <c r="CW33" s="203"/>
      <c r="CX33" s="203"/>
      <c r="CY33" s="203"/>
      <c r="CZ33" s="71" t="str">
        <f t="array" aca="1" ref="CZ33" ca="1">IF(CV33&lt;&gt;"",
IF(AND(INDIRECT("'盛付札（関数）'!FI"&amp;CT33)&gt;=124,INDIRECT("'盛付札（関数）'!FI"&amp;CT33)&lt;=144),"",
"様"),"")</f>
        <v/>
      </c>
      <c r="DA33" s="49"/>
      <c r="DB33" s="59">
        <f ca="1">IF(OR(DJ26="●",DJ26="△"),
DI25+2,DI25+1)</f>
        <v>93</v>
      </c>
      <c r="DC33" s="72" t="str">
        <f ca="1">IF(DD33&lt;&gt;"",
MID(貼り付け用!$A$2, FIND("年",貼り付け用!$A$2)+1,2)&amp;"/"&amp;MID(貼り付け用!$A$2, FIND("月",貼り付け用!$A$2)+1,2),"")</f>
        <v/>
      </c>
      <c r="DD33" s="202" t="str">
        <f t="array" aca="1" ref="DD33" ca="1">SUBSTITUTE(SUBSTITUTE(SUBSTITUTE(SUBSTITUTE(SUBSTITUTE(SUBSTITUTE(SUBSTITUTE(SUBSTITUTE(SUBSTITUTE(SUBSTITUTE(
IF(DC34="△",
INDIRECT("'盛付札（関数）'!FJ"&amp;DB33+1),INDIRECT("'盛付札（関数）'!FJ"&amp;DB33)),"①",""),"②",""),"③",""),"④",""),"⑤",""),"⑥",""),"⑦",""),"⑧",""),"⑨",""),"⑩","")</f>
        <v/>
      </c>
      <c r="DE33" s="203"/>
      <c r="DF33" s="203"/>
      <c r="DG33" s="203"/>
      <c r="DH33" s="71" t="str">
        <f t="array" aca="1" ref="DH33" ca="1">IF(DD33&lt;&gt;"",
IF(AND(INDIRECT("'盛付札（関数）'!FI"&amp;DB33)&gt;=124,INDIRECT("'盛付札（関数）'!FI"&amp;DB33)&lt;=144),"",
"様"),"")</f>
        <v/>
      </c>
      <c r="DI33" s="65">
        <f ca="1">IF(OR(DC34="●",DC34="△"),
DB33+2,DB33+1)</f>
        <v>94</v>
      </c>
      <c r="DJ33" s="72" t="str">
        <f ca="1">IF(DK33&lt;&gt;"",
MID(貼り付け用!$A$2, FIND("年",貼り付け用!$A$2)+1,2)&amp;"/"&amp;MID(貼り付け用!$A$2, FIND("月",貼り付け用!$A$2)+1,2),"")</f>
        <v/>
      </c>
      <c r="DK33" s="202" t="str">
        <f t="array" aca="1" ref="DK33" ca="1">SUBSTITUTE(SUBSTITUTE(SUBSTITUTE(SUBSTITUTE(SUBSTITUTE(SUBSTITUTE(SUBSTITUTE(SUBSTITUTE(SUBSTITUTE(SUBSTITUTE(
IF(DJ34="△",
INDIRECT("'盛付札（関数）'!FJ"&amp;DI33+1),INDIRECT("'盛付札（関数）'!FJ"&amp;DI33)),"①",""),"②",""),"③",""),"④",""),"⑤",""),"⑥",""),"⑦",""),"⑧",""),"⑨",""),"⑩","")</f>
        <v/>
      </c>
      <c r="DL33" s="203"/>
      <c r="DM33" s="203"/>
      <c r="DN33" s="203"/>
      <c r="DO33" s="71" t="str">
        <f t="array" aca="1" ref="DO33" ca="1">IF(DK33&lt;&gt;"",
IF(AND(INDIRECT("'盛付札（関数）'!FI"&amp;DI33)&gt;=124,INDIRECT("'盛付札（関数）'!FI"&amp;DI33)&lt;=144),"",
"様"),"")</f>
        <v/>
      </c>
      <c r="DP33" s="49"/>
      <c r="DQ33" s="59">
        <f ca="1">IF(OR(DY26="●",DY26="△"),
DX25+2,DX25+1)</f>
        <v>105</v>
      </c>
      <c r="DR33" s="72" t="str">
        <f ca="1">IF(DS33&lt;&gt;"",
MID(貼り付け用!$A$2, FIND("年",貼り付け用!$A$2)+1,2)&amp;"/"&amp;MID(貼り付け用!$A$2, FIND("月",貼り付け用!$A$2)+1,2),"")</f>
        <v/>
      </c>
      <c r="DS33" s="202" t="str">
        <f t="array" aca="1" ref="DS33" ca="1">SUBSTITUTE(SUBSTITUTE(SUBSTITUTE(SUBSTITUTE(SUBSTITUTE(SUBSTITUTE(SUBSTITUTE(SUBSTITUTE(SUBSTITUTE(SUBSTITUTE(
IF(DR34="△",
INDIRECT("'盛付札（関数）'!FJ"&amp;DQ33+1),INDIRECT("'盛付札（関数）'!FJ"&amp;DQ33)),"①",""),"②",""),"③",""),"④",""),"⑤",""),"⑥",""),"⑦",""),"⑧",""),"⑨",""),"⑩","")</f>
        <v/>
      </c>
      <c r="DT33" s="203"/>
      <c r="DU33" s="203"/>
      <c r="DV33" s="203"/>
      <c r="DW33" s="71" t="str">
        <f t="array" aca="1" ref="DW33" ca="1">IF(DS33&lt;&gt;"",
IF(AND(INDIRECT("'盛付札（関数）'!FI"&amp;DQ33)&gt;=124,INDIRECT("'盛付札（関数）'!FI"&amp;DQ33)&lt;=144),"",
"様"),"")</f>
        <v/>
      </c>
      <c r="DX33" s="65">
        <f ca="1">IF(OR(DR34="●",DR34="△"),
DQ33+2,DQ33+1)</f>
        <v>106</v>
      </c>
      <c r="DY33" s="72" t="str">
        <f ca="1">IF(DZ33&lt;&gt;"",
MID(貼り付け用!$A$2, FIND("年",貼り付け用!$A$2)+1,2)&amp;"/"&amp;MID(貼り付け用!$A$2, FIND("月",貼り付け用!$A$2)+1,2),"")</f>
        <v/>
      </c>
      <c r="DZ33" s="202" t="str">
        <f t="array" aca="1" ref="DZ33" ca="1">SUBSTITUTE(SUBSTITUTE(SUBSTITUTE(SUBSTITUTE(SUBSTITUTE(SUBSTITUTE(SUBSTITUTE(SUBSTITUTE(SUBSTITUTE(SUBSTITUTE(
IF(DY34="△",
INDIRECT("'盛付札（関数）'!FJ"&amp;DX33+1),INDIRECT("'盛付札（関数）'!FJ"&amp;DX33)),"①",""),"②",""),"③",""),"④",""),"⑤",""),"⑥",""),"⑦",""),"⑧",""),"⑨",""),"⑩","")</f>
        <v/>
      </c>
      <c r="EA33" s="203"/>
      <c r="EB33" s="203"/>
      <c r="EC33" s="203"/>
      <c r="ED33" s="71" t="str">
        <f t="array" aca="1" ref="ED33" ca="1">IF(DZ33&lt;&gt;"",
IF(AND(INDIRECT("'盛付札（関数）'!FI"&amp;DX33)&gt;=124,INDIRECT("'盛付札（関数）'!FI"&amp;DX33)&lt;=144),"",
"様"),"")</f>
        <v/>
      </c>
      <c r="EE33" s="49"/>
      <c r="EF33" s="59">
        <f ca="1">IF(OR(EN26="●",EN26="△"),
EM25+2,EM25+1)</f>
        <v>117</v>
      </c>
      <c r="EG33" s="72" t="str">
        <f ca="1">IF(EH33&lt;&gt;"",
MID(貼り付け用!$A$2, FIND("年",貼り付け用!$A$2)+1,2)&amp;"/"&amp;MID(貼り付け用!$A$2, FIND("月",貼り付け用!$A$2)+1,2),"")</f>
        <v/>
      </c>
      <c r="EH33" s="202" t="str">
        <f t="array" aca="1" ref="EH33" ca="1">SUBSTITUTE(SUBSTITUTE(SUBSTITUTE(SUBSTITUTE(SUBSTITUTE(SUBSTITUTE(SUBSTITUTE(SUBSTITUTE(SUBSTITUTE(SUBSTITUTE(
IF(EG34="△",
INDIRECT("'盛付札（関数）'!FJ"&amp;EF33+1),INDIRECT("'盛付札（関数）'!FJ"&amp;EF33)),"①",""),"②",""),"③",""),"④",""),"⑤",""),"⑥",""),"⑦",""),"⑧",""),"⑨",""),"⑩","")</f>
        <v/>
      </c>
      <c r="EI33" s="203"/>
      <c r="EJ33" s="203"/>
      <c r="EK33" s="203"/>
      <c r="EL33" s="71" t="str">
        <f t="array" aca="1" ref="EL33" ca="1">IF(EH33&lt;&gt;"",
IF(AND(INDIRECT("'盛付札（関数）'!FI"&amp;EF33)&gt;=124,INDIRECT("'盛付札（関数）'!FI"&amp;EF33)&lt;=144),"",
"様"),"")</f>
        <v/>
      </c>
      <c r="EM33" s="65">
        <f ca="1">IF(OR(EG34="●",EG34="△"),
EF33+2,EF33+1)</f>
        <v>118</v>
      </c>
      <c r="EN33" s="72" t="str">
        <f ca="1">IF(EO33&lt;&gt;"",
MID(貼り付け用!$A$2, FIND("年",貼り付け用!$A$2)+1,2)&amp;"/"&amp;MID(貼り付け用!$A$2, FIND("月",貼り付け用!$A$2)+1,2),"")</f>
        <v/>
      </c>
      <c r="EO33" s="202" t="str">
        <f t="array" aca="1" ref="EO33" ca="1">SUBSTITUTE(SUBSTITUTE(SUBSTITUTE(SUBSTITUTE(SUBSTITUTE(SUBSTITUTE(SUBSTITUTE(SUBSTITUTE(SUBSTITUTE(SUBSTITUTE(
IF(EN34="△",
INDIRECT("'盛付札（関数）'!FJ"&amp;EM33+1),INDIRECT("'盛付札（関数）'!FJ"&amp;EM33)),"①",""),"②",""),"③",""),"④",""),"⑤",""),"⑥",""),"⑦",""),"⑧",""),"⑨",""),"⑩","")</f>
        <v/>
      </c>
      <c r="EP33" s="203"/>
      <c r="EQ33" s="203"/>
      <c r="ER33" s="203"/>
      <c r="ES33" s="71" t="str">
        <f t="array" aca="1" ref="ES33" ca="1">IF(EO33&lt;&gt;"",
IF(AND(INDIRECT("'盛付札（関数）'!FI"&amp;EM33)&gt;=124,INDIRECT("'盛付札（関数）'!FI"&amp;EM33)&lt;=144),"",
"様"),"")</f>
        <v/>
      </c>
      <c r="ET33" s="49"/>
    </row>
    <row r="34" spans="1:150" s="60" customFormat="1" x14ac:dyDescent="0.55000000000000004">
      <c r="A34" s="59"/>
      <c r="B34" s="61" t="str">
        <f ca="1">IF(COUNTIF(INDIRECT("'盛付札（関数）'!FJ"&amp;A33+1),"*雙葉*"),"●",
"〇")</f>
        <v>〇</v>
      </c>
      <c r="C34" s="76" t="str">
        <f t="array" aca="1" ref="C34" ca="1">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IF(B34="△",
INDIRECT("'盛付札（関数）'!FK"&amp;A33+1),INDIRECT("'盛付札（関数）'!FK"&amp;A33))))</f>
        <v/>
      </c>
      <c r="D34" s="70"/>
      <c r="E34" s="70"/>
      <c r="F34" s="77" t="str">
        <f t="array" aca="1" ref="F34" ca="1">IF(C33&lt;&gt;"",
IF(OR(INDIRECT("'盛付札（関数）'!FI"&amp;A33)=121,INDIRECT("'盛付札（関数）'!FI"&amp;A33)=122,INDIRECT("'盛付札（関数）'!FI"&amp;A33)=123),"",
IF(B34="●",
SUBSTITUTE(SUBSTITUTE(SUBSTITUTE(INDIRECT("'盛付札（関数）'!FL"&amp;A33),100,""),120,""),150,""),
IF(B34="△",
IF(INDIRECT("'盛付札（関数）'!FL"&amp;A33+1)&lt;&gt;"",
INDIRECT("'盛付札（関数）'!FL"&amp;A33+1),INDIRECT("'盛付札（関数）'!FM"&amp;A33+1)),
IF(INDIRECT("'盛付札（関数）'!FL"&amp;A33)&lt;&gt;"",
INDIRECT("'盛付札（関数）'!FL"&amp;A33),INDIRECT("'盛付札（関数）'!FM"&amp;A33))))),"")</f>
        <v/>
      </c>
      <c r="G34" s="68"/>
      <c r="H34" s="78"/>
      <c r="I34" s="61" t="str">
        <f ca="1">IF(COUNTIF(INDIRECT("'盛付札（関数）'!FJ"&amp;H33+1),"*雙葉*"),"●",
"〇")</f>
        <v>〇</v>
      </c>
      <c r="J34" s="76" t="str">
        <f t="array" aca="1" ref="J34" ca="1">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IF(I34="△",
INDIRECT("'盛付札（関数）'!FK"&amp;H33+1),INDIRECT("'盛付札（関数）'!FK"&amp;H33))))</f>
        <v/>
      </c>
      <c r="K34" s="70"/>
      <c r="L34" s="70"/>
      <c r="M34" s="77" t="str">
        <f t="array" aca="1" ref="M34" ca="1">IF(J33&lt;&gt;"",
IF(OR(INDIRECT("'盛付札（関数）'!FI"&amp;H33)=121,INDIRECT("'盛付札（関数）'!FI"&amp;H33)=122,INDIRECT("'盛付札（関数）'!FI"&amp;H33)=123),"",
IF(I34="●",
SUBSTITUTE(SUBSTITUTE(SUBSTITUTE(INDIRECT("'盛付札（関数）'!FL"&amp;H33),100,""),120,""),150,""),
IF(I34="△",
IF(INDIRECT("'盛付札（関数）'!FL"&amp;H33+1)&lt;&gt;"",
INDIRECT("'盛付札（関数）'!FL"&amp;H33+1),INDIRECT("'盛付札（関数）'!FM"&amp;H33+1)),
IF(INDIRECT("'盛付札（関数）'!FL"&amp;H33)&lt;&gt;"",
INDIRECT("'盛付札（関数）'!FL"&amp;H33),INDIRECT("'盛付札（関数）'!FM"&amp;H33))))),"")</f>
        <v/>
      </c>
      <c r="N34" s="68"/>
      <c r="O34" s="49"/>
      <c r="P34" s="59"/>
      <c r="Q34" s="61" t="str">
        <f ca="1">IF(COUNTIF(INDIRECT("'盛付札（関数）'!FJ"&amp;P33+1),"*雙葉*"),"●",
"〇")</f>
        <v>〇</v>
      </c>
      <c r="R34" s="76" t="str">
        <f t="array" aca="1" ref="R34" ca="1">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IF(Q34="△",
INDIRECT("'盛付札（関数）'!FK"&amp;P33+1),INDIRECT("'盛付札（関数）'!FK"&amp;P33))))</f>
        <v/>
      </c>
      <c r="S34" s="70"/>
      <c r="T34" s="70"/>
      <c r="U34" s="77" t="str">
        <f t="array" aca="1" ref="U34" ca="1">IF(R33&lt;&gt;"",
IF(OR(INDIRECT("'盛付札（関数）'!FI"&amp;P33)=121,INDIRECT("'盛付札（関数）'!FI"&amp;P33)=122,INDIRECT("'盛付札（関数）'!FI"&amp;P33)=123),"",
IF(Q34="●",
SUBSTITUTE(SUBSTITUTE(SUBSTITUTE(INDIRECT("'盛付札（関数）'!FL"&amp;P33),100,""),120,""),150,""),
IF(Q34="△",
IF(INDIRECT("'盛付札（関数）'!FL"&amp;P33+1)&lt;&gt;"",
INDIRECT("'盛付札（関数）'!FL"&amp;P33+1),INDIRECT("'盛付札（関数）'!FM"&amp;P33+1)),
IF(INDIRECT("'盛付札（関数）'!FL"&amp;P33)&lt;&gt;"",
INDIRECT("'盛付札（関数）'!FL"&amp;P33),INDIRECT("'盛付札（関数）'!FM"&amp;P33))))),"")</f>
        <v/>
      </c>
      <c r="V34" s="68"/>
      <c r="W34" s="78"/>
      <c r="X34" s="61" t="str">
        <f ca="1">IF(COUNTIF(INDIRECT("'盛付札（関数）'!FJ"&amp;W33+1),"*雙葉*"),"●",
"〇")</f>
        <v>〇</v>
      </c>
      <c r="Y34" s="76" t="str">
        <f t="array" aca="1" ref="Y34" ca="1">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IF(X34="△",
INDIRECT("'盛付札（関数）'!FK"&amp;W33+1),INDIRECT("'盛付札（関数）'!FK"&amp;W33))))</f>
        <v/>
      </c>
      <c r="Z34" s="70"/>
      <c r="AA34" s="70"/>
      <c r="AB34" s="77" t="str">
        <f t="array" aca="1" ref="AB34" ca="1">IF(Y33&lt;&gt;"",
IF(OR(INDIRECT("'盛付札（関数）'!FI"&amp;W33)=121,INDIRECT("'盛付札（関数）'!FI"&amp;W33)=122,INDIRECT("'盛付札（関数）'!FI"&amp;W33)=123),"",
IF(X34="●",
SUBSTITUTE(SUBSTITUTE(SUBSTITUTE(INDIRECT("'盛付札（関数）'!FL"&amp;W33),100,""),120,""),150,""),
IF(X34="△",
IF(INDIRECT("'盛付札（関数）'!FL"&amp;W33+1)&lt;&gt;"",
INDIRECT("'盛付札（関数）'!FL"&amp;W33+1),INDIRECT("'盛付札（関数）'!FM"&amp;W33+1)),
IF(INDIRECT("'盛付札（関数）'!FL"&amp;W33)&lt;&gt;"",
INDIRECT("'盛付札（関数）'!FL"&amp;W33),INDIRECT("'盛付札（関数）'!FM"&amp;W33))))),"")</f>
        <v/>
      </c>
      <c r="AC34" s="68"/>
      <c r="AD34" s="49"/>
      <c r="AE34" s="59"/>
      <c r="AF34" s="61" t="str">
        <f ca="1">IF(COUNTIF(INDIRECT("'盛付札（関数）'!FJ"&amp;AE33+1),"*雙葉*"),"●",
"〇")</f>
        <v>〇</v>
      </c>
      <c r="AG34" s="76" t="str">
        <f t="array" aca="1" ref="AG34" ca="1">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IF(AF34="△",
INDIRECT("'盛付札（関数）'!FK"&amp;AE33+1),INDIRECT("'盛付札（関数）'!FK"&amp;AE33))))</f>
        <v/>
      </c>
      <c r="AH34" s="70"/>
      <c r="AI34" s="70"/>
      <c r="AJ34" s="77" t="str">
        <f t="array" aca="1" ref="AJ34" ca="1">IF(AG33&lt;&gt;"",
IF(OR(INDIRECT("'盛付札（関数）'!FI"&amp;AE33)=121,INDIRECT("'盛付札（関数）'!FI"&amp;AE33)=122,INDIRECT("'盛付札（関数）'!FI"&amp;AE33)=123),"",
IF(AF34="●",
SUBSTITUTE(SUBSTITUTE(SUBSTITUTE(INDIRECT("'盛付札（関数）'!FL"&amp;AE33),100,""),120,""),150,""),
IF(AF34="△",
IF(INDIRECT("'盛付札（関数）'!FL"&amp;AE33+1)&lt;&gt;"",
INDIRECT("'盛付札（関数）'!FL"&amp;AE33+1),INDIRECT("'盛付札（関数）'!FM"&amp;AE33+1)),
IF(INDIRECT("'盛付札（関数）'!FL"&amp;AE33)&lt;&gt;"",
INDIRECT("'盛付札（関数）'!FL"&amp;AE33),INDIRECT("'盛付札（関数）'!FM"&amp;AE33))))),"")</f>
        <v/>
      </c>
      <c r="AK34" s="68"/>
      <c r="AL34" s="78"/>
      <c r="AM34" s="61" t="str">
        <f ca="1">IF(COUNTIF(INDIRECT("'盛付札（関数）'!FJ"&amp;AL33+1),"*雙葉*"),"●",
"〇")</f>
        <v>〇</v>
      </c>
      <c r="AN34" s="76" t="str">
        <f t="array" aca="1" ref="AN34" ca="1">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IF(AM34="△",
INDIRECT("'盛付札（関数）'!FK"&amp;AL33+1),INDIRECT("'盛付札（関数）'!FK"&amp;AL33))))</f>
        <v/>
      </c>
      <c r="AO34" s="70"/>
      <c r="AP34" s="70"/>
      <c r="AQ34" s="77" t="str">
        <f t="array" aca="1" ref="AQ34" ca="1">IF(AN33&lt;&gt;"",
IF(OR(INDIRECT("'盛付札（関数）'!FI"&amp;AL33)=121,INDIRECT("'盛付札（関数）'!FI"&amp;AL33)=122,INDIRECT("'盛付札（関数）'!FI"&amp;AL33)=123),"",
IF(AM34="●",
SUBSTITUTE(SUBSTITUTE(SUBSTITUTE(INDIRECT("'盛付札（関数）'!FL"&amp;AL33),100,""),120,""),150,""),
IF(AM34="△",
IF(INDIRECT("'盛付札（関数）'!FL"&amp;AL33+1)&lt;&gt;"",
INDIRECT("'盛付札（関数）'!FL"&amp;AL33+1),INDIRECT("'盛付札（関数）'!FM"&amp;AL33+1)),
IF(INDIRECT("'盛付札（関数）'!FL"&amp;AL33)&lt;&gt;"",
INDIRECT("'盛付札（関数）'!FL"&amp;AL33),INDIRECT("'盛付札（関数）'!FM"&amp;AL33))))),"")</f>
        <v/>
      </c>
      <c r="AR34" s="68"/>
      <c r="AS34" s="49"/>
      <c r="AT34" s="59"/>
      <c r="AU34" s="61" t="str">
        <f ca="1">IF(COUNTIF(INDIRECT("'盛付札（関数）'!FJ"&amp;AT33+1),"*雙葉*"),"●",
"〇")</f>
        <v>〇</v>
      </c>
      <c r="AV34" s="76" t="str">
        <f t="array" aca="1" ref="AV34" ca="1">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IF(AU34="△",
INDIRECT("'盛付札（関数）'!FK"&amp;AT33+1),INDIRECT("'盛付札（関数）'!FK"&amp;AT33))))</f>
        <v/>
      </c>
      <c r="AW34" s="70"/>
      <c r="AX34" s="70"/>
      <c r="AY34" s="77" t="str">
        <f t="array" aca="1" ref="AY34" ca="1">IF(AV33&lt;&gt;"",
IF(OR(INDIRECT("'盛付札（関数）'!FI"&amp;AT33)=121,INDIRECT("'盛付札（関数）'!FI"&amp;AT33)=122,INDIRECT("'盛付札（関数）'!FI"&amp;AT33)=123),"",
IF(AU34="●",
SUBSTITUTE(SUBSTITUTE(SUBSTITUTE(INDIRECT("'盛付札（関数）'!FL"&amp;AT33),100,""),120,""),150,""),
IF(AU34="△",
IF(INDIRECT("'盛付札（関数）'!FL"&amp;AT33+1)&lt;&gt;"",
INDIRECT("'盛付札（関数）'!FL"&amp;AT33+1),INDIRECT("'盛付札（関数）'!FM"&amp;AT33+1)),
IF(INDIRECT("'盛付札（関数）'!FL"&amp;AT33)&lt;&gt;"",
INDIRECT("'盛付札（関数）'!FL"&amp;AT33),INDIRECT("'盛付札（関数）'!FM"&amp;AT33))))),"")</f>
        <v/>
      </c>
      <c r="AZ34" s="68"/>
      <c r="BA34" s="78"/>
      <c r="BB34" s="61" t="str">
        <f ca="1">IF(COUNTIF(INDIRECT("'盛付札（関数）'!FJ"&amp;BA33+1),"*雙葉*"),"●",
"〇")</f>
        <v>〇</v>
      </c>
      <c r="BC34" s="76" t="str">
        <f t="array" aca="1" ref="BC34" ca="1">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IF(BB34="△",
INDIRECT("'盛付札（関数）'!FK"&amp;BA33+1),INDIRECT("'盛付札（関数）'!FK"&amp;BA33))))</f>
        <v/>
      </c>
      <c r="BD34" s="70"/>
      <c r="BE34" s="70"/>
      <c r="BF34" s="77" t="str">
        <f t="array" aca="1" ref="BF34" ca="1">IF(BC33&lt;&gt;"",
IF(OR(INDIRECT("'盛付札（関数）'!FI"&amp;BA33)=121,INDIRECT("'盛付札（関数）'!FI"&amp;BA33)=122,INDIRECT("'盛付札（関数）'!FI"&amp;BA33)=123),"",
IF(BB34="●",
SUBSTITUTE(SUBSTITUTE(SUBSTITUTE(INDIRECT("'盛付札（関数）'!FL"&amp;BA33),100,""),120,""),150,""),
IF(BB34="△",
IF(INDIRECT("'盛付札（関数）'!FL"&amp;BA33+1)&lt;&gt;"",
INDIRECT("'盛付札（関数）'!FL"&amp;BA33+1),INDIRECT("'盛付札（関数）'!FM"&amp;BA33+1)),
IF(INDIRECT("'盛付札（関数）'!FL"&amp;BA33)&lt;&gt;"",
INDIRECT("'盛付札（関数）'!FL"&amp;BA33),INDIRECT("'盛付札（関数）'!FM"&amp;BA33))))),"")</f>
        <v/>
      </c>
      <c r="BG34" s="68"/>
      <c r="BH34" s="49"/>
      <c r="BI34" s="59"/>
      <c r="BJ34" s="61" t="str">
        <f ca="1">IF(COUNTIF(INDIRECT("'盛付札（関数）'!FJ"&amp;BI33+1),"*雙葉*"),"●",
"〇")</f>
        <v>〇</v>
      </c>
      <c r="BK34" s="76" t="str">
        <f t="array" aca="1" ref="BK34" ca="1">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IF(BJ34="△",
INDIRECT("'盛付札（関数）'!FK"&amp;BI33+1),INDIRECT("'盛付札（関数）'!FK"&amp;BI33))))</f>
        <v/>
      </c>
      <c r="BL34" s="70"/>
      <c r="BM34" s="70"/>
      <c r="BN34" s="77" t="str">
        <f t="array" aca="1" ref="BN34" ca="1">IF(BK33&lt;&gt;"",
IF(OR(INDIRECT("'盛付札（関数）'!FI"&amp;BI33)=121,INDIRECT("'盛付札（関数）'!FI"&amp;BI33)=122,INDIRECT("'盛付札（関数）'!FI"&amp;BI33)=123),"",
IF(BJ34="●",
SUBSTITUTE(SUBSTITUTE(SUBSTITUTE(INDIRECT("'盛付札（関数）'!FL"&amp;BI33),100,""),120,""),150,""),
IF(BJ34="△",
IF(INDIRECT("'盛付札（関数）'!FL"&amp;BI33+1)&lt;&gt;"",
INDIRECT("'盛付札（関数）'!FL"&amp;BI33+1),INDIRECT("'盛付札（関数）'!FM"&amp;BI33+1)),
IF(INDIRECT("'盛付札（関数）'!FL"&amp;BI33)&lt;&gt;"",
INDIRECT("'盛付札（関数）'!FL"&amp;BI33),INDIRECT("'盛付札（関数）'!FM"&amp;BI33))))),"")</f>
        <v/>
      </c>
      <c r="BO34" s="68"/>
      <c r="BP34" s="78"/>
      <c r="BQ34" s="61" t="str">
        <f ca="1">IF(COUNTIF(INDIRECT("'盛付札（関数）'!FJ"&amp;BP33+1),"*雙葉*"),"●",
"〇")</f>
        <v>〇</v>
      </c>
      <c r="BR34" s="76" t="str">
        <f t="array" aca="1" ref="BR34" ca="1">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IF(BQ34="△",
INDIRECT("'盛付札（関数）'!FK"&amp;BP33+1),INDIRECT("'盛付札（関数）'!FK"&amp;BP33))))</f>
        <v/>
      </c>
      <c r="BS34" s="70"/>
      <c r="BT34" s="70"/>
      <c r="BU34" s="77" t="str">
        <f t="array" aca="1" ref="BU34" ca="1">IF(BR33&lt;&gt;"",
IF(OR(INDIRECT("'盛付札（関数）'!FI"&amp;BP33)=121,INDIRECT("'盛付札（関数）'!FI"&amp;BP33)=122,INDIRECT("'盛付札（関数）'!FI"&amp;BP33)=123),"",
IF(BQ34="●",
SUBSTITUTE(SUBSTITUTE(SUBSTITUTE(INDIRECT("'盛付札（関数）'!FL"&amp;BP33),100,""),120,""),150,""),
IF(BQ34="△",
IF(INDIRECT("'盛付札（関数）'!FL"&amp;BP33+1)&lt;&gt;"",
INDIRECT("'盛付札（関数）'!FL"&amp;BP33+1),INDIRECT("'盛付札（関数）'!FM"&amp;BP33+1)),
IF(INDIRECT("'盛付札（関数）'!FL"&amp;BP33)&lt;&gt;"",
INDIRECT("'盛付札（関数）'!FL"&amp;BP33),INDIRECT("'盛付札（関数）'!FM"&amp;BP33))))),"")</f>
        <v/>
      </c>
      <c r="BV34" s="68"/>
      <c r="BW34" s="49"/>
      <c r="BX34" s="59"/>
      <c r="BY34" s="61" t="str">
        <f ca="1">IF(COUNTIF(INDIRECT("'盛付札（関数）'!FJ"&amp;BX33+1),"*雙葉*"),"●",
"〇")</f>
        <v>〇</v>
      </c>
      <c r="BZ34" s="76" t="str">
        <f t="array" aca="1" ref="BZ34" ca="1">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IF(BY34="△",
INDIRECT("'盛付札（関数）'!FK"&amp;BX33+1),INDIRECT("'盛付札（関数）'!FK"&amp;BX33))))</f>
        <v/>
      </c>
      <c r="CA34" s="70"/>
      <c r="CB34" s="70"/>
      <c r="CC34" s="77" t="str">
        <f t="array" aca="1" ref="CC34" ca="1">IF(BZ33&lt;&gt;"",
IF(OR(INDIRECT("'盛付札（関数）'!FI"&amp;BX33)=121,INDIRECT("'盛付札（関数）'!FI"&amp;BX33)=122,INDIRECT("'盛付札（関数）'!FI"&amp;BX33)=123),"",
IF(BY34="●",
SUBSTITUTE(SUBSTITUTE(SUBSTITUTE(INDIRECT("'盛付札（関数）'!FL"&amp;BX33),100,""),120,""),150,""),
IF(BY34="△",
IF(INDIRECT("'盛付札（関数）'!FL"&amp;BX33+1)&lt;&gt;"",
INDIRECT("'盛付札（関数）'!FL"&amp;BX33+1),INDIRECT("'盛付札（関数）'!FM"&amp;BX33+1)),
IF(INDIRECT("'盛付札（関数）'!FL"&amp;BX33)&lt;&gt;"",
INDIRECT("'盛付札（関数）'!FL"&amp;BX33),INDIRECT("'盛付札（関数）'!FM"&amp;BX33))))),"")</f>
        <v/>
      </c>
      <c r="CD34" s="68"/>
      <c r="CE34" s="78"/>
      <c r="CF34" s="61" t="str">
        <f ca="1">IF(COUNTIF(INDIRECT("'盛付札（関数）'!FJ"&amp;CE33+1),"*雙葉*"),"●",
"〇")</f>
        <v>〇</v>
      </c>
      <c r="CG34" s="76" t="str">
        <f t="array" aca="1" ref="CG34" ca="1">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IF(CF34="△",
INDIRECT("'盛付札（関数）'!FK"&amp;CE33+1),INDIRECT("'盛付札（関数）'!FK"&amp;CE33))))</f>
        <v/>
      </c>
      <c r="CH34" s="70"/>
      <c r="CI34" s="70"/>
      <c r="CJ34" s="77" t="str">
        <f t="array" aca="1" ref="CJ34" ca="1">IF(CG33&lt;&gt;"",
IF(OR(INDIRECT("'盛付札（関数）'!FI"&amp;CE33)=121,INDIRECT("'盛付札（関数）'!FI"&amp;CE33)=122,INDIRECT("'盛付札（関数）'!FI"&amp;CE33)=123),"",
IF(CF34="●",
SUBSTITUTE(SUBSTITUTE(SUBSTITUTE(INDIRECT("'盛付札（関数）'!FL"&amp;CE33),100,""),120,""),150,""),
IF(CF34="△",
IF(INDIRECT("'盛付札（関数）'!FL"&amp;CE33+1)&lt;&gt;"",
INDIRECT("'盛付札（関数）'!FL"&amp;CE33+1),INDIRECT("'盛付札（関数）'!FM"&amp;CE33+1)),
IF(INDIRECT("'盛付札（関数）'!FL"&amp;CE33)&lt;&gt;"",
INDIRECT("'盛付札（関数）'!FL"&amp;CE33),INDIRECT("'盛付札（関数）'!FM"&amp;CE33))))),"")</f>
        <v/>
      </c>
      <c r="CK34" s="68"/>
      <c r="CL34" s="49"/>
      <c r="CM34" s="59"/>
      <c r="CN34" s="61" t="str">
        <f ca="1">IF(COUNTIF(INDIRECT("'盛付札（関数）'!FJ"&amp;CM33+1),"*雙葉*"),"●",
"〇")</f>
        <v>〇</v>
      </c>
      <c r="CO34" s="76" t="str">
        <f t="array" aca="1" ref="CO34" ca="1">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IF(CN34="△",
INDIRECT("'盛付札（関数）'!FK"&amp;CM33+1),INDIRECT("'盛付札（関数）'!FK"&amp;CM33))))</f>
        <v/>
      </c>
      <c r="CP34" s="70"/>
      <c r="CQ34" s="70"/>
      <c r="CR34" s="77" t="str">
        <f t="array" aca="1" ref="CR34" ca="1">IF(CO33&lt;&gt;"",
IF(OR(INDIRECT("'盛付札（関数）'!FI"&amp;CM33)=121,INDIRECT("'盛付札（関数）'!FI"&amp;CM33)=122,INDIRECT("'盛付札（関数）'!FI"&amp;CM33)=123),"",
IF(CN34="●",
SUBSTITUTE(SUBSTITUTE(SUBSTITUTE(INDIRECT("'盛付札（関数）'!FL"&amp;CM33),100,""),120,""),150,""),
IF(CN34="△",
IF(INDIRECT("'盛付札（関数）'!FL"&amp;CM33+1)&lt;&gt;"",
INDIRECT("'盛付札（関数）'!FL"&amp;CM33+1),INDIRECT("'盛付札（関数）'!FM"&amp;CM33+1)),
IF(INDIRECT("'盛付札（関数）'!FL"&amp;CM33)&lt;&gt;"",
INDIRECT("'盛付札（関数）'!FL"&amp;CM33),INDIRECT("'盛付札（関数）'!FM"&amp;CM33))))),"")</f>
        <v/>
      </c>
      <c r="CS34" s="68"/>
      <c r="CT34" s="78"/>
      <c r="CU34" s="61" t="str">
        <f ca="1">IF(COUNTIF(INDIRECT("'盛付札（関数）'!FJ"&amp;CT33+1),"*雙葉*"),"●",
"〇")</f>
        <v>〇</v>
      </c>
      <c r="CV34" s="76" t="str">
        <f t="array" aca="1" ref="CV34" ca="1">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IF(CU34="△",
INDIRECT("'盛付札（関数）'!FK"&amp;CT33+1),INDIRECT("'盛付札（関数）'!FK"&amp;CT33))))</f>
        <v/>
      </c>
      <c r="CW34" s="70"/>
      <c r="CX34" s="70"/>
      <c r="CY34" s="77" t="str">
        <f t="array" aca="1" ref="CY34" ca="1">IF(CV33&lt;&gt;"",
IF(OR(INDIRECT("'盛付札（関数）'!FI"&amp;CT33)=121,INDIRECT("'盛付札（関数）'!FI"&amp;CT33)=122,INDIRECT("'盛付札（関数）'!FI"&amp;CT33)=123),"",
IF(CU34="●",
SUBSTITUTE(SUBSTITUTE(SUBSTITUTE(INDIRECT("'盛付札（関数）'!FL"&amp;CT33),100,""),120,""),150,""),
IF(CU34="△",
IF(INDIRECT("'盛付札（関数）'!FL"&amp;CT33+1)&lt;&gt;"",
INDIRECT("'盛付札（関数）'!FL"&amp;CT33+1),INDIRECT("'盛付札（関数）'!FM"&amp;CT33+1)),
IF(INDIRECT("'盛付札（関数）'!FL"&amp;CT33)&lt;&gt;"",
INDIRECT("'盛付札（関数）'!FL"&amp;CT33),INDIRECT("'盛付札（関数）'!FM"&amp;CT33))))),"")</f>
        <v/>
      </c>
      <c r="CZ34" s="68"/>
      <c r="DA34" s="49"/>
      <c r="DB34" s="59"/>
      <c r="DC34" s="61" t="str">
        <f ca="1">IF(COUNTIF(INDIRECT("'盛付札（関数）'!FJ"&amp;DB33+1),"*雙葉*"),"●",
"〇")</f>
        <v>〇</v>
      </c>
      <c r="DD34" s="76" t="str">
        <f t="array" aca="1" ref="DD34" ca="1">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IF(DC34="△",
INDIRECT("'盛付札（関数）'!FK"&amp;DB33+1),INDIRECT("'盛付札（関数）'!FK"&amp;DB33))))</f>
        <v/>
      </c>
      <c r="DE34" s="70"/>
      <c r="DF34" s="70"/>
      <c r="DG34" s="77" t="str">
        <f t="array" aca="1" ref="DG34" ca="1">IF(DD33&lt;&gt;"",
IF(OR(INDIRECT("'盛付札（関数）'!FI"&amp;DB33)=121,INDIRECT("'盛付札（関数）'!FI"&amp;DB33)=122,INDIRECT("'盛付札（関数）'!FI"&amp;DB33)=123),"",
IF(DC34="●",
SUBSTITUTE(SUBSTITUTE(SUBSTITUTE(INDIRECT("'盛付札（関数）'!FL"&amp;DB33),100,""),120,""),150,""),
IF(DC34="△",
IF(INDIRECT("'盛付札（関数）'!FL"&amp;DB33+1)&lt;&gt;"",
INDIRECT("'盛付札（関数）'!FL"&amp;DB33+1),INDIRECT("'盛付札（関数）'!FM"&amp;DB33+1)),
IF(INDIRECT("'盛付札（関数）'!FL"&amp;DB33)&lt;&gt;"",
INDIRECT("'盛付札（関数）'!FL"&amp;DB33),INDIRECT("'盛付札（関数）'!FM"&amp;DB33))))),"")</f>
        <v/>
      </c>
      <c r="DH34" s="68"/>
      <c r="DI34" s="78"/>
      <c r="DJ34" s="61" t="str">
        <f ca="1">IF(COUNTIF(INDIRECT("'盛付札（関数）'!FJ"&amp;DI33+1),"*雙葉*"),"●",
"〇")</f>
        <v>〇</v>
      </c>
      <c r="DK34" s="76" t="str">
        <f t="array" aca="1" ref="DK34" ca="1">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IF(DJ34="△",
INDIRECT("'盛付札（関数）'!FK"&amp;DI33+1),INDIRECT("'盛付札（関数）'!FK"&amp;DI33))))</f>
        <v/>
      </c>
      <c r="DL34" s="70"/>
      <c r="DM34" s="70"/>
      <c r="DN34" s="77" t="str">
        <f t="array" aca="1" ref="DN34" ca="1">IF(DK33&lt;&gt;"",
IF(OR(INDIRECT("'盛付札（関数）'!FI"&amp;DI33)=121,INDIRECT("'盛付札（関数）'!FI"&amp;DI33)=122,INDIRECT("'盛付札（関数）'!FI"&amp;DI33)=123),"",
IF(DJ34="●",
SUBSTITUTE(SUBSTITUTE(SUBSTITUTE(INDIRECT("'盛付札（関数）'!FL"&amp;DI33),100,""),120,""),150,""),
IF(DJ34="△",
IF(INDIRECT("'盛付札（関数）'!FL"&amp;DI33+1)&lt;&gt;"",
INDIRECT("'盛付札（関数）'!FL"&amp;DI33+1),INDIRECT("'盛付札（関数）'!FM"&amp;DI33+1)),
IF(INDIRECT("'盛付札（関数）'!FL"&amp;DI33)&lt;&gt;"",
INDIRECT("'盛付札（関数）'!FL"&amp;DI33),INDIRECT("'盛付札（関数）'!FM"&amp;DI33))))),"")</f>
        <v/>
      </c>
      <c r="DO34" s="68"/>
      <c r="DP34" s="49"/>
      <c r="DQ34" s="59"/>
      <c r="DR34" s="61" t="str">
        <f ca="1">IF(COUNTIF(INDIRECT("'盛付札（関数）'!FJ"&amp;DQ33+1),"*雙葉*"),"●",
"〇")</f>
        <v>〇</v>
      </c>
      <c r="DS34" s="76" t="str">
        <f t="array" aca="1" ref="DS34" ca="1">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IF(DR34="△",
INDIRECT("'盛付札（関数）'!FK"&amp;DQ33+1),INDIRECT("'盛付札（関数）'!FK"&amp;DQ33))))</f>
        <v/>
      </c>
      <c r="DT34" s="70"/>
      <c r="DU34" s="70"/>
      <c r="DV34" s="77" t="str">
        <f t="array" aca="1" ref="DV34" ca="1">IF(DS33&lt;&gt;"",
IF(OR(INDIRECT("'盛付札（関数）'!FI"&amp;DQ33)=121,INDIRECT("'盛付札（関数）'!FI"&amp;DQ33)=122,INDIRECT("'盛付札（関数）'!FI"&amp;DQ33)=123),"",
IF(DR34="●",
SUBSTITUTE(SUBSTITUTE(SUBSTITUTE(INDIRECT("'盛付札（関数）'!FL"&amp;DQ33),100,""),120,""),150,""),
IF(DR34="△",
IF(INDIRECT("'盛付札（関数）'!FL"&amp;DQ33+1)&lt;&gt;"",
INDIRECT("'盛付札（関数）'!FL"&amp;DQ33+1),INDIRECT("'盛付札（関数）'!FM"&amp;DQ33+1)),
IF(INDIRECT("'盛付札（関数）'!FL"&amp;DQ33)&lt;&gt;"",
INDIRECT("'盛付札（関数）'!FL"&amp;DQ33),INDIRECT("'盛付札（関数）'!FM"&amp;DQ33))))),"")</f>
        <v/>
      </c>
      <c r="DW34" s="68"/>
      <c r="DX34" s="78"/>
      <c r="DY34" s="61" t="str">
        <f ca="1">IF(COUNTIF(INDIRECT("'盛付札（関数）'!FJ"&amp;DX33+1),"*雙葉*"),"●",
"〇")</f>
        <v>〇</v>
      </c>
      <c r="DZ34" s="76" t="str">
        <f t="array" aca="1" ref="DZ34" ca="1">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IF(DY34="△",
INDIRECT("'盛付札（関数）'!FK"&amp;DX33+1),INDIRECT("'盛付札（関数）'!FK"&amp;DX33))))</f>
        <v/>
      </c>
      <c r="EA34" s="70"/>
      <c r="EB34" s="70"/>
      <c r="EC34" s="77" t="str">
        <f t="array" aca="1" ref="EC34" ca="1">IF(DZ33&lt;&gt;"",
IF(OR(INDIRECT("'盛付札（関数）'!FI"&amp;DX33)=121,INDIRECT("'盛付札（関数）'!FI"&amp;DX33)=122,INDIRECT("'盛付札（関数）'!FI"&amp;DX33)=123),"",
IF(DY34="●",
SUBSTITUTE(SUBSTITUTE(SUBSTITUTE(INDIRECT("'盛付札（関数）'!FL"&amp;DX33),100,""),120,""),150,""),
IF(DY34="△",
IF(INDIRECT("'盛付札（関数）'!FL"&amp;DX33+1)&lt;&gt;"",
INDIRECT("'盛付札（関数）'!FL"&amp;DX33+1),INDIRECT("'盛付札（関数）'!FM"&amp;DX33+1)),
IF(INDIRECT("'盛付札（関数）'!FL"&amp;DX33)&lt;&gt;"",
INDIRECT("'盛付札（関数）'!FL"&amp;DX33),INDIRECT("'盛付札（関数）'!FM"&amp;DX33))))),"")</f>
        <v/>
      </c>
      <c r="ED34" s="68"/>
      <c r="EE34" s="49"/>
      <c r="EF34" s="59"/>
      <c r="EG34" s="61" t="str">
        <f ca="1">IF(COUNTIF(INDIRECT("'盛付札（関数）'!FJ"&amp;EF33+1),"*雙葉*"),"●",
"〇")</f>
        <v>〇</v>
      </c>
      <c r="EH34" s="76" t="str">
        <f t="array" aca="1" ref="EH34" ca="1">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IF(EG34="△",
INDIRECT("'盛付札（関数）'!FK"&amp;EF33+1),INDIRECT("'盛付札（関数）'!FK"&amp;EF33))))</f>
        <v/>
      </c>
      <c r="EI34" s="70"/>
      <c r="EJ34" s="70"/>
      <c r="EK34" s="77" t="str">
        <f t="array" aca="1" ref="EK34" ca="1">IF(EH33&lt;&gt;"",
IF(OR(INDIRECT("'盛付札（関数）'!FI"&amp;EF33)=121,INDIRECT("'盛付札（関数）'!FI"&amp;EF33)=122,INDIRECT("'盛付札（関数）'!FI"&amp;EF33)=123),"",
IF(EG34="●",
SUBSTITUTE(SUBSTITUTE(SUBSTITUTE(INDIRECT("'盛付札（関数）'!FL"&amp;EF33),100,""),120,""),150,""),
IF(EG34="△",
IF(INDIRECT("'盛付札（関数）'!FL"&amp;EF33+1)&lt;&gt;"",
INDIRECT("'盛付札（関数）'!FL"&amp;EF33+1),INDIRECT("'盛付札（関数）'!FM"&amp;EF33+1)),
IF(INDIRECT("'盛付札（関数）'!FL"&amp;EF33)&lt;&gt;"",
INDIRECT("'盛付札（関数）'!FL"&amp;EF33),INDIRECT("'盛付札（関数）'!FM"&amp;EF33))))),"")</f>
        <v/>
      </c>
      <c r="EL34" s="68"/>
      <c r="EM34" s="78"/>
      <c r="EN34" s="61" t="str">
        <f ca="1">IF(COUNTIF(INDIRECT("'盛付札（関数）'!FJ"&amp;EM33+1),"*雙葉*"),"●",
"〇")</f>
        <v>〇</v>
      </c>
      <c r="EO34" s="76" t="str">
        <f t="array" aca="1" ref="EO34" ca="1">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IF(EN34="△",
INDIRECT("'盛付札（関数）'!FK"&amp;EM33+1),INDIRECT("'盛付札（関数）'!FK"&amp;EM33))))</f>
        <v/>
      </c>
      <c r="EP34" s="70"/>
      <c r="EQ34" s="70"/>
      <c r="ER34" s="77" t="str">
        <f t="array" aca="1" ref="ER34" ca="1">IF(EO33&lt;&gt;"",
IF(OR(INDIRECT("'盛付札（関数）'!FI"&amp;EM33)=121,INDIRECT("'盛付札（関数）'!FI"&amp;EM33)=122,INDIRECT("'盛付札（関数）'!FI"&amp;EM33)=123),"",
IF(EN34="●",
SUBSTITUTE(SUBSTITUTE(SUBSTITUTE(INDIRECT("'盛付札（関数）'!FL"&amp;EM33),100,""),120,""),150,""),
IF(EN34="△",
IF(INDIRECT("'盛付札（関数）'!FL"&amp;EM33+1)&lt;&gt;"",
INDIRECT("'盛付札（関数）'!FL"&amp;EM33+1),INDIRECT("'盛付札（関数）'!FM"&amp;EM33+1)),
IF(INDIRECT("'盛付札（関数）'!FL"&amp;EM33)&lt;&gt;"",
INDIRECT("'盛付札（関数）'!FL"&amp;EM33),INDIRECT("'盛付札（関数）'!FM"&amp;EM33))))),"")</f>
        <v/>
      </c>
      <c r="ES34" s="68"/>
      <c r="ET34" s="49"/>
    </row>
    <row r="35" spans="1:150" s="60" customFormat="1" x14ac:dyDescent="0.55000000000000004">
      <c r="A35" s="59"/>
      <c r="B35" s="63"/>
      <c r="C35" s="200" t="str">
        <f t="array" aca="1" ref="C35" ca="1">IF(C33&lt;&gt;"",
IF(C36&lt;&gt;"",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"園児")),""),"")</f>
        <v/>
      </c>
      <c r="D35" s="201"/>
      <c r="E35" s="49"/>
      <c r="F35" s="60" t="str">
        <f t="array" aca="1" ref="F35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"先生")),"")</f>
        <v/>
      </c>
      <c r="G35" s="69"/>
      <c r="H35" s="65"/>
      <c r="I35" s="63"/>
      <c r="J35" s="200" t="str">
        <f t="array" aca="1" ref="J35" ca="1">IF(J33&lt;&gt;"",
IF(J36&lt;&gt;"",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"園児")),""),"")</f>
        <v/>
      </c>
      <c r="K35" s="201"/>
      <c r="L35" s="49"/>
      <c r="M35" s="60" t="str">
        <f t="array" aca="1" ref="M35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"先生")),"")</f>
        <v/>
      </c>
      <c r="N35" s="69"/>
      <c r="O35" s="49"/>
      <c r="P35" s="59"/>
      <c r="Q35" s="63"/>
      <c r="R35" s="200" t="str">
        <f t="array" aca="1" ref="R35" ca="1">IF(R33&lt;&gt;"",
IF(R36&lt;&gt;"",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"園児")),""),"")</f>
        <v/>
      </c>
      <c r="S35" s="201"/>
      <c r="T35" s="49"/>
      <c r="U35" s="60" t="str">
        <f t="array" aca="1" ref="U35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"先生")),"")</f>
        <v/>
      </c>
      <c r="V35" s="69"/>
      <c r="W35" s="65"/>
      <c r="X35" s="63"/>
      <c r="Y35" s="200" t="str">
        <f t="array" aca="1" ref="Y35" ca="1">IF(Y33&lt;&gt;"",
IF(Y36&lt;&gt;"",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"園児")),""),"")</f>
        <v/>
      </c>
      <c r="Z35" s="201"/>
      <c r="AA35" s="49"/>
      <c r="AB35" s="60" t="str">
        <f t="array" aca="1" ref="AB35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"先生")),"")</f>
        <v/>
      </c>
      <c r="AC35" s="69"/>
      <c r="AD35" s="49"/>
      <c r="AE35" s="59"/>
      <c r="AF35" s="63"/>
      <c r="AG35" s="200" t="str">
        <f t="array" aca="1" ref="AG35" ca="1">IF(AG33&lt;&gt;"",
IF(AG36&lt;&gt;"",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"園児")),""),"")</f>
        <v/>
      </c>
      <c r="AH35" s="201"/>
      <c r="AI35" s="49"/>
      <c r="AJ35" s="60" t="str">
        <f t="array" aca="1" ref="AJ35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"先生")),"")</f>
        <v/>
      </c>
      <c r="AK35" s="69"/>
      <c r="AL35" s="65"/>
      <c r="AM35" s="63"/>
      <c r="AN35" s="200" t="str">
        <f t="array" aca="1" ref="AN35" ca="1">IF(AN33&lt;&gt;"",
IF(AN36&lt;&gt;"",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"園児")),""),"")</f>
        <v/>
      </c>
      <c r="AO35" s="201"/>
      <c r="AP35" s="49"/>
      <c r="AQ35" s="60" t="str">
        <f t="array" aca="1" ref="AQ35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"先生")),"")</f>
        <v/>
      </c>
      <c r="AR35" s="69"/>
      <c r="AS35" s="49"/>
      <c r="AT35" s="59"/>
      <c r="AU35" s="63"/>
      <c r="AV35" s="200" t="str">
        <f t="array" aca="1" ref="AV35" ca="1">IF(AV33&lt;&gt;"",
IF(AV36&lt;&gt;"",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"園児")),""),"")</f>
        <v/>
      </c>
      <c r="AW35" s="201"/>
      <c r="AX35" s="49"/>
      <c r="AY35" s="60" t="str">
        <f t="array" aca="1" ref="AY35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"先生")),"")</f>
        <v/>
      </c>
      <c r="AZ35" s="69"/>
      <c r="BA35" s="65"/>
      <c r="BB35" s="63"/>
      <c r="BC35" s="200" t="str">
        <f t="array" aca="1" ref="BC35" ca="1">IF(BC33&lt;&gt;"",
IF(BC36&lt;&gt;"",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"園児")),""),"")</f>
        <v/>
      </c>
      <c r="BD35" s="201"/>
      <c r="BE35" s="49"/>
      <c r="BF35" s="60" t="str">
        <f t="array" aca="1" ref="BF35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"先生")),"")</f>
        <v/>
      </c>
      <c r="BG35" s="69"/>
      <c r="BH35" s="49"/>
      <c r="BI35" s="59"/>
      <c r="BJ35" s="63"/>
      <c r="BK35" s="200" t="str">
        <f t="array" aca="1" ref="BK35" ca="1">IF(BK33&lt;&gt;"",
IF(BK36&lt;&gt;"",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"園児")),""),"")</f>
        <v/>
      </c>
      <c r="BL35" s="201"/>
      <c r="BM35" s="49"/>
      <c r="BN35" s="60" t="str">
        <f t="array" aca="1" ref="BN35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"先生")),"")</f>
        <v/>
      </c>
      <c r="BO35" s="69"/>
      <c r="BP35" s="65"/>
      <c r="BQ35" s="63"/>
      <c r="BR35" s="200" t="str">
        <f t="array" aca="1" ref="BR35" ca="1">IF(BR33&lt;&gt;"",
IF(BR36&lt;&gt;"",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"園児")),""),"")</f>
        <v/>
      </c>
      <c r="BS35" s="201"/>
      <c r="BT35" s="49"/>
      <c r="BU35" s="60" t="str">
        <f t="array" aca="1" ref="BU35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"先生")),"")</f>
        <v/>
      </c>
      <c r="BV35" s="69"/>
      <c r="BW35" s="49"/>
      <c r="BX35" s="59"/>
      <c r="BY35" s="63"/>
      <c r="BZ35" s="200" t="str">
        <f t="array" aca="1" ref="BZ35" ca="1">IF(BZ33&lt;&gt;"",
IF(BZ36&lt;&gt;"",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"園児")),""),"")</f>
        <v/>
      </c>
      <c r="CA35" s="201"/>
      <c r="CB35" s="49"/>
      <c r="CC35" s="60" t="str">
        <f t="array" aca="1" ref="CC35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"先生")),"")</f>
        <v/>
      </c>
      <c r="CD35" s="69"/>
      <c r="CE35" s="65"/>
      <c r="CF35" s="63"/>
      <c r="CG35" s="200" t="str">
        <f t="array" aca="1" ref="CG35" ca="1">IF(CG33&lt;&gt;"",
IF(CG36&lt;&gt;"",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"園児")),""),"")</f>
        <v/>
      </c>
      <c r="CH35" s="201"/>
      <c r="CI35" s="49"/>
      <c r="CJ35" s="60" t="str">
        <f t="array" aca="1" ref="CJ35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"先生")),"")</f>
        <v/>
      </c>
      <c r="CK35" s="69"/>
      <c r="CL35" s="49"/>
      <c r="CM35" s="59"/>
      <c r="CN35" s="63"/>
      <c r="CO35" s="200" t="str">
        <f t="array" aca="1" ref="CO35" ca="1">IF(CO33&lt;&gt;"",
IF(CO36&lt;&gt;"",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"園児")),""),"")</f>
        <v/>
      </c>
      <c r="CP35" s="201"/>
      <c r="CQ35" s="49"/>
      <c r="CR35" s="60" t="str">
        <f t="array" aca="1" ref="CR35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"先生")),"")</f>
        <v/>
      </c>
      <c r="CS35" s="69"/>
      <c r="CT35" s="65"/>
      <c r="CU35" s="63"/>
      <c r="CV35" s="200" t="str">
        <f t="array" aca="1" ref="CV35" ca="1">IF(CV33&lt;&gt;"",
IF(CV36&lt;&gt;"",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"園児")),""),"")</f>
        <v/>
      </c>
      <c r="CW35" s="201"/>
      <c r="CX35" s="49"/>
      <c r="CY35" s="60" t="str">
        <f t="array" aca="1" ref="CY35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"先生")),"")</f>
        <v/>
      </c>
      <c r="CZ35" s="69"/>
      <c r="DA35" s="49"/>
      <c r="DB35" s="59"/>
      <c r="DC35" s="63"/>
      <c r="DD35" s="200" t="str">
        <f t="array" aca="1" ref="DD35" ca="1">IF(DD33&lt;&gt;"",
IF(DD36&lt;&gt;"",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"園児")),""),"")</f>
        <v/>
      </c>
      <c r="DE35" s="201"/>
      <c r="DF35" s="49"/>
      <c r="DG35" s="60" t="str">
        <f t="array" aca="1" ref="DG35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"先生")),"")</f>
        <v/>
      </c>
      <c r="DH35" s="69"/>
      <c r="DI35" s="65"/>
      <c r="DJ35" s="63"/>
      <c r="DK35" s="200" t="str">
        <f t="array" aca="1" ref="DK35" ca="1">IF(DK33&lt;&gt;"",
IF(DK36&lt;&gt;"",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"園児")),""),"")</f>
        <v/>
      </c>
      <c r="DL35" s="201"/>
      <c r="DM35" s="49"/>
      <c r="DN35" s="60" t="str">
        <f t="array" aca="1" ref="DN35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"先生")),"")</f>
        <v/>
      </c>
      <c r="DO35" s="69"/>
      <c r="DP35" s="49"/>
      <c r="DQ35" s="59"/>
      <c r="DR35" s="63"/>
      <c r="DS35" s="200" t="str">
        <f t="array" aca="1" ref="DS35" ca="1">IF(DS33&lt;&gt;"",
IF(DS36&lt;&gt;"",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"園児")),""),"")</f>
        <v/>
      </c>
      <c r="DT35" s="201"/>
      <c r="DU35" s="49"/>
      <c r="DV35" s="60" t="str">
        <f t="array" aca="1" ref="DV35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"先生")),"")</f>
        <v/>
      </c>
      <c r="DW35" s="69"/>
      <c r="DX35" s="65"/>
      <c r="DY35" s="63"/>
      <c r="DZ35" s="200" t="str">
        <f t="array" aca="1" ref="DZ35" ca="1">IF(DZ33&lt;&gt;"",
IF(DZ36&lt;&gt;"",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"園児")),""),"")</f>
        <v/>
      </c>
      <c r="EA35" s="201"/>
      <c r="EB35" s="49"/>
      <c r="EC35" s="60" t="str">
        <f t="array" aca="1" ref="EC35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"先生")),"")</f>
        <v/>
      </c>
      <c r="ED35" s="69"/>
      <c r="EE35" s="49"/>
      <c r="EF35" s="59"/>
      <c r="EG35" s="63"/>
      <c r="EH35" s="200" t="str">
        <f t="array" aca="1" ref="EH35" ca="1">IF(EH33&lt;&gt;"",
IF(EH36&lt;&gt;"",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"園児")),""),"")</f>
        <v/>
      </c>
      <c r="EI35" s="201"/>
      <c r="EJ35" s="49"/>
      <c r="EK35" s="60" t="str">
        <f t="array" aca="1" ref="EK35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"先生")),"")</f>
        <v/>
      </c>
      <c r="EL35" s="69"/>
      <c r="EM35" s="65"/>
      <c r="EN35" s="63"/>
      <c r="EO35" s="200" t="str">
        <f t="array" aca="1" ref="EO35" ca="1">IF(EO33&lt;&gt;"",
IF(EO36&lt;&gt;"",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"園児")),""),"")</f>
        <v/>
      </c>
      <c r="EP35" s="201"/>
      <c r="EQ35" s="49"/>
      <c r="ER35" s="60" t="str">
        <f t="array" aca="1" ref="ER35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"先生")),"")</f>
        <v/>
      </c>
      <c r="ES35" s="69"/>
      <c r="ET35" s="49"/>
    </row>
    <row r="36" spans="1:150" ht="15.6" customHeight="1" x14ac:dyDescent="1.05">
      <c r="B36" s="53"/>
      <c r="C36" s="185" t="str">
        <f t="array" aca="1" ref="C36" ca="1">IF(B34="●",
INDIRECT("'盛付札（関数）'!FN"&amp;A33)+INDIRECT("'盛付札（関数）'!FN"&amp;A33+1),
IF(B34="△",
INDIRECT("'盛付札（関数）'!FN"&amp;A33+1),INDIRECT("'盛付札（関数）'!FN"&amp;A33)))</f>
        <v/>
      </c>
      <c r="D36" s="199"/>
      <c r="E36" s="79"/>
      <c r="F36" s="197" t="str">
        <f t="array" aca="1" ref="F36" ca="1">IF(C33&lt;&gt;"",
IF(AND(INDIRECT("'盛付札（関数）'!FI"&amp;A33)&gt;=124,INDIRECT("'盛付札（関数）'!FI"&amp;A33)&lt;=144),"",
IF(OR(INDIRECT("'盛付札（関数）'!FI"&amp;A33)=121,INDIRECT("'盛付札（関数）'!FI"&amp;A33)=122,INDIRECT("'盛付札（関数）'!FI"&amp;A33)=123),"",
IF(B34="●",
IFERROR(INDIRECT("'盛付札（関数）'!FO"&amp;A33)+INDIRECT("'盛付札（関数）'!FO"&amp;A33+1),""),
IF(B34="△",
INDIRECT("'盛付札（関数）'!FO"&amp;A33+1),INDIRECT("'盛付札（関数）'!FO"&amp;A33))))),"")</f>
        <v/>
      </c>
      <c r="G36" s="198"/>
      <c r="H36" s="54"/>
      <c r="I36" s="53"/>
      <c r="J36" s="185" t="str">
        <f t="array" aca="1" ref="J36" ca="1">IF(I34="●",
INDIRECT("'盛付札（関数）'!FN"&amp;H33)+INDIRECT("'盛付札（関数）'!FN"&amp;H33+1),
IF(I34="△",
INDIRECT("'盛付札（関数）'!FN"&amp;H33+1),INDIRECT("'盛付札（関数）'!FN"&amp;H33)))</f>
        <v/>
      </c>
      <c r="K36" s="199"/>
      <c r="L36" s="79"/>
      <c r="M36" s="197" t="str">
        <f t="array" aca="1" ref="M36" ca="1">IF(J33&lt;&gt;"",
IF(AND(INDIRECT("'盛付札（関数）'!FI"&amp;H33)&gt;=124,INDIRECT("'盛付札（関数）'!FI"&amp;H33)&lt;=144),"",
IF(OR(INDIRECT("'盛付札（関数）'!FI"&amp;H33)=121,INDIRECT("'盛付札（関数）'!FI"&amp;H33)=122,INDIRECT("'盛付札（関数）'!FI"&amp;H33)=123),"",
IF(I34="●",
IFERROR(INDIRECT("'盛付札（関数）'!FO"&amp;H33)+INDIRECT("'盛付札（関数）'!FO"&amp;H33+1),""),
IF(I34="△",
INDIRECT("'盛付札（関数）'!FO"&amp;H33+1),INDIRECT("'盛付札（関数）'!FO"&amp;H33))))),"")</f>
        <v/>
      </c>
      <c r="N36" s="198"/>
      <c r="Q36" s="53"/>
      <c r="R36" s="185" t="str">
        <f t="array" aca="1" ref="R36" ca="1">IF(Q34="●",
INDIRECT("'盛付札（関数）'!FN"&amp;P33)+INDIRECT("'盛付札（関数）'!FN"&amp;P33+1),
IF(Q34="△",
INDIRECT("'盛付札（関数）'!FN"&amp;P33+1),INDIRECT("'盛付札（関数）'!FN"&amp;P33)))</f>
        <v/>
      </c>
      <c r="S36" s="199"/>
      <c r="T36" s="79"/>
      <c r="U36" s="197" t="str">
        <f t="array" aca="1" ref="U36" ca="1">IF(R33&lt;&gt;"",
IF(AND(INDIRECT("'盛付札（関数）'!FI"&amp;P33)&gt;=124,INDIRECT("'盛付札（関数）'!FI"&amp;P33)&lt;=144),"",
IF(OR(INDIRECT("'盛付札（関数）'!FI"&amp;P33)=121,INDIRECT("'盛付札（関数）'!FI"&amp;P33)=122,INDIRECT("'盛付札（関数）'!FI"&amp;P33)=123),"",
IF(Q34="●",
IFERROR(INDIRECT("'盛付札（関数）'!FO"&amp;P33)+INDIRECT("'盛付札（関数）'!FO"&amp;P33+1),""),
IF(Q34="△",
INDIRECT("'盛付札（関数）'!FO"&amp;P33+1),INDIRECT("'盛付札（関数）'!FO"&amp;P33))))),"")</f>
        <v/>
      </c>
      <c r="V36" s="198"/>
      <c r="W36" s="54"/>
      <c r="X36" s="53"/>
      <c r="Y36" s="185" t="str">
        <f t="array" aca="1" ref="Y36" ca="1">IF(X34="●",
INDIRECT("'盛付札（関数）'!FN"&amp;W33)+INDIRECT("'盛付札（関数）'!FN"&amp;W33+1),
IF(X34="△",
INDIRECT("'盛付札（関数）'!FN"&amp;W33+1),INDIRECT("'盛付札（関数）'!FN"&amp;W33)))</f>
        <v/>
      </c>
      <c r="Z36" s="199"/>
      <c r="AA36" s="79"/>
      <c r="AB36" s="197" t="str">
        <f t="array" aca="1" ref="AB36" ca="1">IF(Y33&lt;&gt;"",
IF(AND(INDIRECT("'盛付札（関数）'!FI"&amp;W33)&gt;=124,INDIRECT("'盛付札（関数）'!FI"&amp;W33)&lt;=144),"",
IF(OR(INDIRECT("'盛付札（関数）'!FI"&amp;W33)=121,INDIRECT("'盛付札（関数）'!FI"&amp;W33)=122,INDIRECT("'盛付札（関数）'!FI"&amp;W33)=123),"",
IF(X34="●",
IFERROR(INDIRECT("'盛付札（関数）'!FO"&amp;W33)+INDIRECT("'盛付札（関数）'!FO"&amp;W33+1),""),
IF(X34="△",
INDIRECT("'盛付札（関数）'!FO"&amp;W33+1),INDIRECT("'盛付札（関数）'!FO"&amp;W33))))),"")</f>
        <v/>
      </c>
      <c r="AC36" s="198"/>
      <c r="AF36" s="53"/>
      <c r="AG36" s="185" t="str">
        <f t="array" aca="1" ref="AG36" ca="1">IF(AF34="●",
INDIRECT("'盛付札（関数）'!FN"&amp;AE33)+INDIRECT("'盛付札（関数）'!FN"&amp;AE33+1),
IF(AF34="△",
INDIRECT("'盛付札（関数）'!FN"&amp;AE33+1),INDIRECT("'盛付札（関数）'!FN"&amp;AE33)))</f>
        <v/>
      </c>
      <c r="AH36" s="199"/>
      <c r="AI36" s="79"/>
      <c r="AJ36" s="197" t="str">
        <f t="array" aca="1" ref="AJ36" ca="1">IF(AG33&lt;&gt;"",
IF(AND(INDIRECT("'盛付札（関数）'!FI"&amp;AE33)&gt;=124,INDIRECT("'盛付札（関数）'!FI"&amp;AE33)&lt;=144),"",
IF(OR(INDIRECT("'盛付札（関数）'!FI"&amp;AE33)=121,INDIRECT("'盛付札（関数）'!FI"&amp;AE33)=122,INDIRECT("'盛付札（関数）'!FI"&amp;AE33)=123),"",
IF(AF34="●",
IFERROR(INDIRECT("'盛付札（関数）'!FO"&amp;AE33)+INDIRECT("'盛付札（関数）'!FO"&amp;AE33+1),""),
IF(AF34="△",
INDIRECT("'盛付札（関数）'!FO"&amp;AE33+1),INDIRECT("'盛付札（関数）'!FO"&amp;AE33))))),"")</f>
        <v/>
      </c>
      <c r="AK36" s="198"/>
      <c r="AL36" s="54"/>
      <c r="AM36" s="53"/>
      <c r="AN36" s="185" t="str">
        <f t="array" aca="1" ref="AN36" ca="1">IF(AM34="●",
INDIRECT("'盛付札（関数）'!FN"&amp;AL33)+INDIRECT("'盛付札（関数）'!FN"&amp;AL33+1),
IF(AM34="△",
INDIRECT("'盛付札（関数）'!FN"&amp;AL33+1),INDIRECT("'盛付札（関数）'!FN"&amp;AL33)))</f>
        <v/>
      </c>
      <c r="AO36" s="199"/>
      <c r="AP36" s="79"/>
      <c r="AQ36" s="197" t="str">
        <f t="array" aca="1" ref="AQ36" ca="1">IF(AN33&lt;&gt;"",
IF(AND(INDIRECT("'盛付札（関数）'!FI"&amp;AL33)&gt;=124,INDIRECT("'盛付札（関数）'!FI"&amp;AL33)&lt;=144),"",
IF(OR(INDIRECT("'盛付札（関数）'!FI"&amp;AL33)=121,INDIRECT("'盛付札（関数）'!FI"&amp;AL33)=122,INDIRECT("'盛付札（関数）'!FI"&amp;AL33)=123),"",
IF(AM34="●",
IFERROR(INDIRECT("'盛付札（関数）'!FO"&amp;AL33)+INDIRECT("'盛付札（関数）'!FO"&amp;AL33+1),""),
IF(AM34="△",
INDIRECT("'盛付札（関数）'!FO"&amp;AL33+1),INDIRECT("'盛付札（関数）'!FO"&amp;AL33))))),"")</f>
        <v/>
      </c>
      <c r="AR36" s="198"/>
      <c r="AU36" s="53"/>
      <c r="AV36" s="185" t="str">
        <f t="array" aca="1" ref="AV36" ca="1">IF(AU34="●",
INDIRECT("'盛付札（関数）'!FN"&amp;AT33)+INDIRECT("'盛付札（関数）'!FN"&amp;AT33+1),
IF(AU34="△",
INDIRECT("'盛付札（関数）'!FN"&amp;AT33+1),INDIRECT("'盛付札（関数）'!FN"&amp;AT33)))</f>
        <v/>
      </c>
      <c r="AW36" s="199"/>
      <c r="AX36" s="79"/>
      <c r="AY36" s="197" t="str">
        <f t="array" aca="1" ref="AY36" ca="1">IF(AV33&lt;&gt;"",
IF(AND(INDIRECT("'盛付札（関数）'!FI"&amp;AT33)&gt;=124,INDIRECT("'盛付札（関数）'!FI"&amp;AT33)&lt;=144),"",
IF(OR(INDIRECT("'盛付札（関数）'!FI"&amp;AT33)=121,INDIRECT("'盛付札（関数）'!FI"&amp;AT33)=122,INDIRECT("'盛付札（関数）'!FI"&amp;AT33)=123),"",
IF(AU34="●",
IFERROR(INDIRECT("'盛付札（関数）'!FO"&amp;AT33)+INDIRECT("'盛付札（関数）'!FO"&amp;AT33+1),""),
IF(AU34="△",
INDIRECT("'盛付札（関数）'!FO"&amp;AT33+1),INDIRECT("'盛付札（関数）'!FO"&amp;AT33))))),"")</f>
        <v/>
      </c>
      <c r="AZ36" s="198"/>
      <c r="BA36" s="54"/>
      <c r="BB36" s="53"/>
      <c r="BC36" s="185" t="str">
        <f t="array" aca="1" ref="BC36" ca="1">IF(BB34="●",
INDIRECT("'盛付札（関数）'!FN"&amp;BA33)+INDIRECT("'盛付札（関数）'!FN"&amp;BA33+1),
IF(BB34="△",
INDIRECT("'盛付札（関数）'!FN"&amp;BA33+1),INDIRECT("'盛付札（関数）'!FN"&amp;BA33)))</f>
        <v/>
      </c>
      <c r="BD36" s="199"/>
      <c r="BE36" s="79"/>
      <c r="BF36" s="197" t="str">
        <f t="array" aca="1" ref="BF36" ca="1">IF(BC33&lt;&gt;"",
IF(AND(INDIRECT("'盛付札（関数）'!FI"&amp;BA33)&gt;=124,INDIRECT("'盛付札（関数）'!FI"&amp;BA33)&lt;=144),"",
IF(OR(INDIRECT("'盛付札（関数）'!FI"&amp;BA33)=121,INDIRECT("'盛付札（関数）'!FI"&amp;BA33)=122,INDIRECT("'盛付札（関数）'!FI"&amp;BA33)=123),"",
IF(BB34="●",
IFERROR(INDIRECT("'盛付札（関数）'!FO"&amp;BA33)+INDIRECT("'盛付札（関数）'!FO"&amp;BA33+1),""),
IF(BB34="△",
INDIRECT("'盛付札（関数）'!FO"&amp;BA33+1),INDIRECT("'盛付札（関数）'!FO"&amp;BA33))))),"")</f>
        <v/>
      </c>
      <c r="BG36" s="198"/>
      <c r="BJ36" s="53"/>
      <c r="BK36" s="185" t="str">
        <f t="array" aca="1" ref="BK36" ca="1">IF(BJ34="●",
INDIRECT("'盛付札（関数）'!FN"&amp;BI33)+INDIRECT("'盛付札（関数）'!FN"&amp;BI33+1),
IF(BJ34="△",
INDIRECT("'盛付札（関数）'!FN"&amp;BI33+1),INDIRECT("'盛付札（関数）'!FN"&amp;BI33)))</f>
        <v/>
      </c>
      <c r="BL36" s="199"/>
      <c r="BM36" s="79"/>
      <c r="BN36" s="197" t="str">
        <f t="array" aca="1" ref="BN36" ca="1">IF(BK33&lt;&gt;"",
IF(AND(INDIRECT("'盛付札（関数）'!FI"&amp;BI33)&gt;=124,INDIRECT("'盛付札（関数）'!FI"&amp;BI33)&lt;=144),"",
IF(OR(INDIRECT("'盛付札（関数）'!FI"&amp;BI33)=121,INDIRECT("'盛付札（関数）'!FI"&amp;BI33)=122,INDIRECT("'盛付札（関数）'!FI"&amp;BI33)=123),"",
IF(BJ34="●",
IFERROR(INDIRECT("'盛付札（関数）'!FO"&amp;BI33)+INDIRECT("'盛付札（関数）'!FO"&amp;BI33+1),""),
IF(BJ34="△",
INDIRECT("'盛付札（関数）'!FO"&amp;BI33+1),INDIRECT("'盛付札（関数）'!FO"&amp;BI33))))),"")</f>
        <v/>
      </c>
      <c r="BO36" s="198"/>
      <c r="BP36" s="54"/>
      <c r="BQ36" s="53"/>
      <c r="BR36" s="185" t="str">
        <f t="array" aca="1" ref="BR36" ca="1">IF(BQ34="●",
INDIRECT("'盛付札（関数）'!FN"&amp;BP33)+INDIRECT("'盛付札（関数）'!FN"&amp;BP33+1),
IF(BQ34="△",
INDIRECT("'盛付札（関数）'!FN"&amp;BP33+1),INDIRECT("'盛付札（関数）'!FN"&amp;BP33)))</f>
        <v/>
      </c>
      <c r="BS36" s="199"/>
      <c r="BT36" s="79"/>
      <c r="BU36" s="197" t="str">
        <f t="array" aca="1" ref="BU36" ca="1">IF(BR33&lt;&gt;"",
IF(AND(INDIRECT("'盛付札（関数）'!FI"&amp;BP33)&gt;=124,INDIRECT("'盛付札（関数）'!FI"&amp;BP33)&lt;=144),"",
IF(OR(INDIRECT("'盛付札（関数）'!FI"&amp;BP33)=121,INDIRECT("'盛付札（関数）'!FI"&amp;BP33)=122,INDIRECT("'盛付札（関数）'!FI"&amp;BP33)=123),"",
IF(BQ34="●",
IFERROR(INDIRECT("'盛付札（関数）'!FO"&amp;BP33)+INDIRECT("'盛付札（関数）'!FO"&amp;BP33+1),""),
IF(BQ34="△",
INDIRECT("'盛付札（関数）'!FO"&amp;BP33+1),INDIRECT("'盛付札（関数）'!FO"&amp;BP33))))),"")</f>
        <v/>
      </c>
      <c r="BV36" s="198"/>
      <c r="BY36" s="53"/>
      <c r="BZ36" s="185" t="str">
        <f t="array" aca="1" ref="BZ36" ca="1">IF(BY34="●",
INDIRECT("'盛付札（関数）'!FN"&amp;BX33)+INDIRECT("'盛付札（関数）'!FN"&amp;BX33+1),
IF(BY34="△",
INDIRECT("'盛付札（関数）'!FN"&amp;BX33+1),INDIRECT("'盛付札（関数）'!FN"&amp;BX33)))</f>
        <v/>
      </c>
      <c r="CA36" s="199"/>
      <c r="CB36" s="79"/>
      <c r="CC36" s="197" t="str">
        <f t="array" aca="1" ref="CC36" ca="1">IF(BZ33&lt;&gt;"",
IF(AND(INDIRECT("'盛付札（関数）'!FI"&amp;BX33)&gt;=124,INDIRECT("'盛付札（関数）'!FI"&amp;BX33)&lt;=144),"",
IF(OR(INDIRECT("'盛付札（関数）'!FI"&amp;BX33)=121,INDIRECT("'盛付札（関数）'!FI"&amp;BX33)=122,INDIRECT("'盛付札（関数）'!FI"&amp;BX33)=123),"",
IF(BY34="●",
IFERROR(INDIRECT("'盛付札（関数）'!FO"&amp;BX33)+INDIRECT("'盛付札（関数）'!FO"&amp;BX33+1),""),
IF(BY34="△",
INDIRECT("'盛付札（関数）'!FO"&amp;BX33+1),INDIRECT("'盛付札（関数）'!FO"&amp;BX33))))),"")</f>
        <v/>
      </c>
      <c r="CD36" s="198"/>
      <c r="CE36" s="54"/>
      <c r="CF36" s="53"/>
      <c r="CG36" s="185" t="str">
        <f t="array" aca="1" ref="CG36" ca="1">IF(CF34="●",
INDIRECT("'盛付札（関数）'!FN"&amp;CE33)+INDIRECT("'盛付札（関数）'!FN"&amp;CE33+1),
IF(CF34="△",
INDIRECT("'盛付札（関数）'!FN"&amp;CE33+1),INDIRECT("'盛付札（関数）'!FN"&amp;CE33)))</f>
        <v/>
      </c>
      <c r="CH36" s="199"/>
      <c r="CI36" s="79"/>
      <c r="CJ36" s="197" t="str">
        <f t="array" aca="1" ref="CJ36" ca="1">IF(CG33&lt;&gt;"",
IF(AND(INDIRECT("'盛付札（関数）'!FI"&amp;CE33)&gt;=124,INDIRECT("'盛付札（関数）'!FI"&amp;CE33)&lt;=144),"",
IF(OR(INDIRECT("'盛付札（関数）'!FI"&amp;CE33)=121,INDIRECT("'盛付札（関数）'!FI"&amp;CE33)=122,INDIRECT("'盛付札（関数）'!FI"&amp;CE33)=123),"",
IF(CF34="●",
IFERROR(INDIRECT("'盛付札（関数）'!FO"&amp;CE33)+INDIRECT("'盛付札（関数）'!FO"&amp;CE33+1),""),
IF(CF34="△",
INDIRECT("'盛付札（関数）'!FO"&amp;CE33+1),INDIRECT("'盛付札（関数）'!FO"&amp;CE33))))),"")</f>
        <v/>
      </c>
      <c r="CK36" s="198"/>
      <c r="CN36" s="53"/>
      <c r="CO36" s="185" t="str">
        <f t="array" aca="1" ref="CO36" ca="1">IF(CN34="●",
INDIRECT("'盛付札（関数）'!FN"&amp;CM33)+INDIRECT("'盛付札（関数）'!FN"&amp;CM33+1),
IF(CN34="△",
INDIRECT("'盛付札（関数）'!FN"&amp;CM33+1),INDIRECT("'盛付札（関数）'!FN"&amp;CM33)))</f>
        <v/>
      </c>
      <c r="CP36" s="199"/>
      <c r="CQ36" s="79"/>
      <c r="CR36" s="197" t="str">
        <f t="array" aca="1" ref="CR36" ca="1">IF(CO33&lt;&gt;"",
IF(AND(INDIRECT("'盛付札（関数）'!FI"&amp;CM33)&gt;=124,INDIRECT("'盛付札（関数）'!FI"&amp;CM33)&lt;=144),"",
IF(OR(INDIRECT("'盛付札（関数）'!FI"&amp;CM33)=121,INDIRECT("'盛付札（関数）'!FI"&amp;CM33)=122,INDIRECT("'盛付札（関数）'!FI"&amp;CM33)=123),"",
IF(CN34="●",
IFERROR(INDIRECT("'盛付札（関数）'!FO"&amp;CM33)+INDIRECT("'盛付札（関数）'!FO"&amp;CM33+1),""),
IF(CN34="△",
INDIRECT("'盛付札（関数）'!FO"&amp;CM33+1),INDIRECT("'盛付札（関数）'!FO"&amp;CM33))))),"")</f>
        <v/>
      </c>
      <c r="CS36" s="198"/>
      <c r="CT36" s="54"/>
      <c r="CU36" s="53"/>
      <c r="CV36" s="185" t="str">
        <f t="array" aca="1" ref="CV36" ca="1">IF(CU34="●",
INDIRECT("'盛付札（関数）'!FN"&amp;CT33)+INDIRECT("'盛付札（関数）'!FN"&amp;CT33+1),
IF(CU34="△",
INDIRECT("'盛付札（関数）'!FN"&amp;CT33+1),INDIRECT("'盛付札（関数）'!FN"&amp;CT33)))</f>
        <v/>
      </c>
      <c r="CW36" s="199"/>
      <c r="CX36" s="79"/>
      <c r="CY36" s="197" t="str">
        <f t="array" aca="1" ref="CY36" ca="1">IF(CV33&lt;&gt;"",
IF(AND(INDIRECT("'盛付札（関数）'!FI"&amp;CT33)&gt;=124,INDIRECT("'盛付札（関数）'!FI"&amp;CT33)&lt;=144),"",
IF(OR(INDIRECT("'盛付札（関数）'!FI"&amp;CT33)=121,INDIRECT("'盛付札（関数）'!FI"&amp;CT33)=122,INDIRECT("'盛付札（関数）'!FI"&amp;CT33)=123),"",
IF(CU34="●",
IFERROR(INDIRECT("'盛付札（関数）'!FO"&amp;CT33)+INDIRECT("'盛付札（関数）'!FO"&amp;CT33+1),""),
IF(CU34="△",
INDIRECT("'盛付札（関数）'!FO"&amp;CT33+1),INDIRECT("'盛付札（関数）'!FO"&amp;CT33))))),"")</f>
        <v/>
      </c>
      <c r="CZ36" s="198"/>
      <c r="DC36" s="53"/>
      <c r="DD36" s="185" t="str">
        <f t="array" aca="1" ref="DD36" ca="1">IF(DC34="●",
INDIRECT("'盛付札（関数）'!FN"&amp;DB33)+INDIRECT("'盛付札（関数）'!FN"&amp;DB33+1),
IF(DC34="△",
INDIRECT("'盛付札（関数）'!FN"&amp;DB33+1),INDIRECT("'盛付札（関数）'!FN"&amp;DB33)))</f>
        <v/>
      </c>
      <c r="DE36" s="199"/>
      <c r="DF36" s="79"/>
      <c r="DG36" s="197" t="str">
        <f t="array" aca="1" ref="DG36" ca="1">IF(DD33&lt;&gt;"",
IF(AND(INDIRECT("'盛付札（関数）'!FI"&amp;DB33)&gt;=124,INDIRECT("'盛付札（関数）'!FI"&amp;DB33)&lt;=144),"",
IF(OR(INDIRECT("'盛付札（関数）'!FI"&amp;DB33)=121,INDIRECT("'盛付札（関数）'!FI"&amp;DB33)=122,INDIRECT("'盛付札（関数）'!FI"&amp;DB33)=123),"",
IF(DC34="●",
IFERROR(INDIRECT("'盛付札（関数）'!FO"&amp;DB33)+INDIRECT("'盛付札（関数）'!FO"&amp;DB33+1),""),
IF(DC34="△",
INDIRECT("'盛付札（関数）'!FO"&amp;DB33+1),INDIRECT("'盛付札（関数）'!FO"&amp;DB33))))),"")</f>
        <v/>
      </c>
      <c r="DH36" s="198"/>
      <c r="DI36" s="54"/>
      <c r="DJ36" s="53"/>
      <c r="DK36" s="185" t="str">
        <f t="array" aca="1" ref="DK36" ca="1">IF(DJ34="●",
INDIRECT("'盛付札（関数）'!FN"&amp;DI33)+INDIRECT("'盛付札（関数）'!FN"&amp;DI33+1),
IF(DJ34="△",
INDIRECT("'盛付札（関数）'!FN"&amp;DI33+1),INDIRECT("'盛付札（関数）'!FN"&amp;DI33)))</f>
        <v/>
      </c>
      <c r="DL36" s="199"/>
      <c r="DM36" s="79"/>
      <c r="DN36" s="197" t="str">
        <f t="array" aca="1" ref="DN36" ca="1">IF(DK33&lt;&gt;"",
IF(AND(INDIRECT("'盛付札（関数）'!FI"&amp;DI33)&gt;=124,INDIRECT("'盛付札（関数）'!FI"&amp;DI33)&lt;=144),"",
IF(OR(INDIRECT("'盛付札（関数）'!FI"&amp;DI33)=121,INDIRECT("'盛付札（関数）'!FI"&amp;DI33)=122,INDIRECT("'盛付札（関数）'!FI"&amp;DI33)=123),"",
IF(DJ34="●",
IFERROR(INDIRECT("'盛付札（関数）'!FO"&amp;DI33)+INDIRECT("'盛付札（関数）'!FO"&amp;DI33+1),""),
IF(DJ34="△",
INDIRECT("'盛付札（関数）'!FO"&amp;DI33+1),INDIRECT("'盛付札（関数）'!FO"&amp;DI33))))),"")</f>
        <v/>
      </c>
      <c r="DO36" s="198"/>
      <c r="DR36" s="53"/>
      <c r="DS36" s="185" t="str">
        <f t="array" aca="1" ref="DS36" ca="1">IF(DR34="●",
INDIRECT("'盛付札（関数）'!FN"&amp;DQ33)+INDIRECT("'盛付札（関数）'!FN"&amp;DQ33+1),
IF(DR34="△",
INDIRECT("'盛付札（関数）'!FN"&amp;DQ33+1),INDIRECT("'盛付札（関数）'!FN"&amp;DQ33)))</f>
        <v/>
      </c>
      <c r="DT36" s="199"/>
      <c r="DU36" s="79"/>
      <c r="DV36" s="197" t="str">
        <f t="array" aca="1" ref="DV36" ca="1">IF(DS33&lt;&gt;"",
IF(AND(INDIRECT("'盛付札（関数）'!FI"&amp;DQ33)&gt;=124,INDIRECT("'盛付札（関数）'!FI"&amp;DQ33)&lt;=144),"",
IF(OR(INDIRECT("'盛付札（関数）'!FI"&amp;DQ33)=121,INDIRECT("'盛付札（関数）'!FI"&amp;DQ33)=122,INDIRECT("'盛付札（関数）'!FI"&amp;DQ33)=123),"",
IF(DR34="●",
IFERROR(INDIRECT("'盛付札（関数）'!FO"&amp;DQ33)+INDIRECT("'盛付札（関数）'!FO"&amp;DQ33+1),""),
IF(DR34="△",
INDIRECT("'盛付札（関数）'!FO"&amp;DQ33+1),INDIRECT("'盛付札（関数）'!FO"&amp;DQ33))))),"")</f>
        <v/>
      </c>
      <c r="DW36" s="198"/>
      <c r="DX36" s="54"/>
      <c r="DY36" s="53"/>
      <c r="DZ36" s="185" t="str">
        <f t="array" aca="1" ref="DZ36" ca="1">IF(DY34="●",
INDIRECT("'盛付札（関数）'!FN"&amp;DX33)+INDIRECT("'盛付札（関数）'!FN"&amp;DX33+1),
IF(DY34="△",
INDIRECT("'盛付札（関数）'!FN"&amp;DX33+1),INDIRECT("'盛付札（関数）'!FN"&amp;DX33)))</f>
        <v/>
      </c>
      <c r="EA36" s="199"/>
      <c r="EB36" s="79"/>
      <c r="EC36" s="197" t="str">
        <f t="array" aca="1" ref="EC36" ca="1">IF(DZ33&lt;&gt;"",
IF(AND(INDIRECT("'盛付札（関数）'!FI"&amp;DX33)&gt;=124,INDIRECT("'盛付札（関数）'!FI"&amp;DX33)&lt;=144),"",
IF(OR(INDIRECT("'盛付札（関数）'!FI"&amp;DX33)=121,INDIRECT("'盛付札（関数）'!FI"&amp;DX33)=122,INDIRECT("'盛付札（関数）'!FI"&amp;DX33)=123),"",
IF(DY34="●",
IFERROR(INDIRECT("'盛付札（関数）'!FO"&amp;DX33)+INDIRECT("'盛付札（関数）'!FO"&amp;DX33+1),""),
IF(DY34="△",
INDIRECT("'盛付札（関数）'!FO"&amp;DX33+1),INDIRECT("'盛付札（関数）'!FO"&amp;DX33))))),"")</f>
        <v/>
      </c>
      <c r="ED36" s="198"/>
      <c r="EG36" s="53"/>
      <c r="EH36" s="185" t="str">
        <f t="array" aca="1" ref="EH36" ca="1">IF(EG34="●",
INDIRECT("'盛付札（関数）'!FN"&amp;EF33)+INDIRECT("'盛付札（関数）'!FN"&amp;EF33+1),
IF(EG34="△",
INDIRECT("'盛付札（関数）'!FN"&amp;EF33+1),INDIRECT("'盛付札（関数）'!FN"&amp;EF33)))</f>
        <v/>
      </c>
      <c r="EI36" s="199"/>
      <c r="EJ36" s="79"/>
      <c r="EK36" s="197" t="str">
        <f t="array" aca="1" ref="EK36" ca="1">IF(EH33&lt;&gt;"",
IF(AND(INDIRECT("'盛付札（関数）'!FI"&amp;EF33)&gt;=124,INDIRECT("'盛付札（関数）'!FI"&amp;EF33)&lt;=144),"",
IF(OR(INDIRECT("'盛付札（関数）'!FI"&amp;EF33)=121,INDIRECT("'盛付札（関数）'!FI"&amp;EF33)=122,INDIRECT("'盛付札（関数）'!FI"&amp;EF33)=123),"",
IF(EG34="●",
IFERROR(INDIRECT("'盛付札（関数）'!FO"&amp;EF33)+INDIRECT("'盛付札（関数）'!FO"&amp;EF33+1),""),
IF(EG34="△",
INDIRECT("'盛付札（関数）'!FO"&amp;EF33+1),INDIRECT("'盛付札（関数）'!FO"&amp;EF33))))),"")</f>
        <v/>
      </c>
      <c r="EL36" s="198"/>
      <c r="EM36" s="54"/>
      <c r="EN36" s="53"/>
      <c r="EO36" s="185" t="str">
        <f t="array" aca="1" ref="EO36" ca="1">IF(EN34="●",
INDIRECT("'盛付札（関数）'!FN"&amp;EM33)+INDIRECT("'盛付札（関数）'!FN"&amp;EM33+1),
IF(EN34="△",
INDIRECT("'盛付札（関数）'!FN"&amp;EM33+1),INDIRECT("'盛付札（関数）'!FN"&amp;EM33)))</f>
        <v/>
      </c>
      <c r="EP36" s="199"/>
      <c r="EQ36" s="79"/>
      <c r="ER36" s="197" t="str">
        <f t="array" aca="1" ref="ER36" ca="1">IF(EO33&lt;&gt;"",
IF(AND(INDIRECT("'盛付札（関数）'!FI"&amp;EM33)&gt;=124,INDIRECT("'盛付札（関数）'!FI"&amp;EM33)&lt;=144),"",
IF(OR(INDIRECT("'盛付札（関数）'!FI"&amp;EM33)=121,INDIRECT("'盛付札（関数）'!FI"&amp;EM33)=122,INDIRECT("'盛付札（関数）'!FI"&amp;EM33)=123),"",
IF(EN34="●",
IFERROR(INDIRECT("'盛付札（関数）'!FO"&amp;EM33)+INDIRECT("'盛付札（関数）'!FO"&amp;EM33+1),""),
IF(EN34="△",
INDIRECT("'盛付札（関数）'!FO"&amp;EM33+1),INDIRECT("'盛付札（関数）'!FO"&amp;EM33))))),"")</f>
        <v/>
      </c>
      <c r="ES36" s="198"/>
    </row>
    <row r="37" spans="1:150" ht="15.6" customHeight="1" x14ac:dyDescent="0.45">
      <c r="B37" s="55"/>
      <c r="C37" s="187"/>
      <c r="D37" s="187"/>
      <c r="E37" s="73"/>
      <c r="F37" s="187"/>
      <c r="G37" s="195"/>
      <c r="H37" s="54"/>
      <c r="I37" s="55"/>
      <c r="J37" s="187"/>
      <c r="K37" s="187"/>
      <c r="L37" s="73"/>
      <c r="M37" s="187"/>
      <c r="N37" s="195"/>
      <c r="Q37" s="55"/>
      <c r="R37" s="187"/>
      <c r="S37" s="187"/>
      <c r="T37" s="73"/>
      <c r="U37" s="187"/>
      <c r="V37" s="195"/>
      <c r="W37" s="54"/>
      <c r="X37" s="55"/>
      <c r="Y37" s="187"/>
      <c r="Z37" s="187"/>
      <c r="AA37" s="73"/>
      <c r="AB37" s="187"/>
      <c r="AC37" s="195"/>
      <c r="AF37" s="55"/>
      <c r="AG37" s="187"/>
      <c r="AH37" s="187"/>
      <c r="AI37" s="73"/>
      <c r="AJ37" s="187"/>
      <c r="AK37" s="195"/>
      <c r="AL37" s="54"/>
      <c r="AM37" s="55"/>
      <c r="AN37" s="187"/>
      <c r="AO37" s="187"/>
      <c r="AP37" s="73"/>
      <c r="AQ37" s="187"/>
      <c r="AR37" s="195"/>
      <c r="AU37" s="55"/>
      <c r="AV37" s="187"/>
      <c r="AW37" s="187"/>
      <c r="AX37" s="73"/>
      <c r="AY37" s="187"/>
      <c r="AZ37" s="195"/>
      <c r="BA37" s="54"/>
      <c r="BB37" s="55"/>
      <c r="BC37" s="187"/>
      <c r="BD37" s="187"/>
      <c r="BE37" s="73"/>
      <c r="BF37" s="187"/>
      <c r="BG37" s="195"/>
      <c r="BJ37" s="55"/>
      <c r="BK37" s="187"/>
      <c r="BL37" s="187"/>
      <c r="BM37" s="73"/>
      <c r="BN37" s="187"/>
      <c r="BO37" s="195"/>
      <c r="BP37" s="54"/>
      <c r="BQ37" s="55"/>
      <c r="BR37" s="187"/>
      <c r="BS37" s="187"/>
      <c r="BT37" s="73"/>
      <c r="BU37" s="187"/>
      <c r="BV37" s="195"/>
      <c r="BY37" s="55"/>
      <c r="BZ37" s="187"/>
      <c r="CA37" s="187"/>
      <c r="CB37" s="73"/>
      <c r="CC37" s="187"/>
      <c r="CD37" s="195"/>
      <c r="CE37" s="54"/>
      <c r="CF37" s="55"/>
      <c r="CG37" s="187"/>
      <c r="CH37" s="187"/>
      <c r="CI37" s="73"/>
      <c r="CJ37" s="187"/>
      <c r="CK37" s="195"/>
      <c r="CN37" s="55"/>
      <c r="CO37" s="187"/>
      <c r="CP37" s="187"/>
      <c r="CQ37" s="73"/>
      <c r="CR37" s="187"/>
      <c r="CS37" s="195"/>
      <c r="CT37" s="54"/>
      <c r="CU37" s="55"/>
      <c r="CV37" s="187"/>
      <c r="CW37" s="187"/>
      <c r="CX37" s="73"/>
      <c r="CY37" s="187"/>
      <c r="CZ37" s="195"/>
      <c r="DC37" s="55"/>
      <c r="DD37" s="187"/>
      <c r="DE37" s="187"/>
      <c r="DF37" s="73"/>
      <c r="DG37" s="187"/>
      <c r="DH37" s="195"/>
      <c r="DI37" s="54"/>
      <c r="DJ37" s="55"/>
      <c r="DK37" s="187"/>
      <c r="DL37" s="187"/>
      <c r="DM37" s="73"/>
      <c r="DN37" s="187"/>
      <c r="DO37" s="195"/>
      <c r="DR37" s="55"/>
      <c r="DS37" s="187"/>
      <c r="DT37" s="187"/>
      <c r="DU37" s="73"/>
      <c r="DV37" s="187"/>
      <c r="DW37" s="195"/>
      <c r="DX37" s="54"/>
      <c r="DY37" s="55"/>
      <c r="DZ37" s="187"/>
      <c r="EA37" s="187"/>
      <c r="EB37" s="73"/>
      <c r="EC37" s="187"/>
      <c r="ED37" s="195"/>
      <c r="EG37" s="55"/>
      <c r="EH37" s="187"/>
      <c r="EI37" s="187"/>
      <c r="EJ37" s="73"/>
      <c r="EK37" s="187"/>
      <c r="EL37" s="195"/>
      <c r="EM37" s="54"/>
      <c r="EN37" s="55"/>
      <c r="EO37" s="187"/>
      <c r="EP37" s="187"/>
      <c r="EQ37" s="73"/>
      <c r="ER37" s="187"/>
      <c r="ES37" s="195"/>
    </row>
    <row r="38" spans="1:150" s="60" customFormat="1" x14ac:dyDescent="0.55000000000000004">
      <c r="A38" s="59"/>
      <c r="B38" s="66" t="str">
        <f t="array" aca="1" ref="B38" ca="1">IF(C33&lt;&gt;"",
IF(OR(INDIRECT("'盛付札（関数）'!FI"&amp;A33)=121,INDIRECT("'盛付札（関数）'!FI"&amp;A33)=122,INDIRECT("'盛付札（関数）'!FI"&amp;A33)=123),"",
"パン箱"),"")</f>
        <v/>
      </c>
      <c r="C38" s="64" t="str">
        <f t="array" aca="1" ref="C38" ca="1">IF(C33&lt;&gt;"",
IF(OR(INDIRECT("'盛付札（関数）'!FI"&amp;A33)=121,INDIRECT("'盛付札（関数）'!FI"&amp;A33)=122,INDIRECT("'盛付札（関数）'!FI"&amp;A33)=123),"",
IF(B34="△",
INDIRECT("'盛付札（関数）'!FP"&amp;A33+1),INDIRECT("'盛付札（関数）'!FP"&amp;A33))),"")</f>
        <v/>
      </c>
      <c r="D38" s="66" t="str">
        <f t="array" aca="1" ref="D38" ca="1">IF(C33&lt;&gt;"",
IF(OR(INDIRECT("'盛付札（関数）'!FI"&amp;A33)=121,INDIRECT("'盛付札（関数）'!FI"&amp;A33)=122,INDIRECT("'盛付札（関数）'!FI"&amp;A33)=123),"",
"端数"),"")</f>
        <v/>
      </c>
      <c r="E38" s="64"/>
      <c r="F38" s="66" t="str">
        <f t="array" aca="1" ref="F38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"アレルギー")),"")</f>
        <v/>
      </c>
      <c r="G38" s="69"/>
      <c r="H38" s="49"/>
      <c r="I38" s="66" t="str">
        <f t="array" aca="1" ref="I38" ca="1">IF(J33&lt;&gt;"",
IF(OR(INDIRECT("'盛付札（関数）'!FI"&amp;H33)=121,INDIRECT("'盛付札（関数）'!FI"&amp;H33)=122,INDIRECT("'盛付札（関数）'!FI"&amp;H33)=123),"",
"パン箱"),"")</f>
        <v/>
      </c>
      <c r="J38" s="64" t="str">
        <f t="array" aca="1" ref="J38" ca="1">IF(J33&lt;&gt;"",
IF(OR(INDIRECT("'盛付札（関数）'!FI"&amp;H33)=121,INDIRECT("'盛付札（関数）'!FI"&amp;H33)=122,INDIRECT("'盛付札（関数）'!FI"&amp;H33)=123),"",
IF(I34="△",
INDIRECT("'盛付札（関数）'!FP"&amp;H33+1),INDIRECT("'盛付札（関数）'!FP"&amp;H33))),"")</f>
        <v/>
      </c>
      <c r="K38" s="66" t="str">
        <f t="array" aca="1" ref="K38" ca="1">IF(J33&lt;&gt;"",
IF(OR(INDIRECT("'盛付札（関数）'!FI"&amp;H33)=121,INDIRECT("'盛付札（関数）'!FI"&amp;H33)=122,INDIRECT("'盛付札（関数）'!FI"&amp;H33)=123),"",
"端数"),"")</f>
        <v/>
      </c>
      <c r="L38" s="64"/>
      <c r="M38" s="66" t="str">
        <f t="array" aca="1" ref="M38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"アレルギー")),"")</f>
        <v/>
      </c>
      <c r="N38" s="69"/>
      <c r="O38" s="49"/>
      <c r="P38" s="59"/>
      <c r="Q38" s="66" t="str">
        <f t="array" aca="1" ref="Q38" ca="1">IF(R33&lt;&gt;"",
IF(OR(INDIRECT("'盛付札（関数）'!FI"&amp;P33)=121,INDIRECT("'盛付札（関数）'!FI"&amp;P33)=122,INDIRECT("'盛付札（関数）'!FI"&amp;P33)=123),"",
"パン箱"),"")</f>
        <v/>
      </c>
      <c r="R38" s="64" t="str">
        <f t="array" aca="1" ref="R38" ca="1">IF(R33&lt;&gt;"",
IF(OR(INDIRECT("'盛付札（関数）'!FI"&amp;P33)=121,INDIRECT("'盛付札（関数）'!FI"&amp;P33)=122,INDIRECT("'盛付札（関数）'!FI"&amp;P33)=123),"",
IF(Q34="△",
INDIRECT("'盛付札（関数）'!FP"&amp;P33+1),INDIRECT("'盛付札（関数）'!FP"&amp;P33))),"")</f>
        <v/>
      </c>
      <c r="S38" s="66" t="str">
        <f t="array" aca="1" ref="S38" ca="1">IF(R33&lt;&gt;"",
IF(OR(INDIRECT("'盛付札（関数）'!FI"&amp;P33)=121,INDIRECT("'盛付札（関数）'!FI"&amp;P33)=122,INDIRECT("'盛付札（関数）'!FI"&amp;P33)=123),"",
"端数"),"")</f>
        <v/>
      </c>
      <c r="T38" s="64"/>
      <c r="U38" s="66" t="str">
        <f t="array" aca="1" ref="U38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"アレルギー")),"")</f>
        <v/>
      </c>
      <c r="V38" s="69"/>
      <c r="W38" s="49"/>
      <c r="X38" s="66" t="str">
        <f t="array" aca="1" ref="X38" ca="1">IF(Y33&lt;&gt;"",
IF(OR(INDIRECT("'盛付札（関数）'!FI"&amp;W33)=121,INDIRECT("'盛付札（関数）'!FI"&amp;W33)=122,INDIRECT("'盛付札（関数）'!FI"&amp;W33)=123),"",
"パン箱"),"")</f>
        <v/>
      </c>
      <c r="Y38" s="64" t="str">
        <f t="array" aca="1" ref="Y38" ca="1">IF(Y33&lt;&gt;"",
IF(OR(INDIRECT("'盛付札（関数）'!FI"&amp;W33)=121,INDIRECT("'盛付札（関数）'!FI"&amp;W33)=122,INDIRECT("'盛付札（関数）'!FI"&amp;W33)=123),"",
IF(X34="△",
INDIRECT("'盛付札（関数）'!FP"&amp;W33+1),INDIRECT("'盛付札（関数）'!FP"&amp;W33))),"")</f>
        <v/>
      </c>
      <c r="Z38" s="66" t="str">
        <f t="array" aca="1" ref="Z38" ca="1">IF(Y33&lt;&gt;"",
IF(OR(INDIRECT("'盛付札（関数）'!FI"&amp;W33)=121,INDIRECT("'盛付札（関数）'!FI"&amp;W33)=122,INDIRECT("'盛付札（関数）'!FI"&amp;W33)=123),"",
"端数"),"")</f>
        <v/>
      </c>
      <c r="AA38" s="64"/>
      <c r="AB38" s="66" t="str">
        <f t="array" aca="1" ref="AB38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"アレルギー")),"")</f>
        <v/>
      </c>
      <c r="AC38" s="69"/>
      <c r="AD38" s="49"/>
      <c r="AE38" s="59"/>
      <c r="AF38" s="66" t="str">
        <f t="array" aca="1" ref="AF38" ca="1">IF(AG33&lt;&gt;"",
IF(OR(INDIRECT("'盛付札（関数）'!FI"&amp;AE33)=121,INDIRECT("'盛付札（関数）'!FI"&amp;AE33)=122,INDIRECT("'盛付札（関数）'!FI"&amp;AE33)=123),"",
"パン箱"),"")</f>
        <v/>
      </c>
      <c r="AG38" s="64" t="str">
        <f t="array" aca="1" ref="AG38" ca="1">IF(AG33&lt;&gt;"",
IF(OR(INDIRECT("'盛付札（関数）'!FI"&amp;AE33)=121,INDIRECT("'盛付札（関数）'!FI"&amp;AE33)=122,INDIRECT("'盛付札（関数）'!FI"&amp;AE33)=123),"",
IF(AF34="△",
INDIRECT("'盛付札（関数）'!FP"&amp;AE33+1),INDIRECT("'盛付札（関数）'!FP"&amp;AE33))),"")</f>
        <v/>
      </c>
      <c r="AH38" s="66" t="str">
        <f t="array" aca="1" ref="AH38" ca="1">IF(AG33&lt;&gt;"",
IF(OR(INDIRECT("'盛付札（関数）'!FI"&amp;AE33)=121,INDIRECT("'盛付札（関数）'!FI"&amp;AE33)=122,INDIRECT("'盛付札（関数）'!FI"&amp;AE33)=123),"",
"端数"),"")</f>
        <v/>
      </c>
      <c r="AI38" s="64"/>
      <c r="AJ38" s="66" t="str">
        <f t="array" aca="1" ref="AJ38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"アレルギー")),"")</f>
        <v/>
      </c>
      <c r="AK38" s="69"/>
      <c r="AL38" s="49"/>
      <c r="AM38" s="66" t="str">
        <f t="array" aca="1" ref="AM38" ca="1">IF(AN33&lt;&gt;"",
IF(OR(INDIRECT("'盛付札（関数）'!FI"&amp;AL33)=121,INDIRECT("'盛付札（関数）'!FI"&amp;AL33)=122,INDIRECT("'盛付札（関数）'!FI"&amp;AL33)=123),"",
"パン箱"),"")</f>
        <v/>
      </c>
      <c r="AN38" s="64" t="str">
        <f t="array" aca="1" ref="AN38" ca="1">IF(AN33&lt;&gt;"",
IF(OR(INDIRECT("'盛付札（関数）'!FI"&amp;AL33)=121,INDIRECT("'盛付札（関数）'!FI"&amp;AL33)=122,INDIRECT("'盛付札（関数）'!FI"&amp;AL33)=123),"",
IF(AM34="△",
INDIRECT("'盛付札（関数）'!FP"&amp;AL33+1),INDIRECT("'盛付札（関数）'!FP"&amp;AL33))),"")</f>
        <v/>
      </c>
      <c r="AO38" s="66" t="str">
        <f t="array" aca="1" ref="AO38" ca="1">IF(AN33&lt;&gt;"",
IF(OR(INDIRECT("'盛付札（関数）'!FI"&amp;AL33)=121,INDIRECT("'盛付札（関数）'!FI"&amp;AL33)=122,INDIRECT("'盛付札（関数）'!FI"&amp;AL33)=123),"",
"端数"),"")</f>
        <v/>
      </c>
      <c r="AP38" s="64"/>
      <c r="AQ38" s="66" t="str">
        <f t="array" aca="1" ref="AQ38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"アレルギー")),"")</f>
        <v/>
      </c>
      <c r="AR38" s="69"/>
      <c r="AS38" s="49"/>
      <c r="AT38" s="59"/>
      <c r="AU38" s="66" t="str">
        <f t="array" aca="1" ref="AU38" ca="1">IF(AV33&lt;&gt;"",
IF(OR(INDIRECT("'盛付札（関数）'!FI"&amp;AT33)=121,INDIRECT("'盛付札（関数）'!FI"&amp;AT33)=122,INDIRECT("'盛付札（関数）'!FI"&amp;AT33)=123),"",
"パン箱"),"")</f>
        <v/>
      </c>
      <c r="AV38" s="64" t="str">
        <f t="array" aca="1" ref="AV38" ca="1">IF(AV33&lt;&gt;"",
IF(OR(INDIRECT("'盛付札（関数）'!FI"&amp;AT33)=121,INDIRECT("'盛付札（関数）'!FI"&amp;AT33)=122,INDIRECT("'盛付札（関数）'!FI"&amp;AT33)=123),"",
IF(AU34="△",
INDIRECT("'盛付札（関数）'!FP"&amp;AT33+1),INDIRECT("'盛付札（関数）'!FP"&amp;AT33))),"")</f>
        <v/>
      </c>
      <c r="AW38" s="66" t="str">
        <f t="array" aca="1" ref="AW38" ca="1">IF(AV33&lt;&gt;"",
IF(OR(INDIRECT("'盛付札（関数）'!FI"&amp;AT33)=121,INDIRECT("'盛付札（関数）'!FI"&amp;AT33)=122,INDIRECT("'盛付札（関数）'!FI"&amp;AT33)=123),"",
"端数"),"")</f>
        <v/>
      </c>
      <c r="AX38" s="64"/>
      <c r="AY38" s="66" t="str">
        <f t="array" aca="1" ref="AY38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"アレルギー")),"")</f>
        <v/>
      </c>
      <c r="AZ38" s="69"/>
      <c r="BA38" s="49"/>
      <c r="BB38" s="66" t="str">
        <f t="array" aca="1" ref="BB38" ca="1">IF(BC33&lt;&gt;"",
IF(OR(INDIRECT("'盛付札（関数）'!FI"&amp;BA33)=121,INDIRECT("'盛付札（関数）'!FI"&amp;BA33)=122,INDIRECT("'盛付札（関数）'!FI"&amp;BA33)=123),"",
"パン箱"),"")</f>
        <v/>
      </c>
      <c r="BC38" s="64" t="str">
        <f t="array" aca="1" ref="BC38" ca="1">IF(BC33&lt;&gt;"",
IF(OR(INDIRECT("'盛付札（関数）'!FI"&amp;BA33)=121,INDIRECT("'盛付札（関数）'!FI"&amp;BA33)=122,INDIRECT("'盛付札（関数）'!FI"&amp;BA33)=123),"",
IF(BB34="△",
INDIRECT("'盛付札（関数）'!FP"&amp;BA33+1),INDIRECT("'盛付札（関数）'!FP"&amp;BA33))),"")</f>
        <v/>
      </c>
      <c r="BD38" s="66" t="str">
        <f t="array" aca="1" ref="BD38" ca="1">IF(BC33&lt;&gt;"",
IF(OR(INDIRECT("'盛付札（関数）'!FI"&amp;BA33)=121,INDIRECT("'盛付札（関数）'!FI"&amp;BA33)=122,INDIRECT("'盛付札（関数）'!FI"&amp;BA33)=123),"",
"端数"),"")</f>
        <v/>
      </c>
      <c r="BE38" s="64"/>
      <c r="BF38" s="66" t="str">
        <f t="array" aca="1" ref="BF38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"アレルギー")),"")</f>
        <v/>
      </c>
      <c r="BG38" s="69"/>
      <c r="BH38" s="49"/>
      <c r="BI38" s="59"/>
      <c r="BJ38" s="66" t="str">
        <f t="array" aca="1" ref="BJ38" ca="1">IF(BK33&lt;&gt;"",
IF(OR(INDIRECT("'盛付札（関数）'!FI"&amp;BI33)=121,INDIRECT("'盛付札（関数）'!FI"&amp;BI33)=122,INDIRECT("'盛付札（関数）'!FI"&amp;BI33)=123),"",
"パン箱"),"")</f>
        <v/>
      </c>
      <c r="BK38" s="64" t="str">
        <f t="array" aca="1" ref="BK38" ca="1">IF(BK33&lt;&gt;"",
IF(OR(INDIRECT("'盛付札（関数）'!FI"&amp;BI33)=121,INDIRECT("'盛付札（関数）'!FI"&amp;BI33)=122,INDIRECT("'盛付札（関数）'!FI"&amp;BI33)=123),"",
IF(BJ34="△",
INDIRECT("'盛付札（関数）'!FP"&amp;BI33+1),INDIRECT("'盛付札（関数）'!FP"&amp;BI33))),"")</f>
        <v/>
      </c>
      <c r="BL38" s="66" t="str">
        <f t="array" aca="1" ref="BL38" ca="1">IF(BK33&lt;&gt;"",
IF(OR(INDIRECT("'盛付札（関数）'!FI"&amp;BI33)=121,INDIRECT("'盛付札（関数）'!FI"&amp;BI33)=122,INDIRECT("'盛付札（関数）'!FI"&amp;BI33)=123),"",
"端数"),"")</f>
        <v/>
      </c>
      <c r="BM38" s="64"/>
      <c r="BN38" s="66" t="str">
        <f t="array" aca="1" ref="BN38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"アレルギー")),"")</f>
        <v/>
      </c>
      <c r="BO38" s="69"/>
      <c r="BP38" s="49"/>
      <c r="BQ38" s="66" t="str">
        <f t="array" aca="1" ref="BQ38" ca="1">IF(BR33&lt;&gt;"",
IF(OR(INDIRECT("'盛付札（関数）'!FI"&amp;BP33)=121,INDIRECT("'盛付札（関数）'!FI"&amp;BP33)=122,INDIRECT("'盛付札（関数）'!FI"&amp;BP33)=123),"",
"パン箱"),"")</f>
        <v/>
      </c>
      <c r="BR38" s="64" t="str">
        <f t="array" aca="1" ref="BR38" ca="1">IF(BR33&lt;&gt;"",
IF(OR(INDIRECT("'盛付札（関数）'!FI"&amp;BP33)=121,INDIRECT("'盛付札（関数）'!FI"&amp;BP33)=122,INDIRECT("'盛付札（関数）'!FI"&amp;BP33)=123),"",
IF(BQ34="△",
INDIRECT("'盛付札（関数）'!FP"&amp;BP33+1),INDIRECT("'盛付札（関数）'!FP"&amp;BP33))),"")</f>
        <v/>
      </c>
      <c r="BS38" s="66" t="str">
        <f t="array" aca="1" ref="BS38" ca="1">IF(BR33&lt;&gt;"",
IF(OR(INDIRECT("'盛付札（関数）'!FI"&amp;BP33)=121,INDIRECT("'盛付札（関数）'!FI"&amp;BP33)=122,INDIRECT("'盛付札（関数）'!FI"&amp;BP33)=123),"",
"端数"),"")</f>
        <v/>
      </c>
      <c r="BT38" s="64"/>
      <c r="BU38" s="66" t="str">
        <f t="array" aca="1" ref="BU38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"アレルギー")),"")</f>
        <v/>
      </c>
      <c r="BV38" s="69"/>
      <c r="BW38" s="49"/>
      <c r="BX38" s="59"/>
      <c r="BY38" s="66" t="str">
        <f t="array" aca="1" ref="BY38" ca="1">IF(BZ33&lt;&gt;"",
IF(OR(INDIRECT("'盛付札（関数）'!FI"&amp;BX33)=121,INDIRECT("'盛付札（関数）'!FI"&amp;BX33)=122,INDIRECT("'盛付札（関数）'!FI"&amp;BX33)=123),"",
"パン箱"),"")</f>
        <v/>
      </c>
      <c r="BZ38" s="64" t="str">
        <f t="array" aca="1" ref="BZ38" ca="1">IF(BZ33&lt;&gt;"",
IF(OR(INDIRECT("'盛付札（関数）'!FI"&amp;BX33)=121,INDIRECT("'盛付札（関数）'!FI"&amp;BX33)=122,INDIRECT("'盛付札（関数）'!FI"&amp;BX33)=123),"",
IF(BY34="△",
INDIRECT("'盛付札（関数）'!FP"&amp;BX33+1),INDIRECT("'盛付札（関数）'!FP"&amp;BX33))),"")</f>
        <v/>
      </c>
      <c r="CA38" s="66" t="str">
        <f t="array" aca="1" ref="CA38" ca="1">IF(BZ33&lt;&gt;"",
IF(OR(INDIRECT("'盛付札（関数）'!FI"&amp;BX33)=121,INDIRECT("'盛付札（関数）'!FI"&amp;BX33)=122,INDIRECT("'盛付札（関数）'!FI"&amp;BX33)=123),"",
"端数"),"")</f>
        <v/>
      </c>
      <c r="CB38" s="64"/>
      <c r="CC38" s="66" t="str">
        <f t="array" aca="1" ref="CC38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"アレルギー")),"")</f>
        <v/>
      </c>
      <c r="CD38" s="69"/>
      <c r="CE38" s="49"/>
      <c r="CF38" s="66" t="str">
        <f t="array" aca="1" ref="CF38" ca="1">IF(CG33&lt;&gt;"",
IF(OR(INDIRECT("'盛付札（関数）'!FI"&amp;CE33)=121,INDIRECT("'盛付札（関数）'!FI"&amp;CE33)=122,INDIRECT("'盛付札（関数）'!FI"&amp;CE33)=123),"",
"パン箱"),"")</f>
        <v/>
      </c>
      <c r="CG38" s="64" t="str">
        <f t="array" aca="1" ref="CG38" ca="1">IF(CG33&lt;&gt;"",
IF(OR(INDIRECT("'盛付札（関数）'!FI"&amp;CE33)=121,INDIRECT("'盛付札（関数）'!FI"&amp;CE33)=122,INDIRECT("'盛付札（関数）'!FI"&amp;CE33)=123),"",
IF(CF34="△",
INDIRECT("'盛付札（関数）'!FP"&amp;CE33+1),INDIRECT("'盛付札（関数）'!FP"&amp;CE33))),"")</f>
        <v/>
      </c>
      <c r="CH38" s="66" t="str">
        <f t="array" aca="1" ref="CH38" ca="1">IF(CG33&lt;&gt;"",
IF(OR(INDIRECT("'盛付札（関数）'!FI"&amp;CE33)=121,INDIRECT("'盛付札（関数）'!FI"&amp;CE33)=122,INDIRECT("'盛付札（関数）'!FI"&amp;CE33)=123),"",
"端数"),"")</f>
        <v/>
      </c>
      <c r="CI38" s="64"/>
      <c r="CJ38" s="66" t="str">
        <f t="array" aca="1" ref="CJ38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"アレルギー")),"")</f>
        <v/>
      </c>
      <c r="CK38" s="69"/>
      <c r="CL38" s="49"/>
      <c r="CM38" s="59"/>
      <c r="CN38" s="66" t="str">
        <f t="array" aca="1" ref="CN38" ca="1">IF(CO33&lt;&gt;"",
IF(OR(INDIRECT("'盛付札（関数）'!FI"&amp;CM33)=121,INDIRECT("'盛付札（関数）'!FI"&amp;CM33)=122,INDIRECT("'盛付札（関数）'!FI"&amp;CM33)=123),"",
"パン箱"),"")</f>
        <v/>
      </c>
      <c r="CO38" s="64" t="str">
        <f t="array" aca="1" ref="CO38" ca="1">IF(CO33&lt;&gt;"",
IF(OR(INDIRECT("'盛付札（関数）'!FI"&amp;CM33)=121,INDIRECT("'盛付札（関数）'!FI"&amp;CM33)=122,INDIRECT("'盛付札（関数）'!FI"&amp;CM33)=123),"",
IF(CN34="△",
INDIRECT("'盛付札（関数）'!FP"&amp;CM33+1),INDIRECT("'盛付札（関数）'!FP"&amp;CM33))),"")</f>
        <v/>
      </c>
      <c r="CP38" s="66" t="str">
        <f t="array" aca="1" ref="CP38" ca="1">IF(CO33&lt;&gt;"",
IF(OR(INDIRECT("'盛付札（関数）'!FI"&amp;CM33)=121,INDIRECT("'盛付札（関数）'!FI"&amp;CM33)=122,INDIRECT("'盛付札（関数）'!FI"&amp;CM33)=123),"",
"端数"),"")</f>
        <v/>
      </c>
      <c r="CQ38" s="64"/>
      <c r="CR38" s="66" t="str">
        <f t="array" aca="1" ref="CR38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"アレルギー")),"")</f>
        <v/>
      </c>
      <c r="CS38" s="69"/>
      <c r="CT38" s="49"/>
      <c r="CU38" s="66" t="str">
        <f t="array" aca="1" ref="CU38" ca="1">IF(CV33&lt;&gt;"",
IF(OR(INDIRECT("'盛付札（関数）'!FI"&amp;CT33)=121,INDIRECT("'盛付札（関数）'!FI"&amp;CT33)=122,INDIRECT("'盛付札（関数）'!FI"&amp;CT33)=123),"",
"パン箱"),"")</f>
        <v/>
      </c>
      <c r="CV38" s="64" t="str">
        <f t="array" aca="1" ref="CV38" ca="1">IF(CV33&lt;&gt;"",
IF(OR(INDIRECT("'盛付札（関数）'!FI"&amp;CT33)=121,INDIRECT("'盛付札（関数）'!FI"&amp;CT33)=122,INDIRECT("'盛付札（関数）'!FI"&amp;CT33)=123),"",
IF(CU34="△",
INDIRECT("'盛付札（関数）'!FP"&amp;CT33+1),INDIRECT("'盛付札（関数）'!FP"&amp;CT33))),"")</f>
        <v/>
      </c>
      <c r="CW38" s="66" t="str">
        <f t="array" aca="1" ref="CW38" ca="1">IF(CV33&lt;&gt;"",
IF(OR(INDIRECT("'盛付札（関数）'!FI"&amp;CT33)=121,INDIRECT("'盛付札（関数）'!FI"&amp;CT33)=122,INDIRECT("'盛付札（関数）'!FI"&amp;CT33)=123),"",
"端数"),"")</f>
        <v/>
      </c>
      <c r="CX38" s="64"/>
      <c r="CY38" s="66" t="str">
        <f t="array" aca="1" ref="CY38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"アレルギー")),"")</f>
        <v/>
      </c>
      <c r="CZ38" s="69"/>
      <c r="DA38" s="49"/>
      <c r="DB38" s="59"/>
      <c r="DC38" s="66" t="str">
        <f t="array" aca="1" ref="DC38" ca="1">IF(DD33&lt;&gt;"",
IF(OR(INDIRECT("'盛付札（関数）'!FI"&amp;DB33)=121,INDIRECT("'盛付札（関数）'!FI"&amp;DB33)=122,INDIRECT("'盛付札（関数）'!FI"&amp;DB33)=123),"",
"パン箱"),"")</f>
        <v/>
      </c>
      <c r="DD38" s="64" t="str">
        <f t="array" aca="1" ref="DD38" ca="1">IF(DD33&lt;&gt;"",
IF(OR(INDIRECT("'盛付札（関数）'!FI"&amp;DB33)=121,INDIRECT("'盛付札（関数）'!FI"&amp;DB33)=122,INDIRECT("'盛付札（関数）'!FI"&amp;DB33)=123),"",
IF(DC34="△",
INDIRECT("'盛付札（関数）'!FP"&amp;DB33+1),INDIRECT("'盛付札（関数）'!FP"&amp;DB33))),"")</f>
        <v/>
      </c>
      <c r="DE38" s="66" t="str">
        <f t="array" aca="1" ref="DE38" ca="1">IF(DD33&lt;&gt;"",
IF(OR(INDIRECT("'盛付札（関数）'!FI"&amp;DB33)=121,INDIRECT("'盛付札（関数）'!FI"&amp;DB33)=122,INDIRECT("'盛付札（関数）'!FI"&amp;DB33)=123),"",
"端数"),"")</f>
        <v/>
      </c>
      <c r="DF38" s="64"/>
      <c r="DG38" s="66" t="str">
        <f t="array" aca="1" ref="DG38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"アレルギー")),"")</f>
        <v/>
      </c>
      <c r="DH38" s="69"/>
      <c r="DI38" s="49"/>
      <c r="DJ38" s="66" t="str">
        <f t="array" aca="1" ref="DJ38" ca="1">IF(DK33&lt;&gt;"",
IF(OR(INDIRECT("'盛付札（関数）'!FI"&amp;DI33)=121,INDIRECT("'盛付札（関数）'!FI"&amp;DI33)=122,INDIRECT("'盛付札（関数）'!FI"&amp;DI33)=123),"",
"パン箱"),"")</f>
        <v/>
      </c>
      <c r="DK38" s="64" t="str">
        <f t="array" aca="1" ref="DK38" ca="1">IF(DK33&lt;&gt;"",
IF(OR(INDIRECT("'盛付札（関数）'!FI"&amp;DI33)=121,INDIRECT("'盛付札（関数）'!FI"&amp;DI33)=122,INDIRECT("'盛付札（関数）'!FI"&amp;DI33)=123),"",
IF(DJ34="△",
INDIRECT("'盛付札（関数）'!FP"&amp;DI33+1),INDIRECT("'盛付札（関数）'!FP"&amp;DI33))),"")</f>
        <v/>
      </c>
      <c r="DL38" s="66" t="str">
        <f t="array" aca="1" ref="DL38" ca="1">IF(DK33&lt;&gt;"",
IF(OR(INDIRECT("'盛付札（関数）'!FI"&amp;DI33)=121,INDIRECT("'盛付札（関数）'!FI"&amp;DI33)=122,INDIRECT("'盛付札（関数）'!FI"&amp;DI33)=123),"",
"端数"),"")</f>
        <v/>
      </c>
      <c r="DM38" s="64"/>
      <c r="DN38" s="66" t="str">
        <f t="array" aca="1" ref="DN38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"アレルギー")),"")</f>
        <v/>
      </c>
      <c r="DO38" s="69"/>
      <c r="DP38" s="49"/>
      <c r="DQ38" s="59"/>
      <c r="DR38" s="66" t="str">
        <f t="array" aca="1" ref="DR38" ca="1">IF(DS33&lt;&gt;"",
IF(OR(INDIRECT("'盛付札（関数）'!FI"&amp;DQ33)=121,INDIRECT("'盛付札（関数）'!FI"&amp;DQ33)=122,INDIRECT("'盛付札（関数）'!FI"&amp;DQ33)=123),"",
"パン箱"),"")</f>
        <v/>
      </c>
      <c r="DS38" s="64" t="str">
        <f t="array" aca="1" ref="DS38" ca="1">IF(DS33&lt;&gt;"",
IF(OR(INDIRECT("'盛付札（関数）'!FI"&amp;DQ33)=121,INDIRECT("'盛付札（関数）'!FI"&amp;DQ33)=122,INDIRECT("'盛付札（関数）'!FI"&amp;DQ33)=123),"",
IF(DR34="△",
INDIRECT("'盛付札（関数）'!FP"&amp;DQ33+1),INDIRECT("'盛付札（関数）'!FP"&amp;DQ33))),"")</f>
        <v/>
      </c>
      <c r="DT38" s="66" t="str">
        <f t="array" aca="1" ref="DT38" ca="1">IF(DS33&lt;&gt;"",
IF(OR(INDIRECT("'盛付札（関数）'!FI"&amp;DQ33)=121,INDIRECT("'盛付札（関数）'!FI"&amp;DQ33)=122,INDIRECT("'盛付札（関数）'!FI"&amp;DQ33)=123),"",
"端数"),"")</f>
        <v/>
      </c>
      <c r="DU38" s="64"/>
      <c r="DV38" s="66" t="str">
        <f t="array" aca="1" ref="DV38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"アレルギー")),"")</f>
        <v/>
      </c>
      <c r="DW38" s="69"/>
      <c r="DX38" s="49"/>
      <c r="DY38" s="66" t="str">
        <f t="array" aca="1" ref="DY38" ca="1">IF(DZ33&lt;&gt;"",
IF(OR(INDIRECT("'盛付札（関数）'!FI"&amp;DX33)=121,INDIRECT("'盛付札（関数）'!FI"&amp;DX33)=122,INDIRECT("'盛付札（関数）'!FI"&amp;DX33)=123),"",
"パン箱"),"")</f>
        <v/>
      </c>
      <c r="DZ38" s="64" t="str">
        <f t="array" aca="1" ref="DZ38" ca="1">IF(DZ33&lt;&gt;"",
IF(OR(INDIRECT("'盛付札（関数）'!FI"&amp;DX33)=121,INDIRECT("'盛付札（関数）'!FI"&amp;DX33)=122,INDIRECT("'盛付札（関数）'!FI"&amp;DX33)=123),"",
IF(DY34="△",
INDIRECT("'盛付札（関数）'!FP"&amp;DX33+1),INDIRECT("'盛付札（関数）'!FP"&amp;DX33))),"")</f>
        <v/>
      </c>
      <c r="EA38" s="66" t="str">
        <f t="array" aca="1" ref="EA38" ca="1">IF(DZ33&lt;&gt;"",
IF(OR(INDIRECT("'盛付札（関数）'!FI"&amp;DX33)=121,INDIRECT("'盛付札（関数）'!FI"&amp;DX33)=122,INDIRECT("'盛付札（関数）'!FI"&amp;DX33)=123),"",
"端数"),"")</f>
        <v/>
      </c>
      <c r="EB38" s="64"/>
      <c r="EC38" s="66" t="str">
        <f t="array" aca="1" ref="EC38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"アレルギー")),"")</f>
        <v/>
      </c>
      <c r="ED38" s="69"/>
      <c r="EE38" s="49"/>
      <c r="EF38" s="59"/>
      <c r="EG38" s="66" t="str">
        <f t="array" aca="1" ref="EG38" ca="1">IF(EH33&lt;&gt;"",
IF(OR(INDIRECT("'盛付札（関数）'!FI"&amp;EF33)=121,INDIRECT("'盛付札（関数）'!FI"&amp;EF33)=122,INDIRECT("'盛付札（関数）'!FI"&amp;EF33)=123),"",
"パン箱"),"")</f>
        <v/>
      </c>
      <c r="EH38" s="64" t="str">
        <f t="array" aca="1" ref="EH38" ca="1">IF(EH33&lt;&gt;"",
IF(OR(INDIRECT("'盛付札（関数）'!FI"&amp;EF33)=121,INDIRECT("'盛付札（関数）'!FI"&amp;EF33)=122,INDIRECT("'盛付札（関数）'!FI"&amp;EF33)=123),"",
IF(EG34="△",
INDIRECT("'盛付札（関数）'!FP"&amp;EF33+1),INDIRECT("'盛付札（関数）'!FP"&amp;EF33))),"")</f>
        <v/>
      </c>
      <c r="EI38" s="66" t="str">
        <f t="array" aca="1" ref="EI38" ca="1">IF(EH33&lt;&gt;"",
IF(OR(INDIRECT("'盛付札（関数）'!FI"&amp;EF33)=121,INDIRECT("'盛付札（関数）'!FI"&amp;EF33)=122,INDIRECT("'盛付札（関数）'!FI"&amp;EF33)=123),"",
"端数"),"")</f>
        <v/>
      </c>
      <c r="EJ38" s="64"/>
      <c r="EK38" s="66" t="str">
        <f t="array" aca="1" ref="EK38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"アレルギー")),"")</f>
        <v/>
      </c>
      <c r="EL38" s="69"/>
      <c r="EM38" s="49"/>
      <c r="EN38" s="66" t="str">
        <f t="array" aca="1" ref="EN38" ca="1">IF(EO33&lt;&gt;"",
IF(OR(INDIRECT("'盛付札（関数）'!FI"&amp;EM33)=121,INDIRECT("'盛付札（関数）'!FI"&amp;EM33)=122,INDIRECT("'盛付札（関数）'!FI"&amp;EM33)=123),"",
"パン箱"),"")</f>
        <v/>
      </c>
      <c r="EO38" s="64" t="str">
        <f t="array" aca="1" ref="EO38" ca="1">IF(EO33&lt;&gt;"",
IF(OR(INDIRECT("'盛付札（関数）'!FI"&amp;EM33)=121,INDIRECT("'盛付札（関数）'!FI"&amp;EM33)=122,INDIRECT("'盛付札（関数）'!FI"&amp;EM33)=123),"",
IF(EN34="△",
INDIRECT("'盛付札（関数）'!FP"&amp;EM33+1),INDIRECT("'盛付札（関数）'!FP"&amp;EM33))),"")</f>
        <v/>
      </c>
      <c r="EP38" s="66" t="str">
        <f t="array" aca="1" ref="EP38" ca="1">IF(EO33&lt;&gt;"",
IF(OR(INDIRECT("'盛付札（関数）'!FI"&amp;EM33)=121,INDIRECT("'盛付札（関数）'!FI"&amp;EM33)=122,INDIRECT("'盛付札（関数）'!FI"&amp;EM33)=123),"",
"端数"),"")</f>
        <v/>
      </c>
      <c r="EQ38" s="64"/>
      <c r="ER38" s="66" t="str">
        <f t="array" aca="1" ref="ER38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"アレルギー")),"")</f>
        <v/>
      </c>
      <c r="ES38" s="69"/>
      <c r="ET38" s="49"/>
    </row>
    <row r="39" spans="1:150" ht="27.6" customHeight="1" x14ac:dyDescent="0.45">
      <c r="B39" s="196" t="str">
        <f ca="1">IF(C36&lt;&gt;"",
IFERROR(INT(C36/C38),""),"")</f>
        <v/>
      </c>
      <c r="C39" s="195"/>
      <c r="D39" s="196" t="str">
        <f ca="1">IFERROR(MOD(C36,C38),"")</f>
        <v/>
      </c>
      <c r="E39" s="195"/>
      <c r="F39" s="194" t="str">
        <f t="array" aca="1" ref="F39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IF(B34="●",
IFERROR(INDIRECT("'盛付札（関数）'!FS"&amp;A33)+INDIRECT("'盛付札（関数）'!FS"&amp;A33+1),0),
IF(B34="△",
INDIRECT("'盛付札（関数）'!FS"&amp;A33+1),INDIRECT("'盛付札（関数）'!FS"&amp;A33))))),"")</f>
        <v/>
      </c>
      <c r="G39" s="195"/>
      <c r="I39" s="196" t="str">
        <f ca="1">IF(J36&lt;&gt;"",
IFERROR(INT(J36/J38),""),"")</f>
        <v/>
      </c>
      <c r="J39" s="195"/>
      <c r="K39" s="196" t="str">
        <f ca="1">IFERROR(MOD(J36,J38),"")</f>
        <v/>
      </c>
      <c r="L39" s="195"/>
      <c r="M39" s="194" t="str">
        <f t="array" aca="1" ref="M39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IF(I34="●",
IFERROR(INDIRECT("'盛付札（関数）'!FS"&amp;H33)+INDIRECT("'盛付札（関数）'!FS"&amp;H33+1),0),
IF(I34="△",
INDIRECT("'盛付札（関数）'!FS"&amp;H33+1),INDIRECT("'盛付札（関数）'!FS"&amp;H33))))),"")</f>
        <v/>
      </c>
      <c r="N39" s="195"/>
      <c r="Q39" s="196" t="str">
        <f ca="1">IF(R36&lt;&gt;"",
IFERROR(INT(R36/R38),""),"")</f>
        <v/>
      </c>
      <c r="R39" s="195"/>
      <c r="S39" s="196" t="str">
        <f ca="1">IFERROR(MOD(R36,R38),"")</f>
        <v/>
      </c>
      <c r="T39" s="195"/>
      <c r="U39" s="194" t="str">
        <f t="array" aca="1" ref="U39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IF(Q34="●",
IFERROR(INDIRECT("'盛付札（関数）'!FS"&amp;P33)+INDIRECT("'盛付札（関数）'!FS"&amp;P33+1),0),
IF(Q34="△",
INDIRECT("'盛付札（関数）'!FS"&amp;P33+1),INDIRECT("'盛付札（関数）'!FS"&amp;P33))))),"")</f>
        <v/>
      </c>
      <c r="V39" s="195"/>
      <c r="X39" s="196" t="str">
        <f ca="1">IF(Y36&lt;&gt;"",
IFERROR(INT(Y36/Y38),""),"")</f>
        <v/>
      </c>
      <c r="Y39" s="195"/>
      <c r="Z39" s="196" t="str">
        <f ca="1">IFERROR(MOD(Y36,Y38),"")</f>
        <v/>
      </c>
      <c r="AA39" s="195"/>
      <c r="AB39" s="194" t="str">
        <f t="array" aca="1" ref="AB39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IF(X34="●",
IFERROR(INDIRECT("'盛付札（関数）'!FS"&amp;W33)+INDIRECT("'盛付札（関数）'!FS"&amp;W33+1),0),
IF(X34="△",
INDIRECT("'盛付札（関数）'!FS"&amp;W33+1),INDIRECT("'盛付札（関数）'!FS"&amp;W33))))),"")</f>
        <v/>
      </c>
      <c r="AC39" s="195"/>
      <c r="AF39" s="196" t="str">
        <f ca="1">IF(AG36&lt;&gt;"",
IFERROR(INT(AG36/AG38),""),"")</f>
        <v/>
      </c>
      <c r="AG39" s="195"/>
      <c r="AH39" s="196" t="str">
        <f ca="1">IFERROR(MOD(AG36,AG38),"")</f>
        <v/>
      </c>
      <c r="AI39" s="195"/>
      <c r="AJ39" s="194" t="str">
        <f t="array" aca="1" ref="AJ39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IF(AF34="●",
IFERROR(INDIRECT("'盛付札（関数）'!FS"&amp;AE33)+INDIRECT("'盛付札（関数）'!FS"&amp;AE33+1),0),
IF(AF34="△",
INDIRECT("'盛付札（関数）'!FS"&amp;AE33+1),INDIRECT("'盛付札（関数）'!FS"&amp;AE33))))),"")</f>
        <v/>
      </c>
      <c r="AK39" s="195"/>
      <c r="AM39" s="196" t="str">
        <f ca="1">IF(AN36&lt;&gt;"",
IFERROR(INT(AN36/AN38),""),"")</f>
        <v/>
      </c>
      <c r="AN39" s="195"/>
      <c r="AO39" s="196" t="str">
        <f ca="1">IFERROR(MOD(AN36,AN38),"")</f>
        <v/>
      </c>
      <c r="AP39" s="195"/>
      <c r="AQ39" s="194" t="str">
        <f t="array" aca="1" ref="AQ39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IF(AM34="●",
IFERROR(INDIRECT("'盛付札（関数）'!FS"&amp;AL33)+INDIRECT("'盛付札（関数）'!FS"&amp;AL33+1),0),
IF(AM34="△",
INDIRECT("'盛付札（関数）'!FS"&amp;AL33+1),INDIRECT("'盛付札（関数）'!FS"&amp;AL33))))),"")</f>
        <v/>
      </c>
      <c r="AR39" s="195"/>
      <c r="AU39" s="196" t="str">
        <f ca="1">IF(AV36&lt;&gt;"",
IFERROR(INT(AV36/AV38),""),"")</f>
        <v/>
      </c>
      <c r="AV39" s="195"/>
      <c r="AW39" s="196" t="str">
        <f ca="1">IFERROR(MOD(AV36,AV38),"")</f>
        <v/>
      </c>
      <c r="AX39" s="195"/>
      <c r="AY39" s="194" t="str">
        <f t="array" aca="1" ref="AY39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IF(AU34="●",
IFERROR(INDIRECT("'盛付札（関数）'!FS"&amp;AT33)+INDIRECT("'盛付札（関数）'!FS"&amp;AT33+1),0),
IF(AU34="△",
INDIRECT("'盛付札（関数）'!FS"&amp;AT33+1),INDIRECT("'盛付札（関数）'!FS"&amp;AT33))))),"")</f>
        <v/>
      </c>
      <c r="AZ39" s="195"/>
      <c r="BB39" s="196" t="str">
        <f ca="1">IF(BC36&lt;&gt;"",
IFERROR(INT(BC36/BC38),""),"")</f>
        <v/>
      </c>
      <c r="BC39" s="195"/>
      <c r="BD39" s="196" t="str">
        <f ca="1">IFERROR(MOD(BC36,BC38),"")</f>
        <v/>
      </c>
      <c r="BE39" s="195"/>
      <c r="BF39" s="194" t="str">
        <f t="array" aca="1" ref="BF39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IF(BB34="●",
IFERROR(INDIRECT("'盛付札（関数）'!FS"&amp;BA33)+INDIRECT("'盛付札（関数）'!FS"&amp;BA33+1),0),
IF(BB34="△",
INDIRECT("'盛付札（関数）'!FS"&amp;BA33+1),INDIRECT("'盛付札（関数）'!FS"&amp;BA33))))),"")</f>
        <v/>
      </c>
      <c r="BG39" s="195"/>
      <c r="BJ39" s="196" t="str">
        <f ca="1">IF(BK36&lt;&gt;"",
IFERROR(INT(BK36/BK38),""),"")</f>
        <v/>
      </c>
      <c r="BK39" s="195"/>
      <c r="BL39" s="196" t="str">
        <f ca="1">IFERROR(MOD(BK36,BK38),"")</f>
        <v/>
      </c>
      <c r="BM39" s="195"/>
      <c r="BN39" s="194" t="str">
        <f t="array" aca="1" ref="BN39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IF(BJ34="●",
IFERROR(INDIRECT("'盛付札（関数）'!FS"&amp;BI33)+INDIRECT("'盛付札（関数）'!FS"&amp;BI33+1),0),
IF(BJ34="△",
INDIRECT("'盛付札（関数）'!FS"&amp;BI33+1),INDIRECT("'盛付札（関数）'!FS"&amp;BI33))))),"")</f>
        <v/>
      </c>
      <c r="BO39" s="195"/>
      <c r="BQ39" s="196" t="str">
        <f ca="1">IF(BR36&lt;&gt;"",
IFERROR(INT(BR36/BR38),""),"")</f>
        <v/>
      </c>
      <c r="BR39" s="195"/>
      <c r="BS39" s="196" t="str">
        <f ca="1">IFERROR(MOD(BR36,BR38),"")</f>
        <v/>
      </c>
      <c r="BT39" s="195"/>
      <c r="BU39" s="194" t="str">
        <f t="array" aca="1" ref="BU39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IF(BQ34="●",
IFERROR(INDIRECT("'盛付札（関数）'!FS"&amp;BP33)+INDIRECT("'盛付札（関数）'!FS"&amp;BP33+1),0),
IF(BQ34="△",
INDIRECT("'盛付札（関数）'!FS"&amp;BP33+1),INDIRECT("'盛付札（関数）'!FS"&amp;BP33))))),"")</f>
        <v/>
      </c>
      <c r="BV39" s="195"/>
      <c r="BY39" s="196" t="str">
        <f ca="1">IF(BZ36&lt;&gt;"",
IFERROR(INT(BZ36/BZ38),""),"")</f>
        <v/>
      </c>
      <c r="BZ39" s="195"/>
      <c r="CA39" s="196" t="str">
        <f ca="1">IFERROR(MOD(BZ36,BZ38),"")</f>
        <v/>
      </c>
      <c r="CB39" s="195"/>
      <c r="CC39" s="194" t="str">
        <f t="array" aca="1" ref="CC39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IF(BY34="●",
IFERROR(INDIRECT("'盛付札（関数）'!FS"&amp;BX33)+INDIRECT("'盛付札（関数）'!FS"&amp;BX33+1),0),
IF(BY34="△",
INDIRECT("'盛付札（関数）'!FS"&amp;BX33+1),INDIRECT("'盛付札（関数）'!FS"&amp;BX33))))),"")</f>
        <v/>
      </c>
      <c r="CD39" s="195"/>
      <c r="CF39" s="196" t="str">
        <f ca="1">IF(CG36&lt;&gt;"",
IFERROR(INT(CG36/CG38),""),"")</f>
        <v/>
      </c>
      <c r="CG39" s="195"/>
      <c r="CH39" s="196" t="str">
        <f ca="1">IFERROR(MOD(CG36,CG38),"")</f>
        <v/>
      </c>
      <c r="CI39" s="195"/>
      <c r="CJ39" s="194" t="str">
        <f t="array" aca="1" ref="CJ39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IF(CF34="●",
IFERROR(INDIRECT("'盛付札（関数）'!FS"&amp;CE33)+INDIRECT("'盛付札（関数）'!FS"&amp;CE33+1),0),
IF(CF34="△",
INDIRECT("'盛付札（関数）'!FS"&amp;CE33+1),INDIRECT("'盛付札（関数）'!FS"&amp;CE33))))),"")</f>
        <v/>
      </c>
      <c r="CK39" s="195"/>
      <c r="CN39" s="196" t="str">
        <f ca="1">IF(CO36&lt;&gt;"",
IFERROR(INT(CO36/CO38),""),"")</f>
        <v/>
      </c>
      <c r="CO39" s="195"/>
      <c r="CP39" s="196" t="str">
        <f ca="1">IFERROR(MOD(CO36,CO38),"")</f>
        <v/>
      </c>
      <c r="CQ39" s="195"/>
      <c r="CR39" s="194" t="str">
        <f t="array" aca="1" ref="CR39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IF(CN34="●",
IFERROR(INDIRECT("'盛付札（関数）'!FS"&amp;CM33)+INDIRECT("'盛付札（関数）'!FS"&amp;CM33+1),0),
IF(CN34="△",
INDIRECT("'盛付札（関数）'!FS"&amp;CM33+1),INDIRECT("'盛付札（関数）'!FS"&amp;CM33))))),"")</f>
        <v/>
      </c>
      <c r="CS39" s="195"/>
      <c r="CU39" s="196" t="str">
        <f ca="1">IF(CV36&lt;&gt;"",
IFERROR(INT(CV36/CV38),""),"")</f>
        <v/>
      </c>
      <c r="CV39" s="195"/>
      <c r="CW39" s="196" t="str">
        <f ca="1">IFERROR(MOD(CV36,CV38),"")</f>
        <v/>
      </c>
      <c r="CX39" s="195"/>
      <c r="CY39" s="194" t="str">
        <f t="array" aca="1" ref="CY39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IF(CU34="●",
IFERROR(INDIRECT("'盛付札（関数）'!FS"&amp;CT33)+INDIRECT("'盛付札（関数）'!FS"&amp;CT33+1),0),
IF(CU34="△",
INDIRECT("'盛付札（関数）'!FS"&amp;CT33+1),INDIRECT("'盛付札（関数）'!FS"&amp;CT33))))),"")</f>
        <v/>
      </c>
      <c r="CZ39" s="195"/>
      <c r="DC39" s="196" t="str">
        <f ca="1">IF(DD36&lt;&gt;"",
IFERROR(INT(DD36/DD38),""),"")</f>
        <v/>
      </c>
      <c r="DD39" s="195"/>
      <c r="DE39" s="196" t="str">
        <f ca="1">IFERROR(MOD(DD36,DD38),"")</f>
        <v/>
      </c>
      <c r="DF39" s="195"/>
      <c r="DG39" s="194" t="str">
        <f t="array" aca="1" ref="DG39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IF(DC34="●",
IFERROR(INDIRECT("'盛付札（関数）'!FS"&amp;DB33)+INDIRECT("'盛付札（関数）'!FS"&amp;DB33+1),0),
IF(DC34="△",
INDIRECT("'盛付札（関数）'!FS"&amp;DB33+1),INDIRECT("'盛付札（関数）'!FS"&amp;DB33))))),"")</f>
        <v/>
      </c>
      <c r="DH39" s="195"/>
      <c r="DJ39" s="196" t="str">
        <f ca="1">IF(DK36&lt;&gt;"",
IFERROR(INT(DK36/DK38),""),"")</f>
        <v/>
      </c>
      <c r="DK39" s="195"/>
      <c r="DL39" s="196" t="str">
        <f ca="1">IFERROR(MOD(DK36,DK38),"")</f>
        <v/>
      </c>
      <c r="DM39" s="195"/>
      <c r="DN39" s="194" t="str">
        <f t="array" aca="1" ref="DN39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IF(DJ34="●",
IFERROR(INDIRECT("'盛付札（関数）'!FS"&amp;DI33)+INDIRECT("'盛付札（関数）'!FS"&amp;DI33+1),0),
IF(DJ34="△",
INDIRECT("'盛付札（関数）'!FS"&amp;DI33+1),INDIRECT("'盛付札（関数）'!FS"&amp;DI33))))),"")</f>
        <v/>
      </c>
      <c r="DO39" s="195"/>
      <c r="DR39" s="196" t="str">
        <f ca="1">IF(DS36&lt;&gt;"",
IFERROR(INT(DS36/DS38),""),"")</f>
        <v/>
      </c>
      <c r="DS39" s="195"/>
      <c r="DT39" s="196" t="str">
        <f ca="1">IFERROR(MOD(DS36,DS38),"")</f>
        <v/>
      </c>
      <c r="DU39" s="195"/>
      <c r="DV39" s="194" t="str">
        <f t="array" aca="1" ref="DV39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IF(DR34="●",
IFERROR(INDIRECT("'盛付札（関数）'!FS"&amp;DQ33)+INDIRECT("'盛付札（関数）'!FS"&amp;DQ33+1),0),
IF(DR34="△",
INDIRECT("'盛付札（関数）'!FS"&amp;DQ33+1),INDIRECT("'盛付札（関数）'!FS"&amp;DQ33))))),"")</f>
        <v/>
      </c>
      <c r="DW39" s="195"/>
      <c r="DY39" s="196" t="str">
        <f ca="1">IF(DZ36&lt;&gt;"",
IFERROR(INT(DZ36/DZ38),""),"")</f>
        <v/>
      </c>
      <c r="DZ39" s="195"/>
      <c r="EA39" s="196" t="str">
        <f ca="1">IFERROR(MOD(DZ36,DZ38),"")</f>
        <v/>
      </c>
      <c r="EB39" s="195"/>
      <c r="EC39" s="194" t="str">
        <f t="array" aca="1" ref="EC39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IF(DY34="●",
IFERROR(INDIRECT("'盛付札（関数）'!FS"&amp;DX33)+INDIRECT("'盛付札（関数）'!FS"&amp;DX33+1),0),
IF(DY34="△",
INDIRECT("'盛付札（関数）'!FS"&amp;DX33+1),INDIRECT("'盛付札（関数）'!FS"&amp;DX33))))),"")</f>
        <v/>
      </c>
      <c r="ED39" s="195"/>
      <c r="EG39" s="196" t="str">
        <f ca="1">IF(EH36&lt;&gt;"",
IFERROR(INT(EH36/EH38),""),"")</f>
        <v/>
      </c>
      <c r="EH39" s="195"/>
      <c r="EI39" s="196" t="str">
        <f ca="1">IFERROR(MOD(EH36,EH38),"")</f>
        <v/>
      </c>
      <c r="EJ39" s="195"/>
      <c r="EK39" s="194" t="str">
        <f t="array" aca="1" ref="EK39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IF(EG34="●",
IFERROR(INDIRECT("'盛付札（関数）'!FS"&amp;EF33)+INDIRECT("'盛付札（関数）'!FS"&amp;EF33+1),0),
IF(EG34="△",
INDIRECT("'盛付札（関数）'!FS"&amp;EF33+1),INDIRECT("'盛付札（関数）'!FS"&amp;EF33))))),"")</f>
        <v/>
      </c>
      <c r="EL39" s="195"/>
      <c r="EN39" s="196" t="str">
        <f ca="1">IF(EO36&lt;&gt;"",
IFERROR(INT(EO36/EO38),""),"")</f>
        <v/>
      </c>
      <c r="EO39" s="195"/>
      <c r="EP39" s="196" t="str">
        <f ca="1">IFERROR(MOD(EO36,EO38),"")</f>
        <v/>
      </c>
      <c r="EQ39" s="195"/>
      <c r="ER39" s="194" t="str">
        <f t="array" aca="1" ref="ER39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IF(EN34="●",
IFERROR(INDIRECT("'盛付札（関数）'!FS"&amp;EM33)+INDIRECT("'盛付札（関数）'!FS"&amp;EM33+1),0),
IF(EN34="△",
INDIRECT("'盛付札（関数）'!FS"&amp;EM33+1),INDIRECT("'盛付札（関数）'!FS"&amp;EM33))))),"")</f>
        <v/>
      </c>
      <c r="ES39" s="195"/>
    </row>
    <row r="40" spans="1:150" ht="6.6" customHeight="1" x14ac:dyDescent="0.55000000000000004">
      <c r="B40" s="74"/>
      <c r="D40" s="74"/>
      <c r="F40" s="75"/>
      <c r="I40" s="74"/>
      <c r="K40" s="74"/>
      <c r="M40" s="75"/>
      <c r="Q40" s="74"/>
      <c r="S40" s="74"/>
      <c r="U40" s="75"/>
      <c r="X40" s="74"/>
      <c r="Z40" s="74"/>
      <c r="AB40" s="75"/>
      <c r="AF40" s="74"/>
      <c r="AH40" s="74"/>
      <c r="AJ40" s="75"/>
      <c r="AM40" s="74"/>
      <c r="AO40" s="74"/>
      <c r="AQ40" s="75"/>
      <c r="AU40" s="74"/>
      <c r="AW40" s="74"/>
      <c r="AY40" s="75"/>
      <c r="BB40" s="74"/>
      <c r="BD40" s="74"/>
      <c r="BF40" s="75"/>
      <c r="BJ40" s="74"/>
      <c r="BL40" s="74"/>
      <c r="BN40" s="75"/>
      <c r="BQ40" s="74"/>
      <c r="BS40" s="74"/>
      <c r="BU40" s="75"/>
      <c r="BY40" s="74"/>
      <c r="CA40" s="74"/>
      <c r="CC40" s="75"/>
      <c r="CF40" s="74"/>
      <c r="CH40" s="74"/>
      <c r="CJ40" s="75"/>
      <c r="CN40" s="74"/>
      <c r="CP40" s="74"/>
      <c r="CR40" s="75"/>
      <c r="CU40" s="74"/>
      <c r="CW40" s="74"/>
      <c r="CY40" s="75"/>
      <c r="DC40" s="74"/>
      <c r="DE40" s="74"/>
      <c r="DG40" s="75"/>
      <c r="DJ40" s="74"/>
      <c r="DL40" s="74"/>
      <c r="DN40" s="75"/>
      <c r="DR40" s="74"/>
      <c r="DT40" s="74"/>
      <c r="DV40" s="75"/>
      <c r="DY40" s="74"/>
      <c r="EA40" s="74"/>
      <c r="EC40" s="75"/>
      <c r="EG40" s="74"/>
      <c r="EI40" s="74"/>
      <c r="EK40" s="75"/>
      <c r="EN40" s="74"/>
      <c r="EP40" s="74"/>
      <c r="ER40" s="75"/>
    </row>
    <row r="41" spans="1:150" s="60" customFormat="1" ht="25.8" customHeight="1" x14ac:dyDescent="0.55000000000000004">
      <c r="A41" s="59">
        <f ca="1">IF(OR(I34="●",I34="△"),
H33+2,H33+1)</f>
        <v>11</v>
      </c>
      <c r="B41" s="72" t="str">
        <f ca="1">IF(C41&lt;&gt;"",
MID(貼り付け用!$A$2, FIND("年",貼り付け用!$A$2)+1,2)&amp;"/"&amp;MID(貼り付け用!$A$2, FIND("月",貼り付け用!$A$2)+1,2),"")</f>
        <v/>
      </c>
      <c r="C41" s="202" t="str">
        <f t="array" aca="1" ref="C41" ca="1">SUBSTITUTE(SUBSTITUTE(SUBSTITUTE(SUBSTITUTE(SUBSTITUTE(SUBSTITUTE(SUBSTITUTE(SUBSTITUTE(SUBSTITUTE(SUBSTITUTE(
IF(B42="△",
INDIRECT("'盛付札（関数）'!FJ"&amp;A41+1),INDIRECT("'盛付札（関数）'!FJ"&amp;A41)),"①",""),"②",""),"③",""),"④",""),"⑤",""),"⑥",""),"⑦",""),"⑧",""),"⑨",""),"⑩","")</f>
        <v/>
      </c>
      <c r="D41" s="203"/>
      <c r="E41" s="203"/>
      <c r="F41" s="203"/>
      <c r="G41" s="71" t="str">
        <f t="array" aca="1" ref="G41" ca="1">IF(C41&lt;&gt;"",
IF(AND(INDIRECT("'盛付札（関数）'!FI"&amp;A41)&gt;=124,INDIRECT("'盛付札（関数）'!FI"&amp;A41)&lt;=144),"",
"様"),"")</f>
        <v/>
      </c>
      <c r="H41" s="65">
        <f ca="1">IF(OR(B42="●",B42="△"),
A41+2,A41+1)</f>
        <v>12</v>
      </c>
      <c r="I41" s="72" t="str">
        <f ca="1">IF(J41&lt;&gt;"",
MID(貼り付け用!$A$2, FIND("年",貼り付け用!$A$2)+1,2)&amp;"/"&amp;MID(貼り付け用!$A$2, FIND("月",貼り付け用!$A$2)+1,2),"")</f>
        <v/>
      </c>
      <c r="J41" s="202" t="str">
        <f t="array" aca="1" ref="J41" ca="1">SUBSTITUTE(SUBSTITUTE(SUBSTITUTE(SUBSTITUTE(SUBSTITUTE(SUBSTITUTE(SUBSTITUTE(SUBSTITUTE(SUBSTITUTE(SUBSTITUTE(
IF(I42="△",
INDIRECT("'盛付札（関数）'!FJ"&amp;H41+1),INDIRECT("'盛付札（関数）'!FJ"&amp;H41)),"①",""),"②",""),"③",""),"④",""),"⑤",""),"⑥",""),"⑦",""),"⑧",""),"⑨",""),"⑩","")</f>
        <v/>
      </c>
      <c r="K41" s="203"/>
      <c r="L41" s="203"/>
      <c r="M41" s="203"/>
      <c r="N41" s="71" t="str">
        <f t="array" aca="1" ref="N41" ca="1">IF(J41&lt;&gt;"",
IF(AND(INDIRECT("'盛付札（関数）'!FI"&amp;H41)&gt;=124,INDIRECT("'盛付札（関数）'!FI"&amp;H41)&lt;=144),"",
"様"),"")</f>
        <v/>
      </c>
      <c r="O41" s="49"/>
      <c r="P41" s="59">
        <f ca="1">IF(OR(X34="●",X34="△"),
W33+2,W33+1)</f>
        <v>23</v>
      </c>
      <c r="Q41" s="72" t="str">
        <f ca="1">IF(R41&lt;&gt;"",
MID(貼り付け用!$A$2, FIND("年",貼り付け用!$A$2)+1,2)&amp;"/"&amp;MID(貼り付け用!$A$2, FIND("月",貼り付け用!$A$2)+1,2),"")</f>
        <v/>
      </c>
      <c r="R41" s="202" t="str">
        <f t="array" aca="1" ref="R41" ca="1">SUBSTITUTE(SUBSTITUTE(SUBSTITUTE(SUBSTITUTE(SUBSTITUTE(SUBSTITUTE(SUBSTITUTE(SUBSTITUTE(SUBSTITUTE(SUBSTITUTE(
IF(Q42="△",
INDIRECT("'盛付札（関数）'!FJ"&amp;P41+1),INDIRECT("'盛付札（関数）'!FJ"&amp;P41)),"①",""),"②",""),"③",""),"④",""),"⑤",""),"⑥",""),"⑦",""),"⑧",""),"⑨",""),"⑩","")</f>
        <v/>
      </c>
      <c r="S41" s="203"/>
      <c r="T41" s="203"/>
      <c r="U41" s="203"/>
      <c r="V41" s="71" t="str">
        <f t="array" aca="1" ref="V41" ca="1">IF(R41&lt;&gt;"",
IF(AND(INDIRECT("'盛付札（関数）'!FI"&amp;P41)&gt;=124,INDIRECT("'盛付札（関数）'!FI"&amp;P41)&lt;=144),"",
"様"),"")</f>
        <v/>
      </c>
      <c r="W41" s="65">
        <f ca="1">IF(OR(Q42="●",Q42="△"),
P41+2,P41+1)</f>
        <v>24</v>
      </c>
      <c r="X41" s="72" t="str">
        <f ca="1">IF(Y41&lt;&gt;"",
MID(貼り付け用!$A$2, FIND("年",貼り付け用!$A$2)+1,2)&amp;"/"&amp;MID(貼り付け用!$A$2, FIND("月",貼り付け用!$A$2)+1,2),"")</f>
        <v/>
      </c>
      <c r="Y41" s="202" t="str">
        <f t="array" aca="1" ref="Y41" ca="1">SUBSTITUTE(SUBSTITUTE(SUBSTITUTE(SUBSTITUTE(SUBSTITUTE(SUBSTITUTE(SUBSTITUTE(SUBSTITUTE(SUBSTITUTE(SUBSTITUTE(
IF(X42="△",
INDIRECT("'盛付札（関数）'!FJ"&amp;W41+1),INDIRECT("'盛付札（関数）'!FJ"&amp;W41)),"①",""),"②",""),"③",""),"④",""),"⑤",""),"⑥",""),"⑦",""),"⑧",""),"⑨",""),"⑩","")</f>
        <v/>
      </c>
      <c r="Z41" s="203"/>
      <c r="AA41" s="203"/>
      <c r="AB41" s="203"/>
      <c r="AC41" s="71" t="str">
        <f t="array" aca="1" ref="AC41" ca="1">IF(Y41&lt;&gt;"",
IF(AND(INDIRECT("'盛付札（関数）'!FI"&amp;W41)&gt;=124,INDIRECT("'盛付札（関数）'!FI"&amp;W41)&lt;=144),"",
"様"),"")</f>
        <v/>
      </c>
      <c r="AD41" s="49"/>
      <c r="AE41" s="59">
        <f ca="1">IF(OR(AM34="●",AM34="△"),
AL33+2,AL33+1)</f>
        <v>35</v>
      </c>
      <c r="AF41" s="72" t="str">
        <f ca="1">IF(AG41&lt;&gt;"",
MID(貼り付け用!$A$2, FIND("年",貼り付け用!$A$2)+1,2)&amp;"/"&amp;MID(貼り付け用!$A$2, FIND("月",貼り付け用!$A$2)+1,2),"")</f>
        <v/>
      </c>
      <c r="AG41" s="202" t="str">
        <f t="array" aca="1" ref="AG41" ca="1">SUBSTITUTE(SUBSTITUTE(SUBSTITUTE(SUBSTITUTE(SUBSTITUTE(SUBSTITUTE(SUBSTITUTE(SUBSTITUTE(SUBSTITUTE(SUBSTITUTE(
IF(AF42="△",
INDIRECT("'盛付札（関数）'!FJ"&amp;AE41+1),INDIRECT("'盛付札（関数）'!FJ"&amp;AE41)),"①",""),"②",""),"③",""),"④",""),"⑤",""),"⑥",""),"⑦",""),"⑧",""),"⑨",""),"⑩","")</f>
        <v/>
      </c>
      <c r="AH41" s="203"/>
      <c r="AI41" s="203"/>
      <c r="AJ41" s="203"/>
      <c r="AK41" s="71" t="str">
        <f t="array" aca="1" ref="AK41" ca="1">IF(AG41&lt;&gt;"",
IF(AND(INDIRECT("'盛付札（関数）'!FI"&amp;AE41)&gt;=124,INDIRECT("'盛付札（関数）'!FI"&amp;AE41)&lt;=144),"",
"様"),"")</f>
        <v/>
      </c>
      <c r="AL41" s="65">
        <f ca="1">IF(OR(AF42="●",AF42="△"),
AE41+2,AE41+1)</f>
        <v>36</v>
      </c>
      <c r="AM41" s="72" t="str">
        <f ca="1">IF(AN41&lt;&gt;"",
MID(貼り付け用!$A$2, FIND("年",貼り付け用!$A$2)+1,2)&amp;"/"&amp;MID(貼り付け用!$A$2, FIND("月",貼り付け用!$A$2)+1,2),"")</f>
        <v/>
      </c>
      <c r="AN41" s="202" t="str">
        <f t="array" aca="1" ref="AN41" ca="1">SUBSTITUTE(SUBSTITUTE(SUBSTITUTE(SUBSTITUTE(SUBSTITUTE(SUBSTITUTE(SUBSTITUTE(SUBSTITUTE(SUBSTITUTE(SUBSTITUTE(
IF(AM42="△",
INDIRECT("'盛付札（関数）'!FJ"&amp;AL41+1),INDIRECT("'盛付札（関数）'!FJ"&amp;AL41)),"①",""),"②",""),"③",""),"④",""),"⑤",""),"⑥",""),"⑦",""),"⑧",""),"⑨",""),"⑩","")</f>
        <v/>
      </c>
      <c r="AO41" s="203"/>
      <c r="AP41" s="203"/>
      <c r="AQ41" s="203"/>
      <c r="AR41" s="71" t="str">
        <f t="array" aca="1" ref="AR41" ca="1">IF(AN41&lt;&gt;"",
IF(AND(INDIRECT("'盛付札（関数）'!FI"&amp;AL41)&gt;=124,INDIRECT("'盛付札（関数）'!FI"&amp;AL41)&lt;=144),"",
"様"),"")</f>
        <v/>
      </c>
      <c r="AS41" s="49"/>
      <c r="AT41" s="59">
        <f ca="1">IF(OR(BB34="●",BB34="△"),
BA33+2,BA33+1)</f>
        <v>47</v>
      </c>
      <c r="AU41" s="72" t="str">
        <f ca="1">IF(AV41&lt;&gt;"",
MID(貼り付け用!$A$2, FIND("年",貼り付け用!$A$2)+1,2)&amp;"/"&amp;MID(貼り付け用!$A$2, FIND("月",貼り付け用!$A$2)+1,2),"")</f>
        <v/>
      </c>
      <c r="AV41" s="202" t="str">
        <f t="array" aca="1" ref="AV41" ca="1">SUBSTITUTE(SUBSTITUTE(SUBSTITUTE(SUBSTITUTE(SUBSTITUTE(SUBSTITUTE(SUBSTITUTE(SUBSTITUTE(SUBSTITUTE(SUBSTITUTE(
IF(AU42="△",
INDIRECT("'盛付札（関数）'!FJ"&amp;AT41+1),INDIRECT("'盛付札（関数）'!FJ"&amp;AT41)),"①",""),"②",""),"③",""),"④",""),"⑤",""),"⑥",""),"⑦",""),"⑧",""),"⑨",""),"⑩","")</f>
        <v/>
      </c>
      <c r="AW41" s="203"/>
      <c r="AX41" s="203"/>
      <c r="AY41" s="203"/>
      <c r="AZ41" s="71" t="str">
        <f t="array" aca="1" ref="AZ41" ca="1">IF(AV41&lt;&gt;"",
IF(AND(INDIRECT("'盛付札（関数）'!FI"&amp;AT41)&gt;=124,INDIRECT("'盛付札（関数）'!FI"&amp;AT41)&lt;=144),"",
"様"),"")</f>
        <v/>
      </c>
      <c r="BA41" s="65">
        <f ca="1">IF(OR(AU42="●",AU42="△"),
AT41+2,AT41+1)</f>
        <v>48</v>
      </c>
      <c r="BB41" s="72" t="str">
        <f ca="1">IF(BC41&lt;&gt;"",
MID(貼り付け用!$A$2, FIND("年",貼り付け用!$A$2)+1,2)&amp;"/"&amp;MID(貼り付け用!$A$2, FIND("月",貼り付け用!$A$2)+1,2),"")</f>
        <v/>
      </c>
      <c r="BC41" s="202" t="str">
        <f t="array" aca="1" ref="BC41" ca="1">SUBSTITUTE(SUBSTITUTE(SUBSTITUTE(SUBSTITUTE(SUBSTITUTE(SUBSTITUTE(SUBSTITUTE(SUBSTITUTE(SUBSTITUTE(SUBSTITUTE(
IF(BB42="△",
INDIRECT("'盛付札（関数）'!FJ"&amp;BA41+1),INDIRECT("'盛付札（関数）'!FJ"&amp;BA41)),"①",""),"②",""),"③",""),"④",""),"⑤",""),"⑥",""),"⑦",""),"⑧",""),"⑨",""),"⑩","")</f>
        <v/>
      </c>
      <c r="BD41" s="203"/>
      <c r="BE41" s="203"/>
      <c r="BF41" s="203"/>
      <c r="BG41" s="71" t="str">
        <f t="array" aca="1" ref="BG41" ca="1">IF(BC41&lt;&gt;"",
IF(AND(INDIRECT("'盛付札（関数）'!FI"&amp;BA41)&gt;=124,INDIRECT("'盛付札（関数）'!FI"&amp;BA41)&lt;=144),"",
"様"),"")</f>
        <v/>
      </c>
      <c r="BH41" s="49"/>
      <c r="BI41" s="59">
        <f ca="1">IF(OR(BQ34="●",BQ34="△"),
BP33+2,BP33+1)</f>
        <v>59</v>
      </c>
      <c r="BJ41" s="72" t="str">
        <f ca="1">IF(BK41&lt;&gt;"",
MID(貼り付け用!$A$2, FIND("年",貼り付け用!$A$2)+1,2)&amp;"/"&amp;MID(貼り付け用!$A$2, FIND("月",貼り付け用!$A$2)+1,2),"")</f>
        <v/>
      </c>
      <c r="BK41" s="202" t="str">
        <f t="array" aca="1" ref="BK41" ca="1">SUBSTITUTE(SUBSTITUTE(SUBSTITUTE(SUBSTITUTE(SUBSTITUTE(SUBSTITUTE(SUBSTITUTE(SUBSTITUTE(SUBSTITUTE(SUBSTITUTE(
IF(BJ42="△",
INDIRECT("'盛付札（関数）'!FJ"&amp;BI41+1),INDIRECT("'盛付札（関数）'!FJ"&amp;BI41)),"①",""),"②",""),"③",""),"④",""),"⑤",""),"⑥",""),"⑦",""),"⑧",""),"⑨",""),"⑩","")</f>
        <v/>
      </c>
      <c r="BL41" s="203"/>
      <c r="BM41" s="203"/>
      <c r="BN41" s="203"/>
      <c r="BO41" s="71" t="str">
        <f t="array" aca="1" ref="BO41" ca="1">IF(BK41&lt;&gt;"",
IF(AND(INDIRECT("'盛付札（関数）'!FI"&amp;BI41)&gt;=124,INDIRECT("'盛付札（関数）'!FI"&amp;BI41)&lt;=144),"",
"様"),"")</f>
        <v/>
      </c>
      <c r="BP41" s="65">
        <f ca="1">IF(OR(BJ42="●",BJ42="△"),
BI41+2,BI41+1)</f>
        <v>60</v>
      </c>
      <c r="BQ41" s="72" t="str">
        <f ca="1">IF(BR41&lt;&gt;"",
MID(貼り付け用!$A$2, FIND("年",貼り付け用!$A$2)+1,2)&amp;"/"&amp;MID(貼り付け用!$A$2, FIND("月",貼り付け用!$A$2)+1,2),"")</f>
        <v/>
      </c>
      <c r="BR41" s="202" t="str">
        <f t="array" aca="1" ref="BR41" ca="1">SUBSTITUTE(SUBSTITUTE(SUBSTITUTE(SUBSTITUTE(SUBSTITUTE(SUBSTITUTE(SUBSTITUTE(SUBSTITUTE(SUBSTITUTE(SUBSTITUTE(
IF(BQ42="△",
INDIRECT("'盛付札（関数）'!FJ"&amp;BP41+1),INDIRECT("'盛付札（関数）'!FJ"&amp;BP41)),"①",""),"②",""),"③",""),"④",""),"⑤",""),"⑥",""),"⑦",""),"⑧",""),"⑨",""),"⑩","")</f>
        <v/>
      </c>
      <c r="BS41" s="203"/>
      <c r="BT41" s="203"/>
      <c r="BU41" s="203"/>
      <c r="BV41" s="71" t="str">
        <f t="array" aca="1" ref="BV41" ca="1">IF(BR41&lt;&gt;"",
IF(AND(INDIRECT("'盛付札（関数）'!FI"&amp;BP41)&gt;=124,INDIRECT("'盛付札（関数）'!FI"&amp;BP41)&lt;=144),"",
"様"),"")</f>
        <v/>
      </c>
      <c r="BW41" s="49"/>
      <c r="BX41" s="59">
        <f ca="1">IF(OR(CF34="●",CF34="△"),
CE33+2,CE33+1)</f>
        <v>71</v>
      </c>
      <c r="BY41" s="72" t="str">
        <f ca="1">IF(BZ41&lt;&gt;"",
MID(貼り付け用!$A$2, FIND("年",貼り付け用!$A$2)+1,2)&amp;"/"&amp;MID(貼り付け用!$A$2, FIND("月",貼り付け用!$A$2)+1,2),"")</f>
        <v/>
      </c>
      <c r="BZ41" s="202" t="str">
        <f t="array" aca="1" ref="BZ41" ca="1">SUBSTITUTE(SUBSTITUTE(SUBSTITUTE(SUBSTITUTE(SUBSTITUTE(SUBSTITUTE(SUBSTITUTE(SUBSTITUTE(SUBSTITUTE(SUBSTITUTE(
IF(BY42="△",
INDIRECT("'盛付札（関数）'!FJ"&amp;BX41+1),INDIRECT("'盛付札（関数）'!FJ"&amp;BX41)),"①",""),"②",""),"③",""),"④",""),"⑤",""),"⑥",""),"⑦",""),"⑧",""),"⑨",""),"⑩","")</f>
        <v/>
      </c>
      <c r="CA41" s="203"/>
      <c r="CB41" s="203"/>
      <c r="CC41" s="203"/>
      <c r="CD41" s="71" t="str">
        <f t="array" aca="1" ref="CD41" ca="1">IF(BZ41&lt;&gt;"",
IF(AND(INDIRECT("'盛付札（関数）'!FI"&amp;BX41)&gt;=124,INDIRECT("'盛付札（関数）'!FI"&amp;BX41)&lt;=144),"",
"様"),"")</f>
        <v/>
      </c>
      <c r="CE41" s="65">
        <f ca="1">IF(OR(BY42="●",BY42="△"),
BX41+2,BX41+1)</f>
        <v>72</v>
      </c>
      <c r="CF41" s="72" t="str">
        <f ca="1">IF(CG41&lt;&gt;"",
MID(貼り付け用!$A$2, FIND("年",貼り付け用!$A$2)+1,2)&amp;"/"&amp;MID(貼り付け用!$A$2, FIND("月",貼り付け用!$A$2)+1,2),"")</f>
        <v/>
      </c>
      <c r="CG41" s="202" t="str">
        <f t="array" aca="1" ref="CG41" ca="1">SUBSTITUTE(SUBSTITUTE(SUBSTITUTE(SUBSTITUTE(SUBSTITUTE(SUBSTITUTE(SUBSTITUTE(SUBSTITUTE(SUBSTITUTE(SUBSTITUTE(
IF(CF42="△",
INDIRECT("'盛付札（関数）'!FJ"&amp;CE41+1),INDIRECT("'盛付札（関数）'!FJ"&amp;CE41)),"①",""),"②",""),"③",""),"④",""),"⑤",""),"⑥",""),"⑦",""),"⑧",""),"⑨",""),"⑩","")</f>
        <v/>
      </c>
      <c r="CH41" s="203"/>
      <c r="CI41" s="203"/>
      <c r="CJ41" s="203"/>
      <c r="CK41" s="71" t="str">
        <f t="array" aca="1" ref="CK41" ca="1">IF(CG41&lt;&gt;"",
IF(AND(INDIRECT("'盛付札（関数）'!FI"&amp;CE41)&gt;=124,INDIRECT("'盛付札（関数）'!FI"&amp;CE41)&lt;=144),"",
"様"),"")</f>
        <v/>
      </c>
      <c r="CL41" s="49"/>
      <c r="CM41" s="59">
        <f ca="1">IF(OR(CU34="●",CU34="△"),
CT33+2,CT33+1)</f>
        <v>83</v>
      </c>
      <c r="CN41" s="72" t="str">
        <f ca="1">IF(CO41&lt;&gt;"",
MID(貼り付け用!$A$2, FIND("年",貼り付け用!$A$2)+1,2)&amp;"/"&amp;MID(貼り付け用!$A$2, FIND("月",貼り付け用!$A$2)+1,2),"")</f>
        <v/>
      </c>
      <c r="CO41" s="202" t="str">
        <f t="array" aca="1" ref="CO41" ca="1">SUBSTITUTE(SUBSTITUTE(SUBSTITUTE(SUBSTITUTE(SUBSTITUTE(SUBSTITUTE(SUBSTITUTE(SUBSTITUTE(SUBSTITUTE(SUBSTITUTE(
IF(CN42="△",
INDIRECT("'盛付札（関数）'!FJ"&amp;CM41+1),INDIRECT("'盛付札（関数）'!FJ"&amp;CM41)),"①",""),"②",""),"③",""),"④",""),"⑤",""),"⑥",""),"⑦",""),"⑧",""),"⑨",""),"⑩","")</f>
        <v/>
      </c>
      <c r="CP41" s="203"/>
      <c r="CQ41" s="203"/>
      <c r="CR41" s="203"/>
      <c r="CS41" s="71" t="str">
        <f t="array" aca="1" ref="CS41" ca="1">IF(CO41&lt;&gt;"",
IF(AND(INDIRECT("'盛付札（関数）'!FI"&amp;CM41)&gt;=124,INDIRECT("'盛付札（関数）'!FI"&amp;CM41)&lt;=144),"",
"様"),"")</f>
        <v/>
      </c>
      <c r="CT41" s="65">
        <f ca="1">IF(OR(CN42="●",CN42="△"),
CM41+2,CM41+1)</f>
        <v>84</v>
      </c>
      <c r="CU41" s="72" t="str">
        <f ca="1">IF(CV41&lt;&gt;"",
MID(貼り付け用!$A$2, FIND("年",貼り付け用!$A$2)+1,2)&amp;"/"&amp;MID(貼り付け用!$A$2, FIND("月",貼り付け用!$A$2)+1,2),"")</f>
        <v/>
      </c>
      <c r="CV41" s="202" t="str">
        <f t="array" aca="1" ref="CV41" ca="1">SUBSTITUTE(SUBSTITUTE(SUBSTITUTE(SUBSTITUTE(SUBSTITUTE(SUBSTITUTE(SUBSTITUTE(SUBSTITUTE(SUBSTITUTE(SUBSTITUTE(
IF(CU42="△",
INDIRECT("'盛付札（関数）'!FJ"&amp;CT41+1),INDIRECT("'盛付札（関数）'!FJ"&amp;CT41)),"①",""),"②",""),"③",""),"④",""),"⑤",""),"⑥",""),"⑦",""),"⑧",""),"⑨",""),"⑩","")</f>
        <v/>
      </c>
      <c r="CW41" s="203"/>
      <c r="CX41" s="203"/>
      <c r="CY41" s="203"/>
      <c r="CZ41" s="71" t="str">
        <f t="array" aca="1" ref="CZ41" ca="1">IF(CV41&lt;&gt;"",
IF(AND(INDIRECT("'盛付札（関数）'!FI"&amp;CT41)&gt;=124,INDIRECT("'盛付札（関数）'!FI"&amp;CT41)&lt;=144),"",
"様"),"")</f>
        <v/>
      </c>
      <c r="DA41" s="49"/>
      <c r="DB41" s="59">
        <f ca="1">IF(OR(DJ34="●",DJ34="△"),
DI33+2,DI33+1)</f>
        <v>95</v>
      </c>
      <c r="DC41" s="72" t="str">
        <f ca="1">IF(DD41&lt;&gt;"",
MID(貼り付け用!$A$2, FIND("年",貼り付け用!$A$2)+1,2)&amp;"/"&amp;MID(貼り付け用!$A$2, FIND("月",貼り付け用!$A$2)+1,2),"")</f>
        <v/>
      </c>
      <c r="DD41" s="202" t="str">
        <f t="array" aca="1" ref="DD41" ca="1">SUBSTITUTE(SUBSTITUTE(SUBSTITUTE(SUBSTITUTE(SUBSTITUTE(SUBSTITUTE(SUBSTITUTE(SUBSTITUTE(SUBSTITUTE(SUBSTITUTE(
IF(DC42="△",
INDIRECT("'盛付札（関数）'!FJ"&amp;DB41+1),INDIRECT("'盛付札（関数）'!FJ"&amp;DB41)),"①",""),"②",""),"③",""),"④",""),"⑤",""),"⑥",""),"⑦",""),"⑧",""),"⑨",""),"⑩","")</f>
        <v/>
      </c>
      <c r="DE41" s="203"/>
      <c r="DF41" s="203"/>
      <c r="DG41" s="203"/>
      <c r="DH41" s="71" t="str">
        <f t="array" aca="1" ref="DH41" ca="1">IF(DD41&lt;&gt;"",
IF(AND(INDIRECT("'盛付札（関数）'!FI"&amp;DB41)&gt;=124,INDIRECT("'盛付札（関数）'!FI"&amp;DB41)&lt;=144),"",
"様"),"")</f>
        <v/>
      </c>
      <c r="DI41" s="65">
        <f ca="1">IF(OR(DC42="●",DC42="△"),
DB41+2,DB41+1)</f>
        <v>96</v>
      </c>
      <c r="DJ41" s="72" t="str">
        <f ca="1">IF(DK41&lt;&gt;"",
MID(貼り付け用!$A$2, FIND("年",貼り付け用!$A$2)+1,2)&amp;"/"&amp;MID(貼り付け用!$A$2, FIND("月",貼り付け用!$A$2)+1,2),"")</f>
        <v/>
      </c>
      <c r="DK41" s="202" t="str">
        <f t="array" aca="1" ref="DK41" ca="1">SUBSTITUTE(SUBSTITUTE(SUBSTITUTE(SUBSTITUTE(SUBSTITUTE(SUBSTITUTE(SUBSTITUTE(SUBSTITUTE(SUBSTITUTE(SUBSTITUTE(
IF(DJ42="△",
INDIRECT("'盛付札（関数）'!FJ"&amp;DI41+1),INDIRECT("'盛付札（関数）'!FJ"&amp;DI41)),"①",""),"②",""),"③",""),"④",""),"⑤",""),"⑥",""),"⑦",""),"⑧",""),"⑨",""),"⑩","")</f>
        <v/>
      </c>
      <c r="DL41" s="203"/>
      <c r="DM41" s="203"/>
      <c r="DN41" s="203"/>
      <c r="DO41" s="71" t="str">
        <f t="array" aca="1" ref="DO41" ca="1">IF(DK41&lt;&gt;"",
IF(AND(INDIRECT("'盛付札（関数）'!FI"&amp;DI41)&gt;=124,INDIRECT("'盛付札（関数）'!FI"&amp;DI41)&lt;=144),"",
"様"),"")</f>
        <v/>
      </c>
      <c r="DP41" s="49"/>
      <c r="DQ41" s="59">
        <f ca="1">IF(OR(DY34="●",DY34="△"),
DX33+2,DX33+1)</f>
        <v>107</v>
      </c>
      <c r="DR41" s="72" t="str">
        <f ca="1">IF(DS41&lt;&gt;"",
MID(貼り付け用!$A$2, FIND("年",貼り付け用!$A$2)+1,2)&amp;"/"&amp;MID(貼り付け用!$A$2, FIND("月",貼り付け用!$A$2)+1,2),"")</f>
        <v/>
      </c>
      <c r="DS41" s="202" t="str">
        <f t="array" aca="1" ref="DS41" ca="1">SUBSTITUTE(SUBSTITUTE(SUBSTITUTE(SUBSTITUTE(SUBSTITUTE(SUBSTITUTE(SUBSTITUTE(SUBSTITUTE(SUBSTITUTE(SUBSTITUTE(
IF(DR42="△",
INDIRECT("'盛付札（関数）'!FJ"&amp;DQ41+1),INDIRECT("'盛付札（関数）'!FJ"&amp;DQ41)),"①",""),"②",""),"③",""),"④",""),"⑤",""),"⑥",""),"⑦",""),"⑧",""),"⑨",""),"⑩","")</f>
        <v/>
      </c>
      <c r="DT41" s="203"/>
      <c r="DU41" s="203"/>
      <c r="DV41" s="203"/>
      <c r="DW41" s="71" t="str">
        <f t="array" aca="1" ref="DW41" ca="1">IF(DS41&lt;&gt;"",
IF(AND(INDIRECT("'盛付札（関数）'!FI"&amp;DQ41)&gt;=124,INDIRECT("'盛付札（関数）'!FI"&amp;DQ41)&lt;=144),"",
"様"),"")</f>
        <v/>
      </c>
      <c r="DX41" s="65">
        <f ca="1">IF(OR(DR42="●",DR42="△"),
DQ41+2,DQ41+1)</f>
        <v>108</v>
      </c>
      <c r="DY41" s="72" t="str">
        <f ca="1">IF(DZ41&lt;&gt;"",
MID(貼り付け用!$A$2, FIND("年",貼り付け用!$A$2)+1,2)&amp;"/"&amp;MID(貼り付け用!$A$2, FIND("月",貼り付け用!$A$2)+1,2),"")</f>
        <v/>
      </c>
      <c r="DZ41" s="202" t="str">
        <f t="array" aca="1" ref="DZ41" ca="1">SUBSTITUTE(SUBSTITUTE(SUBSTITUTE(SUBSTITUTE(SUBSTITUTE(SUBSTITUTE(SUBSTITUTE(SUBSTITUTE(SUBSTITUTE(SUBSTITUTE(
IF(DY42="△",
INDIRECT("'盛付札（関数）'!FJ"&amp;DX41+1),INDIRECT("'盛付札（関数）'!FJ"&amp;DX41)),"①",""),"②",""),"③",""),"④",""),"⑤",""),"⑥",""),"⑦",""),"⑧",""),"⑨",""),"⑩","")</f>
        <v/>
      </c>
      <c r="EA41" s="203"/>
      <c r="EB41" s="203"/>
      <c r="EC41" s="203"/>
      <c r="ED41" s="71" t="str">
        <f t="array" aca="1" ref="ED41" ca="1">IF(DZ41&lt;&gt;"",
IF(AND(INDIRECT("'盛付札（関数）'!FI"&amp;DX41)&gt;=124,INDIRECT("'盛付札（関数）'!FI"&amp;DX41)&lt;=144),"",
"様"),"")</f>
        <v/>
      </c>
      <c r="EE41" s="49"/>
      <c r="EF41" s="59">
        <f ca="1">IF(OR(EN34="●",EN34="△"),
EM33+2,EM33+1)</f>
        <v>119</v>
      </c>
      <c r="EG41" s="72" t="str">
        <f ca="1">IF(EH41&lt;&gt;"",
MID(貼り付け用!$A$2, FIND("年",貼り付け用!$A$2)+1,2)&amp;"/"&amp;MID(貼り付け用!$A$2, FIND("月",貼り付け用!$A$2)+1,2),"")</f>
        <v/>
      </c>
      <c r="EH41" s="202" t="str">
        <f t="array" aca="1" ref="EH41" ca="1">SUBSTITUTE(SUBSTITUTE(SUBSTITUTE(SUBSTITUTE(SUBSTITUTE(SUBSTITUTE(SUBSTITUTE(SUBSTITUTE(SUBSTITUTE(SUBSTITUTE(
IF(EG42="△",
INDIRECT("'盛付札（関数）'!FJ"&amp;EF41+1),INDIRECT("'盛付札（関数）'!FJ"&amp;EF41)),"①",""),"②",""),"③",""),"④",""),"⑤",""),"⑥",""),"⑦",""),"⑧",""),"⑨",""),"⑩","")</f>
        <v/>
      </c>
      <c r="EI41" s="203"/>
      <c r="EJ41" s="203"/>
      <c r="EK41" s="203"/>
      <c r="EL41" s="71" t="str">
        <f t="array" aca="1" ref="EL41" ca="1">IF(EH41&lt;&gt;"",
IF(AND(INDIRECT("'盛付札（関数）'!FI"&amp;EF41)&gt;=124,INDIRECT("'盛付札（関数）'!FI"&amp;EF41)&lt;=144),"",
"様"),"")</f>
        <v/>
      </c>
      <c r="EM41" s="65">
        <f ca="1">IF(OR(EG42="●",EG42="△"),
EF41+2,EF41+1)</f>
        <v>120</v>
      </c>
      <c r="EN41" s="72" t="str">
        <f ca="1">IF(EO41&lt;&gt;"",
MID(貼り付け用!$A$2, FIND("年",貼り付け用!$A$2)+1,2)&amp;"/"&amp;MID(貼り付け用!$A$2, FIND("月",貼り付け用!$A$2)+1,2),"")</f>
        <v/>
      </c>
      <c r="EO41" s="202" t="str">
        <f t="array" aca="1" ref="EO41" ca="1">SUBSTITUTE(SUBSTITUTE(SUBSTITUTE(SUBSTITUTE(SUBSTITUTE(SUBSTITUTE(SUBSTITUTE(SUBSTITUTE(SUBSTITUTE(SUBSTITUTE(
IF(EN42="△",
INDIRECT("'盛付札（関数）'!FJ"&amp;EM41+1),INDIRECT("'盛付札（関数）'!FJ"&amp;EM41)),"①",""),"②",""),"③",""),"④",""),"⑤",""),"⑥",""),"⑦",""),"⑧",""),"⑨",""),"⑩","")</f>
        <v/>
      </c>
      <c r="EP41" s="203"/>
      <c r="EQ41" s="203"/>
      <c r="ER41" s="203"/>
      <c r="ES41" s="71" t="str">
        <f t="array" aca="1" ref="ES41" ca="1">IF(EO41&lt;&gt;"",
IF(AND(INDIRECT("'盛付札（関数）'!FI"&amp;EM41)&gt;=124,INDIRECT("'盛付札（関数）'!FI"&amp;EM41)&lt;=144),"",
"様"),"")</f>
        <v/>
      </c>
      <c r="ET41" s="49"/>
    </row>
    <row r="42" spans="1:150" s="60" customFormat="1" x14ac:dyDescent="0.55000000000000004">
      <c r="A42" s="59"/>
      <c r="B42" s="61" t="str">
        <f ca="1">IF(COUNTIF(INDIRECT("'盛付札（関数）'!FJ"&amp;A41+1),"*雙葉*"),"●",
"〇")</f>
        <v>〇</v>
      </c>
      <c r="C42" s="76" t="str">
        <f t="array" aca="1" ref="C42" ca="1">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IF(B42="△",
INDIRECT("'盛付札（関数）'!FK"&amp;A41+1),INDIRECT("'盛付札（関数）'!FK"&amp;A41))))</f>
        <v/>
      </c>
      <c r="D42" s="70"/>
      <c r="E42" s="70"/>
      <c r="F42" s="77" t="str">
        <f t="array" aca="1" ref="F42" ca="1">IF(C41&lt;&gt;"",
IF(OR(INDIRECT("'盛付札（関数）'!FI"&amp;A41)=121,INDIRECT("'盛付札（関数）'!FI"&amp;A41)=122,INDIRECT("'盛付札（関数）'!FI"&amp;A41)=123),"",
IF(B42="●",
SUBSTITUTE(SUBSTITUTE(SUBSTITUTE(INDIRECT("'盛付札（関数）'!FL"&amp;A41),100,""),120,""),150,""),
IF(B42="△",
IF(INDIRECT("'盛付札（関数）'!FL"&amp;A41+1)&lt;&gt;"",
INDIRECT("'盛付札（関数）'!FL"&amp;A41+1),INDIRECT("'盛付札（関数）'!FM"&amp;A41+1)),
IF(INDIRECT("'盛付札（関数）'!FL"&amp;A41)&lt;&gt;"",
INDIRECT("'盛付札（関数）'!FL"&amp;A41),INDIRECT("'盛付札（関数）'!FM"&amp;A41))))),"")</f>
        <v/>
      </c>
      <c r="G42" s="68"/>
      <c r="H42" s="78"/>
      <c r="I42" s="61" t="str">
        <f ca="1">IF(COUNTIF(INDIRECT("'盛付札（関数）'!FJ"&amp;H41+1),"*雙葉*"),"●",
"〇")</f>
        <v>〇</v>
      </c>
      <c r="J42" s="76" t="str">
        <f t="array" aca="1" ref="J42" ca="1">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IF(I42="△",
INDIRECT("'盛付札（関数）'!FK"&amp;H41+1),INDIRECT("'盛付札（関数）'!FK"&amp;H41))))</f>
        <v/>
      </c>
      <c r="K42" s="70"/>
      <c r="L42" s="70"/>
      <c r="M42" s="77" t="str">
        <f t="array" aca="1" ref="M42" ca="1">IF(J41&lt;&gt;"",
IF(OR(INDIRECT("'盛付札（関数）'!FI"&amp;H41)=121,INDIRECT("'盛付札（関数）'!FI"&amp;H41)=122,INDIRECT("'盛付札（関数）'!FI"&amp;H41)=123),"",
IF(I42="●",
SUBSTITUTE(SUBSTITUTE(SUBSTITUTE(INDIRECT("'盛付札（関数）'!FL"&amp;H41),100,""),120,""),150,""),
IF(I42="△",
IF(INDIRECT("'盛付札（関数）'!FL"&amp;H41+1)&lt;&gt;"",
INDIRECT("'盛付札（関数）'!FL"&amp;H41+1),INDIRECT("'盛付札（関数）'!FM"&amp;H41+1)),
IF(INDIRECT("'盛付札（関数）'!FL"&amp;H41)&lt;&gt;"",
INDIRECT("'盛付札（関数）'!FL"&amp;H41),INDIRECT("'盛付札（関数）'!FM"&amp;H41))))),"")</f>
        <v/>
      </c>
      <c r="N42" s="68"/>
      <c r="O42" s="49"/>
      <c r="P42" s="59"/>
      <c r="Q42" s="61" t="str">
        <f ca="1">IF(COUNTIF(INDIRECT("'盛付札（関数）'!FJ"&amp;P41+1),"*雙葉*"),"●",
"〇")</f>
        <v>〇</v>
      </c>
      <c r="R42" s="76" t="str">
        <f t="array" aca="1" ref="R42" ca="1">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IF(Q42="△",
INDIRECT("'盛付札（関数）'!FK"&amp;P41+1),INDIRECT("'盛付札（関数）'!FK"&amp;P41))))</f>
        <v/>
      </c>
      <c r="S42" s="70"/>
      <c r="T42" s="70"/>
      <c r="U42" s="77" t="str">
        <f t="array" aca="1" ref="U42" ca="1">IF(R41&lt;&gt;"",
IF(OR(INDIRECT("'盛付札（関数）'!FI"&amp;P41)=121,INDIRECT("'盛付札（関数）'!FI"&amp;P41)=122,INDIRECT("'盛付札（関数）'!FI"&amp;P41)=123),"",
IF(Q42="●",
SUBSTITUTE(SUBSTITUTE(SUBSTITUTE(INDIRECT("'盛付札（関数）'!FL"&amp;P41),100,""),120,""),150,""),
IF(Q42="△",
IF(INDIRECT("'盛付札（関数）'!FL"&amp;P41+1)&lt;&gt;"",
INDIRECT("'盛付札（関数）'!FL"&amp;P41+1),INDIRECT("'盛付札（関数）'!FM"&amp;P41+1)),
IF(INDIRECT("'盛付札（関数）'!FL"&amp;P41)&lt;&gt;"",
INDIRECT("'盛付札（関数）'!FL"&amp;P41),INDIRECT("'盛付札（関数）'!FM"&amp;P41))))),"")</f>
        <v/>
      </c>
      <c r="V42" s="68"/>
      <c r="W42" s="78"/>
      <c r="X42" s="61" t="str">
        <f ca="1">IF(COUNTIF(INDIRECT("'盛付札（関数）'!FJ"&amp;W41+1),"*雙葉*"),"●",
"〇")</f>
        <v>〇</v>
      </c>
      <c r="Y42" s="76" t="str">
        <f t="array" aca="1" ref="Y42" ca="1">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IF(X42="△",
INDIRECT("'盛付札（関数）'!FK"&amp;W41+1),INDIRECT("'盛付札（関数）'!FK"&amp;W41))))</f>
        <v/>
      </c>
      <c r="Z42" s="70"/>
      <c r="AA42" s="70"/>
      <c r="AB42" s="77" t="str">
        <f t="array" aca="1" ref="AB42" ca="1">IF(Y41&lt;&gt;"",
IF(OR(INDIRECT("'盛付札（関数）'!FI"&amp;W41)=121,INDIRECT("'盛付札（関数）'!FI"&amp;W41)=122,INDIRECT("'盛付札（関数）'!FI"&amp;W41)=123),"",
IF(X42="●",
SUBSTITUTE(SUBSTITUTE(SUBSTITUTE(INDIRECT("'盛付札（関数）'!FL"&amp;W41),100,""),120,""),150,""),
IF(X42="△",
IF(INDIRECT("'盛付札（関数）'!FL"&amp;W41+1)&lt;&gt;"",
INDIRECT("'盛付札（関数）'!FL"&amp;W41+1),INDIRECT("'盛付札（関数）'!FM"&amp;W41+1)),
IF(INDIRECT("'盛付札（関数）'!FL"&amp;W41)&lt;&gt;"",
INDIRECT("'盛付札（関数）'!FL"&amp;W41),INDIRECT("'盛付札（関数）'!FM"&amp;W41))))),"")</f>
        <v/>
      </c>
      <c r="AC42" s="68"/>
      <c r="AD42" s="49"/>
      <c r="AE42" s="59"/>
      <c r="AF42" s="61" t="str">
        <f ca="1">IF(COUNTIF(INDIRECT("'盛付札（関数）'!FJ"&amp;AE41+1),"*雙葉*"),"●",
"〇")</f>
        <v>〇</v>
      </c>
      <c r="AG42" s="76" t="str">
        <f t="array" aca="1" ref="AG42" ca="1">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IF(AF42="△",
INDIRECT("'盛付札（関数）'!FK"&amp;AE41+1),INDIRECT("'盛付札（関数）'!FK"&amp;AE41))))</f>
        <v/>
      </c>
      <c r="AH42" s="70"/>
      <c r="AI42" s="70"/>
      <c r="AJ42" s="77" t="str">
        <f t="array" aca="1" ref="AJ42" ca="1">IF(AG41&lt;&gt;"",
IF(OR(INDIRECT("'盛付札（関数）'!FI"&amp;AE41)=121,INDIRECT("'盛付札（関数）'!FI"&amp;AE41)=122,INDIRECT("'盛付札（関数）'!FI"&amp;AE41)=123),"",
IF(AF42="●",
SUBSTITUTE(SUBSTITUTE(SUBSTITUTE(INDIRECT("'盛付札（関数）'!FL"&amp;AE41),100,""),120,""),150,""),
IF(AF42="△",
IF(INDIRECT("'盛付札（関数）'!FL"&amp;AE41+1)&lt;&gt;"",
INDIRECT("'盛付札（関数）'!FL"&amp;AE41+1),INDIRECT("'盛付札（関数）'!FM"&amp;AE41+1)),
IF(INDIRECT("'盛付札（関数）'!FL"&amp;AE41)&lt;&gt;"",
INDIRECT("'盛付札（関数）'!FL"&amp;AE41),INDIRECT("'盛付札（関数）'!FM"&amp;AE41))))),"")</f>
        <v/>
      </c>
      <c r="AK42" s="68"/>
      <c r="AL42" s="78"/>
      <c r="AM42" s="61" t="str">
        <f ca="1">IF(COUNTIF(INDIRECT("'盛付札（関数）'!FJ"&amp;AL41+1),"*雙葉*"),"●",
"〇")</f>
        <v>〇</v>
      </c>
      <c r="AN42" s="76" t="str">
        <f t="array" aca="1" ref="AN42" ca="1">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IF(AM42="△",
INDIRECT("'盛付札（関数）'!FK"&amp;AL41+1),INDIRECT("'盛付札（関数）'!FK"&amp;AL41))))</f>
        <v/>
      </c>
      <c r="AO42" s="70"/>
      <c r="AP42" s="70"/>
      <c r="AQ42" s="77" t="str">
        <f t="array" aca="1" ref="AQ42" ca="1">IF(AN41&lt;&gt;"",
IF(OR(INDIRECT("'盛付札（関数）'!FI"&amp;AL41)=121,INDIRECT("'盛付札（関数）'!FI"&amp;AL41)=122,INDIRECT("'盛付札（関数）'!FI"&amp;AL41)=123),"",
IF(AM42="●",
SUBSTITUTE(SUBSTITUTE(SUBSTITUTE(INDIRECT("'盛付札（関数）'!FL"&amp;AL41),100,""),120,""),150,""),
IF(AM42="△",
IF(INDIRECT("'盛付札（関数）'!FL"&amp;AL41+1)&lt;&gt;"",
INDIRECT("'盛付札（関数）'!FL"&amp;AL41+1),INDIRECT("'盛付札（関数）'!FM"&amp;AL41+1)),
IF(INDIRECT("'盛付札（関数）'!FL"&amp;AL41)&lt;&gt;"",
INDIRECT("'盛付札（関数）'!FL"&amp;AL41),INDIRECT("'盛付札（関数）'!FM"&amp;AL41))))),"")</f>
        <v/>
      </c>
      <c r="AR42" s="68"/>
      <c r="AS42" s="49"/>
      <c r="AT42" s="59"/>
      <c r="AU42" s="61" t="str">
        <f ca="1">IF(COUNTIF(INDIRECT("'盛付札（関数）'!FJ"&amp;AT41+1),"*雙葉*"),"●",
"〇")</f>
        <v>〇</v>
      </c>
      <c r="AV42" s="76" t="str">
        <f t="array" aca="1" ref="AV42" ca="1">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IF(AU42="△",
INDIRECT("'盛付札（関数）'!FK"&amp;AT41+1),INDIRECT("'盛付札（関数）'!FK"&amp;AT41))))</f>
        <v/>
      </c>
      <c r="AW42" s="70"/>
      <c r="AX42" s="70"/>
      <c r="AY42" s="77" t="str">
        <f t="array" aca="1" ref="AY42" ca="1">IF(AV41&lt;&gt;"",
IF(OR(INDIRECT("'盛付札（関数）'!FI"&amp;AT41)=121,INDIRECT("'盛付札（関数）'!FI"&amp;AT41)=122,INDIRECT("'盛付札（関数）'!FI"&amp;AT41)=123),"",
IF(AU42="●",
SUBSTITUTE(SUBSTITUTE(SUBSTITUTE(INDIRECT("'盛付札（関数）'!FL"&amp;AT41),100,""),120,""),150,""),
IF(AU42="△",
IF(INDIRECT("'盛付札（関数）'!FL"&amp;AT41+1)&lt;&gt;"",
INDIRECT("'盛付札（関数）'!FL"&amp;AT41+1),INDIRECT("'盛付札（関数）'!FM"&amp;AT41+1)),
IF(INDIRECT("'盛付札（関数）'!FL"&amp;AT41)&lt;&gt;"",
INDIRECT("'盛付札（関数）'!FL"&amp;AT41),INDIRECT("'盛付札（関数）'!FM"&amp;AT41))))),"")</f>
        <v/>
      </c>
      <c r="AZ42" s="68"/>
      <c r="BA42" s="78"/>
      <c r="BB42" s="61" t="str">
        <f ca="1">IF(COUNTIF(INDIRECT("'盛付札（関数）'!FJ"&amp;BA41+1),"*雙葉*"),"●",
"〇")</f>
        <v>〇</v>
      </c>
      <c r="BC42" s="76" t="str">
        <f t="array" aca="1" ref="BC42" ca="1">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IF(BB42="△",
INDIRECT("'盛付札（関数）'!FK"&amp;BA41+1),INDIRECT("'盛付札（関数）'!FK"&amp;BA41))))</f>
        <v/>
      </c>
      <c r="BD42" s="70"/>
      <c r="BE42" s="70"/>
      <c r="BF42" s="77" t="str">
        <f t="array" aca="1" ref="BF42" ca="1">IF(BC41&lt;&gt;"",
IF(OR(INDIRECT("'盛付札（関数）'!FI"&amp;BA41)=121,INDIRECT("'盛付札（関数）'!FI"&amp;BA41)=122,INDIRECT("'盛付札（関数）'!FI"&amp;BA41)=123),"",
IF(BB42="●",
SUBSTITUTE(SUBSTITUTE(SUBSTITUTE(INDIRECT("'盛付札（関数）'!FL"&amp;BA41),100,""),120,""),150,""),
IF(BB42="△",
IF(INDIRECT("'盛付札（関数）'!FL"&amp;BA41+1)&lt;&gt;"",
INDIRECT("'盛付札（関数）'!FL"&amp;BA41+1),INDIRECT("'盛付札（関数）'!FM"&amp;BA41+1)),
IF(INDIRECT("'盛付札（関数）'!FL"&amp;BA41)&lt;&gt;"",
INDIRECT("'盛付札（関数）'!FL"&amp;BA41),INDIRECT("'盛付札（関数）'!FM"&amp;BA41))))),"")</f>
        <v/>
      </c>
      <c r="BG42" s="68"/>
      <c r="BH42" s="49"/>
      <c r="BI42" s="59"/>
      <c r="BJ42" s="61" t="str">
        <f ca="1">IF(COUNTIF(INDIRECT("'盛付札（関数）'!FJ"&amp;BI41+1),"*雙葉*"),"●",
"〇")</f>
        <v>〇</v>
      </c>
      <c r="BK42" s="76" t="str">
        <f t="array" aca="1" ref="BK42" ca="1">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IF(BJ42="△",
INDIRECT("'盛付札（関数）'!FK"&amp;BI41+1),INDIRECT("'盛付札（関数）'!FK"&amp;BI41))))</f>
        <v/>
      </c>
      <c r="BL42" s="70"/>
      <c r="BM42" s="70"/>
      <c r="BN42" s="77" t="str">
        <f t="array" aca="1" ref="BN42" ca="1">IF(BK41&lt;&gt;"",
IF(OR(INDIRECT("'盛付札（関数）'!FI"&amp;BI41)=121,INDIRECT("'盛付札（関数）'!FI"&amp;BI41)=122,INDIRECT("'盛付札（関数）'!FI"&amp;BI41)=123),"",
IF(BJ42="●",
SUBSTITUTE(SUBSTITUTE(SUBSTITUTE(INDIRECT("'盛付札（関数）'!FL"&amp;BI41),100,""),120,""),150,""),
IF(BJ42="△",
IF(INDIRECT("'盛付札（関数）'!FL"&amp;BI41+1)&lt;&gt;"",
INDIRECT("'盛付札（関数）'!FL"&amp;BI41+1),INDIRECT("'盛付札（関数）'!FM"&amp;BI41+1)),
IF(INDIRECT("'盛付札（関数）'!FL"&amp;BI41)&lt;&gt;"",
INDIRECT("'盛付札（関数）'!FL"&amp;BI41),INDIRECT("'盛付札（関数）'!FM"&amp;BI41))))),"")</f>
        <v/>
      </c>
      <c r="BO42" s="68"/>
      <c r="BP42" s="78"/>
      <c r="BQ42" s="61" t="str">
        <f ca="1">IF(COUNTIF(INDIRECT("'盛付札（関数）'!FJ"&amp;BP41+1),"*雙葉*"),"●",
"〇")</f>
        <v>〇</v>
      </c>
      <c r="BR42" s="76" t="str">
        <f t="array" aca="1" ref="BR42" ca="1">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IF(BQ42="△",
INDIRECT("'盛付札（関数）'!FK"&amp;BP41+1),INDIRECT("'盛付札（関数）'!FK"&amp;BP41))))</f>
        <v/>
      </c>
      <c r="BS42" s="70"/>
      <c r="BT42" s="70"/>
      <c r="BU42" s="77" t="str">
        <f t="array" aca="1" ref="BU42" ca="1">IF(BR41&lt;&gt;"",
IF(OR(INDIRECT("'盛付札（関数）'!FI"&amp;BP41)=121,INDIRECT("'盛付札（関数）'!FI"&amp;BP41)=122,INDIRECT("'盛付札（関数）'!FI"&amp;BP41)=123),"",
IF(BQ42="●",
SUBSTITUTE(SUBSTITUTE(SUBSTITUTE(INDIRECT("'盛付札（関数）'!FL"&amp;BP41),100,""),120,""),150,""),
IF(BQ42="△",
IF(INDIRECT("'盛付札（関数）'!FL"&amp;BP41+1)&lt;&gt;"",
INDIRECT("'盛付札（関数）'!FL"&amp;BP41+1),INDIRECT("'盛付札（関数）'!FM"&amp;BP41+1)),
IF(INDIRECT("'盛付札（関数）'!FL"&amp;BP41)&lt;&gt;"",
INDIRECT("'盛付札（関数）'!FL"&amp;BP41),INDIRECT("'盛付札（関数）'!FM"&amp;BP41))))),"")</f>
        <v/>
      </c>
      <c r="BV42" s="68"/>
      <c r="BW42" s="49"/>
      <c r="BX42" s="59"/>
      <c r="BY42" s="61" t="str">
        <f ca="1">IF(COUNTIF(INDIRECT("'盛付札（関数）'!FJ"&amp;BX41+1),"*雙葉*"),"●",
"〇")</f>
        <v>〇</v>
      </c>
      <c r="BZ42" s="76" t="str">
        <f t="array" aca="1" ref="BZ42" ca="1">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IF(BY42="△",
INDIRECT("'盛付札（関数）'!FK"&amp;BX41+1),INDIRECT("'盛付札（関数）'!FK"&amp;BX41))))</f>
        <v/>
      </c>
      <c r="CA42" s="70"/>
      <c r="CB42" s="70"/>
      <c r="CC42" s="77" t="str">
        <f t="array" aca="1" ref="CC42" ca="1">IF(BZ41&lt;&gt;"",
IF(OR(INDIRECT("'盛付札（関数）'!FI"&amp;BX41)=121,INDIRECT("'盛付札（関数）'!FI"&amp;BX41)=122,INDIRECT("'盛付札（関数）'!FI"&amp;BX41)=123),"",
IF(BY42="●",
SUBSTITUTE(SUBSTITUTE(SUBSTITUTE(INDIRECT("'盛付札（関数）'!FL"&amp;BX41),100,""),120,""),150,""),
IF(BY42="△",
IF(INDIRECT("'盛付札（関数）'!FL"&amp;BX41+1)&lt;&gt;"",
INDIRECT("'盛付札（関数）'!FL"&amp;BX41+1),INDIRECT("'盛付札（関数）'!FM"&amp;BX41+1)),
IF(INDIRECT("'盛付札（関数）'!FL"&amp;BX41)&lt;&gt;"",
INDIRECT("'盛付札（関数）'!FL"&amp;BX41),INDIRECT("'盛付札（関数）'!FM"&amp;BX41))))),"")</f>
        <v/>
      </c>
      <c r="CD42" s="68"/>
      <c r="CE42" s="78"/>
      <c r="CF42" s="61" t="str">
        <f ca="1">IF(COUNTIF(INDIRECT("'盛付札（関数）'!FJ"&amp;CE41+1),"*雙葉*"),"●",
"〇")</f>
        <v>〇</v>
      </c>
      <c r="CG42" s="76" t="str">
        <f t="array" aca="1" ref="CG42" ca="1">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IF(CF42="△",
INDIRECT("'盛付札（関数）'!FK"&amp;CE41+1),INDIRECT("'盛付札（関数）'!FK"&amp;CE41))))</f>
        <v/>
      </c>
      <c r="CH42" s="70"/>
      <c r="CI42" s="70"/>
      <c r="CJ42" s="77" t="str">
        <f t="array" aca="1" ref="CJ42" ca="1">IF(CG41&lt;&gt;"",
IF(OR(INDIRECT("'盛付札（関数）'!FI"&amp;CE41)=121,INDIRECT("'盛付札（関数）'!FI"&amp;CE41)=122,INDIRECT("'盛付札（関数）'!FI"&amp;CE41)=123),"",
IF(CF42="●",
SUBSTITUTE(SUBSTITUTE(SUBSTITUTE(INDIRECT("'盛付札（関数）'!FL"&amp;CE41),100,""),120,""),150,""),
IF(CF42="△",
IF(INDIRECT("'盛付札（関数）'!FL"&amp;CE41+1)&lt;&gt;"",
INDIRECT("'盛付札（関数）'!FL"&amp;CE41+1),INDIRECT("'盛付札（関数）'!FM"&amp;CE41+1)),
IF(INDIRECT("'盛付札（関数）'!FL"&amp;CE41)&lt;&gt;"",
INDIRECT("'盛付札（関数）'!FL"&amp;CE41),INDIRECT("'盛付札（関数）'!FM"&amp;CE41))))),"")</f>
        <v/>
      </c>
      <c r="CK42" s="68"/>
      <c r="CL42" s="49"/>
      <c r="CM42" s="59"/>
      <c r="CN42" s="61" t="str">
        <f ca="1">IF(COUNTIF(INDIRECT("'盛付札（関数）'!FJ"&amp;CM41+1),"*雙葉*"),"●",
"〇")</f>
        <v>〇</v>
      </c>
      <c r="CO42" s="76" t="str">
        <f t="array" aca="1" ref="CO42" ca="1">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IF(CN42="△",
INDIRECT("'盛付札（関数）'!FK"&amp;CM41+1),INDIRECT("'盛付札（関数）'!FK"&amp;CM41))))</f>
        <v/>
      </c>
      <c r="CP42" s="70"/>
      <c r="CQ42" s="70"/>
      <c r="CR42" s="77" t="str">
        <f t="array" aca="1" ref="CR42" ca="1">IF(CO41&lt;&gt;"",
IF(OR(INDIRECT("'盛付札（関数）'!FI"&amp;CM41)=121,INDIRECT("'盛付札（関数）'!FI"&amp;CM41)=122,INDIRECT("'盛付札（関数）'!FI"&amp;CM41)=123),"",
IF(CN42="●",
SUBSTITUTE(SUBSTITUTE(SUBSTITUTE(INDIRECT("'盛付札（関数）'!FL"&amp;CM41),100,""),120,""),150,""),
IF(CN42="△",
IF(INDIRECT("'盛付札（関数）'!FL"&amp;CM41+1)&lt;&gt;"",
INDIRECT("'盛付札（関数）'!FL"&amp;CM41+1),INDIRECT("'盛付札（関数）'!FM"&amp;CM41+1)),
IF(INDIRECT("'盛付札（関数）'!FL"&amp;CM41)&lt;&gt;"",
INDIRECT("'盛付札（関数）'!FL"&amp;CM41),INDIRECT("'盛付札（関数）'!FM"&amp;CM41))))),"")</f>
        <v/>
      </c>
      <c r="CS42" s="68"/>
      <c r="CT42" s="78"/>
      <c r="CU42" s="61" t="str">
        <f ca="1">IF(COUNTIF(INDIRECT("'盛付札（関数）'!FJ"&amp;CT41+1),"*雙葉*"),"●",
"〇")</f>
        <v>〇</v>
      </c>
      <c r="CV42" s="76" t="str">
        <f t="array" aca="1" ref="CV42" ca="1">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IF(CU42="△",
INDIRECT("'盛付札（関数）'!FK"&amp;CT41+1),INDIRECT("'盛付札（関数）'!FK"&amp;CT41))))</f>
        <v/>
      </c>
      <c r="CW42" s="70"/>
      <c r="CX42" s="70"/>
      <c r="CY42" s="77" t="str">
        <f t="array" aca="1" ref="CY42" ca="1">IF(CV41&lt;&gt;"",
IF(OR(INDIRECT("'盛付札（関数）'!FI"&amp;CT41)=121,INDIRECT("'盛付札（関数）'!FI"&amp;CT41)=122,INDIRECT("'盛付札（関数）'!FI"&amp;CT41)=123),"",
IF(CU42="●",
SUBSTITUTE(SUBSTITUTE(SUBSTITUTE(INDIRECT("'盛付札（関数）'!FL"&amp;CT41),100,""),120,""),150,""),
IF(CU42="△",
IF(INDIRECT("'盛付札（関数）'!FL"&amp;CT41+1)&lt;&gt;"",
INDIRECT("'盛付札（関数）'!FL"&amp;CT41+1),INDIRECT("'盛付札（関数）'!FM"&amp;CT41+1)),
IF(INDIRECT("'盛付札（関数）'!FL"&amp;CT41)&lt;&gt;"",
INDIRECT("'盛付札（関数）'!FL"&amp;CT41),INDIRECT("'盛付札（関数）'!FM"&amp;CT41))))),"")</f>
        <v/>
      </c>
      <c r="CZ42" s="68"/>
      <c r="DA42" s="49"/>
      <c r="DB42" s="59"/>
      <c r="DC42" s="61" t="str">
        <f ca="1">IF(COUNTIF(INDIRECT("'盛付札（関数）'!FJ"&amp;DB41+1),"*雙葉*"),"●",
"〇")</f>
        <v>〇</v>
      </c>
      <c r="DD42" s="76" t="str">
        <f t="array" aca="1" ref="DD42" ca="1">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IF(DC42="△",
INDIRECT("'盛付札（関数）'!FK"&amp;DB41+1),INDIRECT("'盛付札（関数）'!FK"&amp;DB41))))</f>
        <v/>
      </c>
      <c r="DE42" s="70"/>
      <c r="DF42" s="70"/>
      <c r="DG42" s="77" t="str">
        <f t="array" aca="1" ref="DG42" ca="1">IF(DD41&lt;&gt;"",
IF(OR(INDIRECT("'盛付札（関数）'!FI"&amp;DB41)=121,INDIRECT("'盛付札（関数）'!FI"&amp;DB41)=122,INDIRECT("'盛付札（関数）'!FI"&amp;DB41)=123),"",
IF(DC42="●",
SUBSTITUTE(SUBSTITUTE(SUBSTITUTE(INDIRECT("'盛付札（関数）'!FL"&amp;DB41),100,""),120,""),150,""),
IF(DC42="△",
IF(INDIRECT("'盛付札（関数）'!FL"&amp;DB41+1)&lt;&gt;"",
INDIRECT("'盛付札（関数）'!FL"&amp;DB41+1),INDIRECT("'盛付札（関数）'!FM"&amp;DB41+1)),
IF(INDIRECT("'盛付札（関数）'!FL"&amp;DB41)&lt;&gt;"",
INDIRECT("'盛付札（関数）'!FL"&amp;DB41),INDIRECT("'盛付札（関数）'!FM"&amp;DB41))))),"")</f>
        <v/>
      </c>
      <c r="DH42" s="68"/>
      <c r="DI42" s="78"/>
      <c r="DJ42" s="61" t="str">
        <f ca="1">IF(COUNTIF(INDIRECT("'盛付札（関数）'!FJ"&amp;DI41+1),"*雙葉*"),"●",
"〇")</f>
        <v>〇</v>
      </c>
      <c r="DK42" s="76" t="str">
        <f t="array" aca="1" ref="DK42" ca="1">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IF(DJ42="△",
INDIRECT("'盛付札（関数）'!FK"&amp;DI41+1),INDIRECT("'盛付札（関数）'!FK"&amp;DI41))))</f>
        <v/>
      </c>
      <c r="DL42" s="70"/>
      <c r="DM42" s="70"/>
      <c r="DN42" s="77" t="str">
        <f t="array" aca="1" ref="DN42" ca="1">IF(DK41&lt;&gt;"",
IF(OR(INDIRECT("'盛付札（関数）'!FI"&amp;DI41)=121,INDIRECT("'盛付札（関数）'!FI"&amp;DI41)=122,INDIRECT("'盛付札（関数）'!FI"&amp;DI41)=123),"",
IF(DJ42="●",
SUBSTITUTE(SUBSTITUTE(SUBSTITUTE(INDIRECT("'盛付札（関数）'!FL"&amp;DI41),100,""),120,""),150,""),
IF(DJ42="△",
IF(INDIRECT("'盛付札（関数）'!FL"&amp;DI41+1)&lt;&gt;"",
INDIRECT("'盛付札（関数）'!FL"&amp;DI41+1),INDIRECT("'盛付札（関数）'!FM"&amp;DI41+1)),
IF(INDIRECT("'盛付札（関数）'!FL"&amp;DI41)&lt;&gt;"",
INDIRECT("'盛付札（関数）'!FL"&amp;DI41),INDIRECT("'盛付札（関数）'!FM"&amp;DI41))))),"")</f>
        <v/>
      </c>
      <c r="DO42" s="68"/>
      <c r="DP42" s="49"/>
      <c r="DQ42" s="59"/>
      <c r="DR42" s="61" t="str">
        <f ca="1">IF(COUNTIF(INDIRECT("'盛付札（関数）'!FJ"&amp;DQ41+1),"*雙葉*"),"●",
"〇")</f>
        <v>〇</v>
      </c>
      <c r="DS42" s="76" t="str">
        <f t="array" aca="1" ref="DS42" ca="1">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IF(DR42="△",
INDIRECT("'盛付札（関数）'!FK"&amp;DQ41+1),INDIRECT("'盛付札（関数）'!FK"&amp;DQ41))))</f>
        <v/>
      </c>
      <c r="DT42" s="70"/>
      <c r="DU42" s="70"/>
      <c r="DV42" s="77" t="str">
        <f t="array" aca="1" ref="DV42" ca="1">IF(DS41&lt;&gt;"",
IF(OR(INDIRECT("'盛付札（関数）'!FI"&amp;DQ41)=121,INDIRECT("'盛付札（関数）'!FI"&amp;DQ41)=122,INDIRECT("'盛付札（関数）'!FI"&amp;DQ41)=123),"",
IF(DR42="●",
SUBSTITUTE(SUBSTITUTE(SUBSTITUTE(INDIRECT("'盛付札（関数）'!FL"&amp;DQ41),100,""),120,""),150,""),
IF(DR42="△",
IF(INDIRECT("'盛付札（関数）'!FL"&amp;DQ41+1)&lt;&gt;"",
INDIRECT("'盛付札（関数）'!FL"&amp;DQ41+1),INDIRECT("'盛付札（関数）'!FM"&amp;DQ41+1)),
IF(INDIRECT("'盛付札（関数）'!FL"&amp;DQ41)&lt;&gt;"",
INDIRECT("'盛付札（関数）'!FL"&amp;DQ41),INDIRECT("'盛付札（関数）'!FM"&amp;DQ41))))),"")</f>
        <v/>
      </c>
      <c r="DW42" s="68"/>
      <c r="DX42" s="78"/>
      <c r="DY42" s="61" t="str">
        <f ca="1">IF(COUNTIF(INDIRECT("'盛付札（関数）'!FJ"&amp;DX41+1),"*雙葉*"),"●",
"〇")</f>
        <v>〇</v>
      </c>
      <c r="DZ42" s="76" t="str">
        <f t="array" aca="1" ref="DZ42" ca="1">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IF(DY42="△",
INDIRECT("'盛付札（関数）'!FK"&amp;DX41+1),INDIRECT("'盛付札（関数）'!FK"&amp;DX41))))</f>
        <v/>
      </c>
      <c r="EA42" s="70"/>
      <c r="EB42" s="70"/>
      <c r="EC42" s="77" t="str">
        <f t="array" aca="1" ref="EC42" ca="1">IF(DZ41&lt;&gt;"",
IF(OR(INDIRECT("'盛付札（関数）'!FI"&amp;DX41)=121,INDIRECT("'盛付札（関数）'!FI"&amp;DX41)=122,INDIRECT("'盛付札（関数）'!FI"&amp;DX41)=123),"",
IF(DY42="●",
SUBSTITUTE(SUBSTITUTE(SUBSTITUTE(INDIRECT("'盛付札（関数）'!FL"&amp;DX41),100,""),120,""),150,""),
IF(DY42="△",
IF(INDIRECT("'盛付札（関数）'!FL"&amp;DX41+1)&lt;&gt;"",
INDIRECT("'盛付札（関数）'!FL"&amp;DX41+1),INDIRECT("'盛付札（関数）'!FM"&amp;DX41+1)),
IF(INDIRECT("'盛付札（関数）'!FL"&amp;DX41)&lt;&gt;"",
INDIRECT("'盛付札（関数）'!FL"&amp;DX41),INDIRECT("'盛付札（関数）'!FM"&amp;DX41))))),"")</f>
        <v/>
      </c>
      <c r="ED42" s="68"/>
      <c r="EE42" s="49"/>
      <c r="EF42" s="59"/>
      <c r="EG42" s="61" t="str">
        <f ca="1">IF(COUNTIF(INDIRECT("'盛付札（関数）'!FJ"&amp;EF41+1),"*雙葉*"),"●",
"〇")</f>
        <v>〇</v>
      </c>
      <c r="EH42" s="76" t="str">
        <f t="array" aca="1" ref="EH42" ca="1">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IF(EG42="△",
INDIRECT("'盛付札（関数）'!FK"&amp;EF41+1),INDIRECT("'盛付札（関数）'!FK"&amp;EF41))))</f>
        <v/>
      </c>
      <c r="EI42" s="70"/>
      <c r="EJ42" s="70"/>
      <c r="EK42" s="77" t="str">
        <f t="array" aca="1" ref="EK42" ca="1">IF(EH41&lt;&gt;"",
IF(OR(INDIRECT("'盛付札（関数）'!FI"&amp;EF41)=121,INDIRECT("'盛付札（関数）'!FI"&amp;EF41)=122,INDIRECT("'盛付札（関数）'!FI"&amp;EF41)=123),"",
IF(EG42="●",
SUBSTITUTE(SUBSTITUTE(SUBSTITUTE(INDIRECT("'盛付札（関数）'!FL"&amp;EF41),100,""),120,""),150,""),
IF(EG42="△",
IF(INDIRECT("'盛付札（関数）'!FL"&amp;EF41+1)&lt;&gt;"",
INDIRECT("'盛付札（関数）'!FL"&amp;EF41+1),INDIRECT("'盛付札（関数）'!FM"&amp;EF41+1)),
IF(INDIRECT("'盛付札（関数）'!FL"&amp;EF41)&lt;&gt;"",
INDIRECT("'盛付札（関数）'!FL"&amp;EF41),INDIRECT("'盛付札（関数）'!FM"&amp;EF41))))),"")</f>
        <v/>
      </c>
      <c r="EL42" s="68"/>
      <c r="EM42" s="78"/>
      <c r="EN42" s="61" t="str">
        <f ca="1">IF(COUNTIF(INDIRECT("'盛付札（関数）'!FJ"&amp;EM41+1),"*雙葉*"),"●",
"〇")</f>
        <v>〇</v>
      </c>
      <c r="EO42" s="76" t="str">
        <f t="array" aca="1" ref="EO42" ca="1">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IF(EN42="△",
INDIRECT("'盛付札（関数）'!FK"&amp;EM41+1),INDIRECT("'盛付札（関数）'!FK"&amp;EM41))))</f>
        <v/>
      </c>
      <c r="EP42" s="70"/>
      <c r="EQ42" s="70"/>
      <c r="ER42" s="77" t="str">
        <f t="array" aca="1" ref="ER42" ca="1">IF(EO41&lt;&gt;"",
IF(OR(INDIRECT("'盛付札（関数）'!FI"&amp;EM41)=121,INDIRECT("'盛付札（関数）'!FI"&amp;EM41)=122,INDIRECT("'盛付札（関数）'!FI"&amp;EM41)=123),"",
IF(EN42="●",
SUBSTITUTE(SUBSTITUTE(SUBSTITUTE(INDIRECT("'盛付札（関数）'!FL"&amp;EM41),100,""),120,""),150,""),
IF(EN42="△",
IF(INDIRECT("'盛付札（関数）'!FL"&amp;EM41+1)&lt;&gt;"",
INDIRECT("'盛付札（関数）'!FL"&amp;EM41+1),INDIRECT("'盛付札（関数）'!FM"&amp;EM41+1)),
IF(INDIRECT("'盛付札（関数）'!FL"&amp;EM41)&lt;&gt;"",
INDIRECT("'盛付札（関数）'!FL"&amp;EM41),INDIRECT("'盛付札（関数）'!FM"&amp;EM41))))),"")</f>
        <v/>
      </c>
      <c r="ES42" s="68"/>
      <c r="ET42" s="49"/>
    </row>
    <row r="43" spans="1:150" s="60" customFormat="1" x14ac:dyDescent="0.55000000000000004">
      <c r="A43" s="59"/>
      <c r="B43" s="63"/>
      <c r="C43" s="200" t="str">
        <f t="array" aca="1" ref="C43" ca="1">IF(C41&lt;&gt;"",
IF(C44&lt;&gt;"",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"園児")),""),"")</f>
        <v/>
      </c>
      <c r="D43" s="201"/>
      <c r="E43" s="49"/>
      <c r="F43" s="60" t="str">
        <f t="array" aca="1" ref="F43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"先生")),"")</f>
        <v/>
      </c>
      <c r="G43" s="69"/>
      <c r="H43" s="65"/>
      <c r="I43" s="63"/>
      <c r="J43" s="200" t="str">
        <f t="array" aca="1" ref="J43" ca="1">IF(J41&lt;&gt;"",
IF(J44&lt;&gt;"",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"園児")),""),"")</f>
        <v/>
      </c>
      <c r="K43" s="201"/>
      <c r="L43" s="49"/>
      <c r="M43" s="60" t="str">
        <f t="array" aca="1" ref="M43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"先生")),"")</f>
        <v/>
      </c>
      <c r="N43" s="69"/>
      <c r="O43" s="49"/>
      <c r="P43" s="59"/>
      <c r="Q43" s="63"/>
      <c r="R43" s="200" t="str">
        <f t="array" aca="1" ref="R43" ca="1">IF(R41&lt;&gt;"",
IF(R44&lt;&gt;"",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"園児")),""),"")</f>
        <v/>
      </c>
      <c r="S43" s="201"/>
      <c r="T43" s="49"/>
      <c r="U43" s="60" t="str">
        <f t="array" aca="1" ref="U43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"先生")),"")</f>
        <v/>
      </c>
      <c r="V43" s="69"/>
      <c r="W43" s="65"/>
      <c r="X43" s="63"/>
      <c r="Y43" s="200" t="str">
        <f t="array" aca="1" ref="Y43" ca="1">IF(Y41&lt;&gt;"",
IF(Y44&lt;&gt;"",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"園児")),""),"")</f>
        <v/>
      </c>
      <c r="Z43" s="201"/>
      <c r="AA43" s="49"/>
      <c r="AB43" s="60" t="str">
        <f t="array" aca="1" ref="AB43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"先生")),"")</f>
        <v/>
      </c>
      <c r="AC43" s="69"/>
      <c r="AD43" s="49"/>
      <c r="AE43" s="59"/>
      <c r="AF43" s="63"/>
      <c r="AG43" s="200" t="str">
        <f t="array" aca="1" ref="AG43" ca="1">IF(AG41&lt;&gt;"",
IF(AG44&lt;&gt;"",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"園児")),""),"")</f>
        <v/>
      </c>
      <c r="AH43" s="201"/>
      <c r="AI43" s="49"/>
      <c r="AJ43" s="60" t="str">
        <f t="array" aca="1" ref="AJ43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"先生")),"")</f>
        <v/>
      </c>
      <c r="AK43" s="69"/>
      <c r="AL43" s="65"/>
      <c r="AM43" s="63"/>
      <c r="AN43" s="200" t="str">
        <f t="array" aca="1" ref="AN43" ca="1">IF(AN41&lt;&gt;"",
IF(AN44&lt;&gt;"",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"園児")),""),"")</f>
        <v/>
      </c>
      <c r="AO43" s="201"/>
      <c r="AP43" s="49"/>
      <c r="AQ43" s="60" t="str">
        <f t="array" aca="1" ref="AQ43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"先生")),"")</f>
        <v/>
      </c>
      <c r="AR43" s="69"/>
      <c r="AS43" s="49"/>
      <c r="AT43" s="59"/>
      <c r="AU43" s="63"/>
      <c r="AV43" s="200" t="str">
        <f t="array" aca="1" ref="AV43" ca="1">IF(AV41&lt;&gt;"",
IF(AV44&lt;&gt;"",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"園児")),""),"")</f>
        <v/>
      </c>
      <c r="AW43" s="201"/>
      <c r="AX43" s="49"/>
      <c r="AY43" s="60" t="str">
        <f t="array" aca="1" ref="AY43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"先生")),"")</f>
        <v/>
      </c>
      <c r="AZ43" s="69"/>
      <c r="BA43" s="65"/>
      <c r="BB43" s="63"/>
      <c r="BC43" s="200" t="str">
        <f t="array" aca="1" ref="BC43" ca="1">IF(BC41&lt;&gt;"",
IF(BC44&lt;&gt;"",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"園児")),""),"")</f>
        <v/>
      </c>
      <c r="BD43" s="201"/>
      <c r="BE43" s="49"/>
      <c r="BF43" s="60" t="str">
        <f t="array" aca="1" ref="BF43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"先生")),"")</f>
        <v/>
      </c>
      <c r="BG43" s="69"/>
      <c r="BH43" s="49"/>
      <c r="BI43" s="59"/>
      <c r="BJ43" s="63"/>
      <c r="BK43" s="200" t="str">
        <f t="array" aca="1" ref="BK43" ca="1">IF(BK41&lt;&gt;"",
IF(BK44&lt;&gt;"",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"園児")),""),"")</f>
        <v/>
      </c>
      <c r="BL43" s="201"/>
      <c r="BM43" s="49"/>
      <c r="BN43" s="60" t="str">
        <f t="array" aca="1" ref="BN43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"先生")),"")</f>
        <v/>
      </c>
      <c r="BO43" s="69"/>
      <c r="BP43" s="65"/>
      <c r="BQ43" s="63"/>
      <c r="BR43" s="200" t="str">
        <f t="array" aca="1" ref="BR43" ca="1">IF(BR41&lt;&gt;"",
IF(BR44&lt;&gt;"",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"園児")),""),"")</f>
        <v/>
      </c>
      <c r="BS43" s="201"/>
      <c r="BT43" s="49"/>
      <c r="BU43" s="60" t="str">
        <f t="array" aca="1" ref="BU43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"先生")),"")</f>
        <v/>
      </c>
      <c r="BV43" s="69"/>
      <c r="BW43" s="49"/>
      <c r="BX43" s="59"/>
      <c r="BY43" s="63"/>
      <c r="BZ43" s="200" t="str">
        <f t="array" aca="1" ref="BZ43" ca="1">IF(BZ41&lt;&gt;"",
IF(BZ44&lt;&gt;"",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"園児")),""),"")</f>
        <v/>
      </c>
      <c r="CA43" s="201"/>
      <c r="CB43" s="49"/>
      <c r="CC43" s="60" t="str">
        <f t="array" aca="1" ref="CC43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"先生")),"")</f>
        <v/>
      </c>
      <c r="CD43" s="69"/>
      <c r="CE43" s="65"/>
      <c r="CF43" s="63"/>
      <c r="CG43" s="200" t="str">
        <f t="array" aca="1" ref="CG43" ca="1">IF(CG41&lt;&gt;"",
IF(CG44&lt;&gt;"",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"園児")),""),"")</f>
        <v/>
      </c>
      <c r="CH43" s="201"/>
      <c r="CI43" s="49"/>
      <c r="CJ43" s="60" t="str">
        <f t="array" aca="1" ref="CJ43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"先生")),"")</f>
        <v/>
      </c>
      <c r="CK43" s="69"/>
      <c r="CL43" s="49"/>
      <c r="CM43" s="59"/>
      <c r="CN43" s="63"/>
      <c r="CO43" s="200" t="str">
        <f t="array" aca="1" ref="CO43" ca="1">IF(CO41&lt;&gt;"",
IF(CO44&lt;&gt;"",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"園児")),""),"")</f>
        <v/>
      </c>
      <c r="CP43" s="201"/>
      <c r="CQ43" s="49"/>
      <c r="CR43" s="60" t="str">
        <f t="array" aca="1" ref="CR43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"先生")),"")</f>
        <v/>
      </c>
      <c r="CS43" s="69"/>
      <c r="CT43" s="65"/>
      <c r="CU43" s="63"/>
      <c r="CV43" s="200" t="str">
        <f t="array" aca="1" ref="CV43" ca="1">IF(CV41&lt;&gt;"",
IF(CV44&lt;&gt;"",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"園児")),""),"")</f>
        <v/>
      </c>
      <c r="CW43" s="201"/>
      <c r="CX43" s="49"/>
      <c r="CY43" s="60" t="str">
        <f t="array" aca="1" ref="CY43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"先生")),"")</f>
        <v/>
      </c>
      <c r="CZ43" s="69"/>
      <c r="DA43" s="49"/>
      <c r="DB43" s="59"/>
      <c r="DC43" s="63"/>
      <c r="DD43" s="200" t="str">
        <f t="array" aca="1" ref="DD43" ca="1">IF(DD41&lt;&gt;"",
IF(DD44&lt;&gt;"",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"園児")),""),"")</f>
        <v/>
      </c>
      <c r="DE43" s="201"/>
      <c r="DF43" s="49"/>
      <c r="DG43" s="60" t="str">
        <f t="array" aca="1" ref="DG43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"先生")),"")</f>
        <v/>
      </c>
      <c r="DH43" s="69"/>
      <c r="DI43" s="65"/>
      <c r="DJ43" s="63"/>
      <c r="DK43" s="200" t="str">
        <f t="array" aca="1" ref="DK43" ca="1">IF(DK41&lt;&gt;"",
IF(DK44&lt;&gt;"",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"園児")),""),"")</f>
        <v/>
      </c>
      <c r="DL43" s="201"/>
      <c r="DM43" s="49"/>
      <c r="DN43" s="60" t="str">
        <f t="array" aca="1" ref="DN43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"先生")),"")</f>
        <v/>
      </c>
      <c r="DO43" s="69"/>
      <c r="DP43" s="49"/>
      <c r="DQ43" s="59"/>
      <c r="DR43" s="63"/>
      <c r="DS43" s="200" t="str">
        <f t="array" aca="1" ref="DS43" ca="1">IF(DS41&lt;&gt;"",
IF(DS44&lt;&gt;"",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"園児")),""),"")</f>
        <v/>
      </c>
      <c r="DT43" s="201"/>
      <c r="DU43" s="49"/>
      <c r="DV43" s="60" t="str">
        <f t="array" aca="1" ref="DV43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"先生")),"")</f>
        <v/>
      </c>
      <c r="DW43" s="69"/>
      <c r="DX43" s="65"/>
      <c r="DY43" s="63"/>
      <c r="DZ43" s="200" t="str">
        <f t="array" aca="1" ref="DZ43" ca="1">IF(DZ41&lt;&gt;"",
IF(DZ44&lt;&gt;"",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"園児")),""),"")</f>
        <v/>
      </c>
      <c r="EA43" s="201"/>
      <c r="EB43" s="49"/>
      <c r="EC43" s="60" t="str">
        <f t="array" aca="1" ref="EC43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"先生")),"")</f>
        <v/>
      </c>
      <c r="ED43" s="69"/>
      <c r="EE43" s="49"/>
      <c r="EF43" s="59"/>
      <c r="EG43" s="63"/>
      <c r="EH43" s="200" t="str">
        <f t="array" aca="1" ref="EH43" ca="1">IF(EH41&lt;&gt;"",
IF(EH44&lt;&gt;"",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"園児")),""),"")</f>
        <v/>
      </c>
      <c r="EI43" s="201"/>
      <c r="EJ43" s="49"/>
      <c r="EK43" s="60" t="str">
        <f t="array" aca="1" ref="EK43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"先生")),"")</f>
        <v/>
      </c>
      <c r="EL43" s="69"/>
      <c r="EM43" s="65"/>
      <c r="EN43" s="63"/>
      <c r="EO43" s="200" t="str">
        <f t="array" aca="1" ref="EO43" ca="1">IF(EO41&lt;&gt;"",
IF(EO44&lt;&gt;"",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"園児")),""),"")</f>
        <v/>
      </c>
      <c r="EP43" s="201"/>
      <c r="EQ43" s="49"/>
      <c r="ER43" s="60" t="str">
        <f t="array" aca="1" ref="ER43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"先生")),"")</f>
        <v/>
      </c>
      <c r="ES43" s="69"/>
      <c r="ET43" s="49"/>
    </row>
    <row r="44" spans="1:150" ht="15.6" customHeight="1" x14ac:dyDescent="1.05">
      <c r="B44" s="53"/>
      <c r="C44" s="185" t="str">
        <f t="array" aca="1" ref="C44" ca="1">IF(B42="●",
INDIRECT("'盛付札（関数）'!FN"&amp;A41)+INDIRECT("'盛付札（関数）'!FN"&amp;A41+1),
IF(B42="△",
INDIRECT("'盛付札（関数）'!FN"&amp;A41+1),INDIRECT("'盛付札（関数）'!FN"&amp;A41)))</f>
        <v/>
      </c>
      <c r="D44" s="199"/>
      <c r="E44" s="79"/>
      <c r="F44" s="197" t="str">
        <f t="array" aca="1" ref="F44" ca="1">IF(C41&lt;&gt;"",
IF(AND(INDIRECT("'盛付札（関数）'!FI"&amp;A41)&gt;=124,INDIRECT("'盛付札（関数）'!FI"&amp;A41)&lt;=144),"",
IF(OR(INDIRECT("'盛付札（関数）'!FI"&amp;A41)=121,INDIRECT("'盛付札（関数）'!FI"&amp;A41)=122,INDIRECT("'盛付札（関数）'!FI"&amp;A41)=123),"",
IF(B42="●",
IFERROR(INDIRECT("'盛付札（関数）'!FO"&amp;A41)+INDIRECT("'盛付札（関数）'!FO"&amp;A41+1),""),
IF(B42="△",
INDIRECT("'盛付札（関数）'!FO"&amp;A41+1),INDIRECT("'盛付札（関数）'!FO"&amp;A41))))),"")</f>
        <v/>
      </c>
      <c r="G44" s="198"/>
      <c r="H44" s="54"/>
      <c r="I44" s="53"/>
      <c r="J44" s="185" t="str">
        <f t="array" aca="1" ref="J44" ca="1">IF(I42="●",
INDIRECT("'盛付札（関数）'!FN"&amp;H41)+INDIRECT("'盛付札（関数）'!FN"&amp;H41+1),
IF(I42="△",
INDIRECT("'盛付札（関数）'!FN"&amp;H41+1),INDIRECT("'盛付札（関数）'!FN"&amp;H41)))</f>
        <v/>
      </c>
      <c r="K44" s="199"/>
      <c r="L44" s="79"/>
      <c r="M44" s="197" t="str">
        <f t="array" aca="1" ref="M44" ca="1">IF(J41&lt;&gt;"",
IF(AND(INDIRECT("'盛付札（関数）'!FI"&amp;H41)&gt;=124,INDIRECT("'盛付札（関数）'!FI"&amp;H41)&lt;=144),"",
IF(OR(INDIRECT("'盛付札（関数）'!FI"&amp;H41)=121,INDIRECT("'盛付札（関数）'!FI"&amp;H41)=122,INDIRECT("'盛付札（関数）'!FI"&amp;H41)=123),"",
IF(I42="●",
IFERROR(INDIRECT("'盛付札（関数）'!FO"&amp;H41)+INDIRECT("'盛付札（関数）'!FO"&amp;H41+1),""),
IF(I42="△",
INDIRECT("'盛付札（関数）'!FO"&amp;H41+1),INDIRECT("'盛付札（関数）'!FO"&amp;H41))))),"")</f>
        <v/>
      </c>
      <c r="N44" s="198"/>
      <c r="Q44" s="53"/>
      <c r="R44" s="185" t="str">
        <f t="array" aca="1" ref="R44" ca="1">IF(Q42="●",
INDIRECT("'盛付札（関数）'!FN"&amp;P41)+INDIRECT("'盛付札（関数）'!FN"&amp;P41+1),
IF(Q42="△",
INDIRECT("'盛付札（関数）'!FN"&amp;P41+1),INDIRECT("'盛付札（関数）'!FN"&amp;P41)))</f>
        <v/>
      </c>
      <c r="S44" s="199"/>
      <c r="T44" s="79"/>
      <c r="U44" s="197" t="str">
        <f t="array" aca="1" ref="U44" ca="1">IF(R41&lt;&gt;"",
IF(AND(INDIRECT("'盛付札（関数）'!FI"&amp;P41)&gt;=124,INDIRECT("'盛付札（関数）'!FI"&amp;P41)&lt;=144),"",
IF(OR(INDIRECT("'盛付札（関数）'!FI"&amp;P41)=121,INDIRECT("'盛付札（関数）'!FI"&amp;P41)=122,INDIRECT("'盛付札（関数）'!FI"&amp;P41)=123),"",
IF(Q42="●",
IFERROR(INDIRECT("'盛付札（関数）'!FO"&amp;P41)+INDIRECT("'盛付札（関数）'!FO"&amp;P41+1),""),
IF(Q42="△",
INDIRECT("'盛付札（関数）'!FO"&amp;P41+1),INDIRECT("'盛付札（関数）'!FO"&amp;P41))))),"")</f>
        <v/>
      </c>
      <c r="V44" s="198"/>
      <c r="W44" s="54"/>
      <c r="X44" s="53"/>
      <c r="Y44" s="185" t="str">
        <f t="array" aca="1" ref="Y44" ca="1">IF(X42="●",
INDIRECT("'盛付札（関数）'!FN"&amp;W41)+INDIRECT("'盛付札（関数）'!FN"&amp;W41+1),
IF(X42="△",
INDIRECT("'盛付札（関数）'!FN"&amp;W41+1),INDIRECT("'盛付札（関数）'!FN"&amp;W41)))</f>
        <v/>
      </c>
      <c r="Z44" s="199"/>
      <c r="AA44" s="79"/>
      <c r="AB44" s="197" t="str">
        <f t="array" aca="1" ref="AB44" ca="1">IF(Y41&lt;&gt;"",
IF(AND(INDIRECT("'盛付札（関数）'!FI"&amp;W41)&gt;=124,INDIRECT("'盛付札（関数）'!FI"&amp;W41)&lt;=144),"",
IF(OR(INDIRECT("'盛付札（関数）'!FI"&amp;W41)=121,INDIRECT("'盛付札（関数）'!FI"&amp;W41)=122,INDIRECT("'盛付札（関数）'!FI"&amp;W41)=123),"",
IF(X42="●",
IFERROR(INDIRECT("'盛付札（関数）'!FO"&amp;W41)+INDIRECT("'盛付札（関数）'!FO"&amp;W41+1),""),
IF(X42="△",
INDIRECT("'盛付札（関数）'!FO"&amp;W41+1),INDIRECT("'盛付札（関数）'!FO"&amp;W41))))),"")</f>
        <v/>
      </c>
      <c r="AC44" s="198"/>
      <c r="AF44" s="53"/>
      <c r="AG44" s="185" t="str">
        <f t="array" aca="1" ref="AG44" ca="1">IF(AF42="●",
INDIRECT("'盛付札（関数）'!FN"&amp;AE41)+INDIRECT("'盛付札（関数）'!FN"&amp;AE41+1),
IF(AF42="△",
INDIRECT("'盛付札（関数）'!FN"&amp;AE41+1),INDIRECT("'盛付札（関数）'!FN"&amp;AE41)))</f>
        <v/>
      </c>
      <c r="AH44" s="199"/>
      <c r="AI44" s="79"/>
      <c r="AJ44" s="197" t="str">
        <f t="array" aca="1" ref="AJ44" ca="1">IF(AG41&lt;&gt;"",
IF(AND(INDIRECT("'盛付札（関数）'!FI"&amp;AE41)&gt;=124,INDIRECT("'盛付札（関数）'!FI"&amp;AE41)&lt;=144),"",
IF(OR(INDIRECT("'盛付札（関数）'!FI"&amp;AE41)=121,INDIRECT("'盛付札（関数）'!FI"&amp;AE41)=122,INDIRECT("'盛付札（関数）'!FI"&amp;AE41)=123),"",
IF(AF42="●",
IFERROR(INDIRECT("'盛付札（関数）'!FO"&amp;AE41)+INDIRECT("'盛付札（関数）'!FO"&amp;AE41+1),""),
IF(AF42="△",
INDIRECT("'盛付札（関数）'!FO"&amp;AE41+1),INDIRECT("'盛付札（関数）'!FO"&amp;AE41))))),"")</f>
        <v/>
      </c>
      <c r="AK44" s="198"/>
      <c r="AL44" s="54"/>
      <c r="AM44" s="53"/>
      <c r="AN44" s="185" t="str">
        <f t="array" aca="1" ref="AN44" ca="1">IF(AM42="●",
INDIRECT("'盛付札（関数）'!FN"&amp;AL41)+INDIRECT("'盛付札（関数）'!FN"&amp;AL41+1),
IF(AM42="△",
INDIRECT("'盛付札（関数）'!FN"&amp;AL41+1),INDIRECT("'盛付札（関数）'!FN"&amp;AL41)))</f>
        <v/>
      </c>
      <c r="AO44" s="199"/>
      <c r="AP44" s="79"/>
      <c r="AQ44" s="197" t="str">
        <f t="array" aca="1" ref="AQ44" ca="1">IF(AN41&lt;&gt;"",
IF(AND(INDIRECT("'盛付札（関数）'!FI"&amp;AL41)&gt;=124,INDIRECT("'盛付札（関数）'!FI"&amp;AL41)&lt;=144),"",
IF(OR(INDIRECT("'盛付札（関数）'!FI"&amp;AL41)=121,INDIRECT("'盛付札（関数）'!FI"&amp;AL41)=122,INDIRECT("'盛付札（関数）'!FI"&amp;AL41)=123),"",
IF(AM42="●",
IFERROR(INDIRECT("'盛付札（関数）'!FO"&amp;AL41)+INDIRECT("'盛付札（関数）'!FO"&amp;AL41+1),""),
IF(AM42="△",
INDIRECT("'盛付札（関数）'!FO"&amp;AL41+1),INDIRECT("'盛付札（関数）'!FO"&amp;AL41))))),"")</f>
        <v/>
      </c>
      <c r="AR44" s="198"/>
      <c r="AU44" s="53"/>
      <c r="AV44" s="185" t="str">
        <f t="array" aca="1" ref="AV44" ca="1">IF(AU42="●",
INDIRECT("'盛付札（関数）'!FN"&amp;AT41)+INDIRECT("'盛付札（関数）'!FN"&amp;AT41+1),
IF(AU42="△",
INDIRECT("'盛付札（関数）'!FN"&amp;AT41+1),INDIRECT("'盛付札（関数）'!FN"&amp;AT41)))</f>
        <v/>
      </c>
      <c r="AW44" s="199"/>
      <c r="AX44" s="79"/>
      <c r="AY44" s="197" t="str">
        <f t="array" aca="1" ref="AY44" ca="1">IF(AV41&lt;&gt;"",
IF(AND(INDIRECT("'盛付札（関数）'!FI"&amp;AT41)&gt;=124,INDIRECT("'盛付札（関数）'!FI"&amp;AT41)&lt;=144),"",
IF(OR(INDIRECT("'盛付札（関数）'!FI"&amp;AT41)=121,INDIRECT("'盛付札（関数）'!FI"&amp;AT41)=122,INDIRECT("'盛付札（関数）'!FI"&amp;AT41)=123),"",
IF(AU42="●",
IFERROR(INDIRECT("'盛付札（関数）'!FO"&amp;AT41)+INDIRECT("'盛付札（関数）'!FO"&amp;AT41+1),""),
IF(AU42="△",
INDIRECT("'盛付札（関数）'!FO"&amp;AT41+1),INDIRECT("'盛付札（関数）'!FO"&amp;AT41))))),"")</f>
        <v/>
      </c>
      <c r="AZ44" s="198"/>
      <c r="BA44" s="54"/>
      <c r="BB44" s="53"/>
      <c r="BC44" s="185" t="str">
        <f t="array" aca="1" ref="BC44" ca="1">IF(BB42="●",
INDIRECT("'盛付札（関数）'!FN"&amp;BA41)+INDIRECT("'盛付札（関数）'!FN"&amp;BA41+1),
IF(BB42="△",
INDIRECT("'盛付札（関数）'!FN"&amp;BA41+1),INDIRECT("'盛付札（関数）'!FN"&amp;BA41)))</f>
        <v/>
      </c>
      <c r="BD44" s="199"/>
      <c r="BE44" s="79"/>
      <c r="BF44" s="197" t="str">
        <f t="array" aca="1" ref="BF44" ca="1">IF(BC41&lt;&gt;"",
IF(AND(INDIRECT("'盛付札（関数）'!FI"&amp;BA41)&gt;=124,INDIRECT("'盛付札（関数）'!FI"&amp;BA41)&lt;=144),"",
IF(OR(INDIRECT("'盛付札（関数）'!FI"&amp;BA41)=121,INDIRECT("'盛付札（関数）'!FI"&amp;BA41)=122,INDIRECT("'盛付札（関数）'!FI"&amp;BA41)=123),"",
IF(BB42="●",
IFERROR(INDIRECT("'盛付札（関数）'!FO"&amp;BA41)+INDIRECT("'盛付札（関数）'!FO"&amp;BA41+1),""),
IF(BB42="△",
INDIRECT("'盛付札（関数）'!FO"&amp;BA41+1),INDIRECT("'盛付札（関数）'!FO"&amp;BA41))))),"")</f>
        <v/>
      </c>
      <c r="BG44" s="198"/>
      <c r="BJ44" s="53"/>
      <c r="BK44" s="185" t="str">
        <f t="array" aca="1" ref="BK44" ca="1">IF(BJ42="●",
INDIRECT("'盛付札（関数）'!FN"&amp;BI41)+INDIRECT("'盛付札（関数）'!FN"&amp;BI41+1),
IF(BJ42="△",
INDIRECT("'盛付札（関数）'!FN"&amp;BI41+1),INDIRECT("'盛付札（関数）'!FN"&amp;BI41)))</f>
        <v/>
      </c>
      <c r="BL44" s="199"/>
      <c r="BM44" s="79"/>
      <c r="BN44" s="197" t="str">
        <f t="array" aca="1" ref="BN44" ca="1">IF(BK41&lt;&gt;"",
IF(AND(INDIRECT("'盛付札（関数）'!FI"&amp;BI41)&gt;=124,INDIRECT("'盛付札（関数）'!FI"&amp;BI41)&lt;=144),"",
IF(OR(INDIRECT("'盛付札（関数）'!FI"&amp;BI41)=121,INDIRECT("'盛付札（関数）'!FI"&amp;BI41)=122,INDIRECT("'盛付札（関数）'!FI"&amp;BI41)=123),"",
IF(BJ42="●",
IFERROR(INDIRECT("'盛付札（関数）'!FO"&amp;BI41)+INDIRECT("'盛付札（関数）'!FO"&amp;BI41+1),""),
IF(BJ42="△",
INDIRECT("'盛付札（関数）'!FO"&amp;BI41+1),INDIRECT("'盛付札（関数）'!FO"&amp;BI41))))),"")</f>
        <v/>
      </c>
      <c r="BO44" s="198"/>
      <c r="BP44" s="54"/>
      <c r="BQ44" s="53"/>
      <c r="BR44" s="185" t="str">
        <f t="array" aca="1" ref="BR44" ca="1">IF(BQ42="●",
INDIRECT("'盛付札（関数）'!FN"&amp;BP41)+INDIRECT("'盛付札（関数）'!FN"&amp;BP41+1),
IF(BQ42="△",
INDIRECT("'盛付札（関数）'!FN"&amp;BP41+1),INDIRECT("'盛付札（関数）'!FN"&amp;BP41)))</f>
        <v/>
      </c>
      <c r="BS44" s="199"/>
      <c r="BT44" s="79"/>
      <c r="BU44" s="197" t="str">
        <f t="array" aca="1" ref="BU44" ca="1">IF(BR41&lt;&gt;"",
IF(AND(INDIRECT("'盛付札（関数）'!FI"&amp;BP41)&gt;=124,INDIRECT("'盛付札（関数）'!FI"&amp;BP41)&lt;=144),"",
IF(OR(INDIRECT("'盛付札（関数）'!FI"&amp;BP41)=121,INDIRECT("'盛付札（関数）'!FI"&amp;BP41)=122,INDIRECT("'盛付札（関数）'!FI"&amp;BP41)=123),"",
IF(BQ42="●",
IFERROR(INDIRECT("'盛付札（関数）'!FO"&amp;BP41)+INDIRECT("'盛付札（関数）'!FO"&amp;BP41+1),""),
IF(BQ42="△",
INDIRECT("'盛付札（関数）'!FO"&amp;BP41+1),INDIRECT("'盛付札（関数）'!FO"&amp;BP41))))),"")</f>
        <v/>
      </c>
      <c r="BV44" s="198"/>
      <c r="BY44" s="53"/>
      <c r="BZ44" s="185" t="str">
        <f t="array" aca="1" ref="BZ44" ca="1">IF(BY42="●",
INDIRECT("'盛付札（関数）'!FN"&amp;BX41)+INDIRECT("'盛付札（関数）'!FN"&amp;BX41+1),
IF(BY42="△",
INDIRECT("'盛付札（関数）'!FN"&amp;BX41+1),INDIRECT("'盛付札（関数）'!FN"&amp;BX41)))</f>
        <v/>
      </c>
      <c r="CA44" s="199"/>
      <c r="CB44" s="79"/>
      <c r="CC44" s="197" t="str">
        <f t="array" aca="1" ref="CC44" ca="1">IF(BZ41&lt;&gt;"",
IF(AND(INDIRECT("'盛付札（関数）'!FI"&amp;BX41)&gt;=124,INDIRECT("'盛付札（関数）'!FI"&amp;BX41)&lt;=144),"",
IF(OR(INDIRECT("'盛付札（関数）'!FI"&amp;BX41)=121,INDIRECT("'盛付札（関数）'!FI"&amp;BX41)=122,INDIRECT("'盛付札（関数）'!FI"&amp;BX41)=123),"",
IF(BY42="●",
IFERROR(INDIRECT("'盛付札（関数）'!FO"&amp;BX41)+INDIRECT("'盛付札（関数）'!FO"&amp;BX41+1),""),
IF(BY42="△",
INDIRECT("'盛付札（関数）'!FO"&amp;BX41+1),INDIRECT("'盛付札（関数）'!FO"&amp;BX41))))),"")</f>
        <v/>
      </c>
      <c r="CD44" s="198"/>
      <c r="CE44" s="54"/>
      <c r="CF44" s="53"/>
      <c r="CG44" s="185" t="str">
        <f t="array" aca="1" ref="CG44" ca="1">IF(CF42="●",
INDIRECT("'盛付札（関数）'!FN"&amp;CE41)+INDIRECT("'盛付札（関数）'!FN"&amp;CE41+1),
IF(CF42="△",
INDIRECT("'盛付札（関数）'!FN"&amp;CE41+1),INDIRECT("'盛付札（関数）'!FN"&amp;CE41)))</f>
        <v/>
      </c>
      <c r="CH44" s="199"/>
      <c r="CI44" s="79"/>
      <c r="CJ44" s="197" t="str">
        <f t="array" aca="1" ref="CJ44" ca="1">IF(CG41&lt;&gt;"",
IF(AND(INDIRECT("'盛付札（関数）'!FI"&amp;CE41)&gt;=124,INDIRECT("'盛付札（関数）'!FI"&amp;CE41)&lt;=144),"",
IF(OR(INDIRECT("'盛付札（関数）'!FI"&amp;CE41)=121,INDIRECT("'盛付札（関数）'!FI"&amp;CE41)=122,INDIRECT("'盛付札（関数）'!FI"&amp;CE41)=123),"",
IF(CF42="●",
IFERROR(INDIRECT("'盛付札（関数）'!FO"&amp;CE41)+INDIRECT("'盛付札（関数）'!FO"&amp;CE41+1),""),
IF(CF42="△",
INDIRECT("'盛付札（関数）'!FO"&amp;CE41+1),INDIRECT("'盛付札（関数）'!FO"&amp;CE41))))),"")</f>
        <v/>
      </c>
      <c r="CK44" s="198"/>
      <c r="CN44" s="53"/>
      <c r="CO44" s="185" t="str">
        <f t="array" aca="1" ref="CO44" ca="1">IF(CN42="●",
INDIRECT("'盛付札（関数）'!FN"&amp;CM41)+INDIRECT("'盛付札（関数）'!FN"&amp;CM41+1),
IF(CN42="△",
INDIRECT("'盛付札（関数）'!FN"&amp;CM41+1),INDIRECT("'盛付札（関数）'!FN"&amp;CM41)))</f>
        <v/>
      </c>
      <c r="CP44" s="199"/>
      <c r="CQ44" s="79"/>
      <c r="CR44" s="197" t="str">
        <f t="array" aca="1" ref="CR44" ca="1">IF(CO41&lt;&gt;"",
IF(AND(INDIRECT("'盛付札（関数）'!FI"&amp;CM41)&gt;=124,INDIRECT("'盛付札（関数）'!FI"&amp;CM41)&lt;=144),"",
IF(OR(INDIRECT("'盛付札（関数）'!FI"&amp;CM41)=121,INDIRECT("'盛付札（関数）'!FI"&amp;CM41)=122,INDIRECT("'盛付札（関数）'!FI"&amp;CM41)=123),"",
IF(CN42="●",
IFERROR(INDIRECT("'盛付札（関数）'!FO"&amp;CM41)+INDIRECT("'盛付札（関数）'!FO"&amp;CM41+1),""),
IF(CN42="△",
INDIRECT("'盛付札（関数）'!FO"&amp;CM41+1),INDIRECT("'盛付札（関数）'!FO"&amp;CM41))))),"")</f>
        <v/>
      </c>
      <c r="CS44" s="198"/>
      <c r="CT44" s="54"/>
      <c r="CU44" s="53"/>
      <c r="CV44" s="185" t="str">
        <f t="array" aca="1" ref="CV44" ca="1">IF(CU42="●",
INDIRECT("'盛付札（関数）'!FN"&amp;CT41)+INDIRECT("'盛付札（関数）'!FN"&amp;CT41+1),
IF(CU42="△",
INDIRECT("'盛付札（関数）'!FN"&amp;CT41+1),INDIRECT("'盛付札（関数）'!FN"&amp;CT41)))</f>
        <v/>
      </c>
      <c r="CW44" s="199"/>
      <c r="CX44" s="79"/>
      <c r="CY44" s="197" t="str">
        <f t="array" aca="1" ref="CY44" ca="1">IF(CV41&lt;&gt;"",
IF(AND(INDIRECT("'盛付札（関数）'!FI"&amp;CT41)&gt;=124,INDIRECT("'盛付札（関数）'!FI"&amp;CT41)&lt;=144),"",
IF(OR(INDIRECT("'盛付札（関数）'!FI"&amp;CT41)=121,INDIRECT("'盛付札（関数）'!FI"&amp;CT41)=122,INDIRECT("'盛付札（関数）'!FI"&amp;CT41)=123),"",
IF(CU42="●",
IFERROR(INDIRECT("'盛付札（関数）'!FO"&amp;CT41)+INDIRECT("'盛付札（関数）'!FO"&amp;CT41+1),""),
IF(CU42="△",
INDIRECT("'盛付札（関数）'!FO"&amp;CT41+1),INDIRECT("'盛付札（関数）'!FO"&amp;CT41))))),"")</f>
        <v/>
      </c>
      <c r="CZ44" s="198"/>
      <c r="DC44" s="53"/>
      <c r="DD44" s="185" t="str">
        <f t="array" aca="1" ref="DD44" ca="1">IF(DC42="●",
INDIRECT("'盛付札（関数）'!FN"&amp;DB41)+INDIRECT("'盛付札（関数）'!FN"&amp;DB41+1),
IF(DC42="△",
INDIRECT("'盛付札（関数）'!FN"&amp;DB41+1),INDIRECT("'盛付札（関数）'!FN"&amp;DB41)))</f>
        <v/>
      </c>
      <c r="DE44" s="199"/>
      <c r="DF44" s="79"/>
      <c r="DG44" s="197" t="str">
        <f t="array" aca="1" ref="DG44" ca="1">IF(DD41&lt;&gt;"",
IF(AND(INDIRECT("'盛付札（関数）'!FI"&amp;DB41)&gt;=124,INDIRECT("'盛付札（関数）'!FI"&amp;DB41)&lt;=144),"",
IF(OR(INDIRECT("'盛付札（関数）'!FI"&amp;DB41)=121,INDIRECT("'盛付札（関数）'!FI"&amp;DB41)=122,INDIRECT("'盛付札（関数）'!FI"&amp;DB41)=123),"",
IF(DC42="●",
IFERROR(INDIRECT("'盛付札（関数）'!FO"&amp;DB41)+INDIRECT("'盛付札（関数）'!FO"&amp;DB41+1),""),
IF(DC42="△",
INDIRECT("'盛付札（関数）'!FO"&amp;DB41+1),INDIRECT("'盛付札（関数）'!FO"&amp;DB41))))),"")</f>
        <v/>
      </c>
      <c r="DH44" s="198"/>
      <c r="DI44" s="54"/>
      <c r="DJ44" s="53"/>
      <c r="DK44" s="185" t="str">
        <f t="array" aca="1" ref="DK44" ca="1">IF(DJ42="●",
INDIRECT("'盛付札（関数）'!FN"&amp;DI41)+INDIRECT("'盛付札（関数）'!FN"&amp;DI41+1),
IF(DJ42="△",
INDIRECT("'盛付札（関数）'!FN"&amp;DI41+1),INDIRECT("'盛付札（関数）'!FN"&amp;DI41)))</f>
        <v/>
      </c>
      <c r="DL44" s="199"/>
      <c r="DM44" s="79"/>
      <c r="DN44" s="197" t="str">
        <f t="array" aca="1" ref="DN44" ca="1">IF(DK41&lt;&gt;"",
IF(AND(INDIRECT("'盛付札（関数）'!FI"&amp;DI41)&gt;=124,INDIRECT("'盛付札（関数）'!FI"&amp;DI41)&lt;=144),"",
IF(OR(INDIRECT("'盛付札（関数）'!FI"&amp;DI41)=121,INDIRECT("'盛付札（関数）'!FI"&amp;DI41)=122,INDIRECT("'盛付札（関数）'!FI"&amp;DI41)=123),"",
IF(DJ42="●",
IFERROR(INDIRECT("'盛付札（関数）'!FO"&amp;DI41)+INDIRECT("'盛付札（関数）'!FO"&amp;DI41+1),""),
IF(DJ42="△",
INDIRECT("'盛付札（関数）'!FO"&amp;DI41+1),INDIRECT("'盛付札（関数）'!FO"&amp;DI41))))),"")</f>
        <v/>
      </c>
      <c r="DO44" s="198"/>
      <c r="DR44" s="53"/>
      <c r="DS44" s="185" t="str">
        <f t="array" aca="1" ref="DS44" ca="1">IF(DR42="●",
INDIRECT("'盛付札（関数）'!FN"&amp;DQ41)+INDIRECT("'盛付札（関数）'!FN"&amp;DQ41+1),
IF(DR42="△",
INDIRECT("'盛付札（関数）'!FN"&amp;DQ41+1),INDIRECT("'盛付札（関数）'!FN"&amp;DQ41)))</f>
        <v/>
      </c>
      <c r="DT44" s="199"/>
      <c r="DU44" s="79"/>
      <c r="DV44" s="197" t="str">
        <f t="array" aca="1" ref="DV44" ca="1">IF(DS41&lt;&gt;"",
IF(AND(INDIRECT("'盛付札（関数）'!FI"&amp;DQ41)&gt;=124,INDIRECT("'盛付札（関数）'!FI"&amp;DQ41)&lt;=144),"",
IF(OR(INDIRECT("'盛付札（関数）'!FI"&amp;DQ41)=121,INDIRECT("'盛付札（関数）'!FI"&amp;DQ41)=122,INDIRECT("'盛付札（関数）'!FI"&amp;DQ41)=123),"",
IF(DR42="●",
IFERROR(INDIRECT("'盛付札（関数）'!FO"&amp;DQ41)+INDIRECT("'盛付札（関数）'!FO"&amp;DQ41+1),""),
IF(DR42="△",
INDIRECT("'盛付札（関数）'!FO"&amp;DQ41+1),INDIRECT("'盛付札（関数）'!FO"&amp;DQ41))))),"")</f>
        <v/>
      </c>
      <c r="DW44" s="198"/>
      <c r="DX44" s="54"/>
      <c r="DY44" s="53"/>
      <c r="DZ44" s="185" t="str">
        <f t="array" aca="1" ref="DZ44" ca="1">IF(DY42="●",
INDIRECT("'盛付札（関数）'!FN"&amp;DX41)+INDIRECT("'盛付札（関数）'!FN"&amp;DX41+1),
IF(DY42="△",
INDIRECT("'盛付札（関数）'!FN"&amp;DX41+1),INDIRECT("'盛付札（関数）'!FN"&amp;DX41)))</f>
        <v/>
      </c>
      <c r="EA44" s="199"/>
      <c r="EB44" s="79"/>
      <c r="EC44" s="197" t="str">
        <f t="array" aca="1" ref="EC44" ca="1">IF(DZ41&lt;&gt;"",
IF(AND(INDIRECT("'盛付札（関数）'!FI"&amp;DX41)&gt;=124,INDIRECT("'盛付札（関数）'!FI"&amp;DX41)&lt;=144),"",
IF(OR(INDIRECT("'盛付札（関数）'!FI"&amp;DX41)=121,INDIRECT("'盛付札（関数）'!FI"&amp;DX41)=122,INDIRECT("'盛付札（関数）'!FI"&amp;DX41)=123),"",
IF(DY42="●",
IFERROR(INDIRECT("'盛付札（関数）'!FO"&amp;DX41)+INDIRECT("'盛付札（関数）'!FO"&amp;DX41+1),""),
IF(DY42="△",
INDIRECT("'盛付札（関数）'!FO"&amp;DX41+1),INDIRECT("'盛付札（関数）'!FO"&amp;DX41))))),"")</f>
        <v/>
      </c>
      <c r="ED44" s="198"/>
      <c r="EG44" s="53"/>
      <c r="EH44" s="185" t="str">
        <f t="array" aca="1" ref="EH44" ca="1">IF(EG42="●",
INDIRECT("'盛付札（関数）'!FN"&amp;EF41)+INDIRECT("'盛付札（関数）'!FN"&amp;EF41+1),
IF(EG42="△",
INDIRECT("'盛付札（関数）'!FN"&amp;EF41+1),INDIRECT("'盛付札（関数）'!FN"&amp;EF41)))</f>
        <v/>
      </c>
      <c r="EI44" s="199"/>
      <c r="EJ44" s="79"/>
      <c r="EK44" s="197" t="str">
        <f t="array" aca="1" ref="EK44" ca="1">IF(EH41&lt;&gt;"",
IF(AND(INDIRECT("'盛付札（関数）'!FI"&amp;EF41)&gt;=124,INDIRECT("'盛付札（関数）'!FI"&amp;EF41)&lt;=144),"",
IF(OR(INDIRECT("'盛付札（関数）'!FI"&amp;EF41)=121,INDIRECT("'盛付札（関数）'!FI"&amp;EF41)=122,INDIRECT("'盛付札（関数）'!FI"&amp;EF41)=123),"",
IF(EG42="●",
IFERROR(INDIRECT("'盛付札（関数）'!FO"&amp;EF41)+INDIRECT("'盛付札（関数）'!FO"&amp;EF41+1),""),
IF(EG42="△",
INDIRECT("'盛付札（関数）'!FO"&amp;EF41+1),INDIRECT("'盛付札（関数）'!FO"&amp;EF41))))),"")</f>
        <v/>
      </c>
      <c r="EL44" s="198"/>
      <c r="EM44" s="54"/>
      <c r="EN44" s="53"/>
      <c r="EO44" s="185" t="str">
        <f t="array" aca="1" ref="EO44" ca="1">IF(EN42="●",
INDIRECT("'盛付札（関数）'!FN"&amp;EM41)+INDIRECT("'盛付札（関数）'!FN"&amp;EM41+1),
IF(EN42="△",
INDIRECT("'盛付札（関数）'!FN"&amp;EM41+1),INDIRECT("'盛付札（関数）'!FN"&amp;EM41)))</f>
        <v/>
      </c>
      <c r="EP44" s="199"/>
      <c r="EQ44" s="79"/>
      <c r="ER44" s="197" t="str">
        <f t="array" aca="1" ref="ER44" ca="1">IF(EO41&lt;&gt;"",
IF(AND(INDIRECT("'盛付札（関数）'!FI"&amp;EM41)&gt;=124,INDIRECT("'盛付札（関数）'!FI"&amp;EM41)&lt;=144),"",
IF(OR(INDIRECT("'盛付札（関数）'!FI"&amp;EM41)=121,INDIRECT("'盛付札（関数）'!FI"&amp;EM41)=122,INDIRECT("'盛付札（関数）'!FI"&amp;EM41)=123),"",
IF(EN42="●",
IFERROR(INDIRECT("'盛付札（関数）'!FO"&amp;EM41)+INDIRECT("'盛付札（関数）'!FO"&amp;EM41+1),""),
IF(EN42="△",
INDIRECT("'盛付札（関数）'!FO"&amp;EM41+1),INDIRECT("'盛付札（関数）'!FO"&amp;EM41))))),"")</f>
        <v/>
      </c>
      <c r="ES44" s="198"/>
    </row>
    <row r="45" spans="1:150" ht="15.6" customHeight="1" x14ac:dyDescent="0.45">
      <c r="B45" s="55"/>
      <c r="C45" s="187"/>
      <c r="D45" s="187"/>
      <c r="E45" s="73"/>
      <c r="F45" s="187"/>
      <c r="G45" s="195"/>
      <c r="H45" s="54"/>
      <c r="I45" s="55"/>
      <c r="J45" s="187"/>
      <c r="K45" s="187"/>
      <c r="L45" s="73"/>
      <c r="M45" s="187"/>
      <c r="N45" s="195"/>
      <c r="Q45" s="55"/>
      <c r="R45" s="187"/>
      <c r="S45" s="187"/>
      <c r="T45" s="73"/>
      <c r="U45" s="187"/>
      <c r="V45" s="195"/>
      <c r="W45" s="54"/>
      <c r="X45" s="55"/>
      <c r="Y45" s="187"/>
      <c r="Z45" s="187"/>
      <c r="AA45" s="73"/>
      <c r="AB45" s="187"/>
      <c r="AC45" s="195"/>
      <c r="AF45" s="55"/>
      <c r="AG45" s="187"/>
      <c r="AH45" s="187"/>
      <c r="AI45" s="73"/>
      <c r="AJ45" s="187"/>
      <c r="AK45" s="195"/>
      <c r="AL45" s="54"/>
      <c r="AM45" s="55"/>
      <c r="AN45" s="187"/>
      <c r="AO45" s="187"/>
      <c r="AP45" s="73"/>
      <c r="AQ45" s="187"/>
      <c r="AR45" s="195"/>
      <c r="AU45" s="55"/>
      <c r="AV45" s="187"/>
      <c r="AW45" s="187"/>
      <c r="AX45" s="73"/>
      <c r="AY45" s="187"/>
      <c r="AZ45" s="195"/>
      <c r="BA45" s="54"/>
      <c r="BB45" s="55"/>
      <c r="BC45" s="187"/>
      <c r="BD45" s="187"/>
      <c r="BE45" s="73"/>
      <c r="BF45" s="187"/>
      <c r="BG45" s="195"/>
      <c r="BJ45" s="55"/>
      <c r="BK45" s="187"/>
      <c r="BL45" s="187"/>
      <c r="BM45" s="73"/>
      <c r="BN45" s="187"/>
      <c r="BO45" s="195"/>
      <c r="BP45" s="54"/>
      <c r="BQ45" s="55"/>
      <c r="BR45" s="187"/>
      <c r="BS45" s="187"/>
      <c r="BT45" s="73"/>
      <c r="BU45" s="187"/>
      <c r="BV45" s="195"/>
      <c r="BY45" s="55"/>
      <c r="BZ45" s="187"/>
      <c r="CA45" s="187"/>
      <c r="CB45" s="73"/>
      <c r="CC45" s="187"/>
      <c r="CD45" s="195"/>
      <c r="CE45" s="54"/>
      <c r="CF45" s="55"/>
      <c r="CG45" s="187"/>
      <c r="CH45" s="187"/>
      <c r="CI45" s="73"/>
      <c r="CJ45" s="187"/>
      <c r="CK45" s="195"/>
      <c r="CN45" s="55"/>
      <c r="CO45" s="187"/>
      <c r="CP45" s="187"/>
      <c r="CQ45" s="73"/>
      <c r="CR45" s="187"/>
      <c r="CS45" s="195"/>
      <c r="CT45" s="54"/>
      <c r="CU45" s="55"/>
      <c r="CV45" s="187"/>
      <c r="CW45" s="187"/>
      <c r="CX45" s="73"/>
      <c r="CY45" s="187"/>
      <c r="CZ45" s="195"/>
      <c r="DC45" s="55"/>
      <c r="DD45" s="187"/>
      <c r="DE45" s="187"/>
      <c r="DF45" s="73"/>
      <c r="DG45" s="187"/>
      <c r="DH45" s="195"/>
      <c r="DI45" s="54"/>
      <c r="DJ45" s="55"/>
      <c r="DK45" s="187"/>
      <c r="DL45" s="187"/>
      <c r="DM45" s="73"/>
      <c r="DN45" s="187"/>
      <c r="DO45" s="195"/>
      <c r="DR45" s="55"/>
      <c r="DS45" s="187"/>
      <c r="DT45" s="187"/>
      <c r="DU45" s="73"/>
      <c r="DV45" s="187"/>
      <c r="DW45" s="195"/>
      <c r="DX45" s="54"/>
      <c r="DY45" s="55"/>
      <c r="DZ45" s="187"/>
      <c r="EA45" s="187"/>
      <c r="EB45" s="73"/>
      <c r="EC45" s="187"/>
      <c r="ED45" s="195"/>
      <c r="EG45" s="55"/>
      <c r="EH45" s="187"/>
      <c r="EI45" s="187"/>
      <c r="EJ45" s="73"/>
      <c r="EK45" s="187"/>
      <c r="EL45" s="195"/>
      <c r="EM45" s="54"/>
      <c r="EN45" s="55"/>
      <c r="EO45" s="187"/>
      <c r="EP45" s="187"/>
      <c r="EQ45" s="73"/>
      <c r="ER45" s="187"/>
      <c r="ES45" s="195"/>
    </row>
    <row r="46" spans="1:150" s="60" customFormat="1" x14ac:dyDescent="0.55000000000000004">
      <c r="A46" s="59"/>
      <c r="B46" s="66" t="str">
        <f t="array" aca="1" ref="B46" ca="1">IF(C41&lt;&gt;"",
IF(OR(INDIRECT("'盛付札（関数）'!FI"&amp;A41)=121,INDIRECT("'盛付札（関数）'!FI"&amp;A41)=122,INDIRECT("'盛付札（関数）'!FI"&amp;A41)=123),"",
"パン箱"),"")</f>
        <v/>
      </c>
      <c r="C46" s="64" t="str">
        <f t="array" aca="1" ref="C46" ca="1">IF(C41&lt;&gt;"",
IF(OR(INDIRECT("'盛付札（関数）'!FI"&amp;A41)=121,INDIRECT("'盛付札（関数）'!FI"&amp;A41)=122,INDIRECT("'盛付札（関数）'!FI"&amp;A41)=123),"",
IF(B42="△",
INDIRECT("'盛付札（関数）'!FP"&amp;A41+1),INDIRECT("'盛付札（関数）'!FP"&amp;A41))),"")</f>
        <v/>
      </c>
      <c r="D46" s="66" t="str">
        <f t="array" aca="1" ref="D46" ca="1">IF(C41&lt;&gt;"",
IF(OR(INDIRECT("'盛付札（関数）'!FI"&amp;A41)=121,INDIRECT("'盛付札（関数）'!FI"&amp;A41)=122,INDIRECT("'盛付札（関数）'!FI"&amp;A41)=123),"",
"端数"),"")</f>
        <v/>
      </c>
      <c r="E46" s="64"/>
      <c r="F46" s="66" t="str">
        <f t="array" aca="1" ref="F46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"アレルギー")),"")</f>
        <v/>
      </c>
      <c r="G46" s="69"/>
      <c r="H46" s="49"/>
      <c r="I46" s="66" t="str">
        <f t="array" aca="1" ref="I46" ca="1">IF(J41&lt;&gt;"",
IF(OR(INDIRECT("'盛付札（関数）'!FI"&amp;H41)=121,INDIRECT("'盛付札（関数）'!FI"&amp;H41)=122,INDIRECT("'盛付札（関数）'!FI"&amp;H41)=123),"",
"パン箱"),"")</f>
        <v/>
      </c>
      <c r="J46" s="64" t="str">
        <f t="array" aca="1" ref="J46" ca="1">IF(J41&lt;&gt;"",
IF(OR(INDIRECT("'盛付札（関数）'!FI"&amp;H41)=121,INDIRECT("'盛付札（関数）'!FI"&amp;H41)=122,INDIRECT("'盛付札（関数）'!FI"&amp;H41)=123),"",
IF(I42="△",
INDIRECT("'盛付札（関数）'!FP"&amp;H41+1),INDIRECT("'盛付札（関数）'!FP"&amp;H41))),"")</f>
        <v/>
      </c>
      <c r="K46" s="66" t="str">
        <f t="array" aca="1" ref="K46" ca="1">IF(J41&lt;&gt;"",
IF(OR(INDIRECT("'盛付札（関数）'!FI"&amp;H41)=121,INDIRECT("'盛付札（関数）'!FI"&amp;H41)=122,INDIRECT("'盛付札（関数）'!FI"&amp;H41)=123),"",
"端数"),"")</f>
        <v/>
      </c>
      <c r="L46" s="64"/>
      <c r="M46" s="66" t="str">
        <f t="array" aca="1" ref="M46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"アレルギー")),"")</f>
        <v/>
      </c>
      <c r="N46" s="69"/>
      <c r="O46" s="49"/>
      <c r="P46" s="59"/>
      <c r="Q46" s="66" t="str">
        <f t="array" aca="1" ref="Q46" ca="1">IF(R41&lt;&gt;"",
IF(OR(INDIRECT("'盛付札（関数）'!FI"&amp;P41)=121,INDIRECT("'盛付札（関数）'!FI"&amp;P41)=122,INDIRECT("'盛付札（関数）'!FI"&amp;P41)=123),"",
"パン箱"),"")</f>
        <v/>
      </c>
      <c r="R46" s="64" t="str">
        <f t="array" aca="1" ref="R46" ca="1">IF(R41&lt;&gt;"",
IF(OR(INDIRECT("'盛付札（関数）'!FI"&amp;P41)=121,INDIRECT("'盛付札（関数）'!FI"&amp;P41)=122,INDIRECT("'盛付札（関数）'!FI"&amp;P41)=123),"",
IF(Q42="△",
INDIRECT("'盛付札（関数）'!FP"&amp;P41+1),INDIRECT("'盛付札（関数）'!FP"&amp;P41))),"")</f>
        <v/>
      </c>
      <c r="S46" s="66" t="str">
        <f t="array" aca="1" ref="S46" ca="1">IF(R41&lt;&gt;"",
IF(OR(INDIRECT("'盛付札（関数）'!FI"&amp;P41)=121,INDIRECT("'盛付札（関数）'!FI"&amp;P41)=122,INDIRECT("'盛付札（関数）'!FI"&amp;P41)=123),"",
"端数"),"")</f>
        <v/>
      </c>
      <c r="T46" s="64"/>
      <c r="U46" s="66" t="str">
        <f t="array" aca="1" ref="U46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"アレルギー")),"")</f>
        <v/>
      </c>
      <c r="V46" s="69"/>
      <c r="W46" s="49"/>
      <c r="X46" s="66" t="str">
        <f t="array" aca="1" ref="X46" ca="1">IF(Y41&lt;&gt;"",
IF(OR(INDIRECT("'盛付札（関数）'!FI"&amp;W41)=121,INDIRECT("'盛付札（関数）'!FI"&amp;W41)=122,INDIRECT("'盛付札（関数）'!FI"&amp;W41)=123),"",
"パン箱"),"")</f>
        <v/>
      </c>
      <c r="Y46" s="64" t="str">
        <f t="array" aca="1" ref="Y46" ca="1">IF(Y41&lt;&gt;"",
IF(OR(INDIRECT("'盛付札（関数）'!FI"&amp;W41)=121,INDIRECT("'盛付札（関数）'!FI"&amp;W41)=122,INDIRECT("'盛付札（関数）'!FI"&amp;W41)=123),"",
IF(X42="△",
INDIRECT("'盛付札（関数）'!FP"&amp;W41+1),INDIRECT("'盛付札（関数）'!FP"&amp;W41))),"")</f>
        <v/>
      </c>
      <c r="Z46" s="66" t="str">
        <f t="array" aca="1" ref="Z46" ca="1">IF(Y41&lt;&gt;"",
IF(OR(INDIRECT("'盛付札（関数）'!FI"&amp;W41)=121,INDIRECT("'盛付札（関数）'!FI"&amp;W41)=122,INDIRECT("'盛付札（関数）'!FI"&amp;W41)=123),"",
"端数"),"")</f>
        <v/>
      </c>
      <c r="AA46" s="64"/>
      <c r="AB46" s="66" t="str">
        <f t="array" aca="1" ref="AB46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"アレルギー")),"")</f>
        <v/>
      </c>
      <c r="AC46" s="69"/>
      <c r="AD46" s="49"/>
      <c r="AE46" s="59"/>
      <c r="AF46" s="66" t="str">
        <f t="array" aca="1" ref="AF46" ca="1">IF(AG41&lt;&gt;"",
IF(OR(INDIRECT("'盛付札（関数）'!FI"&amp;AE41)=121,INDIRECT("'盛付札（関数）'!FI"&amp;AE41)=122,INDIRECT("'盛付札（関数）'!FI"&amp;AE41)=123),"",
"パン箱"),"")</f>
        <v/>
      </c>
      <c r="AG46" s="64" t="str">
        <f t="array" aca="1" ref="AG46" ca="1">IF(AG41&lt;&gt;"",
IF(OR(INDIRECT("'盛付札（関数）'!FI"&amp;AE41)=121,INDIRECT("'盛付札（関数）'!FI"&amp;AE41)=122,INDIRECT("'盛付札（関数）'!FI"&amp;AE41)=123),"",
IF(AF42="△",
INDIRECT("'盛付札（関数）'!FP"&amp;AE41+1),INDIRECT("'盛付札（関数）'!FP"&amp;AE41))),"")</f>
        <v/>
      </c>
      <c r="AH46" s="66" t="str">
        <f t="array" aca="1" ref="AH46" ca="1">IF(AG41&lt;&gt;"",
IF(OR(INDIRECT("'盛付札（関数）'!FI"&amp;AE41)=121,INDIRECT("'盛付札（関数）'!FI"&amp;AE41)=122,INDIRECT("'盛付札（関数）'!FI"&amp;AE41)=123),"",
"端数"),"")</f>
        <v/>
      </c>
      <c r="AI46" s="64"/>
      <c r="AJ46" s="66" t="str">
        <f t="array" aca="1" ref="AJ46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"アレルギー")),"")</f>
        <v/>
      </c>
      <c r="AK46" s="69"/>
      <c r="AL46" s="49"/>
      <c r="AM46" s="66" t="str">
        <f t="array" aca="1" ref="AM46" ca="1">IF(AN41&lt;&gt;"",
IF(OR(INDIRECT("'盛付札（関数）'!FI"&amp;AL41)=121,INDIRECT("'盛付札（関数）'!FI"&amp;AL41)=122,INDIRECT("'盛付札（関数）'!FI"&amp;AL41)=123),"",
"パン箱"),"")</f>
        <v/>
      </c>
      <c r="AN46" s="64" t="str">
        <f t="array" aca="1" ref="AN46" ca="1">IF(AN41&lt;&gt;"",
IF(OR(INDIRECT("'盛付札（関数）'!FI"&amp;AL41)=121,INDIRECT("'盛付札（関数）'!FI"&amp;AL41)=122,INDIRECT("'盛付札（関数）'!FI"&amp;AL41)=123),"",
IF(AM42="△",
INDIRECT("'盛付札（関数）'!FP"&amp;AL41+1),INDIRECT("'盛付札（関数）'!FP"&amp;AL41))),"")</f>
        <v/>
      </c>
      <c r="AO46" s="66" t="str">
        <f t="array" aca="1" ref="AO46" ca="1">IF(AN41&lt;&gt;"",
IF(OR(INDIRECT("'盛付札（関数）'!FI"&amp;AL41)=121,INDIRECT("'盛付札（関数）'!FI"&amp;AL41)=122,INDIRECT("'盛付札（関数）'!FI"&amp;AL41)=123),"",
"端数"),"")</f>
        <v/>
      </c>
      <c r="AP46" s="64"/>
      <c r="AQ46" s="66" t="str">
        <f t="array" aca="1" ref="AQ46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"アレルギー")),"")</f>
        <v/>
      </c>
      <c r="AR46" s="69"/>
      <c r="AS46" s="49"/>
      <c r="AT46" s="59"/>
      <c r="AU46" s="66" t="str">
        <f t="array" aca="1" ref="AU46" ca="1">IF(AV41&lt;&gt;"",
IF(OR(INDIRECT("'盛付札（関数）'!FI"&amp;AT41)=121,INDIRECT("'盛付札（関数）'!FI"&amp;AT41)=122,INDIRECT("'盛付札（関数）'!FI"&amp;AT41)=123),"",
"パン箱"),"")</f>
        <v/>
      </c>
      <c r="AV46" s="64" t="str">
        <f t="array" aca="1" ref="AV46" ca="1">IF(AV41&lt;&gt;"",
IF(OR(INDIRECT("'盛付札（関数）'!FI"&amp;AT41)=121,INDIRECT("'盛付札（関数）'!FI"&amp;AT41)=122,INDIRECT("'盛付札（関数）'!FI"&amp;AT41)=123),"",
IF(AU42="△",
INDIRECT("'盛付札（関数）'!FP"&amp;AT41+1),INDIRECT("'盛付札（関数）'!FP"&amp;AT41))),"")</f>
        <v/>
      </c>
      <c r="AW46" s="66" t="str">
        <f t="array" aca="1" ref="AW46" ca="1">IF(AV41&lt;&gt;"",
IF(OR(INDIRECT("'盛付札（関数）'!FI"&amp;AT41)=121,INDIRECT("'盛付札（関数）'!FI"&amp;AT41)=122,INDIRECT("'盛付札（関数）'!FI"&amp;AT41)=123),"",
"端数"),"")</f>
        <v/>
      </c>
      <c r="AX46" s="64"/>
      <c r="AY46" s="66" t="str">
        <f t="array" aca="1" ref="AY46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"アレルギー")),"")</f>
        <v/>
      </c>
      <c r="AZ46" s="69"/>
      <c r="BA46" s="49"/>
      <c r="BB46" s="66" t="str">
        <f t="array" aca="1" ref="BB46" ca="1">IF(BC41&lt;&gt;"",
IF(OR(INDIRECT("'盛付札（関数）'!FI"&amp;BA41)=121,INDIRECT("'盛付札（関数）'!FI"&amp;BA41)=122,INDIRECT("'盛付札（関数）'!FI"&amp;BA41)=123),"",
"パン箱"),"")</f>
        <v/>
      </c>
      <c r="BC46" s="64" t="str">
        <f t="array" aca="1" ref="BC46" ca="1">IF(BC41&lt;&gt;"",
IF(OR(INDIRECT("'盛付札（関数）'!FI"&amp;BA41)=121,INDIRECT("'盛付札（関数）'!FI"&amp;BA41)=122,INDIRECT("'盛付札（関数）'!FI"&amp;BA41)=123),"",
IF(BB42="△",
INDIRECT("'盛付札（関数）'!FP"&amp;BA41+1),INDIRECT("'盛付札（関数）'!FP"&amp;BA41))),"")</f>
        <v/>
      </c>
      <c r="BD46" s="66" t="str">
        <f t="array" aca="1" ref="BD46" ca="1">IF(BC41&lt;&gt;"",
IF(OR(INDIRECT("'盛付札（関数）'!FI"&amp;BA41)=121,INDIRECT("'盛付札（関数）'!FI"&amp;BA41)=122,INDIRECT("'盛付札（関数）'!FI"&amp;BA41)=123),"",
"端数"),"")</f>
        <v/>
      </c>
      <c r="BE46" s="64"/>
      <c r="BF46" s="66" t="str">
        <f t="array" aca="1" ref="BF46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"アレルギー")),"")</f>
        <v/>
      </c>
      <c r="BG46" s="69"/>
      <c r="BH46" s="49"/>
      <c r="BI46" s="59"/>
      <c r="BJ46" s="66" t="str">
        <f t="array" aca="1" ref="BJ46" ca="1">IF(BK41&lt;&gt;"",
IF(OR(INDIRECT("'盛付札（関数）'!FI"&amp;BI41)=121,INDIRECT("'盛付札（関数）'!FI"&amp;BI41)=122,INDIRECT("'盛付札（関数）'!FI"&amp;BI41)=123),"",
"パン箱"),"")</f>
        <v/>
      </c>
      <c r="BK46" s="64" t="str">
        <f t="array" aca="1" ref="BK46" ca="1">IF(BK41&lt;&gt;"",
IF(OR(INDIRECT("'盛付札（関数）'!FI"&amp;BI41)=121,INDIRECT("'盛付札（関数）'!FI"&amp;BI41)=122,INDIRECT("'盛付札（関数）'!FI"&amp;BI41)=123),"",
IF(BJ42="△",
INDIRECT("'盛付札（関数）'!FP"&amp;BI41+1),INDIRECT("'盛付札（関数）'!FP"&amp;BI41))),"")</f>
        <v/>
      </c>
      <c r="BL46" s="66" t="str">
        <f t="array" aca="1" ref="BL46" ca="1">IF(BK41&lt;&gt;"",
IF(OR(INDIRECT("'盛付札（関数）'!FI"&amp;BI41)=121,INDIRECT("'盛付札（関数）'!FI"&amp;BI41)=122,INDIRECT("'盛付札（関数）'!FI"&amp;BI41)=123),"",
"端数"),"")</f>
        <v/>
      </c>
      <c r="BM46" s="64"/>
      <c r="BN46" s="66" t="str">
        <f t="array" aca="1" ref="BN46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"アレルギー")),"")</f>
        <v/>
      </c>
      <c r="BO46" s="69"/>
      <c r="BP46" s="49"/>
      <c r="BQ46" s="66" t="str">
        <f t="array" aca="1" ref="BQ46" ca="1">IF(BR41&lt;&gt;"",
IF(OR(INDIRECT("'盛付札（関数）'!FI"&amp;BP41)=121,INDIRECT("'盛付札（関数）'!FI"&amp;BP41)=122,INDIRECT("'盛付札（関数）'!FI"&amp;BP41)=123),"",
"パン箱"),"")</f>
        <v/>
      </c>
      <c r="BR46" s="64" t="str">
        <f t="array" aca="1" ref="BR46" ca="1">IF(BR41&lt;&gt;"",
IF(OR(INDIRECT("'盛付札（関数）'!FI"&amp;BP41)=121,INDIRECT("'盛付札（関数）'!FI"&amp;BP41)=122,INDIRECT("'盛付札（関数）'!FI"&amp;BP41)=123),"",
IF(BQ42="△",
INDIRECT("'盛付札（関数）'!FP"&amp;BP41+1),INDIRECT("'盛付札（関数）'!FP"&amp;BP41))),"")</f>
        <v/>
      </c>
      <c r="BS46" s="66" t="str">
        <f t="array" aca="1" ref="BS46" ca="1">IF(BR41&lt;&gt;"",
IF(OR(INDIRECT("'盛付札（関数）'!FI"&amp;BP41)=121,INDIRECT("'盛付札（関数）'!FI"&amp;BP41)=122,INDIRECT("'盛付札（関数）'!FI"&amp;BP41)=123),"",
"端数"),"")</f>
        <v/>
      </c>
      <c r="BT46" s="64"/>
      <c r="BU46" s="66" t="str">
        <f t="array" aca="1" ref="BU46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"アレルギー")),"")</f>
        <v/>
      </c>
      <c r="BV46" s="69"/>
      <c r="BW46" s="49"/>
      <c r="BX46" s="59"/>
      <c r="BY46" s="66" t="str">
        <f t="array" aca="1" ref="BY46" ca="1">IF(BZ41&lt;&gt;"",
IF(OR(INDIRECT("'盛付札（関数）'!FI"&amp;BX41)=121,INDIRECT("'盛付札（関数）'!FI"&amp;BX41)=122,INDIRECT("'盛付札（関数）'!FI"&amp;BX41)=123),"",
"パン箱"),"")</f>
        <v/>
      </c>
      <c r="BZ46" s="64" t="str">
        <f t="array" aca="1" ref="BZ46" ca="1">IF(BZ41&lt;&gt;"",
IF(OR(INDIRECT("'盛付札（関数）'!FI"&amp;BX41)=121,INDIRECT("'盛付札（関数）'!FI"&amp;BX41)=122,INDIRECT("'盛付札（関数）'!FI"&amp;BX41)=123),"",
IF(BY42="△",
INDIRECT("'盛付札（関数）'!FP"&amp;BX41+1),INDIRECT("'盛付札（関数）'!FP"&amp;BX41))),"")</f>
        <v/>
      </c>
      <c r="CA46" s="66" t="str">
        <f t="array" aca="1" ref="CA46" ca="1">IF(BZ41&lt;&gt;"",
IF(OR(INDIRECT("'盛付札（関数）'!FI"&amp;BX41)=121,INDIRECT("'盛付札（関数）'!FI"&amp;BX41)=122,INDIRECT("'盛付札（関数）'!FI"&amp;BX41)=123),"",
"端数"),"")</f>
        <v/>
      </c>
      <c r="CB46" s="64"/>
      <c r="CC46" s="66" t="str">
        <f t="array" aca="1" ref="CC46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"アレルギー")),"")</f>
        <v/>
      </c>
      <c r="CD46" s="69"/>
      <c r="CE46" s="49"/>
      <c r="CF46" s="66" t="str">
        <f t="array" aca="1" ref="CF46" ca="1">IF(CG41&lt;&gt;"",
IF(OR(INDIRECT("'盛付札（関数）'!FI"&amp;CE41)=121,INDIRECT("'盛付札（関数）'!FI"&amp;CE41)=122,INDIRECT("'盛付札（関数）'!FI"&amp;CE41)=123),"",
"パン箱"),"")</f>
        <v/>
      </c>
      <c r="CG46" s="64" t="str">
        <f t="array" aca="1" ref="CG46" ca="1">IF(CG41&lt;&gt;"",
IF(OR(INDIRECT("'盛付札（関数）'!FI"&amp;CE41)=121,INDIRECT("'盛付札（関数）'!FI"&amp;CE41)=122,INDIRECT("'盛付札（関数）'!FI"&amp;CE41)=123),"",
IF(CF42="△",
INDIRECT("'盛付札（関数）'!FP"&amp;CE41+1),INDIRECT("'盛付札（関数）'!FP"&amp;CE41))),"")</f>
        <v/>
      </c>
      <c r="CH46" s="66" t="str">
        <f t="array" aca="1" ref="CH46" ca="1">IF(CG41&lt;&gt;"",
IF(OR(INDIRECT("'盛付札（関数）'!FI"&amp;CE41)=121,INDIRECT("'盛付札（関数）'!FI"&amp;CE41)=122,INDIRECT("'盛付札（関数）'!FI"&amp;CE41)=123),"",
"端数"),"")</f>
        <v/>
      </c>
      <c r="CI46" s="64"/>
      <c r="CJ46" s="66" t="str">
        <f t="array" aca="1" ref="CJ46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"アレルギー")),"")</f>
        <v/>
      </c>
      <c r="CK46" s="69"/>
      <c r="CL46" s="49"/>
      <c r="CM46" s="59"/>
      <c r="CN46" s="66" t="str">
        <f t="array" aca="1" ref="CN46" ca="1">IF(CO41&lt;&gt;"",
IF(OR(INDIRECT("'盛付札（関数）'!FI"&amp;CM41)=121,INDIRECT("'盛付札（関数）'!FI"&amp;CM41)=122,INDIRECT("'盛付札（関数）'!FI"&amp;CM41)=123),"",
"パン箱"),"")</f>
        <v/>
      </c>
      <c r="CO46" s="64" t="str">
        <f t="array" aca="1" ref="CO46" ca="1">IF(CO41&lt;&gt;"",
IF(OR(INDIRECT("'盛付札（関数）'!FI"&amp;CM41)=121,INDIRECT("'盛付札（関数）'!FI"&amp;CM41)=122,INDIRECT("'盛付札（関数）'!FI"&amp;CM41)=123),"",
IF(CN42="△",
INDIRECT("'盛付札（関数）'!FP"&amp;CM41+1),INDIRECT("'盛付札（関数）'!FP"&amp;CM41))),"")</f>
        <v/>
      </c>
      <c r="CP46" s="66" t="str">
        <f t="array" aca="1" ref="CP46" ca="1">IF(CO41&lt;&gt;"",
IF(OR(INDIRECT("'盛付札（関数）'!FI"&amp;CM41)=121,INDIRECT("'盛付札（関数）'!FI"&amp;CM41)=122,INDIRECT("'盛付札（関数）'!FI"&amp;CM41)=123),"",
"端数"),"")</f>
        <v/>
      </c>
      <c r="CQ46" s="64"/>
      <c r="CR46" s="66" t="str">
        <f t="array" aca="1" ref="CR46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"アレルギー")),"")</f>
        <v/>
      </c>
      <c r="CS46" s="69"/>
      <c r="CT46" s="49"/>
      <c r="CU46" s="66" t="str">
        <f t="array" aca="1" ref="CU46" ca="1">IF(CV41&lt;&gt;"",
IF(OR(INDIRECT("'盛付札（関数）'!FI"&amp;CT41)=121,INDIRECT("'盛付札（関数）'!FI"&amp;CT41)=122,INDIRECT("'盛付札（関数）'!FI"&amp;CT41)=123),"",
"パン箱"),"")</f>
        <v/>
      </c>
      <c r="CV46" s="64" t="str">
        <f t="array" aca="1" ref="CV46" ca="1">IF(CV41&lt;&gt;"",
IF(OR(INDIRECT("'盛付札（関数）'!FI"&amp;CT41)=121,INDIRECT("'盛付札（関数）'!FI"&amp;CT41)=122,INDIRECT("'盛付札（関数）'!FI"&amp;CT41)=123),"",
IF(CU42="△",
INDIRECT("'盛付札（関数）'!FP"&amp;CT41+1),INDIRECT("'盛付札（関数）'!FP"&amp;CT41))),"")</f>
        <v/>
      </c>
      <c r="CW46" s="66" t="str">
        <f t="array" aca="1" ref="CW46" ca="1">IF(CV41&lt;&gt;"",
IF(OR(INDIRECT("'盛付札（関数）'!FI"&amp;CT41)=121,INDIRECT("'盛付札（関数）'!FI"&amp;CT41)=122,INDIRECT("'盛付札（関数）'!FI"&amp;CT41)=123),"",
"端数"),"")</f>
        <v/>
      </c>
      <c r="CX46" s="64"/>
      <c r="CY46" s="66" t="str">
        <f t="array" aca="1" ref="CY46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"アレルギー")),"")</f>
        <v/>
      </c>
      <c r="CZ46" s="69"/>
      <c r="DA46" s="49"/>
      <c r="DB46" s="59"/>
      <c r="DC46" s="66" t="str">
        <f t="array" aca="1" ref="DC46" ca="1">IF(DD41&lt;&gt;"",
IF(OR(INDIRECT("'盛付札（関数）'!FI"&amp;DB41)=121,INDIRECT("'盛付札（関数）'!FI"&amp;DB41)=122,INDIRECT("'盛付札（関数）'!FI"&amp;DB41)=123),"",
"パン箱"),"")</f>
        <v/>
      </c>
      <c r="DD46" s="64" t="str">
        <f t="array" aca="1" ref="DD46" ca="1">IF(DD41&lt;&gt;"",
IF(OR(INDIRECT("'盛付札（関数）'!FI"&amp;DB41)=121,INDIRECT("'盛付札（関数）'!FI"&amp;DB41)=122,INDIRECT("'盛付札（関数）'!FI"&amp;DB41)=123),"",
IF(DC42="△",
INDIRECT("'盛付札（関数）'!FP"&amp;DB41+1),INDIRECT("'盛付札（関数）'!FP"&amp;DB41))),"")</f>
        <v/>
      </c>
      <c r="DE46" s="66" t="str">
        <f t="array" aca="1" ref="DE46" ca="1">IF(DD41&lt;&gt;"",
IF(OR(INDIRECT("'盛付札（関数）'!FI"&amp;DB41)=121,INDIRECT("'盛付札（関数）'!FI"&amp;DB41)=122,INDIRECT("'盛付札（関数）'!FI"&amp;DB41)=123),"",
"端数"),"")</f>
        <v/>
      </c>
      <c r="DF46" s="64"/>
      <c r="DG46" s="66" t="str">
        <f t="array" aca="1" ref="DG46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"アレルギー")),"")</f>
        <v/>
      </c>
      <c r="DH46" s="69"/>
      <c r="DI46" s="49"/>
      <c r="DJ46" s="66" t="str">
        <f t="array" aca="1" ref="DJ46" ca="1">IF(DK41&lt;&gt;"",
IF(OR(INDIRECT("'盛付札（関数）'!FI"&amp;DI41)=121,INDIRECT("'盛付札（関数）'!FI"&amp;DI41)=122,INDIRECT("'盛付札（関数）'!FI"&amp;DI41)=123),"",
"パン箱"),"")</f>
        <v/>
      </c>
      <c r="DK46" s="64" t="str">
        <f t="array" aca="1" ref="DK46" ca="1">IF(DK41&lt;&gt;"",
IF(OR(INDIRECT("'盛付札（関数）'!FI"&amp;DI41)=121,INDIRECT("'盛付札（関数）'!FI"&amp;DI41)=122,INDIRECT("'盛付札（関数）'!FI"&amp;DI41)=123),"",
IF(DJ42="△",
INDIRECT("'盛付札（関数）'!FP"&amp;DI41+1),INDIRECT("'盛付札（関数）'!FP"&amp;DI41))),"")</f>
        <v/>
      </c>
      <c r="DL46" s="66" t="str">
        <f t="array" aca="1" ref="DL46" ca="1">IF(DK41&lt;&gt;"",
IF(OR(INDIRECT("'盛付札（関数）'!FI"&amp;DI41)=121,INDIRECT("'盛付札（関数）'!FI"&amp;DI41)=122,INDIRECT("'盛付札（関数）'!FI"&amp;DI41)=123),"",
"端数"),"")</f>
        <v/>
      </c>
      <c r="DM46" s="64"/>
      <c r="DN46" s="66" t="str">
        <f t="array" aca="1" ref="DN46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"アレルギー")),"")</f>
        <v/>
      </c>
      <c r="DO46" s="69"/>
      <c r="DP46" s="49"/>
      <c r="DQ46" s="59"/>
      <c r="DR46" s="66" t="str">
        <f t="array" aca="1" ref="DR46" ca="1">IF(DS41&lt;&gt;"",
IF(OR(INDIRECT("'盛付札（関数）'!FI"&amp;DQ41)=121,INDIRECT("'盛付札（関数）'!FI"&amp;DQ41)=122,INDIRECT("'盛付札（関数）'!FI"&amp;DQ41)=123),"",
"パン箱"),"")</f>
        <v/>
      </c>
      <c r="DS46" s="64" t="str">
        <f t="array" aca="1" ref="DS46" ca="1">IF(DS41&lt;&gt;"",
IF(OR(INDIRECT("'盛付札（関数）'!FI"&amp;DQ41)=121,INDIRECT("'盛付札（関数）'!FI"&amp;DQ41)=122,INDIRECT("'盛付札（関数）'!FI"&amp;DQ41)=123),"",
IF(DR42="△",
INDIRECT("'盛付札（関数）'!FP"&amp;DQ41+1),INDIRECT("'盛付札（関数）'!FP"&amp;DQ41))),"")</f>
        <v/>
      </c>
      <c r="DT46" s="66" t="str">
        <f t="array" aca="1" ref="DT46" ca="1">IF(DS41&lt;&gt;"",
IF(OR(INDIRECT("'盛付札（関数）'!FI"&amp;DQ41)=121,INDIRECT("'盛付札（関数）'!FI"&amp;DQ41)=122,INDIRECT("'盛付札（関数）'!FI"&amp;DQ41)=123),"",
"端数"),"")</f>
        <v/>
      </c>
      <c r="DU46" s="64"/>
      <c r="DV46" s="66" t="str">
        <f t="array" aca="1" ref="DV46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"アレルギー")),"")</f>
        <v/>
      </c>
      <c r="DW46" s="69"/>
      <c r="DX46" s="49"/>
      <c r="DY46" s="66" t="str">
        <f t="array" aca="1" ref="DY46" ca="1">IF(DZ41&lt;&gt;"",
IF(OR(INDIRECT("'盛付札（関数）'!FI"&amp;DX41)=121,INDIRECT("'盛付札（関数）'!FI"&amp;DX41)=122,INDIRECT("'盛付札（関数）'!FI"&amp;DX41)=123),"",
"パン箱"),"")</f>
        <v/>
      </c>
      <c r="DZ46" s="64" t="str">
        <f t="array" aca="1" ref="DZ46" ca="1">IF(DZ41&lt;&gt;"",
IF(OR(INDIRECT("'盛付札（関数）'!FI"&amp;DX41)=121,INDIRECT("'盛付札（関数）'!FI"&amp;DX41)=122,INDIRECT("'盛付札（関数）'!FI"&amp;DX41)=123),"",
IF(DY42="△",
INDIRECT("'盛付札（関数）'!FP"&amp;DX41+1),INDIRECT("'盛付札（関数）'!FP"&amp;DX41))),"")</f>
        <v/>
      </c>
      <c r="EA46" s="66" t="str">
        <f t="array" aca="1" ref="EA46" ca="1">IF(DZ41&lt;&gt;"",
IF(OR(INDIRECT("'盛付札（関数）'!FI"&amp;DX41)=121,INDIRECT("'盛付札（関数）'!FI"&amp;DX41)=122,INDIRECT("'盛付札（関数）'!FI"&amp;DX41)=123),"",
"端数"),"")</f>
        <v/>
      </c>
      <c r="EB46" s="64"/>
      <c r="EC46" s="66" t="str">
        <f t="array" aca="1" ref="EC46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"アレルギー")),"")</f>
        <v/>
      </c>
      <c r="ED46" s="69"/>
      <c r="EE46" s="49"/>
      <c r="EF46" s="59"/>
      <c r="EG46" s="66" t="str">
        <f t="array" aca="1" ref="EG46" ca="1">IF(EH41&lt;&gt;"",
IF(OR(INDIRECT("'盛付札（関数）'!FI"&amp;EF41)=121,INDIRECT("'盛付札（関数）'!FI"&amp;EF41)=122,INDIRECT("'盛付札（関数）'!FI"&amp;EF41)=123),"",
"パン箱"),"")</f>
        <v/>
      </c>
      <c r="EH46" s="64" t="str">
        <f t="array" aca="1" ref="EH46" ca="1">IF(EH41&lt;&gt;"",
IF(OR(INDIRECT("'盛付札（関数）'!FI"&amp;EF41)=121,INDIRECT("'盛付札（関数）'!FI"&amp;EF41)=122,INDIRECT("'盛付札（関数）'!FI"&amp;EF41)=123),"",
IF(EG42="△",
INDIRECT("'盛付札（関数）'!FP"&amp;EF41+1),INDIRECT("'盛付札（関数）'!FP"&amp;EF41))),"")</f>
        <v/>
      </c>
      <c r="EI46" s="66" t="str">
        <f t="array" aca="1" ref="EI46" ca="1">IF(EH41&lt;&gt;"",
IF(OR(INDIRECT("'盛付札（関数）'!FI"&amp;EF41)=121,INDIRECT("'盛付札（関数）'!FI"&amp;EF41)=122,INDIRECT("'盛付札（関数）'!FI"&amp;EF41)=123),"",
"端数"),"")</f>
        <v/>
      </c>
      <c r="EJ46" s="64"/>
      <c r="EK46" s="66" t="str">
        <f t="array" aca="1" ref="EK46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"アレルギー")),"")</f>
        <v/>
      </c>
      <c r="EL46" s="69"/>
      <c r="EM46" s="49"/>
      <c r="EN46" s="66" t="str">
        <f t="array" aca="1" ref="EN46" ca="1">IF(EO41&lt;&gt;"",
IF(OR(INDIRECT("'盛付札（関数）'!FI"&amp;EM41)=121,INDIRECT("'盛付札（関数）'!FI"&amp;EM41)=122,INDIRECT("'盛付札（関数）'!FI"&amp;EM41)=123),"",
"パン箱"),"")</f>
        <v/>
      </c>
      <c r="EO46" s="64" t="str">
        <f t="array" aca="1" ref="EO46" ca="1">IF(EO41&lt;&gt;"",
IF(OR(INDIRECT("'盛付札（関数）'!FI"&amp;EM41)=121,INDIRECT("'盛付札（関数）'!FI"&amp;EM41)=122,INDIRECT("'盛付札（関数）'!FI"&amp;EM41)=123),"",
IF(EN42="△",
INDIRECT("'盛付札（関数）'!FP"&amp;EM41+1),INDIRECT("'盛付札（関数）'!FP"&amp;EM41))),"")</f>
        <v/>
      </c>
      <c r="EP46" s="66" t="str">
        <f t="array" aca="1" ref="EP46" ca="1">IF(EO41&lt;&gt;"",
IF(OR(INDIRECT("'盛付札（関数）'!FI"&amp;EM41)=121,INDIRECT("'盛付札（関数）'!FI"&amp;EM41)=122,INDIRECT("'盛付札（関数）'!FI"&amp;EM41)=123),"",
"端数"),"")</f>
        <v/>
      </c>
      <c r="EQ46" s="64"/>
      <c r="ER46" s="66" t="str">
        <f t="array" aca="1" ref="ER46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"アレルギー")),"")</f>
        <v/>
      </c>
      <c r="ES46" s="69"/>
      <c r="ET46" s="49"/>
    </row>
    <row r="47" spans="1:150" ht="27.6" customHeight="1" x14ac:dyDescent="0.45">
      <c r="B47" s="196" t="str">
        <f ca="1">IF(C44&lt;&gt;"",
IFERROR(INT(C44/C46),""),"")</f>
        <v/>
      </c>
      <c r="C47" s="195"/>
      <c r="D47" s="196" t="str">
        <f ca="1">IFERROR(MOD(C44,C46),"")</f>
        <v/>
      </c>
      <c r="E47" s="195"/>
      <c r="F47" s="194" t="str">
        <f t="array" aca="1" ref="F47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IF(B42="●",
IFERROR(INDIRECT("'盛付札（関数）'!FS"&amp;A41)+INDIRECT("'盛付札（関数）'!FS"&amp;A41+1),0),
IF(B42="△",
INDIRECT("'盛付札（関数）'!FS"&amp;A41+1),INDIRECT("'盛付札（関数）'!FS"&amp;A41))))),"")</f>
        <v/>
      </c>
      <c r="G47" s="195"/>
      <c r="I47" s="196" t="str">
        <f ca="1">IF(J44&lt;&gt;"",
IFERROR(INT(J44/J46),""),"")</f>
        <v/>
      </c>
      <c r="J47" s="195"/>
      <c r="K47" s="196" t="str">
        <f ca="1">IFERROR(MOD(J44,J46),"")</f>
        <v/>
      </c>
      <c r="L47" s="195"/>
      <c r="M47" s="194" t="str">
        <f t="array" aca="1" ref="M47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IF(I42="●",
IFERROR(INDIRECT("'盛付札（関数）'!FS"&amp;H41)+INDIRECT("'盛付札（関数）'!FS"&amp;H41+1),0),
IF(I42="△",
INDIRECT("'盛付札（関数）'!FS"&amp;H41+1),INDIRECT("'盛付札（関数）'!FS"&amp;H41))))),"")</f>
        <v/>
      </c>
      <c r="N47" s="195"/>
      <c r="Q47" s="196" t="str">
        <f ca="1">IF(R44&lt;&gt;"",
IFERROR(INT(R44/R46),""),"")</f>
        <v/>
      </c>
      <c r="R47" s="195"/>
      <c r="S47" s="196" t="str">
        <f ca="1">IFERROR(MOD(R44,R46),"")</f>
        <v/>
      </c>
      <c r="T47" s="195"/>
      <c r="U47" s="194" t="str">
        <f t="array" aca="1" ref="U47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IF(Q42="●",
IFERROR(INDIRECT("'盛付札（関数）'!FS"&amp;P41)+INDIRECT("'盛付札（関数）'!FS"&amp;P41+1),0),
IF(Q42="△",
INDIRECT("'盛付札（関数）'!FS"&amp;P41+1),INDIRECT("'盛付札（関数）'!FS"&amp;P41))))),"")</f>
        <v/>
      </c>
      <c r="V47" s="195"/>
      <c r="X47" s="196" t="str">
        <f ca="1">IF(Y44&lt;&gt;"",
IFERROR(INT(Y44/Y46),""),"")</f>
        <v/>
      </c>
      <c r="Y47" s="195"/>
      <c r="Z47" s="196" t="str">
        <f ca="1">IFERROR(MOD(Y44,Y46),"")</f>
        <v/>
      </c>
      <c r="AA47" s="195"/>
      <c r="AB47" s="194" t="str">
        <f t="array" aca="1" ref="AB47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IF(X42="●",
IFERROR(INDIRECT("'盛付札（関数）'!FS"&amp;W41)+INDIRECT("'盛付札（関数）'!FS"&amp;W41+1),0),
IF(X42="△",
INDIRECT("'盛付札（関数）'!FS"&amp;W41+1),INDIRECT("'盛付札（関数）'!FS"&amp;W41))))),"")</f>
        <v/>
      </c>
      <c r="AC47" s="195"/>
      <c r="AF47" s="196" t="str">
        <f ca="1">IF(AG44&lt;&gt;"",
IFERROR(INT(AG44/AG46),""),"")</f>
        <v/>
      </c>
      <c r="AG47" s="195"/>
      <c r="AH47" s="196" t="str">
        <f ca="1">IFERROR(MOD(AG44,AG46),"")</f>
        <v/>
      </c>
      <c r="AI47" s="195"/>
      <c r="AJ47" s="194" t="str">
        <f t="array" aca="1" ref="AJ47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IF(AF42="●",
IFERROR(INDIRECT("'盛付札（関数）'!FS"&amp;AE41)+INDIRECT("'盛付札（関数）'!FS"&amp;AE41+1),0),
IF(AF42="△",
INDIRECT("'盛付札（関数）'!FS"&amp;AE41+1),INDIRECT("'盛付札（関数）'!FS"&amp;AE41))))),"")</f>
        <v/>
      </c>
      <c r="AK47" s="195"/>
      <c r="AM47" s="196" t="str">
        <f ca="1">IF(AN44&lt;&gt;"",
IFERROR(INT(AN44/AN46),""),"")</f>
        <v/>
      </c>
      <c r="AN47" s="195"/>
      <c r="AO47" s="196" t="str">
        <f ca="1">IFERROR(MOD(AN44,AN46),"")</f>
        <v/>
      </c>
      <c r="AP47" s="195"/>
      <c r="AQ47" s="194" t="str">
        <f t="array" aca="1" ref="AQ47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IF(AM42="●",
IFERROR(INDIRECT("'盛付札（関数）'!FS"&amp;AL41)+INDIRECT("'盛付札（関数）'!FS"&amp;AL41+1),0),
IF(AM42="△",
INDIRECT("'盛付札（関数）'!FS"&amp;AL41+1),INDIRECT("'盛付札（関数）'!FS"&amp;AL41))))),"")</f>
        <v/>
      </c>
      <c r="AR47" s="195"/>
      <c r="AU47" s="196" t="str">
        <f ca="1">IF(AV44&lt;&gt;"",
IFERROR(INT(AV44/AV46),""),"")</f>
        <v/>
      </c>
      <c r="AV47" s="195"/>
      <c r="AW47" s="196" t="str">
        <f ca="1">IFERROR(MOD(AV44,AV46),"")</f>
        <v/>
      </c>
      <c r="AX47" s="195"/>
      <c r="AY47" s="194" t="str">
        <f t="array" aca="1" ref="AY47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IF(AU42="●",
IFERROR(INDIRECT("'盛付札（関数）'!FS"&amp;AT41)+INDIRECT("'盛付札（関数）'!FS"&amp;AT41+1),0),
IF(AU42="△",
INDIRECT("'盛付札（関数）'!FS"&amp;AT41+1),INDIRECT("'盛付札（関数）'!FS"&amp;AT41))))),"")</f>
        <v/>
      </c>
      <c r="AZ47" s="195"/>
      <c r="BB47" s="196" t="str">
        <f ca="1">IF(BC44&lt;&gt;"",
IFERROR(INT(BC44/BC46),""),"")</f>
        <v/>
      </c>
      <c r="BC47" s="195"/>
      <c r="BD47" s="196" t="str">
        <f ca="1">IFERROR(MOD(BC44,BC46),"")</f>
        <v/>
      </c>
      <c r="BE47" s="195"/>
      <c r="BF47" s="194" t="str">
        <f t="array" aca="1" ref="BF47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IF(BB42="●",
IFERROR(INDIRECT("'盛付札（関数）'!FS"&amp;BA41)+INDIRECT("'盛付札（関数）'!FS"&amp;BA41+1),0),
IF(BB42="△",
INDIRECT("'盛付札（関数）'!FS"&amp;BA41+1),INDIRECT("'盛付札（関数）'!FS"&amp;BA41))))),"")</f>
        <v/>
      </c>
      <c r="BG47" s="195"/>
      <c r="BJ47" s="196" t="str">
        <f ca="1">IF(BK44&lt;&gt;"",
IFERROR(INT(BK44/BK46),""),"")</f>
        <v/>
      </c>
      <c r="BK47" s="195"/>
      <c r="BL47" s="196" t="str">
        <f ca="1">IFERROR(MOD(BK44,BK46),"")</f>
        <v/>
      </c>
      <c r="BM47" s="195"/>
      <c r="BN47" s="194" t="str">
        <f t="array" aca="1" ref="BN47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IF(BJ42="●",
IFERROR(INDIRECT("'盛付札（関数）'!FS"&amp;BI41)+INDIRECT("'盛付札（関数）'!FS"&amp;BI41+1),0),
IF(BJ42="△",
INDIRECT("'盛付札（関数）'!FS"&amp;BI41+1),INDIRECT("'盛付札（関数）'!FS"&amp;BI41))))),"")</f>
        <v/>
      </c>
      <c r="BO47" s="195"/>
      <c r="BQ47" s="196" t="str">
        <f ca="1">IF(BR44&lt;&gt;"",
IFERROR(INT(BR44/BR46),""),"")</f>
        <v/>
      </c>
      <c r="BR47" s="195"/>
      <c r="BS47" s="196" t="str">
        <f ca="1">IFERROR(MOD(BR44,BR46),"")</f>
        <v/>
      </c>
      <c r="BT47" s="195"/>
      <c r="BU47" s="194" t="str">
        <f t="array" aca="1" ref="BU47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IF(BQ42="●",
IFERROR(INDIRECT("'盛付札（関数）'!FS"&amp;BP41)+INDIRECT("'盛付札（関数）'!FS"&amp;BP41+1),0),
IF(BQ42="△",
INDIRECT("'盛付札（関数）'!FS"&amp;BP41+1),INDIRECT("'盛付札（関数）'!FS"&amp;BP41))))),"")</f>
        <v/>
      </c>
      <c r="BV47" s="195"/>
      <c r="BY47" s="196" t="str">
        <f ca="1">IF(BZ44&lt;&gt;"",
IFERROR(INT(BZ44/BZ46),""),"")</f>
        <v/>
      </c>
      <c r="BZ47" s="195"/>
      <c r="CA47" s="196" t="str">
        <f ca="1">IFERROR(MOD(BZ44,BZ46),"")</f>
        <v/>
      </c>
      <c r="CB47" s="195"/>
      <c r="CC47" s="194" t="str">
        <f t="array" aca="1" ref="CC47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IF(BY42="●",
IFERROR(INDIRECT("'盛付札（関数）'!FS"&amp;BX41)+INDIRECT("'盛付札（関数）'!FS"&amp;BX41+1),0),
IF(BY42="△",
INDIRECT("'盛付札（関数）'!FS"&amp;BX41+1),INDIRECT("'盛付札（関数）'!FS"&amp;BX41))))),"")</f>
        <v/>
      </c>
      <c r="CD47" s="195"/>
      <c r="CF47" s="196" t="str">
        <f ca="1">IF(CG44&lt;&gt;"",
IFERROR(INT(CG44/CG46),""),"")</f>
        <v/>
      </c>
      <c r="CG47" s="195"/>
      <c r="CH47" s="196" t="str">
        <f ca="1">IFERROR(MOD(CG44,CG46),"")</f>
        <v/>
      </c>
      <c r="CI47" s="195"/>
      <c r="CJ47" s="194" t="str">
        <f t="array" aca="1" ref="CJ47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IF(CF42="●",
IFERROR(INDIRECT("'盛付札（関数）'!FS"&amp;CE41)+INDIRECT("'盛付札（関数）'!FS"&amp;CE41+1),0),
IF(CF42="△",
INDIRECT("'盛付札（関数）'!FS"&amp;CE41+1),INDIRECT("'盛付札（関数）'!FS"&amp;CE41))))),"")</f>
        <v/>
      </c>
      <c r="CK47" s="195"/>
      <c r="CN47" s="196" t="str">
        <f ca="1">IF(CO44&lt;&gt;"",
IFERROR(INT(CO44/CO46),""),"")</f>
        <v/>
      </c>
      <c r="CO47" s="195"/>
      <c r="CP47" s="196" t="str">
        <f ca="1">IFERROR(MOD(CO44,CO46),"")</f>
        <v/>
      </c>
      <c r="CQ47" s="195"/>
      <c r="CR47" s="194" t="str">
        <f t="array" aca="1" ref="CR47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IF(CN42="●",
IFERROR(INDIRECT("'盛付札（関数）'!FS"&amp;CM41)+INDIRECT("'盛付札（関数）'!FS"&amp;CM41+1),0),
IF(CN42="△",
INDIRECT("'盛付札（関数）'!FS"&amp;CM41+1),INDIRECT("'盛付札（関数）'!FS"&amp;CM41))))),"")</f>
        <v/>
      </c>
      <c r="CS47" s="195"/>
      <c r="CU47" s="196" t="str">
        <f ca="1">IF(CV44&lt;&gt;"",
IFERROR(INT(CV44/CV46),""),"")</f>
        <v/>
      </c>
      <c r="CV47" s="195"/>
      <c r="CW47" s="196" t="str">
        <f ca="1">IFERROR(MOD(CV44,CV46),"")</f>
        <v/>
      </c>
      <c r="CX47" s="195"/>
      <c r="CY47" s="194" t="str">
        <f t="array" aca="1" ref="CY47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IF(CU42="●",
IFERROR(INDIRECT("'盛付札（関数）'!FS"&amp;CT41)+INDIRECT("'盛付札（関数）'!FS"&amp;CT41+1),0),
IF(CU42="△",
INDIRECT("'盛付札（関数）'!FS"&amp;CT41+1),INDIRECT("'盛付札（関数）'!FS"&amp;CT41))))),"")</f>
        <v/>
      </c>
      <c r="CZ47" s="195"/>
      <c r="DC47" s="196" t="str">
        <f ca="1">IF(DD44&lt;&gt;"",
IFERROR(INT(DD44/DD46),""),"")</f>
        <v/>
      </c>
      <c r="DD47" s="195"/>
      <c r="DE47" s="196" t="str">
        <f ca="1">IFERROR(MOD(DD44,DD46),"")</f>
        <v/>
      </c>
      <c r="DF47" s="195"/>
      <c r="DG47" s="194" t="str">
        <f t="array" aca="1" ref="DG47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IF(DC42="●",
IFERROR(INDIRECT("'盛付札（関数）'!FS"&amp;DB41)+INDIRECT("'盛付札（関数）'!FS"&amp;DB41+1),0),
IF(DC42="△",
INDIRECT("'盛付札（関数）'!FS"&amp;DB41+1),INDIRECT("'盛付札（関数）'!FS"&amp;DB41))))),"")</f>
        <v/>
      </c>
      <c r="DH47" s="195"/>
      <c r="DJ47" s="196" t="str">
        <f ca="1">IF(DK44&lt;&gt;"",
IFERROR(INT(DK44/DK46),""),"")</f>
        <v/>
      </c>
      <c r="DK47" s="195"/>
      <c r="DL47" s="196" t="str">
        <f ca="1">IFERROR(MOD(DK44,DK46),"")</f>
        <v/>
      </c>
      <c r="DM47" s="195"/>
      <c r="DN47" s="194" t="str">
        <f t="array" aca="1" ref="DN47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IF(DJ42="●",
IFERROR(INDIRECT("'盛付札（関数）'!FS"&amp;DI41)+INDIRECT("'盛付札（関数）'!FS"&amp;DI41+1),0),
IF(DJ42="△",
INDIRECT("'盛付札（関数）'!FS"&amp;DI41+1),INDIRECT("'盛付札（関数）'!FS"&amp;DI41))))),"")</f>
        <v/>
      </c>
      <c r="DO47" s="195"/>
      <c r="DR47" s="196" t="str">
        <f ca="1">IF(DS44&lt;&gt;"",
IFERROR(INT(DS44/DS46),""),"")</f>
        <v/>
      </c>
      <c r="DS47" s="195"/>
      <c r="DT47" s="196" t="str">
        <f ca="1">IFERROR(MOD(DS44,DS46),"")</f>
        <v/>
      </c>
      <c r="DU47" s="195"/>
      <c r="DV47" s="194" t="str">
        <f t="array" aca="1" ref="DV47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IF(DR42="●",
IFERROR(INDIRECT("'盛付札（関数）'!FS"&amp;DQ41)+INDIRECT("'盛付札（関数）'!FS"&amp;DQ41+1),0),
IF(DR42="△",
INDIRECT("'盛付札（関数）'!FS"&amp;DQ41+1),INDIRECT("'盛付札（関数）'!FS"&amp;DQ41))))),"")</f>
        <v/>
      </c>
      <c r="DW47" s="195"/>
      <c r="DY47" s="196" t="str">
        <f ca="1">IF(DZ44&lt;&gt;"",
IFERROR(INT(DZ44/DZ46),""),"")</f>
        <v/>
      </c>
      <c r="DZ47" s="195"/>
      <c r="EA47" s="196" t="str">
        <f ca="1">IFERROR(MOD(DZ44,DZ46),"")</f>
        <v/>
      </c>
      <c r="EB47" s="195"/>
      <c r="EC47" s="194" t="str">
        <f t="array" aca="1" ref="EC47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IF(DY42="●",
IFERROR(INDIRECT("'盛付札（関数）'!FS"&amp;DX41)+INDIRECT("'盛付札（関数）'!FS"&amp;DX41+1),0),
IF(DY42="△",
INDIRECT("'盛付札（関数）'!FS"&amp;DX41+1),INDIRECT("'盛付札（関数）'!FS"&amp;DX41))))),"")</f>
        <v/>
      </c>
      <c r="ED47" s="195"/>
      <c r="EG47" s="196" t="str">
        <f ca="1">IF(EH44&lt;&gt;"",
IFERROR(INT(EH44/EH46),""),"")</f>
        <v/>
      </c>
      <c r="EH47" s="195"/>
      <c r="EI47" s="196" t="str">
        <f ca="1">IFERROR(MOD(EH44,EH46),"")</f>
        <v/>
      </c>
      <c r="EJ47" s="195"/>
      <c r="EK47" s="194" t="str">
        <f t="array" aca="1" ref="EK47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IF(EG42="●",
IFERROR(INDIRECT("'盛付札（関数）'!FS"&amp;EF41)+INDIRECT("'盛付札（関数）'!FS"&amp;EF41+1),0),
IF(EG42="△",
INDIRECT("'盛付札（関数）'!FS"&amp;EF41+1),INDIRECT("'盛付札（関数）'!FS"&amp;EF41))))),"")</f>
        <v/>
      </c>
      <c r="EL47" s="195"/>
      <c r="EN47" s="196" t="str">
        <f ca="1">IF(EO44&lt;&gt;"",
IFERROR(INT(EO44/EO46),""),"")</f>
        <v/>
      </c>
      <c r="EO47" s="195"/>
      <c r="EP47" s="196" t="str">
        <f ca="1">IFERROR(MOD(EO44,EO46),"")</f>
        <v/>
      </c>
      <c r="EQ47" s="195"/>
      <c r="ER47" s="194" t="str">
        <f t="array" aca="1" ref="ER47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IF(EN42="●",
IFERROR(INDIRECT("'盛付札（関数）'!FS"&amp;EM41)+INDIRECT("'盛付札（関数）'!FS"&amp;EM41+1),0),
IF(EN42="△",
INDIRECT("'盛付札（関数）'!FS"&amp;EM41+1),INDIRECT("'盛付札（関数）'!FS"&amp;EM41))))),"")</f>
        <v/>
      </c>
      <c r="ES47" s="195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EH11:EI11"/>
    <mergeCell ref="EK31:EL31"/>
    <mergeCell ref="F28:G29"/>
    <mergeCell ref="DZ35:EA35"/>
    <mergeCell ref="CF31:CG31"/>
    <mergeCell ref="AJ36:AK37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DG15:DH15"/>
    <mergeCell ref="CV25:CY25"/>
    <mergeCell ref="BL39:BM39"/>
    <mergeCell ref="DD19:DE19"/>
    <mergeCell ref="DC47:DD47"/>
    <mergeCell ref="BN39:BO39"/>
    <mergeCell ref="AV9:AY9"/>
    <mergeCell ref="DD44:DE45"/>
    <mergeCell ref="AO7:AP7"/>
    <mergeCell ref="EO12:EP13"/>
    <mergeCell ref="AV35:AW35"/>
    <mergeCell ref="BF44:BG45"/>
    <mergeCell ref="X47:Y47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BU20:BV21"/>
    <mergeCell ref="Y9:AB9"/>
    <mergeCell ref="AN43:AO43"/>
    <mergeCell ref="CO20:CP21"/>
    <mergeCell ref="EO27:EP27"/>
    <mergeCell ref="DJ23:DK23"/>
    <mergeCell ref="BC36:BD37"/>
    <mergeCell ref="CJ44:CK45"/>
    <mergeCell ref="X39:Y39"/>
    <mergeCell ref="DK27:DL27"/>
    <mergeCell ref="AJ28:AK29"/>
    <mergeCell ref="BB7:BC7"/>
    <mergeCell ref="CY12:CZ13"/>
    <mergeCell ref="BD7:BE7"/>
    <mergeCell ref="CR47:CS47"/>
    <mergeCell ref="AM47:AN47"/>
    <mergeCell ref="DK41:DN41"/>
    <mergeCell ref="CY20:CZ21"/>
    <mergeCell ref="CH47:CI47"/>
    <mergeCell ref="BR19:BS19"/>
    <mergeCell ref="Z47:AA47"/>
    <mergeCell ref="BJ7:BK7"/>
    <mergeCell ref="BL7:BM7"/>
    <mergeCell ref="F12:G13"/>
    <mergeCell ref="CP39:CQ39"/>
    <mergeCell ref="BK35:BL35"/>
    <mergeCell ref="EO4:EP5"/>
    <mergeCell ref="DK11:DL11"/>
    <mergeCell ref="D23:E23"/>
    <mergeCell ref="BQ7:BR7"/>
    <mergeCell ref="BS7:BT7"/>
    <mergeCell ref="X31:Y31"/>
    <mergeCell ref="BU7:BV7"/>
    <mergeCell ref="Z31:AA31"/>
    <mergeCell ref="DK25:DN25"/>
    <mergeCell ref="CY4:CZ5"/>
    <mergeCell ref="DR15:DS15"/>
    <mergeCell ref="M39:N39"/>
    <mergeCell ref="DS33:DV33"/>
    <mergeCell ref="F36:G37"/>
    <mergeCell ref="DS4:DT5"/>
    <mergeCell ref="BN4:BO5"/>
    <mergeCell ref="DR7:DS7"/>
    <mergeCell ref="BU4:BV5"/>
    <mergeCell ref="DV4:DW5"/>
    <mergeCell ref="J27:K27"/>
    <mergeCell ref="BC28:BD29"/>
    <mergeCell ref="CW15:CX15"/>
    <mergeCell ref="CY15:CZ15"/>
    <mergeCell ref="CG36:CH37"/>
    <mergeCell ref="EO33:ER33"/>
    <mergeCell ref="AH39:AI39"/>
    <mergeCell ref="AV19:AW19"/>
    <mergeCell ref="R25:U25"/>
    <mergeCell ref="EC20:ED21"/>
    <mergeCell ref="EC7:ED7"/>
    <mergeCell ref="DK28:DL29"/>
    <mergeCell ref="DZ11:EA11"/>
    <mergeCell ref="BK12:BL13"/>
    <mergeCell ref="EI15:EJ15"/>
    <mergeCell ref="EK15:EL15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R41:U41"/>
    <mergeCell ref="S47:T47"/>
    <mergeCell ref="BB47:BC47"/>
    <mergeCell ref="BC12:BD13"/>
    <mergeCell ref="J33:M33"/>
    <mergeCell ref="EH27:EI27"/>
    <mergeCell ref="DC23:DD23"/>
    <mergeCell ref="DD43:DE43"/>
    <mergeCell ref="F15:G15"/>
    <mergeCell ref="BB39:BC39"/>
    <mergeCell ref="AV11:AW11"/>
    <mergeCell ref="BD39:BE39"/>
    <mergeCell ref="CU47:CV47"/>
    <mergeCell ref="EC12:ED13"/>
    <mergeCell ref="AV25:AY25"/>
    <mergeCell ref="BN36:BO37"/>
    <mergeCell ref="CR28:CS29"/>
    <mergeCell ref="AW23:AX23"/>
    <mergeCell ref="BC20:BD21"/>
    <mergeCell ref="DS17:DV17"/>
    <mergeCell ref="AN35:AO35"/>
    <mergeCell ref="CO35:CP35"/>
    <mergeCell ref="BU39:BV39"/>
    <mergeCell ref="AU31:AV31"/>
    <mergeCell ref="DK44:DL45"/>
    <mergeCell ref="BY47:BZ47"/>
    <mergeCell ref="AB44:AC45"/>
    <mergeCell ref="EH43:EI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AN9:AQ9"/>
    <mergeCell ref="DK9:DN9"/>
    <mergeCell ref="ER44:ES45"/>
    <mergeCell ref="DJ7:DK7"/>
    <mergeCell ref="BC9:BF9"/>
    <mergeCell ref="C35:D35"/>
    <mergeCell ref="AJ39:AK39"/>
    <mergeCell ref="CR36:CS37"/>
    <mergeCell ref="R9:U9"/>
    <mergeCell ref="BZ44:CA45"/>
    <mergeCell ref="AJ4:AK5"/>
    <mergeCell ref="DK12:DL13"/>
    <mergeCell ref="DN31:DO31"/>
    <mergeCell ref="AB28:AC29"/>
    <mergeCell ref="BL15:BM15"/>
    <mergeCell ref="BN15:BO15"/>
    <mergeCell ref="AV36:AW37"/>
    <mergeCell ref="DD11:DE11"/>
    <mergeCell ref="AG25:AJ25"/>
    <mergeCell ref="BK44:BL45"/>
    <mergeCell ref="DD25:DG25"/>
    <mergeCell ref="BB31:BC31"/>
    <mergeCell ref="BC41:BF41"/>
    <mergeCell ref="AF7:AG7"/>
    <mergeCell ref="AH7:AI7"/>
    <mergeCell ref="F20:G21"/>
    <mergeCell ref="Q7:R7"/>
    <mergeCell ref="U15:V15"/>
    <mergeCell ref="J19:K1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DD41:DG41"/>
    <mergeCell ref="CF23:CG23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F39:CG39"/>
    <mergeCell ref="J36:K37"/>
    <mergeCell ref="CH39:CI39"/>
    <mergeCell ref="BR11:BS11"/>
    <mergeCell ref="BY7:BZ7"/>
    <mergeCell ref="BR25:BU25"/>
    <mergeCell ref="DT39:DU39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D39:E39"/>
    <mergeCell ref="CR20:CS21"/>
    <mergeCell ref="F39:G39"/>
    <mergeCell ref="R28:S29"/>
    <mergeCell ref="J28:K29"/>
    <mergeCell ref="AN36:AO37"/>
    <mergeCell ref="AB12:AC13"/>
    <mergeCell ref="AG43:AH43"/>
    <mergeCell ref="DD17:DG17"/>
    <mergeCell ref="AJ31:AK31"/>
    <mergeCell ref="AG35:AH35"/>
    <mergeCell ref="DN36:DO37"/>
    <mergeCell ref="CV44:CW45"/>
    <mergeCell ref="EH19:EI19"/>
    <mergeCell ref="CN15:CO15"/>
    <mergeCell ref="AV28:AW29"/>
    <mergeCell ref="I7:J7"/>
    <mergeCell ref="EN39:EO39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Z27:EA27"/>
    <mergeCell ref="DD33:DG33"/>
    <mergeCell ref="BS15:BT15"/>
    <mergeCell ref="R4:S5"/>
    <mergeCell ref="AB4:AC5"/>
    <mergeCell ref="J3:K3"/>
    <mergeCell ref="CY7:CZ7"/>
    <mergeCell ref="DK4:DL5"/>
    <mergeCell ref="BF4:BG5"/>
    <mergeCell ref="DK1:DN1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CV33:CY33"/>
    <mergeCell ref="EC15:ED15"/>
    <mergeCell ref="DN28:DO29"/>
    <mergeCell ref="CJ12:CK13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G41:AJ41"/>
    <mergeCell ref="AV4:AW5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DV28:DW29"/>
    <mergeCell ref="DZ28:EA29"/>
    <mergeCell ref="Y1:AB1"/>
    <mergeCell ref="BF47:BG47"/>
    <mergeCell ref="CO27:CP27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AN17:AQ17"/>
    <mergeCell ref="CW47:CX47"/>
    <mergeCell ref="CY47:CZ47"/>
    <mergeCell ref="CA15:CB15"/>
    <mergeCell ref="DD20:DE21"/>
    <mergeCell ref="EK28:EL29"/>
    <mergeCell ref="R17:U17"/>
    <mergeCell ref="B47:C47"/>
    <mergeCell ref="AV33:AY33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J31:CK31"/>
    <mergeCell ref="BJ23:BK23"/>
    <mergeCell ref="DN12:DO13"/>
    <mergeCell ref="EN15:EO15"/>
    <mergeCell ref="B7:C7"/>
    <mergeCell ref="EG39:EH39"/>
    <mergeCell ref="BF31:BG31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N7:DO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CC47:CD47"/>
    <mergeCell ref="BQ23:BR23"/>
    <mergeCell ref="AM7:AN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Z35:CA35"/>
    <mergeCell ref="B15:C15"/>
    <mergeCell ref="BF39:BG39"/>
    <mergeCell ref="AF31:AG31"/>
    <mergeCell ref="CV1:CY1"/>
    <mergeCell ref="DN44:DO45"/>
    <mergeCell ref="D15:E15"/>
    <mergeCell ref="EI39:EJ39"/>
    <mergeCell ref="DD35:DE35"/>
    <mergeCell ref="AF15:AG15"/>
    <mergeCell ref="D7:E7"/>
    <mergeCell ref="CA7:CB7"/>
    <mergeCell ref="X15:Y15"/>
    <mergeCell ref="EH44:EI45"/>
    <mergeCell ref="EC39:ED39"/>
    <mergeCell ref="F23:G23"/>
    <mergeCell ref="CC7:CD7"/>
    <mergeCell ref="BK41:BN41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AJ20:AK21"/>
    <mergeCell ref="J12:K13"/>
    <mergeCell ref="Y41:AB41"/>
    <mergeCell ref="BU23:BV23"/>
    <mergeCell ref="AQ7:AR7"/>
    <mergeCell ref="AV3:AW3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AJ44:AK45"/>
    <mergeCell ref="BD23:BE23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U438"/>
  <sheetViews>
    <sheetView topLeftCell="A331" zoomScale="70" zoomScaleNormal="70" workbookViewId="0">
      <selection activeCell="D312" sqref="D312"/>
    </sheetView>
  </sheetViews>
  <sheetFormatPr defaultRowHeight="18" x14ac:dyDescent="0.45"/>
  <cols>
    <col min="1" max="2" width="5.59765625" style="57" customWidth="1"/>
    <col min="3" max="4" width="29.59765625" style="57" bestFit="1" customWidth="1"/>
    <col min="5" max="11" width="5.59765625" style="57" customWidth="1"/>
    <col min="12" max="12" width="10.59765625" style="57" customWidth="1"/>
    <col min="13" max="13" width="5.59765625" style="57" customWidth="1"/>
    <col min="14" max="14" width="10.59765625" style="57" customWidth="1"/>
    <col min="15" max="15" width="5.59765625" style="57" customWidth="1"/>
    <col min="16" max="16" width="10.59765625" style="57" customWidth="1"/>
    <col min="17" max="17" width="5.59765625" style="57" customWidth="1"/>
    <col min="18" max="18" width="10.59765625" style="57" customWidth="1"/>
    <col min="19" max="19" width="5.59765625" style="57" customWidth="1"/>
    <col min="20" max="20" width="10.59765625" style="57" customWidth="1"/>
    <col min="21" max="21" width="5.59765625" style="57" customWidth="1"/>
  </cols>
  <sheetData>
    <row r="1" spans="1:21" s="23" customFormat="1" ht="311.25" customHeight="1" x14ac:dyDescent="0.45">
      <c r="A1" s="20" t="s">
        <v>260</v>
      </c>
      <c r="B1" s="20" t="s">
        <v>261</v>
      </c>
      <c r="C1" s="20" t="s">
        <v>262</v>
      </c>
      <c r="D1" s="20" t="s">
        <v>263</v>
      </c>
      <c r="E1" s="20" t="s">
        <v>264</v>
      </c>
      <c r="F1" s="20" t="s">
        <v>265</v>
      </c>
      <c r="G1" s="20" t="s">
        <v>266</v>
      </c>
      <c r="H1" s="20" t="s">
        <v>267</v>
      </c>
      <c r="I1" s="20" t="s">
        <v>268</v>
      </c>
      <c r="J1" s="21" t="s">
        <v>269</v>
      </c>
      <c r="K1" s="21" t="s">
        <v>270</v>
      </c>
      <c r="L1" s="21" t="s">
        <v>271</v>
      </c>
      <c r="M1" s="22" t="s">
        <v>272</v>
      </c>
      <c r="N1" s="21" t="s">
        <v>273</v>
      </c>
      <c r="O1" s="22" t="s">
        <v>274</v>
      </c>
      <c r="P1" s="21" t="s">
        <v>275</v>
      </c>
      <c r="Q1" s="22" t="s">
        <v>276</v>
      </c>
      <c r="R1" s="21" t="s">
        <v>277</v>
      </c>
      <c r="S1" s="22" t="s">
        <v>278</v>
      </c>
      <c r="T1" s="21" t="s">
        <v>279</v>
      </c>
      <c r="U1" s="22" t="s">
        <v>280</v>
      </c>
    </row>
    <row r="2" spans="1:21" x14ac:dyDescent="0.45">
      <c r="A2" s="12">
        <v>1</v>
      </c>
      <c r="B2" s="12">
        <v>1</v>
      </c>
      <c r="C2" s="12" t="s">
        <v>281</v>
      </c>
      <c r="D2" s="12" t="s">
        <v>10</v>
      </c>
      <c r="E2" s="12">
        <v>0</v>
      </c>
      <c r="F2" s="12">
        <v>2</v>
      </c>
      <c r="G2" s="12">
        <v>0</v>
      </c>
      <c r="H2" s="12">
        <v>1</v>
      </c>
      <c r="I2" s="12">
        <v>24</v>
      </c>
      <c r="J2" s="10">
        <v>88</v>
      </c>
      <c r="K2" s="10" t="s">
        <v>282</v>
      </c>
      <c r="L2" s="10"/>
      <c r="M2" s="11">
        <v>0</v>
      </c>
      <c r="N2" s="10"/>
      <c r="O2" s="11">
        <v>0</v>
      </c>
      <c r="P2" s="10"/>
      <c r="Q2" s="11">
        <v>0</v>
      </c>
      <c r="R2" s="10"/>
      <c r="S2" s="11">
        <v>0</v>
      </c>
      <c r="T2" s="10"/>
      <c r="U2" s="11">
        <v>0</v>
      </c>
    </row>
    <row r="3" spans="1:21" x14ac:dyDescent="0.45">
      <c r="A3" s="12">
        <v>2</v>
      </c>
      <c r="B3" s="12">
        <v>0</v>
      </c>
      <c r="C3" s="12" t="s">
        <v>283</v>
      </c>
      <c r="D3" s="12" t="s">
        <v>284</v>
      </c>
      <c r="E3" s="12">
        <v>0</v>
      </c>
      <c r="F3" s="12">
        <v>0</v>
      </c>
      <c r="G3" s="12">
        <v>0</v>
      </c>
      <c r="H3" s="12">
        <v>1</v>
      </c>
      <c r="I3" s="12">
        <v>15</v>
      </c>
      <c r="J3" s="10">
        <v>30</v>
      </c>
      <c r="K3" s="10" t="s">
        <v>282</v>
      </c>
      <c r="L3" s="10"/>
      <c r="M3" s="11">
        <v>0</v>
      </c>
      <c r="N3" s="10"/>
      <c r="O3" s="11">
        <v>0</v>
      </c>
      <c r="P3" s="10"/>
      <c r="Q3" s="11">
        <v>0</v>
      </c>
      <c r="R3" s="10"/>
      <c r="S3" s="11"/>
      <c r="T3" s="10"/>
      <c r="U3" s="11"/>
    </row>
    <row r="4" spans="1:21" x14ac:dyDescent="0.45">
      <c r="A4" s="12">
        <v>3</v>
      </c>
      <c r="B4" s="12">
        <v>1</v>
      </c>
      <c r="C4" s="12" t="s">
        <v>285</v>
      </c>
      <c r="D4" s="12" t="s">
        <v>286</v>
      </c>
      <c r="E4" s="12">
        <v>0</v>
      </c>
      <c r="F4" s="12">
        <v>3</v>
      </c>
      <c r="G4" s="12">
        <v>0</v>
      </c>
      <c r="H4" s="12">
        <v>1</v>
      </c>
      <c r="I4" s="12">
        <v>15</v>
      </c>
      <c r="J4" s="10">
        <v>30</v>
      </c>
      <c r="K4" s="10" t="s">
        <v>282</v>
      </c>
      <c r="L4" s="10"/>
      <c r="M4" s="11">
        <v>0</v>
      </c>
      <c r="N4" s="10"/>
      <c r="O4" s="11">
        <v>0</v>
      </c>
      <c r="P4" s="10"/>
      <c r="Q4" s="11">
        <v>0</v>
      </c>
      <c r="R4" s="10"/>
      <c r="S4" s="11">
        <v>0</v>
      </c>
      <c r="T4" s="10"/>
      <c r="U4" s="11">
        <v>0</v>
      </c>
    </row>
    <row r="5" spans="1:21" x14ac:dyDescent="0.45">
      <c r="A5" s="12">
        <v>4</v>
      </c>
      <c r="B5" s="12">
        <v>0</v>
      </c>
      <c r="C5" s="12" t="s">
        <v>283</v>
      </c>
      <c r="D5" s="12" t="s">
        <v>287</v>
      </c>
      <c r="E5" s="12">
        <v>0</v>
      </c>
      <c r="F5" s="12">
        <v>4</v>
      </c>
      <c r="G5" s="12">
        <v>0</v>
      </c>
      <c r="H5" s="12">
        <v>1</v>
      </c>
      <c r="I5" s="12">
        <v>15</v>
      </c>
      <c r="J5" s="10">
        <v>30</v>
      </c>
      <c r="K5" s="10" t="s">
        <v>282</v>
      </c>
      <c r="L5" s="10"/>
      <c r="M5" s="11"/>
      <c r="N5" s="10"/>
      <c r="O5" s="11"/>
      <c r="P5" s="10"/>
      <c r="Q5" s="11"/>
      <c r="R5" s="10"/>
      <c r="S5" s="11"/>
      <c r="T5" s="10"/>
      <c r="U5" s="11"/>
    </row>
    <row r="6" spans="1:21" s="27" customFormat="1" x14ac:dyDescent="0.45">
      <c r="A6" s="24">
        <v>5</v>
      </c>
      <c r="B6" s="24">
        <v>0</v>
      </c>
      <c r="C6" s="24" t="s">
        <v>283</v>
      </c>
      <c r="D6" s="24" t="s">
        <v>288</v>
      </c>
      <c r="E6" s="24">
        <v>0</v>
      </c>
      <c r="F6" s="24">
        <v>5</v>
      </c>
      <c r="G6" s="24">
        <v>0</v>
      </c>
      <c r="H6" s="24">
        <v>1</v>
      </c>
      <c r="I6" s="24">
        <v>15</v>
      </c>
      <c r="J6" s="25">
        <v>30</v>
      </c>
      <c r="K6" s="25" t="s">
        <v>282</v>
      </c>
      <c r="L6" s="25"/>
      <c r="M6" s="26"/>
      <c r="N6" s="25"/>
      <c r="O6" s="26"/>
      <c r="P6" s="25"/>
      <c r="Q6" s="26"/>
      <c r="R6" s="25"/>
      <c r="S6" s="26"/>
      <c r="T6" s="25"/>
      <c r="U6" s="26"/>
    </row>
    <row r="7" spans="1:21" s="27" customFormat="1" x14ac:dyDescent="0.45">
      <c r="A7" s="24">
        <v>6</v>
      </c>
      <c r="B7" s="24">
        <v>1</v>
      </c>
      <c r="C7" s="24" t="s">
        <v>289</v>
      </c>
      <c r="D7" s="24" t="s">
        <v>290</v>
      </c>
      <c r="E7" s="24">
        <v>0</v>
      </c>
      <c r="F7" s="24">
        <v>7</v>
      </c>
      <c r="G7" s="24">
        <v>1</v>
      </c>
      <c r="H7" s="24">
        <v>1</v>
      </c>
      <c r="I7" s="24">
        <v>0</v>
      </c>
      <c r="J7" s="25"/>
      <c r="K7" s="25"/>
      <c r="L7" s="25"/>
      <c r="M7" s="26">
        <v>0</v>
      </c>
      <c r="N7" s="25"/>
      <c r="O7" s="26">
        <v>0</v>
      </c>
      <c r="P7" s="25"/>
      <c r="Q7" s="26">
        <v>0</v>
      </c>
      <c r="R7" s="25"/>
      <c r="S7" s="26">
        <v>0</v>
      </c>
      <c r="T7" s="25"/>
      <c r="U7" s="26">
        <v>0</v>
      </c>
    </row>
    <row r="8" spans="1:21" s="27" customFormat="1" x14ac:dyDescent="0.45">
      <c r="A8" s="24">
        <v>7</v>
      </c>
      <c r="B8" s="24">
        <v>1</v>
      </c>
      <c r="C8" s="24" t="s">
        <v>290</v>
      </c>
      <c r="D8" s="24" t="s">
        <v>291</v>
      </c>
      <c r="E8" s="24">
        <v>0</v>
      </c>
      <c r="F8" s="24">
        <v>0</v>
      </c>
      <c r="G8" s="24">
        <v>0</v>
      </c>
      <c r="H8" s="24">
        <v>1</v>
      </c>
      <c r="I8" s="24">
        <v>24</v>
      </c>
      <c r="J8" s="25"/>
      <c r="K8" s="25"/>
      <c r="L8" s="25" t="s">
        <v>292</v>
      </c>
      <c r="M8" s="26">
        <v>1</v>
      </c>
      <c r="N8" s="25"/>
      <c r="O8" s="26">
        <v>0</v>
      </c>
      <c r="P8" s="25"/>
      <c r="Q8" s="26">
        <v>0</v>
      </c>
      <c r="R8" s="25"/>
      <c r="S8" s="26">
        <v>0</v>
      </c>
      <c r="T8" s="25"/>
      <c r="U8" s="26">
        <v>0</v>
      </c>
    </row>
    <row r="9" spans="1:21" s="27" customFormat="1" x14ac:dyDescent="0.45">
      <c r="A9" s="24">
        <v>8</v>
      </c>
      <c r="B9" s="24">
        <v>0</v>
      </c>
      <c r="C9" s="24" t="s">
        <v>283</v>
      </c>
      <c r="D9" s="24" t="s">
        <v>293</v>
      </c>
      <c r="E9" s="24">
        <v>0</v>
      </c>
      <c r="F9" s="24">
        <v>0</v>
      </c>
      <c r="G9" s="24">
        <v>0</v>
      </c>
      <c r="H9" s="24">
        <v>1</v>
      </c>
      <c r="I9" s="24">
        <v>24</v>
      </c>
      <c r="J9" s="25"/>
      <c r="K9" s="25"/>
      <c r="L9" s="25"/>
      <c r="M9" s="26"/>
      <c r="N9" s="25"/>
      <c r="O9" s="26"/>
      <c r="P9" s="25"/>
      <c r="Q9" s="26"/>
      <c r="R9" s="25"/>
      <c r="S9" s="26"/>
      <c r="T9" s="25"/>
      <c r="U9" s="26"/>
    </row>
    <row r="10" spans="1:21" s="27" customFormat="1" x14ac:dyDescent="0.45">
      <c r="A10" s="24">
        <v>9</v>
      </c>
      <c r="B10" s="24">
        <v>0</v>
      </c>
      <c r="C10" s="24" t="s">
        <v>283</v>
      </c>
      <c r="D10" s="24" t="s">
        <v>294</v>
      </c>
      <c r="E10" s="24">
        <v>0</v>
      </c>
      <c r="F10" s="24">
        <v>9</v>
      </c>
      <c r="G10" s="24">
        <v>0</v>
      </c>
      <c r="H10" s="24">
        <v>1</v>
      </c>
      <c r="I10" s="24">
        <v>24</v>
      </c>
      <c r="J10" s="25"/>
      <c r="K10" s="25"/>
      <c r="L10" s="25"/>
      <c r="M10" s="26"/>
      <c r="N10" s="25"/>
      <c r="O10" s="26"/>
      <c r="P10" s="25"/>
      <c r="Q10" s="26"/>
      <c r="R10" s="25"/>
      <c r="S10" s="26"/>
      <c r="T10" s="25"/>
      <c r="U10" s="26"/>
    </row>
    <row r="11" spans="1:21" s="27" customFormat="1" x14ac:dyDescent="0.45">
      <c r="A11" s="24">
        <v>10</v>
      </c>
      <c r="B11" s="24">
        <v>0</v>
      </c>
      <c r="C11" s="24" t="s">
        <v>283</v>
      </c>
      <c r="D11" s="24" t="s">
        <v>295</v>
      </c>
      <c r="E11" s="24">
        <v>0</v>
      </c>
      <c r="F11" s="24">
        <v>10</v>
      </c>
      <c r="G11" s="24">
        <v>0</v>
      </c>
      <c r="H11" s="24">
        <v>1</v>
      </c>
      <c r="I11" s="24">
        <v>24</v>
      </c>
      <c r="J11" s="25"/>
      <c r="K11" s="25"/>
      <c r="L11" s="25"/>
      <c r="M11" s="26"/>
      <c r="N11" s="25"/>
      <c r="O11" s="26"/>
      <c r="P11" s="25"/>
      <c r="Q11" s="26"/>
      <c r="R11" s="25"/>
      <c r="S11" s="26"/>
      <c r="T11" s="25"/>
      <c r="U11" s="26"/>
    </row>
    <row r="12" spans="1:21" s="27" customFormat="1" x14ac:dyDescent="0.45">
      <c r="A12" s="24">
        <v>11</v>
      </c>
      <c r="B12" s="24">
        <v>0</v>
      </c>
      <c r="C12" s="24" t="s">
        <v>296</v>
      </c>
      <c r="D12" s="24" t="s">
        <v>297</v>
      </c>
      <c r="E12" s="24">
        <v>0</v>
      </c>
      <c r="F12" s="24">
        <v>11</v>
      </c>
      <c r="G12" s="24">
        <v>0</v>
      </c>
      <c r="H12" s="24">
        <v>1</v>
      </c>
      <c r="I12" s="24">
        <v>24</v>
      </c>
      <c r="J12" s="25"/>
      <c r="K12" s="25"/>
      <c r="L12" s="25"/>
      <c r="M12" s="26">
        <v>0</v>
      </c>
      <c r="N12" s="25"/>
      <c r="O12" s="26">
        <v>0</v>
      </c>
      <c r="P12" s="25"/>
      <c r="Q12" s="26">
        <v>0</v>
      </c>
      <c r="R12" s="25"/>
      <c r="S12" s="26">
        <v>0</v>
      </c>
      <c r="T12" s="25"/>
      <c r="U12" s="26">
        <v>0</v>
      </c>
    </row>
    <row r="13" spans="1:21" x14ac:dyDescent="0.45">
      <c r="A13" s="12">
        <v>13</v>
      </c>
      <c r="B13" s="12">
        <v>1</v>
      </c>
      <c r="C13" s="12" t="s">
        <v>281</v>
      </c>
      <c r="D13" s="12" t="s">
        <v>298</v>
      </c>
      <c r="E13" s="12">
        <v>0</v>
      </c>
      <c r="F13" s="12">
        <v>14</v>
      </c>
      <c r="G13" s="12">
        <v>0</v>
      </c>
      <c r="H13" s="12">
        <v>1</v>
      </c>
      <c r="I13" s="12">
        <v>24</v>
      </c>
      <c r="J13" s="10">
        <v>71</v>
      </c>
      <c r="K13" s="10" t="s">
        <v>282</v>
      </c>
      <c r="L13" s="10" t="s">
        <v>292</v>
      </c>
      <c r="M13" s="11">
        <v>1</v>
      </c>
      <c r="N13" s="10"/>
      <c r="O13" s="11">
        <v>0</v>
      </c>
      <c r="P13" s="10"/>
      <c r="Q13" s="11">
        <v>0</v>
      </c>
      <c r="R13" s="10"/>
      <c r="S13" s="11">
        <v>0</v>
      </c>
      <c r="T13" s="10"/>
      <c r="U13" s="11">
        <v>0</v>
      </c>
    </row>
    <row r="14" spans="1:21" x14ac:dyDescent="0.45">
      <c r="A14" s="12">
        <v>14</v>
      </c>
      <c r="B14" s="12">
        <v>0</v>
      </c>
      <c r="C14" s="12" t="s">
        <v>283</v>
      </c>
      <c r="D14" s="12" t="s">
        <v>299</v>
      </c>
      <c r="E14" s="12">
        <v>0</v>
      </c>
      <c r="F14" s="12">
        <v>0</v>
      </c>
      <c r="G14" s="12">
        <v>0</v>
      </c>
      <c r="H14" s="12">
        <v>1</v>
      </c>
      <c r="I14" s="12">
        <v>15</v>
      </c>
      <c r="J14" s="10">
        <v>30</v>
      </c>
      <c r="K14" s="10" t="s">
        <v>282</v>
      </c>
      <c r="L14" s="10"/>
      <c r="M14" s="11">
        <v>0</v>
      </c>
      <c r="N14" s="10"/>
      <c r="O14" s="11">
        <v>0</v>
      </c>
      <c r="P14" s="10"/>
      <c r="Q14" s="11">
        <v>0</v>
      </c>
      <c r="R14" s="10"/>
      <c r="S14" s="11">
        <v>0</v>
      </c>
      <c r="T14" s="10"/>
      <c r="U14" s="11">
        <v>0</v>
      </c>
    </row>
    <row r="15" spans="1:21" x14ac:dyDescent="0.45">
      <c r="A15" s="12">
        <v>15</v>
      </c>
      <c r="B15" s="12">
        <v>1</v>
      </c>
      <c r="C15" s="12" t="s">
        <v>300</v>
      </c>
      <c r="D15" s="12" t="s">
        <v>301</v>
      </c>
      <c r="E15" s="12">
        <v>0</v>
      </c>
      <c r="F15" s="12">
        <v>16</v>
      </c>
      <c r="G15" s="12">
        <v>0</v>
      </c>
      <c r="H15" s="12">
        <v>1</v>
      </c>
      <c r="I15" s="12">
        <v>24</v>
      </c>
      <c r="J15" s="10">
        <v>71</v>
      </c>
      <c r="K15" s="10" t="s">
        <v>282</v>
      </c>
      <c r="L15" s="10" t="s">
        <v>302</v>
      </c>
      <c r="M15" s="11">
        <v>1</v>
      </c>
      <c r="N15" s="10"/>
      <c r="O15" s="11">
        <v>0</v>
      </c>
      <c r="P15" s="10"/>
      <c r="Q15" s="11">
        <v>0</v>
      </c>
      <c r="R15" s="10"/>
      <c r="S15" s="11">
        <v>0</v>
      </c>
      <c r="T15" s="10"/>
      <c r="U15" s="11">
        <v>0</v>
      </c>
    </row>
    <row r="16" spans="1:21" x14ac:dyDescent="0.45">
      <c r="A16" s="12">
        <v>16</v>
      </c>
      <c r="B16" s="12">
        <v>0</v>
      </c>
      <c r="C16" s="12" t="s">
        <v>283</v>
      </c>
      <c r="D16" s="12" t="s">
        <v>303</v>
      </c>
      <c r="E16" s="12">
        <v>0</v>
      </c>
      <c r="F16" s="12">
        <v>0</v>
      </c>
      <c r="G16" s="12">
        <v>0</v>
      </c>
      <c r="H16" s="12">
        <v>0</v>
      </c>
      <c r="I16" s="12">
        <v>15</v>
      </c>
      <c r="J16" s="10">
        <v>30</v>
      </c>
      <c r="K16" s="10" t="s">
        <v>282</v>
      </c>
      <c r="L16" s="10"/>
      <c r="M16" s="11">
        <v>0</v>
      </c>
      <c r="N16" s="10"/>
      <c r="O16" s="11">
        <v>0</v>
      </c>
      <c r="P16" s="10"/>
      <c r="Q16" s="11">
        <v>0</v>
      </c>
      <c r="R16" s="10"/>
      <c r="S16" s="11">
        <v>0</v>
      </c>
      <c r="T16" s="10"/>
      <c r="U16" s="11">
        <v>0</v>
      </c>
    </row>
    <row r="17" spans="1:21" s="27" customFormat="1" x14ac:dyDescent="0.45">
      <c r="A17" s="24">
        <v>17</v>
      </c>
      <c r="B17" s="24">
        <v>1</v>
      </c>
      <c r="C17" s="24" t="s">
        <v>281</v>
      </c>
      <c r="D17" s="24" t="s">
        <v>304</v>
      </c>
      <c r="E17" s="24">
        <v>0</v>
      </c>
      <c r="F17" s="24">
        <v>18</v>
      </c>
      <c r="G17" s="24">
        <v>1</v>
      </c>
      <c r="H17" s="24">
        <v>1</v>
      </c>
      <c r="I17" s="24">
        <v>30</v>
      </c>
      <c r="J17" s="25"/>
      <c r="K17" s="25"/>
      <c r="L17" s="25"/>
      <c r="M17" s="26">
        <v>0</v>
      </c>
      <c r="N17" s="25"/>
      <c r="O17" s="26">
        <v>0</v>
      </c>
      <c r="P17" s="25"/>
      <c r="Q17" s="26">
        <v>0</v>
      </c>
      <c r="R17" s="25"/>
      <c r="S17" s="26">
        <v>0</v>
      </c>
      <c r="T17" s="25"/>
      <c r="U17" s="26">
        <v>0</v>
      </c>
    </row>
    <row r="18" spans="1:21" s="27" customFormat="1" x14ac:dyDescent="0.45">
      <c r="A18" s="24">
        <v>18</v>
      </c>
      <c r="B18" s="24">
        <v>0</v>
      </c>
      <c r="C18" s="24" t="s">
        <v>283</v>
      </c>
      <c r="D18" s="24" t="s">
        <v>305</v>
      </c>
      <c r="E18" s="24">
        <v>0</v>
      </c>
      <c r="F18" s="24">
        <v>0</v>
      </c>
      <c r="G18" s="24">
        <v>1</v>
      </c>
      <c r="H18" s="24">
        <v>1</v>
      </c>
      <c r="I18" s="24">
        <v>30</v>
      </c>
      <c r="J18" s="25"/>
      <c r="K18" s="25"/>
      <c r="L18" s="25"/>
      <c r="M18" s="26">
        <v>0</v>
      </c>
      <c r="N18" s="25"/>
      <c r="O18" s="26">
        <v>0</v>
      </c>
      <c r="P18" s="25"/>
      <c r="Q18" s="26">
        <v>0</v>
      </c>
      <c r="R18" s="25"/>
      <c r="S18" s="26">
        <v>0</v>
      </c>
      <c r="T18" s="25"/>
      <c r="U18" s="26">
        <v>0</v>
      </c>
    </row>
    <row r="19" spans="1:21" s="27" customFormat="1" x14ac:dyDescent="0.45">
      <c r="A19" s="24">
        <v>19</v>
      </c>
      <c r="B19" s="24">
        <v>1</v>
      </c>
      <c r="C19" s="24" t="s">
        <v>281</v>
      </c>
      <c r="D19" s="24" t="s">
        <v>306</v>
      </c>
      <c r="E19" s="24">
        <v>0</v>
      </c>
      <c r="F19" s="24">
        <v>0</v>
      </c>
      <c r="G19" s="24">
        <v>0</v>
      </c>
      <c r="H19" s="24">
        <v>1</v>
      </c>
      <c r="I19" s="24">
        <v>30</v>
      </c>
      <c r="J19" s="25"/>
      <c r="K19" s="25"/>
      <c r="L19" s="25"/>
      <c r="M19" s="26">
        <v>0</v>
      </c>
      <c r="N19" s="25"/>
      <c r="O19" s="26">
        <v>0</v>
      </c>
      <c r="P19" s="25"/>
      <c r="Q19" s="26">
        <v>0</v>
      </c>
      <c r="R19" s="25"/>
      <c r="S19" s="26"/>
      <c r="T19" s="25"/>
      <c r="U19" s="26"/>
    </row>
    <row r="20" spans="1:21" s="27" customFormat="1" x14ac:dyDescent="0.45">
      <c r="A20" s="24">
        <v>20</v>
      </c>
      <c r="B20" s="24">
        <v>0</v>
      </c>
      <c r="C20" s="24" t="s">
        <v>283</v>
      </c>
      <c r="D20" s="24" t="s">
        <v>307</v>
      </c>
      <c r="E20" s="24">
        <v>0</v>
      </c>
      <c r="F20" s="24">
        <v>20</v>
      </c>
      <c r="G20" s="24">
        <v>0</v>
      </c>
      <c r="H20" s="24">
        <v>1</v>
      </c>
      <c r="I20" s="24">
        <v>30</v>
      </c>
      <c r="J20" s="25"/>
      <c r="K20" s="25"/>
      <c r="L20" s="25"/>
      <c r="M20" s="26"/>
      <c r="N20" s="25"/>
      <c r="O20" s="26"/>
      <c r="P20" s="25"/>
      <c r="Q20" s="26"/>
      <c r="R20" s="25"/>
      <c r="S20" s="26"/>
      <c r="T20" s="25"/>
      <c r="U20" s="26"/>
    </row>
    <row r="21" spans="1:21" s="27" customFormat="1" x14ac:dyDescent="0.45">
      <c r="A21" s="24">
        <v>21</v>
      </c>
      <c r="B21" s="24">
        <v>0</v>
      </c>
      <c r="C21" s="24" t="s">
        <v>283</v>
      </c>
      <c r="D21" s="24" t="s">
        <v>308</v>
      </c>
      <c r="E21" s="24">
        <v>0</v>
      </c>
      <c r="F21" s="24">
        <v>21</v>
      </c>
      <c r="G21" s="24">
        <v>0</v>
      </c>
      <c r="H21" s="24">
        <v>1</v>
      </c>
      <c r="I21" s="24">
        <v>30</v>
      </c>
      <c r="J21" s="25"/>
      <c r="K21" s="25"/>
      <c r="L21" s="25"/>
      <c r="M21" s="26"/>
      <c r="N21" s="25"/>
      <c r="O21" s="26"/>
      <c r="P21" s="25"/>
      <c r="Q21" s="26"/>
      <c r="R21" s="25"/>
      <c r="S21" s="26"/>
      <c r="T21" s="25"/>
      <c r="U21" s="26"/>
    </row>
    <row r="22" spans="1:21" x14ac:dyDescent="0.45">
      <c r="A22" s="12">
        <v>22</v>
      </c>
      <c r="B22" s="12">
        <v>1</v>
      </c>
      <c r="C22" s="12" t="s">
        <v>309</v>
      </c>
      <c r="D22" s="12" t="s">
        <v>310</v>
      </c>
      <c r="E22" s="12">
        <v>0</v>
      </c>
      <c r="F22" s="12">
        <v>23</v>
      </c>
      <c r="G22" s="12">
        <v>1</v>
      </c>
      <c r="H22" s="12">
        <v>2</v>
      </c>
      <c r="I22" s="12">
        <v>0</v>
      </c>
      <c r="J22" s="10"/>
      <c r="K22" s="10" t="s">
        <v>311</v>
      </c>
      <c r="L22" s="10" t="s">
        <v>310</v>
      </c>
      <c r="M22" s="11">
        <v>0</v>
      </c>
      <c r="N22" s="10" t="s">
        <v>312</v>
      </c>
      <c r="O22" s="11">
        <v>0</v>
      </c>
      <c r="P22" s="10"/>
      <c r="Q22" s="11">
        <v>0</v>
      </c>
      <c r="R22" s="10"/>
      <c r="S22" s="11">
        <v>0</v>
      </c>
      <c r="T22" s="10"/>
      <c r="U22" s="11">
        <v>0</v>
      </c>
    </row>
    <row r="23" spans="1:21" x14ac:dyDescent="0.45">
      <c r="A23" s="12">
        <v>23</v>
      </c>
      <c r="B23" s="12">
        <v>1</v>
      </c>
      <c r="C23" s="12" t="s">
        <v>313</v>
      </c>
      <c r="D23" s="12" t="s">
        <v>313</v>
      </c>
      <c r="E23" s="12">
        <v>0</v>
      </c>
      <c r="F23" s="12">
        <v>0</v>
      </c>
      <c r="G23" s="12">
        <v>1</v>
      </c>
      <c r="H23" s="12">
        <v>0</v>
      </c>
      <c r="I23" s="12">
        <v>0</v>
      </c>
      <c r="J23" s="10"/>
      <c r="K23" s="10" t="s">
        <v>311</v>
      </c>
      <c r="L23" s="10"/>
      <c r="M23" s="11">
        <v>0</v>
      </c>
      <c r="N23" s="10"/>
      <c r="O23" s="11">
        <v>0</v>
      </c>
      <c r="P23" s="10"/>
      <c r="Q23" s="11">
        <v>0</v>
      </c>
      <c r="R23" s="10"/>
      <c r="S23" s="11">
        <v>0</v>
      </c>
      <c r="T23" s="10"/>
      <c r="U23" s="11">
        <v>0</v>
      </c>
    </row>
    <row r="24" spans="1:21" x14ac:dyDescent="0.45">
      <c r="A24" s="12">
        <v>24</v>
      </c>
      <c r="B24" s="12">
        <v>1</v>
      </c>
      <c r="C24" s="12" t="s">
        <v>281</v>
      </c>
      <c r="D24" s="12" t="s">
        <v>304</v>
      </c>
      <c r="E24" s="12">
        <v>0</v>
      </c>
      <c r="F24" s="12">
        <v>25</v>
      </c>
      <c r="G24" s="12">
        <v>1</v>
      </c>
      <c r="H24" s="12">
        <v>1</v>
      </c>
      <c r="I24" s="12">
        <v>30</v>
      </c>
      <c r="J24" s="10">
        <v>76</v>
      </c>
      <c r="K24" s="10" t="s">
        <v>282</v>
      </c>
      <c r="L24" s="10"/>
      <c r="M24" s="11">
        <v>0</v>
      </c>
      <c r="N24" s="10"/>
      <c r="O24" s="11">
        <v>0</v>
      </c>
      <c r="P24" s="10"/>
      <c r="Q24" s="11">
        <v>0</v>
      </c>
      <c r="R24" s="10"/>
      <c r="S24" s="11">
        <v>0</v>
      </c>
      <c r="T24" s="10"/>
      <c r="U24" s="11">
        <v>0</v>
      </c>
    </row>
    <row r="25" spans="1:21" x14ac:dyDescent="0.45">
      <c r="A25" s="12">
        <v>25</v>
      </c>
      <c r="B25" s="12">
        <v>1</v>
      </c>
      <c r="C25" s="12" t="s">
        <v>283</v>
      </c>
      <c r="D25" s="12" t="s">
        <v>304</v>
      </c>
      <c r="E25" s="12">
        <v>0</v>
      </c>
      <c r="F25" s="12">
        <v>25</v>
      </c>
      <c r="G25" s="12">
        <v>1</v>
      </c>
      <c r="H25" s="12">
        <v>1</v>
      </c>
      <c r="I25" s="12">
        <v>30</v>
      </c>
      <c r="J25" s="10">
        <v>76</v>
      </c>
      <c r="K25" s="10" t="s">
        <v>282</v>
      </c>
      <c r="L25" s="10"/>
      <c r="M25" s="11">
        <v>0</v>
      </c>
      <c r="N25" s="10"/>
      <c r="O25" s="11">
        <v>0</v>
      </c>
      <c r="P25" s="10"/>
      <c r="Q25" s="11">
        <v>0</v>
      </c>
      <c r="R25" s="10"/>
      <c r="S25" s="11">
        <v>0</v>
      </c>
      <c r="T25" s="10"/>
      <c r="U25" s="11">
        <v>0</v>
      </c>
    </row>
    <row r="26" spans="1:21" x14ac:dyDescent="0.45">
      <c r="A26" s="12">
        <v>26</v>
      </c>
      <c r="B26" s="12">
        <v>1</v>
      </c>
      <c r="C26" s="12" t="s">
        <v>314</v>
      </c>
      <c r="D26" s="12" t="s">
        <v>314</v>
      </c>
      <c r="E26" s="12">
        <v>0</v>
      </c>
      <c r="F26" s="12">
        <v>0</v>
      </c>
      <c r="G26" s="12">
        <v>1</v>
      </c>
      <c r="H26" s="12">
        <v>0</v>
      </c>
      <c r="I26" s="12">
        <v>0</v>
      </c>
      <c r="J26" s="10"/>
      <c r="K26" s="10" t="s">
        <v>311</v>
      </c>
      <c r="L26" s="10"/>
      <c r="M26" s="11">
        <v>0</v>
      </c>
      <c r="N26" s="10"/>
      <c r="O26" s="11">
        <v>0</v>
      </c>
      <c r="P26" s="10"/>
      <c r="Q26" s="11">
        <v>0</v>
      </c>
      <c r="R26" s="10"/>
      <c r="S26" s="11">
        <v>0</v>
      </c>
      <c r="T26" s="10"/>
      <c r="U26" s="11">
        <v>0</v>
      </c>
    </row>
    <row r="27" spans="1:21" x14ac:dyDescent="0.45">
      <c r="A27" s="12">
        <v>27</v>
      </c>
      <c r="B27" s="12">
        <v>1</v>
      </c>
      <c r="C27" s="12" t="s">
        <v>315</v>
      </c>
      <c r="D27" s="12" t="s">
        <v>316</v>
      </c>
      <c r="E27" s="12">
        <v>0</v>
      </c>
      <c r="F27" s="12">
        <v>0</v>
      </c>
      <c r="G27" s="12">
        <v>1</v>
      </c>
      <c r="H27" s="12">
        <v>0</v>
      </c>
      <c r="I27" s="12">
        <v>0</v>
      </c>
      <c r="J27" s="10"/>
      <c r="K27" s="10" t="s">
        <v>311</v>
      </c>
      <c r="L27" s="10"/>
      <c r="M27" s="11">
        <v>0</v>
      </c>
      <c r="N27" s="10"/>
      <c r="O27" s="11">
        <v>0</v>
      </c>
      <c r="P27" s="10"/>
      <c r="Q27" s="11">
        <v>0</v>
      </c>
      <c r="R27" s="10"/>
      <c r="S27" s="11">
        <v>0</v>
      </c>
      <c r="T27" s="10"/>
      <c r="U27" s="11">
        <v>0</v>
      </c>
    </row>
    <row r="28" spans="1:21" x14ac:dyDescent="0.45">
      <c r="A28" s="12">
        <v>28</v>
      </c>
      <c r="B28" s="12">
        <v>0</v>
      </c>
      <c r="C28" s="12" t="s">
        <v>317</v>
      </c>
      <c r="D28" s="12" t="s">
        <v>317</v>
      </c>
      <c r="E28" s="12">
        <v>0</v>
      </c>
      <c r="F28" s="12">
        <v>0</v>
      </c>
      <c r="G28" s="12">
        <v>1</v>
      </c>
      <c r="H28" s="12">
        <v>0</v>
      </c>
      <c r="I28" s="12">
        <v>0</v>
      </c>
      <c r="J28" s="10"/>
      <c r="K28" s="10" t="s">
        <v>311</v>
      </c>
      <c r="L28" s="10"/>
      <c r="M28" s="11">
        <v>0</v>
      </c>
      <c r="N28" s="10"/>
      <c r="O28" s="11">
        <v>0</v>
      </c>
      <c r="P28" s="10"/>
      <c r="Q28" s="11">
        <v>0</v>
      </c>
      <c r="R28" s="10"/>
      <c r="S28" s="11">
        <v>0</v>
      </c>
      <c r="T28" s="10"/>
      <c r="U28" s="11">
        <v>0</v>
      </c>
    </row>
    <row r="29" spans="1:21" x14ac:dyDescent="0.45">
      <c r="A29" s="12">
        <v>29</v>
      </c>
      <c r="B29" s="12">
        <v>0</v>
      </c>
      <c r="C29" s="12" t="s">
        <v>318</v>
      </c>
      <c r="D29" s="12" t="s">
        <v>318</v>
      </c>
      <c r="E29" s="12">
        <v>0</v>
      </c>
      <c r="F29" s="12">
        <v>0</v>
      </c>
      <c r="G29" s="12">
        <v>1</v>
      </c>
      <c r="H29" s="12">
        <v>0</v>
      </c>
      <c r="I29" s="12">
        <v>0</v>
      </c>
      <c r="J29" s="10"/>
      <c r="K29" s="10" t="s">
        <v>311</v>
      </c>
      <c r="L29" s="10"/>
      <c r="M29" s="11">
        <v>0</v>
      </c>
      <c r="N29" s="10"/>
      <c r="O29" s="11">
        <v>0</v>
      </c>
      <c r="P29" s="10"/>
      <c r="Q29" s="11">
        <v>0</v>
      </c>
      <c r="R29" s="10"/>
      <c r="S29" s="11">
        <v>0</v>
      </c>
      <c r="T29" s="10"/>
      <c r="U29" s="11">
        <v>0</v>
      </c>
    </row>
    <row r="30" spans="1:21" x14ac:dyDescent="0.45">
      <c r="A30" s="12">
        <v>30</v>
      </c>
      <c r="B30" s="12">
        <v>0</v>
      </c>
      <c r="C30" s="12" t="s">
        <v>319</v>
      </c>
      <c r="D30" s="12" t="s">
        <v>319</v>
      </c>
      <c r="E30" s="12">
        <v>0</v>
      </c>
      <c r="F30" s="12">
        <v>31</v>
      </c>
      <c r="G30" s="12">
        <v>1</v>
      </c>
      <c r="H30" s="12">
        <v>0</v>
      </c>
      <c r="I30" s="12">
        <v>0</v>
      </c>
      <c r="J30" s="10"/>
      <c r="K30" s="10" t="s">
        <v>311</v>
      </c>
      <c r="L30" s="10"/>
      <c r="M30" s="11">
        <v>0</v>
      </c>
      <c r="N30" s="10"/>
      <c r="O30" s="11">
        <v>0</v>
      </c>
      <c r="P30" s="10"/>
      <c r="Q30" s="11">
        <v>0</v>
      </c>
      <c r="R30" s="10"/>
      <c r="S30" s="11">
        <v>0</v>
      </c>
      <c r="T30" s="10"/>
      <c r="U30" s="11">
        <v>0</v>
      </c>
    </row>
    <row r="31" spans="1:21" x14ac:dyDescent="0.45">
      <c r="A31" s="12">
        <v>31</v>
      </c>
      <c r="B31" s="12">
        <v>0</v>
      </c>
      <c r="C31" s="12" t="s">
        <v>320</v>
      </c>
      <c r="D31" s="12" t="s">
        <v>320</v>
      </c>
      <c r="E31" s="12">
        <v>0</v>
      </c>
      <c r="F31" s="12">
        <v>0</v>
      </c>
      <c r="G31" s="12">
        <v>1</v>
      </c>
      <c r="H31" s="12">
        <v>0</v>
      </c>
      <c r="I31" s="12">
        <v>0</v>
      </c>
      <c r="J31" s="10"/>
      <c r="K31" s="10" t="s">
        <v>311</v>
      </c>
      <c r="L31" s="10"/>
      <c r="M31" s="11">
        <v>0</v>
      </c>
      <c r="N31" s="10"/>
      <c r="O31" s="11">
        <v>0</v>
      </c>
      <c r="P31" s="10"/>
      <c r="Q31" s="11">
        <v>0</v>
      </c>
      <c r="R31" s="10"/>
      <c r="S31" s="11">
        <v>0</v>
      </c>
      <c r="T31" s="10"/>
      <c r="U31" s="11">
        <v>0</v>
      </c>
    </row>
    <row r="32" spans="1:21" x14ac:dyDescent="0.45">
      <c r="A32" s="12">
        <v>33</v>
      </c>
      <c r="B32" s="12">
        <v>1</v>
      </c>
      <c r="C32" s="12" t="s">
        <v>321</v>
      </c>
      <c r="D32" s="12" t="s">
        <v>322</v>
      </c>
      <c r="E32" s="12">
        <v>0</v>
      </c>
      <c r="F32" s="12">
        <v>34</v>
      </c>
      <c r="G32" s="12">
        <v>1</v>
      </c>
      <c r="H32" s="12">
        <v>1</v>
      </c>
      <c r="I32" s="12">
        <v>24</v>
      </c>
      <c r="J32" s="10">
        <v>88</v>
      </c>
      <c r="K32" s="10" t="s">
        <v>282</v>
      </c>
      <c r="L32" s="10"/>
      <c r="M32" s="11">
        <v>0</v>
      </c>
      <c r="N32" s="10"/>
      <c r="O32" s="11">
        <v>0</v>
      </c>
      <c r="P32" s="10"/>
      <c r="Q32" s="11">
        <v>0</v>
      </c>
      <c r="R32" s="10"/>
      <c r="S32" s="11">
        <v>0</v>
      </c>
      <c r="T32" s="10"/>
      <c r="U32" s="11">
        <v>0</v>
      </c>
    </row>
    <row r="33" spans="1:21" x14ac:dyDescent="0.45">
      <c r="A33" s="12">
        <v>34</v>
      </c>
      <c r="B33" s="12">
        <v>0</v>
      </c>
      <c r="C33" s="12" t="s">
        <v>323</v>
      </c>
      <c r="D33" s="12" t="s">
        <v>324</v>
      </c>
      <c r="E33" s="12">
        <v>0</v>
      </c>
      <c r="F33" s="12">
        <v>0</v>
      </c>
      <c r="G33" s="12">
        <v>1</v>
      </c>
      <c r="H33" s="12">
        <v>1</v>
      </c>
      <c r="I33" s="12">
        <v>15</v>
      </c>
      <c r="J33" s="10">
        <v>30</v>
      </c>
      <c r="K33" s="10" t="s">
        <v>282</v>
      </c>
      <c r="L33" s="10"/>
      <c r="M33" s="11"/>
      <c r="N33" s="10"/>
      <c r="O33" s="11"/>
      <c r="P33" s="10"/>
      <c r="Q33" s="11"/>
      <c r="R33" s="10"/>
      <c r="S33" s="11"/>
      <c r="T33" s="10"/>
      <c r="U33" s="11"/>
    </row>
    <row r="34" spans="1:21" x14ac:dyDescent="0.45">
      <c r="A34" s="12">
        <v>35</v>
      </c>
      <c r="B34" s="12">
        <v>1</v>
      </c>
      <c r="C34" s="12" t="s">
        <v>321</v>
      </c>
      <c r="D34" s="12" t="s">
        <v>325</v>
      </c>
      <c r="E34" s="12">
        <v>0</v>
      </c>
      <c r="F34" s="12">
        <v>36</v>
      </c>
      <c r="G34" s="12">
        <v>1</v>
      </c>
      <c r="H34" s="12">
        <v>1</v>
      </c>
      <c r="I34" s="12">
        <v>24</v>
      </c>
      <c r="J34" s="10">
        <v>71</v>
      </c>
      <c r="K34" s="10" t="s">
        <v>282</v>
      </c>
      <c r="L34" s="10"/>
      <c r="M34" s="11">
        <v>0</v>
      </c>
      <c r="N34" s="10"/>
      <c r="O34" s="11">
        <v>0</v>
      </c>
      <c r="P34" s="10"/>
      <c r="Q34" s="11">
        <v>0</v>
      </c>
      <c r="R34" s="10"/>
      <c r="S34" s="11">
        <v>0</v>
      </c>
      <c r="T34" s="10"/>
      <c r="U34" s="11">
        <v>0</v>
      </c>
    </row>
    <row r="35" spans="1:21" x14ac:dyDescent="0.45">
      <c r="A35" s="12">
        <v>36</v>
      </c>
      <c r="B35" s="12">
        <v>0</v>
      </c>
      <c r="C35" s="12" t="s">
        <v>323</v>
      </c>
      <c r="D35" s="12" t="s">
        <v>326</v>
      </c>
      <c r="E35" s="12">
        <v>0</v>
      </c>
      <c r="F35" s="12">
        <v>0</v>
      </c>
      <c r="G35" s="12">
        <v>1</v>
      </c>
      <c r="H35" s="12">
        <v>1</v>
      </c>
      <c r="I35" s="12">
        <v>15</v>
      </c>
      <c r="J35" s="10">
        <v>30</v>
      </c>
      <c r="K35" s="10" t="s">
        <v>282</v>
      </c>
      <c r="L35" s="10"/>
      <c r="M35" s="11">
        <v>0</v>
      </c>
      <c r="N35" s="10"/>
      <c r="O35" s="11">
        <v>0</v>
      </c>
      <c r="P35" s="10"/>
      <c r="Q35" s="11">
        <v>0</v>
      </c>
      <c r="R35" s="10"/>
      <c r="S35" s="11">
        <v>0</v>
      </c>
      <c r="T35" s="10"/>
      <c r="U35" s="11">
        <v>0</v>
      </c>
    </row>
    <row r="36" spans="1:21" x14ac:dyDescent="0.45">
      <c r="A36" s="12">
        <v>37</v>
      </c>
      <c r="B36" s="12">
        <v>1</v>
      </c>
      <c r="C36" s="12" t="s">
        <v>327</v>
      </c>
      <c r="D36" s="12" t="s">
        <v>328</v>
      </c>
      <c r="E36" s="12">
        <v>0</v>
      </c>
      <c r="F36" s="12">
        <v>38</v>
      </c>
      <c r="G36" s="12">
        <v>1</v>
      </c>
      <c r="H36" s="12">
        <v>1</v>
      </c>
      <c r="I36" s="12">
        <v>69</v>
      </c>
      <c r="J36" s="10"/>
      <c r="K36" s="10" t="s">
        <v>282</v>
      </c>
      <c r="L36" s="10" t="s">
        <v>312</v>
      </c>
      <c r="M36" s="11">
        <v>0</v>
      </c>
      <c r="N36" s="10"/>
      <c r="O36" s="11">
        <v>0</v>
      </c>
      <c r="P36" s="10"/>
      <c r="Q36" s="11">
        <v>0</v>
      </c>
      <c r="R36" s="10"/>
      <c r="S36" s="11">
        <v>0</v>
      </c>
      <c r="T36" s="10"/>
      <c r="U36" s="11">
        <v>0</v>
      </c>
    </row>
    <row r="37" spans="1:21" x14ac:dyDescent="0.45">
      <c r="A37" s="12">
        <v>38</v>
      </c>
      <c r="B37" s="12">
        <v>0</v>
      </c>
      <c r="C37" s="12" t="s">
        <v>329</v>
      </c>
      <c r="D37" s="12" t="s">
        <v>330</v>
      </c>
      <c r="E37" s="12">
        <v>0</v>
      </c>
      <c r="F37" s="12">
        <v>0</v>
      </c>
      <c r="G37" s="12">
        <v>1</v>
      </c>
      <c r="H37" s="12">
        <v>1</v>
      </c>
      <c r="I37" s="12">
        <v>69</v>
      </c>
      <c r="J37" s="10"/>
      <c r="K37" s="10" t="s">
        <v>282</v>
      </c>
      <c r="L37" s="10"/>
      <c r="M37" s="11"/>
      <c r="N37" s="10"/>
      <c r="O37" s="11"/>
      <c r="P37" s="10"/>
      <c r="Q37" s="11"/>
      <c r="R37" s="10"/>
      <c r="S37" s="11"/>
      <c r="T37" s="10"/>
      <c r="U37" s="11"/>
    </row>
    <row r="38" spans="1:21" x14ac:dyDescent="0.45">
      <c r="A38" s="12">
        <v>39</v>
      </c>
      <c r="B38" s="12">
        <v>1</v>
      </c>
      <c r="C38" s="12" t="s">
        <v>331</v>
      </c>
      <c r="D38" s="12" t="s">
        <v>332</v>
      </c>
      <c r="E38" s="12">
        <v>0</v>
      </c>
      <c r="F38" s="12">
        <v>40</v>
      </c>
      <c r="G38" s="12">
        <v>1</v>
      </c>
      <c r="H38" s="12">
        <v>1</v>
      </c>
      <c r="I38" s="12">
        <v>18</v>
      </c>
      <c r="J38" s="10">
        <v>65</v>
      </c>
      <c r="K38" s="10" t="s">
        <v>282</v>
      </c>
      <c r="L38" s="10" t="s">
        <v>333</v>
      </c>
      <c r="M38" s="11">
        <v>0</v>
      </c>
      <c r="N38" s="10"/>
      <c r="O38" s="11">
        <v>0</v>
      </c>
      <c r="P38" s="10"/>
      <c r="Q38" s="11">
        <v>0</v>
      </c>
      <c r="R38" s="10"/>
      <c r="S38" s="11">
        <v>0</v>
      </c>
      <c r="T38" s="10"/>
      <c r="U38" s="11">
        <v>0</v>
      </c>
    </row>
    <row r="39" spans="1:21" x14ac:dyDescent="0.45">
      <c r="A39" s="12">
        <v>40</v>
      </c>
      <c r="B39" s="12">
        <v>0</v>
      </c>
      <c r="C39" s="12" t="s">
        <v>334</v>
      </c>
      <c r="D39" s="12" t="s">
        <v>334</v>
      </c>
      <c r="E39" s="12">
        <v>0</v>
      </c>
      <c r="F39" s="12">
        <v>0</v>
      </c>
      <c r="G39" s="12">
        <v>1</v>
      </c>
      <c r="H39" s="12">
        <v>1</v>
      </c>
      <c r="I39" s="12">
        <v>12</v>
      </c>
      <c r="J39" s="10"/>
      <c r="K39" s="10" t="s">
        <v>282</v>
      </c>
      <c r="L39" s="10"/>
      <c r="M39" s="11"/>
      <c r="N39" s="10"/>
      <c r="O39" s="11"/>
      <c r="P39" s="10"/>
      <c r="Q39" s="11"/>
      <c r="R39" s="10"/>
      <c r="S39" s="11"/>
      <c r="T39" s="10"/>
      <c r="U39" s="11"/>
    </row>
    <row r="40" spans="1:21" x14ac:dyDescent="0.45">
      <c r="A40" s="12">
        <v>41</v>
      </c>
      <c r="B40" s="12">
        <v>1</v>
      </c>
      <c r="C40" s="12" t="s">
        <v>335</v>
      </c>
      <c r="D40" s="12" t="s">
        <v>336</v>
      </c>
      <c r="E40" s="12">
        <v>0</v>
      </c>
      <c r="F40" s="12">
        <v>42</v>
      </c>
      <c r="G40" s="12">
        <v>1</v>
      </c>
      <c r="H40" s="12">
        <v>1</v>
      </c>
      <c r="I40" s="12">
        <v>24</v>
      </c>
      <c r="J40" s="10"/>
      <c r="K40" s="10" t="s">
        <v>282</v>
      </c>
      <c r="L40" s="10"/>
      <c r="M40" s="11">
        <v>0</v>
      </c>
      <c r="N40" s="10"/>
      <c r="O40" s="11">
        <v>0</v>
      </c>
      <c r="P40" s="10"/>
      <c r="Q40" s="11">
        <v>0</v>
      </c>
      <c r="R40" s="10"/>
      <c r="S40" s="11">
        <v>0</v>
      </c>
      <c r="T40" s="10"/>
      <c r="U40" s="11">
        <v>0</v>
      </c>
    </row>
    <row r="41" spans="1:21" x14ac:dyDescent="0.45">
      <c r="A41" s="12">
        <v>42</v>
      </c>
      <c r="B41" s="12">
        <v>0</v>
      </c>
      <c r="C41" s="12" t="s">
        <v>337</v>
      </c>
      <c r="D41" s="12" t="s">
        <v>337</v>
      </c>
      <c r="E41" s="12">
        <v>0</v>
      </c>
      <c r="F41" s="12">
        <v>0</v>
      </c>
      <c r="G41" s="12">
        <v>1</v>
      </c>
      <c r="H41" s="12">
        <v>1</v>
      </c>
      <c r="I41" s="12">
        <v>24</v>
      </c>
      <c r="J41" s="10"/>
      <c r="K41" s="10" t="s">
        <v>282</v>
      </c>
      <c r="L41" s="10"/>
      <c r="M41" s="11"/>
      <c r="N41" s="10"/>
      <c r="O41" s="11"/>
      <c r="P41" s="10"/>
      <c r="Q41" s="11"/>
      <c r="R41" s="10"/>
      <c r="S41" s="11"/>
      <c r="T41" s="10"/>
      <c r="U41" s="11"/>
    </row>
    <row r="42" spans="1:21" x14ac:dyDescent="0.45">
      <c r="A42" s="12">
        <v>43</v>
      </c>
      <c r="B42" s="12">
        <v>1</v>
      </c>
      <c r="C42" s="12" t="s">
        <v>338</v>
      </c>
      <c r="D42" s="12" t="s">
        <v>339</v>
      </c>
      <c r="E42" s="12">
        <v>0</v>
      </c>
      <c r="F42" s="12">
        <v>44</v>
      </c>
      <c r="G42" s="12">
        <v>1</v>
      </c>
      <c r="H42" s="12">
        <v>1</v>
      </c>
      <c r="I42" s="12">
        <v>24</v>
      </c>
      <c r="J42" s="10"/>
      <c r="K42" s="10" t="s">
        <v>282</v>
      </c>
      <c r="L42" s="10"/>
      <c r="M42" s="11">
        <v>0</v>
      </c>
      <c r="N42" s="10"/>
      <c r="O42" s="11">
        <v>0</v>
      </c>
      <c r="P42" s="10"/>
      <c r="Q42" s="11">
        <v>0</v>
      </c>
      <c r="R42" s="10"/>
      <c r="S42" s="11">
        <v>0</v>
      </c>
      <c r="T42" s="10"/>
      <c r="U42" s="11">
        <v>0</v>
      </c>
    </row>
    <row r="43" spans="1:21" x14ac:dyDescent="0.45">
      <c r="A43" s="12">
        <v>44</v>
      </c>
      <c r="B43" s="12">
        <v>0</v>
      </c>
      <c r="C43" s="12" t="s">
        <v>340</v>
      </c>
      <c r="D43" s="12" t="s">
        <v>340</v>
      </c>
      <c r="E43" s="12">
        <v>0</v>
      </c>
      <c r="F43" s="12">
        <v>0</v>
      </c>
      <c r="G43" s="12">
        <v>1</v>
      </c>
      <c r="H43" s="12">
        <v>1</v>
      </c>
      <c r="I43" s="12">
        <v>24</v>
      </c>
      <c r="J43" s="10"/>
      <c r="K43" s="10" t="s">
        <v>282</v>
      </c>
      <c r="L43" s="10"/>
      <c r="M43" s="11"/>
      <c r="N43" s="10"/>
      <c r="O43" s="11"/>
      <c r="P43" s="10"/>
      <c r="Q43" s="11"/>
      <c r="R43" s="10"/>
      <c r="S43" s="11"/>
      <c r="T43" s="10"/>
      <c r="U43" s="11"/>
    </row>
    <row r="44" spans="1:21" x14ac:dyDescent="0.45">
      <c r="A44" s="12">
        <v>45</v>
      </c>
      <c r="B44" s="12">
        <v>1</v>
      </c>
      <c r="C44" s="12" t="s">
        <v>341</v>
      </c>
      <c r="D44" s="12" t="s">
        <v>342</v>
      </c>
      <c r="E44" s="12">
        <v>0</v>
      </c>
      <c r="F44" s="12">
        <v>46</v>
      </c>
      <c r="G44" s="12">
        <v>1</v>
      </c>
      <c r="H44" s="12">
        <v>1</v>
      </c>
      <c r="I44" s="12">
        <v>18</v>
      </c>
      <c r="J44" s="10"/>
      <c r="K44" s="10" t="s">
        <v>282</v>
      </c>
      <c r="L44" s="10"/>
      <c r="M44" s="11">
        <v>0</v>
      </c>
      <c r="N44" s="10"/>
      <c r="O44" s="11">
        <v>0</v>
      </c>
      <c r="P44" s="10"/>
      <c r="Q44" s="11">
        <v>0</v>
      </c>
      <c r="R44" s="10"/>
      <c r="S44" s="11">
        <v>0</v>
      </c>
      <c r="T44" s="10"/>
      <c r="U44" s="11">
        <v>0</v>
      </c>
    </row>
    <row r="45" spans="1:21" x14ac:dyDescent="0.45">
      <c r="A45" s="12">
        <v>46</v>
      </c>
      <c r="B45" s="12">
        <v>0</v>
      </c>
      <c r="C45" s="12" t="s">
        <v>343</v>
      </c>
      <c r="D45" s="12" t="s">
        <v>343</v>
      </c>
      <c r="E45" s="12">
        <v>0</v>
      </c>
      <c r="F45" s="12">
        <v>0</v>
      </c>
      <c r="G45" s="12">
        <v>1</v>
      </c>
      <c r="H45" s="12">
        <v>1</v>
      </c>
      <c r="I45" s="12">
        <v>18</v>
      </c>
      <c r="J45" s="10"/>
      <c r="K45" s="10" t="s">
        <v>282</v>
      </c>
      <c r="L45" s="10"/>
      <c r="M45" s="11"/>
      <c r="N45" s="10"/>
      <c r="O45" s="11"/>
      <c r="P45" s="10"/>
      <c r="Q45" s="11"/>
      <c r="R45" s="10"/>
      <c r="S45" s="11"/>
      <c r="T45" s="10"/>
      <c r="U45" s="11"/>
    </row>
    <row r="46" spans="1:21" s="27" customFormat="1" x14ac:dyDescent="0.45">
      <c r="A46" s="24">
        <v>47</v>
      </c>
      <c r="B46" s="24">
        <v>1</v>
      </c>
      <c r="C46" s="24" t="s">
        <v>344</v>
      </c>
      <c r="D46" s="24" t="s">
        <v>345</v>
      </c>
      <c r="E46" s="24">
        <v>0</v>
      </c>
      <c r="F46" s="24">
        <v>48</v>
      </c>
      <c r="G46" s="24">
        <v>1</v>
      </c>
      <c r="H46" s="24">
        <v>1</v>
      </c>
      <c r="I46" s="24">
        <v>18</v>
      </c>
      <c r="J46" s="25"/>
      <c r="K46" s="25"/>
      <c r="L46" s="25"/>
      <c r="M46" s="26">
        <v>0</v>
      </c>
      <c r="N46" s="25"/>
      <c r="O46" s="26">
        <v>0</v>
      </c>
      <c r="P46" s="25"/>
      <c r="Q46" s="26">
        <v>0</v>
      </c>
      <c r="R46" s="25"/>
      <c r="S46" s="26">
        <v>0</v>
      </c>
      <c r="T46" s="25"/>
      <c r="U46" s="26">
        <v>0</v>
      </c>
    </row>
    <row r="47" spans="1:21" s="27" customFormat="1" x14ac:dyDescent="0.45">
      <c r="A47" s="24">
        <v>48</v>
      </c>
      <c r="B47" s="24">
        <v>0</v>
      </c>
      <c r="C47" s="24" t="s">
        <v>346</v>
      </c>
      <c r="D47" s="24" t="s">
        <v>346</v>
      </c>
      <c r="E47" s="24">
        <v>0</v>
      </c>
      <c r="F47" s="24">
        <v>0</v>
      </c>
      <c r="G47" s="24">
        <v>1</v>
      </c>
      <c r="H47" s="24">
        <v>1</v>
      </c>
      <c r="I47" s="24">
        <v>0</v>
      </c>
      <c r="J47" s="25"/>
      <c r="K47" s="25"/>
      <c r="L47" s="25"/>
      <c r="M47" s="26"/>
      <c r="N47" s="25"/>
      <c r="O47" s="26"/>
      <c r="P47" s="25"/>
      <c r="Q47" s="26"/>
      <c r="R47" s="25"/>
      <c r="S47" s="26"/>
      <c r="T47" s="25"/>
      <c r="U47" s="26"/>
    </row>
    <row r="48" spans="1:21" x14ac:dyDescent="0.45">
      <c r="A48" s="12">
        <v>49</v>
      </c>
      <c r="B48" s="12">
        <v>1</v>
      </c>
      <c r="C48" s="12" t="s">
        <v>347</v>
      </c>
      <c r="D48" s="12" t="s">
        <v>12</v>
      </c>
      <c r="E48" s="12">
        <v>0</v>
      </c>
      <c r="F48" s="12">
        <v>50</v>
      </c>
      <c r="G48" s="12">
        <v>1</v>
      </c>
      <c r="H48" s="12">
        <v>2</v>
      </c>
      <c r="I48" s="12">
        <v>0</v>
      </c>
      <c r="J48" s="10"/>
      <c r="K48" s="10" t="s">
        <v>311</v>
      </c>
      <c r="L48" s="10" t="s">
        <v>292</v>
      </c>
      <c r="M48" s="11">
        <v>1</v>
      </c>
      <c r="N48" s="10" t="s">
        <v>348</v>
      </c>
      <c r="O48" s="11">
        <v>0</v>
      </c>
      <c r="P48" s="10" t="s">
        <v>312</v>
      </c>
      <c r="Q48" s="11">
        <v>0</v>
      </c>
      <c r="R48" s="10"/>
      <c r="S48" s="11">
        <v>0</v>
      </c>
      <c r="T48" s="10"/>
      <c r="U48" s="11">
        <v>0</v>
      </c>
    </row>
    <row r="49" spans="1:21" x14ac:dyDescent="0.45">
      <c r="A49" s="12">
        <v>50</v>
      </c>
      <c r="B49" s="12">
        <v>0</v>
      </c>
      <c r="C49" s="12" t="s">
        <v>349</v>
      </c>
      <c r="D49" s="12" t="s">
        <v>349</v>
      </c>
      <c r="E49" s="12">
        <v>0</v>
      </c>
      <c r="F49" s="12">
        <v>0</v>
      </c>
      <c r="G49" s="12">
        <v>1</v>
      </c>
      <c r="H49" s="12">
        <v>2</v>
      </c>
      <c r="I49" s="12">
        <v>0</v>
      </c>
      <c r="J49" s="10"/>
      <c r="K49" s="10" t="s">
        <v>311</v>
      </c>
      <c r="L49" s="10"/>
      <c r="M49" s="11"/>
      <c r="N49" s="10"/>
      <c r="O49" s="11"/>
      <c r="P49" s="10"/>
      <c r="Q49" s="11"/>
      <c r="R49" s="10"/>
      <c r="S49" s="11"/>
      <c r="T49" s="10"/>
      <c r="U49" s="11"/>
    </row>
    <row r="50" spans="1:21" x14ac:dyDescent="0.45">
      <c r="A50" s="12">
        <v>51</v>
      </c>
      <c r="B50" s="12">
        <v>0</v>
      </c>
      <c r="C50" s="12" t="s">
        <v>349</v>
      </c>
      <c r="D50" s="12" t="s">
        <v>350</v>
      </c>
      <c r="E50" s="12">
        <v>0</v>
      </c>
      <c r="F50" s="12">
        <v>51</v>
      </c>
      <c r="G50" s="12">
        <v>1</v>
      </c>
      <c r="H50" s="12">
        <v>2</v>
      </c>
      <c r="I50" s="12">
        <v>0</v>
      </c>
      <c r="J50" s="10"/>
      <c r="K50" s="10" t="s">
        <v>311</v>
      </c>
      <c r="L50" s="10"/>
      <c r="M50" s="11"/>
      <c r="N50" s="10"/>
      <c r="O50" s="11"/>
      <c r="P50" s="10"/>
      <c r="Q50" s="11"/>
      <c r="R50" s="10"/>
      <c r="S50" s="11"/>
      <c r="T50" s="10"/>
      <c r="U50" s="11"/>
    </row>
    <row r="51" spans="1:21" x14ac:dyDescent="0.45">
      <c r="A51" s="12">
        <v>52</v>
      </c>
      <c r="B51" s="12">
        <v>1</v>
      </c>
      <c r="C51" s="12" t="s">
        <v>351</v>
      </c>
      <c r="D51" s="12" t="s">
        <v>352</v>
      </c>
      <c r="E51" s="12">
        <v>0</v>
      </c>
      <c r="F51" s="12">
        <v>53</v>
      </c>
      <c r="G51" s="12">
        <v>1</v>
      </c>
      <c r="H51" s="12">
        <v>2</v>
      </c>
      <c r="I51" s="12">
        <v>0</v>
      </c>
      <c r="J51" s="10"/>
      <c r="K51" s="10" t="s">
        <v>311</v>
      </c>
      <c r="L51" s="10" t="s">
        <v>292</v>
      </c>
      <c r="M51" s="11">
        <v>1</v>
      </c>
      <c r="N51" s="10" t="s">
        <v>348</v>
      </c>
      <c r="O51" s="11">
        <v>0</v>
      </c>
      <c r="P51" s="10" t="s">
        <v>312</v>
      </c>
      <c r="Q51" s="11">
        <v>0</v>
      </c>
      <c r="R51" s="10"/>
      <c r="S51" s="11">
        <v>0</v>
      </c>
      <c r="T51" s="10"/>
      <c r="U51" s="11">
        <v>0</v>
      </c>
    </row>
    <row r="52" spans="1:21" x14ac:dyDescent="0.45">
      <c r="A52" s="12">
        <v>53</v>
      </c>
      <c r="B52" s="12">
        <v>0</v>
      </c>
      <c r="C52" s="12" t="s">
        <v>353</v>
      </c>
      <c r="D52" s="12" t="s">
        <v>353</v>
      </c>
      <c r="E52" s="12">
        <v>0</v>
      </c>
      <c r="F52" s="12">
        <v>0</v>
      </c>
      <c r="G52" s="12">
        <v>1</v>
      </c>
      <c r="H52" s="12">
        <v>2</v>
      </c>
      <c r="I52" s="12">
        <v>0</v>
      </c>
      <c r="J52" s="10"/>
      <c r="K52" s="10" t="s">
        <v>311</v>
      </c>
      <c r="L52" s="10" t="s">
        <v>292</v>
      </c>
      <c r="M52" s="11">
        <v>1</v>
      </c>
      <c r="N52" s="10" t="s">
        <v>348</v>
      </c>
      <c r="O52" s="11">
        <v>0</v>
      </c>
      <c r="P52" s="10" t="s">
        <v>312</v>
      </c>
      <c r="Q52" s="11">
        <v>0</v>
      </c>
      <c r="R52" s="10"/>
      <c r="S52" s="11"/>
      <c r="T52" s="10"/>
      <c r="U52" s="11"/>
    </row>
    <row r="53" spans="1:21" x14ac:dyDescent="0.45">
      <c r="A53" s="12">
        <v>54</v>
      </c>
      <c r="B53" s="12">
        <v>0</v>
      </c>
      <c r="C53" s="12" t="s">
        <v>353</v>
      </c>
      <c r="D53" s="12" t="s">
        <v>354</v>
      </c>
      <c r="E53" s="12">
        <v>0</v>
      </c>
      <c r="F53" s="12">
        <v>54</v>
      </c>
      <c r="G53" s="12">
        <v>1</v>
      </c>
      <c r="H53" s="12">
        <v>2</v>
      </c>
      <c r="I53" s="12">
        <v>0</v>
      </c>
      <c r="J53" s="10"/>
      <c r="K53" s="10" t="s">
        <v>311</v>
      </c>
      <c r="L53" s="10" t="s">
        <v>292</v>
      </c>
      <c r="M53" s="11">
        <v>1</v>
      </c>
      <c r="N53" s="10" t="s">
        <v>348</v>
      </c>
      <c r="O53" s="11">
        <v>0</v>
      </c>
      <c r="P53" s="10" t="s">
        <v>312</v>
      </c>
      <c r="Q53" s="11">
        <v>0</v>
      </c>
      <c r="R53" s="10"/>
      <c r="S53" s="11"/>
      <c r="T53" s="10"/>
      <c r="U53" s="11"/>
    </row>
    <row r="54" spans="1:21" x14ac:dyDescent="0.45">
      <c r="A54" s="12">
        <v>55</v>
      </c>
      <c r="B54" s="12">
        <v>1</v>
      </c>
      <c r="C54" s="12" t="s">
        <v>355</v>
      </c>
      <c r="D54" s="12" t="s">
        <v>356</v>
      </c>
      <c r="E54" s="12">
        <v>0</v>
      </c>
      <c r="F54" s="12">
        <v>56</v>
      </c>
      <c r="G54" s="12">
        <v>1</v>
      </c>
      <c r="H54" s="12">
        <v>2</v>
      </c>
      <c r="I54" s="12">
        <v>0</v>
      </c>
      <c r="J54" s="10"/>
      <c r="K54" s="10" t="s">
        <v>311</v>
      </c>
      <c r="L54" s="10" t="s">
        <v>356</v>
      </c>
      <c r="M54" s="11">
        <v>0</v>
      </c>
      <c r="N54" s="10" t="s">
        <v>312</v>
      </c>
      <c r="O54" s="11">
        <v>0</v>
      </c>
      <c r="P54" s="10"/>
      <c r="Q54" s="11">
        <v>0</v>
      </c>
      <c r="R54" s="10"/>
      <c r="S54" s="11">
        <v>0</v>
      </c>
      <c r="T54" s="10"/>
      <c r="U54" s="11">
        <v>0</v>
      </c>
    </row>
    <row r="55" spans="1:21" x14ac:dyDescent="0.45">
      <c r="A55" s="12">
        <v>56</v>
      </c>
      <c r="B55" s="12">
        <v>0</v>
      </c>
      <c r="C55" s="12" t="s">
        <v>357</v>
      </c>
      <c r="D55" s="12" t="s">
        <v>357</v>
      </c>
      <c r="E55" s="12">
        <v>0</v>
      </c>
      <c r="F55" s="12">
        <v>0</v>
      </c>
      <c r="G55" s="12">
        <v>1</v>
      </c>
      <c r="H55" s="12">
        <v>2</v>
      </c>
      <c r="I55" s="12">
        <v>0</v>
      </c>
      <c r="J55" s="10"/>
      <c r="K55" s="10" t="s">
        <v>311</v>
      </c>
      <c r="L55" s="10" t="s">
        <v>356</v>
      </c>
      <c r="M55" s="11">
        <v>0</v>
      </c>
      <c r="N55" s="10" t="s">
        <v>312</v>
      </c>
      <c r="O55" s="11">
        <v>0</v>
      </c>
      <c r="P55" s="10" t="s">
        <v>358</v>
      </c>
      <c r="Q55" s="11">
        <v>0</v>
      </c>
      <c r="R55" s="10"/>
      <c r="S55" s="11"/>
      <c r="T55" s="10"/>
      <c r="U55" s="11"/>
    </row>
    <row r="56" spans="1:21" x14ac:dyDescent="0.45">
      <c r="A56" s="12">
        <v>57</v>
      </c>
      <c r="B56" s="12">
        <v>0</v>
      </c>
      <c r="C56" s="12" t="s">
        <v>357</v>
      </c>
      <c r="D56" s="12" t="s">
        <v>359</v>
      </c>
      <c r="E56" s="12">
        <v>0</v>
      </c>
      <c r="F56" s="12">
        <v>57</v>
      </c>
      <c r="G56" s="12">
        <v>1</v>
      </c>
      <c r="H56" s="12">
        <v>2</v>
      </c>
      <c r="I56" s="12">
        <v>0</v>
      </c>
      <c r="J56" s="10"/>
      <c r="K56" s="10" t="s">
        <v>311</v>
      </c>
      <c r="L56" s="10" t="s">
        <v>356</v>
      </c>
      <c r="M56" s="11">
        <v>0</v>
      </c>
      <c r="N56" s="10" t="s">
        <v>312</v>
      </c>
      <c r="O56" s="11">
        <v>0</v>
      </c>
      <c r="P56" s="10" t="s">
        <v>358</v>
      </c>
      <c r="Q56" s="11">
        <v>0</v>
      </c>
      <c r="R56" s="10"/>
      <c r="S56" s="11"/>
      <c r="T56" s="10"/>
      <c r="U56" s="11"/>
    </row>
    <row r="57" spans="1:21" x14ac:dyDescent="0.45">
      <c r="A57" s="12">
        <v>58</v>
      </c>
      <c r="B57" s="12">
        <v>1</v>
      </c>
      <c r="C57" s="12" t="s">
        <v>360</v>
      </c>
      <c r="D57" s="12" t="s">
        <v>361</v>
      </c>
      <c r="E57" s="12">
        <v>0</v>
      </c>
      <c r="F57" s="12">
        <v>59</v>
      </c>
      <c r="G57" s="12">
        <v>1</v>
      </c>
      <c r="H57" s="12">
        <v>2</v>
      </c>
      <c r="I57" s="12">
        <v>0</v>
      </c>
      <c r="J57" s="10"/>
      <c r="K57" s="10" t="s">
        <v>311</v>
      </c>
      <c r="L57" s="10" t="s">
        <v>362</v>
      </c>
      <c r="M57" s="11">
        <v>0</v>
      </c>
      <c r="N57" s="10" t="s">
        <v>361</v>
      </c>
      <c r="O57" s="11">
        <v>0</v>
      </c>
      <c r="P57" s="10"/>
      <c r="Q57" s="11">
        <v>0</v>
      </c>
      <c r="R57" s="10"/>
      <c r="S57" s="11">
        <v>0</v>
      </c>
      <c r="T57" s="10"/>
      <c r="U57" s="11">
        <v>0</v>
      </c>
    </row>
    <row r="58" spans="1:21" x14ac:dyDescent="0.45">
      <c r="A58" s="12">
        <v>59</v>
      </c>
      <c r="B58" s="12">
        <v>0</v>
      </c>
      <c r="C58" s="12" t="s">
        <v>363</v>
      </c>
      <c r="D58" s="12" t="s">
        <v>363</v>
      </c>
      <c r="E58" s="12">
        <v>0</v>
      </c>
      <c r="F58" s="12">
        <v>0</v>
      </c>
      <c r="G58" s="12">
        <v>1</v>
      </c>
      <c r="H58" s="12">
        <v>2</v>
      </c>
      <c r="I58" s="12">
        <v>0</v>
      </c>
      <c r="J58" s="10"/>
      <c r="K58" s="10" t="s">
        <v>311</v>
      </c>
      <c r="L58" s="10" t="s">
        <v>358</v>
      </c>
      <c r="M58" s="11">
        <v>0</v>
      </c>
      <c r="N58" s="10" t="s">
        <v>361</v>
      </c>
      <c r="O58" s="11">
        <v>0</v>
      </c>
      <c r="P58" s="10"/>
      <c r="Q58" s="11">
        <v>0</v>
      </c>
      <c r="R58" s="10"/>
      <c r="S58" s="11"/>
      <c r="T58" s="10"/>
      <c r="U58" s="11"/>
    </row>
    <row r="59" spans="1:21" x14ac:dyDescent="0.45">
      <c r="A59" s="12">
        <v>60</v>
      </c>
      <c r="B59" s="12">
        <v>1</v>
      </c>
      <c r="C59" s="12" t="s">
        <v>364</v>
      </c>
      <c r="D59" s="12" t="s">
        <v>365</v>
      </c>
      <c r="E59" s="12">
        <v>0</v>
      </c>
      <c r="F59" s="12">
        <v>61</v>
      </c>
      <c r="G59" s="12">
        <v>1</v>
      </c>
      <c r="H59" s="12">
        <v>2</v>
      </c>
      <c r="I59" s="12">
        <v>21</v>
      </c>
      <c r="J59" s="10">
        <v>200</v>
      </c>
      <c r="K59" s="10" t="s">
        <v>282</v>
      </c>
      <c r="L59" s="10" t="s">
        <v>292</v>
      </c>
      <c r="M59" s="11">
        <v>1</v>
      </c>
      <c r="N59" s="10" t="s">
        <v>361</v>
      </c>
      <c r="O59" s="11">
        <v>0</v>
      </c>
      <c r="P59" s="10" t="s">
        <v>366</v>
      </c>
      <c r="Q59" s="11">
        <v>0</v>
      </c>
      <c r="R59" s="10"/>
      <c r="S59" s="11">
        <v>0</v>
      </c>
      <c r="T59" s="10"/>
      <c r="U59" s="11">
        <v>0</v>
      </c>
    </row>
    <row r="60" spans="1:21" x14ac:dyDescent="0.45">
      <c r="A60" s="12">
        <v>61</v>
      </c>
      <c r="B60" s="12">
        <v>0</v>
      </c>
      <c r="C60" s="12" t="s">
        <v>367</v>
      </c>
      <c r="D60" s="12" t="s">
        <v>367</v>
      </c>
      <c r="E60" s="12">
        <v>0</v>
      </c>
      <c r="F60" s="12">
        <v>0</v>
      </c>
      <c r="G60" s="12">
        <v>1</v>
      </c>
      <c r="H60" s="12">
        <v>2</v>
      </c>
      <c r="I60" s="12">
        <v>21</v>
      </c>
      <c r="J60" s="10">
        <v>200</v>
      </c>
      <c r="K60" s="10" t="s">
        <v>282</v>
      </c>
      <c r="L60" s="10" t="s">
        <v>292</v>
      </c>
      <c r="M60" s="11">
        <v>1</v>
      </c>
      <c r="N60" s="10" t="s">
        <v>361</v>
      </c>
      <c r="O60" s="11">
        <v>0</v>
      </c>
      <c r="P60" s="10" t="s">
        <v>366</v>
      </c>
      <c r="Q60" s="11">
        <v>0</v>
      </c>
      <c r="R60" s="10"/>
      <c r="S60" s="11"/>
      <c r="T60" s="10"/>
      <c r="U60" s="11"/>
    </row>
    <row r="61" spans="1:21" x14ac:dyDescent="0.45">
      <c r="A61" s="12">
        <v>62</v>
      </c>
      <c r="B61" s="12">
        <v>1</v>
      </c>
      <c r="C61" s="12" t="s">
        <v>368</v>
      </c>
      <c r="D61" s="12" t="s">
        <v>369</v>
      </c>
      <c r="E61" s="12">
        <v>0</v>
      </c>
      <c r="F61" s="12">
        <v>63</v>
      </c>
      <c r="G61" s="12">
        <v>1</v>
      </c>
      <c r="H61" s="12">
        <v>1</v>
      </c>
      <c r="I61" s="12">
        <v>20</v>
      </c>
      <c r="J61" s="10"/>
      <c r="K61" s="10" t="s">
        <v>282</v>
      </c>
      <c r="L61" s="10"/>
      <c r="M61" s="11">
        <v>0</v>
      </c>
      <c r="N61" s="10"/>
      <c r="O61" s="11">
        <v>0</v>
      </c>
      <c r="P61" s="10"/>
      <c r="Q61" s="11">
        <v>0</v>
      </c>
      <c r="R61" s="10"/>
      <c r="S61" s="11">
        <v>0</v>
      </c>
      <c r="T61" s="10"/>
      <c r="U61" s="11">
        <v>0</v>
      </c>
    </row>
    <row r="62" spans="1:21" x14ac:dyDescent="0.45">
      <c r="A62" s="12">
        <v>63</v>
      </c>
      <c r="B62" s="12">
        <v>0</v>
      </c>
      <c r="C62" s="12" t="s">
        <v>370</v>
      </c>
      <c r="D62" s="12" t="s">
        <v>370</v>
      </c>
      <c r="E62" s="12">
        <v>0</v>
      </c>
      <c r="F62" s="12">
        <v>0</v>
      </c>
      <c r="G62" s="12">
        <v>1</v>
      </c>
      <c r="H62" s="12">
        <v>2</v>
      </c>
      <c r="I62" s="12">
        <v>15</v>
      </c>
      <c r="J62" s="10"/>
      <c r="K62" s="10" t="s">
        <v>282</v>
      </c>
      <c r="L62" s="10"/>
      <c r="M62" s="11">
        <v>0</v>
      </c>
      <c r="N62" s="10"/>
      <c r="O62" s="11">
        <v>0</v>
      </c>
      <c r="P62" s="10"/>
      <c r="Q62" s="11">
        <v>0</v>
      </c>
      <c r="R62" s="10"/>
      <c r="S62" s="11">
        <v>0</v>
      </c>
      <c r="T62" s="10"/>
      <c r="U62" s="11">
        <v>0</v>
      </c>
    </row>
    <row r="63" spans="1:21" x14ac:dyDescent="0.45">
      <c r="A63" s="12">
        <v>64</v>
      </c>
      <c r="B63" s="12">
        <v>1</v>
      </c>
      <c r="C63" s="12" t="s">
        <v>371</v>
      </c>
      <c r="D63" s="12" t="s">
        <v>372</v>
      </c>
      <c r="E63" s="12">
        <v>0</v>
      </c>
      <c r="F63" s="12">
        <v>65</v>
      </c>
      <c r="G63" s="12">
        <v>1</v>
      </c>
      <c r="H63" s="12">
        <v>2</v>
      </c>
      <c r="I63" s="12">
        <v>0</v>
      </c>
      <c r="J63" s="10"/>
      <c r="K63" s="10" t="s">
        <v>311</v>
      </c>
      <c r="L63" s="10"/>
      <c r="M63" s="11">
        <v>0</v>
      </c>
      <c r="N63" s="10"/>
      <c r="O63" s="11">
        <v>0</v>
      </c>
      <c r="P63" s="10"/>
      <c r="Q63" s="11">
        <v>0</v>
      </c>
      <c r="R63" s="10"/>
      <c r="S63" s="11">
        <v>0</v>
      </c>
      <c r="T63" s="10"/>
      <c r="U63" s="11">
        <v>0</v>
      </c>
    </row>
    <row r="64" spans="1:21" x14ac:dyDescent="0.45">
      <c r="A64" s="12">
        <v>65</v>
      </c>
      <c r="B64" s="12">
        <v>0</v>
      </c>
      <c r="C64" s="12" t="s">
        <v>373</v>
      </c>
      <c r="D64" s="12" t="s">
        <v>373</v>
      </c>
      <c r="E64" s="12">
        <v>0</v>
      </c>
      <c r="F64" s="12">
        <v>0</v>
      </c>
      <c r="G64" s="12">
        <v>1</v>
      </c>
      <c r="H64" s="12">
        <v>1</v>
      </c>
      <c r="I64" s="12">
        <v>0</v>
      </c>
      <c r="J64" s="10"/>
      <c r="K64" s="10" t="s">
        <v>311</v>
      </c>
      <c r="L64" s="10"/>
      <c r="M64" s="11">
        <v>0</v>
      </c>
      <c r="N64" s="10"/>
      <c r="O64" s="11">
        <v>0</v>
      </c>
      <c r="P64" s="10"/>
      <c r="Q64" s="11">
        <v>0</v>
      </c>
      <c r="R64" s="10"/>
      <c r="S64" s="11">
        <v>0</v>
      </c>
      <c r="T64" s="10"/>
      <c r="U64" s="11">
        <v>0</v>
      </c>
    </row>
    <row r="65" spans="1:21" x14ac:dyDescent="0.45">
      <c r="A65" s="12">
        <v>66</v>
      </c>
      <c r="B65" s="12">
        <v>1</v>
      </c>
      <c r="C65" s="12" t="s">
        <v>374</v>
      </c>
      <c r="D65" s="12" t="s">
        <v>375</v>
      </c>
      <c r="E65" s="12">
        <v>0</v>
      </c>
      <c r="F65" s="12">
        <v>67</v>
      </c>
      <c r="G65" s="12">
        <v>1</v>
      </c>
      <c r="H65" s="12">
        <v>2</v>
      </c>
      <c r="I65" s="12">
        <v>0</v>
      </c>
      <c r="J65" s="10"/>
      <c r="K65" s="10" t="s">
        <v>311</v>
      </c>
      <c r="L65" s="10" t="s">
        <v>376</v>
      </c>
      <c r="M65" s="11">
        <v>0</v>
      </c>
      <c r="N65" s="10" t="s">
        <v>377</v>
      </c>
      <c r="O65" s="11">
        <v>0</v>
      </c>
      <c r="P65" s="10" t="s">
        <v>378</v>
      </c>
      <c r="Q65" s="11">
        <v>0</v>
      </c>
      <c r="R65" s="10" t="s">
        <v>379</v>
      </c>
      <c r="S65" s="11">
        <v>0</v>
      </c>
      <c r="T65" s="10" t="s">
        <v>380</v>
      </c>
      <c r="U65" s="11">
        <v>0</v>
      </c>
    </row>
    <row r="66" spans="1:21" x14ac:dyDescent="0.45">
      <c r="A66" s="12">
        <v>67</v>
      </c>
      <c r="B66" s="12">
        <v>0</v>
      </c>
      <c r="C66" s="12" t="s">
        <v>381</v>
      </c>
      <c r="D66" s="12" t="s">
        <v>381</v>
      </c>
      <c r="E66" s="12">
        <v>0</v>
      </c>
      <c r="F66" s="12">
        <v>0</v>
      </c>
      <c r="G66" s="12">
        <v>1</v>
      </c>
      <c r="H66" s="12">
        <v>2</v>
      </c>
      <c r="I66" s="12">
        <v>0</v>
      </c>
      <c r="J66" s="10"/>
      <c r="K66" s="10" t="s">
        <v>311</v>
      </c>
      <c r="L66" s="10" t="s">
        <v>312</v>
      </c>
      <c r="M66" s="11">
        <v>0</v>
      </c>
      <c r="N66" s="10"/>
      <c r="O66" s="11">
        <v>0</v>
      </c>
      <c r="P66" s="10"/>
      <c r="Q66" s="11">
        <v>0</v>
      </c>
      <c r="R66" s="10"/>
      <c r="S66" s="11"/>
      <c r="T66" s="10"/>
      <c r="U66" s="11"/>
    </row>
    <row r="67" spans="1:21" x14ac:dyDescent="0.45">
      <c r="A67" s="12">
        <v>68</v>
      </c>
      <c r="B67" s="12">
        <v>0</v>
      </c>
      <c r="C67" s="12" t="s">
        <v>381</v>
      </c>
      <c r="D67" s="12" t="s">
        <v>382</v>
      </c>
      <c r="E67" s="12">
        <v>0</v>
      </c>
      <c r="F67" s="12">
        <v>68</v>
      </c>
      <c r="G67" s="12">
        <v>1</v>
      </c>
      <c r="H67" s="12">
        <v>2</v>
      </c>
      <c r="I67" s="12">
        <v>0</v>
      </c>
      <c r="J67" s="10"/>
      <c r="K67" s="10" t="s">
        <v>311</v>
      </c>
      <c r="L67" s="10" t="s">
        <v>312</v>
      </c>
      <c r="M67" s="11">
        <v>0</v>
      </c>
      <c r="N67" s="10"/>
      <c r="O67" s="11">
        <v>0</v>
      </c>
      <c r="P67" s="10"/>
      <c r="Q67" s="11">
        <v>0</v>
      </c>
      <c r="R67" s="10"/>
      <c r="S67" s="11"/>
      <c r="T67" s="10"/>
      <c r="U67" s="11"/>
    </row>
    <row r="68" spans="1:21" s="27" customFormat="1" x14ac:dyDescent="0.45">
      <c r="A68" s="24">
        <v>69</v>
      </c>
      <c r="B68" s="24">
        <v>1</v>
      </c>
      <c r="C68" s="24" t="s">
        <v>383</v>
      </c>
      <c r="D68" s="24" t="s">
        <v>384</v>
      </c>
      <c r="E68" s="24">
        <v>0</v>
      </c>
      <c r="F68" s="24">
        <v>70</v>
      </c>
      <c r="G68" s="24">
        <v>1</v>
      </c>
      <c r="H68" s="24">
        <v>2</v>
      </c>
      <c r="I68" s="24">
        <v>0</v>
      </c>
      <c r="J68" s="25"/>
      <c r="K68" s="25" t="s">
        <v>311</v>
      </c>
      <c r="L68" s="25" t="s">
        <v>384</v>
      </c>
      <c r="M68" s="26">
        <v>1</v>
      </c>
      <c r="N68" s="25" t="s">
        <v>312</v>
      </c>
      <c r="O68" s="26">
        <v>0</v>
      </c>
      <c r="P68" s="25"/>
      <c r="Q68" s="26">
        <v>0</v>
      </c>
      <c r="R68" s="25"/>
      <c r="S68" s="26">
        <v>0</v>
      </c>
      <c r="T68" s="25"/>
      <c r="U68" s="26">
        <v>0</v>
      </c>
    </row>
    <row r="69" spans="1:21" s="27" customFormat="1" x14ac:dyDescent="0.45">
      <c r="A69" s="24">
        <v>70</v>
      </c>
      <c r="B69" s="24">
        <v>0</v>
      </c>
      <c r="C69" s="24" t="s">
        <v>385</v>
      </c>
      <c r="D69" s="24" t="s">
        <v>385</v>
      </c>
      <c r="E69" s="24">
        <v>0</v>
      </c>
      <c r="F69" s="24">
        <v>0</v>
      </c>
      <c r="G69" s="24">
        <v>1</v>
      </c>
      <c r="H69" s="24">
        <v>2</v>
      </c>
      <c r="I69" s="24">
        <v>0</v>
      </c>
      <c r="J69" s="25"/>
      <c r="K69" s="25" t="s">
        <v>311</v>
      </c>
      <c r="L69" s="25" t="s">
        <v>384</v>
      </c>
      <c r="M69" s="26">
        <v>1</v>
      </c>
      <c r="N69" s="25" t="s">
        <v>312</v>
      </c>
      <c r="O69" s="26">
        <v>0</v>
      </c>
      <c r="P69" s="25"/>
      <c r="Q69" s="26">
        <v>0</v>
      </c>
      <c r="R69" s="25"/>
      <c r="S69" s="26"/>
      <c r="T69" s="25"/>
      <c r="U69" s="26"/>
    </row>
    <row r="70" spans="1:21" s="27" customFormat="1" x14ac:dyDescent="0.45">
      <c r="A70" s="24">
        <v>71</v>
      </c>
      <c r="B70" s="24">
        <v>0</v>
      </c>
      <c r="C70" s="24" t="s">
        <v>385</v>
      </c>
      <c r="D70" s="24" t="s">
        <v>386</v>
      </c>
      <c r="E70" s="24">
        <v>0</v>
      </c>
      <c r="F70" s="24">
        <v>71</v>
      </c>
      <c r="G70" s="24">
        <v>1</v>
      </c>
      <c r="H70" s="24">
        <v>2</v>
      </c>
      <c r="I70" s="24">
        <v>0</v>
      </c>
      <c r="J70" s="25"/>
      <c r="K70" s="25" t="s">
        <v>311</v>
      </c>
      <c r="L70" s="25" t="s">
        <v>384</v>
      </c>
      <c r="M70" s="26">
        <v>1</v>
      </c>
      <c r="N70" s="25" t="s">
        <v>312</v>
      </c>
      <c r="O70" s="26">
        <v>0</v>
      </c>
      <c r="P70" s="25"/>
      <c r="Q70" s="26">
        <v>0</v>
      </c>
      <c r="R70" s="25"/>
      <c r="S70" s="26"/>
      <c r="T70" s="25"/>
      <c r="U70" s="26"/>
    </row>
    <row r="71" spans="1:21" s="27" customFormat="1" x14ac:dyDescent="0.45">
      <c r="A71" s="24">
        <v>72</v>
      </c>
      <c r="B71" s="24">
        <v>1</v>
      </c>
      <c r="C71" s="24" t="s">
        <v>387</v>
      </c>
      <c r="D71" s="24" t="s">
        <v>388</v>
      </c>
      <c r="E71" s="24">
        <v>0</v>
      </c>
      <c r="F71" s="24">
        <v>73</v>
      </c>
      <c r="G71" s="24">
        <v>1</v>
      </c>
      <c r="H71" s="24">
        <v>2</v>
      </c>
      <c r="I71" s="24">
        <v>0</v>
      </c>
      <c r="J71" s="25"/>
      <c r="K71" s="25" t="s">
        <v>311</v>
      </c>
      <c r="L71" s="25" t="s">
        <v>388</v>
      </c>
      <c r="M71" s="26">
        <v>1</v>
      </c>
      <c r="N71" s="25" t="s">
        <v>312</v>
      </c>
      <c r="O71" s="26">
        <v>0</v>
      </c>
      <c r="P71" s="25"/>
      <c r="Q71" s="26">
        <v>0</v>
      </c>
      <c r="R71" s="25"/>
      <c r="S71" s="26">
        <v>0</v>
      </c>
      <c r="T71" s="25"/>
      <c r="U71" s="26">
        <v>0</v>
      </c>
    </row>
    <row r="72" spans="1:21" s="27" customFormat="1" x14ac:dyDescent="0.45">
      <c r="A72" s="24">
        <v>73</v>
      </c>
      <c r="B72" s="24">
        <v>0</v>
      </c>
      <c r="C72" s="24" t="s">
        <v>389</v>
      </c>
      <c r="D72" s="24" t="s">
        <v>389</v>
      </c>
      <c r="E72" s="24">
        <v>0</v>
      </c>
      <c r="F72" s="24">
        <v>0</v>
      </c>
      <c r="G72" s="24">
        <v>1</v>
      </c>
      <c r="H72" s="24">
        <v>2</v>
      </c>
      <c r="I72" s="24">
        <v>0</v>
      </c>
      <c r="J72" s="25"/>
      <c r="K72" s="25" t="s">
        <v>311</v>
      </c>
      <c r="L72" s="25" t="s">
        <v>388</v>
      </c>
      <c r="M72" s="26">
        <v>1</v>
      </c>
      <c r="N72" s="25" t="s">
        <v>312</v>
      </c>
      <c r="O72" s="26">
        <v>0</v>
      </c>
      <c r="P72" s="25"/>
      <c r="Q72" s="26">
        <v>0</v>
      </c>
      <c r="R72" s="25"/>
      <c r="S72" s="26"/>
      <c r="T72" s="25"/>
      <c r="U72" s="26"/>
    </row>
    <row r="73" spans="1:21" s="27" customFormat="1" x14ac:dyDescent="0.45">
      <c r="A73" s="24">
        <v>74</v>
      </c>
      <c r="B73" s="24">
        <v>0</v>
      </c>
      <c r="C73" s="24" t="s">
        <v>389</v>
      </c>
      <c r="D73" s="24" t="s">
        <v>390</v>
      </c>
      <c r="E73" s="24">
        <v>0</v>
      </c>
      <c r="F73" s="24">
        <v>74</v>
      </c>
      <c r="G73" s="24">
        <v>1</v>
      </c>
      <c r="H73" s="24">
        <v>2</v>
      </c>
      <c r="I73" s="24">
        <v>0</v>
      </c>
      <c r="J73" s="25"/>
      <c r="K73" s="25" t="s">
        <v>311</v>
      </c>
      <c r="L73" s="25" t="s">
        <v>388</v>
      </c>
      <c r="M73" s="26">
        <v>1</v>
      </c>
      <c r="N73" s="25" t="s">
        <v>312</v>
      </c>
      <c r="O73" s="26">
        <v>0</v>
      </c>
      <c r="P73" s="25"/>
      <c r="Q73" s="26">
        <v>0</v>
      </c>
      <c r="R73" s="25"/>
      <c r="S73" s="26"/>
      <c r="T73" s="25"/>
      <c r="U73" s="26"/>
    </row>
    <row r="74" spans="1:21" s="27" customFormat="1" x14ac:dyDescent="0.45">
      <c r="A74" s="24">
        <v>75</v>
      </c>
      <c r="B74" s="24">
        <v>1</v>
      </c>
      <c r="C74" s="24" t="s">
        <v>391</v>
      </c>
      <c r="D74" s="24" t="s">
        <v>392</v>
      </c>
      <c r="E74" s="24">
        <v>0</v>
      </c>
      <c r="F74" s="24">
        <v>76</v>
      </c>
      <c r="G74" s="24">
        <v>1</v>
      </c>
      <c r="H74" s="24">
        <v>2</v>
      </c>
      <c r="I74" s="24">
        <v>0</v>
      </c>
      <c r="J74" s="25"/>
      <c r="K74" s="25" t="s">
        <v>311</v>
      </c>
      <c r="L74" s="25" t="s">
        <v>392</v>
      </c>
      <c r="M74" s="26">
        <v>1</v>
      </c>
      <c r="N74" s="25" t="s">
        <v>312</v>
      </c>
      <c r="O74" s="26">
        <v>0</v>
      </c>
      <c r="P74" s="25"/>
      <c r="Q74" s="26">
        <v>0</v>
      </c>
      <c r="R74" s="25"/>
      <c r="S74" s="26">
        <v>0</v>
      </c>
      <c r="T74" s="25"/>
      <c r="U74" s="26">
        <v>0</v>
      </c>
    </row>
    <row r="75" spans="1:21" s="27" customFormat="1" x14ac:dyDescent="0.45">
      <c r="A75" s="24">
        <v>76</v>
      </c>
      <c r="B75" s="24">
        <v>0</v>
      </c>
      <c r="C75" s="24" t="s">
        <v>393</v>
      </c>
      <c r="D75" s="24" t="s">
        <v>393</v>
      </c>
      <c r="E75" s="24">
        <v>0</v>
      </c>
      <c r="F75" s="24">
        <v>0</v>
      </c>
      <c r="G75" s="24">
        <v>1</v>
      </c>
      <c r="H75" s="24">
        <v>2</v>
      </c>
      <c r="I75" s="24">
        <v>0</v>
      </c>
      <c r="J75" s="25"/>
      <c r="K75" s="25" t="s">
        <v>311</v>
      </c>
      <c r="L75" s="25" t="s">
        <v>392</v>
      </c>
      <c r="M75" s="26">
        <v>1</v>
      </c>
      <c r="N75" s="25" t="s">
        <v>312</v>
      </c>
      <c r="O75" s="26">
        <v>0</v>
      </c>
      <c r="P75" s="25"/>
      <c r="Q75" s="26">
        <v>0</v>
      </c>
      <c r="R75" s="25"/>
      <c r="S75" s="26"/>
      <c r="T75" s="25"/>
      <c r="U75" s="26"/>
    </row>
    <row r="76" spans="1:21" s="27" customFormat="1" x14ac:dyDescent="0.45">
      <c r="A76" s="24">
        <v>77</v>
      </c>
      <c r="B76" s="24">
        <v>0</v>
      </c>
      <c r="C76" s="24" t="s">
        <v>393</v>
      </c>
      <c r="D76" s="24" t="s">
        <v>394</v>
      </c>
      <c r="E76" s="24">
        <v>0</v>
      </c>
      <c r="F76" s="24">
        <v>77</v>
      </c>
      <c r="G76" s="24">
        <v>1</v>
      </c>
      <c r="H76" s="24">
        <v>2</v>
      </c>
      <c r="I76" s="24">
        <v>0</v>
      </c>
      <c r="J76" s="25"/>
      <c r="K76" s="25" t="s">
        <v>311</v>
      </c>
      <c r="L76" s="25" t="s">
        <v>392</v>
      </c>
      <c r="M76" s="26">
        <v>1</v>
      </c>
      <c r="N76" s="25" t="s">
        <v>312</v>
      </c>
      <c r="O76" s="26">
        <v>0</v>
      </c>
      <c r="P76" s="25"/>
      <c r="Q76" s="26">
        <v>0</v>
      </c>
      <c r="R76" s="25"/>
      <c r="S76" s="26"/>
      <c r="T76" s="25"/>
      <c r="U76" s="26"/>
    </row>
    <row r="77" spans="1:21" s="27" customFormat="1" x14ac:dyDescent="0.45">
      <c r="A77" s="24">
        <v>78</v>
      </c>
      <c r="B77" s="24">
        <v>1</v>
      </c>
      <c r="C77" s="24" t="s">
        <v>395</v>
      </c>
      <c r="D77" s="24" t="s">
        <v>396</v>
      </c>
      <c r="E77" s="24">
        <v>0</v>
      </c>
      <c r="F77" s="24">
        <v>79</v>
      </c>
      <c r="G77" s="24">
        <v>1</v>
      </c>
      <c r="H77" s="24">
        <v>2</v>
      </c>
      <c r="I77" s="24">
        <v>0</v>
      </c>
      <c r="J77" s="25"/>
      <c r="K77" s="25" t="s">
        <v>311</v>
      </c>
      <c r="L77" s="25" t="s">
        <v>292</v>
      </c>
      <c r="M77" s="26">
        <v>1</v>
      </c>
      <c r="N77" s="25" t="s">
        <v>312</v>
      </c>
      <c r="O77" s="26">
        <v>0</v>
      </c>
      <c r="P77" s="25" t="s">
        <v>397</v>
      </c>
      <c r="Q77" s="26">
        <v>0</v>
      </c>
      <c r="R77" s="25"/>
      <c r="S77" s="26">
        <v>0</v>
      </c>
      <c r="T77" s="25"/>
      <c r="U77" s="26">
        <v>0</v>
      </c>
    </row>
    <row r="78" spans="1:21" s="27" customFormat="1" x14ac:dyDescent="0.45">
      <c r="A78" s="24">
        <v>79</v>
      </c>
      <c r="B78" s="24">
        <v>0</v>
      </c>
      <c r="C78" s="24" t="s">
        <v>398</v>
      </c>
      <c r="D78" s="24" t="s">
        <v>398</v>
      </c>
      <c r="E78" s="24">
        <v>0</v>
      </c>
      <c r="F78" s="24">
        <v>0</v>
      </c>
      <c r="G78" s="24">
        <v>1</v>
      </c>
      <c r="H78" s="24">
        <v>2</v>
      </c>
      <c r="I78" s="24">
        <v>0</v>
      </c>
      <c r="J78" s="25"/>
      <c r="K78" s="25" t="s">
        <v>311</v>
      </c>
      <c r="L78" s="25" t="s">
        <v>292</v>
      </c>
      <c r="M78" s="26">
        <v>1</v>
      </c>
      <c r="N78" s="25" t="s">
        <v>312</v>
      </c>
      <c r="O78" s="26">
        <v>0</v>
      </c>
      <c r="P78" s="25" t="s">
        <v>396</v>
      </c>
      <c r="Q78" s="26">
        <v>0</v>
      </c>
      <c r="R78" s="25"/>
      <c r="S78" s="26"/>
      <c r="T78" s="25"/>
      <c r="U78" s="26"/>
    </row>
    <row r="79" spans="1:21" s="27" customFormat="1" x14ac:dyDescent="0.45">
      <c r="A79" s="24">
        <v>80</v>
      </c>
      <c r="B79" s="24">
        <v>0</v>
      </c>
      <c r="C79" s="24" t="s">
        <v>398</v>
      </c>
      <c r="D79" s="24" t="s">
        <v>399</v>
      </c>
      <c r="E79" s="24">
        <v>0</v>
      </c>
      <c r="F79" s="24">
        <v>80</v>
      </c>
      <c r="G79" s="24">
        <v>1</v>
      </c>
      <c r="H79" s="24">
        <v>2</v>
      </c>
      <c r="I79" s="24">
        <v>0</v>
      </c>
      <c r="J79" s="25"/>
      <c r="K79" s="25" t="s">
        <v>311</v>
      </c>
      <c r="L79" s="25" t="s">
        <v>292</v>
      </c>
      <c r="M79" s="26">
        <v>1</v>
      </c>
      <c r="N79" s="25" t="s">
        <v>312</v>
      </c>
      <c r="O79" s="26">
        <v>0</v>
      </c>
      <c r="P79" s="25" t="s">
        <v>396</v>
      </c>
      <c r="Q79" s="26">
        <v>0</v>
      </c>
      <c r="R79" s="25"/>
      <c r="S79" s="26"/>
      <c r="T79" s="25"/>
      <c r="U79" s="26"/>
    </row>
    <row r="80" spans="1:21" s="27" customFormat="1" x14ac:dyDescent="0.45">
      <c r="A80" s="24">
        <v>81</v>
      </c>
      <c r="B80" s="24">
        <v>1</v>
      </c>
      <c r="C80" s="24" t="s">
        <v>400</v>
      </c>
      <c r="D80" s="24" t="s">
        <v>401</v>
      </c>
      <c r="E80" s="24">
        <v>0</v>
      </c>
      <c r="F80" s="24">
        <v>82</v>
      </c>
      <c r="G80" s="24">
        <v>1</v>
      </c>
      <c r="H80" s="24">
        <v>2</v>
      </c>
      <c r="I80" s="24">
        <v>0</v>
      </c>
      <c r="J80" s="25"/>
      <c r="K80" s="25" t="s">
        <v>311</v>
      </c>
      <c r="L80" s="25" t="s">
        <v>292</v>
      </c>
      <c r="M80" s="26">
        <v>1</v>
      </c>
      <c r="N80" s="25" t="s">
        <v>312</v>
      </c>
      <c r="O80" s="26">
        <v>0</v>
      </c>
      <c r="P80" s="25" t="s">
        <v>401</v>
      </c>
      <c r="Q80" s="26">
        <v>0</v>
      </c>
      <c r="R80" s="25"/>
      <c r="S80" s="26">
        <v>0</v>
      </c>
      <c r="T80" s="25"/>
      <c r="U80" s="26">
        <v>0</v>
      </c>
    </row>
    <row r="81" spans="1:21" s="27" customFormat="1" x14ac:dyDescent="0.45">
      <c r="A81" s="24">
        <v>82</v>
      </c>
      <c r="B81" s="24">
        <v>0</v>
      </c>
      <c r="C81" s="24" t="s">
        <v>402</v>
      </c>
      <c r="D81" s="24" t="s">
        <v>402</v>
      </c>
      <c r="E81" s="24">
        <v>0</v>
      </c>
      <c r="F81" s="24">
        <v>0</v>
      </c>
      <c r="G81" s="24">
        <v>1</v>
      </c>
      <c r="H81" s="24">
        <v>2</v>
      </c>
      <c r="I81" s="24">
        <v>0</v>
      </c>
      <c r="J81" s="25"/>
      <c r="K81" s="25" t="s">
        <v>311</v>
      </c>
      <c r="L81" s="25" t="s">
        <v>292</v>
      </c>
      <c r="M81" s="26">
        <v>1</v>
      </c>
      <c r="N81" s="25" t="s">
        <v>312</v>
      </c>
      <c r="O81" s="26">
        <v>0</v>
      </c>
      <c r="P81" s="25" t="s">
        <v>401</v>
      </c>
      <c r="Q81" s="26">
        <v>0</v>
      </c>
      <c r="R81" s="25"/>
      <c r="S81" s="26"/>
      <c r="T81" s="25"/>
      <c r="U81" s="26"/>
    </row>
    <row r="82" spans="1:21" s="27" customFormat="1" x14ac:dyDescent="0.45">
      <c r="A82" s="24">
        <v>83</v>
      </c>
      <c r="B82" s="24">
        <v>0</v>
      </c>
      <c r="C82" s="24" t="s">
        <v>402</v>
      </c>
      <c r="D82" s="24" t="s">
        <v>403</v>
      </c>
      <c r="E82" s="24">
        <v>0</v>
      </c>
      <c r="F82" s="24">
        <v>83</v>
      </c>
      <c r="G82" s="24">
        <v>1</v>
      </c>
      <c r="H82" s="24">
        <v>2</v>
      </c>
      <c r="I82" s="24">
        <v>0</v>
      </c>
      <c r="J82" s="25"/>
      <c r="K82" s="25" t="s">
        <v>311</v>
      </c>
      <c r="L82" s="25" t="s">
        <v>292</v>
      </c>
      <c r="M82" s="26">
        <v>1</v>
      </c>
      <c r="N82" s="25" t="s">
        <v>312</v>
      </c>
      <c r="O82" s="26">
        <v>0</v>
      </c>
      <c r="P82" s="25" t="s">
        <v>401</v>
      </c>
      <c r="Q82" s="26">
        <v>0</v>
      </c>
      <c r="R82" s="25"/>
      <c r="S82" s="26"/>
      <c r="T82" s="25"/>
      <c r="U82" s="26"/>
    </row>
    <row r="83" spans="1:21" s="27" customFormat="1" x14ac:dyDescent="0.45">
      <c r="A83" s="24">
        <v>84</v>
      </c>
      <c r="B83" s="24">
        <v>1</v>
      </c>
      <c r="C83" s="24" t="s">
        <v>404</v>
      </c>
      <c r="D83" s="24" t="s">
        <v>405</v>
      </c>
      <c r="E83" s="24">
        <v>0</v>
      </c>
      <c r="F83" s="24">
        <v>85</v>
      </c>
      <c r="G83" s="24">
        <v>1</v>
      </c>
      <c r="H83" s="24">
        <v>2</v>
      </c>
      <c r="I83" s="24">
        <v>0</v>
      </c>
      <c r="J83" s="25"/>
      <c r="K83" s="25" t="s">
        <v>311</v>
      </c>
      <c r="L83" s="25" t="s">
        <v>292</v>
      </c>
      <c r="M83" s="26">
        <v>1</v>
      </c>
      <c r="N83" s="25" t="s">
        <v>312</v>
      </c>
      <c r="O83" s="26">
        <v>0</v>
      </c>
      <c r="P83" s="25" t="s">
        <v>405</v>
      </c>
      <c r="Q83" s="26">
        <v>0</v>
      </c>
      <c r="R83" s="25"/>
      <c r="S83" s="26">
        <v>0</v>
      </c>
      <c r="T83" s="25"/>
      <c r="U83" s="26">
        <v>0</v>
      </c>
    </row>
    <row r="84" spans="1:21" s="27" customFormat="1" x14ac:dyDescent="0.45">
      <c r="A84" s="24">
        <v>85</v>
      </c>
      <c r="B84" s="24">
        <v>0</v>
      </c>
      <c r="C84" s="24" t="s">
        <v>406</v>
      </c>
      <c r="D84" s="24" t="s">
        <v>406</v>
      </c>
      <c r="E84" s="24">
        <v>0</v>
      </c>
      <c r="F84" s="24">
        <v>0</v>
      </c>
      <c r="G84" s="24">
        <v>1</v>
      </c>
      <c r="H84" s="24">
        <v>2</v>
      </c>
      <c r="I84" s="24">
        <v>0</v>
      </c>
      <c r="J84" s="25"/>
      <c r="K84" s="25" t="s">
        <v>311</v>
      </c>
      <c r="L84" s="25" t="s">
        <v>292</v>
      </c>
      <c r="M84" s="26">
        <v>1</v>
      </c>
      <c r="N84" s="25" t="s">
        <v>312</v>
      </c>
      <c r="O84" s="26">
        <v>0</v>
      </c>
      <c r="P84" s="25" t="s">
        <v>405</v>
      </c>
      <c r="Q84" s="26">
        <v>0</v>
      </c>
      <c r="R84" s="25"/>
      <c r="S84" s="26"/>
      <c r="T84" s="25"/>
      <c r="U84" s="26"/>
    </row>
    <row r="85" spans="1:21" s="27" customFormat="1" x14ac:dyDescent="0.45">
      <c r="A85" s="24">
        <v>86</v>
      </c>
      <c r="B85" s="24">
        <v>0</v>
      </c>
      <c r="C85" s="24" t="s">
        <v>406</v>
      </c>
      <c r="D85" s="24" t="s">
        <v>407</v>
      </c>
      <c r="E85" s="24">
        <v>0</v>
      </c>
      <c r="F85" s="24">
        <v>86</v>
      </c>
      <c r="G85" s="24">
        <v>1</v>
      </c>
      <c r="H85" s="24">
        <v>2</v>
      </c>
      <c r="I85" s="24">
        <v>0</v>
      </c>
      <c r="J85" s="25"/>
      <c r="K85" s="25" t="s">
        <v>311</v>
      </c>
      <c r="L85" s="25" t="s">
        <v>292</v>
      </c>
      <c r="M85" s="26">
        <v>1</v>
      </c>
      <c r="N85" s="25" t="s">
        <v>312</v>
      </c>
      <c r="O85" s="26">
        <v>0</v>
      </c>
      <c r="P85" s="25" t="s">
        <v>405</v>
      </c>
      <c r="Q85" s="26">
        <v>0</v>
      </c>
      <c r="R85" s="25"/>
      <c r="S85" s="26"/>
      <c r="T85" s="25"/>
      <c r="U85" s="26"/>
    </row>
    <row r="86" spans="1:21" s="27" customFormat="1" x14ac:dyDescent="0.45">
      <c r="A86" s="24">
        <v>87</v>
      </c>
      <c r="B86" s="24">
        <v>1</v>
      </c>
      <c r="C86" s="24" t="s">
        <v>408</v>
      </c>
      <c r="D86" s="24" t="s">
        <v>409</v>
      </c>
      <c r="E86" s="24">
        <v>0</v>
      </c>
      <c r="F86" s="24">
        <v>88</v>
      </c>
      <c r="G86" s="24">
        <v>1</v>
      </c>
      <c r="H86" s="24">
        <v>2</v>
      </c>
      <c r="I86" s="24">
        <v>0</v>
      </c>
      <c r="J86" s="25"/>
      <c r="K86" s="25" t="s">
        <v>311</v>
      </c>
      <c r="L86" s="25" t="s">
        <v>292</v>
      </c>
      <c r="M86" s="26">
        <v>1</v>
      </c>
      <c r="N86" s="25" t="s">
        <v>409</v>
      </c>
      <c r="O86" s="26">
        <v>0</v>
      </c>
      <c r="P86" s="25" t="s">
        <v>312</v>
      </c>
      <c r="Q86" s="26">
        <v>0</v>
      </c>
      <c r="R86" s="25"/>
      <c r="S86" s="26">
        <v>0</v>
      </c>
      <c r="T86" s="25"/>
      <c r="U86" s="26">
        <v>0</v>
      </c>
    </row>
    <row r="87" spans="1:21" s="27" customFormat="1" x14ac:dyDescent="0.45">
      <c r="A87" s="24">
        <v>88</v>
      </c>
      <c r="B87" s="24">
        <v>0</v>
      </c>
      <c r="C87" s="24" t="s">
        <v>410</v>
      </c>
      <c r="D87" s="24" t="s">
        <v>410</v>
      </c>
      <c r="E87" s="24">
        <v>0</v>
      </c>
      <c r="F87" s="24">
        <v>0</v>
      </c>
      <c r="G87" s="24">
        <v>1</v>
      </c>
      <c r="H87" s="24">
        <v>2</v>
      </c>
      <c r="I87" s="24">
        <v>0</v>
      </c>
      <c r="J87" s="25"/>
      <c r="K87" s="25" t="s">
        <v>311</v>
      </c>
      <c r="L87" s="25" t="s">
        <v>292</v>
      </c>
      <c r="M87" s="26">
        <v>1</v>
      </c>
      <c r="N87" s="25" t="s">
        <v>409</v>
      </c>
      <c r="O87" s="26">
        <v>0</v>
      </c>
      <c r="P87" s="25" t="s">
        <v>312</v>
      </c>
      <c r="Q87" s="26">
        <v>0</v>
      </c>
      <c r="R87" s="25"/>
      <c r="S87" s="26"/>
      <c r="T87" s="25"/>
      <c r="U87" s="26"/>
    </row>
    <row r="88" spans="1:21" s="27" customFormat="1" x14ac:dyDescent="0.45">
      <c r="A88" s="24">
        <v>89</v>
      </c>
      <c r="B88" s="24">
        <v>0</v>
      </c>
      <c r="C88" s="24" t="s">
        <v>410</v>
      </c>
      <c r="D88" s="24" t="s">
        <v>411</v>
      </c>
      <c r="E88" s="24">
        <v>0</v>
      </c>
      <c r="F88" s="24">
        <v>89</v>
      </c>
      <c r="G88" s="24">
        <v>1</v>
      </c>
      <c r="H88" s="24">
        <v>2</v>
      </c>
      <c r="I88" s="24">
        <v>0</v>
      </c>
      <c r="J88" s="25"/>
      <c r="K88" s="25" t="s">
        <v>311</v>
      </c>
      <c r="L88" s="25" t="s">
        <v>292</v>
      </c>
      <c r="M88" s="26">
        <v>1</v>
      </c>
      <c r="N88" s="25" t="s">
        <v>409</v>
      </c>
      <c r="O88" s="26">
        <v>0</v>
      </c>
      <c r="P88" s="25" t="s">
        <v>312</v>
      </c>
      <c r="Q88" s="26">
        <v>0</v>
      </c>
      <c r="R88" s="25"/>
      <c r="S88" s="26"/>
      <c r="T88" s="25"/>
      <c r="U88" s="26"/>
    </row>
    <row r="89" spans="1:21" s="27" customFormat="1" x14ac:dyDescent="0.45">
      <c r="A89" s="24">
        <v>90</v>
      </c>
      <c r="B89" s="24">
        <v>1</v>
      </c>
      <c r="C89" s="24" t="s">
        <v>412</v>
      </c>
      <c r="D89" s="24" t="s">
        <v>413</v>
      </c>
      <c r="E89" s="24">
        <v>0</v>
      </c>
      <c r="F89" s="24">
        <v>91</v>
      </c>
      <c r="G89" s="24">
        <v>1</v>
      </c>
      <c r="H89" s="24">
        <v>2</v>
      </c>
      <c r="I89" s="24">
        <v>0</v>
      </c>
      <c r="J89" s="25"/>
      <c r="K89" s="25" t="s">
        <v>311</v>
      </c>
      <c r="L89" s="25" t="s">
        <v>413</v>
      </c>
      <c r="M89" s="26">
        <v>0</v>
      </c>
      <c r="N89" s="25" t="s">
        <v>362</v>
      </c>
      <c r="O89" s="26">
        <v>0</v>
      </c>
      <c r="P89" s="25"/>
      <c r="Q89" s="26">
        <v>0</v>
      </c>
      <c r="R89" s="25"/>
      <c r="S89" s="26">
        <v>0</v>
      </c>
      <c r="T89" s="25"/>
      <c r="U89" s="26">
        <v>0</v>
      </c>
    </row>
    <row r="90" spans="1:21" s="27" customFormat="1" x14ac:dyDescent="0.45">
      <c r="A90" s="24">
        <v>91</v>
      </c>
      <c r="B90" s="24">
        <v>0</v>
      </c>
      <c r="C90" s="24" t="s">
        <v>414</v>
      </c>
      <c r="D90" s="24" t="s">
        <v>414</v>
      </c>
      <c r="E90" s="24">
        <v>0</v>
      </c>
      <c r="F90" s="24">
        <v>0</v>
      </c>
      <c r="G90" s="24">
        <v>1</v>
      </c>
      <c r="H90" s="24">
        <v>2</v>
      </c>
      <c r="I90" s="24">
        <v>0</v>
      </c>
      <c r="J90" s="25"/>
      <c r="K90" s="25" t="s">
        <v>311</v>
      </c>
      <c r="L90" s="25" t="s">
        <v>413</v>
      </c>
      <c r="M90" s="26">
        <v>0</v>
      </c>
      <c r="N90" s="25" t="s">
        <v>362</v>
      </c>
      <c r="O90" s="26">
        <v>0</v>
      </c>
      <c r="P90" s="25"/>
      <c r="Q90" s="26">
        <v>0</v>
      </c>
      <c r="R90" s="25"/>
      <c r="S90" s="26"/>
      <c r="T90" s="25"/>
      <c r="U90" s="26"/>
    </row>
    <row r="91" spans="1:21" s="27" customFormat="1" x14ac:dyDescent="0.45">
      <c r="A91" s="24">
        <v>92</v>
      </c>
      <c r="B91" s="24">
        <v>0</v>
      </c>
      <c r="C91" s="24" t="s">
        <v>414</v>
      </c>
      <c r="D91" s="24" t="s">
        <v>415</v>
      </c>
      <c r="E91" s="24">
        <v>0</v>
      </c>
      <c r="F91" s="24">
        <v>92</v>
      </c>
      <c r="G91" s="24">
        <v>1</v>
      </c>
      <c r="H91" s="24">
        <v>2</v>
      </c>
      <c r="I91" s="24">
        <v>0</v>
      </c>
      <c r="J91" s="25"/>
      <c r="K91" s="25" t="s">
        <v>311</v>
      </c>
      <c r="L91" s="25" t="s">
        <v>413</v>
      </c>
      <c r="M91" s="26">
        <v>0</v>
      </c>
      <c r="N91" s="25" t="s">
        <v>362</v>
      </c>
      <c r="O91" s="26">
        <v>0</v>
      </c>
      <c r="P91" s="25"/>
      <c r="Q91" s="26">
        <v>0</v>
      </c>
      <c r="R91" s="25"/>
      <c r="S91" s="26"/>
      <c r="T91" s="25"/>
      <c r="U91" s="26"/>
    </row>
    <row r="92" spans="1:21" x14ac:dyDescent="0.45">
      <c r="A92" s="12">
        <v>93</v>
      </c>
      <c r="B92" s="12">
        <v>1</v>
      </c>
      <c r="C92" s="12" t="s">
        <v>416</v>
      </c>
      <c r="D92" s="12" t="s">
        <v>417</v>
      </c>
      <c r="E92" s="12">
        <v>0</v>
      </c>
      <c r="F92" s="12">
        <v>94</v>
      </c>
      <c r="G92" s="12">
        <v>1</v>
      </c>
      <c r="H92" s="12">
        <v>2</v>
      </c>
      <c r="I92" s="12">
        <v>0</v>
      </c>
      <c r="J92" s="10"/>
      <c r="K92" s="10" t="s">
        <v>311</v>
      </c>
      <c r="L92" s="10" t="s">
        <v>417</v>
      </c>
      <c r="M92" s="11">
        <v>1</v>
      </c>
      <c r="N92" s="10"/>
      <c r="O92" s="11">
        <v>0</v>
      </c>
      <c r="P92" s="10"/>
      <c r="Q92" s="11">
        <v>0</v>
      </c>
      <c r="R92" s="10"/>
      <c r="S92" s="11">
        <v>0</v>
      </c>
      <c r="T92" s="10"/>
      <c r="U92" s="11">
        <v>0</v>
      </c>
    </row>
    <row r="93" spans="1:21" x14ac:dyDescent="0.45">
      <c r="A93" s="12">
        <v>94</v>
      </c>
      <c r="B93" s="12">
        <v>0</v>
      </c>
      <c r="C93" s="12" t="s">
        <v>418</v>
      </c>
      <c r="D93" s="12" t="s">
        <v>418</v>
      </c>
      <c r="E93" s="12">
        <v>0</v>
      </c>
      <c r="F93" s="12">
        <v>0</v>
      </c>
      <c r="G93" s="12">
        <v>1</v>
      </c>
      <c r="H93" s="12">
        <v>2</v>
      </c>
      <c r="I93" s="12">
        <v>0</v>
      </c>
      <c r="J93" s="10"/>
      <c r="K93" s="10" t="s">
        <v>311</v>
      </c>
      <c r="L93" s="10" t="s">
        <v>417</v>
      </c>
      <c r="M93" s="11">
        <v>1</v>
      </c>
      <c r="N93" s="10" t="s">
        <v>312</v>
      </c>
      <c r="O93" s="11">
        <v>0</v>
      </c>
      <c r="P93" s="10"/>
      <c r="Q93" s="11">
        <v>0</v>
      </c>
      <c r="R93" s="10"/>
      <c r="S93" s="11"/>
      <c r="T93" s="10"/>
      <c r="U93" s="11"/>
    </row>
    <row r="94" spans="1:21" x14ac:dyDescent="0.45">
      <c r="A94" s="12">
        <v>95</v>
      </c>
      <c r="B94" s="12">
        <v>0</v>
      </c>
      <c r="C94" s="12" t="s">
        <v>418</v>
      </c>
      <c r="D94" s="12" t="s">
        <v>419</v>
      </c>
      <c r="E94" s="12">
        <v>0</v>
      </c>
      <c r="F94" s="12">
        <v>95</v>
      </c>
      <c r="G94" s="12">
        <v>1</v>
      </c>
      <c r="H94" s="12">
        <v>2</v>
      </c>
      <c r="I94" s="12">
        <v>0</v>
      </c>
      <c r="J94" s="10"/>
      <c r="K94" s="10" t="s">
        <v>311</v>
      </c>
      <c r="L94" s="10" t="s">
        <v>417</v>
      </c>
      <c r="M94" s="11">
        <v>1</v>
      </c>
      <c r="N94" s="10" t="s">
        <v>312</v>
      </c>
      <c r="O94" s="11">
        <v>0</v>
      </c>
      <c r="P94" s="10"/>
      <c r="Q94" s="11">
        <v>0</v>
      </c>
      <c r="R94" s="10"/>
      <c r="S94" s="11"/>
      <c r="T94" s="10"/>
      <c r="U94" s="11"/>
    </row>
    <row r="95" spans="1:21" x14ac:dyDescent="0.45">
      <c r="A95" s="12">
        <v>96</v>
      </c>
      <c r="B95" s="12">
        <v>1</v>
      </c>
      <c r="C95" s="12" t="s">
        <v>420</v>
      </c>
      <c r="D95" s="12" t="s">
        <v>292</v>
      </c>
      <c r="E95" s="12">
        <v>0</v>
      </c>
      <c r="F95" s="12">
        <v>97</v>
      </c>
      <c r="G95" s="12">
        <v>1</v>
      </c>
      <c r="H95" s="12">
        <v>2</v>
      </c>
      <c r="I95" s="12">
        <v>0</v>
      </c>
      <c r="J95" s="10"/>
      <c r="K95" s="10" t="s">
        <v>311</v>
      </c>
      <c r="L95" s="10" t="s">
        <v>292</v>
      </c>
      <c r="M95" s="11">
        <v>1</v>
      </c>
      <c r="N95" s="10"/>
      <c r="O95" s="11">
        <v>0</v>
      </c>
      <c r="P95" s="10"/>
      <c r="Q95" s="11">
        <v>0</v>
      </c>
      <c r="R95" s="10"/>
      <c r="S95" s="11">
        <v>0</v>
      </c>
      <c r="T95" s="10"/>
      <c r="U95" s="11">
        <v>0</v>
      </c>
    </row>
    <row r="96" spans="1:21" x14ac:dyDescent="0.45">
      <c r="A96" s="12">
        <v>97</v>
      </c>
      <c r="B96" s="12">
        <v>0</v>
      </c>
      <c r="C96" s="12" t="s">
        <v>421</v>
      </c>
      <c r="D96" s="12" t="s">
        <v>421</v>
      </c>
      <c r="E96" s="12">
        <v>0</v>
      </c>
      <c r="F96" s="12">
        <v>0</v>
      </c>
      <c r="G96" s="12">
        <v>1</v>
      </c>
      <c r="H96" s="12">
        <v>2</v>
      </c>
      <c r="I96" s="12">
        <v>0</v>
      </c>
      <c r="J96" s="10"/>
      <c r="K96" s="10" t="s">
        <v>311</v>
      </c>
      <c r="L96" s="10"/>
      <c r="M96" s="11">
        <v>0</v>
      </c>
      <c r="N96" s="10"/>
      <c r="O96" s="11">
        <v>0</v>
      </c>
      <c r="P96" s="10"/>
      <c r="Q96" s="11">
        <v>0</v>
      </c>
      <c r="R96" s="10"/>
      <c r="S96" s="11">
        <v>0</v>
      </c>
      <c r="T96" s="10"/>
      <c r="U96" s="11">
        <v>0</v>
      </c>
    </row>
    <row r="97" spans="1:21" x14ac:dyDescent="0.45">
      <c r="A97" s="12">
        <v>98</v>
      </c>
      <c r="B97" s="12">
        <v>1</v>
      </c>
      <c r="C97" s="12" t="s">
        <v>422</v>
      </c>
      <c r="D97" s="12" t="s">
        <v>17</v>
      </c>
      <c r="E97" s="12">
        <v>0</v>
      </c>
      <c r="F97" s="12">
        <v>99</v>
      </c>
      <c r="G97" s="12">
        <v>1</v>
      </c>
      <c r="H97" s="12">
        <v>1</v>
      </c>
      <c r="I97" s="12">
        <v>0</v>
      </c>
      <c r="J97" s="10"/>
      <c r="K97" s="10" t="s">
        <v>311</v>
      </c>
      <c r="L97" s="10"/>
      <c r="M97" s="11">
        <v>0</v>
      </c>
      <c r="N97" s="10"/>
      <c r="O97" s="11">
        <v>0</v>
      </c>
      <c r="P97" s="10"/>
      <c r="Q97" s="11">
        <v>0</v>
      </c>
      <c r="R97" s="10"/>
      <c r="S97" s="11">
        <v>0</v>
      </c>
      <c r="T97" s="10"/>
      <c r="U97" s="11">
        <v>0</v>
      </c>
    </row>
    <row r="98" spans="1:21" x14ac:dyDescent="0.45">
      <c r="A98" s="12">
        <v>99</v>
      </c>
      <c r="B98" s="12">
        <v>0</v>
      </c>
      <c r="C98" s="12" t="s">
        <v>423</v>
      </c>
      <c r="D98" s="12" t="s">
        <v>423</v>
      </c>
      <c r="E98" s="12">
        <v>0</v>
      </c>
      <c r="F98" s="12">
        <v>0</v>
      </c>
      <c r="G98" s="12">
        <v>1</v>
      </c>
      <c r="H98" s="12">
        <v>1</v>
      </c>
      <c r="I98" s="12">
        <v>0</v>
      </c>
      <c r="J98" s="10"/>
      <c r="K98" s="10" t="s">
        <v>311</v>
      </c>
      <c r="L98" s="10"/>
      <c r="M98" s="11"/>
      <c r="N98" s="10"/>
      <c r="O98" s="11"/>
      <c r="P98" s="10"/>
      <c r="Q98" s="11"/>
      <c r="R98" s="10"/>
      <c r="S98" s="11"/>
      <c r="T98" s="10"/>
      <c r="U98" s="11"/>
    </row>
    <row r="99" spans="1:21" x14ac:dyDescent="0.45">
      <c r="A99" s="12">
        <v>100</v>
      </c>
      <c r="B99" s="12">
        <v>1</v>
      </c>
      <c r="C99" s="12" t="s">
        <v>424</v>
      </c>
      <c r="D99" s="12" t="s">
        <v>424</v>
      </c>
      <c r="E99" s="12">
        <v>0</v>
      </c>
      <c r="F99" s="12">
        <v>101</v>
      </c>
      <c r="G99" s="12">
        <v>1</v>
      </c>
      <c r="H99" s="12">
        <v>1</v>
      </c>
      <c r="I99" s="12">
        <v>0</v>
      </c>
      <c r="J99" s="10"/>
      <c r="K99" s="10" t="s">
        <v>311</v>
      </c>
      <c r="L99" s="10"/>
      <c r="M99" s="11">
        <v>0</v>
      </c>
      <c r="N99" s="10"/>
      <c r="O99" s="11">
        <v>0</v>
      </c>
      <c r="P99" s="10"/>
      <c r="Q99" s="11">
        <v>0</v>
      </c>
      <c r="R99" s="10"/>
      <c r="S99" s="11">
        <v>0</v>
      </c>
      <c r="T99" s="10"/>
      <c r="U99" s="11">
        <v>0</v>
      </c>
    </row>
    <row r="100" spans="1:21" x14ac:dyDescent="0.45">
      <c r="A100" s="12">
        <v>101</v>
      </c>
      <c r="B100" s="12">
        <v>0</v>
      </c>
      <c r="C100" s="12" t="s">
        <v>425</v>
      </c>
      <c r="D100" s="12" t="s">
        <v>425</v>
      </c>
      <c r="E100" s="12">
        <v>0</v>
      </c>
      <c r="F100" s="12">
        <v>0</v>
      </c>
      <c r="G100" s="12">
        <v>1</v>
      </c>
      <c r="H100" s="12">
        <v>1</v>
      </c>
      <c r="I100" s="12">
        <v>0</v>
      </c>
      <c r="J100" s="10"/>
      <c r="K100" s="10" t="s">
        <v>311</v>
      </c>
      <c r="L100" s="10"/>
      <c r="M100" s="11"/>
      <c r="N100" s="10"/>
      <c r="O100" s="11"/>
      <c r="P100" s="10"/>
      <c r="Q100" s="11"/>
      <c r="R100" s="10"/>
      <c r="S100" s="11"/>
      <c r="T100" s="10"/>
      <c r="U100" s="11"/>
    </row>
    <row r="101" spans="1:21" x14ac:dyDescent="0.45">
      <c r="A101" s="12">
        <v>102</v>
      </c>
      <c r="B101" s="12">
        <v>1</v>
      </c>
      <c r="C101" s="12" t="s">
        <v>426</v>
      </c>
      <c r="D101" s="12" t="s">
        <v>427</v>
      </c>
      <c r="E101" s="12">
        <v>0</v>
      </c>
      <c r="F101" s="12">
        <v>103</v>
      </c>
      <c r="G101" s="12">
        <v>1</v>
      </c>
      <c r="H101" s="12">
        <v>2</v>
      </c>
      <c r="I101" s="12">
        <v>0</v>
      </c>
      <c r="J101" s="10"/>
      <c r="K101" s="10" t="s">
        <v>311</v>
      </c>
      <c r="L101" s="10"/>
      <c r="M101" s="11">
        <v>0</v>
      </c>
      <c r="N101" s="10"/>
      <c r="O101" s="11">
        <v>0</v>
      </c>
      <c r="P101" s="10"/>
      <c r="Q101" s="11">
        <v>0</v>
      </c>
      <c r="R101" s="10"/>
      <c r="S101" s="11">
        <v>0</v>
      </c>
      <c r="T101" s="10"/>
      <c r="U101" s="11">
        <v>0</v>
      </c>
    </row>
    <row r="102" spans="1:21" x14ac:dyDescent="0.45">
      <c r="A102" s="12">
        <v>103</v>
      </c>
      <c r="B102" s="12">
        <v>0</v>
      </c>
      <c r="C102" s="12" t="s">
        <v>428</v>
      </c>
      <c r="D102" s="12" t="s">
        <v>427</v>
      </c>
      <c r="E102" s="12">
        <v>0</v>
      </c>
      <c r="F102" s="12">
        <v>0</v>
      </c>
      <c r="G102" s="12">
        <v>1</v>
      </c>
      <c r="H102" s="12">
        <v>2</v>
      </c>
      <c r="I102" s="12">
        <v>0</v>
      </c>
      <c r="J102" s="10"/>
      <c r="K102" s="10" t="s">
        <v>311</v>
      </c>
      <c r="L102" s="10"/>
      <c r="M102" s="11">
        <v>0</v>
      </c>
      <c r="N102" s="10"/>
      <c r="O102" s="11">
        <v>0</v>
      </c>
      <c r="P102" s="10"/>
      <c r="Q102" s="11">
        <v>0</v>
      </c>
      <c r="R102" s="10"/>
      <c r="S102" s="11">
        <v>0</v>
      </c>
      <c r="T102" s="10"/>
      <c r="U102" s="11">
        <v>0</v>
      </c>
    </row>
    <row r="103" spans="1:21" x14ac:dyDescent="0.45">
      <c r="A103" s="12">
        <v>104</v>
      </c>
      <c r="B103" s="12">
        <v>1</v>
      </c>
      <c r="C103" s="12" t="s">
        <v>429</v>
      </c>
      <c r="D103" s="12" t="s">
        <v>430</v>
      </c>
      <c r="E103" s="12">
        <v>0</v>
      </c>
      <c r="F103" s="12">
        <v>105</v>
      </c>
      <c r="G103" s="12">
        <v>1</v>
      </c>
      <c r="H103" s="12">
        <v>2</v>
      </c>
      <c r="I103" s="12">
        <v>0</v>
      </c>
      <c r="J103" s="10"/>
      <c r="K103" s="10" t="s">
        <v>311</v>
      </c>
      <c r="L103" s="10"/>
      <c r="M103" s="11">
        <v>0</v>
      </c>
      <c r="N103" s="10"/>
      <c r="O103" s="11">
        <v>0</v>
      </c>
      <c r="P103" s="10"/>
      <c r="Q103" s="11">
        <v>0</v>
      </c>
      <c r="R103" s="10"/>
      <c r="S103" s="11">
        <v>0</v>
      </c>
      <c r="T103" s="10"/>
      <c r="U103" s="11">
        <v>0</v>
      </c>
    </row>
    <row r="104" spans="1:21" x14ac:dyDescent="0.45">
      <c r="A104" s="12">
        <v>105</v>
      </c>
      <c r="B104" s="12">
        <v>0</v>
      </c>
      <c r="C104" s="12" t="s">
        <v>431</v>
      </c>
      <c r="D104" s="12" t="s">
        <v>430</v>
      </c>
      <c r="E104" s="12">
        <v>0</v>
      </c>
      <c r="F104" s="12">
        <v>0</v>
      </c>
      <c r="G104" s="12">
        <v>1</v>
      </c>
      <c r="H104" s="12">
        <v>2</v>
      </c>
      <c r="I104" s="12">
        <v>0</v>
      </c>
      <c r="J104" s="10"/>
      <c r="K104" s="10" t="s">
        <v>311</v>
      </c>
      <c r="L104" s="10"/>
      <c r="M104" s="11">
        <v>0</v>
      </c>
      <c r="N104" s="10"/>
      <c r="O104" s="11">
        <v>0</v>
      </c>
      <c r="P104" s="10"/>
      <c r="Q104" s="11">
        <v>0</v>
      </c>
      <c r="R104" s="10"/>
      <c r="S104" s="11">
        <v>0</v>
      </c>
      <c r="T104" s="10"/>
      <c r="U104" s="11">
        <v>0</v>
      </c>
    </row>
    <row r="105" spans="1:21" x14ac:dyDescent="0.45">
      <c r="A105" s="12">
        <v>106</v>
      </c>
      <c r="B105" s="12">
        <v>1</v>
      </c>
      <c r="C105" s="12" t="s">
        <v>432</v>
      </c>
      <c r="D105" s="12" t="s">
        <v>433</v>
      </c>
      <c r="E105" s="12">
        <v>0</v>
      </c>
      <c r="F105" s="12">
        <v>107</v>
      </c>
      <c r="G105" s="12">
        <v>1</v>
      </c>
      <c r="H105" s="12">
        <v>2</v>
      </c>
      <c r="I105" s="12">
        <v>0</v>
      </c>
      <c r="J105" s="10"/>
      <c r="K105" s="10" t="s">
        <v>311</v>
      </c>
      <c r="L105" s="10"/>
      <c r="M105" s="11">
        <v>0</v>
      </c>
      <c r="N105" s="10"/>
      <c r="O105" s="11">
        <v>0</v>
      </c>
      <c r="P105" s="10"/>
      <c r="Q105" s="11">
        <v>0</v>
      </c>
      <c r="R105" s="10"/>
      <c r="S105" s="11">
        <v>0</v>
      </c>
      <c r="T105" s="10"/>
      <c r="U105" s="11">
        <v>0</v>
      </c>
    </row>
    <row r="106" spans="1:21" x14ac:dyDescent="0.45">
      <c r="A106" s="12">
        <v>107</v>
      </c>
      <c r="B106" s="12">
        <v>0</v>
      </c>
      <c r="C106" s="12" t="s">
        <v>434</v>
      </c>
      <c r="D106" s="12" t="s">
        <v>433</v>
      </c>
      <c r="E106" s="12">
        <v>0</v>
      </c>
      <c r="F106" s="12">
        <v>0</v>
      </c>
      <c r="G106" s="12">
        <v>1</v>
      </c>
      <c r="H106" s="12">
        <v>2</v>
      </c>
      <c r="I106" s="12">
        <v>0</v>
      </c>
      <c r="J106" s="10"/>
      <c r="K106" s="10" t="s">
        <v>311</v>
      </c>
      <c r="L106" s="10"/>
      <c r="M106" s="11">
        <v>0</v>
      </c>
      <c r="N106" s="10"/>
      <c r="O106" s="11">
        <v>0</v>
      </c>
      <c r="P106" s="10"/>
      <c r="Q106" s="11">
        <v>0</v>
      </c>
      <c r="R106" s="10"/>
      <c r="S106" s="11">
        <v>0</v>
      </c>
      <c r="T106" s="10"/>
      <c r="U106" s="11">
        <v>0</v>
      </c>
    </row>
    <row r="107" spans="1:21" x14ac:dyDescent="0.45">
      <c r="A107" s="12">
        <v>108</v>
      </c>
      <c r="B107" s="12">
        <v>1</v>
      </c>
      <c r="C107" s="12" t="s">
        <v>435</v>
      </c>
      <c r="D107" s="12" t="s">
        <v>435</v>
      </c>
      <c r="E107" s="12">
        <v>0</v>
      </c>
      <c r="F107" s="12">
        <v>109</v>
      </c>
      <c r="G107" s="12">
        <v>3</v>
      </c>
      <c r="H107" s="12">
        <v>0</v>
      </c>
      <c r="I107" s="12">
        <v>0</v>
      </c>
      <c r="J107" s="10"/>
      <c r="K107" s="10" t="s">
        <v>311</v>
      </c>
      <c r="L107" s="10"/>
      <c r="M107" s="11"/>
      <c r="N107" s="10"/>
      <c r="O107" s="11"/>
      <c r="P107" s="10"/>
      <c r="Q107" s="11"/>
      <c r="R107" s="10"/>
      <c r="S107" s="11"/>
      <c r="T107" s="10"/>
      <c r="U107" s="11"/>
    </row>
    <row r="108" spans="1:21" x14ac:dyDescent="0.45">
      <c r="A108" s="12">
        <v>109</v>
      </c>
      <c r="B108" s="12">
        <v>0</v>
      </c>
      <c r="C108" s="12" t="s">
        <v>436</v>
      </c>
      <c r="D108" s="12" t="s">
        <v>436</v>
      </c>
      <c r="E108" s="12">
        <v>0</v>
      </c>
      <c r="F108" s="12">
        <v>0</v>
      </c>
      <c r="G108" s="12">
        <v>3</v>
      </c>
      <c r="H108" s="12">
        <v>0</v>
      </c>
      <c r="I108" s="12">
        <v>0</v>
      </c>
      <c r="J108" s="10"/>
      <c r="K108" s="10" t="s">
        <v>311</v>
      </c>
      <c r="L108" s="10"/>
      <c r="M108" s="11"/>
      <c r="N108" s="10"/>
      <c r="O108" s="11"/>
      <c r="P108" s="10"/>
      <c r="Q108" s="11"/>
      <c r="R108" s="10"/>
      <c r="S108" s="11"/>
      <c r="T108" s="10"/>
      <c r="U108" s="11"/>
    </row>
    <row r="109" spans="1:21" s="27" customFormat="1" x14ac:dyDescent="0.45">
      <c r="A109" s="24">
        <v>110</v>
      </c>
      <c r="B109" s="24">
        <v>1</v>
      </c>
      <c r="C109" s="24" t="s">
        <v>437</v>
      </c>
      <c r="D109" s="24" t="s">
        <v>438</v>
      </c>
      <c r="E109" s="24">
        <v>0</v>
      </c>
      <c r="F109" s="24">
        <v>111</v>
      </c>
      <c r="G109" s="24">
        <v>1</v>
      </c>
      <c r="H109" s="24">
        <v>2</v>
      </c>
      <c r="I109" s="24">
        <v>0</v>
      </c>
      <c r="J109" s="25"/>
      <c r="K109" s="25" t="s">
        <v>311</v>
      </c>
      <c r="L109" s="25" t="s">
        <v>438</v>
      </c>
      <c r="M109" s="26">
        <v>0</v>
      </c>
      <c r="N109" s="25" t="s">
        <v>362</v>
      </c>
      <c r="O109" s="26">
        <v>0</v>
      </c>
      <c r="P109" s="25"/>
      <c r="Q109" s="26">
        <v>0</v>
      </c>
      <c r="R109" s="25"/>
      <c r="S109" s="26">
        <v>0</v>
      </c>
      <c r="T109" s="25"/>
      <c r="U109" s="26">
        <v>0</v>
      </c>
    </row>
    <row r="110" spans="1:21" s="27" customFormat="1" x14ac:dyDescent="0.45">
      <c r="A110" s="24">
        <v>111</v>
      </c>
      <c r="B110" s="24">
        <v>0</v>
      </c>
      <c r="C110" s="24" t="s">
        <v>439</v>
      </c>
      <c r="D110" s="24" t="s">
        <v>439</v>
      </c>
      <c r="E110" s="24">
        <v>0</v>
      </c>
      <c r="F110" s="24">
        <v>0</v>
      </c>
      <c r="G110" s="24">
        <v>3</v>
      </c>
      <c r="H110" s="24">
        <v>0</v>
      </c>
      <c r="I110" s="24">
        <v>0</v>
      </c>
      <c r="J110" s="25"/>
      <c r="K110" s="25" t="s">
        <v>311</v>
      </c>
      <c r="L110" s="25"/>
      <c r="M110" s="26"/>
      <c r="N110" s="25"/>
      <c r="O110" s="26"/>
      <c r="P110" s="25"/>
      <c r="Q110" s="26"/>
      <c r="R110" s="25"/>
      <c r="S110" s="26"/>
      <c r="T110" s="25"/>
      <c r="U110" s="26"/>
    </row>
    <row r="111" spans="1:21" x14ac:dyDescent="0.45">
      <c r="A111" s="12">
        <v>112</v>
      </c>
      <c r="B111" s="12">
        <v>1</v>
      </c>
      <c r="C111" s="12" t="s">
        <v>440</v>
      </c>
      <c r="D111" s="12" t="s">
        <v>440</v>
      </c>
      <c r="E111" s="12">
        <v>0</v>
      </c>
      <c r="F111" s="12">
        <v>113</v>
      </c>
      <c r="G111" s="12">
        <v>3</v>
      </c>
      <c r="H111" s="12">
        <v>0</v>
      </c>
      <c r="I111" s="12">
        <v>0</v>
      </c>
      <c r="J111" s="10"/>
      <c r="K111" s="10" t="s">
        <v>311</v>
      </c>
      <c r="L111" s="10"/>
      <c r="M111" s="11"/>
      <c r="N111" s="10"/>
      <c r="O111" s="11"/>
      <c r="P111" s="10"/>
      <c r="Q111" s="11"/>
      <c r="R111" s="10"/>
      <c r="S111" s="11"/>
      <c r="T111" s="10"/>
      <c r="U111" s="11"/>
    </row>
    <row r="112" spans="1:21" x14ac:dyDescent="0.45">
      <c r="A112" s="12">
        <v>113</v>
      </c>
      <c r="B112" s="12">
        <v>0</v>
      </c>
      <c r="C112" s="12" t="s">
        <v>441</v>
      </c>
      <c r="D112" s="12" t="s">
        <v>441</v>
      </c>
      <c r="E112" s="12">
        <v>0</v>
      </c>
      <c r="F112" s="12">
        <v>0</v>
      </c>
      <c r="G112" s="12">
        <v>3</v>
      </c>
      <c r="H112" s="12">
        <v>0</v>
      </c>
      <c r="I112" s="12">
        <v>0</v>
      </c>
      <c r="J112" s="10"/>
      <c r="K112" s="10" t="s">
        <v>311</v>
      </c>
      <c r="L112" s="10"/>
      <c r="M112" s="11"/>
      <c r="N112" s="10"/>
      <c r="O112" s="11"/>
      <c r="P112" s="10"/>
      <c r="Q112" s="11"/>
      <c r="R112" s="10"/>
      <c r="S112" s="11"/>
      <c r="T112" s="10"/>
      <c r="U112" s="11"/>
    </row>
    <row r="113" spans="1:21" x14ac:dyDescent="0.45">
      <c r="A113" s="12">
        <v>114</v>
      </c>
      <c r="B113" s="12">
        <v>1</v>
      </c>
      <c r="C113" s="12" t="s">
        <v>14</v>
      </c>
      <c r="D113" s="12" t="s">
        <v>14</v>
      </c>
      <c r="E113" s="12">
        <v>0</v>
      </c>
      <c r="F113" s="12">
        <v>484</v>
      </c>
      <c r="G113" s="12">
        <v>3</v>
      </c>
      <c r="H113" s="12">
        <v>0</v>
      </c>
      <c r="I113" s="12">
        <v>0</v>
      </c>
      <c r="J113" s="10"/>
      <c r="K113" s="10" t="s">
        <v>311</v>
      </c>
      <c r="L113" s="10"/>
      <c r="M113" s="11">
        <v>0</v>
      </c>
      <c r="N113" s="10"/>
      <c r="O113" s="11">
        <v>0</v>
      </c>
      <c r="P113" s="10"/>
      <c r="Q113" s="11">
        <v>0</v>
      </c>
      <c r="R113" s="10"/>
      <c r="S113" s="11">
        <v>0</v>
      </c>
      <c r="T113" s="10"/>
      <c r="U113" s="11">
        <v>0</v>
      </c>
    </row>
    <row r="114" spans="1:21" x14ac:dyDescent="0.45">
      <c r="A114" s="12">
        <v>115</v>
      </c>
      <c r="B114" s="12">
        <v>1</v>
      </c>
      <c r="C114" s="12" t="s">
        <v>442</v>
      </c>
      <c r="D114" s="12" t="s">
        <v>442</v>
      </c>
      <c r="E114" s="12">
        <v>0</v>
      </c>
      <c r="F114" s="12">
        <v>0</v>
      </c>
      <c r="G114" s="12">
        <v>3</v>
      </c>
      <c r="H114" s="12">
        <v>0</v>
      </c>
      <c r="I114" s="12">
        <v>0</v>
      </c>
      <c r="J114" s="10"/>
      <c r="K114" s="10" t="s">
        <v>311</v>
      </c>
      <c r="L114" s="10" t="s">
        <v>442</v>
      </c>
      <c r="M114" s="11">
        <v>0</v>
      </c>
      <c r="N114" s="10"/>
      <c r="O114" s="11">
        <v>0</v>
      </c>
      <c r="P114" s="10"/>
      <c r="Q114" s="11">
        <v>0</v>
      </c>
      <c r="R114" s="10"/>
      <c r="S114" s="11">
        <v>0</v>
      </c>
      <c r="T114" s="10"/>
      <c r="U114" s="11">
        <v>0</v>
      </c>
    </row>
    <row r="115" spans="1:21" x14ac:dyDescent="0.45">
      <c r="A115" s="12">
        <v>116</v>
      </c>
      <c r="B115" s="12">
        <v>1</v>
      </c>
      <c r="C115" s="12" t="s">
        <v>443</v>
      </c>
      <c r="D115" s="12" t="s">
        <v>443</v>
      </c>
      <c r="E115" s="12">
        <v>0</v>
      </c>
      <c r="F115" s="12">
        <v>0</v>
      </c>
      <c r="G115" s="12">
        <v>3</v>
      </c>
      <c r="H115" s="12">
        <v>2</v>
      </c>
      <c r="I115" s="12">
        <v>0</v>
      </c>
      <c r="J115" s="10"/>
      <c r="K115" s="10" t="s">
        <v>311</v>
      </c>
      <c r="L115" s="10" t="s">
        <v>443</v>
      </c>
      <c r="M115" s="11">
        <v>0</v>
      </c>
      <c r="N115" s="10"/>
      <c r="O115" s="11">
        <v>0</v>
      </c>
      <c r="P115" s="10"/>
      <c r="Q115" s="11">
        <v>0</v>
      </c>
      <c r="R115" s="10"/>
      <c r="S115" s="11">
        <v>0</v>
      </c>
      <c r="T115" s="10"/>
      <c r="U115" s="11">
        <v>0</v>
      </c>
    </row>
    <row r="116" spans="1:21" x14ac:dyDescent="0.45">
      <c r="A116" s="12">
        <v>117</v>
      </c>
      <c r="B116" s="12">
        <v>1</v>
      </c>
      <c r="C116" s="12" t="s">
        <v>444</v>
      </c>
      <c r="D116" s="12" t="s">
        <v>444</v>
      </c>
      <c r="E116" s="12">
        <v>0</v>
      </c>
      <c r="F116" s="12">
        <v>0</v>
      </c>
      <c r="G116" s="12">
        <v>3</v>
      </c>
      <c r="H116" s="12">
        <v>0</v>
      </c>
      <c r="I116" s="12">
        <v>0</v>
      </c>
      <c r="J116" s="10"/>
      <c r="K116" s="10" t="s">
        <v>311</v>
      </c>
      <c r="L116" s="10"/>
      <c r="M116" s="11"/>
      <c r="N116" s="10"/>
      <c r="O116" s="11"/>
      <c r="P116" s="10"/>
      <c r="Q116" s="11"/>
      <c r="R116" s="10"/>
      <c r="S116" s="11"/>
      <c r="T116" s="10"/>
      <c r="U116" s="11"/>
    </row>
    <row r="117" spans="1:21" x14ac:dyDescent="0.45">
      <c r="A117" s="12">
        <v>118</v>
      </c>
      <c r="B117" s="12">
        <v>1</v>
      </c>
      <c r="C117" s="12" t="s">
        <v>445</v>
      </c>
      <c r="D117" s="12" t="s">
        <v>445</v>
      </c>
      <c r="E117" s="12">
        <v>0</v>
      </c>
      <c r="F117" s="12">
        <v>0</v>
      </c>
      <c r="G117" s="12">
        <v>3</v>
      </c>
      <c r="H117" s="12">
        <v>0</v>
      </c>
      <c r="I117" s="12">
        <v>0</v>
      </c>
      <c r="J117" s="10"/>
      <c r="K117" s="10" t="s">
        <v>311</v>
      </c>
      <c r="L117" s="10"/>
      <c r="M117" s="11"/>
      <c r="N117" s="10"/>
      <c r="O117" s="11"/>
      <c r="P117" s="10"/>
      <c r="Q117" s="11"/>
      <c r="R117" s="10"/>
      <c r="S117" s="11"/>
      <c r="T117" s="10"/>
      <c r="U117" s="11"/>
    </row>
    <row r="118" spans="1:21" x14ac:dyDescent="0.45">
      <c r="A118" s="12">
        <v>119</v>
      </c>
      <c r="B118" s="12">
        <v>1</v>
      </c>
      <c r="C118" s="12" t="s">
        <v>446</v>
      </c>
      <c r="D118" s="12" t="s">
        <v>446</v>
      </c>
      <c r="E118" s="12">
        <v>0</v>
      </c>
      <c r="F118" s="12">
        <v>0</v>
      </c>
      <c r="G118" s="12">
        <v>3</v>
      </c>
      <c r="H118" s="12">
        <v>0</v>
      </c>
      <c r="I118" s="12">
        <v>0</v>
      </c>
      <c r="J118" s="10"/>
      <c r="K118" s="10" t="s">
        <v>311</v>
      </c>
      <c r="L118" s="10"/>
      <c r="M118" s="11"/>
      <c r="N118" s="10"/>
      <c r="O118" s="11"/>
      <c r="P118" s="10"/>
      <c r="Q118" s="11"/>
      <c r="R118" s="10"/>
      <c r="S118" s="11"/>
      <c r="T118" s="10"/>
      <c r="U118" s="11"/>
    </row>
    <row r="119" spans="1:21" x14ac:dyDescent="0.45">
      <c r="A119" s="12">
        <v>120</v>
      </c>
      <c r="B119" s="12">
        <v>1</v>
      </c>
      <c r="C119" s="12" t="s">
        <v>447</v>
      </c>
      <c r="D119" s="12" t="s">
        <v>447</v>
      </c>
      <c r="E119" s="12">
        <v>0</v>
      </c>
      <c r="F119" s="12">
        <v>0</v>
      </c>
      <c r="G119" s="12">
        <v>3</v>
      </c>
      <c r="H119" s="12">
        <v>0</v>
      </c>
      <c r="I119" s="12">
        <v>0</v>
      </c>
      <c r="J119" s="10"/>
      <c r="K119" s="10" t="s">
        <v>311</v>
      </c>
      <c r="L119" s="10"/>
      <c r="M119" s="11"/>
      <c r="N119" s="10"/>
      <c r="O119" s="11"/>
      <c r="P119" s="10"/>
      <c r="Q119" s="11"/>
      <c r="R119" s="10"/>
      <c r="S119" s="11"/>
      <c r="T119" s="10"/>
      <c r="U119" s="11"/>
    </row>
    <row r="120" spans="1:21" x14ac:dyDescent="0.45">
      <c r="A120" s="12">
        <v>121</v>
      </c>
      <c r="B120" s="12">
        <v>1</v>
      </c>
      <c r="C120" s="12" t="s">
        <v>448</v>
      </c>
      <c r="D120" s="12" t="s">
        <v>448</v>
      </c>
      <c r="E120" s="12">
        <v>0</v>
      </c>
      <c r="F120" s="12">
        <v>0</v>
      </c>
      <c r="G120" s="12">
        <v>3</v>
      </c>
      <c r="H120" s="12">
        <v>0</v>
      </c>
      <c r="I120" s="12">
        <v>0</v>
      </c>
      <c r="J120" s="10"/>
      <c r="K120" s="10" t="s">
        <v>311</v>
      </c>
      <c r="L120" s="10"/>
      <c r="M120" s="11"/>
      <c r="N120" s="10"/>
      <c r="O120" s="11"/>
      <c r="P120" s="10"/>
      <c r="Q120" s="11"/>
      <c r="R120" s="10"/>
      <c r="S120" s="11"/>
      <c r="T120" s="10"/>
      <c r="U120" s="11"/>
    </row>
    <row r="121" spans="1:21" x14ac:dyDescent="0.45">
      <c r="A121" s="12">
        <v>122</v>
      </c>
      <c r="B121" s="12">
        <v>1</v>
      </c>
      <c r="C121" s="12" t="s">
        <v>449</v>
      </c>
      <c r="D121" s="12" t="s">
        <v>449</v>
      </c>
      <c r="E121" s="12">
        <v>0</v>
      </c>
      <c r="F121" s="12">
        <v>0</v>
      </c>
      <c r="G121" s="12">
        <v>3</v>
      </c>
      <c r="H121" s="12">
        <v>0</v>
      </c>
      <c r="I121" s="12">
        <v>0</v>
      </c>
      <c r="J121" s="10"/>
      <c r="K121" s="10" t="s">
        <v>311</v>
      </c>
      <c r="L121" s="10"/>
      <c r="M121" s="11"/>
      <c r="N121" s="10"/>
      <c r="O121" s="11"/>
      <c r="P121" s="10"/>
      <c r="Q121" s="11"/>
      <c r="R121" s="10"/>
      <c r="S121" s="11"/>
      <c r="T121" s="10"/>
      <c r="U121" s="11"/>
    </row>
    <row r="122" spans="1:21" x14ac:dyDescent="0.45">
      <c r="A122" s="12">
        <v>123</v>
      </c>
      <c r="B122" s="12">
        <v>0</v>
      </c>
      <c r="C122" s="12" t="s">
        <v>450</v>
      </c>
      <c r="D122" s="12" t="s">
        <v>450</v>
      </c>
      <c r="E122" s="12">
        <v>0</v>
      </c>
      <c r="F122" s="12">
        <v>0</v>
      </c>
      <c r="G122" s="12">
        <v>1</v>
      </c>
      <c r="H122" s="12">
        <v>0</v>
      </c>
      <c r="I122" s="12">
        <v>0</v>
      </c>
      <c r="J122" s="10"/>
      <c r="K122" s="10" t="s">
        <v>311</v>
      </c>
      <c r="L122" s="10"/>
      <c r="M122" s="11">
        <v>0</v>
      </c>
      <c r="N122" s="10"/>
      <c r="O122" s="11">
        <v>0</v>
      </c>
      <c r="P122" s="10"/>
      <c r="Q122" s="11">
        <v>0</v>
      </c>
      <c r="R122" s="10"/>
      <c r="S122" s="11">
        <v>0</v>
      </c>
      <c r="T122" s="10"/>
      <c r="U122" s="11">
        <v>0</v>
      </c>
    </row>
    <row r="123" spans="1:21" s="27" customFormat="1" x14ac:dyDescent="0.45">
      <c r="A123" s="24">
        <v>124</v>
      </c>
      <c r="B123" s="24">
        <v>1</v>
      </c>
      <c r="C123" s="24" t="s">
        <v>451</v>
      </c>
      <c r="D123" s="24" t="s">
        <v>451</v>
      </c>
      <c r="E123" s="24">
        <v>0</v>
      </c>
      <c r="F123" s="24">
        <v>0</v>
      </c>
      <c r="G123" s="24">
        <v>3</v>
      </c>
      <c r="H123" s="24">
        <v>0</v>
      </c>
      <c r="I123" s="24">
        <v>0</v>
      </c>
      <c r="J123" s="25"/>
      <c r="K123" s="25" t="s">
        <v>311</v>
      </c>
      <c r="L123" s="25"/>
      <c r="M123" s="26">
        <v>0</v>
      </c>
      <c r="N123" s="25"/>
      <c r="O123" s="26">
        <v>0</v>
      </c>
      <c r="P123" s="25"/>
      <c r="Q123" s="26">
        <v>0</v>
      </c>
      <c r="R123" s="25"/>
      <c r="S123" s="26">
        <v>0</v>
      </c>
      <c r="T123" s="25"/>
      <c r="U123" s="26">
        <v>0</v>
      </c>
    </row>
    <row r="124" spans="1:21" s="27" customFormat="1" x14ac:dyDescent="0.45">
      <c r="A124" s="24">
        <v>125</v>
      </c>
      <c r="B124" s="24">
        <v>1</v>
      </c>
      <c r="C124" s="24" t="s">
        <v>452</v>
      </c>
      <c r="D124" s="24" t="s">
        <v>452</v>
      </c>
      <c r="E124" s="24">
        <v>0</v>
      </c>
      <c r="F124" s="24">
        <v>0</v>
      </c>
      <c r="G124" s="24">
        <v>3</v>
      </c>
      <c r="H124" s="24">
        <v>0</v>
      </c>
      <c r="I124" s="24">
        <v>0</v>
      </c>
      <c r="J124" s="25"/>
      <c r="K124" s="25" t="s">
        <v>311</v>
      </c>
      <c r="L124" s="25"/>
      <c r="M124" s="26">
        <v>0</v>
      </c>
      <c r="N124" s="25"/>
      <c r="O124" s="26">
        <v>0</v>
      </c>
      <c r="P124" s="25"/>
      <c r="Q124" s="26">
        <v>0</v>
      </c>
      <c r="R124" s="25"/>
      <c r="S124" s="26">
        <v>0</v>
      </c>
      <c r="T124" s="25"/>
      <c r="U124" s="26">
        <v>0</v>
      </c>
    </row>
    <row r="125" spans="1:21" s="27" customFormat="1" x14ac:dyDescent="0.45">
      <c r="A125" s="24">
        <v>126</v>
      </c>
      <c r="B125" s="24">
        <v>1</v>
      </c>
      <c r="C125" s="24" t="s">
        <v>453</v>
      </c>
      <c r="D125" s="24" t="s">
        <v>453</v>
      </c>
      <c r="E125" s="24">
        <v>0</v>
      </c>
      <c r="F125" s="24">
        <v>0</v>
      </c>
      <c r="G125" s="24">
        <v>3</v>
      </c>
      <c r="H125" s="24">
        <v>0</v>
      </c>
      <c r="I125" s="24">
        <v>0</v>
      </c>
      <c r="J125" s="25"/>
      <c r="K125" s="25" t="s">
        <v>311</v>
      </c>
      <c r="L125" s="25"/>
      <c r="M125" s="26"/>
      <c r="N125" s="25"/>
      <c r="O125" s="26"/>
      <c r="P125" s="25"/>
      <c r="Q125" s="26"/>
      <c r="R125" s="25"/>
      <c r="S125" s="26"/>
      <c r="T125" s="25"/>
      <c r="U125" s="26"/>
    </row>
    <row r="126" spans="1:21" x14ac:dyDescent="0.45">
      <c r="A126" s="12">
        <v>127</v>
      </c>
      <c r="B126" s="12">
        <v>1</v>
      </c>
      <c r="C126" s="12" t="s">
        <v>454</v>
      </c>
      <c r="D126" s="12" t="s">
        <v>454</v>
      </c>
      <c r="E126" s="12">
        <v>0</v>
      </c>
      <c r="F126" s="12">
        <v>0</v>
      </c>
      <c r="G126" s="12">
        <v>3</v>
      </c>
      <c r="H126" s="12">
        <v>0</v>
      </c>
      <c r="I126" s="12">
        <v>0</v>
      </c>
      <c r="J126" s="10"/>
      <c r="K126" s="10" t="s">
        <v>311</v>
      </c>
      <c r="L126" s="10"/>
      <c r="M126" s="11"/>
      <c r="N126" s="10"/>
      <c r="O126" s="11"/>
      <c r="P126" s="10"/>
      <c r="Q126" s="11"/>
      <c r="R126" s="10"/>
      <c r="S126" s="11"/>
      <c r="T126" s="10"/>
      <c r="U126" s="11"/>
    </row>
    <row r="127" spans="1:21" x14ac:dyDescent="0.45">
      <c r="A127" s="12">
        <v>128</v>
      </c>
      <c r="B127" s="12">
        <v>1</v>
      </c>
      <c r="C127" s="12" t="s">
        <v>455</v>
      </c>
      <c r="D127" s="12" t="s">
        <v>455</v>
      </c>
      <c r="E127" s="12">
        <v>0</v>
      </c>
      <c r="F127" s="12">
        <v>0</v>
      </c>
      <c r="G127" s="12">
        <v>3</v>
      </c>
      <c r="H127" s="12">
        <v>0</v>
      </c>
      <c r="I127" s="12">
        <v>0</v>
      </c>
      <c r="J127" s="10"/>
      <c r="K127" s="10" t="s">
        <v>311</v>
      </c>
      <c r="L127" s="10"/>
      <c r="M127" s="11"/>
      <c r="N127" s="10"/>
      <c r="O127" s="11"/>
      <c r="P127" s="10"/>
      <c r="Q127" s="11"/>
      <c r="R127" s="10"/>
      <c r="S127" s="11"/>
      <c r="T127" s="10"/>
      <c r="U127" s="11"/>
    </row>
    <row r="128" spans="1:21" x14ac:dyDescent="0.45">
      <c r="A128" s="12">
        <v>129</v>
      </c>
      <c r="B128" s="12">
        <v>1</v>
      </c>
      <c r="C128" s="12" t="s">
        <v>456</v>
      </c>
      <c r="D128" s="12" t="s">
        <v>456</v>
      </c>
      <c r="E128" s="12">
        <v>0</v>
      </c>
      <c r="F128" s="12">
        <v>0</v>
      </c>
      <c r="G128" s="12">
        <v>1</v>
      </c>
      <c r="H128" s="12">
        <v>1</v>
      </c>
      <c r="I128" s="12">
        <v>69</v>
      </c>
      <c r="J128" s="10"/>
      <c r="K128" s="10" t="s">
        <v>311</v>
      </c>
      <c r="L128" s="10"/>
      <c r="M128" s="11">
        <v>0</v>
      </c>
      <c r="N128" s="10"/>
      <c r="O128" s="11">
        <v>0</v>
      </c>
      <c r="P128" s="10"/>
      <c r="Q128" s="11">
        <v>0</v>
      </c>
      <c r="R128" s="10"/>
      <c r="S128" s="11">
        <v>0</v>
      </c>
      <c r="T128" s="10"/>
      <c r="U128" s="11">
        <v>0</v>
      </c>
    </row>
    <row r="129" spans="1:21" x14ac:dyDescent="0.45">
      <c r="A129" s="12">
        <v>130</v>
      </c>
      <c r="B129" s="12">
        <v>1</v>
      </c>
      <c r="C129" s="12" t="s">
        <v>457</v>
      </c>
      <c r="D129" s="12" t="s">
        <v>457</v>
      </c>
      <c r="E129" s="12">
        <v>0</v>
      </c>
      <c r="F129" s="12">
        <v>0</v>
      </c>
      <c r="G129" s="12">
        <v>3</v>
      </c>
      <c r="H129" s="12">
        <v>0</v>
      </c>
      <c r="I129" s="12">
        <v>0</v>
      </c>
      <c r="J129" s="10"/>
      <c r="K129" s="10" t="s">
        <v>311</v>
      </c>
      <c r="L129" s="10"/>
      <c r="M129" s="11">
        <v>0</v>
      </c>
      <c r="N129" s="10"/>
      <c r="O129" s="11">
        <v>0</v>
      </c>
      <c r="P129" s="10"/>
      <c r="Q129" s="11">
        <v>0</v>
      </c>
      <c r="R129" s="10"/>
      <c r="S129" s="11">
        <v>0</v>
      </c>
      <c r="T129" s="10"/>
      <c r="U129" s="11">
        <v>0</v>
      </c>
    </row>
    <row r="130" spans="1:21" x14ac:dyDescent="0.45">
      <c r="A130" s="12">
        <v>131</v>
      </c>
      <c r="B130" s="12">
        <v>1</v>
      </c>
      <c r="C130" s="12" t="s">
        <v>458</v>
      </c>
      <c r="D130" s="12" t="s">
        <v>458</v>
      </c>
      <c r="E130" s="12">
        <v>0</v>
      </c>
      <c r="F130" s="12">
        <v>0</v>
      </c>
      <c r="G130" s="12">
        <v>3</v>
      </c>
      <c r="H130" s="12">
        <v>0</v>
      </c>
      <c r="I130" s="12">
        <v>0</v>
      </c>
      <c r="J130" s="10"/>
      <c r="K130" s="10" t="s">
        <v>311</v>
      </c>
      <c r="L130" s="10"/>
      <c r="M130" s="11"/>
      <c r="N130" s="10"/>
      <c r="O130" s="11"/>
      <c r="P130" s="10"/>
      <c r="Q130" s="11"/>
      <c r="R130" s="10"/>
      <c r="S130" s="11"/>
      <c r="T130" s="10"/>
      <c r="U130" s="11"/>
    </row>
    <row r="131" spans="1:21" x14ac:dyDescent="0.45">
      <c r="A131" s="12">
        <v>132</v>
      </c>
      <c r="B131" s="12">
        <v>1</v>
      </c>
      <c r="C131" s="12" t="s">
        <v>459</v>
      </c>
      <c r="D131" s="12" t="s">
        <v>459</v>
      </c>
      <c r="E131" s="12">
        <v>0</v>
      </c>
      <c r="F131" s="12">
        <v>0</v>
      </c>
      <c r="G131" s="12">
        <v>2</v>
      </c>
      <c r="H131" s="12">
        <v>0</v>
      </c>
      <c r="I131" s="12">
        <v>0</v>
      </c>
      <c r="J131" s="10"/>
      <c r="K131" s="10" t="s">
        <v>311</v>
      </c>
      <c r="L131" s="10"/>
      <c r="M131" s="11"/>
      <c r="N131" s="10"/>
      <c r="O131" s="11"/>
      <c r="P131" s="10"/>
      <c r="Q131" s="11"/>
      <c r="R131" s="10"/>
      <c r="S131" s="11"/>
      <c r="T131" s="10"/>
      <c r="U131" s="11"/>
    </row>
    <row r="132" spans="1:21" s="27" customFormat="1" x14ac:dyDescent="0.45">
      <c r="A132" s="24">
        <v>133</v>
      </c>
      <c r="B132" s="24">
        <v>1</v>
      </c>
      <c r="C132" s="24" t="s">
        <v>460</v>
      </c>
      <c r="D132" s="24" t="s">
        <v>460</v>
      </c>
      <c r="E132" s="24">
        <v>0</v>
      </c>
      <c r="F132" s="24">
        <v>0</v>
      </c>
      <c r="G132" s="24">
        <v>2</v>
      </c>
      <c r="H132" s="24">
        <v>2</v>
      </c>
      <c r="I132" s="24">
        <v>0</v>
      </c>
      <c r="J132" s="25"/>
      <c r="K132" s="25"/>
      <c r="L132" s="25" t="s">
        <v>461</v>
      </c>
      <c r="M132" s="26">
        <v>0</v>
      </c>
      <c r="N132" s="25"/>
      <c r="O132" s="26">
        <v>0</v>
      </c>
      <c r="P132" s="25"/>
      <c r="Q132" s="26">
        <v>0</v>
      </c>
      <c r="R132" s="25"/>
      <c r="S132" s="26"/>
      <c r="T132" s="25"/>
      <c r="U132" s="26"/>
    </row>
    <row r="133" spans="1:21" x14ac:dyDescent="0.45">
      <c r="A133" s="12">
        <v>134</v>
      </c>
      <c r="B133" s="12">
        <v>1</v>
      </c>
      <c r="C133" s="12" t="s">
        <v>462</v>
      </c>
      <c r="D133" s="12" t="s">
        <v>462</v>
      </c>
      <c r="E133" s="12">
        <v>0</v>
      </c>
      <c r="F133" s="12">
        <v>604</v>
      </c>
      <c r="G133" s="12">
        <v>1</v>
      </c>
      <c r="H133" s="12">
        <v>1</v>
      </c>
      <c r="I133" s="12">
        <v>0</v>
      </c>
      <c r="J133" s="10"/>
      <c r="K133" s="10" t="s">
        <v>311</v>
      </c>
      <c r="L133" s="10"/>
      <c r="M133" s="11">
        <v>0</v>
      </c>
      <c r="N133" s="10"/>
      <c r="O133" s="11">
        <v>0</v>
      </c>
      <c r="P133" s="10"/>
      <c r="Q133" s="11">
        <v>0</v>
      </c>
      <c r="R133" s="10"/>
      <c r="S133" s="11">
        <v>0</v>
      </c>
      <c r="T133" s="10"/>
      <c r="U133" s="11">
        <v>0</v>
      </c>
    </row>
    <row r="134" spans="1:21" x14ac:dyDescent="0.45">
      <c r="A134" s="12">
        <v>135</v>
      </c>
      <c r="B134" s="12">
        <v>1</v>
      </c>
      <c r="C134" s="12" t="s">
        <v>463</v>
      </c>
      <c r="D134" s="12" t="s">
        <v>463</v>
      </c>
      <c r="E134" s="12">
        <v>0</v>
      </c>
      <c r="F134" s="12">
        <v>0</v>
      </c>
      <c r="G134" s="12">
        <v>2</v>
      </c>
      <c r="H134" s="12">
        <v>0</v>
      </c>
      <c r="I134" s="12">
        <v>0</v>
      </c>
      <c r="J134" s="10"/>
      <c r="K134" s="10" t="s">
        <v>311</v>
      </c>
      <c r="L134" s="10"/>
      <c r="M134" s="11"/>
      <c r="N134" s="10"/>
      <c r="O134" s="11"/>
      <c r="P134" s="10"/>
      <c r="Q134" s="11"/>
      <c r="R134" s="10"/>
      <c r="S134" s="11"/>
      <c r="T134" s="10"/>
      <c r="U134" s="11"/>
    </row>
    <row r="135" spans="1:21" x14ac:dyDescent="0.45">
      <c r="A135" s="12">
        <v>136</v>
      </c>
      <c r="B135" s="12">
        <v>1</v>
      </c>
      <c r="C135" s="12" t="s">
        <v>464</v>
      </c>
      <c r="D135" s="12" t="s">
        <v>464</v>
      </c>
      <c r="E135" s="12">
        <v>0</v>
      </c>
      <c r="F135" s="12">
        <v>522</v>
      </c>
      <c r="G135" s="12">
        <v>1</v>
      </c>
      <c r="H135" s="12">
        <v>2</v>
      </c>
      <c r="I135" s="12">
        <v>0</v>
      </c>
      <c r="J135" s="10"/>
      <c r="K135" s="10" t="s">
        <v>311</v>
      </c>
      <c r="L135" s="10" t="s">
        <v>464</v>
      </c>
      <c r="M135" s="11">
        <v>1</v>
      </c>
      <c r="N135" s="10"/>
      <c r="O135" s="11">
        <v>0</v>
      </c>
      <c r="P135" s="10"/>
      <c r="Q135" s="11">
        <v>0</v>
      </c>
      <c r="R135" s="10"/>
      <c r="S135" s="11">
        <v>0</v>
      </c>
      <c r="T135" s="10"/>
      <c r="U135" s="11">
        <v>0</v>
      </c>
    </row>
    <row r="136" spans="1:21" x14ac:dyDescent="0.45">
      <c r="A136" s="12">
        <v>137</v>
      </c>
      <c r="B136" s="12">
        <v>1</v>
      </c>
      <c r="C136" s="12" t="s">
        <v>465</v>
      </c>
      <c r="D136" s="12" t="s">
        <v>465</v>
      </c>
      <c r="E136" s="12">
        <v>0</v>
      </c>
      <c r="F136" s="12">
        <v>492</v>
      </c>
      <c r="G136" s="12">
        <v>1</v>
      </c>
      <c r="H136" s="12">
        <v>2</v>
      </c>
      <c r="I136" s="12">
        <v>0</v>
      </c>
      <c r="J136" s="10"/>
      <c r="K136" s="10" t="s">
        <v>311</v>
      </c>
      <c r="L136" s="10" t="s">
        <v>292</v>
      </c>
      <c r="M136" s="11">
        <v>1</v>
      </c>
      <c r="N136" s="10" t="s">
        <v>361</v>
      </c>
      <c r="O136" s="11">
        <v>0</v>
      </c>
      <c r="P136" s="10" t="s">
        <v>312</v>
      </c>
      <c r="Q136" s="11">
        <v>0</v>
      </c>
      <c r="R136" s="10" t="s">
        <v>358</v>
      </c>
      <c r="S136" s="11">
        <v>0</v>
      </c>
      <c r="T136" s="10" t="s">
        <v>466</v>
      </c>
      <c r="U136" s="11">
        <v>0</v>
      </c>
    </row>
    <row r="137" spans="1:21" x14ac:dyDescent="0.45">
      <c r="A137" s="12">
        <v>138</v>
      </c>
      <c r="B137" s="12">
        <v>1</v>
      </c>
      <c r="C137" s="12" t="s">
        <v>467</v>
      </c>
      <c r="D137" s="12" t="s">
        <v>467</v>
      </c>
      <c r="E137" s="12">
        <v>0</v>
      </c>
      <c r="F137" s="12">
        <v>0</v>
      </c>
      <c r="G137" s="12">
        <v>1</v>
      </c>
      <c r="H137" s="12">
        <v>0</v>
      </c>
      <c r="I137" s="12">
        <v>0</v>
      </c>
      <c r="J137" s="10"/>
      <c r="K137" s="10" t="s">
        <v>311</v>
      </c>
      <c r="L137" s="10"/>
      <c r="M137" s="11">
        <v>0</v>
      </c>
      <c r="N137" s="10"/>
      <c r="O137" s="11">
        <v>0</v>
      </c>
      <c r="P137" s="10"/>
      <c r="Q137" s="11">
        <v>0</v>
      </c>
      <c r="R137" s="10"/>
      <c r="S137" s="11">
        <v>0</v>
      </c>
      <c r="T137" s="10"/>
      <c r="U137" s="11">
        <v>0</v>
      </c>
    </row>
    <row r="138" spans="1:21" s="27" customFormat="1" x14ac:dyDescent="0.45">
      <c r="A138" s="24">
        <v>139</v>
      </c>
      <c r="B138" s="24">
        <v>1</v>
      </c>
      <c r="C138" s="24" t="s">
        <v>468</v>
      </c>
      <c r="D138" s="24" t="s">
        <v>468</v>
      </c>
      <c r="E138" s="24">
        <v>0</v>
      </c>
      <c r="F138" s="24">
        <v>0</v>
      </c>
      <c r="G138" s="24">
        <v>1</v>
      </c>
      <c r="H138" s="24">
        <v>0</v>
      </c>
      <c r="I138" s="24">
        <v>0</v>
      </c>
      <c r="J138" s="25"/>
      <c r="K138" s="25"/>
      <c r="L138" s="25"/>
      <c r="M138" s="26">
        <v>0</v>
      </c>
      <c r="N138" s="25"/>
      <c r="O138" s="26">
        <v>0</v>
      </c>
      <c r="P138" s="25"/>
      <c r="Q138" s="26">
        <v>0</v>
      </c>
      <c r="R138" s="25"/>
      <c r="S138" s="26">
        <v>0</v>
      </c>
      <c r="T138" s="25"/>
      <c r="U138" s="26">
        <v>0</v>
      </c>
    </row>
    <row r="139" spans="1:21" x14ac:dyDescent="0.45">
      <c r="A139" s="12">
        <v>140</v>
      </c>
      <c r="B139" s="12">
        <v>1</v>
      </c>
      <c r="C139" s="12" t="s">
        <v>469</v>
      </c>
      <c r="D139" s="12" t="s">
        <v>469</v>
      </c>
      <c r="E139" s="12">
        <v>0</v>
      </c>
      <c r="F139" s="12">
        <v>0</v>
      </c>
      <c r="G139" s="12">
        <v>2</v>
      </c>
      <c r="H139" s="12">
        <v>0</v>
      </c>
      <c r="I139" s="12">
        <v>0</v>
      </c>
      <c r="J139" s="10"/>
      <c r="K139" s="10" t="s">
        <v>311</v>
      </c>
      <c r="L139" s="10"/>
      <c r="M139" s="11"/>
      <c r="N139" s="10"/>
      <c r="O139" s="11"/>
      <c r="P139" s="10"/>
      <c r="Q139" s="11"/>
      <c r="R139" s="10"/>
      <c r="S139" s="11"/>
      <c r="T139" s="10"/>
      <c r="U139" s="11"/>
    </row>
    <row r="140" spans="1:21" x14ac:dyDescent="0.45">
      <c r="A140" s="12">
        <v>141</v>
      </c>
      <c r="B140" s="12">
        <v>1</v>
      </c>
      <c r="C140" s="12" t="s">
        <v>470</v>
      </c>
      <c r="D140" s="12" t="s">
        <v>470</v>
      </c>
      <c r="E140" s="12">
        <v>0</v>
      </c>
      <c r="F140" s="12">
        <v>0</v>
      </c>
      <c r="G140" s="12">
        <v>0</v>
      </c>
      <c r="H140" s="12">
        <v>2</v>
      </c>
      <c r="I140" s="12">
        <v>0</v>
      </c>
      <c r="J140" s="10"/>
      <c r="K140" s="10" t="s">
        <v>311</v>
      </c>
      <c r="L140" s="10" t="s">
        <v>470</v>
      </c>
      <c r="M140" s="11">
        <v>0</v>
      </c>
      <c r="N140" s="10"/>
      <c r="O140" s="11">
        <v>0</v>
      </c>
      <c r="P140" s="10"/>
      <c r="Q140" s="11">
        <v>0</v>
      </c>
      <c r="R140" s="10"/>
      <c r="S140" s="11">
        <v>0</v>
      </c>
      <c r="T140" s="10"/>
      <c r="U140" s="11">
        <v>0</v>
      </c>
    </row>
    <row r="141" spans="1:21" s="27" customFormat="1" x14ac:dyDescent="0.45">
      <c r="A141" s="24">
        <v>142</v>
      </c>
      <c r="B141" s="24">
        <v>1</v>
      </c>
      <c r="C141" s="24" t="s">
        <v>471</v>
      </c>
      <c r="D141" s="24" t="s">
        <v>471</v>
      </c>
      <c r="E141" s="24">
        <v>70</v>
      </c>
      <c r="F141" s="24">
        <v>0</v>
      </c>
      <c r="G141" s="24">
        <v>3</v>
      </c>
      <c r="H141" s="24">
        <v>0</v>
      </c>
      <c r="I141" s="24">
        <v>0</v>
      </c>
      <c r="J141" s="25"/>
      <c r="K141" s="25"/>
      <c r="L141" s="25"/>
      <c r="M141" s="26">
        <v>0</v>
      </c>
      <c r="N141" s="25"/>
      <c r="O141" s="26">
        <v>0</v>
      </c>
      <c r="P141" s="25"/>
      <c r="Q141" s="26">
        <v>0</v>
      </c>
      <c r="R141" s="25"/>
      <c r="S141" s="26">
        <v>0</v>
      </c>
      <c r="T141" s="25"/>
      <c r="U141" s="26">
        <v>0</v>
      </c>
    </row>
    <row r="142" spans="1:21" s="27" customFormat="1" x14ac:dyDescent="0.45">
      <c r="A142" s="24">
        <v>143</v>
      </c>
      <c r="B142" s="24">
        <v>1</v>
      </c>
      <c r="C142" s="24" t="s">
        <v>472</v>
      </c>
      <c r="D142" s="24" t="s">
        <v>473</v>
      </c>
      <c r="E142" s="24">
        <v>0</v>
      </c>
      <c r="F142" s="24">
        <v>0</v>
      </c>
      <c r="G142" s="24">
        <v>1</v>
      </c>
      <c r="H142" s="24">
        <v>0</v>
      </c>
      <c r="I142" s="24">
        <v>0</v>
      </c>
      <c r="J142" s="25"/>
      <c r="K142" s="25"/>
      <c r="L142" s="25"/>
      <c r="M142" s="26">
        <v>0</v>
      </c>
      <c r="N142" s="25"/>
      <c r="O142" s="26">
        <v>0</v>
      </c>
      <c r="P142" s="25"/>
      <c r="Q142" s="26">
        <v>0</v>
      </c>
      <c r="R142" s="25"/>
      <c r="S142" s="26">
        <v>0</v>
      </c>
      <c r="T142" s="25"/>
      <c r="U142" s="26">
        <v>0</v>
      </c>
    </row>
    <row r="143" spans="1:21" x14ac:dyDescent="0.45">
      <c r="A143" s="12">
        <v>148</v>
      </c>
      <c r="B143" s="12">
        <v>1</v>
      </c>
      <c r="C143" s="12" t="s">
        <v>474</v>
      </c>
      <c r="D143" s="12" t="s">
        <v>474</v>
      </c>
      <c r="E143" s="12">
        <v>0</v>
      </c>
      <c r="F143" s="12">
        <v>0</v>
      </c>
      <c r="G143" s="12">
        <v>2</v>
      </c>
      <c r="H143" s="12">
        <v>0</v>
      </c>
      <c r="I143" s="12">
        <v>0</v>
      </c>
      <c r="J143" s="10"/>
      <c r="K143" s="10" t="s">
        <v>311</v>
      </c>
      <c r="L143" s="10"/>
      <c r="M143" s="11"/>
      <c r="N143" s="10"/>
      <c r="O143" s="11"/>
      <c r="P143" s="10"/>
      <c r="Q143" s="11"/>
      <c r="R143" s="10"/>
      <c r="S143" s="11"/>
      <c r="T143" s="10"/>
      <c r="U143" s="11"/>
    </row>
    <row r="144" spans="1:21" x14ac:dyDescent="0.45">
      <c r="A144" s="12">
        <v>149</v>
      </c>
      <c r="B144" s="12">
        <v>1</v>
      </c>
      <c r="C144" s="12" t="s">
        <v>475</v>
      </c>
      <c r="D144" s="12" t="s">
        <v>475</v>
      </c>
      <c r="E144" s="12">
        <v>0</v>
      </c>
      <c r="F144" s="12">
        <v>0</v>
      </c>
      <c r="G144" s="12">
        <v>1</v>
      </c>
      <c r="H144" s="12">
        <v>0</v>
      </c>
      <c r="I144" s="12">
        <v>0</v>
      </c>
      <c r="J144" s="10"/>
      <c r="K144" s="10" t="s">
        <v>311</v>
      </c>
      <c r="L144" s="10"/>
      <c r="M144" s="11">
        <v>0</v>
      </c>
      <c r="N144" s="10"/>
      <c r="O144" s="11">
        <v>0</v>
      </c>
      <c r="P144" s="10"/>
      <c r="Q144" s="11">
        <v>0</v>
      </c>
      <c r="R144" s="10"/>
      <c r="S144" s="11">
        <v>0</v>
      </c>
      <c r="T144" s="10"/>
      <c r="U144" s="11">
        <v>0</v>
      </c>
    </row>
    <row r="145" spans="1:21" x14ac:dyDescent="0.45">
      <c r="A145" s="12">
        <v>150</v>
      </c>
      <c r="B145" s="12">
        <v>1</v>
      </c>
      <c r="C145" s="12" t="s">
        <v>476</v>
      </c>
      <c r="D145" s="12" t="s">
        <v>476</v>
      </c>
      <c r="E145" s="12">
        <v>0</v>
      </c>
      <c r="F145" s="12">
        <v>491</v>
      </c>
      <c r="G145" s="12">
        <v>1</v>
      </c>
      <c r="H145" s="12">
        <v>2</v>
      </c>
      <c r="I145" s="12">
        <v>0</v>
      </c>
      <c r="J145" s="10"/>
      <c r="K145" s="10" t="s">
        <v>311</v>
      </c>
      <c r="L145" s="10"/>
      <c r="M145" s="11">
        <v>0</v>
      </c>
      <c r="N145" s="10"/>
      <c r="O145" s="11">
        <v>0</v>
      </c>
      <c r="P145" s="10"/>
      <c r="Q145" s="11">
        <v>0</v>
      </c>
      <c r="R145" s="10"/>
      <c r="S145" s="11">
        <v>0</v>
      </c>
      <c r="T145" s="10"/>
      <c r="U145" s="11">
        <v>0</v>
      </c>
    </row>
    <row r="146" spans="1:21" x14ac:dyDescent="0.45">
      <c r="A146" s="12">
        <v>151</v>
      </c>
      <c r="B146" s="12">
        <v>0</v>
      </c>
      <c r="C146" s="12" t="s">
        <v>477</v>
      </c>
      <c r="D146" s="12" t="s">
        <v>476</v>
      </c>
      <c r="E146" s="12">
        <v>0</v>
      </c>
      <c r="F146" s="12">
        <v>0</v>
      </c>
      <c r="G146" s="12">
        <v>2</v>
      </c>
      <c r="H146" s="12">
        <v>0</v>
      </c>
      <c r="I146" s="12">
        <v>0</v>
      </c>
      <c r="J146" s="10"/>
      <c r="K146" s="10" t="s">
        <v>311</v>
      </c>
      <c r="L146" s="10"/>
      <c r="M146" s="11"/>
      <c r="N146" s="10"/>
      <c r="O146" s="11"/>
      <c r="P146" s="10"/>
      <c r="Q146" s="11"/>
      <c r="R146" s="10"/>
      <c r="S146" s="11"/>
      <c r="T146" s="10"/>
      <c r="U146" s="11"/>
    </row>
    <row r="147" spans="1:21" x14ac:dyDescent="0.45">
      <c r="A147" s="12">
        <v>152</v>
      </c>
      <c r="B147" s="12">
        <v>1</v>
      </c>
      <c r="C147" s="12" t="s">
        <v>290</v>
      </c>
      <c r="D147" s="12" t="s">
        <v>290</v>
      </c>
      <c r="E147" s="12">
        <v>0</v>
      </c>
      <c r="F147" s="12">
        <v>503</v>
      </c>
      <c r="G147" s="12">
        <v>1</v>
      </c>
      <c r="H147" s="12">
        <v>0</v>
      </c>
      <c r="I147" s="12">
        <v>0</v>
      </c>
      <c r="J147" s="10"/>
      <c r="K147" s="10" t="s">
        <v>311</v>
      </c>
      <c r="L147" s="10"/>
      <c r="M147" s="11">
        <v>0</v>
      </c>
      <c r="N147" s="10"/>
      <c r="O147" s="11">
        <v>0</v>
      </c>
      <c r="P147" s="10"/>
      <c r="Q147" s="11">
        <v>0</v>
      </c>
      <c r="R147" s="10"/>
      <c r="S147" s="11">
        <v>0</v>
      </c>
      <c r="T147" s="10"/>
      <c r="U147" s="11">
        <v>0</v>
      </c>
    </row>
    <row r="148" spans="1:21" x14ac:dyDescent="0.45">
      <c r="A148" s="12">
        <v>153</v>
      </c>
      <c r="B148" s="12">
        <v>0</v>
      </c>
      <c r="C148" s="12" t="s">
        <v>478</v>
      </c>
      <c r="D148" s="12" t="s">
        <v>476</v>
      </c>
      <c r="E148" s="12">
        <v>0</v>
      </c>
      <c r="F148" s="12">
        <v>0</v>
      </c>
      <c r="G148" s="12">
        <v>2</v>
      </c>
      <c r="H148" s="12">
        <v>0</v>
      </c>
      <c r="I148" s="12">
        <v>0</v>
      </c>
      <c r="J148" s="10"/>
      <c r="K148" s="10" t="s">
        <v>311</v>
      </c>
      <c r="L148" s="10"/>
      <c r="M148" s="11"/>
      <c r="N148" s="10"/>
      <c r="O148" s="11"/>
      <c r="P148" s="10"/>
      <c r="Q148" s="11"/>
      <c r="R148" s="10"/>
      <c r="S148" s="11"/>
      <c r="T148" s="10"/>
      <c r="U148" s="11"/>
    </row>
    <row r="149" spans="1:21" x14ac:dyDescent="0.45">
      <c r="A149" s="12">
        <v>154</v>
      </c>
      <c r="B149" s="12">
        <v>0</v>
      </c>
      <c r="C149" s="12" t="s">
        <v>479</v>
      </c>
      <c r="D149" s="12" t="s">
        <v>476</v>
      </c>
      <c r="E149" s="12">
        <v>0</v>
      </c>
      <c r="F149" s="12">
        <v>0</v>
      </c>
      <c r="G149" s="12">
        <v>2</v>
      </c>
      <c r="H149" s="12">
        <v>0</v>
      </c>
      <c r="I149" s="12">
        <v>0</v>
      </c>
      <c r="J149" s="10"/>
      <c r="K149" s="10" t="s">
        <v>311</v>
      </c>
      <c r="L149" s="10"/>
      <c r="M149" s="11"/>
      <c r="N149" s="10"/>
      <c r="O149" s="11"/>
      <c r="P149" s="10"/>
      <c r="Q149" s="11"/>
      <c r="R149" s="10"/>
      <c r="S149" s="11"/>
      <c r="T149" s="10"/>
      <c r="U149" s="11"/>
    </row>
    <row r="150" spans="1:21" x14ac:dyDescent="0.45">
      <c r="A150" s="12">
        <v>155</v>
      </c>
      <c r="B150" s="12">
        <v>0</v>
      </c>
      <c r="C150" s="12" t="s">
        <v>480</v>
      </c>
      <c r="D150" s="12" t="s">
        <v>476</v>
      </c>
      <c r="E150" s="12">
        <v>0</v>
      </c>
      <c r="F150" s="12">
        <v>0</v>
      </c>
      <c r="G150" s="12">
        <v>2</v>
      </c>
      <c r="H150" s="12">
        <v>0</v>
      </c>
      <c r="I150" s="12">
        <v>0</v>
      </c>
      <c r="J150" s="10"/>
      <c r="K150" s="10" t="s">
        <v>311</v>
      </c>
      <c r="L150" s="10"/>
      <c r="M150" s="11"/>
      <c r="N150" s="10"/>
      <c r="O150" s="11"/>
      <c r="P150" s="10"/>
      <c r="Q150" s="11"/>
      <c r="R150" s="10"/>
      <c r="S150" s="11"/>
      <c r="T150" s="10"/>
      <c r="U150" s="11"/>
    </row>
    <row r="151" spans="1:21" x14ac:dyDescent="0.45">
      <c r="A151" s="12">
        <v>156</v>
      </c>
      <c r="B151" s="12">
        <v>0</v>
      </c>
      <c r="C151" s="12" t="s">
        <v>481</v>
      </c>
      <c r="D151" s="12" t="s">
        <v>482</v>
      </c>
      <c r="E151" s="12">
        <v>0</v>
      </c>
      <c r="F151" s="12">
        <v>0</v>
      </c>
      <c r="G151" s="12">
        <v>1</v>
      </c>
      <c r="H151" s="12">
        <v>0</v>
      </c>
      <c r="I151" s="12">
        <v>0</v>
      </c>
      <c r="J151" s="10"/>
      <c r="K151" s="10" t="s">
        <v>311</v>
      </c>
      <c r="L151" s="10"/>
      <c r="M151" s="11">
        <v>0</v>
      </c>
      <c r="N151" s="10"/>
      <c r="O151" s="11">
        <v>0</v>
      </c>
      <c r="P151" s="10"/>
      <c r="Q151" s="11">
        <v>0</v>
      </c>
      <c r="R151" s="10"/>
      <c r="S151" s="11">
        <v>0</v>
      </c>
      <c r="T151" s="10"/>
      <c r="U151" s="11">
        <v>0</v>
      </c>
    </row>
    <row r="152" spans="1:21" x14ac:dyDescent="0.45">
      <c r="A152" s="12">
        <v>157</v>
      </c>
      <c r="B152" s="12">
        <v>1</v>
      </c>
      <c r="C152" s="12" t="s">
        <v>483</v>
      </c>
      <c r="D152" s="12" t="s">
        <v>484</v>
      </c>
      <c r="E152" s="12">
        <v>0</v>
      </c>
      <c r="F152" s="12">
        <v>0</v>
      </c>
      <c r="G152" s="12">
        <v>1</v>
      </c>
      <c r="H152" s="12">
        <v>0</v>
      </c>
      <c r="I152" s="12">
        <v>0</v>
      </c>
      <c r="J152" s="10"/>
      <c r="K152" s="10" t="s">
        <v>311</v>
      </c>
      <c r="L152" s="10"/>
      <c r="M152" s="11">
        <v>0</v>
      </c>
      <c r="N152" s="10"/>
      <c r="O152" s="11">
        <v>0</v>
      </c>
      <c r="P152" s="10"/>
      <c r="Q152" s="11">
        <v>0</v>
      </c>
      <c r="R152" s="10"/>
      <c r="S152" s="11">
        <v>0</v>
      </c>
      <c r="T152" s="10"/>
      <c r="U152" s="11">
        <v>0</v>
      </c>
    </row>
    <row r="153" spans="1:21" x14ac:dyDescent="0.45">
      <c r="A153" s="12">
        <v>158</v>
      </c>
      <c r="B153" s="12">
        <v>1</v>
      </c>
      <c r="C153" s="12" t="s">
        <v>485</v>
      </c>
      <c r="D153" s="12" t="s">
        <v>485</v>
      </c>
      <c r="E153" s="12">
        <v>0</v>
      </c>
      <c r="F153" s="12">
        <v>0</v>
      </c>
      <c r="G153" s="12">
        <v>1</v>
      </c>
      <c r="H153" s="12">
        <v>0</v>
      </c>
      <c r="I153" s="12">
        <v>0</v>
      </c>
      <c r="J153" s="10"/>
      <c r="K153" s="10" t="s">
        <v>311</v>
      </c>
      <c r="L153" s="10"/>
      <c r="M153" s="11">
        <v>0</v>
      </c>
      <c r="N153" s="10"/>
      <c r="O153" s="11">
        <v>0</v>
      </c>
      <c r="P153" s="10"/>
      <c r="Q153" s="11">
        <v>0</v>
      </c>
      <c r="R153" s="10"/>
      <c r="S153" s="11">
        <v>0</v>
      </c>
      <c r="T153" s="10"/>
      <c r="U153" s="11">
        <v>0</v>
      </c>
    </row>
    <row r="154" spans="1:21" x14ac:dyDescent="0.45">
      <c r="A154" s="12">
        <v>159</v>
      </c>
      <c r="B154" s="12">
        <v>1</v>
      </c>
      <c r="C154" s="12" t="s">
        <v>486</v>
      </c>
      <c r="D154" s="12" t="s">
        <v>486</v>
      </c>
      <c r="E154" s="12">
        <v>0</v>
      </c>
      <c r="F154" s="12">
        <v>0</v>
      </c>
      <c r="G154" s="12">
        <v>1</v>
      </c>
      <c r="H154" s="12">
        <v>0</v>
      </c>
      <c r="I154" s="12">
        <v>0</v>
      </c>
      <c r="J154" s="10"/>
      <c r="K154" s="10" t="s">
        <v>311</v>
      </c>
      <c r="L154" s="10"/>
      <c r="M154" s="11">
        <v>0</v>
      </c>
      <c r="N154" s="10"/>
      <c r="O154" s="11">
        <v>0</v>
      </c>
      <c r="P154" s="10"/>
      <c r="Q154" s="11">
        <v>0</v>
      </c>
      <c r="R154" s="10"/>
      <c r="S154" s="11">
        <v>0</v>
      </c>
      <c r="T154" s="10"/>
      <c r="U154" s="11">
        <v>0</v>
      </c>
    </row>
    <row r="155" spans="1:21" x14ac:dyDescent="0.45">
      <c r="A155" s="12">
        <v>160</v>
      </c>
      <c r="B155" s="12">
        <v>1</v>
      </c>
      <c r="C155" s="12" t="s">
        <v>487</v>
      </c>
      <c r="D155" s="12" t="s">
        <v>488</v>
      </c>
      <c r="E155" s="12">
        <v>0</v>
      </c>
      <c r="F155" s="12">
        <v>482</v>
      </c>
      <c r="G155" s="12">
        <v>1</v>
      </c>
      <c r="H155" s="12">
        <v>0</v>
      </c>
      <c r="I155" s="12">
        <v>0</v>
      </c>
      <c r="J155" s="10"/>
      <c r="K155" s="10" t="s">
        <v>311</v>
      </c>
      <c r="L155" s="10"/>
      <c r="M155" s="11">
        <v>0</v>
      </c>
      <c r="N155" s="10"/>
      <c r="O155" s="11">
        <v>0</v>
      </c>
      <c r="P155" s="10"/>
      <c r="Q155" s="11">
        <v>0</v>
      </c>
      <c r="R155" s="10"/>
      <c r="S155" s="11">
        <v>0</v>
      </c>
      <c r="T155" s="10"/>
      <c r="U155" s="11">
        <v>0</v>
      </c>
    </row>
    <row r="156" spans="1:21" x14ac:dyDescent="0.45">
      <c r="A156" s="12">
        <v>161</v>
      </c>
      <c r="B156" s="12">
        <v>0</v>
      </c>
      <c r="C156" s="12" t="s">
        <v>489</v>
      </c>
      <c r="D156" s="12" t="s">
        <v>490</v>
      </c>
      <c r="E156" s="12">
        <v>0</v>
      </c>
      <c r="F156" s="12">
        <v>0</v>
      </c>
      <c r="G156" s="12">
        <v>2</v>
      </c>
      <c r="H156" s="12">
        <v>0</v>
      </c>
      <c r="I156" s="12">
        <v>0</v>
      </c>
      <c r="J156" s="10"/>
      <c r="K156" s="10" t="s">
        <v>311</v>
      </c>
      <c r="L156" s="10"/>
      <c r="M156" s="11">
        <v>0</v>
      </c>
      <c r="N156" s="10"/>
      <c r="O156" s="11">
        <v>0</v>
      </c>
      <c r="P156" s="10"/>
      <c r="Q156" s="11">
        <v>0</v>
      </c>
      <c r="R156" s="10"/>
      <c r="S156" s="11">
        <v>0</v>
      </c>
      <c r="T156" s="10"/>
      <c r="U156" s="11">
        <v>0</v>
      </c>
    </row>
    <row r="157" spans="1:21" x14ac:dyDescent="0.45">
      <c r="A157" s="12">
        <v>162</v>
      </c>
      <c r="B157" s="12">
        <v>1</v>
      </c>
      <c r="C157" s="12" t="s">
        <v>491</v>
      </c>
      <c r="D157" s="12" t="s">
        <v>491</v>
      </c>
      <c r="E157" s="12">
        <v>0</v>
      </c>
      <c r="F157" s="12">
        <v>0</v>
      </c>
      <c r="G157" s="12">
        <v>1</v>
      </c>
      <c r="H157" s="12">
        <v>0</v>
      </c>
      <c r="I157" s="12">
        <v>42</v>
      </c>
      <c r="J157" s="10"/>
      <c r="K157" s="10" t="s">
        <v>311</v>
      </c>
      <c r="L157" s="10"/>
      <c r="M157" s="11">
        <v>0</v>
      </c>
      <c r="N157" s="10"/>
      <c r="O157" s="11">
        <v>0</v>
      </c>
      <c r="P157" s="10"/>
      <c r="Q157" s="11">
        <v>0</v>
      </c>
      <c r="R157" s="10"/>
      <c r="S157" s="11">
        <v>0</v>
      </c>
      <c r="T157" s="10"/>
      <c r="U157" s="11">
        <v>0</v>
      </c>
    </row>
    <row r="158" spans="1:21" x14ac:dyDescent="0.45">
      <c r="A158" s="12">
        <v>163</v>
      </c>
      <c r="B158" s="12">
        <v>0</v>
      </c>
      <c r="C158" s="12" t="s">
        <v>492</v>
      </c>
      <c r="D158" s="12" t="s">
        <v>490</v>
      </c>
      <c r="E158" s="12">
        <v>0</v>
      </c>
      <c r="F158" s="12">
        <v>0</v>
      </c>
      <c r="G158" s="12">
        <v>2</v>
      </c>
      <c r="H158" s="12">
        <v>0</v>
      </c>
      <c r="I158" s="12">
        <v>0</v>
      </c>
      <c r="J158" s="10"/>
      <c r="K158" s="10" t="s">
        <v>311</v>
      </c>
      <c r="L158" s="10"/>
      <c r="M158" s="11">
        <v>0</v>
      </c>
      <c r="N158" s="10"/>
      <c r="O158" s="11">
        <v>0</v>
      </c>
      <c r="P158" s="10"/>
      <c r="Q158" s="11">
        <v>0</v>
      </c>
      <c r="R158" s="10"/>
      <c r="S158" s="11">
        <v>0</v>
      </c>
      <c r="T158" s="10"/>
      <c r="U158" s="11">
        <v>0</v>
      </c>
    </row>
    <row r="159" spans="1:21" x14ac:dyDescent="0.45">
      <c r="A159" s="12">
        <v>164</v>
      </c>
      <c r="B159" s="12">
        <v>1</v>
      </c>
      <c r="C159" s="12" t="s">
        <v>493</v>
      </c>
      <c r="D159" s="12" t="s">
        <v>493</v>
      </c>
      <c r="E159" s="12">
        <v>0</v>
      </c>
      <c r="F159" s="12">
        <v>0</v>
      </c>
      <c r="G159" s="12">
        <v>1</v>
      </c>
      <c r="H159" s="12">
        <v>0</v>
      </c>
      <c r="I159" s="12">
        <v>0</v>
      </c>
      <c r="J159" s="10"/>
      <c r="K159" s="10" t="s">
        <v>311</v>
      </c>
      <c r="L159" s="10"/>
      <c r="M159" s="11">
        <v>0</v>
      </c>
      <c r="N159" s="10"/>
      <c r="O159" s="11">
        <v>0</v>
      </c>
      <c r="P159" s="10"/>
      <c r="Q159" s="11">
        <v>0</v>
      </c>
      <c r="R159" s="10"/>
      <c r="S159" s="11">
        <v>0</v>
      </c>
      <c r="T159" s="10"/>
      <c r="U159" s="11">
        <v>0</v>
      </c>
    </row>
    <row r="160" spans="1:21" x14ac:dyDescent="0.45">
      <c r="A160" s="12">
        <v>165</v>
      </c>
      <c r="B160" s="12">
        <v>0</v>
      </c>
      <c r="C160" s="12" t="s">
        <v>494</v>
      </c>
      <c r="D160" s="12" t="s">
        <v>490</v>
      </c>
      <c r="E160" s="12">
        <v>0</v>
      </c>
      <c r="F160" s="12">
        <v>0</v>
      </c>
      <c r="G160" s="12">
        <v>2</v>
      </c>
      <c r="H160" s="12">
        <v>0</v>
      </c>
      <c r="I160" s="12">
        <v>0</v>
      </c>
      <c r="J160" s="10"/>
      <c r="K160" s="10" t="s">
        <v>311</v>
      </c>
      <c r="L160" s="10"/>
      <c r="M160" s="11">
        <v>0</v>
      </c>
      <c r="N160" s="10"/>
      <c r="O160" s="11">
        <v>0</v>
      </c>
      <c r="P160" s="10"/>
      <c r="Q160" s="11">
        <v>0</v>
      </c>
      <c r="R160" s="10"/>
      <c r="S160" s="11">
        <v>0</v>
      </c>
      <c r="T160" s="10"/>
      <c r="U160" s="11">
        <v>0</v>
      </c>
    </row>
    <row r="161" spans="1:21" x14ac:dyDescent="0.45">
      <c r="A161" s="12">
        <v>166</v>
      </c>
      <c r="B161" s="12">
        <v>1</v>
      </c>
      <c r="C161" s="12" t="s">
        <v>495</v>
      </c>
      <c r="D161" s="12" t="s">
        <v>496</v>
      </c>
      <c r="E161" s="12">
        <v>0</v>
      </c>
      <c r="F161" s="12">
        <v>0</v>
      </c>
      <c r="G161" s="12">
        <v>1</v>
      </c>
      <c r="H161" s="12">
        <v>0</v>
      </c>
      <c r="I161" s="12">
        <v>0</v>
      </c>
      <c r="J161" s="10"/>
      <c r="K161" s="10" t="s">
        <v>311</v>
      </c>
      <c r="L161" s="10"/>
      <c r="M161" s="11">
        <v>0</v>
      </c>
      <c r="N161" s="10"/>
      <c r="O161" s="11">
        <v>0</v>
      </c>
      <c r="P161" s="10"/>
      <c r="Q161" s="11">
        <v>0</v>
      </c>
      <c r="R161" s="10"/>
      <c r="S161" s="11">
        <v>0</v>
      </c>
      <c r="T161" s="10"/>
      <c r="U161" s="11">
        <v>0</v>
      </c>
    </row>
    <row r="162" spans="1:21" x14ac:dyDescent="0.45">
      <c r="A162" s="12">
        <v>167</v>
      </c>
      <c r="B162" s="12">
        <v>1</v>
      </c>
      <c r="C162" s="12" t="s">
        <v>17</v>
      </c>
      <c r="D162" s="12" t="s">
        <v>17</v>
      </c>
      <c r="E162" s="12">
        <v>0</v>
      </c>
      <c r="F162" s="12">
        <v>0</v>
      </c>
      <c r="G162" s="12">
        <v>1</v>
      </c>
      <c r="H162" s="12">
        <v>0</v>
      </c>
      <c r="I162" s="12">
        <v>0</v>
      </c>
      <c r="J162" s="10"/>
      <c r="K162" s="10" t="s">
        <v>311</v>
      </c>
      <c r="L162" s="10"/>
      <c r="M162" s="11">
        <v>0</v>
      </c>
      <c r="N162" s="10"/>
      <c r="O162" s="11">
        <v>0</v>
      </c>
      <c r="P162" s="10"/>
      <c r="Q162" s="11">
        <v>0</v>
      </c>
      <c r="R162" s="10"/>
      <c r="S162" s="11">
        <v>0</v>
      </c>
      <c r="T162" s="10"/>
      <c r="U162" s="11">
        <v>0</v>
      </c>
    </row>
    <row r="163" spans="1:21" x14ac:dyDescent="0.45">
      <c r="A163" s="12">
        <v>168</v>
      </c>
      <c r="B163" s="12">
        <v>1</v>
      </c>
      <c r="C163" s="12" t="s">
        <v>497</v>
      </c>
      <c r="D163" s="12" t="s">
        <v>497</v>
      </c>
      <c r="E163" s="12">
        <v>0</v>
      </c>
      <c r="F163" s="12">
        <v>0</v>
      </c>
      <c r="G163" s="12">
        <v>1</v>
      </c>
      <c r="H163" s="12">
        <v>0</v>
      </c>
      <c r="I163" s="12">
        <v>42</v>
      </c>
      <c r="J163" s="10"/>
      <c r="K163" s="10" t="s">
        <v>311</v>
      </c>
      <c r="L163" s="10"/>
      <c r="M163" s="11">
        <v>0</v>
      </c>
      <c r="N163" s="10"/>
      <c r="O163" s="11">
        <v>0</v>
      </c>
      <c r="P163" s="10"/>
      <c r="Q163" s="11">
        <v>0</v>
      </c>
      <c r="R163" s="10"/>
      <c r="S163" s="11">
        <v>0</v>
      </c>
      <c r="T163" s="10"/>
      <c r="U163" s="11">
        <v>0</v>
      </c>
    </row>
    <row r="164" spans="1:21" x14ac:dyDescent="0.45">
      <c r="A164" s="12">
        <v>169</v>
      </c>
      <c r="B164" s="12">
        <v>1</v>
      </c>
      <c r="C164" s="12" t="s">
        <v>498</v>
      </c>
      <c r="D164" s="12" t="s">
        <v>499</v>
      </c>
      <c r="E164" s="12">
        <v>0</v>
      </c>
      <c r="F164" s="12">
        <v>0</v>
      </c>
      <c r="G164" s="12">
        <v>1</v>
      </c>
      <c r="H164" s="12">
        <v>1</v>
      </c>
      <c r="I164" s="12">
        <v>0</v>
      </c>
      <c r="J164" s="10"/>
      <c r="K164" s="10" t="s">
        <v>311</v>
      </c>
      <c r="L164" s="10"/>
      <c r="M164" s="11">
        <v>0</v>
      </c>
      <c r="N164" s="10"/>
      <c r="O164" s="11">
        <v>0</v>
      </c>
      <c r="P164" s="10"/>
      <c r="Q164" s="11">
        <v>0</v>
      </c>
      <c r="R164" s="10"/>
      <c r="S164" s="11">
        <v>0</v>
      </c>
      <c r="T164" s="10"/>
      <c r="U164" s="11">
        <v>0</v>
      </c>
    </row>
    <row r="165" spans="1:21" x14ac:dyDescent="0.45">
      <c r="A165" s="12">
        <v>170</v>
      </c>
      <c r="B165" s="12">
        <v>0</v>
      </c>
      <c r="C165" s="12" t="s">
        <v>500</v>
      </c>
      <c r="D165" s="12" t="s">
        <v>490</v>
      </c>
      <c r="E165" s="12">
        <v>0</v>
      </c>
      <c r="F165" s="12">
        <v>0</v>
      </c>
      <c r="G165" s="12">
        <v>2</v>
      </c>
      <c r="H165" s="12">
        <v>0</v>
      </c>
      <c r="I165" s="12">
        <v>0</v>
      </c>
      <c r="J165" s="10"/>
      <c r="K165" s="10" t="s">
        <v>311</v>
      </c>
      <c r="L165" s="10"/>
      <c r="M165" s="11">
        <v>0</v>
      </c>
      <c r="N165" s="10"/>
      <c r="O165" s="11">
        <v>0</v>
      </c>
      <c r="P165" s="10"/>
      <c r="Q165" s="11">
        <v>0</v>
      </c>
      <c r="R165" s="10"/>
      <c r="S165" s="11">
        <v>0</v>
      </c>
      <c r="T165" s="10"/>
      <c r="U165" s="11">
        <v>0</v>
      </c>
    </row>
    <row r="166" spans="1:21" x14ac:dyDescent="0.45">
      <c r="A166" s="12">
        <v>171</v>
      </c>
      <c r="B166" s="12">
        <v>1</v>
      </c>
      <c r="C166" s="12" t="s">
        <v>12</v>
      </c>
      <c r="D166" s="12" t="s">
        <v>501</v>
      </c>
      <c r="E166" s="12">
        <v>0</v>
      </c>
      <c r="F166" s="12">
        <v>0</v>
      </c>
      <c r="G166" s="12">
        <v>1</v>
      </c>
      <c r="H166" s="12">
        <v>2</v>
      </c>
      <c r="I166" s="12">
        <v>0</v>
      </c>
      <c r="J166" s="10"/>
      <c r="K166" s="10" t="s">
        <v>311</v>
      </c>
      <c r="L166" s="10" t="s">
        <v>292</v>
      </c>
      <c r="M166" s="11">
        <v>1</v>
      </c>
      <c r="N166" s="10" t="s">
        <v>348</v>
      </c>
      <c r="O166" s="11">
        <v>1</v>
      </c>
      <c r="P166" s="10" t="s">
        <v>312</v>
      </c>
      <c r="Q166" s="11">
        <v>0</v>
      </c>
      <c r="R166" s="10"/>
      <c r="S166" s="11">
        <v>0</v>
      </c>
      <c r="T166" s="10"/>
      <c r="U166" s="11">
        <v>0</v>
      </c>
    </row>
    <row r="167" spans="1:21" x14ac:dyDescent="0.45">
      <c r="A167" s="12">
        <v>172</v>
      </c>
      <c r="B167" s="12">
        <v>0</v>
      </c>
      <c r="C167" s="12" t="s">
        <v>502</v>
      </c>
      <c r="D167" s="12" t="s">
        <v>490</v>
      </c>
      <c r="E167" s="12">
        <v>0</v>
      </c>
      <c r="F167" s="12">
        <v>0</v>
      </c>
      <c r="G167" s="12">
        <v>2</v>
      </c>
      <c r="H167" s="12">
        <v>0</v>
      </c>
      <c r="I167" s="12">
        <v>0</v>
      </c>
      <c r="J167" s="10"/>
      <c r="K167" s="10" t="s">
        <v>311</v>
      </c>
      <c r="L167" s="10"/>
      <c r="M167" s="11">
        <v>0</v>
      </c>
      <c r="N167" s="10"/>
      <c r="O167" s="11">
        <v>0</v>
      </c>
      <c r="P167" s="10"/>
      <c r="Q167" s="11">
        <v>0</v>
      </c>
      <c r="R167" s="10"/>
      <c r="S167" s="11">
        <v>0</v>
      </c>
      <c r="T167" s="10"/>
      <c r="U167" s="11">
        <v>0</v>
      </c>
    </row>
    <row r="168" spans="1:21" x14ac:dyDescent="0.45">
      <c r="A168" s="12">
        <v>173</v>
      </c>
      <c r="B168" s="12">
        <v>1</v>
      </c>
      <c r="C168" s="12" t="s">
        <v>503</v>
      </c>
      <c r="D168" s="12" t="s">
        <v>504</v>
      </c>
      <c r="E168" s="12">
        <v>0</v>
      </c>
      <c r="F168" s="12">
        <v>0</v>
      </c>
      <c r="G168" s="12">
        <v>1</v>
      </c>
      <c r="H168" s="12">
        <v>0</v>
      </c>
      <c r="I168" s="12">
        <v>0</v>
      </c>
      <c r="J168" s="10"/>
      <c r="K168" s="10" t="s">
        <v>311</v>
      </c>
      <c r="L168" s="10"/>
      <c r="M168" s="11">
        <v>0</v>
      </c>
      <c r="N168" s="10"/>
      <c r="O168" s="11">
        <v>0</v>
      </c>
      <c r="P168" s="10"/>
      <c r="Q168" s="11">
        <v>0</v>
      </c>
      <c r="R168" s="10"/>
      <c r="S168" s="11">
        <v>0</v>
      </c>
      <c r="T168" s="10"/>
      <c r="U168" s="11">
        <v>0</v>
      </c>
    </row>
    <row r="169" spans="1:21" x14ac:dyDescent="0.45">
      <c r="A169" s="12">
        <v>174</v>
      </c>
      <c r="B169" s="12">
        <v>0</v>
      </c>
      <c r="C169" s="12" t="s">
        <v>505</v>
      </c>
      <c r="D169" s="12" t="s">
        <v>490</v>
      </c>
      <c r="E169" s="12">
        <v>0</v>
      </c>
      <c r="F169" s="12">
        <v>0</v>
      </c>
      <c r="G169" s="12">
        <v>2</v>
      </c>
      <c r="H169" s="12">
        <v>0</v>
      </c>
      <c r="I169" s="12">
        <v>0</v>
      </c>
      <c r="J169" s="10"/>
      <c r="K169" s="10" t="s">
        <v>311</v>
      </c>
      <c r="L169" s="10"/>
      <c r="M169" s="11">
        <v>0</v>
      </c>
      <c r="N169" s="10"/>
      <c r="O169" s="11">
        <v>0</v>
      </c>
      <c r="P169" s="10"/>
      <c r="Q169" s="11">
        <v>0</v>
      </c>
      <c r="R169" s="10"/>
      <c r="S169" s="11">
        <v>0</v>
      </c>
      <c r="T169" s="10"/>
      <c r="U169" s="11">
        <v>0</v>
      </c>
    </row>
    <row r="170" spans="1:21" x14ac:dyDescent="0.45">
      <c r="A170" s="12">
        <v>175</v>
      </c>
      <c r="B170" s="12">
        <v>1</v>
      </c>
      <c r="C170" s="12" t="s">
        <v>506</v>
      </c>
      <c r="D170" s="12" t="s">
        <v>507</v>
      </c>
      <c r="E170" s="12">
        <v>0</v>
      </c>
      <c r="F170" s="12">
        <v>191</v>
      </c>
      <c r="G170" s="12">
        <v>1</v>
      </c>
      <c r="H170" s="12">
        <v>2</v>
      </c>
      <c r="I170" s="12">
        <v>0</v>
      </c>
      <c r="J170" s="10"/>
      <c r="K170" s="10" t="s">
        <v>311</v>
      </c>
      <c r="L170" s="10" t="s">
        <v>507</v>
      </c>
      <c r="M170" s="11">
        <v>0</v>
      </c>
      <c r="N170" s="10" t="s">
        <v>312</v>
      </c>
      <c r="O170" s="11">
        <v>0</v>
      </c>
      <c r="P170" s="10"/>
      <c r="Q170" s="11">
        <v>0</v>
      </c>
      <c r="R170" s="10"/>
      <c r="S170" s="11">
        <v>0</v>
      </c>
      <c r="T170" s="10"/>
      <c r="U170" s="11">
        <v>0</v>
      </c>
    </row>
    <row r="171" spans="1:21" x14ac:dyDescent="0.45">
      <c r="A171" s="12">
        <v>176</v>
      </c>
      <c r="B171" s="12">
        <v>1</v>
      </c>
      <c r="C171" s="12" t="s">
        <v>508</v>
      </c>
      <c r="D171" s="12" t="s">
        <v>509</v>
      </c>
      <c r="E171" s="12">
        <v>0</v>
      </c>
      <c r="F171" s="12">
        <v>0</v>
      </c>
      <c r="G171" s="12">
        <v>2</v>
      </c>
      <c r="H171" s="12">
        <v>0</v>
      </c>
      <c r="I171" s="12">
        <v>0</v>
      </c>
      <c r="J171" s="10"/>
      <c r="K171" s="10" t="s">
        <v>311</v>
      </c>
      <c r="L171" s="10"/>
      <c r="M171" s="11">
        <v>0</v>
      </c>
      <c r="N171" s="10"/>
      <c r="O171" s="11">
        <v>0</v>
      </c>
      <c r="P171" s="10"/>
      <c r="Q171" s="11">
        <v>0</v>
      </c>
      <c r="R171" s="10"/>
      <c r="S171" s="11">
        <v>0</v>
      </c>
      <c r="T171" s="10"/>
      <c r="U171" s="11">
        <v>0</v>
      </c>
    </row>
    <row r="172" spans="1:21" x14ac:dyDescent="0.45">
      <c r="A172" s="12">
        <v>177</v>
      </c>
      <c r="B172" s="12">
        <v>0</v>
      </c>
      <c r="C172" s="12" t="s">
        <v>510</v>
      </c>
      <c r="D172" s="12" t="s">
        <v>509</v>
      </c>
      <c r="E172" s="12">
        <v>0</v>
      </c>
      <c r="F172" s="12">
        <v>0</v>
      </c>
      <c r="G172" s="12">
        <v>2</v>
      </c>
      <c r="H172" s="12">
        <v>0</v>
      </c>
      <c r="I172" s="12">
        <v>0</v>
      </c>
      <c r="J172" s="10"/>
      <c r="K172" s="10" t="s">
        <v>311</v>
      </c>
      <c r="L172" s="10"/>
      <c r="M172" s="11">
        <v>0</v>
      </c>
      <c r="N172" s="10"/>
      <c r="O172" s="11">
        <v>0</v>
      </c>
      <c r="P172" s="10"/>
      <c r="Q172" s="11">
        <v>0</v>
      </c>
      <c r="R172" s="10"/>
      <c r="S172" s="11">
        <v>0</v>
      </c>
      <c r="T172" s="10"/>
      <c r="U172" s="11">
        <v>0</v>
      </c>
    </row>
    <row r="173" spans="1:21" x14ac:dyDescent="0.45">
      <c r="A173" s="12">
        <v>178</v>
      </c>
      <c r="B173" s="12">
        <v>0</v>
      </c>
      <c r="C173" s="12" t="s">
        <v>511</v>
      </c>
      <c r="D173" s="12" t="s">
        <v>509</v>
      </c>
      <c r="E173" s="12">
        <v>0</v>
      </c>
      <c r="F173" s="12">
        <v>0</v>
      </c>
      <c r="G173" s="12">
        <v>2</v>
      </c>
      <c r="H173" s="12">
        <v>0</v>
      </c>
      <c r="I173" s="12">
        <v>0</v>
      </c>
      <c r="J173" s="10"/>
      <c r="K173" s="10" t="s">
        <v>311</v>
      </c>
      <c r="L173" s="10"/>
      <c r="M173" s="11">
        <v>0</v>
      </c>
      <c r="N173" s="10"/>
      <c r="O173" s="11">
        <v>0</v>
      </c>
      <c r="P173" s="10"/>
      <c r="Q173" s="11">
        <v>0</v>
      </c>
      <c r="R173" s="10"/>
      <c r="S173" s="11">
        <v>0</v>
      </c>
      <c r="T173" s="10"/>
      <c r="U173" s="11">
        <v>0</v>
      </c>
    </row>
    <row r="174" spans="1:21" x14ac:dyDescent="0.45">
      <c r="A174" s="12">
        <v>179</v>
      </c>
      <c r="B174" s="12">
        <v>0</v>
      </c>
      <c r="C174" s="12" t="s">
        <v>512</v>
      </c>
      <c r="D174" s="12" t="s">
        <v>509</v>
      </c>
      <c r="E174" s="12">
        <v>0</v>
      </c>
      <c r="F174" s="12">
        <v>0</v>
      </c>
      <c r="G174" s="12">
        <v>2</v>
      </c>
      <c r="H174" s="12">
        <v>0</v>
      </c>
      <c r="I174" s="12">
        <v>0</v>
      </c>
      <c r="J174" s="10"/>
      <c r="K174" s="10" t="s">
        <v>311</v>
      </c>
      <c r="L174" s="10"/>
      <c r="M174" s="11">
        <v>0</v>
      </c>
      <c r="N174" s="10"/>
      <c r="O174" s="11">
        <v>0</v>
      </c>
      <c r="P174" s="10"/>
      <c r="Q174" s="11">
        <v>0</v>
      </c>
      <c r="R174" s="10"/>
      <c r="S174" s="11">
        <v>0</v>
      </c>
      <c r="T174" s="10"/>
      <c r="U174" s="11">
        <v>0</v>
      </c>
    </row>
    <row r="175" spans="1:21" x14ac:dyDescent="0.45">
      <c r="A175" s="12">
        <v>180</v>
      </c>
      <c r="B175" s="12">
        <v>0</v>
      </c>
      <c r="C175" s="12" t="s">
        <v>513</v>
      </c>
      <c r="D175" s="12" t="s">
        <v>509</v>
      </c>
      <c r="E175" s="12">
        <v>0</v>
      </c>
      <c r="F175" s="12">
        <v>0</v>
      </c>
      <c r="G175" s="12">
        <v>2</v>
      </c>
      <c r="H175" s="12">
        <v>0</v>
      </c>
      <c r="I175" s="12">
        <v>0</v>
      </c>
      <c r="J175" s="10"/>
      <c r="K175" s="10" t="s">
        <v>311</v>
      </c>
      <c r="L175" s="10"/>
      <c r="M175" s="11">
        <v>0</v>
      </c>
      <c r="N175" s="10"/>
      <c r="O175" s="11">
        <v>0</v>
      </c>
      <c r="P175" s="10"/>
      <c r="Q175" s="11">
        <v>0</v>
      </c>
      <c r="R175" s="10"/>
      <c r="S175" s="11">
        <v>0</v>
      </c>
      <c r="T175" s="10"/>
      <c r="U175" s="11">
        <v>0</v>
      </c>
    </row>
    <row r="176" spans="1:21" x14ac:dyDescent="0.45">
      <c r="A176" s="12">
        <v>181</v>
      </c>
      <c r="B176" s="12">
        <v>0</v>
      </c>
      <c r="C176" s="12" t="s">
        <v>514</v>
      </c>
      <c r="D176" s="12" t="s">
        <v>509</v>
      </c>
      <c r="E176" s="12">
        <v>0</v>
      </c>
      <c r="F176" s="12">
        <v>0</v>
      </c>
      <c r="G176" s="12">
        <v>2</v>
      </c>
      <c r="H176" s="12">
        <v>0</v>
      </c>
      <c r="I176" s="12">
        <v>0</v>
      </c>
      <c r="J176" s="10"/>
      <c r="K176" s="10" t="s">
        <v>311</v>
      </c>
      <c r="L176" s="10"/>
      <c r="M176" s="11">
        <v>0</v>
      </c>
      <c r="N176" s="10"/>
      <c r="O176" s="11">
        <v>0</v>
      </c>
      <c r="P176" s="10"/>
      <c r="Q176" s="11">
        <v>0</v>
      </c>
      <c r="R176" s="10"/>
      <c r="S176" s="11">
        <v>0</v>
      </c>
      <c r="T176" s="10"/>
      <c r="U176" s="11">
        <v>0</v>
      </c>
    </row>
    <row r="177" spans="1:21" x14ac:dyDescent="0.45">
      <c r="A177" s="12">
        <v>182</v>
      </c>
      <c r="B177" s="12">
        <v>0</v>
      </c>
      <c r="C177" s="12" t="s">
        <v>515</v>
      </c>
      <c r="D177" s="12" t="s">
        <v>509</v>
      </c>
      <c r="E177" s="12">
        <v>0</v>
      </c>
      <c r="F177" s="12">
        <v>0</v>
      </c>
      <c r="G177" s="12">
        <v>2</v>
      </c>
      <c r="H177" s="12">
        <v>0</v>
      </c>
      <c r="I177" s="12">
        <v>0</v>
      </c>
      <c r="J177" s="10"/>
      <c r="K177" s="10" t="s">
        <v>311</v>
      </c>
      <c r="L177" s="10"/>
      <c r="M177" s="11">
        <v>0</v>
      </c>
      <c r="N177" s="10"/>
      <c r="O177" s="11">
        <v>0</v>
      </c>
      <c r="P177" s="10"/>
      <c r="Q177" s="11">
        <v>0</v>
      </c>
      <c r="R177" s="10"/>
      <c r="S177" s="11">
        <v>0</v>
      </c>
      <c r="T177" s="10"/>
      <c r="U177" s="11">
        <v>0</v>
      </c>
    </row>
    <row r="178" spans="1:21" x14ac:dyDescent="0.45">
      <c r="A178" s="12">
        <v>183</v>
      </c>
      <c r="B178" s="12">
        <v>0</v>
      </c>
      <c r="C178" s="12" t="s">
        <v>516</v>
      </c>
      <c r="D178" s="12" t="s">
        <v>509</v>
      </c>
      <c r="E178" s="12">
        <v>0</v>
      </c>
      <c r="F178" s="12">
        <v>0</v>
      </c>
      <c r="G178" s="12">
        <v>2</v>
      </c>
      <c r="H178" s="12">
        <v>0</v>
      </c>
      <c r="I178" s="12">
        <v>0</v>
      </c>
      <c r="J178" s="10"/>
      <c r="K178" s="10" t="s">
        <v>311</v>
      </c>
      <c r="L178" s="10"/>
      <c r="M178" s="11">
        <v>0</v>
      </c>
      <c r="N178" s="10"/>
      <c r="O178" s="11">
        <v>0</v>
      </c>
      <c r="P178" s="10"/>
      <c r="Q178" s="11">
        <v>0</v>
      </c>
      <c r="R178" s="10"/>
      <c r="S178" s="11">
        <v>0</v>
      </c>
      <c r="T178" s="10"/>
      <c r="U178" s="11">
        <v>0</v>
      </c>
    </row>
    <row r="179" spans="1:21" x14ac:dyDescent="0.45">
      <c r="A179" s="12">
        <v>184</v>
      </c>
      <c r="B179" s="12">
        <v>0</v>
      </c>
      <c r="C179" s="12" t="s">
        <v>517</v>
      </c>
      <c r="D179" s="12" t="s">
        <v>509</v>
      </c>
      <c r="E179" s="12">
        <v>0</v>
      </c>
      <c r="F179" s="12">
        <v>0</v>
      </c>
      <c r="G179" s="12">
        <v>2</v>
      </c>
      <c r="H179" s="12">
        <v>0</v>
      </c>
      <c r="I179" s="12">
        <v>0</v>
      </c>
      <c r="J179" s="10"/>
      <c r="K179" s="10" t="s">
        <v>311</v>
      </c>
      <c r="L179" s="10"/>
      <c r="M179" s="11">
        <v>0</v>
      </c>
      <c r="N179" s="10"/>
      <c r="O179" s="11">
        <v>0</v>
      </c>
      <c r="P179" s="10"/>
      <c r="Q179" s="11">
        <v>0</v>
      </c>
      <c r="R179" s="10"/>
      <c r="S179" s="11">
        <v>0</v>
      </c>
      <c r="T179" s="10"/>
      <c r="U179" s="11">
        <v>0</v>
      </c>
    </row>
    <row r="180" spans="1:21" x14ac:dyDescent="0.45">
      <c r="A180" s="12">
        <v>185</v>
      </c>
      <c r="B180" s="12">
        <v>0</v>
      </c>
      <c r="C180" s="12" t="s">
        <v>518</v>
      </c>
      <c r="D180" s="12" t="s">
        <v>509</v>
      </c>
      <c r="E180" s="12">
        <v>0</v>
      </c>
      <c r="F180" s="12">
        <v>0</v>
      </c>
      <c r="G180" s="12">
        <v>2</v>
      </c>
      <c r="H180" s="12">
        <v>0</v>
      </c>
      <c r="I180" s="12">
        <v>0</v>
      </c>
      <c r="J180" s="10"/>
      <c r="K180" s="10" t="s">
        <v>311</v>
      </c>
      <c r="L180" s="10"/>
      <c r="M180" s="11">
        <v>0</v>
      </c>
      <c r="N180" s="10"/>
      <c r="O180" s="11">
        <v>0</v>
      </c>
      <c r="P180" s="10"/>
      <c r="Q180" s="11">
        <v>0</v>
      </c>
      <c r="R180" s="10"/>
      <c r="S180" s="11">
        <v>0</v>
      </c>
      <c r="T180" s="10"/>
      <c r="U180" s="11">
        <v>0</v>
      </c>
    </row>
    <row r="181" spans="1:21" x14ac:dyDescent="0.45">
      <c r="A181" s="12">
        <v>186</v>
      </c>
      <c r="B181" s="12">
        <v>0</v>
      </c>
      <c r="C181" s="12" t="s">
        <v>519</v>
      </c>
      <c r="D181" s="12" t="s">
        <v>509</v>
      </c>
      <c r="E181" s="12">
        <v>0</v>
      </c>
      <c r="F181" s="12">
        <v>0</v>
      </c>
      <c r="G181" s="12">
        <v>2</v>
      </c>
      <c r="H181" s="12">
        <v>0</v>
      </c>
      <c r="I181" s="12">
        <v>0</v>
      </c>
      <c r="J181" s="10"/>
      <c r="K181" s="10" t="s">
        <v>311</v>
      </c>
      <c r="L181" s="10"/>
      <c r="M181" s="11">
        <v>0</v>
      </c>
      <c r="N181" s="10"/>
      <c r="O181" s="11">
        <v>0</v>
      </c>
      <c r="P181" s="10"/>
      <c r="Q181" s="11">
        <v>0</v>
      </c>
      <c r="R181" s="10"/>
      <c r="S181" s="11">
        <v>0</v>
      </c>
      <c r="T181" s="10"/>
      <c r="U181" s="11">
        <v>0</v>
      </c>
    </row>
    <row r="182" spans="1:21" x14ac:dyDescent="0.45">
      <c r="A182" s="12">
        <v>187</v>
      </c>
      <c r="B182" s="12">
        <v>1</v>
      </c>
      <c r="C182" s="12" t="s">
        <v>520</v>
      </c>
      <c r="D182" s="12" t="s">
        <v>521</v>
      </c>
      <c r="E182" s="12">
        <v>0</v>
      </c>
      <c r="F182" s="12">
        <v>0</v>
      </c>
      <c r="G182" s="12">
        <v>1</v>
      </c>
      <c r="H182" s="12">
        <v>0</v>
      </c>
      <c r="I182" s="12">
        <v>0</v>
      </c>
      <c r="J182" s="10"/>
      <c r="K182" s="10" t="s">
        <v>311</v>
      </c>
      <c r="L182" s="10"/>
      <c r="M182" s="11">
        <v>0</v>
      </c>
      <c r="N182" s="10"/>
      <c r="O182" s="11">
        <v>0</v>
      </c>
      <c r="P182" s="10"/>
      <c r="Q182" s="11">
        <v>0</v>
      </c>
      <c r="R182" s="10"/>
      <c r="S182" s="11">
        <v>0</v>
      </c>
      <c r="T182" s="10"/>
      <c r="U182" s="11">
        <v>0</v>
      </c>
    </row>
    <row r="183" spans="1:21" x14ac:dyDescent="0.45">
      <c r="A183" s="12">
        <v>188</v>
      </c>
      <c r="B183" s="12">
        <v>1</v>
      </c>
      <c r="C183" s="12" t="s">
        <v>522</v>
      </c>
      <c r="D183" s="12" t="s">
        <v>523</v>
      </c>
      <c r="E183" s="12">
        <v>0</v>
      </c>
      <c r="F183" s="12">
        <v>0</v>
      </c>
      <c r="G183" s="12">
        <v>1</v>
      </c>
      <c r="H183" s="12">
        <v>0</v>
      </c>
      <c r="I183" s="12">
        <v>0</v>
      </c>
      <c r="J183" s="10"/>
      <c r="K183" s="10" t="s">
        <v>311</v>
      </c>
      <c r="L183" s="10"/>
      <c r="M183" s="11">
        <v>0</v>
      </c>
      <c r="N183" s="10"/>
      <c r="O183" s="11">
        <v>0</v>
      </c>
      <c r="P183" s="10"/>
      <c r="Q183" s="11">
        <v>0</v>
      </c>
      <c r="R183" s="10"/>
      <c r="S183" s="11">
        <v>0</v>
      </c>
      <c r="T183" s="10"/>
      <c r="U183" s="11">
        <v>0</v>
      </c>
    </row>
    <row r="184" spans="1:21" x14ac:dyDescent="0.45">
      <c r="A184" s="12">
        <v>189</v>
      </c>
      <c r="B184" s="12">
        <v>0</v>
      </c>
      <c r="C184" s="12" t="s">
        <v>524</v>
      </c>
      <c r="D184" s="12" t="s">
        <v>509</v>
      </c>
      <c r="E184" s="12">
        <v>0</v>
      </c>
      <c r="F184" s="12">
        <v>0</v>
      </c>
      <c r="G184" s="12">
        <v>2</v>
      </c>
      <c r="H184" s="12">
        <v>0</v>
      </c>
      <c r="I184" s="12">
        <v>0</v>
      </c>
      <c r="J184" s="10"/>
      <c r="K184" s="10" t="s">
        <v>311</v>
      </c>
      <c r="L184" s="10"/>
      <c r="M184" s="11">
        <v>0</v>
      </c>
      <c r="N184" s="10"/>
      <c r="O184" s="11">
        <v>0</v>
      </c>
      <c r="P184" s="10"/>
      <c r="Q184" s="11">
        <v>0</v>
      </c>
      <c r="R184" s="10"/>
      <c r="S184" s="11">
        <v>0</v>
      </c>
      <c r="T184" s="10"/>
      <c r="U184" s="11">
        <v>0</v>
      </c>
    </row>
    <row r="185" spans="1:21" x14ac:dyDescent="0.45">
      <c r="A185" s="12">
        <v>190</v>
      </c>
      <c r="B185" s="12">
        <v>0</v>
      </c>
      <c r="C185" s="12" t="s">
        <v>525</v>
      </c>
      <c r="D185" s="12" t="s">
        <v>509</v>
      </c>
      <c r="E185" s="12">
        <v>0</v>
      </c>
      <c r="F185" s="12">
        <v>0</v>
      </c>
      <c r="G185" s="12">
        <v>2</v>
      </c>
      <c r="H185" s="12">
        <v>0</v>
      </c>
      <c r="I185" s="12">
        <v>0</v>
      </c>
      <c r="J185" s="10"/>
      <c r="K185" s="10" t="s">
        <v>311</v>
      </c>
      <c r="L185" s="10"/>
      <c r="M185" s="11">
        <v>0</v>
      </c>
      <c r="N185" s="10"/>
      <c r="O185" s="11">
        <v>0</v>
      </c>
      <c r="P185" s="10"/>
      <c r="Q185" s="11">
        <v>0</v>
      </c>
      <c r="R185" s="10"/>
      <c r="S185" s="11">
        <v>0</v>
      </c>
      <c r="T185" s="10"/>
      <c r="U185" s="11">
        <v>0</v>
      </c>
    </row>
    <row r="186" spans="1:21" x14ac:dyDescent="0.45">
      <c r="A186" s="12">
        <v>191</v>
      </c>
      <c r="B186" s="12">
        <v>0</v>
      </c>
      <c r="C186" s="12" t="s">
        <v>526</v>
      </c>
      <c r="D186" s="12" t="s">
        <v>526</v>
      </c>
      <c r="E186" s="12">
        <v>0</v>
      </c>
      <c r="F186" s="12">
        <v>0</v>
      </c>
      <c r="G186" s="12">
        <v>1</v>
      </c>
      <c r="H186" s="12">
        <v>0</v>
      </c>
      <c r="I186" s="12">
        <v>0</v>
      </c>
      <c r="J186" s="10"/>
      <c r="K186" s="10" t="s">
        <v>311</v>
      </c>
      <c r="L186" s="10"/>
      <c r="M186" s="11">
        <v>0</v>
      </c>
      <c r="N186" s="10"/>
      <c r="O186" s="11">
        <v>0</v>
      </c>
      <c r="P186" s="10"/>
      <c r="Q186" s="11">
        <v>0</v>
      </c>
      <c r="R186" s="10"/>
      <c r="S186" s="11">
        <v>0</v>
      </c>
      <c r="T186" s="10"/>
      <c r="U186" s="11">
        <v>0</v>
      </c>
    </row>
    <row r="187" spans="1:21" x14ac:dyDescent="0.45">
      <c r="A187" s="12">
        <v>192</v>
      </c>
      <c r="B187" s="12">
        <v>1</v>
      </c>
      <c r="C187" s="12" t="s">
        <v>527</v>
      </c>
      <c r="D187" s="12" t="s">
        <v>527</v>
      </c>
      <c r="E187" s="12">
        <v>0</v>
      </c>
      <c r="F187" s="12">
        <v>0</v>
      </c>
      <c r="G187" s="12">
        <v>1</v>
      </c>
      <c r="H187" s="12">
        <v>1</v>
      </c>
      <c r="I187" s="12">
        <v>0</v>
      </c>
      <c r="J187" s="10"/>
      <c r="K187" s="10" t="s">
        <v>311</v>
      </c>
      <c r="L187" s="10" t="s">
        <v>528</v>
      </c>
      <c r="M187" s="11">
        <v>0</v>
      </c>
      <c r="N187" s="10" t="s">
        <v>529</v>
      </c>
      <c r="O187" s="11">
        <v>0</v>
      </c>
      <c r="P187" s="10" t="s">
        <v>530</v>
      </c>
      <c r="Q187" s="11">
        <v>0</v>
      </c>
      <c r="R187" s="10"/>
      <c r="S187" s="11">
        <v>0</v>
      </c>
      <c r="T187" s="10"/>
      <c r="U187" s="11">
        <v>0</v>
      </c>
    </row>
    <row r="188" spans="1:21" x14ac:dyDescent="0.45">
      <c r="A188" s="12">
        <v>193</v>
      </c>
      <c r="B188" s="12">
        <v>1</v>
      </c>
      <c r="C188" s="12" t="s">
        <v>531</v>
      </c>
      <c r="D188" s="12" t="s">
        <v>531</v>
      </c>
      <c r="E188" s="12">
        <v>0</v>
      </c>
      <c r="F188" s="12">
        <v>0</v>
      </c>
      <c r="G188" s="12">
        <v>0</v>
      </c>
      <c r="H188" s="12">
        <v>0</v>
      </c>
      <c r="I188" s="12">
        <v>0</v>
      </c>
      <c r="J188" s="10"/>
      <c r="K188" s="10" t="s">
        <v>311</v>
      </c>
      <c r="L188" s="10"/>
      <c r="M188" s="11">
        <v>0</v>
      </c>
      <c r="N188" s="10"/>
      <c r="O188" s="11">
        <v>0</v>
      </c>
      <c r="P188" s="10"/>
      <c r="Q188" s="11">
        <v>0</v>
      </c>
      <c r="R188" s="10"/>
      <c r="S188" s="11">
        <v>0</v>
      </c>
      <c r="T188" s="10"/>
      <c r="U188" s="11">
        <v>0</v>
      </c>
    </row>
    <row r="189" spans="1:21" x14ac:dyDescent="0.45">
      <c r="A189" s="12">
        <v>194</v>
      </c>
      <c r="B189" s="12">
        <v>1</v>
      </c>
      <c r="C189" s="12" t="s">
        <v>532</v>
      </c>
      <c r="D189" s="12" t="s">
        <v>532</v>
      </c>
      <c r="E189" s="12">
        <v>0</v>
      </c>
      <c r="F189" s="12">
        <v>194</v>
      </c>
      <c r="G189" s="12">
        <v>0</v>
      </c>
      <c r="H189" s="12">
        <v>0</v>
      </c>
      <c r="I189" s="12">
        <v>0</v>
      </c>
      <c r="J189" s="10"/>
      <c r="K189" s="10" t="s">
        <v>311</v>
      </c>
      <c r="L189" s="10"/>
      <c r="M189" s="11">
        <v>0</v>
      </c>
      <c r="N189" s="10"/>
      <c r="O189" s="11">
        <v>0</v>
      </c>
      <c r="P189" s="10"/>
      <c r="Q189" s="11">
        <v>0</v>
      </c>
      <c r="R189" s="10"/>
      <c r="S189" s="11">
        <v>0</v>
      </c>
      <c r="T189" s="10"/>
      <c r="U189" s="11">
        <v>0</v>
      </c>
    </row>
    <row r="190" spans="1:21" x14ac:dyDescent="0.45">
      <c r="A190" s="12">
        <v>195</v>
      </c>
      <c r="B190" s="12">
        <v>1</v>
      </c>
      <c r="C190" s="12" t="s">
        <v>533</v>
      </c>
      <c r="D190" s="12" t="s">
        <v>533</v>
      </c>
      <c r="E190" s="12">
        <v>0</v>
      </c>
      <c r="F190" s="12">
        <v>0</v>
      </c>
      <c r="G190" s="12">
        <v>0</v>
      </c>
      <c r="H190" s="12">
        <v>0</v>
      </c>
      <c r="I190" s="12">
        <v>0</v>
      </c>
      <c r="J190" s="10"/>
      <c r="K190" s="10" t="s">
        <v>311</v>
      </c>
      <c r="L190" s="10"/>
      <c r="M190" s="11">
        <v>0</v>
      </c>
      <c r="N190" s="10"/>
      <c r="O190" s="11">
        <v>0</v>
      </c>
      <c r="P190" s="10"/>
      <c r="Q190" s="11">
        <v>0</v>
      </c>
      <c r="R190" s="10"/>
      <c r="S190" s="11">
        <v>0</v>
      </c>
      <c r="T190" s="10"/>
      <c r="U190" s="11">
        <v>0</v>
      </c>
    </row>
    <row r="191" spans="1:21" x14ac:dyDescent="0.45">
      <c r="A191" s="12">
        <v>196</v>
      </c>
      <c r="B191" s="12">
        <v>1</v>
      </c>
      <c r="C191" s="12" t="s">
        <v>534</v>
      </c>
      <c r="D191" s="12" t="s">
        <v>534</v>
      </c>
      <c r="E191" s="12">
        <v>3500</v>
      </c>
      <c r="F191" s="12">
        <v>0</v>
      </c>
      <c r="G191" s="12">
        <v>1</v>
      </c>
      <c r="H191" s="12">
        <v>0</v>
      </c>
      <c r="I191" s="12">
        <v>0</v>
      </c>
      <c r="J191" s="10"/>
      <c r="K191" s="10" t="s">
        <v>311</v>
      </c>
      <c r="L191" s="10"/>
      <c r="M191" s="11">
        <v>0</v>
      </c>
      <c r="N191" s="10"/>
      <c r="O191" s="11">
        <v>0</v>
      </c>
      <c r="P191" s="10"/>
      <c r="Q191" s="11">
        <v>0</v>
      </c>
      <c r="R191" s="10"/>
      <c r="S191" s="11">
        <v>0</v>
      </c>
      <c r="T191" s="10"/>
      <c r="U191" s="11">
        <v>0</v>
      </c>
    </row>
    <row r="192" spans="1:21" x14ac:dyDescent="0.45">
      <c r="A192" s="12">
        <v>197</v>
      </c>
      <c r="B192" s="12">
        <v>1</v>
      </c>
      <c r="C192" s="12" t="s">
        <v>535</v>
      </c>
      <c r="D192" s="12" t="s">
        <v>535</v>
      </c>
      <c r="E192" s="12">
        <v>0</v>
      </c>
      <c r="F192" s="12">
        <v>0</v>
      </c>
      <c r="G192" s="12">
        <v>1</v>
      </c>
      <c r="H192" s="12">
        <v>0</v>
      </c>
      <c r="I192" s="12">
        <v>0</v>
      </c>
      <c r="J192" s="10"/>
      <c r="K192" s="10" t="s">
        <v>311</v>
      </c>
      <c r="L192" s="10"/>
      <c r="M192" s="11">
        <v>0</v>
      </c>
      <c r="N192" s="10"/>
      <c r="O192" s="11">
        <v>0</v>
      </c>
      <c r="P192" s="10"/>
      <c r="Q192" s="11">
        <v>0</v>
      </c>
      <c r="R192" s="10"/>
      <c r="S192" s="11">
        <v>0</v>
      </c>
      <c r="T192" s="10"/>
      <c r="U192" s="11">
        <v>0</v>
      </c>
    </row>
    <row r="193" spans="1:21" x14ac:dyDescent="0.45">
      <c r="A193" s="12">
        <v>198</v>
      </c>
      <c r="B193" s="12">
        <v>1</v>
      </c>
      <c r="C193" s="12" t="s">
        <v>536</v>
      </c>
      <c r="D193" s="12" t="s">
        <v>536</v>
      </c>
      <c r="E193" s="12">
        <v>0</v>
      </c>
      <c r="F193" s="12">
        <v>0</v>
      </c>
      <c r="G193" s="12">
        <v>1</v>
      </c>
      <c r="H193" s="12">
        <v>0</v>
      </c>
      <c r="I193" s="12">
        <v>0</v>
      </c>
      <c r="J193" s="10"/>
      <c r="K193" s="10" t="s">
        <v>311</v>
      </c>
      <c r="L193" s="10"/>
      <c r="M193" s="11">
        <v>0</v>
      </c>
      <c r="N193" s="10"/>
      <c r="O193" s="11">
        <v>0</v>
      </c>
      <c r="P193" s="10"/>
      <c r="Q193" s="11">
        <v>0</v>
      </c>
      <c r="R193" s="10"/>
      <c r="S193" s="11">
        <v>0</v>
      </c>
      <c r="T193" s="10"/>
      <c r="U193" s="11">
        <v>0</v>
      </c>
    </row>
    <row r="194" spans="1:21" x14ac:dyDescent="0.45">
      <c r="A194" s="9">
        <v>199</v>
      </c>
      <c r="B194" s="9">
        <v>1</v>
      </c>
      <c r="C194" s="9" t="s">
        <v>537</v>
      </c>
      <c r="D194" s="9" t="s">
        <v>538</v>
      </c>
      <c r="E194" s="9">
        <v>0</v>
      </c>
      <c r="F194" s="9">
        <v>480</v>
      </c>
      <c r="G194" s="9">
        <v>1</v>
      </c>
      <c r="H194" s="9">
        <v>1</v>
      </c>
      <c r="I194" s="9">
        <v>18</v>
      </c>
      <c r="J194" s="7"/>
      <c r="K194" s="7" t="s">
        <v>311</v>
      </c>
      <c r="L194" s="7"/>
      <c r="M194" s="8">
        <v>0</v>
      </c>
      <c r="N194" s="7"/>
      <c r="O194" s="8">
        <v>0</v>
      </c>
      <c r="P194" s="7"/>
      <c r="Q194" s="8">
        <v>0</v>
      </c>
      <c r="R194" s="7"/>
      <c r="S194" s="8">
        <v>0</v>
      </c>
      <c r="T194" s="7"/>
      <c r="U194" s="8">
        <v>0</v>
      </c>
    </row>
    <row r="195" spans="1:21" x14ac:dyDescent="0.45">
      <c r="A195" s="28">
        <v>200</v>
      </c>
      <c r="B195" s="28">
        <v>1</v>
      </c>
      <c r="C195" s="28" t="s">
        <v>302</v>
      </c>
      <c r="D195" s="28" t="s">
        <v>302</v>
      </c>
      <c r="E195" s="28">
        <v>0</v>
      </c>
      <c r="F195" s="28">
        <v>0</v>
      </c>
      <c r="G195" s="28">
        <v>2</v>
      </c>
      <c r="H195" s="28">
        <v>2</v>
      </c>
      <c r="I195" s="28">
        <v>0</v>
      </c>
      <c r="J195" s="29"/>
      <c r="K195" s="29"/>
      <c r="L195" s="29" t="s">
        <v>292</v>
      </c>
      <c r="M195" s="30">
        <v>1</v>
      </c>
      <c r="N195" s="29"/>
      <c r="O195" s="30">
        <v>0</v>
      </c>
      <c r="P195" s="29"/>
      <c r="Q195" s="30">
        <v>0</v>
      </c>
      <c r="R195" s="29"/>
      <c r="S195" s="30">
        <v>0</v>
      </c>
      <c r="T195" s="29"/>
      <c r="U195" s="30">
        <v>0</v>
      </c>
    </row>
    <row r="196" spans="1:21" x14ac:dyDescent="0.45">
      <c r="A196" s="28">
        <v>201</v>
      </c>
      <c r="B196" s="28">
        <v>2</v>
      </c>
      <c r="C196" s="28" t="s">
        <v>539</v>
      </c>
      <c r="D196" s="28" t="s">
        <v>539</v>
      </c>
      <c r="E196" s="28">
        <v>0</v>
      </c>
      <c r="F196" s="28">
        <v>0</v>
      </c>
      <c r="G196" s="28">
        <v>2</v>
      </c>
      <c r="H196" s="28">
        <v>2</v>
      </c>
      <c r="I196" s="28">
        <v>0</v>
      </c>
      <c r="J196" s="29"/>
      <c r="K196" s="29"/>
      <c r="L196" s="29" t="s">
        <v>540</v>
      </c>
      <c r="M196" s="30">
        <v>0</v>
      </c>
      <c r="N196" s="29"/>
      <c r="O196" s="30">
        <v>0</v>
      </c>
      <c r="P196" s="29"/>
      <c r="Q196" s="30">
        <v>0</v>
      </c>
      <c r="R196" s="29"/>
      <c r="S196" s="30">
        <v>0</v>
      </c>
      <c r="T196" s="29"/>
      <c r="U196" s="30">
        <v>0</v>
      </c>
    </row>
    <row r="197" spans="1:21" x14ac:dyDescent="0.45">
      <c r="A197" s="28">
        <v>202</v>
      </c>
      <c r="B197" s="28">
        <v>2</v>
      </c>
      <c r="C197" s="28" t="s">
        <v>541</v>
      </c>
      <c r="D197" s="28" t="s">
        <v>541</v>
      </c>
      <c r="E197" s="28">
        <v>0</v>
      </c>
      <c r="F197" s="28">
        <v>0</v>
      </c>
      <c r="G197" s="28">
        <v>2</v>
      </c>
      <c r="H197" s="28">
        <v>2</v>
      </c>
      <c r="I197" s="28">
        <v>0</v>
      </c>
      <c r="J197" s="29"/>
      <c r="K197" s="29"/>
      <c r="L197" s="29" t="s">
        <v>542</v>
      </c>
      <c r="M197" s="30">
        <v>0</v>
      </c>
      <c r="N197" s="29"/>
      <c r="O197" s="30">
        <v>0</v>
      </c>
      <c r="P197" s="29"/>
      <c r="Q197" s="30">
        <v>0</v>
      </c>
      <c r="R197" s="29"/>
      <c r="S197" s="30">
        <v>0</v>
      </c>
      <c r="T197" s="29"/>
      <c r="U197" s="30">
        <v>0</v>
      </c>
    </row>
    <row r="198" spans="1:21" x14ac:dyDescent="0.45">
      <c r="A198" s="28">
        <v>203</v>
      </c>
      <c r="B198" s="28">
        <v>2</v>
      </c>
      <c r="C198" s="28" t="s">
        <v>543</v>
      </c>
      <c r="D198" s="28" t="s">
        <v>543</v>
      </c>
      <c r="E198" s="28">
        <v>0</v>
      </c>
      <c r="F198" s="28">
        <v>0</v>
      </c>
      <c r="G198" s="28">
        <v>2</v>
      </c>
      <c r="H198" s="28">
        <v>2</v>
      </c>
      <c r="I198" s="28">
        <v>0</v>
      </c>
      <c r="J198" s="29"/>
      <c r="K198" s="29"/>
      <c r="L198" s="29" t="s">
        <v>543</v>
      </c>
      <c r="M198" s="30">
        <v>0</v>
      </c>
      <c r="N198" s="29"/>
      <c r="O198" s="30">
        <v>0</v>
      </c>
      <c r="P198" s="29"/>
      <c r="Q198" s="30">
        <v>0</v>
      </c>
      <c r="R198" s="29"/>
      <c r="S198" s="30">
        <v>0</v>
      </c>
      <c r="T198" s="29"/>
      <c r="U198" s="30">
        <v>0</v>
      </c>
    </row>
    <row r="199" spans="1:21" x14ac:dyDescent="0.45">
      <c r="A199" s="28">
        <v>204</v>
      </c>
      <c r="B199" s="28">
        <v>2</v>
      </c>
      <c r="C199" s="28" t="s">
        <v>544</v>
      </c>
      <c r="D199" s="28" t="s">
        <v>544</v>
      </c>
      <c r="E199" s="28">
        <v>0</v>
      </c>
      <c r="F199" s="28">
        <v>0</v>
      </c>
      <c r="G199" s="28">
        <v>2</v>
      </c>
      <c r="H199" s="28">
        <v>2</v>
      </c>
      <c r="I199" s="28">
        <v>0</v>
      </c>
      <c r="J199" s="29"/>
      <c r="K199" s="29"/>
      <c r="L199" s="29" t="s">
        <v>544</v>
      </c>
      <c r="M199" s="30">
        <v>0</v>
      </c>
      <c r="N199" s="29"/>
      <c r="O199" s="30">
        <v>0</v>
      </c>
      <c r="P199" s="29"/>
      <c r="Q199" s="30">
        <v>0</v>
      </c>
      <c r="R199" s="29"/>
      <c r="S199" s="30"/>
      <c r="T199" s="29"/>
      <c r="U199" s="30"/>
    </row>
    <row r="200" spans="1:21" x14ac:dyDescent="0.45">
      <c r="A200" s="28">
        <v>205</v>
      </c>
      <c r="B200" s="28">
        <v>2</v>
      </c>
      <c r="C200" s="28" t="s">
        <v>545</v>
      </c>
      <c r="D200" s="28" t="s">
        <v>545</v>
      </c>
      <c r="E200" s="28">
        <v>0</v>
      </c>
      <c r="F200" s="28">
        <v>0</v>
      </c>
      <c r="G200" s="28">
        <v>2</v>
      </c>
      <c r="H200" s="28">
        <v>2</v>
      </c>
      <c r="I200" s="28">
        <v>0</v>
      </c>
      <c r="J200" s="29"/>
      <c r="K200" s="29"/>
      <c r="L200" s="29" t="s">
        <v>545</v>
      </c>
      <c r="M200" s="30">
        <v>0</v>
      </c>
      <c r="N200" s="29"/>
      <c r="O200" s="30">
        <v>0</v>
      </c>
      <c r="P200" s="29"/>
      <c r="Q200" s="30">
        <v>0</v>
      </c>
      <c r="R200" s="29"/>
      <c r="S200" s="30"/>
      <c r="T200" s="29"/>
      <c r="U200" s="30"/>
    </row>
    <row r="201" spans="1:21" x14ac:dyDescent="0.45">
      <c r="A201" s="28">
        <v>206</v>
      </c>
      <c r="B201" s="28">
        <v>2</v>
      </c>
      <c r="C201" s="28" t="s">
        <v>546</v>
      </c>
      <c r="D201" s="28" t="s">
        <v>546</v>
      </c>
      <c r="E201" s="28">
        <v>0</v>
      </c>
      <c r="F201" s="28">
        <v>0</v>
      </c>
      <c r="G201" s="28">
        <v>2</v>
      </c>
      <c r="H201" s="28">
        <v>2</v>
      </c>
      <c r="I201" s="28">
        <v>0</v>
      </c>
      <c r="J201" s="29"/>
      <c r="K201" s="29"/>
      <c r="L201" s="29" t="s">
        <v>547</v>
      </c>
      <c r="M201" s="30">
        <v>0</v>
      </c>
      <c r="N201" s="29"/>
      <c r="O201" s="30">
        <v>0</v>
      </c>
      <c r="P201" s="29"/>
      <c r="Q201" s="30">
        <v>0</v>
      </c>
      <c r="R201" s="29"/>
      <c r="S201" s="30">
        <v>0</v>
      </c>
      <c r="T201" s="29"/>
      <c r="U201" s="30">
        <v>0</v>
      </c>
    </row>
    <row r="202" spans="1:21" x14ac:dyDescent="0.45">
      <c r="A202" s="28">
        <v>207</v>
      </c>
      <c r="B202" s="28">
        <v>2</v>
      </c>
      <c r="C202" s="28" t="s">
        <v>548</v>
      </c>
      <c r="D202" s="28" t="s">
        <v>548</v>
      </c>
      <c r="E202" s="28">
        <v>0</v>
      </c>
      <c r="F202" s="28">
        <v>0</v>
      </c>
      <c r="G202" s="28">
        <v>2</v>
      </c>
      <c r="H202" s="28">
        <v>2</v>
      </c>
      <c r="I202" s="28">
        <v>0</v>
      </c>
      <c r="J202" s="29"/>
      <c r="K202" s="29"/>
      <c r="L202" s="29" t="s">
        <v>547</v>
      </c>
      <c r="M202" s="30">
        <v>0</v>
      </c>
      <c r="N202" s="29"/>
      <c r="O202" s="30">
        <v>0</v>
      </c>
      <c r="P202" s="29"/>
      <c r="Q202" s="30">
        <v>0</v>
      </c>
      <c r="R202" s="29"/>
      <c r="S202" s="30">
        <v>0</v>
      </c>
      <c r="T202" s="29"/>
      <c r="U202" s="30">
        <v>0</v>
      </c>
    </row>
    <row r="203" spans="1:21" x14ac:dyDescent="0.45">
      <c r="A203" s="28">
        <v>208</v>
      </c>
      <c r="B203" s="28">
        <v>2</v>
      </c>
      <c r="C203" s="28" t="s">
        <v>549</v>
      </c>
      <c r="D203" s="28" t="s">
        <v>549</v>
      </c>
      <c r="E203" s="28">
        <v>0</v>
      </c>
      <c r="F203" s="28">
        <v>0</v>
      </c>
      <c r="G203" s="28">
        <v>2</v>
      </c>
      <c r="H203" s="28">
        <v>2</v>
      </c>
      <c r="I203" s="28">
        <v>0</v>
      </c>
      <c r="J203" s="29"/>
      <c r="K203" s="29"/>
      <c r="L203" s="29" t="s">
        <v>547</v>
      </c>
      <c r="M203" s="30">
        <v>0</v>
      </c>
      <c r="N203" s="29"/>
      <c r="O203" s="30">
        <v>0</v>
      </c>
      <c r="P203" s="29"/>
      <c r="Q203" s="30">
        <v>0</v>
      </c>
      <c r="R203" s="29"/>
      <c r="S203" s="30">
        <v>0</v>
      </c>
      <c r="T203" s="29"/>
      <c r="U203" s="30">
        <v>0</v>
      </c>
    </row>
    <row r="204" spans="1:21" x14ac:dyDescent="0.45">
      <c r="A204" s="28">
        <v>209</v>
      </c>
      <c r="B204" s="28">
        <v>2</v>
      </c>
      <c r="C204" s="28" t="s">
        <v>550</v>
      </c>
      <c r="D204" s="28" t="s">
        <v>550</v>
      </c>
      <c r="E204" s="28">
        <v>0</v>
      </c>
      <c r="F204" s="28">
        <v>0</v>
      </c>
      <c r="G204" s="28">
        <v>2</v>
      </c>
      <c r="H204" s="28">
        <v>2</v>
      </c>
      <c r="I204" s="28">
        <v>0</v>
      </c>
      <c r="J204" s="29"/>
      <c r="K204" s="29"/>
      <c r="L204" s="29" t="s">
        <v>547</v>
      </c>
      <c r="M204" s="30">
        <v>0</v>
      </c>
      <c r="N204" s="29"/>
      <c r="O204" s="30">
        <v>0</v>
      </c>
      <c r="P204" s="29"/>
      <c r="Q204" s="30">
        <v>0</v>
      </c>
      <c r="R204" s="29"/>
      <c r="S204" s="30">
        <v>0</v>
      </c>
      <c r="T204" s="29"/>
      <c r="U204" s="30">
        <v>0</v>
      </c>
    </row>
    <row r="205" spans="1:21" x14ac:dyDescent="0.45">
      <c r="A205" s="28">
        <v>210</v>
      </c>
      <c r="B205" s="28">
        <v>2</v>
      </c>
      <c r="C205" s="28" t="s">
        <v>551</v>
      </c>
      <c r="D205" s="28" t="s">
        <v>551</v>
      </c>
      <c r="E205" s="28">
        <v>0</v>
      </c>
      <c r="F205" s="28">
        <v>0</v>
      </c>
      <c r="G205" s="28">
        <v>2</v>
      </c>
      <c r="H205" s="28">
        <v>2</v>
      </c>
      <c r="I205" s="28">
        <v>0</v>
      </c>
      <c r="J205" s="29"/>
      <c r="K205" s="29"/>
      <c r="L205" s="29" t="s">
        <v>547</v>
      </c>
      <c r="M205" s="30">
        <v>0</v>
      </c>
      <c r="N205" s="29"/>
      <c r="O205" s="30">
        <v>0</v>
      </c>
      <c r="P205" s="29"/>
      <c r="Q205" s="30">
        <v>0</v>
      </c>
      <c r="R205" s="29"/>
      <c r="S205" s="30">
        <v>0</v>
      </c>
      <c r="T205" s="29"/>
      <c r="U205" s="30">
        <v>0</v>
      </c>
    </row>
    <row r="206" spans="1:21" x14ac:dyDescent="0.45">
      <c r="A206" s="28">
        <v>211</v>
      </c>
      <c r="B206" s="28">
        <v>2</v>
      </c>
      <c r="C206" s="28" t="s">
        <v>552</v>
      </c>
      <c r="D206" s="28" t="s">
        <v>552</v>
      </c>
      <c r="E206" s="28">
        <v>0</v>
      </c>
      <c r="F206" s="28">
        <v>0</v>
      </c>
      <c r="G206" s="28">
        <v>2</v>
      </c>
      <c r="H206" s="28">
        <v>2</v>
      </c>
      <c r="I206" s="28">
        <v>0</v>
      </c>
      <c r="J206" s="29"/>
      <c r="K206" s="29"/>
      <c r="L206" s="29" t="s">
        <v>547</v>
      </c>
      <c r="M206" s="30">
        <v>0</v>
      </c>
      <c r="N206" s="29"/>
      <c r="O206" s="30">
        <v>0</v>
      </c>
      <c r="P206" s="29"/>
      <c r="Q206" s="30">
        <v>0</v>
      </c>
      <c r="R206" s="29"/>
      <c r="S206" s="30">
        <v>0</v>
      </c>
      <c r="T206" s="29"/>
      <c r="U206" s="30">
        <v>0</v>
      </c>
    </row>
    <row r="207" spans="1:21" x14ac:dyDescent="0.45">
      <c r="A207" s="28">
        <v>212</v>
      </c>
      <c r="B207" s="28">
        <v>2</v>
      </c>
      <c r="C207" s="28" t="s">
        <v>553</v>
      </c>
      <c r="D207" s="28" t="s">
        <v>554</v>
      </c>
      <c r="E207" s="28">
        <v>0</v>
      </c>
      <c r="F207" s="28">
        <v>0</v>
      </c>
      <c r="G207" s="28">
        <v>2</v>
      </c>
      <c r="H207" s="28">
        <v>2</v>
      </c>
      <c r="I207" s="28">
        <v>0</v>
      </c>
      <c r="J207" s="29"/>
      <c r="K207" s="29"/>
      <c r="L207" s="29" t="s">
        <v>547</v>
      </c>
      <c r="M207" s="30">
        <v>0</v>
      </c>
      <c r="N207" s="29"/>
      <c r="O207" s="30">
        <v>0</v>
      </c>
      <c r="P207" s="29"/>
      <c r="Q207" s="30">
        <v>0</v>
      </c>
      <c r="R207" s="29"/>
      <c r="S207" s="30">
        <v>0</v>
      </c>
      <c r="T207" s="29"/>
      <c r="U207" s="30">
        <v>0</v>
      </c>
    </row>
    <row r="208" spans="1:21" x14ac:dyDescent="0.45">
      <c r="A208" s="28">
        <v>213</v>
      </c>
      <c r="B208" s="28">
        <v>2</v>
      </c>
      <c r="C208" s="28" t="s">
        <v>555</v>
      </c>
      <c r="D208" s="28" t="s">
        <v>555</v>
      </c>
      <c r="E208" s="28">
        <v>0</v>
      </c>
      <c r="F208" s="28">
        <v>0</v>
      </c>
      <c r="G208" s="28">
        <v>2</v>
      </c>
      <c r="H208" s="28">
        <v>2</v>
      </c>
      <c r="I208" s="28">
        <v>0</v>
      </c>
      <c r="J208" s="29"/>
      <c r="K208" s="29"/>
      <c r="L208" s="29" t="s">
        <v>555</v>
      </c>
      <c r="M208" s="30">
        <v>0</v>
      </c>
      <c r="N208" s="29"/>
      <c r="O208" s="30">
        <v>0</v>
      </c>
      <c r="P208" s="29"/>
      <c r="Q208" s="30">
        <v>0</v>
      </c>
      <c r="R208" s="29"/>
      <c r="S208" s="30">
        <v>0</v>
      </c>
      <c r="T208" s="29"/>
      <c r="U208" s="30">
        <v>0</v>
      </c>
    </row>
    <row r="209" spans="1:21" x14ac:dyDescent="0.45">
      <c r="A209" s="28">
        <v>214</v>
      </c>
      <c r="B209" s="28">
        <v>2</v>
      </c>
      <c r="C209" s="28" t="s">
        <v>495</v>
      </c>
      <c r="D209" s="28" t="s">
        <v>495</v>
      </c>
      <c r="E209" s="28">
        <v>0</v>
      </c>
      <c r="F209" s="28">
        <v>0</v>
      </c>
      <c r="G209" s="28">
        <v>2</v>
      </c>
      <c r="H209" s="28">
        <v>2</v>
      </c>
      <c r="I209" s="28">
        <v>0</v>
      </c>
      <c r="J209" s="29"/>
      <c r="K209" s="29"/>
      <c r="L209" s="29" t="s">
        <v>495</v>
      </c>
      <c r="M209" s="30">
        <v>0</v>
      </c>
      <c r="N209" s="29"/>
      <c r="O209" s="30">
        <v>0</v>
      </c>
      <c r="P209" s="29"/>
      <c r="Q209" s="30">
        <v>0</v>
      </c>
      <c r="R209" s="29"/>
      <c r="S209" s="30">
        <v>0</v>
      </c>
      <c r="T209" s="29"/>
      <c r="U209" s="30">
        <v>0</v>
      </c>
    </row>
    <row r="210" spans="1:21" x14ac:dyDescent="0.45">
      <c r="A210" s="28">
        <v>215</v>
      </c>
      <c r="B210" s="28">
        <v>2</v>
      </c>
      <c r="C210" s="28" t="s">
        <v>556</v>
      </c>
      <c r="D210" s="28" t="s">
        <v>556</v>
      </c>
      <c r="E210" s="28">
        <v>0</v>
      </c>
      <c r="F210" s="28">
        <v>0</v>
      </c>
      <c r="G210" s="28">
        <v>2</v>
      </c>
      <c r="H210" s="28">
        <v>2</v>
      </c>
      <c r="I210" s="28">
        <v>0</v>
      </c>
      <c r="J210" s="29"/>
      <c r="K210" s="29"/>
      <c r="L210" s="29" t="s">
        <v>556</v>
      </c>
      <c r="M210" s="30">
        <v>0</v>
      </c>
      <c r="N210" s="29"/>
      <c r="O210" s="30">
        <v>0</v>
      </c>
      <c r="P210" s="29"/>
      <c r="Q210" s="30">
        <v>0</v>
      </c>
      <c r="R210" s="29"/>
      <c r="S210" s="30">
        <v>0</v>
      </c>
      <c r="T210" s="29"/>
      <c r="U210" s="30">
        <v>0</v>
      </c>
    </row>
    <row r="211" spans="1:21" x14ac:dyDescent="0.45">
      <c r="A211" s="28">
        <v>216</v>
      </c>
      <c r="B211" s="28">
        <v>2</v>
      </c>
      <c r="C211" s="28" t="s">
        <v>557</v>
      </c>
      <c r="D211" s="28" t="s">
        <v>557</v>
      </c>
      <c r="E211" s="28">
        <v>0</v>
      </c>
      <c r="F211" s="28">
        <v>0</v>
      </c>
      <c r="G211" s="28">
        <v>2</v>
      </c>
      <c r="H211" s="28">
        <v>2</v>
      </c>
      <c r="I211" s="28">
        <v>0</v>
      </c>
      <c r="J211" s="29"/>
      <c r="K211" s="29"/>
      <c r="L211" s="29" t="s">
        <v>557</v>
      </c>
      <c r="M211" s="30">
        <v>0</v>
      </c>
      <c r="N211" s="29"/>
      <c r="O211" s="30">
        <v>0</v>
      </c>
      <c r="P211" s="29"/>
      <c r="Q211" s="30">
        <v>0</v>
      </c>
      <c r="R211" s="29"/>
      <c r="S211" s="30">
        <v>0</v>
      </c>
      <c r="T211" s="29"/>
      <c r="U211" s="30">
        <v>0</v>
      </c>
    </row>
    <row r="212" spans="1:21" x14ac:dyDescent="0.45">
      <c r="A212" s="28">
        <v>217</v>
      </c>
      <c r="B212" s="28">
        <v>2</v>
      </c>
      <c r="C212" s="28" t="s">
        <v>558</v>
      </c>
      <c r="D212" s="28" t="s">
        <v>559</v>
      </c>
      <c r="E212" s="28">
        <v>0</v>
      </c>
      <c r="F212" s="28">
        <v>0</v>
      </c>
      <c r="G212" s="28">
        <v>2</v>
      </c>
      <c r="H212" s="28">
        <v>2</v>
      </c>
      <c r="I212" s="28">
        <v>0</v>
      </c>
      <c r="J212" s="29"/>
      <c r="K212" s="29"/>
      <c r="L212" s="29" t="s">
        <v>559</v>
      </c>
      <c r="M212" s="30">
        <v>0</v>
      </c>
      <c r="N212" s="29"/>
      <c r="O212" s="30">
        <v>0</v>
      </c>
      <c r="P212" s="29"/>
      <c r="Q212" s="30">
        <v>0</v>
      </c>
      <c r="R212" s="29"/>
      <c r="S212" s="30">
        <v>0</v>
      </c>
      <c r="T212" s="29"/>
      <c r="U212" s="30">
        <v>0</v>
      </c>
    </row>
    <row r="213" spans="1:21" x14ac:dyDescent="0.45">
      <c r="A213" s="28">
        <v>218</v>
      </c>
      <c r="B213" s="28">
        <v>2</v>
      </c>
      <c r="C213" s="28" t="s">
        <v>558</v>
      </c>
      <c r="D213" s="28" t="s">
        <v>460</v>
      </c>
      <c r="E213" s="28">
        <v>0</v>
      </c>
      <c r="F213" s="28">
        <v>0</v>
      </c>
      <c r="G213" s="28">
        <v>2</v>
      </c>
      <c r="H213" s="28">
        <v>2</v>
      </c>
      <c r="I213" s="28">
        <v>0</v>
      </c>
      <c r="J213" s="29"/>
      <c r="K213" s="29"/>
      <c r="L213" s="29" t="s">
        <v>460</v>
      </c>
      <c r="M213" s="30">
        <v>0</v>
      </c>
      <c r="N213" s="29"/>
      <c r="O213" s="30">
        <v>0</v>
      </c>
      <c r="P213" s="29"/>
      <c r="Q213" s="30">
        <v>0</v>
      </c>
      <c r="R213" s="29"/>
      <c r="S213" s="30">
        <v>0</v>
      </c>
      <c r="T213" s="29"/>
      <c r="U213" s="30">
        <v>0</v>
      </c>
    </row>
    <row r="214" spans="1:21" x14ac:dyDescent="0.45">
      <c r="A214" s="28">
        <v>219</v>
      </c>
      <c r="B214" s="28">
        <v>2</v>
      </c>
      <c r="C214" s="28" t="s">
        <v>470</v>
      </c>
      <c r="D214" s="28" t="s">
        <v>560</v>
      </c>
      <c r="E214" s="28">
        <v>0</v>
      </c>
      <c r="F214" s="28">
        <v>0</v>
      </c>
      <c r="G214" s="28">
        <v>2</v>
      </c>
      <c r="H214" s="28">
        <v>2</v>
      </c>
      <c r="I214" s="28">
        <v>0</v>
      </c>
      <c r="J214" s="29"/>
      <c r="K214" s="29"/>
      <c r="L214" s="29" t="s">
        <v>560</v>
      </c>
      <c r="M214" s="30">
        <v>0</v>
      </c>
      <c r="N214" s="29"/>
      <c r="O214" s="30">
        <v>0</v>
      </c>
      <c r="P214" s="29"/>
      <c r="Q214" s="30">
        <v>0</v>
      </c>
      <c r="R214" s="29"/>
      <c r="S214" s="30">
        <v>0</v>
      </c>
      <c r="T214" s="29"/>
      <c r="U214" s="30">
        <v>0</v>
      </c>
    </row>
    <row r="215" spans="1:21" x14ac:dyDescent="0.45">
      <c r="A215" s="28">
        <v>220</v>
      </c>
      <c r="B215" s="28">
        <v>2</v>
      </c>
      <c r="C215" s="28" t="s">
        <v>312</v>
      </c>
      <c r="D215" s="28" t="s">
        <v>312</v>
      </c>
      <c r="E215" s="28">
        <v>0</v>
      </c>
      <c r="F215" s="28">
        <v>0</v>
      </c>
      <c r="G215" s="28">
        <v>2</v>
      </c>
      <c r="H215" s="28">
        <v>2</v>
      </c>
      <c r="I215" s="28">
        <v>0</v>
      </c>
      <c r="J215" s="29"/>
      <c r="K215" s="29"/>
      <c r="L215" s="29" t="s">
        <v>312</v>
      </c>
      <c r="M215" s="30">
        <v>0</v>
      </c>
      <c r="N215" s="29"/>
      <c r="O215" s="30">
        <v>0</v>
      </c>
      <c r="P215" s="29"/>
      <c r="Q215" s="30">
        <v>0</v>
      </c>
      <c r="R215" s="29"/>
      <c r="S215" s="30">
        <v>0</v>
      </c>
      <c r="T215" s="29"/>
      <c r="U215" s="30">
        <v>0</v>
      </c>
    </row>
    <row r="216" spans="1:21" x14ac:dyDescent="0.45">
      <c r="A216" s="28">
        <v>221</v>
      </c>
      <c r="B216" s="28">
        <v>2</v>
      </c>
      <c r="C216" s="28" t="s">
        <v>358</v>
      </c>
      <c r="D216" s="28" t="s">
        <v>358</v>
      </c>
      <c r="E216" s="28">
        <v>0</v>
      </c>
      <c r="F216" s="28">
        <v>0</v>
      </c>
      <c r="G216" s="28">
        <v>2</v>
      </c>
      <c r="H216" s="28">
        <v>2</v>
      </c>
      <c r="I216" s="28">
        <v>0</v>
      </c>
      <c r="J216" s="29"/>
      <c r="K216" s="29"/>
      <c r="L216" s="29" t="s">
        <v>358</v>
      </c>
      <c r="M216" s="30">
        <v>0</v>
      </c>
      <c r="N216" s="29"/>
      <c r="O216" s="30">
        <v>0</v>
      </c>
      <c r="P216" s="29"/>
      <c r="Q216" s="30">
        <v>0</v>
      </c>
      <c r="R216" s="29"/>
      <c r="S216" s="30">
        <v>0</v>
      </c>
      <c r="T216" s="29"/>
      <c r="U216" s="30">
        <v>0</v>
      </c>
    </row>
    <row r="217" spans="1:21" x14ac:dyDescent="0.45">
      <c r="A217" s="28">
        <v>222</v>
      </c>
      <c r="B217" s="28">
        <v>2</v>
      </c>
      <c r="C217" s="28" t="s">
        <v>561</v>
      </c>
      <c r="D217" s="28" t="s">
        <v>562</v>
      </c>
      <c r="E217" s="28">
        <v>0</v>
      </c>
      <c r="F217" s="28">
        <v>0</v>
      </c>
      <c r="G217" s="28">
        <v>2</v>
      </c>
      <c r="H217" s="28">
        <v>2</v>
      </c>
      <c r="I217" s="28">
        <v>0</v>
      </c>
      <c r="J217" s="29"/>
      <c r="K217" s="29"/>
      <c r="L217" s="29" t="s">
        <v>562</v>
      </c>
      <c r="M217" s="30">
        <v>0</v>
      </c>
      <c r="N217" s="29"/>
      <c r="O217" s="30">
        <v>0</v>
      </c>
      <c r="P217" s="29"/>
      <c r="Q217" s="30">
        <v>0</v>
      </c>
      <c r="R217" s="29"/>
      <c r="S217" s="30">
        <v>0</v>
      </c>
      <c r="T217" s="29"/>
      <c r="U217" s="30">
        <v>0</v>
      </c>
    </row>
    <row r="218" spans="1:21" x14ac:dyDescent="0.45">
      <c r="A218" s="28">
        <v>223</v>
      </c>
      <c r="B218" s="28">
        <v>2</v>
      </c>
      <c r="C218" s="28" t="s">
        <v>563</v>
      </c>
      <c r="D218" s="28" t="s">
        <v>563</v>
      </c>
      <c r="E218" s="28">
        <v>0</v>
      </c>
      <c r="F218" s="28">
        <v>0</v>
      </c>
      <c r="G218" s="28">
        <v>2</v>
      </c>
      <c r="H218" s="28">
        <v>2</v>
      </c>
      <c r="I218" s="28">
        <v>0</v>
      </c>
      <c r="J218" s="29"/>
      <c r="K218" s="29"/>
      <c r="L218" s="29" t="s">
        <v>563</v>
      </c>
      <c r="M218" s="30">
        <v>0</v>
      </c>
      <c r="N218" s="29"/>
      <c r="O218" s="30">
        <v>0</v>
      </c>
      <c r="P218" s="29"/>
      <c r="Q218" s="30">
        <v>0</v>
      </c>
      <c r="R218" s="29"/>
      <c r="S218" s="30">
        <v>0</v>
      </c>
      <c r="T218" s="29"/>
      <c r="U218" s="30">
        <v>0</v>
      </c>
    </row>
    <row r="219" spans="1:21" x14ac:dyDescent="0.45">
      <c r="A219" s="28">
        <v>225</v>
      </c>
      <c r="B219" s="28">
        <v>2</v>
      </c>
      <c r="C219" s="28" t="s">
        <v>361</v>
      </c>
      <c r="D219" s="28" t="s">
        <v>361</v>
      </c>
      <c r="E219" s="28">
        <v>0</v>
      </c>
      <c r="F219" s="28">
        <v>0</v>
      </c>
      <c r="G219" s="28">
        <v>2</v>
      </c>
      <c r="H219" s="28">
        <v>2</v>
      </c>
      <c r="I219" s="28">
        <v>0</v>
      </c>
      <c r="J219" s="29"/>
      <c r="K219" s="29"/>
      <c r="L219" s="29" t="s">
        <v>361</v>
      </c>
      <c r="M219" s="30">
        <v>0</v>
      </c>
      <c r="N219" s="29" t="s">
        <v>362</v>
      </c>
      <c r="O219" s="30">
        <v>0</v>
      </c>
      <c r="P219" s="29"/>
      <c r="Q219" s="30">
        <v>0</v>
      </c>
      <c r="R219" s="29"/>
      <c r="S219" s="30">
        <v>0</v>
      </c>
      <c r="T219" s="29"/>
      <c r="U219" s="30">
        <v>0</v>
      </c>
    </row>
    <row r="220" spans="1:21" x14ac:dyDescent="0.45">
      <c r="A220" s="28">
        <v>226</v>
      </c>
      <c r="B220" s="28">
        <v>2</v>
      </c>
      <c r="C220" s="28"/>
      <c r="D220" s="28" t="s">
        <v>564</v>
      </c>
      <c r="E220" s="28">
        <v>0</v>
      </c>
      <c r="F220" s="28">
        <v>0</v>
      </c>
      <c r="G220" s="28">
        <v>2</v>
      </c>
      <c r="H220" s="28">
        <v>2</v>
      </c>
      <c r="I220" s="28">
        <v>0</v>
      </c>
      <c r="J220" s="29"/>
      <c r="K220" s="29"/>
      <c r="L220" s="29" t="s">
        <v>565</v>
      </c>
      <c r="M220" s="30">
        <v>0</v>
      </c>
      <c r="N220" s="29"/>
      <c r="O220" s="30">
        <v>0</v>
      </c>
      <c r="P220" s="29"/>
      <c r="Q220" s="30">
        <v>0</v>
      </c>
      <c r="R220" s="29"/>
      <c r="S220" s="30">
        <v>0</v>
      </c>
      <c r="T220" s="29"/>
      <c r="U220" s="30">
        <v>0</v>
      </c>
    </row>
    <row r="221" spans="1:21" x14ac:dyDescent="0.45">
      <c r="A221" s="28">
        <v>227</v>
      </c>
      <c r="B221" s="28">
        <v>2</v>
      </c>
      <c r="C221" s="28" t="s">
        <v>566</v>
      </c>
      <c r="D221" s="28" t="s">
        <v>566</v>
      </c>
      <c r="E221" s="28">
        <v>0</v>
      </c>
      <c r="F221" s="28">
        <v>0</v>
      </c>
      <c r="G221" s="28">
        <v>2</v>
      </c>
      <c r="H221" s="28">
        <v>2</v>
      </c>
      <c r="I221" s="28">
        <v>0</v>
      </c>
      <c r="J221" s="29"/>
      <c r="K221" s="29"/>
      <c r="L221" s="29" t="s">
        <v>566</v>
      </c>
      <c r="M221" s="30">
        <v>0</v>
      </c>
      <c r="N221" s="29"/>
      <c r="O221" s="30">
        <v>0</v>
      </c>
      <c r="P221" s="29"/>
      <c r="Q221" s="30">
        <v>0</v>
      </c>
      <c r="R221" s="29"/>
      <c r="S221" s="30">
        <v>0</v>
      </c>
      <c r="T221" s="29"/>
      <c r="U221" s="30">
        <v>0</v>
      </c>
    </row>
    <row r="222" spans="1:21" x14ac:dyDescent="0.45">
      <c r="A222" s="28">
        <v>229</v>
      </c>
      <c r="B222" s="28">
        <v>0</v>
      </c>
      <c r="C222" s="28" t="s">
        <v>401</v>
      </c>
      <c r="D222" s="28"/>
      <c r="E222" s="28">
        <v>0</v>
      </c>
      <c r="F222" s="28">
        <v>0</v>
      </c>
      <c r="G222" s="28">
        <v>0</v>
      </c>
      <c r="H222" s="28">
        <v>0</v>
      </c>
      <c r="I222" s="28">
        <v>0</v>
      </c>
      <c r="J222" s="29"/>
      <c r="K222" s="29"/>
      <c r="L222" s="29"/>
      <c r="M222" s="30">
        <v>0</v>
      </c>
      <c r="N222" s="29"/>
      <c r="O222" s="30">
        <v>0</v>
      </c>
      <c r="P222" s="29"/>
      <c r="Q222" s="30">
        <v>0</v>
      </c>
      <c r="R222" s="29"/>
      <c r="S222" s="30">
        <v>0</v>
      </c>
      <c r="T222" s="29"/>
      <c r="U222" s="30">
        <v>0</v>
      </c>
    </row>
    <row r="223" spans="1:21" x14ac:dyDescent="0.45">
      <c r="A223" s="28">
        <v>230</v>
      </c>
      <c r="B223" s="28">
        <v>1</v>
      </c>
      <c r="C223" s="28" t="s">
        <v>567</v>
      </c>
      <c r="D223" s="28" t="s">
        <v>567</v>
      </c>
      <c r="E223" s="28">
        <v>0</v>
      </c>
      <c r="F223" s="28">
        <v>0</v>
      </c>
      <c r="G223" s="28">
        <v>3</v>
      </c>
      <c r="H223" s="28">
        <v>2</v>
      </c>
      <c r="I223" s="28">
        <v>0</v>
      </c>
      <c r="J223" s="29"/>
      <c r="K223" s="29"/>
      <c r="L223" s="29" t="s">
        <v>568</v>
      </c>
      <c r="M223" s="30">
        <v>0</v>
      </c>
      <c r="N223" s="29"/>
      <c r="O223" s="30">
        <v>0</v>
      </c>
      <c r="P223" s="29"/>
      <c r="Q223" s="30">
        <v>0</v>
      </c>
      <c r="R223" s="29"/>
      <c r="S223" s="30">
        <v>0</v>
      </c>
      <c r="T223" s="29"/>
      <c r="U223" s="30">
        <v>0</v>
      </c>
    </row>
    <row r="224" spans="1:21" x14ac:dyDescent="0.45">
      <c r="A224" s="28">
        <v>231</v>
      </c>
      <c r="B224" s="28">
        <v>1</v>
      </c>
      <c r="C224" s="28" t="s">
        <v>569</v>
      </c>
      <c r="D224" s="28" t="s">
        <v>569</v>
      </c>
      <c r="E224" s="28">
        <v>0</v>
      </c>
      <c r="F224" s="28">
        <v>0</v>
      </c>
      <c r="G224" s="28">
        <v>3</v>
      </c>
      <c r="H224" s="28">
        <v>2</v>
      </c>
      <c r="I224" s="28">
        <v>0</v>
      </c>
      <c r="J224" s="29"/>
      <c r="K224" s="29"/>
      <c r="L224" s="29" t="s">
        <v>570</v>
      </c>
      <c r="M224" s="30">
        <v>0</v>
      </c>
      <c r="N224" s="29"/>
      <c r="O224" s="30">
        <v>0</v>
      </c>
      <c r="P224" s="29"/>
      <c r="Q224" s="30">
        <v>0</v>
      </c>
      <c r="R224" s="29"/>
      <c r="S224" s="30">
        <v>0</v>
      </c>
      <c r="T224" s="29"/>
      <c r="U224" s="30">
        <v>0</v>
      </c>
    </row>
    <row r="225" spans="1:21" x14ac:dyDescent="0.45">
      <c r="A225" s="28">
        <v>232</v>
      </c>
      <c r="B225" s="28">
        <v>1</v>
      </c>
      <c r="C225" s="28" t="s">
        <v>571</v>
      </c>
      <c r="D225" s="28" t="s">
        <v>571</v>
      </c>
      <c r="E225" s="28">
        <v>0</v>
      </c>
      <c r="F225" s="28">
        <v>0</v>
      </c>
      <c r="G225" s="28">
        <v>3</v>
      </c>
      <c r="H225" s="28">
        <v>2</v>
      </c>
      <c r="I225" s="28">
        <v>0</v>
      </c>
      <c r="J225" s="29"/>
      <c r="K225" s="29"/>
      <c r="L225" s="29" t="s">
        <v>572</v>
      </c>
      <c r="M225" s="30">
        <v>0</v>
      </c>
      <c r="N225" s="29"/>
      <c r="O225" s="30">
        <v>0</v>
      </c>
      <c r="P225" s="29"/>
      <c r="Q225" s="30">
        <v>0</v>
      </c>
      <c r="R225" s="29"/>
      <c r="S225" s="30">
        <v>0</v>
      </c>
      <c r="T225" s="29"/>
      <c r="U225" s="30">
        <v>0</v>
      </c>
    </row>
    <row r="226" spans="1:21" x14ac:dyDescent="0.45">
      <c r="A226" s="28">
        <v>233</v>
      </c>
      <c r="B226" s="28">
        <v>1</v>
      </c>
      <c r="C226" s="28" t="s">
        <v>573</v>
      </c>
      <c r="D226" s="28" t="s">
        <v>573</v>
      </c>
      <c r="E226" s="28">
        <v>0</v>
      </c>
      <c r="F226" s="28">
        <v>0</v>
      </c>
      <c r="G226" s="28">
        <v>3</v>
      </c>
      <c r="H226" s="28">
        <v>2</v>
      </c>
      <c r="I226" s="28">
        <v>0</v>
      </c>
      <c r="J226" s="29"/>
      <c r="K226" s="29"/>
      <c r="L226" s="29" t="s">
        <v>574</v>
      </c>
      <c r="M226" s="30">
        <v>0</v>
      </c>
      <c r="N226" s="29"/>
      <c r="O226" s="30">
        <v>0</v>
      </c>
      <c r="P226" s="29"/>
      <c r="Q226" s="30">
        <v>0</v>
      </c>
      <c r="R226" s="29"/>
      <c r="S226" s="30">
        <v>0</v>
      </c>
      <c r="T226" s="29"/>
      <c r="U226" s="30">
        <v>0</v>
      </c>
    </row>
    <row r="227" spans="1:21" x14ac:dyDescent="0.45">
      <c r="A227" s="28">
        <v>234</v>
      </c>
      <c r="B227" s="28">
        <v>1</v>
      </c>
      <c r="C227" s="28" t="s">
        <v>575</v>
      </c>
      <c r="D227" s="28" t="s">
        <v>575</v>
      </c>
      <c r="E227" s="28">
        <v>0</v>
      </c>
      <c r="F227" s="28">
        <v>0</v>
      </c>
      <c r="G227" s="28">
        <v>3</v>
      </c>
      <c r="H227" s="28">
        <v>2</v>
      </c>
      <c r="I227" s="28">
        <v>0</v>
      </c>
      <c r="J227" s="29"/>
      <c r="K227" s="29"/>
      <c r="L227" s="29" t="s">
        <v>576</v>
      </c>
      <c r="M227" s="30">
        <v>0</v>
      </c>
      <c r="N227" s="29"/>
      <c r="O227" s="30">
        <v>0</v>
      </c>
      <c r="P227" s="29"/>
      <c r="Q227" s="30">
        <v>0</v>
      </c>
      <c r="R227" s="29"/>
      <c r="S227" s="30">
        <v>0</v>
      </c>
      <c r="T227" s="29"/>
      <c r="U227" s="30">
        <v>0</v>
      </c>
    </row>
    <row r="228" spans="1:21" x14ac:dyDescent="0.45">
      <c r="A228" s="28">
        <v>235</v>
      </c>
      <c r="B228" s="28">
        <v>1</v>
      </c>
      <c r="C228" s="28" t="s">
        <v>577</v>
      </c>
      <c r="D228" s="28" t="s">
        <v>577</v>
      </c>
      <c r="E228" s="28">
        <v>0</v>
      </c>
      <c r="F228" s="28">
        <v>0</v>
      </c>
      <c r="G228" s="28">
        <v>3</v>
      </c>
      <c r="H228" s="28">
        <v>2</v>
      </c>
      <c r="I228" s="28">
        <v>0</v>
      </c>
      <c r="J228" s="29"/>
      <c r="K228" s="29"/>
      <c r="L228" s="29" t="s">
        <v>578</v>
      </c>
      <c r="M228" s="30">
        <v>0</v>
      </c>
      <c r="N228" s="29"/>
      <c r="O228" s="30">
        <v>0</v>
      </c>
      <c r="P228" s="29"/>
      <c r="Q228" s="30">
        <v>0</v>
      </c>
      <c r="R228" s="29"/>
      <c r="S228" s="30">
        <v>0</v>
      </c>
      <c r="T228" s="29"/>
      <c r="U228" s="30">
        <v>0</v>
      </c>
    </row>
    <row r="229" spans="1:21" x14ac:dyDescent="0.45">
      <c r="A229" s="28">
        <v>236</v>
      </c>
      <c r="B229" s="28">
        <v>1</v>
      </c>
      <c r="C229" s="28" t="s">
        <v>579</v>
      </c>
      <c r="D229" s="28" t="s">
        <v>579</v>
      </c>
      <c r="E229" s="28">
        <v>0</v>
      </c>
      <c r="F229" s="28">
        <v>237</v>
      </c>
      <c r="G229" s="28">
        <v>1</v>
      </c>
      <c r="H229" s="28">
        <v>2</v>
      </c>
      <c r="I229" s="28">
        <v>0</v>
      </c>
      <c r="J229" s="29"/>
      <c r="K229" s="29"/>
      <c r="L229" s="29" t="s">
        <v>580</v>
      </c>
      <c r="M229" s="30">
        <v>0</v>
      </c>
      <c r="N229" s="29" t="s">
        <v>581</v>
      </c>
      <c r="O229" s="30">
        <v>0</v>
      </c>
      <c r="P229" s="29" t="s">
        <v>312</v>
      </c>
      <c r="Q229" s="30">
        <v>0</v>
      </c>
      <c r="R229" s="29"/>
      <c r="S229" s="30">
        <v>0</v>
      </c>
      <c r="T229" s="29"/>
      <c r="U229" s="30">
        <v>0</v>
      </c>
    </row>
    <row r="230" spans="1:21" x14ac:dyDescent="0.45">
      <c r="A230" s="28">
        <v>237</v>
      </c>
      <c r="B230" s="28">
        <v>1</v>
      </c>
      <c r="C230" s="28" t="s">
        <v>579</v>
      </c>
      <c r="D230" s="28" t="s">
        <v>579</v>
      </c>
      <c r="E230" s="28">
        <v>0</v>
      </c>
      <c r="F230" s="28">
        <v>237</v>
      </c>
      <c r="G230" s="28">
        <v>1</v>
      </c>
      <c r="H230" s="28">
        <v>2</v>
      </c>
      <c r="I230" s="28">
        <v>0</v>
      </c>
      <c r="J230" s="29"/>
      <c r="K230" s="29"/>
      <c r="L230" s="29" t="s">
        <v>580</v>
      </c>
      <c r="M230" s="30">
        <v>0</v>
      </c>
      <c r="N230" s="29" t="s">
        <v>581</v>
      </c>
      <c r="O230" s="30">
        <v>0</v>
      </c>
      <c r="P230" s="29" t="s">
        <v>312</v>
      </c>
      <c r="Q230" s="30">
        <v>0</v>
      </c>
      <c r="R230" s="29"/>
      <c r="S230" s="30">
        <v>0</v>
      </c>
      <c r="T230" s="29"/>
      <c r="U230" s="30">
        <v>0</v>
      </c>
    </row>
    <row r="231" spans="1:21" x14ac:dyDescent="0.45">
      <c r="A231" s="28">
        <v>238</v>
      </c>
      <c r="B231" s="28">
        <v>2</v>
      </c>
      <c r="C231" s="28" t="s">
        <v>582</v>
      </c>
      <c r="D231" s="28" t="s">
        <v>582</v>
      </c>
      <c r="E231" s="28">
        <v>0</v>
      </c>
      <c r="F231" s="28">
        <v>239</v>
      </c>
      <c r="G231" s="28">
        <v>2</v>
      </c>
      <c r="H231" s="28">
        <v>0</v>
      </c>
      <c r="I231" s="28">
        <v>0</v>
      </c>
      <c r="J231" s="29"/>
      <c r="K231" s="29"/>
      <c r="L231" s="29" t="s">
        <v>582</v>
      </c>
      <c r="M231" s="30">
        <v>0</v>
      </c>
      <c r="N231" s="29" t="s">
        <v>362</v>
      </c>
      <c r="O231" s="30">
        <v>0</v>
      </c>
      <c r="P231" s="29"/>
      <c r="Q231" s="30">
        <v>0</v>
      </c>
      <c r="R231" s="29"/>
      <c r="S231" s="30">
        <v>0</v>
      </c>
      <c r="T231" s="29"/>
      <c r="U231" s="30">
        <v>0</v>
      </c>
    </row>
    <row r="232" spans="1:21" x14ac:dyDescent="0.45">
      <c r="A232" s="28">
        <v>240</v>
      </c>
      <c r="B232" s="28">
        <v>2</v>
      </c>
      <c r="C232" s="28" t="s">
        <v>583</v>
      </c>
      <c r="D232" s="28" t="s">
        <v>583</v>
      </c>
      <c r="E232" s="28">
        <v>0</v>
      </c>
      <c r="F232" s="28">
        <v>241</v>
      </c>
      <c r="G232" s="28">
        <v>2</v>
      </c>
      <c r="H232" s="28">
        <v>0</v>
      </c>
      <c r="I232" s="28">
        <v>0</v>
      </c>
      <c r="J232" s="29"/>
      <c r="K232" s="29"/>
      <c r="L232" s="29" t="s">
        <v>583</v>
      </c>
      <c r="M232" s="30">
        <v>0</v>
      </c>
      <c r="N232" s="29" t="s">
        <v>302</v>
      </c>
      <c r="O232" s="30">
        <v>0</v>
      </c>
      <c r="P232" s="29"/>
      <c r="Q232" s="30">
        <v>0</v>
      </c>
      <c r="R232" s="29"/>
      <c r="S232" s="30">
        <v>0</v>
      </c>
      <c r="T232" s="29"/>
      <c r="U232" s="30">
        <v>0</v>
      </c>
    </row>
    <row r="233" spans="1:21" x14ac:dyDescent="0.45">
      <c r="A233" s="28">
        <v>241</v>
      </c>
      <c r="B233" s="28">
        <v>2</v>
      </c>
      <c r="C233" s="28" t="s">
        <v>584</v>
      </c>
      <c r="D233" s="28" t="s">
        <v>584</v>
      </c>
      <c r="E233" s="28">
        <v>0</v>
      </c>
      <c r="F233" s="28">
        <v>0</v>
      </c>
      <c r="G233" s="28">
        <v>2</v>
      </c>
      <c r="H233" s="28">
        <v>2</v>
      </c>
      <c r="I233" s="28">
        <v>0</v>
      </c>
      <c r="J233" s="29"/>
      <c r="K233" s="29"/>
      <c r="L233" s="29" t="s">
        <v>584</v>
      </c>
      <c r="M233" s="30">
        <v>0</v>
      </c>
      <c r="N233" s="29"/>
      <c r="O233" s="30">
        <v>0</v>
      </c>
      <c r="P233" s="29"/>
      <c r="Q233" s="30">
        <v>0</v>
      </c>
      <c r="R233" s="29"/>
      <c r="S233" s="30">
        <v>0</v>
      </c>
      <c r="T233" s="29"/>
      <c r="U233" s="30">
        <v>0</v>
      </c>
    </row>
    <row r="234" spans="1:21" x14ac:dyDescent="0.45">
      <c r="A234" s="28">
        <v>242</v>
      </c>
      <c r="B234" s="28">
        <v>2</v>
      </c>
      <c r="C234" s="28" t="s">
        <v>585</v>
      </c>
      <c r="D234" s="28" t="s">
        <v>585</v>
      </c>
      <c r="E234" s="28">
        <v>0</v>
      </c>
      <c r="F234" s="28">
        <v>0</v>
      </c>
      <c r="G234" s="28">
        <v>2</v>
      </c>
      <c r="H234" s="28">
        <v>2</v>
      </c>
      <c r="I234" s="28">
        <v>0</v>
      </c>
      <c r="J234" s="29"/>
      <c r="K234" s="29"/>
      <c r="L234" s="29" t="s">
        <v>585</v>
      </c>
      <c r="M234" s="30">
        <v>0</v>
      </c>
      <c r="N234" s="29"/>
      <c r="O234" s="30">
        <v>0</v>
      </c>
      <c r="P234" s="29"/>
      <c r="Q234" s="30">
        <v>0</v>
      </c>
      <c r="R234" s="29"/>
      <c r="S234" s="30">
        <v>0</v>
      </c>
      <c r="T234" s="29"/>
      <c r="U234" s="30">
        <v>0</v>
      </c>
    </row>
    <row r="235" spans="1:21" x14ac:dyDescent="0.45">
      <c r="A235" s="28">
        <v>243</v>
      </c>
      <c r="B235" s="28">
        <v>2</v>
      </c>
      <c r="C235" s="28" t="s">
        <v>586</v>
      </c>
      <c r="D235" s="28" t="s">
        <v>586</v>
      </c>
      <c r="E235" s="28">
        <v>0</v>
      </c>
      <c r="F235" s="28">
        <v>0</v>
      </c>
      <c r="G235" s="28">
        <v>2</v>
      </c>
      <c r="H235" s="28">
        <v>2</v>
      </c>
      <c r="I235" s="28">
        <v>0</v>
      </c>
      <c r="J235" s="29"/>
      <c r="K235" s="29"/>
      <c r="L235" s="29" t="s">
        <v>586</v>
      </c>
      <c r="M235" s="30">
        <v>0</v>
      </c>
      <c r="N235" s="29"/>
      <c r="O235" s="30">
        <v>0</v>
      </c>
      <c r="P235" s="29"/>
      <c r="Q235" s="30">
        <v>0</v>
      </c>
      <c r="R235" s="29"/>
      <c r="S235" s="30">
        <v>0</v>
      </c>
      <c r="T235" s="29"/>
      <c r="U235" s="30">
        <v>0</v>
      </c>
    </row>
    <row r="236" spans="1:21" x14ac:dyDescent="0.45">
      <c r="A236" s="28">
        <v>244</v>
      </c>
      <c r="B236" s="28">
        <v>2</v>
      </c>
      <c r="C236" s="28" t="s">
        <v>587</v>
      </c>
      <c r="D236" s="28" t="s">
        <v>587</v>
      </c>
      <c r="E236" s="28">
        <v>0</v>
      </c>
      <c r="F236" s="28">
        <v>0</v>
      </c>
      <c r="G236" s="28">
        <v>2</v>
      </c>
      <c r="H236" s="28">
        <v>2</v>
      </c>
      <c r="I236" s="28">
        <v>0</v>
      </c>
      <c r="J236" s="29"/>
      <c r="K236" s="29"/>
      <c r="L236" s="29" t="s">
        <v>587</v>
      </c>
      <c r="M236" s="30">
        <v>0</v>
      </c>
      <c r="N236" s="29"/>
      <c r="O236" s="30">
        <v>0</v>
      </c>
      <c r="P236" s="29"/>
      <c r="Q236" s="30">
        <v>0</v>
      </c>
      <c r="R236" s="29"/>
      <c r="S236" s="30">
        <v>0</v>
      </c>
      <c r="T236" s="29"/>
      <c r="U236" s="30">
        <v>0</v>
      </c>
    </row>
    <row r="237" spans="1:21" x14ac:dyDescent="0.45">
      <c r="A237" s="28">
        <v>245</v>
      </c>
      <c r="B237" s="28">
        <v>2</v>
      </c>
      <c r="C237" s="28" t="s">
        <v>588</v>
      </c>
      <c r="D237" s="28" t="s">
        <v>588</v>
      </c>
      <c r="E237" s="28">
        <v>0</v>
      </c>
      <c r="F237" s="28">
        <v>0</v>
      </c>
      <c r="G237" s="28">
        <v>2</v>
      </c>
      <c r="H237" s="28">
        <v>2</v>
      </c>
      <c r="I237" s="28">
        <v>0</v>
      </c>
      <c r="J237" s="29"/>
      <c r="K237" s="29"/>
      <c r="L237" s="29" t="s">
        <v>588</v>
      </c>
      <c r="M237" s="30">
        <v>0</v>
      </c>
      <c r="N237" s="29"/>
      <c r="O237" s="30">
        <v>0</v>
      </c>
      <c r="P237" s="29"/>
      <c r="Q237" s="30">
        <v>0</v>
      </c>
      <c r="R237" s="29"/>
      <c r="S237" s="30">
        <v>0</v>
      </c>
      <c r="T237" s="29"/>
      <c r="U237" s="30">
        <v>0</v>
      </c>
    </row>
    <row r="238" spans="1:21" x14ac:dyDescent="0.45">
      <c r="A238" s="28">
        <v>246</v>
      </c>
      <c r="B238" s="28">
        <v>2</v>
      </c>
      <c r="C238" s="28" t="s">
        <v>589</v>
      </c>
      <c r="D238" s="28" t="s">
        <v>589</v>
      </c>
      <c r="E238" s="28">
        <v>0</v>
      </c>
      <c r="F238" s="28">
        <v>0</v>
      </c>
      <c r="G238" s="28">
        <v>2</v>
      </c>
      <c r="H238" s="28">
        <v>2</v>
      </c>
      <c r="I238" s="28">
        <v>0</v>
      </c>
      <c r="J238" s="29"/>
      <c r="K238" s="29"/>
      <c r="L238" s="29" t="s">
        <v>589</v>
      </c>
      <c r="M238" s="30">
        <v>0</v>
      </c>
      <c r="N238" s="29"/>
      <c r="O238" s="30">
        <v>0</v>
      </c>
      <c r="P238" s="29"/>
      <c r="Q238" s="30">
        <v>0</v>
      </c>
      <c r="R238" s="29"/>
      <c r="S238" s="30">
        <v>0</v>
      </c>
      <c r="T238" s="29"/>
      <c r="U238" s="30">
        <v>0</v>
      </c>
    </row>
    <row r="239" spans="1:21" x14ac:dyDescent="0.45">
      <c r="A239" s="28">
        <v>247</v>
      </c>
      <c r="B239" s="28">
        <v>2</v>
      </c>
      <c r="C239" s="28" t="s">
        <v>590</v>
      </c>
      <c r="D239" s="28" t="s">
        <v>590</v>
      </c>
      <c r="E239" s="28">
        <v>0</v>
      </c>
      <c r="F239" s="28">
        <v>0</v>
      </c>
      <c r="G239" s="28">
        <v>2</v>
      </c>
      <c r="H239" s="28">
        <v>2</v>
      </c>
      <c r="I239" s="28">
        <v>0</v>
      </c>
      <c r="J239" s="29"/>
      <c r="K239" s="29"/>
      <c r="L239" s="29" t="s">
        <v>590</v>
      </c>
      <c r="M239" s="30">
        <v>0</v>
      </c>
      <c r="N239" s="29"/>
      <c r="O239" s="30">
        <v>0</v>
      </c>
      <c r="P239" s="29"/>
      <c r="Q239" s="30">
        <v>0</v>
      </c>
      <c r="R239" s="29"/>
      <c r="S239" s="30">
        <v>0</v>
      </c>
      <c r="T239" s="29"/>
      <c r="U239" s="30">
        <v>0</v>
      </c>
    </row>
    <row r="240" spans="1:21" x14ac:dyDescent="0.45">
      <c r="A240" s="28">
        <v>248</v>
      </c>
      <c r="B240" s="28">
        <v>2</v>
      </c>
      <c r="C240" s="28" t="s">
        <v>591</v>
      </c>
      <c r="D240" s="28" t="s">
        <v>591</v>
      </c>
      <c r="E240" s="28">
        <v>0</v>
      </c>
      <c r="F240" s="28">
        <v>0</v>
      </c>
      <c r="G240" s="28">
        <v>2</v>
      </c>
      <c r="H240" s="28">
        <v>2</v>
      </c>
      <c r="I240" s="28">
        <v>0</v>
      </c>
      <c r="J240" s="29"/>
      <c r="K240" s="29"/>
      <c r="L240" s="29" t="s">
        <v>591</v>
      </c>
      <c r="M240" s="30">
        <v>0</v>
      </c>
      <c r="N240" s="29"/>
      <c r="O240" s="30">
        <v>0</v>
      </c>
      <c r="P240" s="29"/>
      <c r="Q240" s="30">
        <v>0</v>
      </c>
      <c r="R240" s="29"/>
      <c r="S240" s="30">
        <v>0</v>
      </c>
      <c r="T240" s="29"/>
      <c r="U240" s="30">
        <v>0</v>
      </c>
    </row>
    <row r="241" spans="1:21" x14ac:dyDescent="0.45">
      <c r="A241" s="28">
        <v>250</v>
      </c>
      <c r="B241" s="28">
        <v>2</v>
      </c>
      <c r="C241" s="28" t="s">
        <v>592</v>
      </c>
      <c r="D241" s="28" t="s">
        <v>592</v>
      </c>
      <c r="E241" s="28">
        <v>0</v>
      </c>
      <c r="F241" s="28">
        <v>0</v>
      </c>
      <c r="G241" s="28">
        <v>2</v>
      </c>
      <c r="H241" s="28">
        <v>2</v>
      </c>
      <c r="I241" s="28">
        <v>0</v>
      </c>
      <c r="J241" s="29"/>
      <c r="K241" s="29"/>
      <c r="L241" s="29" t="s">
        <v>292</v>
      </c>
      <c r="M241" s="30">
        <v>1</v>
      </c>
      <c r="N241" s="29" t="s">
        <v>361</v>
      </c>
      <c r="O241" s="30">
        <v>0</v>
      </c>
      <c r="P241" s="29" t="s">
        <v>593</v>
      </c>
      <c r="Q241" s="30">
        <v>0</v>
      </c>
      <c r="R241" s="29" t="s">
        <v>594</v>
      </c>
      <c r="S241" s="30">
        <v>0</v>
      </c>
      <c r="T241" s="29" t="s">
        <v>595</v>
      </c>
      <c r="U241" s="30">
        <v>0</v>
      </c>
    </row>
    <row r="242" spans="1:21" x14ac:dyDescent="0.45">
      <c r="A242" s="28">
        <v>251</v>
      </c>
      <c r="B242" s="28">
        <v>2</v>
      </c>
      <c r="C242" s="28" t="s">
        <v>596</v>
      </c>
      <c r="D242" s="28" t="s">
        <v>596</v>
      </c>
      <c r="E242" s="28">
        <v>0</v>
      </c>
      <c r="F242" s="28">
        <v>0</v>
      </c>
      <c r="G242" s="28">
        <v>2</v>
      </c>
      <c r="H242" s="28">
        <v>2</v>
      </c>
      <c r="I242" s="28">
        <v>0</v>
      </c>
      <c r="J242" s="29"/>
      <c r="K242" s="29"/>
      <c r="L242" s="29" t="s">
        <v>596</v>
      </c>
      <c r="M242" s="30">
        <v>0</v>
      </c>
      <c r="N242" s="29"/>
      <c r="O242" s="30">
        <v>0</v>
      </c>
      <c r="P242" s="29"/>
      <c r="Q242" s="30">
        <v>0</v>
      </c>
      <c r="R242" s="29"/>
      <c r="S242" s="30">
        <v>0</v>
      </c>
      <c r="T242" s="29"/>
      <c r="U242" s="30">
        <v>0</v>
      </c>
    </row>
    <row r="243" spans="1:21" x14ac:dyDescent="0.45">
      <c r="A243" s="28">
        <v>252</v>
      </c>
      <c r="B243" s="28">
        <v>2</v>
      </c>
      <c r="C243" s="28" t="s">
        <v>597</v>
      </c>
      <c r="D243" s="28" t="s">
        <v>597</v>
      </c>
      <c r="E243" s="28">
        <v>0</v>
      </c>
      <c r="F243" s="28">
        <v>0</v>
      </c>
      <c r="G243" s="28">
        <v>2</v>
      </c>
      <c r="H243" s="28">
        <v>2</v>
      </c>
      <c r="I243" s="28">
        <v>0</v>
      </c>
      <c r="J243" s="29"/>
      <c r="K243" s="29"/>
      <c r="L243" s="29" t="s">
        <v>597</v>
      </c>
      <c r="M243" s="30">
        <v>0</v>
      </c>
      <c r="N243" s="29"/>
      <c r="O243" s="30">
        <v>0</v>
      </c>
      <c r="P243" s="29"/>
      <c r="Q243" s="30">
        <v>0</v>
      </c>
      <c r="R243" s="29"/>
      <c r="S243" s="30">
        <v>0</v>
      </c>
      <c r="T243" s="29"/>
      <c r="U243" s="30">
        <v>0</v>
      </c>
    </row>
    <row r="244" spans="1:21" x14ac:dyDescent="0.45">
      <c r="A244" s="28">
        <v>253</v>
      </c>
      <c r="B244" s="28">
        <v>2</v>
      </c>
      <c r="C244" s="28" t="s">
        <v>598</v>
      </c>
      <c r="D244" s="28" t="s">
        <v>598</v>
      </c>
      <c r="E244" s="28">
        <v>0</v>
      </c>
      <c r="F244" s="28">
        <v>0</v>
      </c>
      <c r="G244" s="28">
        <v>2</v>
      </c>
      <c r="H244" s="28">
        <v>2</v>
      </c>
      <c r="I244" s="28">
        <v>0</v>
      </c>
      <c r="J244" s="29"/>
      <c r="K244" s="29"/>
      <c r="L244" s="29" t="s">
        <v>598</v>
      </c>
      <c r="M244" s="30">
        <v>0</v>
      </c>
      <c r="N244" s="29"/>
      <c r="O244" s="30">
        <v>0</v>
      </c>
      <c r="P244" s="29"/>
      <c r="Q244" s="30">
        <v>0</v>
      </c>
      <c r="R244" s="29"/>
      <c r="S244" s="30">
        <v>0</v>
      </c>
      <c r="T244" s="29"/>
      <c r="U244" s="30">
        <v>0</v>
      </c>
    </row>
    <row r="245" spans="1:21" x14ac:dyDescent="0.45">
      <c r="A245" s="28">
        <v>254</v>
      </c>
      <c r="B245" s="28">
        <v>2</v>
      </c>
      <c r="C245" s="28" t="s">
        <v>599</v>
      </c>
      <c r="D245" s="28" t="s">
        <v>599</v>
      </c>
      <c r="E245" s="28">
        <v>0</v>
      </c>
      <c r="F245" s="28">
        <v>0</v>
      </c>
      <c r="G245" s="28">
        <v>2</v>
      </c>
      <c r="H245" s="28">
        <v>2</v>
      </c>
      <c r="I245" s="28">
        <v>0</v>
      </c>
      <c r="J245" s="29"/>
      <c r="K245" s="29"/>
      <c r="L245" s="29" t="s">
        <v>599</v>
      </c>
      <c r="M245" s="30">
        <v>0</v>
      </c>
      <c r="N245" s="29"/>
      <c r="O245" s="30">
        <v>0</v>
      </c>
      <c r="P245" s="29"/>
      <c r="Q245" s="30">
        <v>0</v>
      </c>
      <c r="R245" s="29"/>
      <c r="S245" s="30">
        <v>0</v>
      </c>
      <c r="T245" s="29"/>
      <c r="U245" s="30">
        <v>0</v>
      </c>
    </row>
    <row r="246" spans="1:21" x14ac:dyDescent="0.45">
      <c r="A246" s="28">
        <v>255</v>
      </c>
      <c r="B246" s="28">
        <v>2</v>
      </c>
      <c r="C246" s="28" t="s">
        <v>600</v>
      </c>
      <c r="D246" s="28" t="s">
        <v>600</v>
      </c>
      <c r="E246" s="28">
        <v>0</v>
      </c>
      <c r="F246" s="28">
        <v>0</v>
      </c>
      <c r="G246" s="28">
        <v>2</v>
      </c>
      <c r="H246" s="28">
        <v>2</v>
      </c>
      <c r="I246" s="28">
        <v>0</v>
      </c>
      <c r="J246" s="29"/>
      <c r="K246" s="29"/>
      <c r="L246" s="29" t="s">
        <v>601</v>
      </c>
      <c r="M246" s="30">
        <v>0</v>
      </c>
      <c r="N246" s="29"/>
      <c r="O246" s="30">
        <v>0</v>
      </c>
      <c r="P246" s="29"/>
      <c r="Q246" s="30">
        <v>0</v>
      </c>
      <c r="R246" s="29"/>
      <c r="S246" s="30">
        <v>0</v>
      </c>
      <c r="T246" s="29"/>
      <c r="U246" s="30">
        <v>0</v>
      </c>
    </row>
    <row r="247" spans="1:21" x14ac:dyDescent="0.45">
      <c r="A247" s="28">
        <v>256</v>
      </c>
      <c r="B247" s="28">
        <v>2</v>
      </c>
      <c r="C247" s="28" t="s">
        <v>602</v>
      </c>
      <c r="D247" s="28" t="s">
        <v>602</v>
      </c>
      <c r="E247" s="28">
        <v>0</v>
      </c>
      <c r="F247" s="28">
        <v>0</v>
      </c>
      <c r="G247" s="28">
        <v>2</v>
      </c>
      <c r="H247" s="28">
        <v>2</v>
      </c>
      <c r="I247" s="28">
        <v>0</v>
      </c>
      <c r="J247" s="29"/>
      <c r="K247" s="29"/>
      <c r="L247" s="29" t="s">
        <v>602</v>
      </c>
      <c r="M247" s="30">
        <v>0</v>
      </c>
      <c r="N247" s="29"/>
      <c r="O247" s="30">
        <v>0</v>
      </c>
      <c r="P247" s="29"/>
      <c r="Q247" s="30">
        <v>0</v>
      </c>
      <c r="R247" s="29"/>
      <c r="S247" s="30">
        <v>0</v>
      </c>
      <c r="T247" s="29"/>
      <c r="U247" s="30">
        <v>0</v>
      </c>
    </row>
    <row r="248" spans="1:21" x14ac:dyDescent="0.45">
      <c r="A248" s="28">
        <v>257</v>
      </c>
      <c r="B248" s="28">
        <v>2</v>
      </c>
      <c r="C248" s="28" t="s">
        <v>603</v>
      </c>
      <c r="D248" s="28" t="s">
        <v>603</v>
      </c>
      <c r="E248" s="28">
        <v>0</v>
      </c>
      <c r="F248" s="28">
        <v>0</v>
      </c>
      <c r="G248" s="28">
        <v>2</v>
      </c>
      <c r="H248" s="28">
        <v>2</v>
      </c>
      <c r="I248" s="28">
        <v>0</v>
      </c>
      <c r="J248" s="29"/>
      <c r="K248" s="29"/>
      <c r="L248" s="29" t="s">
        <v>603</v>
      </c>
      <c r="M248" s="30">
        <v>0</v>
      </c>
      <c r="N248" s="29"/>
      <c r="O248" s="30">
        <v>0</v>
      </c>
      <c r="P248" s="29"/>
      <c r="Q248" s="30">
        <v>0</v>
      </c>
      <c r="R248" s="29"/>
      <c r="S248" s="30">
        <v>0</v>
      </c>
      <c r="T248" s="29"/>
      <c r="U248" s="30">
        <v>0</v>
      </c>
    </row>
    <row r="249" spans="1:21" x14ac:dyDescent="0.45">
      <c r="A249" s="28">
        <v>258</v>
      </c>
      <c r="B249" s="28">
        <v>2</v>
      </c>
      <c r="C249" s="28" t="s">
        <v>535</v>
      </c>
      <c r="D249" s="28" t="s">
        <v>535</v>
      </c>
      <c r="E249" s="28">
        <v>0</v>
      </c>
      <c r="F249" s="28">
        <v>0</v>
      </c>
      <c r="G249" s="28">
        <v>2</v>
      </c>
      <c r="H249" s="28">
        <v>2</v>
      </c>
      <c r="I249" s="28">
        <v>0</v>
      </c>
      <c r="J249" s="29"/>
      <c r="K249" s="29"/>
      <c r="L249" s="29" t="s">
        <v>535</v>
      </c>
      <c r="M249" s="30">
        <v>0</v>
      </c>
      <c r="N249" s="29"/>
      <c r="O249" s="30">
        <v>0</v>
      </c>
      <c r="P249" s="29"/>
      <c r="Q249" s="30">
        <v>0</v>
      </c>
      <c r="R249" s="29"/>
      <c r="S249" s="30">
        <v>0</v>
      </c>
      <c r="T249" s="29"/>
      <c r="U249" s="30">
        <v>0</v>
      </c>
    </row>
    <row r="250" spans="1:21" x14ac:dyDescent="0.45">
      <c r="A250" s="28">
        <v>259</v>
      </c>
      <c r="B250" s="28">
        <v>2</v>
      </c>
      <c r="C250" s="28" t="s">
        <v>536</v>
      </c>
      <c r="D250" s="28" t="s">
        <v>536</v>
      </c>
      <c r="E250" s="28">
        <v>0</v>
      </c>
      <c r="F250" s="28">
        <v>0</v>
      </c>
      <c r="G250" s="28">
        <v>2</v>
      </c>
      <c r="H250" s="28">
        <v>2</v>
      </c>
      <c r="I250" s="28">
        <v>0</v>
      </c>
      <c r="J250" s="29"/>
      <c r="K250" s="29"/>
      <c r="L250" s="29" t="s">
        <v>536</v>
      </c>
      <c r="M250" s="30">
        <v>0</v>
      </c>
      <c r="N250" s="29"/>
      <c r="O250" s="30">
        <v>0</v>
      </c>
      <c r="P250" s="29"/>
      <c r="Q250" s="30">
        <v>0</v>
      </c>
      <c r="R250" s="29"/>
      <c r="S250" s="30">
        <v>0</v>
      </c>
      <c r="T250" s="29"/>
      <c r="U250" s="30">
        <v>0</v>
      </c>
    </row>
    <row r="251" spans="1:21" x14ac:dyDescent="0.45">
      <c r="A251" s="28">
        <v>260</v>
      </c>
      <c r="B251" s="28">
        <v>2</v>
      </c>
      <c r="C251" s="28" t="s">
        <v>594</v>
      </c>
      <c r="D251" s="28" t="s">
        <v>594</v>
      </c>
      <c r="E251" s="28">
        <v>0</v>
      </c>
      <c r="F251" s="28">
        <v>0</v>
      </c>
      <c r="G251" s="28">
        <v>2</v>
      </c>
      <c r="H251" s="28">
        <v>2</v>
      </c>
      <c r="I251" s="28">
        <v>0</v>
      </c>
      <c r="J251" s="29"/>
      <c r="K251" s="29"/>
      <c r="L251" s="29" t="s">
        <v>594</v>
      </c>
      <c r="M251" s="30">
        <v>0</v>
      </c>
      <c r="N251" s="29"/>
      <c r="O251" s="30">
        <v>0</v>
      </c>
      <c r="P251" s="29"/>
      <c r="Q251" s="30">
        <v>0</v>
      </c>
      <c r="R251" s="29"/>
      <c r="S251" s="30">
        <v>0</v>
      </c>
      <c r="T251" s="29"/>
      <c r="U251" s="30">
        <v>0</v>
      </c>
    </row>
    <row r="252" spans="1:21" x14ac:dyDescent="0.45">
      <c r="A252" s="28">
        <v>261</v>
      </c>
      <c r="B252" s="28">
        <v>2</v>
      </c>
      <c r="C252" s="28" t="s">
        <v>595</v>
      </c>
      <c r="D252" s="28" t="s">
        <v>595</v>
      </c>
      <c r="E252" s="28">
        <v>0</v>
      </c>
      <c r="F252" s="28">
        <v>0</v>
      </c>
      <c r="G252" s="28">
        <v>2</v>
      </c>
      <c r="H252" s="28">
        <v>2</v>
      </c>
      <c r="I252" s="28">
        <v>0</v>
      </c>
      <c r="J252" s="29"/>
      <c r="K252" s="29"/>
      <c r="L252" s="29" t="s">
        <v>595</v>
      </c>
      <c r="M252" s="30">
        <v>0</v>
      </c>
      <c r="N252" s="29"/>
      <c r="O252" s="30">
        <v>0</v>
      </c>
      <c r="P252" s="29"/>
      <c r="Q252" s="30">
        <v>0</v>
      </c>
      <c r="R252" s="29"/>
      <c r="S252" s="30">
        <v>0</v>
      </c>
      <c r="T252" s="29"/>
      <c r="U252" s="30">
        <v>0</v>
      </c>
    </row>
    <row r="253" spans="1:21" x14ac:dyDescent="0.45">
      <c r="A253" s="31">
        <v>262</v>
      </c>
      <c r="B253" s="31">
        <v>2</v>
      </c>
      <c r="C253" s="31" t="s">
        <v>604</v>
      </c>
      <c r="D253" s="31" t="s">
        <v>604</v>
      </c>
      <c r="E253" s="31">
        <v>0</v>
      </c>
      <c r="F253" s="31">
        <v>0</v>
      </c>
      <c r="G253" s="31">
        <v>2</v>
      </c>
      <c r="H253" s="31">
        <v>2</v>
      </c>
      <c r="I253" s="31">
        <v>0</v>
      </c>
      <c r="J253" s="32"/>
      <c r="K253" s="32"/>
      <c r="L253" s="32" t="s">
        <v>361</v>
      </c>
      <c r="M253" s="33">
        <v>0</v>
      </c>
      <c r="N253" s="32"/>
      <c r="O253" s="33">
        <v>0</v>
      </c>
      <c r="P253" s="32"/>
      <c r="Q253" s="33">
        <v>0</v>
      </c>
      <c r="R253" s="32"/>
      <c r="S253" s="33">
        <v>0</v>
      </c>
      <c r="T253" s="32"/>
      <c r="U253" s="33">
        <v>0</v>
      </c>
    </row>
    <row r="254" spans="1:21" x14ac:dyDescent="0.45">
      <c r="A254" s="34">
        <v>301</v>
      </c>
      <c r="B254" s="34">
        <v>2</v>
      </c>
      <c r="C254" s="34" t="s">
        <v>605</v>
      </c>
      <c r="D254" s="34" t="s">
        <v>605</v>
      </c>
      <c r="E254" s="34">
        <v>0</v>
      </c>
      <c r="F254" s="34">
        <v>0</v>
      </c>
      <c r="G254" s="34">
        <v>2</v>
      </c>
      <c r="H254" s="34">
        <v>2</v>
      </c>
      <c r="I254" s="34">
        <v>0</v>
      </c>
      <c r="J254" s="35"/>
      <c r="K254" s="35"/>
      <c r="L254" s="35"/>
      <c r="M254" s="36"/>
      <c r="N254" s="35"/>
      <c r="O254" s="36"/>
      <c r="P254" s="35"/>
      <c r="Q254" s="36"/>
      <c r="R254" s="35"/>
      <c r="S254" s="36"/>
      <c r="T254" s="35"/>
      <c r="U254" s="36"/>
    </row>
    <row r="255" spans="1:21" x14ac:dyDescent="0.45">
      <c r="A255" s="37">
        <v>302</v>
      </c>
      <c r="B255" s="37">
        <v>2</v>
      </c>
      <c r="C255" s="37" t="s">
        <v>606</v>
      </c>
      <c r="D255" s="37" t="s">
        <v>606</v>
      </c>
      <c r="E255" s="37">
        <v>0</v>
      </c>
      <c r="F255" s="37">
        <v>0</v>
      </c>
      <c r="G255" s="37">
        <v>2</v>
      </c>
      <c r="H255" s="37">
        <v>2</v>
      </c>
      <c r="I255" s="37">
        <v>0</v>
      </c>
      <c r="J255" s="38"/>
      <c r="K255" s="38"/>
      <c r="L255" s="38"/>
      <c r="M255" s="39"/>
      <c r="N255" s="38"/>
      <c r="O255" s="39"/>
      <c r="P255" s="38"/>
      <c r="Q255" s="39"/>
      <c r="R255" s="38"/>
      <c r="S255" s="39"/>
      <c r="T255" s="38"/>
      <c r="U255" s="39"/>
    </row>
    <row r="256" spans="1:21" x14ac:dyDescent="0.45">
      <c r="A256" s="37">
        <v>303</v>
      </c>
      <c r="B256" s="37">
        <v>2</v>
      </c>
      <c r="C256" s="37" t="s">
        <v>607</v>
      </c>
      <c r="D256" s="37" t="s">
        <v>607</v>
      </c>
      <c r="E256" s="37">
        <v>0</v>
      </c>
      <c r="F256" s="37">
        <v>0</v>
      </c>
      <c r="G256" s="37">
        <v>2</v>
      </c>
      <c r="H256" s="37">
        <v>2</v>
      </c>
      <c r="I256" s="37">
        <v>0</v>
      </c>
      <c r="J256" s="38"/>
      <c r="K256" s="38"/>
      <c r="L256" s="38"/>
      <c r="M256" s="39"/>
      <c r="N256" s="38"/>
      <c r="O256" s="39"/>
      <c r="P256" s="38"/>
      <c r="Q256" s="39"/>
      <c r="R256" s="38"/>
      <c r="S256" s="39"/>
      <c r="T256" s="38"/>
      <c r="U256" s="39"/>
    </row>
    <row r="257" spans="1:21" x14ac:dyDescent="0.45">
      <c r="A257" s="37">
        <v>304</v>
      </c>
      <c r="B257" s="37">
        <v>2</v>
      </c>
      <c r="C257" s="37" t="s">
        <v>608</v>
      </c>
      <c r="D257" s="37" t="s">
        <v>608</v>
      </c>
      <c r="E257" s="37">
        <v>0</v>
      </c>
      <c r="F257" s="37">
        <v>0</v>
      </c>
      <c r="G257" s="37">
        <v>2</v>
      </c>
      <c r="H257" s="37">
        <v>2</v>
      </c>
      <c r="I257" s="37">
        <v>0</v>
      </c>
      <c r="J257" s="38"/>
      <c r="K257" s="38"/>
      <c r="L257" s="38"/>
      <c r="M257" s="39"/>
      <c r="N257" s="38"/>
      <c r="O257" s="39"/>
      <c r="P257" s="38"/>
      <c r="Q257" s="39"/>
      <c r="R257" s="38"/>
      <c r="S257" s="39"/>
      <c r="T257" s="38"/>
      <c r="U257" s="39"/>
    </row>
    <row r="258" spans="1:21" x14ac:dyDescent="0.45">
      <c r="A258" s="37">
        <v>305</v>
      </c>
      <c r="B258" s="37">
        <v>2</v>
      </c>
      <c r="C258" s="37" t="s">
        <v>609</v>
      </c>
      <c r="D258" s="37" t="s">
        <v>609</v>
      </c>
      <c r="E258" s="37">
        <v>0</v>
      </c>
      <c r="F258" s="37">
        <v>0</v>
      </c>
      <c r="G258" s="37">
        <v>2</v>
      </c>
      <c r="H258" s="37">
        <v>2</v>
      </c>
      <c r="I258" s="37">
        <v>0</v>
      </c>
      <c r="J258" s="38"/>
      <c r="K258" s="38"/>
      <c r="L258" s="38"/>
      <c r="M258" s="39"/>
      <c r="N258" s="38"/>
      <c r="O258" s="39"/>
      <c r="P258" s="38"/>
      <c r="Q258" s="39"/>
      <c r="R258" s="38"/>
      <c r="S258" s="39"/>
      <c r="T258" s="38"/>
      <c r="U258" s="39"/>
    </row>
    <row r="259" spans="1:21" x14ac:dyDescent="0.45">
      <c r="A259" s="37">
        <v>306</v>
      </c>
      <c r="B259" s="37">
        <v>2</v>
      </c>
      <c r="C259" s="37" t="s">
        <v>610</v>
      </c>
      <c r="D259" s="37" t="s">
        <v>610</v>
      </c>
      <c r="E259" s="37">
        <v>0</v>
      </c>
      <c r="F259" s="37">
        <v>0</v>
      </c>
      <c r="G259" s="37">
        <v>2</v>
      </c>
      <c r="H259" s="37">
        <v>2</v>
      </c>
      <c r="I259" s="37">
        <v>0</v>
      </c>
      <c r="J259" s="38"/>
      <c r="K259" s="38"/>
      <c r="L259" s="38"/>
      <c r="M259" s="39"/>
      <c r="N259" s="38"/>
      <c r="O259" s="39"/>
      <c r="P259" s="38"/>
      <c r="Q259" s="39"/>
      <c r="R259" s="38"/>
      <c r="S259" s="39"/>
      <c r="T259" s="38"/>
      <c r="U259" s="39"/>
    </row>
    <row r="260" spans="1:21" x14ac:dyDescent="0.45">
      <c r="A260" s="37">
        <v>307</v>
      </c>
      <c r="B260" s="37">
        <v>2</v>
      </c>
      <c r="C260" s="37" t="s">
        <v>566</v>
      </c>
      <c r="D260" s="37" t="s">
        <v>566</v>
      </c>
      <c r="E260" s="37">
        <v>0</v>
      </c>
      <c r="F260" s="37">
        <v>0</v>
      </c>
      <c r="G260" s="37">
        <v>2</v>
      </c>
      <c r="H260" s="37">
        <v>2</v>
      </c>
      <c r="I260" s="37">
        <v>0</v>
      </c>
      <c r="J260" s="38"/>
      <c r="K260" s="38"/>
      <c r="L260" s="38"/>
      <c r="M260" s="39"/>
      <c r="N260" s="38"/>
      <c r="O260" s="39"/>
      <c r="P260" s="38"/>
      <c r="Q260" s="39"/>
      <c r="R260" s="38"/>
      <c r="S260" s="39"/>
      <c r="T260" s="38"/>
      <c r="U260" s="39"/>
    </row>
    <row r="261" spans="1:21" x14ac:dyDescent="0.45">
      <c r="A261" s="37">
        <v>308</v>
      </c>
      <c r="B261" s="37">
        <v>2</v>
      </c>
      <c r="C261" s="37" t="s">
        <v>358</v>
      </c>
      <c r="D261" s="37" t="s">
        <v>358</v>
      </c>
      <c r="E261" s="37">
        <v>0</v>
      </c>
      <c r="F261" s="37">
        <v>0</v>
      </c>
      <c r="G261" s="37">
        <v>2</v>
      </c>
      <c r="H261" s="37">
        <v>2</v>
      </c>
      <c r="I261" s="37">
        <v>0</v>
      </c>
      <c r="J261" s="38"/>
      <c r="K261" s="38"/>
      <c r="L261" s="38"/>
      <c r="M261" s="39"/>
      <c r="N261" s="38"/>
      <c r="O261" s="39"/>
      <c r="P261" s="38"/>
      <c r="Q261" s="39"/>
      <c r="R261" s="38"/>
      <c r="S261" s="39"/>
      <c r="T261" s="38"/>
      <c r="U261" s="39"/>
    </row>
    <row r="262" spans="1:21" x14ac:dyDescent="0.45">
      <c r="A262" s="37">
        <v>309</v>
      </c>
      <c r="B262" s="37">
        <v>2</v>
      </c>
      <c r="C262" s="37" t="s">
        <v>611</v>
      </c>
      <c r="D262" s="37" t="s">
        <v>611</v>
      </c>
      <c r="E262" s="37">
        <v>0</v>
      </c>
      <c r="F262" s="37">
        <v>0</v>
      </c>
      <c r="G262" s="37">
        <v>2</v>
      </c>
      <c r="H262" s="37">
        <v>2</v>
      </c>
      <c r="I262" s="37">
        <v>0</v>
      </c>
      <c r="J262" s="38"/>
      <c r="K262" s="38"/>
      <c r="L262" s="38"/>
      <c r="M262" s="39"/>
      <c r="N262" s="38"/>
      <c r="O262" s="39"/>
      <c r="P262" s="38"/>
      <c r="Q262" s="39"/>
      <c r="R262" s="38"/>
      <c r="S262" s="39"/>
      <c r="T262" s="38"/>
      <c r="U262" s="39"/>
    </row>
    <row r="263" spans="1:21" x14ac:dyDescent="0.45">
      <c r="A263" s="37">
        <v>310</v>
      </c>
      <c r="B263" s="37">
        <v>2</v>
      </c>
      <c r="C263" s="37" t="s">
        <v>612</v>
      </c>
      <c r="D263" s="37" t="s">
        <v>612</v>
      </c>
      <c r="E263" s="37">
        <v>0</v>
      </c>
      <c r="F263" s="37">
        <v>0</v>
      </c>
      <c r="G263" s="37">
        <v>2</v>
      </c>
      <c r="H263" s="37">
        <v>2</v>
      </c>
      <c r="I263" s="37">
        <v>0</v>
      </c>
      <c r="J263" s="38"/>
      <c r="K263" s="38"/>
      <c r="L263" s="38"/>
      <c r="M263" s="39"/>
      <c r="N263" s="38"/>
      <c r="O263" s="39"/>
      <c r="P263" s="38"/>
      <c r="Q263" s="39"/>
      <c r="R263" s="38"/>
      <c r="S263" s="39"/>
      <c r="T263" s="38"/>
      <c r="U263" s="39"/>
    </row>
    <row r="264" spans="1:21" x14ac:dyDescent="0.45">
      <c r="A264" s="37">
        <v>311</v>
      </c>
      <c r="B264" s="37">
        <v>2</v>
      </c>
      <c r="C264" s="37" t="s">
        <v>613</v>
      </c>
      <c r="D264" s="37" t="s">
        <v>613</v>
      </c>
      <c r="E264" s="37">
        <v>0</v>
      </c>
      <c r="F264" s="37">
        <v>0</v>
      </c>
      <c r="G264" s="37">
        <v>2</v>
      </c>
      <c r="H264" s="37">
        <v>2</v>
      </c>
      <c r="I264" s="37">
        <v>0</v>
      </c>
      <c r="J264" s="38"/>
      <c r="K264" s="38"/>
      <c r="L264" s="38"/>
      <c r="M264" s="39"/>
      <c r="N264" s="38"/>
      <c r="O264" s="39"/>
      <c r="P264" s="38"/>
      <c r="Q264" s="39"/>
      <c r="R264" s="38"/>
      <c r="S264" s="39"/>
      <c r="T264" s="38"/>
      <c r="U264" s="39"/>
    </row>
    <row r="265" spans="1:21" x14ac:dyDescent="0.45">
      <c r="A265" s="37">
        <v>312</v>
      </c>
      <c r="B265" s="37">
        <v>2</v>
      </c>
      <c r="C265" s="37" t="s">
        <v>614</v>
      </c>
      <c r="D265" s="37" t="s">
        <v>614</v>
      </c>
      <c r="E265" s="37">
        <v>0</v>
      </c>
      <c r="F265" s="37">
        <v>0</v>
      </c>
      <c r="G265" s="37">
        <v>2</v>
      </c>
      <c r="H265" s="37">
        <v>2</v>
      </c>
      <c r="I265" s="37">
        <v>0</v>
      </c>
      <c r="J265" s="38"/>
      <c r="K265" s="38"/>
      <c r="L265" s="38"/>
      <c r="M265" s="39"/>
      <c r="N265" s="38"/>
      <c r="O265" s="39"/>
      <c r="P265" s="38"/>
      <c r="Q265" s="39"/>
      <c r="R265" s="38"/>
      <c r="S265" s="39"/>
      <c r="T265" s="38"/>
      <c r="U265" s="39"/>
    </row>
    <row r="266" spans="1:21" x14ac:dyDescent="0.45">
      <c r="A266" s="37">
        <v>313</v>
      </c>
      <c r="B266" s="37">
        <v>2</v>
      </c>
      <c r="C266" s="37" t="s">
        <v>615</v>
      </c>
      <c r="D266" s="37" t="s">
        <v>615</v>
      </c>
      <c r="E266" s="37">
        <v>0</v>
      </c>
      <c r="F266" s="37">
        <v>0</v>
      </c>
      <c r="G266" s="37">
        <v>2</v>
      </c>
      <c r="H266" s="37">
        <v>2</v>
      </c>
      <c r="I266" s="37">
        <v>0</v>
      </c>
      <c r="J266" s="38"/>
      <c r="K266" s="38"/>
      <c r="L266" s="38"/>
      <c r="M266" s="39"/>
      <c r="N266" s="38"/>
      <c r="O266" s="39"/>
      <c r="P266" s="38"/>
      <c r="Q266" s="39"/>
      <c r="R266" s="38"/>
      <c r="S266" s="39"/>
      <c r="T266" s="38"/>
      <c r="U266" s="39"/>
    </row>
    <row r="267" spans="1:21" x14ac:dyDescent="0.45">
      <c r="A267" s="37">
        <v>314</v>
      </c>
      <c r="B267" s="37">
        <v>2</v>
      </c>
      <c r="C267" s="37" t="s">
        <v>616</v>
      </c>
      <c r="D267" s="37" t="s">
        <v>616</v>
      </c>
      <c r="E267" s="37">
        <v>0</v>
      </c>
      <c r="F267" s="37">
        <v>0</v>
      </c>
      <c r="G267" s="37">
        <v>2</v>
      </c>
      <c r="H267" s="37">
        <v>2</v>
      </c>
      <c r="I267" s="37">
        <v>0</v>
      </c>
      <c r="J267" s="38"/>
      <c r="K267" s="38"/>
      <c r="L267" s="38"/>
      <c r="M267" s="39"/>
      <c r="N267" s="38"/>
      <c r="O267" s="39"/>
      <c r="P267" s="38"/>
      <c r="Q267" s="39"/>
      <c r="R267" s="38"/>
      <c r="S267" s="39"/>
      <c r="T267" s="38"/>
      <c r="U267" s="39"/>
    </row>
    <row r="268" spans="1:21" x14ac:dyDescent="0.45">
      <c r="A268" s="37">
        <v>315</v>
      </c>
      <c r="B268" s="37">
        <v>2</v>
      </c>
      <c r="C268" s="37" t="s">
        <v>617</v>
      </c>
      <c r="D268" s="37" t="s">
        <v>617</v>
      </c>
      <c r="E268" s="37">
        <v>0</v>
      </c>
      <c r="F268" s="37">
        <v>0</v>
      </c>
      <c r="G268" s="37">
        <v>2</v>
      </c>
      <c r="H268" s="37">
        <v>2</v>
      </c>
      <c r="I268" s="37">
        <v>0</v>
      </c>
      <c r="J268" s="38"/>
      <c r="K268" s="38"/>
      <c r="L268" s="38"/>
      <c r="M268" s="39"/>
      <c r="N268" s="38"/>
      <c r="O268" s="39"/>
      <c r="P268" s="38"/>
      <c r="Q268" s="39"/>
      <c r="R268" s="38"/>
      <c r="S268" s="39"/>
      <c r="T268" s="38"/>
      <c r="U268" s="39"/>
    </row>
    <row r="269" spans="1:21" x14ac:dyDescent="0.45">
      <c r="A269" s="40">
        <v>316</v>
      </c>
      <c r="B269" s="40">
        <v>2</v>
      </c>
      <c r="C269" s="40" t="s">
        <v>618</v>
      </c>
      <c r="D269" s="40" t="s">
        <v>618</v>
      </c>
      <c r="E269" s="40">
        <v>0</v>
      </c>
      <c r="F269" s="40">
        <v>0</v>
      </c>
      <c r="G269" s="40">
        <v>2</v>
      </c>
      <c r="H269" s="40">
        <v>2</v>
      </c>
      <c r="I269" s="40">
        <v>0</v>
      </c>
      <c r="J269" s="41"/>
      <c r="K269" s="41"/>
      <c r="L269" s="41"/>
      <c r="M269" s="42"/>
      <c r="N269" s="41"/>
      <c r="O269" s="42"/>
      <c r="P269" s="41"/>
      <c r="Q269" s="42"/>
      <c r="R269" s="41"/>
      <c r="S269" s="42"/>
      <c r="T269" s="41"/>
      <c r="U269" s="42"/>
    </row>
    <row r="270" spans="1:21" x14ac:dyDescent="0.45">
      <c r="A270" s="12">
        <v>400</v>
      </c>
      <c r="B270" s="12">
        <v>1</v>
      </c>
      <c r="C270" s="12" t="s">
        <v>619</v>
      </c>
      <c r="D270" s="12" t="s">
        <v>620</v>
      </c>
      <c r="E270" s="12">
        <v>0</v>
      </c>
      <c r="F270" s="12">
        <v>401</v>
      </c>
      <c r="G270" s="12">
        <v>1</v>
      </c>
      <c r="H270" s="12">
        <v>2</v>
      </c>
      <c r="I270" s="12">
        <v>0</v>
      </c>
      <c r="J270" s="10"/>
      <c r="K270" s="10" t="s">
        <v>311</v>
      </c>
      <c r="L270" s="10"/>
      <c r="M270" s="11">
        <v>0</v>
      </c>
      <c r="N270" s="10"/>
      <c r="O270" s="11">
        <v>0</v>
      </c>
      <c r="P270" s="10"/>
      <c r="Q270" s="11">
        <v>0</v>
      </c>
      <c r="R270" s="10"/>
      <c r="S270" s="11">
        <v>0</v>
      </c>
      <c r="T270" s="10"/>
      <c r="U270" s="11">
        <v>0</v>
      </c>
    </row>
    <row r="271" spans="1:21" x14ac:dyDescent="0.45">
      <c r="A271" s="12">
        <v>401</v>
      </c>
      <c r="B271" s="12">
        <v>0</v>
      </c>
      <c r="C271" s="12" t="s">
        <v>621</v>
      </c>
      <c r="D271" s="12" t="s">
        <v>620</v>
      </c>
      <c r="E271" s="12">
        <v>0</v>
      </c>
      <c r="F271" s="12">
        <v>401</v>
      </c>
      <c r="G271" s="12">
        <v>1</v>
      </c>
      <c r="H271" s="12">
        <v>2</v>
      </c>
      <c r="I271" s="12">
        <v>0</v>
      </c>
      <c r="J271" s="10"/>
      <c r="K271" s="10" t="s">
        <v>311</v>
      </c>
      <c r="L271" s="10"/>
      <c r="M271" s="11">
        <v>0</v>
      </c>
      <c r="N271" s="10"/>
      <c r="O271" s="11">
        <v>0</v>
      </c>
      <c r="P271" s="10"/>
      <c r="Q271" s="11">
        <v>0</v>
      </c>
      <c r="R271" s="10"/>
      <c r="S271" s="11">
        <v>0</v>
      </c>
      <c r="T271" s="10"/>
      <c r="U271" s="11">
        <v>0</v>
      </c>
    </row>
    <row r="272" spans="1:21" x14ac:dyDescent="0.45">
      <c r="A272" s="12">
        <v>402</v>
      </c>
      <c r="B272" s="12">
        <v>1</v>
      </c>
      <c r="C272" s="12" t="s">
        <v>622</v>
      </c>
      <c r="D272" s="12" t="s">
        <v>622</v>
      </c>
      <c r="E272" s="12">
        <v>0</v>
      </c>
      <c r="F272" s="12">
        <v>0</v>
      </c>
      <c r="G272" s="12">
        <v>1</v>
      </c>
      <c r="H272" s="12">
        <v>0</v>
      </c>
      <c r="I272" s="12">
        <v>0</v>
      </c>
      <c r="J272" s="10"/>
      <c r="K272" s="10" t="s">
        <v>311</v>
      </c>
      <c r="L272" s="10"/>
      <c r="M272" s="11">
        <v>0</v>
      </c>
      <c r="N272" s="10"/>
      <c r="O272" s="11">
        <v>0</v>
      </c>
      <c r="P272" s="10"/>
      <c r="Q272" s="11">
        <v>0</v>
      </c>
      <c r="R272" s="10"/>
      <c r="S272" s="11">
        <v>0</v>
      </c>
      <c r="T272" s="10"/>
      <c r="U272" s="11">
        <v>0</v>
      </c>
    </row>
    <row r="273" spans="1:21" x14ac:dyDescent="0.45">
      <c r="A273" s="12">
        <v>403</v>
      </c>
      <c r="B273" s="12">
        <v>1</v>
      </c>
      <c r="C273" s="12" t="s">
        <v>623</v>
      </c>
      <c r="D273" s="12" t="s">
        <v>623</v>
      </c>
      <c r="E273" s="12">
        <v>0</v>
      </c>
      <c r="F273" s="12">
        <v>0</v>
      </c>
      <c r="G273" s="12">
        <v>3</v>
      </c>
      <c r="H273" s="12">
        <v>0</v>
      </c>
      <c r="I273" s="12">
        <v>0</v>
      </c>
      <c r="J273" s="10"/>
      <c r="K273" s="10" t="s">
        <v>311</v>
      </c>
      <c r="L273" s="10"/>
      <c r="M273" s="11">
        <v>0</v>
      </c>
      <c r="N273" s="10"/>
      <c r="O273" s="11">
        <v>0</v>
      </c>
      <c r="P273" s="10"/>
      <c r="Q273" s="11">
        <v>0</v>
      </c>
      <c r="R273" s="10"/>
      <c r="S273" s="11">
        <v>0</v>
      </c>
      <c r="T273" s="10"/>
      <c r="U273" s="11">
        <v>0</v>
      </c>
    </row>
    <row r="274" spans="1:21" x14ac:dyDescent="0.45">
      <c r="A274" s="12">
        <v>404</v>
      </c>
      <c r="B274" s="12">
        <v>1</v>
      </c>
      <c r="C274" s="12" t="s">
        <v>624</v>
      </c>
      <c r="D274" s="12" t="s">
        <v>625</v>
      </c>
      <c r="E274" s="12">
        <v>0</v>
      </c>
      <c r="F274" s="12">
        <v>405</v>
      </c>
      <c r="G274" s="12">
        <v>1</v>
      </c>
      <c r="H274" s="12">
        <v>2</v>
      </c>
      <c r="I274" s="12">
        <v>0</v>
      </c>
      <c r="J274" s="10"/>
      <c r="K274" s="10" t="s">
        <v>311</v>
      </c>
      <c r="L274" s="10" t="s">
        <v>312</v>
      </c>
      <c r="M274" s="11">
        <v>0</v>
      </c>
      <c r="N274" s="10" t="s">
        <v>626</v>
      </c>
      <c r="O274" s="11">
        <v>0</v>
      </c>
      <c r="P274" s="10"/>
      <c r="Q274" s="11">
        <v>0</v>
      </c>
      <c r="R274" s="10"/>
      <c r="S274" s="11">
        <v>0</v>
      </c>
      <c r="T274" s="10"/>
      <c r="U274" s="11">
        <v>0</v>
      </c>
    </row>
    <row r="275" spans="1:21" x14ac:dyDescent="0.45">
      <c r="A275" s="12">
        <v>405</v>
      </c>
      <c r="B275" s="12">
        <v>0</v>
      </c>
      <c r="C275" s="12" t="s">
        <v>627</v>
      </c>
      <c r="D275" s="12" t="s">
        <v>625</v>
      </c>
      <c r="E275" s="12">
        <v>0</v>
      </c>
      <c r="F275" s="12">
        <v>0</v>
      </c>
      <c r="G275" s="12">
        <v>1</v>
      </c>
      <c r="H275" s="12">
        <v>0</v>
      </c>
      <c r="I275" s="12">
        <v>0</v>
      </c>
      <c r="J275" s="10"/>
      <c r="K275" s="10" t="s">
        <v>311</v>
      </c>
      <c r="L275" s="10"/>
      <c r="M275" s="11">
        <v>0</v>
      </c>
      <c r="N275" s="10"/>
      <c r="O275" s="11">
        <v>0</v>
      </c>
      <c r="P275" s="10"/>
      <c r="Q275" s="11">
        <v>0</v>
      </c>
      <c r="R275" s="10"/>
      <c r="S275" s="11">
        <v>0</v>
      </c>
      <c r="T275" s="10"/>
      <c r="U275" s="11">
        <v>0</v>
      </c>
    </row>
    <row r="276" spans="1:21" x14ac:dyDescent="0.45">
      <c r="A276" s="12">
        <v>410</v>
      </c>
      <c r="B276" s="12">
        <v>1</v>
      </c>
      <c r="C276" s="12" t="s">
        <v>628</v>
      </c>
      <c r="D276" s="12" t="s">
        <v>629</v>
      </c>
      <c r="E276" s="12">
        <v>0</v>
      </c>
      <c r="F276" s="12">
        <v>411</v>
      </c>
      <c r="G276" s="12">
        <v>1</v>
      </c>
      <c r="H276" s="12">
        <v>1</v>
      </c>
      <c r="I276" s="12">
        <v>18</v>
      </c>
      <c r="J276" s="10"/>
      <c r="K276" s="10" t="s">
        <v>282</v>
      </c>
      <c r="L276" s="10" t="s">
        <v>557</v>
      </c>
      <c r="M276" s="11">
        <v>0</v>
      </c>
      <c r="N276" s="10"/>
      <c r="O276" s="11">
        <v>0</v>
      </c>
      <c r="P276" s="10"/>
      <c r="Q276" s="11">
        <v>0</v>
      </c>
      <c r="R276" s="10"/>
      <c r="S276" s="11">
        <v>0</v>
      </c>
      <c r="T276" s="10"/>
      <c r="U276" s="11">
        <v>0</v>
      </c>
    </row>
    <row r="277" spans="1:21" x14ac:dyDescent="0.45">
      <c r="A277" s="12">
        <v>411</v>
      </c>
      <c r="B277" s="12">
        <v>1</v>
      </c>
      <c r="C277" s="12" t="s">
        <v>630</v>
      </c>
      <c r="D277" s="12" t="s">
        <v>629</v>
      </c>
      <c r="E277" s="12">
        <v>0</v>
      </c>
      <c r="F277" s="12">
        <v>411</v>
      </c>
      <c r="G277" s="12">
        <v>1</v>
      </c>
      <c r="H277" s="12">
        <v>1</v>
      </c>
      <c r="I277" s="12">
        <v>18</v>
      </c>
      <c r="J277" s="10"/>
      <c r="K277" s="10" t="s">
        <v>282</v>
      </c>
      <c r="L277" s="10" t="s">
        <v>557</v>
      </c>
      <c r="M277" s="11">
        <v>0</v>
      </c>
      <c r="N277" s="10"/>
      <c r="O277" s="11">
        <v>0</v>
      </c>
      <c r="P277" s="10"/>
      <c r="Q277" s="11">
        <v>0</v>
      </c>
      <c r="R277" s="10"/>
      <c r="S277" s="11">
        <v>0</v>
      </c>
      <c r="T277" s="10"/>
      <c r="U277" s="11">
        <v>0</v>
      </c>
    </row>
    <row r="278" spans="1:21" x14ac:dyDescent="0.45">
      <c r="A278" s="12">
        <v>412</v>
      </c>
      <c r="B278" s="12">
        <v>0</v>
      </c>
      <c r="C278" s="12" t="s">
        <v>631</v>
      </c>
      <c r="D278" s="12" t="s">
        <v>631</v>
      </c>
      <c r="E278" s="12">
        <v>0</v>
      </c>
      <c r="F278" s="12">
        <v>0</v>
      </c>
      <c r="G278" s="12">
        <v>1</v>
      </c>
      <c r="H278" s="12">
        <v>0</v>
      </c>
      <c r="I278" s="12">
        <v>0</v>
      </c>
      <c r="J278" s="10"/>
      <c r="K278" s="10" t="s">
        <v>311</v>
      </c>
      <c r="L278" s="10"/>
      <c r="M278" s="11">
        <v>0</v>
      </c>
      <c r="N278" s="10"/>
      <c r="O278" s="11">
        <v>0</v>
      </c>
      <c r="P278" s="10"/>
      <c r="Q278" s="11">
        <v>0</v>
      </c>
      <c r="R278" s="10"/>
      <c r="S278" s="11">
        <v>0</v>
      </c>
      <c r="T278" s="10"/>
      <c r="U278" s="11">
        <v>0</v>
      </c>
    </row>
    <row r="279" spans="1:21" x14ac:dyDescent="0.45">
      <c r="A279" s="12">
        <v>413</v>
      </c>
      <c r="B279" s="12">
        <v>0</v>
      </c>
      <c r="C279" s="12" t="s">
        <v>632</v>
      </c>
      <c r="D279" s="12"/>
      <c r="E279" s="12">
        <v>0</v>
      </c>
      <c r="F279" s="12">
        <v>0</v>
      </c>
      <c r="G279" s="12">
        <v>0</v>
      </c>
      <c r="H279" s="12">
        <v>0</v>
      </c>
      <c r="I279" s="12">
        <v>0</v>
      </c>
      <c r="J279" s="10"/>
      <c r="K279" s="10" t="s">
        <v>311</v>
      </c>
      <c r="L279" s="10"/>
      <c r="M279" s="11">
        <v>0</v>
      </c>
      <c r="N279" s="10"/>
      <c r="O279" s="11">
        <v>0</v>
      </c>
      <c r="P279" s="10"/>
      <c r="Q279" s="11">
        <v>0</v>
      </c>
      <c r="R279" s="10"/>
      <c r="S279" s="11">
        <v>0</v>
      </c>
      <c r="T279" s="10"/>
      <c r="U279" s="11">
        <v>0</v>
      </c>
    </row>
    <row r="280" spans="1:21" x14ac:dyDescent="0.45">
      <c r="A280" s="12">
        <v>414</v>
      </c>
      <c r="B280" s="12">
        <v>2</v>
      </c>
      <c r="C280" s="12" t="s">
        <v>562</v>
      </c>
      <c r="D280" s="12" t="s">
        <v>562</v>
      </c>
      <c r="E280" s="12">
        <v>0</v>
      </c>
      <c r="F280" s="12">
        <v>0</v>
      </c>
      <c r="G280" s="12">
        <v>4</v>
      </c>
      <c r="H280" s="12">
        <v>0</v>
      </c>
      <c r="I280" s="12">
        <v>0</v>
      </c>
      <c r="J280" s="10"/>
      <c r="K280" s="10" t="s">
        <v>311</v>
      </c>
      <c r="L280" s="10"/>
      <c r="M280" s="11">
        <v>0</v>
      </c>
      <c r="N280" s="10"/>
      <c r="O280" s="11">
        <v>0</v>
      </c>
      <c r="P280" s="10"/>
      <c r="Q280" s="11">
        <v>0</v>
      </c>
      <c r="R280" s="10"/>
      <c r="S280" s="11">
        <v>0</v>
      </c>
      <c r="T280" s="10"/>
      <c r="U280" s="11">
        <v>0</v>
      </c>
    </row>
    <row r="281" spans="1:21" x14ac:dyDescent="0.45">
      <c r="A281" s="12">
        <v>415</v>
      </c>
      <c r="B281" s="12">
        <v>0</v>
      </c>
      <c r="C281" s="12" t="s">
        <v>633</v>
      </c>
      <c r="D281" s="12"/>
      <c r="E281" s="12">
        <v>0</v>
      </c>
      <c r="F281" s="12">
        <v>0</v>
      </c>
      <c r="G281" s="12">
        <v>0</v>
      </c>
      <c r="H281" s="12">
        <v>0</v>
      </c>
      <c r="I281" s="12">
        <v>0</v>
      </c>
      <c r="J281" s="10"/>
      <c r="K281" s="10" t="s">
        <v>311</v>
      </c>
      <c r="L281" s="10"/>
      <c r="M281" s="11">
        <v>0</v>
      </c>
      <c r="N281" s="10"/>
      <c r="O281" s="11">
        <v>0</v>
      </c>
      <c r="P281" s="10"/>
      <c r="Q281" s="11">
        <v>0</v>
      </c>
      <c r="R281" s="10"/>
      <c r="S281" s="11">
        <v>0</v>
      </c>
      <c r="T281" s="10"/>
      <c r="U281" s="11">
        <v>0</v>
      </c>
    </row>
    <row r="282" spans="1:21" x14ac:dyDescent="0.45">
      <c r="A282" s="12">
        <v>416</v>
      </c>
      <c r="B282" s="12">
        <v>0</v>
      </c>
      <c r="C282" s="12" t="s">
        <v>634</v>
      </c>
      <c r="D282" s="12"/>
      <c r="E282" s="12">
        <v>0</v>
      </c>
      <c r="F282" s="12">
        <v>0</v>
      </c>
      <c r="G282" s="12">
        <v>0</v>
      </c>
      <c r="H282" s="12">
        <v>0</v>
      </c>
      <c r="I282" s="12">
        <v>0</v>
      </c>
      <c r="J282" s="10"/>
      <c r="K282" s="10" t="s">
        <v>311</v>
      </c>
      <c r="L282" s="10"/>
      <c r="M282" s="11">
        <v>0</v>
      </c>
      <c r="N282" s="10"/>
      <c r="O282" s="11">
        <v>0</v>
      </c>
      <c r="P282" s="10"/>
      <c r="Q282" s="11">
        <v>0</v>
      </c>
      <c r="R282" s="10"/>
      <c r="S282" s="11">
        <v>0</v>
      </c>
      <c r="T282" s="10"/>
      <c r="U282" s="11">
        <v>0</v>
      </c>
    </row>
    <row r="283" spans="1:21" x14ac:dyDescent="0.45">
      <c r="A283" s="12">
        <v>417</v>
      </c>
      <c r="B283" s="12">
        <v>0</v>
      </c>
      <c r="C283" s="12" t="s">
        <v>635</v>
      </c>
      <c r="D283" s="12"/>
      <c r="E283" s="12">
        <v>0</v>
      </c>
      <c r="F283" s="12">
        <v>0</v>
      </c>
      <c r="G283" s="12">
        <v>0</v>
      </c>
      <c r="H283" s="12">
        <v>0</v>
      </c>
      <c r="I283" s="12">
        <v>0</v>
      </c>
      <c r="J283" s="10"/>
      <c r="K283" s="10" t="s">
        <v>311</v>
      </c>
      <c r="L283" s="10"/>
      <c r="M283" s="11">
        <v>0</v>
      </c>
      <c r="N283" s="10"/>
      <c r="O283" s="11">
        <v>0</v>
      </c>
      <c r="P283" s="10"/>
      <c r="Q283" s="11">
        <v>0</v>
      </c>
      <c r="R283" s="10"/>
      <c r="S283" s="11">
        <v>0</v>
      </c>
      <c r="T283" s="10"/>
      <c r="U283" s="11">
        <v>0</v>
      </c>
    </row>
    <row r="284" spans="1:21" x14ac:dyDescent="0.45">
      <c r="A284" s="12">
        <v>418</v>
      </c>
      <c r="B284" s="12">
        <v>0</v>
      </c>
      <c r="C284" s="12" t="s">
        <v>636</v>
      </c>
      <c r="D284" s="12"/>
      <c r="E284" s="12">
        <v>0</v>
      </c>
      <c r="F284" s="12">
        <v>0</v>
      </c>
      <c r="G284" s="12">
        <v>0</v>
      </c>
      <c r="H284" s="12">
        <v>0</v>
      </c>
      <c r="I284" s="12">
        <v>0</v>
      </c>
      <c r="J284" s="10"/>
      <c r="K284" s="10" t="s">
        <v>311</v>
      </c>
      <c r="L284" s="10"/>
      <c r="M284" s="11">
        <v>0</v>
      </c>
      <c r="N284" s="10"/>
      <c r="O284" s="11">
        <v>0</v>
      </c>
      <c r="P284" s="10"/>
      <c r="Q284" s="11">
        <v>0</v>
      </c>
      <c r="R284" s="10"/>
      <c r="S284" s="11">
        <v>0</v>
      </c>
      <c r="T284" s="10"/>
      <c r="U284" s="11">
        <v>0</v>
      </c>
    </row>
    <row r="285" spans="1:21" x14ac:dyDescent="0.45">
      <c r="A285" s="12">
        <v>419</v>
      </c>
      <c r="B285" s="12">
        <v>0</v>
      </c>
      <c r="C285" s="12" t="s">
        <v>637</v>
      </c>
      <c r="D285" s="12"/>
      <c r="E285" s="12">
        <v>0</v>
      </c>
      <c r="F285" s="12">
        <v>0</v>
      </c>
      <c r="G285" s="12">
        <v>0</v>
      </c>
      <c r="H285" s="12">
        <v>0</v>
      </c>
      <c r="I285" s="12">
        <v>0</v>
      </c>
      <c r="J285" s="10"/>
      <c r="K285" s="10" t="s">
        <v>311</v>
      </c>
      <c r="L285" s="10"/>
      <c r="M285" s="11">
        <v>0</v>
      </c>
      <c r="N285" s="10"/>
      <c r="O285" s="11">
        <v>0</v>
      </c>
      <c r="P285" s="10"/>
      <c r="Q285" s="11">
        <v>0</v>
      </c>
      <c r="R285" s="10"/>
      <c r="S285" s="11">
        <v>0</v>
      </c>
      <c r="T285" s="10"/>
      <c r="U285" s="11">
        <v>0</v>
      </c>
    </row>
    <row r="286" spans="1:21" x14ac:dyDescent="0.45">
      <c r="A286" s="12">
        <v>420</v>
      </c>
      <c r="B286" s="12">
        <v>1</v>
      </c>
      <c r="C286" s="12" t="s">
        <v>638</v>
      </c>
      <c r="D286" s="12" t="s">
        <v>639</v>
      </c>
      <c r="E286" s="12">
        <v>0</v>
      </c>
      <c r="F286" s="12">
        <v>421</v>
      </c>
      <c r="G286" s="12">
        <v>1</v>
      </c>
      <c r="H286" s="12">
        <v>2</v>
      </c>
      <c r="I286" s="12">
        <v>0</v>
      </c>
      <c r="J286" s="10"/>
      <c r="K286" s="10" t="s">
        <v>311</v>
      </c>
      <c r="L286" s="10" t="s">
        <v>639</v>
      </c>
      <c r="M286" s="11">
        <v>0</v>
      </c>
      <c r="N286" s="10" t="s">
        <v>640</v>
      </c>
      <c r="O286" s="11">
        <v>0</v>
      </c>
      <c r="P286" s="10" t="s">
        <v>362</v>
      </c>
      <c r="Q286" s="11">
        <v>0</v>
      </c>
      <c r="R286" s="10"/>
      <c r="S286" s="11">
        <v>0</v>
      </c>
      <c r="T286" s="10"/>
      <c r="U286" s="11">
        <v>0</v>
      </c>
    </row>
    <row r="287" spans="1:21" x14ac:dyDescent="0.45">
      <c r="A287" s="12">
        <v>421</v>
      </c>
      <c r="B287" s="12">
        <v>1</v>
      </c>
      <c r="C287" s="12" t="s">
        <v>641</v>
      </c>
      <c r="D287" s="12" t="s">
        <v>639</v>
      </c>
      <c r="E287" s="12">
        <v>0</v>
      </c>
      <c r="F287" s="12">
        <v>0</v>
      </c>
      <c r="G287" s="12">
        <v>1</v>
      </c>
      <c r="H287" s="12">
        <v>2</v>
      </c>
      <c r="I287" s="12">
        <v>0</v>
      </c>
      <c r="J287" s="10"/>
      <c r="K287" s="10" t="s">
        <v>311</v>
      </c>
      <c r="L287" s="10" t="s">
        <v>639</v>
      </c>
      <c r="M287" s="11">
        <v>0</v>
      </c>
      <c r="N287" s="10" t="s">
        <v>361</v>
      </c>
      <c r="O287" s="11">
        <v>0</v>
      </c>
      <c r="P287" s="10" t="s">
        <v>362</v>
      </c>
      <c r="Q287" s="11">
        <v>0</v>
      </c>
      <c r="R287" s="10"/>
      <c r="S287" s="11">
        <v>0</v>
      </c>
      <c r="T287" s="10"/>
      <c r="U287" s="11">
        <v>0</v>
      </c>
    </row>
    <row r="288" spans="1:21" x14ac:dyDescent="0.45">
      <c r="A288" s="12">
        <v>422</v>
      </c>
      <c r="B288" s="12">
        <v>0</v>
      </c>
      <c r="C288" s="12" t="s">
        <v>361</v>
      </c>
      <c r="D288" s="12"/>
      <c r="E288" s="12">
        <v>0</v>
      </c>
      <c r="F288" s="12">
        <v>0</v>
      </c>
      <c r="G288" s="12">
        <v>0</v>
      </c>
      <c r="H288" s="12">
        <v>0</v>
      </c>
      <c r="I288" s="12">
        <v>0</v>
      </c>
      <c r="J288" s="10"/>
      <c r="K288" s="10" t="s">
        <v>311</v>
      </c>
      <c r="L288" s="10"/>
      <c r="M288" s="11">
        <v>0</v>
      </c>
      <c r="N288" s="10"/>
      <c r="O288" s="11">
        <v>0</v>
      </c>
      <c r="P288" s="10"/>
      <c r="Q288" s="11">
        <v>0</v>
      </c>
      <c r="R288" s="10"/>
      <c r="S288" s="11">
        <v>0</v>
      </c>
      <c r="T288" s="10"/>
      <c r="U288" s="11">
        <v>0</v>
      </c>
    </row>
    <row r="289" spans="1:21" x14ac:dyDescent="0.45">
      <c r="A289" s="12">
        <v>423</v>
      </c>
      <c r="B289" s="12">
        <v>0</v>
      </c>
      <c r="C289" s="12" t="s">
        <v>642</v>
      </c>
      <c r="D289" s="12"/>
      <c r="E289" s="12">
        <v>0</v>
      </c>
      <c r="F289" s="12">
        <v>0</v>
      </c>
      <c r="G289" s="12">
        <v>0</v>
      </c>
      <c r="H289" s="12">
        <v>0</v>
      </c>
      <c r="I289" s="12">
        <v>0</v>
      </c>
      <c r="J289" s="10"/>
      <c r="K289" s="10" t="s">
        <v>311</v>
      </c>
      <c r="L289" s="10"/>
      <c r="M289" s="11">
        <v>0</v>
      </c>
      <c r="N289" s="10"/>
      <c r="O289" s="11">
        <v>0</v>
      </c>
      <c r="P289" s="10"/>
      <c r="Q289" s="11">
        <v>0</v>
      </c>
      <c r="R289" s="10"/>
      <c r="S289" s="11">
        <v>0</v>
      </c>
      <c r="T289" s="10"/>
      <c r="U289" s="11">
        <v>0</v>
      </c>
    </row>
    <row r="290" spans="1:21" x14ac:dyDescent="0.45">
      <c r="A290" s="12">
        <v>424</v>
      </c>
      <c r="B290" s="12">
        <v>0</v>
      </c>
      <c r="C290" s="12" t="s">
        <v>643</v>
      </c>
      <c r="D290" s="12"/>
      <c r="E290" s="12">
        <v>0</v>
      </c>
      <c r="F290" s="12">
        <v>0</v>
      </c>
      <c r="G290" s="12">
        <v>0</v>
      </c>
      <c r="H290" s="12">
        <v>0</v>
      </c>
      <c r="I290" s="12">
        <v>0</v>
      </c>
      <c r="J290" s="10"/>
      <c r="K290" s="10" t="s">
        <v>311</v>
      </c>
      <c r="L290" s="10"/>
      <c r="M290" s="11">
        <v>0</v>
      </c>
      <c r="N290" s="10"/>
      <c r="O290" s="11">
        <v>0</v>
      </c>
      <c r="P290" s="10"/>
      <c r="Q290" s="11">
        <v>0</v>
      </c>
      <c r="R290" s="10"/>
      <c r="S290" s="11">
        <v>0</v>
      </c>
      <c r="T290" s="10"/>
      <c r="U290" s="11">
        <v>0</v>
      </c>
    </row>
    <row r="291" spans="1:21" x14ac:dyDescent="0.45">
      <c r="A291" s="12">
        <v>425</v>
      </c>
      <c r="B291" s="12">
        <v>0</v>
      </c>
      <c r="C291" s="12" t="s">
        <v>644</v>
      </c>
      <c r="D291" s="12"/>
      <c r="E291" s="12">
        <v>0</v>
      </c>
      <c r="F291" s="12">
        <v>0</v>
      </c>
      <c r="G291" s="12">
        <v>0</v>
      </c>
      <c r="H291" s="12">
        <v>0</v>
      </c>
      <c r="I291" s="12">
        <v>0</v>
      </c>
      <c r="J291" s="10"/>
      <c r="K291" s="10" t="s">
        <v>311</v>
      </c>
      <c r="L291" s="10"/>
      <c r="M291" s="11">
        <v>0</v>
      </c>
      <c r="N291" s="10"/>
      <c r="O291" s="11">
        <v>0</v>
      </c>
      <c r="P291" s="10"/>
      <c r="Q291" s="11">
        <v>0</v>
      </c>
      <c r="R291" s="10"/>
      <c r="S291" s="11">
        <v>0</v>
      </c>
      <c r="T291" s="10"/>
      <c r="U291" s="11">
        <v>0</v>
      </c>
    </row>
    <row r="292" spans="1:21" x14ac:dyDescent="0.45">
      <c r="A292" s="12">
        <v>426</v>
      </c>
      <c r="B292" s="12">
        <v>0</v>
      </c>
      <c r="C292" s="12" t="s">
        <v>645</v>
      </c>
      <c r="D292" s="12"/>
      <c r="E292" s="12">
        <v>0</v>
      </c>
      <c r="F292" s="12">
        <v>0</v>
      </c>
      <c r="G292" s="12">
        <v>0</v>
      </c>
      <c r="H292" s="12">
        <v>0</v>
      </c>
      <c r="I292" s="12">
        <v>0</v>
      </c>
      <c r="J292" s="10"/>
      <c r="K292" s="10" t="s">
        <v>311</v>
      </c>
      <c r="L292" s="10"/>
      <c r="M292" s="11">
        <v>0</v>
      </c>
      <c r="N292" s="10"/>
      <c r="O292" s="11">
        <v>0</v>
      </c>
      <c r="P292" s="10"/>
      <c r="Q292" s="11">
        <v>0</v>
      </c>
      <c r="R292" s="10"/>
      <c r="S292" s="11">
        <v>0</v>
      </c>
      <c r="T292" s="10"/>
      <c r="U292" s="11">
        <v>0</v>
      </c>
    </row>
    <row r="293" spans="1:21" x14ac:dyDescent="0.45">
      <c r="A293" s="12">
        <v>427</v>
      </c>
      <c r="B293" s="12">
        <v>0</v>
      </c>
      <c r="C293" s="12" t="s">
        <v>646</v>
      </c>
      <c r="D293" s="12" t="s">
        <v>647</v>
      </c>
      <c r="E293" s="12">
        <v>0</v>
      </c>
      <c r="F293" s="12">
        <v>0</v>
      </c>
      <c r="G293" s="12">
        <v>0</v>
      </c>
      <c r="H293" s="12">
        <v>0</v>
      </c>
      <c r="I293" s="12">
        <v>0</v>
      </c>
      <c r="J293" s="10"/>
      <c r="K293" s="10" t="s">
        <v>311</v>
      </c>
      <c r="L293" s="10"/>
      <c r="M293" s="11">
        <v>0</v>
      </c>
      <c r="N293" s="10"/>
      <c r="O293" s="11">
        <v>0</v>
      </c>
      <c r="P293" s="10"/>
      <c r="Q293" s="11">
        <v>0</v>
      </c>
      <c r="R293" s="10"/>
      <c r="S293" s="11">
        <v>0</v>
      </c>
      <c r="T293" s="10"/>
      <c r="U293" s="11">
        <v>0</v>
      </c>
    </row>
    <row r="294" spans="1:21" x14ac:dyDescent="0.45">
      <c r="A294" s="12">
        <v>430</v>
      </c>
      <c r="B294" s="12">
        <v>1</v>
      </c>
      <c r="C294" s="12" t="s">
        <v>648</v>
      </c>
      <c r="D294" s="12" t="s">
        <v>648</v>
      </c>
      <c r="E294" s="12">
        <v>0</v>
      </c>
      <c r="F294" s="12">
        <v>431</v>
      </c>
      <c r="G294" s="12">
        <v>1</v>
      </c>
      <c r="H294" s="12">
        <v>2</v>
      </c>
      <c r="I294" s="12">
        <v>0</v>
      </c>
      <c r="J294" s="10"/>
      <c r="K294" s="10" t="s">
        <v>311</v>
      </c>
      <c r="L294" s="10" t="s">
        <v>292</v>
      </c>
      <c r="M294" s="11">
        <v>1</v>
      </c>
      <c r="N294" s="10"/>
      <c r="O294" s="11">
        <v>0</v>
      </c>
      <c r="P294" s="10"/>
      <c r="Q294" s="11">
        <v>0</v>
      </c>
      <c r="R294" s="10"/>
      <c r="S294" s="11">
        <v>0</v>
      </c>
      <c r="T294" s="10"/>
      <c r="U294" s="11">
        <v>0</v>
      </c>
    </row>
    <row r="295" spans="1:21" x14ac:dyDescent="0.45">
      <c r="A295" s="12">
        <v>431</v>
      </c>
      <c r="B295" s="12">
        <v>1</v>
      </c>
      <c r="C295" s="12" t="s">
        <v>430</v>
      </c>
      <c r="D295" s="12" t="s">
        <v>648</v>
      </c>
      <c r="E295" s="12">
        <v>0</v>
      </c>
      <c r="F295" s="12">
        <v>431</v>
      </c>
      <c r="G295" s="12">
        <v>1</v>
      </c>
      <c r="H295" s="12">
        <v>2</v>
      </c>
      <c r="I295" s="12">
        <v>0</v>
      </c>
      <c r="J295" s="10"/>
      <c r="K295" s="10" t="s">
        <v>311</v>
      </c>
      <c r="L295" s="10" t="s">
        <v>292</v>
      </c>
      <c r="M295" s="11">
        <v>1</v>
      </c>
      <c r="N295" s="10"/>
      <c r="O295" s="11">
        <v>0</v>
      </c>
      <c r="P295" s="10"/>
      <c r="Q295" s="11">
        <v>0</v>
      </c>
      <c r="R295" s="10"/>
      <c r="S295" s="11">
        <v>0</v>
      </c>
      <c r="T295" s="10"/>
      <c r="U295" s="11">
        <v>0</v>
      </c>
    </row>
    <row r="296" spans="1:21" x14ac:dyDescent="0.45">
      <c r="A296" s="12">
        <v>432</v>
      </c>
      <c r="B296" s="12">
        <v>1</v>
      </c>
      <c r="C296" s="12" t="s">
        <v>649</v>
      </c>
      <c r="D296" s="12" t="s">
        <v>650</v>
      </c>
      <c r="E296" s="12">
        <v>0</v>
      </c>
      <c r="F296" s="12">
        <v>0</v>
      </c>
      <c r="G296" s="12">
        <v>1</v>
      </c>
      <c r="H296" s="12">
        <v>0</v>
      </c>
      <c r="I296" s="12">
        <v>0</v>
      </c>
      <c r="J296" s="10"/>
      <c r="K296" s="10" t="s">
        <v>311</v>
      </c>
      <c r="L296" s="10"/>
      <c r="M296" s="11">
        <v>0</v>
      </c>
      <c r="N296" s="10"/>
      <c r="O296" s="11">
        <v>0</v>
      </c>
      <c r="P296" s="10"/>
      <c r="Q296" s="11">
        <v>0</v>
      </c>
      <c r="R296" s="10"/>
      <c r="S296" s="11">
        <v>0</v>
      </c>
      <c r="T296" s="10"/>
      <c r="U296" s="11">
        <v>0</v>
      </c>
    </row>
    <row r="297" spans="1:21" x14ac:dyDescent="0.45">
      <c r="A297" s="12">
        <v>433</v>
      </c>
      <c r="B297" s="12">
        <v>0</v>
      </c>
      <c r="C297" s="12" t="s">
        <v>651</v>
      </c>
      <c r="D297" s="12"/>
      <c r="E297" s="12">
        <v>0</v>
      </c>
      <c r="F297" s="12">
        <v>0</v>
      </c>
      <c r="G297" s="12">
        <v>0</v>
      </c>
      <c r="H297" s="12">
        <v>0</v>
      </c>
      <c r="I297" s="12">
        <v>0</v>
      </c>
      <c r="J297" s="10"/>
      <c r="K297" s="10" t="s">
        <v>311</v>
      </c>
      <c r="L297" s="10"/>
      <c r="M297" s="11">
        <v>0</v>
      </c>
      <c r="N297" s="10"/>
      <c r="O297" s="11">
        <v>0</v>
      </c>
      <c r="P297" s="10"/>
      <c r="Q297" s="11">
        <v>0</v>
      </c>
      <c r="R297" s="10"/>
      <c r="S297" s="11">
        <v>0</v>
      </c>
      <c r="T297" s="10"/>
      <c r="U297" s="11">
        <v>0</v>
      </c>
    </row>
    <row r="298" spans="1:21" x14ac:dyDescent="0.45">
      <c r="A298" s="12">
        <v>434</v>
      </c>
      <c r="B298" s="12">
        <v>1</v>
      </c>
      <c r="C298" s="12" t="s">
        <v>652</v>
      </c>
      <c r="D298" s="12" t="s">
        <v>652</v>
      </c>
      <c r="E298" s="12">
        <v>0</v>
      </c>
      <c r="F298" s="12">
        <v>0</v>
      </c>
      <c r="G298" s="12">
        <v>1</v>
      </c>
      <c r="H298" s="12">
        <v>0</v>
      </c>
      <c r="I298" s="12">
        <v>0</v>
      </c>
      <c r="J298" s="10"/>
      <c r="K298" s="10" t="s">
        <v>311</v>
      </c>
      <c r="L298" s="10"/>
      <c r="M298" s="11">
        <v>0</v>
      </c>
      <c r="N298" s="10"/>
      <c r="O298" s="11">
        <v>0</v>
      </c>
      <c r="P298" s="10"/>
      <c r="Q298" s="11">
        <v>0</v>
      </c>
      <c r="R298" s="10"/>
      <c r="S298" s="11">
        <v>0</v>
      </c>
      <c r="T298" s="10"/>
      <c r="U298" s="11">
        <v>0</v>
      </c>
    </row>
    <row r="299" spans="1:21" x14ac:dyDescent="0.45">
      <c r="A299" s="12">
        <v>435</v>
      </c>
      <c r="B299" s="12">
        <v>0</v>
      </c>
      <c r="C299" s="12" t="s">
        <v>653</v>
      </c>
      <c r="D299" s="12"/>
      <c r="E299" s="12">
        <v>0</v>
      </c>
      <c r="F299" s="12">
        <v>0</v>
      </c>
      <c r="G299" s="12">
        <v>0</v>
      </c>
      <c r="H299" s="12">
        <v>0</v>
      </c>
      <c r="I299" s="12">
        <v>0</v>
      </c>
      <c r="J299" s="10"/>
      <c r="K299" s="10" t="s">
        <v>311</v>
      </c>
      <c r="L299" s="10"/>
      <c r="M299" s="11">
        <v>0</v>
      </c>
      <c r="N299" s="10"/>
      <c r="O299" s="11">
        <v>0</v>
      </c>
      <c r="P299" s="10"/>
      <c r="Q299" s="11">
        <v>0</v>
      </c>
      <c r="R299" s="10"/>
      <c r="S299" s="11">
        <v>0</v>
      </c>
      <c r="T299" s="10"/>
      <c r="U299" s="11">
        <v>0</v>
      </c>
    </row>
    <row r="300" spans="1:21" x14ac:dyDescent="0.45">
      <c r="A300" s="12">
        <v>436</v>
      </c>
      <c r="B300" s="12">
        <v>0</v>
      </c>
      <c r="C300" s="12" t="s">
        <v>654</v>
      </c>
      <c r="D300" s="12"/>
      <c r="E300" s="12">
        <v>0</v>
      </c>
      <c r="F300" s="12">
        <v>0</v>
      </c>
      <c r="G300" s="12">
        <v>0</v>
      </c>
      <c r="H300" s="12">
        <v>0</v>
      </c>
      <c r="I300" s="12">
        <v>0</v>
      </c>
      <c r="J300" s="10"/>
      <c r="K300" s="10" t="s">
        <v>311</v>
      </c>
      <c r="L300" s="10"/>
      <c r="M300" s="11">
        <v>0</v>
      </c>
      <c r="N300" s="10"/>
      <c r="O300" s="11">
        <v>0</v>
      </c>
      <c r="P300" s="10"/>
      <c r="Q300" s="11">
        <v>0</v>
      </c>
      <c r="R300" s="10"/>
      <c r="S300" s="11">
        <v>0</v>
      </c>
      <c r="T300" s="10"/>
      <c r="U300" s="11">
        <v>0</v>
      </c>
    </row>
    <row r="301" spans="1:21" x14ac:dyDescent="0.45">
      <c r="A301" s="12">
        <v>438</v>
      </c>
      <c r="B301" s="12">
        <v>0</v>
      </c>
      <c r="C301" s="12" t="s">
        <v>655</v>
      </c>
      <c r="D301" s="12"/>
      <c r="E301" s="12">
        <v>0</v>
      </c>
      <c r="F301" s="12">
        <v>0</v>
      </c>
      <c r="G301" s="12">
        <v>0</v>
      </c>
      <c r="H301" s="12">
        <v>0</v>
      </c>
      <c r="I301" s="12">
        <v>0</v>
      </c>
      <c r="J301" s="10"/>
      <c r="K301" s="10" t="s">
        <v>311</v>
      </c>
      <c r="L301" s="10"/>
      <c r="M301" s="11">
        <v>0</v>
      </c>
      <c r="N301" s="10"/>
      <c r="O301" s="11">
        <v>0</v>
      </c>
      <c r="P301" s="10"/>
      <c r="Q301" s="11">
        <v>0</v>
      </c>
      <c r="R301" s="10"/>
      <c r="S301" s="11">
        <v>0</v>
      </c>
      <c r="T301" s="10"/>
      <c r="U301" s="11">
        <v>0</v>
      </c>
    </row>
    <row r="302" spans="1:21" x14ac:dyDescent="0.45">
      <c r="A302" s="12">
        <v>439</v>
      </c>
      <c r="B302" s="12">
        <v>0</v>
      </c>
      <c r="C302" s="12" t="s">
        <v>656</v>
      </c>
      <c r="D302" s="12"/>
      <c r="E302" s="12">
        <v>0</v>
      </c>
      <c r="F302" s="12">
        <v>0</v>
      </c>
      <c r="G302" s="12">
        <v>0</v>
      </c>
      <c r="H302" s="12">
        <v>0</v>
      </c>
      <c r="I302" s="12">
        <v>0</v>
      </c>
      <c r="J302" s="10"/>
      <c r="K302" s="10" t="s">
        <v>311</v>
      </c>
      <c r="L302" s="10"/>
      <c r="M302" s="11">
        <v>0</v>
      </c>
      <c r="N302" s="10"/>
      <c r="O302" s="11">
        <v>0</v>
      </c>
      <c r="P302" s="10"/>
      <c r="Q302" s="11">
        <v>0</v>
      </c>
      <c r="R302" s="10"/>
      <c r="S302" s="11">
        <v>0</v>
      </c>
      <c r="T302" s="10"/>
      <c r="U302" s="11">
        <v>0</v>
      </c>
    </row>
    <row r="303" spans="1:21" x14ac:dyDescent="0.45">
      <c r="A303" s="12">
        <v>440</v>
      </c>
      <c r="B303" s="12">
        <v>0</v>
      </c>
      <c r="C303" s="12" t="s">
        <v>657</v>
      </c>
      <c r="D303" s="12"/>
      <c r="E303" s="12">
        <v>0</v>
      </c>
      <c r="F303" s="12">
        <v>0</v>
      </c>
      <c r="G303" s="12">
        <v>0</v>
      </c>
      <c r="H303" s="12">
        <v>0</v>
      </c>
      <c r="I303" s="12">
        <v>0</v>
      </c>
      <c r="J303" s="10"/>
      <c r="K303" s="10" t="s">
        <v>311</v>
      </c>
      <c r="L303" s="10"/>
      <c r="M303" s="11">
        <v>0</v>
      </c>
      <c r="N303" s="10"/>
      <c r="O303" s="11">
        <v>0</v>
      </c>
      <c r="P303" s="10"/>
      <c r="Q303" s="11">
        <v>0</v>
      </c>
      <c r="R303" s="10"/>
      <c r="S303" s="11">
        <v>0</v>
      </c>
      <c r="T303" s="10"/>
      <c r="U303" s="11">
        <v>0</v>
      </c>
    </row>
    <row r="304" spans="1:21" x14ac:dyDescent="0.45">
      <c r="A304" s="12">
        <v>441</v>
      </c>
      <c r="B304" s="12">
        <v>0</v>
      </c>
      <c r="C304" s="12" t="s">
        <v>658</v>
      </c>
      <c r="D304" s="12"/>
      <c r="E304" s="12">
        <v>0</v>
      </c>
      <c r="F304" s="12">
        <v>0</v>
      </c>
      <c r="G304" s="12">
        <v>0</v>
      </c>
      <c r="H304" s="12">
        <v>0</v>
      </c>
      <c r="I304" s="12">
        <v>0</v>
      </c>
      <c r="J304" s="10"/>
      <c r="K304" s="10" t="s">
        <v>311</v>
      </c>
      <c r="L304" s="10"/>
      <c r="M304" s="11">
        <v>0</v>
      </c>
      <c r="N304" s="10"/>
      <c r="O304" s="11">
        <v>0</v>
      </c>
      <c r="P304" s="10"/>
      <c r="Q304" s="11">
        <v>0</v>
      </c>
      <c r="R304" s="10"/>
      <c r="S304" s="11">
        <v>0</v>
      </c>
      <c r="T304" s="10"/>
      <c r="U304" s="11">
        <v>0</v>
      </c>
    </row>
    <row r="305" spans="1:21" x14ac:dyDescent="0.45">
      <c r="A305" s="12">
        <v>442</v>
      </c>
      <c r="B305" s="12">
        <v>0</v>
      </c>
      <c r="C305" s="12" t="s">
        <v>659</v>
      </c>
      <c r="D305" s="12"/>
      <c r="E305" s="12">
        <v>0</v>
      </c>
      <c r="F305" s="12">
        <v>0</v>
      </c>
      <c r="G305" s="12">
        <v>0</v>
      </c>
      <c r="H305" s="12">
        <v>0</v>
      </c>
      <c r="I305" s="12">
        <v>0</v>
      </c>
      <c r="J305" s="10"/>
      <c r="K305" s="10" t="s">
        <v>311</v>
      </c>
      <c r="L305" s="10"/>
      <c r="M305" s="11">
        <v>0</v>
      </c>
      <c r="N305" s="10"/>
      <c r="O305" s="11">
        <v>0</v>
      </c>
      <c r="P305" s="10"/>
      <c r="Q305" s="11">
        <v>0</v>
      </c>
      <c r="R305" s="10"/>
      <c r="S305" s="11">
        <v>0</v>
      </c>
      <c r="T305" s="10"/>
      <c r="U305" s="11">
        <v>0</v>
      </c>
    </row>
    <row r="306" spans="1:21" x14ac:dyDescent="0.45">
      <c r="A306" s="12">
        <v>443</v>
      </c>
      <c r="B306" s="12">
        <v>0</v>
      </c>
      <c r="C306" s="12" t="s">
        <v>660</v>
      </c>
      <c r="D306" s="12"/>
      <c r="E306" s="12">
        <v>0</v>
      </c>
      <c r="F306" s="12">
        <v>0</v>
      </c>
      <c r="G306" s="12">
        <v>0</v>
      </c>
      <c r="H306" s="12">
        <v>0</v>
      </c>
      <c r="I306" s="12">
        <v>0</v>
      </c>
      <c r="J306" s="10"/>
      <c r="K306" s="10" t="s">
        <v>311</v>
      </c>
      <c r="L306" s="10"/>
      <c r="M306" s="11">
        <v>0</v>
      </c>
      <c r="N306" s="10"/>
      <c r="O306" s="11">
        <v>0</v>
      </c>
      <c r="P306" s="10"/>
      <c r="Q306" s="11">
        <v>0</v>
      </c>
      <c r="R306" s="10"/>
      <c r="S306" s="11">
        <v>0</v>
      </c>
      <c r="T306" s="10"/>
      <c r="U306" s="11">
        <v>0</v>
      </c>
    </row>
    <row r="307" spans="1:21" x14ac:dyDescent="0.45">
      <c r="A307" s="12">
        <v>444</v>
      </c>
      <c r="B307" s="12">
        <v>0</v>
      </c>
      <c r="C307" s="12" t="s">
        <v>661</v>
      </c>
      <c r="D307" s="12"/>
      <c r="E307" s="12">
        <v>0</v>
      </c>
      <c r="F307" s="12">
        <v>0</v>
      </c>
      <c r="G307" s="12">
        <v>0</v>
      </c>
      <c r="H307" s="12">
        <v>0</v>
      </c>
      <c r="I307" s="12">
        <v>0</v>
      </c>
      <c r="J307" s="10"/>
      <c r="K307" s="10" t="s">
        <v>311</v>
      </c>
      <c r="L307" s="10"/>
      <c r="M307" s="11">
        <v>0</v>
      </c>
      <c r="N307" s="10"/>
      <c r="O307" s="11">
        <v>0</v>
      </c>
      <c r="P307" s="10"/>
      <c r="Q307" s="11">
        <v>0</v>
      </c>
      <c r="R307" s="10"/>
      <c r="S307" s="11">
        <v>0</v>
      </c>
      <c r="T307" s="10"/>
      <c r="U307" s="11">
        <v>0</v>
      </c>
    </row>
    <row r="308" spans="1:21" x14ac:dyDescent="0.45">
      <c r="A308" s="12">
        <v>445</v>
      </c>
      <c r="B308" s="12">
        <v>0</v>
      </c>
      <c r="C308" s="12" t="s">
        <v>662</v>
      </c>
      <c r="D308" s="12"/>
      <c r="E308" s="12">
        <v>0</v>
      </c>
      <c r="F308" s="12">
        <v>0</v>
      </c>
      <c r="G308" s="12">
        <v>0</v>
      </c>
      <c r="H308" s="12">
        <v>0</v>
      </c>
      <c r="I308" s="12">
        <v>0</v>
      </c>
      <c r="J308" s="10"/>
      <c r="K308" s="10" t="s">
        <v>311</v>
      </c>
      <c r="L308" s="10"/>
      <c r="M308" s="11">
        <v>0</v>
      </c>
      <c r="N308" s="10"/>
      <c r="O308" s="11">
        <v>0</v>
      </c>
      <c r="P308" s="10"/>
      <c r="Q308" s="11">
        <v>0</v>
      </c>
      <c r="R308" s="10"/>
      <c r="S308" s="11">
        <v>0</v>
      </c>
      <c r="T308" s="10"/>
      <c r="U308" s="11">
        <v>0</v>
      </c>
    </row>
    <row r="309" spans="1:21" x14ac:dyDescent="0.45">
      <c r="A309" s="12">
        <v>446</v>
      </c>
      <c r="B309" s="12">
        <v>0</v>
      </c>
      <c r="C309" s="12" t="s">
        <v>663</v>
      </c>
      <c r="D309" s="12"/>
      <c r="E309" s="12">
        <v>0</v>
      </c>
      <c r="F309" s="12">
        <v>0</v>
      </c>
      <c r="G309" s="12">
        <v>0</v>
      </c>
      <c r="H309" s="12">
        <v>0</v>
      </c>
      <c r="I309" s="12">
        <v>0</v>
      </c>
      <c r="J309" s="10"/>
      <c r="K309" s="10" t="s">
        <v>311</v>
      </c>
      <c r="L309" s="10"/>
      <c r="M309" s="11">
        <v>0</v>
      </c>
      <c r="N309" s="10"/>
      <c r="O309" s="11">
        <v>0</v>
      </c>
      <c r="P309" s="10"/>
      <c r="Q309" s="11">
        <v>0</v>
      </c>
      <c r="R309" s="10"/>
      <c r="S309" s="11">
        <v>0</v>
      </c>
      <c r="T309" s="10"/>
      <c r="U309" s="11">
        <v>0</v>
      </c>
    </row>
    <row r="310" spans="1:21" x14ac:dyDescent="0.45">
      <c r="A310" s="12">
        <v>447</v>
      </c>
      <c r="B310" s="12">
        <v>0</v>
      </c>
      <c r="C310" s="12" t="s">
        <v>664</v>
      </c>
      <c r="D310" s="12"/>
      <c r="E310" s="12">
        <v>0</v>
      </c>
      <c r="F310" s="12">
        <v>0</v>
      </c>
      <c r="G310" s="12">
        <v>0</v>
      </c>
      <c r="H310" s="12">
        <v>0</v>
      </c>
      <c r="I310" s="12">
        <v>0</v>
      </c>
      <c r="J310" s="10"/>
      <c r="K310" s="10" t="s">
        <v>311</v>
      </c>
      <c r="L310" s="10"/>
      <c r="M310" s="11">
        <v>0</v>
      </c>
      <c r="N310" s="10"/>
      <c r="O310" s="11">
        <v>0</v>
      </c>
      <c r="P310" s="10"/>
      <c r="Q310" s="11">
        <v>0</v>
      </c>
      <c r="R310" s="10"/>
      <c r="S310" s="11">
        <v>0</v>
      </c>
      <c r="T310" s="10"/>
      <c r="U310" s="11">
        <v>0</v>
      </c>
    </row>
    <row r="311" spans="1:21" x14ac:dyDescent="0.45">
      <c r="A311" s="12">
        <v>448</v>
      </c>
      <c r="B311" s="12">
        <v>0</v>
      </c>
      <c r="C311" s="12" t="s">
        <v>665</v>
      </c>
      <c r="D311" s="12"/>
      <c r="E311" s="12">
        <v>0</v>
      </c>
      <c r="F311" s="12">
        <v>0</v>
      </c>
      <c r="G311" s="12">
        <v>0</v>
      </c>
      <c r="H311" s="12">
        <v>0</v>
      </c>
      <c r="I311" s="12">
        <v>0</v>
      </c>
      <c r="J311" s="10"/>
      <c r="K311" s="10" t="s">
        <v>311</v>
      </c>
      <c r="L311" s="10"/>
      <c r="M311" s="11">
        <v>0</v>
      </c>
      <c r="N311" s="10"/>
      <c r="O311" s="11">
        <v>0</v>
      </c>
      <c r="P311" s="10"/>
      <c r="Q311" s="11">
        <v>0</v>
      </c>
      <c r="R311" s="10"/>
      <c r="S311" s="11">
        <v>0</v>
      </c>
      <c r="T311" s="10"/>
      <c r="U311" s="11">
        <v>0</v>
      </c>
    </row>
    <row r="312" spans="1:21" x14ac:dyDescent="0.45">
      <c r="A312" s="12">
        <v>449</v>
      </c>
      <c r="B312" s="12">
        <v>1</v>
      </c>
      <c r="C312" s="12" t="s">
        <v>666</v>
      </c>
      <c r="D312" s="12" t="s">
        <v>667</v>
      </c>
      <c r="E312" s="12">
        <v>0</v>
      </c>
      <c r="F312" s="12">
        <v>450</v>
      </c>
      <c r="G312" s="12">
        <v>1</v>
      </c>
      <c r="H312" s="12">
        <v>2</v>
      </c>
      <c r="I312" s="12">
        <v>0</v>
      </c>
      <c r="J312" s="10"/>
      <c r="K312" s="10" t="s">
        <v>311</v>
      </c>
      <c r="L312" s="10" t="s">
        <v>312</v>
      </c>
      <c r="M312" s="11">
        <v>0</v>
      </c>
      <c r="N312" s="10" t="s">
        <v>566</v>
      </c>
      <c r="O312" s="11">
        <v>0</v>
      </c>
      <c r="P312" s="10" t="s">
        <v>583</v>
      </c>
      <c r="Q312" s="11">
        <v>0</v>
      </c>
      <c r="R312" s="10" t="s">
        <v>668</v>
      </c>
      <c r="S312" s="11">
        <v>0</v>
      </c>
      <c r="T312" s="10"/>
      <c r="U312" s="11">
        <v>0</v>
      </c>
    </row>
    <row r="313" spans="1:21" x14ac:dyDescent="0.45">
      <c r="A313" s="12">
        <v>450</v>
      </c>
      <c r="B313" s="12">
        <v>1</v>
      </c>
      <c r="C313" s="12" t="s">
        <v>669</v>
      </c>
      <c r="D313" s="12" t="s">
        <v>667</v>
      </c>
      <c r="E313" s="12">
        <v>0</v>
      </c>
      <c r="F313" s="12">
        <v>0</v>
      </c>
      <c r="G313" s="12">
        <v>1</v>
      </c>
      <c r="H313" s="12">
        <v>2</v>
      </c>
      <c r="I313" s="12">
        <v>0</v>
      </c>
      <c r="J313" s="10"/>
      <c r="K313" s="10" t="s">
        <v>311</v>
      </c>
      <c r="L313" s="10"/>
      <c r="M313" s="11">
        <v>0</v>
      </c>
      <c r="N313" s="10"/>
      <c r="O313" s="11">
        <v>0</v>
      </c>
      <c r="P313" s="10"/>
      <c r="Q313" s="11">
        <v>0</v>
      </c>
      <c r="R313" s="10"/>
      <c r="S313" s="11">
        <v>0</v>
      </c>
      <c r="T313" s="10"/>
      <c r="U313" s="11">
        <v>0</v>
      </c>
    </row>
    <row r="314" spans="1:21" x14ac:dyDescent="0.45">
      <c r="A314" s="12">
        <v>451</v>
      </c>
      <c r="B314" s="12">
        <v>0</v>
      </c>
      <c r="C314" s="12" t="s">
        <v>670</v>
      </c>
      <c r="D314" s="12"/>
      <c r="E314" s="12">
        <v>0</v>
      </c>
      <c r="F314" s="12">
        <v>0</v>
      </c>
      <c r="G314" s="12">
        <v>0</v>
      </c>
      <c r="H314" s="12">
        <v>0</v>
      </c>
      <c r="I314" s="12">
        <v>0</v>
      </c>
      <c r="J314" s="10"/>
      <c r="K314" s="10" t="s">
        <v>311</v>
      </c>
      <c r="L314" s="10"/>
      <c r="M314" s="11">
        <v>0</v>
      </c>
      <c r="N314" s="10"/>
      <c r="O314" s="11">
        <v>0</v>
      </c>
      <c r="P314" s="10"/>
      <c r="Q314" s="11">
        <v>0</v>
      </c>
      <c r="R314" s="10"/>
      <c r="S314" s="11">
        <v>0</v>
      </c>
      <c r="T314" s="10"/>
      <c r="U314" s="11">
        <v>0</v>
      </c>
    </row>
    <row r="315" spans="1:21" x14ac:dyDescent="0.45">
      <c r="A315" s="12">
        <v>452</v>
      </c>
      <c r="B315" s="12">
        <v>0</v>
      </c>
      <c r="C315" s="12" t="s">
        <v>671</v>
      </c>
      <c r="D315" s="12"/>
      <c r="E315" s="12">
        <v>0</v>
      </c>
      <c r="F315" s="12">
        <v>0</v>
      </c>
      <c r="G315" s="12">
        <v>0</v>
      </c>
      <c r="H315" s="12">
        <v>0</v>
      </c>
      <c r="I315" s="12">
        <v>0</v>
      </c>
      <c r="J315" s="10"/>
      <c r="K315" s="10" t="s">
        <v>311</v>
      </c>
      <c r="L315" s="10"/>
      <c r="M315" s="11">
        <v>0</v>
      </c>
      <c r="N315" s="10"/>
      <c r="O315" s="11">
        <v>0</v>
      </c>
      <c r="P315" s="10"/>
      <c r="Q315" s="11">
        <v>0</v>
      </c>
      <c r="R315" s="10"/>
      <c r="S315" s="11">
        <v>0</v>
      </c>
      <c r="T315" s="10"/>
      <c r="U315" s="11">
        <v>0</v>
      </c>
    </row>
    <row r="316" spans="1:21" x14ac:dyDescent="0.45">
      <c r="A316" s="12">
        <v>453</v>
      </c>
      <c r="B316" s="12">
        <v>0</v>
      </c>
      <c r="C316" s="12" t="s">
        <v>672</v>
      </c>
      <c r="D316" s="12"/>
      <c r="E316" s="12">
        <v>0</v>
      </c>
      <c r="F316" s="12">
        <v>0</v>
      </c>
      <c r="G316" s="12">
        <v>0</v>
      </c>
      <c r="H316" s="12">
        <v>0</v>
      </c>
      <c r="I316" s="12">
        <v>0</v>
      </c>
      <c r="J316" s="10"/>
      <c r="K316" s="10" t="s">
        <v>311</v>
      </c>
      <c r="L316" s="10"/>
      <c r="M316" s="11">
        <v>0</v>
      </c>
      <c r="N316" s="10"/>
      <c r="O316" s="11">
        <v>0</v>
      </c>
      <c r="P316" s="10"/>
      <c r="Q316" s="11">
        <v>0</v>
      </c>
      <c r="R316" s="10"/>
      <c r="S316" s="11">
        <v>0</v>
      </c>
      <c r="T316" s="10"/>
      <c r="U316" s="11">
        <v>0</v>
      </c>
    </row>
    <row r="317" spans="1:21" x14ac:dyDescent="0.45">
      <c r="A317" s="12">
        <v>454</v>
      </c>
      <c r="B317" s="12">
        <v>1</v>
      </c>
      <c r="C317" s="12" t="s">
        <v>673</v>
      </c>
      <c r="D317" s="12" t="s">
        <v>673</v>
      </c>
      <c r="E317" s="12">
        <v>0</v>
      </c>
      <c r="F317" s="12">
        <v>0</v>
      </c>
      <c r="G317" s="12">
        <v>1</v>
      </c>
      <c r="H317" s="12">
        <v>0</v>
      </c>
      <c r="I317" s="12">
        <v>0</v>
      </c>
      <c r="J317" s="10"/>
      <c r="K317" s="10" t="s">
        <v>311</v>
      </c>
      <c r="L317" s="10"/>
      <c r="M317" s="11">
        <v>0</v>
      </c>
      <c r="N317" s="10"/>
      <c r="O317" s="11">
        <v>0</v>
      </c>
      <c r="P317" s="10"/>
      <c r="Q317" s="11">
        <v>0</v>
      </c>
      <c r="R317" s="10"/>
      <c r="S317" s="11">
        <v>0</v>
      </c>
      <c r="T317" s="10"/>
      <c r="U317" s="11">
        <v>0</v>
      </c>
    </row>
    <row r="318" spans="1:21" x14ac:dyDescent="0.45">
      <c r="A318" s="12">
        <v>455</v>
      </c>
      <c r="B318" s="12">
        <v>0</v>
      </c>
      <c r="C318" s="12" t="s">
        <v>674</v>
      </c>
      <c r="D318" s="12"/>
      <c r="E318" s="12">
        <v>0</v>
      </c>
      <c r="F318" s="12">
        <v>0</v>
      </c>
      <c r="G318" s="12">
        <v>0</v>
      </c>
      <c r="H318" s="12">
        <v>0</v>
      </c>
      <c r="I318" s="12">
        <v>0</v>
      </c>
      <c r="J318" s="10"/>
      <c r="K318" s="10" t="s">
        <v>311</v>
      </c>
      <c r="L318" s="10"/>
      <c r="M318" s="11">
        <v>0</v>
      </c>
      <c r="N318" s="10"/>
      <c r="O318" s="11">
        <v>0</v>
      </c>
      <c r="P318" s="10"/>
      <c r="Q318" s="11">
        <v>0</v>
      </c>
      <c r="R318" s="10"/>
      <c r="S318" s="11">
        <v>0</v>
      </c>
      <c r="T318" s="10"/>
      <c r="U318" s="11">
        <v>0</v>
      </c>
    </row>
    <row r="319" spans="1:21" x14ac:dyDescent="0.45">
      <c r="A319" s="12">
        <v>456</v>
      </c>
      <c r="B319" s="12">
        <v>0</v>
      </c>
      <c r="C319" s="12" t="s">
        <v>675</v>
      </c>
      <c r="D319" s="12"/>
      <c r="E319" s="12">
        <v>0</v>
      </c>
      <c r="F319" s="12">
        <v>0</v>
      </c>
      <c r="G319" s="12">
        <v>0</v>
      </c>
      <c r="H319" s="12">
        <v>0</v>
      </c>
      <c r="I319" s="12">
        <v>0</v>
      </c>
      <c r="J319" s="10"/>
      <c r="K319" s="10" t="s">
        <v>311</v>
      </c>
      <c r="L319" s="10"/>
      <c r="M319" s="11">
        <v>0</v>
      </c>
      <c r="N319" s="10"/>
      <c r="O319" s="11">
        <v>0</v>
      </c>
      <c r="P319" s="10"/>
      <c r="Q319" s="11">
        <v>0</v>
      </c>
      <c r="R319" s="10"/>
      <c r="S319" s="11">
        <v>0</v>
      </c>
      <c r="T319" s="10"/>
      <c r="U319" s="11">
        <v>0</v>
      </c>
    </row>
    <row r="320" spans="1:21" x14ac:dyDescent="0.45">
      <c r="A320" s="12">
        <v>457</v>
      </c>
      <c r="B320" s="12">
        <v>1</v>
      </c>
      <c r="C320" s="12" t="s">
        <v>676</v>
      </c>
      <c r="D320" s="12" t="s">
        <v>676</v>
      </c>
      <c r="E320" s="12">
        <v>0</v>
      </c>
      <c r="F320" s="12">
        <v>603</v>
      </c>
      <c r="G320" s="12">
        <v>1</v>
      </c>
      <c r="H320" s="12">
        <v>0</v>
      </c>
      <c r="I320" s="12">
        <v>42</v>
      </c>
      <c r="J320" s="10"/>
      <c r="K320" s="10" t="s">
        <v>311</v>
      </c>
      <c r="L320" s="10"/>
      <c r="M320" s="11">
        <v>0</v>
      </c>
      <c r="N320" s="10"/>
      <c r="O320" s="11">
        <v>0</v>
      </c>
      <c r="P320" s="10"/>
      <c r="Q320" s="11">
        <v>0</v>
      </c>
      <c r="R320" s="10"/>
      <c r="S320" s="11">
        <v>0</v>
      </c>
      <c r="T320" s="10"/>
      <c r="U320" s="11">
        <v>0</v>
      </c>
    </row>
    <row r="321" spans="1:21" x14ac:dyDescent="0.45">
      <c r="A321" s="12">
        <v>458</v>
      </c>
      <c r="B321" s="12">
        <v>0</v>
      </c>
      <c r="C321" s="12" t="s">
        <v>677</v>
      </c>
      <c r="D321" s="12"/>
      <c r="E321" s="12">
        <v>0</v>
      </c>
      <c r="F321" s="12">
        <v>0</v>
      </c>
      <c r="G321" s="12">
        <v>0</v>
      </c>
      <c r="H321" s="12">
        <v>0</v>
      </c>
      <c r="I321" s="12">
        <v>0</v>
      </c>
      <c r="J321" s="10"/>
      <c r="K321" s="10" t="s">
        <v>311</v>
      </c>
      <c r="L321" s="10"/>
      <c r="M321" s="11">
        <v>0</v>
      </c>
      <c r="N321" s="10"/>
      <c r="O321" s="11">
        <v>0</v>
      </c>
      <c r="P321" s="10"/>
      <c r="Q321" s="11">
        <v>0</v>
      </c>
      <c r="R321" s="10"/>
      <c r="S321" s="11">
        <v>0</v>
      </c>
      <c r="T321" s="10"/>
      <c r="U321" s="11">
        <v>0</v>
      </c>
    </row>
    <row r="322" spans="1:21" x14ac:dyDescent="0.45">
      <c r="A322" s="12">
        <v>459</v>
      </c>
      <c r="B322" s="12">
        <v>0</v>
      </c>
      <c r="C322" s="12" t="s">
        <v>678</v>
      </c>
      <c r="D322" s="12"/>
      <c r="E322" s="12">
        <v>0</v>
      </c>
      <c r="F322" s="12">
        <v>0</v>
      </c>
      <c r="G322" s="12">
        <v>0</v>
      </c>
      <c r="H322" s="12">
        <v>0</v>
      </c>
      <c r="I322" s="12">
        <v>0</v>
      </c>
      <c r="J322" s="10"/>
      <c r="K322" s="10" t="s">
        <v>311</v>
      </c>
      <c r="L322" s="10"/>
      <c r="M322" s="11">
        <v>0</v>
      </c>
      <c r="N322" s="10"/>
      <c r="O322" s="11">
        <v>0</v>
      </c>
      <c r="P322" s="10"/>
      <c r="Q322" s="11">
        <v>0</v>
      </c>
      <c r="R322" s="10"/>
      <c r="S322" s="11">
        <v>0</v>
      </c>
      <c r="T322" s="10"/>
      <c r="U322" s="11">
        <v>0</v>
      </c>
    </row>
    <row r="323" spans="1:21" x14ac:dyDescent="0.45">
      <c r="A323" s="12">
        <v>460</v>
      </c>
      <c r="B323" s="12">
        <v>1</v>
      </c>
      <c r="C323" s="12" t="s">
        <v>679</v>
      </c>
      <c r="D323" s="12" t="s">
        <v>680</v>
      </c>
      <c r="E323" s="12">
        <v>0</v>
      </c>
      <c r="F323" s="12">
        <v>463</v>
      </c>
      <c r="G323" s="12">
        <v>1</v>
      </c>
      <c r="H323" s="12">
        <v>0</v>
      </c>
      <c r="I323" s="12">
        <v>0</v>
      </c>
      <c r="J323" s="10"/>
      <c r="K323" s="10" t="s">
        <v>311</v>
      </c>
      <c r="L323" s="10" t="s">
        <v>17</v>
      </c>
      <c r="M323" s="11">
        <v>0</v>
      </c>
      <c r="N323" s="10" t="s">
        <v>379</v>
      </c>
      <c r="O323" s="11">
        <v>0</v>
      </c>
      <c r="P323" s="10" t="s">
        <v>380</v>
      </c>
      <c r="Q323" s="11">
        <v>0</v>
      </c>
      <c r="R323" s="10" t="s">
        <v>681</v>
      </c>
      <c r="S323" s="11">
        <v>0</v>
      </c>
      <c r="T323" s="10" t="s">
        <v>682</v>
      </c>
      <c r="U323" s="11">
        <v>0</v>
      </c>
    </row>
    <row r="324" spans="1:21" x14ac:dyDescent="0.45">
      <c r="A324" s="12">
        <v>461</v>
      </c>
      <c r="B324" s="12">
        <v>0</v>
      </c>
      <c r="C324" s="12" t="s">
        <v>683</v>
      </c>
      <c r="D324" s="12"/>
      <c r="E324" s="12">
        <v>0</v>
      </c>
      <c r="F324" s="12">
        <v>0</v>
      </c>
      <c r="G324" s="12">
        <v>0</v>
      </c>
      <c r="H324" s="12">
        <v>0</v>
      </c>
      <c r="I324" s="12">
        <v>0</v>
      </c>
      <c r="J324" s="10"/>
      <c r="K324" s="10" t="s">
        <v>311</v>
      </c>
      <c r="L324" s="10"/>
      <c r="M324" s="11">
        <v>0</v>
      </c>
      <c r="N324" s="10"/>
      <c r="O324" s="11">
        <v>0</v>
      </c>
      <c r="P324" s="10"/>
      <c r="Q324" s="11">
        <v>0</v>
      </c>
      <c r="R324" s="10"/>
      <c r="S324" s="11">
        <v>0</v>
      </c>
      <c r="T324" s="10"/>
      <c r="U324" s="11">
        <v>0</v>
      </c>
    </row>
    <row r="325" spans="1:21" x14ac:dyDescent="0.45">
      <c r="A325" s="12">
        <v>462</v>
      </c>
      <c r="B325" s="12">
        <v>0</v>
      </c>
      <c r="C325" s="12" t="s">
        <v>684</v>
      </c>
      <c r="D325" s="12"/>
      <c r="E325" s="12">
        <v>0</v>
      </c>
      <c r="F325" s="12">
        <v>0</v>
      </c>
      <c r="G325" s="12">
        <v>0</v>
      </c>
      <c r="H325" s="12">
        <v>0</v>
      </c>
      <c r="I325" s="12">
        <v>0</v>
      </c>
      <c r="J325" s="10"/>
      <c r="K325" s="10" t="s">
        <v>311</v>
      </c>
      <c r="L325" s="10"/>
      <c r="M325" s="11">
        <v>0</v>
      </c>
      <c r="N325" s="10"/>
      <c r="O325" s="11">
        <v>0</v>
      </c>
      <c r="P325" s="10"/>
      <c r="Q325" s="11">
        <v>0</v>
      </c>
      <c r="R325" s="10"/>
      <c r="S325" s="11">
        <v>0</v>
      </c>
      <c r="T325" s="10"/>
      <c r="U325" s="11">
        <v>0</v>
      </c>
    </row>
    <row r="326" spans="1:21" x14ac:dyDescent="0.45">
      <c r="A326" s="12">
        <v>463</v>
      </c>
      <c r="B326" s="12">
        <v>1</v>
      </c>
      <c r="C326" s="12" t="s">
        <v>685</v>
      </c>
      <c r="D326" s="12" t="s">
        <v>680</v>
      </c>
      <c r="E326" s="12">
        <v>0</v>
      </c>
      <c r="F326" s="12">
        <v>0</v>
      </c>
      <c r="G326" s="12">
        <v>1</v>
      </c>
      <c r="H326" s="12">
        <v>0</v>
      </c>
      <c r="I326" s="12">
        <v>0</v>
      </c>
      <c r="J326" s="10"/>
      <c r="K326" s="10" t="s">
        <v>311</v>
      </c>
      <c r="L326" s="10"/>
      <c r="M326" s="11">
        <v>0</v>
      </c>
      <c r="N326" s="10"/>
      <c r="O326" s="11">
        <v>0</v>
      </c>
      <c r="P326" s="10"/>
      <c r="Q326" s="11">
        <v>0</v>
      </c>
      <c r="R326" s="10"/>
      <c r="S326" s="11">
        <v>0</v>
      </c>
      <c r="T326" s="10"/>
      <c r="U326" s="11">
        <v>0</v>
      </c>
    </row>
    <row r="327" spans="1:21" x14ac:dyDescent="0.45">
      <c r="A327" s="12">
        <v>464</v>
      </c>
      <c r="B327" s="12">
        <v>1</v>
      </c>
      <c r="C327" s="12" t="s">
        <v>686</v>
      </c>
      <c r="D327" s="12" t="s">
        <v>687</v>
      </c>
      <c r="E327" s="12">
        <v>0</v>
      </c>
      <c r="F327" s="12">
        <v>465</v>
      </c>
      <c r="G327" s="12">
        <v>1</v>
      </c>
      <c r="H327" s="12">
        <v>1</v>
      </c>
      <c r="I327" s="12">
        <v>20</v>
      </c>
      <c r="J327" s="10"/>
      <c r="K327" s="10" t="s">
        <v>311</v>
      </c>
      <c r="L327" s="10"/>
      <c r="M327" s="11">
        <v>0</v>
      </c>
      <c r="N327" s="10"/>
      <c r="O327" s="11">
        <v>0</v>
      </c>
      <c r="P327" s="10"/>
      <c r="Q327" s="11">
        <v>0</v>
      </c>
      <c r="R327" s="10"/>
      <c r="S327" s="11">
        <v>0</v>
      </c>
      <c r="T327" s="10"/>
      <c r="U327" s="11">
        <v>0</v>
      </c>
    </row>
    <row r="328" spans="1:21" x14ac:dyDescent="0.45">
      <c r="A328" s="12">
        <v>465</v>
      </c>
      <c r="B328" s="12">
        <v>1</v>
      </c>
      <c r="C328" s="12" t="s">
        <v>686</v>
      </c>
      <c r="D328" s="12" t="s">
        <v>688</v>
      </c>
      <c r="E328" s="12">
        <v>0</v>
      </c>
      <c r="F328" s="12">
        <v>0</v>
      </c>
      <c r="G328" s="12">
        <v>1</v>
      </c>
      <c r="H328" s="12">
        <v>1</v>
      </c>
      <c r="I328" s="12">
        <v>15</v>
      </c>
      <c r="J328" s="10"/>
      <c r="K328" s="10" t="s">
        <v>311</v>
      </c>
      <c r="L328" s="10"/>
      <c r="M328" s="11">
        <v>0</v>
      </c>
      <c r="N328" s="10"/>
      <c r="O328" s="11">
        <v>0</v>
      </c>
      <c r="P328" s="10"/>
      <c r="Q328" s="11">
        <v>0</v>
      </c>
      <c r="R328" s="10"/>
      <c r="S328" s="11">
        <v>0</v>
      </c>
      <c r="T328" s="10"/>
      <c r="U328" s="11">
        <v>0</v>
      </c>
    </row>
    <row r="329" spans="1:21" x14ac:dyDescent="0.45">
      <c r="A329" s="12">
        <v>466</v>
      </c>
      <c r="B329" s="12">
        <v>1</v>
      </c>
      <c r="C329" s="12" t="s">
        <v>689</v>
      </c>
      <c r="D329" s="12" t="s">
        <v>476</v>
      </c>
      <c r="E329" s="12">
        <v>0</v>
      </c>
      <c r="F329" s="12">
        <v>0</v>
      </c>
      <c r="G329" s="12">
        <v>0</v>
      </c>
      <c r="H329" s="12">
        <v>0</v>
      </c>
      <c r="I329" s="12">
        <v>0</v>
      </c>
      <c r="J329" s="10"/>
      <c r="K329" s="10" t="s">
        <v>311</v>
      </c>
      <c r="L329" s="10"/>
      <c r="M329" s="11">
        <v>0</v>
      </c>
      <c r="N329" s="10"/>
      <c r="O329" s="11">
        <v>0</v>
      </c>
      <c r="P329" s="10"/>
      <c r="Q329" s="11">
        <v>0</v>
      </c>
      <c r="R329" s="10"/>
      <c r="S329" s="11">
        <v>0</v>
      </c>
      <c r="T329" s="10"/>
      <c r="U329" s="11">
        <v>0</v>
      </c>
    </row>
    <row r="330" spans="1:21" x14ac:dyDescent="0.45">
      <c r="A330" s="12">
        <v>467</v>
      </c>
      <c r="B330" s="12">
        <v>1</v>
      </c>
      <c r="C330" s="12" t="s">
        <v>690</v>
      </c>
      <c r="D330" s="12" t="s">
        <v>690</v>
      </c>
      <c r="E330" s="12">
        <v>0</v>
      </c>
      <c r="F330" s="12">
        <v>0</v>
      </c>
      <c r="G330" s="12">
        <v>0</v>
      </c>
      <c r="H330" s="12">
        <v>0</v>
      </c>
      <c r="I330" s="12">
        <v>0</v>
      </c>
      <c r="J330" s="10"/>
      <c r="K330" s="10" t="s">
        <v>311</v>
      </c>
      <c r="L330" s="10"/>
      <c r="M330" s="11">
        <v>0</v>
      </c>
      <c r="N330" s="10"/>
      <c r="O330" s="11">
        <v>0</v>
      </c>
      <c r="P330" s="10"/>
      <c r="Q330" s="11">
        <v>0</v>
      </c>
      <c r="R330" s="10"/>
      <c r="S330" s="11">
        <v>0</v>
      </c>
      <c r="T330" s="10"/>
      <c r="U330" s="11">
        <v>0</v>
      </c>
    </row>
    <row r="331" spans="1:21" x14ac:dyDescent="0.45">
      <c r="A331" s="12">
        <v>468</v>
      </c>
      <c r="B331" s="12">
        <v>1</v>
      </c>
      <c r="C331" s="12" t="s">
        <v>691</v>
      </c>
      <c r="D331" s="12" t="s">
        <v>691</v>
      </c>
      <c r="E331" s="12">
        <v>0</v>
      </c>
      <c r="F331" s="12">
        <v>0</v>
      </c>
      <c r="G331" s="12">
        <v>0</v>
      </c>
      <c r="H331" s="12">
        <v>0</v>
      </c>
      <c r="I331" s="12">
        <v>0</v>
      </c>
      <c r="J331" s="10"/>
      <c r="K331" s="10" t="s">
        <v>311</v>
      </c>
      <c r="L331" s="10"/>
      <c r="M331" s="11">
        <v>0</v>
      </c>
      <c r="N331" s="10"/>
      <c r="O331" s="11">
        <v>0</v>
      </c>
      <c r="P331" s="10"/>
      <c r="Q331" s="11">
        <v>0</v>
      </c>
      <c r="R331" s="10"/>
      <c r="S331" s="11">
        <v>0</v>
      </c>
      <c r="T331" s="10"/>
      <c r="U331" s="11">
        <v>0</v>
      </c>
    </row>
    <row r="332" spans="1:21" x14ac:dyDescent="0.45">
      <c r="A332" s="12">
        <v>469</v>
      </c>
      <c r="B332" s="12">
        <v>0</v>
      </c>
      <c r="C332" s="12" t="s">
        <v>692</v>
      </c>
      <c r="D332" s="12"/>
      <c r="E332" s="12">
        <v>0</v>
      </c>
      <c r="F332" s="12">
        <v>0</v>
      </c>
      <c r="G332" s="12">
        <v>0</v>
      </c>
      <c r="H332" s="12">
        <v>0</v>
      </c>
      <c r="I332" s="12">
        <v>0</v>
      </c>
      <c r="J332" s="10"/>
      <c r="K332" s="10" t="s">
        <v>311</v>
      </c>
      <c r="L332" s="10"/>
      <c r="M332" s="11">
        <v>0</v>
      </c>
      <c r="N332" s="10"/>
      <c r="O332" s="11">
        <v>0</v>
      </c>
      <c r="P332" s="10"/>
      <c r="Q332" s="11">
        <v>0</v>
      </c>
      <c r="R332" s="10"/>
      <c r="S332" s="11">
        <v>0</v>
      </c>
      <c r="T332" s="10"/>
      <c r="U332" s="11">
        <v>0</v>
      </c>
    </row>
    <row r="333" spans="1:21" x14ac:dyDescent="0.45">
      <c r="A333" s="12">
        <v>470</v>
      </c>
      <c r="B333" s="12">
        <v>1</v>
      </c>
      <c r="C333" s="12" t="s">
        <v>693</v>
      </c>
      <c r="D333" s="12" t="s">
        <v>694</v>
      </c>
      <c r="E333" s="12">
        <v>0</v>
      </c>
      <c r="F333" s="12">
        <v>471</v>
      </c>
      <c r="G333" s="12">
        <v>1</v>
      </c>
      <c r="H333" s="12">
        <v>2</v>
      </c>
      <c r="I333" s="12">
        <v>0</v>
      </c>
      <c r="J333" s="10"/>
      <c r="K333" s="10" t="s">
        <v>311</v>
      </c>
      <c r="L333" s="10" t="s">
        <v>626</v>
      </c>
      <c r="M333" s="11">
        <v>0</v>
      </c>
      <c r="N333" s="10" t="s">
        <v>312</v>
      </c>
      <c r="O333" s="11">
        <v>0</v>
      </c>
      <c r="P333" s="10"/>
      <c r="Q333" s="11">
        <v>0</v>
      </c>
      <c r="R333" s="10"/>
      <c r="S333" s="11">
        <v>0</v>
      </c>
      <c r="T333" s="10"/>
      <c r="U333" s="11">
        <v>0</v>
      </c>
    </row>
    <row r="334" spans="1:21" x14ac:dyDescent="0.45">
      <c r="A334" s="12">
        <v>471</v>
      </c>
      <c r="B334" s="12">
        <v>0</v>
      </c>
      <c r="C334" s="12" t="s">
        <v>695</v>
      </c>
      <c r="D334" s="12" t="s">
        <v>695</v>
      </c>
      <c r="E334" s="12">
        <v>0</v>
      </c>
      <c r="F334" s="12">
        <v>0</v>
      </c>
      <c r="G334" s="12">
        <v>0</v>
      </c>
      <c r="H334" s="12">
        <v>0</v>
      </c>
      <c r="I334" s="12">
        <v>0</v>
      </c>
      <c r="J334" s="10"/>
      <c r="K334" s="10" t="s">
        <v>311</v>
      </c>
      <c r="L334" s="10"/>
      <c r="M334" s="11">
        <v>0</v>
      </c>
      <c r="N334" s="10"/>
      <c r="O334" s="11">
        <v>0</v>
      </c>
      <c r="P334" s="10"/>
      <c r="Q334" s="11">
        <v>0</v>
      </c>
      <c r="R334" s="10"/>
      <c r="S334" s="11">
        <v>0</v>
      </c>
      <c r="T334" s="10"/>
      <c r="U334" s="11">
        <v>0</v>
      </c>
    </row>
    <row r="335" spans="1:21" x14ac:dyDescent="0.45">
      <c r="A335" s="12">
        <v>472</v>
      </c>
      <c r="B335" s="12">
        <v>0</v>
      </c>
      <c r="C335" s="12" t="s">
        <v>696</v>
      </c>
      <c r="D335" s="12"/>
      <c r="E335" s="12">
        <v>0</v>
      </c>
      <c r="F335" s="12">
        <v>0</v>
      </c>
      <c r="G335" s="12">
        <v>0</v>
      </c>
      <c r="H335" s="12">
        <v>0</v>
      </c>
      <c r="I335" s="12">
        <v>0</v>
      </c>
      <c r="J335" s="10"/>
      <c r="K335" s="10" t="s">
        <v>311</v>
      </c>
      <c r="L335" s="10"/>
      <c r="M335" s="11">
        <v>0</v>
      </c>
      <c r="N335" s="10"/>
      <c r="O335" s="11">
        <v>0</v>
      </c>
      <c r="P335" s="10"/>
      <c r="Q335" s="11">
        <v>0</v>
      </c>
      <c r="R335" s="10"/>
      <c r="S335" s="11">
        <v>0</v>
      </c>
      <c r="T335" s="10"/>
      <c r="U335" s="11">
        <v>0</v>
      </c>
    </row>
    <row r="336" spans="1:21" x14ac:dyDescent="0.45">
      <c r="A336" s="12">
        <v>473</v>
      </c>
      <c r="B336" s="12">
        <v>0</v>
      </c>
      <c r="C336" s="12" t="s">
        <v>697</v>
      </c>
      <c r="D336" s="12"/>
      <c r="E336" s="12">
        <v>0</v>
      </c>
      <c r="F336" s="12">
        <v>0</v>
      </c>
      <c r="G336" s="12">
        <v>0</v>
      </c>
      <c r="H336" s="12">
        <v>0</v>
      </c>
      <c r="I336" s="12">
        <v>0</v>
      </c>
      <c r="J336" s="10"/>
      <c r="K336" s="10" t="s">
        <v>311</v>
      </c>
      <c r="L336" s="10"/>
      <c r="M336" s="11">
        <v>0</v>
      </c>
      <c r="N336" s="10"/>
      <c r="O336" s="11">
        <v>0</v>
      </c>
      <c r="P336" s="10"/>
      <c r="Q336" s="11">
        <v>0</v>
      </c>
      <c r="R336" s="10"/>
      <c r="S336" s="11">
        <v>0</v>
      </c>
      <c r="T336" s="10"/>
      <c r="U336" s="11">
        <v>0</v>
      </c>
    </row>
    <row r="337" spans="1:21" x14ac:dyDescent="0.45">
      <c r="A337" s="12">
        <v>474</v>
      </c>
      <c r="B337" s="12">
        <v>1</v>
      </c>
      <c r="C337" s="12" t="s">
        <v>698</v>
      </c>
      <c r="D337" s="12" t="s">
        <v>699</v>
      </c>
      <c r="E337" s="12">
        <v>0</v>
      </c>
      <c r="F337" s="12">
        <v>0</v>
      </c>
      <c r="G337" s="12">
        <v>1</v>
      </c>
      <c r="H337" s="12">
        <v>0</v>
      </c>
      <c r="I337" s="12">
        <v>0</v>
      </c>
      <c r="J337" s="10"/>
      <c r="K337" s="10" t="s">
        <v>311</v>
      </c>
      <c r="L337" s="10"/>
      <c r="M337" s="11">
        <v>0</v>
      </c>
      <c r="N337" s="10"/>
      <c r="O337" s="11">
        <v>0</v>
      </c>
      <c r="P337" s="10"/>
      <c r="Q337" s="11">
        <v>0</v>
      </c>
      <c r="R337" s="10"/>
      <c r="S337" s="11">
        <v>0</v>
      </c>
      <c r="T337" s="10"/>
      <c r="U337" s="11">
        <v>0</v>
      </c>
    </row>
    <row r="338" spans="1:21" x14ac:dyDescent="0.45">
      <c r="A338" s="12">
        <v>475</v>
      </c>
      <c r="B338" s="12">
        <v>1</v>
      </c>
      <c r="C338" s="12" t="s">
        <v>700</v>
      </c>
      <c r="D338" s="12" t="s">
        <v>701</v>
      </c>
      <c r="E338" s="12">
        <v>0</v>
      </c>
      <c r="F338" s="12">
        <v>0</v>
      </c>
      <c r="G338" s="12">
        <v>1</v>
      </c>
      <c r="H338" s="12">
        <v>0</v>
      </c>
      <c r="I338" s="12">
        <v>0</v>
      </c>
      <c r="J338" s="10"/>
      <c r="K338" s="10" t="s">
        <v>311</v>
      </c>
      <c r="L338" s="10"/>
      <c r="M338" s="11">
        <v>0</v>
      </c>
      <c r="N338" s="10"/>
      <c r="O338" s="11">
        <v>0</v>
      </c>
      <c r="P338" s="10"/>
      <c r="Q338" s="11">
        <v>0</v>
      </c>
      <c r="R338" s="10"/>
      <c r="S338" s="11">
        <v>0</v>
      </c>
      <c r="T338" s="10"/>
      <c r="U338" s="11">
        <v>0</v>
      </c>
    </row>
    <row r="339" spans="1:21" x14ac:dyDescent="0.45">
      <c r="A339" s="12">
        <v>476</v>
      </c>
      <c r="B339" s="12">
        <v>1</v>
      </c>
      <c r="C339" s="12" t="s">
        <v>571</v>
      </c>
      <c r="D339" s="12" t="s">
        <v>702</v>
      </c>
      <c r="E339" s="12">
        <v>0</v>
      </c>
      <c r="F339" s="12">
        <v>0</v>
      </c>
      <c r="G339" s="12">
        <v>1</v>
      </c>
      <c r="H339" s="12">
        <v>0</v>
      </c>
      <c r="I339" s="12">
        <v>0</v>
      </c>
      <c r="J339" s="10"/>
      <c r="K339" s="10" t="s">
        <v>311</v>
      </c>
      <c r="L339" s="10"/>
      <c r="M339" s="11">
        <v>0</v>
      </c>
      <c r="N339" s="10"/>
      <c r="O339" s="11">
        <v>0</v>
      </c>
      <c r="P339" s="10"/>
      <c r="Q339" s="11">
        <v>0</v>
      </c>
      <c r="R339" s="10"/>
      <c r="S339" s="11">
        <v>0</v>
      </c>
      <c r="T339" s="10"/>
      <c r="U339" s="11">
        <v>0</v>
      </c>
    </row>
    <row r="340" spans="1:21" x14ac:dyDescent="0.45">
      <c r="A340" s="12">
        <v>477</v>
      </c>
      <c r="B340" s="12">
        <v>1</v>
      </c>
      <c r="C340" s="12" t="s">
        <v>703</v>
      </c>
      <c r="D340" s="12" t="s">
        <v>703</v>
      </c>
      <c r="E340" s="12">
        <v>0</v>
      </c>
      <c r="F340" s="12">
        <v>0</v>
      </c>
      <c r="G340" s="12">
        <v>1</v>
      </c>
      <c r="H340" s="12">
        <v>0</v>
      </c>
      <c r="I340" s="12">
        <v>0</v>
      </c>
      <c r="J340" s="10"/>
      <c r="K340" s="10" t="s">
        <v>311</v>
      </c>
      <c r="L340" s="10"/>
      <c r="M340" s="11">
        <v>0</v>
      </c>
      <c r="N340" s="10"/>
      <c r="O340" s="11">
        <v>0</v>
      </c>
      <c r="P340" s="10"/>
      <c r="Q340" s="11">
        <v>0</v>
      </c>
      <c r="R340" s="10"/>
      <c r="S340" s="11">
        <v>0</v>
      </c>
      <c r="T340" s="10"/>
      <c r="U340" s="11">
        <v>0</v>
      </c>
    </row>
    <row r="341" spans="1:21" x14ac:dyDescent="0.45">
      <c r="A341" s="12">
        <v>478</v>
      </c>
      <c r="B341" s="12">
        <v>1</v>
      </c>
      <c r="C341" s="12" t="s">
        <v>704</v>
      </c>
      <c r="D341" s="12" t="s">
        <v>704</v>
      </c>
      <c r="E341" s="12">
        <v>0</v>
      </c>
      <c r="F341" s="12">
        <v>0</v>
      </c>
      <c r="G341" s="12">
        <v>1</v>
      </c>
      <c r="H341" s="12">
        <v>0</v>
      </c>
      <c r="I341" s="12">
        <v>0</v>
      </c>
      <c r="J341" s="10"/>
      <c r="K341" s="10" t="s">
        <v>311</v>
      </c>
      <c r="L341" s="10"/>
      <c r="M341" s="11">
        <v>0</v>
      </c>
      <c r="N341" s="10"/>
      <c r="O341" s="11">
        <v>0</v>
      </c>
      <c r="P341" s="10"/>
      <c r="Q341" s="11">
        <v>0</v>
      </c>
      <c r="R341" s="10"/>
      <c r="S341" s="11">
        <v>0</v>
      </c>
      <c r="T341" s="10"/>
      <c r="U341" s="11">
        <v>0</v>
      </c>
    </row>
    <row r="342" spans="1:21" x14ac:dyDescent="0.45">
      <c r="A342" s="12">
        <v>479</v>
      </c>
      <c r="B342" s="12">
        <v>1</v>
      </c>
      <c r="C342" s="12" t="s">
        <v>577</v>
      </c>
      <c r="D342" s="12" t="s">
        <v>577</v>
      </c>
      <c r="E342" s="12">
        <v>0</v>
      </c>
      <c r="F342" s="12">
        <v>0</v>
      </c>
      <c r="G342" s="12">
        <v>1</v>
      </c>
      <c r="H342" s="12">
        <v>0</v>
      </c>
      <c r="I342" s="12">
        <v>0</v>
      </c>
      <c r="J342" s="10"/>
      <c r="K342" s="10" t="s">
        <v>311</v>
      </c>
      <c r="L342" s="10"/>
      <c r="M342" s="11">
        <v>0</v>
      </c>
      <c r="N342" s="10"/>
      <c r="O342" s="11">
        <v>0</v>
      </c>
      <c r="P342" s="10"/>
      <c r="Q342" s="11">
        <v>0</v>
      </c>
      <c r="R342" s="10"/>
      <c r="S342" s="11">
        <v>0</v>
      </c>
      <c r="T342" s="10"/>
      <c r="U342" s="11">
        <v>0</v>
      </c>
    </row>
    <row r="343" spans="1:21" x14ac:dyDescent="0.45">
      <c r="A343" s="12">
        <v>480</v>
      </c>
      <c r="B343" s="12">
        <v>1</v>
      </c>
      <c r="C343" s="12" t="s">
        <v>705</v>
      </c>
      <c r="D343" s="12" t="s">
        <v>705</v>
      </c>
      <c r="E343" s="12">
        <v>0</v>
      </c>
      <c r="F343" s="12">
        <v>0</v>
      </c>
      <c r="G343" s="12">
        <v>1</v>
      </c>
      <c r="H343" s="12">
        <v>1</v>
      </c>
      <c r="I343" s="12">
        <v>18</v>
      </c>
      <c r="J343" s="10"/>
      <c r="K343" s="10" t="s">
        <v>311</v>
      </c>
      <c r="L343" s="10"/>
      <c r="M343" s="11">
        <v>0</v>
      </c>
      <c r="N343" s="10"/>
      <c r="O343" s="11">
        <v>0</v>
      </c>
      <c r="P343" s="10"/>
      <c r="Q343" s="11">
        <v>0</v>
      </c>
      <c r="R343" s="10"/>
      <c r="S343" s="11">
        <v>0</v>
      </c>
      <c r="T343" s="10"/>
      <c r="U343" s="11">
        <v>0</v>
      </c>
    </row>
    <row r="344" spans="1:21" x14ac:dyDescent="0.45">
      <c r="A344" s="12">
        <v>481</v>
      </c>
      <c r="B344" s="12">
        <v>1</v>
      </c>
      <c r="C344" s="12" t="s">
        <v>454</v>
      </c>
      <c r="D344" s="12" t="s">
        <v>454</v>
      </c>
      <c r="E344" s="12">
        <v>0</v>
      </c>
      <c r="F344" s="12">
        <v>0</v>
      </c>
      <c r="G344" s="12">
        <v>3</v>
      </c>
      <c r="H344" s="12">
        <v>0</v>
      </c>
      <c r="I344" s="12">
        <v>0</v>
      </c>
      <c r="J344" s="10"/>
      <c r="K344" s="10" t="s">
        <v>311</v>
      </c>
      <c r="L344" s="10"/>
      <c r="M344" s="11">
        <v>0</v>
      </c>
      <c r="N344" s="10"/>
      <c r="O344" s="11">
        <v>0</v>
      </c>
      <c r="P344" s="10"/>
      <c r="Q344" s="11">
        <v>0</v>
      </c>
      <c r="R344" s="10"/>
      <c r="S344" s="11">
        <v>0</v>
      </c>
      <c r="T344" s="10"/>
      <c r="U344" s="11">
        <v>0</v>
      </c>
    </row>
    <row r="345" spans="1:21" x14ac:dyDescent="0.45">
      <c r="A345" s="12">
        <v>482</v>
      </c>
      <c r="B345" s="12">
        <v>1</v>
      </c>
      <c r="C345" s="12" t="s">
        <v>706</v>
      </c>
      <c r="D345" s="12" t="s">
        <v>488</v>
      </c>
      <c r="E345" s="12">
        <v>0</v>
      </c>
      <c r="F345" s="12">
        <v>0</v>
      </c>
      <c r="G345" s="12">
        <v>1</v>
      </c>
      <c r="H345" s="12">
        <v>0</v>
      </c>
      <c r="I345" s="12">
        <v>0</v>
      </c>
      <c r="J345" s="10"/>
      <c r="K345" s="10" t="s">
        <v>311</v>
      </c>
      <c r="L345" s="10"/>
      <c r="M345" s="11">
        <v>0</v>
      </c>
      <c r="N345" s="10"/>
      <c r="O345" s="11">
        <v>0</v>
      </c>
      <c r="P345" s="10"/>
      <c r="Q345" s="11">
        <v>0</v>
      </c>
      <c r="R345" s="10"/>
      <c r="S345" s="11">
        <v>0</v>
      </c>
      <c r="T345" s="10"/>
      <c r="U345" s="11">
        <v>0</v>
      </c>
    </row>
    <row r="346" spans="1:21" x14ac:dyDescent="0.45">
      <c r="A346" s="12">
        <v>483</v>
      </c>
      <c r="B346" s="12">
        <v>1</v>
      </c>
      <c r="C346" s="12" t="s">
        <v>707</v>
      </c>
      <c r="D346" s="12" t="s">
        <v>707</v>
      </c>
      <c r="E346" s="12">
        <v>0</v>
      </c>
      <c r="F346" s="12">
        <v>0</v>
      </c>
      <c r="G346" s="12">
        <v>1</v>
      </c>
      <c r="H346" s="12">
        <v>0</v>
      </c>
      <c r="I346" s="12">
        <v>0</v>
      </c>
      <c r="J346" s="10"/>
      <c r="K346" s="10" t="s">
        <v>311</v>
      </c>
      <c r="L346" s="10"/>
      <c r="M346" s="11">
        <v>0</v>
      </c>
      <c r="N346" s="10"/>
      <c r="O346" s="11">
        <v>0</v>
      </c>
      <c r="P346" s="10"/>
      <c r="Q346" s="11">
        <v>0</v>
      </c>
      <c r="R346" s="10"/>
      <c r="S346" s="11">
        <v>0</v>
      </c>
      <c r="T346" s="10"/>
      <c r="U346" s="11">
        <v>0</v>
      </c>
    </row>
    <row r="347" spans="1:21" x14ac:dyDescent="0.45">
      <c r="A347" s="12">
        <v>484</v>
      </c>
      <c r="B347" s="12">
        <v>0</v>
      </c>
      <c r="C347" s="12" t="s">
        <v>708</v>
      </c>
      <c r="D347" s="12" t="s">
        <v>708</v>
      </c>
      <c r="E347" s="12">
        <v>0</v>
      </c>
      <c r="F347" s="12">
        <v>0</v>
      </c>
      <c r="G347" s="12">
        <v>3</v>
      </c>
      <c r="H347" s="12">
        <v>0</v>
      </c>
      <c r="I347" s="12">
        <v>0</v>
      </c>
      <c r="J347" s="10"/>
      <c r="K347" s="10" t="s">
        <v>311</v>
      </c>
      <c r="L347" s="10"/>
      <c r="M347" s="11">
        <v>0</v>
      </c>
      <c r="N347" s="10"/>
      <c r="O347" s="11">
        <v>0</v>
      </c>
      <c r="P347" s="10"/>
      <c r="Q347" s="11">
        <v>0</v>
      </c>
      <c r="R347" s="10"/>
      <c r="S347" s="11">
        <v>0</v>
      </c>
      <c r="T347" s="10"/>
      <c r="U347" s="11">
        <v>0</v>
      </c>
    </row>
    <row r="348" spans="1:21" s="27" customFormat="1" x14ac:dyDescent="0.45">
      <c r="A348" s="24">
        <v>485</v>
      </c>
      <c r="B348" s="24">
        <v>1</v>
      </c>
      <c r="C348" s="24" t="s">
        <v>709</v>
      </c>
      <c r="D348" s="24" t="s">
        <v>709</v>
      </c>
      <c r="E348" s="24">
        <v>0</v>
      </c>
      <c r="F348" s="24">
        <v>486</v>
      </c>
      <c r="G348" s="24">
        <v>1</v>
      </c>
      <c r="H348" s="24">
        <v>0</v>
      </c>
      <c r="I348" s="24">
        <v>0</v>
      </c>
      <c r="J348" s="25"/>
      <c r="K348" s="25" t="s">
        <v>311</v>
      </c>
      <c r="L348" s="25"/>
      <c r="M348" s="26">
        <v>0</v>
      </c>
      <c r="N348" s="25"/>
      <c r="O348" s="26">
        <v>0</v>
      </c>
      <c r="P348" s="25"/>
      <c r="Q348" s="26">
        <v>0</v>
      </c>
      <c r="R348" s="25"/>
      <c r="S348" s="26">
        <v>0</v>
      </c>
      <c r="T348" s="25"/>
      <c r="U348" s="26">
        <v>0</v>
      </c>
    </row>
    <row r="349" spans="1:21" s="27" customFormat="1" x14ac:dyDescent="0.45">
      <c r="A349" s="24">
        <v>486</v>
      </c>
      <c r="B349" s="24">
        <v>1</v>
      </c>
      <c r="C349" s="24" t="s">
        <v>710</v>
      </c>
      <c r="D349" s="24" t="s">
        <v>710</v>
      </c>
      <c r="E349" s="24">
        <v>0</v>
      </c>
      <c r="F349" s="24">
        <v>0</v>
      </c>
      <c r="G349" s="24">
        <v>1</v>
      </c>
      <c r="H349" s="24">
        <v>0</v>
      </c>
      <c r="I349" s="24">
        <v>0</v>
      </c>
      <c r="J349" s="25"/>
      <c r="K349" s="25" t="s">
        <v>311</v>
      </c>
      <c r="L349" s="25"/>
      <c r="M349" s="26">
        <v>0</v>
      </c>
      <c r="N349" s="25"/>
      <c r="O349" s="26">
        <v>0</v>
      </c>
      <c r="P349" s="25"/>
      <c r="Q349" s="26">
        <v>0</v>
      </c>
      <c r="R349" s="25"/>
      <c r="S349" s="26">
        <v>0</v>
      </c>
      <c r="T349" s="25"/>
      <c r="U349" s="26">
        <v>0</v>
      </c>
    </row>
    <row r="350" spans="1:21" s="27" customFormat="1" x14ac:dyDescent="0.45">
      <c r="A350" s="24">
        <v>487</v>
      </c>
      <c r="B350" s="24">
        <v>1</v>
      </c>
      <c r="C350" s="24" t="s">
        <v>711</v>
      </c>
      <c r="D350" s="24" t="s">
        <v>711</v>
      </c>
      <c r="E350" s="24">
        <v>0</v>
      </c>
      <c r="F350" s="24">
        <v>0</v>
      </c>
      <c r="G350" s="24">
        <v>1</v>
      </c>
      <c r="H350" s="24">
        <v>0</v>
      </c>
      <c r="I350" s="24">
        <v>0</v>
      </c>
      <c r="J350" s="25"/>
      <c r="K350" s="25" t="s">
        <v>311</v>
      </c>
      <c r="L350" s="25"/>
      <c r="M350" s="26">
        <v>0</v>
      </c>
      <c r="N350" s="25"/>
      <c r="O350" s="26">
        <v>0</v>
      </c>
      <c r="P350" s="25"/>
      <c r="Q350" s="26">
        <v>0</v>
      </c>
      <c r="R350" s="25"/>
      <c r="S350" s="26">
        <v>0</v>
      </c>
      <c r="T350" s="25"/>
      <c r="U350" s="26">
        <v>0</v>
      </c>
    </row>
    <row r="351" spans="1:21" x14ac:dyDescent="0.45">
      <c r="A351" s="12">
        <v>488</v>
      </c>
      <c r="B351" s="12">
        <v>1</v>
      </c>
      <c r="C351" s="12" t="s">
        <v>712</v>
      </c>
      <c r="D351" s="12" t="s">
        <v>712</v>
      </c>
      <c r="E351" s="12">
        <v>0</v>
      </c>
      <c r="F351" s="12">
        <v>0</v>
      </c>
      <c r="G351" s="12">
        <v>1</v>
      </c>
      <c r="H351" s="12">
        <v>0</v>
      </c>
      <c r="I351" s="12">
        <v>0</v>
      </c>
      <c r="J351" s="10"/>
      <c r="K351" s="10" t="s">
        <v>311</v>
      </c>
      <c r="L351" s="10"/>
      <c r="M351" s="11">
        <v>0</v>
      </c>
      <c r="N351" s="10"/>
      <c r="O351" s="11">
        <v>0</v>
      </c>
      <c r="P351" s="10"/>
      <c r="Q351" s="11">
        <v>0</v>
      </c>
      <c r="R351" s="10"/>
      <c r="S351" s="11">
        <v>0</v>
      </c>
      <c r="T351" s="10"/>
      <c r="U351" s="11">
        <v>0</v>
      </c>
    </row>
    <row r="352" spans="1:21" x14ac:dyDescent="0.45">
      <c r="A352" s="12">
        <v>489</v>
      </c>
      <c r="B352" s="12">
        <v>1</v>
      </c>
      <c r="C352" s="12" t="s">
        <v>713</v>
      </c>
      <c r="D352" s="12" t="s">
        <v>713</v>
      </c>
      <c r="E352" s="12">
        <v>0</v>
      </c>
      <c r="F352" s="12">
        <v>0</v>
      </c>
      <c r="G352" s="12">
        <v>1</v>
      </c>
      <c r="H352" s="12">
        <v>0</v>
      </c>
      <c r="I352" s="12">
        <v>0</v>
      </c>
      <c r="J352" s="10"/>
      <c r="K352" s="10" t="s">
        <v>311</v>
      </c>
      <c r="L352" s="10"/>
      <c r="M352" s="11">
        <v>0</v>
      </c>
      <c r="N352" s="10"/>
      <c r="O352" s="11">
        <v>0</v>
      </c>
      <c r="P352" s="10"/>
      <c r="Q352" s="11">
        <v>0</v>
      </c>
      <c r="R352" s="10"/>
      <c r="S352" s="11">
        <v>0</v>
      </c>
      <c r="T352" s="10"/>
      <c r="U352" s="11">
        <v>0</v>
      </c>
    </row>
    <row r="353" spans="1:21" x14ac:dyDescent="0.45">
      <c r="A353" s="12">
        <v>490</v>
      </c>
      <c r="B353" s="12">
        <v>1</v>
      </c>
      <c r="C353" s="12" t="s">
        <v>714</v>
      </c>
      <c r="D353" s="12" t="s">
        <v>714</v>
      </c>
      <c r="E353" s="12">
        <v>0</v>
      </c>
      <c r="F353" s="12">
        <v>602</v>
      </c>
      <c r="G353" s="12">
        <v>3</v>
      </c>
      <c r="H353" s="12">
        <v>1</v>
      </c>
      <c r="I353" s="12">
        <v>0</v>
      </c>
      <c r="J353" s="10"/>
      <c r="K353" s="10" t="s">
        <v>311</v>
      </c>
      <c r="L353" s="10"/>
      <c r="M353" s="11">
        <v>0</v>
      </c>
      <c r="N353" s="10"/>
      <c r="O353" s="11">
        <v>0</v>
      </c>
      <c r="P353" s="10"/>
      <c r="Q353" s="11">
        <v>0</v>
      </c>
      <c r="R353" s="10"/>
      <c r="S353" s="11">
        <v>0</v>
      </c>
      <c r="T353" s="10"/>
      <c r="U353" s="11">
        <v>0</v>
      </c>
    </row>
    <row r="354" spans="1:21" x14ac:dyDescent="0.45">
      <c r="A354" s="12">
        <v>491</v>
      </c>
      <c r="B354" s="12">
        <v>0</v>
      </c>
      <c r="C354" s="12" t="s">
        <v>476</v>
      </c>
      <c r="D354" s="12" t="s">
        <v>476</v>
      </c>
      <c r="E354" s="12">
        <v>0</v>
      </c>
      <c r="F354" s="12">
        <v>0</v>
      </c>
      <c r="G354" s="12">
        <v>0</v>
      </c>
      <c r="H354" s="12">
        <v>0</v>
      </c>
      <c r="I354" s="12">
        <v>0</v>
      </c>
      <c r="J354" s="10"/>
      <c r="K354" s="10" t="s">
        <v>311</v>
      </c>
      <c r="L354" s="10"/>
      <c r="M354" s="11">
        <v>0</v>
      </c>
      <c r="N354" s="10"/>
      <c r="O354" s="11">
        <v>0</v>
      </c>
      <c r="P354" s="10"/>
      <c r="Q354" s="11">
        <v>0</v>
      </c>
      <c r="R354" s="10"/>
      <c r="S354" s="11">
        <v>0</v>
      </c>
      <c r="T354" s="10"/>
      <c r="U354" s="11">
        <v>0</v>
      </c>
    </row>
    <row r="355" spans="1:21" x14ac:dyDescent="0.45">
      <c r="A355" s="12">
        <v>492</v>
      </c>
      <c r="B355" s="12">
        <v>0</v>
      </c>
      <c r="C355" s="12" t="s">
        <v>715</v>
      </c>
      <c r="D355" s="12" t="s">
        <v>715</v>
      </c>
      <c r="E355" s="12">
        <v>0</v>
      </c>
      <c r="F355" s="12">
        <v>0</v>
      </c>
      <c r="G355" s="12">
        <v>0</v>
      </c>
      <c r="H355" s="12">
        <v>0</v>
      </c>
      <c r="I355" s="12">
        <v>0</v>
      </c>
      <c r="J355" s="10"/>
      <c r="K355" s="10" t="s">
        <v>311</v>
      </c>
      <c r="L355" s="10"/>
      <c r="M355" s="11">
        <v>0</v>
      </c>
      <c r="N355" s="10"/>
      <c r="O355" s="11">
        <v>0</v>
      </c>
      <c r="P355" s="10"/>
      <c r="Q355" s="11">
        <v>0</v>
      </c>
      <c r="R355" s="10"/>
      <c r="S355" s="11">
        <v>0</v>
      </c>
      <c r="T355" s="10"/>
      <c r="U355" s="11">
        <v>0</v>
      </c>
    </row>
    <row r="356" spans="1:21" x14ac:dyDescent="0.45">
      <c r="A356" s="12">
        <v>493</v>
      </c>
      <c r="B356" s="12">
        <v>0</v>
      </c>
      <c r="C356" s="12" t="s">
        <v>716</v>
      </c>
      <c r="D356" s="12" t="s">
        <v>716</v>
      </c>
      <c r="E356" s="12">
        <v>0</v>
      </c>
      <c r="F356" s="12">
        <v>0</v>
      </c>
      <c r="G356" s="12">
        <v>0</v>
      </c>
      <c r="H356" s="12">
        <v>0</v>
      </c>
      <c r="I356" s="12">
        <v>0</v>
      </c>
      <c r="J356" s="10"/>
      <c r="K356" s="10" t="s">
        <v>311</v>
      </c>
      <c r="L356" s="10"/>
      <c r="M356" s="11">
        <v>0</v>
      </c>
      <c r="N356" s="10"/>
      <c r="O356" s="11">
        <v>0</v>
      </c>
      <c r="P356" s="10"/>
      <c r="Q356" s="11">
        <v>0</v>
      </c>
      <c r="R356" s="10"/>
      <c r="S356" s="11">
        <v>0</v>
      </c>
      <c r="T356" s="10"/>
      <c r="U356" s="11">
        <v>0</v>
      </c>
    </row>
    <row r="357" spans="1:21" x14ac:dyDescent="0.45">
      <c r="A357" s="12">
        <v>494</v>
      </c>
      <c r="B357" s="12">
        <v>1</v>
      </c>
      <c r="C357" s="12" t="s">
        <v>717</v>
      </c>
      <c r="D357" s="12" t="s">
        <v>717</v>
      </c>
      <c r="E357" s="12">
        <v>0</v>
      </c>
      <c r="F357" s="12">
        <v>495</v>
      </c>
      <c r="G357" s="12">
        <v>3</v>
      </c>
      <c r="H357" s="12">
        <v>0</v>
      </c>
      <c r="I357" s="12">
        <v>0</v>
      </c>
      <c r="J357" s="10"/>
      <c r="K357" s="10" t="s">
        <v>311</v>
      </c>
      <c r="L357" s="10"/>
      <c r="M357" s="11">
        <v>0</v>
      </c>
      <c r="N357" s="10"/>
      <c r="O357" s="11">
        <v>0</v>
      </c>
      <c r="P357" s="10"/>
      <c r="Q357" s="11">
        <v>0</v>
      </c>
      <c r="R357" s="10"/>
      <c r="S357" s="11">
        <v>0</v>
      </c>
      <c r="T357" s="10"/>
      <c r="U357" s="11">
        <v>0</v>
      </c>
    </row>
    <row r="358" spans="1:21" x14ac:dyDescent="0.45">
      <c r="A358" s="12">
        <v>495</v>
      </c>
      <c r="B358" s="12">
        <v>1</v>
      </c>
      <c r="C358" s="12" t="s">
        <v>718</v>
      </c>
      <c r="D358" s="12" t="s">
        <v>719</v>
      </c>
      <c r="E358" s="12">
        <v>0</v>
      </c>
      <c r="F358" s="12">
        <v>0</v>
      </c>
      <c r="G358" s="12">
        <v>3</v>
      </c>
      <c r="H358" s="12">
        <v>0</v>
      </c>
      <c r="I358" s="12">
        <v>0</v>
      </c>
      <c r="J358" s="10"/>
      <c r="K358" s="10" t="s">
        <v>311</v>
      </c>
      <c r="L358" s="10"/>
      <c r="M358" s="11">
        <v>0</v>
      </c>
      <c r="N358" s="10"/>
      <c r="O358" s="11">
        <v>0</v>
      </c>
      <c r="P358" s="10"/>
      <c r="Q358" s="11">
        <v>0</v>
      </c>
      <c r="R358" s="10"/>
      <c r="S358" s="11">
        <v>0</v>
      </c>
      <c r="T358" s="10"/>
      <c r="U358" s="11">
        <v>0</v>
      </c>
    </row>
    <row r="359" spans="1:21" x14ac:dyDescent="0.45">
      <c r="A359" s="12">
        <v>496</v>
      </c>
      <c r="B359" s="12">
        <v>1</v>
      </c>
      <c r="C359" s="12" t="s">
        <v>720</v>
      </c>
      <c r="D359" s="12" t="s">
        <v>720</v>
      </c>
      <c r="E359" s="12">
        <v>0</v>
      </c>
      <c r="F359" s="12">
        <v>497</v>
      </c>
      <c r="G359" s="12">
        <v>3</v>
      </c>
      <c r="H359" s="12">
        <v>0</v>
      </c>
      <c r="I359" s="12">
        <v>0</v>
      </c>
      <c r="J359" s="10"/>
      <c r="K359" s="10" t="s">
        <v>311</v>
      </c>
      <c r="L359" s="10"/>
      <c r="M359" s="11">
        <v>0</v>
      </c>
      <c r="N359" s="10"/>
      <c r="O359" s="11">
        <v>0</v>
      </c>
      <c r="P359" s="10"/>
      <c r="Q359" s="11">
        <v>0</v>
      </c>
      <c r="R359" s="10"/>
      <c r="S359" s="11">
        <v>0</v>
      </c>
      <c r="T359" s="10"/>
      <c r="U359" s="11">
        <v>0</v>
      </c>
    </row>
    <row r="360" spans="1:21" x14ac:dyDescent="0.45">
      <c r="A360" s="12">
        <v>497</v>
      </c>
      <c r="B360" s="12">
        <v>1</v>
      </c>
      <c r="C360" s="12" t="s">
        <v>721</v>
      </c>
      <c r="D360" s="12" t="s">
        <v>721</v>
      </c>
      <c r="E360" s="12">
        <v>0</v>
      </c>
      <c r="F360" s="12">
        <v>0</v>
      </c>
      <c r="G360" s="12">
        <v>3</v>
      </c>
      <c r="H360" s="12">
        <v>0</v>
      </c>
      <c r="I360" s="12">
        <v>0</v>
      </c>
      <c r="J360" s="10"/>
      <c r="K360" s="10" t="s">
        <v>311</v>
      </c>
      <c r="L360" s="10"/>
      <c r="M360" s="11">
        <v>0</v>
      </c>
      <c r="N360" s="10"/>
      <c r="O360" s="11">
        <v>0</v>
      </c>
      <c r="P360" s="10"/>
      <c r="Q360" s="11">
        <v>0</v>
      </c>
      <c r="R360" s="10"/>
      <c r="S360" s="11">
        <v>0</v>
      </c>
      <c r="T360" s="10"/>
      <c r="U360" s="11">
        <v>0</v>
      </c>
    </row>
    <row r="361" spans="1:21" x14ac:dyDescent="0.45">
      <c r="A361" s="12">
        <v>498</v>
      </c>
      <c r="B361" s="12">
        <v>1</v>
      </c>
      <c r="C361" s="12" t="s">
        <v>722</v>
      </c>
      <c r="D361" s="12" t="s">
        <v>722</v>
      </c>
      <c r="E361" s="12">
        <v>0</v>
      </c>
      <c r="F361" s="12">
        <v>499</v>
      </c>
      <c r="G361" s="12">
        <v>1</v>
      </c>
      <c r="H361" s="12">
        <v>2</v>
      </c>
      <c r="I361" s="12">
        <v>0</v>
      </c>
      <c r="J361" s="10"/>
      <c r="K361" s="10" t="s">
        <v>311</v>
      </c>
      <c r="L361" s="10" t="s">
        <v>722</v>
      </c>
      <c r="M361" s="11">
        <v>0</v>
      </c>
      <c r="N361" s="10" t="s">
        <v>312</v>
      </c>
      <c r="O361" s="11">
        <v>0</v>
      </c>
      <c r="P361" s="10"/>
      <c r="Q361" s="11">
        <v>0</v>
      </c>
      <c r="R361" s="10"/>
      <c r="S361" s="11">
        <v>0</v>
      </c>
      <c r="T361" s="10"/>
      <c r="U361" s="11">
        <v>0</v>
      </c>
    </row>
    <row r="362" spans="1:21" x14ac:dyDescent="0.45">
      <c r="A362" s="12">
        <v>499</v>
      </c>
      <c r="B362" s="12">
        <v>1</v>
      </c>
      <c r="C362" s="12" t="s">
        <v>723</v>
      </c>
      <c r="D362" s="12" t="s">
        <v>723</v>
      </c>
      <c r="E362" s="12">
        <v>0</v>
      </c>
      <c r="F362" s="12">
        <v>0</v>
      </c>
      <c r="G362" s="12">
        <v>1</v>
      </c>
      <c r="H362" s="12">
        <v>2</v>
      </c>
      <c r="I362" s="12">
        <v>0</v>
      </c>
      <c r="J362" s="10"/>
      <c r="K362" s="10" t="s">
        <v>311</v>
      </c>
      <c r="L362" s="10"/>
      <c r="M362" s="11">
        <v>0</v>
      </c>
      <c r="N362" s="10"/>
      <c r="O362" s="11">
        <v>0</v>
      </c>
      <c r="P362" s="10"/>
      <c r="Q362" s="11">
        <v>0</v>
      </c>
      <c r="R362" s="10"/>
      <c r="S362" s="11">
        <v>0</v>
      </c>
      <c r="T362" s="10"/>
      <c r="U362" s="11">
        <v>0</v>
      </c>
    </row>
    <row r="363" spans="1:21" x14ac:dyDescent="0.45">
      <c r="A363" s="12">
        <v>500</v>
      </c>
      <c r="B363" s="12">
        <v>1</v>
      </c>
      <c r="C363" s="12" t="s">
        <v>724</v>
      </c>
      <c r="D363" s="12" t="s">
        <v>724</v>
      </c>
      <c r="E363" s="12">
        <v>370</v>
      </c>
      <c r="F363" s="12">
        <v>0</v>
      </c>
      <c r="G363" s="12">
        <v>0</v>
      </c>
      <c r="H363" s="12">
        <v>1</v>
      </c>
      <c r="I363" s="12">
        <v>24</v>
      </c>
      <c r="J363" s="10">
        <v>88</v>
      </c>
      <c r="K363" s="10" t="s">
        <v>282</v>
      </c>
      <c r="L363" s="10"/>
      <c r="M363" s="11">
        <v>0</v>
      </c>
      <c r="N363" s="10"/>
      <c r="O363" s="11">
        <v>0</v>
      </c>
      <c r="P363" s="10"/>
      <c r="Q363" s="11">
        <v>0</v>
      </c>
      <c r="R363" s="10"/>
      <c r="S363" s="11">
        <v>0</v>
      </c>
      <c r="T363" s="10"/>
      <c r="U363" s="11">
        <v>0</v>
      </c>
    </row>
    <row r="364" spans="1:21" x14ac:dyDescent="0.45">
      <c r="A364" s="12">
        <v>501</v>
      </c>
      <c r="B364" s="12">
        <v>1</v>
      </c>
      <c r="C364" s="12" t="s">
        <v>725</v>
      </c>
      <c r="D364" s="12" t="s">
        <v>725</v>
      </c>
      <c r="E364" s="12">
        <v>300</v>
      </c>
      <c r="F364" s="12">
        <v>0</v>
      </c>
      <c r="G364" s="12">
        <v>0</v>
      </c>
      <c r="H364" s="12">
        <v>1</v>
      </c>
      <c r="I364" s="12">
        <v>24</v>
      </c>
      <c r="J364" s="10">
        <v>8</v>
      </c>
      <c r="K364" s="10" t="s">
        <v>282</v>
      </c>
      <c r="L364" s="10"/>
      <c r="M364" s="11">
        <v>0</v>
      </c>
      <c r="N364" s="10"/>
      <c r="O364" s="11">
        <v>0</v>
      </c>
      <c r="P364" s="10"/>
      <c r="Q364" s="11">
        <v>0</v>
      </c>
      <c r="R364" s="10"/>
      <c r="S364" s="11">
        <v>0</v>
      </c>
      <c r="T364" s="10"/>
      <c r="U364" s="11">
        <v>0</v>
      </c>
    </row>
    <row r="365" spans="1:21" x14ac:dyDescent="0.45">
      <c r="A365" s="12">
        <v>502</v>
      </c>
      <c r="B365" s="12">
        <v>0</v>
      </c>
      <c r="C365" s="12" t="s">
        <v>726</v>
      </c>
      <c r="D365" s="12" t="s">
        <v>726</v>
      </c>
      <c r="E365" s="12">
        <v>0</v>
      </c>
      <c r="F365" s="12">
        <v>503</v>
      </c>
      <c r="G365" s="12">
        <v>0</v>
      </c>
      <c r="H365" s="12">
        <v>0</v>
      </c>
      <c r="I365" s="12">
        <v>0</v>
      </c>
      <c r="J365" s="10"/>
      <c r="K365" s="10" t="s">
        <v>311</v>
      </c>
      <c r="L365" s="10"/>
      <c r="M365" s="11">
        <v>0</v>
      </c>
      <c r="N365" s="10"/>
      <c r="O365" s="11">
        <v>0</v>
      </c>
      <c r="P365" s="10"/>
      <c r="Q365" s="11">
        <v>0</v>
      </c>
      <c r="R365" s="10"/>
      <c r="S365" s="11">
        <v>0</v>
      </c>
      <c r="T365" s="10"/>
      <c r="U365" s="11">
        <v>0</v>
      </c>
    </row>
    <row r="366" spans="1:21" x14ac:dyDescent="0.45">
      <c r="A366" s="12">
        <v>503</v>
      </c>
      <c r="B366" s="12">
        <v>0</v>
      </c>
      <c r="C366" s="12" t="s">
        <v>290</v>
      </c>
      <c r="D366" s="12" t="s">
        <v>290</v>
      </c>
      <c r="E366" s="12">
        <v>0</v>
      </c>
      <c r="F366" s="12">
        <v>0</v>
      </c>
      <c r="G366" s="12">
        <v>1</v>
      </c>
      <c r="H366" s="12">
        <v>0</v>
      </c>
      <c r="I366" s="12">
        <v>0</v>
      </c>
      <c r="J366" s="10"/>
      <c r="K366" s="10" t="s">
        <v>311</v>
      </c>
      <c r="L366" s="10"/>
      <c r="M366" s="11">
        <v>0</v>
      </c>
      <c r="N366" s="10"/>
      <c r="O366" s="11">
        <v>0</v>
      </c>
      <c r="P366" s="10"/>
      <c r="Q366" s="11">
        <v>0</v>
      </c>
      <c r="R366" s="10"/>
      <c r="S366" s="11">
        <v>0</v>
      </c>
      <c r="T366" s="10"/>
      <c r="U366" s="11">
        <v>0</v>
      </c>
    </row>
    <row r="367" spans="1:21" x14ac:dyDescent="0.45">
      <c r="A367" s="12">
        <v>504</v>
      </c>
      <c r="B367" s="12">
        <v>1</v>
      </c>
      <c r="C367" s="12" t="s">
        <v>727</v>
      </c>
      <c r="D367" s="12" t="s">
        <v>727</v>
      </c>
      <c r="E367" s="12">
        <v>0</v>
      </c>
      <c r="F367" s="12">
        <v>0</v>
      </c>
      <c r="G367" s="12">
        <v>1</v>
      </c>
      <c r="H367" s="12">
        <v>0</v>
      </c>
      <c r="I367" s="12">
        <v>0</v>
      </c>
      <c r="J367" s="10"/>
      <c r="K367" s="10" t="s">
        <v>311</v>
      </c>
      <c r="L367" s="10"/>
      <c r="M367" s="11">
        <v>0</v>
      </c>
      <c r="N367" s="10"/>
      <c r="O367" s="11">
        <v>0</v>
      </c>
      <c r="P367" s="10"/>
      <c r="Q367" s="11">
        <v>0</v>
      </c>
      <c r="R367" s="10"/>
      <c r="S367" s="11">
        <v>0</v>
      </c>
      <c r="T367" s="10"/>
      <c r="U367" s="11">
        <v>0</v>
      </c>
    </row>
    <row r="368" spans="1:21" x14ac:dyDescent="0.45">
      <c r="A368" s="12">
        <v>505</v>
      </c>
      <c r="B368" s="12">
        <v>1</v>
      </c>
      <c r="C368" s="12" t="s">
        <v>728</v>
      </c>
      <c r="D368" s="12" t="s">
        <v>728</v>
      </c>
      <c r="E368" s="12">
        <v>0</v>
      </c>
      <c r="F368" s="12">
        <v>0</v>
      </c>
      <c r="G368" s="12">
        <v>1</v>
      </c>
      <c r="H368" s="12">
        <v>0</v>
      </c>
      <c r="I368" s="12">
        <v>0</v>
      </c>
      <c r="J368" s="10"/>
      <c r="K368" s="10" t="s">
        <v>311</v>
      </c>
      <c r="L368" s="10"/>
      <c r="M368" s="11">
        <v>0</v>
      </c>
      <c r="N368" s="10"/>
      <c r="O368" s="11">
        <v>0</v>
      </c>
      <c r="P368" s="10"/>
      <c r="Q368" s="11">
        <v>0</v>
      </c>
      <c r="R368" s="10"/>
      <c r="S368" s="11">
        <v>0</v>
      </c>
      <c r="T368" s="10"/>
      <c r="U368" s="11">
        <v>0</v>
      </c>
    </row>
    <row r="369" spans="1:21" x14ac:dyDescent="0.45">
      <c r="A369" s="12">
        <v>506</v>
      </c>
      <c r="B369" s="12">
        <v>0</v>
      </c>
      <c r="C369" s="12" t="s">
        <v>729</v>
      </c>
      <c r="D369" s="12" t="s">
        <v>729</v>
      </c>
      <c r="E369" s="12">
        <v>0</v>
      </c>
      <c r="F369" s="12">
        <v>507</v>
      </c>
      <c r="G369" s="12">
        <v>1</v>
      </c>
      <c r="H369" s="12">
        <v>0</v>
      </c>
      <c r="I369" s="12">
        <v>0</v>
      </c>
      <c r="J369" s="10"/>
      <c r="K369" s="10" t="s">
        <v>311</v>
      </c>
      <c r="L369" s="10"/>
      <c r="M369" s="11">
        <v>0</v>
      </c>
      <c r="N369" s="10"/>
      <c r="O369" s="11">
        <v>0</v>
      </c>
      <c r="P369" s="10"/>
      <c r="Q369" s="11">
        <v>0</v>
      </c>
      <c r="R369" s="10"/>
      <c r="S369" s="11">
        <v>0</v>
      </c>
      <c r="T369" s="10"/>
      <c r="U369" s="11">
        <v>0</v>
      </c>
    </row>
    <row r="370" spans="1:21" x14ac:dyDescent="0.45">
      <c r="A370" s="12">
        <v>507</v>
      </c>
      <c r="B370" s="12">
        <v>0</v>
      </c>
      <c r="C370" s="12" t="s">
        <v>730</v>
      </c>
      <c r="D370" s="12" t="s">
        <v>730</v>
      </c>
      <c r="E370" s="12">
        <v>0</v>
      </c>
      <c r="F370" s="12">
        <v>0</v>
      </c>
      <c r="G370" s="12">
        <v>1</v>
      </c>
      <c r="H370" s="12">
        <v>0</v>
      </c>
      <c r="I370" s="12">
        <v>0</v>
      </c>
      <c r="J370" s="10"/>
      <c r="K370" s="10" t="s">
        <v>311</v>
      </c>
      <c r="L370" s="10"/>
      <c r="M370" s="11">
        <v>0</v>
      </c>
      <c r="N370" s="10"/>
      <c r="O370" s="11">
        <v>0</v>
      </c>
      <c r="P370" s="10"/>
      <c r="Q370" s="11">
        <v>0</v>
      </c>
      <c r="R370" s="10"/>
      <c r="S370" s="11">
        <v>0</v>
      </c>
      <c r="T370" s="10"/>
      <c r="U370" s="11">
        <v>0</v>
      </c>
    </row>
    <row r="371" spans="1:21" x14ac:dyDescent="0.45">
      <c r="A371" s="12">
        <v>508</v>
      </c>
      <c r="B371" s="12">
        <v>1</v>
      </c>
      <c r="C371" s="12" t="s">
        <v>731</v>
      </c>
      <c r="D371" s="12" t="s">
        <v>732</v>
      </c>
      <c r="E371" s="12">
        <v>0</v>
      </c>
      <c r="F371" s="12">
        <v>0</v>
      </c>
      <c r="G371" s="12">
        <v>0</v>
      </c>
      <c r="H371" s="12">
        <v>0</v>
      </c>
      <c r="I371" s="12">
        <v>24</v>
      </c>
      <c r="J371" s="10">
        <v>88</v>
      </c>
      <c r="K371" s="10" t="s">
        <v>282</v>
      </c>
      <c r="L371" s="10"/>
      <c r="M371" s="11">
        <v>0</v>
      </c>
      <c r="N371" s="10"/>
      <c r="O371" s="11">
        <v>0</v>
      </c>
      <c r="P371" s="10"/>
      <c r="Q371" s="11">
        <v>0</v>
      </c>
      <c r="R371" s="10"/>
      <c r="S371" s="11">
        <v>0</v>
      </c>
      <c r="T371" s="10"/>
      <c r="U371" s="11">
        <v>0</v>
      </c>
    </row>
    <row r="372" spans="1:21" s="27" customFormat="1" x14ac:dyDescent="0.45">
      <c r="A372" s="24">
        <v>520</v>
      </c>
      <c r="B372" s="24">
        <v>1</v>
      </c>
      <c r="C372" s="24" t="s">
        <v>733</v>
      </c>
      <c r="D372" s="24" t="s">
        <v>734</v>
      </c>
      <c r="E372" s="24">
        <v>0</v>
      </c>
      <c r="F372" s="24">
        <v>521</v>
      </c>
      <c r="G372" s="24">
        <v>1</v>
      </c>
      <c r="H372" s="24">
        <v>2</v>
      </c>
      <c r="I372" s="24">
        <v>0</v>
      </c>
      <c r="J372" s="25"/>
      <c r="K372" s="25" t="s">
        <v>311</v>
      </c>
      <c r="L372" s="25" t="s">
        <v>734</v>
      </c>
      <c r="M372" s="26">
        <v>0</v>
      </c>
      <c r="N372" s="25" t="s">
        <v>361</v>
      </c>
      <c r="O372" s="26">
        <v>0</v>
      </c>
      <c r="P372" s="25" t="s">
        <v>312</v>
      </c>
      <c r="Q372" s="26">
        <v>0</v>
      </c>
      <c r="R372" s="25"/>
      <c r="S372" s="26">
        <v>0</v>
      </c>
      <c r="T372" s="25"/>
      <c r="U372" s="26">
        <v>0</v>
      </c>
    </row>
    <row r="373" spans="1:21" s="27" customFormat="1" x14ac:dyDescent="0.45">
      <c r="A373" s="24">
        <v>521</v>
      </c>
      <c r="B373" s="24">
        <v>1</v>
      </c>
      <c r="C373" s="24" t="s">
        <v>735</v>
      </c>
      <c r="D373" s="24" t="s">
        <v>734</v>
      </c>
      <c r="E373" s="24">
        <v>0</v>
      </c>
      <c r="F373" s="24">
        <v>0</v>
      </c>
      <c r="G373" s="24">
        <v>1</v>
      </c>
      <c r="H373" s="24">
        <v>2</v>
      </c>
      <c r="I373" s="24">
        <v>0</v>
      </c>
      <c r="J373" s="25"/>
      <c r="K373" s="25" t="s">
        <v>311</v>
      </c>
      <c r="L373" s="25"/>
      <c r="M373" s="26">
        <v>0</v>
      </c>
      <c r="N373" s="25"/>
      <c r="O373" s="26">
        <v>0</v>
      </c>
      <c r="P373" s="25"/>
      <c r="Q373" s="26">
        <v>0</v>
      </c>
      <c r="R373" s="25"/>
      <c r="S373" s="26">
        <v>0</v>
      </c>
      <c r="T373" s="25"/>
      <c r="U373" s="26">
        <v>0</v>
      </c>
    </row>
    <row r="374" spans="1:21" x14ac:dyDescent="0.45">
      <c r="A374" s="12">
        <v>522</v>
      </c>
      <c r="B374" s="12">
        <v>1</v>
      </c>
      <c r="C374" s="12" t="s">
        <v>464</v>
      </c>
      <c r="D374" s="12" t="s">
        <v>464</v>
      </c>
      <c r="E374" s="12">
        <v>0</v>
      </c>
      <c r="F374" s="12">
        <v>0</v>
      </c>
      <c r="G374" s="12">
        <v>0</v>
      </c>
      <c r="H374" s="12">
        <v>0</v>
      </c>
      <c r="I374" s="12">
        <v>0</v>
      </c>
      <c r="J374" s="10"/>
      <c r="K374" s="10" t="s">
        <v>311</v>
      </c>
      <c r="L374" s="10"/>
      <c r="M374" s="11">
        <v>0</v>
      </c>
      <c r="N374" s="10"/>
      <c r="O374" s="11">
        <v>0</v>
      </c>
      <c r="P374" s="10"/>
      <c r="Q374" s="11">
        <v>0</v>
      </c>
      <c r="R374" s="10"/>
      <c r="S374" s="11">
        <v>0</v>
      </c>
      <c r="T374" s="10"/>
      <c r="U374" s="11">
        <v>0</v>
      </c>
    </row>
    <row r="375" spans="1:21" x14ac:dyDescent="0.45">
      <c r="A375" s="12">
        <v>523</v>
      </c>
      <c r="B375" s="12">
        <v>1</v>
      </c>
      <c r="C375" s="12" t="s">
        <v>736</v>
      </c>
      <c r="D375" s="12" t="s">
        <v>736</v>
      </c>
      <c r="E375" s="12">
        <v>0</v>
      </c>
      <c r="F375" s="12">
        <v>0</v>
      </c>
      <c r="G375" s="12">
        <v>1</v>
      </c>
      <c r="H375" s="12">
        <v>0</v>
      </c>
      <c r="I375" s="12">
        <v>0</v>
      </c>
      <c r="J375" s="10"/>
      <c r="K375" s="10" t="s">
        <v>311</v>
      </c>
      <c r="L375" s="10"/>
      <c r="M375" s="11">
        <v>0</v>
      </c>
      <c r="N375" s="10"/>
      <c r="O375" s="11">
        <v>0</v>
      </c>
      <c r="P375" s="10"/>
      <c r="Q375" s="11">
        <v>0</v>
      </c>
      <c r="R375" s="10"/>
      <c r="S375" s="11">
        <v>0</v>
      </c>
      <c r="T375" s="10"/>
      <c r="U375" s="11">
        <v>0</v>
      </c>
    </row>
    <row r="376" spans="1:21" s="27" customFormat="1" x14ac:dyDescent="0.45">
      <c r="A376" s="24">
        <v>524</v>
      </c>
      <c r="B376" s="24">
        <v>1</v>
      </c>
      <c r="C376" s="24" t="s">
        <v>737</v>
      </c>
      <c r="D376" s="24" t="s">
        <v>738</v>
      </c>
      <c r="E376" s="24">
        <v>0</v>
      </c>
      <c r="F376" s="24">
        <v>525</v>
      </c>
      <c r="G376" s="24">
        <v>1</v>
      </c>
      <c r="H376" s="24">
        <v>2</v>
      </c>
      <c r="I376" s="24">
        <v>0</v>
      </c>
      <c r="J376" s="25"/>
      <c r="K376" s="25" t="s">
        <v>311</v>
      </c>
      <c r="L376" s="25" t="s">
        <v>292</v>
      </c>
      <c r="M376" s="26">
        <v>1</v>
      </c>
      <c r="N376" s="25" t="s">
        <v>348</v>
      </c>
      <c r="O376" s="26">
        <v>1</v>
      </c>
      <c r="P376" s="25" t="s">
        <v>312</v>
      </c>
      <c r="Q376" s="26">
        <v>0</v>
      </c>
      <c r="R376" s="25"/>
      <c r="S376" s="26">
        <v>0</v>
      </c>
      <c r="T376" s="25"/>
      <c r="U376" s="26">
        <v>0</v>
      </c>
    </row>
    <row r="377" spans="1:21" s="27" customFormat="1" x14ac:dyDescent="0.45">
      <c r="A377" s="24">
        <v>525</v>
      </c>
      <c r="B377" s="24">
        <v>1</v>
      </c>
      <c r="C377" s="24" t="s">
        <v>739</v>
      </c>
      <c r="D377" s="24" t="s">
        <v>740</v>
      </c>
      <c r="E377" s="24">
        <v>0</v>
      </c>
      <c r="F377" s="24">
        <v>0</v>
      </c>
      <c r="G377" s="24">
        <v>1</v>
      </c>
      <c r="H377" s="24">
        <v>2</v>
      </c>
      <c r="I377" s="24">
        <v>0</v>
      </c>
      <c r="J377" s="25"/>
      <c r="K377" s="25" t="s">
        <v>311</v>
      </c>
      <c r="L377" s="25"/>
      <c r="M377" s="26">
        <v>0</v>
      </c>
      <c r="N377" s="25"/>
      <c r="O377" s="26">
        <v>0</v>
      </c>
      <c r="P377" s="25"/>
      <c r="Q377" s="26">
        <v>0</v>
      </c>
      <c r="R377" s="25"/>
      <c r="S377" s="26">
        <v>0</v>
      </c>
      <c r="T377" s="25"/>
      <c r="U377" s="26">
        <v>0</v>
      </c>
    </row>
    <row r="378" spans="1:21" s="27" customFormat="1" x14ac:dyDescent="0.45">
      <c r="A378" s="24">
        <v>526</v>
      </c>
      <c r="B378" s="24">
        <v>1</v>
      </c>
      <c r="C378" s="24" t="s">
        <v>741</v>
      </c>
      <c r="D378" s="24" t="s">
        <v>742</v>
      </c>
      <c r="E378" s="24">
        <v>0</v>
      </c>
      <c r="F378" s="24">
        <v>527</v>
      </c>
      <c r="G378" s="24">
        <v>1</v>
      </c>
      <c r="H378" s="24">
        <v>2</v>
      </c>
      <c r="I378" s="24">
        <v>0</v>
      </c>
      <c r="J378" s="25"/>
      <c r="K378" s="25" t="s">
        <v>311</v>
      </c>
      <c r="L378" s="25" t="s">
        <v>742</v>
      </c>
      <c r="M378" s="26">
        <v>0</v>
      </c>
      <c r="N378" s="25" t="s">
        <v>361</v>
      </c>
      <c r="O378" s="26">
        <v>0</v>
      </c>
      <c r="P378" s="25" t="s">
        <v>362</v>
      </c>
      <c r="Q378" s="26">
        <v>0</v>
      </c>
      <c r="R378" s="25"/>
      <c r="S378" s="26">
        <v>0</v>
      </c>
      <c r="T378" s="25"/>
      <c r="U378" s="26">
        <v>0</v>
      </c>
    </row>
    <row r="379" spans="1:21" s="27" customFormat="1" x14ac:dyDescent="0.45">
      <c r="A379" s="24">
        <v>527</v>
      </c>
      <c r="B379" s="24">
        <v>1</v>
      </c>
      <c r="C379" s="24" t="s">
        <v>743</v>
      </c>
      <c r="D379" s="24" t="s">
        <v>742</v>
      </c>
      <c r="E379" s="24">
        <v>0</v>
      </c>
      <c r="F379" s="24">
        <v>0</v>
      </c>
      <c r="G379" s="24">
        <v>1</v>
      </c>
      <c r="H379" s="24">
        <v>2</v>
      </c>
      <c r="I379" s="24">
        <v>0</v>
      </c>
      <c r="J379" s="25"/>
      <c r="K379" s="25" t="s">
        <v>311</v>
      </c>
      <c r="L379" s="25" t="s">
        <v>742</v>
      </c>
      <c r="M379" s="26">
        <v>0</v>
      </c>
      <c r="N379" s="25" t="s">
        <v>361</v>
      </c>
      <c r="O379" s="26">
        <v>0</v>
      </c>
      <c r="P379" s="25" t="s">
        <v>362</v>
      </c>
      <c r="Q379" s="26">
        <v>0</v>
      </c>
      <c r="R379" s="25"/>
      <c r="S379" s="26">
        <v>0</v>
      </c>
      <c r="T379" s="25"/>
      <c r="U379" s="26">
        <v>0</v>
      </c>
    </row>
    <row r="380" spans="1:21" s="27" customFormat="1" x14ac:dyDescent="0.45">
      <c r="A380" s="24">
        <v>528</v>
      </c>
      <c r="B380" s="24">
        <v>1</v>
      </c>
      <c r="C380" s="24" t="s">
        <v>744</v>
      </c>
      <c r="D380" s="24" t="s">
        <v>745</v>
      </c>
      <c r="E380" s="24">
        <v>0</v>
      </c>
      <c r="F380" s="24">
        <v>529</v>
      </c>
      <c r="G380" s="24">
        <v>1</v>
      </c>
      <c r="H380" s="24">
        <v>2</v>
      </c>
      <c r="I380" s="24">
        <v>0</v>
      </c>
      <c r="J380" s="25"/>
      <c r="K380" s="25" t="s">
        <v>311</v>
      </c>
      <c r="L380" s="25" t="s">
        <v>384</v>
      </c>
      <c r="M380" s="26">
        <v>1</v>
      </c>
      <c r="N380" s="25" t="s">
        <v>312</v>
      </c>
      <c r="O380" s="26">
        <v>0</v>
      </c>
      <c r="P380" s="25" t="s">
        <v>746</v>
      </c>
      <c r="Q380" s="26">
        <v>0</v>
      </c>
      <c r="R380" s="25"/>
      <c r="S380" s="26">
        <v>0</v>
      </c>
      <c r="T380" s="25"/>
      <c r="U380" s="26">
        <v>0</v>
      </c>
    </row>
    <row r="381" spans="1:21" s="27" customFormat="1" x14ac:dyDescent="0.45">
      <c r="A381" s="24">
        <v>529</v>
      </c>
      <c r="B381" s="24">
        <v>0</v>
      </c>
      <c r="C381" s="24" t="s">
        <v>747</v>
      </c>
      <c r="D381" s="24" t="s">
        <v>747</v>
      </c>
      <c r="E381" s="24">
        <v>0</v>
      </c>
      <c r="F381" s="24">
        <v>0</v>
      </c>
      <c r="G381" s="24">
        <v>1</v>
      </c>
      <c r="H381" s="24">
        <v>2</v>
      </c>
      <c r="I381" s="24">
        <v>0</v>
      </c>
      <c r="J381" s="25"/>
      <c r="K381" s="25" t="s">
        <v>311</v>
      </c>
      <c r="L381" s="25" t="s">
        <v>384</v>
      </c>
      <c r="M381" s="26">
        <v>1</v>
      </c>
      <c r="N381" s="25" t="s">
        <v>312</v>
      </c>
      <c r="O381" s="26">
        <v>0</v>
      </c>
      <c r="P381" s="25" t="s">
        <v>746</v>
      </c>
      <c r="Q381" s="26">
        <v>0</v>
      </c>
      <c r="R381" s="25"/>
      <c r="S381" s="26">
        <v>0</v>
      </c>
      <c r="T381" s="25"/>
      <c r="U381" s="26">
        <v>0</v>
      </c>
    </row>
    <row r="382" spans="1:21" s="27" customFormat="1" x14ac:dyDescent="0.45">
      <c r="A382" s="24">
        <v>530</v>
      </c>
      <c r="B382" s="24">
        <v>1</v>
      </c>
      <c r="C382" s="24" t="s">
        <v>748</v>
      </c>
      <c r="D382" s="24" t="s">
        <v>749</v>
      </c>
      <c r="E382" s="24">
        <v>0</v>
      </c>
      <c r="F382" s="24">
        <v>531</v>
      </c>
      <c r="G382" s="24">
        <v>1</v>
      </c>
      <c r="H382" s="24">
        <v>2</v>
      </c>
      <c r="I382" s="24">
        <v>0</v>
      </c>
      <c r="J382" s="25"/>
      <c r="K382" s="25" t="s">
        <v>311</v>
      </c>
      <c r="L382" s="25" t="s">
        <v>603</v>
      </c>
      <c r="M382" s="26">
        <v>0</v>
      </c>
      <c r="N382" s="25" t="s">
        <v>750</v>
      </c>
      <c r="O382" s="26">
        <v>0</v>
      </c>
      <c r="P382" s="25" t="s">
        <v>312</v>
      </c>
      <c r="Q382" s="26">
        <v>0</v>
      </c>
      <c r="R382" s="25"/>
      <c r="S382" s="26">
        <v>0</v>
      </c>
      <c r="T382" s="25"/>
      <c r="U382" s="26">
        <v>0</v>
      </c>
    </row>
    <row r="383" spans="1:21" s="27" customFormat="1" x14ac:dyDescent="0.45">
      <c r="A383" s="24">
        <v>531</v>
      </c>
      <c r="B383" s="24">
        <v>1</v>
      </c>
      <c r="C383" s="24" t="s">
        <v>751</v>
      </c>
      <c r="D383" s="24" t="s">
        <v>751</v>
      </c>
      <c r="E383" s="24">
        <v>0</v>
      </c>
      <c r="F383" s="24">
        <v>0</v>
      </c>
      <c r="G383" s="24">
        <v>1</v>
      </c>
      <c r="H383" s="24">
        <v>2</v>
      </c>
      <c r="I383" s="24">
        <v>0</v>
      </c>
      <c r="J383" s="25"/>
      <c r="K383" s="25" t="s">
        <v>311</v>
      </c>
      <c r="L383" s="25"/>
      <c r="M383" s="26">
        <v>0</v>
      </c>
      <c r="N383" s="25"/>
      <c r="O383" s="26">
        <v>0</v>
      </c>
      <c r="P383" s="25"/>
      <c r="Q383" s="26">
        <v>0</v>
      </c>
      <c r="R383" s="25"/>
      <c r="S383" s="26">
        <v>0</v>
      </c>
      <c r="T383" s="25"/>
      <c r="U383" s="26">
        <v>0</v>
      </c>
    </row>
    <row r="384" spans="1:21" x14ac:dyDescent="0.45">
      <c r="A384" s="12">
        <v>532</v>
      </c>
      <c r="B384" s="12">
        <v>1</v>
      </c>
      <c r="C384" s="12" t="s">
        <v>752</v>
      </c>
      <c r="D384" s="12" t="s">
        <v>752</v>
      </c>
      <c r="E384" s="12">
        <v>0</v>
      </c>
      <c r="F384" s="12">
        <v>533</v>
      </c>
      <c r="G384" s="12">
        <v>1</v>
      </c>
      <c r="H384" s="12">
        <v>1</v>
      </c>
      <c r="I384" s="12">
        <v>0</v>
      </c>
      <c r="J384" s="10"/>
      <c r="K384" s="10" t="s">
        <v>311</v>
      </c>
      <c r="L384" s="10" t="s">
        <v>376</v>
      </c>
      <c r="M384" s="11">
        <v>0</v>
      </c>
      <c r="N384" s="10" t="s">
        <v>377</v>
      </c>
      <c r="O384" s="11">
        <v>0</v>
      </c>
      <c r="P384" s="10" t="s">
        <v>379</v>
      </c>
      <c r="Q384" s="11">
        <v>0</v>
      </c>
      <c r="R384" s="10" t="s">
        <v>380</v>
      </c>
      <c r="S384" s="11">
        <v>0</v>
      </c>
      <c r="T384" s="10" t="s">
        <v>681</v>
      </c>
      <c r="U384" s="11">
        <v>0</v>
      </c>
    </row>
    <row r="385" spans="1:21" x14ac:dyDescent="0.45">
      <c r="A385" s="12">
        <v>533</v>
      </c>
      <c r="B385" s="12">
        <v>1</v>
      </c>
      <c r="C385" s="12" t="s">
        <v>753</v>
      </c>
      <c r="D385" s="12" t="s">
        <v>753</v>
      </c>
      <c r="E385" s="12">
        <v>0</v>
      </c>
      <c r="F385" s="12">
        <v>533</v>
      </c>
      <c r="G385" s="12">
        <v>1</v>
      </c>
      <c r="H385" s="12">
        <v>1</v>
      </c>
      <c r="I385" s="12">
        <v>0</v>
      </c>
      <c r="J385" s="10"/>
      <c r="K385" s="10" t="s">
        <v>311</v>
      </c>
      <c r="L385" s="10"/>
      <c r="M385" s="11">
        <v>0</v>
      </c>
      <c r="N385" s="10"/>
      <c r="O385" s="11">
        <v>0</v>
      </c>
      <c r="P385" s="10"/>
      <c r="Q385" s="11">
        <v>0</v>
      </c>
      <c r="R385" s="10"/>
      <c r="S385" s="11">
        <v>0</v>
      </c>
      <c r="T385" s="10"/>
      <c r="U385" s="11">
        <v>0</v>
      </c>
    </row>
    <row r="386" spans="1:21" x14ac:dyDescent="0.45">
      <c r="A386" s="12">
        <v>534</v>
      </c>
      <c r="B386" s="12">
        <v>1</v>
      </c>
      <c r="C386" s="12" t="s">
        <v>754</v>
      </c>
      <c r="D386" s="12" t="s">
        <v>755</v>
      </c>
      <c r="E386" s="12">
        <v>0</v>
      </c>
      <c r="F386" s="12">
        <v>535</v>
      </c>
      <c r="G386" s="12">
        <v>0</v>
      </c>
      <c r="H386" s="12">
        <v>2</v>
      </c>
      <c r="I386" s="12">
        <v>0</v>
      </c>
      <c r="J386" s="10"/>
      <c r="K386" s="10" t="s">
        <v>311</v>
      </c>
      <c r="L386" s="10" t="s">
        <v>292</v>
      </c>
      <c r="M386" s="11">
        <v>1</v>
      </c>
      <c r="N386" s="10" t="s">
        <v>361</v>
      </c>
      <c r="O386" s="11">
        <v>0</v>
      </c>
      <c r="P386" s="10" t="s">
        <v>312</v>
      </c>
      <c r="Q386" s="11">
        <v>0</v>
      </c>
      <c r="R386" s="10" t="s">
        <v>594</v>
      </c>
      <c r="S386" s="11">
        <v>0</v>
      </c>
      <c r="T386" s="10" t="s">
        <v>595</v>
      </c>
      <c r="U386" s="11">
        <v>0</v>
      </c>
    </row>
    <row r="387" spans="1:21" x14ac:dyDescent="0.45">
      <c r="A387" s="12">
        <v>535</v>
      </c>
      <c r="B387" s="12">
        <v>1</v>
      </c>
      <c r="C387" s="12" t="s">
        <v>756</v>
      </c>
      <c r="D387" s="12" t="s">
        <v>757</v>
      </c>
      <c r="E387" s="12">
        <v>0</v>
      </c>
      <c r="F387" s="12">
        <v>0</v>
      </c>
      <c r="G387" s="12">
        <v>1</v>
      </c>
      <c r="H387" s="12">
        <v>2</v>
      </c>
      <c r="I387" s="12">
        <v>0</v>
      </c>
      <c r="J387" s="10"/>
      <c r="K387" s="10" t="s">
        <v>311</v>
      </c>
      <c r="L387" s="10"/>
      <c r="M387" s="11">
        <v>0</v>
      </c>
      <c r="N387" s="10"/>
      <c r="O387" s="11">
        <v>0</v>
      </c>
      <c r="P387" s="10"/>
      <c r="Q387" s="11">
        <v>0</v>
      </c>
      <c r="R387" s="10"/>
      <c r="S387" s="11">
        <v>0</v>
      </c>
      <c r="T387" s="10"/>
      <c r="U387" s="11">
        <v>0</v>
      </c>
    </row>
    <row r="388" spans="1:21" x14ac:dyDescent="0.45">
      <c r="A388" s="12">
        <v>536</v>
      </c>
      <c r="B388" s="12">
        <v>1</v>
      </c>
      <c r="C388" s="12" t="s">
        <v>758</v>
      </c>
      <c r="D388" s="12" t="s">
        <v>758</v>
      </c>
      <c r="E388" s="12">
        <v>0</v>
      </c>
      <c r="F388" s="12">
        <v>0</v>
      </c>
      <c r="G388" s="12">
        <v>0</v>
      </c>
      <c r="H388" s="12">
        <v>0</v>
      </c>
      <c r="I388" s="12">
        <v>0</v>
      </c>
      <c r="J388" s="10"/>
      <c r="K388" s="10" t="s">
        <v>311</v>
      </c>
      <c r="L388" s="10"/>
      <c r="M388" s="11">
        <v>0</v>
      </c>
      <c r="N388" s="10"/>
      <c r="O388" s="11">
        <v>0</v>
      </c>
      <c r="P388" s="10"/>
      <c r="Q388" s="11">
        <v>0</v>
      </c>
      <c r="R388" s="10"/>
      <c r="S388" s="11">
        <v>0</v>
      </c>
      <c r="T388" s="10"/>
      <c r="U388" s="11">
        <v>0</v>
      </c>
    </row>
    <row r="389" spans="1:21" x14ac:dyDescent="0.45">
      <c r="A389" s="12">
        <v>537</v>
      </c>
      <c r="B389" s="12">
        <v>1</v>
      </c>
      <c r="C389" s="12" t="s">
        <v>759</v>
      </c>
      <c r="D389" s="12" t="s">
        <v>759</v>
      </c>
      <c r="E389" s="12">
        <v>0</v>
      </c>
      <c r="F389" s="12">
        <v>0</v>
      </c>
      <c r="G389" s="12">
        <v>0</v>
      </c>
      <c r="H389" s="12">
        <v>0</v>
      </c>
      <c r="I389" s="12">
        <v>0</v>
      </c>
      <c r="J389" s="10"/>
      <c r="K389" s="10" t="s">
        <v>311</v>
      </c>
      <c r="L389" s="10"/>
      <c r="M389" s="11">
        <v>0</v>
      </c>
      <c r="N389" s="10"/>
      <c r="O389" s="11">
        <v>0</v>
      </c>
      <c r="P389" s="10"/>
      <c r="Q389" s="11">
        <v>0</v>
      </c>
      <c r="R389" s="10"/>
      <c r="S389" s="11">
        <v>0</v>
      </c>
      <c r="T389" s="10"/>
      <c r="U389" s="11">
        <v>0</v>
      </c>
    </row>
    <row r="390" spans="1:21" x14ac:dyDescent="0.45">
      <c r="A390" s="12">
        <v>538</v>
      </c>
      <c r="B390" s="12">
        <v>1</v>
      </c>
      <c r="C390" s="12" t="s">
        <v>760</v>
      </c>
      <c r="D390" s="12" t="s">
        <v>760</v>
      </c>
      <c r="E390" s="12">
        <v>0</v>
      </c>
      <c r="F390" s="12">
        <v>0</v>
      </c>
      <c r="G390" s="12">
        <v>0</v>
      </c>
      <c r="H390" s="12">
        <v>0</v>
      </c>
      <c r="I390" s="12">
        <v>0</v>
      </c>
      <c r="J390" s="10"/>
      <c r="K390" s="10" t="s">
        <v>311</v>
      </c>
      <c r="L390" s="10"/>
      <c r="M390" s="11">
        <v>0</v>
      </c>
      <c r="N390" s="10"/>
      <c r="O390" s="11">
        <v>0</v>
      </c>
      <c r="P390" s="10"/>
      <c r="Q390" s="11">
        <v>0</v>
      </c>
      <c r="R390" s="10"/>
      <c r="S390" s="11">
        <v>0</v>
      </c>
      <c r="T390" s="10"/>
      <c r="U390" s="11">
        <v>0</v>
      </c>
    </row>
    <row r="391" spans="1:21" x14ac:dyDescent="0.45">
      <c r="A391" s="12">
        <v>539</v>
      </c>
      <c r="B391" s="12">
        <v>1</v>
      </c>
      <c r="C391" s="12" t="s">
        <v>761</v>
      </c>
      <c r="D391" s="12" t="s">
        <v>761</v>
      </c>
      <c r="E391" s="12">
        <v>0</v>
      </c>
      <c r="F391" s="12">
        <v>0</v>
      </c>
      <c r="G391" s="12">
        <v>1</v>
      </c>
      <c r="H391" s="12">
        <v>0</v>
      </c>
      <c r="I391" s="12">
        <v>0</v>
      </c>
      <c r="J391" s="10"/>
      <c r="K391" s="10" t="s">
        <v>311</v>
      </c>
      <c r="L391" s="10"/>
      <c r="M391" s="11">
        <v>0</v>
      </c>
      <c r="N391" s="10"/>
      <c r="O391" s="11">
        <v>0</v>
      </c>
      <c r="P391" s="10"/>
      <c r="Q391" s="11">
        <v>0</v>
      </c>
      <c r="R391" s="10"/>
      <c r="S391" s="11">
        <v>0</v>
      </c>
      <c r="T391" s="10"/>
      <c r="U391" s="11">
        <v>0</v>
      </c>
    </row>
    <row r="392" spans="1:21" x14ac:dyDescent="0.45">
      <c r="A392" s="12">
        <v>540</v>
      </c>
      <c r="B392" s="12">
        <v>1</v>
      </c>
      <c r="C392" s="12" t="s">
        <v>762</v>
      </c>
      <c r="D392" s="12" t="s">
        <v>762</v>
      </c>
      <c r="E392" s="12">
        <v>0</v>
      </c>
      <c r="F392" s="12">
        <v>0</v>
      </c>
      <c r="G392" s="12">
        <v>1</v>
      </c>
      <c r="H392" s="12">
        <v>0</v>
      </c>
      <c r="I392" s="12">
        <v>0</v>
      </c>
      <c r="J392" s="10"/>
      <c r="K392" s="10" t="s">
        <v>311</v>
      </c>
      <c r="L392" s="10"/>
      <c r="M392" s="11">
        <v>0</v>
      </c>
      <c r="N392" s="10"/>
      <c r="O392" s="11">
        <v>0</v>
      </c>
      <c r="P392" s="10"/>
      <c r="Q392" s="11">
        <v>0</v>
      </c>
      <c r="R392" s="10"/>
      <c r="S392" s="11">
        <v>0</v>
      </c>
      <c r="T392" s="10"/>
      <c r="U392" s="11">
        <v>0</v>
      </c>
    </row>
    <row r="393" spans="1:21" s="27" customFormat="1" x14ac:dyDescent="0.45">
      <c r="A393" s="24">
        <v>541</v>
      </c>
      <c r="B393" s="24">
        <v>1</v>
      </c>
      <c r="C393" s="24" t="s">
        <v>763</v>
      </c>
      <c r="D393" s="24" t="s">
        <v>763</v>
      </c>
      <c r="E393" s="24">
        <v>0</v>
      </c>
      <c r="F393" s="24">
        <v>542</v>
      </c>
      <c r="G393" s="24">
        <v>1</v>
      </c>
      <c r="H393" s="24">
        <v>2</v>
      </c>
      <c r="I393" s="24">
        <v>0</v>
      </c>
      <c r="J393" s="25"/>
      <c r="K393" s="25" t="s">
        <v>311</v>
      </c>
      <c r="L393" s="25" t="s">
        <v>312</v>
      </c>
      <c r="M393" s="26">
        <v>0</v>
      </c>
      <c r="N393" s="25"/>
      <c r="O393" s="26">
        <v>0</v>
      </c>
      <c r="P393" s="25"/>
      <c r="Q393" s="26">
        <v>0</v>
      </c>
      <c r="R393" s="25"/>
      <c r="S393" s="26">
        <v>0</v>
      </c>
      <c r="T393" s="25"/>
      <c r="U393" s="26">
        <v>0</v>
      </c>
    </row>
    <row r="394" spans="1:21" s="27" customFormat="1" x14ac:dyDescent="0.45">
      <c r="A394" s="24">
        <v>542</v>
      </c>
      <c r="B394" s="24">
        <v>1</v>
      </c>
      <c r="C394" s="24" t="s">
        <v>764</v>
      </c>
      <c r="D394" s="24" t="s">
        <v>764</v>
      </c>
      <c r="E394" s="24">
        <v>0</v>
      </c>
      <c r="F394" s="24">
        <v>0</v>
      </c>
      <c r="G394" s="24">
        <v>1</v>
      </c>
      <c r="H394" s="24">
        <v>2</v>
      </c>
      <c r="I394" s="24">
        <v>0</v>
      </c>
      <c r="J394" s="25"/>
      <c r="K394" s="25" t="s">
        <v>311</v>
      </c>
      <c r="L394" s="25" t="s">
        <v>312</v>
      </c>
      <c r="M394" s="26">
        <v>0</v>
      </c>
      <c r="N394" s="25"/>
      <c r="O394" s="26">
        <v>0</v>
      </c>
      <c r="P394" s="25"/>
      <c r="Q394" s="26">
        <v>0</v>
      </c>
      <c r="R394" s="25"/>
      <c r="S394" s="26">
        <v>0</v>
      </c>
      <c r="T394" s="25"/>
      <c r="U394" s="26">
        <v>0</v>
      </c>
    </row>
    <row r="395" spans="1:21" x14ac:dyDescent="0.45">
      <c r="A395" s="12">
        <v>543</v>
      </c>
      <c r="B395" s="12">
        <v>1</v>
      </c>
      <c r="C395" s="12" t="s">
        <v>765</v>
      </c>
      <c r="D395" s="12" t="s">
        <v>765</v>
      </c>
      <c r="E395" s="12">
        <v>0</v>
      </c>
      <c r="F395" s="12">
        <v>0</v>
      </c>
      <c r="G395" s="12">
        <v>1</v>
      </c>
      <c r="H395" s="12">
        <v>2</v>
      </c>
      <c r="I395" s="12">
        <v>0</v>
      </c>
      <c r="J395" s="10"/>
      <c r="K395" s="10" t="s">
        <v>311</v>
      </c>
      <c r="L395" s="10" t="s">
        <v>557</v>
      </c>
      <c r="M395" s="11">
        <v>0</v>
      </c>
      <c r="N395" s="10"/>
      <c r="O395" s="11">
        <v>0</v>
      </c>
      <c r="P395" s="10"/>
      <c r="Q395" s="11">
        <v>0</v>
      </c>
      <c r="R395" s="10"/>
      <c r="S395" s="11">
        <v>0</v>
      </c>
      <c r="T395" s="10"/>
      <c r="U395" s="11">
        <v>0</v>
      </c>
    </row>
    <row r="396" spans="1:21" x14ac:dyDescent="0.45">
      <c r="A396" s="12">
        <v>544</v>
      </c>
      <c r="B396" s="12">
        <v>1</v>
      </c>
      <c r="C396" s="12" t="s">
        <v>766</v>
      </c>
      <c r="D396" s="12" t="s">
        <v>767</v>
      </c>
      <c r="E396" s="12">
        <v>0</v>
      </c>
      <c r="F396" s="12">
        <v>545</v>
      </c>
      <c r="G396" s="12">
        <v>3</v>
      </c>
      <c r="H396" s="12">
        <v>0</v>
      </c>
      <c r="I396" s="12">
        <v>0</v>
      </c>
      <c r="J396" s="10"/>
      <c r="K396" s="10" t="s">
        <v>311</v>
      </c>
      <c r="L396" s="10"/>
      <c r="M396" s="11">
        <v>0</v>
      </c>
      <c r="N396" s="10"/>
      <c r="O396" s="11">
        <v>0</v>
      </c>
      <c r="P396" s="10"/>
      <c r="Q396" s="11">
        <v>0</v>
      </c>
      <c r="R396" s="10"/>
      <c r="S396" s="11">
        <v>0</v>
      </c>
      <c r="T396" s="10"/>
      <c r="U396" s="11">
        <v>0</v>
      </c>
    </row>
    <row r="397" spans="1:21" x14ac:dyDescent="0.45">
      <c r="A397" s="12">
        <v>545</v>
      </c>
      <c r="B397" s="12">
        <v>1</v>
      </c>
      <c r="C397" s="12" t="s">
        <v>768</v>
      </c>
      <c r="D397" s="12" t="s">
        <v>769</v>
      </c>
      <c r="E397" s="12">
        <v>0</v>
      </c>
      <c r="F397" s="12">
        <v>545</v>
      </c>
      <c r="G397" s="12">
        <v>3</v>
      </c>
      <c r="H397" s="12">
        <v>0</v>
      </c>
      <c r="I397" s="12">
        <v>0</v>
      </c>
      <c r="J397" s="10"/>
      <c r="K397" s="10" t="s">
        <v>311</v>
      </c>
      <c r="L397" s="10"/>
      <c r="M397" s="11">
        <v>0</v>
      </c>
      <c r="N397" s="10"/>
      <c r="O397" s="11">
        <v>0</v>
      </c>
      <c r="P397" s="10"/>
      <c r="Q397" s="11">
        <v>0</v>
      </c>
      <c r="R397" s="10"/>
      <c r="S397" s="11">
        <v>0</v>
      </c>
      <c r="T397" s="10"/>
      <c r="U397" s="11">
        <v>0</v>
      </c>
    </row>
    <row r="398" spans="1:21" s="27" customFormat="1" x14ac:dyDescent="0.45">
      <c r="A398" s="24">
        <v>546</v>
      </c>
      <c r="B398" s="24">
        <v>1</v>
      </c>
      <c r="C398" s="24" t="s">
        <v>770</v>
      </c>
      <c r="D398" s="24" t="s">
        <v>770</v>
      </c>
      <c r="E398" s="24">
        <v>0</v>
      </c>
      <c r="F398" s="24">
        <v>547</v>
      </c>
      <c r="G398" s="24">
        <v>1</v>
      </c>
      <c r="H398" s="24">
        <v>0</v>
      </c>
      <c r="I398" s="24">
        <v>0</v>
      </c>
      <c r="J398" s="25"/>
      <c r="K398" s="25" t="s">
        <v>311</v>
      </c>
      <c r="L398" s="25" t="s">
        <v>771</v>
      </c>
      <c r="M398" s="26">
        <v>0</v>
      </c>
      <c r="N398" s="25" t="s">
        <v>312</v>
      </c>
      <c r="O398" s="26">
        <v>0</v>
      </c>
      <c r="P398" s="25"/>
      <c r="Q398" s="26">
        <v>0</v>
      </c>
      <c r="R398" s="25"/>
      <c r="S398" s="26">
        <v>0</v>
      </c>
      <c r="T398" s="25"/>
      <c r="U398" s="26">
        <v>0</v>
      </c>
    </row>
    <row r="399" spans="1:21" s="27" customFormat="1" x14ac:dyDescent="0.45">
      <c r="A399" s="24">
        <v>547</v>
      </c>
      <c r="B399" s="24">
        <v>1</v>
      </c>
      <c r="C399" s="24" t="s">
        <v>772</v>
      </c>
      <c r="D399" s="24" t="s">
        <v>772</v>
      </c>
      <c r="E399" s="24">
        <v>0</v>
      </c>
      <c r="F399" s="24">
        <v>0</v>
      </c>
      <c r="G399" s="24">
        <v>1</v>
      </c>
      <c r="H399" s="24">
        <v>0</v>
      </c>
      <c r="I399" s="24">
        <v>0</v>
      </c>
      <c r="J399" s="25"/>
      <c r="K399" s="25" t="s">
        <v>311</v>
      </c>
      <c r="L399" s="25" t="s">
        <v>771</v>
      </c>
      <c r="M399" s="26">
        <v>0</v>
      </c>
      <c r="N399" s="25" t="s">
        <v>312</v>
      </c>
      <c r="O399" s="26">
        <v>0</v>
      </c>
      <c r="P399" s="25"/>
      <c r="Q399" s="26">
        <v>0</v>
      </c>
      <c r="R399" s="25"/>
      <c r="S399" s="26">
        <v>0</v>
      </c>
      <c r="T399" s="25"/>
      <c r="U399" s="26">
        <v>0</v>
      </c>
    </row>
    <row r="400" spans="1:21" x14ac:dyDescent="0.45">
      <c r="A400" s="12">
        <v>548</v>
      </c>
      <c r="B400" s="12">
        <v>1</v>
      </c>
      <c r="C400" s="12" t="s">
        <v>773</v>
      </c>
      <c r="D400" s="12" t="s">
        <v>773</v>
      </c>
      <c r="E400" s="12">
        <v>0</v>
      </c>
      <c r="F400" s="12">
        <v>549</v>
      </c>
      <c r="G400" s="12">
        <v>1</v>
      </c>
      <c r="H400" s="12">
        <v>2</v>
      </c>
      <c r="I400" s="12">
        <v>16</v>
      </c>
      <c r="J400" s="10">
        <v>100</v>
      </c>
      <c r="K400" s="10" t="s">
        <v>282</v>
      </c>
      <c r="L400" s="10" t="s">
        <v>361</v>
      </c>
      <c r="M400" s="11">
        <v>0</v>
      </c>
      <c r="N400" s="10"/>
      <c r="O400" s="11">
        <v>0</v>
      </c>
      <c r="P400" s="10"/>
      <c r="Q400" s="11">
        <v>0</v>
      </c>
      <c r="R400" s="10"/>
      <c r="S400" s="11">
        <v>0</v>
      </c>
      <c r="T400" s="10"/>
      <c r="U400" s="11">
        <v>0</v>
      </c>
    </row>
    <row r="401" spans="1:21" x14ac:dyDescent="0.45">
      <c r="A401" s="12">
        <v>549</v>
      </c>
      <c r="B401" s="12">
        <v>1</v>
      </c>
      <c r="C401" s="12" t="s">
        <v>774</v>
      </c>
      <c r="D401" s="12" t="s">
        <v>774</v>
      </c>
      <c r="E401" s="12">
        <v>0</v>
      </c>
      <c r="F401" s="12">
        <v>549</v>
      </c>
      <c r="G401" s="12">
        <v>1</v>
      </c>
      <c r="H401" s="12">
        <v>2</v>
      </c>
      <c r="I401" s="12">
        <v>16</v>
      </c>
      <c r="J401" s="10">
        <v>100</v>
      </c>
      <c r="K401" s="10" t="s">
        <v>282</v>
      </c>
      <c r="L401" s="10" t="s">
        <v>361</v>
      </c>
      <c r="M401" s="11">
        <v>0</v>
      </c>
      <c r="N401" s="10"/>
      <c r="O401" s="11">
        <v>0</v>
      </c>
      <c r="P401" s="10"/>
      <c r="Q401" s="11">
        <v>0</v>
      </c>
      <c r="R401" s="10"/>
      <c r="S401" s="11">
        <v>0</v>
      </c>
      <c r="T401" s="10"/>
      <c r="U401" s="11">
        <v>0</v>
      </c>
    </row>
    <row r="402" spans="1:21" s="27" customFormat="1" x14ac:dyDescent="0.45">
      <c r="A402" s="24">
        <v>550</v>
      </c>
      <c r="B402" s="24">
        <v>1</v>
      </c>
      <c r="C402" s="24" t="s">
        <v>775</v>
      </c>
      <c r="D402" s="24" t="s">
        <v>776</v>
      </c>
      <c r="E402" s="24">
        <v>0</v>
      </c>
      <c r="F402" s="24">
        <v>551</v>
      </c>
      <c r="G402" s="24">
        <v>1</v>
      </c>
      <c r="H402" s="24">
        <v>2</v>
      </c>
      <c r="I402" s="24">
        <v>0</v>
      </c>
      <c r="J402" s="25"/>
      <c r="K402" s="25" t="s">
        <v>311</v>
      </c>
      <c r="L402" s="25" t="s">
        <v>292</v>
      </c>
      <c r="M402" s="26">
        <v>1</v>
      </c>
      <c r="N402" s="25" t="s">
        <v>312</v>
      </c>
      <c r="O402" s="26">
        <v>0</v>
      </c>
      <c r="P402" s="25" t="s">
        <v>776</v>
      </c>
      <c r="Q402" s="26">
        <v>0</v>
      </c>
      <c r="R402" s="25"/>
      <c r="S402" s="26">
        <v>0</v>
      </c>
      <c r="T402" s="25"/>
      <c r="U402" s="26">
        <v>0</v>
      </c>
    </row>
    <row r="403" spans="1:21" s="27" customFormat="1" x14ac:dyDescent="0.45">
      <c r="A403" s="24">
        <v>551</v>
      </c>
      <c r="B403" s="24">
        <v>0</v>
      </c>
      <c r="C403" s="24" t="s">
        <v>777</v>
      </c>
      <c r="D403" s="24" t="s">
        <v>777</v>
      </c>
      <c r="E403" s="24">
        <v>0</v>
      </c>
      <c r="F403" s="24">
        <v>0</v>
      </c>
      <c r="G403" s="24">
        <v>1</v>
      </c>
      <c r="H403" s="24">
        <v>2</v>
      </c>
      <c r="I403" s="24">
        <v>0</v>
      </c>
      <c r="J403" s="25"/>
      <c r="K403" s="25" t="s">
        <v>311</v>
      </c>
      <c r="L403" s="25" t="s">
        <v>292</v>
      </c>
      <c r="M403" s="26">
        <v>1</v>
      </c>
      <c r="N403" s="25" t="s">
        <v>312</v>
      </c>
      <c r="O403" s="26">
        <v>0</v>
      </c>
      <c r="P403" s="25" t="s">
        <v>401</v>
      </c>
      <c r="Q403" s="26">
        <v>0</v>
      </c>
      <c r="R403" s="25"/>
      <c r="S403" s="26">
        <v>0</v>
      </c>
      <c r="T403" s="25"/>
      <c r="U403" s="26">
        <v>0</v>
      </c>
    </row>
    <row r="404" spans="1:21" x14ac:dyDescent="0.45">
      <c r="A404" s="12">
        <v>552</v>
      </c>
      <c r="B404" s="12">
        <v>1</v>
      </c>
      <c r="C404" s="12" t="s">
        <v>778</v>
      </c>
      <c r="D404" s="12" t="s">
        <v>778</v>
      </c>
      <c r="E404" s="12">
        <v>0</v>
      </c>
      <c r="F404" s="12">
        <v>0</v>
      </c>
      <c r="G404" s="12">
        <v>1</v>
      </c>
      <c r="H404" s="12">
        <v>0</v>
      </c>
      <c r="I404" s="12">
        <v>0</v>
      </c>
      <c r="J404" s="10"/>
      <c r="K404" s="10" t="s">
        <v>311</v>
      </c>
      <c r="L404" s="10"/>
      <c r="M404" s="11">
        <v>0</v>
      </c>
      <c r="N404" s="10"/>
      <c r="O404" s="11">
        <v>0</v>
      </c>
      <c r="P404" s="10"/>
      <c r="Q404" s="11">
        <v>0</v>
      </c>
      <c r="R404" s="10"/>
      <c r="S404" s="11">
        <v>0</v>
      </c>
      <c r="T404" s="10"/>
      <c r="U404" s="11">
        <v>0</v>
      </c>
    </row>
    <row r="405" spans="1:21" s="27" customFormat="1" x14ac:dyDescent="0.45">
      <c r="A405" s="24">
        <v>553</v>
      </c>
      <c r="B405" s="24">
        <v>1</v>
      </c>
      <c r="C405" s="24" t="s">
        <v>779</v>
      </c>
      <c r="D405" s="24" t="s">
        <v>779</v>
      </c>
      <c r="E405" s="24">
        <v>0</v>
      </c>
      <c r="F405" s="24">
        <v>554</v>
      </c>
      <c r="G405" s="24">
        <v>1</v>
      </c>
      <c r="H405" s="24">
        <v>2</v>
      </c>
      <c r="I405" s="24">
        <v>30</v>
      </c>
      <c r="J405" s="25"/>
      <c r="K405" s="25" t="s">
        <v>311</v>
      </c>
      <c r="L405" s="25" t="s">
        <v>780</v>
      </c>
      <c r="M405" s="26">
        <v>0</v>
      </c>
      <c r="N405" s="25" t="s">
        <v>362</v>
      </c>
      <c r="O405" s="26">
        <v>0</v>
      </c>
      <c r="P405" s="25"/>
      <c r="Q405" s="26">
        <v>0</v>
      </c>
      <c r="R405" s="25"/>
      <c r="S405" s="26">
        <v>0</v>
      </c>
      <c r="T405" s="25"/>
      <c r="U405" s="26">
        <v>0</v>
      </c>
    </row>
    <row r="406" spans="1:21" s="27" customFormat="1" x14ac:dyDescent="0.45">
      <c r="A406" s="24">
        <v>554</v>
      </c>
      <c r="B406" s="24">
        <v>1</v>
      </c>
      <c r="C406" s="24" t="s">
        <v>779</v>
      </c>
      <c r="D406" s="24" t="s">
        <v>779</v>
      </c>
      <c r="E406" s="24">
        <v>0</v>
      </c>
      <c r="F406" s="24">
        <v>0</v>
      </c>
      <c r="G406" s="24">
        <v>1</v>
      </c>
      <c r="H406" s="24">
        <v>0</v>
      </c>
      <c r="I406" s="24">
        <v>0</v>
      </c>
      <c r="J406" s="25"/>
      <c r="K406" s="25" t="s">
        <v>311</v>
      </c>
      <c r="L406" s="25"/>
      <c r="M406" s="26">
        <v>0</v>
      </c>
      <c r="N406" s="25"/>
      <c r="O406" s="26">
        <v>0</v>
      </c>
      <c r="P406" s="25"/>
      <c r="Q406" s="26">
        <v>0</v>
      </c>
      <c r="R406" s="25"/>
      <c r="S406" s="26">
        <v>0</v>
      </c>
      <c r="T406" s="25"/>
      <c r="U406" s="26">
        <v>0</v>
      </c>
    </row>
    <row r="407" spans="1:21" x14ac:dyDescent="0.45">
      <c r="A407" s="12">
        <v>555</v>
      </c>
      <c r="B407" s="12">
        <v>1</v>
      </c>
      <c r="C407" s="12" t="s">
        <v>781</v>
      </c>
      <c r="D407" s="12" t="s">
        <v>781</v>
      </c>
      <c r="E407" s="12">
        <v>0</v>
      </c>
      <c r="F407" s="12">
        <v>556</v>
      </c>
      <c r="G407" s="12">
        <v>1</v>
      </c>
      <c r="H407" s="12">
        <v>2</v>
      </c>
      <c r="I407" s="12">
        <v>0</v>
      </c>
      <c r="J407" s="10"/>
      <c r="K407" s="10" t="s">
        <v>311</v>
      </c>
      <c r="L407" s="10" t="s">
        <v>292</v>
      </c>
      <c r="M407" s="11">
        <v>1</v>
      </c>
      <c r="N407" s="10" t="s">
        <v>782</v>
      </c>
      <c r="O407" s="11">
        <v>0</v>
      </c>
      <c r="P407" s="10" t="s">
        <v>783</v>
      </c>
      <c r="Q407" s="11">
        <v>0</v>
      </c>
      <c r="R407" s="10"/>
      <c r="S407" s="11">
        <v>0</v>
      </c>
      <c r="T407" s="10"/>
      <c r="U407" s="11">
        <v>0</v>
      </c>
    </row>
    <row r="408" spans="1:21" x14ac:dyDescent="0.45">
      <c r="A408" s="12">
        <v>556</v>
      </c>
      <c r="B408" s="12">
        <v>1</v>
      </c>
      <c r="C408" s="12" t="s">
        <v>784</v>
      </c>
      <c r="D408" s="12" t="s">
        <v>784</v>
      </c>
      <c r="E408" s="12">
        <v>0</v>
      </c>
      <c r="F408" s="12">
        <v>556</v>
      </c>
      <c r="G408" s="12">
        <v>1</v>
      </c>
      <c r="H408" s="12">
        <v>2</v>
      </c>
      <c r="I408" s="12">
        <v>0</v>
      </c>
      <c r="J408" s="10"/>
      <c r="K408" s="10" t="s">
        <v>311</v>
      </c>
      <c r="L408" s="10" t="s">
        <v>292</v>
      </c>
      <c r="M408" s="11">
        <v>0</v>
      </c>
      <c r="N408" s="10" t="s">
        <v>782</v>
      </c>
      <c r="O408" s="11">
        <v>0</v>
      </c>
      <c r="P408" s="10" t="s">
        <v>785</v>
      </c>
      <c r="Q408" s="11">
        <v>0</v>
      </c>
      <c r="R408" s="10"/>
      <c r="S408" s="11">
        <v>0</v>
      </c>
      <c r="T408" s="10"/>
      <c r="U408" s="11">
        <v>0</v>
      </c>
    </row>
    <row r="409" spans="1:21" x14ac:dyDescent="0.45">
      <c r="A409" s="12">
        <v>557</v>
      </c>
      <c r="B409" s="12">
        <v>0</v>
      </c>
      <c r="C409" s="12" t="s">
        <v>786</v>
      </c>
      <c r="D409" s="12" t="s">
        <v>786</v>
      </c>
      <c r="E409" s="12">
        <v>0</v>
      </c>
      <c r="F409" s="12">
        <v>0</v>
      </c>
      <c r="G409" s="12">
        <v>0</v>
      </c>
      <c r="H409" s="12">
        <v>0</v>
      </c>
      <c r="I409" s="12">
        <v>0</v>
      </c>
      <c r="J409" s="10"/>
      <c r="K409" s="10" t="s">
        <v>311</v>
      </c>
      <c r="L409" s="10"/>
      <c r="M409" s="11">
        <v>0</v>
      </c>
      <c r="N409" s="10"/>
      <c r="O409" s="11">
        <v>0</v>
      </c>
      <c r="P409" s="10"/>
      <c r="Q409" s="11">
        <v>0</v>
      </c>
      <c r="R409" s="10"/>
      <c r="S409" s="11">
        <v>0</v>
      </c>
      <c r="T409" s="10"/>
      <c r="U409" s="11">
        <v>0</v>
      </c>
    </row>
    <row r="410" spans="1:21" x14ac:dyDescent="0.45">
      <c r="A410" s="12">
        <v>558</v>
      </c>
      <c r="B410" s="12">
        <v>1</v>
      </c>
      <c r="C410" s="12" t="s">
        <v>787</v>
      </c>
      <c r="D410" s="12" t="s">
        <v>787</v>
      </c>
      <c r="E410" s="12">
        <v>0</v>
      </c>
      <c r="F410" s="12">
        <v>0</v>
      </c>
      <c r="G410" s="12">
        <v>1</v>
      </c>
      <c r="H410" s="12">
        <v>0</v>
      </c>
      <c r="I410" s="12">
        <v>80</v>
      </c>
      <c r="J410" s="10"/>
      <c r="K410" s="10" t="s">
        <v>311</v>
      </c>
      <c r="L410" s="10"/>
      <c r="M410" s="11">
        <v>0</v>
      </c>
      <c r="N410" s="10"/>
      <c r="O410" s="11">
        <v>0</v>
      </c>
      <c r="P410" s="10"/>
      <c r="Q410" s="11">
        <v>0</v>
      </c>
      <c r="R410" s="10"/>
      <c r="S410" s="11">
        <v>0</v>
      </c>
      <c r="T410" s="10"/>
      <c r="U410" s="11">
        <v>0</v>
      </c>
    </row>
    <row r="411" spans="1:21" x14ac:dyDescent="0.45">
      <c r="A411" s="12">
        <v>559</v>
      </c>
      <c r="B411" s="12">
        <v>1</v>
      </c>
      <c r="C411" s="12" t="s">
        <v>788</v>
      </c>
      <c r="D411" s="12" t="s">
        <v>788</v>
      </c>
      <c r="E411" s="12">
        <v>0</v>
      </c>
      <c r="F411" s="12">
        <v>0</v>
      </c>
      <c r="G411" s="12">
        <v>1</v>
      </c>
      <c r="H411" s="12">
        <v>0</v>
      </c>
      <c r="I411" s="12">
        <v>80</v>
      </c>
      <c r="J411" s="10"/>
      <c r="K411" s="10" t="s">
        <v>311</v>
      </c>
      <c r="L411" s="10"/>
      <c r="M411" s="11">
        <v>0</v>
      </c>
      <c r="N411" s="10"/>
      <c r="O411" s="11">
        <v>0</v>
      </c>
      <c r="P411" s="10"/>
      <c r="Q411" s="11">
        <v>0</v>
      </c>
      <c r="R411" s="10"/>
      <c r="S411" s="11">
        <v>0</v>
      </c>
      <c r="T411" s="10"/>
      <c r="U411" s="11">
        <v>0</v>
      </c>
    </row>
    <row r="412" spans="1:21" x14ac:dyDescent="0.45">
      <c r="A412" s="12">
        <v>560</v>
      </c>
      <c r="B412" s="12">
        <v>1</v>
      </c>
      <c r="C412" s="12" t="s">
        <v>789</v>
      </c>
      <c r="D412" s="12" t="s">
        <v>789</v>
      </c>
      <c r="E412" s="12">
        <v>0</v>
      </c>
      <c r="F412" s="12">
        <v>0</v>
      </c>
      <c r="G412" s="12">
        <v>1</v>
      </c>
      <c r="H412" s="12">
        <v>0</v>
      </c>
      <c r="I412" s="12">
        <v>80</v>
      </c>
      <c r="J412" s="10"/>
      <c r="K412" s="10" t="s">
        <v>311</v>
      </c>
      <c r="L412" s="10"/>
      <c r="M412" s="11">
        <v>0</v>
      </c>
      <c r="N412" s="10"/>
      <c r="O412" s="11">
        <v>0</v>
      </c>
      <c r="P412" s="10"/>
      <c r="Q412" s="11">
        <v>0</v>
      </c>
      <c r="R412" s="10"/>
      <c r="S412" s="11">
        <v>0</v>
      </c>
      <c r="T412" s="10"/>
      <c r="U412" s="11">
        <v>0</v>
      </c>
    </row>
    <row r="413" spans="1:21" x14ac:dyDescent="0.45">
      <c r="A413" s="12">
        <v>561</v>
      </c>
      <c r="B413" s="12">
        <v>1</v>
      </c>
      <c r="C413" s="12" t="s">
        <v>790</v>
      </c>
      <c r="D413" s="12" t="s">
        <v>790</v>
      </c>
      <c r="E413" s="12">
        <v>0</v>
      </c>
      <c r="F413" s="12">
        <v>0</v>
      </c>
      <c r="G413" s="12">
        <v>1</v>
      </c>
      <c r="H413" s="12">
        <v>0</v>
      </c>
      <c r="I413" s="12">
        <v>80</v>
      </c>
      <c r="J413" s="10"/>
      <c r="K413" s="10" t="s">
        <v>311</v>
      </c>
      <c r="L413" s="10"/>
      <c r="M413" s="11">
        <v>0</v>
      </c>
      <c r="N413" s="10"/>
      <c r="O413" s="11">
        <v>0</v>
      </c>
      <c r="P413" s="10"/>
      <c r="Q413" s="11">
        <v>0</v>
      </c>
      <c r="R413" s="10"/>
      <c r="S413" s="11">
        <v>0</v>
      </c>
      <c r="T413" s="10"/>
      <c r="U413" s="11">
        <v>0</v>
      </c>
    </row>
    <row r="414" spans="1:21" x14ac:dyDescent="0.45">
      <c r="A414" s="12">
        <v>562</v>
      </c>
      <c r="B414" s="12">
        <v>1</v>
      </c>
      <c r="C414" s="12" t="s">
        <v>791</v>
      </c>
      <c r="D414" s="12" t="s">
        <v>791</v>
      </c>
      <c r="E414" s="12">
        <v>0</v>
      </c>
      <c r="F414" s="12">
        <v>0</v>
      </c>
      <c r="G414" s="12">
        <v>1</v>
      </c>
      <c r="H414" s="12">
        <v>0</v>
      </c>
      <c r="I414" s="12">
        <v>0</v>
      </c>
      <c r="J414" s="10"/>
      <c r="K414" s="10" t="s">
        <v>311</v>
      </c>
      <c r="L414" s="10"/>
      <c r="M414" s="11">
        <v>0</v>
      </c>
      <c r="N414" s="10"/>
      <c r="O414" s="11">
        <v>0</v>
      </c>
      <c r="P414" s="10"/>
      <c r="Q414" s="11">
        <v>0</v>
      </c>
      <c r="R414" s="10"/>
      <c r="S414" s="11">
        <v>0</v>
      </c>
      <c r="T414" s="10"/>
      <c r="U414" s="11">
        <v>0</v>
      </c>
    </row>
    <row r="415" spans="1:21" x14ac:dyDescent="0.45">
      <c r="A415" s="12">
        <v>563</v>
      </c>
      <c r="B415" s="12">
        <v>1</v>
      </c>
      <c r="C415" s="12" t="s">
        <v>792</v>
      </c>
      <c r="D415" s="12" t="s">
        <v>793</v>
      </c>
      <c r="E415" s="12">
        <v>0</v>
      </c>
      <c r="F415" s="12">
        <v>564</v>
      </c>
      <c r="G415" s="12">
        <v>0</v>
      </c>
      <c r="H415" s="12">
        <v>0</v>
      </c>
      <c r="I415" s="12">
        <v>0</v>
      </c>
      <c r="J415" s="10"/>
      <c r="K415" s="10" t="s">
        <v>311</v>
      </c>
      <c r="L415" s="10"/>
      <c r="M415" s="11">
        <v>0</v>
      </c>
      <c r="N415" s="10"/>
      <c r="O415" s="11">
        <v>0</v>
      </c>
      <c r="P415" s="10"/>
      <c r="Q415" s="11">
        <v>0</v>
      </c>
      <c r="R415" s="10"/>
      <c r="S415" s="11">
        <v>0</v>
      </c>
      <c r="T415" s="10"/>
      <c r="U415" s="11">
        <v>0</v>
      </c>
    </row>
    <row r="416" spans="1:21" x14ac:dyDescent="0.45">
      <c r="A416" s="12">
        <v>564</v>
      </c>
      <c r="B416" s="12">
        <v>1</v>
      </c>
      <c r="C416" s="12" t="s">
        <v>794</v>
      </c>
      <c r="D416" s="12" t="s">
        <v>793</v>
      </c>
      <c r="E416" s="12">
        <v>0</v>
      </c>
      <c r="F416" s="12">
        <v>0</v>
      </c>
      <c r="G416" s="12">
        <v>0</v>
      </c>
      <c r="H416" s="12">
        <v>0</v>
      </c>
      <c r="I416" s="12">
        <v>0</v>
      </c>
      <c r="J416" s="10"/>
      <c r="K416" s="10" t="s">
        <v>311</v>
      </c>
      <c r="L416" s="10"/>
      <c r="M416" s="11">
        <v>0</v>
      </c>
      <c r="N416" s="10"/>
      <c r="O416" s="11">
        <v>0</v>
      </c>
      <c r="P416" s="10"/>
      <c r="Q416" s="11">
        <v>0</v>
      </c>
      <c r="R416" s="10"/>
      <c r="S416" s="11">
        <v>0</v>
      </c>
      <c r="T416" s="10"/>
      <c r="U416" s="11">
        <v>0</v>
      </c>
    </row>
    <row r="417" spans="1:21" x14ac:dyDescent="0.45">
      <c r="A417" s="12">
        <v>570</v>
      </c>
      <c r="B417" s="12">
        <v>1</v>
      </c>
      <c r="C417" s="12" t="s">
        <v>795</v>
      </c>
      <c r="D417" s="12" t="s">
        <v>795</v>
      </c>
      <c r="E417" s="12">
        <v>0</v>
      </c>
      <c r="F417" s="12">
        <v>0</v>
      </c>
      <c r="G417" s="12">
        <v>3</v>
      </c>
      <c r="H417" s="12">
        <v>2</v>
      </c>
      <c r="I417" s="12">
        <v>0</v>
      </c>
      <c r="J417" s="10"/>
      <c r="K417" s="10" t="s">
        <v>311</v>
      </c>
      <c r="L417" s="10" t="s">
        <v>568</v>
      </c>
      <c r="M417" s="11">
        <v>0</v>
      </c>
      <c r="N417" s="10"/>
      <c r="O417" s="11">
        <v>0</v>
      </c>
      <c r="P417" s="10"/>
      <c r="Q417" s="11">
        <v>0</v>
      </c>
      <c r="R417" s="10"/>
      <c r="S417" s="11">
        <v>0</v>
      </c>
      <c r="T417" s="10"/>
      <c r="U417" s="11">
        <v>0</v>
      </c>
    </row>
    <row r="418" spans="1:21" x14ac:dyDescent="0.45">
      <c r="A418" s="12">
        <v>571</v>
      </c>
      <c r="B418" s="12">
        <v>1</v>
      </c>
      <c r="C418" s="12" t="s">
        <v>796</v>
      </c>
      <c r="D418" s="12" t="s">
        <v>797</v>
      </c>
      <c r="E418" s="12">
        <v>0</v>
      </c>
      <c r="F418" s="12">
        <v>0</v>
      </c>
      <c r="G418" s="12">
        <v>3</v>
      </c>
      <c r="H418" s="12">
        <v>2</v>
      </c>
      <c r="I418" s="12">
        <v>0</v>
      </c>
      <c r="J418" s="10"/>
      <c r="K418" s="10" t="s">
        <v>311</v>
      </c>
      <c r="L418" s="10" t="s">
        <v>798</v>
      </c>
      <c r="M418" s="11">
        <v>0</v>
      </c>
      <c r="N418" s="10"/>
      <c r="O418" s="11">
        <v>0</v>
      </c>
      <c r="P418" s="10"/>
      <c r="Q418" s="11">
        <v>0</v>
      </c>
      <c r="R418" s="10"/>
      <c r="S418" s="11">
        <v>0</v>
      </c>
      <c r="T418" s="10"/>
      <c r="U418" s="11">
        <v>0</v>
      </c>
    </row>
    <row r="419" spans="1:21" x14ac:dyDescent="0.45">
      <c r="A419" s="12">
        <v>572</v>
      </c>
      <c r="B419" s="12">
        <v>1</v>
      </c>
      <c r="C419" s="12" t="s">
        <v>799</v>
      </c>
      <c r="D419" s="12" t="s">
        <v>799</v>
      </c>
      <c r="E419" s="12">
        <v>0</v>
      </c>
      <c r="F419" s="12">
        <v>0</v>
      </c>
      <c r="G419" s="12">
        <v>3</v>
      </c>
      <c r="H419" s="12">
        <v>2</v>
      </c>
      <c r="I419" s="12">
        <v>0</v>
      </c>
      <c r="J419" s="10"/>
      <c r="K419" s="10" t="s">
        <v>311</v>
      </c>
      <c r="L419" s="10" t="s">
        <v>800</v>
      </c>
      <c r="M419" s="11">
        <v>0</v>
      </c>
      <c r="N419" s="10"/>
      <c r="O419" s="11">
        <v>0</v>
      </c>
      <c r="P419" s="10"/>
      <c r="Q419" s="11">
        <v>0</v>
      </c>
      <c r="R419" s="10"/>
      <c r="S419" s="11">
        <v>0</v>
      </c>
      <c r="T419" s="10"/>
      <c r="U419" s="11">
        <v>0</v>
      </c>
    </row>
    <row r="420" spans="1:21" x14ac:dyDescent="0.45">
      <c r="A420" s="12">
        <v>573</v>
      </c>
      <c r="B420" s="12">
        <v>1</v>
      </c>
      <c r="C420" s="12" t="s">
        <v>801</v>
      </c>
      <c r="D420" s="12" t="s">
        <v>801</v>
      </c>
      <c r="E420" s="12">
        <v>0</v>
      </c>
      <c r="F420" s="12">
        <v>0</v>
      </c>
      <c r="G420" s="12">
        <v>3</v>
      </c>
      <c r="H420" s="12">
        <v>2</v>
      </c>
      <c r="I420" s="12">
        <v>0</v>
      </c>
      <c r="J420" s="10"/>
      <c r="K420" s="10" t="s">
        <v>311</v>
      </c>
      <c r="L420" s="10" t="s">
        <v>802</v>
      </c>
      <c r="M420" s="11">
        <v>0</v>
      </c>
      <c r="N420" s="10"/>
      <c r="O420" s="11">
        <v>0</v>
      </c>
      <c r="P420" s="10"/>
      <c r="Q420" s="11">
        <v>0</v>
      </c>
      <c r="R420" s="10"/>
      <c r="S420" s="11">
        <v>0</v>
      </c>
      <c r="T420" s="10"/>
      <c r="U420" s="11">
        <v>0</v>
      </c>
    </row>
    <row r="421" spans="1:21" x14ac:dyDescent="0.45">
      <c r="A421" s="12">
        <v>574</v>
      </c>
      <c r="B421" s="12">
        <v>1</v>
      </c>
      <c r="C421" s="12" t="s">
        <v>803</v>
      </c>
      <c r="D421" s="12" t="s">
        <v>803</v>
      </c>
      <c r="E421" s="12">
        <v>0</v>
      </c>
      <c r="F421" s="12">
        <v>0</v>
      </c>
      <c r="G421" s="12">
        <v>3</v>
      </c>
      <c r="H421" s="12">
        <v>2</v>
      </c>
      <c r="I421" s="12">
        <v>0</v>
      </c>
      <c r="J421" s="10"/>
      <c r="K421" s="10" t="s">
        <v>311</v>
      </c>
      <c r="L421" s="10" t="s">
        <v>804</v>
      </c>
      <c r="M421" s="11">
        <v>0</v>
      </c>
      <c r="N421" s="10"/>
      <c r="O421" s="11">
        <v>0</v>
      </c>
      <c r="P421" s="10"/>
      <c r="Q421" s="11">
        <v>0</v>
      </c>
      <c r="R421" s="10"/>
      <c r="S421" s="11">
        <v>0</v>
      </c>
      <c r="T421" s="10"/>
      <c r="U421" s="11">
        <v>0</v>
      </c>
    </row>
    <row r="422" spans="1:21" x14ac:dyDescent="0.45">
      <c r="A422" s="12">
        <v>575</v>
      </c>
      <c r="B422" s="12">
        <v>1</v>
      </c>
      <c r="C422" s="12" t="s">
        <v>754</v>
      </c>
      <c r="D422" s="12" t="s">
        <v>805</v>
      </c>
      <c r="E422" s="12">
        <v>0</v>
      </c>
      <c r="F422" s="12">
        <v>535</v>
      </c>
      <c r="G422" s="12">
        <v>0</v>
      </c>
      <c r="H422" s="12">
        <v>2</v>
      </c>
      <c r="I422" s="12">
        <v>0</v>
      </c>
      <c r="J422" s="10"/>
      <c r="K422" s="10" t="s">
        <v>311</v>
      </c>
      <c r="L422" s="10" t="s">
        <v>292</v>
      </c>
      <c r="M422" s="11">
        <v>1</v>
      </c>
      <c r="N422" s="10" t="s">
        <v>361</v>
      </c>
      <c r="O422" s="11">
        <v>0</v>
      </c>
      <c r="P422" s="10" t="s">
        <v>312</v>
      </c>
      <c r="Q422" s="11">
        <v>0</v>
      </c>
      <c r="R422" s="10" t="s">
        <v>594</v>
      </c>
      <c r="S422" s="11">
        <v>0</v>
      </c>
      <c r="T422" s="10" t="s">
        <v>595</v>
      </c>
      <c r="U422" s="11">
        <v>0</v>
      </c>
    </row>
    <row r="423" spans="1:21" s="27" customFormat="1" x14ac:dyDescent="0.45">
      <c r="A423" s="24">
        <v>600</v>
      </c>
      <c r="B423" s="24">
        <v>1</v>
      </c>
      <c r="C423" s="24" t="s">
        <v>806</v>
      </c>
      <c r="D423" s="24" t="s">
        <v>806</v>
      </c>
      <c r="E423" s="24">
        <v>0</v>
      </c>
      <c r="F423" s="24">
        <v>601</v>
      </c>
      <c r="G423" s="24">
        <v>1</v>
      </c>
      <c r="H423" s="24">
        <v>2</v>
      </c>
      <c r="I423" s="24">
        <v>0</v>
      </c>
      <c r="J423" s="25"/>
      <c r="K423" s="25" t="s">
        <v>311</v>
      </c>
      <c r="L423" s="25" t="s">
        <v>807</v>
      </c>
      <c r="M423" s="26">
        <v>0</v>
      </c>
      <c r="N423" s="25" t="s">
        <v>312</v>
      </c>
      <c r="O423" s="26">
        <v>0</v>
      </c>
      <c r="P423" s="25"/>
      <c r="Q423" s="26">
        <v>0</v>
      </c>
      <c r="R423" s="25"/>
      <c r="S423" s="26">
        <v>0</v>
      </c>
      <c r="T423" s="25"/>
      <c r="U423" s="26">
        <v>0</v>
      </c>
    </row>
    <row r="424" spans="1:21" s="27" customFormat="1" x14ac:dyDescent="0.45">
      <c r="A424" s="24">
        <v>601</v>
      </c>
      <c r="B424" s="24">
        <v>1</v>
      </c>
      <c r="C424" s="24" t="s">
        <v>808</v>
      </c>
      <c r="D424" s="24" t="s">
        <v>808</v>
      </c>
      <c r="E424" s="24">
        <v>0</v>
      </c>
      <c r="F424" s="24">
        <v>0</v>
      </c>
      <c r="G424" s="24">
        <v>1</v>
      </c>
      <c r="H424" s="24">
        <v>2</v>
      </c>
      <c r="I424" s="24">
        <v>0</v>
      </c>
      <c r="J424" s="25"/>
      <c r="K424" s="25" t="s">
        <v>311</v>
      </c>
      <c r="L424" s="25"/>
      <c r="M424" s="26">
        <v>0</v>
      </c>
      <c r="N424" s="25"/>
      <c r="O424" s="26">
        <v>0</v>
      </c>
      <c r="P424" s="25"/>
      <c r="Q424" s="26">
        <v>0</v>
      </c>
      <c r="R424" s="25"/>
      <c r="S424" s="26">
        <v>0</v>
      </c>
      <c r="T424" s="25"/>
      <c r="U424" s="26">
        <v>0</v>
      </c>
    </row>
    <row r="425" spans="1:21" x14ac:dyDescent="0.45">
      <c r="A425" s="12">
        <v>602</v>
      </c>
      <c r="B425" s="12">
        <v>0</v>
      </c>
      <c r="C425" s="12" t="s">
        <v>809</v>
      </c>
      <c r="D425" s="12" t="s">
        <v>809</v>
      </c>
      <c r="E425" s="12">
        <v>0</v>
      </c>
      <c r="F425" s="12">
        <v>0</v>
      </c>
      <c r="G425" s="12">
        <v>3</v>
      </c>
      <c r="H425" s="12">
        <v>0</v>
      </c>
      <c r="I425" s="12">
        <v>0</v>
      </c>
      <c r="J425" s="10"/>
      <c r="K425" s="10" t="s">
        <v>311</v>
      </c>
      <c r="L425" s="10"/>
      <c r="M425" s="11">
        <v>0</v>
      </c>
      <c r="N425" s="10"/>
      <c r="O425" s="11">
        <v>0</v>
      </c>
      <c r="P425" s="10"/>
      <c r="Q425" s="11">
        <v>0</v>
      </c>
      <c r="R425" s="10"/>
      <c r="S425" s="11">
        <v>0</v>
      </c>
      <c r="T425" s="10"/>
      <c r="U425" s="11">
        <v>0</v>
      </c>
    </row>
    <row r="426" spans="1:21" x14ac:dyDescent="0.45">
      <c r="A426" s="12">
        <v>603</v>
      </c>
      <c r="B426" s="12">
        <v>1</v>
      </c>
      <c r="C426" s="12" t="s">
        <v>676</v>
      </c>
      <c r="D426" s="12" t="s">
        <v>676</v>
      </c>
      <c r="E426" s="12">
        <v>0</v>
      </c>
      <c r="F426" s="12">
        <v>0</v>
      </c>
      <c r="G426" s="12">
        <v>1</v>
      </c>
      <c r="H426" s="12">
        <v>0</v>
      </c>
      <c r="I426" s="12">
        <v>0</v>
      </c>
      <c r="J426" s="10"/>
      <c r="K426" s="10" t="s">
        <v>311</v>
      </c>
      <c r="L426" s="10"/>
      <c r="M426" s="11">
        <v>0</v>
      </c>
      <c r="N426" s="10"/>
      <c r="O426" s="11">
        <v>0</v>
      </c>
      <c r="P426" s="10"/>
      <c r="Q426" s="11">
        <v>0</v>
      </c>
      <c r="R426" s="10"/>
      <c r="S426" s="11">
        <v>0</v>
      </c>
      <c r="T426" s="10"/>
      <c r="U426" s="11">
        <v>0</v>
      </c>
    </row>
    <row r="427" spans="1:21" x14ac:dyDescent="0.45">
      <c r="A427" s="12">
        <v>604</v>
      </c>
      <c r="B427" s="12">
        <v>1</v>
      </c>
      <c r="C427" s="12" t="s">
        <v>810</v>
      </c>
      <c r="D427" s="12" t="s">
        <v>810</v>
      </c>
      <c r="E427" s="12">
        <v>0</v>
      </c>
      <c r="F427" s="12">
        <v>0</v>
      </c>
      <c r="G427" s="12">
        <v>1</v>
      </c>
      <c r="H427" s="12">
        <v>0</v>
      </c>
      <c r="I427" s="12">
        <v>0</v>
      </c>
      <c r="J427" s="10"/>
      <c r="K427" s="10" t="s">
        <v>311</v>
      </c>
      <c r="L427" s="10"/>
      <c r="M427" s="11">
        <v>0</v>
      </c>
      <c r="N427" s="10"/>
      <c r="O427" s="11">
        <v>0</v>
      </c>
      <c r="P427" s="10"/>
      <c r="Q427" s="11">
        <v>0</v>
      </c>
      <c r="R427" s="10"/>
      <c r="S427" s="11">
        <v>0</v>
      </c>
      <c r="T427" s="10"/>
      <c r="U427" s="11">
        <v>0</v>
      </c>
    </row>
    <row r="428" spans="1:21" x14ac:dyDescent="0.45">
      <c r="A428" s="12">
        <v>605</v>
      </c>
      <c r="B428" s="12">
        <v>1</v>
      </c>
      <c r="C428" s="12" t="s">
        <v>811</v>
      </c>
      <c r="D428" s="12" t="s">
        <v>811</v>
      </c>
      <c r="E428" s="12">
        <v>0</v>
      </c>
      <c r="F428" s="12">
        <v>606</v>
      </c>
      <c r="G428" s="12">
        <v>1</v>
      </c>
      <c r="H428" s="12">
        <v>0</v>
      </c>
      <c r="I428" s="12">
        <v>0</v>
      </c>
      <c r="J428" s="10"/>
      <c r="K428" s="10" t="s">
        <v>311</v>
      </c>
      <c r="L428" s="10"/>
      <c r="M428" s="11">
        <v>0</v>
      </c>
      <c r="N428" s="10"/>
      <c r="O428" s="11">
        <v>0</v>
      </c>
      <c r="P428" s="10"/>
      <c r="Q428" s="11">
        <v>0</v>
      </c>
      <c r="R428" s="10"/>
      <c r="S428" s="11">
        <v>0</v>
      </c>
      <c r="T428" s="10"/>
      <c r="U428" s="11">
        <v>0</v>
      </c>
    </row>
    <row r="429" spans="1:21" x14ac:dyDescent="0.45">
      <c r="A429" s="12">
        <v>606</v>
      </c>
      <c r="B429" s="12">
        <v>1</v>
      </c>
      <c r="C429" s="12" t="s">
        <v>811</v>
      </c>
      <c r="D429" s="12" t="s">
        <v>811</v>
      </c>
      <c r="E429" s="12">
        <v>0</v>
      </c>
      <c r="F429" s="12">
        <v>0</v>
      </c>
      <c r="G429" s="12">
        <v>1</v>
      </c>
      <c r="H429" s="12">
        <v>0</v>
      </c>
      <c r="I429" s="12">
        <v>0</v>
      </c>
      <c r="J429" s="10"/>
      <c r="K429" s="10" t="s">
        <v>311</v>
      </c>
      <c r="L429" s="10"/>
      <c r="M429" s="11">
        <v>0</v>
      </c>
      <c r="N429" s="10"/>
      <c r="O429" s="11">
        <v>0</v>
      </c>
      <c r="P429" s="10"/>
      <c r="Q429" s="11">
        <v>0</v>
      </c>
      <c r="R429" s="10"/>
      <c r="S429" s="11">
        <v>0</v>
      </c>
      <c r="T429" s="10"/>
      <c r="U429" s="11">
        <v>0</v>
      </c>
    </row>
    <row r="430" spans="1:21" x14ac:dyDescent="0.45">
      <c r="A430" s="12">
        <v>607</v>
      </c>
      <c r="B430" s="12">
        <v>1</v>
      </c>
      <c r="C430" s="12" t="s">
        <v>812</v>
      </c>
      <c r="D430" s="12" t="s">
        <v>812</v>
      </c>
      <c r="E430" s="12">
        <v>0</v>
      </c>
      <c r="F430" s="12">
        <v>608</v>
      </c>
      <c r="G430" s="12">
        <v>0</v>
      </c>
      <c r="H430" s="12">
        <v>1</v>
      </c>
      <c r="I430" s="12">
        <v>0</v>
      </c>
      <c r="J430" s="10"/>
      <c r="K430" s="10" t="s">
        <v>311</v>
      </c>
      <c r="L430" s="10" t="s">
        <v>292</v>
      </c>
      <c r="M430" s="11">
        <v>1</v>
      </c>
      <c r="N430" s="10" t="s">
        <v>361</v>
      </c>
      <c r="O430" s="11">
        <v>0</v>
      </c>
      <c r="P430" s="10" t="s">
        <v>312</v>
      </c>
      <c r="Q430" s="11">
        <v>0</v>
      </c>
      <c r="R430" s="10" t="s">
        <v>594</v>
      </c>
      <c r="S430" s="11">
        <v>0</v>
      </c>
      <c r="T430" s="10" t="s">
        <v>595</v>
      </c>
      <c r="U430" s="11">
        <v>0</v>
      </c>
    </row>
    <row r="431" spans="1:21" x14ac:dyDescent="0.45">
      <c r="A431" s="12">
        <v>608</v>
      </c>
      <c r="B431" s="12">
        <v>1</v>
      </c>
      <c r="C431" s="12" t="s">
        <v>812</v>
      </c>
      <c r="D431" s="12" t="s">
        <v>812</v>
      </c>
      <c r="E431" s="12">
        <v>0</v>
      </c>
      <c r="F431" s="12">
        <v>0</v>
      </c>
      <c r="G431" s="12">
        <v>1</v>
      </c>
      <c r="H431" s="12">
        <v>2</v>
      </c>
      <c r="I431" s="12">
        <v>0</v>
      </c>
      <c r="J431" s="10"/>
      <c r="K431" s="10" t="s">
        <v>311</v>
      </c>
      <c r="L431" s="10"/>
      <c r="M431" s="11">
        <v>0</v>
      </c>
      <c r="N431" s="10"/>
      <c r="O431" s="11">
        <v>0</v>
      </c>
      <c r="P431" s="10"/>
      <c r="Q431" s="11">
        <v>0</v>
      </c>
      <c r="R431" s="10"/>
      <c r="S431" s="11">
        <v>0</v>
      </c>
      <c r="T431" s="10"/>
      <c r="U431" s="11">
        <v>0</v>
      </c>
    </row>
    <row r="432" spans="1:21" x14ac:dyDescent="0.45">
      <c r="A432" s="12">
        <v>609</v>
      </c>
      <c r="B432" s="12">
        <v>1</v>
      </c>
      <c r="C432" s="12" t="s">
        <v>813</v>
      </c>
      <c r="D432" s="12" t="s">
        <v>813</v>
      </c>
      <c r="E432" s="12">
        <v>0</v>
      </c>
      <c r="F432" s="12">
        <v>610</v>
      </c>
      <c r="G432" s="12">
        <v>0</v>
      </c>
      <c r="H432" s="12">
        <v>1</v>
      </c>
      <c r="I432" s="12">
        <v>0</v>
      </c>
      <c r="J432" s="10"/>
      <c r="K432" s="10" t="s">
        <v>311</v>
      </c>
      <c r="L432" s="10" t="s">
        <v>292</v>
      </c>
      <c r="M432" s="11">
        <v>1</v>
      </c>
      <c r="N432" s="10" t="s">
        <v>361</v>
      </c>
      <c r="O432" s="11">
        <v>0</v>
      </c>
      <c r="P432" s="10" t="s">
        <v>312</v>
      </c>
      <c r="Q432" s="11">
        <v>0</v>
      </c>
      <c r="R432" s="10" t="s">
        <v>594</v>
      </c>
      <c r="S432" s="11">
        <v>0</v>
      </c>
      <c r="T432" s="10" t="s">
        <v>595</v>
      </c>
      <c r="U432" s="11">
        <v>0</v>
      </c>
    </row>
    <row r="433" spans="1:21" x14ac:dyDescent="0.45">
      <c r="A433" s="12">
        <v>610</v>
      </c>
      <c r="B433" s="12">
        <v>1</v>
      </c>
      <c r="C433" s="12" t="s">
        <v>813</v>
      </c>
      <c r="D433" s="12" t="s">
        <v>813</v>
      </c>
      <c r="E433" s="12">
        <v>0</v>
      </c>
      <c r="F433" s="12">
        <v>0</v>
      </c>
      <c r="G433" s="12">
        <v>1</v>
      </c>
      <c r="H433" s="12">
        <v>2</v>
      </c>
      <c r="I433" s="12">
        <v>0</v>
      </c>
      <c r="J433" s="10"/>
      <c r="K433" s="10" t="s">
        <v>311</v>
      </c>
      <c r="L433" s="10"/>
      <c r="M433" s="11">
        <v>0</v>
      </c>
      <c r="N433" s="10"/>
      <c r="O433" s="11">
        <v>0</v>
      </c>
      <c r="P433" s="10"/>
      <c r="Q433" s="11">
        <v>0</v>
      </c>
      <c r="R433" s="10"/>
      <c r="S433" s="11">
        <v>0</v>
      </c>
      <c r="T433" s="10"/>
      <c r="U433" s="11">
        <v>0</v>
      </c>
    </row>
    <row r="434" spans="1:21" x14ac:dyDescent="0.45">
      <c r="A434" s="12">
        <v>611</v>
      </c>
      <c r="B434" s="12">
        <v>1</v>
      </c>
      <c r="C434" s="12" t="s">
        <v>814</v>
      </c>
      <c r="D434" s="12" t="s">
        <v>814</v>
      </c>
      <c r="E434" s="12">
        <v>0</v>
      </c>
      <c r="F434" s="12">
        <v>612</v>
      </c>
      <c r="G434" s="12">
        <v>0</v>
      </c>
      <c r="H434" s="12">
        <v>1</v>
      </c>
      <c r="I434" s="12">
        <v>0</v>
      </c>
      <c r="J434" s="10"/>
      <c r="K434" s="10" t="s">
        <v>311</v>
      </c>
      <c r="L434" s="10"/>
      <c r="M434" s="11">
        <v>0</v>
      </c>
      <c r="N434" s="10"/>
      <c r="O434" s="11">
        <v>0</v>
      </c>
      <c r="P434" s="10"/>
      <c r="Q434" s="11">
        <v>0</v>
      </c>
      <c r="R434" s="10"/>
      <c r="S434" s="11">
        <v>0</v>
      </c>
      <c r="T434" s="10"/>
      <c r="U434" s="11">
        <v>0</v>
      </c>
    </row>
    <row r="435" spans="1:21" x14ac:dyDescent="0.45">
      <c r="A435" s="12">
        <v>612</v>
      </c>
      <c r="B435" s="12">
        <v>1</v>
      </c>
      <c r="C435" s="12" t="s">
        <v>814</v>
      </c>
      <c r="D435" s="12" t="s">
        <v>814</v>
      </c>
      <c r="E435" s="12">
        <v>0</v>
      </c>
      <c r="F435" s="12">
        <v>0</v>
      </c>
      <c r="G435" s="12">
        <v>1</v>
      </c>
      <c r="H435" s="12">
        <v>2</v>
      </c>
      <c r="I435" s="12">
        <v>0</v>
      </c>
      <c r="J435" s="10"/>
      <c r="K435" s="10" t="s">
        <v>311</v>
      </c>
      <c r="L435" s="10"/>
      <c r="M435" s="11">
        <v>0</v>
      </c>
      <c r="N435" s="10"/>
      <c r="O435" s="11">
        <v>0</v>
      </c>
      <c r="P435" s="10"/>
      <c r="Q435" s="11">
        <v>0</v>
      </c>
      <c r="R435" s="10"/>
      <c r="S435" s="11">
        <v>0</v>
      </c>
      <c r="T435" s="10"/>
      <c r="U435" s="11">
        <v>0</v>
      </c>
    </row>
    <row r="436" spans="1:21" x14ac:dyDescent="0.45">
      <c r="A436" s="12">
        <v>613</v>
      </c>
      <c r="B436" s="12">
        <v>1</v>
      </c>
      <c r="C436" s="12" t="s">
        <v>584</v>
      </c>
      <c r="D436" s="12" t="s">
        <v>584</v>
      </c>
      <c r="E436" s="12">
        <v>0</v>
      </c>
      <c r="F436" s="12">
        <v>0</v>
      </c>
      <c r="G436" s="12">
        <v>1</v>
      </c>
      <c r="H436" s="12">
        <v>0</v>
      </c>
      <c r="I436" s="12">
        <v>42</v>
      </c>
      <c r="J436" s="10"/>
      <c r="K436" s="10" t="s">
        <v>311</v>
      </c>
      <c r="L436" s="10"/>
      <c r="M436" s="11">
        <v>0</v>
      </c>
      <c r="N436" s="10"/>
      <c r="O436" s="11">
        <v>0</v>
      </c>
      <c r="P436" s="10"/>
      <c r="Q436" s="11">
        <v>0</v>
      </c>
      <c r="R436" s="10"/>
      <c r="S436" s="11">
        <v>0</v>
      </c>
      <c r="T436" s="10"/>
      <c r="U436" s="11">
        <v>0</v>
      </c>
    </row>
    <row r="437" spans="1:21" x14ac:dyDescent="0.45">
      <c r="A437" s="12">
        <v>614</v>
      </c>
      <c r="B437" s="12">
        <v>1</v>
      </c>
      <c r="C437" s="12" t="s">
        <v>815</v>
      </c>
      <c r="D437" s="12" t="s">
        <v>815</v>
      </c>
      <c r="E437" s="12">
        <v>0</v>
      </c>
      <c r="F437" s="12">
        <v>0</v>
      </c>
      <c r="G437" s="12">
        <v>1</v>
      </c>
      <c r="H437" s="12">
        <v>1</v>
      </c>
      <c r="I437" s="12">
        <v>80</v>
      </c>
      <c r="J437" s="10"/>
      <c r="K437" s="10" t="s">
        <v>311</v>
      </c>
      <c r="L437" s="10"/>
      <c r="M437" s="11">
        <v>0</v>
      </c>
      <c r="N437" s="10"/>
      <c r="O437" s="11">
        <v>0</v>
      </c>
      <c r="P437" s="10"/>
      <c r="Q437" s="11">
        <v>0</v>
      </c>
      <c r="R437" s="10"/>
      <c r="S437" s="11">
        <v>0</v>
      </c>
      <c r="T437" s="10"/>
      <c r="U437" s="11">
        <v>0</v>
      </c>
    </row>
    <row r="438" spans="1:21" x14ac:dyDescent="0.45">
      <c r="A438" s="9">
        <v>615</v>
      </c>
      <c r="B438" s="9">
        <v>0</v>
      </c>
      <c r="C438" s="9" t="s">
        <v>816</v>
      </c>
      <c r="D438" s="9" t="s">
        <v>816</v>
      </c>
      <c r="E438" s="9">
        <v>0</v>
      </c>
      <c r="F438" s="9">
        <v>0</v>
      </c>
      <c r="G438" s="9">
        <v>0</v>
      </c>
      <c r="H438" s="9">
        <v>0</v>
      </c>
      <c r="I438" s="9">
        <v>0</v>
      </c>
      <c r="J438" s="7"/>
      <c r="K438" s="9" t="s">
        <v>311</v>
      </c>
      <c r="L438" s="7"/>
      <c r="M438" s="8">
        <v>0</v>
      </c>
      <c r="N438" s="7"/>
      <c r="O438" s="8">
        <v>0</v>
      </c>
      <c r="P438" s="7"/>
      <c r="Q438" s="8">
        <v>0</v>
      </c>
      <c r="R438" s="7"/>
      <c r="S438" s="8">
        <v>0</v>
      </c>
      <c r="T438" s="7"/>
      <c r="U438" s="8"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2025-06-11T22:00:36Z</cp:lastPrinted>
  <dcterms:created xsi:type="dcterms:W3CDTF">2025-03-09T00:44:18Z</dcterms:created>
  <dcterms:modified xsi:type="dcterms:W3CDTF">2025-06-15T13:04:16Z</dcterms:modified>
</cp:coreProperties>
</file>